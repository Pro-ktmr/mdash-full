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OFFICE-NAS\kyomu\kyomu_bk\教務課\01教務課共有\数理データサイエンス申請書関係\2023年度申請\リテラシーレベル\提出\"/>
    </mc:Choice>
  </mc:AlternateContent>
  <bookViews>
    <workbookView xWindow="1455" yWindow="570" windowWidth="20115" windowHeight="1269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<sst xmlns="http://schemas.openxmlformats.org/spreadsheetml/2006/main" count="311" uniqueCount="181">
  <si>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</si>
  <si>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</si>
  <si>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</si>
  <si>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</si>
  <si>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</si>
  <si>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</si>
  <si>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</si>
  <si>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</si>
  <si>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</si>
  <si>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</si>
  <si>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</si>
  <si>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</si>
  <si>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</si>
  <si>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</si>
  <si>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</si>
  <si>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</si>
  <si>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</si>
  <si>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</si>
  <si>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</si>
  <si>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</si>
  <si>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</si>
  <si>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</si>
  <si>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</si>
  <si>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</si>
  <si>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</si>
  <si>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</si>
  <si>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</si>
  <si>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</si>
  <si>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</si>
  <si>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</si>
  <si>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</si>
  <si>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</si>
  <si>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</si>
  <si>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</si>
  <si>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</si>
  <si>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</si>
  <si>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</si>
  <si>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</si>
  <si>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</si>
  <si>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</si>
  <si>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</si>
  <si>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</si>
  <si>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</si>
  <si>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</si>
  <si>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</si>
  <si>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</si>
  <si>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</si>
  <si>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</si>
  <si>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</si>
  <si>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</si>
  <si>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</si>
  <si>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</si>
  <si>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</si>
  <si>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</si>
  <si>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</si>
  <si>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</si>
  <si>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</si>
  <si>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</si>
  <si>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</si>
  <si>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</si>
  <si>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</si>
  <si>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</si>
  <si>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</si>
  <si>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</si>
  <si>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</si>
  <si>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</si>
  <si>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</si>
  <si>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</si>
  <si>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</si>
  <si>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</si>
  <si>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</si>
  <si>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</si>
  <si>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</si>
  <si>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</si>
  <si>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</si>
  <si>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</si>
  <si>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</si>
  <si>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</si>
  <si>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</si>
  <si>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</si>
  <si>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</si>
  <si>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</si>
  <si>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</si>
  <si>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</si>
  <si>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</si>
  <si>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</si>
  <si>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</si>
  <si>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</si>
  <si>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</si>
  <si>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</si>
  <si>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</si>
  <si>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</si>
  <si>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</si>
  <si>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</si>
  <si>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</si>
  <si>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</si>
  <si>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</si>
  <si>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</si>
  <si>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</si>
  <si>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</si>
  <si>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</si>
  <si>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</si>
  <si>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</si>
  <si>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</si>
  <si>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</si>
  <si>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</si>
  <si>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</si>
  <si>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</si>
  <si>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</si>
  <si>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</si>
  <si>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</si>
  <si>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</si>
  <si>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</si>
  <si>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</si>
  <si>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</si>
  <si>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</si>
  <si>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</si>
  <si>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</si>
  <si>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</si>
  <si>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</si>
  <si>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</si>
  <si>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</si>
  <si>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</si>
  <si>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</si>
  <si>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</si>
  <si>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</si>
  <si>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</si>
  <si>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長崎総合科学大学</t>
    <rPh sb="0" eb="8">
      <t>ナガサキソウゴウカガクダイガク</t>
    </rPh>
    <phoneticPr fontId="1"/>
  </si>
  <si>
    <t>情報基礎</t>
    <rPh sb="0" eb="4">
      <t>ジョウホウキソ</t>
    </rPh>
    <phoneticPr fontId="1"/>
  </si>
  <si>
    <t>○</t>
  </si>
  <si>
    <t>データサイエンス入門</t>
    <rPh sb="8" eb="10">
      <t>ニュウモン</t>
    </rPh>
    <phoneticPr fontId="1"/>
  </si>
  <si>
    <t>データサイエンス入門</t>
    <phoneticPr fontId="1"/>
  </si>
  <si>
    <t>統計概論</t>
    <rPh sb="0" eb="4">
      <t>トウケイガイロン</t>
    </rPh>
    <phoneticPr fontId="1"/>
  </si>
  <si>
    <t>4-1統計および数理基礎</t>
  </si>
  <si>
    <t>データ構造とアルゴリズム</t>
    <rPh sb="3" eb="5">
      <t>コウゾウ</t>
    </rPh>
    <phoneticPr fontId="1"/>
  </si>
  <si>
    <t>4‐2アルゴリズム基礎</t>
  </si>
  <si>
    <t>データ構造とアルゴリズム</t>
    <phoneticPr fontId="1"/>
  </si>
  <si>
    <t>4‐3データ構造とプログラミング基礎</t>
  </si>
  <si>
    <t>○ビッグデータ、IoT、Ai、ロボット、データ量の増加、計算機の処理性能の向上、AIの非連続的進化、第4次産業革命、Society5.0、データ駆動型社会、複数技術を組み合わせたAIサービス、人間の知的活動とAIの関係性、データを起点としたものの見方、人間の知的活動を起点としたものの見方「データサイエンス入門」（2回目）</t>
    <rPh sb="158" eb="160">
      <t>カイメ</t>
    </rPh>
    <phoneticPr fontId="1"/>
  </si>
  <si>
    <t>○AI等を活用した新しいビジネスモデル、AI最新技術の活用例「データサイエンス入門」（7回目）</t>
    <phoneticPr fontId="1"/>
  </si>
  <si>
    <t>○調査データ、実験データ、人の行動ログデータ、機械の稼働ログデータ、1次データ、2次データ、データのメタ化、構造化データ、飛行増加データ、データ作成、データのオープン化「データサイエンス入門」（3回目）</t>
    <phoneticPr fontId="1"/>
  </si>
  <si>
    <t>○データ・AI活用領域の広がり、研究開発、調達。製造、物流、販売、マーケティング、サービス、仮説検証、知識発見、原因究明、計画策定、判断支援、活用代替、新規生成「データサイエンス入門」（4回目）</t>
    <phoneticPr fontId="1"/>
  </si>
  <si>
    <t>○データサイエンスのサイクル、流通、製造、金融、サービス、インフラ、公共、ヘルスケア等におけるデータ・AI利活用事例紹介「データサイエンス入門」（6回目）</t>
    <phoneticPr fontId="1"/>
  </si>
  <si>
    <t>○データ解析、データ化しか、非構造化データ処理、特化型AIと汎用AI、今のAIで出来ることとできないこと、AIとビッグデータ、認識技術、ルールベース、自動化技術「データサイエンス入門」（5回目）</t>
    <phoneticPr fontId="1"/>
  </si>
  <si>
    <t>○データの種類、データの分布と代表値、代表地の性質の違い、データのバラツキ、観測データに含まれる誤差の扱い、打ち切りや脱落を含むデータ「データサイエンス入門」（9回目）
○相関と因果、母集団と標本抽出、クロス集計表、分割表、相関係数行列、散布図行列、統計情報の正しい理解「データサイエンス入門」（10回目）</t>
    <phoneticPr fontId="1"/>
  </si>
  <si>
    <t>○ELSI(倫理、法律および社会的影響)、個人情報保護、EU一般データ保護規則、忘れられる権利、オプトアウト、データ倫理、AI社会原則、データバイアス、アルゴリズムバイアス、AIサービスの責任論、データ・AI活用における負の事例紹介「データサイエンス入門」（13回目）
○データ倫理：データの捏造、改ざん、盗用、プライバシー保護「情報基礎」（15回目）</t>
    <rPh sb="146" eb="148">
      <t>ネツゾウ</t>
    </rPh>
    <rPh sb="149" eb="150">
      <t>カイ</t>
    </rPh>
    <rPh sb="153" eb="155">
      <t>トウヨウ</t>
    </rPh>
    <rPh sb="162" eb="164">
      <t>ホゴ</t>
    </rPh>
    <rPh sb="165" eb="169">
      <t>ジョウホウキソ</t>
    </rPh>
    <rPh sb="173" eb="175">
      <t>カイメ</t>
    </rPh>
    <phoneticPr fontId="1"/>
  </si>
  <si>
    <t>○データを守る上での留意事項（情報セキュリティ、匿名加工情報、暗号化、パスワード、悪意ある情報搾取、情報漏洩等によるセキュリティ自己の事例紹介「データサイエンス入門」（14回目）
○情報セキュリティ：機密性、完全性、可用性「情報基礎」（3回目）
○匿名加工情報、暗号化、パスワード、悪意ある情報搾取、情報漏洩等によるセキュリティ自己の事例紹介「情報基礎」（14回目）</t>
    <rPh sb="91" eb="93">
      <t>ジョウホウ</t>
    </rPh>
    <rPh sb="100" eb="103">
      <t>キミツセイ</t>
    </rPh>
    <rPh sb="104" eb="107">
      <t>カンゼンセイ</t>
    </rPh>
    <rPh sb="108" eb="111">
      <t>カヨウセイ</t>
    </rPh>
    <rPh sb="112" eb="116">
      <t>ジョウホウキソ</t>
    </rPh>
    <rPh sb="119" eb="121">
      <t>カイメ</t>
    </rPh>
    <rPh sb="124" eb="126">
      <t>トクメイ</t>
    </rPh>
    <rPh sb="126" eb="130">
      <t>カコウジョウホウ</t>
    </rPh>
    <rPh sb="131" eb="134">
      <t>アンゴウカ</t>
    </rPh>
    <rPh sb="141" eb="143">
      <t>アクイ</t>
    </rPh>
    <rPh sb="145" eb="147">
      <t>ジョウホウ</t>
    </rPh>
    <rPh sb="147" eb="149">
      <t>サクシュ</t>
    </rPh>
    <phoneticPr fontId="1"/>
  </si>
  <si>
    <t>○データの集計、データの並び替え、ランキング、データ解析ツール、表形式のデータ「データサイエンス入門」（12回目）
○データ解析ツール「情報基礎」（10回目）
○データの集計「情報基礎」（11回目）</t>
    <rPh sb="62" eb="64">
      <t>カイセキ</t>
    </rPh>
    <rPh sb="68" eb="72">
      <t>ジョウホウキソ</t>
    </rPh>
    <phoneticPr fontId="1"/>
  </si>
  <si>
    <t>○データの可視化、データの比較、不適切な表現、優れた可視化事例の紹介「データサイエンス入門」（11回目）
○データの可視化「情報基礎」（12回目）</t>
    <rPh sb="62" eb="66">
      <t>ジョウホウキソ</t>
    </rPh>
    <phoneticPr fontId="1"/>
  </si>
  <si>
    <t>教育プログラムを構成する科目群から4単位以上を取得すること。
1)情報基礎（2単位）、データサイエンス入門（2単位）を必修科目とする。
2)データ構造とアルゴリズム（2単位）、統計概論（2単位）は選択科目とする。</t>
    <rPh sb="0" eb="2">
      <t>キョウイク</t>
    </rPh>
    <rPh sb="8" eb="10">
      <t>コウセイ</t>
    </rPh>
    <rPh sb="12" eb="14">
      <t>カモク</t>
    </rPh>
    <rPh sb="14" eb="15">
      <t>グン</t>
    </rPh>
    <rPh sb="18" eb="20">
      <t>タンイ</t>
    </rPh>
    <rPh sb="20" eb="22">
      <t>イジョウ</t>
    </rPh>
    <rPh sb="23" eb="25">
      <t>シュトク</t>
    </rPh>
    <rPh sb="33" eb="37">
      <t>ジョウホウキソ</t>
    </rPh>
    <rPh sb="39" eb="41">
      <t>タンイ</t>
    </rPh>
    <rPh sb="51" eb="53">
      <t>ニュウモン</t>
    </rPh>
    <rPh sb="55" eb="57">
      <t>タンイ</t>
    </rPh>
    <rPh sb="59" eb="63">
      <t>ヒッシュウカモク</t>
    </rPh>
    <rPh sb="73" eb="75">
      <t>コウゾウ</t>
    </rPh>
    <rPh sb="84" eb="86">
      <t>タンイ</t>
    </rPh>
    <rPh sb="88" eb="92">
      <t>トウケイガイロン</t>
    </rPh>
    <rPh sb="94" eb="96">
      <t>タンイ</t>
    </rPh>
    <rPh sb="98" eb="100">
      <t>センタク</t>
    </rPh>
    <rPh sb="100" eb="102">
      <t>カモク</t>
    </rPh>
    <phoneticPr fontId="1"/>
  </si>
  <si>
    <t>学部・学科によって、修了要件は相違しない</t>
  </si>
  <si>
    <t>教務専門委員会</t>
    <rPh sb="0" eb="7">
      <t>キョウムセンモンイインカイ</t>
    </rPh>
    <phoneticPr fontId="1"/>
  </si>
  <si>
    <t>蒲原新一</t>
    <rPh sb="0" eb="4">
      <t>カモハラシンイチ</t>
    </rPh>
    <phoneticPr fontId="1"/>
  </si>
  <si>
    <t>教務部長</t>
    <rPh sb="0" eb="4">
      <t>キョウムブチョウ</t>
    </rPh>
    <phoneticPr fontId="1"/>
  </si>
  <si>
    <t>教務専門委員会規程</t>
    <rPh sb="0" eb="7">
      <t>キョウムセンモンイインカイ</t>
    </rPh>
    <rPh sb="7" eb="9">
      <t>キテイ</t>
    </rPh>
    <phoneticPr fontId="1"/>
  </si>
  <si>
    <t>○デジタル社会におけるデータやAIの利活用についての興味・関心を持ち基礎的能力を主体的に身に付ける。
○データの読み方・見せ方・扱い方についての理解を深め、それらを実行できる基礎的技能を獲得する。
○社会的状況や課題を知り、データやAIを利活用する上での心構えや留意すべき事柄に対しての洞察力を身に付ける。</t>
    <rPh sb="5" eb="7">
      <t>シャカイ</t>
    </rPh>
    <rPh sb="26" eb="28">
      <t>キョウミ</t>
    </rPh>
    <rPh sb="29" eb="31">
      <t>カンシン</t>
    </rPh>
    <rPh sb="32" eb="33">
      <t>モ</t>
    </rPh>
    <rPh sb="34" eb="37">
      <t>キソテキ</t>
    </rPh>
    <rPh sb="37" eb="39">
      <t>ノウリョク</t>
    </rPh>
    <rPh sb="40" eb="43">
      <t>シュタイテキ</t>
    </rPh>
    <rPh sb="44" eb="45">
      <t>ミ</t>
    </rPh>
    <rPh sb="46" eb="47">
      <t>ツ</t>
    </rPh>
    <rPh sb="82" eb="84">
      <t>ジッコウ</t>
    </rPh>
    <rPh sb="87" eb="90">
      <t>キソテキ</t>
    </rPh>
    <rPh sb="90" eb="92">
      <t>ギノウ</t>
    </rPh>
    <rPh sb="93" eb="95">
      <t>カクトク</t>
    </rPh>
    <rPh sb="109" eb="110">
      <t>シ</t>
    </rPh>
    <rPh sb="139" eb="140">
      <t>タイ</t>
    </rPh>
    <rPh sb="143" eb="146">
      <t>ドウサツリョク</t>
    </rPh>
    <rPh sb="147" eb="148">
      <t>ミ</t>
    </rPh>
    <rPh sb="149" eb="150">
      <t>ツ</t>
    </rPh>
    <phoneticPr fontId="1"/>
  </si>
  <si>
    <t>　平成26年度より工学部及び総合情報学部の2学部2学科8コースによる教育を行ってきているが、令和2年度よりコース横断型のカリキュラムを配置した。その中の1つに「ＡＩシステム教育プログラム」を総合情報学部総合情報学科知能情報コースに用意し、数理・データサイエンス・ＡＩ分野へ向けた学修環境を拡げてきた。
　令和4年度には、数理・データサイエンス教育強化拠点コンソーシアムにおいて検討・策定されたモデルカリキュラムと教育方法に準拠した「データサイエンス入門」を総合情報学部の専門科目として設置したが、総合情報学部では1年次専門科目の2単位必修科目として、工学部では卒業要件に認められる選択可能な科目とした。
　令和6年度入学生からは、工学部においても「データサイエンス入門」を必修科目とし、従来より両学部において1年次の2単位の必修科目であった「情報基礎」と合わせて、「NiAS MDASH-Literay 教育プログラム」を入学者全員が1年次に履修必須となることで、全学の学生がリテラシーレベルの知識と技能を修得できるよう計画を予定している。</t>
    <rPh sb="1" eb="3">
      <t>ヘイセイ</t>
    </rPh>
    <rPh sb="5" eb="7">
      <t>ネンド</t>
    </rPh>
    <rPh sb="9" eb="12">
      <t>コウガクブ</t>
    </rPh>
    <rPh sb="12" eb="13">
      <t>オヨ</t>
    </rPh>
    <rPh sb="14" eb="18">
      <t>ソウゴウジョウホウ</t>
    </rPh>
    <rPh sb="18" eb="20">
      <t>ガクブ</t>
    </rPh>
    <rPh sb="22" eb="24">
      <t>ガクブ</t>
    </rPh>
    <rPh sb="25" eb="27">
      <t>ガッカ</t>
    </rPh>
    <rPh sb="34" eb="36">
      <t>キョウイク</t>
    </rPh>
    <rPh sb="37" eb="38">
      <t>オコナ</t>
    </rPh>
    <rPh sb="46" eb="48">
      <t>レイワ</t>
    </rPh>
    <rPh sb="49" eb="51">
      <t>ネンド</t>
    </rPh>
    <rPh sb="56" eb="59">
      <t>オウダンガタ</t>
    </rPh>
    <rPh sb="67" eb="69">
      <t>ハイチ</t>
    </rPh>
    <rPh sb="74" eb="75">
      <t>ナカ</t>
    </rPh>
    <rPh sb="86" eb="88">
      <t>キョウイク</t>
    </rPh>
    <rPh sb="95" eb="99">
      <t>ソウゴウジョウホウ</t>
    </rPh>
    <rPh sb="99" eb="101">
      <t>ガクブ</t>
    </rPh>
    <rPh sb="101" eb="105">
      <t>ソウゴウジョウホウ</t>
    </rPh>
    <rPh sb="105" eb="107">
      <t>ガッカ</t>
    </rPh>
    <rPh sb="107" eb="111">
      <t>チノウジョウホウ</t>
    </rPh>
    <rPh sb="115" eb="117">
      <t>ヨウイ</t>
    </rPh>
    <rPh sb="119" eb="121">
      <t>スウリ</t>
    </rPh>
    <rPh sb="133" eb="135">
      <t>ブンヤ</t>
    </rPh>
    <rPh sb="136" eb="137">
      <t>ム</t>
    </rPh>
    <rPh sb="139" eb="141">
      <t>ガクシュウ</t>
    </rPh>
    <rPh sb="141" eb="143">
      <t>カンキョウ</t>
    </rPh>
    <rPh sb="144" eb="145">
      <t>ヒロ</t>
    </rPh>
    <rPh sb="152" eb="154">
      <t>レイワ</t>
    </rPh>
    <rPh sb="155" eb="156">
      <t>ネン</t>
    </rPh>
    <rPh sb="156" eb="157">
      <t>ド</t>
    </rPh>
    <rPh sb="160" eb="162">
      <t>スウリ</t>
    </rPh>
    <rPh sb="171" eb="177">
      <t>キョウイクキョウカキョテン</t>
    </rPh>
    <rPh sb="188" eb="190">
      <t>ケントウ</t>
    </rPh>
    <rPh sb="191" eb="193">
      <t>サクテイ</t>
    </rPh>
    <rPh sb="206" eb="210">
      <t>キョウイクホウホウ</t>
    </rPh>
    <rPh sb="211" eb="213">
      <t>ジュンキョ</t>
    </rPh>
    <rPh sb="224" eb="226">
      <t>ニュウモン</t>
    </rPh>
    <rPh sb="228" eb="232">
      <t>ソウゴウジョウホウ</t>
    </rPh>
    <rPh sb="232" eb="234">
      <t>ガクブ</t>
    </rPh>
    <rPh sb="235" eb="239">
      <t>センモンカモク</t>
    </rPh>
    <rPh sb="242" eb="244">
      <t>セッチ</t>
    </rPh>
    <rPh sb="248" eb="250">
      <t>ソウゴウ</t>
    </rPh>
    <rPh sb="250" eb="254">
      <t>ジョウホウガクブ</t>
    </rPh>
    <rPh sb="257" eb="259">
      <t>ネンジ</t>
    </rPh>
    <rPh sb="259" eb="263">
      <t>センモンカモク</t>
    </rPh>
    <rPh sb="265" eb="267">
      <t>タンイ</t>
    </rPh>
    <rPh sb="267" eb="271">
      <t>ヒッシュウカモク</t>
    </rPh>
    <rPh sb="275" eb="278">
      <t>コウガクブ</t>
    </rPh>
    <rPh sb="280" eb="282">
      <t>ソツギョウ</t>
    </rPh>
    <rPh sb="282" eb="284">
      <t>ヨウケン</t>
    </rPh>
    <rPh sb="285" eb="286">
      <t>ミト</t>
    </rPh>
    <rPh sb="290" eb="292">
      <t>センタク</t>
    </rPh>
    <rPh sb="292" eb="294">
      <t>カノウ</t>
    </rPh>
    <rPh sb="295" eb="297">
      <t>カモク</t>
    </rPh>
    <rPh sb="303" eb="305">
      <t>レイワ</t>
    </rPh>
    <rPh sb="306" eb="308">
      <t>ネンド</t>
    </rPh>
    <rPh sb="308" eb="311">
      <t>ニュウガクセイ</t>
    </rPh>
    <rPh sb="315" eb="318">
      <t>コウガクブ</t>
    </rPh>
    <rPh sb="332" eb="334">
      <t>ニュウモン</t>
    </rPh>
    <rPh sb="336" eb="340">
      <t>ヒッシュウカモク</t>
    </rPh>
    <rPh sb="343" eb="345">
      <t>ジュウライ</t>
    </rPh>
    <rPh sb="347" eb="350">
      <t>リョウガクブ</t>
    </rPh>
    <rPh sb="355" eb="357">
      <t>ネンジ</t>
    </rPh>
    <rPh sb="359" eb="361">
      <t>タンイ</t>
    </rPh>
    <rPh sb="362" eb="366">
      <t>ヒッシュウカモク</t>
    </rPh>
    <rPh sb="371" eb="373">
      <t>ジョウホウ</t>
    </rPh>
    <rPh sb="373" eb="375">
      <t>キソ</t>
    </rPh>
    <rPh sb="377" eb="378">
      <t>ア</t>
    </rPh>
    <rPh sb="411" eb="414">
      <t>ニュウガクシャ</t>
    </rPh>
    <rPh sb="414" eb="416">
      <t>ゼンイン</t>
    </rPh>
    <rPh sb="418" eb="420">
      <t>ネンジ</t>
    </rPh>
    <rPh sb="421" eb="423">
      <t>リシュウ</t>
    </rPh>
    <rPh sb="423" eb="425">
      <t>ヒッス</t>
    </rPh>
    <rPh sb="432" eb="434">
      <t>ゼンガク</t>
    </rPh>
    <rPh sb="435" eb="437">
      <t>ガクセイ</t>
    </rPh>
    <rPh sb="447" eb="449">
      <t>チシキ</t>
    </rPh>
    <rPh sb="450" eb="452">
      <t>ギノウ</t>
    </rPh>
    <rPh sb="453" eb="455">
      <t>シュウトク</t>
    </rPh>
    <rPh sb="460" eb="462">
      <t>ケイカク</t>
    </rPh>
    <rPh sb="463" eb="465">
      <t>ヨテイ</t>
    </rPh>
    <phoneticPr fontId="1"/>
  </si>
  <si>
    <t>　リテラシーレベルのモデルカリキュラムにおける「導入」「基礎」「心得」のコア学修項目に対応した「データサイエンス入門」を用意し、履修必須となる科目を増やさないようにすることで、学生の所属する学部学科・コースの主カリキュラムの学修を妨げないようにした。
　希望する両学部の学生が受講できるよう時間割についても教務専門委員会で調整を行っている。</t>
    <rPh sb="24" eb="26">
      <t>ドウニュウ</t>
    </rPh>
    <rPh sb="28" eb="30">
      <t>キソ</t>
    </rPh>
    <rPh sb="32" eb="34">
      <t>ココロエ</t>
    </rPh>
    <rPh sb="38" eb="40">
      <t>ガクシュウ</t>
    </rPh>
    <rPh sb="40" eb="42">
      <t>コウモク</t>
    </rPh>
    <rPh sb="43" eb="45">
      <t>タイオウ</t>
    </rPh>
    <rPh sb="60" eb="62">
      <t>ヨウイ</t>
    </rPh>
    <rPh sb="64" eb="66">
      <t>リシュウ</t>
    </rPh>
    <rPh sb="66" eb="68">
      <t>ヒッス</t>
    </rPh>
    <rPh sb="71" eb="73">
      <t>カモク</t>
    </rPh>
    <rPh sb="74" eb="75">
      <t>フ</t>
    </rPh>
    <rPh sb="127" eb="129">
      <t>キボウ</t>
    </rPh>
    <rPh sb="131" eb="134">
      <t>リョウガクブ</t>
    </rPh>
    <rPh sb="135" eb="137">
      <t>ガクセイ</t>
    </rPh>
    <rPh sb="138" eb="140">
      <t>ジュコウ</t>
    </rPh>
    <rPh sb="145" eb="148">
      <t>ジカンワリ</t>
    </rPh>
    <rPh sb="153" eb="157">
      <t>キョウムセンモン</t>
    </rPh>
    <rPh sb="157" eb="160">
      <t>イインカイ</t>
    </rPh>
    <rPh sb="161" eb="163">
      <t>チョウセイ</t>
    </rPh>
    <rPh sb="164" eb="165">
      <t>オコナ</t>
    </rPh>
    <phoneticPr fontId="1"/>
  </si>
  <si>
    <t>(1)蒲原新一、教務部長・教務委委員長・教授・総合情報学部総合情報学科生命環境工学コース
(2)古野弘志、准教授・工学部工学科船舶工学コース
(3)岡田公一、准教授・工学部工学科機械工学コース
(4)山田由香里、教授・工学部工学科建築学コース
(5)清山浩司、准教授・工学部工学科電気電子工学コース
(6)池浩司、助教・工学部工学科医療電子工学コース
(7)佐藤雅紀、准教授・総合情報学部総合情報学科知能情報コース
(8)王 琦、講師・総合情報学部総合情報学科マネジメント工学コース
(9)市瀬実里、助教・総合情報学部総合情報学科生命環境工学コース
(10)澁佐雄一郎、教授・共通教育部門理数
(11)古川直子、講師・共通教育部門形成
(12)濵﨑大、講師・共通教育部門言語
(13)三田淳司、講師・共通教育部門情報教育
(14)上薗恒太郎、教授・教職課程代表
(15)田中賢一、教授・情報科学センター運営委員会委員・共通教育部門情報教育
(16)佐々野浩一、教務課長　　　　　　　　　　　　　　　　　　　　　（※役職は令和4年5月1日時点）</t>
    <rPh sb="3" eb="7">
      <t>カモハラシンイチ</t>
    </rPh>
    <rPh sb="20" eb="22">
      <t>キョウジュ</t>
    </rPh>
    <rPh sb="48" eb="50">
      <t>フルノ</t>
    </rPh>
    <rPh sb="57" eb="60">
      <t>コウガクブ</t>
    </rPh>
    <rPh sb="60" eb="63">
      <t>コウガッカ</t>
    </rPh>
    <rPh sb="63" eb="67">
      <t>センパクコウガク</t>
    </rPh>
    <rPh sb="74" eb="76">
      <t>オカダ</t>
    </rPh>
    <rPh sb="76" eb="78">
      <t>コウイチ</t>
    </rPh>
    <rPh sb="79" eb="82">
      <t>ジュンキョウジュ</t>
    </rPh>
    <rPh sb="83" eb="86">
      <t>コウガクブ</t>
    </rPh>
    <rPh sb="86" eb="89">
      <t>コウガッカ</t>
    </rPh>
    <rPh sb="89" eb="93">
      <t>キカイコウガク</t>
    </rPh>
    <rPh sb="100" eb="102">
      <t>ヤマダ</t>
    </rPh>
    <rPh sb="102" eb="105">
      <t>ユカリ</t>
    </rPh>
    <rPh sb="106" eb="108">
      <t>キョウジュ</t>
    </rPh>
    <rPh sb="109" eb="112">
      <t>コウガクブ</t>
    </rPh>
    <rPh sb="112" eb="115">
      <t>コウガッカ</t>
    </rPh>
    <rPh sb="115" eb="118">
      <t>ケンチクガク</t>
    </rPh>
    <rPh sb="125" eb="127">
      <t>キヨヤマ</t>
    </rPh>
    <rPh sb="127" eb="129">
      <t>コウジ</t>
    </rPh>
    <rPh sb="130" eb="133">
      <t>ジュンキョウジュ</t>
    </rPh>
    <rPh sb="134" eb="137">
      <t>コウガクブ</t>
    </rPh>
    <rPh sb="137" eb="140">
      <t>コウガクカ</t>
    </rPh>
    <rPh sb="140" eb="146">
      <t>デンキデンシコウガク</t>
    </rPh>
    <rPh sb="153" eb="154">
      <t>イケ</t>
    </rPh>
    <rPh sb="154" eb="156">
      <t>コウジ</t>
    </rPh>
    <rPh sb="157" eb="159">
      <t>ジョキョウ</t>
    </rPh>
    <rPh sb="160" eb="166">
      <t>コウガクブコウガクカ</t>
    </rPh>
    <rPh sb="166" eb="170">
      <t>イリョウデンシ</t>
    </rPh>
    <rPh sb="170" eb="172">
      <t>コウガク</t>
    </rPh>
    <rPh sb="179" eb="181">
      <t>サトウ</t>
    </rPh>
    <rPh sb="184" eb="187">
      <t>ジュンキョウジュ</t>
    </rPh>
    <rPh sb="188" eb="194">
      <t>ソウゴウジョウホウガクブ</t>
    </rPh>
    <rPh sb="194" eb="198">
      <t>ソウゴウジョウホウ</t>
    </rPh>
    <rPh sb="198" eb="200">
      <t>ガッカ</t>
    </rPh>
    <rPh sb="200" eb="204">
      <t>チノウジョウホウ</t>
    </rPh>
    <rPh sb="211" eb="212">
      <t>オウ</t>
    </rPh>
    <rPh sb="215" eb="217">
      <t>コウシ</t>
    </rPh>
    <rPh sb="236" eb="238">
      <t>コウガク</t>
    </rPh>
    <rPh sb="245" eb="247">
      <t>イチセ</t>
    </rPh>
    <rPh sb="250" eb="252">
      <t>ジョキョウ</t>
    </rPh>
    <rPh sb="265" eb="271">
      <t>セイメイカンキョウコウガク</t>
    </rPh>
    <rPh sb="285" eb="287">
      <t>キョウジュ</t>
    </rPh>
    <rPh sb="288" eb="294">
      <t>キョウツウキョウイクブモン</t>
    </rPh>
    <rPh sb="294" eb="296">
      <t>リスウ</t>
    </rPh>
    <rPh sb="301" eb="303">
      <t>フルカワ</t>
    </rPh>
    <rPh sb="303" eb="305">
      <t>ナオコ</t>
    </rPh>
    <rPh sb="306" eb="308">
      <t>コウシ</t>
    </rPh>
    <rPh sb="315" eb="317">
      <t>ケイセイ</t>
    </rPh>
    <rPh sb="365" eb="367">
      <t>カミゾノ</t>
    </rPh>
    <rPh sb="367" eb="370">
      <t>コウタロウ</t>
    </rPh>
    <rPh sb="371" eb="373">
      <t>キョウジュ</t>
    </rPh>
    <rPh sb="378" eb="380">
      <t>ダイヒョウ</t>
    </rPh>
    <rPh sb="385" eb="387">
      <t>タナカ</t>
    </rPh>
    <rPh sb="387" eb="389">
      <t>ケンイチ</t>
    </rPh>
    <rPh sb="390" eb="392">
      <t>キョウジュ</t>
    </rPh>
    <rPh sb="406" eb="408">
      <t>イイン</t>
    </rPh>
    <rPh sb="424" eb="427">
      <t>ササノ</t>
    </rPh>
    <rPh sb="427" eb="429">
      <t>コウイチ</t>
    </rPh>
    <rPh sb="457" eb="459">
      <t>ヤクショク</t>
    </rPh>
    <rPh sb="460" eb="462">
      <t>レイワ</t>
    </rPh>
    <rPh sb="463" eb="464">
      <t>ネン</t>
    </rPh>
    <rPh sb="465" eb="466">
      <t>ガツ</t>
    </rPh>
    <rPh sb="467" eb="468">
      <t>ニチ</t>
    </rPh>
    <rPh sb="468" eb="470">
      <t>ジテン</t>
    </rPh>
    <phoneticPr fontId="1"/>
  </si>
  <si>
    <t>NiAS MDASH-Literacy 教育プログラム</t>
    <rPh sb="20" eb="22">
      <t>キョウイク</t>
    </rPh>
    <phoneticPr fontId="1"/>
  </si>
  <si>
    <t>　教務専門委員会（以下、委員会という。）は、本学の教務に関する事項を協議するため、全学教授会規程第9条第2項の規定に基づき設置されている。委員会ではカリキュラムやそれらを構成する授業科目の種類、単位及び単位認定、そしてシラバスや時間割に関することなど教務全般に渡る事項を協議し、点検、評価、改善を目的としている。
　「NiAS MDASH-Literacy 教育プログラム」を継続的に改善・進化させていくためには全学的な調整及び点検、評価、改善が必要であるため、委員会がその役割を担っていく。</t>
    <rPh sb="1" eb="8">
      <t>キョウムセンモンイインカイ</t>
    </rPh>
    <rPh sb="9" eb="11">
      <t>イカ</t>
    </rPh>
    <rPh sb="12" eb="15">
      <t>イインカイ</t>
    </rPh>
    <rPh sb="58" eb="59">
      <t>モト</t>
    </rPh>
    <rPh sb="61" eb="63">
      <t>セッチ</t>
    </rPh>
    <rPh sb="69" eb="72">
      <t>イインカイ</t>
    </rPh>
    <rPh sb="85" eb="87">
      <t>コウセイ</t>
    </rPh>
    <rPh sb="114" eb="117">
      <t>ジカンワリ</t>
    </rPh>
    <rPh sb="118" eb="119">
      <t>カン</t>
    </rPh>
    <rPh sb="125" eb="127">
      <t>キョウム</t>
    </rPh>
    <rPh sb="127" eb="129">
      <t>ゼンパン</t>
    </rPh>
    <rPh sb="130" eb="131">
      <t>ワタ</t>
    </rPh>
    <rPh sb="132" eb="134">
      <t>ジコウ</t>
    </rPh>
    <rPh sb="135" eb="137">
      <t>キョウギ</t>
    </rPh>
    <rPh sb="139" eb="141">
      <t>テンケン</t>
    </rPh>
    <rPh sb="142" eb="144">
      <t>ヒョウカ</t>
    </rPh>
    <rPh sb="145" eb="147">
      <t>カイゼン</t>
    </rPh>
    <rPh sb="148" eb="150">
      <t>モクテキ</t>
    </rPh>
    <rPh sb="188" eb="191">
      <t>ケイゾクテキ</t>
    </rPh>
    <rPh sb="192" eb="194">
      <t>カイゼン</t>
    </rPh>
    <rPh sb="195" eb="197">
      <t>シンカ</t>
    </rPh>
    <rPh sb="206" eb="209">
      <t>ゼンガクテキ</t>
    </rPh>
    <rPh sb="210" eb="212">
      <t>チョウセイ</t>
    </rPh>
    <rPh sb="212" eb="213">
      <t>オヨ</t>
    </rPh>
    <rPh sb="214" eb="216">
      <t>テンケン</t>
    </rPh>
    <rPh sb="217" eb="219">
      <t>ヒョウカ</t>
    </rPh>
    <rPh sb="220" eb="222">
      <t>カイゼン</t>
    </rPh>
    <rPh sb="223" eb="225">
      <t>ヒツヨウ</t>
    </rPh>
    <rPh sb="231" eb="234">
      <t>イインカイ</t>
    </rPh>
    <rPh sb="237" eb="239">
      <t>ヤクワリ</t>
    </rPh>
    <rPh sb="240" eb="241">
      <t>ニナ</t>
    </rPh>
    <phoneticPr fontId="1"/>
  </si>
  <si>
    <t>令和４</t>
    <rPh sb="0" eb="2">
      <t>レイワ</t>
    </rPh>
    <phoneticPr fontId="1"/>
  </si>
  <si>
    <t>　受講者に対して実施している「授業評価アンケート」に、板書や情報機器の利用、配付資料や教科書の利用など、授業方法が分かりやすく構成されているか質問項目を設けている。また、授業中に行われる小テストで単元ごとの理解度を確認し、オフィスアワーや電子メールなどで個別に質問を受け付ける体制を常に維持している。</t>
    <rPh sb="1" eb="4">
      <t>ジュコウシャ</t>
    </rPh>
    <rPh sb="5" eb="6">
      <t>タイ</t>
    </rPh>
    <rPh sb="8" eb="10">
      <t>ジッシ</t>
    </rPh>
    <rPh sb="15" eb="17">
      <t>ジュギョウ</t>
    </rPh>
    <rPh sb="17" eb="19">
      <t>ヒョウカ</t>
    </rPh>
    <rPh sb="27" eb="29">
      <t>バンショ</t>
    </rPh>
    <rPh sb="30" eb="32">
      <t>ジョウホウ</t>
    </rPh>
    <rPh sb="32" eb="34">
      <t>キキ</t>
    </rPh>
    <rPh sb="35" eb="37">
      <t>リヨウ</t>
    </rPh>
    <rPh sb="38" eb="40">
      <t>ハイフ</t>
    </rPh>
    <rPh sb="40" eb="42">
      <t>シリョウ</t>
    </rPh>
    <rPh sb="43" eb="46">
      <t>キョウカショ</t>
    </rPh>
    <rPh sb="47" eb="49">
      <t>リヨウ</t>
    </rPh>
    <rPh sb="52" eb="54">
      <t>ジュギョウ</t>
    </rPh>
    <rPh sb="54" eb="56">
      <t>ホウホウ</t>
    </rPh>
    <rPh sb="57" eb="58">
      <t>ワ</t>
    </rPh>
    <rPh sb="63" eb="65">
      <t>コウセイ</t>
    </rPh>
    <rPh sb="71" eb="73">
      <t>シツモン</t>
    </rPh>
    <rPh sb="73" eb="75">
      <t>コウモク</t>
    </rPh>
    <rPh sb="76" eb="77">
      <t>モウ</t>
    </rPh>
    <rPh sb="85" eb="88">
      <t>ジュギョウチュウ</t>
    </rPh>
    <rPh sb="89" eb="90">
      <t>オコナ</t>
    </rPh>
    <rPh sb="93" eb="94">
      <t>ショウ</t>
    </rPh>
    <rPh sb="98" eb="100">
      <t>タンゲン</t>
    </rPh>
    <rPh sb="103" eb="105">
      <t>リカイ</t>
    </rPh>
    <rPh sb="105" eb="106">
      <t>ド</t>
    </rPh>
    <rPh sb="107" eb="109">
      <t>カクニン</t>
    </rPh>
    <rPh sb="119" eb="121">
      <t>デンシ</t>
    </rPh>
    <rPh sb="127" eb="129">
      <t>コベツ</t>
    </rPh>
    <rPh sb="130" eb="132">
      <t>シツモン</t>
    </rPh>
    <rPh sb="133" eb="134">
      <t>ウ</t>
    </rPh>
    <rPh sb="135" eb="136">
      <t>ツ</t>
    </rPh>
    <rPh sb="138" eb="140">
      <t>タイセイ</t>
    </rPh>
    <rPh sb="141" eb="142">
      <t>ツネ</t>
    </rPh>
    <rPh sb="143" eb="145">
      <t>イジ</t>
    </rPh>
    <phoneticPr fontId="1"/>
  </si>
  <si>
    <t>教務専門委員会</t>
    <rPh sb="0" eb="7">
      <t>キョウムセンモンイインカイ</t>
    </rPh>
    <phoneticPr fontId="1"/>
  </si>
  <si>
    <t>蒲原新一</t>
    <rPh sb="0" eb="2">
      <t>カモハラ</t>
    </rPh>
    <rPh sb="2" eb="4">
      <t>シンイチ</t>
    </rPh>
    <phoneticPr fontId="1"/>
  </si>
  <si>
    <t>教務部長</t>
    <rPh sb="0" eb="2">
      <t>キョウム</t>
    </rPh>
    <rPh sb="2" eb="4">
      <t>ブチョウ</t>
    </rPh>
    <phoneticPr fontId="1"/>
  </si>
  <si>
    <t>　受講者に対して実施している「授業評価アンケート」の結果を大学Ｗｅｂサイト上に公開することにより、学生は本教育プログラムの対象科目について、既履修者の意見を閲覧できるようになっている。</t>
    <rPh sb="1" eb="4">
      <t>ジュコウシャ</t>
    </rPh>
    <rPh sb="5" eb="6">
      <t>タイ</t>
    </rPh>
    <rPh sb="8" eb="10">
      <t>ジッシ</t>
    </rPh>
    <rPh sb="15" eb="17">
      <t>ジュギョウ</t>
    </rPh>
    <rPh sb="17" eb="19">
      <t>ヒョウカ</t>
    </rPh>
    <rPh sb="26" eb="28">
      <t>ケッカ</t>
    </rPh>
    <rPh sb="29" eb="31">
      <t>ダイガク</t>
    </rPh>
    <rPh sb="37" eb="38">
      <t>ジョウ</t>
    </rPh>
    <rPh sb="39" eb="41">
      <t>コウカイ</t>
    </rPh>
    <rPh sb="49" eb="51">
      <t>ガクセイ</t>
    </rPh>
    <rPh sb="52" eb="53">
      <t>ホン</t>
    </rPh>
    <rPh sb="53" eb="55">
      <t>キョウイク</t>
    </rPh>
    <rPh sb="61" eb="63">
      <t>タイショウ</t>
    </rPh>
    <rPh sb="63" eb="65">
      <t>カモク</t>
    </rPh>
    <rPh sb="70" eb="71">
      <t>キ</t>
    </rPh>
    <rPh sb="71" eb="73">
      <t>リシュウ</t>
    </rPh>
    <rPh sb="73" eb="74">
      <t>シャ</t>
    </rPh>
    <rPh sb="75" eb="77">
      <t>イケン</t>
    </rPh>
    <rPh sb="78" eb="80">
      <t>エツラン</t>
    </rPh>
    <phoneticPr fontId="1"/>
  </si>
  <si>
    <t>　学生の就職を支援する就職専門委員会が卒業生へアンケートを実施し、就職した企業等が大学生に求める資質・能力や、本学へどのような教育・人材育成を期待するかについて毎年、意見･要望を調査している。2022年度入学生から本プログラムを開始しているため、卒業後にプログラムの修了者の意見や企業からの評価は得られることになっている。</t>
    <rPh sb="1" eb="3">
      <t>ガクセイ</t>
    </rPh>
    <rPh sb="4" eb="6">
      <t>シュウショク</t>
    </rPh>
    <rPh sb="7" eb="9">
      <t>シエン</t>
    </rPh>
    <rPh sb="11" eb="13">
      <t>シュウショク</t>
    </rPh>
    <rPh sb="13" eb="15">
      <t>センモン</t>
    </rPh>
    <rPh sb="15" eb="18">
      <t>イインカイ</t>
    </rPh>
    <rPh sb="29" eb="31">
      <t>ジッシ</t>
    </rPh>
    <rPh sb="33" eb="35">
      <t>シュウショク</t>
    </rPh>
    <rPh sb="80" eb="82">
      <t>マイトシ</t>
    </rPh>
    <rPh sb="100" eb="102">
      <t>ネンド</t>
    </rPh>
    <rPh sb="102" eb="104">
      <t>ニュウガク</t>
    </rPh>
    <rPh sb="104" eb="105">
      <t>セイ</t>
    </rPh>
    <rPh sb="107" eb="108">
      <t>ホン</t>
    </rPh>
    <rPh sb="114" eb="116">
      <t>カイシ</t>
    </rPh>
    <rPh sb="123" eb="125">
      <t>ソツギョウ</t>
    </rPh>
    <rPh sb="125" eb="126">
      <t>ゴ</t>
    </rPh>
    <rPh sb="133" eb="135">
      <t>シュウリョウ</t>
    </rPh>
    <rPh sb="135" eb="136">
      <t>シャ</t>
    </rPh>
    <rPh sb="137" eb="139">
      <t>イケン</t>
    </rPh>
    <rPh sb="140" eb="142">
      <t>キギョウ</t>
    </rPh>
    <rPh sb="145" eb="147">
      <t>ヒョウカ</t>
    </rPh>
    <rPh sb="148" eb="149">
      <t>エ</t>
    </rPh>
    <phoneticPr fontId="1"/>
  </si>
  <si>
    <t>　数理・データサイエンス・AI教育強化拠点コンソーシアム九州・沖縄ブロックに連携校として参加しており、コンソーシアムで企画されているイベントや研修会で民間企業や団体の意見を参考に点検・評価を行い、卒業生の就職企業へ大学に対するニーズを調査している。</t>
    <rPh sb="44" eb="46">
      <t>サンカ</t>
    </rPh>
    <rPh sb="59" eb="61">
      <t>キカク</t>
    </rPh>
    <rPh sb="83" eb="85">
      <t>イケン</t>
    </rPh>
    <rPh sb="95" eb="96">
      <t>オコナ</t>
    </rPh>
    <rPh sb="98" eb="100">
      <t>ソツギョウ</t>
    </rPh>
    <rPh sb="100" eb="101">
      <t>セイ</t>
    </rPh>
    <rPh sb="102" eb="104">
      <t>シュウショク</t>
    </rPh>
    <rPh sb="104" eb="106">
      <t>キギョウ</t>
    </rPh>
    <rPh sb="107" eb="109">
      <t>ダイガク</t>
    </rPh>
    <rPh sb="110" eb="111">
      <t>タイ</t>
    </rPh>
    <rPh sb="117" eb="119">
      <t>チョウサ</t>
    </rPh>
    <phoneticPr fontId="1"/>
  </si>
  <si>
    <t>　１年生は入学時に必携化しているＰＣの利用方法について、情報科学センターが主催するオリエンテーションで説明し円滑に利用を開始できるようにしている。
　1年前期から数学基礎（微分積分、線形代数）の履修と並行してＤＳ・ＡＩ科目の履修を開始することになるため、高等学校で文系を選択していた学生には負担があるが、授業時に行われる小テストで理解度を図りながら指導している。
　学生による「授業評価アンケート」や卒業生アンケート、さらに卒業生が勤務する企業からの意見を参考に、講義内容や授業手法を教務専門委員会で検証し、全教員が参加するＦＤを通じて協議・改善を行っている。</t>
    <rPh sb="2" eb="4">
      <t>ネンセイ</t>
    </rPh>
    <rPh sb="21" eb="23">
      <t>ホウホウ</t>
    </rPh>
    <rPh sb="28" eb="30">
      <t>ジョウホウ</t>
    </rPh>
    <rPh sb="30" eb="32">
      <t>カガク</t>
    </rPh>
    <rPh sb="37" eb="39">
      <t>シュサイ</t>
    </rPh>
    <rPh sb="51" eb="53">
      <t>セツメイ</t>
    </rPh>
    <rPh sb="54" eb="56">
      <t>エンカツ</t>
    </rPh>
    <rPh sb="60" eb="62">
      <t>カイシ</t>
    </rPh>
    <rPh sb="76" eb="77">
      <t>ネン</t>
    </rPh>
    <rPh sb="77" eb="79">
      <t>ゼンキ</t>
    </rPh>
    <rPh sb="81" eb="83">
      <t>スウガク</t>
    </rPh>
    <rPh sb="83" eb="85">
      <t>キソ</t>
    </rPh>
    <rPh sb="86" eb="88">
      <t>ビブン</t>
    </rPh>
    <rPh sb="88" eb="90">
      <t>セキブン</t>
    </rPh>
    <rPh sb="91" eb="93">
      <t>センケイ</t>
    </rPh>
    <rPh sb="93" eb="95">
      <t>ダイスウ</t>
    </rPh>
    <rPh sb="97" eb="99">
      <t>リシュウ</t>
    </rPh>
    <rPh sb="100" eb="102">
      <t>ヘイコウ</t>
    </rPh>
    <rPh sb="109" eb="111">
      <t>カモク</t>
    </rPh>
    <rPh sb="112" eb="114">
      <t>リシュウ</t>
    </rPh>
    <rPh sb="115" eb="117">
      <t>カイシ</t>
    </rPh>
    <rPh sb="127" eb="129">
      <t>コウトウ</t>
    </rPh>
    <rPh sb="129" eb="131">
      <t>ガッコウ</t>
    </rPh>
    <rPh sb="132" eb="134">
      <t>ブンケイ</t>
    </rPh>
    <rPh sb="135" eb="137">
      <t>センタク</t>
    </rPh>
    <rPh sb="141" eb="143">
      <t>ガクセイ</t>
    </rPh>
    <rPh sb="145" eb="147">
      <t>フタン</t>
    </rPh>
    <rPh sb="152" eb="154">
      <t>ジュギョウ</t>
    </rPh>
    <rPh sb="154" eb="155">
      <t>ジ</t>
    </rPh>
    <rPh sb="156" eb="157">
      <t>オコナ</t>
    </rPh>
    <rPh sb="160" eb="161">
      <t>ショウ</t>
    </rPh>
    <rPh sb="165" eb="168">
      <t>リカイド</t>
    </rPh>
    <rPh sb="169" eb="170">
      <t>ハカ</t>
    </rPh>
    <rPh sb="174" eb="176">
      <t>シドウ</t>
    </rPh>
    <rPh sb="183" eb="185">
      <t>ガクセイ</t>
    </rPh>
    <rPh sb="189" eb="191">
      <t>ジュギョウ</t>
    </rPh>
    <rPh sb="191" eb="193">
      <t>ヒョウカ</t>
    </rPh>
    <rPh sb="200" eb="202">
      <t>ソツギョウ</t>
    </rPh>
    <rPh sb="202" eb="203">
      <t>セイ</t>
    </rPh>
    <rPh sb="212" eb="214">
      <t>ソツギョウ</t>
    </rPh>
    <rPh sb="214" eb="215">
      <t>セイ</t>
    </rPh>
    <rPh sb="216" eb="218">
      <t>キンム</t>
    </rPh>
    <rPh sb="220" eb="222">
      <t>キギョウ</t>
    </rPh>
    <rPh sb="225" eb="227">
      <t>イケン</t>
    </rPh>
    <rPh sb="228" eb="230">
      <t>サンコウ</t>
    </rPh>
    <rPh sb="232" eb="234">
      <t>コウギ</t>
    </rPh>
    <rPh sb="234" eb="236">
      <t>ナイヨウ</t>
    </rPh>
    <rPh sb="237" eb="239">
      <t>ジュギョウ</t>
    </rPh>
    <rPh sb="239" eb="241">
      <t>シュホウ</t>
    </rPh>
    <rPh sb="242" eb="249">
      <t>キョウムセンモンイインカイ</t>
    </rPh>
    <rPh sb="250" eb="252">
      <t>ケンショウ</t>
    </rPh>
    <rPh sb="254" eb="255">
      <t>ゼン</t>
    </rPh>
    <rPh sb="255" eb="257">
      <t>キョウイン</t>
    </rPh>
    <rPh sb="258" eb="260">
      <t>サンカ</t>
    </rPh>
    <rPh sb="265" eb="266">
      <t>ツウ</t>
    </rPh>
    <rPh sb="268" eb="270">
      <t>キョウギ</t>
    </rPh>
    <rPh sb="271" eb="273">
      <t>カイゼン</t>
    </rPh>
    <rPh sb="274" eb="275">
      <t>オコナ</t>
    </rPh>
    <phoneticPr fontId="1"/>
  </si>
  <si>
    <t>　本プログラムに設けている「データサイエンス入門」と「情報基礎」は、総合情報学部では卒業要件の必修科目としているため年次進行すると履修率は100％に達することになる。工学部においては現在「情報基礎」は卒業要件の必修科目となっているが、「データサイエンス入門」は選択科目となっている。今後は学生へ履修を進めつつ、工学部でも必修科目とすることで協議を始めており、全学部で履修率100％となること目指している。</t>
    <rPh sb="1" eb="2">
      <t>ホン</t>
    </rPh>
    <rPh sb="8" eb="9">
      <t>モウ</t>
    </rPh>
    <rPh sb="22" eb="24">
      <t>ニュウモン</t>
    </rPh>
    <rPh sb="27" eb="29">
      <t>ジョウホウ</t>
    </rPh>
    <rPh sb="29" eb="31">
      <t>キソ</t>
    </rPh>
    <rPh sb="34" eb="36">
      <t>ソウゴウ</t>
    </rPh>
    <rPh sb="36" eb="38">
      <t>ジョウホウ</t>
    </rPh>
    <rPh sb="38" eb="40">
      <t>ガクブ</t>
    </rPh>
    <rPh sb="42" eb="44">
      <t>ソツギョウ</t>
    </rPh>
    <rPh sb="44" eb="46">
      <t>ヨウケン</t>
    </rPh>
    <rPh sb="47" eb="49">
      <t>ヒッシュウ</t>
    </rPh>
    <rPh sb="49" eb="51">
      <t>カモク</t>
    </rPh>
    <rPh sb="58" eb="59">
      <t>ネン</t>
    </rPh>
    <rPh sb="59" eb="60">
      <t>ジ</t>
    </rPh>
    <rPh sb="60" eb="62">
      <t>シンコウ</t>
    </rPh>
    <rPh sb="65" eb="67">
      <t>リシュウ</t>
    </rPh>
    <rPh sb="67" eb="68">
      <t>リツ</t>
    </rPh>
    <rPh sb="74" eb="75">
      <t>タッ</t>
    </rPh>
    <rPh sb="83" eb="85">
      <t>コウガク</t>
    </rPh>
    <rPh sb="85" eb="86">
      <t>ブ</t>
    </rPh>
    <rPh sb="91" eb="93">
      <t>ゲンザイ</t>
    </rPh>
    <rPh sb="94" eb="96">
      <t>ジョウホウ</t>
    </rPh>
    <rPh sb="96" eb="98">
      <t>キソ</t>
    </rPh>
    <rPh sb="100" eb="102">
      <t>ソツギョウ</t>
    </rPh>
    <rPh sb="102" eb="104">
      <t>ヨウケン</t>
    </rPh>
    <rPh sb="105" eb="107">
      <t>ヒッシュウ</t>
    </rPh>
    <rPh sb="107" eb="109">
      <t>カモク</t>
    </rPh>
    <rPh sb="126" eb="128">
      <t>ニュウモン</t>
    </rPh>
    <rPh sb="130" eb="132">
      <t>センタク</t>
    </rPh>
    <rPh sb="132" eb="134">
      <t>カモク</t>
    </rPh>
    <rPh sb="141" eb="143">
      <t>コンゴ</t>
    </rPh>
    <rPh sb="144" eb="146">
      <t>ガクセイ</t>
    </rPh>
    <rPh sb="147" eb="149">
      <t>リシュウ</t>
    </rPh>
    <rPh sb="150" eb="151">
      <t>スス</t>
    </rPh>
    <rPh sb="155" eb="158">
      <t>コウガクブ</t>
    </rPh>
    <rPh sb="160" eb="162">
      <t>ヒッシュウ</t>
    </rPh>
    <rPh sb="170" eb="172">
      <t>キョウギ</t>
    </rPh>
    <rPh sb="173" eb="174">
      <t>ハジ</t>
    </rPh>
    <rPh sb="179" eb="181">
      <t>ゼンガク</t>
    </rPh>
    <rPh sb="181" eb="182">
      <t>ブ</t>
    </rPh>
    <rPh sb="183" eb="185">
      <t>リシュウ</t>
    </rPh>
    <rPh sb="185" eb="186">
      <t>リツ</t>
    </rPh>
    <rPh sb="195" eb="197">
      <t>メザ</t>
    </rPh>
    <phoneticPr fontId="1"/>
  </si>
  <si>
    <t>　教務専門委員会で各学期末に実施する全開講科目に対する受講者による「授業評価アンケート」の結果を基に、科目担当者が自己評価を行い本学Webサイトに公表している。また、その結果を基に教務専門委員会においても本プログラムの評価・改善のために活用している。</t>
    <phoneticPr fontId="1"/>
  </si>
  <si>
    <t>　リテラシーレベルのモデルカリキュラムと教育方法に準拠し学ぶことの楽しさやその意義を理解させることを含む「データサイエンス入門」と、情報倫理・個人情報保護・情報セキュリティの側面からデータを取り扱うための基礎的知識と理解及びデータを活用する基礎的技能として身近なアプリケーションソフトであるWord、Excel、Power Pointを通じて履修する「情報基礎」を必修としている。さらに、選択科目として「統計概論」、「データ構造とアルゴリズム」を系統的に履修することにより、学修を深めることが可能となっている。
　また、工学部、総合情報学部に展開する専門科目を履修することにより、リテラシーレベルで修得したＤＳ・ＡＩの要素は全学生にＰＣを必携化していることもあり、日頃から応用的に活用することが出来ている。これにより卒業時までにＤＳ・ＡＩの基礎から応用までを自然に身に付けることが可能となっている。</t>
    <rPh sb="20" eb="22">
      <t>キョウイク</t>
    </rPh>
    <rPh sb="22" eb="24">
      <t>ホウホウ</t>
    </rPh>
    <rPh sb="25" eb="27">
      <t>ジュンキョ</t>
    </rPh>
    <rPh sb="50" eb="51">
      <t>フク</t>
    </rPh>
    <rPh sb="61" eb="63">
      <t>ニュウモン</t>
    </rPh>
    <rPh sb="66" eb="68">
      <t>ジョウホウ</t>
    </rPh>
    <rPh sb="68" eb="70">
      <t>リンリ</t>
    </rPh>
    <rPh sb="71" eb="75">
      <t>コジンジョウホウ</t>
    </rPh>
    <rPh sb="75" eb="77">
      <t>ホゴ</t>
    </rPh>
    <rPh sb="78" eb="80">
      <t>ジョウホウ</t>
    </rPh>
    <rPh sb="87" eb="89">
      <t>ソクメン</t>
    </rPh>
    <rPh sb="95" eb="96">
      <t>ト</t>
    </rPh>
    <rPh sb="97" eb="98">
      <t>アツカ</t>
    </rPh>
    <rPh sb="102" eb="104">
      <t>キソ</t>
    </rPh>
    <rPh sb="104" eb="105">
      <t>テキ</t>
    </rPh>
    <rPh sb="105" eb="107">
      <t>チシキ</t>
    </rPh>
    <rPh sb="108" eb="110">
      <t>リカイ</t>
    </rPh>
    <rPh sb="110" eb="111">
      <t>オヨ</t>
    </rPh>
    <rPh sb="116" eb="118">
      <t>カツヨウ</t>
    </rPh>
    <rPh sb="120" eb="123">
      <t>キソテキ</t>
    </rPh>
    <rPh sb="123" eb="125">
      <t>ギノウ</t>
    </rPh>
    <rPh sb="128" eb="130">
      <t>ミジカ</t>
    </rPh>
    <rPh sb="168" eb="169">
      <t>ツウ</t>
    </rPh>
    <rPh sb="171" eb="173">
      <t>リシュウ</t>
    </rPh>
    <rPh sb="176" eb="178">
      <t>ジョウホウ</t>
    </rPh>
    <rPh sb="178" eb="180">
      <t>キソ</t>
    </rPh>
    <rPh sb="182" eb="184">
      <t>ヒッシュウ</t>
    </rPh>
    <rPh sb="194" eb="196">
      <t>センタク</t>
    </rPh>
    <rPh sb="196" eb="198">
      <t>カモク</t>
    </rPh>
    <rPh sb="223" eb="225">
      <t>ケイトウ</t>
    </rPh>
    <rPh sb="225" eb="226">
      <t>テキ</t>
    </rPh>
    <rPh sb="246" eb="248">
      <t>カノウ</t>
    </rPh>
    <rPh sb="260" eb="263">
      <t>コウガクブ</t>
    </rPh>
    <rPh sb="264" eb="266">
      <t>ソウゴウ</t>
    </rPh>
    <rPh sb="266" eb="268">
      <t>ジョウホウ</t>
    </rPh>
    <rPh sb="268" eb="270">
      <t>ガクブ</t>
    </rPh>
    <rPh sb="271" eb="273">
      <t>テンカイ</t>
    </rPh>
    <rPh sb="275" eb="277">
      <t>センモン</t>
    </rPh>
    <rPh sb="277" eb="279">
      <t>カモク</t>
    </rPh>
    <rPh sb="280" eb="282">
      <t>リシュウ</t>
    </rPh>
    <rPh sb="299" eb="301">
      <t>シュウトク</t>
    </rPh>
    <rPh sb="309" eb="311">
      <t>ヨウソ</t>
    </rPh>
    <rPh sb="312" eb="313">
      <t>ゼン</t>
    </rPh>
    <rPh sb="313" eb="315">
      <t>ガクセイ</t>
    </rPh>
    <rPh sb="319" eb="321">
      <t>ヒッケイ</t>
    </rPh>
    <rPh sb="321" eb="322">
      <t>カ</t>
    </rPh>
    <rPh sb="332" eb="334">
      <t>ヒゴロ</t>
    </rPh>
    <rPh sb="336" eb="339">
      <t>オウヨウテキ</t>
    </rPh>
    <rPh sb="340" eb="342">
      <t>カツヨウ</t>
    </rPh>
    <rPh sb="347" eb="349">
      <t>デキ</t>
    </rPh>
    <rPh sb="358" eb="360">
      <t>ソツギョウ</t>
    </rPh>
    <rPh sb="360" eb="361">
      <t>ジ</t>
    </rPh>
    <rPh sb="370" eb="372">
      <t>キソ</t>
    </rPh>
    <rPh sb="374" eb="376">
      <t>オウヨウ</t>
    </rPh>
    <rPh sb="379" eb="381">
      <t>シゼン</t>
    </rPh>
    <rPh sb="382" eb="383">
      <t>ミ</t>
    </rPh>
    <rPh sb="384" eb="385">
      <t>ツ</t>
    </rPh>
    <rPh sb="390" eb="392">
      <t>カノウ</t>
    </rPh>
    <phoneticPr fontId="1"/>
  </si>
  <si>
    <t>　総合情報学部においては、教育プログラムに設けている必修科目である「データサイエンス入門」と「情報基礎」は卒業要件としても必修科目であるため、履修・修得がなされていく。工学部においては、「情報基礎」は卒業要件としても必修科目であるため、履修・修得がなされていく。「データサイエンス入門」については工学部生の約17.4%の履修がなされている。
　学務システムを通じて提供される履修情報と単位修得状況を基に、各所属の教務委員において学生ごとの履修状況・修得状況を確認把握するようにしている。各講義にて課せられる課題レポートの提出状況はGoogleClassroomで管理され課題の提出が遅れがちな学生には直接授業の内外で個別に指導を行い履修を支援している。</t>
    <rPh sb="1" eb="5">
      <t>ソウゴウジョウホウ</t>
    </rPh>
    <rPh sb="5" eb="7">
      <t>ガクブ</t>
    </rPh>
    <rPh sb="13" eb="15">
      <t>キョウイク</t>
    </rPh>
    <rPh sb="21" eb="22">
      <t>モウ</t>
    </rPh>
    <rPh sb="26" eb="30">
      <t>ヒッシュウカモク</t>
    </rPh>
    <rPh sb="53" eb="55">
      <t>ソツギョウ</t>
    </rPh>
    <rPh sb="61" eb="65">
      <t>ヒッシュウカモク</t>
    </rPh>
    <rPh sb="71" eb="73">
      <t>リシュウ</t>
    </rPh>
    <rPh sb="74" eb="76">
      <t>シュウトク</t>
    </rPh>
    <rPh sb="84" eb="87">
      <t>コウガクブ</t>
    </rPh>
    <rPh sb="148" eb="151">
      <t>コウガクブ</t>
    </rPh>
    <rPh sb="151" eb="152">
      <t>セイ</t>
    </rPh>
    <rPh sb="153" eb="154">
      <t>ヤク</t>
    </rPh>
    <rPh sb="160" eb="162">
      <t>リシュウ</t>
    </rPh>
    <phoneticPr fontId="1"/>
  </si>
  <si>
    <t>蒲原新一</t>
    <rPh sb="0" eb="2">
      <t>カモハラ</t>
    </rPh>
    <rPh sb="2" eb="4">
      <t>シンイチ</t>
    </rPh>
    <phoneticPr fontId="1"/>
  </si>
  <si>
    <t>教務部長</t>
    <rPh sb="0" eb="2">
      <t>キョウム</t>
    </rPh>
    <rPh sb="2" eb="4">
      <t>ブチョウ</t>
    </rPh>
    <phoneticPr fontId="1"/>
  </si>
  <si>
    <t xml:space="preserve">　「NiAS MDASH-Literacy 教育プログラム」を構成する4科目は、総合情報学部の主カリキュラムにおいてはすべて必修科目であるため全ての学部生が履修できることとなっている。工学部では最低単位数4単位を構成する「データサイエンス入門」と「情報基礎」のうち、「情報基礎」は必修科目化されているが「データサイエンス入門」が選択科目であるため、これを必修科目化することを進めている。
　また、新入生に対しては履修計画を立てるために必要な「履修ガイド」を冊子として全員に配布し、入学時オリエンテーションでカリキュラムや教育プログラムの解説や履修指導を行っている。
</t>
    <rPh sb="31" eb="33">
      <t>コウセイ</t>
    </rPh>
    <rPh sb="36" eb="38">
      <t>カモク</t>
    </rPh>
    <rPh sb="40" eb="42">
      <t>ソウゴウ</t>
    </rPh>
    <rPh sb="42" eb="44">
      <t>ジョウホウ</t>
    </rPh>
    <rPh sb="44" eb="46">
      <t>ガクブ</t>
    </rPh>
    <rPh sb="47" eb="48">
      <t>シュ</t>
    </rPh>
    <rPh sb="62" eb="64">
      <t>ヒッシュウ</t>
    </rPh>
    <rPh sb="64" eb="66">
      <t>カモク</t>
    </rPh>
    <rPh sb="71" eb="72">
      <t>スベ</t>
    </rPh>
    <rPh sb="74" eb="76">
      <t>ガクブ</t>
    </rPh>
    <rPh sb="76" eb="77">
      <t>セイ</t>
    </rPh>
    <rPh sb="78" eb="80">
      <t>リシュウ</t>
    </rPh>
    <rPh sb="92" eb="95">
      <t>コウガクブ</t>
    </rPh>
    <rPh sb="97" eb="99">
      <t>サイテイ</t>
    </rPh>
    <rPh sb="99" eb="102">
      <t>タンイスウ</t>
    </rPh>
    <rPh sb="103" eb="105">
      <t>タンイ</t>
    </rPh>
    <rPh sb="106" eb="108">
      <t>コウセイ</t>
    </rPh>
    <rPh sb="119" eb="121">
      <t>ニュウモン</t>
    </rPh>
    <rPh sb="124" eb="126">
      <t>ジョウホウ</t>
    </rPh>
    <rPh sb="126" eb="128">
      <t>キソ</t>
    </rPh>
    <rPh sb="134" eb="136">
      <t>ジョウホウ</t>
    </rPh>
    <rPh sb="136" eb="138">
      <t>キソ</t>
    </rPh>
    <rPh sb="140" eb="142">
      <t>ヒッシュウ</t>
    </rPh>
    <rPh sb="142" eb="145">
      <t>カモクカ</t>
    </rPh>
    <rPh sb="160" eb="162">
      <t>ニュウモン</t>
    </rPh>
    <rPh sb="164" eb="166">
      <t>センタク</t>
    </rPh>
    <rPh sb="166" eb="168">
      <t>カモク</t>
    </rPh>
    <rPh sb="177" eb="182">
      <t>ヒッシュウカモクカ</t>
    </rPh>
    <rPh sb="187" eb="188">
      <t>スス</t>
    </rPh>
    <rPh sb="198" eb="201">
      <t>シンニュウセイ</t>
    </rPh>
    <rPh sb="202" eb="203">
      <t>タイ</t>
    </rPh>
    <rPh sb="206" eb="210">
      <t>リシュウケイカク</t>
    </rPh>
    <rPh sb="211" eb="212">
      <t>タ</t>
    </rPh>
    <rPh sb="217" eb="219">
      <t>ヒツヨウ</t>
    </rPh>
    <rPh sb="221" eb="223">
      <t>リシュウ</t>
    </rPh>
    <rPh sb="228" eb="230">
      <t>サッシ</t>
    </rPh>
    <rPh sb="233" eb="235">
      <t>ゼンイン</t>
    </rPh>
    <rPh sb="236" eb="238">
      <t>ハイフ</t>
    </rPh>
    <rPh sb="240" eb="243">
      <t>ニュウガクジ</t>
    </rPh>
    <rPh sb="260" eb="262">
      <t>キョウイク</t>
    </rPh>
    <rPh sb="268" eb="270">
      <t>カイセツ</t>
    </rPh>
    <rPh sb="271" eb="273">
      <t>リシュウ</t>
    </rPh>
    <rPh sb="273" eb="275">
      <t>シドウ</t>
    </rPh>
    <rPh sb="276" eb="277">
      <t>オコナ</t>
    </rPh>
    <phoneticPr fontId="1"/>
  </si>
  <si>
    <t xml:space="preserve">　教務専門委員会は各学部学科コースから選出される教務委員により構成されているため、「NiAS MDASH-Literacy 教育プログラム」について協議に参加している身近な教員や教務課から履修指導や学修相談対応を受けることが可能である。
</t>
    <rPh sb="89" eb="91">
      <t>キョウム</t>
    </rPh>
    <rPh sb="91" eb="92">
      <t>カ</t>
    </rPh>
    <phoneticPr fontId="1"/>
  </si>
  <si>
    <t xml:space="preserve">　本学教員はオフィスアワーを設定・公開し、学生からの質問等を受け付ける機会を用意しているため、「NiAS MDASH-Literacy 教育プログラム」を構成する科目に対しても同様の対応が可能であり、更にデータサイエンスを理解する上で必要となる数学基礎（微分積分、線形代数）については、学生の学修を補完的にサポートする「学習支援センター」で指導する体制も整えている。また、電子メールアドレスの公開やGoogle Workspaseを利用した講義資料の公開や双方向性の確保により、授業時間内外において教員と学生間のつながりが対面及びリモートで確保されている。
</t>
    <rPh sb="1" eb="5">
      <t>ホンガクキョウイン</t>
    </rPh>
    <rPh sb="14" eb="16">
      <t>セッテイ</t>
    </rPh>
    <rPh sb="17" eb="19">
      <t>コウカイ</t>
    </rPh>
    <rPh sb="21" eb="23">
      <t>ガクセイ</t>
    </rPh>
    <rPh sb="26" eb="29">
      <t>シツモントウ</t>
    </rPh>
    <rPh sb="30" eb="31">
      <t>ウ</t>
    </rPh>
    <rPh sb="32" eb="33">
      <t>ツ</t>
    </rPh>
    <rPh sb="35" eb="37">
      <t>キカイ</t>
    </rPh>
    <rPh sb="38" eb="40">
      <t>ヨウイ</t>
    </rPh>
    <rPh sb="77" eb="79">
      <t>コウセイ</t>
    </rPh>
    <rPh sb="81" eb="83">
      <t>カモク</t>
    </rPh>
    <rPh sb="84" eb="85">
      <t>タイ</t>
    </rPh>
    <rPh sb="88" eb="90">
      <t>ドウヨウ</t>
    </rPh>
    <rPh sb="91" eb="93">
      <t>タイオウ</t>
    </rPh>
    <rPh sb="94" eb="96">
      <t>カノウ</t>
    </rPh>
    <rPh sb="100" eb="101">
      <t>サラ</t>
    </rPh>
    <rPh sb="111" eb="113">
      <t>リカイ</t>
    </rPh>
    <rPh sb="115" eb="116">
      <t>ウエ</t>
    </rPh>
    <rPh sb="117" eb="119">
      <t>ヒツヨウ</t>
    </rPh>
    <rPh sb="174" eb="176">
      <t>タイセイ</t>
    </rPh>
    <rPh sb="177" eb="178">
      <t>トトノ</t>
    </rPh>
    <rPh sb="186" eb="188">
      <t>デンシ</t>
    </rPh>
    <rPh sb="196" eb="198">
      <t>コウカイ</t>
    </rPh>
    <rPh sb="216" eb="218">
      <t>リヨウ</t>
    </rPh>
    <rPh sb="220" eb="222">
      <t>コウギ</t>
    </rPh>
    <rPh sb="222" eb="224">
      <t>シリョウ</t>
    </rPh>
    <rPh sb="225" eb="227">
      <t>コウカイ</t>
    </rPh>
    <rPh sb="228" eb="232">
      <t>ソウホウコウセイ</t>
    </rPh>
    <rPh sb="233" eb="235">
      <t>カクホ</t>
    </rPh>
    <rPh sb="261" eb="263">
      <t>タイメン</t>
    </rPh>
    <rPh sb="263" eb="264">
      <t>オヨ</t>
    </rPh>
    <phoneticPr fontId="1"/>
  </si>
  <si>
    <t>工学部</t>
    <rPh sb="0" eb="3">
      <t>コウガクブ</t>
    </rPh>
    <phoneticPr fontId="1"/>
  </si>
  <si>
    <t>総合情報学部</t>
    <rPh sb="0" eb="2">
      <t>ソウゴウ</t>
    </rPh>
    <rPh sb="2" eb="4">
      <t>ジョウホウ</t>
    </rPh>
    <rPh sb="4" eb="6">
      <t>ガクブ</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</si>
</sst>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xf>
    <xf numFmtId="0" fontId="2" fillId="0" borderId="35"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xf>
    <xf numFmtId="0" fontId="2" fillId="0" borderId="21" xfId="0" applyFont="1" applyBorder="1" applyAlignment="1">
      <alignment horizontal="left" vertical="center" wrapText="1"/>
    </xf>
    <xf numFmtId="0" fontId="2" fillId="0" borderId="36" xfId="0" applyFont="1" applyBorder="1" applyAlignment="1">
      <alignment horizontal="left" vertical="center" wrapText="1"/>
    </xf>
    <xf numFmtId="0" fontId="2" fillId="0" borderId="35"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38" xfId="0" applyFont="1" applyBorder="1" applyAlignment="1">
      <alignment horizontal="left" vertical="center" wrapText="1"/>
    </xf>
    <xf numFmtId="0" fontId="2" fillId="0" borderId="39" xfId="0" applyFont="1" applyBorder="1" applyAlignment="1">
      <alignment horizontal="lef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18" xfId="0" applyFont="1" applyBorder="1" applyAlignment="1">
      <alignment vertical="center" wrapTex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11"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5" fillId="0" borderId="7" xfId="0" applyFont="1" applyBorder="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xf>
    <xf numFmtId="0" fontId="11" fillId="0" borderId="5" xfId="0" applyFont="1" applyBorder="1" applyAlignment="1">
      <alignment vertical="top"/>
    </xf>
    <xf numFmtId="0" fontId="11" fillId="0" borderId="0" xfId="0" applyFont="1" applyAlignment="1">
      <alignment vertical="top"/>
    </xf>
    <xf numFmtId="0" fontId="11" fillId="0" borderId="10" xfId="0" applyFont="1" applyBorder="1" applyAlignment="1">
      <alignment vertical="top"/>
    </xf>
    <xf numFmtId="0" fontId="11" fillId="0" borderId="11" xfId="0" applyFont="1" applyBorder="1" applyAlignment="1">
      <alignment vertical="top"/>
    </xf>
    <xf numFmtId="0" fontId="11" fillId="0" borderId="6" xfId="0" applyFont="1" applyBorder="1" applyAlignment="1">
      <alignment vertical="top"/>
    </xf>
    <xf numFmtId="0" fontId="11"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11" fillId="0" borderId="37" xfId="0" applyFont="1" applyBorder="1" applyAlignment="1">
      <alignment vertical="top" wrapText="1" shrinkToFit="1"/>
    </xf>
    <xf numFmtId="0" fontId="11" fillId="0" borderId="38" xfId="0" applyFont="1" applyBorder="1" applyAlignment="1">
      <alignment vertical="top" wrapText="1" shrinkToFit="1"/>
    </xf>
    <xf numFmtId="0" fontId="11" fillId="0" borderId="39" xfId="0" applyFont="1" applyBorder="1" applyAlignment="1">
      <alignment vertical="top" wrapText="1" shrinkToFit="1"/>
    </xf>
    <xf numFmtId="0" fontId="2" fillId="0" borderId="11"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11" fillId="0" borderId="42" xfId="0" applyFont="1" applyBorder="1" applyAlignment="1">
      <alignment vertical="top" wrapText="1" shrinkToFit="1"/>
    </xf>
    <xf numFmtId="0" fontId="11"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65" zoomScaleNormal="100" zoomScaleSheetLayoutView="100" workbookViewId="0">
      <selection activeCell="B26" sqref="B26:E26"/>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4" t="s">
        <v>12</v>
      </c>
      <c r="S1" s="134"/>
      <c r="T1" s="2" t="s">
        <v>110</v>
      </c>
    </row>
    <row r="2" spans="1:22" ht="18.75" customHeight="1" x14ac:dyDescent="0.15">
      <c r="B2" s="34" t="s">
        <v>109</v>
      </c>
      <c r="C2" s="88" t="s">
        <v>127</v>
      </c>
      <c r="D2" s="89"/>
      <c r="E2" s="89"/>
      <c r="F2" s="89"/>
      <c r="G2" s="89"/>
      <c r="H2" s="89"/>
      <c r="I2" s="90"/>
      <c r="J2" s="35"/>
      <c r="K2" s="6"/>
      <c r="L2" s="6"/>
      <c r="M2" s="6"/>
      <c r="N2" s="6"/>
      <c r="O2" s="6"/>
      <c r="P2" s="6"/>
      <c r="Q2" s="6"/>
      <c r="R2" s="6"/>
      <c r="S2" s="6"/>
    </row>
    <row r="3" spans="1:22" ht="18.75" customHeight="1" x14ac:dyDescent="0.15">
      <c r="B3" s="34" t="s">
        <v>103</v>
      </c>
      <c r="C3" s="88" t="s">
        <v>159</v>
      </c>
      <c r="D3" s="89"/>
      <c r="E3" s="89"/>
      <c r="F3" s="89"/>
      <c r="G3" s="89"/>
      <c r="H3" s="89"/>
      <c r="I3" s="90"/>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38" t="s">
        <v>39</v>
      </c>
      <c r="B5" s="138"/>
      <c r="C5" s="138"/>
      <c r="D5" s="138"/>
      <c r="E5" s="138"/>
      <c r="F5" s="138"/>
      <c r="G5" s="138"/>
      <c r="H5" s="138"/>
      <c r="I5" s="138"/>
      <c r="J5" s="138"/>
      <c r="K5" s="138"/>
      <c r="L5" s="138"/>
      <c r="M5" s="138"/>
      <c r="N5" s="138"/>
      <c r="O5" s="138"/>
      <c r="P5" s="138"/>
      <c r="Q5" s="138"/>
      <c r="R5" s="138"/>
      <c r="S5" s="13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48" t="s">
        <v>150</v>
      </c>
      <c r="L7" s="149"/>
      <c r="M7" s="149"/>
      <c r="N7" s="149"/>
      <c r="O7" s="149"/>
      <c r="P7" s="149"/>
      <c r="Q7" s="149"/>
      <c r="R7" s="149"/>
      <c r="S7" s="150"/>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51"/>
      <c r="C9" s="102"/>
      <c r="D9" s="102"/>
      <c r="E9" s="102"/>
      <c r="F9" s="102"/>
      <c r="G9" s="102"/>
      <c r="H9" s="102"/>
      <c r="I9" s="102"/>
      <c r="J9" s="102"/>
      <c r="K9" s="102"/>
      <c r="L9" s="102"/>
      <c r="M9" s="102"/>
      <c r="N9" s="102"/>
      <c r="O9" s="102"/>
      <c r="P9" s="102"/>
      <c r="Q9" s="102"/>
      <c r="R9" s="102"/>
      <c r="S9" s="103"/>
    </row>
    <row r="10" spans="1:22" ht="18" customHeight="1" x14ac:dyDescent="0.15">
      <c r="B10" s="152"/>
      <c r="C10" s="127"/>
      <c r="D10" s="127"/>
      <c r="E10" s="127"/>
      <c r="F10" s="127"/>
      <c r="G10" s="127"/>
      <c r="H10" s="127"/>
      <c r="I10" s="127"/>
      <c r="J10" s="127"/>
      <c r="K10" s="127"/>
      <c r="L10" s="127"/>
      <c r="M10" s="127"/>
      <c r="N10" s="127"/>
      <c r="O10" s="127"/>
      <c r="P10" s="127"/>
      <c r="Q10" s="127"/>
      <c r="R10" s="127"/>
      <c r="S10" s="128"/>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39" t="s">
        <v>149</v>
      </c>
      <c r="C13" s="140"/>
      <c r="D13" s="140"/>
      <c r="E13" s="140"/>
      <c r="F13" s="140"/>
      <c r="G13" s="140"/>
      <c r="H13" s="140"/>
      <c r="I13" s="140"/>
      <c r="J13" s="140"/>
      <c r="K13" s="140"/>
      <c r="L13" s="140"/>
      <c r="M13" s="140"/>
      <c r="N13" s="140"/>
      <c r="O13" s="140"/>
      <c r="P13" s="140"/>
      <c r="Q13" s="140"/>
      <c r="R13" s="140"/>
      <c r="S13" s="141"/>
      <c r="V13" s="1" t="s">
        <v>104</v>
      </c>
    </row>
    <row r="14" spans="1:22" ht="18" customHeight="1" x14ac:dyDescent="0.15">
      <c r="B14" s="142"/>
      <c r="C14" s="143"/>
      <c r="D14" s="143"/>
      <c r="E14" s="143"/>
      <c r="F14" s="143"/>
      <c r="G14" s="143"/>
      <c r="H14" s="143"/>
      <c r="I14" s="143"/>
      <c r="J14" s="143"/>
      <c r="K14" s="143"/>
      <c r="L14" s="143"/>
      <c r="M14" s="143"/>
      <c r="N14" s="143"/>
      <c r="O14" s="143"/>
      <c r="P14" s="143"/>
      <c r="Q14" s="143"/>
      <c r="R14" s="143"/>
      <c r="S14" s="144"/>
      <c r="V14" s="1" t="s">
        <v>111</v>
      </c>
    </row>
    <row r="15" spans="1:22" ht="18" customHeight="1" x14ac:dyDescent="0.15">
      <c r="B15" s="142"/>
      <c r="C15" s="143"/>
      <c r="D15" s="143"/>
      <c r="E15" s="143"/>
      <c r="F15" s="143"/>
      <c r="G15" s="143"/>
      <c r="H15" s="143"/>
      <c r="I15" s="143"/>
      <c r="J15" s="143"/>
      <c r="K15" s="143"/>
      <c r="L15" s="143"/>
      <c r="M15" s="143"/>
      <c r="N15" s="143"/>
      <c r="O15" s="143"/>
      <c r="P15" s="143"/>
      <c r="Q15" s="143"/>
      <c r="R15" s="143"/>
      <c r="S15" s="144"/>
      <c r="V15" s="1" t="s">
        <v>124</v>
      </c>
    </row>
    <row r="16" spans="1:22" ht="18" customHeight="1" x14ac:dyDescent="0.15">
      <c r="B16" s="142"/>
      <c r="C16" s="143"/>
      <c r="D16" s="143"/>
      <c r="E16" s="143"/>
      <c r="F16" s="143"/>
      <c r="G16" s="143"/>
      <c r="H16" s="143"/>
      <c r="I16" s="143"/>
      <c r="J16" s="143"/>
      <c r="K16" s="143"/>
      <c r="L16" s="143"/>
      <c r="M16" s="143"/>
      <c r="N16" s="143"/>
      <c r="O16" s="143"/>
      <c r="P16" s="143"/>
      <c r="Q16" s="143"/>
      <c r="R16" s="143"/>
      <c r="S16" s="144"/>
      <c r="V16" s="1" t="s">
        <v>126</v>
      </c>
    </row>
    <row r="17" spans="1:19" ht="18" customHeight="1" x14ac:dyDescent="0.15">
      <c r="B17" s="142"/>
      <c r="C17" s="143"/>
      <c r="D17" s="143"/>
      <c r="E17" s="143"/>
      <c r="F17" s="143"/>
      <c r="G17" s="143"/>
      <c r="H17" s="143"/>
      <c r="I17" s="143"/>
      <c r="J17" s="143"/>
      <c r="K17" s="143"/>
      <c r="L17" s="143"/>
      <c r="M17" s="143"/>
      <c r="N17" s="143"/>
      <c r="O17" s="143"/>
      <c r="P17" s="143"/>
      <c r="Q17" s="143"/>
      <c r="R17" s="143"/>
      <c r="S17" s="144"/>
    </row>
    <row r="18" spans="1:19" ht="4.5" customHeight="1" x14ac:dyDescent="0.15">
      <c r="B18" s="145"/>
      <c r="C18" s="146"/>
      <c r="D18" s="146"/>
      <c r="E18" s="146"/>
      <c r="F18" s="146"/>
      <c r="G18" s="146"/>
      <c r="H18" s="146"/>
      <c r="I18" s="146"/>
      <c r="J18" s="146"/>
      <c r="K18" s="146"/>
      <c r="L18" s="146"/>
      <c r="M18" s="146"/>
      <c r="N18" s="146"/>
      <c r="O18" s="146"/>
      <c r="P18" s="146"/>
      <c r="Q18" s="146"/>
      <c r="R18" s="146"/>
      <c r="S18" s="147"/>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113</v>
      </c>
      <c r="C20" s="88">
        <v>4</v>
      </c>
      <c r="D20" s="90"/>
      <c r="E20" s="40" t="s">
        <v>96</v>
      </c>
      <c r="G20" s="10"/>
      <c r="H20" s="3"/>
      <c r="I20" s="3"/>
      <c r="J20" s="35" t="s">
        <v>122</v>
      </c>
      <c r="K20" s="135" t="s">
        <v>124</v>
      </c>
      <c r="L20" s="136"/>
      <c r="M20" s="136"/>
      <c r="N20" s="136"/>
      <c r="O20" s="136"/>
      <c r="P20" s="136"/>
      <c r="Q20" s="136"/>
      <c r="R20" s="136"/>
      <c r="S20" s="13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4" t="s">
        <v>114</v>
      </c>
      <c r="B22" s="94"/>
      <c r="C22" s="94"/>
      <c r="D22" s="94"/>
      <c r="E22" s="94"/>
      <c r="F22" s="94"/>
      <c r="G22" s="94"/>
      <c r="H22" s="94"/>
      <c r="I22" s="94"/>
      <c r="J22" s="94"/>
      <c r="K22" s="94"/>
      <c r="L22" s="94"/>
      <c r="M22" s="94"/>
      <c r="N22" s="94"/>
      <c r="O22" s="94"/>
      <c r="P22" s="94"/>
      <c r="Q22" s="94"/>
      <c r="R22" s="94"/>
      <c r="S22" s="94"/>
    </row>
    <row r="23" spans="1:19" ht="18" customHeight="1" x14ac:dyDescent="0.15">
      <c r="A23" s="94"/>
      <c r="B23" s="94"/>
      <c r="C23" s="94"/>
      <c r="D23" s="94"/>
      <c r="E23" s="94"/>
      <c r="F23" s="94"/>
      <c r="G23" s="94"/>
      <c r="H23" s="94"/>
      <c r="I23" s="94"/>
      <c r="J23" s="94"/>
      <c r="K23" s="94"/>
      <c r="L23" s="94"/>
      <c r="M23" s="94"/>
      <c r="N23" s="94"/>
      <c r="O23" s="94"/>
      <c r="P23" s="94"/>
      <c r="Q23" s="94"/>
      <c r="R23" s="94"/>
      <c r="S23" s="94"/>
    </row>
    <row r="24" spans="1:19" ht="18" customHeight="1" x14ac:dyDescent="0.15">
      <c r="B24" s="88" t="s">
        <v>54</v>
      </c>
      <c r="C24" s="89"/>
      <c r="D24" s="89"/>
      <c r="E24" s="90"/>
      <c r="F24" s="61" t="s">
        <v>81</v>
      </c>
      <c r="G24" s="60" t="s">
        <v>85</v>
      </c>
      <c r="H24" s="22" t="s">
        <v>57</v>
      </c>
      <c r="I24" s="22" t="s">
        <v>60</v>
      </c>
      <c r="J24" s="88" t="s">
        <v>54</v>
      </c>
      <c r="K24" s="89"/>
      <c r="L24" s="89"/>
      <c r="M24" s="89"/>
      <c r="N24" s="89"/>
      <c r="O24" s="90"/>
      <c r="P24" s="61" t="s">
        <v>81</v>
      </c>
      <c r="Q24" s="60" t="s">
        <v>85</v>
      </c>
      <c r="R24" s="22" t="s">
        <v>57</v>
      </c>
      <c r="S24" s="22" t="s">
        <v>60</v>
      </c>
    </row>
    <row r="25" spans="1:19" ht="18" customHeight="1" x14ac:dyDescent="0.15">
      <c r="B25" s="82" t="s">
        <v>130</v>
      </c>
      <c r="C25" s="83"/>
      <c r="D25" s="83"/>
      <c r="E25" s="84"/>
      <c r="F25" s="23">
        <v>2</v>
      </c>
      <c r="G25" s="23" t="s">
        <v>129</v>
      </c>
      <c r="H25" s="23" t="s">
        <v>129</v>
      </c>
      <c r="I25" s="23" t="s">
        <v>129</v>
      </c>
      <c r="J25" s="82"/>
      <c r="K25" s="83"/>
      <c r="L25" s="83"/>
      <c r="M25" s="83"/>
      <c r="N25" s="83"/>
      <c r="O25" s="84"/>
      <c r="P25" s="23"/>
      <c r="Q25" s="23"/>
      <c r="R25" s="23"/>
      <c r="S25" s="23"/>
    </row>
    <row r="26" spans="1:19" ht="18" customHeight="1" x14ac:dyDescent="0.15">
      <c r="B26" s="85"/>
      <c r="C26" s="86"/>
      <c r="D26" s="86"/>
      <c r="E26" s="87"/>
      <c r="F26" s="24"/>
      <c r="G26" s="24"/>
      <c r="H26" s="24"/>
      <c r="I26" s="24"/>
      <c r="J26" s="85"/>
      <c r="K26" s="86"/>
      <c r="L26" s="86"/>
      <c r="M26" s="86"/>
      <c r="N26" s="86"/>
      <c r="O26" s="87"/>
      <c r="P26" s="24"/>
      <c r="Q26" s="24"/>
      <c r="R26" s="24"/>
      <c r="S26" s="24"/>
    </row>
    <row r="27" spans="1:19" ht="18" customHeight="1" x14ac:dyDescent="0.15">
      <c r="B27" s="85"/>
      <c r="C27" s="86"/>
      <c r="D27" s="86"/>
      <c r="E27" s="87"/>
      <c r="F27" s="24"/>
      <c r="G27" s="24"/>
      <c r="H27" s="24"/>
      <c r="I27" s="24"/>
      <c r="J27" s="85"/>
      <c r="K27" s="86"/>
      <c r="L27" s="86"/>
      <c r="M27" s="86"/>
      <c r="N27" s="86"/>
      <c r="O27" s="87"/>
      <c r="P27" s="24"/>
      <c r="Q27" s="24"/>
      <c r="R27" s="24"/>
      <c r="S27" s="24"/>
    </row>
    <row r="28" spans="1:19" ht="18" customHeight="1" x14ac:dyDescent="0.15">
      <c r="B28" s="85"/>
      <c r="C28" s="86"/>
      <c r="D28" s="86"/>
      <c r="E28" s="87"/>
      <c r="F28" s="24"/>
      <c r="G28" s="24"/>
      <c r="H28" s="24"/>
      <c r="I28" s="24"/>
      <c r="J28" s="85"/>
      <c r="K28" s="86"/>
      <c r="L28" s="86"/>
      <c r="M28" s="86"/>
      <c r="N28" s="86"/>
      <c r="O28" s="87"/>
      <c r="P28" s="24"/>
      <c r="Q28" s="24"/>
      <c r="R28" s="24"/>
      <c r="S28" s="24"/>
    </row>
    <row r="29" spans="1:19" ht="18" customHeight="1" x14ac:dyDescent="0.15">
      <c r="B29" s="85"/>
      <c r="C29" s="86"/>
      <c r="D29" s="86"/>
      <c r="E29" s="87"/>
      <c r="F29" s="24"/>
      <c r="G29" s="24"/>
      <c r="H29" s="24"/>
      <c r="I29" s="24"/>
      <c r="J29" s="85"/>
      <c r="K29" s="86"/>
      <c r="L29" s="86"/>
      <c r="M29" s="86"/>
      <c r="N29" s="86"/>
      <c r="O29" s="87"/>
      <c r="P29" s="24"/>
      <c r="Q29" s="24"/>
      <c r="R29" s="24"/>
      <c r="S29" s="24"/>
    </row>
    <row r="30" spans="1:19" ht="18" customHeight="1" x14ac:dyDescent="0.15">
      <c r="A30" s="3"/>
      <c r="B30" s="85"/>
      <c r="C30" s="86"/>
      <c r="D30" s="86"/>
      <c r="E30" s="87"/>
      <c r="F30" s="24"/>
      <c r="G30" s="24"/>
      <c r="H30" s="24"/>
      <c r="I30" s="24"/>
      <c r="J30" s="85"/>
      <c r="K30" s="86"/>
      <c r="L30" s="86"/>
      <c r="M30" s="86"/>
      <c r="N30" s="86"/>
      <c r="O30" s="87"/>
      <c r="P30" s="24"/>
      <c r="Q30" s="24"/>
      <c r="R30" s="24"/>
      <c r="S30" s="24"/>
    </row>
    <row r="31" spans="1:19" ht="18" customHeight="1" x14ac:dyDescent="0.15">
      <c r="A31" s="3"/>
      <c r="B31" s="91"/>
      <c r="C31" s="92"/>
      <c r="D31" s="92"/>
      <c r="E31" s="93"/>
      <c r="F31" s="25"/>
      <c r="G31" s="25"/>
      <c r="H31" s="26"/>
      <c r="I31" s="26"/>
      <c r="J31" s="91"/>
      <c r="K31" s="92"/>
      <c r="L31" s="92"/>
      <c r="M31" s="92"/>
      <c r="N31" s="92"/>
      <c r="O31" s="93"/>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4" t="s">
        <v>115</v>
      </c>
      <c r="B33" s="94"/>
      <c r="C33" s="94"/>
      <c r="D33" s="94"/>
      <c r="E33" s="94"/>
      <c r="F33" s="94"/>
      <c r="G33" s="94"/>
      <c r="H33" s="94"/>
      <c r="I33" s="94"/>
      <c r="J33" s="94"/>
      <c r="K33" s="94"/>
      <c r="L33" s="94"/>
      <c r="M33" s="94"/>
      <c r="N33" s="94"/>
      <c r="O33" s="94"/>
      <c r="P33" s="94"/>
      <c r="Q33" s="94"/>
      <c r="R33" s="94"/>
      <c r="S33" s="94"/>
    </row>
    <row r="34" spans="1:19" ht="18" customHeight="1" x14ac:dyDescent="0.15">
      <c r="A34" s="94"/>
      <c r="B34" s="94"/>
      <c r="C34" s="94"/>
      <c r="D34" s="94"/>
      <c r="E34" s="94"/>
      <c r="F34" s="94"/>
      <c r="G34" s="94"/>
      <c r="H34" s="94"/>
      <c r="I34" s="94"/>
      <c r="J34" s="94"/>
      <c r="K34" s="94"/>
      <c r="L34" s="94"/>
      <c r="M34" s="94"/>
      <c r="N34" s="94"/>
      <c r="O34" s="94"/>
      <c r="P34" s="94"/>
      <c r="Q34" s="94"/>
      <c r="R34" s="94"/>
      <c r="S34" s="94"/>
    </row>
    <row r="35" spans="1:19" ht="18" customHeight="1" x14ac:dyDescent="0.15">
      <c r="B35" s="88" t="s">
        <v>54</v>
      </c>
      <c r="C35" s="89"/>
      <c r="D35" s="89"/>
      <c r="E35" s="90"/>
      <c r="F35" s="61" t="s">
        <v>81</v>
      </c>
      <c r="G35" s="60" t="s">
        <v>85</v>
      </c>
      <c r="H35" s="22" t="s">
        <v>72</v>
      </c>
      <c r="I35" s="22" t="s">
        <v>73</v>
      </c>
      <c r="J35" s="88" t="s">
        <v>54</v>
      </c>
      <c r="K35" s="89"/>
      <c r="L35" s="89"/>
      <c r="M35" s="89"/>
      <c r="N35" s="89"/>
      <c r="O35" s="90"/>
      <c r="P35" s="61" t="s">
        <v>81</v>
      </c>
      <c r="Q35" s="60" t="s">
        <v>85</v>
      </c>
      <c r="R35" s="22" t="s">
        <v>72</v>
      </c>
      <c r="S35" s="22" t="s">
        <v>73</v>
      </c>
    </row>
    <row r="36" spans="1:19" ht="18" customHeight="1" x14ac:dyDescent="0.15">
      <c r="B36" s="82" t="s">
        <v>131</v>
      </c>
      <c r="C36" s="83"/>
      <c r="D36" s="83"/>
      <c r="E36" s="84"/>
      <c r="F36" s="23">
        <v>2</v>
      </c>
      <c r="G36" s="23" t="s">
        <v>129</v>
      </c>
      <c r="H36" s="23" t="s">
        <v>129</v>
      </c>
      <c r="I36" s="23" t="s">
        <v>129</v>
      </c>
      <c r="J36" s="82"/>
      <c r="K36" s="83"/>
      <c r="L36" s="83"/>
      <c r="M36" s="83"/>
      <c r="N36" s="83"/>
      <c r="O36" s="84"/>
      <c r="P36" s="23"/>
      <c r="Q36" s="23"/>
      <c r="R36" s="23"/>
      <c r="S36" s="23"/>
    </row>
    <row r="37" spans="1:19" ht="18" customHeight="1" x14ac:dyDescent="0.15">
      <c r="B37" s="85"/>
      <c r="C37" s="86"/>
      <c r="D37" s="86"/>
      <c r="E37" s="87"/>
      <c r="F37" s="24"/>
      <c r="G37" s="24"/>
      <c r="H37" s="24"/>
      <c r="I37" s="24"/>
      <c r="J37" s="85"/>
      <c r="K37" s="86"/>
      <c r="L37" s="86"/>
      <c r="M37" s="86"/>
      <c r="N37" s="86"/>
      <c r="O37" s="87"/>
      <c r="P37" s="24"/>
      <c r="Q37" s="24"/>
      <c r="R37" s="24"/>
      <c r="S37" s="24"/>
    </row>
    <row r="38" spans="1:19" ht="18" customHeight="1" x14ac:dyDescent="0.15">
      <c r="B38" s="85"/>
      <c r="C38" s="86"/>
      <c r="D38" s="86"/>
      <c r="E38" s="87"/>
      <c r="F38" s="24"/>
      <c r="G38" s="24"/>
      <c r="H38" s="24"/>
      <c r="I38" s="24"/>
      <c r="J38" s="85"/>
      <c r="K38" s="86"/>
      <c r="L38" s="86"/>
      <c r="M38" s="86"/>
      <c r="N38" s="86"/>
      <c r="O38" s="87"/>
      <c r="P38" s="24"/>
      <c r="Q38" s="24"/>
      <c r="R38" s="24"/>
      <c r="S38" s="24"/>
    </row>
    <row r="39" spans="1:19" ht="18" customHeight="1" x14ac:dyDescent="0.15">
      <c r="B39" s="85"/>
      <c r="C39" s="86"/>
      <c r="D39" s="86"/>
      <c r="E39" s="87"/>
      <c r="F39" s="24"/>
      <c r="G39" s="24"/>
      <c r="H39" s="24"/>
      <c r="I39" s="24"/>
      <c r="J39" s="85"/>
      <c r="K39" s="86"/>
      <c r="L39" s="86"/>
      <c r="M39" s="86"/>
      <c r="N39" s="86"/>
      <c r="O39" s="87"/>
      <c r="P39" s="24"/>
      <c r="Q39" s="24"/>
      <c r="R39" s="24"/>
      <c r="S39" s="24"/>
    </row>
    <row r="40" spans="1:19" ht="18" customHeight="1" x14ac:dyDescent="0.15">
      <c r="B40" s="85"/>
      <c r="C40" s="86"/>
      <c r="D40" s="86"/>
      <c r="E40" s="87"/>
      <c r="F40" s="24"/>
      <c r="G40" s="24"/>
      <c r="H40" s="24"/>
      <c r="I40" s="24"/>
      <c r="J40" s="85"/>
      <c r="K40" s="86"/>
      <c r="L40" s="86"/>
      <c r="M40" s="86"/>
      <c r="N40" s="86"/>
      <c r="O40" s="87"/>
      <c r="P40" s="24"/>
      <c r="Q40" s="24"/>
      <c r="R40" s="24"/>
      <c r="S40" s="24"/>
    </row>
    <row r="41" spans="1:19" ht="18" customHeight="1" x14ac:dyDescent="0.15">
      <c r="B41" s="85"/>
      <c r="C41" s="86"/>
      <c r="D41" s="86"/>
      <c r="E41" s="87"/>
      <c r="F41" s="24"/>
      <c r="G41" s="24"/>
      <c r="H41" s="24"/>
      <c r="I41" s="24"/>
      <c r="J41" s="85"/>
      <c r="K41" s="86"/>
      <c r="L41" s="86"/>
      <c r="M41" s="86"/>
      <c r="N41" s="86"/>
      <c r="O41" s="87"/>
      <c r="P41" s="24"/>
      <c r="Q41" s="24"/>
      <c r="R41" s="24"/>
      <c r="S41" s="24"/>
    </row>
    <row r="42" spans="1:19" ht="18" customHeight="1" x14ac:dyDescent="0.15">
      <c r="B42" s="91"/>
      <c r="C42" s="92"/>
      <c r="D42" s="92"/>
      <c r="E42" s="93"/>
      <c r="F42" s="25"/>
      <c r="G42" s="25"/>
      <c r="H42" s="26"/>
      <c r="I42" s="26"/>
      <c r="J42" s="91"/>
      <c r="K42" s="92"/>
      <c r="L42" s="92"/>
      <c r="M42" s="92"/>
      <c r="N42" s="92"/>
      <c r="O42" s="93"/>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4" t="s">
        <v>116</v>
      </c>
      <c r="B44" s="94"/>
      <c r="C44" s="94"/>
      <c r="D44" s="94"/>
      <c r="E44" s="94"/>
      <c r="F44" s="94"/>
      <c r="G44" s="94"/>
      <c r="H44" s="94"/>
      <c r="I44" s="94"/>
      <c r="J44" s="94"/>
      <c r="K44" s="94"/>
      <c r="L44" s="94"/>
      <c r="M44" s="94"/>
      <c r="N44" s="94"/>
      <c r="O44" s="94"/>
      <c r="P44" s="94"/>
      <c r="Q44" s="94"/>
      <c r="R44" s="94"/>
      <c r="S44" s="94"/>
    </row>
    <row r="45" spans="1:19" ht="18" customHeight="1" x14ac:dyDescent="0.15">
      <c r="A45" s="94"/>
      <c r="B45" s="94"/>
      <c r="C45" s="94"/>
      <c r="D45" s="94"/>
      <c r="E45" s="94"/>
      <c r="F45" s="94"/>
      <c r="G45" s="94"/>
      <c r="H45" s="94"/>
      <c r="I45" s="94"/>
      <c r="J45" s="94"/>
      <c r="K45" s="94"/>
      <c r="L45" s="94"/>
      <c r="M45" s="94"/>
      <c r="N45" s="94"/>
      <c r="O45" s="94"/>
      <c r="P45" s="94"/>
      <c r="Q45" s="94"/>
      <c r="R45" s="94"/>
      <c r="S45" s="94"/>
    </row>
    <row r="46" spans="1:19" ht="18" customHeight="1" x14ac:dyDescent="0.15">
      <c r="B46" s="88" t="s">
        <v>54</v>
      </c>
      <c r="C46" s="89"/>
      <c r="D46" s="89"/>
      <c r="E46" s="90"/>
      <c r="F46" s="61" t="s">
        <v>81</v>
      </c>
      <c r="G46" s="60" t="s">
        <v>85</v>
      </c>
      <c r="H46" s="22" t="s">
        <v>74</v>
      </c>
      <c r="I46" s="22" t="s">
        <v>75</v>
      </c>
      <c r="J46" s="88" t="s">
        <v>54</v>
      </c>
      <c r="K46" s="89"/>
      <c r="L46" s="89"/>
      <c r="M46" s="89"/>
      <c r="N46" s="89"/>
      <c r="O46" s="90"/>
      <c r="P46" s="61" t="s">
        <v>81</v>
      </c>
      <c r="Q46" s="60" t="s">
        <v>85</v>
      </c>
      <c r="R46" s="22" t="s">
        <v>74</v>
      </c>
      <c r="S46" s="22" t="s">
        <v>75</v>
      </c>
    </row>
    <row r="47" spans="1:19" ht="18" customHeight="1" x14ac:dyDescent="0.15">
      <c r="A47" s="3"/>
      <c r="B47" s="82" t="s">
        <v>131</v>
      </c>
      <c r="C47" s="83"/>
      <c r="D47" s="83"/>
      <c r="E47" s="84"/>
      <c r="F47" s="23">
        <v>2</v>
      </c>
      <c r="G47" s="23" t="s">
        <v>129</v>
      </c>
      <c r="H47" s="23" t="s">
        <v>129</v>
      </c>
      <c r="I47" s="23" t="s">
        <v>129</v>
      </c>
      <c r="J47" s="82"/>
      <c r="K47" s="83"/>
      <c r="L47" s="83"/>
      <c r="M47" s="83"/>
      <c r="N47" s="83"/>
      <c r="O47" s="84"/>
      <c r="P47" s="23"/>
      <c r="Q47" s="23"/>
      <c r="R47" s="23"/>
      <c r="S47" s="23"/>
    </row>
    <row r="48" spans="1:19" ht="18" customHeight="1" x14ac:dyDescent="0.15">
      <c r="A48" s="3"/>
      <c r="B48" s="85"/>
      <c r="C48" s="86"/>
      <c r="D48" s="86"/>
      <c r="E48" s="87"/>
      <c r="F48" s="24"/>
      <c r="G48" s="24"/>
      <c r="H48" s="24"/>
      <c r="I48" s="24"/>
      <c r="J48" s="85"/>
      <c r="K48" s="86"/>
      <c r="L48" s="86"/>
      <c r="M48" s="86"/>
      <c r="N48" s="86"/>
      <c r="O48" s="87"/>
      <c r="P48" s="24"/>
      <c r="Q48" s="24"/>
      <c r="R48" s="24"/>
      <c r="S48" s="24"/>
    </row>
    <row r="49" spans="1:19" ht="18" customHeight="1" x14ac:dyDescent="0.15">
      <c r="A49" s="3"/>
      <c r="B49" s="85"/>
      <c r="C49" s="86"/>
      <c r="D49" s="86"/>
      <c r="E49" s="87"/>
      <c r="F49" s="24"/>
      <c r="G49" s="24"/>
      <c r="H49" s="24"/>
      <c r="I49" s="24"/>
      <c r="J49" s="85"/>
      <c r="K49" s="86"/>
      <c r="L49" s="86"/>
      <c r="M49" s="86"/>
      <c r="N49" s="86"/>
      <c r="O49" s="87"/>
      <c r="P49" s="24"/>
      <c r="Q49" s="24"/>
      <c r="R49" s="24"/>
      <c r="S49" s="24"/>
    </row>
    <row r="50" spans="1:19" ht="18" customHeight="1" x14ac:dyDescent="0.15">
      <c r="A50" s="3"/>
      <c r="B50" s="85"/>
      <c r="C50" s="86"/>
      <c r="D50" s="86"/>
      <c r="E50" s="87"/>
      <c r="F50" s="24"/>
      <c r="G50" s="24"/>
      <c r="H50" s="24"/>
      <c r="I50" s="24"/>
      <c r="J50" s="85"/>
      <c r="K50" s="86"/>
      <c r="L50" s="86"/>
      <c r="M50" s="86"/>
      <c r="N50" s="86"/>
      <c r="O50" s="87"/>
      <c r="P50" s="24"/>
      <c r="Q50" s="24"/>
      <c r="R50" s="24"/>
      <c r="S50" s="24"/>
    </row>
    <row r="51" spans="1:19" ht="18" customHeight="1" x14ac:dyDescent="0.15">
      <c r="A51" s="3"/>
      <c r="B51" s="85"/>
      <c r="C51" s="86"/>
      <c r="D51" s="86"/>
      <c r="E51" s="87"/>
      <c r="F51" s="24"/>
      <c r="G51" s="24"/>
      <c r="H51" s="24"/>
      <c r="I51" s="24"/>
      <c r="J51" s="85"/>
      <c r="K51" s="86"/>
      <c r="L51" s="86"/>
      <c r="M51" s="86"/>
      <c r="N51" s="86"/>
      <c r="O51" s="87"/>
      <c r="P51" s="24"/>
      <c r="Q51" s="24"/>
      <c r="R51" s="24"/>
      <c r="S51" s="24"/>
    </row>
    <row r="52" spans="1:19" ht="18" customHeight="1" x14ac:dyDescent="0.15">
      <c r="A52" s="3"/>
      <c r="B52" s="85"/>
      <c r="C52" s="86"/>
      <c r="D52" s="86"/>
      <c r="E52" s="87"/>
      <c r="F52" s="24"/>
      <c r="G52" s="24"/>
      <c r="H52" s="24"/>
      <c r="I52" s="24"/>
      <c r="J52" s="85"/>
      <c r="K52" s="86"/>
      <c r="L52" s="86"/>
      <c r="M52" s="86"/>
      <c r="N52" s="86"/>
      <c r="O52" s="87"/>
      <c r="P52" s="24"/>
      <c r="Q52" s="24"/>
      <c r="R52" s="24"/>
      <c r="S52" s="24"/>
    </row>
    <row r="53" spans="1:19" ht="18" customHeight="1" x14ac:dyDescent="0.15">
      <c r="A53" s="3"/>
      <c r="B53" s="91"/>
      <c r="C53" s="92"/>
      <c r="D53" s="92"/>
      <c r="E53" s="93"/>
      <c r="F53" s="25"/>
      <c r="G53" s="25"/>
      <c r="H53" s="26"/>
      <c r="I53" s="26"/>
      <c r="J53" s="91"/>
      <c r="K53" s="92"/>
      <c r="L53" s="92"/>
      <c r="M53" s="92"/>
      <c r="N53" s="92"/>
      <c r="O53" s="93"/>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4" t="s">
        <v>117</v>
      </c>
      <c r="B55" s="94"/>
      <c r="C55" s="94"/>
      <c r="D55" s="94"/>
      <c r="E55" s="94"/>
      <c r="F55" s="94"/>
      <c r="G55" s="94"/>
      <c r="H55" s="94"/>
      <c r="I55" s="94"/>
      <c r="J55" s="94"/>
      <c r="K55" s="94"/>
      <c r="L55" s="94"/>
      <c r="M55" s="94"/>
      <c r="N55" s="94"/>
      <c r="O55" s="94"/>
      <c r="P55" s="94"/>
      <c r="Q55" s="94"/>
      <c r="R55" s="94"/>
      <c r="S55" s="94"/>
    </row>
    <row r="56" spans="1:19" ht="18" customHeight="1" x14ac:dyDescent="0.15">
      <c r="A56" s="94"/>
      <c r="B56" s="94"/>
      <c r="C56" s="94"/>
      <c r="D56" s="94"/>
      <c r="E56" s="94"/>
      <c r="F56" s="94"/>
      <c r="G56" s="94"/>
      <c r="H56" s="94"/>
      <c r="I56" s="94"/>
      <c r="J56" s="94"/>
      <c r="K56" s="94"/>
      <c r="L56" s="94"/>
      <c r="M56" s="94"/>
      <c r="N56" s="94"/>
      <c r="O56" s="94"/>
      <c r="P56" s="94"/>
      <c r="Q56" s="94"/>
      <c r="R56" s="94"/>
      <c r="S56" s="94"/>
    </row>
    <row r="57" spans="1:19" ht="18" customHeight="1" x14ac:dyDescent="0.15">
      <c r="B57" s="88" t="s">
        <v>54</v>
      </c>
      <c r="C57" s="89"/>
      <c r="D57" s="89"/>
      <c r="E57" s="90"/>
      <c r="F57" s="61" t="s">
        <v>81</v>
      </c>
      <c r="G57" s="60" t="s">
        <v>85</v>
      </c>
      <c r="H57" s="22" t="s">
        <v>59</v>
      </c>
      <c r="I57" s="22" t="s">
        <v>61</v>
      </c>
      <c r="J57" s="88" t="s">
        <v>54</v>
      </c>
      <c r="K57" s="89"/>
      <c r="L57" s="89"/>
      <c r="M57" s="89"/>
      <c r="N57" s="89"/>
      <c r="O57" s="90"/>
      <c r="P57" s="61" t="s">
        <v>81</v>
      </c>
      <c r="Q57" s="60" t="s">
        <v>85</v>
      </c>
      <c r="R57" s="22" t="s">
        <v>59</v>
      </c>
      <c r="S57" s="22" t="s">
        <v>61</v>
      </c>
    </row>
    <row r="58" spans="1:19" ht="18" customHeight="1" x14ac:dyDescent="0.15">
      <c r="A58" s="3"/>
      <c r="B58" s="82" t="s">
        <v>131</v>
      </c>
      <c r="C58" s="83"/>
      <c r="D58" s="83"/>
      <c r="E58" s="84"/>
      <c r="F58" s="23">
        <v>2</v>
      </c>
      <c r="G58" s="23" t="s">
        <v>129</v>
      </c>
      <c r="H58" s="23" t="s">
        <v>129</v>
      </c>
      <c r="I58" s="23" t="s">
        <v>129</v>
      </c>
      <c r="J58" s="82"/>
      <c r="K58" s="83"/>
      <c r="L58" s="83"/>
      <c r="M58" s="83"/>
      <c r="N58" s="83"/>
      <c r="O58" s="84"/>
      <c r="P58" s="23"/>
      <c r="Q58" s="23"/>
      <c r="R58" s="23"/>
      <c r="S58" s="23"/>
    </row>
    <row r="59" spans="1:19" ht="18" customHeight="1" x14ac:dyDescent="0.15">
      <c r="A59" s="3"/>
      <c r="B59" s="85" t="s">
        <v>128</v>
      </c>
      <c r="C59" s="86"/>
      <c r="D59" s="86"/>
      <c r="E59" s="87"/>
      <c r="F59" s="24">
        <v>2</v>
      </c>
      <c r="G59" s="24" t="s">
        <v>129</v>
      </c>
      <c r="H59" s="24" t="s">
        <v>129</v>
      </c>
      <c r="I59" s="24" t="s">
        <v>129</v>
      </c>
      <c r="J59" s="85"/>
      <c r="K59" s="86"/>
      <c r="L59" s="86"/>
      <c r="M59" s="86"/>
      <c r="N59" s="86"/>
      <c r="O59" s="87"/>
      <c r="P59" s="24"/>
      <c r="Q59" s="24"/>
      <c r="R59" s="24"/>
      <c r="S59" s="24"/>
    </row>
    <row r="60" spans="1:19" ht="18" customHeight="1" x14ac:dyDescent="0.15">
      <c r="A60" s="3"/>
      <c r="B60" s="85"/>
      <c r="C60" s="86"/>
      <c r="D60" s="86"/>
      <c r="E60" s="87"/>
      <c r="F60" s="24"/>
      <c r="G60" s="24"/>
      <c r="H60" s="24"/>
      <c r="I60" s="24"/>
      <c r="J60" s="85"/>
      <c r="K60" s="86"/>
      <c r="L60" s="86"/>
      <c r="M60" s="86"/>
      <c r="N60" s="86"/>
      <c r="O60" s="87"/>
      <c r="P60" s="24"/>
      <c r="Q60" s="24"/>
      <c r="R60" s="24"/>
      <c r="S60" s="24"/>
    </row>
    <row r="61" spans="1:19" ht="18" customHeight="1" x14ac:dyDescent="0.15">
      <c r="A61" s="3"/>
      <c r="B61" s="85"/>
      <c r="C61" s="86"/>
      <c r="D61" s="86"/>
      <c r="E61" s="87"/>
      <c r="F61" s="24"/>
      <c r="G61" s="24"/>
      <c r="H61" s="24"/>
      <c r="I61" s="24"/>
      <c r="J61" s="85"/>
      <c r="K61" s="86"/>
      <c r="L61" s="86"/>
      <c r="M61" s="86"/>
      <c r="N61" s="86"/>
      <c r="O61" s="87"/>
      <c r="P61" s="24"/>
      <c r="Q61" s="24"/>
      <c r="R61" s="24"/>
      <c r="S61" s="24"/>
    </row>
    <row r="62" spans="1:19" ht="18" customHeight="1" x14ac:dyDescent="0.15">
      <c r="A62" s="3"/>
      <c r="B62" s="85"/>
      <c r="C62" s="86"/>
      <c r="D62" s="86"/>
      <c r="E62" s="87"/>
      <c r="F62" s="24"/>
      <c r="G62" s="24"/>
      <c r="H62" s="24"/>
      <c r="I62" s="24"/>
      <c r="J62" s="85"/>
      <c r="K62" s="86"/>
      <c r="L62" s="86"/>
      <c r="M62" s="86"/>
      <c r="N62" s="86"/>
      <c r="O62" s="87"/>
      <c r="P62" s="24"/>
      <c r="Q62" s="24"/>
      <c r="R62" s="24"/>
      <c r="S62" s="24"/>
    </row>
    <row r="63" spans="1:19" ht="18" customHeight="1" x14ac:dyDescent="0.15">
      <c r="A63" s="3"/>
      <c r="B63" s="85"/>
      <c r="C63" s="86"/>
      <c r="D63" s="86"/>
      <c r="E63" s="87"/>
      <c r="F63" s="24"/>
      <c r="G63" s="24"/>
      <c r="H63" s="24"/>
      <c r="I63" s="24"/>
      <c r="J63" s="85"/>
      <c r="K63" s="86"/>
      <c r="L63" s="86"/>
      <c r="M63" s="86"/>
      <c r="N63" s="86"/>
      <c r="O63" s="87"/>
      <c r="P63" s="24"/>
      <c r="Q63" s="24"/>
      <c r="R63" s="24"/>
      <c r="S63" s="24"/>
    </row>
    <row r="64" spans="1:19" ht="18" customHeight="1" x14ac:dyDescent="0.15">
      <c r="A64" s="3"/>
      <c r="B64" s="91"/>
      <c r="C64" s="92"/>
      <c r="D64" s="92"/>
      <c r="E64" s="93"/>
      <c r="F64" s="25"/>
      <c r="G64" s="25"/>
      <c r="H64" s="26"/>
      <c r="I64" s="26"/>
      <c r="J64" s="91"/>
      <c r="K64" s="92"/>
      <c r="L64" s="92"/>
      <c r="M64" s="92"/>
      <c r="N64" s="92"/>
      <c r="O64" s="93"/>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4" t="s">
        <v>118</v>
      </c>
      <c r="B66" s="94"/>
      <c r="C66" s="94"/>
      <c r="D66" s="94"/>
      <c r="E66" s="94"/>
      <c r="F66" s="94"/>
      <c r="G66" s="94"/>
      <c r="H66" s="94"/>
      <c r="I66" s="94"/>
      <c r="J66" s="94"/>
      <c r="K66" s="94"/>
      <c r="L66" s="94"/>
      <c r="M66" s="94"/>
      <c r="N66" s="94"/>
      <c r="O66" s="94"/>
      <c r="P66" s="94"/>
      <c r="Q66" s="94"/>
      <c r="R66" s="94"/>
      <c r="S66" s="94"/>
    </row>
    <row r="67" spans="1:19" ht="18" customHeight="1" x14ac:dyDescent="0.15">
      <c r="A67" s="94"/>
      <c r="B67" s="94"/>
      <c r="C67" s="94"/>
      <c r="D67" s="94"/>
      <c r="E67" s="94"/>
      <c r="F67" s="94"/>
      <c r="G67" s="94"/>
      <c r="H67" s="94"/>
      <c r="I67" s="94"/>
      <c r="J67" s="94"/>
      <c r="K67" s="94"/>
      <c r="L67" s="94"/>
      <c r="M67" s="94"/>
      <c r="N67" s="94"/>
      <c r="O67" s="94"/>
      <c r="P67" s="94"/>
      <c r="Q67" s="94"/>
      <c r="R67" s="94"/>
      <c r="S67" s="94"/>
    </row>
    <row r="68" spans="1:19" ht="18" customHeight="1" x14ac:dyDescent="0.15">
      <c r="B68" s="88" t="s">
        <v>54</v>
      </c>
      <c r="C68" s="89"/>
      <c r="D68" s="89"/>
      <c r="E68" s="61" t="s">
        <v>81</v>
      </c>
      <c r="F68" s="60" t="s">
        <v>85</v>
      </c>
      <c r="G68" s="22" t="s">
        <v>102</v>
      </c>
      <c r="H68" s="22" t="s">
        <v>76</v>
      </c>
      <c r="I68" s="22" t="s">
        <v>77</v>
      </c>
      <c r="J68" s="88" t="s">
        <v>54</v>
      </c>
      <c r="K68" s="89"/>
      <c r="L68" s="89"/>
      <c r="M68" s="89"/>
      <c r="N68" s="90"/>
      <c r="O68" s="61" t="s">
        <v>81</v>
      </c>
      <c r="P68" s="60" t="s">
        <v>85</v>
      </c>
      <c r="Q68" s="22" t="s">
        <v>102</v>
      </c>
      <c r="R68" s="22" t="s">
        <v>76</v>
      </c>
      <c r="S68" s="22" t="s">
        <v>77</v>
      </c>
    </row>
    <row r="69" spans="1:19" ht="18" customHeight="1" x14ac:dyDescent="0.15">
      <c r="A69" s="3"/>
      <c r="B69" s="82" t="s">
        <v>131</v>
      </c>
      <c r="C69" s="83"/>
      <c r="D69" s="83"/>
      <c r="E69" s="23">
        <v>2</v>
      </c>
      <c r="F69" s="23" t="s">
        <v>129</v>
      </c>
      <c r="G69" s="23" t="s">
        <v>129</v>
      </c>
      <c r="H69" s="23" t="s">
        <v>129</v>
      </c>
      <c r="I69" s="23" t="s">
        <v>129</v>
      </c>
      <c r="J69" s="82"/>
      <c r="K69" s="83"/>
      <c r="L69" s="83"/>
      <c r="M69" s="83"/>
      <c r="N69" s="84"/>
      <c r="O69" s="23"/>
      <c r="P69" s="23"/>
      <c r="Q69" s="23"/>
      <c r="R69" s="23"/>
      <c r="S69" s="23"/>
    </row>
    <row r="70" spans="1:19" ht="18" customHeight="1" x14ac:dyDescent="0.15">
      <c r="A70" s="3"/>
      <c r="B70" s="85" t="s">
        <v>128</v>
      </c>
      <c r="C70" s="86"/>
      <c r="D70" s="86"/>
      <c r="E70" s="24">
        <v>2</v>
      </c>
      <c r="F70" s="24" t="s">
        <v>129</v>
      </c>
      <c r="G70" s="24"/>
      <c r="H70" s="24" t="s">
        <v>129</v>
      </c>
      <c r="I70" s="24" t="s">
        <v>129</v>
      </c>
      <c r="J70" s="85"/>
      <c r="K70" s="86"/>
      <c r="L70" s="86"/>
      <c r="M70" s="86"/>
      <c r="N70" s="87"/>
      <c r="O70" s="24"/>
      <c r="P70" s="24"/>
      <c r="Q70" s="24"/>
      <c r="R70" s="24"/>
      <c r="S70" s="24"/>
    </row>
    <row r="71" spans="1:19" ht="18" customHeight="1" x14ac:dyDescent="0.15">
      <c r="A71" s="3"/>
      <c r="B71" s="85"/>
      <c r="C71" s="86"/>
      <c r="D71" s="86"/>
      <c r="E71" s="24"/>
      <c r="F71" s="24"/>
      <c r="G71" s="24"/>
      <c r="H71" s="24"/>
      <c r="I71" s="24"/>
      <c r="J71" s="85"/>
      <c r="K71" s="86"/>
      <c r="L71" s="86"/>
      <c r="M71" s="86"/>
      <c r="N71" s="87"/>
      <c r="O71" s="24"/>
      <c r="P71" s="24"/>
      <c r="Q71" s="24"/>
      <c r="R71" s="24"/>
      <c r="S71" s="24"/>
    </row>
    <row r="72" spans="1:19" ht="18" customHeight="1" x14ac:dyDescent="0.15">
      <c r="A72" s="3"/>
      <c r="B72" s="85"/>
      <c r="C72" s="86"/>
      <c r="D72" s="86"/>
      <c r="E72" s="24"/>
      <c r="F72" s="24"/>
      <c r="G72" s="24"/>
      <c r="H72" s="24"/>
      <c r="I72" s="24"/>
      <c r="J72" s="85"/>
      <c r="K72" s="86"/>
      <c r="L72" s="86"/>
      <c r="M72" s="86"/>
      <c r="N72" s="87"/>
      <c r="O72" s="24"/>
      <c r="P72" s="24"/>
      <c r="Q72" s="24"/>
      <c r="R72" s="24"/>
      <c r="S72" s="24"/>
    </row>
    <row r="73" spans="1:19" ht="18" customHeight="1" x14ac:dyDescent="0.15">
      <c r="A73" s="3"/>
      <c r="B73" s="85"/>
      <c r="C73" s="86"/>
      <c r="D73" s="86"/>
      <c r="E73" s="24"/>
      <c r="F73" s="24"/>
      <c r="G73" s="24"/>
      <c r="H73" s="24"/>
      <c r="I73" s="24"/>
      <c r="J73" s="85"/>
      <c r="K73" s="86"/>
      <c r="L73" s="86"/>
      <c r="M73" s="86"/>
      <c r="N73" s="87"/>
      <c r="O73" s="24"/>
      <c r="P73" s="24"/>
      <c r="Q73" s="24"/>
      <c r="R73" s="24"/>
      <c r="S73" s="24"/>
    </row>
    <row r="74" spans="1:19" ht="18" customHeight="1" x14ac:dyDescent="0.15">
      <c r="A74" s="3"/>
      <c r="B74" s="85"/>
      <c r="C74" s="86"/>
      <c r="D74" s="86"/>
      <c r="E74" s="24"/>
      <c r="F74" s="24"/>
      <c r="G74" s="24"/>
      <c r="H74" s="24"/>
      <c r="I74" s="24"/>
      <c r="J74" s="85"/>
      <c r="K74" s="86"/>
      <c r="L74" s="86"/>
      <c r="M74" s="86"/>
      <c r="N74" s="87"/>
      <c r="O74" s="24"/>
      <c r="P74" s="24"/>
      <c r="Q74" s="24"/>
      <c r="R74" s="24"/>
      <c r="S74" s="24"/>
    </row>
    <row r="75" spans="1:19" ht="18" customHeight="1" x14ac:dyDescent="0.15">
      <c r="A75" s="3"/>
      <c r="B75" s="91"/>
      <c r="C75" s="92"/>
      <c r="D75" s="92"/>
      <c r="E75" s="25"/>
      <c r="F75" s="25"/>
      <c r="G75" s="26"/>
      <c r="H75" s="26"/>
      <c r="I75" s="26"/>
      <c r="J75" s="91"/>
      <c r="K75" s="92"/>
      <c r="L75" s="92"/>
      <c r="M75" s="92"/>
      <c r="N75" s="93"/>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88" t="s">
        <v>54</v>
      </c>
      <c r="C78" s="89"/>
      <c r="D78" s="89"/>
      <c r="E78" s="90"/>
      <c r="F78" s="88" t="s">
        <v>83</v>
      </c>
      <c r="G78" s="89"/>
      <c r="H78" s="89"/>
      <c r="I78" s="90"/>
      <c r="J78" s="114" t="s">
        <v>54</v>
      </c>
      <c r="K78" s="115"/>
      <c r="L78" s="115"/>
      <c r="M78" s="115"/>
      <c r="N78" s="115"/>
      <c r="O78" s="116"/>
      <c r="P78" s="88" t="s">
        <v>83</v>
      </c>
      <c r="Q78" s="89"/>
      <c r="R78" s="89"/>
      <c r="S78" s="90"/>
    </row>
    <row r="79" spans="1:19" ht="18" customHeight="1" x14ac:dyDescent="0.15">
      <c r="A79" s="3"/>
      <c r="B79" s="82" t="s">
        <v>132</v>
      </c>
      <c r="C79" s="83"/>
      <c r="D79" s="83"/>
      <c r="E79" s="84"/>
      <c r="F79" s="108" t="s">
        <v>133</v>
      </c>
      <c r="G79" s="109"/>
      <c r="H79" s="109"/>
      <c r="I79" s="110"/>
      <c r="J79" s="82"/>
      <c r="K79" s="83"/>
      <c r="L79" s="83"/>
      <c r="M79" s="83"/>
      <c r="N79" s="83"/>
      <c r="O79" s="84"/>
      <c r="P79" s="108"/>
      <c r="Q79" s="109"/>
      <c r="R79" s="109"/>
      <c r="S79" s="110"/>
    </row>
    <row r="80" spans="1:19" ht="18" customHeight="1" x14ac:dyDescent="0.15">
      <c r="A80" s="3"/>
      <c r="B80" s="85" t="s">
        <v>134</v>
      </c>
      <c r="C80" s="86"/>
      <c r="D80" s="86"/>
      <c r="E80" s="87"/>
      <c r="F80" s="111" t="s">
        <v>135</v>
      </c>
      <c r="G80" s="112"/>
      <c r="H80" s="112"/>
      <c r="I80" s="113"/>
      <c r="J80" s="85"/>
      <c r="K80" s="86"/>
      <c r="L80" s="86"/>
      <c r="M80" s="86"/>
      <c r="N80" s="86"/>
      <c r="O80" s="87"/>
      <c r="P80" s="111"/>
      <c r="Q80" s="112"/>
      <c r="R80" s="112"/>
      <c r="S80" s="113"/>
    </row>
    <row r="81" spans="1:19" ht="18" customHeight="1" x14ac:dyDescent="0.15">
      <c r="A81" s="3"/>
      <c r="B81" s="85" t="s">
        <v>136</v>
      </c>
      <c r="C81" s="86"/>
      <c r="D81" s="86"/>
      <c r="E81" s="87"/>
      <c r="F81" s="111" t="s">
        <v>137</v>
      </c>
      <c r="G81" s="112"/>
      <c r="H81" s="112"/>
      <c r="I81" s="113"/>
      <c r="J81" s="85"/>
      <c r="K81" s="86"/>
      <c r="L81" s="86"/>
      <c r="M81" s="86"/>
      <c r="N81" s="86"/>
      <c r="O81" s="87"/>
      <c r="P81" s="111"/>
      <c r="Q81" s="112"/>
      <c r="R81" s="112"/>
      <c r="S81" s="113"/>
    </row>
    <row r="82" spans="1:19" ht="18" customHeight="1" x14ac:dyDescent="0.15">
      <c r="A82" s="3"/>
      <c r="B82" s="85"/>
      <c r="C82" s="86"/>
      <c r="D82" s="86"/>
      <c r="E82" s="87"/>
      <c r="F82" s="111"/>
      <c r="G82" s="112"/>
      <c r="H82" s="112"/>
      <c r="I82" s="113"/>
      <c r="J82" s="85"/>
      <c r="K82" s="86"/>
      <c r="L82" s="86"/>
      <c r="M82" s="86"/>
      <c r="N82" s="86"/>
      <c r="O82" s="87"/>
      <c r="P82" s="111"/>
      <c r="Q82" s="112"/>
      <c r="R82" s="112"/>
      <c r="S82" s="113"/>
    </row>
    <row r="83" spans="1:19" ht="18" customHeight="1" x14ac:dyDescent="0.15">
      <c r="A83" s="3"/>
      <c r="B83" s="85"/>
      <c r="C83" s="86"/>
      <c r="D83" s="86"/>
      <c r="E83" s="87"/>
      <c r="F83" s="111"/>
      <c r="G83" s="112"/>
      <c r="H83" s="112"/>
      <c r="I83" s="113"/>
      <c r="J83" s="85"/>
      <c r="K83" s="86"/>
      <c r="L83" s="86"/>
      <c r="M83" s="86"/>
      <c r="N83" s="86"/>
      <c r="O83" s="87"/>
      <c r="P83" s="111"/>
      <c r="Q83" s="112"/>
      <c r="R83" s="112"/>
      <c r="S83" s="113"/>
    </row>
    <row r="84" spans="1:19" ht="18" customHeight="1" x14ac:dyDescent="0.15">
      <c r="A84" s="3"/>
      <c r="B84" s="85"/>
      <c r="C84" s="86"/>
      <c r="D84" s="86"/>
      <c r="E84" s="87"/>
      <c r="F84" s="111"/>
      <c r="G84" s="112"/>
      <c r="H84" s="112"/>
      <c r="I84" s="113"/>
      <c r="J84" s="85"/>
      <c r="K84" s="86"/>
      <c r="L84" s="86"/>
      <c r="M84" s="86"/>
      <c r="N84" s="86"/>
      <c r="O84" s="87"/>
      <c r="P84" s="111"/>
      <c r="Q84" s="112"/>
      <c r="R84" s="112"/>
      <c r="S84" s="113"/>
    </row>
    <row r="85" spans="1:19" ht="18" customHeight="1" x14ac:dyDescent="0.15">
      <c r="A85" s="3"/>
      <c r="B85" s="91"/>
      <c r="C85" s="92"/>
      <c r="D85" s="92"/>
      <c r="E85" s="93"/>
      <c r="F85" s="120"/>
      <c r="G85" s="121"/>
      <c r="H85" s="121"/>
      <c r="I85" s="122"/>
      <c r="J85" s="91"/>
      <c r="K85" s="92"/>
      <c r="L85" s="92"/>
      <c r="M85" s="92"/>
      <c r="N85" s="92"/>
      <c r="O85" s="93"/>
      <c r="P85" s="120"/>
      <c r="Q85" s="121"/>
      <c r="R85" s="121"/>
      <c r="S85" s="122"/>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04" t="s">
        <v>55</v>
      </c>
      <c r="C88" s="105"/>
      <c r="D88" s="89" t="s">
        <v>56</v>
      </c>
      <c r="E88" s="89"/>
      <c r="F88" s="89"/>
      <c r="G88" s="89"/>
      <c r="H88" s="89"/>
      <c r="I88" s="89"/>
      <c r="J88" s="89"/>
      <c r="K88" s="89"/>
      <c r="L88" s="89"/>
      <c r="M88" s="89"/>
      <c r="N88" s="89"/>
      <c r="O88" s="89"/>
      <c r="P88" s="89"/>
      <c r="Q88" s="89"/>
      <c r="R88" s="89"/>
      <c r="S88" s="90"/>
    </row>
    <row r="89" spans="1:19" ht="97.5" customHeight="1" x14ac:dyDescent="0.15">
      <c r="B89" s="95" t="s">
        <v>62</v>
      </c>
      <c r="C89" s="28" t="s">
        <v>57</v>
      </c>
      <c r="D89" s="106" t="s">
        <v>138</v>
      </c>
      <c r="E89" s="106"/>
      <c r="F89" s="106"/>
      <c r="G89" s="106"/>
      <c r="H89" s="106"/>
      <c r="I89" s="106"/>
      <c r="J89" s="106"/>
      <c r="K89" s="106"/>
      <c r="L89" s="106"/>
      <c r="M89" s="106"/>
      <c r="N89" s="106"/>
      <c r="O89" s="106"/>
      <c r="P89" s="106"/>
      <c r="Q89" s="106"/>
      <c r="R89" s="106"/>
      <c r="S89" s="107"/>
    </row>
    <row r="90" spans="1:19" ht="97.5" customHeight="1" x14ac:dyDescent="0.15">
      <c r="B90" s="96"/>
      <c r="C90" s="29" t="s">
        <v>78</v>
      </c>
      <c r="D90" s="123" t="s">
        <v>139</v>
      </c>
      <c r="E90" s="123"/>
      <c r="F90" s="123"/>
      <c r="G90" s="123"/>
      <c r="H90" s="123"/>
      <c r="I90" s="123"/>
      <c r="J90" s="123"/>
      <c r="K90" s="123"/>
      <c r="L90" s="123"/>
      <c r="M90" s="123"/>
      <c r="N90" s="123"/>
      <c r="O90" s="123"/>
      <c r="P90" s="123"/>
      <c r="Q90" s="123"/>
      <c r="R90" s="123"/>
      <c r="S90" s="124"/>
    </row>
    <row r="91" spans="1:19" ht="97.5" customHeight="1" x14ac:dyDescent="0.15">
      <c r="B91" s="95" t="s">
        <v>63</v>
      </c>
      <c r="C91" s="30" t="s">
        <v>72</v>
      </c>
      <c r="D91" s="125" t="s">
        <v>140</v>
      </c>
      <c r="E91" s="125"/>
      <c r="F91" s="125"/>
      <c r="G91" s="125"/>
      <c r="H91" s="125"/>
      <c r="I91" s="125"/>
      <c r="J91" s="125"/>
      <c r="K91" s="125"/>
      <c r="L91" s="125"/>
      <c r="M91" s="125"/>
      <c r="N91" s="125"/>
      <c r="O91" s="125"/>
      <c r="P91" s="125"/>
      <c r="Q91" s="125"/>
      <c r="R91" s="125"/>
      <c r="S91" s="126"/>
    </row>
    <row r="92" spans="1:19" ht="97.5" customHeight="1" x14ac:dyDescent="0.15">
      <c r="B92" s="97"/>
      <c r="C92" s="31" t="s">
        <v>73</v>
      </c>
      <c r="D92" s="129" t="s">
        <v>141</v>
      </c>
      <c r="E92" s="129"/>
      <c r="F92" s="129"/>
      <c r="G92" s="129"/>
      <c r="H92" s="129"/>
      <c r="I92" s="129"/>
      <c r="J92" s="129"/>
      <c r="K92" s="129"/>
      <c r="L92" s="129"/>
      <c r="M92" s="129"/>
      <c r="N92" s="129"/>
      <c r="O92" s="129"/>
      <c r="P92" s="129"/>
      <c r="Q92" s="129"/>
      <c r="R92" s="129"/>
      <c r="S92" s="130"/>
    </row>
    <row r="93" spans="1:19" ht="97.5" customHeight="1" x14ac:dyDescent="0.15">
      <c r="B93" s="95" t="s">
        <v>64</v>
      </c>
      <c r="C93" s="30" t="s">
        <v>74</v>
      </c>
      <c r="D93" s="125" t="s">
        <v>143</v>
      </c>
      <c r="E93" s="125"/>
      <c r="F93" s="125"/>
      <c r="G93" s="125"/>
      <c r="H93" s="125"/>
      <c r="I93" s="125"/>
      <c r="J93" s="125"/>
      <c r="K93" s="125"/>
      <c r="L93" s="125"/>
      <c r="M93" s="125"/>
      <c r="N93" s="125"/>
      <c r="O93" s="125"/>
      <c r="P93" s="125"/>
      <c r="Q93" s="125"/>
      <c r="R93" s="125"/>
      <c r="S93" s="126"/>
    </row>
    <row r="94" spans="1:19" ht="97.5" customHeight="1" x14ac:dyDescent="0.15">
      <c r="B94" s="97"/>
      <c r="C94" s="32" t="s">
        <v>75</v>
      </c>
      <c r="D94" s="127" t="s">
        <v>142</v>
      </c>
      <c r="E94" s="127"/>
      <c r="F94" s="127"/>
      <c r="G94" s="127"/>
      <c r="H94" s="127"/>
      <c r="I94" s="127"/>
      <c r="J94" s="127"/>
      <c r="K94" s="127"/>
      <c r="L94" s="127"/>
      <c r="M94" s="127"/>
      <c r="N94" s="127"/>
      <c r="O94" s="127"/>
      <c r="P94" s="127"/>
      <c r="Q94" s="127"/>
      <c r="R94" s="127"/>
      <c r="S94" s="128"/>
    </row>
    <row r="95" spans="1:19" ht="97.5" customHeight="1" x14ac:dyDescent="0.15">
      <c r="B95" s="95" t="s">
        <v>79</v>
      </c>
      <c r="C95" s="28" t="s">
        <v>59</v>
      </c>
      <c r="D95" s="102" t="s">
        <v>145</v>
      </c>
      <c r="E95" s="102"/>
      <c r="F95" s="102"/>
      <c r="G95" s="102"/>
      <c r="H95" s="102"/>
      <c r="I95" s="102"/>
      <c r="J95" s="102"/>
      <c r="K95" s="102"/>
      <c r="L95" s="102"/>
      <c r="M95" s="102"/>
      <c r="N95" s="102"/>
      <c r="O95" s="102"/>
      <c r="P95" s="102"/>
      <c r="Q95" s="102"/>
      <c r="R95" s="102"/>
      <c r="S95" s="103"/>
    </row>
    <row r="96" spans="1:19" ht="97.5" customHeight="1" x14ac:dyDescent="0.15">
      <c r="B96" s="97"/>
      <c r="C96" s="31" t="s">
        <v>61</v>
      </c>
      <c r="D96" s="129" t="s">
        <v>146</v>
      </c>
      <c r="E96" s="129"/>
      <c r="F96" s="129"/>
      <c r="G96" s="129"/>
      <c r="H96" s="129"/>
      <c r="I96" s="129"/>
      <c r="J96" s="129"/>
      <c r="K96" s="129"/>
      <c r="L96" s="129"/>
      <c r="M96" s="129"/>
      <c r="N96" s="129"/>
      <c r="O96" s="129"/>
      <c r="P96" s="129"/>
      <c r="Q96" s="129"/>
      <c r="R96" s="129"/>
      <c r="S96" s="130"/>
    </row>
    <row r="97" spans="1:19" ht="97.5" customHeight="1" x14ac:dyDescent="0.15">
      <c r="B97" s="95" t="s">
        <v>80</v>
      </c>
      <c r="C97" s="30" t="s">
        <v>58</v>
      </c>
      <c r="D97" s="98" t="s">
        <v>144</v>
      </c>
      <c r="E97" s="98"/>
      <c r="F97" s="98"/>
      <c r="G97" s="98"/>
      <c r="H97" s="98"/>
      <c r="I97" s="98"/>
      <c r="J97" s="98"/>
      <c r="K97" s="98"/>
      <c r="L97" s="98"/>
      <c r="M97" s="98"/>
      <c r="N97" s="98"/>
      <c r="O97" s="98"/>
      <c r="P97" s="98"/>
      <c r="Q97" s="98"/>
      <c r="R97" s="98"/>
      <c r="S97" s="99"/>
    </row>
    <row r="98" spans="1:19" ht="97.5" customHeight="1" x14ac:dyDescent="0.15">
      <c r="B98" s="96"/>
      <c r="C98" s="33" t="s">
        <v>76</v>
      </c>
      <c r="D98" s="131" t="s">
        <v>148</v>
      </c>
      <c r="E98" s="132"/>
      <c r="F98" s="132"/>
      <c r="G98" s="132"/>
      <c r="H98" s="132"/>
      <c r="I98" s="132"/>
      <c r="J98" s="132"/>
      <c r="K98" s="132"/>
      <c r="L98" s="132"/>
      <c r="M98" s="132"/>
      <c r="N98" s="132"/>
      <c r="O98" s="132"/>
      <c r="P98" s="132"/>
      <c r="Q98" s="132"/>
      <c r="R98" s="132"/>
      <c r="S98" s="133"/>
    </row>
    <row r="99" spans="1:19" ht="97.5" customHeight="1" x14ac:dyDescent="0.15">
      <c r="B99" s="97"/>
      <c r="C99" s="32" t="s">
        <v>77</v>
      </c>
      <c r="D99" s="100" t="s">
        <v>147</v>
      </c>
      <c r="E99" s="100"/>
      <c r="F99" s="100"/>
      <c r="G99" s="100"/>
      <c r="H99" s="100"/>
      <c r="I99" s="100"/>
      <c r="J99" s="100"/>
      <c r="K99" s="100"/>
      <c r="L99" s="100"/>
      <c r="M99" s="100"/>
      <c r="N99" s="100"/>
      <c r="O99" s="100"/>
      <c r="P99" s="100"/>
      <c r="Q99" s="100"/>
      <c r="R99" s="100"/>
      <c r="S99" s="101"/>
    </row>
    <row r="100" spans="1:19" ht="6" customHeight="1" x14ac:dyDescent="0.15"/>
    <row r="101" spans="1:19" ht="18.75" customHeight="1" x14ac:dyDescent="0.15">
      <c r="A101" s="1" t="s">
        <v>121</v>
      </c>
    </row>
    <row r="102" spans="1:19" ht="81.75" customHeight="1" x14ac:dyDescent="0.15">
      <c r="B102" s="117" t="s">
        <v>155</v>
      </c>
      <c r="C102" s="118"/>
      <c r="D102" s="118"/>
      <c r="E102" s="118"/>
      <c r="F102" s="118"/>
      <c r="G102" s="118"/>
      <c r="H102" s="118"/>
      <c r="I102" s="118"/>
      <c r="J102" s="118"/>
      <c r="K102" s="118"/>
      <c r="L102" s="118"/>
      <c r="M102" s="118"/>
      <c r="N102" s="118"/>
      <c r="O102" s="118"/>
      <c r="P102" s="118"/>
      <c r="Q102" s="118"/>
      <c r="R102" s="118"/>
      <c r="S102" s="119"/>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B15" sqref="B15"/>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56" t="str">
        <f>'様式１　プログラムを構成する授業科目'!C2</f>
        <v>長崎総合科学大学</v>
      </c>
      <c r="AN2" s="156"/>
      <c r="AO2" s="156"/>
      <c r="AP2" s="156"/>
      <c r="AQ2" s="156"/>
    </row>
    <row r="3" spans="1:45" ht="18" customHeight="1" x14ac:dyDescent="0.15">
      <c r="A3" s="138" t="s">
        <v>48</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57" t="s">
        <v>161</v>
      </c>
      <c r="D5" s="158"/>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59" t="s">
        <v>45</v>
      </c>
      <c r="C9" s="174" t="s">
        <v>87</v>
      </c>
      <c r="D9" s="162" t="s">
        <v>47</v>
      </c>
      <c r="E9" s="165" t="s">
        <v>40</v>
      </c>
      <c r="F9" s="153" t="s">
        <v>86</v>
      </c>
      <c r="G9" s="153"/>
      <c r="H9" s="153"/>
      <c r="I9" s="153"/>
      <c r="J9" s="153"/>
      <c r="K9" s="153"/>
      <c r="L9" s="153" t="s">
        <v>49</v>
      </c>
      <c r="M9" s="153"/>
      <c r="N9" s="153"/>
      <c r="O9" s="153"/>
      <c r="P9" s="153"/>
      <c r="Q9" s="153"/>
      <c r="R9" s="153" t="s">
        <v>50</v>
      </c>
      <c r="S9" s="153"/>
      <c r="T9" s="153"/>
      <c r="U9" s="153"/>
      <c r="V9" s="153"/>
      <c r="W9" s="153"/>
      <c r="X9" s="153" t="s">
        <v>101</v>
      </c>
      <c r="Y9" s="153"/>
      <c r="Z9" s="153"/>
      <c r="AA9" s="153"/>
      <c r="AB9" s="153"/>
      <c r="AC9" s="153"/>
      <c r="AD9" s="153" t="s">
        <v>51</v>
      </c>
      <c r="AE9" s="153"/>
      <c r="AF9" s="153"/>
      <c r="AG9" s="153"/>
      <c r="AH9" s="153"/>
      <c r="AI9" s="153"/>
      <c r="AJ9" s="153" t="s">
        <v>52</v>
      </c>
      <c r="AK9" s="153"/>
      <c r="AL9" s="153"/>
      <c r="AM9" s="153"/>
      <c r="AN9" s="153"/>
      <c r="AO9" s="153"/>
      <c r="AP9" s="168" t="s">
        <v>35</v>
      </c>
      <c r="AQ9" s="171" t="s">
        <v>32</v>
      </c>
      <c r="AS9" s="2"/>
    </row>
    <row r="10" spans="1:45" ht="17.100000000000001" customHeight="1" x14ac:dyDescent="0.15">
      <c r="B10" s="160"/>
      <c r="C10" s="175"/>
      <c r="D10" s="163"/>
      <c r="E10" s="166"/>
      <c r="F10" s="154" t="s">
        <v>97</v>
      </c>
      <c r="G10" s="155"/>
      <c r="H10" s="155"/>
      <c r="I10" s="154" t="s">
        <v>29</v>
      </c>
      <c r="J10" s="155"/>
      <c r="K10" s="155"/>
      <c r="L10" s="154" t="s">
        <v>97</v>
      </c>
      <c r="M10" s="155"/>
      <c r="N10" s="155"/>
      <c r="O10" s="154" t="s">
        <v>29</v>
      </c>
      <c r="P10" s="155"/>
      <c r="Q10" s="155"/>
      <c r="R10" s="154" t="s">
        <v>97</v>
      </c>
      <c r="S10" s="155"/>
      <c r="T10" s="155"/>
      <c r="U10" s="154" t="s">
        <v>29</v>
      </c>
      <c r="V10" s="155"/>
      <c r="W10" s="155"/>
      <c r="X10" s="154" t="s">
        <v>97</v>
      </c>
      <c r="Y10" s="155"/>
      <c r="Z10" s="155"/>
      <c r="AA10" s="154" t="s">
        <v>29</v>
      </c>
      <c r="AB10" s="155"/>
      <c r="AC10" s="155"/>
      <c r="AD10" s="154" t="s">
        <v>97</v>
      </c>
      <c r="AE10" s="155"/>
      <c r="AF10" s="155"/>
      <c r="AG10" s="154" t="s">
        <v>29</v>
      </c>
      <c r="AH10" s="155"/>
      <c r="AI10" s="155"/>
      <c r="AJ10" s="154" t="s">
        <v>97</v>
      </c>
      <c r="AK10" s="155"/>
      <c r="AL10" s="155"/>
      <c r="AM10" s="154" t="s">
        <v>29</v>
      </c>
      <c r="AN10" s="155"/>
      <c r="AO10" s="155"/>
      <c r="AP10" s="169"/>
      <c r="AQ10" s="172"/>
      <c r="AS10" s="2"/>
    </row>
    <row r="11" spans="1:45" ht="18" customHeight="1" x14ac:dyDescent="0.15">
      <c r="B11" s="161"/>
      <c r="C11" s="176"/>
      <c r="D11" s="164"/>
      <c r="E11" s="167"/>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0"/>
      <c r="AQ11" s="173"/>
      <c r="AS11" s="2"/>
    </row>
    <row r="12" spans="1:45" ht="18" customHeight="1" x14ac:dyDescent="0.15">
      <c r="A12" s="6"/>
      <c r="B12" s="11" t="s">
        <v>179</v>
      </c>
      <c r="C12" s="62">
        <v>422</v>
      </c>
      <c r="D12" s="63">
        <v>150</v>
      </c>
      <c r="E12" s="64">
        <v>600</v>
      </c>
      <c r="F12" s="64">
        <f>G12+H12</f>
        <v>96</v>
      </c>
      <c r="G12" s="65">
        <v>83</v>
      </c>
      <c r="H12" s="66">
        <v>13</v>
      </c>
      <c r="I12" s="64">
        <f>J12+K12</f>
        <v>17</v>
      </c>
      <c r="J12" s="65">
        <v>15</v>
      </c>
      <c r="K12" s="66">
        <v>2</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96</v>
      </c>
      <c r="AQ12" s="21">
        <f t="shared" ref="AQ12:AQ32" si="0">AP12/E12</f>
        <v>0.16</v>
      </c>
    </row>
    <row r="13" spans="1:45" ht="18" customHeight="1" x14ac:dyDescent="0.15">
      <c r="A13" s="6"/>
      <c r="B13" s="12" t="s">
        <v>180</v>
      </c>
      <c r="C13" s="67">
        <v>331</v>
      </c>
      <c r="D13" s="68">
        <v>85</v>
      </c>
      <c r="E13" s="69">
        <v>340</v>
      </c>
      <c r="F13" s="70">
        <f t="shared" ref="F13:F31" si="1">G13+H13</f>
        <v>89</v>
      </c>
      <c r="G13" s="71">
        <v>79</v>
      </c>
      <c r="H13" s="72">
        <v>10</v>
      </c>
      <c r="I13" s="70">
        <f t="shared" ref="I13:I31" si="2">J13+K13</f>
        <v>81</v>
      </c>
      <c r="J13" s="71">
        <v>73</v>
      </c>
      <c r="K13" s="72">
        <v>8</v>
      </c>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89</v>
      </c>
      <c r="AQ13" s="20">
        <f t="shared" si="0"/>
        <v>0.26176470588235295</v>
      </c>
    </row>
    <row r="14" spans="1:45" ht="18" customHeight="1" x14ac:dyDescent="0.15">
      <c r="A14" s="6"/>
      <c r="B14" s="12"/>
      <c r="C14" s="67"/>
      <c r="D14" s="68"/>
      <c r="E14" s="69"/>
      <c r="F14" s="70">
        <f t="shared" si="1"/>
        <v>0</v>
      </c>
      <c r="G14" s="71"/>
      <c r="H14" s="72"/>
      <c r="I14" s="70">
        <f t="shared" si="2"/>
        <v>0</v>
      </c>
      <c r="J14" s="71"/>
      <c r="K14" s="72"/>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0</v>
      </c>
      <c r="AQ14" s="8" t="e">
        <f t="shared" si="0"/>
        <v>#DIV/0!</v>
      </c>
    </row>
    <row r="15" spans="1:45" ht="18" customHeight="1" x14ac:dyDescent="0.15">
      <c r="A15" s="6"/>
      <c r="B15" s="12"/>
      <c r="C15" s="67"/>
      <c r="D15" s="68"/>
      <c r="E15" s="69"/>
      <c r="F15" s="70">
        <f t="shared" si="1"/>
        <v>0</v>
      </c>
      <c r="G15" s="71"/>
      <c r="H15" s="72"/>
      <c r="I15" s="70">
        <f t="shared" si="2"/>
        <v>0</v>
      </c>
      <c r="J15" s="71"/>
      <c r="K15" s="72"/>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t="e">
        <f t="shared" si="0"/>
        <v>#DIV/0!</v>
      </c>
    </row>
    <row r="16" spans="1:45" ht="18" customHeight="1" x14ac:dyDescent="0.15">
      <c r="A16" s="6"/>
      <c r="B16" s="12"/>
      <c r="C16" s="67"/>
      <c r="D16" s="68"/>
      <c r="E16" s="69"/>
      <c r="F16" s="70">
        <f t="shared" si="1"/>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x14ac:dyDescent="0.15">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15">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15">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15">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33</v>
      </c>
      <c r="C32" s="77">
        <f t="shared" ref="C32" si="14">SUM(C12:C31)</f>
        <v>753</v>
      </c>
      <c r="D32" s="78">
        <f t="shared" ref="D32:AP32" si="15">SUM(D12:D31)</f>
        <v>235</v>
      </c>
      <c r="E32" s="79">
        <f t="shared" si="15"/>
        <v>940</v>
      </c>
      <c r="F32" s="79">
        <f t="shared" si="15"/>
        <v>185</v>
      </c>
      <c r="G32" s="80">
        <f t="shared" si="15"/>
        <v>162</v>
      </c>
      <c r="H32" s="81">
        <f t="shared" si="15"/>
        <v>23</v>
      </c>
      <c r="I32" s="79">
        <f t="shared" ref="I32:N32" si="16">SUM(I12:I31)</f>
        <v>98</v>
      </c>
      <c r="J32" s="80">
        <f t="shared" si="16"/>
        <v>88</v>
      </c>
      <c r="K32" s="81">
        <f t="shared" si="16"/>
        <v>10</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185</v>
      </c>
      <c r="AQ32" s="9">
        <f t="shared" si="0"/>
        <v>0.19680851063829788</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F6" sqref="F6"/>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88" t="str">
        <f>'様式１　プログラムを構成する授業科目'!C2</f>
        <v>長崎総合科学大学</v>
      </c>
      <c r="I2" s="90"/>
    </row>
    <row r="3" spans="1:9" ht="18.75" customHeight="1" x14ac:dyDescent="0.15">
      <c r="G3" s="35"/>
      <c r="H3" s="10"/>
      <c r="I3" s="10"/>
    </row>
    <row r="4" spans="1:9" ht="18.600000000000001" customHeight="1" x14ac:dyDescent="0.15">
      <c r="A4" s="138" t="s">
        <v>36</v>
      </c>
      <c r="B4" s="138"/>
      <c r="C4" s="138"/>
      <c r="D4" s="138"/>
      <c r="E4" s="138"/>
      <c r="F4" s="138"/>
      <c r="G4" s="138"/>
      <c r="H4" s="138"/>
      <c r="I4" s="138"/>
    </row>
    <row r="5" spans="1:9" ht="13.35" customHeight="1" x14ac:dyDescent="0.15">
      <c r="B5" s="3"/>
      <c r="C5" s="3"/>
      <c r="D5" s="3"/>
      <c r="E5" s="3"/>
      <c r="F5" s="3"/>
      <c r="G5" s="3"/>
      <c r="H5" s="3"/>
      <c r="I5" s="3"/>
    </row>
    <row r="6" spans="1:9" ht="18" customHeight="1" x14ac:dyDescent="0.15">
      <c r="A6" s="1" t="s">
        <v>0</v>
      </c>
      <c r="B6" s="10" t="s">
        <v>91</v>
      </c>
      <c r="C6" s="210" t="s">
        <v>92</v>
      </c>
      <c r="D6" s="210"/>
      <c r="E6" s="34">
        <v>54</v>
      </c>
      <c r="F6" s="3" t="s">
        <v>1</v>
      </c>
      <c r="G6" s="3" t="s">
        <v>2</v>
      </c>
      <c r="H6" s="34">
        <v>44</v>
      </c>
      <c r="I6" s="10" t="s">
        <v>1</v>
      </c>
    </row>
    <row r="7" spans="1:9" ht="12" customHeight="1" x14ac:dyDescent="0.15">
      <c r="C7" s="2"/>
      <c r="D7" s="2"/>
      <c r="E7" s="2"/>
      <c r="F7" s="2"/>
      <c r="G7" s="2"/>
      <c r="H7" s="2"/>
      <c r="I7" s="42"/>
    </row>
    <row r="8" spans="1:9" ht="18" customHeight="1" x14ac:dyDescent="0.15">
      <c r="A8" s="1" t="s">
        <v>3</v>
      </c>
      <c r="B8" s="10" t="s">
        <v>93</v>
      </c>
      <c r="E8" s="3"/>
      <c r="F8" s="3"/>
      <c r="G8" s="3"/>
      <c r="H8" s="34">
        <v>5</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05" t="s">
        <v>174</v>
      </c>
      <c r="D11" s="208"/>
      <c r="E11" s="209"/>
      <c r="F11" s="42"/>
      <c r="G11" s="35" t="s">
        <v>10</v>
      </c>
      <c r="H11" s="205" t="s">
        <v>175</v>
      </c>
      <c r="I11" s="209"/>
    </row>
    <row r="12" spans="1:9" ht="10.3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05" t="s">
        <v>151</v>
      </c>
      <c r="C14" s="206"/>
      <c r="D14" s="206"/>
      <c r="E14" s="206"/>
      <c r="F14" s="206"/>
      <c r="G14" s="206"/>
      <c r="H14" s="206"/>
      <c r="I14" s="207"/>
    </row>
    <row r="15" spans="1:9" ht="9" customHeight="1" x14ac:dyDescent="0.15">
      <c r="B15" s="3"/>
      <c r="C15" s="3"/>
      <c r="D15" s="3"/>
      <c r="E15" s="3"/>
      <c r="F15" s="3"/>
      <c r="G15" s="3"/>
      <c r="H15" s="3"/>
      <c r="I15" s="3"/>
    </row>
    <row r="16" spans="1:9" ht="18" customHeight="1" x14ac:dyDescent="0.15">
      <c r="B16" s="35" t="s">
        <v>43</v>
      </c>
      <c r="C16" s="205" t="s">
        <v>152</v>
      </c>
      <c r="D16" s="208"/>
      <c r="E16" s="209"/>
      <c r="F16" s="42"/>
      <c r="G16" s="35" t="s">
        <v>10</v>
      </c>
      <c r="H16" s="205" t="s">
        <v>153</v>
      </c>
      <c r="I16" s="209"/>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87" t="s">
        <v>154</v>
      </c>
      <c r="C19" s="188"/>
      <c r="D19" s="188"/>
      <c r="E19" s="188"/>
      <c r="F19" s="188"/>
      <c r="G19" s="188"/>
      <c r="H19" s="188"/>
      <c r="I19" s="189"/>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90" t="s">
        <v>160</v>
      </c>
      <c r="C22" s="191"/>
      <c r="D22" s="191"/>
      <c r="E22" s="191"/>
      <c r="F22" s="191"/>
      <c r="G22" s="191"/>
      <c r="H22" s="191"/>
      <c r="I22" s="192"/>
    </row>
    <row r="23" spans="1:9" ht="18.75" customHeight="1" x14ac:dyDescent="0.15">
      <c r="A23" s="15"/>
      <c r="B23" s="193"/>
      <c r="C23" s="194"/>
      <c r="D23" s="194"/>
      <c r="E23" s="194"/>
      <c r="F23" s="194"/>
      <c r="G23" s="194"/>
      <c r="H23" s="194"/>
      <c r="I23" s="195"/>
    </row>
    <row r="24" spans="1:9" ht="18.75" customHeight="1" x14ac:dyDescent="0.15">
      <c r="A24" s="15"/>
      <c r="B24" s="193"/>
      <c r="C24" s="194"/>
      <c r="D24" s="194"/>
      <c r="E24" s="194"/>
      <c r="F24" s="194"/>
      <c r="G24" s="194"/>
      <c r="H24" s="194"/>
      <c r="I24" s="195"/>
    </row>
    <row r="25" spans="1:9" ht="18.75" customHeight="1" x14ac:dyDescent="0.15">
      <c r="A25" s="15"/>
      <c r="B25" s="193"/>
      <c r="C25" s="194"/>
      <c r="D25" s="194"/>
      <c r="E25" s="194"/>
      <c r="F25" s="194"/>
      <c r="G25" s="194"/>
      <c r="H25" s="194"/>
      <c r="I25" s="195"/>
    </row>
    <row r="26" spans="1:9" ht="18.75" customHeight="1" x14ac:dyDescent="0.15">
      <c r="A26" s="15"/>
      <c r="B26" s="193"/>
      <c r="C26" s="194"/>
      <c r="D26" s="194"/>
      <c r="E26" s="194"/>
      <c r="F26" s="194"/>
      <c r="G26" s="194"/>
      <c r="H26" s="194"/>
      <c r="I26" s="195"/>
    </row>
    <row r="27" spans="1:9" ht="18.75" customHeight="1" x14ac:dyDescent="0.15">
      <c r="A27" s="15"/>
      <c r="B27" s="193"/>
      <c r="C27" s="194"/>
      <c r="D27" s="194"/>
      <c r="E27" s="194"/>
      <c r="F27" s="194"/>
      <c r="G27" s="194"/>
      <c r="H27" s="194"/>
      <c r="I27" s="195"/>
    </row>
    <row r="28" spans="1:9" ht="18.75" customHeight="1" x14ac:dyDescent="0.15">
      <c r="A28" s="15"/>
      <c r="B28" s="193"/>
      <c r="C28" s="194"/>
      <c r="D28" s="194"/>
      <c r="E28" s="194"/>
      <c r="F28" s="194"/>
      <c r="G28" s="194"/>
      <c r="H28" s="194"/>
      <c r="I28" s="195"/>
    </row>
    <row r="29" spans="1:9" ht="18.75" customHeight="1" x14ac:dyDescent="0.15">
      <c r="A29" s="15"/>
      <c r="B29" s="193"/>
      <c r="C29" s="194"/>
      <c r="D29" s="194"/>
      <c r="E29" s="194"/>
      <c r="F29" s="194"/>
      <c r="G29" s="194"/>
      <c r="H29" s="194"/>
      <c r="I29" s="195"/>
    </row>
    <row r="30" spans="1:9" ht="18.75" customHeight="1" x14ac:dyDescent="0.15">
      <c r="A30" s="15"/>
      <c r="B30" s="196"/>
      <c r="C30" s="197"/>
      <c r="D30" s="197"/>
      <c r="E30" s="197"/>
      <c r="F30" s="197"/>
      <c r="G30" s="197"/>
      <c r="H30" s="197"/>
      <c r="I30" s="195"/>
    </row>
    <row r="31" spans="1:9" ht="18.75" customHeight="1" x14ac:dyDescent="0.15">
      <c r="A31" s="15"/>
      <c r="B31" s="196"/>
      <c r="C31" s="197"/>
      <c r="D31" s="197"/>
      <c r="E31" s="197"/>
      <c r="F31" s="197"/>
      <c r="G31" s="197"/>
      <c r="H31" s="197"/>
      <c r="I31" s="195"/>
    </row>
    <row r="32" spans="1:9" ht="18.75" customHeight="1" x14ac:dyDescent="0.15">
      <c r="A32" s="15"/>
      <c r="B32" s="198"/>
      <c r="C32" s="199"/>
      <c r="D32" s="199"/>
      <c r="E32" s="199"/>
      <c r="F32" s="199"/>
      <c r="G32" s="199"/>
      <c r="H32" s="199"/>
      <c r="I32" s="200"/>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01" t="s">
        <v>158</v>
      </c>
      <c r="C35" s="191"/>
      <c r="D35" s="191"/>
      <c r="E35" s="191"/>
      <c r="F35" s="191"/>
      <c r="G35" s="191"/>
      <c r="H35" s="191"/>
      <c r="I35" s="192"/>
    </row>
    <row r="36" spans="1:9" ht="18.75" customHeight="1" x14ac:dyDescent="0.15">
      <c r="A36" s="15"/>
      <c r="B36" s="196"/>
      <c r="C36" s="197"/>
      <c r="D36" s="197"/>
      <c r="E36" s="197"/>
      <c r="F36" s="197"/>
      <c r="G36" s="197"/>
      <c r="H36" s="197"/>
      <c r="I36" s="195"/>
    </row>
    <row r="37" spans="1:9" ht="18.75" customHeight="1" x14ac:dyDescent="0.15">
      <c r="A37" s="15"/>
      <c r="B37" s="196"/>
      <c r="C37" s="197"/>
      <c r="D37" s="197"/>
      <c r="E37" s="197"/>
      <c r="F37" s="197"/>
      <c r="G37" s="197"/>
      <c r="H37" s="197"/>
      <c r="I37" s="195"/>
    </row>
    <row r="38" spans="1:9" ht="18.75" customHeight="1" x14ac:dyDescent="0.15">
      <c r="A38" s="15"/>
      <c r="B38" s="196"/>
      <c r="C38" s="197"/>
      <c r="D38" s="197"/>
      <c r="E38" s="197"/>
      <c r="F38" s="197"/>
      <c r="G38" s="197"/>
      <c r="H38" s="197"/>
      <c r="I38" s="195"/>
    </row>
    <row r="39" spans="1:9" ht="18.75" customHeight="1" x14ac:dyDescent="0.15">
      <c r="A39" s="15"/>
      <c r="B39" s="196"/>
      <c r="C39" s="197"/>
      <c r="D39" s="197"/>
      <c r="E39" s="197"/>
      <c r="F39" s="197"/>
      <c r="G39" s="197"/>
      <c r="H39" s="197"/>
      <c r="I39" s="195"/>
    </row>
    <row r="40" spans="1:9" ht="18.75" customHeight="1" x14ac:dyDescent="0.15">
      <c r="A40" s="15"/>
      <c r="B40" s="196"/>
      <c r="C40" s="197"/>
      <c r="D40" s="197"/>
      <c r="E40" s="197"/>
      <c r="F40" s="197"/>
      <c r="G40" s="197"/>
      <c r="H40" s="197"/>
      <c r="I40" s="195"/>
    </row>
    <row r="41" spans="1:9" ht="18.75" customHeight="1" x14ac:dyDescent="0.15">
      <c r="A41" s="15"/>
      <c r="B41" s="196"/>
      <c r="C41" s="197"/>
      <c r="D41" s="197"/>
      <c r="E41" s="197"/>
      <c r="F41" s="197"/>
      <c r="G41" s="197"/>
      <c r="H41" s="197"/>
      <c r="I41" s="195"/>
    </row>
    <row r="42" spans="1:9" ht="18.75" customHeight="1" x14ac:dyDescent="0.15">
      <c r="A42" s="15"/>
      <c r="B42" s="196"/>
      <c r="C42" s="197"/>
      <c r="D42" s="197"/>
      <c r="E42" s="197"/>
      <c r="F42" s="197"/>
      <c r="G42" s="197"/>
      <c r="H42" s="197"/>
      <c r="I42" s="195"/>
    </row>
    <row r="43" spans="1:9" ht="18.75" customHeight="1" x14ac:dyDescent="0.15">
      <c r="A43" s="15"/>
      <c r="B43" s="196"/>
      <c r="C43" s="197"/>
      <c r="D43" s="197"/>
      <c r="E43" s="197"/>
      <c r="F43" s="197"/>
      <c r="G43" s="197"/>
      <c r="H43" s="197"/>
      <c r="I43" s="195"/>
    </row>
    <row r="44" spans="1:9" ht="18.75" customHeight="1" x14ac:dyDescent="0.15">
      <c r="A44" s="15"/>
      <c r="B44" s="196"/>
      <c r="C44" s="197"/>
      <c r="D44" s="197"/>
      <c r="E44" s="197"/>
      <c r="F44" s="197"/>
      <c r="G44" s="197"/>
      <c r="H44" s="197"/>
      <c r="I44" s="195"/>
    </row>
    <row r="45" spans="1:9" ht="18.75" customHeight="1" x14ac:dyDescent="0.15">
      <c r="A45" s="15"/>
      <c r="B45" s="196"/>
      <c r="C45" s="197"/>
      <c r="D45" s="197"/>
      <c r="E45" s="197"/>
      <c r="F45" s="197"/>
      <c r="G45" s="197"/>
      <c r="H45" s="197"/>
      <c r="I45" s="195"/>
    </row>
    <row r="46" spans="1:9" ht="18.75" customHeight="1" x14ac:dyDescent="0.15">
      <c r="A46" s="15"/>
      <c r="B46" s="198"/>
      <c r="C46" s="199"/>
      <c r="D46" s="199"/>
      <c r="E46" s="199"/>
      <c r="F46" s="199"/>
      <c r="G46" s="199"/>
      <c r="H46" s="199"/>
      <c r="I46" s="200"/>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230">
        <f>'様式２ 履修者等数の実績'!AQ32</f>
        <v>0.19680851063829788</v>
      </c>
      <c r="D49" s="230"/>
      <c r="E49" s="43" t="s">
        <v>66</v>
      </c>
      <c r="F49" s="230">
        <v>0.45</v>
      </c>
      <c r="G49" s="230"/>
      <c r="H49" s="43" t="s">
        <v>67</v>
      </c>
      <c r="I49" s="44">
        <v>0.7</v>
      </c>
      <c r="J49" s="1"/>
      <c r="M49" s="1"/>
      <c r="N49" s="45"/>
    </row>
    <row r="50" spans="1:15" s="3" customFormat="1" ht="18.75" customHeight="1" x14ac:dyDescent="0.15">
      <c r="B50" s="46" t="s">
        <v>68</v>
      </c>
      <c r="C50" s="211">
        <v>1</v>
      </c>
      <c r="D50" s="211"/>
      <c r="E50" s="46" t="s">
        <v>90</v>
      </c>
      <c r="F50" s="211">
        <v>1</v>
      </c>
      <c r="G50" s="211"/>
      <c r="H50" s="46" t="s">
        <v>69</v>
      </c>
      <c r="I50" s="47">
        <f>'様式２ 履修者等数の実績'!E32</f>
        <v>940</v>
      </c>
      <c r="J50" s="1"/>
      <c r="M50" s="1"/>
      <c r="N50" s="45"/>
    </row>
    <row r="51" spans="1:15" ht="18.75" customHeight="1" x14ac:dyDescent="0.15">
      <c r="A51" s="1"/>
      <c r="B51" s="202" t="s">
        <v>70</v>
      </c>
      <c r="C51" s="203"/>
      <c r="D51" s="203"/>
      <c r="E51" s="203"/>
      <c r="F51" s="203"/>
      <c r="G51" s="203"/>
      <c r="H51" s="203"/>
      <c r="I51" s="204"/>
      <c r="N51" s="45"/>
      <c r="O51" s="3"/>
    </row>
    <row r="52" spans="1:15" ht="18.75" customHeight="1" x14ac:dyDescent="0.15">
      <c r="A52" s="1"/>
      <c r="B52" s="231" t="s">
        <v>156</v>
      </c>
      <c r="C52" s="232"/>
      <c r="D52" s="232"/>
      <c r="E52" s="232"/>
      <c r="F52" s="232"/>
      <c r="G52" s="232"/>
      <c r="H52" s="232"/>
      <c r="I52" s="233"/>
      <c r="N52" s="45"/>
      <c r="O52" s="3"/>
    </row>
    <row r="53" spans="1:15" ht="18.75" customHeight="1" x14ac:dyDescent="0.15">
      <c r="A53" s="1"/>
      <c r="B53" s="234"/>
      <c r="C53" s="235"/>
      <c r="D53" s="235"/>
      <c r="E53" s="235"/>
      <c r="F53" s="235"/>
      <c r="G53" s="235"/>
      <c r="H53" s="235"/>
      <c r="I53" s="236"/>
      <c r="N53" s="45"/>
      <c r="O53" s="3"/>
    </row>
    <row r="54" spans="1:15" ht="18.75" customHeight="1" x14ac:dyDescent="0.15">
      <c r="A54" s="1"/>
      <c r="B54" s="234"/>
      <c r="C54" s="235"/>
      <c r="D54" s="235"/>
      <c r="E54" s="235"/>
      <c r="F54" s="235"/>
      <c r="G54" s="235"/>
      <c r="H54" s="235"/>
      <c r="I54" s="236"/>
    </row>
    <row r="55" spans="1:15" ht="18.75" customHeight="1" x14ac:dyDescent="0.15">
      <c r="A55" s="1"/>
      <c r="B55" s="234"/>
      <c r="C55" s="235"/>
      <c r="D55" s="235"/>
      <c r="E55" s="235"/>
      <c r="F55" s="235"/>
      <c r="G55" s="235"/>
      <c r="H55" s="235"/>
      <c r="I55" s="236"/>
    </row>
    <row r="56" spans="1:15" ht="18.75" customHeight="1" x14ac:dyDescent="0.15">
      <c r="A56" s="1"/>
      <c r="B56" s="234"/>
      <c r="C56" s="235"/>
      <c r="D56" s="235"/>
      <c r="E56" s="235"/>
      <c r="F56" s="235"/>
      <c r="G56" s="235"/>
      <c r="H56" s="235"/>
      <c r="I56" s="236"/>
    </row>
    <row r="57" spans="1:15" ht="18.75" customHeight="1" x14ac:dyDescent="0.15">
      <c r="A57" s="1"/>
      <c r="B57" s="234"/>
      <c r="C57" s="235"/>
      <c r="D57" s="235"/>
      <c r="E57" s="235"/>
      <c r="F57" s="235"/>
      <c r="G57" s="235"/>
      <c r="H57" s="235"/>
      <c r="I57" s="236"/>
    </row>
    <row r="58" spans="1:15" ht="18.75" customHeight="1" x14ac:dyDescent="0.15">
      <c r="A58" s="1"/>
      <c r="B58" s="234"/>
      <c r="C58" s="235"/>
      <c r="D58" s="235"/>
      <c r="E58" s="235"/>
      <c r="F58" s="235"/>
      <c r="G58" s="235"/>
      <c r="H58" s="235"/>
      <c r="I58" s="236"/>
    </row>
    <row r="59" spans="1:15" ht="18.75" customHeight="1" x14ac:dyDescent="0.15">
      <c r="A59" s="1"/>
      <c r="B59" s="234"/>
      <c r="C59" s="235"/>
      <c r="D59" s="235"/>
      <c r="E59" s="235"/>
      <c r="F59" s="235"/>
      <c r="G59" s="235"/>
      <c r="H59" s="235"/>
      <c r="I59" s="236"/>
    </row>
    <row r="60" spans="1:15" ht="18.75" customHeight="1" x14ac:dyDescent="0.15">
      <c r="A60" s="1"/>
      <c r="B60" s="234"/>
      <c r="C60" s="235"/>
      <c r="D60" s="235"/>
      <c r="E60" s="235"/>
      <c r="F60" s="235"/>
      <c r="G60" s="235"/>
      <c r="H60" s="235"/>
      <c r="I60" s="236"/>
    </row>
    <row r="61" spans="1:15" ht="18.75" customHeight="1" x14ac:dyDescent="0.15">
      <c r="A61" s="1"/>
      <c r="B61" s="234"/>
      <c r="C61" s="235"/>
      <c r="D61" s="235"/>
      <c r="E61" s="235"/>
      <c r="F61" s="235"/>
      <c r="G61" s="235"/>
      <c r="H61" s="235"/>
      <c r="I61" s="236"/>
    </row>
    <row r="62" spans="1:15" ht="18.75" customHeight="1" x14ac:dyDescent="0.15">
      <c r="A62" s="1"/>
      <c r="B62" s="234"/>
      <c r="C62" s="235"/>
      <c r="D62" s="235"/>
      <c r="E62" s="235"/>
      <c r="F62" s="235"/>
      <c r="G62" s="235"/>
      <c r="H62" s="235"/>
      <c r="I62" s="236"/>
    </row>
    <row r="63" spans="1:15" ht="18.75" customHeight="1" x14ac:dyDescent="0.15">
      <c r="A63" s="1"/>
      <c r="B63" s="237"/>
      <c r="C63" s="238"/>
      <c r="D63" s="238"/>
      <c r="E63" s="238"/>
      <c r="F63" s="238"/>
      <c r="G63" s="238"/>
      <c r="H63" s="238"/>
      <c r="I63" s="239"/>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12" t="s">
        <v>157</v>
      </c>
      <c r="C66" s="213"/>
      <c r="D66" s="213"/>
      <c r="E66" s="213"/>
      <c r="F66" s="213"/>
      <c r="G66" s="213"/>
      <c r="H66" s="213"/>
      <c r="I66" s="214"/>
    </row>
    <row r="67" spans="1:9" ht="18.75" customHeight="1" x14ac:dyDescent="0.15">
      <c r="A67" s="4"/>
      <c r="B67" s="215"/>
      <c r="C67" s="216"/>
      <c r="D67" s="216"/>
      <c r="E67" s="216"/>
      <c r="F67" s="216"/>
      <c r="G67" s="216"/>
      <c r="H67" s="216"/>
      <c r="I67" s="217"/>
    </row>
    <row r="68" spans="1:9" ht="18.75" customHeight="1" x14ac:dyDescent="0.15">
      <c r="A68" s="4"/>
      <c r="B68" s="215"/>
      <c r="C68" s="216"/>
      <c r="D68" s="216"/>
      <c r="E68" s="216"/>
      <c r="F68" s="216"/>
      <c r="G68" s="216"/>
      <c r="H68" s="216"/>
      <c r="I68" s="217"/>
    </row>
    <row r="69" spans="1:9" ht="18.75" customHeight="1" x14ac:dyDescent="0.15">
      <c r="A69" s="4"/>
      <c r="B69" s="215"/>
      <c r="C69" s="216"/>
      <c r="D69" s="216"/>
      <c r="E69" s="216"/>
      <c r="F69" s="216"/>
      <c r="G69" s="216"/>
      <c r="H69" s="216"/>
      <c r="I69" s="217"/>
    </row>
    <row r="70" spans="1:9" ht="18.75" customHeight="1" x14ac:dyDescent="0.15">
      <c r="A70" s="4"/>
      <c r="B70" s="215"/>
      <c r="C70" s="216"/>
      <c r="D70" s="216"/>
      <c r="E70" s="216"/>
      <c r="F70" s="216"/>
      <c r="G70" s="216"/>
      <c r="H70" s="216"/>
      <c r="I70" s="217"/>
    </row>
    <row r="71" spans="1:9" ht="18.75" customHeight="1" x14ac:dyDescent="0.15">
      <c r="A71" s="4"/>
      <c r="B71" s="215"/>
      <c r="C71" s="216"/>
      <c r="D71" s="216"/>
      <c r="E71" s="216"/>
      <c r="F71" s="216"/>
      <c r="G71" s="216"/>
      <c r="H71" s="216"/>
      <c r="I71" s="217"/>
    </row>
    <row r="72" spans="1:9" ht="18.75" customHeight="1" x14ac:dyDescent="0.15">
      <c r="A72" s="4"/>
      <c r="B72" s="215"/>
      <c r="C72" s="216"/>
      <c r="D72" s="216"/>
      <c r="E72" s="216"/>
      <c r="F72" s="216"/>
      <c r="G72" s="216"/>
      <c r="H72" s="216"/>
      <c r="I72" s="217"/>
    </row>
    <row r="73" spans="1:9" ht="18.75" customHeight="1" x14ac:dyDescent="0.15">
      <c r="A73" s="4"/>
      <c r="B73" s="215"/>
      <c r="C73" s="216"/>
      <c r="D73" s="216"/>
      <c r="E73" s="216"/>
      <c r="F73" s="216"/>
      <c r="G73" s="216"/>
      <c r="H73" s="216"/>
      <c r="I73" s="217"/>
    </row>
    <row r="74" spans="1:9" ht="18.75" customHeight="1" x14ac:dyDescent="0.15">
      <c r="A74" s="4"/>
      <c r="B74" s="215"/>
      <c r="C74" s="216"/>
      <c r="D74" s="216"/>
      <c r="E74" s="216"/>
      <c r="F74" s="216"/>
      <c r="G74" s="216"/>
      <c r="H74" s="216"/>
      <c r="I74" s="217"/>
    </row>
    <row r="75" spans="1:9" ht="18.75" customHeight="1" x14ac:dyDescent="0.15">
      <c r="A75" s="4"/>
      <c r="B75" s="215"/>
      <c r="C75" s="216"/>
      <c r="D75" s="216"/>
      <c r="E75" s="216"/>
      <c r="F75" s="216"/>
      <c r="G75" s="216"/>
      <c r="H75" s="216"/>
      <c r="I75" s="217"/>
    </row>
    <row r="76" spans="1:9" ht="18.75" customHeight="1" x14ac:dyDescent="0.15">
      <c r="A76" s="4"/>
      <c r="B76" s="215"/>
      <c r="C76" s="216"/>
      <c r="D76" s="216"/>
      <c r="E76" s="216"/>
      <c r="F76" s="216"/>
      <c r="G76" s="216"/>
      <c r="H76" s="216"/>
      <c r="I76" s="217"/>
    </row>
    <row r="77" spans="1:9" ht="18.75" customHeight="1" x14ac:dyDescent="0.15">
      <c r="A77" s="4"/>
      <c r="B77" s="218"/>
      <c r="C77" s="219"/>
      <c r="D77" s="219"/>
      <c r="E77" s="219"/>
      <c r="F77" s="219"/>
      <c r="G77" s="219"/>
      <c r="H77" s="219"/>
      <c r="I77" s="220"/>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21" t="s">
        <v>176</v>
      </c>
      <c r="C80" s="222"/>
      <c r="D80" s="222"/>
      <c r="E80" s="222"/>
      <c r="F80" s="222"/>
      <c r="G80" s="222"/>
      <c r="H80" s="222"/>
      <c r="I80" s="223"/>
    </row>
    <row r="81" spans="1:9" ht="18.75" customHeight="1" x14ac:dyDescent="0.15">
      <c r="A81" s="1"/>
      <c r="B81" s="224"/>
      <c r="C81" s="225"/>
      <c r="D81" s="225"/>
      <c r="E81" s="225"/>
      <c r="F81" s="225"/>
      <c r="G81" s="225"/>
      <c r="H81" s="225"/>
      <c r="I81" s="226"/>
    </row>
    <row r="82" spans="1:9" ht="18.75" customHeight="1" x14ac:dyDescent="0.15">
      <c r="A82" s="1"/>
      <c r="B82" s="224"/>
      <c r="C82" s="225"/>
      <c r="D82" s="225"/>
      <c r="E82" s="225"/>
      <c r="F82" s="225"/>
      <c r="G82" s="225"/>
      <c r="H82" s="225"/>
      <c r="I82" s="226"/>
    </row>
    <row r="83" spans="1:9" ht="18.75" customHeight="1" x14ac:dyDescent="0.15">
      <c r="A83" s="1"/>
      <c r="B83" s="224"/>
      <c r="C83" s="225"/>
      <c r="D83" s="225"/>
      <c r="E83" s="225"/>
      <c r="F83" s="225"/>
      <c r="G83" s="225"/>
      <c r="H83" s="225"/>
      <c r="I83" s="226"/>
    </row>
    <row r="84" spans="1:9" ht="18.75" customHeight="1" x14ac:dyDescent="0.15">
      <c r="A84" s="1"/>
      <c r="B84" s="224"/>
      <c r="C84" s="225"/>
      <c r="D84" s="225"/>
      <c r="E84" s="225"/>
      <c r="F84" s="225"/>
      <c r="G84" s="225"/>
      <c r="H84" s="225"/>
      <c r="I84" s="226"/>
    </row>
    <row r="85" spans="1:9" ht="18.75" customHeight="1" x14ac:dyDescent="0.15">
      <c r="A85" s="1"/>
      <c r="B85" s="224"/>
      <c r="C85" s="225"/>
      <c r="D85" s="225"/>
      <c r="E85" s="225"/>
      <c r="F85" s="225"/>
      <c r="G85" s="225"/>
      <c r="H85" s="225"/>
      <c r="I85" s="226"/>
    </row>
    <row r="86" spans="1:9" ht="18.75" customHeight="1" x14ac:dyDescent="0.15">
      <c r="A86" s="1"/>
      <c r="B86" s="224"/>
      <c r="C86" s="225"/>
      <c r="D86" s="225"/>
      <c r="E86" s="225"/>
      <c r="F86" s="225"/>
      <c r="G86" s="225"/>
      <c r="H86" s="225"/>
      <c r="I86" s="226"/>
    </row>
    <row r="87" spans="1:9" ht="18.75" customHeight="1" x14ac:dyDescent="0.15">
      <c r="A87" s="1"/>
      <c r="B87" s="224"/>
      <c r="C87" s="225"/>
      <c r="D87" s="225"/>
      <c r="E87" s="225"/>
      <c r="F87" s="225"/>
      <c r="G87" s="225"/>
      <c r="H87" s="225"/>
      <c r="I87" s="226"/>
    </row>
    <row r="88" spans="1:9" ht="18.75" customHeight="1" x14ac:dyDescent="0.15">
      <c r="A88" s="1"/>
      <c r="B88" s="224"/>
      <c r="C88" s="225"/>
      <c r="D88" s="225"/>
      <c r="E88" s="225"/>
      <c r="F88" s="225"/>
      <c r="G88" s="225"/>
      <c r="H88" s="225"/>
      <c r="I88" s="226"/>
    </row>
    <row r="89" spans="1:9" ht="18.75" customHeight="1" x14ac:dyDescent="0.15">
      <c r="A89" s="1"/>
      <c r="B89" s="224"/>
      <c r="C89" s="225"/>
      <c r="D89" s="225"/>
      <c r="E89" s="225"/>
      <c r="F89" s="225"/>
      <c r="G89" s="225"/>
      <c r="H89" s="225"/>
      <c r="I89" s="226"/>
    </row>
    <row r="90" spans="1:9" ht="18.75" customHeight="1" x14ac:dyDescent="0.15">
      <c r="A90" s="4"/>
      <c r="B90" s="224"/>
      <c r="C90" s="225"/>
      <c r="D90" s="225"/>
      <c r="E90" s="225"/>
      <c r="F90" s="225"/>
      <c r="G90" s="225"/>
      <c r="H90" s="225"/>
      <c r="I90" s="226"/>
    </row>
    <row r="91" spans="1:9" ht="18.75" customHeight="1" x14ac:dyDescent="0.15">
      <c r="A91" s="4"/>
      <c r="B91" s="227"/>
      <c r="C91" s="228"/>
      <c r="D91" s="228"/>
      <c r="E91" s="228"/>
      <c r="F91" s="228"/>
      <c r="G91" s="228"/>
      <c r="H91" s="228"/>
      <c r="I91" s="229"/>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77" t="s">
        <v>177</v>
      </c>
      <c r="C94" s="178"/>
      <c r="D94" s="178"/>
      <c r="E94" s="178"/>
      <c r="F94" s="178"/>
      <c r="G94" s="178"/>
      <c r="H94" s="178"/>
      <c r="I94" s="179"/>
    </row>
    <row r="95" spans="1:9" ht="18.75" customHeight="1" x14ac:dyDescent="0.15">
      <c r="A95" s="1"/>
      <c r="B95" s="180"/>
      <c r="C95" s="181"/>
      <c r="D95" s="181"/>
      <c r="E95" s="181"/>
      <c r="F95" s="181"/>
      <c r="G95" s="181"/>
      <c r="H95" s="181"/>
      <c r="I95" s="182"/>
    </row>
    <row r="96" spans="1:9" ht="18.75" customHeight="1" x14ac:dyDescent="0.15">
      <c r="A96" s="1"/>
      <c r="B96" s="180"/>
      <c r="C96" s="181"/>
      <c r="D96" s="181"/>
      <c r="E96" s="181"/>
      <c r="F96" s="181"/>
      <c r="G96" s="181"/>
      <c r="H96" s="181"/>
      <c r="I96" s="182"/>
    </row>
    <row r="97" spans="1:9" ht="18.75" customHeight="1" x14ac:dyDescent="0.15">
      <c r="A97" s="1"/>
      <c r="B97" s="180"/>
      <c r="C97" s="181"/>
      <c r="D97" s="181"/>
      <c r="E97" s="181"/>
      <c r="F97" s="181"/>
      <c r="G97" s="181"/>
      <c r="H97" s="181"/>
      <c r="I97" s="182"/>
    </row>
    <row r="98" spans="1:9" ht="18.75" customHeight="1" x14ac:dyDescent="0.15">
      <c r="A98" s="1"/>
      <c r="B98" s="180"/>
      <c r="C98" s="181"/>
      <c r="D98" s="181"/>
      <c r="E98" s="181"/>
      <c r="F98" s="181"/>
      <c r="G98" s="181"/>
      <c r="H98" s="181"/>
      <c r="I98" s="182"/>
    </row>
    <row r="99" spans="1:9" ht="18.75" customHeight="1" x14ac:dyDescent="0.15">
      <c r="A99" s="1"/>
      <c r="B99" s="180"/>
      <c r="C99" s="181"/>
      <c r="D99" s="181"/>
      <c r="E99" s="181"/>
      <c r="F99" s="181"/>
      <c r="G99" s="181"/>
      <c r="H99" s="181"/>
      <c r="I99" s="182"/>
    </row>
    <row r="100" spans="1:9" ht="18.75" customHeight="1" x14ac:dyDescent="0.15">
      <c r="A100" s="1"/>
      <c r="B100" s="180"/>
      <c r="C100" s="181"/>
      <c r="D100" s="181"/>
      <c r="E100" s="181"/>
      <c r="F100" s="181"/>
      <c r="G100" s="181"/>
      <c r="H100" s="181"/>
      <c r="I100" s="182"/>
    </row>
    <row r="101" spans="1:9" ht="18.75" customHeight="1" x14ac:dyDescent="0.15">
      <c r="A101" s="1"/>
      <c r="B101" s="180"/>
      <c r="C101" s="181"/>
      <c r="D101" s="181"/>
      <c r="E101" s="181"/>
      <c r="F101" s="181"/>
      <c r="G101" s="181"/>
      <c r="H101" s="181"/>
      <c r="I101" s="182"/>
    </row>
    <row r="102" spans="1:9" ht="18.75" customHeight="1" x14ac:dyDescent="0.15">
      <c r="A102" s="1"/>
      <c r="B102" s="180"/>
      <c r="C102" s="181"/>
      <c r="D102" s="181"/>
      <c r="E102" s="181"/>
      <c r="F102" s="181"/>
      <c r="G102" s="181"/>
      <c r="H102" s="181"/>
      <c r="I102" s="182"/>
    </row>
    <row r="103" spans="1:9" ht="18.75" customHeight="1" x14ac:dyDescent="0.15">
      <c r="A103" s="1"/>
      <c r="B103" s="180"/>
      <c r="C103" s="181"/>
      <c r="D103" s="181"/>
      <c r="E103" s="181"/>
      <c r="F103" s="181"/>
      <c r="G103" s="181"/>
      <c r="H103" s="181"/>
      <c r="I103" s="182"/>
    </row>
    <row r="104" spans="1:9" ht="18.75" customHeight="1" x14ac:dyDescent="0.15">
      <c r="A104" s="1"/>
      <c r="B104" s="180"/>
      <c r="C104" s="181"/>
      <c r="D104" s="181"/>
      <c r="E104" s="181"/>
      <c r="F104" s="181"/>
      <c r="G104" s="181"/>
      <c r="H104" s="181"/>
      <c r="I104" s="182"/>
    </row>
    <row r="105" spans="1:9" ht="18.75" customHeight="1" x14ac:dyDescent="0.15">
      <c r="A105" s="4"/>
      <c r="B105" s="183"/>
      <c r="C105" s="184"/>
      <c r="D105" s="184"/>
      <c r="E105" s="184"/>
      <c r="F105" s="184"/>
      <c r="G105" s="184"/>
      <c r="H105" s="184"/>
      <c r="I105" s="185"/>
    </row>
    <row r="106" spans="1:9" ht="7.5" customHeight="1" x14ac:dyDescent="0.15">
      <c r="A106" s="4"/>
      <c r="B106" s="4"/>
      <c r="C106" s="4"/>
      <c r="D106" s="4"/>
      <c r="E106" s="4"/>
      <c r="F106" s="4"/>
      <c r="G106" s="4"/>
      <c r="H106" s="4"/>
      <c r="I106" s="4"/>
    </row>
    <row r="107" spans="1:9" ht="18.75" customHeight="1" x14ac:dyDescent="0.15">
      <c r="A107" s="1" t="s">
        <v>30</v>
      </c>
      <c r="B107" s="186" t="s">
        <v>46</v>
      </c>
      <c r="C107" s="186"/>
      <c r="D107" s="186"/>
      <c r="E107" s="186"/>
      <c r="F107" s="186"/>
      <c r="G107" s="186"/>
      <c r="H107" s="186"/>
      <c r="I107" s="186"/>
    </row>
    <row r="108" spans="1:9" ht="18.75" customHeight="1" x14ac:dyDescent="0.15">
      <c r="A108" s="4"/>
      <c r="B108" s="177" t="s">
        <v>178</v>
      </c>
      <c r="C108" s="178"/>
      <c r="D108" s="178"/>
      <c r="E108" s="178"/>
      <c r="F108" s="178"/>
      <c r="G108" s="178"/>
      <c r="H108" s="178"/>
      <c r="I108" s="179"/>
    </row>
    <row r="109" spans="1:9" ht="18.75" customHeight="1" x14ac:dyDescent="0.15">
      <c r="A109" s="4"/>
      <c r="B109" s="180"/>
      <c r="C109" s="181"/>
      <c r="D109" s="181"/>
      <c r="E109" s="181"/>
      <c r="F109" s="181"/>
      <c r="G109" s="181"/>
      <c r="H109" s="181"/>
      <c r="I109" s="182"/>
    </row>
    <row r="110" spans="1:9" ht="18.75" customHeight="1" x14ac:dyDescent="0.15">
      <c r="A110" s="4"/>
      <c r="B110" s="180"/>
      <c r="C110" s="181"/>
      <c r="D110" s="181"/>
      <c r="E110" s="181"/>
      <c r="F110" s="181"/>
      <c r="G110" s="181"/>
      <c r="H110" s="181"/>
      <c r="I110" s="182"/>
    </row>
    <row r="111" spans="1:9" ht="18.75" customHeight="1" x14ac:dyDescent="0.15">
      <c r="A111" s="4"/>
      <c r="B111" s="180"/>
      <c r="C111" s="181"/>
      <c r="D111" s="181"/>
      <c r="E111" s="181"/>
      <c r="F111" s="181"/>
      <c r="G111" s="181"/>
      <c r="H111" s="181"/>
      <c r="I111" s="182"/>
    </row>
    <row r="112" spans="1:9" ht="18.75" customHeight="1" x14ac:dyDescent="0.15">
      <c r="A112" s="4"/>
      <c r="B112" s="180"/>
      <c r="C112" s="181"/>
      <c r="D112" s="181"/>
      <c r="E112" s="181"/>
      <c r="F112" s="181"/>
      <c r="G112" s="181"/>
      <c r="H112" s="181"/>
      <c r="I112" s="182"/>
    </row>
    <row r="113" spans="1:9" ht="18.75" customHeight="1" x14ac:dyDescent="0.15">
      <c r="A113" s="4"/>
      <c r="B113" s="180"/>
      <c r="C113" s="181"/>
      <c r="D113" s="181"/>
      <c r="E113" s="181"/>
      <c r="F113" s="181"/>
      <c r="G113" s="181"/>
      <c r="H113" s="181"/>
      <c r="I113" s="182"/>
    </row>
    <row r="114" spans="1:9" ht="18.75" customHeight="1" x14ac:dyDescent="0.15">
      <c r="A114" s="4"/>
      <c r="B114" s="180"/>
      <c r="C114" s="181"/>
      <c r="D114" s="181"/>
      <c r="E114" s="181"/>
      <c r="F114" s="181"/>
      <c r="G114" s="181"/>
      <c r="H114" s="181"/>
      <c r="I114" s="182"/>
    </row>
    <row r="115" spans="1:9" ht="18.75" customHeight="1" x14ac:dyDescent="0.15">
      <c r="A115" s="4"/>
      <c r="B115" s="180"/>
      <c r="C115" s="181"/>
      <c r="D115" s="181"/>
      <c r="E115" s="181"/>
      <c r="F115" s="181"/>
      <c r="G115" s="181"/>
      <c r="H115" s="181"/>
      <c r="I115" s="182"/>
    </row>
    <row r="116" spans="1:9" ht="18.75" customHeight="1" x14ac:dyDescent="0.15">
      <c r="A116" s="4"/>
      <c r="B116" s="180"/>
      <c r="C116" s="181"/>
      <c r="D116" s="181"/>
      <c r="E116" s="181"/>
      <c r="F116" s="181"/>
      <c r="G116" s="181"/>
      <c r="H116" s="181"/>
      <c r="I116" s="182"/>
    </row>
    <row r="117" spans="1:9" ht="18.75" customHeight="1" x14ac:dyDescent="0.15">
      <c r="A117" s="4"/>
      <c r="B117" s="180"/>
      <c r="C117" s="181"/>
      <c r="D117" s="181"/>
      <c r="E117" s="181"/>
      <c r="F117" s="181"/>
      <c r="G117" s="181"/>
      <c r="H117" s="181"/>
      <c r="I117" s="182"/>
    </row>
    <row r="118" spans="1:9" ht="18.75" customHeight="1" x14ac:dyDescent="0.15">
      <c r="A118" s="4"/>
      <c r="B118" s="180"/>
      <c r="C118" s="181"/>
      <c r="D118" s="181"/>
      <c r="E118" s="181"/>
      <c r="F118" s="181"/>
      <c r="G118" s="181"/>
      <c r="H118" s="181"/>
      <c r="I118" s="182"/>
    </row>
    <row r="119" spans="1:9" ht="18.75" customHeight="1" x14ac:dyDescent="0.15">
      <c r="A119" s="4"/>
      <c r="B119" s="183"/>
      <c r="C119" s="184"/>
      <c r="D119" s="184"/>
      <c r="E119" s="184"/>
      <c r="F119" s="184"/>
      <c r="G119" s="184"/>
      <c r="H119" s="184"/>
      <c r="I119" s="185"/>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Normal="100" zoomScaleSheetLayoutView="100" workbookViewId="0">
      <selection activeCell="E20" sqref="E20:I2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長崎総合科学大学</v>
      </c>
    </row>
    <row r="3" spans="1:9" ht="18.75" customHeight="1" x14ac:dyDescent="0.15">
      <c r="A3" s="138" t="s">
        <v>28</v>
      </c>
      <c r="B3" s="138"/>
      <c r="C3" s="138"/>
      <c r="D3" s="138"/>
      <c r="E3" s="138"/>
      <c r="F3" s="138"/>
      <c r="G3" s="138"/>
      <c r="H3" s="138"/>
      <c r="I3" s="138"/>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05" t="s">
        <v>163</v>
      </c>
      <c r="C6" s="246"/>
      <c r="D6" s="246"/>
      <c r="E6" s="246"/>
      <c r="F6" s="246"/>
      <c r="G6" s="246"/>
      <c r="H6" s="247"/>
      <c r="I6" s="3"/>
    </row>
    <row r="7" spans="1:9" ht="9" customHeight="1" x14ac:dyDescent="0.15">
      <c r="A7" s="5"/>
      <c r="B7" s="10"/>
      <c r="C7" s="10"/>
      <c r="D7" s="10"/>
      <c r="E7" s="10"/>
      <c r="F7" s="10"/>
      <c r="G7" s="10"/>
      <c r="H7" s="10"/>
      <c r="I7" s="3"/>
    </row>
    <row r="8" spans="1:9" ht="18.75" customHeight="1" x14ac:dyDescent="0.15">
      <c r="A8" s="5"/>
      <c r="B8" s="3"/>
      <c r="C8" s="3"/>
      <c r="D8" s="35" t="s">
        <v>43</v>
      </c>
      <c r="E8" s="36" t="s">
        <v>164</v>
      </c>
      <c r="F8" s="3"/>
      <c r="G8" s="35" t="s">
        <v>10</v>
      </c>
      <c r="H8" s="36" t="s">
        <v>165</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8" t="s">
        <v>24</v>
      </c>
      <c r="C11" s="89"/>
      <c r="D11" s="90"/>
      <c r="E11" s="89" t="s">
        <v>26</v>
      </c>
      <c r="F11" s="89"/>
      <c r="G11" s="89"/>
      <c r="H11" s="89"/>
      <c r="I11" s="90"/>
    </row>
    <row r="12" spans="1:9" ht="26.25" customHeight="1" x14ac:dyDescent="0.15">
      <c r="B12" s="50" t="s">
        <v>14</v>
      </c>
      <c r="C12" s="57"/>
      <c r="D12" s="51"/>
      <c r="E12" s="58"/>
      <c r="F12" s="58"/>
      <c r="G12" s="58"/>
      <c r="H12" s="58"/>
      <c r="I12" s="51"/>
    </row>
    <row r="13" spans="1:9" ht="210.75" customHeight="1" x14ac:dyDescent="0.15">
      <c r="B13" s="52"/>
      <c r="C13" s="245" t="s">
        <v>15</v>
      </c>
      <c r="D13" s="133"/>
      <c r="E13" s="242" t="s">
        <v>173</v>
      </c>
      <c r="F13" s="243"/>
      <c r="G13" s="243"/>
      <c r="H13" s="243"/>
      <c r="I13" s="244"/>
    </row>
    <row r="14" spans="1:9" ht="210.75" customHeight="1" x14ac:dyDescent="0.15">
      <c r="B14" s="52"/>
      <c r="C14" s="240" t="s">
        <v>16</v>
      </c>
      <c r="D14" s="241"/>
      <c r="E14" s="242" t="s">
        <v>171</v>
      </c>
      <c r="F14" s="243"/>
      <c r="G14" s="243"/>
      <c r="H14" s="243"/>
      <c r="I14" s="244"/>
    </row>
    <row r="15" spans="1:9" ht="210.75" customHeight="1" x14ac:dyDescent="0.15">
      <c r="B15" s="52"/>
      <c r="C15" s="245" t="s">
        <v>17</v>
      </c>
      <c r="D15" s="133"/>
      <c r="E15" s="242" t="s">
        <v>162</v>
      </c>
      <c r="F15" s="243"/>
      <c r="G15" s="243"/>
      <c r="H15" s="243"/>
      <c r="I15" s="244"/>
    </row>
    <row r="16" spans="1:9" ht="210.75" customHeight="1" x14ac:dyDescent="0.15">
      <c r="B16" s="52"/>
      <c r="C16" s="245" t="s">
        <v>18</v>
      </c>
      <c r="D16" s="133"/>
      <c r="E16" s="242" t="s">
        <v>166</v>
      </c>
      <c r="F16" s="243"/>
      <c r="G16" s="243"/>
      <c r="H16" s="243"/>
      <c r="I16" s="244"/>
    </row>
    <row r="17" spans="2:9" ht="210.75" customHeight="1" x14ac:dyDescent="0.15">
      <c r="B17" s="53"/>
      <c r="C17" s="248" t="s">
        <v>19</v>
      </c>
      <c r="D17" s="249"/>
      <c r="E17" s="250" t="s">
        <v>170</v>
      </c>
      <c r="F17" s="251"/>
      <c r="G17" s="251"/>
      <c r="H17" s="251"/>
      <c r="I17" s="252"/>
    </row>
    <row r="18" spans="2:9" ht="24" customHeight="1" x14ac:dyDescent="0.15">
      <c r="B18" s="50" t="s">
        <v>20</v>
      </c>
      <c r="C18" s="54"/>
      <c r="D18" s="55"/>
      <c r="E18" s="56"/>
      <c r="F18" s="56"/>
      <c r="G18" s="56"/>
      <c r="H18" s="56"/>
      <c r="I18" s="59"/>
    </row>
    <row r="19" spans="2:9" ht="218.25" customHeight="1" x14ac:dyDescent="0.15">
      <c r="B19" s="52"/>
      <c r="C19" s="245" t="s">
        <v>21</v>
      </c>
      <c r="D19" s="133"/>
      <c r="E19" s="243" t="s">
        <v>167</v>
      </c>
      <c r="F19" s="243"/>
      <c r="G19" s="243"/>
      <c r="H19" s="243"/>
      <c r="I19" s="244"/>
    </row>
    <row r="20" spans="2:9" ht="218.25" customHeight="1" x14ac:dyDescent="0.15">
      <c r="B20" s="53"/>
      <c r="C20" s="248" t="s">
        <v>22</v>
      </c>
      <c r="D20" s="249"/>
      <c r="E20" s="251" t="s">
        <v>168</v>
      </c>
      <c r="F20" s="251"/>
      <c r="G20" s="251"/>
      <c r="H20" s="251"/>
      <c r="I20" s="252"/>
    </row>
    <row r="21" spans="2:9" ht="218.25" customHeight="1" x14ac:dyDescent="0.15">
      <c r="B21" s="256" t="s">
        <v>23</v>
      </c>
      <c r="C21" s="257"/>
      <c r="D21" s="258"/>
      <c r="E21" s="259" t="s">
        <v>172</v>
      </c>
      <c r="F21" s="259"/>
      <c r="G21" s="259"/>
      <c r="H21" s="259"/>
      <c r="I21" s="260"/>
    </row>
    <row r="22" spans="2:9" ht="218.25" customHeight="1" x14ac:dyDescent="0.15">
      <c r="B22" s="253" t="s">
        <v>38</v>
      </c>
      <c r="C22" s="100"/>
      <c r="D22" s="101"/>
      <c r="E22" s="254" t="s">
        <v>169</v>
      </c>
      <c r="F22" s="254"/>
      <c r="G22" s="254"/>
      <c r="H22" s="254"/>
      <c r="I22" s="25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sasano</cp:lastModifiedBy>
  <cp:lastPrinted>2023-05-10T02:08:53Z</cp:lastPrinted>
  <dcterms:created xsi:type="dcterms:W3CDTF">2011-06-14T05:32:50Z</dcterms:created>
  <dcterms:modified xsi:type="dcterms:W3CDTF">2023-05-10T02:18:43Z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