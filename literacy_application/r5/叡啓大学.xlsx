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9"/>
  <workbookPr defaultThemeVersion="124226"/>
  <mc:AlternateContent xmlns:mc="http://schemas.openxmlformats.org/markup-compatibility/2006">
    <mc:Choice Requires="x15">
      <x15ac:absPath xmlns:x15ac="http://schemas.microsoft.com/office/spreadsheetml/2010/11/ac" url="N:\010叡啓大学\003教育企画課\教育企画担当\03_R5年度(2023年度)\103_デジタルリテラシー教育\03_起案\01_叡啓大学_リテラシー\"/>
    </mc:Choice>
  </mc:AlternateContent>
  <xr:revisionPtr revIDLastSave="0" documentId="13_ncr:1_{ECA09B00-7DB9-4A91-AA5C-C55CE564EA31}" xr6:coauthVersionLast="36" xr6:coauthVersionMax="47" xr10:uidLastSave="{00000000-0000-0000-0000-000000000000}"/>
  <bookViews>
    <workbookView xWindow="-108" yWindow="-108" windowWidth="23256" windowHeight="12576" tabRatio="885" firstSheet="1" activeTab="2"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プログラムを構成する授業科目'!$A$1:$S$105</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91029"/>
</workbook>
</file>

<file path=xl/calcChain.xml><?xml version="1.0" encoding="utf-8"?>
<calcChain xmlns="http://schemas.openxmlformats.org/spreadsheetml/2006/main">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G32" i="40"/>
  <c r="H32" i="40"/>
  <c r="AP13" i="40"/>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<sst xmlns="http://schemas.openxmlformats.org/spreadsheetml/2006/main" count="306" uniqueCount="172">
  <si>
    <t>様式１</t>
    <rPh sb="0" eb="2">
      <t>ヨウシキ</t>
    </rPh>
    <phoneticPr fontId="1"/>
  </si>
  <si>
    <t>大学等名</t>
    <rPh sb="0" eb="2">
      <t>ダイガク</t>
    </rPh>
    <rPh sb="2" eb="3">
      <t>トウ</t>
    </rPh>
    <rPh sb="3" eb="4">
      <t>メイ</t>
    </rPh>
    <phoneticPr fontId="1"/>
  </si>
  <si>
    <t>叡啓大学</t>
    <rPh sb="0" eb="2">
      <t>エイケイ</t>
    </rPh>
    <rPh sb="2" eb="4">
      <t>ダイガク</t>
    </rPh>
    <phoneticPr fontId="1"/>
  </si>
  <si>
    <t>プログラム名</t>
    <rPh sb="5" eb="6">
      <t>メイ</t>
    </rPh>
    <phoneticPr fontId="1"/>
  </si>
  <si>
    <t>プログラムを構成する授業科目について</t>
    <phoneticPr fontId="1"/>
  </si>
  <si>
    <t>① 対象となる学部・学科名称</t>
    <phoneticPr fontId="1"/>
  </si>
  <si>
    <t>② 教育プログラムの修了要件</t>
    <phoneticPr fontId="1"/>
  </si>
  <si>
    <t>③ 修了要件</t>
    <phoneticPr fontId="1"/>
  </si>
  <si>
    <t>【プルダウンリスト】</t>
    <phoneticPr fontId="1"/>
  </si>
  <si>
    <t>令和７年度までに履修必須とする計画</t>
    <rPh sb="3" eb="4">
      <t>ネン</t>
    </rPh>
    <phoneticPr fontId="1"/>
  </si>
  <si>
    <t>必要最低単位数</t>
    <phoneticPr fontId="1"/>
  </si>
  <si>
    <t>単位</t>
    <rPh sb="0" eb="2">
      <t>タンイ</t>
    </rPh>
    <phoneticPr fontId="1"/>
  </si>
  <si>
    <t>履修必須の有無</t>
    <rPh sb="0" eb="2">
      <t>リシュウ</t>
    </rPh>
    <rPh sb="2" eb="4">
      <t>ヒッス</t>
    </rPh>
    <rPh sb="5" eb="7">
      <t>ウム</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</si>
  <si>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</si>
  <si>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</si>
  <si>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</si>
  <si>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</si>
  <si>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</si>
  <si>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データサイエンス概論A</t>
    <rPh sb="8" eb="10">
      <t>ガイロン</t>
    </rPh>
    <phoneticPr fontId="1"/>
  </si>
  <si>
    <t>○</t>
  </si>
  <si>
    <t>Introduction to Data Science A</t>
    <phoneticPr fontId="1"/>
  </si>
  <si>
    <t>1-2</t>
    <phoneticPr fontId="1"/>
  </si>
  <si>
    <t>1-3</t>
    <phoneticPr fontId="1"/>
  </si>
  <si>
    <t>1-4</t>
    <phoneticPr fontId="1"/>
  </si>
  <si>
    <t>1-5</t>
    <phoneticPr fontId="1"/>
  </si>
  <si>
    <t>3-1</t>
    <phoneticPr fontId="1"/>
  </si>
  <si>
    <t>3-2</t>
    <phoneticPr fontId="1"/>
  </si>
  <si>
    <t>2-1</t>
  </si>
  <si>
    <t>2-2</t>
    <phoneticPr fontId="1"/>
  </si>
  <si>
    <t>2-3</t>
    <phoneticPr fontId="1"/>
  </si>
  <si>
    <t>Introduction to Data Science A</t>
  </si>
  <si>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</si>
  <si>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</si>
  <si>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⑩ プログラムを構成する授業の内容</t>
    <phoneticPr fontId="1"/>
  </si>
  <si>
    <t>授業に含まれている内容・要素</t>
    <phoneticPr fontId="1"/>
  </si>
  <si>
    <t>講義内容</t>
    <rPh sb="0" eb="2">
      <t>コウギ</t>
    </rPh>
    <rPh sb="2" eb="4">
      <t>ナイヨウ</t>
    </rPh>
    <phoneticPr fontId="1"/>
  </si>
  <si>
    <t>1-6</t>
    <phoneticPr fontId="1"/>
  </si>
  <si>
    <t>2-1</t>
    <phoneticPr fontId="1"/>
  </si>
  <si>
    <t>⑪ プログラムの学修成果（学生等が身に付けられる能力等）</t>
    <phoneticPr fontId="1"/>
  </si>
  <si>
    <t>・データ分析のために必要なデータを収集する能力
・統計および機械学習の基礎知識
・統計分析ソフト（Excel等）を用いてデータ利活用を実践する能力</t>
    <phoneticPr fontId="1"/>
  </si>
  <si>
    <t>様式２</t>
    <phoneticPr fontId="1"/>
  </si>
  <si>
    <t>プログラムの履修者数等の実績について</t>
    <phoneticPr fontId="1"/>
  </si>
  <si>
    <t>①プログラム開設年度</t>
    <rPh sb="6" eb="8">
      <t>カイセツ</t>
    </rPh>
    <rPh sb="8" eb="10">
      <t>ネンド</t>
    </rPh>
    <phoneticPr fontId="1"/>
  </si>
  <si>
    <t>年度</t>
    <rPh sb="0" eb="2">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</si>
  <si>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</si>
  <si>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</si>
  <si>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</si>
  <si>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</si>
  <si>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</si>
  <si>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</si>
  <si>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</si>
  <si>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</si>
  <si>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</si>
  <si>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</si>
  <si>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</si>
  <si>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</si>
  <si>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</si>
  <si>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</si>
  <si>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</si>
  <si>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合計</t>
    <rPh sb="0" eb="2">
      <t>ゴウケイ</t>
    </rPh>
    <phoneticPr fontId="1"/>
  </si>
  <si>
    <t>男性</t>
    <rPh sb="0" eb="2">
      <t>ダンセイ</t>
    </rPh>
    <phoneticPr fontId="1"/>
  </si>
  <si>
    <t>女性</t>
    <rPh sb="0" eb="2">
      <t>ジョセイ</t>
    </rPh>
    <phoneticPr fontId="1"/>
  </si>
  <si>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</si>
  <si>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</si>
  <si>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</si>
  <si>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</si>
  <si>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</si>
  <si>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</si>
  <si>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</si>
  <si>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人</t>
    <rPh sb="0" eb="1">
      <t>ニン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</si>
  <si>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</si>
  <si>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</si>
  <si>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</si>
  <si>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</si>
  <si>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</si>
  <si>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</si>
  <si>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（役職名）</t>
    <rPh sb="1" eb="4">
      <t>ヤクショクメイ</t>
    </rPh>
    <phoneticPr fontId="1"/>
  </si>
  <si>
    <t>④</t>
    <phoneticPr fontId="1"/>
  </si>
  <si>
    <t>プログラムを改善・進化させるための体制（委員会・組織等）</t>
    <phoneticPr fontId="1"/>
  </si>
  <si>
    <t>⑤</t>
    <phoneticPr fontId="1"/>
  </si>
  <si>
    <t>プログラムを改善・進化させるための体制を定める規則名称</t>
    <phoneticPr fontId="1"/>
  </si>
  <si>
    <t>⑥</t>
    <phoneticPr fontId="1"/>
  </si>
  <si>
    <t>体制の目的</t>
    <rPh sb="0" eb="2">
      <t>タイセイ</t>
    </rPh>
    <rPh sb="3" eb="5">
      <t>モクテキ</t>
    </rPh>
    <phoneticPr fontId="1"/>
  </si>
  <si>
    <t>⑦</t>
    <phoneticPr fontId="1"/>
  </si>
  <si>
    <t>具体的な構成員</t>
    <rPh sb="0" eb="3">
      <t>グタイテキ</t>
    </rPh>
    <rPh sb="4" eb="7">
      <t>コウセイイン</t>
    </rPh>
    <phoneticPr fontId="1"/>
  </si>
  <si>
    <t>⑧</t>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</si>
  <si>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</si>
  <si>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令和４年度実績</t>
    <rPh sb="0" eb="2">
      <t>レイワ</t>
    </rPh>
    <rPh sb="3" eb="5">
      <t>ネンド</t>
    </rPh>
    <rPh sb="5" eb="7">
      <t>ジッセキ</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</si>
  <si>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</si>
  <si>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</si>
  <si>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</si>
  <si>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</si>
  <si>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</si>
  <si>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</si>
  <si>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</si>
  <si>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</si>
  <si>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</si>
  <si>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</si>
  <si>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⑪</t>
    <phoneticPr fontId="1"/>
  </si>
  <si>
    <t>できる限り多くの学生が履修・修得できるようなサポート体制</t>
    <rPh sb="26" eb="28">
      <t>タイセイ</t>
    </rPh>
    <phoneticPr fontId="1"/>
  </si>
  <si>
    <t>⑫</t>
    <phoneticPr fontId="1"/>
  </si>
  <si>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</si>
  <si>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</si>
  <si>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</si>
  <si>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</si>
  <si>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</si>
  <si>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</si>
  <si>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</si>
  <si>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</si>
  <si>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</si>
  <si>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</si>
  <si>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</si>
  <si>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</si>
  <si>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学外からの視点</t>
    <rPh sb="0" eb="2">
      <t>ガクガイ</t>
    </rPh>
    <rPh sb="5" eb="7">
      <t>シテン</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</si>
  <si>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</si>
  <si>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</si>
  <si>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・情報セキュリティとサイバーセキュリティ　　「データサイエンス概論 A（1回目）」
  "Introduction to data science A" （１回目）
・匿名加工情報　　「データサイエンス概論 A（1回目）」　
"Introduction to data science A" （１回目）
・セキュリティ漏洩等によるセキュリティ事故の事例紹介　　「データサイエンス概論 A（1回目）」
  "Introduction to data science A" （１回目）</t>
    <phoneticPr fontId="1"/>
  </si>
  <si>
    <t>森　俊樹</t>
    <rPh sb="0" eb="1">
      <t>モリ</t>
    </rPh>
    <rPh sb="2" eb="4">
      <t>トシキ</t>
    </rPh>
    <phoneticPr fontId="1"/>
  </si>
  <si>
    <t>教授</t>
    <rPh sb="0" eb="2">
      <t>キョウジュ</t>
    </rPh>
    <phoneticPr fontId="1"/>
  </si>
  <si>
    <t>教務委員会</t>
    <rPh sb="0" eb="5">
      <t>キョウムイインカイ</t>
    </rPh>
    <phoneticPr fontId="1"/>
  </si>
  <si>
    <t>保井　俊之</t>
    <rPh sb="0" eb="2">
      <t>ヤスイ</t>
    </rPh>
    <rPh sb="3" eb="5">
      <t>トシユキ</t>
    </rPh>
    <phoneticPr fontId="1"/>
  </si>
  <si>
    <t>教授(学部長)</t>
    <rPh sb="0" eb="2">
      <t>キョウジュ</t>
    </rPh>
    <rPh sb="3" eb="6">
      <t>ガクブチョウ</t>
    </rPh>
    <phoneticPr fontId="1"/>
  </si>
  <si>
    <t>データサイエンス概論A/Introduction to Data Science A</t>
    <rPh sb="8" eb="10">
      <t>ガイロン</t>
    </rPh>
    <phoneticPr fontId="1"/>
  </si>
  <si>
    <t>保井　俊之</t>
    <rPh sb="0" eb="2">
      <t>ヤスイ</t>
    </rPh>
    <rPh sb="3" eb="5">
      <t>トシユキ</t>
    </rPh>
    <phoneticPr fontId="1"/>
  </si>
  <si>
    <t>教授(学部長)</t>
    <rPh sb="0" eb="2">
      <t>キョウジュ</t>
    </rPh>
    <rPh sb="3" eb="6">
      <t>ガクブチョウ</t>
    </rPh>
    <phoneticPr fontId="1"/>
  </si>
  <si>
    <t>本学は令和３年４月に開学したばかりであり，修了した学生で卒業した者はまだ出ていない。
「データサイエンス概論A/Introduction to Data Science A」,ICT系科目等によって学習したデータ分析の手法をPBL(Project based Learning。企業，自治体，NPO，国際機関等から提示された課題をもとに，プロジェクト計画書を作成し，調査，課題分析を行い本質的な課題を明確し，解決方法について検討する)の授業で活用することにより，得た知識を実践的にアウトプットする仕組みを整えている。
なお，PBLにご協力いただいた企業からは概ね好評を得ており，またPBLに参加したいとのご意見をいただいている。</t>
    <rPh sb="0" eb="2">
      <t>ホンガク</t>
    </rPh>
    <rPh sb="3" eb="5">
      <t>レイワ</t>
    </rPh>
    <rPh sb="6" eb="7">
      <t>ネン</t>
    </rPh>
    <rPh sb="8" eb="9">
      <t>ガツ</t>
    </rPh>
    <rPh sb="10" eb="12">
      <t>カイガク</t>
    </rPh>
    <rPh sb="21" eb="23">
      <t>シュウリョウ</t>
    </rPh>
    <rPh sb="25" eb="27">
      <t>ガクセイ</t>
    </rPh>
    <rPh sb="28" eb="30">
      <t>ソツギョウ</t>
    </rPh>
    <rPh sb="32" eb="33">
      <t>モノ</t>
    </rPh>
    <rPh sb="36" eb="37">
      <t>デ</t>
    </rPh>
    <rPh sb="53" eb="55">
      <t>ガイロン</t>
    </rPh>
    <rPh sb="92" eb="93">
      <t>ケイ</t>
    </rPh>
    <rPh sb="93" eb="95">
      <t>カモク</t>
    </rPh>
    <rPh sb="95" eb="96">
      <t>トウ</t>
    </rPh>
    <rPh sb="100" eb="102">
      <t>ガクシュウ</t>
    </rPh>
    <rPh sb="107" eb="109">
      <t>ブンセキ</t>
    </rPh>
    <rPh sb="110" eb="112">
      <t>シュホウ</t>
    </rPh>
    <rPh sb="205" eb="207">
      <t>カイケツ</t>
    </rPh>
    <rPh sb="207" eb="209">
      <t>ホウホウ</t>
    </rPh>
    <rPh sb="213" eb="215">
      <t>ケントウ</t>
    </rPh>
    <rPh sb="222" eb="224">
      <t>カツヨウ</t>
    </rPh>
    <rPh sb="232" eb="233">
      <t>エ</t>
    </rPh>
    <rPh sb="234" eb="236">
      <t>チシキ</t>
    </rPh>
    <rPh sb="237" eb="240">
      <t>ジッセンテキ</t>
    </rPh>
    <rPh sb="249" eb="251">
      <t>シク</t>
    </rPh>
    <rPh sb="253" eb="254">
      <t>トトノ</t>
    </rPh>
    <rPh sb="268" eb="270">
      <t>キョウリョク</t>
    </rPh>
    <rPh sb="275" eb="277">
      <t>キギョウ</t>
    </rPh>
    <rPh sb="280" eb="281">
      <t>オオム</t>
    </rPh>
    <rPh sb="282" eb="284">
      <t>コウヒョウ</t>
    </rPh>
    <rPh sb="285" eb="286">
      <t>エ</t>
    </rPh>
    <rPh sb="296" eb="298">
      <t>サンカ</t>
    </rPh>
    <rPh sb="304" eb="306">
      <t>イケン</t>
    </rPh>
    <phoneticPr fontId="1"/>
  </si>
  <si>
    <t>ソーシャルシステムデザイン</t>
    <phoneticPr fontId="1"/>
  </si>
  <si>
    <t>「叡啓大学教務委員会の設置について」「叡啓大学教務推進部会の設置について」</t>
    <rPh sb="1" eb="5">
      <t>エイケイ</t>
    </rPh>
    <rPh sb="5" eb="7">
      <t>キョウム</t>
    </rPh>
    <rPh sb="7" eb="10">
      <t>イインカイ</t>
    </rPh>
    <rPh sb="11" eb="13">
      <t>セッチ</t>
    </rPh>
    <rPh sb="19" eb="23">
      <t>エイケイ</t>
    </rPh>
    <rPh sb="23" eb="25">
      <t>キョウム</t>
    </rPh>
    <rPh sb="25" eb="27">
      <t>スイシン</t>
    </rPh>
    <rPh sb="27" eb="29">
      <t>ブカイ</t>
    </rPh>
    <rPh sb="30" eb="32">
      <t>セッチ</t>
    </rPh>
    <phoneticPr fontId="1"/>
  </si>
  <si>
    <t>教務委員会・・・叡啓大学における教務の円滑な遂行と改善を図るために設置し，コンピテンシーの向上や教務の推進，教育に係る評価と改善，教育の質向上に関することを所掌する。
教務推進部会・・・叡啓大学における教育制度の充実を図るために設置し，教務制度の充実に係る具体的な方策の立案や，授業の運用に関すること等を所掌する。部会内での検討及び審議の結果は教務委員会に報告する。
本プログラムの実施にあたり，必要な改善事項については，授業担当教員，教務推進部会，教務委員会において検討する。</t>
    <rPh sb="0" eb="2">
      <t>キョウム</t>
    </rPh>
    <rPh sb="2" eb="5">
      <t>イインカイ</t>
    </rPh>
    <rPh sb="8" eb="12">
      <t>エイケイ</t>
    </rPh>
    <rPh sb="16" eb="18">
      <t>キョウム</t>
    </rPh>
    <rPh sb="19" eb="21">
      <t>エンカツ</t>
    </rPh>
    <rPh sb="22" eb="24">
      <t>スイコウ</t>
    </rPh>
    <rPh sb="25" eb="27">
      <t>カイゼン</t>
    </rPh>
    <rPh sb="28" eb="29">
      <t>ハカ</t>
    </rPh>
    <rPh sb="33" eb="35">
      <t>セッチ</t>
    </rPh>
    <rPh sb="45" eb="47">
      <t>コウジョウ</t>
    </rPh>
    <rPh sb="48" eb="50">
      <t>キョウム</t>
    </rPh>
    <rPh sb="51" eb="53">
      <t>スイシン</t>
    </rPh>
    <rPh sb="54" eb="56">
      <t>キョウイク</t>
    </rPh>
    <rPh sb="57" eb="58">
      <t>カカ</t>
    </rPh>
    <rPh sb="59" eb="61">
      <t>ヒョウカ</t>
    </rPh>
    <rPh sb="62" eb="64">
      <t>カイゼン</t>
    </rPh>
    <rPh sb="65" eb="67">
      <t>キョウイク</t>
    </rPh>
    <rPh sb="68" eb="69">
      <t>シツ</t>
    </rPh>
    <rPh sb="69" eb="71">
      <t>コウジョウ</t>
    </rPh>
    <rPh sb="72" eb="73">
      <t>カン</t>
    </rPh>
    <rPh sb="78" eb="80">
      <t>ショショウ</t>
    </rPh>
    <rPh sb="84" eb="86">
      <t>キョウム</t>
    </rPh>
    <rPh sb="86" eb="88">
      <t>スイシン</t>
    </rPh>
    <rPh sb="88" eb="90">
      <t>ブカイ</t>
    </rPh>
    <rPh sb="114" eb="116">
      <t>セッチ</t>
    </rPh>
    <rPh sb="118" eb="120">
      <t>キョウム</t>
    </rPh>
    <rPh sb="120" eb="122">
      <t>セイド</t>
    </rPh>
    <rPh sb="123" eb="125">
      <t>ジュウジツ</t>
    </rPh>
    <rPh sb="126" eb="127">
      <t>カカ</t>
    </rPh>
    <rPh sb="128" eb="131">
      <t>グタイテキ</t>
    </rPh>
    <rPh sb="132" eb="134">
      <t>ホウサク</t>
    </rPh>
    <rPh sb="135" eb="137">
      <t>リツアン</t>
    </rPh>
    <rPh sb="139" eb="141">
      <t>ジュギョウ</t>
    </rPh>
    <rPh sb="142" eb="144">
      <t>ウンヨウ</t>
    </rPh>
    <rPh sb="145" eb="146">
      <t>カン</t>
    </rPh>
    <rPh sb="150" eb="151">
      <t>ナド</t>
    </rPh>
    <rPh sb="152" eb="154">
      <t>ショショウ</t>
    </rPh>
    <rPh sb="157" eb="159">
      <t>ブカイ</t>
    </rPh>
    <rPh sb="159" eb="160">
      <t>ナイ</t>
    </rPh>
    <rPh sb="162" eb="164">
      <t>ケントウ</t>
    </rPh>
    <rPh sb="164" eb="165">
      <t>オヨ</t>
    </rPh>
    <rPh sb="166" eb="168">
      <t>シンギ</t>
    </rPh>
    <rPh sb="169" eb="171">
      <t>ケッカ</t>
    </rPh>
    <rPh sb="172" eb="174">
      <t>キョウム</t>
    </rPh>
    <rPh sb="174" eb="177">
      <t>イインカイ</t>
    </rPh>
    <rPh sb="178" eb="180">
      <t>ホウコク</t>
    </rPh>
    <rPh sb="184" eb="185">
      <t>ホン</t>
    </rPh>
    <rPh sb="191" eb="193">
      <t>ジッシ</t>
    </rPh>
    <rPh sb="198" eb="200">
      <t>ヒツヨウ</t>
    </rPh>
    <rPh sb="201" eb="203">
      <t>カイゼン</t>
    </rPh>
    <rPh sb="203" eb="205">
      <t>ジコウ</t>
    </rPh>
    <rPh sb="211" eb="213">
      <t>ジュギョウ</t>
    </rPh>
    <rPh sb="213" eb="215">
      <t>タントウ</t>
    </rPh>
    <rPh sb="215" eb="217">
      <t>キョウイン</t>
    </rPh>
    <rPh sb="218" eb="220">
      <t>キョウム</t>
    </rPh>
    <rPh sb="220" eb="222">
      <t>スイシン</t>
    </rPh>
    <rPh sb="222" eb="224">
      <t>ブカイ</t>
    </rPh>
    <rPh sb="225" eb="227">
      <t>キョウム</t>
    </rPh>
    <rPh sb="227" eb="230">
      <t>イインカイ</t>
    </rPh>
    <rPh sb="234" eb="236">
      <t>ケントウ</t>
    </rPh>
    <phoneticPr fontId="1"/>
  </si>
  <si>
    <t>教務委員会
委員長　保井　俊之 学部長・教授
委員　　 田口　陽子 准教授，
　　　　　 長岡　さくら 准教授，
　　　　　 安富　淳 准教授，
　　　     下﨑　正浩 事務部長
教務推進部会
部会長　長岡　さくら 准教授
部会員  Kasparek Nick 准教授，
　　　　　 安富　淳 准教授，
　          中島　基宏 准教授，
　　　　　 平原　敦子 教学課長</t>
    <rPh sb="0" eb="2">
      <t>キョウム</t>
    </rPh>
    <rPh sb="2" eb="5">
      <t>イインカイ</t>
    </rPh>
    <rPh sb="6" eb="9">
      <t>イインチョウ</t>
    </rPh>
    <rPh sb="10" eb="12">
      <t>ヤスイ</t>
    </rPh>
    <rPh sb="13" eb="15">
      <t>トシユキ</t>
    </rPh>
    <rPh sb="16" eb="19">
      <t>ガクブチョウ</t>
    </rPh>
    <rPh sb="20" eb="22">
      <t>キョウジュ</t>
    </rPh>
    <rPh sb="23" eb="25">
      <t>イイン</t>
    </rPh>
    <rPh sb="28" eb="30">
      <t>タグチ</t>
    </rPh>
    <rPh sb="31" eb="33">
      <t>ヨウコ</t>
    </rPh>
    <rPh sb="34" eb="35">
      <t>ジュン</t>
    </rPh>
    <rPh sb="35" eb="37">
      <t>キョウジュ</t>
    </rPh>
    <rPh sb="45" eb="47">
      <t>ナガオカ</t>
    </rPh>
    <rPh sb="52" eb="53">
      <t>ジュン</t>
    </rPh>
    <rPh sb="53" eb="55">
      <t>キョウジュ</t>
    </rPh>
    <rPh sb="63" eb="65">
      <t>ヤストミ</t>
    </rPh>
    <rPh sb="66" eb="67">
      <t>ジュン</t>
    </rPh>
    <rPh sb="68" eb="69">
      <t>ジュン</t>
    </rPh>
    <rPh sb="69" eb="71">
      <t>キョウジュ</t>
    </rPh>
    <rPh sb="81" eb="82">
      <t>シタ</t>
    </rPh>
    <rPh sb="82" eb="83">
      <t>サキ</t>
    </rPh>
    <rPh sb="84" eb="85">
      <t>セイ</t>
    </rPh>
    <rPh sb="85" eb="86">
      <t>ヒロシ</t>
    </rPh>
    <rPh sb="87" eb="89">
      <t>ジム</t>
    </rPh>
    <rPh sb="89" eb="91">
      <t>ブチョウ</t>
    </rPh>
    <rPh sb="93" eb="95">
      <t>キョウム</t>
    </rPh>
    <rPh sb="95" eb="97">
      <t>スイシン</t>
    </rPh>
    <rPh sb="97" eb="99">
      <t>ブカイ</t>
    </rPh>
    <rPh sb="100" eb="103">
      <t>ブカイチョウ</t>
    </rPh>
    <rPh sb="104" eb="106">
      <t>ナガオカ</t>
    </rPh>
    <rPh sb="111" eb="112">
      <t>ジュン</t>
    </rPh>
    <rPh sb="112" eb="114">
      <t>キョウジュ</t>
    </rPh>
    <rPh sb="115" eb="116">
      <t>ブ</t>
    </rPh>
    <rPh sb="116" eb="118">
      <t>カイイン</t>
    </rPh>
    <rPh sb="134" eb="135">
      <t>ジュン</t>
    </rPh>
    <rPh sb="135" eb="137">
      <t>キョウジュ</t>
    </rPh>
    <rPh sb="145" eb="147">
      <t>ヤストミ</t>
    </rPh>
    <rPh sb="148" eb="149">
      <t>ジュン</t>
    </rPh>
    <rPh sb="150" eb="151">
      <t>ジュン</t>
    </rPh>
    <rPh sb="151" eb="153">
      <t>キョウジュ</t>
    </rPh>
    <rPh sb="166" eb="168">
      <t>ナカジマ</t>
    </rPh>
    <rPh sb="169" eb="170">
      <t>モト</t>
    </rPh>
    <rPh sb="170" eb="171">
      <t>ヒロシ</t>
    </rPh>
    <rPh sb="172" eb="173">
      <t>ジュン</t>
    </rPh>
    <rPh sb="173" eb="175">
      <t>キョウジュ</t>
    </rPh>
    <rPh sb="183" eb="185">
      <t>ヒラハラ</t>
    </rPh>
    <rPh sb="186" eb="188">
      <t>アツコ</t>
    </rPh>
    <rPh sb="189" eb="191">
      <t>キョウガク</t>
    </rPh>
    <rPh sb="191" eb="193">
      <t>カチョウ</t>
    </rPh>
    <phoneticPr fontId="1"/>
  </si>
  <si>
    <t>プログラムを構成する「データサイエンス概論A」／「Introduction to Data Science A」は必修科目であり，学生全員が卒業までに必ず受講し，リテラシーレベルを身に付ける。
なお，全学の方針であるアクティブラーニングによる少人数教育を行うため，1クラスあたりの最大履修人数を30人とした上で，年間に4クラス開講し，入学定員100人に対して毎年120名が履修できる枠を設けている。</t>
  </si>
  <si>
    <t>プログラムを構成する「データサイエンス概論A」／「Introduction to Data Science A」は必修科目であり，学生全員が卒業までに必ず受講し，リテラシーレベルを身に付ける。
なお，全学の方針であるアクティブラーニングによる少人数教育を行うため，1クラスあたりの最大履修人数を30人とした上で，年間に4クラス開講し，入学定員100人に対して毎年120名が履修できる枠を設けている。</t>
    <rPh sb="121" eb="124">
      <t>ショウニンズウ</t>
    </rPh>
    <rPh sb="124" eb="126">
      <t>キョウイク</t>
    </rPh>
    <rPh sb="127" eb="128">
      <t>オコナ</t>
    </rPh>
    <rPh sb="153" eb="154">
      <t>ウエ</t>
    </rPh>
    <rPh sb="156" eb="158">
      <t>ネンカン</t>
    </rPh>
    <rPh sb="163" eb="165">
      <t>カイコウ</t>
    </rPh>
    <rPh sb="167" eb="169">
      <t>ニュウガク</t>
    </rPh>
    <rPh sb="169" eb="171">
      <t>テイイン</t>
    </rPh>
    <rPh sb="174" eb="175">
      <t>ニン</t>
    </rPh>
    <rPh sb="176" eb="177">
      <t>タイ</t>
    </rPh>
    <rPh sb="179" eb="181">
      <t>マイトシ</t>
    </rPh>
    <rPh sb="184" eb="185">
      <t>メイ</t>
    </rPh>
    <rPh sb="186" eb="188">
      <t>リシュウ</t>
    </rPh>
    <rPh sb="191" eb="192">
      <t>ワク</t>
    </rPh>
    <rPh sb="193" eb="194">
      <t>モウ</t>
    </rPh>
    <phoneticPr fontId="1"/>
  </si>
  <si>
    <t>前述のとおり，プログラムを構成する「データサイエンス概論A」「Introduction to Data Science A」について，できるだけ多くの学生が少人数体制において授業を履修できるようにするため，1クラス当たりの履修可能人数を30名とした上で，クラスを4つに分けて開講している。
当該科目は専任教員２名によりオムニバス科目として運営されており，授業の内容について不明点があるときは，両方の教員へ質問等が可能な体制となっている。</t>
    <rPh sb="0" eb="2">
      <t>ゼンジュツ</t>
    </rPh>
    <rPh sb="13" eb="15">
      <t>コウセイ</t>
    </rPh>
    <rPh sb="26" eb="28">
      <t>ガイロン</t>
    </rPh>
    <rPh sb="107" eb="108">
      <t>ア</t>
    </rPh>
    <rPh sb="111" eb="113">
      <t>リシュウ</t>
    </rPh>
    <rPh sb="113" eb="115">
      <t>カノウ</t>
    </rPh>
    <rPh sb="115" eb="117">
      <t>ニンズウ</t>
    </rPh>
    <rPh sb="120" eb="121">
      <t>メイ</t>
    </rPh>
    <rPh sb="124" eb="125">
      <t>ウエ</t>
    </rPh>
    <rPh sb="145" eb="147">
      <t>トウガイ</t>
    </rPh>
    <rPh sb="147" eb="149">
      <t>カモク</t>
    </rPh>
    <rPh sb="150" eb="152">
      <t>センニン</t>
    </rPh>
    <rPh sb="152" eb="154">
      <t>キョウイン</t>
    </rPh>
    <rPh sb="155" eb="156">
      <t>メイ</t>
    </rPh>
    <rPh sb="164" eb="166">
      <t>カモク</t>
    </rPh>
    <rPh sb="169" eb="171">
      <t>ウンエイ</t>
    </rPh>
    <rPh sb="177" eb="179">
      <t>ジュギョウ</t>
    </rPh>
    <rPh sb="180" eb="182">
      <t>ナイヨウ</t>
    </rPh>
    <rPh sb="186" eb="189">
      <t>フメイテン</t>
    </rPh>
    <rPh sb="196" eb="198">
      <t>リョウホウ</t>
    </rPh>
    <rPh sb="199" eb="201">
      <t>キョウイン</t>
    </rPh>
    <rPh sb="202" eb="204">
      <t>シツモン</t>
    </rPh>
    <rPh sb="204" eb="205">
      <t>トウ</t>
    </rPh>
    <rPh sb="206" eb="208">
      <t>カノウ</t>
    </rPh>
    <rPh sb="209" eb="211">
      <t>タイセイ</t>
    </rPh>
    <phoneticPr fontId="1"/>
  </si>
  <si>
    <t>授業時間内外で学習指導，質問を受け付ける具体的な仕組み</t>
    <rPh sb="20" eb="23">
      <t>グタイテキ</t>
    </rPh>
    <phoneticPr fontId="1"/>
  </si>
  <si>
    <t xml:space="preserve">授業の中でオフィスアワーを設け，学生からの授業に関する質問を随時受け付けている他，1年生～４年生までの学生（各学年10名程度）及び担当する専任教員2～3名をもって構成する「ポート」の仕組みの中で，担当教員の研究室の前室又は隣室に，所属する学生が使用する学生控室を配置し，学生の帰属するコミュニティの物理的なスペースとしてコミュニケーションを図れる場所を確保している。主にポート担当教員が，必要に応じて，ポート所属学生の学修進捗状況の確認や履修に関する助言・指導を行っている。
</t>
    <rPh sb="0" eb="2">
      <t>ジュギョウ</t>
    </rPh>
    <rPh sb="3" eb="4">
      <t>ナカ</t>
    </rPh>
    <rPh sb="13" eb="14">
      <t>モウ</t>
    </rPh>
    <rPh sb="16" eb="18">
      <t>ガクセイ</t>
    </rPh>
    <rPh sb="21" eb="23">
      <t>ジュギョウ</t>
    </rPh>
    <rPh sb="24" eb="25">
      <t>カン</t>
    </rPh>
    <rPh sb="27" eb="29">
      <t>シツモン</t>
    </rPh>
    <rPh sb="30" eb="32">
      <t>ズイジ</t>
    </rPh>
    <rPh sb="32" eb="33">
      <t>ウ</t>
    </rPh>
    <rPh sb="34" eb="35">
      <t>ツ</t>
    </rPh>
    <rPh sb="39" eb="40">
      <t>ホカ</t>
    </rPh>
    <rPh sb="42" eb="44">
      <t>ネンセイ</t>
    </rPh>
    <rPh sb="46" eb="48">
      <t>ネンセイ</t>
    </rPh>
    <rPh sb="51" eb="53">
      <t>ガクセイ</t>
    </rPh>
    <rPh sb="54" eb="55">
      <t>カク</t>
    </rPh>
    <rPh sb="55" eb="57">
      <t>ガクネン</t>
    </rPh>
    <rPh sb="59" eb="60">
      <t>メイ</t>
    </rPh>
    <rPh sb="60" eb="62">
      <t>テイド</t>
    </rPh>
    <rPh sb="63" eb="64">
      <t>オヨ</t>
    </rPh>
    <rPh sb="65" eb="67">
      <t>タントウ</t>
    </rPh>
    <rPh sb="69" eb="71">
      <t>センニン</t>
    </rPh>
    <rPh sb="71" eb="73">
      <t>キョウイン</t>
    </rPh>
    <rPh sb="76" eb="77">
      <t>メイ</t>
    </rPh>
    <rPh sb="81" eb="83">
      <t>コウセイ</t>
    </rPh>
    <rPh sb="91" eb="93">
      <t>シク</t>
    </rPh>
    <rPh sb="95" eb="96">
      <t>ナカ</t>
    </rPh>
    <rPh sb="98" eb="100">
      <t>タントウ</t>
    </rPh>
    <rPh sb="100" eb="102">
      <t>キョウイン</t>
    </rPh>
    <rPh sb="103" eb="106">
      <t>ケンキュウシツ</t>
    </rPh>
    <rPh sb="107" eb="108">
      <t>マエ</t>
    </rPh>
    <rPh sb="108" eb="109">
      <t>シツ</t>
    </rPh>
    <rPh sb="109" eb="110">
      <t>マタ</t>
    </rPh>
    <rPh sb="111" eb="112">
      <t>トナリ</t>
    </rPh>
    <rPh sb="112" eb="113">
      <t>シツ</t>
    </rPh>
    <rPh sb="115" eb="117">
      <t>ショゾク</t>
    </rPh>
    <rPh sb="119" eb="121">
      <t>ガクセイ</t>
    </rPh>
    <rPh sb="122" eb="124">
      <t>シヨウ</t>
    </rPh>
    <rPh sb="126" eb="128">
      <t>ガクセイ</t>
    </rPh>
    <rPh sb="128" eb="130">
      <t>ヒカエシツ</t>
    </rPh>
    <rPh sb="131" eb="133">
      <t>ハイチ</t>
    </rPh>
    <rPh sb="135" eb="137">
      <t>ガクセイ</t>
    </rPh>
    <rPh sb="138" eb="140">
      <t>キゾク</t>
    </rPh>
    <rPh sb="149" eb="152">
      <t>ブツリテキ</t>
    </rPh>
    <rPh sb="170" eb="171">
      <t>ハカ</t>
    </rPh>
    <rPh sb="173" eb="175">
      <t>バショ</t>
    </rPh>
    <rPh sb="176" eb="178">
      <t>カクホ</t>
    </rPh>
    <rPh sb="183" eb="184">
      <t>オモ</t>
    </rPh>
    <rPh sb="188" eb="190">
      <t>タントウ</t>
    </rPh>
    <rPh sb="190" eb="192">
      <t>キョウイン</t>
    </rPh>
    <rPh sb="194" eb="196">
      <t>ヒツヨウ</t>
    </rPh>
    <rPh sb="197" eb="198">
      <t>オウ</t>
    </rPh>
    <rPh sb="204" eb="206">
      <t>ショゾク</t>
    </rPh>
    <rPh sb="206" eb="208">
      <t>ガクセイ</t>
    </rPh>
    <rPh sb="209" eb="211">
      <t>ガクシュウ</t>
    </rPh>
    <rPh sb="211" eb="213">
      <t>シンチョク</t>
    </rPh>
    <rPh sb="213" eb="215">
      <t>ジョウキョウ</t>
    </rPh>
    <rPh sb="216" eb="218">
      <t>カクニン</t>
    </rPh>
    <rPh sb="219" eb="221">
      <t>リシュウ</t>
    </rPh>
    <rPh sb="222" eb="223">
      <t>カン</t>
    </rPh>
    <rPh sb="225" eb="227">
      <t>ジョゲン</t>
    </rPh>
    <rPh sb="228" eb="230">
      <t>シドウ</t>
    </rPh>
    <rPh sb="231" eb="232">
      <t>オコナ</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</si>
  <si>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</si>
  <si>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学部・学科によって，修了要件は相違しない</t>
  </si>
  <si>
    <t>令和４年度以前より，履修することが必須のプログラムとして実施</t>
    <rPh sb="0" eb="2">
      <t>レイワ</t>
    </rPh>
    <rPh sb="3" eb="5">
      <t>ネンド</t>
    </rPh>
    <rPh sb="5" eb="7">
      <t>イゼン</t>
    </rPh>
    <phoneticPr fontId="1"/>
  </si>
  <si>
    <t>令和８年度以降に履修必須とする計画，又は未定</t>
    <rPh sb="18" eb="19">
      <t>マタ</t>
    </rPh>
    <rPh sb="20" eb="22">
      <t>ミテイ</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</si>
  <si>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</si>
  <si>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</si>
  <si>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</si>
  <si>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</si>
  <si>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</si>
  <si>
    <t>（１）現在進行中の社会変化（第４次産業革命，Society 5.0，データ駆動型社会等）に深く寄与しているものであり，それが自らの生活と密接に結びついている</t>
  </si>
  <si>
    <t>・ビッグデータ，IoT，AI　「データサイエンス概論A」（1回目），「Introduction to Data Science A」（1回目）
・データ量の増加，計算機の処理性能の向上　「データサイエンス概論A」（1回目），「Introduction to Data Science A」（1回目）
・第4次産業革命，データ駆動型社会　「データサイエンス概論A」（1回目），「Introduction to Data Science A」（1回目）
・人間の知的活動とAIの関係性　「データサイエンス概論A」（1回目），「Introduction to Data Science A」（1回目）
・データを起点としたものの見方，人間の知的活動を起点としたものの見方　「データサイエンス概論A」（1回目），「Introduction to Data Science A」（1回目）</t>
    <rPh sb="30" eb="32">
      <t>カイメ</t>
    </rPh>
    <rPh sb="68" eb="70">
      <t>カイメ</t>
    </rPh>
    <rPh sb="76" eb="77">
      <t>リョウ</t>
    </rPh>
    <rPh sb="78" eb="80">
      <t>ゾウカ</t>
    </rPh>
    <rPh sb="81" eb="84">
      <t>ケイサンキ</t>
    </rPh>
    <rPh sb="85" eb="87">
      <t>ショリ</t>
    </rPh>
    <rPh sb="87" eb="89">
      <t>セイノウ</t>
    </rPh>
    <rPh sb="90" eb="92">
      <t>コウジョウ</t>
    </rPh>
    <rPh sb="162" eb="165">
      <t>クドウガタ</t>
    </rPh>
    <rPh sb="165" eb="167">
      <t>シャカイ</t>
    </rPh>
    <rPh sb="183" eb="185">
      <t>カイメ</t>
    </rPh>
    <rPh sb="226" eb="228">
      <t>ニンゲン</t>
    </rPh>
    <rPh sb="229" eb="233">
      <t>チテキカツドウ</t>
    </rPh>
    <rPh sb="237" eb="240">
      <t>カンケイセイ</t>
    </rPh>
    <rPh sb="303" eb="305">
      <t>キテン</t>
    </rPh>
    <rPh sb="311" eb="313">
      <t>ミカタ</t>
    </rPh>
    <rPh sb="314" eb="316">
      <t>ニンゲン</t>
    </rPh>
    <rPh sb="317" eb="321">
      <t>チテキカツドウ</t>
    </rPh>
    <rPh sb="322" eb="324">
      <t>キテン</t>
    </rPh>
    <rPh sb="330" eb="332">
      <t>ミカタ</t>
    </rPh>
    <phoneticPr fontId="1"/>
  </si>
  <si>
    <t>・AI最新技術の活用例（深層生成モデル，敵対的生成ネットワークなど）　「データサイエンス概論A」（11回目・12回目），「Introduction to Data Science A」（11回目・12回目）</t>
    <rPh sb="5" eb="7">
      <t>ギジュツ</t>
    </rPh>
    <rPh sb="8" eb="11">
      <t>カツヨウレイ</t>
    </rPh>
    <rPh sb="12" eb="14">
      <t>シンソウ</t>
    </rPh>
    <rPh sb="14" eb="16">
      <t>セイセイ</t>
    </rPh>
    <rPh sb="20" eb="23">
      <t>テキタイテキ</t>
    </rPh>
    <rPh sb="23" eb="25">
      <t>セイセイ</t>
    </rPh>
    <rPh sb="51" eb="53">
      <t>カイメ</t>
    </rPh>
    <rPh sb="56" eb="58">
      <t>カイメ</t>
    </rPh>
    <rPh sb="100" eb="102">
      <t>カイメ</t>
    </rPh>
    <phoneticPr fontId="1"/>
  </si>
  <si>
    <t>（２）「社会で活用されているデータ」や「データの活用領域」は非常に広範囲であって，日常生活や社会の課題を解決する有用なツールになり得るもの</t>
  </si>
  <si>
    <t>・調査データ，実験データ　「データサイエンス概論A」（2回目），「Introduction to Data Science A」（2回目）
・構造化データ，非構造化データ　「データサイエンス概論A」（2回目），「Introduction to Data Science A」（2回目）
・データのオープン化（オープンデータ）　「データサイエンス概論A」（2回目），「Introduction to Data Science A」（2回目）</t>
    <rPh sb="1" eb="3">
      <t>チョウサ</t>
    </rPh>
    <rPh sb="7" eb="9">
      <t>ジッケン</t>
    </rPh>
    <rPh sb="71" eb="74">
      <t>コウゾウカ</t>
    </rPh>
    <rPh sb="78" eb="79">
      <t>ヒ</t>
    </rPh>
    <rPh sb="79" eb="82">
      <t>コウゾウカ</t>
    </rPh>
    <rPh sb="152" eb="153">
      <t>カ</t>
    </rPh>
    <phoneticPr fontId="1"/>
  </si>
  <si>
    <t>・データ・AI活用領域の広がり（生産，消費など）　「データサイエンス概論A」（1回目），「Introduction to Data Science A」（1回目）
・研究開発，販売，マーケティングなど　「データサイエンス概論A」（1回目），「Introduction to Data Science A」（1回目）</t>
    <rPh sb="7" eb="9">
      <t>カツヨウ</t>
    </rPh>
    <rPh sb="9" eb="11">
      <t>リョウイキ</t>
    </rPh>
    <rPh sb="12" eb="13">
      <t>ヒロ</t>
    </rPh>
    <rPh sb="16" eb="18">
      <t>セイサン</t>
    </rPh>
    <rPh sb="19" eb="21">
      <t>ショウヒ</t>
    </rPh>
    <rPh sb="83" eb="85">
      <t>ケンキュウ</t>
    </rPh>
    <rPh sb="85" eb="87">
      <t>カイハツ</t>
    </rPh>
    <rPh sb="88" eb="90">
      <t>ハンバイ</t>
    </rPh>
    <phoneticPr fontId="1"/>
  </si>
  <si>
    <t>（３）様々なデータ利活用の現場におけるデータ利活用事例が示され，様々な適用領域（流通，製造，金融，サービス，インフラ，公共，ヘルスケア等）の知見と組み合わせることで価値を創出するもの</t>
  </si>
  <si>
    <t>・データ解析：予測，パターン発見など　「データサイエンス概論A」（7回目，8回目，9回目，10回目），「Introduction to Data Science A」（7回目，8回目，9回目，10回目）
・データ可視化：複合グラフ，２軸グラフ，関係性の可視化など　「データサイエンス概論A」（3回目，4回目，7回目，8回目），「Introduction to Data Science A」（3回目，4回目，7回目，8回目）
・非構造化データ処理：言語処理，画像処理，音声処理など　「データサイエンス概論A」（11回目，12回目），「Introduction to Data Science A」（11回目，12回目）
・特化型AIと汎用AI，今のAIでできることと出来ないこと，AIとビッグデータ　「データサイエンス概論A」（1回目，11回目，12回目），「Introduction to Data Science A」（1回目，11回目，12回目）</t>
    <rPh sb="4" eb="6">
      <t>カイセキ</t>
    </rPh>
    <rPh sb="7" eb="9">
      <t>ヨソク</t>
    </rPh>
    <rPh sb="14" eb="16">
      <t>ハッケン</t>
    </rPh>
    <rPh sb="106" eb="109">
      <t>カシカ</t>
    </rPh>
    <rPh sb="110" eb="112">
      <t>フクゴウ</t>
    </rPh>
    <rPh sb="117" eb="118">
      <t>ジク</t>
    </rPh>
    <rPh sb="122" eb="125">
      <t>カンケイセイ</t>
    </rPh>
    <rPh sb="126" eb="129">
      <t>カシカ</t>
    </rPh>
    <rPh sb="151" eb="153">
      <t>カイメ</t>
    </rPh>
    <rPh sb="214" eb="215">
      <t>ヒ</t>
    </rPh>
    <rPh sb="215" eb="218">
      <t>コウゾウカ</t>
    </rPh>
    <rPh sb="221" eb="223">
      <t>ショリ</t>
    </rPh>
    <rPh sb="224" eb="228">
      <t>ゲンゴショリ</t>
    </rPh>
    <rPh sb="229" eb="233">
      <t>ガゾウショリ</t>
    </rPh>
    <rPh sb="234" eb="236">
      <t>オンセイ</t>
    </rPh>
    <rPh sb="236" eb="238">
      <t>ショリ</t>
    </rPh>
    <rPh sb="311" eb="314">
      <t>トッカガタ</t>
    </rPh>
    <rPh sb="317" eb="319">
      <t>ハンヨウ</t>
    </rPh>
    <rPh sb="322" eb="323">
      <t>イマ</t>
    </rPh>
    <rPh sb="333" eb="335">
      <t>デキ</t>
    </rPh>
    <phoneticPr fontId="1"/>
  </si>
  <si>
    <t>・販売，マーケティング，行政，スポーツ，研究開発等におけるデータ・AI利活用事例紹介　「データサイエンス概論A」（1回目，5回目，6回目），「Introduction to Data Science A」（1回目，5回目，6回目）</t>
    <rPh sb="1" eb="3">
      <t>ハンバイ</t>
    </rPh>
    <rPh sb="12" eb="14">
      <t>ギョウセイ</t>
    </rPh>
    <rPh sb="20" eb="22">
      <t>ケンキュウ</t>
    </rPh>
    <rPh sb="22" eb="24">
      <t>カイハツ</t>
    </rPh>
    <rPh sb="24" eb="25">
      <t>トウ</t>
    </rPh>
    <rPh sb="35" eb="38">
      <t>リカツヨウ</t>
    </rPh>
    <rPh sb="38" eb="40">
      <t>ジレイ</t>
    </rPh>
    <rPh sb="40" eb="42">
      <t>ショウカイ</t>
    </rPh>
    <rPh sb="62" eb="64">
      <t>カイメ</t>
    </rPh>
    <rPh sb="66" eb="68">
      <t>カイメ</t>
    </rPh>
    <rPh sb="108" eb="110">
      <t>カイメ</t>
    </rPh>
    <rPh sb="112" eb="114">
      <t>カイメ</t>
    </rPh>
    <phoneticPr fontId="1"/>
  </si>
  <si>
    <t>（４）活用に当たっての様々な留意事項（ELSI，個人情報，データ倫理，ＡＩ社会原則等）を考慮し，情報セキュリティや情報漏洩等，データを守る上での留意事項への理解をする</t>
  </si>
  <si>
    <t>・データ倫理：データのねつ造，改ざん，プライバシー保護　　「データサイエンス概論A」（1回目），「Introduction to Data Science A」（1回目）
・データバイアス，アルゴリズムバイアス　「データサイエンス概論A」（9回目，10回目），「Introduction to Data Science A」（9回目，10回目）
・AIサービスの責任論　「データサイエンス概論A」（11回目，12回目），「Introduction to Data Science A」（11回目，12回目）</t>
    <rPh sb="4" eb="6">
      <t>リンリ</t>
    </rPh>
    <rPh sb="13" eb="14">
      <t>ゾウ</t>
    </rPh>
    <rPh sb="15" eb="16">
      <t>カイ</t>
    </rPh>
    <rPh sb="25" eb="27">
      <t>ホゴ</t>
    </rPh>
    <rPh sb="126" eb="128">
      <t>カイメ</t>
    </rPh>
    <rPh sb="169" eb="171">
      <t>カイメ</t>
    </rPh>
    <rPh sb="181" eb="184">
      <t>セキニンロン</t>
    </rPh>
    <phoneticPr fontId="1"/>
  </si>
  <si>
    <t>（５）実データ・実課題（学術データ等を含む）を用いた演習など，社会での実例を題材として，「データを読む，説明する，扱う」といった数理・データサイエンス・ＡＩの基本的な活用法に関するもの</t>
  </si>
  <si>
    <t>・データの種類（量的変数，質的変数）　　「データサイエンス概論A」（2回目，4回目），「Introduction to Data Science A」（2回目，4回目）
・データの分布（ヒストグラム）と代表値（平均値，中央値，最頻値）　「データサイエンス概論A」（2回目，4回目，7回目，8回目），「Introduction to Data Science A」（2回目，4回目，7回目，8回目）
・データのばらつき（分散，標準偏差）　「データサイエンス概論A」（2回目，4回目，7回目，8回目），「Introduction to Data Science A」（2回目，4回目，7回目，8回目）
・観測データに含まれる誤差の扱い　「データサイエンス概論A」（2回目，4回目，13回目，14回目），「Introduction to Data Science A」（2回目，4回目，13回目，14回目）
・相関と因果（相関係数，疑似相関，交絡）　「データサイエンス概論A」（2回目，3回目，7回目，8回目），「Introduction to Data Science A」（2回目，3回目，7回目，8回目）
・母集団と標本抽出　「データサイエンス概論A」（2回目，7回目，8回目），「Introduction to Data Science A」（2回目，7回目，8回目）
・クロス集計表，分割表　「データサイエンス概論A」（3回目，4回目），「Introduction to Data Science A」（3回目，4回目）
・統計情報の正しい理解（誇張表現に惑わされない）　「データサイエンス概論A」（2回目，4回目，13回目，14回目），「Introduction to Data Science A」（2回目，4回目，13回目，14回目）</t>
    <rPh sb="5" eb="7">
      <t>シュルイ</t>
    </rPh>
    <rPh sb="8" eb="10">
      <t>リョウテキ</t>
    </rPh>
    <rPh sb="10" eb="12">
      <t>ヘンスウ</t>
    </rPh>
    <rPh sb="13" eb="15">
      <t>シツテキ</t>
    </rPh>
    <rPh sb="15" eb="17">
      <t>ヘンスウ</t>
    </rPh>
    <rPh sb="90" eb="92">
      <t>ブンプ</t>
    </rPh>
    <rPh sb="101" eb="104">
      <t>ダイヒョウチ</t>
    </rPh>
    <rPh sb="105" eb="107">
      <t>ヘイキン</t>
    </rPh>
    <rPh sb="107" eb="108">
      <t>チ</t>
    </rPh>
    <rPh sb="109" eb="112">
      <t>チュウオウチ</t>
    </rPh>
    <rPh sb="113" eb="115">
      <t>サイヒン</t>
    </rPh>
    <rPh sb="115" eb="116">
      <t>チ</t>
    </rPh>
    <rPh sb="145" eb="147">
      <t>カイメ</t>
    </rPh>
    <rPh sb="149" eb="151">
      <t>カイメ</t>
    </rPh>
    <rPh sb="195" eb="197">
      <t>カイメ</t>
    </rPh>
    <rPh sb="199" eb="201">
      <t>カイメ</t>
    </rPh>
    <rPh sb="213" eb="215">
      <t>ブンサン</t>
    </rPh>
    <rPh sb="216" eb="218">
      <t>ヒョウジュン</t>
    </rPh>
    <rPh sb="218" eb="220">
      <t>ヘンサ</t>
    </rPh>
    <rPh sb="304" eb="306">
      <t>カンソク</t>
    </rPh>
    <rPh sb="310" eb="311">
      <t>フク</t>
    </rPh>
    <rPh sb="314" eb="316">
      <t>ゴサ</t>
    </rPh>
    <rPh sb="317" eb="318">
      <t>アツカ</t>
    </rPh>
    <rPh sb="406" eb="408">
      <t>ソウカン</t>
    </rPh>
    <rPh sb="409" eb="411">
      <t>インガ</t>
    </rPh>
    <rPh sb="414" eb="416">
      <t>ケイスウ</t>
    </rPh>
    <rPh sb="441" eb="443">
      <t>カイメ</t>
    </rPh>
    <rPh sb="491" eb="493">
      <t>カイメ</t>
    </rPh>
    <phoneticPr fontId="1"/>
  </si>
  <si>
    <t>・データ表現（棒グラフ，折線グラフ，散布図）　「データサイエンス概論A」（2回目，13回目，14回目），「Introduction to Data Science A」（2回目，13回目，14回目）
・データの図表表現（チャート化）　「データサイエンス概論A」（2回目，13回目，14回目），「Introduction to Data Science A」（2回目，13回目，14回目）
・データの比較　「データサイエンス概論A」（2回目，13回目，14回目），「Introduction to Data Science A」（2回目，13回目，14回目）
・不適切なグラフ表現（不必要な視覚的要素）　「データサイエンス概論A」（2回目，13回目，14回目），「Introduction to Data Science A」（2回目，13回目，14回目）
・優れた可視化事例の紹介（可視化することによって新たな気づきがあった事例など）　「データサイエンス概論A」（2回目，13回目，14回目），「Introduction to Data Science A」（2回目，13回目，14回目）</t>
    <rPh sb="4" eb="6">
      <t>ヒョウゲン</t>
    </rPh>
    <rPh sb="7" eb="8">
      <t>ボウ</t>
    </rPh>
    <rPh sb="12" eb="14">
      <t>オレセン</t>
    </rPh>
    <rPh sb="18" eb="21">
      <t>サンプズ</t>
    </rPh>
    <rPh sb="105" eb="107">
      <t>ズヒョウ</t>
    </rPh>
    <rPh sb="107" eb="109">
      <t>ヒョウゲン</t>
    </rPh>
    <rPh sb="114" eb="115">
      <t>カ</t>
    </rPh>
    <rPh sb="199" eb="201">
      <t>ヒカク</t>
    </rPh>
    <rPh sb="280" eb="283">
      <t>フテキセツ</t>
    </rPh>
    <rPh sb="287" eb="289">
      <t>ヒョウゲン</t>
    </rPh>
    <rPh sb="290" eb="293">
      <t>フヒツヨウ</t>
    </rPh>
    <rPh sb="294" eb="297">
      <t>シカクテキ</t>
    </rPh>
    <rPh sb="297" eb="299">
      <t>ヨウソ</t>
    </rPh>
    <rPh sb="379" eb="380">
      <t>スグ</t>
    </rPh>
    <rPh sb="382" eb="385">
      <t>カシカ</t>
    </rPh>
    <rPh sb="385" eb="387">
      <t>ジレイ</t>
    </rPh>
    <rPh sb="388" eb="390">
      <t>ショウカイ</t>
    </rPh>
    <rPh sb="391" eb="394">
      <t>カシカ</t>
    </rPh>
    <rPh sb="402" eb="403">
      <t>アラ</t>
    </rPh>
    <rPh sb="405" eb="406">
      <t>キ</t>
    </rPh>
    <rPh sb="412" eb="414">
      <t>ジレイ</t>
    </rPh>
    <phoneticPr fontId="1"/>
  </si>
  <si>
    <t>・データの集計（和，平均）　「データサイエンス概論A」（3回目，4回目），「Introduction to Data Science A」（3回目，4回目）
・データの並び替え，ランキング　「データサイエンス概論A」（3回目，4回目），「Introduction to Data Science A」（3回目，4回目）
・データ解析ツール（スプレッドシート）　「データサイエンス概論A」（4回目，7回目，8回目），「Introduction to Data Science A」（4回目，7回目，8回目）
・表形式のデータ（csv）　「データサイエンス概論A」（3回目，4回目），「Introduction to Data Science A」（3回目，4回目）</t>
    <rPh sb="5" eb="7">
      <t>シュウケイ</t>
    </rPh>
    <rPh sb="8" eb="9">
      <t>ワ</t>
    </rPh>
    <rPh sb="10" eb="12">
      <t>ヘイキン</t>
    </rPh>
    <rPh sb="84" eb="85">
      <t>ナラ</t>
    </rPh>
    <rPh sb="86" eb="87">
      <t>カ</t>
    </rPh>
    <rPh sb="164" eb="166">
      <t>カイセキ</t>
    </rPh>
    <rPh sb="203" eb="205">
      <t>カイメ</t>
    </rPh>
    <rPh sb="249" eb="251">
      <t>カイメ</t>
    </rPh>
    <rPh sb="254" eb="257">
      <t>ヒョウケイシキ</t>
    </rPh>
    <phoneticPr fontId="1"/>
  </si>
  <si>
    <t>教育制度の充実及び開講授業の運用に関することを所掌する「教務推進部会」において，毎年度の履修状況を確認すると共に，履修者に対する単位修得率が思わしくない等の場合は，授業担当教員が教育改善アンケート等の内容を踏まえ，授業難易度の適正化やシラバスの調整を行うなど，実情に応じた改善を図る。</t>
    <rPh sb="0" eb="2">
      <t>キョウイク</t>
    </rPh>
    <rPh sb="2" eb="4">
      <t>セイド</t>
    </rPh>
    <rPh sb="5" eb="7">
      <t>ジュウジツ</t>
    </rPh>
    <rPh sb="7" eb="8">
      <t>オヨ</t>
    </rPh>
    <rPh sb="9" eb="11">
      <t>カイコウ</t>
    </rPh>
    <rPh sb="11" eb="13">
      <t>ジュギョウ</t>
    </rPh>
    <rPh sb="14" eb="16">
      <t>ウンヨウ</t>
    </rPh>
    <rPh sb="17" eb="18">
      <t>カン</t>
    </rPh>
    <rPh sb="23" eb="25">
      <t>ショショウ</t>
    </rPh>
    <rPh sb="28" eb="30">
      <t>キョウム</t>
    </rPh>
    <rPh sb="30" eb="32">
      <t>スイシン</t>
    </rPh>
    <rPh sb="32" eb="34">
      <t>ブカイ</t>
    </rPh>
    <rPh sb="40" eb="43">
      <t>マイネンド</t>
    </rPh>
    <rPh sb="44" eb="46">
      <t>リシュウ</t>
    </rPh>
    <rPh sb="46" eb="48">
      <t>ジョウキョウ</t>
    </rPh>
    <rPh sb="49" eb="51">
      <t>カクニン</t>
    </rPh>
    <rPh sb="54" eb="55">
      <t>トモ</t>
    </rPh>
    <rPh sb="57" eb="59">
      <t>リシュウ</t>
    </rPh>
    <rPh sb="59" eb="60">
      <t>シャ</t>
    </rPh>
    <rPh sb="61" eb="62">
      <t>タイ</t>
    </rPh>
    <rPh sb="64" eb="66">
      <t>タンイ</t>
    </rPh>
    <rPh sb="66" eb="68">
      <t>シュウトク</t>
    </rPh>
    <rPh sb="68" eb="69">
      <t>リツ</t>
    </rPh>
    <rPh sb="70" eb="71">
      <t>オモ</t>
    </rPh>
    <rPh sb="76" eb="77">
      <t>ナド</t>
    </rPh>
    <rPh sb="78" eb="80">
      <t>バアイ</t>
    </rPh>
    <rPh sb="82" eb="84">
      <t>ジュギョウ</t>
    </rPh>
    <rPh sb="84" eb="86">
      <t>タントウ</t>
    </rPh>
    <rPh sb="86" eb="88">
      <t>キョウイン</t>
    </rPh>
    <rPh sb="89" eb="91">
      <t>キョウイク</t>
    </rPh>
    <rPh sb="91" eb="93">
      <t>カイゼン</t>
    </rPh>
    <rPh sb="98" eb="99">
      <t>トウ</t>
    </rPh>
    <rPh sb="100" eb="102">
      <t>ナイヨウ</t>
    </rPh>
    <rPh sb="103" eb="104">
      <t>フ</t>
    </rPh>
    <rPh sb="107" eb="109">
      <t>ジュギョウ</t>
    </rPh>
    <rPh sb="109" eb="112">
      <t>ナンイド</t>
    </rPh>
    <rPh sb="113" eb="116">
      <t>テキセイカ</t>
    </rPh>
    <rPh sb="122" eb="124">
      <t>チョウセイ</t>
    </rPh>
    <rPh sb="125" eb="126">
      <t>オコナ</t>
    </rPh>
    <rPh sb="130" eb="132">
      <t>ジツジョウ</t>
    </rPh>
    <rPh sb="133" eb="134">
      <t>オウ</t>
    </rPh>
    <rPh sb="136" eb="138">
      <t>カイゼン</t>
    </rPh>
    <rPh sb="139" eb="140">
      <t>ハカ</t>
    </rPh>
    <phoneticPr fontId="1"/>
  </si>
  <si>
    <t>教務委員会において所掌する「教育に係る評価と改善に関すること」の範囲において，プログラムに関する毎年の履修者・修了者の状況及び教育改善アンケートの内容を確認し，プログラムの随時改善に活かす。</t>
    <rPh sb="0" eb="2">
      <t>キョウム</t>
    </rPh>
    <rPh sb="2" eb="5">
      <t>イインカイ</t>
    </rPh>
    <rPh sb="9" eb="11">
      <t>ショショウ</t>
    </rPh>
    <rPh sb="14" eb="16">
      <t>キョウイク</t>
    </rPh>
    <rPh sb="17" eb="18">
      <t>カカ</t>
    </rPh>
    <rPh sb="19" eb="21">
      <t>ヒョウカ</t>
    </rPh>
    <rPh sb="22" eb="24">
      <t>カイゼン</t>
    </rPh>
    <rPh sb="25" eb="26">
      <t>カン</t>
    </rPh>
    <rPh sb="32" eb="34">
      <t>ハンイ</t>
    </rPh>
    <rPh sb="45" eb="46">
      <t>カン</t>
    </rPh>
    <rPh sb="48" eb="50">
      <t>マイトシ</t>
    </rPh>
    <rPh sb="51" eb="53">
      <t>リシュウ</t>
    </rPh>
    <rPh sb="53" eb="54">
      <t>シャ</t>
    </rPh>
    <rPh sb="55" eb="58">
      <t>シュウリョウシャ</t>
    </rPh>
    <rPh sb="59" eb="61">
      <t>ジョウキョウ</t>
    </rPh>
    <rPh sb="61" eb="62">
      <t>オヨ</t>
    </rPh>
    <rPh sb="63" eb="65">
      <t>キョウイク</t>
    </rPh>
    <rPh sb="65" eb="67">
      <t>カイゼン</t>
    </rPh>
    <rPh sb="73" eb="75">
      <t>ナイヨウ</t>
    </rPh>
    <rPh sb="76" eb="78">
      <t>カクニン</t>
    </rPh>
    <rPh sb="86" eb="88">
      <t>ズイジ</t>
    </rPh>
    <rPh sb="88" eb="90">
      <t>カイゼン</t>
    </rPh>
    <rPh sb="91" eb="92">
      <t>イ</t>
    </rPh>
    <phoneticPr fontId="1"/>
  </si>
  <si>
    <t>カリキュラム全体を単位として実施する「教育改善のためのアンケート」により学生の理解度を確認すると共に，各授業において実施している振り返りアンケートの内容を逐次確認し，受講学生の理解度レベルに応じた内容の改善を図る。</t>
    <rPh sb="6" eb="8">
      <t>ゼンタイ</t>
    </rPh>
    <rPh sb="9" eb="11">
      <t>タンイ</t>
    </rPh>
    <rPh sb="14" eb="16">
      <t>ジッシ</t>
    </rPh>
    <rPh sb="19" eb="21">
      <t>キョウイク</t>
    </rPh>
    <rPh sb="21" eb="23">
      <t>カイゼン</t>
    </rPh>
    <rPh sb="36" eb="38">
      <t>ガクセイ</t>
    </rPh>
    <rPh sb="39" eb="42">
      <t>リカイド</t>
    </rPh>
    <rPh sb="43" eb="45">
      <t>カクニン</t>
    </rPh>
    <rPh sb="48" eb="49">
      <t>トモ</t>
    </rPh>
    <rPh sb="51" eb="52">
      <t>カク</t>
    </rPh>
    <rPh sb="52" eb="54">
      <t>ジュギョウ</t>
    </rPh>
    <rPh sb="58" eb="60">
      <t>ジッシ</t>
    </rPh>
    <rPh sb="64" eb="65">
      <t>フ</t>
    </rPh>
    <rPh sb="66" eb="67">
      <t>カエ</t>
    </rPh>
    <rPh sb="74" eb="76">
      <t>ナイヨウ</t>
    </rPh>
    <rPh sb="77" eb="79">
      <t>チクジ</t>
    </rPh>
    <rPh sb="79" eb="81">
      <t>カクニン</t>
    </rPh>
    <rPh sb="83" eb="85">
      <t>ジュコウ</t>
    </rPh>
    <rPh sb="85" eb="87">
      <t>ガクセイ</t>
    </rPh>
    <rPh sb="88" eb="91">
      <t>リカイド</t>
    </rPh>
    <rPh sb="95" eb="96">
      <t>オウ</t>
    </rPh>
    <rPh sb="98" eb="100">
      <t>ナイヨウ</t>
    </rPh>
    <rPh sb="101" eb="103">
      <t>カイゼン</t>
    </rPh>
    <rPh sb="104" eb="105">
      <t>ハカ</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</si>
  <si>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</si>
  <si>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プログラムを構成する科目は必修科目であるため，配当学年である２年生はほとんどが履修することとなる。（２年次に他の必修科目を優先して履修した場合や，不可となった場合でも，３年次・４年次に履修する。）
不可となる学生が履修者数に対して多い場合（修得率が思わしくない場合）においては，難易度の適正化や，授業担当教員からの追加サポートなどについて，教務推進部会において検討を行う。</t>
    <rPh sb="23" eb="25">
      <t>ハイトウ</t>
    </rPh>
    <rPh sb="25" eb="27">
      <t>ガクネン</t>
    </rPh>
    <rPh sb="31" eb="33">
      <t>ネンセイ</t>
    </rPh>
    <rPh sb="39" eb="41">
      <t>リシュウ</t>
    </rPh>
    <rPh sb="51" eb="52">
      <t>ネン</t>
    </rPh>
    <rPh sb="52" eb="53">
      <t>ツギ</t>
    </rPh>
    <rPh sb="54" eb="55">
      <t>ホカ</t>
    </rPh>
    <rPh sb="56" eb="58">
      <t>ヒッシュウ</t>
    </rPh>
    <rPh sb="58" eb="60">
      <t>カモク</t>
    </rPh>
    <rPh sb="61" eb="63">
      <t>ユウセン</t>
    </rPh>
    <rPh sb="65" eb="67">
      <t>リシュウ</t>
    </rPh>
    <rPh sb="69" eb="71">
      <t>バアイ</t>
    </rPh>
    <rPh sb="73" eb="75">
      <t>フカ</t>
    </rPh>
    <rPh sb="79" eb="81">
      <t>バアイ</t>
    </rPh>
    <rPh sb="85" eb="86">
      <t>ネン</t>
    </rPh>
    <rPh sb="86" eb="87">
      <t>ツギ</t>
    </rPh>
    <rPh sb="89" eb="90">
      <t>ネン</t>
    </rPh>
    <rPh sb="90" eb="91">
      <t>ツギ</t>
    </rPh>
    <rPh sb="92" eb="94">
      <t>リシュウ</t>
    </rPh>
    <rPh sb="99" eb="101">
      <t>フカ</t>
    </rPh>
    <rPh sb="104" eb="106">
      <t>ガクセイ</t>
    </rPh>
    <rPh sb="107" eb="109">
      <t>リシュウ</t>
    </rPh>
    <rPh sb="109" eb="110">
      <t>シャ</t>
    </rPh>
    <rPh sb="110" eb="111">
      <t>スウ</t>
    </rPh>
    <rPh sb="112" eb="113">
      <t>タイ</t>
    </rPh>
    <rPh sb="115" eb="116">
      <t>オオ</t>
    </rPh>
    <rPh sb="117" eb="119">
      <t>バアイ</t>
    </rPh>
    <rPh sb="120" eb="122">
      <t>シュウトク</t>
    </rPh>
    <rPh sb="122" eb="123">
      <t>リツ</t>
    </rPh>
    <rPh sb="124" eb="125">
      <t>オモ</t>
    </rPh>
    <rPh sb="130" eb="132">
      <t>バアイ</t>
    </rPh>
    <rPh sb="139" eb="142">
      <t>ナンイド</t>
    </rPh>
    <rPh sb="143" eb="146">
      <t>テキセイカ</t>
    </rPh>
    <rPh sb="148" eb="150">
      <t>ジュギョウ</t>
    </rPh>
    <rPh sb="150" eb="152">
      <t>タントウ</t>
    </rPh>
    <rPh sb="152" eb="154">
      <t>キョウイン</t>
    </rPh>
    <rPh sb="157" eb="159">
      <t>ツイカ</t>
    </rPh>
    <rPh sb="170" eb="172">
      <t>キョウム</t>
    </rPh>
    <rPh sb="172" eb="174">
      <t>スイシン</t>
    </rPh>
    <rPh sb="174" eb="176">
      <t>ブカイ</t>
    </rPh>
    <rPh sb="180" eb="182">
      <t>ケントウ</t>
    </rPh>
    <rPh sb="183" eb="184">
      <t>オコナ</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</si>
  <si>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</si>
  <si>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プログラムを構成する授業科目は，データを収集・分析して判断材料とする手法を修得し，実社会の課題に対し統合的な解決策を戦略的に立案する戦略性の育成を図る科目区分の中の「入門科目」区分に配置されている。
「入門科目」の他，「基盤科目」の中に，「データサイエンス概論B」「データ分析と統計モデリング」「データ可視化法」「データサイエンス実践法」「AIビジネス活用論」など，本プログラムを構成する「データサイエンス概論A」の履修・修得を基盤とした科目が複数存在し，現在のAI・データ社会を生き抜く力を身に付けることができるカリキュラムとなっている。</t>
    <rPh sb="6" eb="8">
      <t>コウセイ</t>
    </rPh>
    <rPh sb="10" eb="12">
      <t>ジュギョウ</t>
    </rPh>
    <rPh sb="12" eb="14">
      <t>カモク</t>
    </rPh>
    <rPh sb="20" eb="22">
      <t>シュウシュウ</t>
    </rPh>
    <rPh sb="23" eb="25">
      <t>ブンセキ</t>
    </rPh>
    <rPh sb="27" eb="29">
      <t>ハンダン</t>
    </rPh>
    <rPh sb="29" eb="31">
      <t>ザイリョウ</t>
    </rPh>
    <rPh sb="34" eb="36">
      <t>シュホウ</t>
    </rPh>
    <rPh sb="37" eb="39">
      <t>シュウトク</t>
    </rPh>
    <rPh sb="41" eb="44">
      <t>ジッシャカイ</t>
    </rPh>
    <rPh sb="45" eb="47">
      <t>カダイ</t>
    </rPh>
    <rPh sb="48" eb="49">
      <t>タイ</t>
    </rPh>
    <rPh sb="50" eb="53">
      <t>トウゴウテキ</t>
    </rPh>
    <rPh sb="54" eb="57">
      <t>カイケツサク</t>
    </rPh>
    <rPh sb="58" eb="61">
      <t>センリャクテキ</t>
    </rPh>
    <rPh sb="62" eb="64">
      <t>リツアン</t>
    </rPh>
    <rPh sb="66" eb="69">
      <t>センリャクセイ</t>
    </rPh>
    <rPh sb="70" eb="72">
      <t>イクセイ</t>
    </rPh>
    <rPh sb="73" eb="74">
      <t>ハカ</t>
    </rPh>
    <rPh sb="75" eb="77">
      <t>カモク</t>
    </rPh>
    <rPh sb="77" eb="79">
      <t>クブン</t>
    </rPh>
    <rPh sb="80" eb="81">
      <t>ナカ</t>
    </rPh>
    <rPh sb="83" eb="85">
      <t>ニュウモン</t>
    </rPh>
    <rPh sb="85" eb="87">
      <t>カモク</t>
    </rPh>
    <rPh sb="88" eb="90">
      <t>クブン</t>
    </rPh>
    <rPh sb="91" eb="93">
      <t>ハイチ</t>
    </rPh>
    <rPh sb="101" eb="103">
      <t>ニュウモン</t>
    </rPh>
    <rPh sb="103" eb="105">
      <t>カモク</t>
    </rPh>
    <rPh sb="107" eb="108">
      <t>ホカ</t>
    </rPh>
    <rPh sb="110" eb="112">
      <t>キバン</t>
    </rPh>
    <rPh sb="112" eb="114">
      <t>カモク</t>
    </rPh>
    <rPh sb="116" eb="117">
      <t>ナカ</t>
    </rPh>
    <rPh sb="128" eb="130">
      <t>ガイロン</t>
    </rPh>
    <rPh sb="136" eb="138">
      <t>ブンセキ</t>
    </rPh>
    <rPh sb="139" eb="141">
      <t>トウケイ</t>
    </rPh>
    <rPh sb="151" eb="154">
      <t>カシカ</t>
    </rPh>
    <rPh sb="154" eb="155">
      <t>ホウ</t>
    </rPh>
    <rPh sb="165" eb="167">
      <t>ジッセン</t>
    </rPh>
    <rPh sb="167" eb="168">
      <t>ホウ</t>
    </rPh>
    <rPh sb="176" eb="178">
      <t>カツヨウ</t>
    </rPh>
    <rPh sb="178" eb="179">
      <t>ロン</t>
    </rPh>
    <rPh sb="183" eb="184">
      <t>ホン</t>
    </rPh>
    <rPh sb="190" eb="192">
      <t>コウセイ</t>
    </rPh>
    <rPh sb="203" eb="205">
      <t>ガイロン</t>
    </rPh>
    <rPh sb="208" eb="210">
      <t>リシュウ</t>
    </rPh>
    <rPh sb="211" eb="213">
      <t>シュウトク</t>
    </rPh>
    <rPh sb="214" eb="216">
      <t>キバン</t>
    </rPh>
    <rPh sb="219" eb="221">
      <t>カモク</t>
    </rPh>
    <rPh sb="222" eb="224">
      <t>フクスウ</t>
    </rPh>
    <rPh sb="224" eb="226">
      <t>ソンザイ</t>
    </rPh>
    <rPh sb="228" eb="230">
      <t>ゲンザイ</t>
    </rPh>
    <rPh sb="237" eb="239">
      <t>シャカイ</t>
    </rPh>
    <rPh sb="240" eb="241">
      <t>イ</t>
    </rPh>
    <rPh sb="242" eb="243">
      <t>ヌ</t>
    </rPh>
    <rPh sb="244" eb="245">
      <t>チカラ</t>
    </rPh>
    <rPh sb="246" eb="247">
      <t>ミ</t>
    </rPh>
    <rPh sb="248" eb="249">
      <t>ツ</t>
    </rPh>
    <phoneticPr fontId="1"/>
  </si>
  <si>
    <t>データサイエンスに関する理論や講義のみではなく，エクセル等を用いたデータ解析の演習や，プログラミング・数学の優れた専門家による外部講師の講演を行い，学ぶ意義をより深く理解できるシラバス構成となっている。</t>
    <rPh sb="9" eb="10">
      <t>カン</t>
    </rPh>
    <rPh sb="12" eb="14">
      <t>リロン</t>
    </rPh>
    <rPh sb="15" eb="17">
      <t>コウギ</t>
    </rPh>
    <rPh sb="28" eb="29">
      <t>ナド</t>
    </rPh>
    <rPh sb="30" eb="31">
      <t>モチ</t>
    </rPh>
    <rPh sb="36" eb="38">
      <t>カイセキ</t>
    </rPh>
    <rPh sb="39" eb="41">
      <t>エンシュウ</t>
    </rPh>
    <rPh sb="51" eb="53">
      <t>スウガク</t>
    </rPh>
    <rPh sb="54" eb="55">
      <t>スグ</t>
    </rPh>
    <rPh sb="57" eb="59">
      <t>センモン</t>
    </rPh>
    <rPh sb="59" eb="60">
      <t>イエ</t>
    </rPh>
    <rPh sb="63" eb="65">
      <t>ガイブ</t>
    </rPh>
    <rPh sb="65" eb="67">
      <t>コウシ</t>
    </rPh>
    <rPh sb="68" eb="70">
      <t>コウエン</t>
    </rPh>
    <rPh sb="71" eb="72">
      <t>オコナ</t>
    </rPh>
    <rPh sb="74" eb="75">
      <t>マナ</t>
    </rPh>
    <rPh sb="76" eb="78">
      <t>イギ</t>
    </rPh>
    <rPh sb="81" eb="82">
      <t>フカ</t>
    </rPh>
    <rPh sb="83" eb="85">
      <t>リカイ</t>
    </rPh>
    <rPh sb="92" eb="94">
      <t>コウセイ</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</si>
  <si>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</si>
  <si>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本学学生の高校生までの科目履修状況等を踏まえた上で，概論授業としての躓きをできるだけ避けるよう，専門用語等を多用せず，平易な言葉を用いて学生の理解度を向上させるような授業に取り組んでいる。
なお，プログラムを構成する科目を履修する前の学年である１年生のWinterクォーターに「数学入門」の科目を配置しており，希望者は事前にデータサイエンスに必要な数学を復習した上で，「データサイエンス概論A」を履修できる科目構成となっている。</t>
    <rPh sb="0" eb="2">
      <t>ホンガク</t>
    </rPh>
    <rPh sb="2" eb="4">
      <t>ガクセイ</t>
    </rPh>
    <rPh sb="5" eb="8">
      <t>コウコウセイ</t>
    </rPh>
    <rPh sb="11" eb="13">
      <t>カモク</t>
    </rPh>
    <rPh sb="13" eb="15">
      <t>リシュウ</t>
    </rPh>
    <rPh sb="15" eb="17">
      <t>ジョウキョウ</t>
    </rPh>
    <rPh sb="17" eb="18">
      <t>トウ</t>
    </rPh>
    <rPh sb="19" eb="20">
      <t>フ</t>
    </rPh>
    <rPh sb="23" eb="24">
      <t>ウエ</t>
    </rPh>
    <rPh sb="26" eb="28">
      <t>ガイロン</t>
    </rPh>
    <rPh sb="28" eb="30">
      <t>ジュギョウ</t>
    </rPh>
    <rPh sb="34" eb="35">
      <t>ツマヅ</t>
    </rPh>
    <rPh sb="42" eb="43">
      <t>サ</t>
    </rPh>
    <rPh sb="48" eb="50">
      <t>センモン</t>
    </rPh>
    <rPh sb="50" eb="52">
      <t>ヨウゴ</t>
    </rPh>
    <rPh sb="52" eb="53">
      <t>トウ</t>
    </rPh>
    <rPh sb="54" eb="56">
      <t>タヨウ</t>
    </rPh>
    <rPh sb="59" eb="61">
      <t>ヘイイ</t>
    </rPh>
    <rPh sb="62" eb="64">
      <t>コトバ</t>
    </rPh>
    <rPh sb="65" eb="66">
      <t>モチ</t>
    </rPh>
    <rPh sb="68" eb="70">
      <t>ガクセイ</t>
    </rPh>
    <rPh sb="71" eb="74">
      <t>リカイド</t>
    </rPh>
    <rPh sb="75" eb="77">
      <t>コウジョウ</t>
    </rPh>
    <rPh sb="83" eb="85">
      <t>ジュギョウ</t>
    </rPh>
    <rPh sb="86" eb="87">
      <t>ト</t>
    </rPh>
    <rPh sb="88" eb="89">
      <t>ク</t>
    </rPh>
    <rPh sb="104" eb="106">
      <t>コウセイ</t>
    </rPh>
    <rPh sb="108" eb="110">
      <t>カモク</t>
    </rPh>
    <rPh sb="111" eb="113">
      <t>リシュウ</t>
    </rPh>
    <rPh sb="115" eb="116">
      <t>マエ</t>
    </rPh>
    <rPh sb="117" eb="119">
      <t>ガクネン</t>
    </rPh>
    <rPh sb="123" eb="125">
      <t>ネンセイ</t>
    </rPh>
    <rPh sb="139" eb="141">
      <t>スウガク</t>
    </rPh>
    <rPh sb="141" eb="143">
      <t>ニュウモン</t>
    </rPh>
    <rPh sb="145" eb="147">
      <t>カモク</t>
    </rPh>
    <rPh sb="148" eb="150">
      <t>ハイチ</t>
    </rPh>
    <rPh sb="155" eb="158">
      <t>キボウシャ</t>
    </rPh>
    <rPh sb="159" eb="161">
      <t>ジゼン</t>
    </rPh>
    <rPh sb="171" eb="173">
      <t>ヒツヨウ</t>
    </rPh>
    <rPh sb="174" eb="176">
      <t>スウガク</t>
    </rPh>
    <rPh sb="177" eb="179">
      <t>フクシュウ</t>
    </rPh>
    <rPh sb="181" eb="182">
      <t>ウエ</t>
    </rPh>
    <rPh sb="193" eb="195">
      <t>ガイロン</t>
    </rPh>
    <rPh sb="198" eb="200">
      <t>リシュウ</t>
    </rPh>
    <rPh sb="203" eb="205">
      <t>カモク</t>
    </rPh>
    <rPh sb="205" eb="207">
      <t>コウセイ</t>
    </rPh>
    <phoneticPr fontId="1"/>
  </si>
  <si>
    <t>リテラシーレベルの修了要件は，プログラムを構成する「データサイエンス概論A」又は「Introduction to Data Science A」のどちらかを履修し，２単位を修得することである。
※本学では1つの科目を日本語及び英語で開講しているため，学生は日本語の「データサイエンス概論A」又は英語の「Introduction to Data Science A」どちらかを履修する。</t>
    <rPh sb="9" eb="11">
      <t>シュウリョウ</t>
    </rPh>
    <rPh sb="11" eb="13">
      <t>ヨウケン</t>
    </rPh>
    <rPh sb="34" eb="36">
      <t>ガイロン</t>
    </rPh>
    <rPh sb="38" eb="39">
      <t>マタ</t>
    </rPh>
    <rPh sb="78" eb="80">
      <t>リシュウ</t>
    </rPh>
    <rPh sb="86" eb="88">
      <t>シュウトク</t>
    </rPh>
    <rPh sb="98" eb="100">
      <t>ホンガク</t>
    </rPh>
    <rPh sb="105" eb="107">
      <t>カモク</t>
    </rPh>
    <rPh sb="108" eb="111">
      <t>ニホンゴ</t>
    </rPh>
    <rPh sb="111" eb="112">
      <t>オヨ</t>
    </rPh>
    <rPh sb="113" eb="115">
      <t>エイゴ</t>
    </rPh>
    <rPh sb="116" eb="118">
      <t>カイコウ</t>
    </rPh>
    <rPh sb="125" eb="127">
      <t>ガクセイ</t>
    </rPh>
    <rPh sb="128" eb="131">
      <t>ニホンゴ</t>
    </rPh>
    <rPh sb="145" eb="146">
      <t>マタ</t>
    </rPh>
    <rPh sb="147" eb="149">
      <t>エイゴ</t>
    </rPh>
    <rPh sb="187" eb="189">
      <t>リシュウ</t>
    </rPh>
    <phoneticPr fontId="1"/>
  </si>
  <si>
    <t>教務委員会，教務推進部会</t>
    <rPh sb="0" eb="5">
      <t>キョウムイインカイ</t>
    </rPh>
    <rPh sb="6" eb="10">
      <t>キョウムスイシン</t>
    </rPh>
    <rPh sb="10" eb="12">
      <t>ブカイ</t>
    </rPh>
    <phoneticPr fontId="1"/>
  </si>
  <si>
    <t>プログラムを構成する科目は必修科目であるため推奨度は確認していないが，ポート単位で交流を図るための交流促進期間等を設けて，先輩学生から後輩学生に対しての授業に関するアドバイス等を行うことができる環境を整えている。</t>
    <rPh sb="6" eb="8">
      <t>コウセイ</t>
    </rPh>
    <rPh sb="10" eb="12">
      <t>カモク</t>
    </rPh>
    <rPh sb="13" eb="15">
      <t>ヒッシュウ</t>
    </rPh>
    <rPh sb="15" eb="17">
      <t>カモク</t>
    </rPh>
    <rPh sb="22" eb="24">
      <t>スイショウ</t>
    </rPh>
    <rPh sb="24" eb="25">
      <t>ド</t>
    </rPh>
    <rPh sb="26" eb="28">
      <t>カクニン</t>
    </rPh>
    <rPh sb="38" eb="40">
      <t>タンイ</t>
    </rPh>
    <rPh sb="41" eb="43">
      <t>コウリュウ</t>
    </rPh>
    <rPh sb="44" eb="45">
      <t>ハカ</t>
    </rPh>
    <rPh sb="49" eb="51">
      <t>コウリュウ</t>
    </rPh>
    <rPh sb="51" eb="53">
      <t>ソクシン</t>
    </rPh>
    <rPh sb="53" eb="55">
      <t>キカン</t>
    </rPh>
    <rPh sb="55" eb="56">
      <t>トウ</t>
    </rPh>
    <rPh sb="57" eb="58">
      <t>モウ</t>
    </rPh>
    <rPh sb="61" eb="63">
      <t>センパイ</t>
    </rPh>
    <rPh sb="63" eb="65">
      <t>ガクセイ</t>
    </rPh>
    <rPh sb="67" eb="69">
      <t>コウハイ</t>
    </rPh>
    <rPh sb="69" eb="71">
      <t>ガクセイ</t>
    </rPh>
    <rPh sb="72" eb="73">
      <t>タイ</t>
    </rPh>
    <rPh sb="76" eb="78">
      <t>ジュギョウ</t>
    </rPh>
    <rPh sb="79" eb="80">
      <t>カン</t>
    </rPh>
    <rPh sb="87" eb="88">
      <t>トウ</t>
    </rPh>
    <rPh sb="89" eb="90">
      <t>オコナ</t>
    </rPh>
    <rPh sb="97" eb="99">
      <t>カンキョウ</t>
    </rPh>
    <rPh sb="100" eb="101">
      <t>トトノ</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</si>
</sst>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style="thin">
        <color auto="1"/>
      </left>
      <right style="thin">
        <color auto="1"/>
      </right>
      <top style="hair">
        <color auto="1"/>
      </top>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94">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9" fontId="2" fillId="0" borderId="0" xfId="1" applyFont="1" applyAlignment="1">
      <alignment horizontal="center" vertical="center"/>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0" xfId="0" applyFont="1" applyFill="1" applyAlignment="1">
      <alignment vertical="top" wrapText="1"/>
    </xf>
    <xf numFmtId="0" fontId="2" fillId="2" borderId="0" xfId="0" applyFont="1" applyFill="1">
      <alignment vertical="center"/>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11" fillId="0" borderId="23" xfId="0" applyFont="1" applyBorder="1" applyAlignment="1">
      <alignment horizontal="center" vertical="center" shrinkToFit="1"/>
    </xf>
    <xf numFmtId="0" fontId="2" fillId="0" borderId="50" xfId="0" applyFont="1" applyBorder="1" applyAlignment="1">
      <alignment horizontal="center" vertical="center" shrinkToFit="1"/>
    </xf>
    <xf numFmtId="0" fontId="2" fillId="0" borderId="61" xfId="0" applyFont="1" applyBorder="1" applyAlignment="1">
      <alignment horizontal="center" vertical="center" shrinkToFit="1"/>
    </xf>
    <xf numFmtId="0" fontId="2" fillId="0" borderId="16" xfId="0" applyFont="1" applyBorder="1" applyAlignment="1">
      <alignment vertical="center" shrinkToFit="1"/>
    </xf>
    <xf numFmtId="0" fontId="2" fillId="0" borderId="22" xfId="0" applyFont="1" applyBorder="1" applyAlignment="1">
      <alignment vertical="center" shrinkToFit="1"/>
    </xf>
    <xf numFmtId="0" fontId="2" fillId="0" borderId="21" xfId="0" applyFont="1" applyBorder="1" applyAlignment="1">
      <alignment vertical="center" shrinkToFit="1"/>
    </xf>
    <xf numFmtId="0" fontId="11" fillId="0" borderId="50" xfId="0" applyFont="1" applyBorder="1" applyAlignment="1">
      <alignment horizontal="center" vertical="center" shrinkToFit="1"/>
    </xf>
    <xf numFmtId="0" fontId="11" fillId="0" borderId="40" xfId="0" applyFont="1" applyBorder="1" applyAlignment="1">
      <alignment horizontal="center" vertical="center" shrinkToFit="1"/>
    </xf>
    <xf numFmtId="0" fontId="12" fillId="0" borderId="14" xfId="0" applyFont="1" applyBorder="1" applyAlignment="1">
      <alignment horizontal="center" vertical="center" shrinkToFit="1"/>
    </xf>
    <xf numFmtId="0" fontId="12" fillId="0" borderId="23" xfId="0" applyFont="1" applyBorder="1" applyAlignment="1">
      <alignment horizontal="center" vertical="center" shrinkToFit="1"/>
    </xf>
    <xf numFmtId="0" fontId="12" fillId="0" borderId="14" xfId="0" applyFont="1" applyBorder="1" applyAlignment="1">
      <alignment horizontal="left" vertical="center" shrinkToFit="1"/>
    </xf>
    <xf numFmtId="38" fontId="12" fillId="0" borderId="50" xfId="2" applyFont="1" applyBorder="1" applyAlignment="1">
      <alignment vertical="center" shrinkToFit="1"/>
    </xf>
    <xf numFmtId="38" fontId="12" fillId="0" borderId="0" xfId="2" applyFont="1" applyAlignment="1">
      <alignment vertical="center" shrinkToFit="1"/>
    </xf>
    <xf numFmtId="38" fontId="12" fillId="0" borderId="5" xfId="2" applyFont="1" applyBorder="1" applyAlignment="1">
      <alignment vertical="center" shrinkToFit="1"/>
    </xf>
    <xf numFmtId="38" fontId="12" fillId="0" borderId="54" xfId="2" applyFont="1" applyBorder="1" applyAlignment="1">
      <alignment vertical="center" shrinkToFit="1"/>
    </xf>
    <xf numFmtId="38" fontId="12" fillId="0" borderId="30" xfId="2" applyFont="1" applyBorder="1" applyAlignment="1">
      <alignment vertical="center" shrinkToFit="1"/>
    </xf>
    <xf numFmtId="0" fontId="2" fillId="0" borderId="1" xfId="0" applyFont="1" applyFill="1" applyBorder="1" applyAlignment="1">
      <alignment horizontal="center" vertical="center" wrapText="1" shrinkToFit="1"/>
    </xf>
    <xf numFmtId="9" fontId="2" fillId="0" borderId="1" xfId="0" applyNumberFormat="1" applyFont="1" applyFill="1" applyBorder="1" applyAlignment="1">
      <alignment horizontal="center" vertical="center" shrinkToFit="1"/>
    </xf>
    <xf numFmtId="0" fontId="2" fillId="0" borderId="1" xfId="0" applyFont="1" applyFill="1" applyBorder="1" applyAlignment="1">
      <alignment horizontal="center" vertical="center" shrinkToFit="1"/>
    </xf>
    <xf numFmtId="176" fontId="2" fillId="0" borderId="1" xfId="0" applyNumberFormat="1" applyFont="1" applyFill="1" applyBorder="1" applyAlignment="1">
      <alignment horizontal="center" vertical="center" shrinkToFit="1"/>
    </xf>
    <xf numFmtId="0" fontId="3" fillId="0" borderId="42" xfId="0" applyFont="1" applyFill="1" applyBorder="1" applyAlignment="1">
      <alignment vertical="top" shrinkToFit="1"/>
    </xf>
    <xf numFmtId="0" fontId="3" fillId="0" borderId="43" xfId="0" applyFont="1" applyFill="1" applyBorder="1" applyAlignment="1">
      <alignment vertical="top" shrinkToFi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11" fillId="0" borderId="19" xfId="0" applyFont="1" applyBorder="1" applyAlignment="1">
      <alignment vertical="center" shrinkToFit="1"/>
    </xf>
    <xf numFmtId="0" fontId="11" fillId="0" borderId="20" xfId="0" applyFont="1" applyBorder="1" applyAlignment="1">
      <alignment vertical="center" shrinkToFit="1"/>
    </xf>
    <xf numFmtId="0" fontId="11" fillId="0" borderId="18"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0" xfId="0" applyFont="1" applyAlignment="1">
      <alignment vertical="center" wrapText="1"/>
    </xf>
    <xf numFmtId="0" fontId="3" fillId="0" borderId="45" xfId="0" applyFont="1" applyBorder="1" applyAlignment="1">
      <alignment vertical="center" wrapText="1"/>
    </xf>
    <xf numFmtId="0" fontId="3" fillId="0" borderId="31" xfId="0" applyFont="1" applyBorder="1" applyAlignment="1">
      <alignment vertical="center" wrapText="1"/>
    </xf>
    <xf numFmtId="0" fontId="3" fillId="0" borderId="46" xfId="0" applyFont="1" applyBorder="1" applyAlignment="1">
      <alignment vertical="center" wrapText="1"/>
    </xf>
    <xf numFmtId="0" fontId="2" fillId="0" borderId="36" xfId="0" applyFont="1" applyBorder="1" applyAlignment="1">
      <alignment vertical="center" wrapText="1" shrinkToFit="1"/>
    </xf>
    <xf numFmtId="0" fontId="2" fillId="0" borderId="6" xfId="0" applyFont="1" applyBorder="1" applyAlignment="1">
      <alignment vertical="center" wrapText="1" shrinkToFit="1"/>
    </xf>
    <xf numFmtId="0" fontId="2" fillId="0" borderId="6" xfId="0" applyFont="1" applyBorder="1" applyAlignment="1">
      <alignment vertical="center" shrinkToFit="1"/>
    </xf>
    <xf numFmtId="0" fontId="2" fillId="0" borderId="12" xfId="0" applyFont="1" applyBorder="1" applyAlignment="1">
      <alignment vertical="center" shrinkToFit="1"/>
    </xf>
    <xf numFmtId="0" fontId="2" fillId="0" borderId="8" xfId="0" applyFont="1" applyBorder="1" applyAlignment="1">
      <alignment horizontal="left" vertical="center" wrapText="1"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11" fillId="0" borderId="19" xfId="0" applyFont="1" applyBorder="1" applyAlignment="1">
      <alignment horizontal="left" vertical="center" shrinkToFit="1"/>
    </xf>
    <xf numFmtId="0" fontId="11" fillId="0" borderId="20" xfId="0" applyFont="1" applyBorder="1" applyAlignment="1">
      <alignment horizontal="left" vertical="center" shrinkToFit="1"/>
    </xf>
    <xf numFmtId="0" fontId="11" fillId="0" borderId="18" xfId="0" applyFont="1" applyBorder="1" applyAlignment="1">
      <alignment horizontal="left" vertical="center" shrinkToFit="1"/>
    </xf>
    <xf numFmtId="0" fontId="11" fillId="0" borderId="37" xfId="0" applyFont="1" applyBorder="1" applyAlignment="1">
      <alignment vertical="center" shrinkToFit="1"/>
    </xf>
    <xf numFmtId="0" fontId="11" fillId="0" borderId="38" xfId="0" applyFont="1" applyBorder="1" applyAlignment="1">
      <alignment vertical="center" shrinkToFit="1"/>
    </xf>
    <xf numFmtId="0" fontId="11" fillId="0" borderId="39" xfId="0" applyFont="1" applyBorder="1" applyAlignment="1">
      <alignment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12" fillId="0" borderId="34" xfId="0" applyFont="1" applyBorder="1" applyAlignment="1">
      <alignment vertical="center" shrinkToFit="1"/>
    </xf>
    <xf numFmtId="0" fontId="12" fillId="0" borderId="36" xfId="0" applyFont="1" applyBorder="1" applyAlignment="1">
      <alignment vertical="center" shrinkToFit="1"/>
    </xf>
    <xf numFmtId="0" fontId="12" fillId="0" borderId="35" xfId="0" applyFont="1" applyBorder="1" applyAlignment="1">
      <alignment vertical="center" shrinkToFit="1"/>
    </xf>
    <xf numFmtId="0" fontId="12" fillId="0" borderId="19" xfId="0" applyFont="1" applyBorder="1" applyAlignment="1">
      <alignment vertical="center" shrinkToFit="1"/>
    </xf>
    <xf numFmtId="0" fontId="12" fillId="0" borderId="20" xfId="0" applyFont="1" applyBorder="1" applyAlignment="1">
      <alignment vertical="center" shrinkToFit="1"/>
    </xf>
    <xf numFmtId="0" fontId="12" fillId="0" borderId="18" xfId="0" applyFont="1" applyBorder="1" applyAlignment="1">
      <alignment vertical="center"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37" xfId="0" applyFont="1" applyBorder="1" applyAlignment="1">
      <alignment horizontal="left" vertical="center" wrapText="1"/>
    </xf>
    <xf numFmtId="0" fontId="2" fillId="0" borderId="38" xfId="0" applyFont="1" applyBorder="1" applyAlignment="1">
      <alignment horizontal="left" vertical="center" wrapText="1"/>
    </xf>
    <xf numFmtId="0" fontId="2" fillId="0" borderId="39" xfId="0" applyFont="1" applyBorder="1" applyAlignment="1">
      <alignment horizontal="left" vertical="center" wrapText="1"/>
    </xf>
    <xf numFmtId="0" fontId="2" fillId="0" borderId="36" xfId="0" applyFont="1" applyBorder="1" applyAlignment="1">
      <alignment horizontal="left" vertical="center" wrapText="1" shrinkToFit="1"/>
    </xf>
    <xf numFmtId="0" fontId="2" fillId="0" borderId="36" xfId="0" applyFont="1" applyBorder="1" applyAlignment="1">
      <alignment horizontal="left" vertical="center" shrinkToFit="1"/>
    </xf>
    <xf numFmtId="0" fontId="2" fillId="0" borderId="35" xfId="0" applyFont="1" applyBorder="1" applyAlignment="1">
      <alignment horizontal="left" vertical="center" shrinkToFi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38" xfId="0" applyFont="1" applyBorder="1" applyAlignment="1">
      <alignment horizontal="left" vertical="center" wrapText="1" shrinkToFit="1"/>
    </xf>
    <xf numFmtId="0" fontId="2" fillId="0" borderId="38" xfId="0" applyFont="1" applyBorder="1" applyAlignment="1">
      <alignment horizontal="left" vertical="center" shrinkToFit="1"/>
    </xf>
    <xf numFmtId="0" fontId="2" fillId="0" borderId="39" xfId="0" applyFont="1" applyBorder="1" applyAlignment="1">
      <alignment horizontal="left" vertical="center" shrinkToFit="1"/>
    </xf>
    <xf numFmtId="0" fontId="12" fillId="0" borderId="38" xfId="0" applyFont="1" applyBorder="1" applyAlignment="1">
      <alignment horizontal="left" vertical="center" wrapText="1" shrinkToFit="1"/>
    </xf>
    <xf numFmtId="0" fontId="12" fillId="0" borderId="38" xfId="0" applyFont="1" applyBorder="1" applyAlignment="1">
      <alignment horizontal="left" vertical="center" shrinkToFit="1"/>
    </xf>
    <xf numFmtId="0" fontId="12" fillId="0" borderId="39" xfId="0" applyFont="1" applyBorder="1" applyAlignment="1">
      <alignment horizontal="left" vertical="center" shrinkToFit="1"/>
    </xf>
    <xf numFmtId="0" fontId="2" fillId="0" borderId="19" xfId="0" applyFont="1" applyBorder="1" applyAlignment="1">
      <alignment vertical="center" wrapText="1"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6" fillId="0" borderId="0" xfId="0" applyFont="1" applyAlignment="1">
      <alignment horizontal="center" vertical="center"/>
    </xf>
    <xf numFmtId="0" fontId="12" fillId="0" borderId="7" xfId="0" applyFont="1" applyFill="1" applyBorder="1" applyAlignment="1">
      <alignment horizontal="left" vertical="top" wrapText="1" shrinkToFit="1"/>
    </xf>
    <xf numFmtId="0" fontId="12" fillId="0" borderId="8" xfId="0" applyFont="1" applyFill="1" applyBorder="1" applyAlignment="1">
      <alignment horizontal="left" vertical="top" wrapText="1" shrinkToFit="1"/>
    </xf>
    <xf numFmtId="0" fontId="12" fillId="0" borderId="9" xfId="0" applyFont="1" applyFill="1" applyBorder="1" applyAlignment="1">
      <alignment horizontal="left" vertical="top" wrapText="1" shrinkToFit="1"/>
    </xf>
    <xf numFmtId="0" fontId="12" fillId="0" borderId="5" xfId="0" applyFont="1" applyFill="1" applyBorder="1" applyAlignment="1">
      <alignment horizontal="left" vertical="top" wrapText="1" shrinkToFit="1"/>
    </xf>
    <xf numFmtId="0" fontId="12" fillId="0" borderId="0" xfId="0" applyFont="1" applyFill="1" applyAlignment="1">
      <alignment horizontal="left" vertical="top" wrapText="1" shrinkToFit="1"/>
    </xf>
    <xf numFmtId="0" fontId="12" fillId="0" borderId="10" xfId="0" applyFont="1" applyFill="1" applyBorder="1" applyAlignment="1">
      <alignment horizontal="left" vertical="top" wrapText="1" shrinkToFit="1"/>
    </xf>
    <xf numFmtId="0" fontId="12" fillId="0" borderId="11" xfId="0" applyFont="1" applyFill="1" applyBorder="1" applyAlignment="1">
      <alignment horizontal="left" vertical="top" wrapText="1" shrinkToFit="1"/>
    </xf>
    <xf numFmtId="0" fontId="12" fillId="0" borderId="6" xfId="0" applyFont="1" applyFill="1" applyBorder="1" applyAlignment="1">
      <alignment horizontal="left" vertical="top" wrapText="1" shrinkToFit="1"/>
    </xf>
    <xf numFmtId="0" fontId="12" fillId="0" borderId="12" xfId="0" applyFont="1" applyFill="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12" fillId="0" borderId="2" xfId="0" applyFont="1" applyBorder="1" applyAlignment="1">
      <alignment horizontal="center" vertical="center"/>
    </xf>
    <xf numFmtId="0" fontId="12" fillId="0" borderId="4" xfId="0" applyFont="1" applyBorder="1" applyAlignment="1">
      <alignment horizontal="center" vertical="center"/>
    </xf>
    <xf numFmtId="0" fontId="2"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Fill="1" applyBorder="1" applyAlignment="1">
      <alignment vertical="top" wrapText="1" shrinkToFit="1"/>
    </xf>
    <xf numFmtId="0" fontId="2" fillId="0" borderId="8" xfId="0" applyFont="1" applyFill="1" applyBorder="1" applyAlignment="1">
      <alignment vertical="top" wrapText="1" shrinkToFit="1"/>
    </xf>
    <xf numFmtId="0" fontId="2" fillId="0" borderId="9" xfId="0" applyFont="1" applyFill="1" applyBorder="1" applyAlignment="1">
      <alignment vertical="top" shrinkToFit="1"/>
    </xf>
    <xf numFmtId="0" fontId="2" fillId="0" borderId="5" xfId="0" applyFont="1" applyFill="1" applyBorder="1" applyAlignment="1">
      <alignment vertical="top" shrinkToFit="1"/>
    </xf>
    <xf numFmtId="0" fontId="2" fillId="0" borderId="0" xfId="0" applyFont="1" applyFill="1" applyAlignment="1">
      <alignment vertical="top" shrinkToFit="1"/>
    </xf>
    <xf numFmtId="0" fontId="2" fillId="0" borderId="10" xfId="0" applyFont="1" applyFill="1" applyBorder="1" applyAlignment="1">
      <alignment vertical="top" shrinkToFit="1"/>
    </xf>
    <xf numFmtId="0" fontId="2" fillId="0" borderId="11" xfId="0" applyFont="1" applyFill="1" applyBorder="1" applyAlignment="1">
      <alignment vertical="top" shrinkToFit="1"/>
    </xf>
    <xf numFmtId="0" fontId="2" fillId="0" borderId="6" xfId="0" applyFont="1" applyFill="1" applyBorder="1" applyAlignment="1">
      <alignment vertical="top" shrinkToFit="1"/>
    </xf>
    <xf numFmtId="0" fontId="2" fillId="0" borderId="12" xfId="0" applyFont="1" applyFill="1" applyBorder="1" applyAlignment="1">
      <alignment vertical="top" shrinkToFit="1"/>
    </xf>
    <xf numFmtId="0" fontId="2" fillId="0" borderId="0" xfId="0" applyFont="1">
      <alignment vertical="center"/>
    </xf>
    <xf numFmtId="0" fontId="2" fillId="0" borderId="2" xfId="0" applyFont="1" applyFill="1" applyBorder="1" applyAlignment="1">
      <alignment vertical="center" shrinkToFit="1"/>
    </xf>
    <xf numFmtId="0" fontId="2" fillId="0" borderId="3" xfId="0" applyFont="1" applyFill="1" applyBorder="1" applyAlignment="1">
      <alignment vertical="center" shrinkToFit="1"/>
    </xf>
    <xf numFmtId="0" fontId="2" fillId="0" borderId="4" xfId="0" applyFont="1" applyFill="1" applyBorder="1" applyAlignment="1">
      <alignment vertical="center" shrinkToFit="1"/>
    </xf>
    <xf numFmtId="0" fontId="2" fillId="0" borderId="5" xfId="0" applyFont="1" applyFill="1" applyBorder="1" applyAlignment="1">
      <alignment vertical="top" wrapText="1" shrinkToFit="1"/>
    </xf>
    <xf numFmtId="0" fontId="2" fillId="0" borderId="0" xfId="0" applyFont="1" applyFill="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2" fillId="0" borderId="0" xfId="0" applyFont="1" applyAlignment="1">
      <alignment horizontal="center" vertical="center"/>
    </xf>
    <xf numFmtId="9" fontId="2" fillId="0" borderId="1" xfId="0" applyNumberFormat="1" applyFont="1" applyFill="1" applyBorder="1" applyAlignment="1">
      <alignment horizontal="center" vertical="center" wrapText="1" shrinkToFit="1"/>
    </xf>
    <xf numFmtId="0" fontId="2" fillId="0" borderId="7" xfId="0" applyFont="1" applyFill="1" applyBorder="1" applyAlignment="1">
      <alignment vertical="top" wrapText="1"/>
    </xf>
    <xf numFmtId="0" fontId="2" fillId="0" borderId="8" xfId="0" applyFont="1" applyFill="1" applyBorder="1" applyAlignment="1">
      <alignment vertical="top" wrapText="1"/>
    </xf>
    <xf numFmtId="0" fontId="2" fillId="0" borderId="9" xfId="0" applyFont="1" applyFill="1" applyBorder="1" applyAlignment="1">
      <alignment vertical="top" wrapText="1"/>
    </xf>
    <xf numFmtId="0" fontId="2" fillId="0" borderId="5" xfId="0" applyFont="1" applyFill="1" applyBorder="1" applyAlignment="1">
      <alignment vertical="top" wrapText="1"/>
    </xf>
    <xf numFmtId="0" fontId="2" fillId="0" borderId="0" xfId="0" applyFont="1" applyFill="1" applyAlignment="1">
      <alignment vertical="top" wrapText="1"/>
    </xf>
    <xf numFmtId="0" fontId="2" fillId="0" borderId="10" xfId="0" applyFont="1" applyFill="1" applyBorder="1" applyAlignment="1">
      <alignment vertical="top" wrapText="1"/>
    </xf>
    <xf numFmtId="0" fontId="2" fillId="0" borderId="11" xfId="0" applyFont="1" applyFill="1" applyBorder="1" applyAlignment="1">
      <alignment vertical="top" wrapText="1"/>
    </xf>
    <xf numFmtId="0" fontId="2" fillId="0" borderId="6" xfId="0" applyFont="1" applyFill="1" applyBorder="1" applyAlignment="1">
      <alignment vertical="top" wrapText="1"/>
    </xf>
    <xf numFmtId="0" fontId="2" fillId="0" borderId="12" xfId="0" applyFont="1" applyFill="1" applyBorder="1" applyAlignment="1">
      <alignment vertical="top" wrapText="1"/>
    </xf>
    <xf numFmtId="0" fontId="2" fillId="0" borderId="9" xfId="0" applyFont="1" applyFill="1" applyBorder="1" applyAlignment="1">
      <alignment vertical="top"/>
    </xf>
    <xf numFmtId="0" fontId="2" fillId="0" borderId="5" xfId="0" applyFont="1" applyFill="1" applyBorder="1" applyAlignment="1">
      <alignment vertical="top"/>
    </xf>
    <xf numFmtId="0" fontId="2" fillId="0" borderId="0" xfId="0" applyFont="1" applyFill="1" applyAlignment="1">
      <alignment vertical="top"/>
    </xf>
    <xf numFmtId="0" fontId="2" fillId="0" borderId="10" xfId="0" applyFont="1" applyFill="1" applyBorder="1" applyAlignment="1">
      <alignment vertical="top"/>
    </xf>
    <xf numFmtId="0" fontId="2" fillId="0" borderId="11" xfId="0" applyFont="1" applyFill="1" applyBorder="1" applyAlignment="1">
      <alignment vertical="top"/>
    </xf>
    <xf numFmtId="0" fontId="2" fillId="0" borderId="6" xfId="0" applyFont="1" applyFill="1" applyBorder="1" applyAlignment="1">
      <alignment vertical="top"/>
    </xf>
    <xf numFmtId="0" fontId="2" fillId="0" borderId="12" xfId="0" applyFont="1" applyFill="1" applyBorder="1" applyAlignment="1">
      <alignment vertical="top"/>
    </xf>
    <xf numFmtId="0" fontId="2" fillId="0" borderId="7" xfId="0" applyFont="1" applyFill="1" applyBorder="1" applyAlignment="1">
      <alignment horizontal="left" vertical="top" wrapText="1"/>
    </xf>
    <xf numFmtId="0" fontId="2" fillId="0" borderId="8" xfId="0" applyFont="1" applyFill="1" applyBorder="1" applyAlignment="1">
      <alignment horizontal="left" vertical="top" wrapText="1"/>
    </xf>
    <xf numFmtId="0" fontId="2" fillId="0" borderId="9" xfId="0" applyFont="1" applyFill="1" applyBorder="1" applyAlignment="1">
      <alignment horizontal="left" vertical="top" wrapText="1"/>
    </xf>
    <xf numFmtId="0" fontId="2" fillId="0" borderId="5" xfId="0" applyFont="1" applyFill="1" applyBorder="1" applyAlignment="1">
      <alignment horizontal="left" vertical="top" wrapText="1"/>
    </xf>
    <xf numFmtId="0" fontId="2" fillId="0" borderId="0" xfId="0" applyFont="1" applyFill="1" applyAlignment="1">
      <alignment horizontal="left" vertical="top" wrapText="1"/>
    </xf>
    <xf numFmtId="0" fontId="2" fillId="0" borderId="10" xfId="0" applyFont="1" applyFill="1" applyBorder="1" applyAlignment="1">
      <alignment horizontal="left" vertical="top" wrapText="1"/>
    </xf>
    <xf numFmtId="0" fontId="2" fillId="0" borderId="11" xfId="0" applyFont="1" applyFill="1" applyBorder="1" applyAlignment="1">
      <alignment horizontal="left" vertical="top" wrapText="1"/>
    </xf>
    <xf numFmtId="0" fontId="2" fillId="0" borderId="6" xfId="0" applyFont="1" applyFill="1" applyBorder="1" applyAlignment="1">
      <alignment horizontal="left" vertical="top" wrapText="1"/>
    </xf>
    <xf numFmtId="0" fontId="2" fillId="0" borderId="12" xfId="0" applyFont="1" applyFill="1" applyBorder="1" applyAlignment="1">
      <alignment horizontal="left" vertical="top" wrapText="1"/>
    </xf>
    <xf numFmtId="0" fontId="2" fillId="0" borderId="17" xfId="0" applyFont="1" applyBorder="1">
      <alignment vertical="center"/>
    </xf>
    <xf numFmtId="0" fontId="5" fillId="0" borderId="18" xfId="0" applyFont="1" applyBorder="1">
      <alignment vertical="center"/>
    </xf>
    <xf numFmtId="0" fontId="2" fillId="0" borderId="19" xfId="0" applyFont="1" applyFill="1" applyBorder="1" applyAlignment="1">
      <alignment vertical="top" wrapText="1" shrinkToFit="1"/>
    </xf>
    <xf numFmtId="0" fontId="2" fillId="0" borderId="20" xfId="0" applyFont="1" applyFill="1" applyBorder="1" applyAlignment="1">
      <alignment vertical="top" wrapText="1" shrinkToFit="1"/>
    </xf>
    <xf numFmtId="0" fontId="2" fillId="0" borderId="18" xfId="0" applyFont="1" applyFill="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7" xfId="0" applyFont="1" applyFill="1" applyBorder="1" applyAlignment="1">
      <alignment vertical="top" wrapText="1" shrinkToFit="1"/>
    </xf>
    <xf numFmtId="0" fontId="2" fillId="0" borderId="38" xfId="0" applyFont="1" applyFill="1" applyBorder="1" applyAlignment="1">
      <alignment vertical="top" wrapText="1" shrinkToFit="1"/>
    </xf>
    <xf numFmtId="0" fontId="2" fillId="0" borderId="39" xfId="0" applyFont="1" applyFill="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Fill="1" applyBorder="1" applyAlignment="1">
      <alignment vertical="top" wrapText="1" shrinkToFit="1"/>
    </xf>
    <xf numFmtId="0" fontId="2" fillId="0" borderId="12" xfId="0" applyFont="1" applyFill="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Fill="1" applyBorder="1" applyAlignment="1">
      <alignment vertical="top" wrapText="1" shrinkToFit="1"/>
    </xf>
    <xf numFmtId="0" fontId="2" fillId="0" borderId="43" xfId="0" applyFont="1" applyFill="1" applyBorder="1" applyAlignment="1">
      <alignment vertical="top" wrapText="1" shrinkToFit="1"/>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V113"/>
  <sheetViews>
    <sheetView showZeros="0" view="pageBreakPreview" topLeftCell="A4" zoomScaleNormal="100" zoomScaleSheetLayoutView="100" workbookViewId="0">
      <selection activeCell="G72" sqref="G72:G73"/>
    </sheetView>
  </sheetViews>
  <sheetFormatPr defaultColWidth="9" defaultRowHeight="18.75" customHeight="1" x14ac:dyDescent="0.2"/>
  <cols>
    <col min="1" max="1" width="2.44140625" style="1" customWidth="1"/>
    <col min="2" max="2" width="16.44140625" style="1" customWidth="1"/>
    <col min="3" max="19" width="5.6640625" style="1" customWidth="1"/>
    <col min="20" max="20" width="9" style="1"/>
    <col min="21" max="21" width="3.6640625" style="1" customWidth="1"/>
    <col min="22" max="22" width="48.6640625" style="1" hidden="1" customWidth="1"/>
    <col min="23" max="16384" width="9" style="1"/>
  </cols>
  <sheetData>
    <row r="1" spans="1:22" ht="18.600000000000001" customHeight="1" x14ac:dyDescent="0.2">
      <c r="R1" s="172" t="s">
        <v>0</v>
      </c>
      <c r="S1" s="172"/>
      <c r="T1" s="2" t="s">
        <v>135</v>
      </c>
    </row>
    <row r="2" spans="1:22" ht="18.75" customHeight="1" x14ac:dyDescent="0.2">
      <c r="B2" s="33" t="s">
        <v>1</v>
      </c>
      <c r="C2" s="108" t="s">
        <v>2</v>
      </c>
      <c r="D2" s="109"/>
      <c r="E2" s="109"/>
      <c r="F2" s="109"/>
      <c r="G2" s="109"/>
      <c r="H2" s="109"/>
      <c r="I2" s="110"/>
      <c r="J2" s="34"/>
      <c r="K2" s="6"/>
      <c r="L2" s="6"/>
      <c r="M2" s="6"/>
      <c r="N2" s="6"/>
      <c r="O2" s="6"/>
      <c r="P2" s="6"/>
      <c r="Q2" s="6"/>
      <c r="R2" s="6"/>
      <c r="S2" s="6"/>
    </row>
    <row r="3" spans="1:22" ht="18.75" customHeight="1" x14ac:dyDescent="0.2">
      <c r="B3" s="33" t="s">
        <v>3</v>
      </c>
      <c r="C3" s="176" t="s">
        <v>122</v>
      </c>
      <c r="D3" s="177"/>
      <c r="E3" s="177"/>
      <c r="F3" s="177"/>
      <c r="G3" s="177"/>
      <c r="H3" s="177"/>
      <c r="I3" s="178"/>
      <c r="J3" s="34"/>
      <c r="K3" s="6"/>
      <c r="L3" s="6"/>
      <c r="M3" s="6"/>
      <c r="N3" s="6"/>
      <c r="O3" s="6"/>
      <c r="P3" s="6"/>
      <c r="Q3" s="6"/>
      <c r="R3" s="6"/>
      <c r="S3" s="6"/>
    </row>
    <row r="4" spans="1:22" ht="15" customHeight="1" x14ac:dyDescent="0.2">
      <c r="K4" s="34"/>
      <c r="L4" s="35"/>
      <c r="M4" s="35"/>
      <c r="N4" s="35"/>
      <c r="O4" s="35"/>
      <c r="P4" s="35"/>
      <c r="Q4" s="35"/>
      <c r="R4" s="35"/>
      <c r="S4" s="35"/>
    </row>
    <row r="5" spans="1:22" ht="18" customHeight="1" x14ac:dyDescent="0.2">
      <c r="A5" s="179" t="s">
        <v>4</v>
      </c>
      <c r="B5" s="179"/>
      <c r="C5" s="179"/>
      <c r="D5" s="179"/>
      <c r="E5" s="179"/>
      <c r="F5" s="179"/>
      <c r="G5" s="179"/>
      <c r="H5" s="179"/>
      <c r="I5" s="179"/>
      <c r="J5" s="179"/>
      <c r="K5" s="179"/>
      <c r="L5" s="179"/>
      <c r="M5" s="179"/>
      <c r="N5" s="179"/>
      <c r="O5" s="179"/>
      <c r="P5" s="179"/>
      <c r="Q5" s="179"/>
      <c r="R5" s="179"/>
      <c r="S5" s="179"/>
    </row>
    <row r="6" spans="1:22" ht="15" customHeight="1" x14ac:dyDescent="0.2">
      <c r="B6" s="3"/>
      <c r="C6" s="3"/>
      <c r="D6" s="3"/>
      <c r="E6" s="3"/>
      <c r="F6" s="3"/>
      <c r="G6" s="3"/>
      <c r="H6" s="3"/>
      <c r="I6" s="3"/>
      <c r="J6" s="3"/>
      <c r="K6" s="3"/>
      <c r="L6" s="3"/>
      <c r="M6" s="3"/>
      <c r="N6" s="3"/>
      <c r="O6" s="3"/>
      <c r="P6" s="3"/>
      <c r="Q6" s="3"/>
      <c r="R6" s="3"/>
      <c r="S6" s="3"/>
    </row>
    <row r="7" spans="1:22" ht="18" customHeight="1" x14ac:dyDescent="0.2">
      <c r="A7" s="1" t="s">
        <v>5</v>
      </c>
      <c r="C7" s="3"/>
      <c r="J7" s="36" t="s">
        <v>6</v>
      </c>
      <c r="K7" s="189" t="s">
        <v>136</v>
      </c>
      <c r="L7" s="190"/>
      <c r="M7" s="190"/>
      <c r="N7" s="190"/>
      <c r="O7" s="190"/>
      <c r="P7" s="190"/>
      <c r="Q7" s="190"/>
      <c r="R7" s="190"/>
      <c r="S7" s="191"/>
    </row>
    <row r="8" spans="1:22" ht="6" customHeight="1" x14ac:dyDescent="0.2">
      <c r="B8" s="3"/>
      <c r="C8" s="3"/>
      <c r="D8" s="3"/>
      <c r="E8" s="3"/>
      <c r="F8" s="3"/>
      <c r="G8" s="3"/>
      <c r="H8" s="3"/>
      <c r="I8" s="3"/>
      <c r="J8" s="3"/>
      <c r="K8" s="10"/>
      <c r="L8" s="3"/>
      <c r="M8" s="3"/>
      <c r="N8" s="3"/>
      <c r="O8" s="3"/>
      <c r="P8" s="3"/>
      <c r="Q8" s="3"/>
      <c r="R8" s="3"/>
      <c r="S8" s="3"/>
    </row>
    <row r="9" spans="1:22" ht="18" customHeight="1" x14ac:dyDescent="0.2">
      <c r="B9" s="192"/>
      <c r="C9" s="193"/>
      <c r="D9" s="193"/>
      <c r="E9" s="193"/>
      <c r="F9" s="193"/>
      <c r="G9" s="193"/>
      <c r="H9" s="193"/>
      <c r="I9" s="193"/>
      <c r="J9" s="193"/>
      <c r="K9" s="193"/>
      <c r="L9" s="193"/>
      <c r="M9" s="193"/>
      <c r="N9" s="193"/>
      <c r="O9" s="193"/>
      <c r="P9" s="193"/>
      <c r="Q9" s="193"/>
      <c r="R9" s="193"/>
      <c r="S9" s="194"/>
    </row>
    <row r="10" spans="1:22" ht="18" customHeight="1" x14ac:dyDescent="0.2">
      <c r="B10" s="195"/>
      <c r="C10" s="163"/>
      <c r="D10" s="163"/>
      <c r="E10" s="163"/>
      <c r="F10" s="163"/>
      <c r="G10" s="163"/>
      <c r="H10" s="163"/>
      <c r="I10" s="163"/>
      <c r="J10" s="163"/>
      <c r="K10" s="163"/>
      <c r="L10" s="163"/>
      <c r="M10" s="163"/>
      <c r="N10" s="163"/>
      <c r="O10" s="163"/>
      <c r="P10" s="163"/>
      <c r="Q10" s="163"/>
      <c r="R10" s="163"/>
      <c r="S10" s="164"/>
    </row>
    <row r="11" spans="1:22" ht="6" customHeight="1" x14ac:dyDescent="0.2">
      <c r="B11" s="3"/>
      <c r="C11" s="3"/>
      <c r="D11" s="3"/>
      <c r="E11" s="3"/>
      <c r="F11" s="3"/>
      <c r="G11" s="3"/>
      <c r="H11" s="3"/>
      <c r="I11" s="3"/>
      <c r="J11" s="3"/>
      <c r="K11" s="10"/>
      <c r="L11" s="3"/>
      <c r="M11" s="3"/>
      <c r="N11" s="3"/>
      <c r="O11" s="3"/>
      <c r="P11" s="3"/>
      <c r="Q11" s="3"/>
      <c r="R11" s="3"/>
      <c r="S11" s="3"/>
    </row>
    <row r="12" spans="1:22" ht="18" customHeight="1" x14ac:dyDescent="0.2">
      <c r="A12" s="1" t="s">
        <v>7</v>
      </c>
      <c r="B12" s="3"/>
      <c r="C12" s="3"/>
      <c r="D12" s="34"/>
      <c r="E12" s="34"/>
      <c r="F12" s="34"/>
      <c r="G12" s="34"/>
      <c r="H12" s="34"/>
      <c r="I12" s="34"/>
      <c r="J12" s="34"/>
      <c r="K12" s="37"/>
      <c r="L12" s="37"/>
      <c r="M12" s="37"/>
      <c r="N12" s="37"/>
      <c r="O12" s="37"/>
      <c r="P12" s="37"/>
      <c r="Q12" s="37"/>
      <c r="R12" s="37"/>
      <c r="S12" s="37"/>
    </row>
    <row r="13" spans="1:22" ht="18" customHeight="1" x14ac:dyDescent="0.2">
      <c r="B13" s="180" t="s">
        <v>169</v>
      </c>
      <c r="C13" s="181"/>
      <c r="D13" s="181"/>
      <c r="E13" s="181"/>
      <c r="F13" s="181"/>
      <c r="G13" s="181"/>
      <c r="H13" s="181"/>
      <c r="I13" s="181"/>
      <c r="J13" s="181"/>
      <c r="K13" s="181"/>
      <c r="L13" s="181"/>
      <c r="M13" s="181"/>
      <c r="N13" s="181"/>
      <c r="O13" s="181"/>
      <c r="P13" s="181"/>
      <c r="Q13" s="181"/>
      <c r="R13" s="181"/>
      <c r="S13" s="182"/>
      <c r="V13" s="1" t="s">
        <v>8</v>
      </c>
    </row>
    <row r="14" spans="1:22" ht="18" customHeight="1" x14ac:dyDescent="0.2">
      <c r="B14" s="183"/>
      <c r="C14" s="184"/>
      <c r="D14" s="184"/>
      <c r="E14" s="184"/>
      <c r="F14" s="184"/>
      <c r="G14" s="184"/>
      <c r="H14" s="184"/>
      <c r="I14" s="184"/>
      <c r="J14" s="184"/>
      <c r="K14" s="184"/>
      <c r="L14" s="184"/>
      <c r="M14" s="184"/>
      <c r="N14" s="184"/>
      <c r="O14" s="184"/>
      <c r="P14" s="184"/>
      <c r="Q14" s="184"/>
      <c r="R14" s="184"/>
      <c r="S14" s="185"/>
      <c r="V14" s="1" t="s">
        <v>137</v>
      </c>
    </row>
    <row r="15" spans="1:22" ht="18" customHeight="1" x14ac:dyDescent="0.2">
      <c r="B15" s="183"/>
      <c r="C15" s="184"/>
      <c r="D15" s="184"/>
      <c r="E15" s="184"/>
      <c r="F15" s="184"/>
      <c r="G15" s="184"/>
      <c r="H15" s="184"/>
      <c r="I15" s="184"/>
      <c r="J15" s="184"/>
      <c r="K15" s="184"/>
      <c r="L15" s="184"/>
      <c r="M15" s="184"/>
      <c r="N15" s="184"/>
      <c r="O15" s="184"/>
      <c r="P15" s="184"/>
      <c r="Q15" s="184"/>
      <c r="R15" s="184"/>
      <c r="S15" s="185"/>
      <c r="V15" s="1" t="s">
        <v>9</v>
      </c>
    </row>
    <row r="16" spans="1:22" ht="18" customHeight="1" x14ac:dyDescent="0.2">
      <c r="B16" s="183"/>
      <c r="C16" s="184"/>
      <c r="D16" s="184"/>
      <c r="E16" s="184"/>
      <c r="F16" s="184"/>
      <c r="G16" s="184"/>
      <c r="H16" s="184"/>
      <c r="I16" s="184"/>
      <c r="J16" s="184"/>
      <c r="K16" s="184"/>
      <c r="L16" s="184"/>
      <c r="M16" s="184"/>
      <c r="N16" s="184"/>
      <c r="O16" s="184"/>
      <c r="P16" s="184"/>
      <c r="Q16" s="184"/>
      <c r="R16" s="184"/>
      <c r="S16" s="185"/>
      <c r="V16" s="1" t="s">
        <v>138</v>
      </c>
    </row>
    <row r="17" spans="1:19" ht="18" customHeight="1" x14ac:dyDescent="0.2">
      <c r="B17" s="183"/>
      <c r="C17" s="184"/>
      <c r="D17" s="184"/>
      <c r="E17" s="184"/>
      <c r="F17" s="184"/>
      <c r="G17" s="184"/>
      <c r="H17" s="184"/>
      <c r="I17" s="184"/>
      <c r="J17" s="184"/>
      <c r="K17" s="184"/>
      <c r="L17" s="184"/>
      <c r="M17" s="184"/>
      <c r="N17" s="184"/>
      <c r="O17" s="184"/>
      <c r="P17" s="184"/>
      <c r="Q17" s="184"/>
      <c r="R17" s="184"/>
      <c r="S17" s="185"/>
    </row>
    <row r="18" spans="1:19" ht="18" customHeight="1" x14ac:dyDescent="0.2">
      <c r="B18" s="186"/>
      <c r="C18" s="187"/>
      <c r="D18" s="187"/>
      <c r="E18" s="187"/>
      <c r="F18" s="187"/>
      <c r="G18" s="187"/>
      <c r="H18" s="187"/>
      <c r="I18" s="187"/>
      <c r="J18" s="187"/>
      <c r="K18" s="187"/>
      <c r="L18" s="187"/>
      <c r="M18" s="187"/>
      <c r="N18" s="187"/>
      <c r="O18" s="187"/>
      <c r="P18" s="187"/>
      <c r="Q18" s="187"/>
      <c r="R18" s="187"/>
      <c r="S18" s="188"/>
    </row>
    <row r="19" spans="1:19" ht="7.5" customHeight="1" x14ac:dyDescent="0.2">
      <c r="B19" s="3"/>
      <c r="C19" s="3"/>
      <c r="D19" s="3"/>
      <c r="E19" s="3"/>
      <c r="F19" s="3"/>
      <c r="G19" s="3"/>
      <c r="H19" s="3"/>
      <c r="I19" s="3"/>
      <c r="J19" s="3"/>
      <c r="K19" s="3"/>
      <c r="L19" s="3"/>
      <c r="M19" s="3"/>
      <c r="N19" s="3"/>
      <c r="O19" s="3"/>
      <c r="P19" s="3"/>
      <c r="Q19" s="3"/>
      <c r="R19" s="3"/>
      <c r="S19" s="3"/>
    </row>
    <row r="20" spans="1:19" ht="20.100000000000001" customHeight="1" x14ac:dyDescent="0.2">
      <c r="B20" s="1" t="s">
        <v>10</v>
      </c>
      <c r="C20" s="196">
        <v>2</v>
      </c>
      <c r="D20" s="197"/>
      <c r="E20" s="38" t="s">
        <v>11</v>
      </c>
      <c r="G20" s="10"/>
      <c r="H20" s="3"/>
      <c r="I20" s="3"/>
      <c r="J20" s="34" t="s">
        <v>12</v>
      </c>
      <c r="K20" s="173" t="s">
        <v>137</v>
      </c>
      <c r="L20" s="174"/>
      <c r="M20" s="174"/>
      <c r="N20" s="174"/>
      <c r="O20" s="174"/>
      <c r="P20" s="174"/>
      <c r="Q20" s="174"/>
      <c r="R20" s="174"/>
      <c r="S20" s="175"/>
    </row>
    <row r="21" spans="1:19" ht="7.5" customHeight="1" x14ac:dyDescent="0.2">
      <c r="B21" s="3"/>
      <c r="C21" s="3"/>
      <c r="D21" s="3"/>
      <c r="E21" s="3"/>
      <c r="F21" s="3"/>
      <c r="G21" s="3"/>
      <c r="H21" s="3"/>
      <c r="I21" s="3"/>
      <c r="J21" s="3"/>
      <c r="K21" s="3"/>
      <c r="L21" s="3"/>
      <c r="M21" s="3"/>
      <c r="N21" s="3"/>
      <c r="O21" s="3"/>
      <c r="P21" s="3"/>
      <c r="Q21" s="3"/>
      <c r="R21" s="3"/>
      <c r="S21" s="3"/>
    </row>
    <row r="22" spans="1:19" ht="18" customHeight="1" x14ac:dyDescent="0.2">
      <c r="A22" s="117" t="s">
        <v>139</v>
      </c>
      <c r="B22" s="117"/>
      <c r="C22" s="117"/>
      <c r="D22" s="117"/>
      <c r="E22" s="117"/>
      <c r="F22" s="117"/>
      <c r="G22" s="117"/>
      <c r="H22" s="117"/>
      <c r="I22" s="117"/>
      <c r="J22" s="117"/>
      <c r="K22" s="117"/>
      <c r="L22" s="117"/>
      <c r="M22" s="117"/>
      <c r="N22" s="117"/>
      <c r="O22" s="117"/>
      <c r="P22" s="117"/>
      <c r="Q22" s="117"/>
      <c r="R22" s="117"/>
      <c r="S22" s="117"/>
    </row>
    <row r="23" spans="1:19" ht="18" customHeight="1" x14ac:dyDescent="0.2">
      <c r="A23" s="117"/>
      <c r="B23" s="117"/>
      <c r="C23" s="117"/>
      <c r="D23" s="117"/>
      <c r="E23" s="117"/>
      <c r="F23" s="117"/>
      <c r="G23" s="117"/>
      <c r="H23" s="117"/>
      <c r="I23" s="117"/>
      <c r="J23" s="117"/>
      <c r="K23" s="117"/>
      <c r="L23" s="117"/>
      <c r="M23" s="117"/>
      <c r="N23" s="117"/>
      <c r="O23" s="117"/>
      <c r="P23" s="117"/>
      <c r="Q23" s="117"/>
      <c r="R23" s="117"/>
      <c r="S23" s="117"/>
    </row>
    <row r="24" spans="1:19" ht="18" customHeight="1" x14ac:dyDescent="0.2">
      <c r="B24" s="108" t="s">
        <v>13</v>
      </c>
      <c r="C24" s="109"/>
      <c r="D24" s="109"/>
      <c r="E24" s="110"/>
      <c r="F24" s="53" t="s">
        <v>14</v>
      </c>
      <c r="G24" s="52" t="s">
        <v>15</v>
      </c>
      <c r="H24" s="21" t="s">
        <v>16</v>
      </c>
      <c r="I24" s="21" t="s">
        <v>17</v>
      </c>
      <c r="J24" s="108" t="s">
        <v>13</v>
      </c>
      <c r="K24" s="109"/>
      <c r="L24" s="109"/>
      <c r="M24" s="109"/>
      <c r="N24" s="109"/>
      <c r="O24" s="110"/>
      <c r="P24" s="53" t="s">
        <v>14</v>
      </c>
      <c r="Q24" s="52" t="s">
        <v>15</v>
      </c>
      <c r="R24" s="21" t="s">
        <v>16</v>
      </c>
      <c r="S24" s="21" t="s">
        <v>17</v>
      </c>
    </row>
    <row r="25" spans="1:19" ht="18" customHeight="1" x14ac:dyDescent="0.2">
      <c r="B25" s="145" t="s">
        <v>18</v>
      </c>
      <c r="C25" s="146"/>
      <c r="D25" s="146"/>
      <c r="E25" s="147"/>
      <c r="F25" s="88">
        <v>2</v>
      </c>
      <c r="G25" s="88"/>
      <c r="H25" s="88" t="s">
        <v>19</v>
      </c>
      <c r="I25" s="88" t="s">
        <v>19</v>
      </c>
      <c r="J25" s="102"/>
      <c r="K25" s="103"/>
      <c r="L25" s="103"/>
      <c r="M25" s="103"/>
      <c r="N25" s="103"/>
      <c r="O25" s="104"/>
      <c r="P25" s="22"/>
      <c r="Q25" s="22"/>
      <c r="R25" s="22"/>
      <c r="S25" s="22"/>
    </row>
    <row r="26" spans="1:19" ht="18" customHeight="1" x14ac:dyDescent="0.2">
      <c r="B26" s="148" t="s">
        <v>20</v>
      </c>
      <c r="C26" s="149"/>
      <c r="D26" s="149"/>
      <c r="E26" s="150"/>
      <c r="F26" s="89">
        <v>2</v>
      </c>
      <c r="G26" s="89"/>
      <c r="H26" s="89" t="s">
        <v>19</v>
      </c>
      <c r="I26" s="89" t="s">
        <v>19</v>
      </c>
      <c r="J26" s="105"/>
      <c r="K26" s="106"/>
      <c r="L26" s="106"/>
      <c r="M26" s="106"/>
      <c r="N26" s="106"/>
      <c r="O26" s="107"/>
      <c r="P26" s="23"/>
      <c r="Q26" s="23"/>
      <c r="R26" s="23"/>
      <c r="S26" s="23"/>
    </row>
    <row r="27" spans="1:19" ht="18" customHeight="1" x14ac:dyDescent="0.2">
      <c r="B27" s="111"/>
      <c r="C27" s="112"/>
      <c r="D27" s="112"/>
      <c r="E27" s="113"/>
      <c r="F27" s="80"/>
      <c r="G27" s="23"/>
      <c r="H27" s="23"/>
      <c r="I27" s="23"/>
      <c r="J27" s="105"/>
      <c r="K27" s="106"/>
      <c r="L27" s="106"/>
      <c r="M27" s="106"/>
      <c r="N27" s="106"/>
      <c r="O27" s="107"/>
      <c r="P27" s="23"/>
      <c r="Q27" s="23"/>
      <c r="R27" s="23"/>
      <c r="S27" s="23"/>
    </row>
    <row r="28" spans="1:19" ht="18" customHeight="1" x14ac:dyDescent="0.2">
      <c r="B28" s="111"/>
      <c r="C28" s="112"/>
      <c r="D28" s="112"/>
      <c r="E28" s="113"/>
      <c r="F28" s="80"/>
      <c r="G28" s="23"/>
      <c r="H28" s="23"/>
      <c r="I28" s="23"/>
      <c r="J28" s="105"/>
      <c r="K28" s="106"/>
      <c r="L28" s="106"/>
      <c r="M28" s="106"/>
      <c r="N28" s="106"/>
      <c r="O28" s="107"/>
      <c r="P28" s="23"/>
      <c r="Q28" s="23"/>
      <c r="R28" s="23"/>
      <c r="S28" s="23"/>
    </row>
    <row r="29" spans="1:19" ht="18" customHeight="1" x14ac:dyDescent="0.2">
      <c r="B29" s="111"/>
      <c r="C29" s="112"/>
      <c r="D29" s="112"/>
      <c r="E29" s="113"/>
      <c r="F29" s="80"/>
      <c r="G29" s="23"/>
      <c r="H29" s="23"/>
      <c r="I29" s="23"/>
      <c r="J29" s="105"/>
      <c r="K29" s="106"/>
      <c r="L29" s="106"/>
      <c r="M29" s="106"/>
      <c r="N29" s="106"/>
      <c r="O29" s="107"/>
      <c r="P29" s="23"/>
      <c r="Q29" s="23"/>
      <c r="R29" s="23"/>
      <c r="S29" s="23"/>
    </row>
    <row r="30" spans="1:19" ht="18" customHeight="1" x14ac:dyDescent="0.2">
      <c r="A30" s="3"/>
      <c r="B30" s="111"/>
      <c r="C30" s="112"/>
      <c r="D30" s="112"/>
      <c r="E30" s="113"/>
      <c r="F30" s="80"/>
      <c r="G30" s="23"/>
      <c r="H30" s="23"/>
      <c r="I30" s="23"/>
      <c r="J30" s="105"/>
      <c r="K30" s="106"/>
      <c r="L30" s="106"/>
      <c r="M30" s="106"/>
      <c r="N30" s="106"/>
      <c r="O30" s="107"/>
      <c r="P30" s="23"/>
      <c r="Q30" s="23"/>
      <c r="R30" s="23"/>
      <c r="S30" s="23"/>
    </row>
    <row r="31" spans="1:19" ht="18" customHeight="1" x14ac:dyDescent="0.2">
      <c r="A31" s="3"/>
      <c r="B31" s="114"/>
      <c r="C31" s="115"/>
      <c r="D31" s="115"/>
      <c r="E31" s="116"/>
      <c r="F31" s="24"/>
      <c r="G31" s="24"/>
      <c r="H31" s="25"/>
      <c r="I31" s="25"/>
      <c r="J31" s="114"/>
      <c r="K31" s="115"/>
      <c r="L31" s="115"/>
      <c r="M31" s="115"/>
      <c r="N31" s="115"/>
      <c r="O31" s="116"/>
      <c r="P31" s="24"/>
      <c r="Q31" s="24"/>
      <c r="R31" s="25"/>
      <c r="S31" s="25"/>
    </row>
    <row r="32" spans="1:19" ht="7.5" customHeight="1" x14ac:dyDescent="0.2">
      <c r="A32" s="3"/>
      <c r="B32" s="6"/>
      <c r="C32" s="6"/>
      <c r="D32" s="3"/>
      <c r="E32" s="3"/>
      <c r="F32" s="3"/>
      <c r="G32" s="3"/>
      <c r="H32" s="6"/>
      <c r="I32" s="6"/>
      <c r="J32" s="6"/>
      <c r="K32" s="6"/>
      <c r="L32" s="6"/>
      <c r="M32" s="6"/>
      <c r="N32" s="6"/>
      <c r="O32" s="6"/>
      <c r="P32" s="6"/>
      <c r="Q32" s="6"/>
      <c r="R32" s="6"/>
      <c r="S32" s="3"/>
    </row>
    <row r="33" spans="1:19" ht="18" customHeight="1" x14ac:dyDescent="0.2">
      <c r="A33" s="117" t="s">
        <v>140</v>
      </c>
      <c r="B33" s="117"/>
      <c r="C33" s="117"/>
      <c r="D33" s="117"/>
      <c r="E33" s="117"/>
      <c r="F33" s="117"/>
      <c r="G33" s="117"/>
      <c r="H33" s="117"/>
      <c r="I33" s="117"/>
      <c r="J33" s="117"/>
      <c r="K33" s="117"/>
      <c r="L33" s="117"/>
      <c r="M33" s="117"/>
      <c r="N33" s="117"/>
      <c r="O33" s="117"/>
      <c r="P33" s="117"/>
      <c r="Q33" s="117"/>
      <c r="R33" s="117"/>
      <c r="S33" s="117"/>
    </row>
    <row r="34" spans="1:19" ht="18" customHeight="1" x14ac:dyDescent="0.2">
      <c r="A34" s="117"/>
      <c r="B34" s="117"/>
      <c r="C34" s="117"/>
      <c r="D34" s="117"/>
      <c r="E34" s="117"/>
      <c r="F34" s="117"/>
      <c r="G34" s="117"/>
      <c r="H34" s="117"/>
      <c r="I34" s="117"/>
      <c r="J34" s="117"/>
      <c r="K34" s="117"/>
      <c r="L34" s="117"/>
      <c r="M34" s="117"/>
      <c r="N34" s="117"/>
      <c r="O34" s="117"/>
      <c r="P34" s="117"/>
      <c r="Q34" s="117"/>
      <c r="R34" s="117"/>
      <c r="S34" s="117"/>
    </row>
    <row r="35" spans="1:19" ht="18" customHeight="1" x14ac:dyDescent="0.2">
      <c r="B35" s="108" t="s">
        <v>13</v>
      </c>
      <c r="C35" s="109"/>
      <c r="D35" s="109"/>
      <c r="E35" s="110"/>
      <c r="F35" s="53" t="s">
        <v>14</v>
      </c>
      <c r="G35" s="52" t="s">
        <v>15</v>
      </c>
      <c r="H35" s="21" t="s">
        <v>21</v>
      </c>
      <c r="I35" s="21" t="s">
        <v>22</v>
      </c>
      <c r="J35" s="108" t="s">
        <v>13</v>
      </c>
      <c r="K35" s="109"/>
      <c r="L35" s="109"/>
      <c r="M35" s="109"/>
      <c r="N35" s="109"/>
      <c r="O35" s="110"/>
      <c r="P35" s="53" t="s">
        <v>14</v>
      </c>
      <c r="Q35" s="52" t="s">
        <v>15</v>
      </c>
      <c r="R35" s="21" t="s">
        <v>21</v>
      </c>
      <c r="S35" s="21" t="s">
        <v>22</v>
      </c>
    </row>
    <row r="36" spans="1:19" ht="18" customHeight="1" x14ac:dyDescent="0.2">
      <c r="B36" s="145" t="s">
        <v>18</v>
      </c>
      <c r="C36" s="146"/>
      <c r="D36" s="146"/>
      <c r="E36" s="147"/>
      <c r="F36" s="88">
        <v>2</v>
      </c>
      <c r="G36" s="88"/>
      <c r="H36" s="88" t="s">
        <v>19</v>
      </c>
      <c r="I36" s="88" t="s">
        <v>19</v>
      </c>
      <c r="J36" s="102"/>
      <c r="K36" s="103"/>
      <c r="L36" s="103"/>
      <c r="M36" s="103"/>
      <c r="N36" s="103"/>
      <c r="O36" s="104"/>
      <c r="P36" s="22"/>
      <c r="Q36" s="22"/>
      <c r="R36" s="22"/>
      <c r="S36" s="22"/>
    </row>
    <row r="37" spans="1:19" ht="18" customHeight="1" x14ac:dyDescent="0.2">
      <c r="B37" s="148" t="s">
        <v>20</v>
      </c>
      <c r="C37" s="149"/>
      <c r="D37" s="149"/>
      <c r="E37" s="150"/>
      <c r="F37" s="89">
        <v>2</v>
      </c>
      <c r="G37" s="89"/>
      <c r="H37" s="89" t="s">
        <v>19</v>
      </c>
      <c r="I37" s="89" t="s">
        <v>19</v>
      </c>
      <c r="J37" s="105"/>
      <c r="K37" s="106"/>
      <c r="L37" s="106"/>
      <c r="M37" s="106"/>
      <c r="N37" s="106"/>
      <c r="O37" s="107"/>
      <c r="P37" s="23"/>
      <c r="Q37" s="23"/>
      <c r="R37" s="23"/>
      <c r="S37" s="23"/>
    </row>
    <row r="38" spans="1:19" ht="18" customHeight="1" x14ac:dyDescent="0.2">
      <c r="B38" s="111"/>
      <c r="C38" s="112"/>
      <c r="D38" s="112"/>
      <c r="E38" s="113"/>
      <c r="F38" s="80"/>
      <c r="G38" s="23"/>
      <c r="H38" s="23"/>
      <c r="I38" s="23"/>
      <c r="J38" s="105"/>
      <c r="K38" s="106"/>
      <c r="L38" s="106"/>
      <c r="M38" s="106"/>
      <c r="N38" s="106"/>
      <c r="O38" s="107"/>
      <c r="P38" s="23"/>
      <c r="Q38" s="23"/>
      <c r="R38" s="23"/>
      <c r="S38" s="23"/>
    </row>
    <row r="39" spans="1:19" ht="18" customHeight="1" x14ac:dyDescent="0.2">
      <c r="B39" s="111"/>
      <c r="C39" s="112"/>
      <c r="D39" s="112"/>
      <c r="E39" s="113"/>
      <c r="F39" s="80"/>
      <c r="G39" s="23"/>
      <c r="H39" s="23"/>
      <c r="I39" s="23"/>
      <c r="J39" s="105"/>
      <c r="K39" s="106"/>
      <c r="L39" s="106"/>
      <c r="M39" s="106"/>
      <c r="N39" s="106"/>
      <c r="O39" s="107"/>
      <c r="P39" s="23"/>
      <c r="Q39" s="23"/>
      <c r="R39" s="23"/>
      <c r="S39" s="23"/>
    </row>
    <row r="40" spans="1:19" ht="18" customHeight="1" x14ac:dyDescent="0.2">
      <c r="B40" s="111"/>
      <c r="C40" s="112"/>
      <c r="D40" s="112"/>
      <c r="E40" s="113"/>
      <c r="F40" s="80"/>
      <c r="G40" s="23"/>
      <c r="H40" s="23"/>
      <c r="I40" s="23"/>
      <c r="J40" s="105"/>
      <c r="K40" s="106"/>
      <c r="L40" s="106"/>
      <c r="M40" s="106"/>
      <c r="N40" s="106"/>
      <c r="O40" s="107"/>
      <c r="P40" s="23"/>
      <c r="Q40" s="23"/>
      <c r="R40" s="23"/>
      <c r="S40" s="23"/>
    </row>
    <row r="41" spans="1:19" ht="18" customHeight="1" x14ac:dyDescent="0.2">
      <c r="B41" s="111"/>
      <c r="C41" s="112"/>
      <c r="D41" s="112"/>
      <c r="E41" s="113"/>
      <c r="F41" s="80"/>
      <c r="G41" s="23"/>
      <c r="H41" s="23"/>
      <c r="I41" s="23"/>
      <c r="J41" s="105"/>
      <c r="K41" s="106"/>
      <c r="L41" s="106"/>
      <c r="M41" s="106"/>
      <c r="N41" s="106"/>
      <c r="O41" s="107"/>
      <c r="P41" s="23"/>
      <c r="Q41" s="23"/>
      <c r="R41" s="23"/>
      <c r="S41" s="23"/>
    </row>
    <row r="42" spans="1:19" ht="18" customHeight="1" x14ac:dyDescent="0.2">
      <c r="B42" s="114"/>
      <c r="C42" s="115"/>
      <c r="D42" s="115"/>
      <c r="E42" s="116"/>
      <c r="F42" s="24"/>
      <c r="G42" s="24"/>
      <c r="H42" s="25"/>
      <c r="I42" s="25"/>
      <c r="J42" s="114"/>
      <c r="K42" s="115"/>
      <c r="L42" s="115"/>
      <c r="M42" s="115"/>
      <c r="N42" s="115"/>
      <c r="O42" s="116"/>
      <c r="P42" s="24"/>
      <c r="Q42" s="24"/>
      <c r="R42" s="25"/>
      <c r="S42" s="25"/>
    </row>
    <row r="43" spans="1:19" ht="7.5" customHeight="1" x14ac:dyDescent="0.2">
      <c r="A43" s="3"/>
      <c r="B43" s="6"/>
      <c r="C43" s="6"/>
      <c r="D43" s="3"/>
      <c r="E43" s="3"/>
      <c r="F43" s="3"/>
      <c r="G43" s="3"/>
      <c r="H43" s="6"/>
      <c r="I43" s="6"/>
      <c r="J43" s="6"/>
      <c r="K43" s="6"/>
      <c r="L43" s="6"/>
      <c r="M43" s="6"/>
      <c r="N43" s="6"/>
      <c r="O43" s="6"/>
      <c r="P43" s="6"/>
      <c r="Q43" s="6"/>
      <c r="R43" s="6"/>
      <c r="S43" s="3"/>
    </row>
    <row r="44" spans="1:19" ht="18" customHeight="1" x14ac:dyDescent="0.2">
      <c r="A44" s="117" t="s">
        <v>141</v>
      </c>
      <c r="B44" s="117"/>
      <c r="C44" s="117"/>
      <c r="D44" s="117"/>
      <c r="E44" s="117"/>
      <c r="F44" s="117"/>
      <c r="G44" s="117"/>
      <c r="H44" s="117"/>
      <c r="I44" s="117"/>
      <c r="J44" s="117"/>
      <c r="K44" s="117"/>
      <c r="L44" s="117"/>
      <c r="M44" s="117"/>
      <c r="N44" s="117"/>
      <c r="O44" s="117"/>
      <c r="P44" s="117"/>
      <c r="Q44" s="117"/>
      <c r="R44" s="117"/>
      <c r="S44" s="117"/>
    </row>
    <row r="45" spans="1:19" ht="18" customHeight="1" x14ac:dyDescent="0.2">
      <c r="A45" s="117"/>
      <c r="B45" s="117"/>
      <c r="C45" s="117"/>
      <c r="D45" s="117"/>
      <c r="E45" s="117"/>
      <c r="F45" s="117"/>
      <c r="G45" s="117"/>
      <c r="H45" s="117"/>
      <c r="I45" s="117"/>
      <c r="J45" s="117"/>
      <c r="K45" s="117"/>
      <c r="L45" s="117"/>
      <c r="M45" s="117"/>
      <c r="N45" s="117"/>
      <c r="O45" s="117"/>
      <c r="P45" s="117"/>
      <c r="Q45" s="117"/>
      <c r="R45" s="117"/>
      <c r="S45" s="117"/>
    </row>
    <row r="46" spans="1:19" ht="18" customHeight="1" x14ac:dyDescent="0.2">
      <c r="B46" s="108" t="s">
        <v>13</v>
      </c>
      <c r="C46" s="109"/>
      <c r="D46" s="109"/>
      <c r="E46" s="110"/>
      <c r="F46" s="53" t="s">
        <v>14</v>
      </c>
      <c r="G46" s="52" t="s">
        <v>15</v>
      </c>
      <c r="H46" s="21" t="s">
        <v>23</v>
      </c>
      <c r="I46" s="21" t="s">
        <v>24</v>
      </c>
      <c r="J46" s="108" t="s">
        <v>13</v>
      </c>
      <c r="K46" s="109"/>
      <c r="L46" s="109"/>
      <c r="M46" s="109"/>
      <c r="N46" s="109"/>
      <c r="O46" s="110"/>
      <c r="P46" s="53" t="s">
        <v>14</v>
      </c>
      <c r="Q46" s="52" t="s">
        <v>15</v>
      </c>
      <c r="R46" s="21" t="s">
        <v>23</v>
      </c>
      <c r="S46" s="21" t="s">
        <v>24</v>
      </c>
    </row>
    <row r="47" spans="1:19" ht="18" customHeight="1" x14ac:dyDescent="0.2">
      <c r="A47" s="3"/>
      <c r="B47" s="145" t="s">
        <v>18</v>
      </c>
      <c r="C47" s="146"/>
      <c r="D47" s="146"/>
      <c r="E47" s="147"/>
      <c r="F47" s="88">
        <v>2</v>
      </c>
      <c r="G47" s="88"/>
      <c r="H47" s="88" t="s">
        <v>19</v>
      </c>
      <c r="I47" s="88" t="s">
        <v>19</v>
      </c>
      <c r="J47" s="77"/>
      <c r="K47" s="78"/>
      <c r="L47" s="78"/>
      <c r="M47" s="78"/>
      <c r="N47" s="78"/>
      <c r="O47" s="79"/>
      <c r="P47" s="22"/>
      <c r="Q47" s="22"/>
      <c r="R47" s="22"/>
      <c r="S47" s="22"/>
    </row>
    <row r="48" spans="1:19" ht="18" customHeight="1" x14ac:dyDescent="0.2">
      <c r="A48" s="3"/>
      <c r="B48" s="148" t="s">
        <v>20</v>
      </c>
      <c r="C48" s="149"/>
      <c r="D48" s="149"/>
      <c r="E48" s="150"/>
      <c r="F48" s="89">
        <v>2</v>
      </c>
      <c r="G48" s="89"/>
      <c r="H48" s="89" t="s">
        <v>19</v>
      </c>
      <c r="I48" s="89" t="s">
        <v>19</v>
      </c>
      <c r="J48" s="105"/>
      <c r="K48" s="106"/>
      <c r="L48" s="106"/>
      <c r="M48" s="106"/>
      <c r="N48" s="106"/>
      <c r="O48" s="107"/>
      <c r="P48" s="23"/>
      <c r="Q48" s="23"/>
      <c r="R48" s="23"/>
      <c r="S48" s="23"/>
    </row>
    <row r="49" spans="1:19" ht="18" customHeight="1" x14ac:dyDescent="0.2">
      <c r="A49" s="3"/>
      <c r="B49" s="111"/>
      <c r="C49" s="112"/>
      <c r="D49" s="112"/>
      <c r="E49" s="113"/>
      <c r="F49" s="80"/>
      <c r="G49" s="23"/>
      <c r="H49" s="23"/>
      <c r="I49" s="23"/>
      <c r="J49" s="105"/>
      <c r="K49" s="106"/>
      <c r="L49" s="106"/>
      <c r="M49" s="106"/>
      <c r="N49" s="106"/>
      <c r="O49" s="107"/>
      <c r="P49" s="23"/>
      <c r="Q49" s="23"/>
      <c r="R49" s="23"/>
      <c r="S49" s="23"/>
    </row>
    <row r="50" spans="1:19" ht="18" customHeight="1" x14ac:dyDescent="0.2">
      <c r="A50" s="3"/>
      <c r="B50" s="111"/>
      <c r="C50" s="112"/>
      <c r="D50" s="112"/>
      <c r="E50" s="113"/>
      <c r="F50" s="80"/>
      <c r="G50" s="23"/>
      <c r="H50" s="23"/>
      <c r="I50" s="23"/>
      <c r="J50" s="105"/>
      <c r="K50" s="106"/>
      <c r="L50" s="106"/>
      <c r="M50" s="106"/>
      <c r="N50" s="106"/>
      <c r="O50" s="107"/>
      <c r="P50" s="23"/>
      <c r="Q50" s="23"/>
      <c r="R50" s="23"/>
      <c r="S50" s="23"/>
    </row>
    <row r="51" spans="1:19" ht="18" customHeight="1" x14ac:dyDescent="0.2">
      <c r="A51" s="3"/>
      <c r="B51" s="111"/>
      <c r="C51" s="112"/>
      <c r="D51" s="112"/>
      <c r="E51" s="113"/>
      <c r="F51" s="80"/>
      <c r="G51" s="23"/>
      <c r="H51" s="23"/>
      <c r="I51" s="23"/>
      <c r="J51" s="105"/>
      <c r="K51" s="106"/>
      <c r="L51" s="106"/>
      <c r="M51" s="106"/>
      <c r="N51" s="106"/>
      <c r="O51" s="107"/>
      <c r="P51" s="23"/>
      <c r="Q51" s="23"/>
      <c r="R51" s="23"/>
      <c r="S51" s="23"/>
    </row>
    <row r="52" spans="1:19" ht="18" customHeight="1" x14ac:dyDescent="0.2">
      <c r="A52" s="3"/>
      <c r="B52" s="111"/>
      <c r="C52" s="112"/>
      <c r="D52" s="112"/>
      <c r="E52" s="113"/>
      <c r="F52" s="80"/>
      <c r="G52" s="23"/>
      <c r="H52" s="23"/>
      <c r="I52" s="23"/>
      <c r="J52" s="105"/>
      <c r="K52" s="106"/>
      <c r="L52" s="106"/>
      <c r="M52" s="106"/>
      <c r="N52" s="106"/>
      <c r="O52" s="107"/>
      <c r="P52" s="23"/>
      <c r="Q52" s="23"/>
      <c r="R52" s="23"/>
      <c r="S52" s="23"/>
    </row>
    <row r="53" spans="1:19" ht="18" customHeight="1" x14ac:dyDescent="0.2">
      <c r="A53" s="3"/>
      <c r="B53" s="136"/>
      <c r="C53" s="137"/>
      <c r="D53" s="137"/>
      <c r="E53" s="138"/>
      <c r="F53" s="86"/>
      <c r="G53" s="81"/>
      <c r="H53" s="82"/>
      <c r="I53" s="82"/>
      <c r="J53" s="83"/>
      <c r="K53" s="84"/>
      <c r="L53" s="84"/>
      <c r="M53" s="84"/>
      <c r="N53" s="84"/>
      <c r="O53" s="85"/>
      <c r="P53" s="81"/>
      <c r="Q53" s="81"/>
      <c r="R53" s="82"/>
      <c r="S53" s="82"/>
    </row>
    <row r="54" spans="1:19" ht="18" customHeight="1" x14ac:dyDescent="0.2">
      <c r="A54" s="3"/>
      <c r="B54" s="139"/>
      <c r="C54" s="140"/>
      <c r="D54" s="140"/>
      <c r="E54" s="141"/>
      <c r="F54" s="87"/>
      <c r="G54" s="25"/>
      <c r="H54" s="25"/>
      <c r="I54" s="25"/>
      <c r="J54" s="114"/>
      <c r="K54" s="115"/>
      <c r="L54" s="115"/>
      <c r="M54" s="115"/>
      <c r="N54" s="115"/>
      <c r="O54" s="116"/>
      <c r="P54" s="24"/>
      <c r="Q54" s="24"/>
      <c r="R54" s="25"/>
      <c r="S54" s="25"/>
    </row>
    <row r="55" spans="1:19" ht="7.5" customHeight="1" x14ac:dyDescent="0.2">
      <c r="B55" s="14"/>
      <c r="C55" s="14"/>
      <c r="D55" s="14"/>
      <c r="E55" s="14"/>
      <c r="F55" s="14"/>
      <c r="G55" s="14"/>
      <c r="H55" s="14"/>
      <c r="I55" s="14"/>
      <c r="J55" s="14"/>
      <c r="K55" s="14"/>
      <c r="L55" s="14"/>
      <c r="M55" s="14"/>
      <c r="N55" s="14"/>
      <c r="O55" s="14"/>
      <c r="P55" s="14"/>
      <c r="Q55" s="14"/>
      <c r="R55" s="14"/>
    </row>
    <row r="56" spans="1:19" ht="18" customHeight="1" x14ac:dyDescent="0.2">
      <c r="A56" s="117" t="s">
        <v>142</v>
      </c>
      <c r="B56" s="117"/>
      <c r="C56" s="117"/>
      <c r="D56" s="117"/>
      <c r="E56" s="117"/>
      <c r="F56" s="117"/>
      <c r="G56" s="117"/>
      <c r="H56" s="117"/>
      <c r="I56" s="117"/>
      <c r="J56" s="117"/>
      <c r="K56" s="117"/>
      <c r="L56" s="117"/>
      <c r="M56" s="117"/>
      <c r="N56" s="117"/>
      <c r="O56" s="117"/>
      <c r="P56" s="117"/>
      <c r="Q56" s="117"/>
      <c r="R56" s="117"/>
      <c r="S56" s="117"/>
    </row>
    <row r="57" spans="1:19" ht="18" customHeight="1" x14ac:dyDescent="0.2">
      <c r="A57" s="117"/>
      <c r="B57" s="117"/>
      <c r="C57" s="117"/>
      <c r="D57" s="117"/>
      <c r="E57" s="117"/>
      <c r="F57" s="117"/>
      <c r="G57" s="117"/>
      <c r="H57" s="117"/>
      <c r="I57" s="117"/>
      <c r="J57" s="117"/>
      <c r="K57" s="117"/>
      <c r="L57" s="117"/>
      <c r="M57" s="117"/>
      <c r="N57" s="117"/>
      <c r="O57" s="117"/>
      <c r="P57" s="117"/>
      <c r="Q57" s="117"/>
      <c r="R57" s="117"/>
      <c r="S57" s="117"/>
    </row>
    <row r="58" spans="1:19" ht="18" customHeight="1" x14ac:dyDescent="0.2">
      <c r="B58" s="108" t="s">
        <v>13</v>
      </c>
      <c r="C58" s="109"/>
      <c r="D58" s="109"/>
      <c r="E58" s="110"/>
      <c r="F58" s="53" t="s">
        <v>14</v>
      </c>
      <c r="G58" s="52" t="s">
        <v>15</v>
      </c>
      <c r="H58" s="21" t="s">
        <v>25</v>
      </c>
      <c r="I58" s="21" t="s">
        <v>26</v>
      </c>
      <c r="J58" s="108" t="s">
        <v>13</v>
      </c>
      <c r="K58" s="109"/>
      <c r="L58" s="109"/>
      <c r="M58" s="109"/>
      <c r="N58" s="109"/>
      <c r="O58" s="110"/>
      <c r="P58" s="53" t="s">
        <v>14</v>
      </c>
      <c r="Q58" s="52" t="s">
        <v>15</v>
      </c>
      <c r="R58" s="21" t="s">
        <v>25</v>
      </c>
      <c r="S58" s="21" t="s">
        <v>26</v>
      </c>
    </row>
    <row r="59" spans="1:19" ht="18" customHeight="1" x14ac:dyDescent="0.2">
      <c r="A59" s="3"/>
      <c r="B59" s="145" t="s">
        <v>18</v>
      </c>
      <c r="C59" s="146"/>
      <c r="D59" s="146"/>
      <c r="E59" s="147"/>
      <c r="F59" s="88">
        <v>2</v>
      </c>
      <c r="G59" s="88"/>
      <c r="H59" s="88" t="s">
        <v>19</v>
      </c>
      <c r="I59" s="88" t="s">
        <v>19</v>
      </c>
      <c r="J59" s="102"/>
      <c r="K59" s="103"/>
      <c r="L59" s="103"/>
      <c r="M59" s="103"/>
      <c r="N59" s="103"/>
      <c r="O59" s="104"/>
      <c r="P59" s="22"/>
      <c r="Q59" s="22"/>
      <c r="R59" s="22"/>
      <c r="S59" s="22"/>
    </row>
    <row r="60" spans="1:19" ht="18" customHeight="1" x14ac:dyDescent="0.2">
      <c r="A60" s="3"/>
      <c r="B60" s="148" t="s">
        <v>20</v>
      </c>
      <c r="C60" s="149"/>
      <c r="D60" s="149"/>
      <c r="E60" s="150"/>
      <c r="F60" s="89">
        <v>2</v>
      </c>
      <c r="G60" s="89"/>
      <c r="H60" s="89" t="s">
        <v>19</v>
      </c>
      <c r="I60" s="89" t="s">
        <v>19</v>
      </c>
      <c r="J60" s="105"/>
      <c r="K60" s="106"/>
      <c r="L60" s="106"/>
      <c r="M60" s="106"/>
      <c r="N60" s="106"/>
      <c r="O60" s="107"/>
      <c r="P60" s="23"/>
      <c r="Q60" s="23"/>
      <c r="R60" s="23"/>
      <c r="S60" s="23"/>
    </row>
    <row r="61" spans="1:19" ht="18" customHeight="1" x14ac:dyDescent="0.2">
      <c r="A61" s="3"/>
      <c r="B61" s="111"/>
      <c r="C61" s="112"/>
      <c r="D61" s="112"/>
      <c r="E61" s="113"/>
      <c r="F61" s="80"/>
      <c r="G61" s="23"/>
      <c r="H61" s="23"/>
      <c r="I61" s="23"/>
      <c r="J61" s="105"/>
      <c r="K61" s="106"/>
      <c r="L61" s="106"/>
      <c r="M61" s="106"/>
      <c r="N61" s="106"/>
      <c r="O61" s="107"/>
      <c r="P61" s="23"/>
      <c r="Q61" s="23"/>
      <c r="R61" s="23"/>
      <c r="S61" s="23"/>
    </row>
    <row r="62" spans="1:19" ht="18" customHeight="1" x14ac:dyDescent="0.2">
      <c r="A62" s="3"/>
      <c r="B62" s="111"/>
      <c r="C62" s="112"/>
      <c r="D62" s="112"/>
      <c r="E62" s="113"/>
      <c r="F62" s="80"/>
      <c r="G62" s="23"/>
      <c r="H62" s="23"/>
      <c r="I62" s="23"/>
      <c r="J62" s="105"/>
      <c r="K62" s="106"/>
      <c r="L62" s="106"/>
      <c r="M62" s="106"/>
      <c r="N62" s="106"/>
      <c r="O62" s="107"/>
      <c r="P62" s="23"/>
      <c r="Q62" s="23"/>
      <c r="R62" s="23"/>
      <c r="S62" s="23"/>
    </row>
    <row r="63" spans="1:19" ht="18" customHeight="1" x14ac:dyDescent="0.2">
      <c r="A63" s="3"/>
      <c r="B63" s="111"/>
      <c r="C63" s="112"/>
      <c r="D63" s="112"/>
      <c r="E63" s="113"/>
      <c r="F63" s="80"/>
      <c r="G63" s="23"/>
      <c r="H63" s="23"/>
      <c r="I63" s="23"/>
      <c r="J63" s="74"/>
      <c r="K63" s="75"/>
      <c r="L63" s="75"/>
      <c r="M63" s="75"/>
      <c r="N63" s="75"/>
      <c r="O63" s="76"/>
      <c r="P63" s="23"/>
      <c r="Q63" s="23"/>
      <c r="R63" s="23"/>
      <c r="S63" s="23"/>
    </row>
    <row r="64" spans="1:19" ht="18" customHeight="1" x14ac:dyDescent="0.2">
      <c r="A64" s="3"/>
      <c r="B64" s="111"/>
      <c r="C64" s="112"/>
      <c r="D64" s="112"/>
      <c r="E64" s="113"/>
      <c r="F64" s="80"/>
      <c r="G64" s="23"/>
      <c r="H64" s="23"/>
      <c r="I64" s="23"/>
      <c r="J64" s="74"/>
      <c r="K64" s="75"/>
      <c r="L64" s="75"/>
      <c r="M64" s="75"/>
      <c r="N64" s="75"/>
      <c r="O64" s="76"/>
      <c r="P64" s="23"/>
      <c r="Q64" s="23"/>
      <c r="R64" s="23"/>
      <c r="S64" s="23"/>
    </row>
    <row r="65" spans="1:19" ht="18" customHeight="1" x14ac:dyDescent="0.2">
      <c r="A65" s="3"/>
      <c r="B65" s="136"/>
      <c r="C65" s="137"/>
      <c r="D65" s="137"/>
      <c r="E65" s="138"/>
      <c r="F65" s="86"/>
      <c r="G65" s="23"/>
      <c r="H65" s="23"/>
      <c r="I65" s="23"/>
      <c r="J65" s="105"/>
      <c r="K65" s="106"/>
      <c r="L65" s="106"/>
      <c r="M65" s="106"/>
      <c r="N65" s="106"/>
      <c r="O65" s="107"/>
      <c r="P65" s="23"/>
      <c r="Q65" s="23"/>
      <c r="R65" s="23"/>
      <c r="S65" s="23"/>
    </row>
    <row r="66" spans="1:19" ht="18" customHeight="1" x14ac:dyDescent="0.2">
      <c r="A66" s="3"/>
      <c r="B66" s="139"/>
      <c r="C66" s="140"/>
      <c r="D66" s="140"/>
      <c r="E66" s="141"/>
      <c r="F66" s="87"/>
      <c r="G66" s="23"/>
      <c r="H66" s="23"/>
      <c r="I66" s="23"/>
      <c r="J66" s="105"/>
      <c r="K66" s="106"/>
      <c r="L66" s="106"/>
      <c r="M66" s="106"/>
      <c r="N66" s="106"/>
      <c r="O66" s="107"/>
      <c r="P66" s="23"/>
      <c r="Q66" s="23"/>
      <c r="R66" s="23"/>
      <c r="S66" s="23"/>
    </row>
    <row r="67" spans="1:19" ht="18" customHeight="1" x14ac:dyDescent="0.2">
      <c r="A67" s="3"/>
      <c r="B67" s="114"/>
      <c r="C67" s="115"/>
      <c r="D67" s="115"/>
      <c r="E67" s="116"/>
      <c r="F67" s="24"/>
      <c r="G67" s="24"/>
      <c r="H67" s="25"/>
      <c r="I67" s="25"/>
      <c r="J67" s="114"/>
      <c r="K67" s="115"/>
      <c r="L67" s="115"/>
      <c r="M67" s="115"/>
      <c r="N67" s="115"/>
      <c r="O67" s="116"/>
      <c r="P67" s="24"/>
      <c r="Q67" s="24"/>
      <c r="R67" s="25"/>
      <c r="S67" s="25"/>
    </row>
    <row r="68" spans="1:19" ht="7.5" customHeight="1" x14ac:dyDescent="0.2">
      <c r="B68" s="14"/>
      <c r="C68" s="14"/>
      <c r="D68" s="14"/>
      <c r="E68" s="14"/>
      <c r="F68" s="14"/>
      <c r="G68" s="14"/>
      <c r="H68" s="14"/>
      <c r="I68" s="14"/>
      <c r="J68" s="14"/>
      <c r="K68" s="14"/>
      <c r="L68" s="14"/>
      <c r="M68" s="14"/>
      <c r="N68" s="14"/>
      <c r="O68" s="14"/>
      <c r="P68" s="14"/>
      <c r="Q68" s="14"/>
      <c r="R68" s="14"/>
    </row>
    <row r="69" spans="1:19" ht="18" customHeight="1" x14ac:dyDescent="0.2">
      <c r="A69" s="117" t="s">
        <v>143</v>
      </c>
      <c r="B69" s="117"/>
      <c r="C69" s="117"/>
      <c r="D69" s="117"/>
      <c r="E69" s="117"/>
      <c r="F69" s="117"/>
      <c r="G69" s="117"/>
      <c r="H69" s="117"/>
      <c r="I69" s="117"/>
      <c r="J69" s="117"/>
      <c r="K69" s="117"/>
      <c r="L69" s="117"/>
      <c r="M69" s="117"/>
      <c r="N69" s="117"/>
      <c r="O69" s="117"/>
      <c r="P69" s="117"/>
      <c r="Q69" s="117"/>
      <c r="R69" s="117"/>
      <c r="S69" s="117"/>
    </row>
    <row r="70" spans="1:19" ht="18" customHeight="1" x14ac:dyDescent="0.2">
      <c r="A70" s="117"/>
      <c r="B70" s="117"/>
      <c r="C70" s="117"/>
      <c r="D70" s="117"/>
      <c r="E70" s="117"/>
      <c r="F70" s="117"/>
      <c r="G70" s="117"/>
      <c r="H70" s="117"/>
      <c r="I70" s="117"/>
      <c r="J70" s="117"/>
      <c r="K70" s="117"/>
      <c r="L70" s="117"/>
      <c r="M70" s="117"/>
      <c r="N70" s="117"/>
      <c r="O70" s="117"/>
      <c r="P70" s="117"/>
      <c r="Q70" s="117"/>
      <c r="R70" s="117"/>
      <c r="S70" s="117"/>
    </row>
    <row r="71" spans="1:19" ht="18" customHeight="1" x14ac:dyDescent="0.2">
      <c r="B71" s="108" t="s">
        <v>13</v>
      </c>
      <c r="C71" s="109"/>
      <c r="D71" s="109"/>
      <c r="E71" s="53" t="s">
        <v>14</v>
      </c>
      <c r="F71" s="52" t="s">
        <v>15</v>
      </c>
      <c r="G71" s="21" t="s">
        <v>27</v>
      </c>
      <c r="H71" s="21" t="s">
        <v>28</v>
      </c>
      <c r="I71" s="21" t="s">
        <v>29</v>
      </c>
      <c r="J71" s="108" t="s">
        <v>13</v>
      </c>
      <c r="K71" s="109"/>
      <c r="L71" s="109"/>
      <c r="M71" s="109"/>
      <c r="N71" s="110"/>
      <c r="O71" s="53" t="s">
        <v>14</v>
      </c>
      <c r="P71" s="52" t="s">
        <v>15</v>
      </c>
      <c r="Q71" s="21" t="s">
        <v>27</v>
      </c>
      <c r="R71" s="21" t="s">
        <v>28</v>
      </c>
      <c r="S71" s="21" t="s">
        <v>29</v>
      </c>
    </row>
    <row r="72" spans="1:19" ht="18" customHeight="1" x14ac:dyDescent="0.2">
      <c r="A72" s="3"/>
      <c r="B72" s="145" t="s">
        <v>18</v>
      </c>
      <c r="C72" s="146"/>
      <c r="D72" s="147"/>
      <c r="E72" s="88">
        <v>2</v>
      </c>
      <c r="F72" s="88" t="s">
        <v>19</v>
      </c>
      <c r="G72" s="88"/>
      <c r="H72" s="22" t="s">
        <v>19</v>
      </c>
      <c r="I72" s="22" t="s">
        <v>19</v>
      </c>
      <c r="J72" s="102"/>
      <c r="K72" s="103"/>
      <c r="L72" s="103"/>
      <c r="M72" s="103"/>
      <c r="N72" s="104"/>
      <c r="O72" s="22"/>
      <c r="P72" s="22"/>
      <c r="Q72" s="22"/>
      <c r="R72" s="22"/>
      <c r="S72" s="22"/>
    </row>
    <row r="73" spans="1:19" ht="18" customHeight="1" x14ac:dyDescent="0.2">
      <c r="A73" s="3"/>
      <c r="B73" s="148" t="s">
        <v>30</v>
      </c>
      <c r="C73" s="149"/>
      <c r="D73" s="150"/>
      <c r="E73" s="89">
        <v>2</v>
      </c>
      <c r="F73" s="89" t="s">
        <v>19</v>
      </c>
      <c r="G73" s="89"/>
      <c r="H73" s="23" t="s">
        <v>19</v>
      </c>
      <c r="I73" s="23" t="s">
        <v>19</v>
      </c>
      <c r="J73" s="105"/>
      <c r="K73" s="106"/>
      <c r="L73" s="106"/>
      <c r="M73" s="106"/>
      <c r="N73" s="107"/>
      <c r="O73" s="23"/>
      <c r="P73" s="23"/>
      <c r="Q73" s="23"/>
      <c r="R73" s="23"/>
      <c r="S73" s="23"/>
    </row>
    <row r="74" spans="1:19" ht="18" customHeight="1" x14ac:dyDescent="0.2">
      <c r="A74" s="3"/>
      <c r="B74" s="111"/>
      <c r="C74" s="112"/>
      <c r="D74" s="113"/>
      <c r="E74" s="23"/>
      <c r="F74" s="23"/>
      <c r="G74" s="23"/>
      <c r="H74" s="23"/>
      <c r="I74" s="23"/>
      <c r="J74" s="105"/>
      <c r="K74" s="106"/>
      <c r="L74" s="106"/>
      <c r="M74" s="106"/>
      <c r="N74" s="107"/>
      <c r="O74" s="23"/>
      <c r="P74" s="23"/>
      <c r="Q74" s="23"/>
      <c r="R74" s="23"/>
      <c r="S74" s="23"/>
    </row>
    <row r="75" spans="1:19" ht="18" customHeight="1" x14ac:dyDescent="0.2">
      <c r="A75" s="3"/>
      <c r="B75" s="111"/>
      <c r="C75" s="112"/>
      <c r="D75" s="113"/>
      <c r="E75" s="23"/>
      <c r="F75" s="23"/>
      <c r="G75" s="23"/>
      <c r="H75" s="23"/>
      <c r="I75" s="23"/>
      <c r="J75" s="105"/>
      <c r="K75" s="106"/>
      <c r="L75" s="106"/>
      <c r="M75" s="106"/>
      <c r="N75" s="107"/>
      <c r="O75" s="23"/>
      <c r="P75" s="23"/>
      <c r="Q75" s="23"/>
      <c r="R75" s="23"/>
      <c r="S75" s="23"/>
    </row>
    <row r="76" spans="1:19" ht="18" customHeight="1" x14ac:dyDescent="0.2">
      <c r="A76" s="3"/>
      <c r="B76" s="105"/>
      <c r="C76" s="106"/>
      <c r="D76" s="106"/>
      <c r="E76" s="23"/>
      <c r="F76" s="23"/>
      <c r="G76" s="23"/>
      <c r="H76" s="23"/>
      <c r="I76" s="23"/>
      <c r="J76" s="105"/>
      <c r="K76" s="106"/>
      <c r="L76" s="106"/>
      <c r="M76" s="106"/>
      <c r="N76" s="107"/>
      <c r="O76" s="23"/>
      <c r="P76" s="23"/>
      <c r="Q76" s="23"/>
      <c r="R76" s="23"/>
      <c r="S76" s="23"/>
    </row>
    <row r="77" spans="1:19" ht="18" customHeight="1" x14ac:dyDescent="0.2">
      <c r="A77" s="3"/>
      <c r="B77" s="105"/>
      <c r="C77" s="106"/>
      <c r="D77" s="106"/>
      <c r="E77" s="23"/>
      <c r="F77" s="23"/>
      <c r="G77" s="23"/>
      <c r="H77" s="23"/>
      <c r="I77" s="23"/>
      <c r="J77" s="105"/>
      <c r="K77" s="106"/>
      <c r="L77" s="106"/>
      <c r="M77" s="106"/>
      <c r="N77" s="107"/>
      <c r="O77" s="23"/>
      <c r="P77" s="23"/>
      <c r="Q77" s="23"/>
      <c r="R77" s="23"/>
      <c r="S77" s="23"/>
    </row>
    <row r="78" spans="1:19" ht="18" customHeight="1" x14ac:dyDescent="0.2">
      <c r="A78" s="3"/>
      <c r="B78" s="114"/>
      <c r="C78" s="115"/>
      <c r="D78" s="115"/>
      <c r="E78" s="24"/>
      <c r="F78" s="24"/>
      <c r="G78" s="25"/>
      <c r="H78" s="25"/>
      <c r="I78" s="25"/>
      <c r="J78" s="114"/>
      <c r="K78" s="115"/>
      <c r="L78" s="115"/>
      <c r="M78" s="115"/>
      <c r="N78" s="116"/>
      <c r="O78" s="24"/>
      <c r="P78" s="24"/>
      <c r="Q78" s="25"/>
      <c r="R78" s="25"/>
      <c r="S78" s="25"/>
    </row>
    <row r="79" spans="1:19" ht="7.5" customHeight="1" x14ac:dyDescent="0.2">
      <c r="B79" s="14"/>
      <c r="C79" s="14"/>
      <c r="D79" s="14"/>
      <c r="E79" s="14"/>
      <c r="F79" s="14"/>
      <c r="G79" s="14"/>
      <c r="H79" s="14"/>
      <c r="I79" s="14"/>
      <c r="J79" s="14"/>
      <c r="K79" s="14"/>
      <c r="L79" s="14"/>
      <c r="M79" s="14"/>
      <c r="N79" s="14"/>
      <c r="O79" s="14"/>
      <c r="P79" s="14"/>
      <c r="Q79" s="14"/>
      <c r="R79" s="14"/>
    </row>
    <row r="80" spans="1:19" ht="18" customHeight="1" x14ac:dyDescent="0.2">
      <c r="A80" s="1" t="s">
        <v>31</v>
      </c>
      <c r="H80" s="3"/>
      <c r="I80" s="3"/>
      <c r="J80" s="3"/>
      <c r="K80" s="3"/>
      <c r="L80" s="3"/>
      <c r="M80" s="3"/>
      <c r="N80" s="3"/>
      <c r="O80" s="3"/>
      <c r="P80" s="3"/>
      <c r="Q80" s="3"/>
      <c r="R80" s="3"/>
      <c r="S80" s="3"/>
    </row>
    <row r="81" spans="1:19" ht="18" customHeight="1" x14ac:dyDescent="0.2">
      <c r="B81" s="108" t="s">
        <v>13</v>
      </c>
      <c r="C81" s="109"/>
      <c r="D81" s="109"/>
      <c r="E81" s="110"/>
      <c r="F81" s="108" t="s">
        <v>32</v>
      </c>
      <c r="G81" s="109"/>
      <c r="H81" s="109"/>
      <c r="I81" s="110"/>
      <c r="J81" s="142" t="s">
        <v>13</v>
      </c>
      <c r="K81" s="143"/>
      <c r="L81" s="143"/>
      <c r="M81" s="143"/>
      <c r="N81" s="143"/>
      <c r="O81" s="144"/>
      <c r="P81" s="108" t="s">
        <v>32</v>
      </c>
      <c r="Q81" s="109"/>
      <c r="R81" s="109"/>
      <c r="S81" s="110"/>
    </row>
    <row r="82" spans="1:19" ht="18" customHeight="1" x14ac:dyDescent="0.2">
      <c r="A82" s="3"/>
      <c r="B82" s="102"/>
      <c r="C82" s="103"/>
      <c r="D82" s="103"/>
      <c r="E82" s="104"/>
      <c r="F82" s="130"/>
      <c r="G82" s="131"/>
      <c r="H82" s="131"/>
      <c r="I82" s="132"/>
      <c r="J82" s="102"/>
      <c r="K82" s="103"/>
      <c r="L82" s="103"/>
      <c r="M82" s="103"/>
      <c r="N82" s="103"/>
      <c r="O82" s="104"/>
      <c r="P82" s="130"/>
      <c r="Q82" s="131"/>
      <c r="R82" s="131"/>
      <c r="S82" s="132"/>
    </row>
    <row r="83" spans="1:19" ht="18" customHeight="1" x14ac:dyDescent="0.2">
      <c r="A83" s="3"/>
      <c r="B83" s="105"/>
      <c r="C83" s="106"/>
      <c r="D83" s="106"/>
      <c r="E83" s="107"/>
      <c r="F83" s="133"/>
      <c r="G83" s="134"/>
      <c r="H83" s="134"/>
      <c r="I83" s="135"/>
      <c r="J83" s="105"/>
      <c r="K83" s="106"/>
      <c r="L83" s="106"/>
      <c r="M83" s="106"/>
      <c r="N83" s="106"/>
      <c r="O83" s="107"/>
      <c r="P83" s="133"/>
      <c r="Q83" s="134"/>
      <c r="R83" s="134"/>
      <c r="S83" s="135"/>
    </row>
    <row r="84" spans="1:19" ht="18" customHeight="1" x14ac:dyDescent="0.2">
      <c r="A84" s="3"/>
      <c r="B84" s="105"/>
      <c r="C84" s="106"/>
      <c r="D84" s="106"/>
      <c r="E84" s="107"/>
      <c r="F84" s="133"/>
      <c r="G84" s="134"/>
      <c r="H84" s="134"/>
      <c r="I84" s="135"/>
      <c r="J84" s="105"/>
      <c r="K84" s="106"/>
      <c r="L84" s="106"/>
      <c r="M84" s="106"/>
      <c r="N84" s="106"/>
      <c r="O84" s="107"/>
      <c r="P84" s="133"/>
      <c r="Q84" s="134"/>
      <c r="R84" s="134"/>
      <c r="S84" s="135"/>
    </row>
    <row r="85" spans="1:19" ht="18" customHeight="1" x14ac:dyDescent="0.2">
      <c r="A85" s="3"/>
      <c r="B85" s="105"/>
      <c r="C85" s="106"/>
      <c r="D85" s="106"/>
      <c r="E85" s="107"/>
      <c r="F85" s="133"/>
      <c r="G85" s="134"/>
      <c r="H85" s="134"/>
      <c r="I85" s="135"/>
      <c r="J85" s="105"/>
      <c r="K85" s="106"/>
      <c r="L85" s="106"/>
      <c r="M85" s="106"/>
      <c r="N85" s="106"/>
      <c r="O85" s="107"/>
      <c r="P85" s="133"/>
      <c r="Q85" s="134"/>
      <c r="R85" s="134"/>
      <c r="S85" s="135"/>
    </row>
    <row r="86" spans="1:19" ht="18" customHeight="1" x14ac:dyDescent="0.2">
      <c r="A86" s="3"/>
      <c r="B86" s="105"/>
      <c r="C86" s="106"/>
      <c r="D86" s="106"/>
      <c r="E86" s="107"/>
      <c r="F86" s="133"/>
      <c r="G86" s="134"/>
      <c r="H86" s="134"/>
      <c r="I86" s="135"/>
      <c r="J86" s="105"/>
      <c r="K86" s="106"/>
      <c r="L86" s="106"/>
      <c r="M86" s="106"/>
      <c r="N86" s="106"/>
      <c r="O86" s="107"/>
      <c r="P86" s="133"/>
      <c r="Q86" s="134"/>
      <c r="R86" s="134"/>
      <c r="S86" s="135"/>
    </row>
    <row r="87" spans="1:19" ht="18" customHeight="1" x14ac:dyDescent="0.2">
      <c r="A87" s="3"/>
      <c r="B87" s="105"/>
      <c r="C87" s="106"/>
      <c r="D87" s="106"/>
      <c r="E87" s="107"/>
      <c r="F87" s="133"/>
      <c r="G87" s="134"/>
      <c r="H87" s="134"/>
      <c r="I87" s="135"/>
      <c r="J87" s="105"/>
      <c r="K87" s="106"/>
      <c r="L87" s="106"/>
      <c r="M87" s="106"/>
      <c r="N87" s="106"/>
      <c r="O87" s="107"/>
      <c r="P87" s="133"/>
      <c r="Q87" s="134"/>
      <c r="R87" s="134"/>
      <c r="S87" s="135"/>
    </row>
    <row r="88" spans="1:19" ht="18" customHeight="1" x14ac:dyDescent="0.2">
      <c r="A88" s="3"/>
      <c r="B88" s="114"/>
      <c r="C88" s="115"/>
      <c r="D88" s="115"/>
      <c r="E88" s="116"/>
      <c r="F88" s="154"/>
      <c r="G88" s="155"/>
      <c r="H88" s="155"/>
      <c r="I88" s="156"/>
      <c r="J88" s="114"/>
      <c r="K88" s="115"/>
      <c r="L88" s="115"/>
      <c r="M88" s="115"/>
      <c r="N88" s="115"/>
      <c r="O88" s="116"/>
      <c r="P88" s="154"/>
      <c r="Q88" s="155"/>
      <c r="R88" s="155"/>
      <c r="S88" s="156"/>
    </row>
    <row r="89" spans="1:19" ht="18" customHeight="1" x14ac:dyDescent="0.2">
      <c r="A89" s="3"/>
      <c r="B89" s="6"/>
      <c r="C89" s="6"/>
      <c r="D89" s="6"/>
      <c r="E89" s="6"/>
      <c r="F89" s="26"/>
      <c r="G89" s="26"/>
      <c r="H89" s="26"/>
      <c r="I89" s="26"/>
      <c r="J89" s="6"/>
      <c r="K89" s="6"/>
      <c r="L89" s="6"/>
      <c r="M89" s="6"/>
      <c r="N89" s="6"/>
      <c r="O89" s="6"/>
      <c r="P89" s="26"/>
      <c r="Q89" s="26"/>
      <c r="R89" s="26"/>
      <c r="S89" s="26"/>
    </row>
    <row r="90" spans="1:19" ht="18.75" customHeight="1" x14ac:dyDescent="0.2">
      <c r="A90" s="1" t="s">
        <v>33</v>
      </c>
    </row>
    <row r="91" spans="1:19" ht="18.75" customHeight="1" x14ac:dyDescent="0.2">
      <c r="B91" s="128" t="s">
        <v>34</v>
      </c>
      <c r="C91" s="129"/>
      <c r="D91" s="109" t="s">
        <v>35</v>
      </c>
      <c r="E91" s="109"/>
      <c r="F91" s="109"/>
      <c r="G91" s="109"/>
      <c r="H91" s="109"/>
      <c r="I91" s="109"/>
      <c r="J91" s="109"/>
      <c r="K91" s="109"/>
      <c r="L91" s="109"/>
      <c r="M91" s="109"/>
      <c r="N91" s="109"/>
      <c r="O91" s="109"/>
      <c r="P91" s="109"/>
      <c r="Q91" s="109"/>
      <c r="R91" s="109"/>
      <c r="S91" s="110"/>
    </row>
    <row r="92" spans="1:19" ht="174.6" customHeight="1" x14ac:dyDescent="0.2">
      <c r="B92" s="118" t="s">
        <v>144</v>
      </c>
      <c r="C92" s="27" t="s">
        <v>16</v>
      </c>
      <c r="D92" s="125" t="s">
        <v>145</v>
      </c>
      <c r="E92" s="126"/>
      <c r="F92" s="126"/>
      <c r="G92" s="126"/>
      <c r="H92" s="126"/>
      <c r="I92" s="126"/>
      <c r="J92" s="126"/>
      <c r="K92" s="126"/>
      <c r="L92" s="126"/>
      <c r="M92" s="126"/>
      <c r="N92" s="126"/>
      <c r="O92" s="126"/>
      <c r="P92" s="126"/>
      <c r="Q92" s="126"/>
      <c r="R92" s="126"/>
      <c r="S92" s="127"/>
    </row>
    <row r="93" spans="1:19" ht="65.400000000000006" customHeight="1" x14ac:dyDescent="0.2">
      <c r="B93" s="119"/>
      <c r="C93" s="28" t="s">
        <v>36</v>
      </c>
      <c r="D93" s="157" t="s">
        <v>146</v>
      </c>
      <c r="E93" s="158"/>
      <c r="F93" s="158"/>
      <c r="G93" s="158"/>
      <c r="H93" s="158"/>
      <c r="I93" s="158"/>
      <c r="J93" s="158"/>
      <c r="K93" s="158"/>
      <c r="L93" s="158"/>
      <c r="M93" s="158"/>
      <c r="N93" s="158"/>
      <c r="O93" s="158"/>
      <c r="P93" s="158"/>
      <c r="Q93" s="158"/>
      <c r="R93" s="158"/>
      <c r="S93" s="159"/>
    </row>
    <row r="94" spans="1:19" ht="116.4" customHeight="1" x14ac:dyDescent="0.2">
      <c r="B94" s="118" t="s">
        <v>147</v>
      </c>
      <c r="C94" s="29" t="s">
        <v>21</v>
      </c>
      <c r="D94" s="160" t="s">
        <v>148</v>
      </c>
      <c r="E94" s="161"/>
      <c r="F94" s="161"/>
      <c r="G94" s="161"/>
      <c r="H94" s="161"/>
      <c r="I94" s="161"/>
      <c r="J94" s="161"/>
      <c r="K94" s="161"/>
      <c r="L94" s="161"/>
      <c r="M94" s="161"/>
      <c r="N94" s="161"/>
      <c r="O94" s="161"/>
      <c r="P94" s="161"/>
      <c r="Q94" s="161"/>
      <c r="R94" s="161"/>
      <c r="S94" s="162"/>
    </row>
    <row r="95" spans="1:19" ht="97.5" customHeight="1" x14ac:dyDescent="0.2">
      <c r="B95" s="120"/>
      <c r="C95" s="30" t="s">
        <v>22</v>
      </c>
      <c r="D95" s="165" t="s">
        <v>149</v>
      </c>
      <c r="E95" s="166"/>
      <c r="F95" s="166"/>
      <c r="G95" s="166"/>
      <c r="H95" s="166"/>
      <c r="I95" s="166"/>
      <c r="J95" s="166"/>
      <c r="K95" s="166"/>
      <c r="L95" s="166"/>
      <c r="M95" s="166"/>
      <c r="N95" s="166"/>
      <c r="O95" s="166"/>
      <c r="P95" s="166"/>
      <c r="Q95" s="166"/>
      <c r="R95" s="166"/>
      <c r="S95" s="167"/>
    </row>
    <row r="96" spans="1:19" ht="141" customHeight="1" x14ac:dyDescent="0.2">
      <c r="B96" s="118" t="s">
        <v>150</v>
      </c>
      <c r="C96" s="29" t="s">
        <v>23</v>
      </c>
      <c r="D96" s="160" t="s">
        <v>151</v>
      </c>
      <c r="E96" s="161"/>
      <c r="F96" s="161"/>
      <c r="G96" s="161"/>
      <c r="H96" s="161"/>
      <c r="I96" s="161"/>
      <c r="J96" s="161"/>
      <c r="K96" s="161"/>
      <c r="L96" s="161"/>
      <c r="M96" s="161"/>
      <c r="N96" s="161"/>
      <c r="O96" s="161"/>
      <c r="P96" s="161"/>
      <c r="Q96" s="161"/>
      <c r="R96" s="161"/>
      <c r="S96" s="162"/>
    </row>
    <row r="97" spans="1:19" ht="97.5" customHeight="1" x14ac:dyDescent="0.2">
      <c r="B97" s="120"/>
      <c r="C97" s="31" t="s">
        <v>24</v>
      </c>
      <c r="D97" s="163" t="s">
        <v>152</v>
      </c>
      <c r="E97" s="163"/>
      <c r="F97" s="163"/>
      <c r="G97" s="163"/>
      <c r="H97" s="163"/>
      <c r="I97" s="163"/>
      <c r="J97" s="163"/>
      <c r="K97" s="163"/>
      <c r="L97" s="163"/>
      <c r="M97" s="163"/>
      <c r="N97" s="163"/>
      <c r="O97" s="163"/>
      <c r="P97" s="163"/>
      <c r="Q97" s="163"/>
      <c r="R97" s="163"/>
      <c r="S97" s="164"/>
    </row>
    <row r="98" spans="1:19" ht="97.5" customHeight="1" x14ac:dyDescent="0.2">
      <c r="B98" s="118" t="s">
        <v>153</v>
      </c>
      <c r="C98" s="27" t="s">
        <v>25</v>
      </c>
      <c r="D98" s="125" t="s">
        <v>154</v>
      </c>
      <c r="E98" s="126"/>
      <c r="F98" s="126"/>
      <c r="G98" s="126"/>
      <c r="H98" s="126"/>
      <c r="I98" s="126"/>
      <c r="J98" s="126"/>
      <c r="K98" s="126"/>
      <c r="L98" s="126"/>
      <c r="M98" s="126"/>
      <c r="N98" s="126"/>
      <c r="O98" s="126"/>
      <c r="P98" s="126"/>
      <c r="Q98" s="126"/>
      <c r="R98" s="126"/>
      <c r="S98" s="127"/>
    </row>
    <row r="99" spans="1:19" ht="127.8" customHeight="1" x14ac:dyDescent="0.2">
      <c r="B99" s="120"/>
      <c r="C99" s="30" t="s">
        <v>26</v>
      </c>
      <c r="D99" s="168" t="s">
        <v>116</v>
      </c>
      <c r="E99" s="169"/>
      <c r="F99" s="169"/>
      <c r="G99" s="169"/>
      <c r="H99" s="169"/>
      <c r="I99" s="169"/>
      <c r="J99" s="169"/>
      <c r="K99" s="169"/>
      <c r="L99" s="169"/>
      <c r="M99" s="169"/>
      <c r="N99" s="169"/>
      <c r="O99" s="169"/>
      <c r="P99" s="169"/>
      <c r="Q99" s="169"/>
      <c r="R99" s="169"/>
      <c r="S99" s="170"/>
    </row>
    <row r="100" spans="1:19" ht="267" customHeight="1" x14ac:dyDescent="0.2">
      <c r="B100" s="118" t="s">
        <v>155</v>
      </c>
      <c r="C100" s="29" t="s">
        <v>37</v>
      </c>
      <c r="D100" s="121" t="s">
        <v>156</v>
      </c>
      <c r="E100" s="103"/>
      <c r="F100" s="103"/>
      <c r="G100" s="103"/>
      <c r="H100" s="103"/>
      <c r="I100" s="103"/>
      <c r="J100" s="103"/>
      <c r="K100" s="103"/>
      <c r="L100" s="103"/>
      <c r="M100" s="103"/>
      <c r="N100" s="103"/>
      <c r="O100" s="103"/>
      <c r="P100" s="103"/>
      <c r="Q100" s="103"/>
      <c r="R100" s="103"/>
      <c r="S100" s="104"/>
    </row>
    <row r="101" spans="1:19" ht="208.5" customHeight="1" x14ac:dyDescent="0.2">
      <c r="B101" s="119"/>
      <c r="C101" s="32" t="s">
        <v>28</v>
      </c>
      <c r="D101" s="171" t="s">
        <v>157</v>
      </c>
      <c r="E101" s="106"/>
      <c r="F101" s="106"/>
      <c r="G101" s="106"/>
      <c r="H101" s="106"/>
      <c r="I101" s="106"/>
      <c r="J101" s="106"/>
      <c r="K101" s="106"/>
      <c r="L101" s="106"/>
      <c r="M101" s="106"/>
      <c r="N101" s="106"/>
      <c r="O101" s="106"/>
      <c r="P101" s="106"/>
      <c r="Q101" s="106"/>
      <c r="R101" s="106"/>
      <c r="S101" s="107"/>
    </row>
    <row r="102" spans="1:19" ht="141.9" customHeight="1" x14ac:dyDescent="0.2">
      <c r="B102" s="120"/>
      <c r="C102" s="31" t="s">
        <v>29</v>
      </c>
      <c r="D102" s="122" t="s">
        <v>158</v>
      </c>
      <c r="E102" s="123"/>
      <c r="F102" s="123"/>
      <c r="G102" s="123"/>
      <c r="H102" s="123"/>
      <c r="I102" s="123"/>
      <c r="J102" s="123"/>
      <c r="K102" s="123"/>
      <c r="L102" s="123"/>
      <c r="M102" s="123"/>
      <c r="N102" s="123"/>
      <c r="O102" s="123"/>
      <c r="P102" s="123"/>
      <c r="Q102" s="123"/>
      <c r="R102" s="123"/>
      <c r="S102" s="124"/>
    </row>
    <row r="103" spans="1:19" ht="6" customHeight="1" x14ac:dyDescent="0.2"/>
    <row r="104" spans="1:19" ht="18.75" customHeight="1" x14ac:dyDescent="0.2">
      <c r="A104" s="1" t="s">
        <v>38</v>
      </c>
    </row>
    <row r="105" spans="1:19" ht="81.75" customHeight="1" x14ac:dyDescent="0.2">
      <c r="B105" s="151" t="s">
        <v>39</v>
      </c>
      <c r="C105" s="152"/>
      <c r="D105" s="152"/>
      <c r="E105" s="152"/>
      <c r="F105" s="152"/>
      <c r="G105" s="152"/>
      <c r="H105" s="152"/>
      <c r="I105" s="152"/>
      <c r="J105" s="152"/>
      <c r="K105" s="152"/>
      <c r="L105" s="152"/>
      <c r="M105" s="152"/>
      <c r="N105" s="152"/>
      <c r="O105" s="152"/>
      <c r="P105" s="152"/>
      <c r="Q105" s="152"/>
      <c r="R105" s="152"/>
      <c r="S105" s="153"/>
    </row>
    <row r="113" ht="18" customHeight="1" x14ac:dyDescent="0.2"/>
  </sheetData>
  <mergeCells count="147">
    <mergeCell ref="B9:S10"/>
    <mergeCell ref="J61:O61"/>
    <mergeCell ref="J62:O62"/>
    <mergeCell ref="J65:O65"/>
    <mergeCell ref="J66:O66"/>
    <mergeCell ref="J67:O67"/>
    <mergeCell ref="B71:D71"/>
    <mergeCell ref="J71:N71"/>
    <mergeCell ref="B50:E50"/>
    <mergeCell ref="B51:E51"/>
    <mergeCell ref="B52:E52"/>
    <mergeCell ref="B54:E54"/>
    <mergeCell ref="A33:S34"/>
    <mergeCell ref="C20:D20"/>
    <mergeCell ref="B35:E35"/>
    <mergeCell ref="B36:E36"/>
    <mergeCell ref="B37:E37"/>
    <mergeCell ref="B58:E58"/>
    <mergeCell ref="B59:E59"/>
    <mergeCell ref="B60:E60"/>
    <mergeCell ref="B46:E46"/>
    <mergeCell ref="B47:E47"/>
    <mergeCell ref="B48:E48"/>
    <mergeCell ref="J35:O35"/>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105:S105"/>
    <mergeCell ref="P88:S88"/>
    <mergeCell ref="B83:E83"/>
    <mergeCell ref="F83:I83"/>
    <mergeCell ref="J83:O83"/>
    <mergeCell ref="P83:S83"/>
    <mergeCell ref="B86:E86"/>
    <mergeCell ref="F86:I86"/>
    <mergeCell ref="J86:O86"/>
    <mergeCell ref="P86:S86"/>
    <mergeCell ref="B84:E84"/>
    <mergeCell ref="D93:S93"/>
    <mergeCell ref="D94:S94"/>
    <mergeCell ref="D97:S97"/>
    <mergeCell ref="D95:S95"/>
    <mergeCell ref="D96:S96"/>
    <mergeCell ref="B87:E87"/>
    <mergeCell ref="F87:I87"/>
    <mergeCell ref="J87:O87"/>
    <mergeCell ref="P87:S87"/>
    <mergeCell ref="B88:E88"/>
    <mergeCell ref="D99:S99"/>
    <mergeCell ref="F88:I88"/>
    <mergeCell ref="D101:S101"/>
    <mergeCell ref="B62:E62"/>
    <mergeCell ref="B65:E65"/>
    <mergeCell ref="B66:E66"/>
    <mergeCell ref="B67:E67"/>
    <mergeCell ref="J46:O46"/>
    <mergeCell ref="F81:I81"/>
    <mergeCell ref="J81:O81"/>
    <mergeCell ref="B72:D72"/>
    <mergeCell ref="B73:D73"/>
    <mergeCell ref="J54:O54"/>
    <mergeCell ref="B53:E53"/>
    <mergeCell ref="B63:E63"/>
    <mergeCell ref="B64:E64"/>
    <mergeCell ref="B96:B97"/>
    <mergeCell ref="B92:B93"/>
    <mergeCell ref="J72:N72"/>
    <mergeCell ref="J73:N73"/>
    <mergeCell ref="J74:N74"/>
    <mergeCell ref="B85:E85"/>
    <mergeCell ref="F84:I84"/>
    <mergeCell ref="F85:I85"/>
    <mergeCell ref="J84:O84"/>
    <mergeCell ref="J85:O85"/>
    <mergeCell ref="B76:D76"/>
    <mergeCell ref="B77:D77"/>
    <mergeCell ref="B78:D78"/>
    <mergeCell ref="J75:N75"/>
    <mergeCell ref="B100:B102"/>
    <mergeCell ref="D100:S100"/>
    <mergeCell ref="D102:S102"/>
    <mergeCell ref="B98:B99"/>
    <mergeCell ref="D98:S98"/>
    <mergeCell ref="J76:N76"/>
    <mergeCell ref="J77:N77"/>
    <mergeCell ref="B49:E49"/>
    <mergeCell ref="A56:S57"/>
    <mergeCell ref="J78:N78"/>
    <mergeCell ref="J88:O88"/>
    <mergeCell ref="B91:C91"/>
    <mergeCell ref="D91:S91"/>
    <mergeCell ref="D92:S92"/>
    <mergeCell ref="J82:O82"/>
    <mergeCell ref="P82:S82"/>
    <mergeCell ref="P81:S81"/>
    <mergeCell ref="B82:E82"/>
    <mergeCell ref="J60:O60"/>
    <mergeCell ref="B81:E81"/>
    <mergeCell ref="F82:I82"/>
    <mergeCell ref="P84:S84"/>
    <mergeCell ref="P85:S85"/>
    <mergeCell ref="B94:B95"/>
    <mergeCell ref="J36:O36"/>
    <mergeCell ref="J37:O37"/>
    <mergeCell ref="J38:O38"/>
    <mergeCell ref="J58:O58"/>
    <mergeCell ref="J59:O59"/>
    <mergeCell ref="B74:D74"/>
    <mergeCell ref="B75:D75"/>
    <mergeCell ref="B38:E38"/>
    <mergeCell ref="B39:E39"/>
    <mergeCell ref="B40:E40"/>
    <mergeCell ref="B41:E41"/>
    <mergeCell ref="B42:E42"/>
    <mergeCell ref="J48:O48"/>
    <mergeCell ref="J49:O49"/>
    <mergeCell ref="J50:O50"/>
    <mergeCell ref="J51:O51"/>
    <mergeCell ref="J52:O52"/>
    <mergeCell ref="J39:O39"/>
    <mergeCell ref="J40:O40"/>
    <mergeCell ref="J41:O41"/>
    <mergeCell ref="J42:O42"/>
    <mergeCell ref="A44:S45"/>
    <mergeCell ref="A69:S70"/>
    <mergeCell ref="B61:E61"/>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G47:I54 Q47:S54 G59:I67 Q59:S67 F72:I78 P72:S78"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F82:F89 P82:P89 G82:I83 G86:I89 Q86:S89 Q82:S83"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3" manualBreakCount="3">
    <brk id="55" max="18" man="1"/>
    <brk id="89" max="18" man="1"/>
    <brk id="97"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zoomScaleNormal="100" zoomScaleSheetLayoutView="100" workbookViewId="0">
      <selection activeCell="I1" sqref="I1"/>
    </sheetView>
  </sheetViews>
  <sheetFormatPr defaultColWidth="9" defaultRowHeight="18.75" customHeight="1" x14ac:dyDescent="0.2"/>
  <cols>
    <col min="1" max="1" width="2.88671875" style="1" customWidth="1"/>
    <col min="2" max="2" width="20.88671875" style="1" customWidth="1"/>
    <col min="3" max="5" width="6.109375" style="1" customWidth="1"/>
    <col min="6" max="42" width="4.88671875" style="1" customWidth="1"/>
    <col min="43" max="43" width="6.6640625" style="1" customWidth="1"/>
    <col min="44" max="16384" width="9" style="1"/>
  </cols>
  <sheetData>
    <row r="1" spans="1:45" ht="18" customHeight="1" x14ac:dyDescent="0.2">
      <c r="AQ1" s="1" t="s">
        <v>40</v>
      </c>
    </row>
    <row r="2" spans="1:45" ht="18" customHeight="1" x14ac:dyDescent="0.2">
      <c r="K2" s="34"/>
      <c r="Q2" s="34"/>
      <c r="W2" s="34"/>
      <c r="AC2" s="34"/>
      <c r="AI2" s="34"/>
      <c r="AL2" s="34" t="s">
        <v>1</v>
      </c>
      <c r="AM2" s="201" t="str">
        <f>'様式１　プログラムを構成する授業科目'!C2</f>
        <v>叡啓大学</v>
      </c>
      <c r="AN2" s="201"/>
      <c r="AO2" s="201"/>
      <c r="AP2" s="201"/>
      <c r="AQ2" s="201"/>
    </row>
    <row r="3" spans="1:45" ht="18" customHeight="1" x14ac:dyDescent="0.2">
      <c r="A3" s="179" t="s">
        <v>41</v>
      </c>
      <c r="B3" s="179"/>
      <c r="C3" s="179"/>
      <c r="D3" s="179"/>
      <c r="E3" s="179"/>
      <c r="F3" s="179"/>
      <c r="G3" s="179"/>
      <c r="H3" s="179"/>
      <c r="I3" s="179"/>
      <c r="J3" s="179"/>
      <c r="K3" s="179"/>
      <c r="L3" s="179"/>
      <c r="M3" s="179"/>
      <c r="N3" s="179"/>
      <c r="O3" s="179"/>
      <c r="P3" s="179"/>
      <c r="Q3" s="179"/>
      <c r="R3" s="179"/>
      <c r="S3" s="179"/>
      <c r="T3" s="179"/>
      <c r="U3" s="179"/>
      <c r="V3" s="179"/>
      <c r="W3" s="179"/>
      <c r="X3" s="179"/>
      <c r="Y3" s="179"/>
      <c r="Z3" s="179"/>
      <c r="AA3" s="179"/>
      <c r="AB3" s="179"/>
      <c r="AC3" s="179"/>
      <c r="AD3" s="179"/>
      <c r="AE3" s="179"/>
      <c r="AF3" s="179"/>
      <c r="AG3" s="179"/>
      <c r="AH3" s="179"/>
      <c r="AI3" s="179"/>
      <c r="AJ3" s="179"/>
      <c r="AK3" s="179"/>
      <c r="AL3" s="179"/>
      <c r="AM3" s="179"/>
      <c r="AN3" s="179"/>
      <c r="AO3" s="179"/>
      <c r="AP3" s="179"/>
      <c r="AQ3" s="179"/>
    </row>
    <row r="4" spans="1:45" ht="7.5" customHeight="1" x14ac:dyDescent="0.2">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2">
      <c r="A5" s="1" t="s">
        <v>42</v>
      </c>
      <c r="C5" s="202">
        <v>2022</v>
      </c>
      <c r="D5" s="203"/>
      <c r="E5" s="3" t="s">
        <v>43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2">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2">
      <c r="A7" s="1" t="s">
        <v>44</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2">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2">
      <c r="B9" s="204" t="s">
        <v>45</v>
      </c>
      <c r="C9" s="219" t="s">
        <v>46</v>
      </c>
      <c r="D9" s="207" t="s">
        <v>47</v>
      </c>
      <c r="E9" s="210" t="s">
        <v>48</v>
      </c>
      <c r="F9" s="198" t="s">
        <v>49</v>
      </c>
      <c r="G9" s="198"/>
      <c r="H9" s="198"/>
      <c r="I9" s="198"/>
      <c r="J9" s="198"/>
      <c r="K9" s="198"/>
      <c r="L9" s="198" t="s">
        <v>50</v>
      </c>
      <c r="M9" s="198"/>
      <c r="N9" s="198"/>
      <c r="O9" s="198"/>
      <c r="P9" s="198"/>
      <c r="Q9" s="198"/>
      <c r="R9" s="198" t="s">
        <v>51</v>
      </c>
      <c r="S9" s="198"/>
      <c r="T9" s="198"/>
      <c r="U9" s="198"/>
      <c r="V9" s="198"/>
      <c r="W9" s="198"/>
      <c r="X9" s="198" t="s">
        <v>52</v>
      </c>
      <c r="Y9" s="198"/>
      <c r="Z9" s="198"/>
      <c r="AA9" s="198"/>
      <c r="AB9" s="198"/>
      <c r="AC9" s="198"/>
      <c r="AD9" s="198" t="s">
        <v>53</v>
      </c>
      <c r="AE9" s="198"/>
      <c r="AF9" s="198"/>
      <c r="AG9" s="198"/>
      <c r="AH9" s="198"/>
      <c r="AI9" s="198"/>
      <c r="AJ9" s="198" t="s">
        <v>54</v>
      </c>
      <c r="AK9" s="198"/>
      <c r="AL9" s="198"/>
      <c r="AM9" s="198"/>
      <c r="AN9" s="198"/>
      <c r="AO9" s="198"/>
      <c r="AP9" s="213" t="s">
        <v>55</v>
      </c>
      <c r="AQ9" s="216" t="s">
        <v>56</v>
      </c>
      <c r="AS9" s="2"/>
    </row>
    <row r="10" spans="1:45" ht="17.100000000000001" customHeight="1" x14ac:dyDescent="0.2">
      <c r="B10" s="205"/>
      <c r="C10" s="220"/>
      <c r="D10" s="208"/>
      <c r="E10" s="211"/>
      <c r="F10" s="199" t="s">
        <v>57</v>
      </c>
      <c r="G10" s="200"/>
      <c r="H10" s="200"/>
      <c r="I10" s="199" t="s">
        <v>58</v>
      </c>
      <c r="J10" s="200"/>
      <c r="K10" s="200"/>
      <c r="L10" s="199" t="s">
        <v>57</v>
      </c>
      <c r="M10" s="200"/>
      <c r="N10" s="200"/>
      <c r="O10" s="199" t="s">
        <v>58</v>
      </c>
      <c r="P10" s="200"/>
      <c r="Q10" s="200"/>
      <c r="R10" s="199" t="s">
        <v>57</v>
      </c>
      <c r="S10" s="200"/>
      <c r="T10" s="200"/>
      <c r="U10" s="199" t="s">
        <v>58</v>
      </c>
      <c r="V10" s="200"/>
      <c r="W10" s="200"/>
      <c r="X10" s="199" t="s">
        <v>57</v>
      </c>
      <c r="Y10" s="200"/>
      <c r="Z10" s="200"/>
      <c r="AA10" s="199" t="s">
        <v>58</v>
      </c>
      <c r="AB10" s="200"/>
      <c r="AC10" s="200"/>
      <c r="AD10" s="199" t="s">
        <v>57</v>
      </c>
      <c r="AE10" s="200"/>
      <c r="AF10" s="200"/>
      <c r="AG10" s="199" t="s">
        <v>58</v>
      </c>
      <c r="AH10" s="200"/>
      <c r="AI10" s="200"/>
      <c r="AJ10" s="199" t="s">
        <v>57</v>
      </c>
      <c r="AK10" s="200"/>
      <c r="AL10" s="200"/>
      <c r="AM10" s="199" t="s">
        <v>58</v>
      </c>
      <c r="AN10" s="200"/>
      <c r="AO10" s="200"/>
      <c r="AP10" s="214"/>
      <c r="AQ10" s="217"/>
      <c r="AS10" s="2"/>
    </row>
    <row r="11" spans="1:45" ht="18" customHeight="1" x14ac:dyDescent="0.2">
      <c r="B11" s="206"/>
      <c r="C11" s="221"/>
      <c r="D11" s="209"/>
      <c r="E11" s="212"/>
      <c r="F11" s="16" t="s">
        <v>59</v>
      </c>
      <c r="G11" s="17" t="s">
        <v>60</v>
      </c>
      <c r="H11" s="18" t="s">
        <v>61</v>
      </c>
      <c r="I11" s="16" t="s">
        <v>59</v>
      </c>
      <c r="J11" s="17" t="s">
        <v>60</v>
      </c>
      <c r="K11" s="18" t="s">
        <v>61</v>
      </c>
      <c r="L11" s="16" t="s">
        <v>59</v>
      </c>
      <c r="M11" s="17" t="s">
        <v>60</v>
      </c>
      <c r="N11" s="18" t="s">
        <v>61</v>
      </c>
      <c r="O11" s="16" t="s">
        <v>59</v>
      </c>
      <c r="P11" s="17" t="s">
        <v>60</v>
      </c>
      <c r="Q11" s="18" t="s">
        <v>61</v>
      </c>
      <c r="R11" s="16" t="s">
        <v>59</v>
      </c>
      <c r="S11" s="17" t="s">
        <v>60</v>
      </c>
      <c r="T11" s="18" t="s">
        <v>61</v>
      </c>
      <c r="U11" s="16" t="s">
        <v>59</v>
      </c>
      <c r="V11" s="17" t="s">
        <v>60</v>
      </c>
      <c r="W11" s="18" t="s">
        <v>61</v>
      </c>
      <c r="X11" s="16" t="s">
        <v>59</v>
      </c>
      <c r="Y11" s="17" t="s">
        <v>60</v>
      </c>
      <c r="Z11" s="18" t="s">
        <v>61</v>
      </c>
      <c r="AA11" s="16" t="s">
        <v>59</v>
      </c>
      <c r="AB11" s="17" t="s">
        <v>60</v>
      </c>
      <c r="AC11" s="18" t="s">
        <v>61</v>
      </c>
      <c r="AD11" s="16" t="s">
        <v>59</v>
      </c>
      <c r="AE11" s="17" t="s">
        <v>60</v>
      </c>
      <c r="AF11" s="18" t="s">
        <v>61</v>
      </c>
      <c r="AG11" s="16" t="s">
        <v>59</v>
      </c>
      <c r="AH11" s="17" t="s">
        <v>60</v>
      </c>
      <c r="AI11" s="18" t="s">
        <v>61</v>
      </c>
      <c r="AJ11" s="16" t="s">
        <v>59</v>
      </c>
      <c r="AK11" s="17" t="s">
        <v>60</v>
      </c>
      <c r="AL11" s="18" t="s">
        <v>61</v>
      </c>
      <c r="AM11" s="16" t="s">
        <v>59</v>
      </c>
      <c r="AN11" s="17" t="s">
        <v>60</v>
      </c>
      <c r="AO11" s="18" t="s">
        <v>61</v>
      </c>
      <c r="AP11" s="215"/>
      <c r="AQ11" s="218"/>
      <c r="AS11" s="2"/>
    </row>
    <row r="12" spans="1:45" ht="18" customHeight="1" x14ac:dyDescent="0.2">
      <c r="A12" s="6"/>
      <c r="B12" s="90" t="s">
        <v>126</v>
      </c>
      <c r="C12" s="91">
        <v>173</v>
      </c>
      <c r="D12" s="92">
        <v>100</v>
      </c>
      <c r="E12" s="93">
        <v>400</v>
      </c>
      <c r="F12" s="93">
        <f>G12+H12</f>
        <v>89</v>
      </c>
      <c r="G12" s="94">
        <v>24</v>
      </c>
      <c r="H12" s="95">
        <v>65</v>
      </c>
      <c r="I12" s="93">
        <v>78</v>
      </c>
      <c r="J12" s="94">
        <v>21</v>
      </c>
      <c r="K12" s="95">
        <v>57</v>
      </c>
      <c r="L12" s="93">
        <f>M12+N12</f>
        <v>0</v>
      </c>
      <c r="M12" s="94">
        <v>0</v>
      </c>
      <c r="N12" s="95">
        <v>0</v>
      </c>
      <c r="O12" s="93">
        <f>P12+Q12</f>
        <v>0</v>
      </c>
      <c r="P12" s="94">
        <v>0</v>
      </c>
      <c r="Q12" s="95">
        <v>0</v>
      </c>
      <c r="R12" s="56">
        <f>S12+T12</f>
        <v>0</v>
      </c>
      <c r="S12" s="57"/>
      <c r="T12" s="58"/>
      <c r="U12" s="56">
        <f>V12+W12</f>
        <v>0</v>
      </c>
      <c r="V12" s="57"/>
      <c r="W12" s="58"/>
      <c r="X12" s="56">
        <f>Y12+Z12</f>
        <v>0</v>
      </c>
      <c r="Y12" s="57"/>
      <c r="Z12" s="58"/>
      <c r="AA12" s="56">
        <f>AB12+AC12</f>
        <v>0</v>
      </c>
      <c r="AB12" s="57"/>
      <c r="AC12" s="58"/>
      <c r="AD12" s="56">
        <f>AE12+AF12</f>
        <v>0</v>
      </c>
      <c r="AE12" s="57"/>
      <c r="AF12" s="58"/>
      <c r="AG12" s="56">
        <f>AH12+AI12</f>
        <v>0</v>
      </c>
      <c r="AH12" s="57"/>
      <c r="AI12" s="58"/>
      <c r="AJ12" s="56">
        <f>AK12+AL12</f>
        <v>0</v>
      </c>
      <c r="AK12" s="57"/>
      <c r="AL12" s="58"/>
      <c r="AM12" s="56">
        <f>AN12+AO12</f>
        <v>0</v>
      </c>
      <c r="AN12" s="57"/>
      <c r="AO12" s="58"/>
      <c r="AP12" s="55">
        <f>F12+L12+R12+X12+AD12+AJ12</f>
        <v>89</v>
      </c>
      <c r="AQ12" s="20">
        <f t="shared" ref="AQ12:AQ32" si="0">AP12/E12</f>
        <v>0.2225</v>
      </c>
    </row>
    <row r="13" spans="1:45" ht="18" customHeight="1" x14ac:dyDescent="0.2">
      <c r="A13" s="6"/>
      <c r="B13" s="11"/>
      <c r="C13" s="59"/>
      <c r="D13" s="60"/>
      <c r="E13" s="61"/>
      <c r="F13" s="62">
        <v>0</v>
      </c>
      <c r="G13" s="63"/>
      <c r="H13" s="64"/>
      <c r="I13" s="62">
        <v>0</v>
      </c>
      <c r="J13" s="63"/>
      <c r="K13" s="64"/>
      <c r="L13" s="62">
        <f t="shared" ref="L13:L31" si="1">M13+N13</f>
        <v>0</v>
      </c>
      <c r="M13" s="63"/>
      <c r="N13" s="64"/>
      <c r="O13" s="62">
        <f t="shared" ref="O13:O31" si="2">P13+Q13</f>
        <v>0</v>
      </c>
      <c r="P13" s="63"/>
      <c r="Q13" s="64"/>
      <c r="R13" s="62">
        <f t="shared" ref="R13:R31" si="3">S13+T13</f>
        <v>0</v>
      </c>
      <c r="S13" s="63"/>
      <c r="T13" s="64"/>
      <c r="U13" s="62">
        <f t="shared" ref="U13:U31" si="4">V13+W13</f>
        <v>0</v>
      </c>
      <c r="V13" s="63"/>
      <c r="W13" s="64"/>
      <c r="X13" s="62">
        <f t="shared" ref="X13:X31" si="5">Y13+Z13</f>
        <v>0</v>
      </c>
      <c r="Y13" s="63"/>
      <c r="Z13" s="64"/>
      <c r="AA13" s="62">
        <f t="shared" ref="AA13:AA31" si="6">AB13+AC13</f>
        <v>0</v>
      </c>
      <c r="AB13" s="63"/>
      <c r="AC13" s="64"/>
      <c r="AD13" s="62">
        <f t="shared" ref="AD13:AD31" si="7">AE13+AF13</f>
        <v>0</v>
      </c>
      <c r="AE13" s="63"/>
      <c r="AF13" s="64"/>
      <c r="AG13" s="62">
        <f t="shared" ref="AG13:AG31" si="8">AH13+AI13</f>
        <v>0</v>
      </c>
      <c r="AH13" s="63"/>
      <c r="AI13" s="64"/>
      <c r="AJ13" s="62">
        <f t="shared" ref="AJ13:AJ31" si="9">AK13+AL13</f>
        <v>0</v>
      </c>
      <c r="AK13" s="63"/>
      <c r="AL13" s="64"/>
      <c r="AM13" s="62">
        <f t="shared" ref="AM13:AM31" si="10">AN13+AO13</f>
        <v>0</v>
      </c>
      <c r="AN13" s="63"/>
      <c r="AO13" s="64"/>
      <c r="AP13" s="60">
        <f t="shared" ref="AP13:AP31" si="11">F13+L13+R13+X13+AD13+AJ13</f>
        <v>0</v>
      </c>
      <c r="AQ13" s="19" t="e">
        <f t="shared" si="0"/>
        <v>#DIV/0!</v>
      </c>
    </row>
    <row r="14" spans="1:45" ht="18" customHeight="1" x14ac:dyDescent="0.2">
      <c r="A14" s="6"/>
      <c r="B14" s="11"/>
      <c r="C14" s="59"/>
      <c r="D14" s="60"/>
      <c r="E14" s="61"/>
      <c r="F14" s="62">
        <f t="shared" ref="F14:F31" si="12">G14+H14</f>
        <v>0</v>
      </c>
      <c r="G14" s="63"/>
      <c r="H14" s="64"/>
      <c r="I14" s="62">
        <f t="shared" ref="I14:I31" si="13">J14+K14</f>
        <v>0</v>
      </c>
      <c r="J14" s="63"/>
      <c r="K14" s="64"/>
      <c r="L14" s="62">
        <f t="shared" si="1"/>
        <v>0</v>
      </c>
      <c r="M14" s="63"/>
      <c r="N14" s="64"/>
      <c r="O14" s="62">
        <f t="shared" si="2"/>
        <v>0</v>
      </c>
      <c r="P14" s="63"/>
      <c r="Q14" s="64"/>
      <c r="R14" s="62">
        <f t="shared" si="3"/>
        <v>0</v>
      </c>
      <c r="S14" s="63"/>
      <c r="T14" s="64"/>
      <c r="U14" s="62">
        <f t="shared" si="4"/>
        <v>0</v>
      </c>
      <c r="V14" s="63"/>
      <c r="W14" s="64"/>
      <c r="X14" s="62">
        <f t="shared" si="5"/>
        <v>0</v>
      </c>
      <c r="Y14" s="63"/>
      <c r="Z14" s="64"/>
      <c r="AA14" s="62">
        <f t="shared" si="6"/>
        <v>0</v>
      </c>
      <c r="AB14" s="63"/>
      <c r="AC14" s="64"/>
      <c r="AD14" s="62">
        <f t="shared" si="7"/>
        <v>0</v>
      </c>
      <c r="AE14" s="63"/>
      <c r="AF14" s="64"/>
      <c r="AG14" s="62">
        <f t="shared" si="8"/>
        <v>0</v>
      </c>
      <c r="AH14" s="63"/>
      <c r="AI14" s="64"/>
      <c r="AJ14" s="62">
        <f t="shared" si="9"/>
        <v>0</v>
      </c>
      <c r="AK14" s="63"/>
      <c r="AL14" s="64"/>
      <c r="AM14" s="62">
        <f t="shared" si="10"/>
        <v>0</v>
      </c>
      <c r="AN14" s="63"/>
      <c r="AO14" s="64"/>
      <c r="AP14" s="60">
        <f t="shared" si="11"/>
        <v>0</v>
      </c>
      <c r="AQ14" s="8" t="e">
        <f t="shared" si="0"/>
        <v>#DIV/0!</v>
      </c>
    </row>
    <row r="15" spans="1:45" ht="18" customHeight="1" x14ac:dyDescent="0.2">
      <c r="A15" s="6"/>
      <c r="B15" s="11"/>
      <c r="C15" s="59"/>
      <c r="D15" s="60"/>
      <c r="E15" s="61"/>
      <c r="F15" s="62">
        <f t="shared" si="12"/>
        <v>0</v>
      </c>
      <c r="G15" s="63"/>
      <c r="H15" s="64"/>
      <c r="I15" s="62">
        <f t="shared" si="13"/>
        <v>0</v>
      </c>
      <c r="J15" s="63"/>
      <c r="K15" s="64"/>
      <c r="L15" s="62">
        <f t="shared" si="1"/>
        <v>0</v>
      </c>
      <c r="M15" s="63"/>
      <c r="N15" s="64"/>
      <c r="O15" s="62">
        <f t="shared" si="2"/>
        <v>0</v>
      </c>
      <c r="P15" s="63"/>
      <c r="Q15" s="64"/>
      <c r="R15" s="62">
        <f t="shared" si="3"/>
        <v>0</v>
      </c>
      <c r="S15" s="63"/>
      <c r="T15" s="64"/>
      <c r="U15" s="62">
        <f t="shared" si="4"/>
        <v>0</v>
      </c>
      <c r="V15" s="63"/>
      <c r="W15" s="64"/>
      <c r="X15" s="62">
        <f t="shared" si="5"/>
        <v>0</v>
      </c>
      <c r="Y15" s="63"/>
      <c r="Z15" s="64"/>
      <c r="AA15" s="62">
        <f t="shared" si="6"/>
        <v>0</v>
      </c>
      <c r="AB15" s="63"/>
      <c r="AC15" s="64"/>
      <c r="AD15" s="62">
        <f t="shared" si="7"/>
        <v>0</v>
      </c>
      <c r="AE15" s="63"/>
      <c r="AF15" s="64"/>
      <c r="AG15" s="62">
        <f t="shared" si="8"/>
        <v>0</v>
      </c>
      <c r="AH15" s="63"/>
      <c r="AI15" s="64"/>
      <c r="AJ15" s="62">
        <f t="shared" si="9"/>
        <v>0</v>
      </c>
      <c r="AK15" s="63"/>
      <c r="AL15" s="64"/>
      <c r="AM15" s="62">
        <f t="shared" si="10"/>
        <v>0</v>
      </c>
      <c r="AN15" s="63"/>
      <c r="AO15" s="64"/>
      <c r="AP15" s="60">
        <f t="shared" si="11"/>
        <v>0</v>
      </c>
      <c r="AQ15" s="8" t="e">
        <f t="shared" si="0"/>
        <v>#DIV/0!</v>
      </c>
    </row>
    <row r="16" spans="1:45" ht="18" customHeight="1" x14ac:dyDescent="0.2">
      <c r="A16" s="6"/>
      <c r="B16" s="11"/>
      <c r="C16" s="59"/>
      <c r="D16" s="60"/>
      <c r="E16" s="61"/>
      <c r="F16" s="62">
        <f t="shared" si="12"/>
        <v>0</v>
      </c>
      <c r="G16" s="63"/>
      <c r="H16" s="64"/>
      <c r="I16" s="62">
        <f t="shared" si="13"/>
        <v>0</v>
      </c>
      <c r="J16" s="63"/>
      <c r="K16" s="64"/>
      <c r="L16" s="62">
        <f t="shared" si="1"/>
        <v>0</v>
      </c>
      <c r="M16" s="63"/>
      <c r="N16" s="64"/>
      <c r="O16" s="62">
        <f t="shared" si="2"/>
        <v>0</v>
      </c>
      <c r="P16" s="63"/>
      <c r="Q16" s="64"/>
      <c r="R16" s="62">
        <f t="shared" si="3"/>
        <v>0</v>
      </c>
      <c r="S16" s="63"/>
      <c r="T16" s="64"/>
      <c r="U16" s="62">
        <f t="shared" si="4"/>
        <v>0</v>
      </c>
      <c r="V16" s="63"/>
      <c r="W16" s="64"/>
      <c r="X16" s="62">
        <f t="shared" si="5"/>
        <v>0</v>
      </c>
      <c r="Y16" s="63"/>
      <c r="Z16" s="64"/>
      <c r="AA16" s="62">
        <f t="shared" si="6"/>
        <v>0</v>
      </c>
      <c r="AB16" s="63"/>
      <c r="AC16" s="64"/>
      <c r="AD16" s="62">
        <f t="shared" si="7"/>
        <v>0</v>
      </c>
      <c r="AE16" s="63"/>
      <c r="AF16" s="64"/>
      <c r="AG16" s="62">
        <f t="shared" si="8"/>
        <v>0</v>
      </c>
      <c r="AH16" s="63"/>
      <c r="AI16" s="64"/>
      <c r="AJ16" s="62">
        <f t="shared" si="9"/>
        <v>0</v>
      </c>
      <c r="AK16" s="63"/>
      <c r="AL16" s="64"/>
      <c r="AM16" s="62">
        <f t="shared" si="10"/>
        <v>0</v>
      </c>
      <c r="AN16" s="63"/>
      <c r="AO16" s="64"/>
      <c r="AP16" s="60">
        <f t="shared" si="11"/>
        <v>0</v>
      </c>
      <c r="AQ16" s="8" t="e">
        <f t="shared" si="0"/>
        <v>#DIV/0!</v>
      </c>
    </row>
    <row r="17" spans="1:43" ht="18" customHeight="1" x14ac:dyDescent="0.2">
      <c r="A17" s="6"/>
      <c r="B17" s="11"/>
      <c r="C17" s="59"/>
      <c r="D17" s="60"/>
      <c r="E17" s="61"/>
      <c r="F17" s="62">
        <f t="shared" si="12"/>
        <v>0</v>
      </c>
      <c r="G17" s="63"/>
      <c r="H17" s="64"/>
      <c r="I17" s="62">
        <f t="shared" si="13"/>
        <v>0</v>
      </c>
      <c r="J17" s="63"/>
      <c r="K17" s="64"/>
      <c r="L17" s="62">
        <f t="shared" si="1"/>
        <v>0</v>
      </c>
      <c r="M17" s="63"/>
      <c r="N17" s="64"/>
      <c r="O17" s="62">
        <f t="shared" si="2"/>
        <v>0</v>
      </c>
      <c r="P17" s="63"/>
      <c r="Q17" s="64"/>
      <c r="R17" s="62">
        <f t="shared" si="3"/>
        <v>0</v>
      </c>
      <c r="S17" s="63"/>
      <c r="T17" s="64"/>
      <c r="U17" s="62">
        <f t="shared" si="4"/>
        <v>0</v>
      </c>
      <c r="V17" s="63"/>
      <c r="W17" s="64"/>
      <c r="X17" s="62">
        <f t="shared" si="5"/>
        <v>0</v>
      </c>
      <c r="Y17" s="63"/>
      <c r="Z17" s="64"/>
      <c r="AA17" s="62">
        <f t="shared" si="6"/>
        <v>0</v>
      </c>
      <c r="AB17" s="63"/>
      <c r="AC17" s="64"/>
      <c r="AD17" s="62">
        <f t="shared" si="7"/>
        <v>0</v>
      </c>
      <c r="AE17" s="63"/>
      <c r="AF17" s="64"/>
      <c r="AG17" s="62">
        <f t="shared" si="8"/>
        <v>0</v>
      </c>
      <c r="AH17" s="63"/>
      <c r="AI17" s="64"/>
      <c r="AJ17" s="62">
        <f t="shared" si="9"/>
        <v>0</v>
      </c>
      <c r="AK17" s="63"/>
      <c r="AL17" s="64"/>
      <c r="AM17" s="62">
        <f t="shared" si="10"/>
        <v>0</v>
      </c>
      <c r="AN17" s="63"/>
      <c r="AO17" s="64"/>
      <c r="AP17" s="60">
        <f t="shared" si="11"/>
        <v>0</v>
      </c>
      <c r="AQ17" s="8" t="e">
        <f t="shared" si="0"/>
        <v>#DIV/0!</v>
      </c>
    </row>
    <row r="18" spans="1:43" ht="18" customHeight="1" x14ac:dyDescent="0.2">
      <c r="A18" s="6"/>
      <c r="B18" s="11"/>
      <c r="C18" s="59"/>
      <c r="D18" s="60"/>
      <c r="E18" s="61"/>
      <c r="F18" s="62">
        <f t="shared" si="12"/>
        <v>0</v>
      </c>
      <c r="G18" s="63"/>
      <c r="H18" s="64"/>
      <c r="I18" s="62">
        <f t="shared" si="13"/>
        <v>0</v>
      </c>
      <c r="J18" s="63"/>
      <c r="K18" s="64"/>
      <c r="L18" s="62">
        <f t="shared" si="1"/>
        <v>0</v>
      </c>
      <c r="M18" s="63"/>
      <c r="N18" s="64"/>
      <c r="O18" s="62">
        <f t="shared" si="2"/>
        <v>0</v>
      </c>
      <c r="P18" s="63"/>
      <c r="Q18" s="64"/>
      <c r="R18" s="62">
        <f t="shared" si="3"/>
        <v>0</v>
      </c>
      <c r="S18" s="63"/>
      <c r="T18" s="64"/>
      <c r="U18" s="62">
        <f t="shared" si="4"/>
        <v>0</v>
      </c>
      <c r="V18" s="63"/>
      <c r="W18" s="64"/>
      <c r="X18" s="62">
        <f t="shared" si="5"/>
        <v>0</v>
      </c>
      <c r="Y18" s="63"/>
      <c r="Z18" s="64"/>
      <c r="AA18" s="62">
        <f t="shared" si="6"/>
        <v>0</v>
      </c>
      <c r="AB18" s="63"/>
      <c r="AC18" s="64"/>
      <c r="AD18" s="62">
        <f t="shared" si="7"/>
        <v>0</v>
      </c>
      <c r="AE18" s="63"/>
      <c r="AF18" s="64"/>
      <c r="AG18" s="62">
        <f t="shared" si="8"/>
        <v>0</v>
      </c>
      <c r="AH18" s="63"/>
      <c r="AI18" s="64"/>
      <c r="AJ18" s="62">
        <f t="shared" si="9"/>
        <v>0</v>
      </c>
      <c r="AK18" s="63"/>
      <c r="AL18" s="64"/>
      <c r="AM18" s="62">
        <f t="shared" si="10"/>
        <v>0</v>
      </c>
      <c r="AN18" s="63"/>
      <c r="AO18" s="64"/>
      <c r="AP18" s="60">
        <f t="shared" si="11"/>
        <v>0</v>
      </c>
      <c r="AQ18" s="8" t="e">
        <f t="shared" si="0"/>
        <v>#DIV/0!</v>
      </c>
    </row>
    <row r="19" spans="1:43" ht="18" customHeight="1" x14ac:dyDescent="0.2">
      <c r="A19" s="6"/>
      <c r="B19" s="11"/>
      <c r="C19" s="59"/>
      <c r="D19" s="60"/>
      <c r="E19" s="61"/>
      <c r="F19" s="62">
        <f t="shared" si="12"/>
        <v>0</v>
      </c>
      <c r="G19" s="63"/>
      <c r="H19" s="64"/>
      <c r="I19" s="62">
        <f t="shared" si="13"/>
        <v>0</v>
      </c>
      <c r="J19" s="63"/>
      <c r="K19" s="64"/>
      <c r="L19" s="62">
        <f t="shared" si="1"/>
        <v>0</v>
      </c>
      <c r="M19" s="63"/>
      <c r="N19" s="64"/>
      <c r="O19" s="62">
        <f t="shared" si="2"/>
        <v>0</v>
      </c>
      <c r="P19" s="63"/>
      <c r="Q19" s="64"/>
      <c r="R19" s="62">
        <f t="shared" si="3"/>
        <v>0</v>
      </c>
      <c r="S19" s="63"/>
      <c r="T19" s="64"/>
      <c r="U19" s="62">
        <f t="shared" si="4"/>
        <v>0</v>
      </c>
      <c r="V19" s="63"/>
      <c r="W19" s="64"/>
      <c r="X19" s="62">
        <f t="shared" si="5"/>
        <v>0</v>
      </c>
      <c r="Y19" s="63"/>
      <c r="Z19" s="64"/>
      <c r="AA19" s="62">
        <f t="shared" si="6"/>
        <v>0</v>
      </c>
      <c r="AB19" s="63"/>
      <c r="AC19" s="64"/>
      <c r="AD19" s="62">
        <f t="shared" si="7"/>
        <v>0</v>
      </c>
      <c r="AE19" s="63"/>
      <c r="AF19" s="64"/>
      <c r="AG19" s="62">
        <f t="shared" si="8"/>
        <v>0</v>
      </c>
      <c r="AH19" s="63"/>
      <c r="AI19" s="64"/>
      <c r="AJ19" s="62">
        <f t="shared" si="9"/>
        <v>0</v>
      </c>
      <c r="AK19" s="63"/>
      <c r="AL19" s="64"/>
      <c r="AM19" s="62">
        <f t="shared" si="10"/>
        <v>0</v>
      </c>
      <c r="AN19" s="63"/>
      <c r="AO19" s="64"/>
      <c r="AP19" s="60">
        <f t="shared" si="11"/>
        <v>0</v>
      </c>
      <c r="AQ19" s="8" t="e">
        <f t="shared" si="0"/>
        <v>#DIV/0!</v>
      </c>
    </row>
    <row r="20" spans="1:43" ht="18" customHeight="1" x14ac:dyDescent="0.2">
      <c r="A20" s="6"/>
      <c r="B20" s="11"/>
      <c r="C20" s="59"/>
      <c r="D20" s="60"/>
      <c r="E20" s="61"/>
      <c r="F20" s="62">
        <f t="shared" si="12"/>
        <v>0</v>
      </c>
      <c r="G20" s="63"/>
      <c r="H20" s="64"/>
      <c r="I20" s="62">
        <f t="shared" si="13"/>
        <v>0</v>
      </c>
      <c r="J20" s="63"/>
      <c r="K20" s="64"/>
      <c r="L20" s="62">
        <f t="shared" si="1"/>
        <v>0</v>
      </c>
      <c r="M20" s="63"/>
      <c r="N20" s="64"/>
      <c r="O20" s="62">
        <f t="shared" si="2"/>
        <v>0</v>
      </c>
      <c r="P20" s="63"/>
      <c r="Q20" s="64"/>
      <c r="R20" s="62">
        <f t="shared" si="3"/>
        <v>0</v>
      </c>
      <c r="S20" s="63"/>
      <c r="T20" s="64"/>
      <c r="U20" s="62">
        <f t="shared" si="4"/>
        <v>0</v>
      </c>
      <c r="V20" s="63"/>
      <c r="W20" s="64"/>
      <c r="X20" s="62">
        <f t="shared" si="5"/>
        <v>0</v>
      </c>
      <c r="Y20" s="63"/>
      <c r="Z20" s="64"/>
      <c r="AA20" s="62">
        <f t="shared" si="6"/>
        <v>0</v>
      </c>
      <c r="AB20" s="63"/>
      <c r="AC20" s="64"/>
      <c r="AD20" s="62">
        <f t="shared" si="7"/>
        <v>0</v>
      </c>
      <c r="AE20" s="63"/>
      <c r="AF20" s="64"/>
      <c r="AG20" s="62">
        <f t="shared" si="8"/>
        <v>0</v>
      </c>
      <c r="AH20" s="63"/>
      <c r="AI20" s="64"/>
      <c r="AJ20" s="62">
        <f t="shared" si="9"/>
        <v>0</v>
      </c>
      <c r="AK20" s="63"/>
      <c r="AL20" s="64"/>
      <c r="AM20" s="62">
        <f t="shared" si="10"/>
        <v>0</v>
      </c>
      <c r="AN20" s="63"/>
      <c r="AO20" s="64"/>
      <c r="AP20" s="60">
        <f t="shared" si="11"/>
        <v>0</v>
      </c>
      <c r="AQ20" s="8" t="e">
        <f t="shared" si="0"/>
        <v>#DIV/0!</v>
      </c>
    </row>
    <row r="21" spans="1:43" ht="18" customHeight="1" x14ac:dyDescent="0.2">
      <c r="A21" s="6"/>
      <c r="B21" s="11"/>
      <c r="C21" s="59"/>
      <c r="D21" s="60"/>
      <c r="E21" s="61"/>
      <c r="F21" s="62">
        <f t="shared" si="12"/>
        <v>0</v>
      </c>
      <c r="G21" s="63"/>
      <c r="H21" s="64"/>
      <c r="I21" s="62">
        <f t="shared" si="13"/>
        <v>0</v>
      </c>
      <c r="J21" s="63"/>
      <c r="K21" s="64"/>
      <c r="L21" s="62">
        <f t="shared" si="1"/>
        <v>0</v>
      </c>
      <c r="M21" s="63"/>
      <c r="N21" s="64"/>
      <c r="O21" s="62">
        <f t="shared" si="2"/>
        <v>0</v>
      </c>
      <c r="P21" s="63"/>
      <c r="Q21" s="64"/>
      <c r="R21" s="62">
        <f t="shared" si="3"/>
        <v>0</v>
      </c>
      <c r="S21" s="63"/>
      <c r="T21" s="64"/>
      <c r="U21" s="62">
        <f t="shared" si="4"/>
        <v>0</v>
      </c>
      <c r="V21" s="63"/>
      <c r="W21" s="64"/>
      <c r="X21" s="62">
        <f t="shared" si="5"/>
        <v>0</v>
      </c>
      <c r="Y21" s="63"/>
      <c r="Z21" s="64"/>
      <c r="AA21" s="62">
        <f t="shared" si="6"/>
        <v>0</v>
      </c>
      <c r="AB21" s="63"/>
      <c r="AC21" s="64"/>
      <c r="AD21" s="62">
        <f t="shared" si="7"/>
        <v>0</v>
      </c>
      <c r="AE21" s="63"/>
      <c r="AF21" s="64"/>
      <c r="AG21" s="62">
        <f t="shared" si="8"/>
        <v>0</v>
      </c>
      <c r="AH21" s="63"/>
      <c r="AI21" s="64"/>
      <c r="AJ21" s="62">
        <f t="shared" si="9"/>
        <v>0</v>
      </c>
      <c r="AK21" s="63"/>
      <c r="AL21" s="64"/>
      <c r="AM21" s="62">
        <f t="shared" si="10"/>
        <v>0</v>
      </c>
      <c r="AN21" s="63"/>
      <c r="AO21" s="64"/>
      <c r="AP21" s="60">
        <f t="shared" si="11"/>
        <v>0</v>
      </c>
      <c r="AQ21" s="8" t="e">
        <f t="shared" si="0"/>
        <v>#DIV/0!</v>
      </c>
    </row>
    <row r="22" spans="1:43" ht="18" customHeight="1" x14ac:dyDescent="0.2">
      <c r="A22" s="6"/>
      <c r="B22" s="11"/>
      <c r="C22" s="59"/>
      <c r="D22" s="60"/>
      <c r="E22" s="61"/>
      <c r="F22" s="62">
        <f t="shared" si="12"/>
        <v>0</v>
      </c>
      <c r="G22" s="63"/>
      <c r="H22" s="64"/>
      <c r="I22" s="62">
        <f t="shared" si="13"/>
        <v>0</v>
      </c>
      <c r="J22" s="63"/>
      <c r="K22" s="64"/>
      <c r="L22" s="62">
        <f t="shared" si="1"/>
        <v>0</v>
      </c>
      <c r="M22" s="63"/>
      <c r="N22" s="64"/>
      <c r="O22" s="62">
        <f t="shared" si="2"/>
        <v>0</v>
      </c>
      <c r="P22" s="63"/>
      <c r="Q22" s="64"/>
      <c r="R22" s="62">
        <f t="shared" si="3"/>
        <v>0</v>
      </c>
      <c r="S22" s="63"/>
      <c r="T22" s="64"/>
      <c r="U22" s="62">
        <f t="shared" si="4"/>
        <v>0</v>
      </c>
      <c r="V22" s="63"/>
      <c r="W22" s="64"/>
      <c r="X22" s="62">
        <f t="shared" si="5"/>
        <v>0</v>
      </c>
      <c r="Y22" s="63"/>
      <c r="Z22" s="64"/>
      <c r="AA22" s="62">
        <f t="shared" si="6"/>
        <v>0</v>
      </c>
      <c r="AB22" s="63"/>
      <c r="AC22" s="64"/>
      <c r="AD22" s="62">
        <f t="shared" si="7"/>
        <v>0</v>
      </c>
      <c r="AE22" s="63"/>
      <c r="AF22" s="64"/>
      <c r="AG22" s="62">
        <f t="shared" si="8"/>
        <v>0</v>
      </c>
      <c r="AH22" s="63"/>
      <c r="AI22" s="64"/>
      <c r="AJ22" s="62">
        <f t="shared" si="9"/>
        <v>0</v>
      </c>
      <c r="AK22" s="63"/>
      <c r="AL22" s="64"/>
      <c r="AM22" s="62">
        <f t="shared" si="10"/>
        <v>0</v>
      </c>
      <c r="AN22" s="63"/>
      <c r="AO22" s="64"/>
      <c r="AP22" s="60">
        <f t="shared" si="11"/>
        <v>0</v>
      </c>
      <c r="AQ22" s="8" t="e">
        <f t="shared" si="0"/>
        <v>#DIV/0!</v>
      </c>
    </row>
    <row r="23" spans="1:43" ht="18" customHeight="1" x14ac:dyDescent="0.2">
      <c r="A23" s="6"/>
      <c r="B23" s="11"/>
      <c r="C23" s="59"/>
      <c r="D23" s="60"/>
      <c r="E23" s="61"/>
      <c r="F23" s="62">
        <f t="shared" si="12"/>
        <v>0</v>
      </c>
      <c r="G23" s="63"/>
      <c r="H23" s="64"/>
      <c r="I23" s="62">
        <f t="shared" si="13"/>
        <v>0</v>
      </c>
      <c r="J23" s="63"/>
      <c r="K23" s="64"/>
      <c r="L23" s="62">
        <f t="shared" si="1"/>
        <v>0</v>
      </c>
      <c r="M23" s="63"/>
      <c r="N23" s="64"/>
      <c r="O23" s="62">
        <f t="shared" si="2"/>
        <v>0</v>
      </c>
      <c r="P23" s="63"/>
      <c r="Q23" s="64"/>
      <c r="R23" s="62">
        <f t="shared" si="3"/>
        <v>0</v>
      </c>
      <c r="S23" s="63"/>
      <c r="T23" s="64"/>
      <c r="U23" s="62">
        <f t="shared" si="4"/>
        <v>0</v>
      </c>
      <c r="V23" s="63"/>
      <c r="W23" s="64"/>
      <c r="X23" s="62">
        <f t="shared" si="5"/>
        <v>0</v>
      </c>
      <c r="Y23" s="63"/>
      <c r="Z23" s="64"/>
      <c r="AA23" s="62">
        <f t="shared" si="6"/>
        <v>0</v>
      </c>
      <c r="AB23" s="63"/>
      <c r="AC23" s="64"/>
      <c r="AD23" s="62">
        <f t="shared" si="7"/>
        <v>0</v>
      </c>
      <c r="AE23" s="63"/>
      <c r="AF23" s="64"/>
      <c r="AG23" s="62">
        <f t="shared" si="8"/>
        <v>0</v>
      </c>
      <c r="AH23" s="63"/>
      <c r="AI23" s="64"/>
      <c r="AJ23" s="62">
        <f t="shared" si="9"/>
        <v>0</v>
      </c>
      <c r="AK23" s="63"/>
      <c r="AL23" s="64"/>
      <c r="AM23" s="62">
        <f t="shared" si="10"/>
        <v>0</v>
      </c>
      <c r="AN23" s="63"/>
      <c r="AO23" s="64"/>
      <c r="AP23" s="60">
        <f t="shared" si="11"/>
        <v>0</v>
      </c>
      <c r="AQ23" s="8" t="e">
        <f t="shared" si="0"/>
        <v>#DIV/0!</v>
      </c>
    </row>
    <row r="24" spans="1:43" ht="18" customHeight="1" x14ac:dyDescent="0.2">
      <c r="A24" s="6"/>
      <c r="B24" s="11"/>
      <c r="C24" s="59"/>
      <c r="D24" s="60"/>
      <c r="E24" s="61"/>
      <c r="F24" s="62">
        <f t="shared" si="12"/>
        <v>0</v>
      </c>
      <c r="G24" s="63"/>
      <c r="H24" s="64"/>
      <c r="I24" s="62">
        <f t="shared" si="13"/>
        <v>0</v>
      </c>
      <c r="J24" s="63"/>
      <c r="K24" s="64"/>
      <c r="L24" s="62">
        <f t="shared" si="1"/>
        <v>0</v>
      </c>
      <c r="M24" s="63"/>
      <c r="N24" s="64"/>
      <c r="O24" s="62">
        <f t="shared" si="2"/>
        <v>0</v>
      </c>
      <c r="P24" s="63"/>
      <c r="Q24" s="64"/>
      <c r="R24" s="62">
        <f t="shared" si="3"/>
        <v>0</v>
      </c>
      <c r="S24" s="63"/>
      <c r="T24" s="64"/>
      <c r="U24" s="62">
        <f t="shared" si="4"/>
        <v>0</v>
      </c>
      <c r="V24" s="63"/>
      <c r="W24" s="64"/>
      <c r="X24" s="62">
        <f t="shared" si="5"/>
        <v>0</v>
      </c>
      <c r="Y24" s="63"/>
      <c r="Z24" s="64"/>
      <c r="AA24" s="62">
        <f t="shared" si="6"/>
        <v>0</v>
      </c>
      <c r="AB24" s="63"/>
      <c r="AC24" s="64"/>
      <c r="AD24" s="62">
        <f t="shared" si="7"/>
        <v>0</v>
      </c>
      <c r="AE24" s="63"/>
      <c r="AF24" s="64"/>
      <c r="AG24" s="62">
        <f t="shared" si="8"/>
        <v>0</v>
      </c>
      <c r="AH24" s="63"/>
      <c r="AI24" s="64"/>
      <c r="AJ24" s="62">
        <f t="shared" si="9"/>
        <v>0</v>
      </c>
      <c r="AK24" s="63"/>
      <c r="AL24" s="64"/>
      <c r="AM24" s="62">
        <f t="shared" si="10"/>
        <v>0</v>
      </c>
      <c r="AN24" s="63"/>
      <c r="AO24" s="64"/>
      <c r="AP24" s="60">
        <f t="shared" si="11"/>
        <v>0</v>
      </c>
      <c r="AQ24" s="8" t="e">
        <f t="shared" si="0"/>
        <v>#DIV/0!</v>
      </c>
    </row>
    <row r="25" spans="1:43" ht="18" customHeight="1" x14ac:dyDescent="0.2">
      <c r="A25" s="6"/>
      <c r="B25" s="11"/>
      <c r="C25" s="59"/>
      <c r="D25" s="60"/>
      <c r="E25" s="61"/>
      <c r="F25" s="62">
        <f t="shared" si="12"/>
        <v>0</v>
      </c>
      <c r="G25" s="63"/>
      <c r="H25" s="64"/>
      <c r="I25" s="62">
        <f t="shared" si="13"/>
        <v>0</v>
      </c>
      <c r="J25" s="63"/>
      <c r="K25" s="64"/>
      <c r="L25" s="62">
        <f t="shared" si="1"/>
        <v>0</v>
      </c>
      <c r="M25" s="63"/>
      <c r="N25" s="64"/>
      <c r="O25" s="62">
        <f t="shared" si="2"/>
        <v>0</v>
      </c>
      <c r="P25" s="63"/>
      <c r="Q25" s="64"/>
      <c r="R25" s="62">
        <f t="shared" si="3"/>
        <v>0</v>
      </c>
      <c r="S25" s="63"/>
      <c r="T25" s="64"/>
      <c r="U25" s="62">
        <f t="shared" si="4"/>
        <v>0</v>
      </c>
      <c r="V25" s="63"/>
      <c r="W25" s="64"/>
      <c r="X25" s="62">
        <f t="shared" si="5"/>
        <v>0</v>
      </c>
      <c r="Y25" s="63"/>
      <c r="Z25" s="64"/>
      <c r="AA25" s="62">
        <f t="shared" si="6"/>
        <v>0</v>
      </c>
      <c r="AB25" s="63"/>
      <c r="AC25" s="64"/>
      <c r="AD25" s="62">
        <f t="shared" si="7"/>
        <v>0</v>
      </c>
      <c r="AE25" s="63"/>
      <c r="AF25" s="64"/>
      <c r="AG25" s="62">
        <f t="shared" si="8"/>
        <v>0</v>
      </c>
      <c r="AH25" s="63"/>
      <c r="AI25" s="64"/>
      <c r="AJ25" s="62">
        <f t="shared" si="9"/>
        <v>0</v>
      </c>
      <c r="AK25" s="63"/>
      <c r="AL25" s="64"/>
      <c r="AM25" s="62">
        <f t="shared" si="10"/>
        <v>0</v>
      </c>
      <c r="AN25" s="63"/>
      <c r="AO25" s="64"/>
      <c r="AP25" s="60">
        <f t="shared" si="11"/>
        <v>0</v>
      </c>
      <c r="AQ25" s="8" t="e">
        <f t="shared" si="0"/>
        <v>#DIV/0!</v>
      </c>
    </row>
    <row r="26" spans="1:43" ht="18" customHeight="1" x14ac:dyDescent="0.2">
      <c r="A26" s="6"/>
      <c r="B26" s="11"/>
      <c r="C26" s="59"/>
      <c r="D26" s="60"/>
      <c r="E26" s="61"/>
      <c r="F26" s="62">
        <f t="shared" si="12"/>
        <v>0</v>
      </c>
      <c r="G26" s="63"/>
      <c r="H26" s="64"/>
      <c r="I26" s="62">
        <f t="shared" si="13"/>
        <v>0</v>
      </c>
      <c r="J26" s="63"/>
      <c r="K26" s="64"/>
      <c r="L26" s="62">
        <f t="shared" si="1"/>
        <v>0</v>
      </c>
      <c r="M26" s="63"/>
      <c r="N26" s="64"/>
      <c r="O26" s="62">
        <f t="shared" si="2"/>
        <v>0</v>
      </c>
      <c r="P26" s="63"/>
      <c r="Q26" s="64"/>
      <c r="R26" s="62">
        <f t="shared" si="3"/>
        <v>0</v>
      </c>
      <c r="S26" s="63"/>
      <c r="T26" s="64"/>
      <c r="U26" s="62">
        <f t="shared" si="4"/>
        <v>0</v>
      </c>
      <c r="V26" s="63"/>
      <c r="W26" s="64"/>
      <c r="X26" s="62">
        <f t="shared" si="5"/>
        <v>0</v>
      </c>
      <c r="Y26" s="63"/>
      <c r="Z26" s="64"/>
      <c r="AA26" s="62">
        <f t="shared" si="6"/>
        <v>0</v>
      </c>
      <c r="AB26" s="63"/>
      <c r="AC26" s="64"/>
      <c r="AD26" s="62">
        <f t="shared" si="7"/>
        <v>0</v>
      </c>
      <c r="AE26" s="63"/>
      <c r="AF26" s="64"/>
      <c r="AG26" s="62">
        <f t="shared" si="8"/>
        <v>0</v>
      </c>
      <c r="AH26" s="63"/>
      <c r="AI26" s="64"/>
      <c r="AJ26" s="62">
        <f t="shared" si="9"/>
        <v>0</v>
      </c>
      <c r="AK26" s="63"/>
      <c r="AL26" s="64"/>
      <c r="AM26" s="62">
        <f t="shared" si="10"/>
        <v>0</v>
      </c>
      <c r="AN26" s="63"/>
      <c r="AO26" s="64"/>
      <c r="AP26" s="60">
        <f t="shared" si="11"/>
        <v>0</v>
      </c>
      <c r="AQ26" s="8" t="e">
        <f t="shared" si="0"/>
        <v>#DIV/0!</v>
      </c>
    </row>
    <row r="27" spans="1:43" ht="18" customHeight="1" x14ac:dyDescent="0.2">
      <c r="A27" s="6"/>
      <c r="B27" s="11"/>
      <c r="C27" s="59"/>
      <c r="D27" s="60"/>
      <c r="E27" s="61"/>
      <c r="F27" s="62">
        <f t="shared" si="12"/>
        <v>0</v>
      </c>
      <c r="G27" s="63"/>
      <c r="H27" s="64"/>
      <c r="I27" s="62">
        <f t="shared" si="13"/>
        <v>0</v>
      </c>
      <c r="J27" s="63"/>
      <c r="K27" s="64"/>
      <c r="L27" s="62">
        <f t="shared" si="1"/>
        <v>0</v>
      </c>
      <c r="M27" s="63"/>
      <c r="N27" s="64"/>
      <c r="O27" s="62">
        <f t="shared" si="2"/>
        <v>0</v>
      </c>
      <c r="P27" s="63"/>
      <c r="Q27" s="64"/>
      <c r="R27" s="62">
        <f t="shared" si="3"/>
        <v>0</v>
      </c>
      <c r="S27" s="63"/>
      <c r="T27" s="64"/>
      <c r="U27" s="62">
        <f t="shared" si="4"/>
        <v>0</v>
      </c>
      <c r="V27" s="63"/>
      <c r="W27" s="64"/>
      <c r="X27" s="62">
        <f t="shared" si="5"/>
        <v>0</v>
      </c>
      <c r="Y27" s="63"/>
      <c r="Z27" s="64"/>
      <c r="AA27" s="62">
        <f t="shared" si="6"/>
        <v>0</v>
      </c>
      <c r="AB27" s="63"/>
      <c r="AC27" s="64"/>
      <c r="AD27" s="62">
        <f t="shared" si="7"/>
        <v>0</v>
      </c>
      <c r="AE27" s="63"/>
      <c r="AF27" s="64"/>
      <c r="AG27" s="62">
        <f t="shared" si="8"/>
        <v>0</v>
      </c>
      <c r="AH27" s="63"/>
      <c r="AI27" s="64"/>
      <c r="AJ27" s="62">
        <f t="shared" si="9"/>
        <v>0</v>
      </c>
      <c r="AK27" s="63"/>
      <c r="AL27" s="64"/>
      <c r="AM27" s="62">
        <f t="shared" si="10"/>
        <v>0</v>
      </c>
      <c r="AN27" s="63"/>
      <c r="AO27" s="64"/>
      <c r="AP27" s="60">
        <f t="shared" si="11"/>
        <v>0</v>
      </c>
      <c r="AQ27" s="8" t="e">
        <f t="shared" si="0"/>
        <v>#DIV/0!</v>
      </c>
    </row>
    <row r="28" spans="1:43" ht="18" customHeight="1" x14ac:dyDescent="0.2">
      <c r="A28" s="6"/>
      <c r="B28" s="11"/>
      <c r="C28" s="59"/>
      <c r="D28" s="60"/>
      <c r="E28" s="61"/>
      <c r="F28" s="62">
        <f t="shared" si="12"/>
        <v>0</v>
      </c>
      <c r="G28" s="63"/>
      <c r="H28" s="64"/>
      <c r="I28" s="62">
        <f t="shared" si="13"/>
        <v>0</v>
      </c>
      <c r="J28" s="63"/>
      <c r="K28" s="64"/>
      <c r="L28" s="62">
        <f t="shared" si="1"/>
        <v>0</v>
      </c>
      <c r="M28" s="63"/>
      <c r="N28" s="64"/>
      <c r="O28" s="62">
        <f t="shared" si="2"/>
        <v>0</v>
      </c>
      <c r="P28" s="63"/>
      <c r="Q28" s="64"/>
      <c r="R28" s="62">
        <f t="shared" si="3"/>
        <v>0</v>
      </c>
      <c r="S28" s="63"/>
      <c r="T28" s="64"/>
      <c r="U28" s="62">
        <f t="shared" si="4"/>
        <v>0</v>
      </c>
      <c r="V28" s="63"/>
      <c r="W28" s="64"/>
      <c r="X28" s="62">
        <f t="shared" si="5"/>
        <v>0</v>
      </c>
      <c r="Y28" s="63"/>
      <c r="Z28" s="64"/>
      <c r="AA28" s="62">
        <f t="shared" si="6"/>
        <v>0</v>
      </c>
      <c r="AB28" s="63"/>
      <c r="AC28" s="64"/>
      <c r="AD28" s="62">
        <f t="shared" si="7"/>
        <v>0</v>
      </c>
      <c r="AE28" s="63"/>
      <c r="AF28" s="64"/>
      <c r="AG28" s="62">
        <f t="shared" si="8"/>
        <v>0</v>
      </c>
      <c r="AH28" s="63"/>
      <c r="AI28" s="64"/>
      <c r="AJ28" s="62">
        <f t="shared" si="9"/>
        <v>0</v>
      </c>
      <c r="AK28" s="63"/>
      <c r="AL28" s="64"/>
      <c r="AM28" s="62">
        <f t="shared" si="10"/>
        <v>0</v>
      </c>
      <c r="AN28" s="63"/>
      <c r="AO28" s="64"/>
      <c r="AP28" s="60">
        <f t="shared" si="11"/>
        <v>0</v>
      </c>
      <c r="AQ28" s="8" t="e">
        <f t="shared" si="0"/>
        <v>#DIV/0!</v>
      </c>
    </row>
    <row r="29" spans="1:43" ht="18" customHeight="1" x14ac:dyDescent="0.2">
      <c r="A29" s="6"/>
      <c r="B29" s="11"/>
      <c r="C29" s="59"/>
      <c r="D29" s="65"/>
      <c r="E29" s="61"/>
      <c r="F29" s="62">
        <f t="shared" si="12"/>
        <v>0</v>
      </c>
      <c r="G29" s="63"/>
      <c r="H29" s="64"/>
      <c r="I29" s="62">
        <f t="shared" si="13"/>
        <v>0</v>
      </c>
      <c r="J29" s="63"/>
      <c r="K29" s="64"/>
      <c r="L29" s="62">
        <f t="shared" si="1"/>
        <v>0</v>
      </c>
      <c r="M29" s="63"/>
      <c r="N29" s="64"/>
      <c r="O29" s="62">
        <f t="shared" si="2"/>
        <v>0</v>
      </c>
      <c r="P29" s="63"/>
      <c r="Q29" s="64"/>
      <c r="R29" s="62">
        <f t="shared" si="3"/>
        <v>0</v>
      </c>
      <c r="S29" s="63"/>
      <c r="T29" s="64"/>
      <c r="U29" s="62">
        <f t="shared" si="4"/>
        <v>0</v>
      </c>
      <c r="V29" s="63"/>
      <c r="W29" s="64"/>
      <c r="X29" s="62">
        <f t="shared" si="5"/>
        <v>0</v>
      </c>
      <c r="Y29" s="63"/>
      <c r="Z29" s="64"/>
      <c r="AA29" s="62">
        <f t="shared" si="6"/>
        <v>0</v>
      </c>
      <c r="AB29" s="63"/>
      <c r="AC29" s="64"/>
      <c r="AD29" s="62">
        <f t="shared" si="7"/>
        <v>0</v>
      </c>
      <c r="AE29" s="63"/>
      <c r="AF29" s="64"/>
      <c r="AG29" s="62">
        <f t="shared" si="8"/>
        <v>0</v>
      </c>
      <c r="AH29" s="63"/>
      <c r="AI29" s="64"/>
      <c r="AJ29" s="62">
        <f t="shared" si="9"/>
        <v>0</v>
      </c>
      <c r="AK29" s="63"/>
      <c r="AL29" s="64"/>
      <c r="AM29" s="62">
        <f t="shared" si="10"/>
        <v>0</v>
      </c>
      <c r="AN29" s="63"/>
      <c r="AO29" s="64"/>
      <c r="AP29" s="65">
        <f t="shared" si="11"/>
        <v>0</v>
      </c>
      <c r="AQ29" s="8" t="e">
        <f t="shared" si="0"/>
        <v>#DIV/0!</v>
      </c>
    </row>
    <row r="30" spans="1:43" ht="18" customHeight="1" x14ac:dyDescent="0.2">
      <c r="A30" s="6"/>
      <c r="B30" s="11"/>
      <c r="C30" s="59"/>
      <c r="D30" s="65"/>
      <c r="E30" s="61"/>
      <c r="F30" s="62">
        <f t="shared" si="12"/>
        <v>0</v>
      </c>
      <c r="G30" s="63"/>
      <c r="H30" s="64"/>
      <c r="I30" s="62">
        <f t="shared" si="13"/>
        <v>0</v>
      </c>
      <c r="J30" s="63"/>
      <c r="K30" s="64"/>
      <c r="L30" s="62">
        <f t="shared" si="1"/>
        <v>0</v>
      </c>
      <c r="M30" s="63"/>
      <c r="N30" s="64"/>
      <c r="O30" s="62">
        <f t="shared" si="2"/>
        <v>0</v>
      </c>
      <c r="P30" s="63"/>
      <c r="Q30" s="64"/>
      <c r="R30" s="62">
        <f t="shared" si="3"/>
        <v>0</v>
      </c>
      <c r="S30" s="63"/>
      <c r="T30" s="64"/>
      <c r="U30" s="62">
        <f t="shared" si="4"/>
        <v>0</v>
      </c>
      <c r="V30" s="63"/>
      <c r="W30" s="64"/>
      <c r="X30" s="62">
        <f t="shared" si="5"/>
        <v>0</v>
      </c>
      <c r="Y30" s="63"/>
      <c r="Z30" s="64"/>
      <c r="AA30" s="62">
        <f t="shared" si="6"/>
        <v>0</v>
      </c>
      <c r="AB30" s="63"/>
      <c r="AC30" s="64"/>
      <c r="AD30" s="62">
        <f t="shared" si="7"/>
        <v>0</v>
      </c>
      <c r="AE30" s="63"/>
      <c r="AF30" s="64"/>
      <c r="AG30" s="62">
        <f t="shared" si="8"/>
        <v>0</v>
      </c>
      <c r="AH30" s="63"/>
      <c r="AI30" s="64"/>
      <c r="AJ30" s="62">
        <f t="shared" si="9"/>
        <v>0</v>
      </c>
      <c r="AK30" s="63"/>
      <c r="AL30" s="64"/>
      <c r="AM30" s="62">
        <f t="shared" si="10"/>
        <v>0</v>
      </c>
      <c r="AN30" s="63"/>
      <c r="AO30" s="64"/>
      <c r="AP30" s="65">
        <f t="shared" si="11"/>
        <v>0</v>
      </c>
      <c r="AQ30" s="8" t="e">
        <f t="shared" si="0"/>
        <v>#DIV/0!</v>
      </c>
    </row>
    <row r="31" spans="1:43" ht="18" customHeight="1" thickBot="1" x14ac:dyDescent="0.25">
      <c r="A31" s="6"/>
      <c r="B31" s="12"/>
      <c r="C31" s="54"/>
      <c r="D31" s="66"/>
      <c r="E31" s="56"/>
      <c r="F31" s="56">
        <f t="shared" si="12"/>
        <v>0</v>
      </c>
      <c r="G31" s="67"/>
      <c r="H31" s="68"/>
      <c r="I31" s="56">
        <f t="shared" si="13"/>
        <v>0</v>
      </c>
      <c r="J31" s="67"/>
      <c r="K31" s="68"/>
      <c r="L31" s="56">
        <f t="shared" si="1"/>
        <v>0</v>
      </c>
      <c r="M31" s="67"/>
      <c r="N31" s="68"/>
      <c r="O31" s="56">
        <f t="shared" si="2"/>
        <v>0</v>
      </c>
      <c r="P31" s="67"/>
      <c r="Q31" s="68"/>
      <c r="R31" s="56">
        <f t="shared" si="3"/>
        <v>0</v>
      </c>
      <c r="S31" s="67"/>
      <c r="T31" s="68"/>
      <c r="U31" s="56">
        <f t="shared" si="4"/>
        <v>0</v>
      </c>
      <c r="V31" s="67"/>
      <c r="W31" s="68"/>
      <c r="X31" s="56">
        <f t="shared" si="5"/>
        <v>0</v>
      </c>
      <c r="Y31" s="67"/>
      <c r="Z31" s="68"/>
      <c r="AA31" s="56">
        <f t="shared" si="6"/>
        <v>0</v>
      </c>
      <c r="AB31" s="67"/>
      <c r="AC31" s="68"/>
      <c r="AD31" s="56">
        <f t="shared" si="7"/>
        <v>0</v>
      </c>
      <c r="AE31" s="67"/>
      <c r="AF31" s="68"/>
      <c r="AG31" s="56">
        <f t="shared" si="8"/>
        <v>0</v>
      </c>
      <c r="AH31" s="67"/>
      <c r="AI31" s="68"/>
      <c r="AJ31" s="56">
        <f t="shared" si="9"/>
        <v>0</v>
      </c>
      <c r="AK31" s="67"/>
      <c r="AL31" s="68"/>
      <c r="AM31" s="56">
        <f t="shared" si="10"/>
        <v>0</v>
      </c>
      <c r="AN31" s="67"/>
      <c r="AO31" s="68"/>
      <c r="AP31" s="66">
        <f t="shared" si="11"/>
        <v>0</v>
      </c>
      <c r="AQ31" s="7" t="e">
        <f t="shared" si="0"/>
        <v>#DIV/0!</v>
      </c>
    </row>
    <row r="32" spans="1:43" ht="18" customHeight="1" thickTop="1" x14ac:dyDescent="0.2">
      <c r="B32" s="13" t="s">
        <v>62</v>
      </c>
      <c r="C32" s="69">
        <f t="shared" ref="C32" si="14">SUM(C12:C31)</f>
        <v>173</v>
      </c>
      <c r="D32" s="70">
        <f t="shared" ref="D32:AP32" si="15">SUM(D12:D31)</f>
        <v>100</v>
      </c>
      <c r="E32" s="71">
        <f t="shared" si="15"/>
        <v>400</v>
      </c>
      <c r="F32" s="71">
        <f t="shared" si="15"/>
        <v>89</v>
      </c>
      <c r="G32" s="72">
        <f t="shared" si="15"/>
        <v>24</v>
      </c>
      <c r="H32" s="73">
        <f t="shared" si="15"/>
        <v>65</v>
      </c>
      <c r="I32" s="71">
        <f t="shared" ref="I32:N32" si="16">SUM(I12:I31)</f>
        <v>78</v>
      </c>
      <c r="J32" s="72">
        <f t="shared" si="16"/>
        <v>21</v>
      </c>
      <c r="K32" s="73">
        <f t="shared" si="16"/>
        <v>57</v>
      </c>
      <c r="L32" s="71">
        <f t="shared" si="16"/>
        <v>0</v>
      </c>
      <c r="M32" s="72">
        <f t="shared" si="16"/>
        <v>0</v>
      </c>
      <c r="N32" s="73">
        <f t="shared" si="16"/>
        <v>0</v>
      </c>
      <c r="O32" s="71">
        <f t="shared" ref="O32:T32" si="17">SUM(O12:O31)</f>
        <v>0</v>
      </c>
      <c r="P32" s="72">
        <f t="shared" si="17"/>
        <v>0</v>
      </c>
      <c r="Q32" s="73">
        <f t="shared" si="17"/>
        <v>0</v>
      </c>
      <c r="R32" s="71">
        <f t="shared" si="17"/>
        <v>0</v>
      </c>
      <c r="S32" s="72">
        <f t="shared" si="17"/>
        <v>0</v>
      </c>
      <c r="T32" s="73">
        <f t="shared" si="17"/>
        <v>0</v>
      </c>
      <c r="U32" s="71">
        <f t="shared" ref="U32:AI32" si="18">SUM(U12:U31)</f>
        <v>0</v>
      </c>
      <c r="V32" s="72">
        <f t="shared" si="18"/>
        <v>0</v>
      </c>
      <c r="W32" s="73">
        <f t="shared" si="18"/>
        <v>0</v>
      </c>
      <c r="X32" s="71">
        <f t="shared" si="18"/>
        <v>0</v>
      </c>
      <c r="Y32" s="72">
        <f t="shared" si="18"/>
        <v>0</v>
      </c>
      <c r="Z32" s="73">
        <f t="shared" si="18"/>
        <v>0</v>
      </c>
      <c r="AA32" s="71">
        <f t="shared" si="18"/>
        <v>0</v>
      </c>
      <c r="AB32" s="72">
        <f t="shared" si="18"/>
        <v>0</v>
      </c>
      <c r="AC32" s="73">
        <f t="shared" si="18"/>
        <v>0</v>
      </c>
      <c r="AD32" s="71">
        <f t="shared" si="18"/>
        <v>0</v>
      </c>
      <c r="AE32" s="72">
        <f t="shared" si="18"/>
        <v>0</v>
      </c>
      <c r="AF32" s="73">
        <f t="shared" si="18"/>
        <v>0</v>
      </c>
      <c r="AG32" s="71">
        <f t="shared" si="18"/>
        <v>0</v>
      </c>
      <c r="AH32" s="72">
        <f t="shared" si="18"/>
        <v>0</v>
      </c>
      <c r="AI32" s="73">
        <f t="shared" si="18"/>
        <v>0</v>
      </c>
      <c r="AJ32" s="71">
        <f t="shared" ref="AJ32:AO32" si="19">SUM(AJ12:AJ31)</f>
        <v>0</v>
      </c>
      <c r="AK32" s="72">
        <f t="shared" si="19"/>
        <v>0</v>
      </c>
      <c r="AL32" s="73">
        <f t="shared" si="19"/>
        <v>0</v>
      </c>
      <c r="AM32" s="71">
        <f t="shared" si="19"/>
        <v>0</v>
      </c>
      <c r="AN32" s="72">
        <f t="shared" si="19"/>
        <v>0</v>
      </c>
      <c r="AO32" s="73">
        <f t="shared" si="19"/>
        <v>0</v>
      </c>
      <c r="AP32" s="70">
        <f t="shared" si="15"/>
        <v>89</v>
      </c>
      <c r="AQ32" s="9">
        <f t="shared" si="0"/>
        <v>0.2225</v>
      </c>
    </row>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tabSelected="1" view="pageBreakPreview" topLeftCell="B37" zoomScaleNormal="100" zoomScaleSheetLayoutView="100" workbookViewId="0">
      <selection activeCell="B52" sqref="B52:I63"/>
    </sheetView>
  </sheetViews>
  <sheetFormatPr defaultColWidth="11.33203125" defaultRowHeight="18.75" customHeight="1" x14ac:dyDescent="0.2"/>
  <cols>
    <col min="1" max="1" width="2.88671875" style="39" customWidth="1"/>
    <col min="2" max="2" width="16.6640625" style="1" customWidth="1"/>
    <col min="3" max="3" width="8.88671875" style="1" customWidth="1"/>
    <col min="4" max="4" width="2.109375" style="1" customWidth="1"/>
    <col min="5" max="5" width="16.6640625" style="1" customWidth="1"/>
    <col min="6" max="6" width="4.33203125" style="1" customWidth="1"/>
    <col min="7" max="7" width="9" style="1" customWidth="1"/>
    <col min="8" max="8" width="16.6640625" style="1" customWidth="1"/>
    <col min="9" max="9" width="12.109375" style="1" customWidth="1"/>
    <col min="10" max="16384" width="11.33203125" style="1"/>
  </cols>
  <sheetData>
    <row r="1" spans="1:9" ht="18.75" customHeight="1" x14ac:dyDescent="0.2">
      <c r="A1" s="39" t="s">
        <v>63</v>
      </c>
      <c r="I1" s="34" t="s">
        <v>64</v>
      </c>
    </row>
    <row r="2" spans="1:9" ht="18.75" customHeight="1" x14ac:dyDescent="0.2">
      <c r="G2" s="34" t="s">
        <v>1</v>
      </c>
      <c r="H2" s="108" t="str">
        <f>'様式１　プログラムを構成する授業科目'!C2</f>
        <v>叡啓大学</v>
      </c>
      <c r="I2" s="110"/>
    </row>
    <row r="3" spans="1:9" ht="18.75" customHeight="1" x14ac:dyDescent="0.2">
      <c r="G3" s="34"/>
      <c r="H3" s="10"/>
      <c r="I3" s="10"/>
    </row>
    <row r="4" spans="1:9" ht="18.600000000000001" customHeight="1" x14ac:dyDescent="0.2">
      <c r="A4" s="179" t="s">
        <v>65</v>
      </c>
      <c r="B4" s="179"/>
      <c r="C4" s="179"/>
      <c r="D4" s="179"/>
      <c r="E4" s="179"/>
      <c r="F4" s="179"/>
      <c r="G4" s="179"/>
      <c r="H4" s="179"/>
      <c r="I4" s="179"/>
    </row>
    <row r="5" spans="1:9" ht="13.35" customHeight="1" x14ac:dyDescent="0.2">
      <c r="B5" s="3"/>
      <c r="C5" s="3"/>
      <c r="D5" s="3"/>
      <c r="E5" s="3"/>
      <c r="F5" s="3"/>
      <c r="G5" s="3"/>
      <c r="H5" s="3"/>
      <c r="I5" s="3"/>
    </row>
    <row r="6" spans="1:9" ht="18" customHeight="1" x14ac:dyDescent="0.2">
      <c r="A6" s="1" t="s">
        <v>66</v>
      </c>
      <c r="B6" s="10" t="s">
        <v>67</v>
      </c>
      <c r="C6" s="243" t="s">
        <v>68</v>
      </c>
      <c r="D6" s="243"/>
      <c r="E6" s="33">
        <v>25</v>
      </c>
      <c r="F6" s="3" t="s">
        <v>69</v>
      </c>
      <c r="G6" s="3" t="s">
        <v>70</v>
      </c>
      <c r="H6" s="33">
        <v>27</v>
      </c>
      <c r="I6" s="10" t="s">
        <v>69</v>
      </c>
    </row>
    <row r="7" spans="1:9" ht="12" customHeight="1" x14ac:dyDescent="0.2">
      <c r="C7" s="2"/>
      <c r="D7" s="2"/>
      <c r="E7" s="2"/>
      <c r="F7" s="2"/>
      <c r="G7" s="2"/>
      <c r="H7" s="2"/>
      <c r="I7" s="40"/>
    </row>
    <row r="8" spans="1:9" ht="18" customHeight="1" x14ac:dyDescent="0.2">
      <c r="A8" s="1" t="s">
        <v>71</v>
      </c>
      <c r="B8" s="10" t="s">
        <v>72</v>
      </c>
      <c r="E8" s="3"/>
      <c r="F8" s="3"/>
      <c r="G8" s="3"/>
      <c r="H8" s="33">
        <v>2</v>
      </c>
      <c r="I8" s="10" t="s">
        <v>69</v>
      </c>
    </row>
    <row r="9" spans="1:9" ht="9" customHeight="1" x14ac:dyDescent="0.2">
      <c r="B9" s="3"/>
      <c r="C9" s="3"/>
      <c r="D9" s="3"/>
      <c r="E9" s="3"/>
      <c r="F9" s="3"/>
      <c r="G9" s="3"/>
      <c r="H9" s="3"/>
      <c r="I9" s="3"/>
    </row>
    <row r="10" spans="1:9" ht="18" customHeight="1" x14ac:dyDescent="0.2">
      <c r="A10" s="1" t="s">
        <v>73</v>
      </c>
      <c r="B10" s="10" t="s">
        <v>74</v>
      </c>
      <c r="C10" s="3"/>
      <c r="D10" s="3"/>
      <c r="E10" s="3"/>
      <c r="F10" s="3"/>
      <c r="G10" s="3"/>
      <c r="H10" s="3"/>
      <c r="I10" s="3"/>
    </row>
    <row r="11" spans="1:9" ht="18" customHeight="1" x14ac:dyDescent="0.2">
      <c r="B11" s="34" t="s">
        <v>75</v>
      </c>
      <c r="C11" s="108" t="s">
        <v>117</v>
      </c>
      <c r="D11" s="190"/>
      <c r="E11" s="191"/>
      <c r="F11" s="40"/>
      <c r="G11" s="34" t="s">
        <v>76</v>
      </c>
      <c r="H11" s="108" t="s">
        <v>118</v>
      </c>
      <c r="I11" s="191"/>
    </row>
    <row r="12" spans="1:9" ht="10.35" customHeight="1" x14ac:dyDescent="0.2">
      <c r="B12" s="34"/>
      <c r="C12" s="10"/>
      <c r="D12" s="40"/>
      <c r="E12" s="40"/>
      <c r="F12" s="40"/>
      <c r="G12" s="34"/>
      <c r="H12" s="10"/>
      <c r="I12" s="40"/>
    </row>
    <row r="13" spans="1:9" ht="18" customHeight="1" x14ac:dyDescent="0.2">
      <c r="A13" s="1" t="s">
        <v>77</v>
      </c>
      <c r="B13" s="10" t="s">
        <v>78</v>
      </c>
      <c r="C13" s="3"/>
      <c r="D13" s="3"/>
      <c r="E13" s="3"/>
      <c r="F13" s="3"/>
      <c r="G13" s="3"/>
      <c r="H13" s="3"/>
      <c r="I13" s="3"/>
    </row>
    <row r="14" spans="1:9" ht="18" customHeight="1" x14ac:dyDescent="0.2">
      <c r="B14" s="240" t="s">
        <v>170</v>
      </c>
      <c r="C14" s="241"/>
      <c r="D14" s="241"/>
      <c r="E14" s="241"/>
      <c r="F14" s="241"/>
      <c r="G14" s="241"/>
      <c r="H14" s="241"/>
      <c r="I14" s="242"/>
    </row>
    <row r="15" spans="1:9" ht="9" customHeight="1" x14ac:dyDescent="0.2">
      <c r="B15" s="3"/>
      <c r="C15" s="3"/>
      <c r="D15" s="3"/>
      <c r="E15" s="3"/>
      <c r="F15" s="3"/>
      <c r="G15" s="3"/>
      <c r="H15" s="3"/>
      <c r="I15" s="3"/>
    </row>
    <row r="16" spans="1:9" ht="18" customHeight="1" x14ac:dyDescent="0.2">
      <c r="B16" s="34" t="s">
        <v>75</v>
      </c>
      <c r="C16" s="108" t="s">
        <v>120</v>
      </c>
      <c r="D16" s="190"/>
      <c r="E16" s="191"/>
      <c r="F16" s="40"/>
      <c r="G16" s="34" t="s">
        <v>76</v>
      </c>
      <c r="H16" s="108" t="s">
        <v>121</v>
      </c>
      <c r="I16" s="191"/>
    </row>
    <row r="17" spans="1:9" ht="18" customHeight="1" x14ac:dyDescent="0.2">
      <c r="B17" s="3"/>
      <c r="C17" s="3"/>
      <c r="D17" s="3"/>
      <c r="E17" s="3"/>
      <c r="F17" s="3"/>
      <c r="G17" s="3"/>
      <c r="H17" s="3"/>
      <c r="I17" s="3"/>
    </row>
    <row r="18" spans="1:9" ht="18.75" customHeight="1" x14ac:dyDescent="0.2">
      <c r="A18" s="1" t="s">
        <v>79</v>
      </c>
      <c r="B18" s="1" t="s">
        <v>80</v>
      </c>
      <c r="I18" s="3"/>
    </row>
    <row r="19" spans="1:9" ht="18.75" customHeight="1" x14ac:dyDescent="0.2">
      <c r="A19" s="1"/>
      <c r="B19" s="232" t="s">
        <v>127</v>
      </c>
      <c r="C19" s="233"/>
      <c r="D19" s="233"/>
      <c r="E19" s="233"/>
      <c r="F19" s="233"/>
      <c r="G19" s="233"/>
      <c r="H19" s="233"/>
      <c r="I19" s="234"/>
    </row>
    <row r="20" spans="1:9" ht="7.5" customHeight="1" x14ac:dyDescent="0.2">
      <c r="B20" s="3"/>
      <c r="C20" s="3"/>
      <c r="D20" s="3"/>
      <c r="E20" s="3"/>
      <c r="F20" s="3"/>
      <c r="G20" s="3"/>
      <c r="H20" s="3"/>
      <c r="I20" s="3"/>
    </row>
    <row r="21" spans="1:9" ht="18.75" customHeight="1" x14ac:dyDescent="0.2">
      <c r="A21" s="1" t="s">
        <v>81</v>
      </c>
      <c r="B21" s="1" t="s">
        <v>82</v>
      </c>
    </row>
    <row r="22" spans="1:9" ht="18.75" customHeight="1" x14ac:dyDescent="0.2">
      <c r="A22" s="14"/>
      <c r="B22" s="222" t="s">
        <v>128</v>
      </c>
      <c r="C22" s="223"/>
      <c r="D22" s="223"/>
      <c r="E22" s="223"/>
      <c r="F22" s="223"/>
      <c r="G22" s="223"/>
      <c r="H22" s="223"/>
      <c r="I22" s="224"/>
    </row>
    <row r="23" spans="1:9" ht="18.75" customHeight="1" x14ac:dyDescent="0.2">
      <c r="A23" s="14"/>
      <c r="B23" s="235"/>
      <c r="C23" s="236"/>
      <c r="D23" s="236"/>
      <c r="E23" s="236"/>
      <c r="F23" s="236"/>
      <c r="G23" s="236"/>
      <c r="H23" s="236"/>
      <c r="I23" s="227"/>
    </row>
    <row r="24" spans="1:9" ht="18.75" customHeight="1" x14ac:dyDescent="0.2">
      <c r="A24" s="14"/>
      <c r="B24" s="235"/>
      <c r="C24" s="236"/>
      <c r="D24" s="236"/>
      <c r="E24" s="236"/>
      <c r="F24" s="236"/>
      <c r="G24" s="236"/>
      <c r="H24" s="236"/>
      <c r="I24" s="227"/>
    </row>
    <row r="25" spans="1:9" ht="18.75" customHeight="1" x14ac:dyDescent="0.2">
      <c r="A25" s="14"/>
      <c r="B25" s="235"/>
      <c r="C25" s="236"/>
      <c r="D25" s="236"/>
      <c r="E25" s="236"/>
      <c r="F25" s="236"/>
      <c r="G25" s="236"/>
      <c r="H25" s="236"/>
      <c r="I25" s="227"/>
    </row>
    <row r="26" spans="1:9" ht="18.75" customHeight="1" x14ac:dyDescent="0.2">
      <c r="A26" s="14"/>
      <c r="B26" s="235"/>
      <c r="C26" s="236"/>
      <c r="D26" s="236"/>
      <c r="E26" s="236"/>
      <c r="F26" s="236"/>
      <c r="G26" s="236"/>
      <c r="H26" s="236"/>
      <c r="I26" s="227"/>
    </row>
    <row r="27" spans="1:9" ht="18.75" customHeight="1" x14ac:dyDescent="0.2">
      <c r="A27" s="14"/>
      <c r="B27" s="235"/>
      <c r="C27" s="236"/>
      <c r="D27" s="236"/>
      <c r="E27" s="236"/>
      <c r="F27" s="236"/>
      <c r="G27" s="236"/>
      <c r="H27" s="236"/>
      <c r="I27" s="227"/>
    </row>
    <row r="28" spans="1:9" ht="18.75" customHeight="1" x14ac:dyDescent="0.2">
      <c r="A28" s="14"/>
      <c r="B28" s="235"/>
      <c r="C28" s="236"/>
      <c r="D28" s="236"/>
      <c r="E28" s="236"/>
      <c r="F28" s="236"/>
      <c r="G28" s="236"/>
      <c r="H28" s="236"/>
      <c r="I28" s="227"/>
    </row>
    <row r="29" spans="1:9" ht="18.75" customHeight="1" x14ac:dyDescent="0.2">
      <c r="A29" s="14"/>
      <c r="B29" s="235"/>
      <c r="C29" s="236"/>
      <c r="D29" s="236"/>
      <c r="E29" s="236"/>
      <c r="F29" s="236"/>
      <c r="G29" s="236"/>
      <c r="H29" s="236"/>
      <c r="I29" s="227"/>
    </row>
    <row r="30" spans="1:9" ht="18.75" customHeight="1" x14ac:dyDescent="0.2">
      <c r="A30" s="14"/>
      <c r="B30" s="225"/>
      <c r="C30" s="226"/>
      <c r="D30" s="226"/>
      <c r="E30" s="226"/>
      <c r="F30" s="226"/>
      <c r="G30" s="226"/>
      <c r="H30" s="226"/>
      <c r="I30" s="227"/>
    </row>
    <row r="31" spans="1:9" ht="18.75" customHeight="1" x14ac:dyDescent="0.2">
      <c r="A31" s="14"/>
      <c r="B31" s="225"/>
      <c r="C31" s="226"/>
      <c r="D31" s="226"/>
      <c r="E31" s="226"/>
      <c r="F31" s="226"/>
      <c r="G31" s="226"/>
      <c r="H31" s="226"/>
      <c r="I31" s="227"/>
    </row>
    <row r="32" spans="1:9" ht="18.75" customHeight="1" x14ac:dyDescent="0.2">
      <c r="A32" s="14"/>
      <c r="B32" s="228"/>
      <c r="C32" s="229"/>
      <c r="D32" s="229"/>
      <c r="E32" s="229"/>
      <c r="F32" s="229"/>
      <c r="G32" s="229"/>
      <c r="H32" s="229"/>
      <c r="I32" s="230"/>
    </row>
    <row r="33" spans="1:9" ht="7.5" customHeight="1" x14ac:dyDescent="0.2">
      <c r="A33" s="14"/>
      <c r="B33" s="14"/>
      <c r="C33" s="14"/>
      <c r="D33" s="14"/>
      <c r="E33" s="14"/>
      <c r="F33" s="14"/>
      <c r="G33" s="14"/>
      <c r="H33" s="14"/>
      <c r="I33" s="14"/>
    </row>
    <row r="34" spans="1:9" ht="18.75" customHeight="1" x14ac:dyDescent="0.2">
      <c r="A34" s="15" t="s">
        <v>83</v>
      </c>
      <c r="B34" s="15" t="s">
        <v>84</v>
      </c>
      <c r="C34" s="10"/>
      <c r="D34" s="15"/>
      <c r="E34" s="15"/>
      <c r="F34" s="15"/>
      <c r="G34" s="15"/>
      <c r="H34" s="15"/>
      <c r="I34" s="15"/>
    </row>
    <row r="35" spans="1:9" ht="18.75" customHeight="1" x14ac:dyDescent="0.2">
      <c r="A35" s="14"/>
      <c r="B35" s="222" t="s">
        <v>129</v>
      </c>
      <c r="C35" s="223"/>
      <c r="D35" s="223"/>
      <c r="E35" s="223"/>
      <c r="F35" s="223"/>
      <c r="G35" s="223"/>
      <c r="H35" s="223"/>
      <c r="I35" s="224"/>
    </row>
    <row r="36" spans="1:9" ht="18.75" customHeight="1" x14ac:dyDescent="0.2">
      <c r="A36" s="14"/>
      <c r="B36" s="225"/>
      <c r="C36" s="226"/>
      <c r="D36" s="226"/>
      <c r="E36" s="226"/>
      <c r="F36" s="226"/>
      <c r="G36" s="226"/>
      <c r="H36" s="226"/>
      <c r="I36" s="227"/>
    </row>
    <row r="37" spans="1:9" ht="18.75" customHeight="1" x14ac:dyDescent="0.2">
      <c r="A37" s="14"/>
      <c r="B37" s="225"/>
      <c r="C37" s="226"/>
      <c r="D37" s="226"/>
      <c r="E37" s="226"/>
      <c r="F37" s="226"/>
      <c r="G37" s="226"/>
      <c r="H37" s="226"/>
      <c r="I37" s="227"/>
    </row>
    <row r="38" spans="1:9" ht="18.75" customHeight="1" x14ac:dyDescent="0.2">
      <c r="A38" s="14"/>
      <c r="B38" s="225"/>
      <c r="C38" s="226"/>
      <c r="D38" s="226"/>
      <c r="E38" s="226"/>
      <c r="F38" s="226"/>
      <c r="G38" s="226"/>
      <c r="H38" s="226"/>
      <c r="I38" s="227"/>
    </row>
    <row r="39" spans="1:9" ht="18.75" customHeight="1" x14ac:dyDescent="0.2">
      <c r="A39" s="14"/>
      <c r="B39" s="225"/>
      <c r="C39" s="226"/>
      <c r="D39" s="226"/>
      <c r="E39" s="226"/>
      <c r="F39" s="226"/>
      <c r="G39" s="226"/>
      <c r="H39" s="226"/>
      <c r="I39" s="227"/>
    </row>
    <row r="40" spans="1:9" ht="18.75" customHeight="1" x14ac:dyDescent="0.2">
      <c r="A40" s="14"/>
      <c r="B40" s="225"/>
      <c r="C40" s="226"/>
      <c r="D40" s="226"/>
      <c r="E40" s="226"/>
      <c r="F40" s="226"/>
      <c r="G40" s="226"/>
      <c r="H40" s="226"/>
      <c r="I40" s="227"/>
    </row>
    <row r="41" spans="1:9" ht="18.75" customHeight="1" x14ac:dyDescent="0.2">
      <c r="A41" s="14"/>
      <c r="B41" s="225"/>
      <c r="C41" s="226"/>
      <c r="D41" s="226"/>
      <c r="E41" s="226"/>
      <c r="F41" s="226"/>
      <c r="G41" s="226"/>
      <c r="H41" s="226"/>
      <c r="I41" s="227"/>
    </row>
    <row r="42" spans="1:9" ht="18.75" customHeight="1" x14ac:dyDescent="0.2">
      <c r="A42" s="14"/>
      <c r="B42" s="225"/>
      <c r="C42" s="226"/>
      <c r="D42" s="226"/>
      <c r="E42" s="226"/>
      <c r="F42" s="226"/>
      <c r="G42" s="226"/>
      <c r="H42" s="226"/>
      <c r="I42" s="227"/>
    </row>
    <row r="43" spans="1:9" ht="18.75" customHeight="1" x14ac:dyDescent="0.2">
      <c r="A43" s="14"/>
      <c r="B43" s="225"/>
      <c r="C43" s="226"/>
      <c r="D43" s="226"/>
      <c r="E43" s="226"/>
      <c r="F43" s="226"/>
      <c r="G43" s="226"/>
      <c r="H43" s="226"/>
      <c r="I43" s="227"/>
    </row>
    <row r="44" spans="1:9" ht="18.75" customHeight="1" x14ac:dyDescent="0.2">
      <c r="A44" s="14"/>
      <c r="B44" s="225"/>
      <c r="C44" s="226"/>
      <c r="D44" s="226"/>
      <c r="E44" s="226"/>
      <c r="F44" s="226"/>
      <c r="G44" s="226"/>
      <c r="H44" s="226"/>
      <c r="I44" s="227"/>
    </row>
    <row r="45" spans="1:9" ht="18.75" customHeight="1" x14ac:dyDescent="0.2">
      <c r="A45" s="14"/>
      <c r="B45" s="225"/>
      <c r="C45" s="226"/>
      <c r="D45" s="226"/>
      <c r="E45" s="226"/>
      <c r="F45" s="226"/>
      <c r="G45" s="226"/>
      <c r="H45" s="226"/>
      <c r="I45" s="227"/>
    </row>
    <row r="46" spans="1:9" ht="18.75" customHeight="1" x14ac:dyDescent="0.2">
      <c r="A46" s="14"/>
      <c r="B46" s="228"/>
      <c r="C46" s="229"/>
      <c r="D46" s="229"/>
      <c r="E46" s="229"/>
      <c r="F46" s="229"/>
      <c r="G46" s="229"/>
      <c r="H46" s="229"/>
      <c r="I46" s="230"/>
    </row>
    <row r="47" spans="1:9" ht="7.5" customHeight="1" x14ac:dyDescent="0.2">
      <c r="A47" s="4"/>
      <c r="B47" s="4"/>
      <c r="C47" s="4"/>
      <c r="D47" s="4"/>
      <c r="E47" s="4"/>
      <c r="F47" s="4"/>
      <c r="G47" s="4"/>
      <c r="H47" s="4"/>
      <c r="I47" s="4"/>
    </row>
    <row r="48" spans="1:9" ht="18.75" customHeight="1" x14ac:dyDescent="0.2">
      <c r="A48" s="1" t="s">
        <v>85</v>
      </c>
      <c r="B48" s="1" t="s">
        <v>86</v>
      </c>
    </row>
    <row r="49" spans="1:15" s="3" customFormat="1" ht="18.75" customHeight="1" x14ac:dyDescent="0.2">
      <c r="B49" s="96" t="s">
        <v>87</v>
      </c>
      <c r="C49" s="244">
        <f>'様式２ 履修者等数の実績'!AQ32</f>
        <v>0.2225</v>
      </c>
      <c r="D49" s="244"/>
      <c r="E49" s="96" t="s">
        <v>88</v>
      </c>
      <c r="F49" s="244">
        <v>0.45</v>
      </c>
      <c r="G49" s="244"/>
      <c r="H49" s="96" t="s">
        <v>89</v>
      </c>
      <c r="I49" s="97">
        <v>0.67</v>
      </c>
      <c r="J49" s="1"/>
      <c r="M49" s="1"/>
      <c r="N49" s="41"/>
    </row>
    <row r="50" spans="1:15" s="3" customFormat="1" ht="18.75" customHeight="1" x14ac:dyDescent="0.2">
      <c r="B50" s="98" t="s">
        <v>90</v>
      </c>
      <c r="C50" s="244">
        <v>0.7</v>
      </c>
      <c r="D50" s="244"/>
      <c r="E50" s="98" t="s">
        <v>91</v>
      </c>
      <c r="F50" s="244">
        <v>0.73</v>
      </c>
      <c r="G50" s="244"/>
      <c r="H50" s="98" t="s">
        <v>92</v>
      </c>
      <c r="I50" s="99">
        <f>'様式２ 履修者等数の実績'!E32</f>
        <v>400</v>
      </c>
      <c r="J50" s="1"/>
      <c r="M50" s="1"/>
      <c r="N50" s="41"/>
    </row>
    <row r="51" spans="1:15" ht="18.75" customHeight="1" x14ac:dyDescent="0.2">
      <c r="A51" s="1"/>
      <c r="B51" s="237" t="s">
        <v>93</v>
      </c>
      <c r="C51" s="238"/>
      <c r="D51" s="238"/>
      <c r="E51" s="238"/>
      <c r="F51" s="238"/>
      <c r="G51" s="238"/>
      <c r="H51" s="238"/>
      <c r="I51" s="239"/>
      <c r="N51" s="41"/>
      <c r="O51" s="3"/>
    </row>
    <row r="52" spans="1:15" ht="18.75" customHeight="1" x14ac:dyDescent="0.2">
      <c r="A52" s="1"/>
      <c r="B52" s="261" t="s">
        <v>131</v>
      </c>
      <c r="C52" s="262"/>
      <c r="D52" s="262"/>
      <c r="E52" s="262"/>
      <c r="F52" s="262"/>
      <c r="G52" s="262"/>
      <c r="H52" s="262"/>
      <c r="I52" s="263"/>
      <c r="N52" s="41"/>
      <c r="O52" s="3"/>
    </row>
    <row r="53" spans="1:15" ht="18.75" customHeight="1" x14ac:dyDescent="0.2">
      <c r="A53" s="1"/>
      <c r="B53" s="264"/>
      <c r="C53" s="265"/>
      <c r="D53" s="265"/>
      <c r="E53" s="265"/>
      <c r="F53" s="265"/>
      <c r="G53" s="265"/>
      <c r="H53" s="265"/>
      <c r="I53" s="266"/>
      <c r="N53" s="41"/>
      <c r="O53" s="3"/>
    </row>
    <row r="54" spans="1:15" ht="18.75" customHeight="1" x14ac:dyDescent="0.2">
      <c r="A54" s="1"/>
      <c r="B54" s="264"/>
      <c r="C54" s="265"/>
      <c r="D54" s="265"/>
      <c r="E54" s="265"/>
      <c r="F54" s="265"/>
      <c r="G54" s="265"/>
      <c r="H54" s="265"/>
      <c r="I54" s="266"/>
    </row>
    <row r="55" spans="1:15" ht="18.75" customHeight="1" x14ac:dyDescent="0.2">
      <c r="A55" s="1"/>
      <c r="B55" s="264"/>
      <c r="C55" s="265"/>
      <c r="D55" s="265"/>
      <c r="E55" s="265"/>
      <c r="F55" s="265"/>
      <c r="G55" s="265"/>
      <c r="H55" s="265"/>
      <c r="I55" s="266"/>
    </row>
    <row r="56" spans="1:15" ht="18.75" customHeight="1" x14ac:dyDescent="0.2">
      <c r="A56" s="1"/>
      <c r="B56" s="264"/>
      <c r="C56" s="265"/>
      <c r="D56" s="265"/>
      <c r="E56" s="265"/>
      <c r="F56" s="265"/>
      <c r="G56" s="265"/>
      <c r="H56" s="265"/>
      <c r="I56" s="266"/>
    </row>
    <row r="57" spans="1:15" ht="18.75" customHeight="1" x14ac:dyDescent="0.2">
      <c r="A57" s="1"/>
      <c r="B57" s="264"/>
      <c r="C57" s="265"/>
      <c r="D57" s="265"/>
      <c r="E57" s="265"/>
      <c r="F57" s="265"/>
      <c r="G57" s="265"/>
      <c r="H57" s="265"/>
      <c r="I57" s="266"/>
    </row>
    <row r="58" spans="1:15" ht="18.75" customHeight="1" x14ac:dyDescent="0.2">
      <c r="A58" s="1"/>
      <c r="B58" s="264"/>
      <c r="C58" s="265"/>
      <c r="D58" s="265"/>
      <c r="E58" s="265"/>
      <c r="F58" s="265"/>
      <c r="G58" s="265"/>
      <c r="H58" s="265"/>
      <c r="I58" s="266"/>
    </row>
    <row r="59" spans="1:15" ht="18.75" customHeight="1" x14ac:dyDescent="0.2">
      <c r="A59" s="1"/>
      <c r="B59" s="264"/>
      <c r="C59" s="265"/>
      <c r="D59" s="265"/>
      <c r="E59" s="265"/>
      <c r="F59" s="265"/>
      <c r="G59" s="265"/>
      <c r="H59" s="265"/>
      <c r="I59" s="266"/>
    </row>
    <row r="60" spans="1:15" ht="18.75" customHeight="1" x14ac:dyDescent="0.2">
      <c r="A60" s="1"/>
      <c r="B60" s="264"/>
      <c r="C60" s="265"/>
      <c r="D60" s="265"/>
      <c r="E60" s="265"/>
      <c r="F60" s="265"/>
      <c r="G60" s="265"/>
      <c r="H60" s="265"/>
      <c r="I60" s="266"/>
    </row>
    <row r="61" spans="1:15" ht="18.75" customHeight="1" x14ac:dyDescent="0.2">
      <c r="A61" s="1"/>
      <c r="B61" s="264"/>
      <c r="C61" s="265"/>
      <c r="D61" s="265"/>
      <c r="E61" s="265"/>
      <c r="F61" s="265"/>
      <c r="G61" s="265"/>
      <c r="H61" s="265"/>
      <c r="I61" s="266"/>
    </row>
    <row r="62" spans="1:15" ht="18.75" customHeight="1" x14ac:dyDescent="0.2">
      <c r="A62" s="1"/>
      <c r="B62" s="264"/>
      <c r="C62" s="265"/>
      <c r="D62" s="265"/>
      <c r="E62" s="265"/>
      <c r="F62" s="265"/>
      <c r="G62" s="265"/>
      <c r="H62" s="265"/>
      <c r="I62" s="266"/>
    </row>
    <row r="63" spans="1:15" ht="18.75" customHeight="1" x14ac:dyDescent="0.2">
      <c r="A63" s="1"/>
      <c r="B63" s="267"/>
      <c r="C63" s="268"/>
      <c r="D63" s="268"/>
      <c r="E63" s="268"/>
      <c r="F63" s="268"/>
      <c r="G63" s="268"/>
      <c r="H63" s="268"/>
      <c r="I63" s="269"/>
    </row>
    <row r="64" spans="1:15" ht="7.5" customHeight="1" x14ac:dyDescent="0.2">
      <c r="A64" s="14"/>
      <c r="B64" s="14"/>
      <c r="C64" s="14"/>
      <c r="D64" s="14"/>
      <c r="E64" s="14"/>
      <c r="F64" s="14"/>
      <c r="G64" s="14"/>
      <c r="H64" s="14"/>
      <c r="I64" s="14"/>
    </row>
    <row r="65" spans="1:9" ht="18.75" customHeight="1" x14ac:dyDescent="0.2">
      <c r="A65" s="15" t="s">
        <v>94</v>
      </c>
      <c r="B65" s="1" t="s">
        <v>95</v>
      </c>
      <c r="I65" s="15"/>
    </row>
    <row r="66" spans="1:9" ht="18.75" customHeight="1" x14ac:dyDescent="0.2">
      <c r="A66" s="4"/>
      <c r="B66" s="245" t="s">
        <v>130</v>
      </c>
      <c r="C66" s="246"/>
      <c r="D66" s="246"/>
      <c r="E66" s="246"/>
      <c r="F66" s="246"/>
      <c r="G66" s="246"/>
      <c r="H66" s="246"/>
      <c r="I66" s="247"/>
    </row>
    <row r="67" spans="1:9" ht="18.75" customHeight="1" x14ac:dyDescent="0.2">
      <c r="A67" s="4"/>
      <c r="B67" s="248"/>
      <c r="C67" s="249"/>
      <c r="D67" s="249"/>
      <c r="E67" s="249"/>
      <c r="F67" s="249"/>
      <c r="G67" s="249"/>
      <c r="H67" s="249"/>
      <c r="I67" s="250"/>
    </row>
    <row r="68" spans="1:9" ht="18.75" customHeight="1" x14ac:dyDescent="0.2">
      <c r="A68" s="4"/>
      <c r="B68" s="248"/>
      <c r="C68" s="249"/>
      <c r="D68" s="249"/>
      <c r="E68" s="249"/>
      <c r="F68" s="249"/>
      <c r="G68" s="249"/>
      <c r="H68" s="249"/>
      <c r="I68" s="250"/>
    </row>
    <row r="69" spans="1:9" ht="18.75" customHeight="1" x14ac:dyDescent="0.2">
      <c r="A69" s="4"/>
      <c r="B69" s="248"/>
      <c r="C69" s="249"/>
      <c r="D69" s="249"/>
      <c r="E69" s="249"/>
      <c r="F69" s="249"/>
      <c r="G69" s="249"/>
      <c r="H69" s="249"/>
      <c r="I69" s="250"/>
    </row>
    <row r="70" spans="1:9" ht="18.75" customHeight="1" x14ac:dyDescent="0.2">
      <c r="A70" s="4"/>
      <c r="B70" s="248"/>
      <c r="C70" s="249"/>
      <c r="D70" s="249"/>
      <c r="E70" s="249"/>
      <c r="F70" s="249"/>
      <c r="G70" s="249"/>
      <c r="H70" s="249"/>
      <c r="I70" s="250"/>
    </row>
    <row r="71" spans="1:9" ht="18.75" customHeight="1" x14ac:dyDescent="0.2">
      <c r="A71" s="4"/>
      <c r="B71" s="248"/>
      <c r="C71" s="249"/>
      <c r="D71" s="249"/>
      <c r="E71" s="249"/>
      <c r="F71" s="249"/>
      <c r="G71" s="249"/>
      <c r="H71" s="249"/>
      <c r="I71" s="250"/>
    </row>
    <row r="72" spans="1:9" ht="18.75" customHeight="1" x14ac:dyDescent="0.2">
      <c r="A72" s="4"/>
      <c r="B72" s="248"/>
      <c r="C72" s="249"/>
      <c r="D72" s="249"/>
      <c r="E72" s="249"/>
      <c r="F72" s="249"/>
      <c r="G72" s="249"/>
      <c r="H72" s="249"/>
      <c r="I72" s="250"/>
    </row>
    <row r="73" spans="1:9" ht="18.75" customHeight="1" x14ac:dyDescent="0.2">
      <c r="A73" s="4"/>
      <c r="B73" s="248"/>
      <c r="C73" s="249"/>
      <c r="D73" s="249"/>
      <c r="E73" s="249"/>
      <c r="F73" s="249"/>
      <c r="G73" s="249"/>
      <c r="H73" s="249"/>
      <c r="I73" s="250"/>
    </row>
    <row r="74" spans="1:9" ht="18.75" customHeight="1" x14ac:dyDescent="0.2">
      <c r="A74" s="4"/>
      <c r="B74" s="248"/>
      <c r="C74" s="249"/>
      <c r="D74" s="249"/>
      <c r="E74" s="249"/>
      <c r="F74" s="249"/>
      <c r="G74" s="249"/>
      <c r="H74" s="249"/>
      <c r="I74" s="250"/>
    </row>
    <row r="75" spans="1:9" ht="18.75" customHeight="1" x14ac:dyDescent="0.2">
      <c r="A75" s="4"/>
      <c r="B75" s="248"/>
      <c r="C75" s="249"/>
      <c r="D75" s="249"/>
      <c r="E75" s="249"/>
      <c r="F75" s="249"/>
      <c r="G75" s="249"/>
      <c r="H75" s="249"/>
      <c r="I75" s="250"/>
    </row>
    <row r="76" spans="1:9" ht="18.75" customHeight="1" x14ac:dyDescent="0.2">
      <c r="A76" s="4"/>
      <c r="B76" s="248"/>
      <c r="C76" s="249"/>
      <c r="D76" s="249"/>
      <c r="E76" s="249"/>
      <c r="F76" s="249"/>
      <c r="G76" s="249"/>
      <c r="H76" s="249"/>
      <c r="I76" s="250"/>
    </row>
    <row r="77" spans="1:9" ht="18.75" customHeight="1" x14ac:dyDescent="0.2">
      <c r="A77" s="4"/>
      <c r="B77" s="251"/>
      <c r="C77" s="252"/>
      <c r="D77" s="252"/>
      <c r="E77" s="252"/>
      <c r="F77" s="252"/>
      <c r="G77" s="252"/>
      <c r="H77" s="252"/>
      <c r="I77" s="253"/>
    </row>
    <row r="78" spans="1:9" ht="7.5" customHeight="1" x14ac:dyDescent="0.2">
      <c r="A78" s="4"/>
      <c r="B78" s="4"/>
      <c r="C78" s="4"/>
      <c r="D78" s="4"/>
      <c r="E78" s="4"/>
      <c r="F78" s="4"/>
      <c r="G78" s="4"/>
      <c r="H78" s="4"/>
      <c r="I78" s="4"/>
    </row>
    <row r="79" spans="1:9" ht="18.75" customHeight="1" x14ac:dyDescent="0.2">
      <c r="A79" s="1" t="s">
        <v>96</v>
      </c>
      <c r="B79" s="1" t="s">
        <v>97</v>
      </c>
    </row>
    <row r="80" spans="1:9" ht="18.75" customHeight="1" x14ac:dyDescent="0.2">
      <c r="A80" s="1"/>
      <c r="B80" s="245" t="s">
        <v>130</v>
      </c>
      <c r="C80" s="246"/>
      <c r="D80" s="246"/>
      <c r="E80" s="246"/>
      <c r="F80" s="246"/>
      <c r="G80" s="246"/>
      <c r="H80" s="246"/>
      <c r="I80" s="254"/>
    </row>
    <row r="81" spans="1:9" ht="18.75" customHeight="1" x14ac:dyDescent="0.2">
      <c r="A81" s="1"/>
      <c r="B81" s="255"/>
      <c r="C81" s="256"/>
      <c r="D81" s="256"/>
      <c r="E81" s="256"/>
      <c r="F81" s="256"/>
      <c r="G81" s="256"/>
      <c r="H81" s="256"/>
      <c r="I81" s="257"/>
    </row>
    <row r="82" spans="1:9" ht="18.75" customHeight="1" x14ac:dyDescent="0.2">
      <c r="A82" s="1"/>
      <c r="B82" s="255"/>
      <c r="C82" s="256"/>
      <c r="D82" s="256"/>
      <c r="E82" s="256"/>
      <c r="F82" s="256"/>
      <c r="G82" s="256"/>
      <c r="H82" s="256"/>
      <c r="I82" s="257"/>
    </row>
    <row r="83" spans="1:9" ht="18.75" customHeight="1" x14ac:dyDescent="0.2">
      <c r="A83" s="1"/>
      <c r="B83" s="255"/>
      <c r="C83" s="256"/>
      <c r="D83" s="256"/>
      <c r="E83" s="256"/>
      <c r="F83" s="256"/>
      <c r="G83" s="256"/>
      <c r="H83" s="256"/>
      <c r="I83" s="257"/>
    </row>
    <row r="84" spans="1:9" ht="18.75" customHeight="1" x14ac:dyDescent="0.2">
      <c r="A84" s="1"/>
      <c r="B84" s="255"/>
      <c r="C84" s="256"/>
      <c r="D84" s="256"/>
      <c r="E84" s="256"/>
      <c r="F84" s="256"/>
      <c r="G84" s="256"/>
      <c r="H84" s="256"/>
      <c r="I84" s="257"/>
    </row>
    <row r="85" spans="1:9" ht="18.75" customHeight="1" x14ac:dyDescent="0.2">
      <c r="A85" s="1"/>
      <c r="B85" s="255"/>
      <c r="C85" s="256"/>
      <c r="D85" s="256"/>
      <c r="E85" s="256"/>
      <c r="F85" s="256"/>
      <c r="G85" s="256"/>
      <c r="H85" s="256"/>
      <c r="I85" s="257"/>
    </row>
    <row r="86" spans="1:9" ht="18.75" customHeight="1" x14ac:dyDescent="0.2">
      <c r="A86" s="1"/>
      <c r="B86" s="255"/>
      <c r="C86" s="256"/>
      <c r="D86" s="256"/>
      <c r="E86" s="256"/>
      <c r="F86" s="256"/>
      <c r="G86" s="256"/>
      <c r="H86" s="256"/>
      <c r="I86" s="257"/>
    </row>
    <row r="87" spans="1:9" ht="18.75" customHeight="1" x14ac:dyDescent="0.2">
      <c r="A87" s="1"/>
      <c r="B87" s="255"/>
      <c r="C87" s="256"/>
      <c r="D87" s="256"/>
      <c r="E87" s="256"/>
      <c r="F87" s="256"/>
      <c r="G87" s="256"/>
      <c r="H87" s="256"/>
      <c r="I87" s="257"/>
    </row>
    <row r="88" spans="1:9" ht="18.75" customHeight="1" x14ac:dyDescent="0.2">
      <c r="A88" s="1"/>
      <c r="B88" s="255"/>
      <c r="C88" s="256"/>
      <c r="D88" s="256"/>
      <c r="E88" s="256"/>
      <c r="F88" s="256"/>
      <c r="G88" s="256"/>
      <c r="H88" s="256"/>
      <c r="I88" s="257"/>
    </row>
    <row r="89" spans="1:9" ht="18.75" customHeight="1" x14ac:dyDescent="0.2">
      <c r="A89" s="1"/>
      <c r="B89" s="255"/>
      <c r="C89" s="256"/>
      <c r="D89" s="256"/>
      <c r="E89" s="256"/>
      <c r="F89" s="256"/>
      <c r="G89" s="256"/>
      <c r="H89" s="256"/>
      <c r="I89" s="257"/>
    </row>
    <row r="90" spans="1:9" ht="18.75" customHeight="1" x14ac:dyDescent="0.2">
      <c r="A90" s="4"/>
      <c r="B90" s="255"/>
      <c r="C90" s="256"/>
      <c r="D90" s="256"/>
      <c r="E90" s="256"/>
      <c r="F90" s="256"/>
      <c r="G90" s="256"/>
      <c r="H90" s="256"/>
      <c r="I90" s="257"/>
    </row>
    <row r="91" spans="1:9" ht="18.75" customHeight="1" x14ac:dyDescent="0.2">
      <c r="A91" s="4"/>
      <c r="B91" s="258"/>
      <c r="C91" s="259"/>
      <c r="D91" s="259"/>
      <c r="E91" s="259"/>
      <c r="F91" s="259"/>
      <c r="G91" s="259"/>
      <c r="H91" s="259"/>
      <c r="I91" s="260"/>
    </row>
    <row r="92" spans="1:9" ht="7.5" customHeight="1" x14ac:dyDescent="0.2">
      <c r="A92" s="4"/>
      <c r="B92" s="4"/>
      <c r="C92" s="4"/>
      <c r="D92" s="4"/>
      <c r="E92" s="4"/>
      <c r="F92" s="4"/>
      <c r="G92" s="4"/>
      <c r="H92" s="4"/>
      <c r="I92" s="4"/>
    </row>
    <row r="93" spans="1:9" ht="18.75" customHeight="1" x14ac:dyDescent="0.2">
      <c r="A93" s="1" t="s">
        <v>98</v>
      </c>
      <c r="B93" s="1" t="s">
        <v>99</v>
      </c>
    </row>
    <row r="94" spans="1:9" ht="18.75" customHeight="1" x14ac:dyDescent="0.2">
      <c r="A94" s="1"/>
      <c r="B94" s="222" t="s">
        <v>132</v>
      </c>
      <c r="C94" s="223"/>
      <c r="D94" s="223"/>
      <c r="E94" s="223"/>
      <c r="F94" s="223"/>
      <c r="G94" s="223"/>
      <c r="H94" s="223"/>
      <c r="I94" s="224"/>
    </row>
    <row r="95" spans="1:9" ht="18.75" customHeight="1" x14ac:dyDescent="0.2">
      <c r="A95" s="1"/>
      <c r="B95" s="225"/>
      <c r="C95" s="226"/>
      <c r="D95" s="226"/>
      <c r="E95" s="226"/>
      <c r="F95" s="226"/>
      <c r="G95" s="226"/>
      <c r="H95" s="226"/>
      <c r="I95" s="227"/>
    </row>
    <row r="96" spans="1:9" ht="18.75" customHeight="1" x14ac:dyDescent="0.2">
      <c r="A96" s="1"/>
      <c r="B96" s="225"/>
      <c r="C96" s="226"/>
      <c r="D96" s="226"/>
      <c r="E96" s="226"/>
      <c r="F96" s="226"/>
      <c r="G96" s="226"/>
      <c r="H96" s="226"/>
      <c r="I96" s="227"/>
    </row>
    <row r="97" spans="1:9" ht="18.75" customHeight="1" x14ac:dyDescent="0.2">
      <c r="A97" s="1"/>
      <c r="B97" s="225"/>
      <c r="C97" s="226"/>
      <c r="D97" s="226"/>
      <c r="E97" s="226"/>
      <c r="F97" s="226"/>
      <c r="G97" s="226"/>
      <c r="H97" s="226"/>
      <c r="I97" s="227"/>
    </row>
    <row r="98" spans="1:9" ht="18.75" customHeight="1" x14ac:dyDescent="0.2">
      <c r="A98" s="1"/>
      <c r="B98" s="225"/>
      <c r="C98" s="226"/>
      <c r="D98" s="226"/>
      <c r="E98" s="226"/>
      <c r="F98" s="226"/>
      <c r="G98" s="226"/>
      <c r="H98" s="226"/>
      <c r="I98" s="227"/>
    </row>
    <row r="99" spans="1:9" ht="18.75" customHeight="1" x14ac:dyDescent="0.2">
      <c r="A99" s="1"/>
      <c r="B99" s="225"/>
      <c r="C99" s="226"/>
      <c r="D99" s="226"/>
      <c r="E99" s="226"/>
      <c r="F99" s="226"/>
      <c r="G99" s="226"/>
      <c r="H99" s="226"/>
      <c r="I99" s="227"/>
    </row>
    <row r="100" spans="1:9" ht="18.75" customHeight="1" x14ac:dyDescent="0.2">
      <c r="A100" s="1"/>
      <c r="B100" s="225"/>
      <c r="C100" s="226"/>
      <c r="D100" s="226"/>
      <c r="E100" s="226"/>
      <c r="F100" s="226"/>
      <c r="G100" s="226"/>
      <c r="H100" s="226"/>
      <c r="I100" s="227"/>
    </row>
    <row r="101" spans="1:9" ht="18.75" customHeight="1" x14ac:dyDescent="0.2">
      <c r="A101" s="1"/>
      <c r="B101" s="225"/>
      <c r="C101" s="226"/>
      <c r="D101" s="226"/>
      <c r="E101" s="226"/>
      <c r="F101" s="226"/>
      <c r="G101" s="226"/>
      <c r="H101" s="226"/>
      <c r="I101" s="227"/>
    </row>
    <row r="102" spans="1:9" ht="18.75" customHeight="1" x14ac:dyDescent="0.2">
      <c r="A102" s="1"/>
      <c r="B102" s="225"/>
      <c r="C102" s="226"/>
      <c r="D102" s="226"/>
      <c r="E102" s="226"/>
      <c r="F102" s="226"/>
      <c r="G102" s="226"/>
      <c r="H102" s="226"/>
      <c r="I102" s="227"/>
    </row>
    <row r="103" spans="1:9" ht="18.75" customHeight="1" x14ac:dyDescent="0.2">
      <c r="A103" s="1"/>
      <c r="B103" s="225"/>
      <c r="C103" s="226"/>
      <c r="D103" s="226"/>
      <c r="E103" s="226"/>
      <c r="F103" s="226"/>
      <c r="G103" s="226"/>
      <c r="H103" s="226"/>
      <c r="I103" s="227"/>
    </row>
    <row r="104" spans="1:9" ht="18.75" customHeight="1" x14ac:dyDescent="0.2">
      <c r="A104" s="1"/>
      <c r="B104" s="225"/>
      <c r="C104" s="226"/>
      <c r="D104" s="226"/>
      <c r="E104" s="226"/>
      <c r="F104" s="226"/>
      <c r="G104" s="226"/>
      <c r="H104" s="226"/>
      <c r="I104" s="227"/>
    </row>
    <row r="105" spans="1:9" ht="18.75" customHeight="1" x14ac:dyDescent="0.2">
      <c r="A105" s="4"/>
      <c r="B105" s="228"/>
      <c r="C105" s="229"/>
      <c r="D105" s="229"/>
      <c r="E105" s="229"/>
      <c r="F105" s="229"/>
      <c r="G105" s="229"/>
      <c r="H105" s="229"/>
      <c r="I105" s="230"/>
    </row>
    <row r="106" spans="1:9" ht="7.5" customHeight="1" x14ac:dyDescent="0.2">
      <c r="A106" s="4"/>
      <c r="B106" s="4"/>
      <c r="C106" s="4"/>
      <c r="D106" s="4"/>
      <c r="E106" s="4"/>
      <c r="F106" s="4"/>
      <c r="G106" s="4"/>
      <c r="H106" s="4"/>
      <c r="I106" s="4"/>
    </row>
    <row r="107" spans="1:9" ht="18.75" customHeight="1" x14ac:dyDescent="0.2">
      <c r="A107" s="1" t="s">
        <v>100</v>
      </c>
      <c r="B107" s="231" t="s">
        <v>133</v>
      </c>
      <c r="C107" s="231"/>
      <c r="D107" s="231"/>
      <c r="E107" s="231"/>
      <c r="F107" s="231"/>
      <c r="G107" s="231"/>
      <c r="H107" s="231"/>
      <c r="I107" s="231"/>
    </row>
    <row r="108" spans="1:9" ht="18.75" customHeight="1" x14ac:dyDescent="0.2">
      <c r="A108" s="4"/>
      <c r="B108" s="222" t="s">
        <v>134</v>
      </c>
      <c r="C108" s="223"/>
      <c r="D108" s="223"/>
      <c r="E108" s="223"/>
      <c r="F108" s="223"/>
      <c r="G108" s="223"/>
      <c r="H108" s="223"/>
      <c r="I108" s="224"/>
    </row>
    <row r="109" spans="1:9" ht="18.75" customHeight="1" x14ac:dyDescent="0.2">
      <c r="A109" s="4"/>
      <c r="B109" s="225"/>
      <c r="C109" s="226"/>
      <c r="D109" s="226"/>
      <c r="E109" s="226"/>
      <c r="F109" s="226"/>
      <c r="G109" s="226"/>
      <c r="H109" s="226"/>
      <c r="I109" s="227"/>
    </row>
    <row r="110" spans="1:9" ht="18.75" customHeight="1" x14ac:dyDescent="0.2">
      <c r="A110" s="4"/>
      <c r="B110" s="225"/>
      <c r="C110" s="226"/>
      <c r="D110" s="226"/>
      <c r="E110" s="226"/>
      <c r="F110" s="226"/>
      <c r="G110" s="226"/>
      <c r="H110" s="226"/>
      <c r="I110" s="227"/>
    </row>
    <row r="111" spans="1:9" ht="18.75" customHeight="1" x14ac:dyDescent="0.2">
      <c r="A111" s="4"/>
      <c r="B111" s="225"/>
      <c r="C111" s="226"/>
      <c r="D111" s="226"/>
      <c r="E111" s="226"/>
      <c r="F111" s="226"/>
      <c r="G111" s="226"/>
      <c r="H111" s="226"/>
      <c r="I111" s="227"/>
    </row>
    <row r="112" spans="1:9" ht="18.75" customHeight="1" x14ac:dyDescent="0.2">
      <c r="A112" s="4"/>
      <c r="B112" s="225"/>
      <c r="C112" s="226"/>
      <c r="D112" s="226"/>
      <c r="E112" s="226"/>
      <c r="F112" s="226"/>
      <c r="G112" s="226"/>
      <c r="H112" s="226"/>
      <c r="I112" s="227"/>
    </row>
    <row r="113" spans="1:9" ht="18.75" customHeight="1" x14ac:dyDescent="0.2">
      <c r="A113" s="4"/>
      <c r="B113" s="225"/>
      <c r="C113" s="226"/>
      <c r="D113" s="226"/>
      <c r="E113" s="226"/>
      <c r="F113" s="226"/>
      <c r="G113" s="226"/>
      <c r="H113" s="226"/>
      <c r="I113" s="227"/>
    </row>
    <row r="114" spans="1:9" ht="18.75" customHeight="1" x14ac:dyDescent="0.2">
      <c r="A114" s="4"/>
      <c r="B114" s="225"/>
      <c r="C114" s="226"/>
      <c r="D114" s="226"/>
      <c r="E114" s="226"/>
      <c r="F114" s="226"/>
      <c r="G114" s="226"/>
      <c r="H114" s="226"/>
      <c r="I114" s="227"/>
    </row>
    <row r="115" spans="1:9" ht="18.75" customHeight="1" x14ac:dyDescent="0.2">
      <c r="A115" s="4"/>
      <c r="B115" s="225"/>
      <c r="C115" s="226"/>
      <c r="D115" s="226"/>
      <c r="E115" s="226"/>
      <c r="F115" s="226"/>
      <c r="G115" s="226"/>
      <c r="H115" s="226"/>
      <c r="I115" s="227"/>
    </row>
    <row r="116" spans="1:9" ht="18.75" customHeight="1" x14ac:dyDescent="0.2">
      <c r="A116" s="4"/>
      <c r="B116" s="225"/>
      <c r="C116" s="226"/>
      <c r="D116" s="226"/>
      <c r="E116" s="226"/>
      <c r="F116" s="226"/>
      <c r="G116" s="226"/>
      <c r="H116" s="226"/>
      <c r="I116" s="227"/>
    </row>
    <row r="117" spans="1:9" ht="18.75" customHeight="1" x14ac:dyDescent="0.2">
      <c r="A117" s="4"/>
      <c r="B117" s="225"/>
      <c r="C117" s="226"/>
      <c r="D117" s="226"/>
      <c r="E117" s="226"/>
      <c r="F117" s="226"/>
      <c r="G117" s="226"/>
      <c r="H117" s="226"/>
      <c r="I117" s="227"/>
    </row>
    <row r="118" spans="1:9" ht="18.75" customHeight="1" x14ac:dyDescent="0.2">
      <c r="A118" s="4"/>
      <c r="B118" s="225"/>
      <c r="C118" s="226"/>
      <c r="D118" s="226"/>
      <c r="E118" s="226"/>
      <c r="F118" s="226"/>
      <c r="G118" s="226"/>
      <c r="H118" s="226"/>
      <c r="I118" s="227"/>
    </row>
    <row r="119" spans="1:9" ht="18.75" customHeight="1" x14ac:dyDescent="0.2">
      <c r="A119" s="4"/>
      <c r="B119" s="228"/>
      <c r="C119" s="229"/>
      <c r="D119" s="229"/>
      <c r="E119" s="229"/>
      <c r="F119" s="229"/>
      <c r="G119" s="229"/>
      <c r="H119" s="229"/>
      <c r="I119" s="230"/>
    </row>
    <row r="120" spans="1:9" ht="7.5" customHeight="1" x14ac:dyDescent="0.2">
      <c r="A120" s="4"/>
      <c r="B120" s="42"/>
      <c r="C120" s="42"/>
      <c r="D120" s="42"/>
      <c r="E120" s="42"/>
      <c r="F120" s="42"/>
      <c r="G120" s="42"/>
      <c r="H120" s="42"/>
      <c r="I120" s="42"/>
    </row>
    <row r="121" spans="1:9" ht="18.75" customHeight="1" x14ac:dyDescent="0.2">
      <c r="A121" s="4"/>
      <c r="B121" s="4"/>
      <c r="C121" s="4"/>
      <c r="D121" s="4"/>
      <c r="E121" s="4"/>
      <c r="F121" s="4"/>
      <c r="G121" s="4"/>
      <c r="H121" s="4"/>
      <c r="I121" s="4"/>
    </row>
    <row r="122" spans="1:9" ht="18.75" customHeight="1" x14ac:dyDescent="0.2">
      <c r="A122" s="4"/>
      <c r="B122" s="4"/>
      <c r="C122" s="4"/>
      <c r="D122" s="4"/>
      <c r="E122" s="4"/>
      <c r="F122" s="4"/>
      <c r="G122" s="4"/>
      <c r="H122" s="4"/>
      <c r="I122" s="4"/>
    </row>
    <row r="123" spans="1:9" ht="18.75" customHeight="1" x14ac:dyDescent="0.2">
      <c r="A123" s="4"/>
      <c r="B123" s="4"/>
      <c r="C123" s="4"/>
      <c r="D123" s="4"/>
      <c r="E123" s="4"/>
      <c r="F123" s="4"/>
      <c r="G123" s="4"/>
      <c r="H123" s="4"/>
      <c r="I123" s="4"/>
    </row>
    <row r="124" spans="1:9" ht="18.75" customHeight="1" x14ac:dyDescent="0.2">
      <c r="A124" s="4"/>
      <c r="B124" s="4"/>
      <c r="C124" s="4"/>
      <c r="D124" s="4"/>
      <c r="E124" s="4"/>
      <c r="F124" s="4"/>
      <c r="G124" s="4"/>
      <c r="H124" s="4"/>
      <c r="I124" s="4"/>
    </row>
    <row r="125" spans="1:9" ht="18.75" customHeight="1" x14ac:dyDescent="0.2">
      <c r="A125" s="4"/>
      <c r="B125" s="4"/>
      <c r="C125" s="4"/>
      <c r="D125" s="4"/>
      <c r="E125" s="4"/>
      <c r="F125" s="4"/>
      <c r="G125" s="4"/>
      <c r="H125" s="4"/>
      <c r="I125" s="4"/>
    </row>
    <row r="126" spans="1:9" ht="18.75" customHeight="1" x14ac:dyDescent="0.2">
      <c r="A126" s="4"/>
      <c r="B126" s="4"/>
      <c r="C126" s="4"/>
      <c r="D126" s="4"/>
      <c r="E126" s="4"/>
      <c r="F126" s="4"/>
      <c r="G126" s="4"/>
      <c r="H126" s="4"/>
      <c r="I126" s="4"/>
    </row>
    <row r="127" spans="1:9" ht="18.75" customHeight="1" x14ac:dyDescent="0.2">
      <c r="A127" s="4"/>
      <c r="B127" s="4"/>
      <c r="C127" s="4"/>
      <c r="D127" s="4"/>
      <c r="E127" s="4"/>
      <c r="F127" s="4"/>
      <c r="G127" s="4"/>
      <c r="H127" s="4"/>
      <c r="I127" s="4"/>
    </row>
    <row r="128" spans="1:9" ht="18.75" customHeight="1" x14ac:dyDescent="0.2">
      <c r="A128" s="4"/>
      <c r="B128" s="4"/>
      <c r="C128" s="4"/>
      <c r="D128" s="4"/>
      <c r="E128" s="4"/>
      <c r="F128" s="4"/>
      <c r="G128" s="4"/>
      <c r="H128" s="4"/>
      <c r="I128" s="4"/>
    </row>
    <row r="129" spans="1:9" ht="18.75" customHeight="1" x14ac:dyDescent="0.2">
      <c r="A129" s="4"/>
      <c r="B129" s="4"/>
      <c r="C129" s="4"/>
      <c r="D129" s="4"/>
      <c r="E129" s="4"/>
      <c r="F129" s="4"/>
      <c r="G129" s="4"/>
      <c r="H129" s="4"/>
      <c r="I129" s="4"/>
    </row>
    <row r="130" spans="1:9" ht="18.75" customHeight="1" x14ac:dyDescent="0.2">
      <c r="A130" s="4"/>
      <c r="B130" s="4"/>
      <c r="C130" s="4"/>
      <c r="D130" s="4"/>
      <c r="E130" s="4"/>
      <c r="F130" s="4"/>
      <c r="G130" s="4"/>
      <c r="H130" s="4"/>
      <c r="I130" s="4"/>
    </row>
    <row r="131" spans="1:9" ht="18.75" customHeight="1" x14ac:dyDescent="0.2">
      <c r="A131" s="4"/>
      <c r="B131" s="4"/>
      <c r="C131" s="4"/>
      <c r="D131" s="4"/>
      <c r="E131" s="4"/>
      <c r="F131" s="4"/>
      <c r="G131" s="4"/>
      <c r="H131" s="4"/>
      <c r="I131" s="4"/>
    </row>
    <row r="132" spans="1:9" ht="18.75" customHeight="1" x14ac:dyDescent="0.2">
      <c r="A132" s="4"/>
      <c r="B132" s="4"/>
      <c r="C132" s="4"/>
      <c r="D132" s="4"/>
      <c r="E132" s="4"/>
      <c r="F132" s="4"/>
      <c r="G132" s="4"/>
      <c r="H132" s="4"/>
      <c r="I132" s="4"/>
    </row>
    <row r="133" spans="1:9" ht="14.4" x14ac:dyDescent="0.2">
      <c r="A133" s="4"/>
      <c r="B133" s="4"/>
      <c r="C133" s="4"/>
      <c r="D133" s="4"/>
      <c r="E133" s="4"/>
      <c r="F133" s="4"/>
      <c r="G133" s="4"/>
      <c r="H133" s="4"/>
      <c r="I133" s="4"/>
    </row>
    <row r="134" spans="1:9" ht="7.5" customHeight="1" x14ac:dyDescent="0.2">
      <c r="A134" s="43"/>
      <c r="B134" s="43"/>
      <c r="C134" s="43"/>
      <c r="D134" s="43"/>
      <c r="E134" s="43"/>
      <c r="F134" s="43"/>
      <c r="G134" s="43"/>
      <c r="H134" s="43"/>
      <c r="I134" s="43"/>
    </row>
  </sheetData>
  <mergeCells count="22">
    <mergeCell ref="B66:I77"/>
    <mergeCell ref="B80:I91"/>
    <mergeCell ref="C49:D49"/>
    <mergeCell ref="C50:D50"/>
    <mergeCell ref="F49:G49"/>
    <mergeCell ref="B52:I63"/>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topLeftCell="A15" zoomScale="75" zoomScaleNormal="100" zoomScaleSheetLayoutView="75" workbookViewId="0">
      <selection activeCell="E17" sqref="E17:I17"/>
    </sheetView>
  </sheetViews>
  <sheetFormatPr defaultColWidth="11.33203125" defaultRowHeight="22.5" customHeight="1" x14ac:dyDescent="0.2"/>
  <cols>
    <col min="1" max="3" width="2.88671875" style="1" customWidth="1"/>
    <col min="4" max="4" width="22.109375" style="1" customWidth="1"/>
    <col min="5" max="5" width="30.88671875" style="1" customWidth="1"/>
    <col min="6" max="7" width="7.88671875" style="1" customWidth="1"/>
    <col min="8" max="9" width="30.88671875" style="1" customWidth="1"/>
    <col min="10" max="10" width="4.109375" style="1" customWidth="1"/>
    <col min="11" max="16384" width="11.33203125" style="1"/>
  </cols>
  <sheetData>
    <row r="1" spans="1:9" ht="18.75" customHeight="1" x14ac:dyDescent="0.2">
      <c r="A1" s="1" t="s">
        <v>101</v>
      </c>
      <c r="I1" s="34" t="s">
        <v>102</v>
      </c>
    </row>
    <row r="2" spans="1:9" ht="18.75" customHeight="1" x14ac:dyDescent="0.2">
      <c r="H2" s="34" t="s">
        <v>1</v>
      </c>
      <c r="I2" s="33" t="str">
        <f>'様式１　プログラムを構成する授業科目'!C2</f>
        <v>叡啓大学</v>
      </c>
    </row>
    <row r="3" spans="1:9" ht="18.75" customHeight="1" x14ac:dyDescent="0.2">
      <c r="A3" s="179" t="s">
        <v>103</v>
      </c>
      <c r="B3" s="179"/>
      <c r="C3" s="179"/>
      <c r="D3" s="179"/>
      <c r="E3" s="179"/>
      <c r="F3" s="179"/>
      <c r="G3" s="179"/>
      <c r="H3" s="179"/>
      <c r="I3" s="179"/>
    </row>
    <row r="4" spans="1:9" ht="18.75" customHeight="1" x14ac:dyDescent="0.2">
      <c r="A4" s="5"/>
      <c r="B4" s="5"/>
      <c r="C4" s="5"/>
      <c r="D4" s="5"/>
      <c r="E4" s="5"/>
      <c r="F4" s="5"/>
      <c r="G4" s="5"/>
      <c r="H4" s="5"/>
      <c r="I4" s="5"/>
    </row>
    <row r="5" spans="1:9" ht="18.75" customHeight="1" x14ac:dyDescent="0.2">
      <c r="A5" s="1" t="s">
        <v>66</v>
      </c>
      <c r="B5" s="10" t="s">
        <v>104</v>
      </c>
      <c r="C5" s="5"/>
      <c r="D5" s="5"/>
      <c r="E5" s="5"/>
      <c r="F5" s="5"/>
      <c r="G5" s="5"/>
      <c r="H5" s="5"/>
      <c r="I5" s="5"/>
    </row>
    <row r="6" spans="1:9" ht="26.25" customHeight="1" x14ac:dyDescent="0.2">
      <c r="A6" s="5"/>
      <c r="B6" s="240" t="s">
        <v>119</v>
      </c>
      <c r="C6" s="277"/>
      <c r="D6" s="277"/>
      <c r="E6" s="277"/>
      <c r="F6" s="277"/>
      <c r="G6" s="277"/>
      <c r="H6" s="278"/>
      <c r="I6" s="3"/>
    </row>
    <row r="7" spans="1:9" ht="9" customHeight="1" x14ac:dyDescent="0.2">
      <c r="A7" s="5"/>
      <c r="B7" s="10"/>
      <c r="C7" s="10"/>
      <c r="D7" s="10"/>
      <c r="E7" s="10"/>
      <c r="F7" s="10"/>
      <c r="G7" s="10"/>
      <c r="H7" s="10"/>
      <c r="I7" s="3"/>
    </row>
    <row r="8" spans="1:9" ht="18.75" customHeight="1" x14ac:dyDescent="0.2">
      <c r="A8" s="5"/>
      <c r="B8" s="3"/>
      <c r="C8" s="3"/>
      <c r="D8" s="34" t="s">
        <v>75</v>
      </c>
      <c r="E8" s="33" t="s">
        <v>123</v>
      </c>
      <c r="F8" s="3"/>
      <c r="G8" s="34" t="s">
        <v>76</v>
      </c>
      <c r="H8" s="33" t="s">
        <v>124</v>
      </c>
      <c r="I8" s="3"/>
    </row>
    <row r="9" spans="1:9" ht="7.5" customHeight="1" x14ac:dyDescent="0.2">
      <c r="A9" s="5"/>
      <c r="B9" s="5"/>
      <c r="C9" s="5"/>
      <c r="D9" s="5"/>
      <c r="E9" s="5"/>
      <c r="F9" s="5"/>
      <c r="G9" s="5"/>
      <c r="H9" s="5"/>
      <c r="I9" s="5"/>
    </row>
    <row r="10" spans="1:9" ht="18.75" customHeight="1" x14ac:dyDescent="0.2">
      <c r="A10" s="1" t="s">
        <v>71</v>
      </c>
      <c r="B10" s="1" t="s">
        <v>105</v>
      </c>
      <c r="C10" s="4"/>
      <c r="D10" s="4"/>
      <c r="E10" s="4"/>
      <c r="F10" s="4"/>
      <c r="G10" s="4"/>
      <c r="H10" s="4"/>
      <c r="I10" s="4"/>
    </row>
    <row r="11" spans="1:9" ht="18.75" customHeight="1" x14ac:dyDescent="0.2">
      <c r="B11" s="108" t="s">
        <v>106</v>
      </c>
      <c r="C11" s="109"/>
      <c r="D11" s="110"/>
      <c r="E11" s="109" t="s">
        <v>107</v>
      </c>
      <c r="F11" s="109"/>
      <c r="G11" s="109"/>
      <c r="H11" s="109"/>
      <c r="I11" s="110"/>
    </row>
    <row r="12" spans="1:9" ht="26.25" customHeight="1" x14ac:dyDescent="0.2">
      <c r="B12" s="44" t="s">
        <v>108</v>
      </c>
      <c r="C12" s="50"/>
      <c r="D12" s="45"/>
      <c r="E12" s="51"/>
      <c r="F12" s="51"/>
      <c r="G12" s="51"/>
      <c r="H12" s="51"/>
      <c r="I12" s="45"/>
    </row>
    <row r="13" spans="1:9" ht="210.75" customHeight="1" x14ac:dyDescent="0.2">
      <c r="B13" s="46"/>
      <c r="C13" s="275" t="s">
        <v>109</v>
      </c>
      <c r="D13" s="276"/>
      <c r="E13" s="272" t="s">
        <v>159</v>
      </c>
      <c r="F13" s="273"/>
      <c r="G13" s="273"/>
      <c r="H13" s="273"/>
      <c r="I13" s="274"/>
    </row>
    <row r="14" spans="1:9" ht="210.75" customHeight="1" x14ac:dyDescent="0.2">
      <c r="B14" s="46"/>
      <c r="C14" s="270" t="s">
        <v>110</v>
      </c>
      <c r="D14" s="271"/>
      <c r="E14" s="272" t="s">
        <v>160</v>
      </c>
      <c r="F14" s="273"/>
      <c r="G14" s="273"/>
      <c r="H14" s="273"/>
      <c r="I14" s="274"/>
    </row>
    <row r="15" spans="1:9" ht="210.75" customHeight="1" x14ac:dyDescent="0.2">
      <c r="B15" s="46"/>
      <c r="C15" s="275" t="s">
        <v>111</v>
      </c>
      <c r="D15" s="276"/>
      <c r="E15" s="272" t="s">
        <v>161</v>
      </c>
      <c r="F15" s="273"/>
      <c r="G15" s="273"/>
      <c r="H15" s="273"/>
      <c r="I15" s="274"/>
    </row>
    <row r="16" spans="1:9" ht="210.75" customHeight="1" x14ac:dyDescent="0.2">
      <c r="B16" s="46"/>
      <c r="C16" s="275" t="s">
        <v>112</v>
      </c>
      <c r="D16" s="276"/>
      <c r="E16" s="272" t="s">
        <v>171</v>
      </c>
      <c r="F16" s="273"/>
      <c r="G16" s="273"/>
      <c r="H16" s="273"/>
      <c r="I16" s="274"/>
    </row>
    <row r="17" spans="2:9" ht="210.75" customHeight="1" x14ac:dyDescent="0.2">
      <c r="B17" s="47"/>
      <c r="C17" s="279" t="s">
        <v>162</v>
      </c>
      <c r="D17" s="280"/>
      <c r="E17" s="281" t="s">
        <v>163</v>
      </c>
      <c r="F17" s="282"/>
      <c r="G17" s="282"/>
      <c r="H17" s="282"/>
      <c r="I17" s="283"/>
    </row>
    <row r="18" spans="2:9" ht="24" customHeight="1" x14ac:dyDescent="0.2">
      <c r="B18" s="44" t="s">
        <v>113</v>
      </c>
      <c r="C18" s="48"/>
      <c r="D18" s="49"/>
      <c r="E18" s="100"/>
      <c r="F18" s="100"/>
      <c r="G18" s="100"/>
      <c r="H18" s="100"/>
      <c r="I18" s="101"/>
    </row>
    <row r="19" spans="2:9" ht="218.25" customHeight="1" x14ac:dyDescent="0.2">
      <c r="B19" s="46"/>
      <c r="C19" s="275" t="s">
        <v>164</v>
      </c>
      <c r="D19" s="276"/>
      <c r="E19" s="273" t="s">
        <v>125</v>
      </c>
      <c r="F19" s="273"/>
      <c r="G19" s="273"/>
      <c r="H19" s="273"/>
      <c r="I19" s="274"/>
    </row>
    <row r="20" spans="2:9" ht="218.25" customHeight="1" x14ac:dyDescent="0.2">
      <c r="B20" s="47"/>
      <c r="C20" s="279" t="s">
        <v>114</v>
      </c>
      <c r="D20" s="280"/>
      <c r="E20" s="282" t="s">
        <v>165</v>
      </c>
      <c r="F20" s="282"/>
      <c r="G20" s="282"/>
      <c r="H20" s="282"/>
      <c r="I20" s="283"/>
    </row>
    <row r="21" spans="2:9" ht="218.25" customHeight="1" x14ac:dyDescent="0.2">
      <c r="B21" s="289" t="s">
        <v>115</v>
      </c>
      <c r="C21" s="290"/>
      <c r="D21" s="291"/>
      <c r="E21" s="292" t="s">
        <v>166</v>
      </c>
      <c r="F21" s="292"/>
      <c r="G21" s="292"/>
      <c r="H21" s="292"/>
      <c r="I21" s="293"/>
    </row>
    <row r="22" spans="2:9" ht="218.25" customHeight="1" x14ac:dyDescent="0.2">
      <c r="B22" s="284" t="s">
        <v>167</v>
      </c>
      <c r="C22" s="285"/>
      <c r="D22" s="286"/>
      <c r="E22" s="287" t="s">
        <v>168</v>
      </c>
      <c r="F22" s="287"/>
      <c r="G22" s="287"/>
      <c r="H22" s="287"/>
      <c r="I22" s="288"/>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4"/>
      <c r="C28" s="14"/>
      <c r="D28" s="14"/>
      <c r="E28" s="14"/>
      <c r="F28" s="14"/>
      <c r="G28" s="14"/>
      <c r="H28" s="14"/>
      <c r="I28" s="14"/>
    </row>
    <row r="29" spans="2:9" ht="22.5" customHeight="1" x14ac:dyDescent="0.2">
      <c r="B29" s="14"/>
      <c r="C29" s="14"/>
      <c r="D29" s="14"/>
      <c r="E29" s="14"/>
      <c r="F29" s="14"/>
      <c r="G29" s="14"/>
      <c r="H29" s="14"/>
      <c r="I29" s="14"/>
    </row>
    <row r="30" spans="2:9" ht="22.5" customHeight="1" x14ac:dyDescent="0.2">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藪本　典子</cp:lastModifiedBy>
  <cp:revision/>
  <cp:lastPrinted>2023-04-28T04:46:21Z</cp:lastPrinted>
  <dcterms:created xsi:type="dcterms:W3CDTF">2011-06-14T05:32:50Z</dcterms:created>
  <dcterms:modified xsi:type="dcterms:W3CDTF">2023-07-20T00:30:03Z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