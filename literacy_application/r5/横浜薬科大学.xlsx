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327"/>
  <workbookPr defaultThemeVersion="124226"/>
  <mc:AlternateContent xmlns:mc="http://schemas.openxmlformats.org/markup-compatibility/2006">
    <mc:Choice Requires="x15">
      <x15ac:absPath xmlns:x15ac="http://schemas.microsoft.com/office/spreadsheetml/2010/11/ac" url="C:\Users\013225\Desktop\雑\その他\AI教育プログラム\申請様式\"/>
    </mc:Choice>
  </mc:AlternateContent>
  <xr:revisionPtr revIDLastSave="0" documentId="13_ncr:1_{E573A684-766A-48D0-9F9A-3C5D2098FF52}" xr6:coauthVersionLast="47" xr6:coauthVersionMax="47" xr10:uidLastSave="{00000000-0000-0000-0000-000000000000}"/>
  <bookViews>
    <workbookView xWindow="1035" yWindow="585" windowWidth="15960" windowHeight="9540" tabRatio="885" xr2:uid="{00000000-000D-0000-FFFF-FFFF00000000}"/>
  </bookViews>
  <sheets>
    <sheet name="★様式１プログラムを構成する授業科目（学部）" sheetId="44"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'★様式１プログラムを構成する授業科目（学部）'!$V$14:$V$16</definedName>
    <definedName name="_xlnm._FilterDatabase" localSheetId="1" hidden="1">'様式２ 履修者等数の実績'!#REF!</definedName>
    <definedName name="_xlnm.Print_Area" localSheetId="0">'★様式１プログラムを構成する授業科目（学部）'!$A$1:$S$129</definedName>
    <definedName name="_xlnm.Print_Area" localSheetId="2">'★様式３ 教育の質・履修者数を向上させるための体制・計画'!$A$1:$I$120</definedName>
    <definedName name="_xlnm.Print_Area" localSheetId="3">'★様式４　自己点検・評価'!$A$1:$I$22</definedName>
    <definedName name="_xlnm.Print_Area" localSheetId="1">'様式２ 履修者等数の実績'!$A$1:$AQ$32</definedName>
    <definedName name="_xlnm.Print_Titles" localSheetId="3">'★様式４　自己点検・評価'!$11:$11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2" i="40" l="1"/>
  <c r="I2" i="42" l="1"/>
  <c r="H2" i="41"/>
  <c r="AM2" i="40"/>
  <c r="AO32" i="40" l="1"/>
  <c r="AN32" i="40"/>
  <c r="AL32" i="40"/>
  <c r="AK32" i="40"/>
  <c r="AM31" i="40"/>
  <c r="AJ31" i="40"/>
  <c r="AM30" i="40"/>
  <c r="AJ30" i="40"/>
  <c r="AM29" i="40"/>
  <c r="AJ29" i="40"/>
  <c r="AM28" i="40"/>
  <c r="AJ28" i="40"/>
  <c r="AM27" i="40"/>
  <c r="AJ27" i="40"/>
  <c r="AM26" i="40"/>
  <c r="AJ26" i="40"/>
  <c r="AM25" i="40"/>
  <c r="AJ25" i="40"/>
  <c r="AM24" i="40"/>
  <c r="AJ24" i="40"/>
  <c r="AM23" i="40"/>
  <c r="AJ23" i="40"/>
  <c r="AM22" i="40"/>
  <c r="AJ22" i="40"/>
  <c r="AM21" i="40"/>
  <c r="AJ21" i="40"/>
  <c r="AM20" i="40"/>
  <c r="AJ20" i="40"/>
  <c r="AM19" i="40"/>
  <c r="AJ19" i="40"/>
  <c r="AM18" i="40"/>
  <c r="AJ18" i="40"/>
  <c r="AM17" i="40"/>
  <c r="AJ17" i="40"/>
  <c r="AM16" i="40"/>
  <c r="AJ16" i="40"/>
  <c r="AM15" i="40"/>
  <c r="AJ15" i="40"/>
  <c r="AM14" i="40"/>
  <c r="AJ14" i="40"/>
  <c r="AM13" i="40"/>
  <c r="AJ13" i="40"/>
  <c r="AM12" i="40"/>
  <c r="AJ12" i="40"/>
  <c r="AI32" i="40"/>
  <c r="AH32" i="40"/>
  <c r="AF32" i="40"/>
  <c r="AE32" i="40"/>
  <c r="AG31" i="40"/>
  <c r="AD31" i="40"/>
  <c r="AG30" i="40"/>
  <c r="AD30" i="40"/>
  <c r="AG29" i="40"/>
  <c r="AD29" i="40"/>
  <c r="AG28" i="40"/>
  <c r="AD28" i="40"/>
  <c r="AG27" i="40"/>
  <c r="AD27" i="40"/>
  <c r="AG26" i="40"/>
  <c r="AD26" i="40"/>
  <c r="AG25" i="40"/>
  <c r="AD25" i="40"/>
  <c r="AG24" i="40"/>
  <c r="AD24" i="40"/>
  <c r="AG23" i="40"/>
  <c r="AD23" i="40"/>
  <c r="AG22" i="40"/>
  <c r="AD22" i="40"/>
  <c r="AG21" i="40"/>
  <c r="AD21" i="40"/>
  <c r="AG20" i="40"/>
  <c r="AD20" i="40"/>
  <c r="AG19" i="40"/>
  <c r="AD19" i="40"/>
  <c r="AG18" i="40"/>
  <c r="AD18" i="40"/>
  <c r="AG17" i="40"/>
  <c r="AD17" i="40"/>
  <c r="AG16" i="40"/>
  <c r="AD16" i="40"/>
  <c r="AG15" i="40"/>
  <c r="AD15" i="40"/>
  <c r="AG14" i="40"/>
  <c r="AD14" i="40"/>
  <c r="AG13" i="40"/>
  <c r="AD13" i="40"/>
  <c r="AG12" i="40"/>
  <c r="AD12" i="40"/>
  <c r="AC32" i="40"/>
  <c r="AB32" i="40"/>
  <c r="Z32" i="40"/>
  <c r="Y32" i="40"/>
  <c r="AA31" i="40"/>
  <c r="X31" i="40"/>
  <c r="AA30" i="40"/>
  <c r="X30" i="40"/>
  <c r="AA29" i="40"/>
  <c r="X29" i="40"/>
  <c r="AA28" i="40"/>
  <c r="X28" i="40"/>
  <c r="AA27" i="40"/>
  <c r="X27" i="40"/>
  <c r="AA26" i="40"/>
  <c r="X26" i="40"/>
  <c r="AA25" i="40"/>
  <c r="X25" i="40"/>
  <c r="AA24" i="40"/>
  <c r="X24" i="40"/>
  <c r="AA23" i="40"/>
  <c r="X23" i="40"/>
  <c r="AA22" i="40"/>
  <c r="X22" i="40"/>
  <c r="AA21" i="40"/>
  <c r="X21" i="40"/>
  <c r="AA20" i="40"/>
  <c r="X20" i="40"/>
  <c r="AA19" i="40"/>
  <c r="X19" i="40"/>
  <c r="AA18" i="40"/>
  <c r="X18" i="40"/>
  <c r="AA17" i="40"/>
  <c r="X17" i="40"/>
  <c r="AA16" i="40"/>
  <c r="X16" i="40"/>
  <c r="AA15" i="40"/>
  <c r="X15" i="40"/>
  <c r="AA14" i="40"/>
  <c r="X14" i="40"/>
  <c r="AA13" i="40"/>
  <c r="X13" i="40"/>
  <c r="AA12" i="40"/>
  <c r="X12" i="40"/>
  <c r="W32" i="40"/>
  <c r="V32" i="40"/>
  <c r="T32" i="40"/>
  <c r="S32" i="40"/>
  <c r="U31" i="40"/>
  <c r="R31" i="40"/>
  <c r="U30" i="40"/>
  <c r="R30" i="40"/>
  <c r="U29" i="40"/>
  <c r="R29" i="40"/>
  <c r="U28" i="40"/>
  <c r="R28" i="40"/>
  <c r="U27" i="40"/>
  <c r="R27" i="40"/>
  <c r="U26" i="40"/>
  <c r="R26" i="40"/>
  <c r="U25" i="40"/>
  <c r="R25" i="40"/>
  <c r="U24" i="40"/>
  <c r="R24" i="40"/>
  <c r="U23" i="40"/>
  <c r="R23" i="40"/>
  <c r="U22" i="40"/>
  <c r="R22" i="40"/>
  <c r="U21" i="40"/>
  <c r="R21" i="40"/>
  <c r="U20" i="40"/>
  <c r="R20" i="40"/>
  <c r="U19" i="40"/>
  <c r="R19" i="40"/>
  <c r="U18" i="40"/>
  <c r="R18" i="40"/>
  <c r="U17" i="40"/>
  <c r="R17" i="40"/>
  <c r="U16" i="40"/>
  <c r="R16" i="40"/>
  <c r="U15" i="40"/>
  <c r="R15" i="40"/>
  <c r="U14" i="40"/>
  <c r="R14" i="40"/>
  <c r="U13" i="40"/>
  <c r="R13" i="40"/>
  <c r="U12" i="40"/>
  <c r="R12" i="40"/>
  <c r="Q32" i="40"/>
  <c r="P32" i="40"/>
  <c r="N32" i="40"/>
  <c r="M32" i="40"/>
  <c r="O31" i="40"/>
  <c r="L31" i="40"/>
  <c r="O30" i="40"/>
  <c r="L30" i="40"/>
  <c r="O29" i="40"/>
  <c r="L29" i="40"/>
  <c r="O28" i="40"/>
  <c r="L28" i="40"/>
  <c r="O27" i="40"/>
  <c r="L27" i="40"/>
  <c r="O26" i="40"/>
  <c r="L26" i="40"/>
  <c r="O25" i="40"/>
  <c r="L25" i="40"/>
  <c r="O24" i="40"/>
  <c r="L24" i="40"/>
  <c r="O23" i="40"/>
  <c r="L23" i="40"/>
  <c r="O22" i="40"/>
  <c r="L22" i="40"/>
  <c r="O21" i="40"/>
  <c r="L21" i="40"/>
  <c r="O20" i="40"/>
  <c r="L20" i="40"/>
  <c r="O19" i="40"/>
  <c r="L19" i="40"/>
  <c r="O18" i="40"/>
  <c r="L18" i="40"/>
  <c r="O17" i="40"/>
  <c r="L17" i="40"/>
  <c r="O16" i="40"/>
  <c r="L16" i="40"/>
  <c r="O15" i="40"/>
  <c r="L15" i="40"/>
  <c r="O14" i="40"/>
  <c r="L14" i="40"/>
  <c r="O13" i="40"/>
  <c r="L13" i="40"/>
  <c r="O12" i="40"/>
  <c r="L12" i="40"/>
  <c r="O32" i="40" l="1"/>
  <c r="AA32" i="40"/>
  <c r="AJ32" i="40"/>
  <c r="AM32" i="40"/>
  <c r="AG32" i="40"/>
  <c r="AD32" i="40"/>
  <c r="X32" i="40"/>
  <c r="R32" i="40"/>
  <c r="U32" i="40"/>
  <c r="L32" i="40"/>
  <c r="K32" i="40" l="1"/>
  <c r="J32" i="40"/>
  <c r="I31" i="40"/>
  <c r="I30" i="40"/>
  <c r="I29" i="40"/>
  <c r="I28" i="40"/>
  <c r="I27" i="40"/>
  <c r="I26" i="40"/>
  <c r="I25" i="40"/>
  <c r="I24" i="40"/>
  <c r="I23" i="40"/>
  <c r="I22" i="40"/>
  <c r="I21" i="40"/>
  <c r="I20" i="40"/>
  <c r="I19" i="40"/>
  <c r="I18" i="40"/>
  <c r="I17" i="40"/>
  <c r="I16" i="40"/>
  <c r="I15" i="40"/>
  <c r="I14" i="40"/>
  <c r="I13" i="40"/>
  <c r="I12" i="40"/>
  <c r="G32" i="40"/>
  <c r="H32" i="40"/>
  <c r="F13" i="40"/>
  <c r="AP13" i="40" s="1"/>
  <c r="F14" i="40"/>
  <c r="AP14" i="40" s="1"/>
  <c r="F15" i="40"/>
  <c r="AP15" i="40" s="1"/>
  <c r="F16" i="40"/>
  <c r="AP16" i="40" s="1"/>
  <c r="F17" i="40"/>
  <c r="AP17" i="40" s="1"/>
  <c r="F18" i="40"/>
  <c r="AP18" i="40" s="1"/>
  <c r="F19" i="40"/>
  <c r="AP19" i="40" s="1"/>
  <c r="F20" i="40"/>
  <c r="AP20" i="40" s="1"/>
  <c r="F21" i="40"/>
  <c r="AP21" i="40" s="1"/>
  <c r="F22" i="40"/>
  <c r="AP22" i="40" s="1"/>
  <c r="F23" i="40"/>
  <c r="AP23" i="40" s="1"/>
  <c r="F24" i="40"/>
  <c r="AP24" i="40" s="1"/>
  <c r="F25" i="40"/>
  <c r="AP25" i="40" s="1"/>
  <c r="F26" i="40"/>
  <c r="AP26" i="40" s="1"/>
  <c r="F27" i="40"/>
  <c r="AP27" i="40" s="1"/>
  <c r="F28" i="40"/>
  <c r="AP28" i="40" s="1"/>
  <c r="F29" i="40"/>
  <c r="AP29" i="40" s="1"/>
  <c r="F30" i="40"/>
  <c r="AP30" i="40" s="1"/>
  <c r="F31" i="40"/>
  <c r="AP31" i="40" s="1"/>
  <c r="AP12" i="40"/>
  <c r="AQ12" i="40" s="1"/>
  <c r="C32" i="40"/>
  <c r="I32" i="40" l="1"/>
  <c r="F32" i="40" l="1"/>
  <c r="E32" i="40"/>
  <c r="I50" i="41" s="1"/>
  <c r="D32" i="40"/>
  <c r="AQ31" i="40"/>
  <c r="AQ30" i="40"/>
  <c r="AQ29" i="40"/>
  <c r="AQ28" i="40"/>
  <c r="AQ27" i="40"/>
  <c r="AQ26" i="40"/>
  <c r="AQ25" i="40"/>
  <c r="AQ24" i="40"/>
  <c r="AQ23" i="40"/>
  <c r="AQ22" i="40"/>
  <c r="AQ21" i="40"/>
  <c r="AQ20" i="40"/>
  <c r="AQ19" i="40"/>
  <c r="AQ18" i="40"/>
  <c r="AQ17" i="40"/>
  <c r="AQ16" i="40"/>
  <c r="AQ15" i="40"/>
  <c r="AQ14" i="40"/>
  <c r="AQ13" i="40"/>
  <c r="AP32" i="40" l="1"/>
  <c r="AQ32" i="40" s="1"/>
</calcChain>
</file>

<file path=xl/sharedStrings.xml><?xml version="1.0" encoding="utf-8"?>
<sst xmlns="http://schemas.openxmlformats.org/spreadsheetml/2006/main" count="540" uniqueCount="218">
  <si>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</si>
  <si>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</si>
  <si>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</si>
  <si>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</si>
  <si>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</si>
  <si>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</si>
  <si>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</si>
  <si>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</si>
  <si>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</si>
  <si>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</si>
  <si>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</si>
  <si>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</si>
  <si>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</si>
  <si>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</si>
  <si>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</si>
  <si>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</si>
  <si>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</si>
  <si>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</si>
  <si>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</si>
  <si>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</si>
  <si>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</si>
  <si>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</si>
  <si>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</si>
  <si>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</si>
  <si>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</si>
  <si>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</si>
  <si>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</si>
  <si>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</si>
  <si>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</si>
  <si>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</si>
  <si>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</si>
  <si>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</si>
  <si>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</si>
  <si>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</si>
  <si>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</si>
  <si>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</si>
  <si>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</si>
  <si>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</si>
  <si>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</si>
  <si>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</si>
  <si>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</si>
  <si>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</si>
  <si>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</si>
  <si>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</si>
  <si>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</si>
  <si>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</si>
  <si>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</si>
  <si>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</si>
  <si>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</si>
  <si>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</si>
  <si>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</si>
  <si>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平成29年度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</si>
  <si>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</si>
  <si>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</si>
  <si>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</si>
  <si>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</si>
  <si>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</si>
  <si>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</si>
  <si>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</si>
  <si>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</si>
  <si>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</si>
  <si>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</si>
  <si>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</si>
  <si>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</si>
  <si>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</si>
  <si>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</si>
  <si>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</si>
  <si>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</si>
  <si>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</si>
  <si>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</si>
  <si>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</si>
  <si>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</si>
  <si>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</si>
  <si>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</si>
  <si>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</si>
  <si>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</si>
  <si>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</si>
  <si>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</si>
  <si>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</si>
  <si>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</si>
  <si>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</si>
  <si>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</si>
  <si>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</si>
  <si>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</si>
  <si>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</si>
  <si>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</si>
  <si>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</si>
  <si>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</si>
  <si>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令和４年度実績</t>
    <rPh sb="0" eb="2">
      <t>レイワ</t>
    </rPh>
    <rPh sb="3" eb="5">
      <t>ネンド</t>
    </rPh>
    <rPh sb="5" eb="7">
      <t>ジッセキ</t>
    </rPh>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</si>
  <si>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</si>
  <si>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</si>
  <si>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</si>
  <si>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</si>
  <si>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</si>
  <si>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</si>
  <si>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単位</t>
    <rPh sb="0" eb="2">
      <t>タンイ</t>
    </rPh>
    <phoneticPr fontId="1"/>
  </si>
  <si>
    <t>履修者数</t>
    <rPh sb="0" eb="3">
      <t>リシュウシャ</t>
    </rPh>
    <rPh sb="3" eb="4">
      <t>スウ</t>
    </rPh>
    <phoneticPr fontId="1"/>
  </si>
  <si>
    <t>合計</t>
    <rPh sb="0" eb="2">
      <t>ゴウケイ</t>
    </rPh>
    <phoneticPr fontId="1"/>
  </si>
  <si>
    <t>男性</t>
    <rPh sb="0" eb="2">
      <t>ダンセイ</t>
    </rPh>
    <phoneticPr fontId="1"/>
  </si>
  <si>
    <t>女性</t>
    <rPh sb="0" eb="2">
      <t>ジョセイ</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</si>
  <si>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</si>
  <si>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</si>
  <si>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</si>
  <si>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</si>
  <si>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</si>
  <si>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</si>
  <si>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</si>
  <si>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② 教育プログラムの修了要件</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</si>
  <si>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</si>
  <si>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</si>
  <si>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令和４年度以前より、履修することが必須のプログラムとして実施</t>
    <rPh sb="0" eb="2">
      <t>レイワ</t>
    </rPh>
    <rPh sb="3" eb="5">
      <t>ネンド</t>
    </rPh>
    <rPh sb="5" eb="7">
      <t>イゼン</t>
    </rPh>
    <phoneticPr fontId="1"/>
  </si>
  <si>
    <t>③ 修了要件</t>
    <phoneticPr fontId="1"/>
  </si>
  <si>
    <t>必要最低単位数</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</si>
  <si>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</si>
  <si>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</si>
  <si>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</si>
  <si>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</si>
  <si>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</si>
  <si>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</si>
  <si>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</si>
  <si>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</si>
  <si>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</si>
  <si>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</si>
  <si>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令和７年度までに履修必須とする計画</t>
    <rPh sb="3" eb="4">
      <t>ネン</t>
    </rPh>
    <phoneticPr fontId="1"/>
  </si>
  <si>
    <t>① 対象となる学部・学科名称</t>
    <phoneticPr fontId="1"/>
  </si>
  <si>
    <t>令和８年度以降に履修必須とする計画、又は未定</t>
    <rPh sb="18" eb="19">
      <t>マタ</t>
    </rPh>
    <rPh sb="20" eb="22">
      <t>ミテイ</t>
    </rPh>
    <phoneticPr fontId="1"/>
  </si>
  <si>
    <t>情報科学入門</t>
    <rPh sb="0" eb="4">
      <t>ジョウホウカガク</t>
    </rPh>
    <rPh sb="4" eb="6">
      <t>ニュウモン</t>
    </rPh>
    <phoneticPr fontId="1"/>
  </si>
  <si>
    <t>情報処理演習</t>
    <rPh sb="0" eb="6">
      <t>ジョウホウショリエンシュウ</t>
    </rPh>
    <phoneticPr fontId="1"/>
  </si>
  <si>
    <t>基礎統計学</t>
    <rPh sb="0" eb="2">
      <t>キソ</t>
    </rPh>
    <rPh sb="2" eb="5">
      <t>トウケイガク</t>
    </rPh>
    <phoneticPr fontId="1"/>
  </si>
  <si>
    <t>薬学概論</t>
    <rPh sb="0" eb="2">
      <t>ヤクガク</t>
    </rPh>
    <rPh sb="2" eb="4">
      <t>ガイロン</t>
    </rPh>
    <phoneticPr fontId="1"/>
  </si>
  <si>
    <t>社会薬学１</t>
    <rPh sb="0" eb="2">
      <t>シャカイ</t>
    </rPh>
    <rPh sb="2" eb="4">
      <t>ヤクガク</t>
    </rPh>
    <phoneticPr fontId="1"/>
  </si>
  <si>
    <t>医療倫理学</t>
    <rPh sb="0" eb="2">
      <t>イリョウ</t>
    </rPh>
    <rPh sb="2" eb="5">
      <t>リンリガク</t>
    </rPh>
    <phoneticPr fontId="1"/>
  </si>
  <si>
    <t>公衆衛生学</t>
    <rPh sb="0" eb="5">
      <t>コウシュウエイセイガク</t>
    </rPh>
    <phoneticPr fontId="1"/>
  </si>
  <si>
    <t>環境衛生学１</t>
    <rPh sb="0" eb="5">
      <t>カンキョウエイセイガク</t>
    </rPh>
    <phoneticPr fontId="1"/>
  </si>
  <si>
    <t>環境衛生学２</t>
    <rPh sb="0" eb="5">
      <t>カンキョウエイセイガク</t>
    </rPh>
    <phoneticPr fontId="1"/>
  </si>
  <si>
    <t>医薬品情報学</t>
    <rPh sb="0" eb="3">
      <t>イヤクヒン</t>
    </rPh>
    <rPh sb="3" eb="6">
      <t>ジョウホウガク</t>
    </rPh>
    <phoneticPr fontId="1"/>
  </si>
  <si>
    <t>臨床薬理学１</t>
    <rPh sb="0" eb="2">
      <t>リンショウ</t>
    </rPh>
    <rPh sb="2" eb="5">
      <t>ヤクリガク</t>
    </rPh>
    <phoneticPr fontId="1"/>
  </si>
  <si>
    <t>臨床薬理学２</t>
    <rPh sb="0" eb="2">
      <t>リンショウ</t>
    </rPh>
    <rPh sb="2" eb="5">
      <t>ヤクリガク</t>
    </rPh>
    <phoneticPr fontId="1"/>
  </si>
  <si>
    <t>食品衛生学</t>
    <rPh sb="0" eb="2">
      <t>ショクヒン</t>
    </rPh>
    <rPh sb="2" eb="5">
      <t>エイセイガク</t>
    </rPh>
    <phoneticPr fontId="1"/>
  </si>
  <si>
    <t>医療統計学</t>
    <rPh sb="0" eb="5">
      <t>イリョウトウケイガク</t>
    </rPh>
    <phoneticPr fontId="1"/>
  </si>
  <si>
    <t>○</t>
  </si>
  <si>
    <t>横浜薬科大学</t>
    <rPh sb="0" eb="2">
      <t>ヨコハマ</t>
    </rPh>
    <rPh sb="2" eb="4">
      <t>ヤッカ</t>
    </rPh>
    <rPh sb="4" eb="6">
      <t>ダイガク</t>
    </rPh>
    <phoneticPr fontId="1"/>
  </si>
  <si>
    <t>環境衛生学１</t>
    <rPh sb="0" eb="2">
      <t>カンキョウ</t>
    </rPh>
    <rPh sb="2" eb="5">
      <t>エイセイガク</t>
    </rPh>
    <phoneticPr fontId="1"/>
  </si>
  <si>
    <t>情報科学入門</t>
    <phoneticPr fontId="1"/>
  </si>
  <si>
    <t>情報処理演習</t>
    <phoneticPr fontId="1"/>
  </si>
  <si>
    <t>基礎数学</t>
    <rPh sb="0" eb="2">
      <t>キソ</t>
    </rPh>
    <rPh sb="2" eb="4">
      <t>スウガク</t>
    </rPh>
    <phoneticPr fontId="1"/>
  </si>
  <si>
    <t>基礎統計学</t>
    <phoneticPr fontId="1"/>
  </si>
  <si>
    <t>公衆衛生学</t>
    <phoneticPr fontId="1"/>
  </si>
  <si>
    <t>環境衛生学１</t>
    <phoneticPr fontId="1"/>
  </si>
  <si>
    <t>薬剤学実習３</t>
    <phoneticPr fontId="1"/>
  </si>
  <si>
    <t>医療情報学</t>
    <rPh sb="0" eb="2">
      <t>イリョウ</t>
    </rPh>
    <phoneticPr fontId="1"/>
  </si>
  <si>
    <t>臨床薬理学１</t>
    <phoneticPr fontId="1"/>
  </si>
  <si>
    <t>臨床解析学</t>
    <rPh sb="0" eb="2">
      <t>リンショウ</t>
    </rPh>
    <rPh sb="2" eb="5">
      <t>カイセキガク</t>
    </rPh>
    <phoneticPr fontId="1"/>
  </si>
  <si>
    <t>医薬品開発概論</t>
    <rPh sb="0" eb="5">
      <t>イヤクヒンカイハツ</t>
    </rPh>
    <rPh sb="5" eb="7">
      <t>ガイロン</t>
    </rPh>
    <phoneticPr fontId="1"/>
  </si>
  <si>
    <t>機能性物質学</t>
    <rPh sb="0" eb="3">
      <t>キノウセイ</t>
    </rPh>
    <rPh sb="3" eb="6">
      <t>ブッシツガク</t>
    </rPh>
    <phoneticPr fontId="1"/>
  </si>
  <si>
    <t>毒性学</t>
    <rPh sb="0" eb="3">
      <t>ドクセイガク</t>
    </rPh>
    <phoneticPr fontId="1"/>
  </si>
  <si>
    <t>臨床解析学</t>
    <rPh sb="0" eb="5">
      <t>リンショウカイセキガク</t>
    </rPh>
    <phoneticPr fontId="1"/>
  </si>
  <si>
    <t>漢方薬学科</t>
    <rPh sb="0" eb="2">
      <t>カンポウ</t>
    </rPh>
    <rPh sb="2" eb="5">
      <t>ヤクガクカ</t>
    </rPh>
    <phoneticPr fontId="1"/>
  </si>
  <si>
    <t>臨床薬学科</t>
    <rPh sb="0" eb="2">
      <t>リンショウ</t>
    </rPh>
    <rPh sb="2" eb="5">
      <t>ヤクガクカ</t>
    </rPh>
    <phoneticPr fontId="1"/>
  </si>
  <si>
    <t>健康薬学科</t>
    <rPh sb="0" eb="2">
      <t>ケンコウ</t>
    </rPh>
    <rPh sb="2" eb="5">
      <t>ヤクガクカ</t>
    </rPh>
    <phoneticPr fontId="1"/>
  </si>
  <si>
    <t>薬科学科</t>
    <rPh sb="0" eb="4">
      <t>ヤッカガッカ</t>
    </rPh>
    <phoneticPr fontId="1"/>
  </si>
  <si>
    <t>自己点検・評価委員会</t>
    <rPh sb="0" eb="4">
      <t>ジコテンケン</t>
    </rPh>
    <rPh sb="5" eb="7">
      <t>ヒョウカ</t>
    </rPh>
    <rPh sb="7" eb="10">
      <t>イインカイ</t>
    </rPh>
    <phoneticPr fontId="1"/>
  </si>
  <si>
    <t>千葉　康司</t>
    <rPh sb="0" eb="2">
      <t>チバ</t>
    </rPh>
    <rPh sb="3" eb="4">
      <t>ヤスシ</t>
    </rPh>
    <rPh sb="4" eb="5">
      <t>ツカサ</t>
    </rPh>
    <phoneticPr fontId="1"/>
  </si>
  <si>
    <t>自己点検・評価委員長</t>
    <rPh sb="0" eb="2">
      <t>ジコ</t>
    </rPh>
    <rPh sb="2" eb="4">
      <t>テンケン</t>
    </rPh>
    <rPh sb="5" eb="7">
      <t>ヒョウカ</t>
    </rPh>
    <rPh sb="7" eb="10">
      <t>イインチョウ</t>
    </rPh>
    <phoneticPr fontId="1"/>
  </si>
  <si>
    <t>横浜薬科大学リテラシープログラム</t>
    <rPh sb="0" eb="2">
      <t>ヨコハマ</t>
    </rPh>
    <rPh sb="2" eb="4">
      <t>ヤッカ</t>
    </rPh>
    <rPh sb="4" eb="6">
      <t>ダイガク</t>
    </rPh>
    <phoneticPr fontId="1"/>
  </si>
  <si>
    <t>学部・学科によって、修了要件は相違する</t>
  </si>
  <si>
    <t>教務委員会</t>
    <rPh sb="0" eb="2">
      <t>キョウム</t>
    </rPh>
    <rPh sb="2" eb="5">
      <t>イインカイ</t>
    </rPh>
    <phoneticPr fontId="1"/>
  </si>
  <si>
    <t>教務部長</t>
    <rPh sb="0" eb="2">
      <t>キョウム</t>
    </rPh>
    <rPh sb="2" eb="4">
      <t>ブチョウ</t>
    </rPh>
    <phoneticPr fontId="1"/>
  </si>
  <si>
    <t>磯村　茂樹</t>
    <rPh sb="0" eb="2">
      <t>イソムラ</t>
    </rPh>
    <rPh sb="3" eb="5">
      <t>シゲキ</t>
    </rPh>
    <phoneticPr fontId="1"/>
  </si>
  <si>
    <t>教務委員会運営規程、FD委員会運営規程</t>
    <rPh sb="0" eb="5">
      <t>キョウムイインカイ</t>
    </rPh>
    <rPh sb="5" eb="7">
      <t>ウンエイ</t>
    </rPh>
    <rPh sb="7" eb="9">
      <t>キテイ</t>
    </rPh>
    <rPh sb="12" eb="15">
      <t>イインカイ</t>
    </rPh>
    <rPh sb="15" eb="17">
      <t>ウンエイ</t>
    </rPh>
    <rPh sb="17" eb="19">
      <t>キテイ</t>
    </rPh>
    <phoneticPr fontId="1"/>
  </si>
  <si>
    <t>教務（教学）に関する全般的事項を審議するための組織として教務委員会を設置している。データを活用し社会の課題を発見、解決できる人材を育成することを目的とした、数理・データサイエンス・AI教育の全学的な普及、関連科目の整備等についても教務委員会内にワーキング・グループを設置し改善・推進を進めている。
　また、教育方法及び教育内容の改善等に関しては、FD委員会とも連携を図りプログラムの総合的な改善・推進が図れるように努めている。</t>
    <rPh sb="0" eb="2">
      <t>キョウム</t>
    </rPh>
    <rPh sb="3" eb="5">
      <t>キョウガク</t>
    </rPh>
    <rPh sb="7" eb="8">
      <t>カン</t>
    </rPh>
    <rPh sb="10" eb="13">
      <t>ゼンパンテキ</t>
    </rPh>
    <rPh sb="13" eb="15">
      <t>ジコウ</t>
    </rPh>
    <rPh sb="16" eb="18">
      <t>シンギ</t>
    </rPh>
    <rPh sb="23" eb="25">
      <t>ソシキ</t>
    </rPh>
    <rPh sb="28" eb="30">
      <t>キョウム</t>
    </rPh>
    <rPh sb="30" eb="33">
      <t>イインカイ</t>
    </rPh>
    <rPh sb="34" eb="36">
      <t>セッチ</t>
    </rPh>
    <rPh sb="109" eb="110">
      <t>トウ</t>
    </rPh>
    <rPh sb="115" eb="120">
      <t>キョウムイインカイ</t>
    </rPh>
    <rPh sb="120" eb="121">
      <t>ナイ</t>
    </rPh>
    <rPh sb="133" eb="135">
      <t>セッチ</t>
    </rPh>
    <rPh sb="136" eb="138">
      <t>カイゼン</t>
    </rPh>
    <rPh sb="139" eb="141">
      <t>スイシン</t>
    </rPh>
    <rPh sb="142" eb="143">
      <t>スス</t>
    </rPh>
    <rPh sb="153" eb="157">
      <t>キョウイクホウホウ</t>
    </rPh>
    <rPh sb="157" eb="158">
      <t>オヨ</t>
    </rPh>
    <rPh sb="159" eb="161">
      <t>キョウイク</t>
    </rPh>
    <rPh sb="161" eb="163">
      <t>ナイヨウ</t>
    </rPh>
    <rPh sb="164" eb="166">
      <t>カイゼン</t>
    </rPh>
    <rPh sb="166" eb="167">
      <t>トウ</t>
    </rPh>
    <rPh sb="168" eb="169">
      <t>カン</t>
    </rPh>
    <rPh sb="175" eb="178">
      <t>イインカイ</t>
    </rPh>
    <rPh sb="180" eb="182">
      <t>レンケイ</t>
    </rPh>
    <rPh sb="183" eb="184">
      <t>ハカ</t>
    </rPh>
    <rPh sb="191" eb="194">
      <t>ソウゴウテキ</t>
    </rPh>
    <rPh sb="195" eb="197">
      <t>カイゼン</t>
    </rPh>
    <rPh sb="198" eb="200">
      <t>スイシン</t>
    </rPh>
    <rPh sb="201" eb="202">
      <t>ハカ</t>
    </rPh>
    <rPh sb="207" eb="208">
      <t>ツト</t>
    </rPh>
    <phoneticPr fontId="1"/>
  </si>
  <si>
    <t>本プログラムの対象科目は、各学科における必修科目から構成され、学生全員が受講することになる。科目実施担当教員が教育コンテンツを作成するにあたっては、必要により基幹教員が作成を支援するとともに、作成された教育資料・コンテンツは学内のシステムにおいて共有できるように留意している。また、本学においては本プログラムにかかわらず各学生に指導教員を配当し、全学的な履修を支援・促進している。</t>
    <rPh sb="0" eb="1">
      <t>ホン</t>
    </rPh>
    <rPh sb="7" eb="9">
      <t>タイショウ</t>
    </rPh>
    <rPh sb="9" eb="11">
      <t>カモク</t>
    </rPh>
    <rPh sb="13" eb="16">
      <t>カクガッカ</t>
    </rPh>
    <rPh sb="20" eb="22">
      <t>ヒッシュウ</t>
    </rPh>
    <rPh sb="22" eb="24">
      <t>カモク</t>
    </rPh>
    <rPh sb="26" eb="28">
      <t>コウセイ</t>
    </rPh>
    <rPh sb="31" eb="33">
      <t>ガクセイ</t>
    </rPh>
    <rPh sb="33" eb="35">
      <t>ゼンイン</t>
    </rPh>
    <rPh sb="36" eb="38">
      <t>ジュコウ</t>
    </rPh>
    <rPh sb="46" eb="48">
      <t>カモク</t>
    </rPh>
    <rPh sb="48" eb="50">
      <t>ジッシ</t>
    </rPh>
    <rPh sb="50" eb="52">
      <t>タントウ</t>
    </rPh>
    <rPh sb="52" eb="54">
      <t>キョウイン</t>
    </rPh>
    <rPh sb="74" eb="76">
      <t>ヒツヨウ</t>
    </rPh>
    <rPh sb="79" eb="81">
      <t>キカン</t>
    </rPh>
    <rPh sb="81" eb="83">
      <t>キョウイン</t>
    </rPh>
    <rPh sb="84" eb="86">
      <t>サクセイ</t>
    </rPh>
    <rPh sb="96" eb="98">
      <t>サクセイ</t>
    </rPh>
    <rPh sb="101" eb="105">
      <t>キョウイクシリョウ</t>
    </rPh>
    <rPh sb="112" eb="114">
      <t>ガクナイ</t>
    </rPh>
    <rPh sb="123" eb="125">
      <t>キョウユウ</t>
    </rPh>
    <rPh sb="131" eb="133">
      <t>リュウイ</t>
    </rPh>
    <rPh sb="141" eb="143">
      <t>ホンガク</t>
    </rPh>
    <rPh sb="148" eb="149">
      <t>ホン</t>
    </rPh>
    <rPh sb="160" eb="161">
      <t>カク</t>
    </rPh>
    <rPh sb="161" eb="163">
      <t>ガクセイ</t>
    </rPh>
    <rPh sb="164" eb="166">
      <t>シドウ</t>
    </rPh>
    <rPh sb="166" eb="168">
      <t>キョウイン</t>
    </rPh>
    <rPh sb="169" eb="171">
      <t>ハイトウ</t>
    </rPh>
    <phoneticPr fontId="1"/>
  </si>
  <si>
    <t>本プログラムを構成する科目は全学必修科目であり、卒業要件として全員このプログラムの科目を履修、修了することが前提となっているため、履修者数・履修率向上に向けての特段の取り組みは行っていないが、成績不振等で単位修得が出来なくなることがないように、プログラム以外の科目と同様に個別指導を行い、学生のフォローを行っている。</t>
    <rPh sb="0" eb="1">
      <t>ホン</t>
    </rPh>
    <rPh sb="7" eb="9">
      <t>コウセイ</t>
    </rPh>
    <rPh sb="11" eb="13">
      <t>カモク</t>
    </rPh>
    <rPh sb="14" eb="16">
      <t>ゼンガク</t>
    </rPh>
    <rPh sb="16" eb="20">
      <t>ヒッシュウカモク</t>
    </rPh>
    <rPh sb="24" eb="26">
      <t>ソツギョウ</t>
    </rPh>
    <rPh sb="26" eb="28">
      <t>ヨウケン</t>
    </rPh>
    <rPh sb="31" eb="33">
      <t>ゼンイン</t>
    </rPh>
    <rPh sb="41" eb="43">
      <t>カモク</t>
    </rPh>
    <rPh sb="44" eb="46">
      <t>リシュウ</t>
    </rPh>
    <rPh sb="47" eb="49">
      <t>シュウリョウ</t>
    </rPh>
    <rPh sb="54" eb="56">
      <t>ゼンテイ</t>
    </rPh>
    <rPh sb="65" eb="69">
      <t>リシュウシャスウ</t>
    </rPh>
    <rPh sb="70" eb="72">
      <t>リシュウ</t>
    </rPh>
    <rPh sb="72" eb="73">
      <t>リツ</t>
    </rPh>
    <rPh sb="73" eb="75">
      <t>コウジョウ</t>
    </rPh>
    <rPh sb="76" eb="77">
      <t>ム</t>
    </rPh>
    <rPh sb="80" eb="82">
      <t>トクダン</t>
    </rPh>
    <rPh sb="83" eb="84">
      <t>ト</t>
    </rPh>
    <rPh sb="85" eb="86">
      <t>ク</t>
    </rPh>
    <rPh sb="88" eb="89">
      <t>オコナ</t>
    </rPh>
    <rPh sb="96" eb="98">
      <t>セイセキ</t>
    </rPh>
    <rPh sb="98" eb="100">
      <t>フシン</t>
    </rPh>
    <rPh sb="100" eb="101">
      <t>トウ</t>
    </rPh>
    <rPh sb="102" eb="104">
      <t>タンイ</t>
    </rPh>
    <rPh sb="104" eb="106">
      <t>シュウトク</t>
    </rPh>
    <rPh sb="107" eb="109">
      <t>デキ</t>
    </rPh>
    <rPh sb="127" eb="129">
      <t>イガイ</t>
    </rPh>
    <rPh sb="130" eb="132">
      <t>カモク</t>
    </rPh>
    <rPh sb="133" eb="135">
      <t>ドウヨウ</t>
    </rPh>
    <rPh sb="136" eb="138">
      <t>コベツ</t>
    </rPh>
    <rPh sb="138" eb="140">
      <t>シドウ</t>
    </rPh>
    <rPh sb="141" eb="142">
      <t>オコナ</t>
    </rPh>
    <rPh sb="144" eb="146">
      <t>ガクセイ</t>
    </rPh>
    <rPh sb="152" eb="153">
      <t>オコナ</t>
    </rPh>
    <phoneticPr fontId="1"/>
  </si>
  <si>
    <t xml:space="preserve">昨年度からの試行の開始であり、履修者は在学中であるため、進路・活躍状況、企業からの評価は未定であるものの、今までの就職進路の動向から、数理・データサイエンス等に係る分野での就職率は高いものがあり、今後は同分野での就職希望者も増加していくものと考えられ、本プログラムの重要性が高まるものと期待される。
</t>
    <rPh sb="0" eb="3">
      <t>サクネンド</t>
    </rPh>
    <rPh sb="6" eb="8">
      <t>シコウ</t>
    </rPh>
    <rPh sb="9" eb="11">
      <t>カイシ</t>
    </rPh>
    <rPh sb="15" eb="18">
      <t>リシュウシャ</t>
    </rPh>
    <rPh sb="19" eb="22">
      <t>ザイガクチュウ</t>
    </rPh>
    <rPh sb="28" eb="30">
      <t>シンロ</t>
    </rPh>
    <rPh sb="31" eb="35">
      <t>カツヤクジョウキョウ</t>
    </rPh>
    <rPh sb="36" eb="38">
      <t>キギョウ</t>
    </rPh>
    <rPh sb="41" eb="43">
      <t>ヒョウカ</t>
    </rPh>
    <rPh sb="44" eb="46">
      <t>ミテイ</t>
    </rPh>
    <rPh sb="53" eb="54">
      <t>イマ</t>
    </rPh>
    <rPh sb="86" eb="88">
      <t>シュウショク</t>
    </rPh>
    <rPh sb="98" eb="100">
      <t>コンゴ</t>
    </rPh>
    <rPh sb="101" eb="102">
      <t>ドウ</t>
    </rPh>
    <rPh sb="102" eb="104">
      <t>ブンヤ</t>
    </rPh>
    <rPh sb="106" eb="108">
      <t>シュウショク</t>
    </rPh>
    <rPh sb="108" eb="110">
      <t>キボウ</t>
    </rPh>
    <rPh sb="110" eb="111">
      <t>シャ</t>
    </rPh>
    <rPh sb="112" eb="114">
      <t>ゾウカ</t>
    </rPh>
    <rPh sb="121" eb="122">
      <t>カンガ</t>
    </rPh>
    <rPh sb="126" eb="127">
      <t>ホン</t>
    </rPh>
    <rPh sb="133" eb="135">
      <t>ジュウヨウ</t>
    </rPh>
    <rPh sb="135" eb="136">
      <t>セイ</t>
    </rPh>
    <rPh sb="137" eb="138">
      <t>タカ</t>
    </rPh>
    <rPh sb="143" eb="145">
      <t>キタイ</t>
    </rPh>
    <phoneticPr fontId="1"/>
  </si>
  <si>
    <t>目標を実現するために、令和３年度に、各学科の必修科目から数理・データサイエンス・AI教育にかかる科目を選定（全学必修）し、講義内容を見直し・修正を図るとともにプログラムの実施にかかる規程等を整備するとともに、基幹教員を選考し４年度の試行に対応した。各学科の必修科目でプログラムを構成しているため、他の教育科目と同様に従前の枠組みでの学生指導・支援等の学修サポートを活用・実施し、学生のプログラム履修を促進している。</t>
    <rPh sb="18" eb="19">
      <t>カク</t>
    </rPh>
    <rPh sb="19" eb="21">
      <t>ガッカ</t>
    </rPh>
    <rPh sb="22" eb="24">
      <t>ヒッシュウ</t>
    </rPh>
    <rPh sb="24" eb="26">
      <t>カモク</t>
    </rPh>
    <rPh sb="48" eb="50">
      <t>カモク</t>
    </rPh>
    <rPh sb="51" eb="53">
      <t>センテイ</t>
    </rPh>
    <rPh sb="54" eb="56">
      <t>ゼンガク</t>
    </rPh>
    <rPh sb="61" eb="65">
      <t>コウギナイヨウ</t>
    </rPh>
    <rPh sb="66" eb="68">
      <t>ミナオ</t>
    </rPh>
    <rPh sb="70" eb="72">
      <t>シュウセイ</t>
    </rPh>
    <rPh sb="73" eb="74">
      <t>ハカ</t>
    </rPh>
    <rPh sb="85" eb="87">
      <t>ジッシ</t>
    </rPh>
    <rPh sb="91" eb="93">
      <t>キテイ</t>
    </rPh>
    <rPh sb="93" eb="94">
      <t>トウ</t>
    </rPh>
    <rPh sb="95" eb="97">
      <t>セイビ</t>
    </rPh>
    <rPh sb="104" eb="106">
      <t>キカン</t>
    </rPh>
    <rPh sb="106" eb="108">
      <t>キョウイン</t>
    </rPh>
    <rPh sb="109" eb="111">
      <t>センコウ</t>
    </rPh>
    <rPh sb="113" eb="115">
      <t>ネンド</t>
    </rPh>
    <rPh sb="116" eb="118">
      <t>シコウ</t>
    </rPh>
    <rPh sb="119" eb="121">
      <t>タイオウ</t>
    </rPh>
    <rPh sb="124" eb="125">
      <t>カク</t>
    </rPh>
    <rPh sb="125" eb="127">
      <t>ガッカ</t>
    </rPh>
    <rPh sb="128" eb="130">
      <t>ヒッシュウ</t>
    </rPh>
    <rPh sb="130" eb="132">
      <t>カモク</t>
    </rPh>
    <rPh sb="139" eb="141">
      <t>コウセイ</t>
    </rPh>
    <rPh sb="148" eb="149">
      <t>タ</t>
    </rPh>
    <rPh sb="150" eb="152">
      <t>キョウイク</t>
    </rPh>
    <rPh sb="152" eb="154">
      <t>カモク</t>
    </rPh>
    <rPh sb="155" eb="157">
      <t>ドウヨウ</t>
    </rPh>
    <rPh sb="158" eb="160">
      <t>ジュウゼン</t>
    </rPh>
    <rPh sb="161" eb="163">
      <t>ワクグ</t>
    </rPh>
    <rPh sb="166" eb="167">
      <t>ガク</t>
    </rPh>
    <rPh sb="182" eb="184">
      <t>カツヨウ</t>
    </rPh>
    <phoneticPr fontId="1"/>
  </si>
  <si>
    <t>本プログラムは、各学科の必修科目から構成し段階的に修学を行えるよう、全年次を通して科目の履修を図るように計画している。
科目の履修・修得は全学生が対象であり、その状況の把握は、本プログラム以外の科目と同様、従前枠組みで実施しているが、特段の問題は生じていない。
プログラムの履修・修得に係る自己点検・評価にあたっては。必要により教務委員会、FD委員会とも連携し、カリキュラムの編成、学修、授業の支援、教育目的の達成状況とフィードバック、教育環境の整備等の項目を対象として実施を図っている。</t>
    <rPh sb="0" eb="1">
      <t>ホン</t>
    </rPh>
    <rPh sb="8" eb="9">
      <t>カク</t>
    </rPh>
    <rPh sb="9" eb="11">
      <t>ガッカ</t>
    </rPh>
    <rPh sb="12" eb="14">
      <t>ヒッシュウ</t>
    </rPh>
    <rPh sb="14" eb="16">
      <t>カモク</t>
    </rPh>
    <rPh sb="18" eb="20">
      <t>コウセイ</t>
    </rPh>
    <rPh sb="21" eb="24">
      <t>ダンカイテキ</t>
    </rPh>
    <rPh sb="25" eb="27">
      <t>シュウガク</t>
    </rPh>
    <rPh sb="28" eb="29">
      <t>オコナ</t>
    </rPh>
    <rPh sb="34" eb="37">
      <t>ゼンネンジ</t>
    </rPh>
    <rPh sb="38" eb="39">
      <t>トオ</t>
    </rPh>
    <rPh sb="41" eb="43">
      <t>カモク</t>
    </rPh>
    <rPh sb="44" eb="46">
      <t>リシュウ</t>
    </rPh>
    <rPh sb="47" eb="48">
      <t>ハカ</t>
    </rPh>
    <rPh sb="52" eb="54">
      <t>ケイカク</t>
    </rPh>
    <rPh sb="60" eb="62">
      <t>カモク</t>
    </rPh>
    <rPh sb="63" eb="65">
      <t>リシュウ</t>
    </rPh>
    <rPh sb="66" eb="68">
      <t>シュウトク</t>
    </rPh>
    <rPh sb="69" eb="70">
      <t>ゼン</t>
    </rPh>
    <rPh sb="70" eb="72">
      <t>ガクセイ</t>
    </rPh>
    <rPh sb="73" eb="75">
      <t>タイショウ</t>
    </rPh>
    <rPh sb="81" eb="83">
      <t>ジョウキョウ</t>
    </rPh>
    <rPh sb="84" eb="86">
      <t>ハアク</t>
    </rPh>
    <rPh sb="88" eb="89">
      <t>ホン</t>
    </rPh>
    <rPh sb="94" eb="96">
      <t>イガイ</t>
    </rPh>
    <rPh sb="97" eb="99">
      <t>カモク</t>
    </rPh>
    <rPh sb="100" eb="102">
      <t>ドウヨウ</t>
    </rPh>
    <rPh sb="103" eb="105">
      <t>ジュウゼン</t>
    </rPh>
    <rPh sb="105" eb="107">
      <t>ワクグ</t>
    </rPh>
    <rPh sb="109" eb="111">
      <t>ジッシ</t>
    </rPh>
    <rPh sb="117" eb="119">
      <t>トクダン</t>
    </rPh>
    <rPh sb="120" eb="122">
      <t>モンダイ</t>
    </rPh>
    <rPh sb="123" eb="124">
      <t>ショウ</t>
    </rPh>
    <rPh sb="137" eb="139">
      <t>リシュウ</t>
    </rPh>
    <rPh sb="140" eb="142">
      <t>シュウトク</t>
    </rPh>
    <rPh sb="143" eb="144">
      <t>カカ</t>
    </rPh>
    <rPh sb="145" eb="149">
      <t>ジコテンケン</t>
    </rPh>
    <rPh sb="150" eb="152">
      <t>ヒョウカ</t>
    </rPh>
    <rPh sb="159" eb="161">
      <t>ヒツヨウ</t>
    </rPh>
    <rPh sb="164" eb="169">
      <t>キョウムイインカイ</t>
    </rPh>
    <rPh sb="172" eb="175">
      <t>イインカイ</t>
    </rPh>
    <rPh sb="177" eb="179">
      <t>レンケイ</t>
    </rPh>
    <rPh sb="188" eb="190">
      <t>ヘンセイ</t>
    </rPh>
    <rPh sb="191" eb="193">
      <t>ガクシュウ</t>
    </rPh>
    <rPh sb="194" eb="196">
      <t>ジュギョウ</t>
    </rPh>
    <rPh sb="197" eb="199">
      <t>シエン</t>
    </rPh>
    <rPh sb="227" eb="229">
      <t>コウモク</t>
    </rPh>
    <rPh sb="230" eb="232">
      <t>タイショウ</t>
    </rPh>
    <rPh sb="235" eb="237">
      <t>ジッシ</t>
    </rPh>
    <rPh sb="238" eb="239">
      <t>ハカ</t>
    </rPh>
    <phoneticPr fontId="1"/>
  </si>
  <si>
    <t>創薬および医療、公衆衛生に関わる者として、数理・データサイエンス・AIの役割について説明できる。
創薬および医療、公衆衛生に関わる者として、データサイエンスの利活用について説明できる。
創薬および医療、公衆衛生に関わる者として、データを守る上での留意事項について説明できる。</t>
    <rPh sb="0" eb="2">
      <t>ソウヤク</t>
    </rPh>
    <rPh sb="5" eb="7">
      <t>イリョウ</t>
    </rPh>
    <rPh sb="8" eb="12">
      <t>コウシュウエイセイ</t>
    </rPh>
    <rPh sb="13" eb="14">
      <t>カカ</t>
    </rPh>
    <rPh sb="16" eb="17">
      <t>モノ</t>
    </rPh>
    <rPh sb="21" eb="23">
      <t>スウリ</t>
    </rPh>
    <rPh sb="36" eb="38">
      <t>ヤクワリ</t>
    </rPh>
    <rPh sb="42" eb="44">
      <t>セツメイ</t>
    </rPh>
    <rPh sb="79" eb="82">
      <t>リカツヨウ</t>
    </rPh>
    <rPh sb="118" eb="119">
      <t>マモ</t>
    </rPh>
    <rPh sb="120" eb="121">
      <t>ウエ</t>
    </rPh>
    <rPh sb="123" eb="127">
      <t>リュウイジコウ</t>
    </rPh>
    <phoneticPr fontId="1"/>
  </si>
  <si>
    <t>本プログラムを修了者は、まだ輩出されていないが、本学は薬科大学であり、医薬品等における有効性・安全性情報を理解し活用することは、教育プログラムの中で重要な位置づけにある。データサイエンスの発展を教育プログラムに反映させることは、薬学コアカリキュラムの改訂に準じて実施されていることから、産業界、特に薬業界からの要望は順次反映されていると考える。</t>
    <rPh sb="0" eb="1">
      <t>ホン</t>
    </rPh>
    <rPh sb="7" eb="9">
      <t>シュウリョウ</t>
    </rPh>
    <rPh sb="14" eb="16">
      <t>ハイシュツ</t>
    </rPh>
    <rPh sb="24" eb="26">
      <t>ホンガク</t>
    </rPh>
    <rPh sb="27" eb="31">
      <t>ヤッカダイガク</t>
    </rPh>
    <rPh sb="35" eb="38">
      <t>イヤクヒン</t>
    </rPh>
    <rPh sb="38" eb="39">
      <t>トウ</t>
    </rPh>
    <rPh sb="43" eb="46">
      <t>ユウコウセイ</t>
    </rPh>
    <rPh sb="47" eb="50">
      <t>アンゼンセイ</t>
    </rPh>
    <rPh sb="50" eb="52">
      <t>ジョウホウ</t>
    </rPh>
    <rPh sb="53" eb="55">
      <t>リカイ</t>
    </rPh>
    <rPh sb="56" eb="58">
      <t>カツヨウ</t>
    </rPh>
    <rPh sb="64" eb="66">
      <t>キョウイク</t>
    </rPh>
    <rPh sb="72" eb="73">
      <t>ナカ</t>
    </rPh>
    <rPh sb="74" eb="76">
      <t>ジュウヨウ</t>
    </rPh>
    <rPh sb="77" eb="79">
      <t>イチ</t>
    </rPh>
    <rPh sb="94" eb="96">
      <t>ハッテン</t>
    </rPh>
    <rPh sb="97" eb="99">
      <t>キョウイク</t>
    </rPh>
    <rPh sb="105" eb="107">
      <t>ハンエイ</t>
    </rPh>
    <rPh sb="114" eb="116">
      <t>ヤクガク</t>
    </rPh>
    <rPh sb="125" eb="127">
      <t>カイテイ</t>
    </rPh>
    <rPh sb="128" eb="129">
      <t>ジュン</t>
    </rPh>
    <rPh sb="131" eb="133">
      <t>ジッシ</t>
    </rPh>
    <rPh sb="143" eb="146">
      <t>サンギョウカイ</t>
    </rPh>
    <rPh sb="147" eb="148">
      <t>トク</t>
    </rPh>
    <rPh sb="149" eb="152">
      <t>ヤクギョウカイ</t>
    </rPh>
    <rPh sb="155" eb="157">
      <t>ヨウボウ</t>
    </rPh>
    <rPh sb="158" eb="160">
      <t>ジュンジ</t>
    </rPh>
    <rPh sb="160" eb="162">
      <t>ハンエイ</t>
    </rPh>
    <rPh sb="168" eb="169">
      <t>カンガ</t>
    </rPh>
    <phoneticPr fontId="1"/>
  </si>
  <si>
    <t>学期末のアンケートに基づき、各教員が担当科目につうて自己点検・評価を実施している。また、教育課題をデータ化し、自己点検・評価委員会、IR委員会、FD委員会及びSD委員会が、相互に連携して教育プログラムの自己点検・評価を実施している。さらに、FDプログラムの一貫として、教員が特色のある授業方法について共有化する機会を設け、授業を分かりやすくする環境が提供されている。</t>
    <rPh sb="0" eb="3">
      <t>ガッキマツ</t>
    </rPh>
    <rPh sb="10" eb="11">
      <t>モト</t>
    </rPh>
    <rPh sb="14" eb="17">
      <t>カクキョウイン</t>
    </rPh>
    <rPh sb="18" eb="22">
      <t>タントウカモク</t>
    </rPh>
    <rPh sb="26" eb="30">
      <t>ジコテンケン</t>
    </rPh>
    <rPh sb="31" eb="33">
      <t>ヒョウカ</t>
    </rPh>
    <rPh sb="34" eb="36">
      <t>ジッシ</t>
    </rPh>
    <rPh sb="46" eb="48">
      <t>カダイ</t>
    </rPh>
    <rPh sb="52" eb="53">
      <t>カ</t>
    </rPh>
    <rPh sb="93" eb="95">
      <t>キョウイク</t>
    </rPh>
    <rPh sb="128" eb="130">
      <t>イッカン</t>
    </rPh>
    <rPh sb="134" eb="136">
      <t>キョウイン</t>
    </rPh>
    <rPh sb="137" eb="139">
      <t>トクショク</t>
    </rPh>
    <rPh sb="142" eb="144">
      <t>ジュギョウ</t>
    </rPh>
    <rPh sb="144" eb="146">
      <t>ホウホウ</t>
    </rPh>
    <rPh sb="150" eb="153">
      <t>キョウユウカ</t>
    </rPh>
    <rPh sb="155" eb="157">
      <t>キカイ</t>
    </rPh>
    <rPh sb="158" eb="159">
      <t>モウ</t>
    </rPh>
    <rPh sb="161" eb="163">
      <t>ジュギョウ</t>
    </rPh>
    <rPh sb="164" eb="165">
      <t>ワ</t>
    </rPh>
    <rPh sb="172" eb="174">
      <t>カンキョウ</t>
    </rPh>
    <rPh sb="175" eb="177">
      <t>テイキョウ</t>
    </rPh>
    <phoneticPr fontId="1"/>
  </si>
  <si>
    <t>他の教育科目と同じ体制であり、本教育プログラムの授業についても、eｰlearningシステムに教育資料を蓄積し、多くの学生がいつでも講義の閲覧が可能な環境を構築している。
また、本学では令和２年度より、希望する学生全員に対してハンディタブレットを貸し出しており、全学生が当該プログラムの履修に必要な情報機材を提供している。</t>
    <rPh sb="0" eb="1">
      <t>タ</t>
    </rPh>
    <rPh sb="2" eb="4">
      <t>キョウイク</t>
    </rPh>
    <rPh sb="4" eb="6">
      <t>カモク</t>
    </rPh>
    <rPh sb="7" eb="8">
      <t>オナ</t>
    </rPh>
    <rPh sb="9" eb="11">
      <t>タイセイ</t>
    </rPh>
    <rPh sb="47" eb="49">
      <t>キョウイク</t>
    </rPh>
    <rPh sb="49" eb="51">
      <t>シリョウ</t>
    </rPh>
    <rPh sb="107" eb="109">
      <t>ゼンイン</t>
    </rPh>
    <phoneticPr fontId="1"/>
  </si>
  <si>
    <t>他の教育科目と同様にオフィースアワーを設定している。教育センター、担任、指導教員制度についても他の教育科目と同じ体制を取っている。</t>
    <rPh sb="0" eb="1">
      <t>タ</t>
    </rPh>
    <rPh sb="2" eb="4">
      <t>キョウイク</t>
    </rPh>
    <rPh sb="4" eb="6">
      <t>カモク</t>
    </rPh>
    <rPh sb="7" eb="9">
      <t>ドウヨウ</t>
    </rPh>
    <rPh sb="19" eb="21">
      <t>セッテイ</t>
    </rPh>
    <rPh sb="40" eb="42">
      <t>セイド</t>
    </rPh>
    <rPh sb="49" eb="51">
      <t>キョウイク</t>
    </rPh>
    <rPh sb="51" eb="53">
      <t>カモク</t>
    </rPh>
    <rPh sb="59" eb="60">
      <t>ト</t>
    </rPh>
    <phoneticPr fontId="1"/>
  </si>
  <si>
    <t>データサイエンスを必修科目に組み込み全員が学修できるようにしている。
本教育プログラムは、各学科の必修科目のみから構成され、卒業要件としても全員履修をすることが前提となっているため、個別に特段の取り組みは実施していない。
　科目の単位の修得率については、本プログラム以外の科目と同様に薬学教育センター、指導
担任制度により学生を指導教員が分担、連携して指導を行うことにより、その向上を図っている。</t>
    <rPh sb="9" eb="13">
      <t>ヒッシュウカモク</t>
    </rPh>
    <rPh sb="14" eb="15">
      <t>ク</t>
    </rPh>
    <rPh sb="16" eb="17">
      <t>コ</t>
    </rPh>
    <rPh sb="18" eb="20">
      <t>ゼンイン</t>
    </rPh>
    <rPh sb="21" eb="23">
      <t>ガクシュウ</t>
    </rPh>
    <rPh sb="35" eb="38">
      <t>ホンキョウイク</t>
    </rPh>
    <rPh sb="45" eb="48">
      <t>カクガッカ</t>
    </rPh>
    <rPh sb="49" eb="53">
      <t>ヒッシュウカモク</t>
    </rPh>
    <rPh sb="57" eb="59">
      <t>コウセイ</t>
    </rPh>
    <rPh sb="62" eb="66">
      <t>ソツギョウヨウケン</t>
    </rPh>
    <rPh sb="70" eb="72">
      <t>ゼンイン</t>
    </rPh>
    <rPh sb="72" eb="74">
      <t>リシュウ</t>
    </rPh>
    <rPh sb="80" eb="82">
      <t>ゼンテイ</t>
    </rPh>
    <rPh sb="91" eb="93">
      <t>コベツ</t>
    </rPh>
    <rPh sb="94" eb="96">
      <t>トクダン</t>
    </rPh>
    <rPh sb="97" eb="98">
      <t>ト</t>
    </rPh>
    <rPh sb="99" eb="100">
      <t>ク</t>
    </rPh>
    <rPh sb="102" eb="104">
      <t>ジッシ</t>
    </rPh>
    <rPh sb="112" eb="114">
      <t>カモク</t>
    </rPh>
    <rPh sb="115" eb="117">
      <t>タンイ</t>
    </rPh>
    <rPh sb="120" eb="121">
      <t>リツ</t>
    </rPh>
    <rPh sb="127" eb="128">
      <t>ホン</t>
    </rPh>
    <rPh sb="133" eb="135">
      <t>イガイ</t>
    </rPh>
    <rPh sb="136" eb="138">
      <t>カモク</t>
    </rPh>
    <rPh sb="139" eb="141">
      <t>ドウヨウ</t>
    </rPh>
    <rPh sb="142" eb="146">
      <t>ヤクガクキョウイク</t>
    </rPh>
    <rPh sb="154" eb="156">
      <t>タンニン</t>
    </rPh>
    <rPh sb="156" eb="158">
      <t>セイド</t>
    </rPh>
    <rPh sb="161" eb="163">
      <t>ガクセイ</t>
    </rPh>
    <rPh sb="164" eb="168">
      <t>シドウキョウイン</t>
    </rPh>
    <rPh sb="169" eb="171">
      <t>ブンタン</t>
    </rPh>
    <rPh sb="172" eb="174">
      <t>レンケイ</t>
    </rPh>
    <rPh sb="176" eb="178">
      <t>シドウ</t>
    </rPh>
    <rPh sb="179" eb="180">
      <t>オコナ</t>
    </rPh>
    <rPh sb="189" eb="191">
      <t>コウジョウ</t>
    </rPh>
    <rPh sb="192" eb="193">
      <t>ハカ</t>
    </rPh>
    <phoneticPr fontId="1"/>
  </si>
  <si>
    <t xml:space="preserve">本プログラムは各学科の必修科目から構成されていることから、学修成果における自己点検・評価体制は、本学薬学教育の自己点検・評価体制に包含されている。学修成果については、自己点検・評価委員会、IR委員会、FD委員会及びSD委員会が、各委員会の規程により組織され、それぞれが相互に連携する体制を構築し、計画・実施・検証-分析・改善の自己点検・評価を実施している。さらに、本プログラムに特化した自己点検・評価を、数理・データサイエンス・AI教育認定ワーキンググループが教務委員会の付属組織として実施している。
</t>
    <rPh sb="29" eb="31">
      <t>ガクシュウ</t>
    </rPh>
    <rPh sb="37" eb="41">
      <t>ジコテンケン</t>
    </rPh>
    <rPh sb="42" eb="46">
      <t>ヒョウカタイセイ</t>
    </rPh>
    <rPh sb="48" eb="50">
      <t>ホンガク</t>
    </rPh>
    <rPh sb="50" eb="54">
      <t>ヤクガクキョウイク</t>
    </rPh>
    <rPh sb="73" eb="77">
      <t>ガクシュウセイカ</t>
    </rPh>
    <rPh sb="148" eb="150">
      <t>ケイカク</t>
    </rPh>
    <rPh sb="151" eb="153">
      <t>ジッシ</t>
    </rPh>
    <rPh sb="171" eb="173">
      <t>ジッシ</t>
    </rPh>
    <rPh sb="182" eb="183">
      <t>ホン</t>
    </rPh>
    <rPh sb="189" eb="191">
      <t>トッカ</t>
    </rPh>
    <rPh sb="193" eb="197">
      <t>ジコテンケン</t>
    </rPh>
    <rPh sb="198" eb="200">
      <t>ヒョウカ</t>
    </rPh>
    <rPh sb="230" eb="235">
      <t>キョウムイインカイ</t>
    </rPh>
    <rPh sb="236" eb="238">
      <t>フゾク</t>
    </rPh>
    <rPh sb="238" eb="240">
      <t>ソシキ</t>
    </rPh>
    <rPh sb="243" eb="245">
      <t>ジッシ</t>
    </rPh>
    <phoneticPr fontId="1"/>
  </si>
  <si>
    <t>本プログラムにおいては、すべて必修科目であることから、特に推奨度等の検討はしていないが、学期末に実施するアンケートを収集・分析することにより、本科目履修の意義が理解できているか確認している。</t>
    <rPh sb="15" eb="19">
      <t>ヒッシュウカモク</t>
    </rPh>
    <rPh sb="27" eb="28">
      <t>トク</t>
    </rPh>
    <rPh sb="29" eb="31">
      <t>スイショウ</t>
    </rPh>
    <rPh sb="31" eb="32">
      <t>ド</t>
    </rPh>
    <rPh sb="32" eb="33">
      <t>トウ</t>
    </rPh>
    <rPh sb="34" eb="36">
      <t>ケントウ</t>
    </rPh>
    <rPh sb="44" eb="47">
      <t>ガッキマツ</t>
    </rPh>
    <rPh sb="48" eb="50">
      <t>ジッシ</t>
    </rPh>
    <rPh sb="58" eb="60">
      <t>シュウシュウ</t>
    </rPh>
    <rPh sb="61" eb="63">
      <t>ブンセキ</t>
    </rPh>
    <rPh sb="71" eb="74">
      <t>ホンカモク</t>
    </rPh>
    <rPh sb="74" eb="76">
      <t>リシュウ</t>
    </rPh>
    <rPh sb="77" eb="79">
      <t>イギ</t>
    </rPh>
    <rPh sb="80" eb="82">
      <t>リカイ</t>
    </rPh>
    <rPh sb="88" eb="90">
      <t>カクニン</t>
    </rPh>
    <phoneticPr fontId="1"/>
  </si>
  <si>
    <t>情報関連演習、実務実習、SGD等を通じて、有効性・安全性情報の収集、分析、活用について実践またはそれに近い環境で学修することにより、数理・データサイエンス・AIを学ぶ楽しさおよび意義を理解させている。その評価は、アンケートによって把握できている。</t>
    <rPh sb="0" eb="2">
      <t>ジョウホウ</t>
    </rPh>
    <rPh sb="2" eb="4">
      <t>カンレン</t>
    </rPh>
    <rPh sb="4" eb="6">
      <t>エンシュウ</t>
    </rPh>
    <rPh sb="7" eb="11">
      <t>ジツムジッシュウ</t>
    </rPh>
    <rPh sb="15" eb="16">
      <t>トウ</t>
    </rPh>
    <rPh sb="17" eb="18">
      <t>ツウ</t>
    </rPh>
    <rPh sb="21" eb="24">
      <t>ユウコウセイ</t>
    </rPh>
    <rPh sb="25" eb="28">
      <t>アンゼンセイ</t>
    </rPh>
    <rPh sb="28" eb="30">
      <t>ジョウホウ</t>
    </rPh>
    <rPh sb="31" eb="33">
      <t>シュウシュウ</t>
    </rPh>
    <rPh sb="34" eb="36">
      <t>ブンセキ</t>
    </rPh>
    <rPh sb="37" eb="39">
      <t>カツヨウ</t>
    </rPh>
    <rPh sb="43" eb="45">
      <t>ジッセン</t>
    </rPh>
    <rPh sb="51" eb="52">
      <t>チカ</t>
    </rPh>
    <rPh sb="53" eb="55">
      <t>カンキョウ</t>
    </rPh>
    <rPh sb="56" eb="58">
      <t>ガクシュウ</t>
    </rPh>
    <rPh sb="66" eb="68">
      <t>スウリ</t>
    </rPh>
    <rPh sb="81" eb="82">
      <t>マナ</t>
    </rPh>
    <rPh sb="83" eb="84">
      <t>タノ</t>
    </rPh>
    <rPh sb="89" eb="91">
      <t>イギ</t>
    </rPh>
    <rPh sb="92" eb="94">
      <t>リカイ</t>
    </rPh>
    <rPh sb="102" eb="104">
      <t>ヒョウカ</t>
    </rPh>
    <rPh sb="115" eb="117">
      <t>ハアク</t>
    </rPh>
    <phoneticPr fontId="1"/>
  </si>
  <si>
    <t>試験等による成績評価（中間・定期試験、課題レポート等）結果の確認の他、本プログラムにおいても各学科の必修科目と同様に、学期末にアンケートを収集し、各担当教員が内容の理解度を把握している。昨年度においては、概ね学生の理解度は良好であった。</t>
    <rPh sb="0" eb="2">
      <t>シケン</t>
    </rPh>
    <rPh sb="2" eb="3">
      <t>トウ</t>
    </rPh>
    <rPh sb="6" eb="8">
      <t>セイセキ</t>
    </rPh>
    <rPh sb="8" eb="10">
      <t>ヒョウカ</t>
    </rPh>
    <rPh sb="11" eb="13">
      <t>チュウカン</t>
    </rPh>
    <rPh sb="14" eb="16">
      <t>テイキ</t>
    </rPh>
    <rPh sb="16" eb="18">
      <t>シケン</t>
    </rPh>
    <rPh sb="19" eb="21">
      <t>カダイ</t>
    </rPh>
    <rPh sb="25" eb="26">
      <t>トウ</t>
    </rPh>
    <rPh sb="27" eb="29">
      <t>ケッカ</t>
    </rPh>
    <rPh sb="30" eb="32">
      <t>カクニン</t>
    </rPh>
    <rPh sb="33" eb="34">
      <t>ホカ</t>
    </rPh>
    <rPh sb="35" eb="36">
      <t>ホン</t>
    </rPh>
    <rPh sb="46" eb="49">
      <t>カクガッカ</t>
    </rPh>
    <rPh sb="50" eb="52">
      <t>ヒッシュウ</t>
    </rPh>
    <rPh sb="52" eb="54">
      <t>カモク</t>
    </rPh>
    <rPh sb="53" eb="54">
      <t>メ</t>
    </rPh>
    <rPh sb="55" eb="57">
      <t>ドウヨウ</t>
    </rPh>
    <rPh sb="59" eb="62">
      <t>ガッキマツ</t>
    </rPh>
    <rPh sb="69" eb="71">
      <t>シュウシュウ</t>
    </rPh>
    <rPh sb="73" eb="74">
      <t>カク</t>
    </rPh>
    <rPh sb="74" eb="78">
      <t>タントウキョウイン</t>
    </rPh>
    <rPh sb="79" eb="81">
      <t>ナイヨウ</t>
    </rPh>
    <rPh sb="82" eb="85">
      <t>リカイド</t>
    </rPh>
    <rPh sb="86" eb="88">
      <t>ハアク</t>
    </rPh>
    <rPh sb="93" eb="96">
      <t>サクネンド</t>
    </rPh>
    <rPh sb="102" eb="103">
      <t>オオム</t>
    </rPh>
    <rPh sb="104" eb="106">
      <t>ガクセイ</t>
    </rPh>
    <rPh sb="107" eb="110">
      <t>リカイド</t>
    </rPh>
    <rPh sb="111" eb="113">
      <t>リョウコウ</t>
    </rPh>
    <phoneticPr fontId="1"/>
  </si>
  <si>
    <t xml:space="preserve">薬学部学部長：加藤真介
教務委員会：教務部長　磯村茂樹、教務委員、教務課長
数理・データサイエンス・AI教育認定ワーキング：グループ長　千葉康司、
教務担当　本間敏弘、講義担当教員
</t>
    <phoneticPr fontId="1"/>
  </si>
  <si>
    <t>薬学部（漢方薬学科、臨床薬学科、健康薬学科、薬科学科）</t>
    <rPh sb="0" eb="3">
      <t>ヤクガクブ</t>
    </rPh>
    <rPh sb="4" eb="6">
      <t>カンポウ</t>
    </rPh>
    <rPh sb="6" eb="9">
      <t>ヤクガクカ</t>
    </rPh>
    <rPh sb="10" eb="12">
      <t>リンショウ</t>
    </rPh>
    <rPh sb="12" eb="15">
      <t>ヤクガクカ</t>
    </rPh>
    <rPh sb="16" eb="21">
      <t>ケンコウヤクガクカ</t>
    </rPh>
    <rPh sb="22" eb="24">
      <t>ヤッカ</t>
    </rPh>
    <rPh sb="24" eb="26">
      <t>ガッカ</t>
    </rPh>
    <phoneticPr fontId="1"/>
  </si>
  <si>
    <t>様式１</t>
    <rPh sb="0" eb="2">
      <t>ヨウシキ</t>
    </rPh>
    <phoneticPr fontId="1"/>
  </si>
  <si>
    <t>臨床薬理学2</t>
    <phoneticPr fontId="1"/>
  </si>
  <si>
    <t>薬学企業概論</t>
    <rPh sb="0" eb="2">
      <t>ヤクガク</t>
    </rPh>
    <rPh sb="2" eb="4">
      <t>キギョウ</t>
    </rPh>
    <rPh sb="4" eb="6">
      <t>ガイロン</t>
    </rPh>
    <phoneticPr fontId="1"/>
  </si>
  <si>
    <t>毒性学</t>
    <rPh sb="0" eb="2">
      <t>ドクセイ</t>
    </rPh>
    <rPh sb="2" eb="3">
      <t>ガク</t>
    </rPh>
    <phoneticPr fontId="1"/>
  </si>
  <si>
    <t>医薬品情報学</t>
    <phoneticPr fontId="1"/>
  </si>
  <si>
    <t>医療統計学</t>
    <rPh sb="0" eb="2">
      <t>イリョウ</t>
    </rPh>
    <rPh sb="2" eb="5">
      <t>トウケイガク</t>
    </rPh>
    <phoneticPr fontId="1"/>
  </si>
  <si>
    <t>薬剤学実習３</t>
    <rPh sb="0" eb="5">
      <t>ヤクザイガクジッシュウ</t>
    </rPh>
    <phoneticPr fontId="1"/>
  </si>
  <si>
    <t>0，5</t>
    <phoneticPr fontId="1"/>
  </si>
  <si>
    <t>情報科学入門（４回目）</t>
  </si>
  <si>
    <t>4‐2アルゴリズム基礎</t>
  </si>
  <si>
    <t>情報科学入門（６回目）</t>
  </si>
  <si>
    <t>4‐3データ構造とプログラミング基礎</t>
  </si>
  <si>
    <t>情報処理演習（７回目）</t>
  </si>
  <si>
    <t>4‐4時系列データ解析</t>
  </si>
  <si>
    <t>基礎数学（１～１０回目）</t>
  </si>
  <si>
    <t>4-1統計および数理基礎</t>
  </si>
  <si>
    <t>基礎統計学（１～１０回目）</t>
  </si>
  <si>
    <t>医療統計学（１～１０回目）</t>
  </si>
  <si>
    <t>・漢方薬学科・臨床薬学科・健康薬学科
　データを起点としたものの見方；「情報科学入門」（１回目）、「薬学概論」（１回目）、「臨床薬理学１」（１、２回目）、「薬剤学実習３」（１～４回目）
　人間の知的活動を起点としたものの見方：「情報処理演習」（１回目）、「社会薬学１」（１～５回目）
　データ駆動型社会　「基礎統計学」（１回目）、「医療倫理学」（１～4回目）
　人間の知的活動とAIの関係性　「医薬品情報学」（７～９回目）
　ビッグデータ　「環境衛生学２」（４、５回目）
・薬科学科
　データを起点としたものの見方：「情報科学入門」（１回目）、「薬学概論」（１回目）
　人間の知的活動を起点としたものの見方　「情報処理演習」（１回目）、「社会薬学１」（１～５回目）
　データ駆動型社会　「基礎統計学」（１回目）、「医療倫理学」（１～５回目）</t>
    <rPh sb="1" eb="3">
      <t>カンポウ</t>
    </rPh>
    <rPh sb="3" eb="6">
      <t>ヤクガクカ</t>
    </rPh>
    <rPh sb="7" eb="9">
      <t>リンショウ</t>
    </rPh>
    <rPh sb="9" eb="12">
      <t>ヤクガクカ</t>
    </rPh>
    <rPh sb="13" eb="15">
      <t>ケンコウ</t>
    </rPh>
    <rPh sb="15" eb="18">
      <t>ヤクガクカ</t>
    </rPh>
    <rPh sb="237" eb="241">
      <t>ヤッカガッカ</t>
    </rPh>
    <phoneticPr fontId="1"/>
  </si>
  <si>
    <t>・漢方薬学科・臨床薬学科・健康薬学科
　AI等を活用した新しいビジネスモデル：「情報科学入門」（１回目）、「臨床薬理学２」（１０回目）
　AI最新技術の活用例：「情報科学入門」（５回目）、「情報処理演習」（１０回目）、「環境衛生学１」（１、９回目）
　データ解析と推論：「公衆衛生学」（２～７回目）
・薬科学科
　AI等を活用した新しいビジネスモデル：「情報科学入門」（１回目）、「薬学企業概論」（８回目）、「臨床解析学」（１５回目）、　「医薬品開発概論」（１、１４回目）
　AI最新技術の活用例：「情報科学入門」（５回目）、「情報処理演習」（１０回目）、「機能性物質学」（１１～１４回目）、「毒性学」（７回目）</t>
    <phoneticPr fontId="1"/>
  </si>
  <si>
    <t>・漢方薬学科・臨床薬学科・健康薬学科
　仮説検証、知識発見、原因究明：「情報科学入門」（１回目）、
　研究開発：「情報処理演習」（９回目）、「薬学概論」（３～５回目）
　研究開発、知識発見、原因究明：「社会薬学１」（４、６～１１回目）
　研究開発、仮説検証、知識発見、原因究明：「医療統計学」（１～１０回目）
　研究開発、原因究明　「環境衛生学２」（４、５回目）、
　仮説検証　「臨床薬理学２」（１０回目）、「薬剤学実習３」（１～４回目）
　原因究明　「食品衛生学」（１～６回目）、「公衆衛生学」（２～７回目）
　原因究明、計画策定　「医薬品情報学」（２～９回目）
　データ・AI活用領域の広がり：「環境衛生学１」（１、９回目）
・薬科学科
　仮説検証、知識発見、原因究明：「情報科学入門」（１回目）、
　研究開発：「情報処理演習」（９回目）、「薬学概論」（５、７回目）、研究開発　「薬学企業概論」（８回目）、「医薬品開発概論」（１、１４回目）、「毒性学」（７、８回目）
　研究開発、知識発見、原因究明：「社会薬学１」（４、６～１１回目）、
　仮説検証　「臨床解析学」（１、２回目）、
　原因究明　「食品衛生学」（１、９回目）
　データ・AI活用領域の広がり：「機能性物質学」（１１～１４回目）</t>
    <phoneticPr fontId="1"/>
  </si>
  <si>
    <t>・漢方薬学科・臨床薬学科・健康薬学科
　データ解析：「情報科学入門」（３・４回目）、「基礎統計学」（２～１０回目）、「薬剤学実習３」（１～４回目）
　データ可視化：「情報処理演習」（２回目）、「公衆衛生学」（２～７回目）、「環境衛生学１」（１、９回目）、「環境衛生学２」（４、５回目）
　データ解析、データ可視化：「臨床薬理学１」（１、２回目）、「臨床薬理学２」（９、１０回目）、「医薬品情報学」
（２～９回目）、「医療統計学」（１～１０回目）
・薬科学科
　データ解析：「情報科学入門」（３・４回目）、「基礎統計学」（２～１０回目）、「医薬品開発概論」（１～６、１４、１５回目）
　データ可視化：「情報処理演習」（２回目）
　データ解析、データ可視化：「薬学企業概論」（８回目）、「臨床解析学」（１～６、８～１５回目）、「機能性物質学」（１１～１４回目）</t>
    <phoneticPr fontId="1"/>
  </si>
  <si>
    <t>・漢方薬学科・臨床薬学科・健康薬学科
　1次データ、2次データ、データのメタ化、調査データ、実験データ、構造化データ、非構造化データ：「情報科学入門」（１回目）
　調査データ：「情報処理演習」（８回目）、「食品衛生学」（１～６回目）、「医薬品情報学」（２～９回目）
　調査データ、実験データ：「基礎統計学」（５回目）、「臨床薬理学１」（１、２回目）、「医療統計学」（１～１０回目）
　データのオープン化：「社会薬学１」（１～５回目）
・薬科学科
　1次データ、2次データ、データのメタ化、調査データ、実験データ、構造化データ、非構造化データ：「情報科学入門」（１回目）
　調査データ：「情報処理演習」（８回目）、「食品衛生学」（１、９回目）　
　調査データ、実験データ　「基礎統計学」（５回目）
　データのオープン化　「社会薬学１」（６～１１回目）　</t>
    <phoneticPr fontId="1"/>
  </si>
  <si>
    <t>・漢方薬学科・臨床薬学科・健康薬学科
　データサイエンスのサイクル：「情報科学入門」（２回目）、
　データ解析と推論：「情報処理演習」（１０回目）、「臨床薬理学１」（１、２回目）、「公衆衛生学」（２～７回目）
　データサイエンスのサイクル、探索的データ解析、データ解析と推論　「臨床薬理学２」（１、２、４～１０回目）
　データサイエンスのサイクル：「環境衛生学１」（１、９回目）、「医薬品情報学」（２～９回目）、
　探索的データ解析、データ解析と推論：「医療統計学」（１～１０回目）、
　探索的データ解析：「薬剤学実習３」（４回目）、「環境衛生学２」（４、５回目）
・薬科学科
　データサイエンスのサイクル：「情報科学入門」（２回目）、
　データ解析と推論：「情報処理演習」（１０回目）、「機能性物質学」（１１～１４回目）
　探索的データ解析：「薬学企業概論」（８回目）、「医薬品開発概論」（３、１３、１４回目）
　データサイエンスのサイクル、探索的データ解析、データ解析と推論：「臨床解析学」（１～６、８～１５回目）
　課題解決に向けた提案：「毒性学」（７、８回目）</t>
    <phoneticPr fontId="1"/>
  </si>
  <si>
    <t>・漢方薬学科・臨床薬学科・健康薬学科
　個人情報保護：「情報科学入門」（３回目）、「臨床薬理学２」（１０回目）
　データ倫理：「情報処理演習」（８回目）、「基礎統計学」（１回目）、「医薬品情報学」（１～４回目）、
　データバイアス：「薬剤学実習３」（４回目）
・薬科学科
　個人情報保護：「情報科学入門」（３回目）、
　データ倫理：「情報処理演習」（８回目）、「基礎統計学」（１回目）、
　個人情報保護、データ倫理、データバイアス：「臨床解析学」（１、２、１４、１５回目）
　AI社会原則：「機能性物質学」（１１～１４回目）
　データバイアス：「毒性学」（７、８回目）</t>
    <rPh sb="131" eb="135">
      <t>ヤッカガッカ</t>
    </rPh>
    <phoneticPr fontId="1"/>
  </si>
  <si>
    <t>・漢方薬学科・臨床薬学科・健康薬学科
　情報セキュリティ：「情報科学入門」（５回目）、「薬学概論」（１、８回目）、「社会薬学１」（３～１１回目）、
「医療倫理学」（１～６、１４，１５回目）、「医薬品情報学」（１～４回目）、「薬剤学実習３」（４回目）
　暗号化、パスワード、悪意ある情報搾取：「情報処理演習」（１０回目）、
　匿名加工情報：「臨床薬理学２」（１０回目）、「環境衛生学１」（１、９回目）
・薬科学科
　情報セキュリティ：「情報科学入門」（５回目）、「薬学概論」（５、８回目）、「社会薬学１」（６～１１回目）、「薬学企業概論」（８回目）、「医療倫理学」（１～６、１４，１５回目）、「医薬品開発概論」（５、７回目）
　暗号化、パスワード、悪意ある情報搾取：「情報処理演習」（１０回目）
　匿名加工情報：「臨床解析学」（１、２回目）、「機能性物質学」（１１～１４回目）、「毒性学」（７、８回目）</t>
    <rPh sb="201" eb="205">
      <t>ヤッカガッカ</t>
    </rPh>
    <phoneticPr fontId="1"/>
  </si>
  <si>
    <t>・漢方薬学科・臨床薬学科・健康薬学科
　データの種類：「情報科学入門」（７回目）、「臨床薬理学１」（１、２回目）
　相関と因果：「情報処理演習」（３回目）、「公衆衛生学」（２～７回目）
　観測データに含まれる誤差の扱い：「基礎数学」（２回目）、
　データの種類、データの分布、代表値の性質の違い、データのばらつき、観測データに含まれる誤差、相関と因果、母集団と標本抽出：「基礎統計学」（１～１０回目）、
　統計情報の正しい理解：「食品衛生学」（６回目）、
　母集団と標本抽出：「食品衛生学」（６回目）、
　データの分布：「公衆衛生学」（２～７回目）、「環境衛生学１」（１、９回目）、「医薬品情報学」（５、９回目）、　
　データの分布、代表値の性質の違い、データのばらつき：「医療統計学」（１～１０回目）
　データのばらつき　「薬剤学実習３」（４回目）
・薬科学科
　データの種類：「情報科学入門」（７回目）、「毒性学」（７、８回目）
　相関と因果：「情報処理演習」（３回目）、
　観測データに含まれる誤差の扱い：「基礎数学」（２回目）、
　データの種類、データの分布、代表値の性質の違い、データのばらつき、観測データに含まれる誤差、相関と因果、母集団と標本抽出：「基礎統計学」（１～１０回目）、
　データの種類：「臨床解析学」（１、２回目）、
　統計情報の正しい理解：「食品衛生学」（１～４、９回目）、「機能性物質学」（１１回目）
　打ち切りや脱落を含むデータ、層別の必要なデータ：「医薬品開発概論」（４、５回目）　</t>
    <rPh sb="183" eb="184">
      <t>シュツ</t>
    </rPh>
    <rPh sb="529" eb="530">
      <t>シュツ</t>
    </rPh>
    <phoneticPr fontId="1"/>
  </si>
  <si>
    <t>・漢方薬学科・臨床薬学科・健康薬学科
　優れた可視化事例の紹介：「情報科学入門」（８回目）、「情報処理演習」（６回目）
　データ表現：「情報科学入門」（９、１０回目）、「情報処理演習」（４回目）、
　データの図表表現：「情報処理演習」（５回目）、
　データ表現：「基礎数学」（４、９～１５回目）、「臨床薬理学１」（１、２回目）、「臨床薬理学２」（１０回目）、「食品衛生学」（６回目）、「環境衛生学１」（１、９回目）、「医薬品情報学」（５、９回目）
　データ表現、データの図表表現、データの比較：「基礎統計学」（１～１０回目）、
　データの比較：「公衆衛生学」（２～７回目）、「医療統計学」（１～１０回目）、
　データ表現、データの比較：「薬剤学実習３」（４回目）
・薬科学科
　優れた可視化事例の紹介：「情報科学入門」（８回目）、「情報処理演習」（６回目）、「機能性物質学」（１２～１４回目）
　データ表現：「情報科学入門」（９、１０回目）、「情報処理演習」（４回目）、「基礎数学」（４、９～１５回目）、
「臨床解析学」（１、２回目）、「食品衛生学」（１～４、９回目）
　データの図表表現：「情報処理演習」（５回目）、、
　データ表現、データの図表表現、データの比較：「基礎統計学」（１～１０回目）
　データの比較：「毒性学」（７、８回目）</t>
    <rPh sb="333" eb="335">
      <t>ヤッカ</t>
    </rPh>
    <rPh sb="335" eb="337">
      <t>ガッカ</t>
    </rPh>
    <phoneticPr fontId="1"/>
  </si>
  <si>
    <t>・漢方薬学科・臨床薬学科・健康薬学科
　データ解析ツール：「情報科学入門」（７回目）、
　データの並び替え、ランキング：「情報処理演習」（９回目）、
　データの集計：「基礎数学」（１回目）、「臨床薬理学１」（１、２回目）、「医薬品情報学」（５、９回目）、「医療統計学」（１～１０回目）、「薬剤学実習３」（４回目）
　データの集計、データの並び替え、ランキング、データ解析ツール、表形式のデータ：「基礎統計学」（１～１０回目）
・薬科学科
　データ解析ツール：「情報科学入門」（７回目）、
　データの並び替え、ランキング：「情報処理演習」（９回目）、
　データの集計：「基礎数学」（１回目）、「臨床解析学」（１４、１５回目）、「機能性物質学」（１２～１４回目）
　データの集計、データの並び替え、ランキング、データ解析ツール、表形式のデータ：「基礎統計学」（１～１０回目）</t>
    <rPh sb="214" eb="218">
      <t>ヤッカガッカ</t>
    </rPh>
    <phoneticPr fontId="1"/>
  </si>
  <si>
    <t xml:space="preserve">プログラムを構成する科目（下記）から、必修科目及び学科指定科目を１３科目１７単位以上を修得するものとする。
・漢方薬学科、臨床薬学科、健康薬学科
（必修科目）　
教養科目：（１年次）情報科学入門、情報処理演習、基礎数学
専門科目：（１年次）基礎統計学、薬学概論、社会薬学１（２年次）食品衛生学（３年次）医療倫理学
（指定科目）
専門科目：（３年次）公衆衛生学、環境衛生学１、２（４年次）医療統計学、医薬品情報学、臨床薬理学１、２、薬剤学実習３
・薬科学科
（必須科目）
教養科目：（１年次）情報化学入門、情報処理演習、基礎数学
専門科目（必修）：（１年次）基礎統計学、薬学概論、社会薬学１（２年次）食品衛生学（３年次）医療倫理学、
（指定科目）
専門科目：（２年次）薬学企業概論、（３年次）臨床解析学、医薬品開発概論、機能性物質学（４年次）毒性学
</t>
    <rPh sb="6" eb="8">
      <t>コウセイ</t>
    </rPh>
    <rPh sb="10" eb="12">
      <t>カモク</t>
    </rPh>
    <rPh sb="13" eb="15">
      <t>カキ</t>
    </rPh>
    <rPh sb="19" eb="23">
      <t>ヒッシュウカモク</t>
    </rPh>
    <rPh sb="23" eb="24">
      <t>オヨ</t>
    </rPh>
    <rPh sb="25" eb="27">
      <t>ガッカ</t>
    </rPh>
    <rPh sb="27" eb="29">
      <t>シテイ</t>
    </rPh>
    <rPh sb="29" eb="31">
      <t>カモク</t>
    </rPh>
    <rPh sb="34" eb="36">
      <t>カモク</t>
    </rPh>
    <rPh sb="38" eb="40">
      <t>タンイ</t>
    </rPh>
    <rPh sb="40" eb="42">
      <t>イジョウ</t>
    </rPh>
    <rPh sb="43" eb="45">
      <t>シュウトク</t>
    </rPh>
    <rPh sb="55" eb="57">
      <t>カンポウ</t>
    </rPh>
    <rPh sb="57" eb="60">
      <t>ヤクガクカ</t>
    </rPh>
    <rPh sb="61" eb="63">
      <t>リンショウ</t>
    </rPh>
    <rPh sb="63" eb="66">
      <t>ヤクガクカ</t>
    </rPh>
    <rPh sb="67" eb="69">
      <t>ケンコウ</t>
    </rPh>
    <rPh sb="69" eb="72">
      <t>ヤクガクカ</t>
    </rPh>
    <rPh sb="74" eb="76">
      <t>ヒッシュウ</t>
    </rPh>
    <rPh sb="76" eb="78">
      <t>カモク</t>
    </rPh>
    <rPh sb="81" eb="83">
      <t>キョウヨウ</t>
    </rPh>
    <rPh sb="83" eb="85">
      <t>カモク</t>
    </rPh>
    <rPh sb="87" eb="89">
      <t>ネンジ</t>
    </rPh>
    <rPh sb="90" eb="92">
      <t>ジョウホウ</t>
    </rPh>
    <rPh sb="94" eb="96">
      <t>ニュウモン</t>
    </rPh>
    <rPh sb="97" eb="99">
      <t>ジョウホウ</t>
    </rPh>
    <rPh sb="99" eb="101">
      <t>ショリ</t>
    </rPh>
    <rPh sb="101" eb="103">
      <t>エンシュウ</t>
    </rPh>
    <rPh sb="104" eb="106">
      <t>キソ</t>
    </rPh>
    <rPh sb="164" eb="168">
      <t>センモンカモク</t>
    </rPh>
    <rPh sb="171" eb="173">
      <t>ネンジ</t>
    </rPh>
    <rPh sb="179" eb="184">
      <t>カンキョウエイセイガク</t>
    </rPh>
    <rPh sb="189" eb="191">
      <t>ネンジ</t>
    </rPh>
    <rPh sb="192" eb="194">
      <t>イリョウ</t>
    </rPh>
    <rPh sb="194" eb="197">
      <t>トウケイガク</t>
    </rPh>
    <rPh sb="198" eb="201">
      <t>イヤクヒン</t>
    </rPh>
    <rPh sb="201" eb="203">
      <t>ジョウホウ</t>
    </rPh>
    <rPh sb="203" eb="204">
      <t>ガク</t>
    </rPh>
    <rPh sb="207" eb="210">
      <t>ヤクリガク</t>
    </rPh>
    <rPh sb="217" eb="219">
      <t>ジッシュウ</t>
    </rPh>
    <rPh sb="222" eb="224">
      <t>ヤッカ</t>
    </rPh>
    <rPh sb="224" eb="226">
      <t>ガッカ</t>
    </rPh>
    <rPh sb="229" eb="231">
      <t>ヒッス</t>
    </rPh>
    <rPh sb="231" eb="233">
      <t>カモク</t>
    </rPh>
    <rPh sb="317" eb="319">
      <t>シテイ</t>
    </rPh>
    <rPh sb="319" eb="321">
      <t>カモク</t>
    </rPh>
    <rPh sb="323" eb="327">
      <t>センモンカモク</t>
    </rPh>
    <rPh sb="330" eb="332">
      <t>ネンジ</t>
    </rPh>
    <rPh sb="342" eb="344">
      <t>ネンジ</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</si>
</sst>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5"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6"/>
      <color theme="1"/>
      <name val="ＭＳ Ｐゴシック"/>
      <family val="3"/>
      <charset val="128"/>
      <scheme val="minor"/>
    </font>
    <font>
      <sz val="12"/>
      <name val="ＭＳ Ｐゴシック"/>
      <family val="3"/>
      <charset val="128"/>
      <scheme val="minor"/>
    </font>
    <font>
      <sz val="11"/>
      <name val="ＭＳ Ｐゴシック"/>
      <family val="3"/>
      <charset val="128"/>
      <scheme val="minor"/>
    </font>
    <font>
      <sz val="9"/>
      <name val="ＭＳ Ｐゴシック"/>
      <family val="3"/>
      <charset val="128"/>
      <scheme val="minor"/>
    </font>
    <font>
      <sz val="10"/>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6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
      <left style="thin">
        <color auto="1"/>
      </left>
      <right style="thin">
        <color auto="1"/>
      </right>
      <top style="hair">
        <color auto="1"/>
      </top>
      <bottom/>
      <diagonal/>
    </border>
    <border>
      <left style="thin">
        <color auto="1"/>
      </left>
      <right style="hair">
        <color auto="1"/>
      </right>
      <top style="thin">
        <color auto="1"/>
      </top>
      <bottom style="thin">
        <color auto="1"/>
      </bottom>
      <diagonal/>
    </border>
    <border>
      <left style="hair">
        <color auto="1"/>
      </left>
      <right style="thin">
        <color auto="1"/>
      </right>
      <top style="thin">
        <color auto="1"/>
      </top>
      <bottom style="thin">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76">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3" xfId="0" applyNumberFormat="1" applyFont="1" applyBorder="1" applyAlignment="1">
      <alignment vertical="center" shrinkToFit="1"/>
    </xf>
    <xf numFmtId="9" fontId="2" fillId="0" borderId="27" xfId="0" applyNumberFormat="1" applyFont="1" applyBorder="1" applyAlignment="1">
      <alignment vertical="center" shrinkToFit="1"/>
    </xf>
    <xf numFmtId="0" fontId="2" fillId="0" borderId="0" xfId="0" applyFont="1" applyAlignment="1">
      <alignment horizontal="left" vertical="center"/>
    </xf>
    <xf numFmtId="0" fontId="2" fillId="0" borderId="14" xfId="0" applyFont="1" applyBorder="1" applyAlignment="1">
      <alignment horizontal="left" vertical="center" shrinkToFit="1"/>
    </xf>
    <xf numFmtId="0" fontId="2" fillId="0" borderId="23" xfId="0" applyFont="1" applyBorder="1" applyAlignment="1">
      <alignment horizontal="left" vertical="center" shrinkToFit="1"/>
    </xf>
    <xf numFmtId="0" fontId="2" fillId="0" borderId="24" xfId="0" applyFont="1" applyBorder="1" applyAlignment="1">
      <alignment horizontal="left" vertical="center" shrinkToFit="1"/>
    </xf>
    <xf numFmtId="0" fontId="2" fillId="0" borderId="28"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9" fillId="0" borderId="11" xfId="0" applyFont="1" applyBorder="1" applyAlignment="1">
      <alignment horizontal="center" vertical="center"/>
    </xf>
    <xf numFmtId="0" fontId="9" fillId="0" borderId="52" xfId="0" applyFont="1" applyBorder="1" applyAlignment="1">
      <alignment horizontal="center" vertical="center"/>
    </xf>
    <xf numFmtId="0" fontId="9" fillId="0" borderId="53" xfId="0"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2" fillId="0" borderId="0" xfId="0" applyFont="1" applyAlignment="1">
      <alignment horizontal="left" vertical="center" shrinkToFit="1"/>
    </xf>
    <xf numFmtId="0" fontId="2" fillId="0" borderId="10" xfId="0" applyFont="1" applyBorder="1" applyAlignment="1">
      <alignment horizontal="righ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3" fillId="0" borderId="0" xfId="0" applyFont="1" applyAlignment="1">
      <alignment vertical="center" wrapTex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42" xfId="0" applyFont="1" applyFill="1" applyBorder="1" applyAlignment="1">
      <alignment vertical="top" wrapText="1"/>
    </xf>
    <xf numFmtId="0" fontId="3" fillId="2" borderId="43" xfId="0" applyFont="1" applyFill="1" applyBorder="1" applyAlignment="1">
      <alignment vertical="top" wrapText="1"/>
    </xf>
    <xf numFmtId="0" fontId="3" fillId="2" borderId="42"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43" xfId="0" applyFont="1" applyFill="1" applyBorder="1" applyAlignment="1">
      <alignment vertical="top" shrinkToFit="1"/>
    </xf>
    <xf numFmtId="38" fontId="2" fillId="0" borderId="50"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54" xfId="2" applyFont="1" applyBorder="1" applyAlignment="1">
      <alignment vertical="center" shrinkToFit="1"/>
    </xf>
    <xf numFmtId="38" fontId="2" fillId="0" borderId="30" xfId="2" applyFont="1" applyBorder="1" applyAlignment="1">
      <alignment vertical="center" shrinkToFit="1"/>
    </xf>
    <xf numFmtId="38" fontId="2" fillId="0" borderId="23"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57" xfId="2" applyFont="1" applyBorder="1" applyAlignment="1">
      <alignment vertical="center" shrinkToFit="1"/>
    </xf>
    <xf numFmtId="38" fontId="2" fillId="0" borderId="55" xfId="2" applyFont="1" applyBorder="1" applyAlignment="1">
      <alignment vertical="center" shrinkToFit="1"/>
    </xf>
    <xf numFmtId="38" fontId="2" fillId="0" borderId="32" xfId="2" applyFont="1" applyBorder="1" applyAlignment="1">
      <alignment vertical="center" shrinkToFit="1"/>
    </xf>
    <xf numFmtId="38" fontId="2" fillId="0" borderId="18" xfId="2" applyFont="1" applyBorder="1" applyAlignment="1">
      <alignment vertical="center" shrinkToFit="1"/>
    </xf>
    <xf numFmtId="38" fontId="2" fillId="0" borderId="10" xfId="2" applyFont="1" applyBorder="1" applyAlignment="1">
      <alignment vertical="center" shrinkToFit="1"/>
    </xf>
    <xf numFmtId="38" fontId="2" fillId="0" borderId="56" xfId="2" applyFont="1" applyBorder="1" applyAlignment="1">
      <alignment vertical="center" shrinkToFit="1"/>
    </xf>
    <xf numFmtId="38" fontId="2" fillId="0" borderId="51" xfId="2" applyFont="1" applyBorder="1" applyAlignment="1">
      <alignment vertical="center" shrinkToFit="1"/>
    </xf>
    <xf numFmtId="38" fontId="2" fillId="0" borderId="28" xfId="2" applyFont="1" applyBorder="1" applyAlignment="1">
      <alignment vertical="center" shrinkToFit="1"/>
    </xf>
    <xf numFmtId="38" fontId="2" fillId="0" borderId="26" xfId="2" applyFont="1" applyBorder="1" applyAlignment="1">
      <alignment vertical="center" shrinkToFit="1"/>
    </xf>
    <xf numFmtId="38" fontId="2" fillId="0" borderId="25" xfId="2" applyFont="1" applyBorder="1" applyAlignment="1">
      <alignment vertical="center" shrinkToFit="1"/>
    </xf>
    <xf numFmtId="38" fontId="2" fillId="0" borderId="58" xfId="2" applyFont="1" applyBorder="1" applyAlignment="1">
      <alignment vertical="center" shrinkToFit="1"/>
    </xf>
    <xf numFmtId="38" fontId="2" fillId="0" borderId="33" xfId="2" applyFont="1" applyBorder="1" applyAlignment="1">
      <alignment vertical="center" shrinkToFit="1"/>
    </xf>
    <xf numFmtId="9" fontId="2" fillId="0" borderId="1" xfId="0" applyNumberFormat="1" applyFont="1" applyBorder="1" applyAlignment="1">
      <alignment horizontal="center" vertical="center" shrinkToFit="1"/>
    </xf>
    <xf numFmtId="9" fontId="2" fillId="0" borderId="1" xfId="0" applyNumberFormat="1" applyFont="1" applyBorder="1" applyAlignment="1">
      <alignment vertical="center" shrinkToFit="1"/>
    </xf>
    <xf numFmtId="9" fontId="2" fillId="0" borderId="60" xfId="0" applyNumberFormat="1" applyFont="1" applyBorder="1" applyAlignment="1">
      <alignment vertical="center" shrinkToFit="1"/>
    </xf>
    <xf numFmtId="0" fontId="2" fillId="0" borderId="2" xfId="0" applyFont="1" applyBorder="1" applyAlignment="1">
      <alignment horizontal="center" vertical="center"/>
    </xf>
    <xf numFmtId="0" fontId="2" fillId="0" borderId="4" xfId="0" applyFont="1" applyBorder="1" applyAlignment="1">
      <alignment horizontal="center" vertical="center"/>
    </xf>
    <xf numFmtId="0" fontId="2" fillId="0" borderId="3" xfId="0" applyFont="1" applyBorder="1" applyAlignment="1">
      <alignment horizontal="center" vertical="center"/>
    </xf>
    <xf numFmtId="0" fontId="2" fillId="0" borderId="0" xfId="0" applyFont="1" applyAlignment="1">
      <alignment horizontal="right" vertical="center"/>
    </xf>
    <xf numFmtId="0" fontId="6" fillId="0" borderId="0" xfId="0" applyFont="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5" fillId="0" borderId="16" xfId="0" applyFont="1" applyBorder="1" applyAlignment="1">
      <alignment horizontal="center" vertical="center"/>
    </xf>
    <xf numFmtId="0" fontId="5" fillId="0" borderId="22" xfId="0" applyFont="1" applyBorder="1" applyAlignment="1">
      <alignment horizontal="center" vertical="center"/>
    </xf>
    <xf numFmtId="0" fontId="2" fillId="0" borderId="14" xfId="0" applyFont="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50"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xf>
    <xf numFmtId="0" fontId="8" fillId="0" borderId="15" xfId="0" applyFont="1" applyBorder="1" applyAlignment="1">
      <alignment horizontal="center" vertical="center" wrapText="1"/>
    </xf>
    <xf numFmtId="0" fontId="8" fillId="0" borderId="50"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13" xfId="0" applyFont="1" applyBorder="1" applyAlignment="1">
      <alignment horizontal="center" vertical="center"/>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wrapText="1"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wrapText="1" shrinkToFit="1"/>
    </xf>
    <xf numFmtId="0" fontId="2" fillId="0" borderId="11" xfId="0" applyFont="1" applyBorder="1" applyAlignment="1">
      <alignment vertical="top" wrapText="1" shrinkToFi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0" xfId="0" applyFont="1">
      <alignment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20" xfId="0" applyFont="1" applyBorder="1" applyAlignment="1">
      <alignment vertical="top" wrapText="1" shrinkToFit="1"/>
    </xf>
    <xf numFmtId="0" fontId="2" fillId="0" borderId="18" xfId="0" applyFont="1" applyBorder="1" applyAlignment="1">
      <alignment vertical="top" wrapText="1" shrinkToFit="1"/>
    </xf>
    <xf numFmtId="0" fontId="2" fillId="0" borderId="59" xfId="0" applyFont="1" applyBorder="1" applyAlignment="1">
      <alignment vertical="center" wrapText="1"/>
    </xf>
    <xf numFmtId="0" fontId="2" fillId="0" borderId="39" xfId="0" applyFont="1" applyBorder="1" applyAlignment="1">
      <alignment vertical="center" wrapText="1"/>
    </xf>
    <xf numFmtId="0" fontId="2" fillId="0" borderId="38" xfId="0" applyFont="1" applyBorder="1" applyAlignment="1">
      <alignment vertical="top" wrapText="1" shrinkToFit="1"/>
    </xf>
    <xf numFmtId="0" fontId="2" fillId="0" borderId="39" xfId="0" applyFont="1" applyBorder="1" applyAlignment="1">
      <alignment vertical="top" wrapText="1" shrinkToFit="1"/>
    </xf>
    <xf numFmtId="0" fontId="2" fillId="0" borderId="41" xfId="0" applyFont="1" applyBorder="1" applyAlignment="1">
      <alignment vertical="center" wrapText="1"/>
    </xf>
    <xf numFmtId="0" fontId="2" fillId="0" borderId="42" xfId="0" applyFont="1" applyBorder="1" applyAlignment="1">
      <alignment vertical="center" wrapText="1"/>
    </xf>
    <xf numFmtId="0" fontId="2" fillId="0" borderId="43" xfId="0" applyFont="1" applyBorder="1" applyAlignment="1">
      <alignment vertical="center" wrapText="1"/>
    </xf>
    <xf numFmtId="0" fontId="2" fillId="0" borderId="42" xfId="0" applyFont="1" applyBorder="1" applyAlignment="1">
      <alignment vertical="top" wrapText="1" shrinkToFit="1"/>
    </xf>
    <xf numFmtId="0" fontId="2" fillId="0" borderId="43" xfId="0" applyFont="1" applyBorder="1" applyAlignment="1">
      <alignment vertical="top" wrapText="1" shrinkToFit="1"/>
    </xf>
    <xf numFmtId="0" fontId="2" fillId="0" borderId="19" xfId="0" applyFont="1" applyBorder="1" applyAlignment="1">
      <alignment vertical="top" wrapText="1" shrinkToFit="1"/>
    </xf>
    <xf numFmtId="0" fontId="2" fillId="0" borderId="37" xfId="0" applyFont="1" applyBorder="1" applyAlignment="1">
      <alignment vertical="top" wrapText="1" shrinkToFit="1"/>
    </xf>
    <xf numFmtId="0" fontId="2" fillId="0" borderId="17" xfId="0" applyFont="1" applyBorder="1">
      <alignment vertical="center"/>
    </xf>
    <xf numFmtId="0" fontId="5" fillId="0" borderId="18" xfId="0" applyFont="1" applyBorder="1">
      <alignment vertical="center"/>
    </xf>
    <xf numFmtId="0" fontId="2" fillId="0" borderId="3" xfId="0" applyFont="1" applyBorder="1" applyAlignment="1">
      <alignment horizontal="left" vertical="center"/>
    </xf>
    <xf numFmtId="0" fontId="2" fillId="0" borderId="4" xfId="0" applyFont="1" applyBorder="1" applyAlignment="1">
      <alignment horizontal="left" vertical="center"/>
    </xf>
    <xf numFmtId="0" fontId="11" fillId="0" borderId="0" xfId="0" applyFont="1">
      <alignment vertical="center"/>
    </xf>
    <xf numFmtId="0" fontId="11" fillId="0" borderId="7" xfId="0" applyFont="1" applyBorder="1" applyAlignment="1">
      <alignment horizontal="left" vertical="center" wrapText="1"/>
    </xf>
    <xf numFmtId="0" fontId="11" fillId="0" borderId="8" xfId="0" applyFont="1" applyBorder="1" applyAlignment="1">
      <alignment horizontal="left" vertical="center" wrapText="1"/>
    </xf>
    <xf numFmtId="0" fontId="11" fillId="0" borderId="9" xfId="0" applyFont="1" applyBorder="1" applyAlignment="1">
      <alignment horizontal="left" vertical="center" wrapText="1"/>
    </xf>
    <xf numFmtId="0" fontId="11" fillId="0" borderId="11" xfId="0" applyFont="1" applyBorder="1" applyAlignment="1">
      <alignment horizontal="left" vertical="center" wrapText="1"/>
    </xf>
    <xf numFmtId="0" fontId="11" fillId="0" borderId="6" xfId="0" applyFont="1" applyBorder="1" applyAlignment="1">
      <alignment horizontal="left" vertical="center" wrapText="1"/>
    </xf>
    <xf numFmtId="0" fontId="11" fillId="0" borderId="12" xfId="0" applyFont="1" applyBorder="1" applyAlignment="1">
      <alignment horizontal="left" vertical="center" wrapText="1"/>
    </xf>
    <xf numFmtId="0" fontId="11" fillId="0" borderId="0" xfId="0" applyFont="1" applyAlignment="1">
      <alignment horizontal="center" vertical="center"/>
    </xf>
    <xf numFmtId="0" fontId="11" fillId="0" borderId="0" xfId="0" applyFont="1" applyAlignment="1">
      <alignment horizontal="left" vertical="center"/>
    </xf>
    <xf numFmtId="0" fontId="11" fillId="0" borderId="0" xfId="0" applyFont="1" applyAlignment="1">
      <alignment horizontal="right" vertical="center"/>
    </xf>
    <xf numFmtId="0" fontId="12" fillId="0" borderId="0" xfId="0" applyFont="1" applyAlignment="1">
      <alignment horizontal="center" vertical="center"/>
    </xf>
    <xf numFmtId="0" fontId="11" fillId="0" borderId="7" xfId="0" applyFont="1" applyBorder="1" applyAlignment="1">
      <alignment horizontal="left" vertical="top" wrapText="1" shrinkToFit="1"/>
    </xf>
    <xf numFmtId="0" fontId="11" fillId="0" borderId="8" xfId="0" applyFont="1" applyBorder="1" applyAlignment="1">
      <alignment horizontal="left" vertical="top" wrapText="1" shrinkToFit="1"/>
    </xf>
    <xf numFmtId="0" fontId="11" fillId="0" borderId="9" xfId="0" applyFont="1" applyBorder="1" applyAlignment="1">
      <alignment horizontal="left" vertical="top" wrapText="1" shrinkToFit="1"/>
    </xf>
    <xf numFmtId="0" fontId="11" fillId="0" borderId="5" xfId="0" applyFont="1" applyBorder="1" applyAlignment="1">
      <alignment horizontal="left" vertical="top" wrapText="1" shrinkToFit="1"/>
    </xf>
    <xf numFmtId="0" fontId="11" fillId="0" borderId="0" xfId="0" applyFont="1" applyAlignment="1">
      <alignment horizontal="left" vertical="top" wrapText="1" shrinkToFit="1"/>
    </xf>
    <xf numFmtId="0" fontId="11" fillId="0" borderId="10" xfId="0" applyFont="1" applyBorder="1" applyAlignment="1">
      <alignment horizontal="left" vertical="top" wrapText="1" shrinkToFit="1"/>
    </xf>
    <xf numFmtId="0" fontId="11" fillId="0" borderId="11" xfId="0" applyFont="1" applyBorder="1" applyAlignment="1">
      <alignment horizontal="left" vertical="top" wrapText="1" shrinkToFit="1"/>
    </xf>
    <xf numFmtId="0" fontId="11" fillId="0" borderId="6" xfId="0" applyFont="1" applyBorder="1" applyAlignment="1">
      <alignment horizontal="left" vertical="top" wrapText="1" shrinkToFit="1"/>
    </xf>
    <xf numFmtId="0" fontId="11" fillId="0" borderId="12" xfId="0" applyFont="1" applyBorder="1" applyAlignment="1">
      <alignment horizontal="left" vertical="top" wrapText="1" shrinkToFit="1"/>
    </xf>
    <xf numFmtId="0" fontId="11" fillId="0" borderId="2" xfId="0" applyFont="1" applyBorder="1" applyAlignment="1">
      <alignment horizontal="center" vertical="center"/>
    </xf>
    <xf numFmtId="0" fontId="11" fillId="0" borderId="4" xfId="0" applyFont="1" applyBorder="1" applyAlignment="1">
      <alignment horizontal="center" vertical="center"/>
    </xf>
    <xf numFmtId="0" fontId="11" fillId="0" borderId="5" xfId="0" applyFont="1" applyBorder="1">
      <alignment vertical="center"/>
    </xf>
    <xf numFmtId="0" fontId="12" fillId="0" borderId="2" xfId="0" applyFont="1" applyBorder="1" applyAlignment="1">
      <alignment horizontal="center" vertical="center" shrinkToFit="1"/>
    </xf>
    <xf numFmtId="0" fontId="12" fillId="0" borderId="3" xfId="0" applyFont="1" applyBorder="1" applyAlignment="1">
      <alignment horizontal="center" vertical="center" shrinkToFit="1"/>
    </xf>
    <xf numFmtId="0" fontId="12" fillId="0" borderId="4" xfId="0" applyFont="1" applyBorder="1" applyAlignment="1">
      <alignment horizontal="center" vertical="center" shrinkToFit="1"/>
    </xf>
    <xf numFmtId="0" fontId="11" fillId="0" borderId="0" xfId="0" applyFont="1" applyAlignment="1">
      <alignment vertical="center" wrapText="1"/>
    </xf>
    <xf numFmtId="0" fontId="11" fillId="0" borderId="3" xfId="0" applyFont="1" applyBorder="1" applyAlignment="1">
      <alignment horizontal="center" vertical="center"/>
    </xf>
    <xf numFmtId="0" fontId="13" fillId="0" borderId="1" xfId="0" applyFont="1" applyBorder="1" applyAlignment="1">
      <alignment horizontal="center" vertical="center" shrinkToFit="1"/>
    </xf>
    <xf numFmtId="0" fontId="13" fillId="0" borderId="4" xfId="0" applyFont="1" applyBorder="1" applyAlignment="1">
      <alignment horizontal="center" vertical="center" shrinkToFit="1"/>
    </xf>
    <xf numFmtId="49" fontId="13" fillId="0" borderId="1" xfId="0" applyNumberFormat="1" applyFont="1" applyBorder="1" applyAlignment="1">
      <alignment horizontal="center" vertical="center"/>
    </xf>
    <xf numFmtId="0" fontId="11" fillId="0" borderId="34" xfId="0" applyFont="1" applyBorder="1" applyAlignment="1">
      <alignment vertical="center" shrinkToFit="1"/>
    </xf>
    <xf numFmtId="0" fontId="11" fillId="0" borderId="36" xfId="0" applyFont="1" applyBorder="1" applyAlignment="1">
      <alignment vertical="center" shrinkToFit="1"/>
    </xf>
    <xf numFmtId="0" fontId="11" fillId="0" borderId="35" xfId="0" applyFont="1" applyBorder="1" applyAlignment="1">
      <alignment vertical="center" shrinkToFit="1"/>
    </xf>
    <xf numFmtId="0" fontId="11" fillId="0" borderId="14" xfId="0" applyFont="1" applyBorder="1" applyAlignment="1">
      <alignment horizontal="center" vertical="center" shrinkToFit="1"/>
    </xf>
    <xf numFmtId="0" fontId="11" fillId="0" borderId="7" xfId="0" applyFont="1" applyBorder="1" applyAlignment="1">
      <alignment vertical="center" shrinkToFit="1"/>
    </xf>
    <xf numFmtId="0" fontId="11" fillId="0" borderId="8" xfId="0" applyFont="1" applyBorder="1" applyAlignment="1">
      <alignment vertical="center" shrinkToFit="1"/>
    </xf>
    <xf numFmtId="0" fontId="11" fillId="0" borderId="9" xfId="0" applyFont="1" applyBorder="1" applyAlignment="1">
      <alignment vertical="center" shrinkToFit="1"/>
    </xf>
    <xf numFmtId="0" fontId="11" fillId="0" borderId="19" xfId="0" applyFont="1" applyBorder="1" applyAlignment="1">
      <alignment vertical="center" shrinkToFit="1"/>
    </xf>
    <xf numFmtId="0" fontId="11" fillId="0" borderId="20" xfId="0" applyFont="1" applyBorder="1" applyAlignment="1">
      <alignment vertical="center" shrinkToFit="1"/>
    </xf>
    <xf numFmtId="0" fontId="11" fillId="0" borderId="18" xfId="0" applyFont="1" applyBorder="1" applyAlignment="1">
      <alignment vertical="center" shrinkToFit="1"/>
    </xf>
    <xf numFmtId="0" fontId="11" fillId="0" borderId="23" xfId="0" applyFont="1" applyBorder="1" applyAlignment="1">
      <alignment horizontal="center" vertical="center" shrinkToFit="1"/>
    </xf>
    <xf numFmtId="0" fontId="11" fillId="0" borderId="61" xfId="0" applyFont="1" applyBorder="1" applyAlignment="1">
      <alignment horizontal="center" vertical="center" shrinkToFit="1"/>
    </xf>
    <xf numFmtId="0" fontId="12" fillId="0" borderId="20" xfId="0" applyFont="1" applyBorder="1" applyAlignment="1">
      <alignment vertical="center" shrinkToFit="1"/>
    </xf>
    <xf numFmtId="0" fontId="12" fillId="0" borderId="18" xfId="0" applyFont="1" applyBorder="1" applyAlignment="1">
      <alignment vertical="center" shrinkToFit="1"/>
    </xf>
    <xf numFmtId="0" fontId="11" fillId="0" borderId="37" xfId="0" applyFont="1" applyBorder="1" applyAlignment="1">
      <alignment vertical="center" shrinkToFit="1"/>
    </xf>
    <xf numFmtId="0" fontId="11" fillId="0" borderId="38" xfId="0" applyFont="1" applyBorder="1" applyAlignment="1">
      <alignment vertical="center" shrinkToFit="1"/>
    </xf>
    <xf numFmtId="0" fontId="11" fillId="0" borderId="39" xfId="0" applyFont="1" applyBorder="1" applyAlignment="1">
      <alignment vertical="center" shrinkToFit="1"/>
    </xf>
    <xf numFmtId="0" fontId="11" fillId="0" borderId="13" xfId="0" applyFont="1" applyBorder="1" applyAlignment="1">
      <alignment horizontal="center" vertical="center" shrinkToFit="1"/>
    </xf>
    <xf numFmtId="0" fontId="11" fillId="0" borderId="40" xfId="0" applyFont="1" applyBorder="1" applyAlignment="1">
      <alignment horizontal="center" vertical="center" shrinkToFit="1"/>
    </xf>
    <xf numFmtId="0" fontId="11" fillId="0" borderId="0" xfId="0" applyFont="1" applyAlignment="1">
      <alignment vertical="center" shrinkToFit="1"/>
    </xf>
    <xf numFmtId="0" fontId="11" fillId="0" borderId="0" xfId="0" applyFont="1" applyAlignment="1">
      <alignment vertical="top" wrapText="1"/>
    </xf>
    <xf numFmtId="0" fontId="11" fillId="0" borderId="16" xfId="0" applyFont="1" applyBorder="1" applyAlignment="1">
      <alignment vertical="center" shrinkToFit="1"/>
    </xf>
    <xf numFmtId="0" fontId="11" fillId="0" borderId="22" xfId="0" applyFont="1" applyBorder="1" applyAlignment="1">
      <alignment vertical="center" shrinkToFit="1"/>
    </xf>
    <xf numFmtId="0" fontId="11" fillId="0" borderId="21" xfId="0" applyFont="1" applyBorder="1" applyAlignment="1">
      <alignment vertical="center" shrinkToFit="1"/>
    </xf>
    <xf numFmtId="0" fontId="12" fillId="0" borderId="38" xfId="0" applyFont="1" applyBorder="1" applyAlignment="1">
      <alignment vertical="center" shrinkToFit="1"/>
    </xf>
    <xf numFmtId="0" fontId="12" fillId="0" borderId="39" xfId="0" applyFont="1" applyBorder="1" applyAlignment="1">
      <alignment vertical="center" shrinkToFit="1"/>
    </xf>
    <xf numFmtId="0" fontId="11" fillId="0" borderId="7" xfId="0" applyFont="1" applyBorder="1" applyAlignment="1">
      <alignment horizontal="center" vertical="center"/>
    </xf>
    <xf numFmtId="0" fontId="11" fillId="0" borderId="8" xfId="0" applyFont="1" applyBorder="1" applyAlignment="1">
      <alignment horizontal="center" vertical="center"/>
    </xf>
    <xf numFmtId="0" fontId="11" fillId="0" borderId="9" xfId="0" applyFont="1" applyBorder="1" applyAlignment="1">
      <alignment horizontal="center" vertical="center"/>
    </xf>
    <xf numFmtId="0" fontId="11" fillId="0" borderId="34" xfId="0" applyFont="1" applyBorder="1" applyAlignment="1">
      <alignment horizontal="left" vertical="center" shrinkToFit="1"/>
    </xf>
    <xf numFmtId="0" fontId="11" fillId="0" borderId="36" xfId="0" applyFont="1" applyBorder="1" applyAlignment="1">
      <alignment horizontal="left" vertical="center" shrinkToFit="1"/>
    </xf>
    <xf numFmtId="0" fontId="11" fillId="0" borderId="35" xfId="0" applyFont="1" applyBorder="1" applyAlignment="1">
      <alignment horizontal="left" vertical="center" shrinkToFit="1"/>
    </xf>
    <xf numFmtId="0" fontId="11" fillId="0" borderId="34" xfId="0" applyFont="1" applyBorder="1" applyAlignment="1">
      <alignment horizontal="center" vertical="center" shrinkToFit="1"/>
    </xf>
    <xf numFmtId="0" fontId="11" fillId="0" borderId="36" xfId="0" applyFont="1" applyBorder="1" applyAlignment="1">
      <alignment horizontal="center" vertical="center" shrinkToFit="1"/>
    </xf>
    <xf numFmtId="0" fontId="11" fillId="0" borderId="35" xfId="0" applyFont="1" applyBorder="1" applyAlignment="1">
      <alignment horizontal="center" vertical="center" shrinkToFit="1"/>
    </xf>
    <xf numFmtId="0" fontId="11" fillId="0" borderId="41" xfId="0" applyFont="1" applyBorder="1" applyAlignment="1">
      <alignment vertical="center" shrinkToFit="1"/>
    </xf>
    <xf numFmtId="0" fontId="11" fillId="0" borderId="42" xfId="0" applyFont="1" applyBorder="1" applyAlignment="1">
      <alignment vertical="center" shrinkToFit="1"/>
    </xf>
    <xf numFmtId="0" fontId="11" fillId="0" borderId="43" xfId="0" applyFont="1" applyBorder="1" applyAlignment="1">
      <alignment vertical="center" shrinkToFit="1"/>
    </xf>
    <xf numFmtId="0" fontId="11" fillId="0" borderId="41" xfId="0" applyFont="1" applyBorder="1" applyAlignment="1">
      <alignment horizontal="left" vertical="center" shrinkToFit="1"/>
    </xf>
    <xf numFmtId="0" fontId="11" fillId="0" borderId="42" xfId="0" applyFont="1" applyBorder="1" applyAlignment="1">
      <alignment horizontal="left" vertical="center" shrinkToFit="1"/>
    </xf>
    <xf numFmtId="0" fontId="11" fillId="0" borderId="43" xfId="0" applyFont="1" applyBorder="1" applyAlignment="1">
      <alignment horizontal="left" vertical="center" shrinkToFit="1"/>
    </xf>
    <xf numFmtId="0" fontId="11" fillId="0" borderId="19" xfId="0" applyFont="1" applyBorder="1" applyAlignment="1">
      <alignment horizontal="center" vertical="center" shrinkToFit="1"/>
    </xf>
    <xf numFmtId="0" fontId="11" fillId="0" borderId="20" xfId="0" applyFont="1" applyBorder="1" applyAlignment="1">
      <alignment horizontal="center" vertical="center" shrinkToFit="1"/>
    </xf>
    <xf numFmtId="0" fontId="11" fillId="0" borderId="18" xfId="0" applyFont="1" applyBorder="1" applyAlignment="1">
      <alignment horizontal="center" vertical="center" shrinkToFit="1"/>
    </xf>
    <xf numFmtId="0" fontId="11" fillId="0" borderId="19" xfId="0" applyFont="1" applyBorder="1" applyAlignment="1">
      <alignment horizontal="left" vertical="center" shrinkToFit="1"/>
    </xf>
    <xf numFmtId="0" fontId="11" fillId="0" borderId="20" xfId="0" applyFont="1" applyBorder="1" applyAlignment="1">
      <alignment horizontal="left" vertical="center" shrinkToFit="1"/>
    </xf>
    <xf numFmtId="0" fontId="11" fillId="0" borderId="18" xfId="0" applyFont="1" applyBorder="1" applyAlignment="1">
      <alignment horizontal="left" vertical="center" shrinkToFit="1"/>
    </xf>
    <xf numFmtId="0" fontId="11" fillId="0" borderId="37" xfId="0" applyFont="1" applyBorder="1" applyAlignment="1">
      <alignment horizontal="center" vertical="center" shrinkToFit="1"/>
    </xf>
    <xf numFmtId="0" fontId="11" fillId="0" borderId="38" xfId="0" applyFont="1" applyBorder="1" applyAlignment="1">
      <alignment horizontal="center" vertical="center" shrinkToFit="1"/>
    </xf>
    <xf numFmtId="0" fontId="11" fillId="0" borderId="39" xfId="0" applyFont="1" applyBorder="1" applyAlignment="1">
      <alignment horizontal="center" vertical="center" shrinkToFit="1"/>
    </xf>
    <xf numFmtId="0" fontId="11" fillId="0" borderId="0" xfId="0" applyFont="1" applyAlignment="1">
      <alignment horizontal="center" vertical="center" shrinkToFit="1"/>
    </xf>
    <xf numFmtId="0" fontId="14" fillId="0" borderId="2" xfId="0" applyFont="1" applyBorder="1" applyAlignment="1">
      <alignment horizontal="center" vertical="center" shrinkToFit="1"/>
    </xf>
    <xf numFmtId="0" fontId="14" fillId="0" borderId="4" xfId="0" applyFont="1" applyBorder="1" applyAlignment="1">
      <alignment horizontal="center" vertical="center" shrinkToFit="1"/>
    </xf>
    <xf numFmtId="0" fontId="13" fillId="0" borderId="45" xfId="0" applyFont="1" applyBorder="1" applyAlignment="1">
      <alignment vertical="center" wrapText="1"/>
    </xf>
    <xf numFmtId="49" fontId="13" fillId="0" borderId="48" xfId="0" applyNumberFormat="1" applyFont="1" applyBorder="1" applyAlignment="1">
      <alignment horizontal="center" vertical="center"/>
    </xf>
    <xf numFmtId="0" fontId="11" fillId="0" borderId="2" xfId="0" applyFont="1" applyBorder="1" applyAlignment="1">
      <alignment horizontal="left" vertical="top" wrapText="1" shrinkToFit="1"/>
    </xf>
    <xf numFmtId="0" fontId="11" fillId="0" borderId="3" xfId="0" applyFont="1" applyBorder="1" applyAlignment="1">
      <alignment horizontal="left" vertical="top" shrinkToFit="1"/>
    </xf>
    <xf numFmtId="0" fontId="11" fillId="0" borderId="4" xfId="0" applyFont="1" applyBorder="1" applyAlignment="1">
      <alignment horizontal="left" vertical="top" shrinkToFit="1"/>
    </xf>
    <xf numFmtId="0" fontId="13" fillId="0" borderId="31" xfId="0" applyFont="1" applyBorder="1" applyAlignment="1">
      <alignment vertical="center" wrapText="1"/>
    </xf>
    <xf numFmtId="49" fontId="13" fillId="0" borderId="49" xfId="0" applyNumberFormat="1" applyFont="1" applyBorder="1" applyAlignment="1">
      <alignment horizontal="center" vertical="center"/>
    </xf>
    <xf numFmtId="49" fontId="13" fillId="0" borderId="44" xfId="0" applyNumberFormat="1" applyFont="1" applyBorder="1" applyAlignment="1">
      <alignment horizontal="center" vertical="center"/>
    </xf>
    <xf numFmtId="0" fontId="11" fillId="0" borderId="2" xfId="0" applyFont="1" applyBorder="1" applyAlignment="1">
      <alignment vertical="top" wrapText="1" shrinkToFit="1"/>
    </xf>
    <xf numFmtId="0" fontId="11" fillId="0" borderId="3" xfId="0" applyFont="1" applyBorder="1" applyAlignment="1">
      <alignment vertical="top" wrapText="1" shrinkToFit="1"/>
    </xf>
    <xf numFmtId="0" fontId="11" fillId="0" borderId="4" xfId="0" applyFont="1" applyBorder="1" applyAlignment="1">
      <alignment vertical="top" wrapText="1" shrinkToFit="1"/>
    </xf>
    <xf numFmtId="0" fontId="13" fillId="0" borderId="46" xfId="0" applyFont="1" applyBorder="1" applyAlignment="1">
      <alignment vertical="center" wrapText="1"/>
    </xf>
    <xf numFmtId="49" fontId="13" fillId="0" borderId="29" xfId="0" applyNumberFormat="1" applyFont="1" applyBorder="1" applyAlignment="1">
      <alignment horizontal="center" vertical="center"/>
    </xf>
    <xf numFmtId="0" fontId="11" fillId="0" borderId="3" xfId="0" applyFont="1" applyBorder="1" applyAlignment="1">
      <alignment horizontal="left" vertical="top" wrapText="1" shrinkToFit="1"/>
    </xf>
    <xf numFmtId="0" fontId="11" fillId="0" borderId="4" xfId="0" applyFont="1" applyBorder="1" applyAlignment="1">
      <alignment horizontal="left" vertical="top" wrapText="1" shrinkToFit="1"/>
    </xf>
    <xf numFmtId="49" fontId="13" fillId="0" borderId="47" xfId="0" applyNumberFormat="1" applyFont="1" applyBorder="1" applyAlignment="1">
      <alignment horizontal="center" vertical="center"/>
    </xf>
    <xf numFmtId="0" fontId="11" fillId="0" borderId="2" xfId="0" applyFont="1" applyBorder="1" applyAlignment="1">
      <alignment horizontal="left" vertical="center" wrapText="1" shrinkToFit="1"/>
    </xf>
    <xf numFmtId="0" fontId="11" fillId="0" borderId="3" xfId="0" applyFont="1" applyBorder="1" applyAlignment="1">
      <alignment horizontal="left" vertical="center" wrapText="1" shrinkToFit="1"/>
    </xf>
    <xf numFmtId="0" fontId="12" fillId="0" borderId="3" xfId="0" applyFont="1" applyBorder="1" applyAlignment="1">
      <alignment horizontal="left" vertical="center" wrapText="1" shrinkToFit="1"/>
    </xf>
    <xf numFmtId="0" fontId="12" fillId="0" borderId="4" xfId="0" applyFont="1" applyBorder="1" applyAlignment="1">
      <alignment horizontal="left" vertical="center" wrapText="1" shrinkToFit="1"/>
    </xf>
    <xf numFmtId="0" fontId="13" fillId="0" borderId="62" xfId="0" applyFont="1" applyBorder="1" applyAlignment="1">
      <alignment vertical="center" wrapText="1"/>
    </xf>
    <xf numFmtId="49" fontId="13" fillId="0" borderId="63" xfId="0" applyNumberFormat="1" applyFont="1" applyBorder="1" applyAlignment="1">
      <alignment horizontal="center" vertical="center"/>
    </xf>
    <xf numFmtId="0" fontId="0" fillId="0" borderId="46" xfId="0" applyBorder="1" applyAlignment="1">
      <alignment vertical="center" wrapText="1"/>
    </xf>
  </cellXfs>
  <cellStyles count="3">
    <cellStyle name="パーセント" xfId="1" builtinId="5"/>
    <cellStyle name="桁区切り" xfId="2" builtinId="6"/>
    <cellStyle name="標準" xfId="0" builtinId="0"/>
  </cellStyles>
  <dxfs count="1">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84F9EF-AC23-413A-A477-8DB64439FF1C}">
  <sheetPr>
    <pageSetUpPr fitToPage="1"/>
  </sheetPr>
  <dimension ref="A1:V136"/>
  <sheetViews>
    <sheetView showZeros="0" tabSelected="1" view="pageBreakPreview" zoomScaleNormal="100" zoomScaleSheetLayoutView="100" workbookViewId="0">
      <selection activeCell="B20" sqref="B20"/>
    </sheetView>
  </sheetViews>
  <sheetFormatPr defaultColWidth="9" defaultRowHeight="18.75" customHeight="1" x14ac:dyDescent="0.15"/>
  <cols>
    <col min="1" max="1" width="2.5" style="1" customWidth="1"/>
    <col min="2" max="2" width="16.5" style="1" customWidth="1"/>
    <col min="3" max="18" width="5.625" style="1" customWidth="1"/>
    <col min="19" max="19" width="6.625" style="1" customWidth="1"/>
    <col min="20" max="20" width="9" style="1"/>
    <col min="21" max="21" width="3.625" style="1" customWidth="1"/>
    <col min="22" max="22" width="48.625" style="1" hidden="1" customWidth="1"/>
    <col min="23" max="16384" width="9" style="1"/>
  </cols>
  <sheetData>
    <row r="1" spans="1:22" ht="18.600000000000001" customHeight="1" x14ac:dyDescent="0.15">
      <c r="R1" s="69" t="s">
        <v>188</v>
      </c>
      <c r="S1" s="69"/>
      <c r="T1" s="2" t="s">
        <v>109</v>
      </c>
    </row>
    <row r="2" spans="1:22" ht="18.75" customHeight="1" x14ac:dyDescent="0.15">
      <c r="B2" s="20" t="s">
        <v>108</v>
      </c>
      <c r="C2" s="66" t="s">
        <v>141</v>
      </c>
      <c r="D2" s="68"/>
      <c r="E2" s="68"/>
      <c r="F2" s="68"/>
      <c r="G2" s="68"/>
      <c r="H2" s="68"/>
      <c r="I2" s="67"/>
      <c r="J2" s="21"/>
      <c r="K2" s="6"/>
      <c r="L2" s="6"/>
      <c r="M2" s="6"/>
      <c r="N2" s="6"/>
      <c r="O2" s="6"/>
      <c r="P2" s="6"/>
      <c r="Q2" s="6"/>
      <c r="R2" s="6"/>
      <c r="S2" s="6"/>
    </row>
    <row r="3" spans="1:22" ht="18.75" customHeight="1" x14ac:dyDescent="0.15">
      <c r="B3" s="20" t="s">
        <v>102</v>
      </c>
      <c r="C3" s="66" t="s">
        <v>164</v>
      </c>
      <c r="D3" s="68"/>
      <c r="E3" s="68"/>
      <c r="F3" s="68"/>
      <c r="G3" s="68"/>
      <c r="H3" s="68"/>
      <c r="I3" s="67"/>
      <c r="J3" s="21"/>
      <c r="K3" s="6"/>
      <c r="L3" s="6"/>
      <c r="M3" s="6"/>
      <c r="N3" s="6"/>
      <c r="O3" s="6"/>
      <c r="P3" s="6"/>
      <c r="Q3" s="6"/>
      <c r="R3" s="6"/>
      <c r="S3" s="6"/>
    </row>
    <row r="4" spans="1:22" ht="15" customHeight="1" x14ac:dyDescent="0.15">
      <c r="K4" s="21"/>
      <c r="L4" s="23"/>
      <c r="M4" s="23"/>
      <c r="N4" s="23"/>
      <c r="O4" s="23"/>
      <c r="P4" s="23"/>
      <c r="Q4" s="23"/>
      <c r="R4" s="23"/>
      <c r="S4" s="23"/>
    </row>
    <row r="5" spans="1:22" ht="18" customHeight="1" x14ac:dyDescent="0.15">
      <c r="A5" s="70" t="s">
        <v>38</v>
      </c>
      <c r="B5" s="70"/>
      <c r="C5" s="70"/>
      <c r="D5" s="70"/>
      <c r="E5" s="70"/>
      <c r="F5" s="70"/>
      <c r="G5" s="70"/>
      <c r="H5" s="70"/>
      <c r="I5" s="70"/>
      <c r="J5" s="70"/>
      <c r="K5" s="70"/>
      <c r="L5" s="70"/>
      <c r="M5" s="70"/>
      <c r="N5" s="70"/>
      <c r="O5" s="70"/>
      <c r="P5" s="70"/>
      <c r="Q5" s="70"/>
      <c r="R5" s="70"/>
      <c r="S5" s="70"/>
    </row>
    <row r="6" spans="1:22" ht="15" customHeight="1" x14ac:dyDescent="0.15">
      <c r="B6" s="3"/>
      <c r="C6" s="3"/>
      <c r="D6" s="3"/>
      <c r="E6" s="3"/>
      <c r="F6" s="3"/>
      <c r="G6" s="3"/>
      <c r="H6" s="3"/>
      <c r="I6" s="3"/>
      <c r="J6" s="3"/>
      <c r="K6" s="3"/>
      <c r="L6" s="3"/>
      <c r="M6" s="3"/>
      <c r="N6" s="3"/>
      <c r="O6" s="3"/>
      <c r="P6" s="3"/>
      <c r="Q6" s="3"/>
      <c r="R6" s="3"/>
      <c r="S6" s="3"/>
    </row>
    <row r="7" spans="1:22" ht="18" customHeight="1" x14ac:dyDescent="0.15">
      <c r="A7" s="1" t="s">
        <v>124</v>
      </c>
      <c r="C7" s="3"/>
      <c r="J7" s="24" t="s">
        <v>107</v>
      </c>
      <c r="K7" s="71" t="s">
        <v>165</v>
      </c>
      <c r="L7" s="72"/>
      <c r="M7" s="72"/>
      <c r="N7" s="72"/>
      <c r="O7" s="72"/>
      <c r="P7" s="72"/>
      <c r="Q7" s="72"/>
      <c r="R7" s="72"/>
      <c r="S7" s="73"/>
    </row>
    <row r="8" spans="1:22" ht="6" customHeight="1" x14ac:dyDescent="0.15">
      <c r="B8" s="3"/>
      <c r="C8" s="3"/>
      <c r="D8" s="3"/>
      <c r="E8" s="3"/>
      <c r="F8" s="3"/>
      <c r="G8" s="3"/>
      <c r="H8" s="3"/>
      <c r="I8" s="3"/>
      <c r="J8" s="3"/>
      <c r="K8" s="10"/>
      <c r="L8" s="3"/>
      <c r="M8" s="3"/>
      <c r="N8" s="3"/>
      <c r="O8" s="3"/>
      <c r="P8" s="3"/>
      <c r="Q8" s="3"/>
      <c r="R8" s="3"/>
      <c r="S8" s="3"/>
    </row>
    <row r="9" spans="1:22" ht="18" customHeight="1" x14ac:dyDescent="0.15">
      <c r="A9" s="169"/>
      <c r="B9" s="170" t="s">
        <v>187</v>
      </c>
      <c r="C9" s="171"/>
      <c r="D9" s="171"/>
      <c r="E9" s="171"/>
      <c r="F9" s="171"/>
      <c r="G9" s="171"/>
      <c r="H9" s="171"/>
      <c r="I9" s="171"/>
      <c r="J9" s="171"/>
      <c r="K9" s="171"/>
      <c r="L9" s="171"/>
      <c r="M9" s="171"/>
      <c r="N9" s="171"/>
      <c r="O9" s="171"/>
      <c r="P9" s="171"/>
      <c r="Q9" s="171"/>
      <c r="R9" s="171"/>
      <c r="S9" s="172"/>
    </row>
    <row r="10" spans="1:22" ht="18" customHeight="1" x14ac:dyDescent="0.15">
      <c r="A10" s="169"/>
      <c r="B10" s="173"/>
      <c r="C10" s="174"/>
      <c r="D10" s="174"/>
      <c r="E10" s="174"/>
      <c r="F10" s="174"/>
      <c r="G10" s="174"/>
      <c r="H10" s="174"/>
      <c r="I10" s="174"/>
      <c r="J10" s="174"/>
      <c r="K10" s="174"/>
      <c r="L10" s="174"/>
      <c r="M10" s="174"/>
      <c r="N10" s="174"/>
      <c r="O10" s="174"/>
      <c r="P10" s="174"/>
      <c r="Q10" s="174"/>
      <c r="R10" s="174"/>
      <c r="S10" s="175"/>
    </row>
    <row r="11" spans="1:22" ht="6" customHeight="1" x14ac:dyDescent="0.15">
      <c r="A11" s="169"/>
      <c r="B11" s="176"/>
      <c r="C11" s="176"/>
      <c r="D11" s="176"/>
      <c r="E11" s="176"/>
      <c r="F11" s="176"/>
      <c r="G11" s="176"/>
      <c r="H11" s="176"/>
      <c r="I11" s="176"/>
      <c r="J11" s="176"/>
      <c r="K11" s="177"/>
      <c r="L11" s="176"/>
      <c r="M11" s="176"/>
      <c r="N11" s="176"/>
      <c r="O11" s="176"/>
      <c r="P11" s="176"/>
      <c r="Q11" s="176"/>
      <c r="R11" s="176"/>
      <c r="S11" s="176"/>
    </row>
    <row r="12" spans="1:22" ht="18" customHeight="1" x14ac:dyDescent="0.15">
      <c r="A12" s="169" t="s">
        <v>111</v>
      </c>
      <c r="B12" s="176"/>
      <c r="C12" s="176"/>
      <c r="D12" s="178"/>
      <c r="E12" s="178"/>
      <c r="F12" s="178"/>
      <c r="G12" s="178"/>
      <c r="H12" s="178"/>
      <c r="I12" s="178"/>
      <c r="J12" s="178"/>
      <c r="K12" s="179"/>
      <c r="L12" s="179"/>
      <c r="M12" s="179"/>
      <c r="N12" s="179"/>
      <c r="O12" s="179"/>
      <c r="P12" s="179"/>
      <c r="Q12" s="179"/>
      <c r="R12" s="179"/>
      <c r="S12" s="179"/>
    </row>
    <row r="13" spans="1:22" ht="18" customHeight="1" x14ac:dyDescent="0.15">
      <c r="A13" s="169"/>
      <c r="B13" s="180" t="s">
        <v>217</v>
      </c>
      <c r="C13" s="181"/>
      <c r="D13" s="181"/>
      <c r="E13" s="181"/>
      <c r="F13" s="181"/>
      <c r="G13" s="181"/>
      <c r="H13" s="181"/>
      <c r="I13" s="181"/>
      <c r="J13" s="181"/>
      <c r="K13" s="181"/>
      <c r="L13" s="181"/>
      <c r="M13" s="181"/>
      <c r="N13" s="181"/>
      <c r="O13" s="181"/>
      <c r="P13" s="181"/>
      <c r="Q13" s="181"/>
      <c r="R13" s="181"/>
      <c r="S13" s="182"/>
      <c r="V13" s="1" t="s">
        <v>103</v>
      </c>
    </row>
    <row r="14" spans="1:22" ht="18" customHeight="1" x14ac:dyDescent="0.15">
      <c r="A14" s="169"/>
      <c r="B14" s="183"/>
      <c r="C14" s="184"/>
      <c r="D14" s="184"/>
      <c r="E14" s="184"/>
      <c r="F14" s="184"/>
      <c r="G14" s="184"/>
      <c r="H14" s="184"/>
      <c r="I14" s="184"/>
      <c r="J14" s="184"/>
      <c r="K14" s="184"/>
      <c r="L14" s="184"/>
      <c r="M14" s="184"/>
      <c r="N14" s="184"/>
      <c r="O14" s="184"/>
      <c r="P14" s="184"/>
      <c r="Q14" s="184"/>
      <c r="R14" s="184"/>
      <c r="S14" s="185"/>
      <c r="V14" s="1" t="s">
        <v>110</v>
      </c>
    </row>
    <row r="15" spans="1:22" ht="18" customHeight="1" x14ac:dyDescent="0.15">
      <c r="A15" s="169"/>
      <c r="B15" s="183"/>
      <c r="C15" s="184"/>
      <c r="D15" s="184"/>
      <c r="E15" s="184"/>
      <c r="F15" s="184"/>
      <c r="G15" s="184"/>
      <c r="H15" s="184"/>
      <c r="I15" s="184"/>
      <c r="J15" s="184"/>
      <c r="K15" s="184"/>
      <c r="L15" s="184"/>
      <c r="M15" s="184"/>
      <c r="N15" s="184"/>
      <c r="O15" s="184"/>
      <c r="P15" s="184"/>
      <c r="Q15" s="184"/>
      <c r="R15" s="184"/>
      <c r="S15" s="185"/>
      <c r="V15" s="1" t="s">
        <v>123</v>
      </c>
    </row>
    <row r="16" spans="1:22" ht="18" customHeight="1" x14ac:dyDescent="0.15">
      <c r="A16" s="169"/>
      <c r="B16" s="183"/>
      <c r="C16" s="184"/>
      <c r="D16" s="184"/>
      <c r="E16" s="184"/>
      <c r="F16" s="184"/>
      <c r="G16" s="184"/>
      <c r="H16" s="184"/>
      <c r="I16" s="184"/>
      <c r="J16" s="184"/>
      <c r="K16" s="184"/>
      <c r="L16" s="184"/>
      <c r="M16" s="184"/>
      <c r="N16" s="184"/>
      <c r="O16" s="184"/>
      <c r="P16" s="184"/>
      <c r="Q16" s="184"/>
      <c r="R16" s="184"/>
      <c r="S16" s="185"/>
      <c r="V16" s="1" t="s">
        <v>125</v>
      </c>
    </row>
    <row r="17" spans="1:19" ht="18" customHeight="1" x14ac:dyDescent="0.15">
      <c r="A17" s="169"/>
      <c r="B17" s="183"/>
      <c r="C17" s="184"/>
      <c r="D17" s="184"/>
      <c r="E17" s="184"/>
      <c r="F17" s="184"/>
      <c r="G17" s="184"/>
      <c r="H17" s="184"/>
      <c r="I17" s="184"/>
      <c r="J17" s="184"/>
      <c r="K17" s="184"/>
      <c r="L17" s="184"/>
      <c r="M17" s="184"/>
      <c r="N17" s="184"/>
      <c r="O17" s="184"/>
      <c r="P17" s="184"/>
      <c r="Q17" s="184"/>
      <c r="R17" s="184"/>
      <c r="S17" s="185"/>
    </row>
    <row r="18" spans="1:19" ht="113.25" customHeight="1" x14ac:dyDescent="0.15">
      <c r="A18" s="169"/>
      <c r="B18" s="186"/>
      <c r="C18" s="187"/>
      <c r="D18" s="187"/>
      <c r="E18" s="187"/>
      <c r="F18" s="187"/>
      <c r="G18" s="187"/>
      <c r="H18" s="187"/>
      <c r="I18" s="187"/>
      <c r="J18" s="187"/>
      <c r="K18" s="187"/>
      <c r="L18" s="187"/>
      <c r="M18" s="187"/>
      <c r="N18" s="187"/>
      <c r="O18" s="187"/>
      <c r="P18" s="187"/>
      <c r="Q18" s="187"/>
      <c r="R18" s="187"/>
      <c r="S18" s="188"/>
    </row>
    <row r="19" spans="1:19" ht="12" customHeight="1" x14ac:dyDescent="0.15">
      <c r="A19" s="169"/>
      <c r="B19" s="176"/>
      <c r="C19" s="176"/>
      <c r="D19" s="176"/>
      <c r="E19" s="176"/>
      <c r="F19" s="176"/>
      <c r="G19" s="176"/>
      <c r="H19" s="176"/>
      <c r="I19" s="176"/>
      <c r="J19" s="176"/>
      <c r="K19" s="176"/>
      <c r="L19" s="176"/>
      <c r="M19" s="176"/>
      <c r="N19" s="176"/>
      <c r="O19" s="176"/>
      <c r="P19" s="176"/>
      <c r="Q19" s="176"/>
      <c r="R19" s="176"/>
      <c r="S19" s="176"/>
    </row>
    <row r="20" spans="1:19" ht="19.899999999999999" customHeight="1" x14ac:dyDescent="0.15">
      <c r="A20" s="169"/>
      <c r="B20" s="169" t="s">
        <v>112</v>
      </c>
      <c r="C20" s="189">
        <v>17</v>
      </c>
      <c r="D20" s="190"/>
      <c r="E20" s="191" t="s">
        <v>95</v>
      </c>
      <c r="F20" s="169"/>
      <c r="G20" s="177"/>
      <c r="H20" s="176"/>
      <c r="I20" s="176"/>
      <c r="J20" s="178" t="s">
        <v>121</v>
      </c>
      <c r="K20" s="192" t="s">
        <v>110</v>
      </c>
      <c r="L20" s="193"/>
      <c r="M20" s="193"/>
      <c r="N20" s="193"/>
      <c r="O20" s="193"/>
      <c r="P20" s="193"/>
      <c r="Q20" s="193"/>
      <c r="R20" s="193"/>
      <c r="S20" s="194"/>
    </row>
    <row r="21" spans="1:19" ht="7.5" customHeight="1" x14ac:dyDescent="0.15">
      <c r="A21" s="169"/>
      <c r="B21" s="176"/>
      <c r="C21" s="176"/>
      <c r="D21" s="176"/>
      <c r="E21" s="176"/>
      <c r="F21" s="176"/>
      <c r="G21" s="176"/>
      <c r="H21" s="176"/>
      <c r="I21" s="176"/>
      <c r="J21" s="176"/>
      <c r="K21" s="176"/>
      <c r="L21" s="176"/>
      <c r="M21" s="176"/>
      <c r="N21" s="176"/>
      <c r="O21" s="176"/>
      <c r="P21" s="176"/>
      <c r="Q21" s="176"/>
      <c r="R21" s="176"/>
      <c r="S21" s="176"/>
    </row>
    <row r="22" spans="1:19" ht="18" customHeight="1" x14ac:dyDescent="0.15">
      <c r="A22" s="195" t="s">
        <v>113</v>
      </c>
      <c r="B22" s="195"/>
      <c r="C22" s="195"/>
      <c r="D22" s="195"/>
      <c r="E22" s="195"/>
      <c r="F22" s="195"/>
      <c r="G22" s="195"/>
      <c r="H22" s="195"/>
      <c r="I22" s="195"/>
      <c r="J22" s="195"/>
      <c r="K22" s="195"/>
      <c r="L22" s="195"/>
      <c r="M22" s="195"/>
      <c r="N22" s="195"/>
      <c r="O22" s="195"/>
      <c r="P22" s="195"/>
      <c r="Q22" s="195"/>
      <c r="R22" s="195"/>
      <c r="S22" s="195"/>
    </row>
    <row r="23" spans="1:19" ht="18" customHeight="1" x14ac:dyDescent="0.15">
      <c r="A23" s="195"/>
      <c r="B23" s="195"/>
      <c r="C23" s="195"/>
      <c r="D23" s="195"/>
      <c r="E23" s="195"/>
      <c r="F23" s="195"/>
      <c r="G23" s="195"/>
      <c r="H23" s="195"/>
      <c r="I23" s="195"/>
      <c r="J23" s="195"/>
      <c r="K23" s="195"/>
      <c r="L23" s="195"/>
      <c r="M23" s="195"/>
      <c r="N23" s="195"/>
      <c r="O23" s="195"/>
      <c r="P23" s="195"/>
      <c r="Q23" s="195"/>
      <c r="R23" s="195"/>
      <c r="S23" s="195"/>
    </row>
    <row r="24" spans="1:19" ht="18" customHeight="1" x14ac:dyDescent="0.15">
      <c r="A24" s="169"/>
      <c r="B24" s="189" t="s">
        <v>53</v>
      </c>
      <c r="C24" s="196"/>
      <c r="D24" s="196"/>
      <c r="E24" s="190"/>
      <c r="F24" s="197" t="s">
        <v>80</v>
      </c>
      <c r="G24" s="198" t="s">
        <v>84</v>
      </c>
      <c r="H24" s="199" t="s">
        <v>56</v>
      </c>
      <c r="I24" s="199" t="s">
        <v>59</v>
      </c>
      <c r="J24" s="189" t="s">
        <v>53</v>
      </c>
      <c r="K24" s="196"/>
      <c r="L24" s="196"/>
      <c r="M24" s="196"/>
      <c r="N24" s="196"/>
      <c r="O24" s="190"/>
      <c r="P24" s="197" t="s">
        <v>80</v>
      </c>
      <c r="Q24" s="198" t="s">
        <v>84</v>
      </c>
      <c r="R24" s="199" t="s">
        <v>56</v>
      </c>
      <c r="S24" s="199" t="s">
        <v>59</v>
      </c>
    </row>
    <row r="25" spans="1:19" ht="18" customHeight="1" x14ac:dyDescent="0.15">
      <c r="A25" s="169"/>
      <c r="B25" s="200" t="s">
        <v>126</v>
      </c>
      <c r="C25" s="201"/>
      <c r="D25" s="201"/>
      <c r="E25" s="202"/>
      <c r="F25" s="203">
        <v>1</v>
      </c>
      <c r="G25" s="203" t="s">
        <v>140</v>
      </c>
      <c r="H25" s="203" t="s">
        <v>140</v>
      </c>
      <c r="I25" s="203" t="s">
        <v>140</v>
      </c>
      <c r="J25" s="204" t="s">
        <v>190</v>
      </c>
      <c r="K25" s="205"/>
      <c r="L25" s="205"/>
      <c r="M25" s="205"/>
      <c r="N25" s="205"/>
      <c r="O25" s="206"/>
      <c r="P25" s="203">
        <v>1.5</v>
      </c>
      <c r="Q25" s="203"/>
      <c r="R25" s="203"/>
      <c r="S25" s="203" t="s">
        <v>140</v>
      </c>
    </row>
    <row r="26" spans="1:19" ht="18" customHeight="1" x14ac:dyDescent="0.15">
      <c r="A26" s="169"/>
      <c r="B26" s="207" t="s">
        <v>127</v>
      </c>
      <c r="C26" s="208"/>
      <c r="D26" s="208"/>
      <c r="E26" s="209"/>
      <c r="F26" s="210">
        <v>1</v>
      </c>
      <c r="G26" s="210" t="s">
        <v>140</v>
      </c>
      <c r="H26" s="210" t="s">
        <v>140</v>
      </c>
      <c r="I26" s="210" t="s">
        <v>140</v>
      </c>
      <c r="J26" s="207" t="s">
        <v>152</v>
      </c>
      <c r="K26" s="208"/>
      <c r="L26" s="208"/>
      <c r="M26" s="208"/>
      <c r="N26" s="208"/>
      <c r="O26" s="209"/>
      <c r="P26" s="210">
        <v>1.5</v>
      </c>
      <c r="Q26" s="210"/>
      <c r="R26" s="210"/>
      <c r="S26" s="210" t="s">
        <v>140</v>
      </c>
    </row>
    <row r="27" spans="1:19" ht="18" customHeight="1" x14ac:dyDescent="0.15">
      <c r="A27" s="169"/>
      <c r="B27" s="207" t="s">
        <v>128</v>
      </c>
      <c r="C27" s="208"/>
      <c r="D27" s="208"/>
      <c r="E27" s="209"/>
      <c r="F27" s="210">
        <v>1</v>
      </c>
      <c r="G27" s="210" t="s">
        <v>140</v>
      </c>
      <c r="H27" s="210" t="s">
        <v>140</v>
      </c>
      <c r="I27" s="210"/>
      <c r="J27" s="207" t="s">
        <v>153</v>
      </c>
      <c r="K27" s="208"/>
      <c r="L27" s="208"/>
      <c r="M27" s="208"/>
      <c r="N27" s="208"/>
      <c r="O27" s="209"/>
      <c r="P27" s="210">
        <v>1.5</v>
      </c>
      <c r="Q27" s="210"/>
      <c r="R27" s="210"/>
      <c r="S27" s="210" t="s">
        <v>140</v>
      </c>
    </row>
    <row r="28" spans="1:19" ht="18" customHeight="1" x14ac:dyDescent="0.15">
      <c r="A28" s="169"/>
      <c r="B28" s="207" t="s">
        <v>129</v>
      </c>
      <c r="C28" s="208"/>
      <c r="D28" s="208"/>
      <c r="E28" s="209"/>
      <c r="F28" s="210">
        <v>1</v>
      </c>
      <c r="G28" s="210" t="s">
        <v>140</v>
      </c>
      <c r="H28" s="210"/>
      <c r="I28" s="210" t="s">
        <v>140</v>
      </c>
      <c r="J28" s="207" t="s">
        <v>154</v>
      </c>
      <c r="K28" s="208"/>
      <c r="L28" s="208"/>
      <c r="M28" s="208"/>
      <c r="N28" s="208"/>
      <c r="O28" s="209"/>
      <c r="P28" s="210">
        <v>1.5</v>
      </c>
      <c r="Q28" s="210"/>
      <c r="R28" s="210"/>
      <c r="S28" s="210" t="s">
        <v>140</v>
      </c>
    </row>
    <row r="29" spans="1:19" ht="18" customHeight="1" x14ac:dyDescent="0.15">
      <c r="A29" s="169"/>
      <c r="B29" s="207" t="s">
        <v>130</v>
      </c>
      <c r="C29" s="208"/>
      <c r="D29" s="208"/>
      <c r="E29" s="209"/>
      <c r="F29" s="210">
        <v>1</v>
      </c>
      <c r="G29" s="210" t="s">
        <v>140</v>
      </c>
      <c r="H29" s="210" t="s">
        <v>140</v>
      </c>
      <c r="I29" s="210"/>
      <c r="J29" s="207" t="s">
        <v>191</v>
      </c>
      <c r="K29" s="208"/>
      <c r="L29" s="208"/>
      <c r="M29" s="208"/>
      <c r="N29" s="208"/>
      <c r="O29" s="209"/>
      <c r="P29" s="210">
        <v>1.5</v>
      </c>
      <c r="Q29" s="210"/>
      <c r="R29" s="210"/>
      <c r="S29" s="210" t="s">
        <v>140</v>
      </c>
    </row>
    <row r="30" spans="1:19" ht="18" customHeight="1" x14ac:dyDescent="0.15">
      <c r="A30" s="176"/>
      <c r="B30" s="207" t="s">
        <v>131</v>
      </c>
      <c r="C30" s="208"/>
      <c r="D30" s="208"/>
      <c r="E30" s="209"/>
      <c r="F30" s="210">
        <v>1.5</v>
      </c>
      <c r="G30" s="210" t="s">
        <v>140</v>
      </c>
      <c r="H30" s="211" t="s">
        <v>140</v>
      </c>
      <c r="I30" s="211"/>
      <c r="J30" s="207"/>
      <c r="K30" s="208"/>
      <c r="L30" s="208"/>
      <c r="M30" s="208"/>
      <c r="N30" s="208"/>
      <c r="O30" s="209"/>
      <c r="P30" s="210"/>
      <c r="Q30" s="210"/>
      <c r="R30" s="210"/>
      <c r="S30" s="210"/>
    </row>
    <row r="31" spans="1:19" ht="18" customHeight="1" x14ac:dyDescent="0.15">
      <c r="A31" s="176"/>
      <c r="B31" s="207" t="s">
        <v>132</v>
      </c>
      <c r="C31" s="212"/>
      <c r="D31" s="212"/>
      <c r="E31" s="213"/>
      <c r="F31" s="210">
        <v>1.5</v>
      </c>
      <c r="G31" s="210"/>
      <c r="H31" s="211"/>
      <c r="I31" s="211" t="s">
        <v>140</v>
      </c>
      <c r="J31" s="207"/>
      <c r="K31" s="208"/>
      <c r="L31" s="208"/>
      <c r="M31" s="208"/>
      <c r="N31" s="208"/>
      <c r="O31" s="209"/>
      <c r="P31" s="210"/>
      <c r="Q31" s="210"/>
      <c r="R31" s="211"/>
      <c r="S31" s="211"/>
    </row>
    <row r="32" spans="1:19" ht="18" customHeight="1" x14ac:dyDescent="0.15">
      <c r="A32" s="176"/>
      <c r="B32" s="207" t="s">
        <v>133</v>
      </c>
      <c r="C32" s="212"/>
      <c r="D32" s="212"/>
      <c r="E32" s="213"/>
      <c r="F32" s="210">
        <v>1.5</v>
      </c>
      <c r="G32" s="210"/>
      <c r="H32" s="211"/>
      <c r="I32" s="211" t="s">
        <v>140</v>
      </c>
      <c r="J32" s="207"/>
      <c r="K32" s="208"/>
      <c r="L32" s="208"/>
      <c r="M32" s="208"/>
      <c r="N32" s="208"/>
      <c r="O32" s="209"/>
      <c r="P32" s="210"/>
      <c r="Q32" s="210"/>
      <c r="R32" s="211"/>
      <c r="S32" s="211"/>
    </row>
    <row r="33" spans="1:19" ht="18" customHeight="1" x14ac:dyDescent="0.15">
      <c r="A33" s="176"/>
      <c r="B33" s="207" t="s">
        <v>134</v>
      </c>
      <c r="C33" s="208"/>
      <c r="D33" s="208"/>
      <c r="E33" s="209"/>
      <c r="F33" s="210">
        <v>1.5</v>
      </c>
      <c r="G33" s="210"/>
      <c r="H33" s="211" t="s">
        <v>140</v>
      </c>
      <c r="I33" s="211"/>
      <c r="J33" s="207"/>
      <c r="K33" s="208"/>
      <c r="L33" s="208"/>
      <c r="M33" s="208"/>
      <c r="N33" s="208"/>
      <c r="O33" s="209"/>
      <c r="P33" s="210"/>
      <c r="Q33" s="210"/>
      <c r="R33" s="211"/>
      <c r="S33" s="211"/>
    </row>
    <row r="34" spans="1:19" ht="18" customHeight="1" x14ac:dyDescent="0.15">
      <c r="A34" s="176"/>
      <c r="B34" s="207" t="s">
        <v>135</v>
      </c>
      <c r="C34" s="208"/>
      <c r="D34" s="208"/>
      <c r="E34" s="209"/>
      <c r="F34" s="210">
        <v>1</v>
      </c>
      <c r="G34" s="210"/>
      <c r="H34" s="211" t="s">
        <v>140</v>
      </c>
      <c r="I34" s="211"/>
      <c r="J34" s="207"/>
      <c r="K34" s="208"/>
      <c r="L34" s="208"/>
      <c r="M34" s="208"/>
      <c r="N34" s="208"/>
      <c r="O34" s="209"/>
      <c r="P34" s="210"/>
      <c r="Q34" s="210"/>
      <c r="R34" s="211"/>
      <c r="S34" s="211"/>
    </row>
    <row r="35" spans="1:19" ht="18" customHeight="1" x14ac:dyDescent="0.15">
      <c r="A35" s="176"/>
      <c r="B35" s="207" t="s">
        <v>151</v>
      </c>
      <c r="C35" s="208"/>
      <c r="D35" s="208"/>
      <c r="E35" s="209"/>
      <c r="F35" s="210">
        <v>0.5</v>
      </c>
      <c r="G35" s="210"/>
      <c r="H35" s="211" t="s">
        <v>140</v>
      </c>
      <c r="I35" s="211"/>
      <c r="J35" s="207"/>
      <c r="K35" s="208"/>
      <c r="L35" s="208"/>
      <c r="M35" s="208"/>
      <c r="N35" s="208"/>
      <c r="O35" s="209"/>
      <c r="P35" s="210"/>
      <c r="Q35" s="210"/>
      <c r="R35" s="211"/>
      <c r="S35" s="211"/>
    </row>
    <row r="36" spans="1:19" ht="18" customHeight="1" x14ac:dyDescent="0.15">
      <c r="A36" s="176"/>
      <c r="B36" s="207" t="s">
        <v>189</v>
      </c>
      <c r="C36" s="208"/>
      <c r="D36" s="208"/>
      <c r="E36" s="209"/>
      <c r="F36" s="210">
        <v>1</v>
      </c>
      <c r="G36" s="210"/>
      <c r="H36" s="211"/>
      <c r="I36" s="211" t="s">
        <v>140</v>
      </c>
      <c r="J36" s="207"/>
      <c r="K36" s="208"/>
      <c r="L36" s="208"/>
      <c r="M36" s="208"/>
      <c r="N36" s="208"/>
      <c r="O36" s="209"/>
      <c r="P36" s="210"/>
      <c r="Q36" s="210"/>
      <c r="R36" s="211"/>
      <c r="S36" s="211"/>
    </row>
    <row r="37" spans="1:19" ht="18" customHeight="1" x14ac:dyDescent="0.15">
      <c r="A37" s="176"/>
      <c r="B37" s="214" t="s">
        <v>149</v>
      </c>
      <c r="C37" s="215"/>
      <c r="D37" s="215"/>
      <c r="E37" s="216"/>
      <c r="F37" s="217">
        <v>0.5</v>
      </c>
      <c r="G37" s="217"/>
      <c r="H37" s="218"/>
      <c r="I37" s="218" t="s">
        <v>140</v>
      </c>
      <c r="J37" s="214"/>
      <c r="K37" s="215"/>
      <c r="L37" s="215"/>
      <c r="M37" s="215"/>
      <c r="N37" s="215"/>
      <c r="O37" s="216"/>
      <c r="P37" s="217"/>
      <c r="Q37" s="217"/>
      <c r="R37" s="218"/>
      <c r="S37" s="218"/>
    </row>
    <row r="38" spans="1:19" ht="7.5" customHeight="1" x14ac:dyDescent="0.15">
      <c r="A38" s="176"/>
      <c r="B38" s="219"/>
      <c r="C38" s="219"/>
      <c r="D38" s="176"/>
      <c r="E38" s="176"/>
      <c r="F38" s="176"/>
      <c r="G38" s="176"/>
      <c r="H38" s="219"/>
      <c r="I38" s="219"/>
      <c r="J38" s="219"/>
      <c r="K38" s="219"/>
      <c r="L38" s="219"/>
      <c r="M38" s="219"/>
      <c r="N38" s="219"/>
      <c r="O38" s="219"/>
      <c r="P38" s="219"/>
      <c r="Q38" s="219"/>
      <c r="R38" s="219"/>
      <c r="S38" s="176"/>
    </row>
    <row r="39" spans="1:19" ht="18" customHeight="1" x14ac:dyDescent="0.15">
      <c r="A39" s="195" t="s">
        <v>114</v>
      </c>
      <c r="B39" s="195"/>
      <c r="C39" s="195"/>
      <c r="D39" s="195"/>
      <c r="E39" s="195"/>
      <c r="F39" s="195"/>
      <c r="G39" s="195"/>
      <c r="H39" s="195"/>
      <c r="I39" s="195"/>
      <c r="J39" s="195"/>
      <c r="K39" s="195"/>
      <c r="L39" s="195"/>
      <c r="M39" s="195"/>
      <c r="N39" s="195"/>
      <c r="O39" s="195"/>
      <c r="P39" s="195"/>
      <c r="Q39" s="195"/>
      <c r="R39" s="195"/>
      <c r="S39" s="195"/>
    </row>
    <row r="40" spans="1:19" ht="18" customHeight="1" x14ac:dyDescent="0.15">
      <c r="A40" s="195"/>
      <c r="B40" s="195"/>
      <c r="C40" s="195"/>
      <c r="D40" s="195"/>
      <c r="E40" s="195"/>
      <c r="F40" s="195"/>
      <c r="G40" s="195"/>
      <c r="H40" s="195"/>
      <c r="I40" s="195"/>
      <c r="J40" s="195"/>
      <c r="K40" s="195"/>
      <c r="L40" s="195"/>
      <c r="M40" s="195"/>
      <c r="N40" s="195"/>
      <c r="O40" s="195"/>
      <c r="P40" s="195"/>
      <c r="Q40" s="195"/>
      <c r="R40" s="195"/>
      <c r="S40" s="195"/>
    </row>
    <row r="41" spans="1:19" ht="18" customHeight="1" x14ac:dyDescent="0.15">
      <c r="A41" s="169"/>
      <c r="B41" s="189" t="s">
        <v>53</v>
      </c>
      <c r="C41" s="196"/>
      <c r="D41" s="196"/>
      <c r="E41" s="190"/>
      <c r="F41" s="197" t="s">
        <v>80</v>
      </c>
      <c r="G41" s="198" t="s">
        <v>84</v>
      </c>
      <c r="H41" s="199" t="s">
        <v>71</v>
      </c>
      <c r="I41" s="199" t="s">
        <v>72</v>
      </c>
      <c r="J41" s="189" t="s">
        <v>53</v>
      </c>
      <c r="K41" s="196"/>
      <c r="L41" s="196"/>
      <c r="M41" s="196"/>
      <c r="N41" s="196"/>
      <c r="O41" s="190"/>
      <c r="P41" s="197" t="s">
        <v>80</v>
      </c>
      <c r="Q41" s="198" t="s">
        <v>84</v>
      </c>
      <c r="R41" s="199" t="s">
        <v>71</v>
      </c>
      <c r="S41" s="199" t="s">
        <v>72</v>
      </c>
    </row>
    <row r="42" spans="1:19" ht="18" customHeight="1" x14ac:dyDescent="0.15">
      <c r="A42" s="169"/>
      <c r="B42" s="200" t="s">
        <v>126</v>
      </c>
      <c r="C42" s="201"/>
      <c r="D42" s="201"/>
      <c r="E42" s="202"/>
      <c r="F42" s="203">
        <v>1</v>
      </c>
      <c r="G42" s="203" t="s">
        <v>140</v>
      </c>
      <c r="H42" s="203" t="s">
        <v>140</v>
      </c>
      <c r="I42" s="203" t="s">
        <v>140</v>
      </c>
      <c r="J42" s="204" t="s">
        <v>190</v>
      </c>
      <c r="K42" s="205"/>
      <c r="L42" s="205"/>
      <c r="M42" s="205"/>
      <c r="N42" s="205"/>
      <c r="O42" s="206"/>
      <c r="P42" s="203">
        <v>1.5</v>
      </c>
      <c r="Q42" s="203"/>
      <c r="R42" s="203"/>
      <c r="S42" s="203" t="s">
        <v>140</v>
      </c>
    </row>
    <row r="43" spans="1:19" ht="18" customHeight="1" x14ac:dyDescent="0.15">
      <c r="A43" s="169"/>
      <c r="B43" s="207" t="s">
        <v>127</v>
      </c>
      <c r="C43" s="208"/>
      <c r="D43" s="208"/>
      <c r="E43" s="209"/>
      <c r="F43" s="210">
        <v>1</v>
      </c>
      <c r="G43" s="210" t="s">
        <v>140</v>
      </c>
      <c r="H43" s="210" t="s">
        <v>140</v>
      </c>
      <c r="I43" s="210" t="s">
        <v>140</v>
      </c>
      <c r="J43" s="207" t="s">
        <v>152</v>
      </c>
      <c r="K43" s="208"/>
      <c r="L43" s="208"/>
      <c r="M43" s="208"/>
      <c r="N43" s="208"/>
      <c r="O43" s="209"/>
      <c r="P43" s="210">
        <v>1.5</v>
      </c>
      <c r="Q43" s="210"/>
      <c r="R43" s="210"/>
      <c r="S43" s="210" t="s">
        <v>140</v>
      </c>
    </row>
    <row r="44" spans="1:19" ht="18" customHeight="1" x14ac:dyDescent="0.15">
      <c r="A44" s="169"/>
      <c r="B44" s="207" t="s">
        <v>128</v>
      </c>
      <c r="C44" s="208"/>
      <c r="D44" s="208"/>
      <c r="E44" s="209"/>
      <c r="F44" s="210">
        <v>1.5</v>
      </c>
      <c r="G44" s="210" t="s">
        <v>140</v>
      </c>
      <c r="H44" s="210" t="s">
        <v>140</v>
      </c>
      <c r="I44" s="210"/>
      <c r="J44" s="207" t="s">
        <v>153</v>
      </c>
      <c r="K44" s="208"/>
      <c r="L44" s="208"/>
      <c r="M44" s="208"/>
      <c r="N44" s="208"/>
      <c r="O44" s="209"/>
      <c r="P44" s="210">
        <v>1.5</v>
      </c>
      <c r="Q44" s="210"/>
      <c r="R44" s="210"/>
      <c r="S44" s="210" t="s">
        <v>140</v>
      </c>
    </row>
    <row r="45" spans="1:19" ht="18" customHeight="1" x14ac:dyDescent="0.15">
      <c r="A45" s="169"/>
      <c r="B45" s="207" t="s">
        <v>129</v>
      </c>
      <c r="C45" s="208"/>
      <c r="D45" s="208"/>
      <c r="E45" s="209"/>
      <c r="F45" s="210">
        <v>1</v>
      </c>
      <c r="G45" s="210" t="s">
        <v>140</v>
      </c>
      <c r="H45" s="210"/>
      <c r="I45" s="210" t="s">
        <v>140</v>
      </c>
      <c r="J45" s="207" t="s">
        <v>154</v>
      </c>
      <c r="K45" s="208"/>
      <c r="L45" s="208"/>
      <c r="M45" s="208"/>
      <c r="N45" s="208"/>
      <c r="O45" s="209"/>
      <c r="P45" s="210">
        <v>1.5</v>
      </c>
      <c r="Q45" s="210"/>
      <c r="R45" s="210"/>
      <c r="S45" s="210" t="s">
        <v>140</v>
      </c>
    </row>
    <row r="46" spans="1:19" ht="18" customHeight="1" x14ac:dyDescent="0.15">
      <c r="A46" s="169"/>
      <c r="B46" s="207" t="s">
        <v>130</v>
      </c>
      <c r="C46" s="208"/>
      <c r="D46" s="208"/>
      <c r="E46" s="209"/>
      <c r="F46" s="210">
        <v>1</v>
      </c>
      <c r="G46" s="210" t="s">
        <v>140</v>
      </c>
      <c r="H46" s="210" t="s">
        <v>140</v>
      </c>
      <c r="I46" s="210"/>
      <c r="J46" s="207" t="s">
        <v>191</v>
      </c>
      <c r="K46" s="208"/>
      <c r="L46" s="208"/>
      <c r="M46" s="208"/>
      <c r="N46" s="208"/>
      <c r="O46" s="209"/>
      <c r="P46" s="210">
        <v>1.5</v>
      </c>
      <c r="Q46" s="210"/>
      <c r="R46" s="210"/>
      <c r="S46" s="210" t="s">
        <v>140</v>
      </c>
    </row>
    <row r="47" spans="1:19" ht="18" customHeight="1" x14ac:dyDescent="0.15">
      <c r="A47" s="169"/>
      <c r="B47" s="207" t="s">
        <v>138</v>
      </c>
      <c r="C47" s="208"/>
      <c r="D47" s="208"/>
      <c r="E47" s="209"/>
      <c r="F47" s="210">
        <v>1.5</v>
      </c>
      <c r="G47" s="210" t="s">
        <v>140</v>
      </c>
      <c r="H47" s="210" t="s">
        <v>140</v>
      </c>
      <c r="I47" s="210" t="s">
        <v>140</v>
      </c>
      <c r="J47" s="207"/>
      <c r="K47" s="208"/>
      <c r="L47" s="208"/>
      <c r="M47" s="208"/>
      <c r="N47" s="208"/>
      <c r="O47" s="209"/>
      <c r="P47" s="210"/>
      <c r="Q47" s="210"/>
      <c r="R47" s="210"/>
      <c r="S47" s="210"/>
    </row>
    <row r="48" spans="1:19" ht="18" customHeight="1" x14ac:dyDescent="0.15">
      <c r="A48" s="169"/>
      <c r="B48" s="207" t="s">
        <v>132</v>
      </c>
      <c r="C48" s="212"/>
      <c r="D48" s="212"/>
      <c r="E48" s="213"/>
      <c r="F48" s="210">
        <v>1.5</v>
      </c>
      <c r="G48" s="210"/>
      <c r="H48" s="210"/>
      <c r="I48" s="210" t="s">
        <v>140</v>
      </c>
      <c r="J48" s="207"/>
      <c r="K48" s="208"/>
      <c r="L48" s="208"/>
      <c r="M48" s="208"/>
      <c r="N48" s="208"/>
      <c r="O48" s="209"/>
      <c r="P48" s="210"/>
      <c r="Q48" s="210"/>
      <c r="R48" s="210"/>
      <c r="S48" s="210"/>
    </row>
    <row r="49" spans="1:19" ht="18" customHeight="1" x14ac:dyDescent="0.15">
      <c r="A49" s="169"/>
      <c r="B49" s="207" t="s">
        <v>133</v>
      </c>
      <c r="C49" s="212"/>
      <c r="D49" s="212"/>
      <c r="E49" s="213"/>
      <c r="F49" s="210">
        <v>1.5</v>
      </c>
      <c r="G49" s="210"/>
      <c r="H49" s="210"/>
      <c r="I49" s="210" t="s">
        <v>140</v>
      </c>
      <c r="J49" s="207"/>
      <c r="K49" s="208"/>
      <c r="L49" s="208"/>
      <c r="M49" s="208"/>
      <c r="N49" s="208"/>
      <c r="O49" s="209"/>
      <c r="P49" s="210"/>
      <c r="Q49" s="210"/>
      <c r="R49" s="210"/>
      <c r="S49" s="210"/>
    </row>
    <row r="50" spans="1:19" ht="18" customHeight="1" x14ac:dyDescent="0.15">
      <c r="A50" s="169"/>
      <c r="B50" s="207" t="s">
        <v>134</v>
      </c>
      <c r="C50" s="208"/>
      <c r="D50" s="208"/>
      <c r="E50" s="209"/>
      <c r="F50" s="210">
        <v>1.5</v>
      </c>
      <c r="G50" s="210"/>
      <c r="H50" s="210"/>
      <c r="I50" s="210" t="s">
        <v>140</v>
      </c>
      <c r="J50" s="207"/>
      <c r="K50" s="208"/>
      <c r="L50" s="208"/>
      <c r="M50" s="208"/>
      <c r="N50" s="208"/>
      <c r="O50" s="209"/>
      <c r="P50" s="210"/>
      <c r="Q50" s="210"/>
      <c r="R50" s="210"/>
      <c r="S50" s="210"/>
    </row>
    <row r="51" spans="1:19" ht="18" customHeight="1" x14ac:dyDescent="0.15">
      <c r="A51" s="169"/>
      <c r="B51" s="207" t="s">
        <v>139</v>
      </c>
      <c r="C51" s="208"/>
      <c r="D51" s="208"/>
      <c r="E51" s="209"/>
      <c r="F51" s="210">
        <v>1</v>
      </c>
      <c r="G51" s="210"/>
      <c r="H51" s="210" t="s">
        <v>140</v>
      </c>
      <c r="I51" s="210" t="s">
        <v>140</v>
      </c>
      <c r="J51" s="207"/>
      <c r="K51" s="208"/>
      <c r="L51" s="208"/>
      <c r="M51" s="208"/>
      <c r="N51" s="208"/>
      <c r="O51" s="209"/>
      <c r="P51" s="210"/>
      <c r="Q51" s="210"/>
      <c r="R51" s="210"/>
      <c r="S51" s="210"/>
    </row>
    <row r="52" spans="1:19" ht="18" customHeight="1" x14ac:dyDescent="0.15">
      <c r="A52" s="169"/>
      <c r="B52" s="207" t="s">
        <v>151</v>
      </c>
      <c r="C52" s="208"/>
      <c r="D52" s="208"/>
      <c r="E52" s="209"/>
      <c r="F52" s="210">
        <v>0.5</v>
      </c>
      <c r="G52" s="210"/>
      <c r="H52" s="211" t="s">
        <v>140</v>
      </c>
      <c r="I52" s="211"/>
      <c r="J52" s="207"/>
      <c r="K52" s="208"/>
      <c r="L52" s="208"/>
      <c r="M52" s="208"/>
      <c r="N52" s="208"/>
      <c r="O52" s="209"/>
      <c r="P52" s="210"/>
      <c r="Q52" s="210"/>
      <c r="R52" s="210"/>
      <c r="S52" s="210"/>
    </row>
    <row r="53" spans="1:19" ht="18" customHeight="1" x14ac:dyDescent="0.15">
      <c r="A53" s="169"/>
      <c r="B53" s="207" t="s">
        <v>189</v>
      </c>
      <c r="C53" s="208"/>
      <c r="D53" s="208"/>
      <c r="E53" s="209"/>
      <c r="F53" s="210">
        <v>1</v>
      </c>
      <c r="G53" s="210"/>
      <c r="H53" s="211"/>
      <c r="I53" s="211" t="s">
        <v>140</v>
      </c>
      <c r="J53" s="207"/>
      <c r="K53" s="208"/>
      <c r="L53" s="208"/>
      <c r="M53" s="208"/>
      <c r="N53" s="208"/>
      <c r="O53" s="209"/>
      <c r="P53" s="210"/>
      <c r="Q53" s="210"/>
      <c r="R53" s="210"/>
      <c r="S53" s="210"/>
    </row>
    <row r="54" spans="1:19" ht="18" customHeight="1" x14ac:dyDescent="0.15">
      <c r="A54" s="169"/>
      <c r="B54" s="214" t="s">
        <v>149</v>
      </c>
      <c r="C54" s="215"/>
      <c r="D54" s="215"/>
      <c r="E54" s="216"/>
      <c r="F54" s="217">
        <v>0.5</v>
      </c>
      <c r="G54" s="217"/>
      <c r="H54" s="218"/>
      <c r="I54" s="218" t="s">
        <v>140</v>
      </c>
      <c r="J54" s="214"/>
      <c r="K54" s="215"/>
      <c r="L54" s="215"/>
      <c r="M54" s="215"/>
      <c r="N54" s="215"/>
      <c r="O54" s="216"/>
      <c r="P54" s="217"/>
      <c r="Q54" s="217"/>
      <c r="R54" s="218"/>
      <c r="S54" s="218"/>
    </row>
    <row r="55" spans="1:19" ht="7.5" customHeight="1" x14ac:dyDescent="0.15">
      <c r="A55" s="176"/>
      <c r="B55" s="219"/>
      <c r="C55" s="219"/>
      <c r="D55" s="176"/>
      <c r="E55" s="176"/>
      <c r="F55" s="176"/>
      <c r="G55" s="176"/>
      <c r="H55" s="219"/>
      <c r="I55" s="219"/>
      <c r="J55" s="219"/>
      <c r="K55" s="219"/>
      <c r="L55" s="219"/>
      <c r="M55" s="219"/>
      <c r="N55" s="219"/>
      <c r="O55" s="219"/>
      <c r="P55" s="219"/>
      <c r="Q55" s="219"/>
      <c r="R55" s="219"/>
      <c r="S55" s="176"/>
    </row>
    <row r="56" spans="1:19" ht="18" customHeight="1" x14ac:dyDescent="0.15">
      <c r="A56" s="195" t="s">
        <v>115</v>
      </c>
      <c r="B56" s="195"/>
      <c r="C56" s="195"/>
      <c r="D56" s="195"/>
      <c r="E56" s="195"/>
      <c r="F56" s="195"/>
      <c r="G56" s="195"/>
      <c r="H56" s="195"/>
      <c r="I56" s="195"/>
      <c r="J56" s="195"/>
      <c r="K56" s="195"/>
      <c r="L56" s="195"/>
      <c r="M56" s="195"/>
      <c r="N56" s="195"/>
      <c r="O56" s="195"/>
      <c r="P56" s="195"/>
      <c r="Q56" s="195"/>
      <c r="R56" s="195"/>
      <c r="S56" s="195"/>
    </row>
    <row r="57" spans="1:19" ht="18" customHeight="1" x14ac:dyDescent="0.15">
      <c r="A57" s="195"/>
      <c r="B57" s="195"/>
      <c r="C57" s="195"/>
      <c r="D57" s="195"/>
      <c r="E57" s="195"/>
      <c r="F57" s="195"/>
      <c r="G57" s="195"/>
      <c r="H57" s="195"/>
      <c r="I57" s="195"/>
      <c r="J57" s="195"/>
      <c r="K57" s="195"/>
      <c r="L57" s="195"/>
      <c r="M57" s="195"/>
      <c r="N57" s="195"/>
      <c r="O57" s="195"/>
      <c r="P57" s="195"/>
      <c r="Q57" s="195"/>
      <c r="R57" s="195"/>
      <c r="S57" s="195"/>
    </row>
    <row r="58" spans="1:19" ht="18" customHeight="1" x14ac:dyDescent="0.15">
      <c r="A58" s="169"/>
      <c r="B58" s="189" t="s">
        <v>53</v>
      </c>
      <c r="C58" s="196"/>
      <c r="D58" s="196"/>
      <c r="E58" s="190"/>
      <c r="F58" s="197" t="s">
        <v>80</v>
      </c>
      <c r="G58" s="198" t="s">
        <v>84</v>
      </c>
      <c r="H58" s="199" t="s">
        <v>73</v>
      </c>
      <c r="I58" s="199" t="s">
        <v>74</v>
      </c>
      <c r="J58" s="189" t="s">
        <v>53</v>
      </c>
      <c r="K58" s="196"/>
      <c r="L58" s="196"/>
      <c r="M58" s="196"/>
      <c r="N58" s="196"/>
      <c r="O58" s="190"/>
      <c r="P58" s="197" t="s">
        <v>80</v>
      </c>
      <c r="Q58" s="198" t="s">
        <v>84</v>
      </c>
      <c r="R58" s="199" t="s">
        <v>73</v>
      </c>
      <c r="S58" s="199" t="s">
        <v>74</v>
      </c>
    </row>
    <row r="59" spans="1:19" ht="18" customHeight="1" x14ac:dyDescent="0.15">
      <c r="A59" s="176"/>
      <c r="B59" s="200" t="s">
        <v>126</v>
      </c>
      <c r="C59" s="201"/>
      <c r="D59" s="201"/>
      <c r="E59" s="202"/>
      <c r="F59" s="203">
        <v>1</v>
      </c>
      <c r="G59" s="203" t="s">
        <v>140</v>
      </c>
      <c r="H59" s="203" t="s">
        <v>140</v>
      </c>
      <c r="I59" s="203" t="s">
        <v>140</v>
      </c>
      <c r="J59" s="204" t="s">
        <v>190</v>
      </c>
      <c r="K59" s="205"/>
      <c r="L59" s="205"/>
      <c r="M59" s="205"/>
      <c r="N59" s="205"/>
      <c r="O59" s="206"/>
      <c r="P59" s="203">
        <v>1.5</v>
      </c>
      <c r="Q59" s="203"/>
      <c r="R59" s="203" t="s">
        <v>140</v>
      </c>
      <c r="S59" s="203" t="s">
        <v>140</v>
      </c>
    </row>
    <row r="60" spans="1:19" ht="18" customHeight="1" x14ac:dyDescent="0.15">
      <c r="A60" s="176"/>
      <c r="B60" s="207" t="s">
        <v>127</v>
      </c>
      <c r="C60" s="208"/>
      <c r="D60" s="208"/>
      <c r="E60" s="209"/>
      <c r="F60" s="210">
        <v>1</v>
      </c>
      <c r="G60" s="210" t="s">
        <v>140</v>
      </c>
      <c r="H60" s="210" t="s">
        <v>140</v>
      </c>
      <c r="I60" s="210" t="s">
        <v>140</v>
      </c>
      <c r="J60" s="207" t="s">
        <v>152</v>
      </c>
      <c r="K60" s="208"/>
      <c r="L60" s="208"/>
      <c r="M60" s="208"/>
      <c r="N60" s="208"/>
      <c r="O60" s="209"/>
      <c r="P60" s="210">
        <v>1.5</v>
      </c>
      <c r="Q60" s="210"/>
      <c r="R60" s="210" t="s">
        <v>140</v>
      </c>
      <c r="S60" s="210" t="s">
        <v>140</v>
      </c>
    </row>
    <row r="61" spans="1:19" ht="18" customHeight="1" x14ac:dyDescent="0.15">
      <c r="A61" s="176"/>
      <c r="B61" s="207" t="s">
        <v>128</v>
      </c>
      <c r="C61" s="208"/>
      <c r="D61" s="208"/>
      <c r="E61" s="209"/>
      <c r="F61" s="210">
        <v>1</v>
      </c>
      <c r="G61" s="210" t="s">
        <v>140</v>
      </c>
      <c r="H61" s="210" t="s">
        <v>140</v>
      </c>
      <c r="I61" s="210"/>
      <c r="J61" s="207" t="s">
        <v>153</v>
      </c>
      <c r="K61" s="208"/>
      <c r="L61" s="208"/>
      <c r="M61" s="208"/>
      <c r="N61" s="208"/>
      <c r="O61" s="209"/>
      <c r="P61" s="210">
        <v>1.5</v>
      </c>
      <c r="Q61" s="210"/>
      <c r="R61" s="210" t="s">
        <v>140</v>
      </c>
      <c r="S61" s="210" t="s">
        <v>140</v>
      </c>
    </row>
    <row r="62" spans="1:19" ht="18" customHeight="1" x14ac:dyDescent="0.15">
      <c r="A62" s="176"/>
      <c r="B62" s="207" t="s">
        <v>132</v>
      </c>
      <c r="C62" s="212"/>
      <c r="D62" s="212"/>
      <c r="E62" s="213"/>
      <c r="F62" s="210">
        <v>1.5</v>
      </c>
      <c r="G62" s="210"/>
      <c r="H62" s="210" t="s">
        <v>140</v>
      </c>
      <c r="I62" s="210" t="s">
        <v>140</v>
      </c>
      <c r="J62" s="207" t="s">
        <v>154</v>
      </c>
      <c r="K62" s="208"/>
      <c r="L62" s="208"/>
      <c r="M62" s="208"/>
      <c r="N62" s="208"/>
      <c r="O62" s="209"/>
      <c r="P62" s="210">
        <v>1.5</v>
      </c>
      <c r="Q62" s="210"/>
      <c r="R62" s="210" t="s">
        <v>140</v>
      </c>
      <c r="S62" s="210" t="s">
        <v>140</v>
      </c>
    </row>
    <row r="63" spans="1:19" ht="18" customHeight="1" x14ac:dyDescent="0.15">
      <c r="A63" s="176"/>
      <c r="B63" s="207" t="s">
        <v>133</v>
      </c>
      <c r="C63" s="212"/>
      <c r="D63" s="212"/>
      <c r="E63" s="213"/>
      <c r="F63" s="210">
        <v>1.5</v>
      </c>
      <c r="G63" s="210"/>
      <c r="H63" s="210" t="s">
        <v>140</v>
      </c>
      <c r="I63" s="210" t="s">
        <v>140</v>
      </c>
      <c r="J63" s="207" t="s">
        <v>191</v>
      </c>
      <c r="K63" s="208"/>
      <c r="L63" s="208"/>
      <c r="M63" s="208"/>
      <c r="N63" s="208"/>
      <c r="O63" s="209"/>
      <c r="P63" s="210">
        <v>1.5</v>
      </c>
      <c r="Q63" s="210"/>
      <c r="R63" s="210"/>
      <c r="S63" s="210" t="s">
        <v>140</v>
      </c>
    </row>
    <row r="64" spans="1:19" ht="18" customHeight="1" x14ac:dyDescent="0.15">
      <c r="A64" s="176"/>
      <c r="B64" s="207" t="s">
        <v>134</v>
      </c>
      <c r="C64" s="208"/>
      <c r="D64" s="208"/>
      <c r="E64" s="209"/>
      <c r="F64" s="210">
        <v>1.5</v>
      </c>
      <c r="G64" s="210"/>
      <c r="H64" s="210" t="s">
        <v>140</v>
      </c>
      <c r="I64" s="210" t="s">
        <v>140</v>
      </c>
      <c r="J64" s="207"/>
      <c r="K64" s="208"/>
      <c r="L64" s="208"/>
      <c r="M64" s="208"/>
      <c r="N64" s="208"/>
      <c r="O64" s="209"/>
      <c r="P64" s="210"/>
      <c r="Q64" s="210"/>
      <c r="R64" s="210"/>
      <c r="S64" s="210"/>
    </row>
    <row r="65" spans="1:19" ht="18" customHeight="1" x14ac:dyDescent="0.15">
      <c r="A65" s="176"/>
      <c r="B65" s="207" t="s">
        <v>139</v>
      </c>
      <c r="C65" s="208"/>
      <c r="D65" s="208"/>
      <c r="E65" s="209"/>
      <c r="F65" s="210">
        <v>1</v>
      </c>
      <c r="G65" s="210"/>
      <c r="H65" s="210" t="s">
        <v>140</v>
      </c>
      <c r="I65" s="210" t="s">
        <v>140</v>
      </c>
      <c r="J65" s="207"/>
      <c r="K65" s="208"/>
      <c r="L65" s="208"/>
      <c r="M65" s="208"/>
      <c r="N65" s="208"/>
      <c r="O65" s="209"/>
      <c r="P65" s="210"/>
      <c r="Q65" s="210"/>
      <c r="R65" s="210"/>
      <c r="S65" s="210"/>
    </row>
    <row r="66" spans="1:19" ht="18" customHeight="1" x14ac:dyDescent="0.15">
      <c r="A66" s="176"/>
      <c r="B66" s="207" t="s">
        <v>192</v>
      </c>
      <c r="C66" s="208"/>
      <c r="D66" s="208"/>
      <c r="E66" s="209"/>
      <c r="F66" s="210">
        <v>1</v>
      </c>
      <c r="G66" s="210"/>
      <c r="H66" s="210" t="s">
        <v>140</v>
      </c>
      <c r="I66" s="210" t="s">
        <v>140</v>
      </c>
      <c r="J66" s="207"/>
      <c r="K66" s="208"/>
      <c r="L66" s="208"/>
      <c r="M66" s="208"/>
      <c r="N66" s="208"/>
      <c r="O66" s="209"/>
      <c r="P66" s="210"/>
      <c r="Q66" s="210"/>
      <c r="R66" s="210"/>
      <c r="S66" s="210"/>
    </row>
    <row r="67" spans="1:19" ht="18" customHeight="1" x14ac:dyDescent="0.15">
      <c r="A67" s="176"/>
      <c r="B67" s="207" t="s">
        <v>151</v>
      </c>
      <c r="C67" s="208"/>
      <c r="D67" s="208"/>
      <c r="E67" s="209"/>
      <c r="F67" s="210">
        <v>0.5</v>
      </c>
      <c r="G67" s="210"/>
      <c r="H67" s="211" t="s">
        <v>140</v>
      </c>
      <c r="I67" s="211" t="s">
        <v>140</v>
      </c>
      <c r="J67" s="207"/>
      <c r="K67" s="208"/>
      <c r="L67" s="208"/>
      <c r="M67" s="208"/>
      <c r="N67" s="208"/>
      <c r="O67" s="209"/>
      <c r="P67" s="210"/>
      <c r="Q67" s="210"/>
      <c r="R67" s="210"/>
      <c r="S67" s="210"/>
    </row>
    <row r="68" spans="1:19" ht="18" customHeight="1" x14ac:dyDescent="0.15">
      <c r="A68" s="176"/>
      <c r="B68" s="207" t="s">
        <v>189</v>
      </c>
      <c r="C68" s="208"/>
      <c r="D68" s="208"/>
      <c r="E68" s="209"/>
      <c r="F68" s="210">
        <v>1</v>
      </c>
      <c r="G68" s="210"/>
      <c r="H68" s="211" t="s">
        <v>140</v>
      </c>
      <c r="I68" s="211" t="s">
        <v>140</v>
      </c>
      <c r="J68" s="207"/>
      <c r="K68" s="208"/>
      <c r="L68" s="208"/>
      <c r="M68" s="208"/>
      <c r="N68" s="208"/>
      <c r="O68" s="209"/>
      <c r="P68" s="210"/>
      <c r="Q68" s="210"/>
      <c r="R68" s="210"/>
      <c r="S68" s="210"/>
    </row>
    <row r="69" spans="1:19" ht="18" customHeight="1" x14ac:dyDescent="0.15">
      <c r="A69" s="176"/>
      <c r="B69" s="214" t="s">
        <v>149</v>
      </c>
      <c r="C69" s="215"/>
      <c r="D69" s="215"/>
      <c r="E69" s="216"/>
      <c r="F69" s="217">
        <v>0.5</v>
      </c>
      <c r="G69" s="217"/>
      <c r="H69" s="218" t="s">
        <v>140</v>
      </c>
      <c r="I69" s="218" t="s">
        <v>140</v>
      </c>
      <c r="J69" s="214"/>
      <c r="K69" s="215"/>
      <c r="L69" s="215"/>
      <c r="M69" s="215"/>
      <c r="N69" s="215"/>
      <c r="O69" s="216"/>
      <c r="P69" s="218"/>
      <c r="Q69" s="217"/>
      <c r="R69" s="218"/>
      <c r="S69" s="218"/>
    </row>
    <row r="70" spans="1:19" ht="7.5" customHeight="1" x14ac:dyDescent="0.15">
      <c r="A70" s="169"/>
      <c r="B70" s="220"/>
      <c r="C70" s="220"/>
      <c r="D70" s="220"/>
      <c r="E70" s="220"/>
      <c r="F70" s="220"/>
      <c r="G70" s="220"/>
      <c r="H70" s="220"/>
      <c r="I70" s="220"/>
      <c r="J70" s="220"/>
      <c r="K70" s="220"/>
      <c r="L70" s="220"/>
      <c r="M70" s="220"/>
      <c r="N70" s="220"/>
      <c r="O70" s="220"/>
      <c r="P70" s="220"/>
      <c r="Q70" s="220"/>
      <c r="R70" s="220"/>
      <c r="S70" s="169"/>
    </row>
    <row r="71" spans="1:19" ht="18" customHeight="1" x14ac:dyDescent="0.15">
      <c r="A71" s="195" t="s">
        <v>116</v>
      </c>
      <c r="B71" s="195"/>
      <c r="C71" s="195"/>
      <c r="D71" s="195"/>
      <c r="E71" s="195"/>
      <c r="F71" s="195"/>
      <c r="G71" s="195"/>
      <c r="H71" s="195"/>
      <c r="I71" s="195"/>
      <c r="J71" s="195"/>
      <c r="K71" s="195"/>
      <c r="L71" s="195"/>
      <c r="M71" s="195"/>
      <c r="N71" s="195"/>
      <c r="O71" s="195"/>
      <c r="P71" s="195"/>
      <c r="Q71" s="195"/>
      <c r="R71" s="195"/>
      <c r="S71" s="195"/>
    </row>
    <row r="72" spans="1:19" ht="18" customHeight="1" x14ac:dyDescent="0.15">
      <c r="A72" s="195"/>
      <c r="B72" s="195"/>
      <c r="C72" s="195"/>
      <c r="D72" s="195"/>
      <c r="E72" s="195"/>
      <c r="F72" s="195"/>
      <c r="G72" s="195"/>
      <c r="H72" s="195"/>
      <c r="I72" s="195"/>
      <c r="J72" s="195"/>
      <c r="K72" s="195"/>
      <c r="L72" s="195"/>
      <c r="M72" s="195"/>
      <c r="N72" s="195"/>
      <c r="O72" s="195"/>
      <c r="P72" s="195"/>
      <c r="Q72" s="195"/>
      <c r="R72" s="195"/>
      <c r="S72" s="195"/>
    </row>
    <row r="73" spans="1:19" ht="18" customHeight="1" x14ac:dyDescent="0.15">
      <c r="A73" s="169"/>
      <c r="B73" s="189" t="s">
        <v>53</v>
      </c>
      <c r="C73" s="196"/>
      <c r="D73" s="196"/>
      <c r="E73" s="190"/>
      <c r="F73" s="197" t="s">
        <v>80</v>
      </c>
      <c r="G73" s="198" t="s">
        <v>84</v>
      </c>
      <c r="H73" s="199" t="s">
        <v>58</v>
      </c>
      <c r="I73" s="199" t="s">
        <v>60</v>
      </c>
      <c r="J73" s="189" t="s">
        <v>53</v>
      </c>
      <c r="K73" s="196"/>
      <c r="L73" s="196"/>
      <c r="M73" s="196"/>
      <c r="N73" s="196"/>
      <c r="O73" s="190"/>
      <c r="P73" s="197" t="s">
        <v>80</v>
      </c>
      <c r="Q73" s="198" t="s">
        <v>84</v>
      </c>
      <c r="R73" s="199" t="s">
        <v>58</v>
      </c>
      <c r="S73" s="199" t="s">
        <v>60</v>
      </c>
    </row>
    <row r="74" spans="1:19" ht="18" customHeight="1" x14ac:dyDescent="0.15">
      <c r="A74" s="176"/>
      <c r="B74" s="200" t="s">
        <v>126</v>
      </c>
      <c r="C74" s="201"/>
      <c r="D74" s="201"/>
      <c r="E74" s="202"/>
      <c r="F74" s="203">
        <v>1</v>
      </c>
      <c r="G74" s="203" t="s">
        <v>140</v>
      </c>
      <c r="H74" s="203" t="s">
        <v>140</v>
      </c>
      <c r="I74" s="203" t="s">
        <v>140</v>
      </c>
      <c r="J74" s="204" t="s">
        <v>190</v>
      </c>
      <c r="K74" s="205"/>
      <c r="L74" s="205"/>
      <c r="M74" s="205"/>
      <c r="N74" s="205"/>
      <c r="O74" s="206"/>
      <c r="P74" s="203">
        <v>1.5</v>
      </c>
      <c r="Q74" s="203"/>
      <c r="R74" s="203"/>
      <c r="S74" s="203" t="s">
        <v>140</v>
      </c>
    </row>
    <row r="75" spans="1:19" ht="18" customHeight="1" x14ac:dyDescent="0.15">
      <c r="A75" s="176"/>
      <c r="B75" s="207" t="s">
        <v>127</v>
      </c>
      <c r="C75" s="208"/>
      <c r="D75" s="208"/>
      <c r="E75" s="209"/>
      <c r="F75" s="210">
        <v>1</v>
      </c>
      <c r="G75" s="210" t="s">
        <v>140</v>
      </c>
      <c r="H75" s="210" t="s">
        <v>140</v>
      </c>
      <c r="I75" s="210" t="s">
        <v>140</v>
      </c>
      <c r="J75" s="207" t="s">
        <v>152</v>
      </c>
      <c r="K75" s="208"/>
      <c r="L75" s="208"/>
      <c r="M75" s="208"/>
      <c r="N75" s="208"/>
      <c r="O75" s="209"/>
      <c r="P75" s="210">
        <v>1.5</v>
      </c>
      <c r="Q75" s="210"/>
      <c r="R75" s="210" t="s">
        <v>140</v>
      </c>
      <c r="S75" s="210" t="s">
        <v>140</v>
      </c>
    </row>
    <row r="76" spans="1:19" ht="18" customHeight="1" x14ac:dyDescent="0.15">
      <c r="A76" s="176"/>
      <c r="B76" s="207" t="s">
        <v>128</v>
      </c>
      <c r="C76" s="208"/>
      <c r="D76" s="208"/>
      <c r="E76" s="209"/>
      <c r="F76" s="210">
        <v>1</v>
      </c>
      <c r="G76" s="210" t="s">
        <v>140</v>
      </c>
      <c r="H76" s="210" t="s">
        <v>140</v>
      </c>
      <c r="I76" s="210"/>
      <c r="J76" s="207" t="s">
        <v>153</v>
      </c>
      <c r="K76" s="208"/>
      <c r="L76" s="208"/>
      <c r="M76" s="208"/>
      <c r="N76" s="208"/>
      <c r="O76" s="209"/>
      <c r="P76" s="210">
        <v>1.5</v>
      </c>
      <c r="Q76" s="210"/>
      <c r="R76" s="210"/>
      <c r="S76" s="210" t="s">
        <v>140</v>
      </c>
    </row>
    <row r="77" spans="1:19" ht="18" customHeight="1" x14ac:dyDescent="0.15">
      <c r="A77" s="176"/>
      <c r="B77" s="207" t="s">
        <v>129</v>
      </c>
      <c r="C77" s="208"/>
      <c r="D77" s="208"/>
      <c r="E77" s="209"/>
      <c r="F77" s="210">
        <v>1</v>
      </c>
      <c r="G77" s="210" t="s">
        <v>140</v>
      </c>
      <c r="H77" s="210"/>
      <c r="I77" s="210" t="s">
        <v>140</v>
      </c>
      <c r="J77" s="207" t="s">
        <v>154</v>
      </c>
      <c r="K77" s="208"/>
      <c r="L77" s="208"/>
      <c r="M77" s="208"/>
      <c r="N77" s="208"/>
      <c r="O77" s="209"/>
      <c r="P77" s="210">
        <v>1.5</v>
      </c>
      <c r="Q77" s="210"/>
      <c r="R77" s="210" t="s">
        <v>140</v>
      </c>
      <c r="S77" s="210" t="s">
        <v>140</v>
      </c>
    </row>
    <row r="78" spans="1:19" ht="18" customHeight="1" x14ac:dyDescent="0.15">
      <c r="A78" s="176"/>
      <c r="B78" s="207" t="s">
        <v>130</v>
      </c>
      <c r="C78" s="208"/>
      <c r="D78" s="208"/>
      <c r="E78" s="209"/>
      <c r="F78" s="210">
        <v>1</v>
      </c>
      <c r="G78" s="210" t="s">
        <v>140</v>
      </c>
      <c r="H78" s="210"/>
      <c r="I78" s="210" t="s">
        <v>140</v>
      </c>
      <c r="J78" s="207" t="s">
        <v>191</v>
      </c>
      <c r="K78" s="208"/>
      <c r="L78" s="208"/>
      <c r="M78" s="208"/>
      <c r="N78" s="208"/>
      <c r="O78" s="209"/>
      <c r="P78" s="210">
        <v>1.5</v>
      </c>
      <c r="Q78" s="210"/>
      <c r="R78" s="210" t="s">
        <v>140</v>
      </c>
      <c r="S78" s="210" t="s">
        <v>140</v>
      </c>
    </row>
    <row r="79" spans="1:19" ht="18" customHeight="1" x14ac:dyDescent="0.15">
      <c r="A79" s="176"/>
      <c r="B79" s="207" t="s">
        <v>131</v>
      </c>
      <c r="C79" s="208"/>
      <c r="D79" s="208"/>
      <c r="E79" s="209"/>
      <c r="F79" s="210">
        <v>1.5</v>
      </c>
      <c r="G79" s="210" t="s">
        <v>140</v>
      </c>
      <c r="H79" s="210"/>
      <c r="I79" s="210" t="s">
        <v>140</v>
      </c>
      <c r="J79" s="207"/>
      <c r="K79" s="208"/>
      <c r="L79" s="208"/>
      <c r="M79" s="208"/>
      <c r="N79" s="208"/>
      <c r="O79" s="209"/>
      <c r="P79" s="210"/>
      <c r="Q79" s="210"/>
      <c r="R79" s="210"/>
      <c r="S79" s="210"/>
    </row>
    <row r="80" spans="1:19" ht="18" customHeight="1" x14ac:dyDescent="0.15">
      <c r="A80" s="176"/>
      <c r="B80" s="207" t="s">
        <v>132</v>
      </c>
      <c r="C80" s="208"/>
      <c r="D80" s="208"/>
      <c r="E80" s="209"/>
      <c r="F80" s="210">
        <v>1.5</v>
      </c>
      <c r="G80" s="210"/>
      <c r="H80" s="210" t="s">
        <v>140</v>
      </c>
      <c r="I80" s="210"/>
      <c r="J80" s="207"/>
      <c r="K80" s="208"/>
      <c r="L80" s="208"/>
      <c r="M80" s="208"/>
      <c r="N80" s="208"/>
      <c r="O80" s="209"/>
      <c r="P80" s="210"/>
      <c r="Q80" s="210"/>
      <c r="R80" s="210"/>
      <c r="S80" s="210"/>
    </row>
    <row r="81" spans="1:19" ht="18" customHeight="1" x14ac:dyDescent="0.15">
      <c r="A81" s="176"/>
      <c r="B81" s="207" t="s">
        <v>142</v>
      </c>
      <c r="C81" s="208"/>
      <c r="D81" s="208"/>
      <c r="E81" s="209"/>
      <c r="F81" s="210">
        <v>1.5</v>
      </c>
      <c r="G81" s="210"/>
      <c r="H81" s="210" t="s">
        <v>140</v>
      </c>
      <c r="I81" s="210"/>
      <c r="J81" s="207"/>
      <c r="K81" s="208"/>
      <c r="L81" s="208"/>
      <c r="M81" s="208"/>
      <c r="N81" s="208"/>
      <c r="O81" s="209"/>
      <c r="P81" s="210"/>
      <c r="Q81" s="210"/>
      <c r="R81" s="210"/>
      <c r="S81" s="210"/>
    </row>
    <row r="82" spans="1:19" ht="18" customHeight="1" x14ac:dyDescent="0.15">
      <c r="A82" s="176"/>
      <c r="B82" s="207" t="s">
        <v>135</v>
      </c>
      <c r="C82" s="208"/>
      <c r="D82" s="208"/>
      <c r="E82" s="209"/>
      <c r="F82" s="210">
        <v>1</v>
      </c>
      <c r="G82" s="210"/>
      <c r="H82" s="210" t="s">
        <v>140</v>
      </c>
      <c r="I82" s="210" t="s">
        <v>140</v>
      </c>
      <c r="J82" s="207"/>
      <c r="K82" s="208"/>
      <c r="L82" s="208"/>
      <c r="M82" s="208"/>
      <c r="N82" s="208"/>
      <c r="O82" s="209"/>
      <c r="P82" s="210"/>
      <c r="Q82" s="210"/>
      <c r="R82" s="210"/>
      <c r="S82" s="210"/>
    </row>
    <row r="83" spans="1:19" ht="18" customHeight="1" x14ac:dyDescent="0.15">
      <c r="A83" s="176"/>
      <c r="B83" s="207" t="s">
        <v>151</v>
      </c>
      <c r="C83" s="208"/>
      <c r="D83" s="208"/>
      <c r="E83" s="209"/>
      <c r="F83" s="210">
        <v>0.5</v>
      </c>
      <c r="G83" s="210"/>
      <c r="H83" s="211"/>
      <c r="I83" s="211" t="s">
        <v>140</v>
      </c>
      <c r="J83" s="207"/>
      <c r="K83" s="208"/>
      <c r="L83" s="208"/>
      <c r="M83" s="208"/>
      <c r="N83" s="208"/>
      <c r="O83" s="209"/>
      <c r="P83" s="210"/>
      <c r="Q83" s="210"/>
      <c r="R83" s="210"/>
      <c r="S83" s="210"/>
    </row>
    <row r="84" spans="1:19" ht="18" customHeight="1" x14ac:dyDescent="0.15">
      <c r="A84" s="176"/>
      <c r="B84" s="207" t="s">
        <v>189</v>
      </c>
      <c r="C84" s="208"/>
      <c r="D84" s="208"/>
      <c r="E84" s="209"/>
      <c r="F84" s="210">
        <v>1</v>
      </c>
      <c r="G84" s="210"/>
      <c r="H84" s="211" t="s">
        <v>140</v>
      </c>
      <c r="I84" s="211" t="s">
        <v>140</v>
      </c>
      <c r="J84" s="221"/>
      <c r="K84" s="222"/>
      <c r="L84" s="222"/>
      <c r="M84" s="222"/>
      <c r="N84" s="222"/>
      <c r="O84" s="223"/>
      <c r="P84" s="211"/>
      <c r="Q84" s="210"/>
      <c r="R84" s="210"/>
      <c r="S84" s="210"/>
    </row>
    <row r="85" spans="1:19" ht="18" customHeight="1" x14ac:dyDescent="0.15">
      <c r="A85" s="176"/>
      <c r="B85" s="214" t="s">
        <v>149</v>
      </c>
      <c r="C85" s="215"/>
      <c r="D85" s="215"/>
      <c r="E85" s="216"/>
      <c r="F85" s="217">
        <v>0.5</v>
      </c>
      <c r="G85" s="217"/>
      <c r="H85" s="218" t="s">
        <v>140</v>
      </c>
      <c r="I85" s="218" t="s">
        <v>140</v>
      </c>
      <c r="J85" s="214"/>
      <c r="K85" s="215"/>
      <c r="L85" s="215"/>
      <c r="M85" s="215"/>
      <c r="N85" s="215"/>
      <c r="O85" s="216"/>
      <c r="P85" s="218"/>
      <c r="Q85" s="218"/>
      <c r="R85" s="218"/>
      <c r="S85" s="218"/>
    </row>
    <row r="86" spans="1:19" ht="7.5" customHeight="1" x14ac:dyDescent="0.15">
      <c r="A86" s="169"/>
      <c r="B86" s="220"/>
      <c r="C86" s="220"/>
      <c r="D86" s="220"/>
      <c r="E86" s="220"/>
      <c r="F86" s="220"/>
      <c r="G86" s="220"/>
      <c r="H86" s="220"/>
      <c r="I86" s="220"/>
      <c r="J86" s="220"/>
      <c r="K86" s="220"/>
      <c r="L86" s="220"/>
      <c r="M86" s="220"/>
      <c r="N86" s="220"/>
      <c r="O86" s="220"/>
      <c r="P86" s="220"/>
      <c r="Q86" s="220"/>
      <c r="R86" s="220"/>
      <c r="S86" s="169"/>
    </row>
    <row r="87" spans="1:19" ht="18" customHeight="1" x14ac:dyDescent="0.15">
      <c r="A87" s="195" t="s">
        <v>117</v>
      </c>
      <c r="B87" s="195"/>
      <c r="C87" s="195"/>
      <c r="D87" s="195"/>
      <c r="E87" s="195"/>
      <c r="F87" s="195"/>
      <c r="G87" s="195"/>
      <c r="H87" s="195"/>
      <c r="I87" s="195"/>
      <c r="J87" s="195"/>
      <c r="K87" s="195"/>
      <c r="L87" s="195"/>
      <c r="M87" s="195"/>
      <c r="N87" s="195"/>
      <c r="O87" s="195"/>
      <c r="P87" s="195"/>
      <c r="Q87" s="195"/>
      <c r="R87" s="195"/>
      <c r="S87" s="195"/>
    </row>
    <row r="88" spans="1:19" ht="18" customHeight="1" x14ac:dyDescent="0.15">
      <c r="A88" s="195"/>
      <c r="B88" s="195"/>
      <c r="C88" s="195"/>
      <c r="D88" s="195"/>
      <c r="E88" s="195"/>
      <c r="F88" s="195"/>
      <c r="G88" s="195"/>
      <c r="H88" s="195"/>
      <c r="I88" s="195"/>
      <c r="J88" s="195"/>
      <c r="K88" s="195"/>
      <c r="L88" s="195"/>
      <c r="M88" s="195"/>
      <c r="N88" s="195"/>
      <c r="O88" s="195"/>
      <c r="P88" s="195"/>
      <c r="Q88" s="195"/>
      <c r="R88" s="195"/>
      <c r="S88" s="195"/>
    </row>
    <row r="89" spans="1:19" ht="18" customHeight="1" x14ac:dyDescent="0.15">
      <c r="A89" s="169"/>
      <c r="B89" s="189" t="s">
        <v>53</v>
      </c>
      <c r="C89" s="196"/>
      <c r="D89" s="196"/>
      <c r="E89" s="197" t="s">
        <v>80</v>
      </c>
      <c r="F89" s="198" t="s">
        <v>84</v>
      </c>
      <c r="G89" s="199" t="s">
        <v>101</v>
      </c>
      <c r="H89" s="199" t="s">
        <v>75</v>
      </c>
      <c r="I89" s="199" t="s">
        <v>76</v>
      </c>
      <c r="J89" s="189" t="s">
        <v>53</v>
      </c>
      <c r="K89" s="196"/>
      <c r="L89" s="196"/>
      <c r="M89" s="196"/>
      <c r="N89" s="190"/>
      <c r="O89" s="197" t="s">
        <v>80</v>
      </c>
      <c r="P89" s="198" t="s">
        <v>84</v>
      </c>
      <c r="Q89" s="199" t="s">
        <v>101</v>
      </c>
      <c r="R89" s="199" t="s">
        <v>75</v>
      </c>
      <c r="S89" s="199" t="s">
        <v>76</v>
      </c>
    </row>
    <row r="90" spans="1:19" ht="18" customHeight="1" x14ac:dyDescent="0.15">
      <c r="A90" s="176"/>
      <c r="B90" s="200" t="s">
        <v>143</v>
      </c>
      <c r="C90" s="201"/>
      <c r="D90" s="202"/>
      <c r="E90" s="203">
        <v>1</v>
      </c>
      <c r="F90" s="203" t="s">
        <v>140</v>
      </c>
      <c r="G90" s="203" t="s">
        <v>140</v>
      </c>
      <c r="H90" s="203" t="s">
        <v>140</v>
      </c>
      <c r="I90" s="203" t="s">
        <v>140</v>
      </c>
      <c r="J90" s="204" t="s">
        <v>156</v>
      </c>
      <c r="K90" s="205"/>
      <c r="L90" s="205"/>
      <c r="M90" s="205"/>
      <c r="N90" s="206"/>
      <c r="O90" s="203">
        <v>1.5</v>
      </c>
      <c r="P90" s="203"/>
      <c r="Q90" s="203" t="s">
        <v>140</v>
      </c>
      <c r="R90" s="203" t="s">
        <v>140</v>
      </c>
      <c r="S90" s="203" t="s">
        <v>140</v>
      </c>
    </row>
    <row r="91" spans="1:19" ht="18" customHeight="1" x14ac:dyDescent="0.15">
      <c r="A91" s="176"/>
      <c r="B91" s="207" t="s">
        <v>144</v>
      </c>
      <c r="C91" s="208"/>
      <c r="D91" s="209"/>
      <c r="E91" s="210">
        <v>1</v>
      </c>
      <c r="F91" s="210" t="s">
        <v>140</v>
      </c>
      <c r="G91" s="210" t="s">
        <v>140</v>
      </c>
      <c r="H91" s="210" t="s">
        <v>140</v>
      </c>
      <c r="I91" s="210" t="s">
        <v>140</v>
      </c>
      <c r="J91" s="207" t="s">
        <v>153</v>
      </c>
      <c r="K91" s="208"/>
      <c r="L91" s="208"/>
      <c r="M91" s="208"/>
      <c r="N91" s="209"/>
      <c r="O91" s="210">
        <v>1.5</v>
      </c>
      <c r="P91" s="210"/>
      <c r="Q91" s="210" t="s">
        <v>140</v>
      </c>
      <c r="R91" s="210"/>
      <c r="S91" s="210"/>
    </row>
    <row r="92" spans="1:19" ht="18" customHeight="1" x14ac:dyDescent="0.15">
      <c r="A92" s="176"/>
      <c r="B92" s="207" t="s">
        <v>145</v>
      </c>
      <c r="C92" s="208"/>
      <c r="D92" s="208"/>
      <c r="E92" s="210">
        <v>1.5</v>
      </c>
      <c r="F92" s="210" t="s">
        <v>140</v>
      </c>
      <c r="G92" s="210" t="s">
        <v>140</v>
      </c>
      <c r="H92" s="210" t="s">
        <v>140</v>
      </c>
      <c r="I92" s="210" t="s">
        <v>140</v>
      </c>
      <c r="J92" s="207" t="s">
        <v>154</v>
      </c>
      <c r="K92" s="212"/>
      <c r="L92" s="212"/>
      <c r="M92" s="212"/>
      <c r="N92" s="213"/>
      <c r="O92" s="210">
        <v>1.5</v>
      </c>
      <c r="P92" s="210"/>
      <c r="Q92" s="210" t="s">
        <v>140</v>
      </c>
      <c r="R92" s="210" t="s">
        <v>140</v>
      </c>
      <c r="S92" s="210" t="s">
        <v>140</v>
      </c>
    </row>
    <row r="93" spans="1:19" ht="18" customHeight="1" x14ac:dyDescent="0.15">
      <c r="A93" s="176"/>
      <c r="B93" s="207" t="s">
        <v>146</v>
      </c>
      <c r="C93" s="208"/>
      <c r="D93" s="208"/>
      <c r="E93" s="210">
        <v>1</v>
      </c>
      <c r="F93" s="210" t="s">
        <v>140</v>
      </c>
      <c r="G93" s="210" t="s">
        <v>140</v>
      </c>
      <c r="H93" s="210" t="s">
        <v>140</v>
      </c>
      <c r="I93" s="210" t="s">
        <v>140</v>
      </c>
      <c r="J93" s="207" t="s">
        <v>155</v>
      </c>
      <c r="K93" s="212"/>
      <c r="L93" s="212"/>
      <c r="M93" s="212"/>
      <c r="N93" s="213"/>
      <c r="O93" s="210">
        <v>1.5</v>
      </c>
      <c r="P93" s="210"/>
      <c r="Q93" s="210" t="s">
        <v>140</v>
      </c>
      <c r="R93" s="210" t="s">
        <v>140</v>
      </c>
      <c r="S93" s="210"/>
    </row>
    <row r="94" spans="1:19" ht="18" customHeight="1" x14ac:dyDescent="0.15">
      <c r="A94" s="176"/>
      <c r="B94" s="207" t="s">
        <v>138</v>
      </c>
      <c r="C94" s="208"/>
      <c r="D94" s="208"/>
      <c r="E94" s="210">
        <v>1.5</v>
      </c>
      <c r="F94" s="210"/>
      <c r="G94" s="210" t="s">
        <v>140</v>
      </c>
      <c r="H94" s="210" t="s">
        <v>140</v>
      </c>
      <c r="I94" s="210"/>
      <c r="J94" s="207"/>
      <c r="K94" s="212"/>
      <c r="L94" s="212"/>
      <c r="M94" s="212"/>
      <c r="N94" s="213"/>
      <c r="O94" s="210"/>
      <c r="P94" s="210"/>
      <c r="Q94" s="210"/>
      <c r="R94" s="210"/>
      <c r="S94" s="210"/>
    </row>
    <row r="95" spans="1:19" ht="18" customHeight="1" x14ac:dyDescent="0.15">
      <c r="A95" s="176"/>
      <c r="B95" s="207" t="s">
        <v>147</v>
      </c>
      <c r="C95" s="208"/>
      <c r="D95" s="208"/>
      <c r="E95" s="210">
        <v>1.5</v>
      </c>
      <c r="F95" s="210"/>
      <c r="G95" s="210" t="s">
        <v>140</v>
      </c>
      <c r="H95" s="210" t="s">
        <v>140</v>
      </c>
      <c r="I95" s="210"/>
      <c r="J95" s="207"/>
      <c r="K95" s="212"/>
      <c r="L95" s="212"/>
      <c r="M95" s="212"/>
      <c r="N95" s="213"/>
      <c r="O95" s="210"/>
      <c r="P95" s="210"/>
      <c r="Q95" s="210"/>
      <c r="R95" s="210"/>
      <c r="S95" s="210"/>
    </row>
    <row r="96" spans="1:19" ht="18" customHeight="1" x14ac:dyDescent="0.15">
      <c r="A96" s="176"/>
      <c r="B96" s="207" t="s">
        <v>148</v>
      </c>
      <c r="C96" s="208"/>
      <c r="D96" s="208"/>
      <c r="E96" s="210">
        <v>1.5</v>
      </c>
      <c r="F96" s="210"/>
      <c r="G96" s="210" t="s">
        <v>140</v>
      </c>
      <c r="H96" s="210" t="s">
        <v>140</v>
      </c>
      <c r="I96" s="210"/>
      <c r="J96" s="207"/>
      <c r="K96" s="212"/>
      <c r="L96" s="212"/>
      <c r="M96" s="212"/>
      <c r="N96" s="213"/>
      <c r="O96" s="210"/>
      <c r="P96" s="210"/>
      <c r="Q96" s="210"/>
      <c r="R96" s="210"/>
      <c r="S96" s="210"/>
    </row>
    <row r="97" spans="1:19" ht="18" customHeight="1" x14ac:dyDescent="0.15">
      <c r="A97" s="176"/>
      <c r="B97" s="207" t="s">
        <v>193</v>
      </c>
      <c r="C97" s="212"/>
      <c r="D97" s="213"/>
      <c r="E97" s="211">
        <v>1</v>
      </c>
      <c r="F97" s="211"/>
      <c r="G97" s="211" t="s">
        <v>140</v>
      </c>
      <c r="H97" s="211" t="s">
        <v>140</v>
      </c>
      <c r="I97" s="211" t="s">
        <v>140</v>
      </c>
      <c r="J97" s="207"/>
      <c r="K97" s="212"/>
      <c r="L97" s="212"/>
      <c r="M97" s="212"/>
      <c r="N97" s="213"/>
      <c r="O97" s="211"/>
      <c r="P97" s="211"/>
      <c r="Q97" s="211"/>
      <c r="R97" s="211"/>
      <c r="S97" s="211"/>
    </row>
    <row r="98" spans="1:19" ht="18" customHeight="1" x14ac:dyDescent="0.15">
      <c r="A98" s="176"/>
      <c r="B98" s="207" t="s">
        <v>150</v>
      </c>
      <c r="C98" s="212"/>
      <c r="D98" s="213"/>
      <c r="E98" s="211">
        <v>1</v>
      </c>
      <c r="F98" s="211"/>
      <c r="G98" s="210" t="s">
        <v>140</v>
      </c>
      <c r="H98" s="210" t="s">
        <v>140</v>
      </c>
      <c r="I98" s="210" t="s">
        <v>140</v>
      </c>
      <c r="J98" s="207"/>
      <c r="K98" s="212"/>
      <c r="L98" s="212"/>
      <c r="M98" s="212"/>
      <c r="N98" s="213"/>
      <c r="O98" s="211"/>
      <c r="P98" s="211"/>
      <c r="Q98" s="211"/>
      <c r="R98" s="211"/>
      <c r="S98" s="211"/>
    </row>
    <row r="99" spans="1:19" ht="18" customHeight="1" x14ac:dyDescent="0.15">
      <c r="A99" s="176"/>
      <c r="B99" s="207" t="s">
        <v>136</v>
      </c>
      <c r="C99" s="208"/>
      <c r="D99" s="209"/>
      <c r="E99" s="211">
        <v>0.5</v>
      </c>
      <c r="F99" s="211"/>
      <c r="G99" s="210" t="s">
        <v>140</v>
      </c>
      <c r="H99" s="210" t="s">
        <v>140</v>
      </c>
      <c r="I99" s="210" t="s">
        <v>140</v>
      </c>
      <c r="J99" s="207"/>
      <c r="K99" s="212"/>
      <c r="L99" s="212"/>
      <c r="M99" s="212"/>
      <c r="N99" s="213"/>
      <c r="O99" s="211"/>
      <c r="P99" s="211"/>
      <c r="Q99" s="211"/>
      <c r="R99" s="211"/>
      <c r="S99" s="211"/>
    </row>
    <row r="100" spans="1:19" ht="18" customHeight="1" x14ac:dyDescent="0.15">
      <c r="A100" s="176"/>
      <c r="B100" s="207" t="s">
        <v>137</v>
      </c>
      <c r="C100" s="208"/>
      <c r="D100" s="209"/>
      <c r="E100" s="211">
        <v>1</v>
      </c>
      <c r="F100" s="211"/>
      <c r="G100" s="211"/>
      <c r="H100" s="211" t="s">
        <v>140</v>
      </c>
      <c r="I100" s="211"/>
      <c r="J100" s="207"/>
      <c r="K100" s="212"/>
      <c r="L100" s="212"/>
      <c r="M100" s="212"/>
      <c r="N100" s="213"/>
      <c r="O100" s="211"/>
      <c r="P100" s="211"/>
      <c r="Q100" s="211"/>
      <c r="R100" s="211"/>
      <c r="S100" s="211"/>
    </row>
    <row r="101" spans="1:19" ht="18" customHeight="1" x14ac:dyDescent="0.15">
      <c r="A101" s="176"/>
      <c r="B101" s="214" t="s">
        <v>194</v>
      </c>
      <c r="C101" s="215"/>
      <c r="D101" s="215"/>
      <c r="E101" s="218" t="s">
        <v>195</v>
      </c>
      <c r="F101" s="218"/>
      <c r="G101" s="218" t="s">
        <v>140</v>
      </c>
      <c r="H101" s="218" t="s">
        <v>140</v>
      </c>
      <c r="I101" s="218" t="s">
        <v>140</v>
      </c>
      <c r="J101" s="214"/>
      <c r="K101" s="224"/>
      <c r="L101" s="224"/>
      <c r="M101" s="224"/>
      <c r="N101" s="225"/>
      <c r="O101" s="218"/>
      <c r="P101" s="218"/>
      <c r="Q101" s="218"/>
      <c r="R101" s="218"/>
      <c r="S101" s="218"/>
    </row>
    <row r="102" spans="1:19" ht="7.5" customHeight="1" x14ac:dyDescent="0.15">
      <c r="A102" s="169"/>
      <c r="B102" s="220"/>
      <c r="C102" s="220"/>
      <c r="D102" s="220"/>
      <c r="E102" s="220"/>
      <c r="F102" s="220"/>
      <c r="G102" s="220"/>
      <c r="H102" s="220"/>
      <c r="I102" s="220"/>
      <c r="J102" s="220"/>
      <c r="K102" s="220"/>
      <c r="L102" s="220"/>
      <c r="M102" s="220"/>
      <c r="N102" s="220"/>
      <c r="O102" s="220"/>
      <c r="P102" s="220"/>
      <c r="Q102" s="220"/>
      <c r="R102" s="220"/>
      <c r="S102" s="169"/>
    </row>
    <row r="103" spans="1:19" ht="18" customHeight="1" x14ac:dyDescent="0.15">
      <c r="A103" s="169" t="s">
        <v>118</v>
      </c>
      <c r="B103" s="169"/>
      <c r="C103" s="169"/>
      <c r="D103" s="169"/>
      <c r="E103" s="169"/>
      <c r="F103" s="169"/>
      <c r="G103" s="169"/>
      <c r="H103" s="176"/>
      <c r="I103" s="176"/>
      <c r="J103" s="176"/>
      <c r="K103" s="176"/>
      <c r="L103" s="176"/>
      <c r="M103" s="176"/>
      <c r="N103" s="176"/>
      <c r="O103" s="176"/>
      <c r="P103" s="176"/>
      <c r="Q103" s="176"/>
      <c r="R103" s="176"/>
      <c r="S103" s="176"/>
    </row>
    <row r="104" spans="1:19" ht="18" customHeight="1" x14ac:dyDescent="0.15">
      <c r="A104" s="169"/>
      <c r="B104" s="189" t="s">
        <v>53</v>
      </c>
      <c r="C104" s="196"/>
      <c r="D104" s="196"/>
      <c r="E104" s="190"/>
      <c r="F104" s="189" t="s">
        <v>82</v>
      </c>
      <c r="G104" s="196"/>
      <c r="H104" s="196"/>
      <c r="I104" s="190"/>
      <c r="J104" s="226" t="s">
        <v>53</v>
      </c>
      <c r="K104" s="227"/>
      <c r="L104" s="227"/>
      <c r="M104" s="227"/>
      <c r="N104" s="227"/>
      <c r="O104" s="228"/>
      <c r="P104" s="189" t="s">
        <v>82</v>
      </c>
      <c r="Q104" s="196"/>
      <c r="R104" s="196"/>
      <c r="S104" s="190"/>
    </row>
    <row r="105" spans="1:19" ht="18" customHeight="1" x14ac:dyDescent="0.15">
      <c r="A105" s="176"/>
      <c r="B105" s="200" t="s">
        <v>196</v>
      </c>
      <c r="C105" s="201"/>
      <c r="D105" s="201"/>
      <c r="E105" s="202"/>
      <c r="F105" s="229" t="s">
        <v>197</v>
      </c>
      <c r="G105" s="230"/>
      <c r="H105" s="230"/>
      <c r="I105" s="231"/>
      <c r="J105" s="200"/>
      <c r="K105" s="201"/>
      <c r="L105" s="201"/>
      <c r="M105" s="201"/>
      <c r="N105" s="201"/>
      <c r="O105" s="202"/>
      <c r="P105" s="232"/>
      <c r="Q105" s="233"/>
      <c r="R105" s="233"/>
      <c r="S105" s="234"/>
    </row>
    <row r="106" spans="1:19" ht="18" customHeight="1" x14ac:dyDescent="0.15">
      <c r="A106" s="176"/>
      <c r="B106" s="235" t="s">
        <v>198</v>
      </c>
      <c r="C106" s="236"/>
      <c r="D106" s="236"/>
      <c r="E106" s="237"/>
      <c r="F106" s="238" t="s">
        <v>199</v>
      </c>
      <c r="G106" s="239"/>
      <c r="H106" s="239"/>
      <c r="I106" s="240"/>
      <c r="J106" s="207"/>
      <c r="K106" s="208"/>
      <c r="L106" s="208"/>
      <c r="M106" s="208"/>
      <c r="N106" s="208"/>
      <c r="O106" s="209"/>
      <c r="P106" s="241"/>
      <c r="Q106" s="242"/>
      <c r="R106" s="242"/>
      <c r="S106" s="243"/>
    </row>
    <row r="107" spans="1:19" ht="18" customHeight="1" x14ac:dyDescent="0.15">
      <c r="A107" s="176"/>
      <c r="B107" s="207" t="s">
        <v>200</v>
      </c>
      <c r="C107" s="208"/>
      <c r="D107" s="208"/>
      <c r="E107" s="209"/>
      <c r="F107" s="244" t="s">
        <v>201</v>
      </c>
      <c r="G107" s="245"/>
      <c r="H107" s="245"/>
      <c r="I107" s="246"/>
      <c r="J107" s="207"/>
      <c r="K107" s="208"/>
      <c r="L107" s="208"/>
      <c r="M107" s="208"/>
      <c r="N107" s="208"/>
      <c r="O107" s="209"/>
      <c r="P107" s="241"/>
      <c r="Q107" s="242"/>
      <c r="R107" s="242"/>
      <c r="S107" s="243"/>
    </row>
    <row r="108" spans="1:19" ht="18" customHeight="1" x14ac:dyDescent="0.15">
      <c r="A108" s="176"/>
      <c r="B108" s="207" t="s">
        <v>202</v>
      </c>
      <c r="C108" s="208"/>
      <c r="D108" s="208"/>
      <c r="E108" s="209"/>
      <c r="F108" s="244" t="s">
        <v>203</v>
      </c>
      <c r="G108" s="245"/>
      <c r="H108" s="245"/>
      <c r="I108" s="246"/>
      <c r="J108" s="207"/>
      <c r="K108" s="208"/>
      <c r="L108" s="208"/>
      <c r="M108" s="208"/>
      <c r="N108" s="208"/>
      <c r="O108" s="209"/>
      <c r="P108" s="241"/>
      <c r="Q108" s="242"/>
      <c r="R108" s="242"/>
      <c r="S108" s="243"/>
    </row>
    <row r="109" spans="1:19" ht="18" customHeight="1" x14ac:dyDescent="0.15">
      <c r="A109" s="176"/>
      <c r="B109" s="207" t="s">
        <v>204</v>
      </c>
      <c r="C109" s="208"/>
      <c r="D109" s="208"/>
      <c r="E109" s="209"/>
      <c r="F109" s="244" t="s">
        <v>203</v>
      </c>
      <c r="G109" s="245"/>
      <c r="H109" s="245"/>
      <c r="I109" s="246"/>
      <c r="J109" s="207"/>
      <c r="K109" s="208"/>
      <c r="L109" s="208"/>
      <c r="M109" s="208"/>
      <c r="N109" s="208"/>
      <c r="O109" s="209"/>
      <c r="P109" s="241"/>
      <c r="Q109" s="242"/>
      <c r="R109" s="242"/>
      <c r="S109" s="243"/>
    </row>
    <row r="110" spans="1:19" ht="18" customHeight="1" x14ac:dyDescent="0.15">
      <c r="A110" s="176"/>
      <c r="B110" s="207" t="s">
        <v>205</v>
      </c>
      <c r="C110" s="208"/>
      <c r="D110" s="208"/>
      <c r="E110" s="209"/>
      <c r="F110" s="244" t="s">
        <v>203</v>
      </c>
      <c r="G110" s="245"/>
      <c r="H110" s="245"/>
      <c r="I110" s="246"/>
      <c r="J110" s="207"/>
      <c r="K110" s="208"/>
      <c r="L110" s="208"/>
      <c r="M110" s="208"/>
      <c r="N110" s="208"/>
      <c r="O110" s="209"/>
      <c r="P110" s="241"/>
      <c r="Q110" s="242"/>
      <c r="R110" s="242"/>
      <c r="S110" s="243"/>
    </row>
    <row r="111" spans="1:19" ht="18" customHeight="1" x14ac:dyDescent="0.15">
      <c r="A111" s="176"/>
      <c r="B111" s="214"/>
      <c r="C111" s="215"/>
      <c r="D111" s="215"/>
      <c r="E111" s="216"/>
      <c r="F111" s="247"/>
      <c r="G111" s="248"/>
      <c r="H111" s="248"/>
      <c r="I111" s="249"/>
      <c r="J111" s="214"/>
      <c r="K111" s="215"/>
      <c r="L111" s="215"/>
      <c r="M111" s="215"/>
      <c r="N111" s="215"/>
      <c r="O111" s="216"/>
      <c r="P111" s="247"/>
      <c r="Q111" s="248"/>
      <c r="R111" s="248"/>
      <c r="S111" s="249"/>
    </row>
    <row r="112" spans="1:19" ht="18" customHeight="1" x14ac:dyDescent="0.15">
      <c r="A112" s="176"/>
      <c r="B112" s="219"/>
      <c r="C112" s="219"/>
      <c r="D112" s="219"/>
      <c r="E112" s="219"/>
      <c r="F112" s="250"/>
      <c r="G112" s="250"/>
      <c r="H112" s="250"/>
      <c r="I112" s="250"/>
      <c r="J112" s="219"/>
      <c r="K112" s="219"/>
      <c r="L112" s="219"/>
      <c r="M112" s="219"/>
      <c r="N112" s="219"/>
      <c r="O112" s="219"/>
      <c r="P112" s="250"/>
      <c r="Q112" s="250"/>
      <c r="R112" s="250"/>
      <c r="S112" s="250"/>
    </row>
    <row r="113" spans="1:19" ht="18.75" customHeight="1" x14ac:dyDescent="0.15">
      <c r="A113" s="169" t="s">
        <v>119</v>
      </c>
      <c r="B113" s="169"/>
      <c r="C113" s="169"/>
      <c r="D113" s="169"/>
      <c r="E113" s="169"/>
      <c r="F113" s="169"/>
      <c r="G113" s="169"/>
      <c r="H113" s="169"/>
      <c r="I113" s="169"/>
      <c r="J113" s="169"/>
      <c r="K113" s="169"/>
      <c r="L113" s="169"/>
      <c r="M113" s="169"/>
      <c r="N113" s="169"/>
      <c r="O113" s="169"/>
      <c r="P113" s="169"/>
      <c r="Q113" s="169"/>
      <c r="R113" s="169"/>
      <c r="S113" s="169"/>
    </row>
    <row r="114" spans="1:19" ht="18.75" customHeight="1" x14ac:dyDescent="0.15">
      <c r="A114" s="169"/>
      <c r="B114" s="251" t="s">
        <v>54</v>
      </c>
      <c r="C114" s="252"/>
      <c r="D114" s="196" t="s">
        <v>55</v>
      </c>
      <c r="E114" s="196"/>
      <c r="F114" s="196"/>
      <c r="G114" s="196"/>
      <c r="H114" s="196"/>
      <c r="I114" s="196"/>
      <c r="J114" s="196"/>
      <c r="K114" s="196"/>
      <c r="L114" s="196"/>
      <c r="M114" s="196"/>
      <c r="N114" s="196"/>
      <c r="O114" s="196"/>
      <c r="P114" s="196"/>
      <c r="Q114" s="196"/>
      <c r="R114" s="196"/>
      <c r="S114" s="190"/>
    </row>
    <row r="115" spans="1:19" ht="165" customHeight="1" x14ac:dyDescent="0.15">
      <c r="A115" s="169"/>
      <c r="B115" s="253" t="s">
        <v>61</v>
      </c>
      <c r="C115" s="254" t="s">
        <v>56</v>
      </c>
      <c r="D115" s="255" t="s">
        <v>206</v>
      </c>
      <c r="E115" s="256"/>
      <c r="F115" s="256"/>
      <c r="G115" s="256"/>
      <c r="H115" s="256"/>
      <c r="I115" s="256"/>
      <c r="J115" s="256"/>
      <c r="K115" s="256"/>
      <c r="L115" s="256"/>
      <c r="M115" s="256"/>
      <c r="N115" s="256"/>
      <c r="O115" s="256"/>
      <c r="P115" s="256"/>
      <c r="Q115" s="256"/>
      <c r="R115" s="256"/>
      <c r="S115" s="257"/>
    </row>
    <row r="116" spans="1:19" ht="153" customHeight="1" x14ac:dyDescent="0.15">
      <c r="A116" s="169"/>
      <c r="B116" s="258"/>
      <c r="C116" s="259" t="s">
        <v>77</v>
      </c>
      <c r="D116" s="255" t="s">
        <v>207</v>
      </c>
      <c r="E116" s="256"/>
      <c r="F116" s="256"/>
      <c r="G116" s="256"/>
      <c r="H116" s="256"/>
      <c r="I116" s="256"/>
      <c r="J116" s="256"/>
      <c r="K116" s="256"/>
      <c r="L116" s="256"/>
      <c r="M116" s="256"/>
      <c r="N116" s="256"/>
      <c r="O116" s="256"/>
      <c r="P116" s="256"/>
      <c r="Q116" s="256"/>
      <c r="R116" s="256"/>
      <c r="S116" s="257"/>
    </row>
    <row r="117" spans="1:19" ht="211.5" customHeight="1" x14ac:dyDescent="0.15">
      <c r="A117" s="169"/>
      <c r="B117" s="253" t="s">
        <v>62</v>
      </c>
      <c r="C117" s="260" t="s">
        <v>71</v>
      </c>
      <c r="D117" s="261" t="s">
        <v>210</v>
      </c>
      <c r="E117" s="262"/>
      <c r="F117" s="262"/>
      <c r="G117" s="262"/>
      <c r="H117" s="262"/>
      <c r="I117" s="262"/>
      <c r="J117" s="262"/>
      <c r="K117" s="262"/>
      <c r="L117" s="262"/>
      <c r="M117" s="262"/>
      <c r="N117" s="262"/>
      <c r="O117" s="262"/>
      <c r="P117" s="262"/>
      <c r="Q117" s="262"/>
      <c r="R117" s="262"/>
      <c r="S117" s="263"/>
    </row>
    <row r="118" spans="1:19" ht="267" customHeight="1" x14ac:dyDescent="0.15">
      <c r="A118" s="169"/>
      <c r="B118" s="264"/>
      <c r="C118" s="265" t="s">
        <v>72</v>
      </c>
      <c r="D118" s="261" t="s">
        <v>208</v>
      </c>
      <c r="E118" s="262"/>
      <c r="F118" s="262"/>
      <c r="G118" s="262"/>
      <c r="H118" s="262"/>
      <c r="I118" s="262"/>
      <c r="J118" s="262"/>
      <c r="K118" s="262"/>
      <c r="L118" s="262"/>
      <c r="M118" s="262"/>
      <c r="N118" s="262"/>
      <c r="O118" s="262"/>
      <c r="P118" s="262"/>
      <c r="Q118" s="262"/>
      <c r="R118" s="262"/>
      <c r="S118" s="263"/>
    </row>
    <row r="119" spans="1:19" ht="215.25" customHeight="1" x14ac:dyDescent="0.15">
      <c r="A119" s="169"/>
      <c r="B119" s="273" t="s">
        <v>63</v>
      </c>
      <c r="C119" s="274" t="s">
        <v>73</v>
      </c>
      <c r="D119" s="255" t="s">
        <v>209</v>
      </c>
      <c r="E119" s="266"/>
      <c r="F119" s="266"/>
      <c r="G119" s="266"/>
      <c r="H119" s="266"/>
      <c r="I119" s="266"/>
      <c r="J119" s="266"/>
      <c r="K119" s="266"/>
      <c r="L119" s="266"/>
      <c r="M119" s="266"/>
      <c r="N119" s="266"/>
      <c r="O119" s="266"/>
      <c r="P119" s="266"/>
      <c r="Q119" s="266"/>
      <c r="R119" s="266"/>
      <c r="S119" s="267"/>
    </row>
    <row r="120" spans="1:19" ht="246.75" customHeight="1" x14ac:dyDescent="0.15">
      <c r="A120" s="169"/>
      <c r="B120" s="273" t="s">
        <v>63</v>
      </c>
      <c r="C120" s="274" t="s">
        <v>74</v>
      </c>
      <c r="D120" s="255" t="s">
        <v>211</v>
      </c>
      <c r="E120" s="266"/>
      <c r="F120" s="266"/>
      <c r="G120" s="266"/>
      <c r="H120" s="266"/>
      <c r="I120" s="266"/>
      <c r="J120" s="266"/>
      <c r="K120" s="266"/>
      <c r="L120" s="266"/>
      <c r="M120" s="266"/>
      <c r="N120" s="266"/>
      <c r="O120" s="266"/>
      <c r="P120" s="266"/>
      <c r="Q120" s="266"/>
      <c r="R120" s="266"/>
      <c r="S120" s="267"/>
    </row>
    <row r="121" spans="1:19" ht="154.5" customHeight="1" x14ac:dyDescent="0.15">
      <c r="A121" s="169"/>
      <c r="B121" s="253" t="s">
        <v>78</v>
      </c>
      <c r="C121" s="254" t="s">
        <v>58</v>
      </c>
      <c r="D121" s="255" t="s">
        <v>212</v>
      </c>
      <c r="E121" s="266"/>
      <c r="F121" s="266"/>
      <c r="G121" s="266"/>
      <c r="H121" s="266"/>
      <c r="I121" s="266"/>
      <c r="J121" s="266"/>
      <c r="K121" s="266"/>
      <c r="L121" s="266"/>
      <c r="M121" s="266"/>
      <c r="N121" s="266"/>
      <c r="O121" s="266"/>
      <c r="P121" s="266"/>
      <c r="Q121" s="266"/>
      <c r="R121" s="266"/>
      <c r="S121" s="267"/>
    </row>
    <row r="122" spans="1:19" ht="196.5" customHeight="1" x14ac:dyDescent="0.15">
      <c r="A122" s="169"/>
      <c r="B122" s="264"/>
      <c r="C122" s="265" t="s">
        <v>60</v>
      </c>
      <c r="D122" s="255" t="s">
        <v>213</v>
      </c>
      <c r="E122" s="266"/>
      <c r="F122" s="266"/>
      <c r="G122" s="266"/>
      <c r="H122" s="266"/>
      <c r="I122" s="266"/>
      <c r="J122" s="266"/>
      <c r="K122" s="266"/>
      <c r="L122" s="266"/>
      <c r="M122" s="266"/>
      <c r="N122" s="266"/>
      <c r="O122" s="266"/>
      <c r="P122" s="266"/>
      <c r="Q122" s="266"/>
      <c r="R122" s="266"/>
      <c r="S122" s="267"/>
    </row>
    <row r="123" spans="1:19" ht="313.5" customHeight="1" x14ac:dyDescent="0.15">
      <c r="A123" s="169"/>
      <c r="B123" s="273" t="s">
        <v>79</v>
      </c>
      <c r="C123" s="274" t="s">
        <v>57</v>
      </c>
      <c r="D123" s="255" t="s">
        <v>214</v>
      </c>
      <c r="E123" s="266"/>
      <c r="F123" s="266"/>
      <c r="G123" s="266"/>
      <c r="H123" s="266"/>
      <c r="I123" s="266"/>
      <c r="J123" s="266"/>
      <c r="K123" s="266"/>
      <c r="L123" s="266"/>
      <c r="M123" s="266"/>
      <c r="N123" s="266"/>
      <c r="O123" s="266"/>
      <c r="P123" s="266"/>
      <c r="Q123" s="266"/>
      <c r="R123" s="266"/>
      <c r="S123" s="267"/>
    </row>
    <row r="124" spans="1:19" ht="275.25" customHeight="1" x14ac:dyDescent="0.15">
      <c r="A124" s="169"/>
      <c r="B124" s="253" t="s">
        <v>79</v>
      </c>
      <c r="C124" s="260" t="s">
        <v>75</v>
      </c>
      <c r="D124" s="255" t="s">
        <v>215</v>
      </c>
      <c r="E124" s="266"/>
      <c r="F124" s="266"/>
      <c r="G124" s="266"/>
      <c r="H124" s="266"/>
      <c r="I124" s="266"/>
      <c r="J124" s="266"/>
      <c r="K124" s="266"/>
      <c r="L124" s="266"/>
      <c r="M124" s="266"/>
      <c r="N124" s="266"/>
      <c r="O124" s="266"/>
      <c r="P124" s="266"/>
      <c r="Q124" s="266"/>
      <c r="R124" s="266"/>
      <c r="S124" s="267"/>
    </row>
    <row r="125" spans="1:19" ht="213" customHeight="1" x14ac:dyDescent="0.15">
      <c r="A125" s="169"/>
      <c r="B125" s="275"/>
      <c r="C125" s="268" t="s">
        <v>76</v>
      </c>
      <c r="D125" s="255" t="s">
        <v>216</v>
      </c>
      <c r="E125" s="266"/>
      <c r="F125" s="266"/>
      <c r="G125" s="266"/>
      <c r="H125" s="266"/>
      <c r="I125" s="266"/>
      <c r="J125" s="266"/>
      <c r="K125" s="266"/>
      <c r="L125" s="266"/>
      <c r="M125" s="266"/>
      <c r="N125" s="266"/>
      <c r="O125" s="266"/>
      <c r="P125" s="266"/>
      <c r="Q125" s="266"/>
      <c r="R125" s="266"/>
      <c r="S125" s="267"/>
    </row>
    <row r="126" spans="1:19" ht="6" customHeight="1" x14ac:dyDescent="0.15">
      <c r="A126" s="169"/>
      <c r="B126" s="169"/>
      <c r="C126" s="169"/>
      <c r="D126" s="169"/>
      <c r="E126" s="169"/>
      <c r="F126" s="169"/>
      <c r="G126" s="169"/>
      <c r="H126" s="169"/>
      <c r="I126" s="169"/>
      <c r="J126" s="169"/>
      <c r="K126" s="169"/>
      <c r="L126" s="169"/>
      <c r="M126" s="169"/>
      <c r="N126" s="169"/>
      <c r="O126" s="169"/>
      <c r="P126" s="169"/>
      <c r="Q126" s="169"/>
      <c r="R126" s="169"/>
      <c r="S126" s="169"/>
    </row>
    <row r="127" spans="1:19" ht="18.75" customHeight="1" x14ac:dyDescent="0.15">
      <c r="A127" s="169" t="s">
        <v>120</v>
      </c>
      <c r="B127" s="169"/>
      <c r="C127" s="169"/>
      <c r="D127" s="169"/>
      <c r="E127" s="169"/>
      <c r="F127" s="169"/>
      <c r="G127" s="169"/>
      <c r="H127" s="169"/>
      <c r="I127" s="169"/>
      <c r="J127" s="169"/>
      <c r="K127" s="169"/>
      <c r="L127" s="169"/>
      <c r="M127" s="169"/>
      <c r="N127" s="169"/>
      <c r="O127" s="169"/>
      <c r="P127" s="169"/>
      <c r="Q127" s="169"/>
      <c r="R127" s="169"/>
      <c r="S127" s="169"/>
    </row>
    <row r="128" spans="1:19" ht="81.75" customHeight="1" x14ac:dyDescent="0.15">
      <c r="A128" s="169"/>
      <c r="B128" s="269" t="s">
        <v>176</v>
      </c>
      <c r="C128" s="270"/>
      <c r="D128" s="270"/>
      <c r="E128" s="270"/>
      <c r="F128" s="270"/>
      <c r="G128" s="270"/>
      <c r="H128" s="270"/>
      <c r="I128" s="270"/>
      <c r="J128" s="270"/>
      <c r="K128" s="270"/>
      <c r="L128" s="270"/>
      <c r="M128" s="270"/>
      <c r="N128" s="270"/>
      <c r="O128" s="270"/>
      <c r="P128" s="270"/>
      <c r="Q128" s="270"/>
      <c r="R128" s="271"/>
      <c r="S128" s="272"/>
    </row>
    <row r="136" ht="18" customHeight="1" x14ac:dyDescent="0.15"/>
  </sheetData>
  <mergeCells count="196">
    <mergeCell ref="J97:N97"/>
    <mergeCell ref="J98:N98"/>
    <mergeCell ref="J99:N99"/>
    <mergeCell ref="J100:N100"/>
    <mergeCell ref="B105:E105"/>
    <mergeCell ref="F105:I105"/>
    <mergeCell ref="B108:E108"/>
    <mergeCell ref="F107:I107"/>
    <mergeCell ref="F108:I108"/>
    <mergeCell ref="B106:E106"/>
    <mergeCell ref="F106:I106"/>
    <mergeCell ref="B107:E107"/>
    <mergeCell ref="B97:D97"/>
    <mergeCell ref="B98:D98"/>
    <mergeCell ref="B100:D100"/>
    <mergeCell ref="B99:D99"/>
    <mergeCell ref="J105:O105"/>
    <mergeCell ref="B115:B116"/>
    <mergeCell ref="D115:S115"/>
    <mergeCell ref="D116:S116"/>
    <mergeCell ref="B117:B118"/>
    <mergeCell ref="D117:S117"/>
    <mergeCell ref="D118:S118"/>
    <mergeCell ref="B111:E111"/>
    <mergeCell ref="F111:I111"/>
    <mergeCell ref="J111:O111"/>
    <mergeCell ref="D123:S123"/>
    <mergeCell ref="D124:S124"/>
    <mergeCell ref="D125:S125"/>
    <mergeCell ref="B128:S128"/>
    <mergeCell ref="D119:S119"/>
    <mergeCell ref="D120:S120"/>
    <mergeCell ref="B121:B122"/>
    <mergeCell ref="D121:S121"/>
    <mergeCell ref="D122:S122"/>
    <mergeCell ref="B124:B125"/>
    <mergeCell ref="P111:S111"/>
    <mergeCell ref="B114:C114"/>
    <mergeCell ref="D114:S114"/>
    <mergeCell ref="J109:O109"/>
    <mergeCell ref="P109:S109"/>
    <mergeCell ref="J110:O110"/>
    <mergeCell ref="P110:S110"/>
    <mergeCell ref="J107:O107"/>
    <mergeCell ref="P107:S107"/>
    <mergeCell ref="J108:O108"/>
    <mergeCell ref="P108:S108"/>
    <mergeCell ref="B109:E109"/>
    <mergeCell ref="F109:I109"/>
    <mergeCell ref="B110:E110"/>
    <mergeCell ref="F110:I110"/>
    <mergeCell ref="P105:S105"/>
    <mergeCell ref="J106:O106"/>
    <mergeCell ref="P106:S106"/>
    <mergeCell ref="B101:D101"/>
    <mergeCell ref="J101:N101"/>
    <mergeCell ref="B104:E104"/>
    <mergeCell ref="F104:I104"/>
    <mergeCell ref="J104:O104"/>
    <mergeCell ref="P104:S104"/>
    <mergeCell ref="B94:D94"/>
    <mergeCell ref="J94:N94"/>
    <mergeCell ref="B95:D95"/>
    <mergeCell ref="J95:N95"/>
    <mergeCell ref="B96:D96"/>
    <mergeCell ref="J96:N96"/>
    <mergeCell ref="B91:D91"/>
    <mergeCell ref="J91:N91"/>
    <mergeCell ref="B92:D92"/>
    <mergeCell ref="J92:N92"/>
    <mergeCell ref="B93:D93"/>
    <mergeCell ref="J93:N93"/>
    <mergeCell ref="B85:E85"/>
    <mergeCell ref="J85:O85"/>
    <mergeCell ref="A87:S88"/>
    <mergeCell ref="B89:D89"/>
    <mergeCell ref="J89:N89"/>
    <mergeCell ref="B90:D90"/>
    <mergeCell ref="J90:N90"/>
    <mergeCell ref="B82:E82"/>
    <mergeCell ref="J82:O82"/>
    <mergeCell ref="B83:E83"/>
    <mergeCell ref="J83:O83"/>
    <mergeCell ref="B84:E84"/>
    <mergeCell ref="J84:O84"/>
    <mergeCell ref="B79:E79"/>
    <mergeCell ref="J79:O79"/>
    <mergeCell ref="B80:E80"/>
    <mergeCell ref="J80:O80"/>
    <mergeCell ref="B81:E81"/>
    <mergeCell ref="J81:O81"/>
    <mergeCell ref="B76:E76"/>
    <mergeCell ref="J76:O76"/>
    <mergeCell ref="B77:E77"/>
    <mergeCell ref="J77:O77"/>
    <mergeCell ref="B78:E78"/>
    <mergeCell ref="J78:O78"/>
    <mergeCell ref="A71:S72"/>
    <mergeCell ref="B73:E73"/>
    <mergeCell ref="J73:O73"/>
    <mergeCell ref="B74:E74"/>
    <mergeCell ref="J74:O74"/>
    <mergeCell ref="B75:E75"/>
    <mergeCell ref="J75:O75"/>
    <mergeCell ref="B67:E67"/>
    <mergeCell ref="J67:O67"/>
    <mergeCell ref="B68:E68"/>
    <mergeCell ref="J68:O68"/>
    <mergeCell ref="B69:E69"/>
    <mergeCell ref="J69:O69"/>
    <mergeCell ref="B64:E64"/>
    <mergeCell ref="J64:O64"/>
    <mergeCell ref="B65:E65"/>
    <mergeCell ref="J65:O65"/>
    <mergeCell ref="B66:E66"/>
    <mergeCell ref="J66:O66"/>
    <mergeCell ref="B61:E61"/>
    <mergeCell ref="J61:O61"/>
    <mergeCell ref="B62:E62"/>
    <mergeCell ref="J62:O62"/>
    <mergeCell ref="B63:E63"/>
    <mergeCell ref="J63:O63"/>
    <mergeCell ref="A56:S57"/>
    <mergeCell ref="B58:E58"/>
    <mergeCell ref="J58:O58"/>
    <mergeCell ref="B59:E59"/>
    <mergeCell ref="J59:O59"/>
    <mergeCell ref="B60:E60"/>
    <mergeCell ref="J60:O60"/>
    <mergeCell ref="B52:E52"/>
    <mergeCell ref="J52:O52"/>
    <mergeCell ref="B53:E53"/>
    <mergeCell ref="J53:O53"/>
    <mergeCell ref="B54:E54"/>
    <mergeCell ref="J54:O54"/>
    <mergeCell ref="B49:E49"/>
    <mergeCell ref="J49:O49"/>
    <mergeCell ref="B50:E50"/>
    <mergeCell ref="J50:O50"/>
    <mergeCell ref="B51:E51"/>
    <mergeCell ref="J51:O51"/>
    <mergeCell ref="B46:E46"/>
    <mergeCell ref="J46:O46"/>
    <mergeCell ref="B47:E47"/>
    <mergeCell ref="J47:O47"/>
    <mergeCell ref="B48:E48"/>
    <mergeCell ref="J48:O48"/>
    <mergeCell ref="B43:E43"/>
    <mergeCell ref="J43:O43"/>
    <mergeCell ref="B44:E44"/>
    <mergeCell ref="J44:O44"/>
    <mergeCell ref="B45:E45"/>
    <mergeCell ref="J45:O45"/>
    <mergeCell ref="B37:E37"/>
    <mergeCell ref="J37:O37"/>
    <mergeCell ref="A39:S40"/>
    <mergeCell ref="B41:E41"/>
    <mergeCell ref="J41:O41"/>
    <mergeCell ref="B42:E42"/>
    <mergeCell ref="J42:O42"/>
    <mergeCell ref="B34:E34"/>
    <mergeCell ref="J34:O34"/>
    <mergeCell ref="B35:E35"/>
    <mergeCell ref="J35:O35"/>
    <mergeCell ref="B36:E36"/>
    <mergeCell ref="J36:O36"/>
    <mergeCell ref="B31:E31"/>
    <mergeCell ref="J31:O31"/>
    <mergeCell ref="B32:E32"/>
    <mergeCell ref="J32:O32"/>
    <mergeCell ref="B33:E33"/>
    <mergeCell ref="J33:O33"/>
    <mergeCell ref="B28:E28"/>
    <mergeCell ref="J28:O28"/>
    <mergeCell ref="B29:E29"/>
    <mergeCell ref="J29:O29"/>
    <mergeCell ref="B30:E30"/>
    <mergeCell ref="J30:O30"/>
    <mergeCell ref="B25:E25"/>
    <mergeCell ref="J25:O25"/>
    <mergeCell ref="B26:E26"/>
    <mergeCell ref="J26:O26"/>
    <mergeCell ref="B27:E27"/>
    <mergeCell ref="J27:O27"/>
    <mergeCell ref="B13:S18"/>
    <mergeCell ref="C20:D20"/>
    <mergeCell ref="K20:S20"/>
    <mergeCell ref="A22:S23"/>
    <mergeCell ref="B24:E24"/>
    <mergeCell ref="J24:O24"/>
    <mergeCell ref="R1:S1"/>
    <mergeCell ref="C2:I2"/>
    <mergeCell ref="C3:I3"/>
    <mergeCell ref="A5:S5"/>
    <mergeCell ref="K7:S7"/>
    <mergeCell ref="B9:S10"/>
  </mergeCells>
  <phoneticPr fontId="1"/>
  <conditionalFormatting sqref="B9:S10">
    <cfRule type="expression" dxfId="0" priority="1">
      <formula>$K$7="学部・学科によって、修了要件は相違しない"</formula>
    </cfRule>
  </conditionalFormatting>
  <dataValidations count="5">
    <dataValidation type="list" allowBlank="1" showInputMessage="1" showErrorMessage="1" sqref="K20:S20" xr:uid="{F6EE610E-DC93-4D10-94C2-F8D86D936928}">
      <formula1>$V$14:$V$16</formula1>
    </dataValidation>
    <dataValidation type="list" allowBlank="1" showInputMessage="1" showErrorMessage="1" sqref="F105:F112 P105:P112 G105:I106 G109:I112 Q109:S112 Q105:S106" xr:uid="{C821EA1D-E6ED-4853-8B85-7237A351363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7 K12" xr:uid="{83DFCBA2-8B47-4E87-86BF-6545BD58D168}">
      <formula1>"学部・学科によって、修了要件は相違する,学部・学科によって、修了要件は相違しない"</formula1>
    </dataValidation>
    <dataValidation type="list" allowBlank="1" showInputMessage="1" showErrorMessage="1" sqref="S38 S55 D38:G38 D55:G55" xr:uid="{191566CA-2F0D-41DE-A755-BF550E54CAAB}">
      <formula1>"全学開講,一部開講"</formula1>
    </dataValidation>
    <dataValidation type="list" allowBlank="1" showInputMessage="1" showErrorMessage="1" sqref="Q25:S37 G25:I37 G42:I54 Q42:S54 G59:I69 Q59:S69 P90:S101 G74:I85 Q74:S85 F90:I101" xr:uid="{E55F2C5A-7314-423B-B9E7-3931A8FBC229}">
      <formula1>"○"</formula1>
    </dataValidation>
  </dataValidations>
  <printOptions horizontalCentered="1"/>
  <pageMargins left="0.78740157480314965" right="0.78740157480314965" top="0.78740157480314965" bottom="0.19685039370078741" header="0.31496062992125984" footer="0.19685039370078741"/>
  <pageSetup paperSize="9" scale="75" fitToHeight="0" orientation="portrait" useFirstPageNumber="1" r:id="rId1"/>
  <headerFooter>
    <oddHeader>&amp;C数理・データサイエンス・AI教育プログラム認定制度【リテラシーレベル】</oddHeader>
    <oddFooter>&amp;C&amp;16&amp;P</oddFooter>
  </headerFooter>
  <rowBreaks count="2" manualBreakCount="2">
    <brk id="55" max="18" man="1"/>
    <brk id="112"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S32"/>
  <sheetViews>
    <sheetView view="pageBreakPreview" topLeftCell="U4" zoomScaleNormal="100" zoomScaleSheetLayoutView="100" workbookViewId="0">
      <selection activeCell="AQ12" sqref="AQ12:AQ15"/>
    </sheetView>
  </sheetViews>
  <sheetFormatPr defaultColWidth="9" defaultRowHeight="18.75" customHeight="1" x14ac:dyDescent="0.15"/>
  <cols>
    <col min="1" max="1" width="2.75" style="1" customWidth="1"/>
    <col min="2" max="2" width="20.75" style="1" customWidth="1"/>
    <col min="3" max="5" width="6.125" style="1" customWidth="1"/>
    <col min="6" max="42" width="4.875" style="1" customWidth="1"/>
    <col min="43" max="43" width="6.625" style="1" customWidth="1"/>
    <col min="44" max="16384" width="9" style="1"/>
  </cols>
  <sheetData>
    <row r="1" spans="1:45" ht="18" customHeight="1" x14ac:dyDescent="0.15">
      <c r="AQ1" s="1" t="s">
        <v>106</v>
      </c>
    </row>
    <row r="2" spans="1:45" ht="18" customHeight="1" x14ac:dyDescent="0.15">
      <c r="K2" s="21"/>
      <c r="Q2" s="21"/>
      <c r="W2" s="21"/>
      <c r="AC2" s="21"/>
      <c r="AI2" s="21"/>
      <c r="AL2" s="21" t="s">
        <v>108</v>
      </c>
      <c r="AM2" s="77" t="e">
        <f>#REF!</f>
        <v>#REF!</v>
      </c>
      <c r="AN2" s="77"/>
      <c r="AO2" s="77"/>
      <c r="AP2" s="77"/>
      <c r="AQ2" s="77"/>
    </row>
    <row r="3" spans="1:45" ht="18" customHeight="1" x14ac:dyDescent="0.15">
      <c r="A3" s="70" t="s">
        <v>47</v>
      </c>
      <c r="B3" s="70"/>
      <c r="C3" s="70"/>
      <c r="D3" s="70"/>
      <c r="E3" s="70"/>
      <c r="F3" s="70"/>
      <c r="G3" s="70"/>
      <c r="H3" s="70"/>
      <c r="I3" s="70"/>
      <c r="J3" s="70"/>
      <c r="K3" s="70"/>
      <c r="L3" s="70"/>
      <c r="M3" s="70"/>
      <c r="N3" s="70"/>
      <c r="O3" s="70"/>
      <c r="P3" s="70"/>
      <c r="Q3" s="70"/>
      <c r="R3" s="70"/>
      <c r="S3" s="70"/>
      <c r="T3" s="70"/>
      <c r="U3" s="70"/>
      <c r="V3" s="70"/>
      <c r="W3" s="70"/>
      <c r="X3" s="70"/>
      <c r="Y3" s="70"/>
      <c r="Z3" s="70"/>
      <c r="AA3" s="70"/>
      <c r="AB3" s="70"/>
      <c r="AC3" s="70"/>
      <c r="AD3" s="70"/>
      <c r="AE3" s="70"/>
      <c r="AF3" s="70"/>
      <c r="AG3" s="70"/>
      <c r="AH3" s="70"/>
      <c r="AI3" s="70"/>
      <c r="AJ3" s="70"/>
      <c r="AK3" s="70"/>
      <c r="AL3" s="70"/>
      <c r="AM3" s="70"/>
      <c r="AN3" s="70"/>
      <c r="AO3" s="70"/>
      <c r="AP3" s="70"/>
      <c r="AQ3" s="70"/>
    </row>
    <row r="4" spans="1:45" ht="7.5" customHeight="1" x14ac:dyDescent="0.15">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5" ht="18" customHeight="1" x14ac:dyDescent="0.15">
      <c r="A5" s="1" t="s">
        <v>83</v>
      </c>
      <c r="C5" s="78">
        <v>2022</v>
      </c>
      <c r="D5" s="79"/>
      <c r="E5" s="3" t="s">
        <v>52</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6"/>
      <c r="AQ5" s="6"/>
    </row>
    <row r="6" spans="1:45" ht="6" customHeight="1" x14ac:dyDescent="0.15">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5" ht="18" customHeight="1" x14ac:dyDescent="0.15">
      <c r="A7" s="1" t="s">
        <v>81</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5" ht="6" customHeight="1" x14ac:dyDescent="0.15">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5" ht="18" customHeight="1" x14ac:dyDescent="0.15">
      <c r="B9" s="80" t="s">
        <v>44</v>
      </c>
      <c r="C9" s="95" t="s">
        <v>86</v>
      </c>
      <c r="D9" s="83" t="s">
        <v>46</v>
      </c>
      <c r="E9" s="86" t="s">
        <v>39</v>
      </c>
      <c r="F9" s="76" t="s">
        <v>85</v>
      </c>
      <c r="G9" s="76"/>
      <c r="H9" s="76"/>
      <c r="I9" s="76"/>
      <c r="J9" s="76"/>
      <c r="K9" s="76"/>
      <c r="L9" s="76" t="s">
        <v>48</v>
      </c>
      <c r="M9" s="76"/>
      <c r="N9" s="76"/>
      <c r="O9" s="76"/>
      <c r="P9" s="76"/>
      <c r="Q9" s="76"/>
      <c r="R9" s="76" t="s">
        <v>49</v>
      </c>
      <c r="S9" s="76"/>
      <c r="T9" s="76"/>
      <c r="U9" s="76"/>
      <c r="V9" s="76"/>
      <c r="W9" s="76"/>
      <c r="X9" s="76" t="s">
        <v>100</v>
      </c>
      <c r="Y9" s="76"/>
      <c r="Z9" s="76"/>
      <c r="AA9" s="76"/>
      <c r="AB9" s="76"/>
      <c r="AC9" s="76"/>
      <c r="AD9" s="76" t="s">
        <v>50</v>
      </c>
      <c r="AE9" s="76"/>
      <c r="AF9" s="76"/>
      <c r="AG9" s="76"/>
      <c r="AH9" s="76"/>
      <c r="AI9" s="76"/>
      <c r="AJ9" s="76" t="s">
        <v>51</v>
      </c>
      <c r="AK9" s="76"/>
      <c r="AL9" s="76"/>
      <c r="AM9" s="76"/>
      <c r="AN9" s="76"/>
      <c r="AO9" s="76"/>
      <c r="AP9" s="89" t="s">
        <v>34</v>
      </c>
      <c r="AQ9" s="92" t="s">
        <v>31</v>
      </c>
      <c r="AS9" s="2"/>
    </row>
    <row r="10" spans="1:45" ht="16.899999999999999" customHeight="1" x14ac:dyDescent="0.15">
      <c r="B10" s="81"/>
      <c r="C10" s="96"/>
      <c r="D10" s="84"/>
      <c r="E10" s="87"/>
      <c r="F10" s="74" t="s">
        <v>96</v>
      </c>
      <c r="G10" s="75"/>
      <c r="H10" s="75"/>
      <c r="I10" s="74" t="s">
        <v>28</v>
      </c>
      <c r="J10" s="75"/>
      <c r="K10" s="75"/>
      <c r="L10" s="74" t="s">
        <v>96</v>
      </c>
      <c r="M10" s="75"/>
      <c r="N10" s="75"/>
      <c r="O10" s="74" t="s">
        <v>28</v>
      </c>
      <c r="P10" s="75"/>
      <c r="Q10" s="75"/>
      <c r="R10" s="74" t="s">
        <v>96</v>
      </c>
      <c r="S10" s="75"/>
      <c r="T10" s="75"/>
      <c r="U10" s="74" t="s">
        <v>28</v>
      </c>
      <c r="V10" s="75"/>
      <c r="W10" s="75"/>
      <c r="X10" s="74" t="s">
        <v>96</v>
      </c>
      <c r="Y10" s="75"/>
      <c r="Z10" s="75"/>
      <c r="AA10" s="74" t="s">
        <v>28</v>
      </c>
      <c r="AB10" s="75"/>
      <c r="AC10" s="75"/>
      <c r="AD10" s="74" t="s">
        <v>96</v>
      </c>
      <c r="AE10" s="75"/>
      <c r="AF10" s="75"/>
      <c r="AG10" s="74" t="s">
        <v>28</v>
      </c>
      <c r="AH10" s="75"/>
      <c r="AI10" s="75"/>
      <c r="AJ10" s="74" t="s">
        <v>96</v>
      </c>
      <c r="AK10" s="75"/>
      <c r="AL10" s="75"/>
      <c r="AM10" s="74" t="s">
        <v>28</v>
      </c>
      <c r="AN10" s="75"/>
      <c r="AO10" s="75"/>
      <c r="AP10" s="90"/>
      <c r="AQ10" s="93"/>
      <c r="AS10" s="2"/>
    </row>
    <row r="11" spans="1:45" ht="18" customHeight="1" x14ac:dyDescent="0.15">
      <c r="B11" s="82"/>
      <c r="C11" s="97"/>
      <c r="D11" s="85"/>
      <c r="E11" s="88"/>
      <c r="F11" s="17" t="s">
        <v>97</v>
      </c>
      <c r="G11" s="18" t="s">
        <v>98</v>
      </c>
      <c r="H11" s="19" t="s">
        <v>99</v>
      </c>
      <c r="I11" s="17" t="s">
        <v>97</v>
      </c>
      <c r="J11" s="18" t="s">
        <v>98</v>
      </c>
      <c r="K11" s="19" t="s">
        <v>99</v>
      </c>
      <c r="L11" s="17" t="s">
        <v>97</v>
      </c>
      <c r="M11" s="18" t="s">
        <v>98</v>
      </c>
      <c r="N11" s="19" t="s">
        <v>99</v>
      </c>
      <c r="O11" s="17" t="s">
        <v>97</v>
      </c>
      <c r="P11" s="18" t="s">
        <v>98</v>
      </c>
      <c r="Q11" s="19" t="s">
        <v>99</v>
      </c>
      <c r="R11" s="17" t="s">
        <v>97</v>
      </c>
      <c r="S11" s="18" t="s">
        <v>98</v>
      </c>
      <c r="T11" s="19" t="s">
        <v>99</v>
      </c>
      <c r="U11" s="17" t="s">
        <v>97</v>
      </c>
      <c r="V11" s="18" t="s">
        <v>98</v>
      </c>
      <c r="W11" s="19" t="s">
        <v>99</v>
      </c>
      <c r="X11" s="17" t="s">
        <v>97</v>
      </c>
      <c r="Y11" s="18" t="s">
        <v>98</v>
      </c>
      <c r="Z11" s="19" t="s">
        <v>99</v>
      </c>
      <c r="AA11" s="17" t="s">
        <v>97</v>
      </c>
      <c r="AB11" s="18" t="s">
        <v>98</v>
      </c>
      <c r="AC11" s="19" t="s">
        <v>99</v>
      </c>
      <c r="AD11" s="17" t="s">
        <v>97</v>
      </c>
      <c r="AE11" s="18" t="s">
        <v>98</v>
      </c>
      <c r="AF11" s="19" t="s">
        <v>99</v>
      </c>
      <c r="AG11" s="17" t="s">
        <v>97</v>
      </c>
      <c r="AH11" s="18" t="s">
        <v>98</v>
      </c>
      <c r="AI11" s="19" t="s">
        <v>99</v>
      </c>
      <c r="AJ11" s="17" t="s">
        <v>97</v>
      </c>
      <c r="AK11" s="18" t="s">
        <v>98</v>
      </c>
      <c r="AL11" s="19" t="s">
        <v>99</v>
      </c>
      <c r="AM11" s="17" t="s">
        <v>97</v>
      </c>
      <c r="AN11" s="18" t="s">
        <v>98</v>
      </c>
      <c r="AO11" s="19" t="s">
        <v>99</v>
      </c>
      <c r="AP11" s="91"/>
      <c r="AQ11" s="94"/>
      <c r="AS11" s="2"/>
    </row>
    <row r="12" spans="1:45" ht="18" customHeight="1" x14ac:dyDescent="0.15">
      <c r="A12" s="6"/>
      <c r="B12" s="11" t="s">
        <v>157</v>
      </c>
      <c r="C12" s="43">
        <v>777</v>
      </c>
      <c r="D12" s="44">
        <v>120</v>
      </c>
      <c r="E12" s="45">
        <v>720</v>
      </c>
      <c r="F12" s="51">
        <f t="shared" ref="F12:F31" si="0">G12+H12</f>
        <v>272</v>
      </c>
      <c r="G12" s="46">
        <v>107</v>
      </c>
      <c r="H12" s="47">
        <v>165</v>
      </c>
      <c r="I12" s="45">
        <f>J12+K12</f>
        <v>0</v>
      </c>
      <c r="J12" s="46">
        <v>0</v>
      </c>
      <c r="K12" s="47">
        <v>0</v>
      </c>
      <c r="L12" s="45">
        <f>M12+N12</f>
        <v>0</v>
      </c>
      <c r="M12" s="46"/>
      <c r="N12" s="47"/>
      <c r="O12" s="45">
        <f>P12+Q12</f>
        <v>0</v>
      </c>
      <c r="P12" s="46"/>
      <c r="Q12" s="47"/>
      <c r="R12" s="45">
        <f>S12+T12</f>
        <v>0</v>
      </c>
      <c r="S12" s="46"/>
      <c r="T12" s="47"/>
      <c r="U12" s="45">
        <f>V12+W12</f>
        <v>0</v>
      </c>
      <c r="V12" s="46"/>
      <c r="W12" s="47"/>
      <c r="X12" s="45">
        <f>Y12+Z12</f>
        <v>0</v>
      </c>
      <c r="Y12" s="46"/>
      <c r="Z12" s="47"/>
      <c r="AA12" s="45">
        <f>AB12+AC12</f>
        <v>0</v>
      </c>
      <c r="AB12" s="46"/>
      <c r="AC12" s="47"/>
      <c r="AD12" s="45">
        <f>AE12+AF12</f>
        <v>0</v>
      </c>
      <c r="AE12" s="46"/>
      <c r="AF12" s="47"/>
      <c r="AG12" s="45">
        <f>AH12+AI12</f>
        <v>0</v>
      </c>
      <c r="AH12" s="46"/>
      <c r="AI12" s="47"/>
      <c r="AJ12" s="45">
        <f>AK12+AL12</f>
        <v>0</v>
      </c>
      <c r="AK12" s="46"/>
      <c r="AL12" s="47"/>
      <c r="AM12" s="45">
        <f>AN12+AO12</f>
        <v>0</v>
      </c>
      <c r="AN12" s="46"/>
      <c r="AO12" s="47"/>
      <c r="AP12" s="44">
        <f>F12+L12+R12+X12+AD12+AJ12</f>
        <v>272</v>
      </c>
      <c r="AQ12" s="64">
        <f t="shared" ref="AQ12:AQ32" si="1">AP12/E12</f>
        <v>0.37777777777777777</v>
      </c>
    </row>
    <row r="13" spans="1:45" ht="18" customHeight="1" x14ac:dyDescent="0.15">
      <c r="A13" s="6"/>
      <c r="B13" s="12" t="s">
        <v>158</v>
      </c>
      <c r="C13" s="48">
        <v>1094</v>
      </c>
      <c r="D13" s="49">
        <v>160</v>
      </c>
      <c r="E13" s="50">
        <v>960</v>
      </c>
      <c r="F13" s="51">
        <f t="shared" si="0"/>
        <v>414</v>
      </c>
      <c r="G13" s="52">
        <v>183</v>
      </c>
      <c r="H13" s="53">
        <v>231</v>
      </c>
      <c r="I13" s="51">
        <f t="shared" ref="I13:I31" si="2">J13+K13</f>
        <v>0</v>
      </c>
      <c r="J13" s="52">
        <v>0</v>
      </c>
      <c r="K13" s="53">
        <v>0</v>
      </c>
      <c r="L13" s="51">
        <f t="shared" ref="L13:L31" si="3">M13+N13</f>
        <v>0</v>
      </c>
      <c r="M13" s="52"/>
      <c r="N13" s="53"/>
      <c r="O13" s="51">
        <f t="shared" ref="O13:O31" si="4">P13+Q13</f>
        <v>0</v>
      </c>
      <c r="P13" s="52"/>
      <c r="Q13" s="53"/>
      <c r="R13" s="51">
        <f t="shared" ref="R13:R31" si="5">S13+T13</f>
        <v>0</v>
      </c>
      <c r="S13" s="52"/>
      <c r="T13" s="53"/>
      <c r="U13" s="51">
        <f t="shared" ref="U13:U31" si="6">V13+W13</f>
        <v>0</v>
      </c>
      <c r="V13" s="52"/>
      <c r="W13" s="53"/>
      <c r="X13" s="51">
        <f t="shared" ref="X13:X31" si="7">Y13+Z13</f>
        <v>0</v>
      </c>
      <c r="Y13" s="52"/>
      <c r="Z13" s="53"/>
      <c r="AA13" s="51">
        <f t="shared" ref="AA13:AA31" si="8">AB13+AC13</f>
        <v>0</v>
      </c>
      <c r="AB13" s="52"/>
      <c r="AC13" s="53"/>
      <c r="AD13" s="51">
        <f t="shared" ref="AD13:AD31" si="9">AE13+AF13</f>
        <v>0</v>
      </c>
      <c r="AE13" s="52"/>
      <c r="AF13" s="53"/>
      <c r="AG13" s="51">
        <f t="shared" ref="AG13:AG31" si="10">AH13+AI13</f>
        <v>0</v>
      </c>
      <c r="AH13" s="52"/>
      <c r="AI13" s="53"/>
      <c r="AJ13" s="51">
        <f t="shared" ref="AJ13:AJ31" si="11">AK13+AL13</f>
        <v>0</v>
      </c>
      <c r="AK13" s="52"/>
      <c r="AL13" s="53"/>
      <c r="AM13" s="51">
        <f t="shared" ref="AM13:AM31" si="12">AN13+AO13</f>
        <v>0</v>
      </c>
      <c r="AN13" s="52"/>
      <c r="AO13" s="53"/>
      <c r="AP13" s="49">
        <f t="shared" ref="AP13:AP31" si="13">F13+L13+R13+X13+AD13+AJ13</f>
        <v>414</v>
      </c>
      <c r="AQ13" s="65">
        <f t="shared" si="1"/>
        <v>0.43125000000000002</v>
      </c>
    </row>
    <row r="14" spans="1:45" ht="18" customHeight="1" x14ac:dyDescent="0.15">
      <c r="A14" s="6"/>
      <c r="B14" s="12" t="s">
        <v>159</v>
      </c>
      <c r="C14" s="48">
        <v>380</v>
      </c>
      <c r="D14" s="49">
        <v>60</v>
      </c>
      <c r="E14" s="50">
        <v>360</v>
      </c>
      <c r="F14" s="51">
        <f t="shared" si="0"/>
        <v>151</v>
      </c>
      <c r="G14" s="52">
        <v>76</v>
      </c>
      <c r="H14" s="53">
        <v>75</v>
      </c>
      <c r="I14" s="51">
        <f t="shared" si="2"/>
        <v>0</v>
      </c>
      <c r="J14" s="52">
        <v>0</v>
      </c>
      <c r="K14" s="53">
        <v>0</v>
      </c>
      <c r="L14" s="51">
        <f t="shared" si="3"/>
        <v>0</v>
      </c>
      <c r="M14" s="52"/>
      <c r="N14" s="53"/>
      <c r="O14" s="51">
        <f t="shared" si="4"/>
        <v>0</v>
      </c>
      <c r="P14" s="52"/>
      <c r="Q14" s="53"/>
      <c r="R14" s="51">
        <f t="shared" si="5"/>
        <v>0</v>
      </c>
      <c r="S14" s="52"/>
      <c r="T14" s="53"/>
      <c r="U14" s="51">
        <f t="shared" si="6"/>
        <v>0</v>
      </c>
      <c r="V14" s="52"/>
      <c r="W14" s="53"/>
      <c r="X14" s="51">
        <f t="shared" si="7"/>
        <v>0</v>
      </c>
      <c r="Y14" s="52"/>
      <c r="Z14" s="53"/>
      <c r="AA14" s="51">
        <f t="shared" si="8"/>
        <v>0</v>
      </c>
      <c r="AB14" s="52"/>
      <c r="AC14" s="53"/>
      <c r="AD14" s="51">
        <f t="shared" si="9"/>
        <v>0</v>
      </c>
      <c r="AE14" s="52"/>
      <c r="AF14" s="53"/>
      <c r="AG14" s="51">
        <f t="shared" si="10"/>
        <v>0</v>
      </c>
      <c r="AH14" s="52"/>
      <c r="AI14" s="53"/>
      <c r="AJ14" s="51">
        <f t="shared" si="11"/>
        <v>0</v>
      </c>
      <c r="AK14" s="52"/>
      <c r="AL14" s="53"/>
      <c r="AM14" s="51">
        <f t="shared" si="12"/>
        <v>0</v>
      </c>
      <c r="AN14" s="52"/>
      <c r="AO14" s="53"/>
      <c r="AP14" s="49">
        <f t="shared" si="13"/>
        <v>151</v>
      </c>
      <c r="AQ14" s="8">
        <f t="shared" si="1"/>
        <v>0.41944444444444445</v>
      </c>
    </row>
    <row r="15" spans="1:45" ht="18" customHeight="1" x14ac:dyDescent="0.15">
      <c r="A15" s="6"/>
      <c r="B15" s="12" t="s">
        <v>160</v>
      </c>
      <c r="C15" s="48">
        <v>141</v>
      </c>
      <c r="D15" s="49">
        <v>30</v>
      </c>
      <c r="E15" s="50">
        <v>120</v>
      </c>
      <c r="F15" s="51">
        <f t="shared" si="0"/>
        <v>39</v>
      </c>
      <c r="G15" s="52">
        <v>24</v>
      </c>
      <c r="H15" s="53">
        <v>15</v>
      </c>
      <c r="I15" s="51">
        <f t="shared" si="2"/>
        <v>0</v>
      </c>
      <c r="J15" s="52">
        <v>0</v>
      </c>
      <c r="K15" s="53">
        <v>0</v>
      </c>
      <c r="L15" s="51">
        <f t="shared" si="3"/>
        <v>0</v>
      </c>
      <c r="M15" s="52"/>
      <c r="N15" s="53"/>
      <c r="O15" s="51">
        <f t="shared" si="4"/>
        <v>0</v>
      </c>
      <c r="P15" s="52"/>
      <c r="Q15" s="53"/>
      <c r="R15" s="51">
        <f t="shared" si="5"/>
        <v>0</v>
      </c>
      <c r="S15" s="52"/>
      <c r="T15" s="53"/>
      <c r="U15" s="51">
        <f t="shared" si="6"/>
        <v>0</v>
      </c>
      <c r="V15" s="52"/>
      <c r="W15" s="53"/>
      <c r="X15" s="51">
        <f t="shared" si="7"/>
        <v>0</v>
      </c>
      <c r="Y15" s="52"/>
      <c r="Z15" s="53"/>
      <c r="AA15" s="51">
        <f t="shared" si="8"/>
        <v>0</v>
      </c>
      <c r="AB15" s="52"/>
      <c r="AC15" s="53"/>
      <c r="AD15" s="51">
        <f t="shared" si="9"/>
        <v>0</v>
      </c>
      <c r="AE15" s="52"/>
      <c r="AF15" s="53"/>
      <c r="AG15" s="51">
        <f t="shared" si="10"/>
        <v>0</v>
      </c>
      <c r="AH15" s="52"/>
      <c r="AI15" s="53"/>
      <c r="AJ15" s="51">
        <f t="shared" si="11"/>
        <v>0</v>
      </c>
      <c r="AK15" s="52"/>
      <c r="AL15" s="53"/>
      <c r="AM15" s="51">
        <f t="shared" si="12"/>
        <v>0</v>
      </c>
      <c r="AN15" s="52"/>
      <c r="AO15" s="53"/>
      <c r="AP15" s="49">
        <f t="shared" si="13"/>
        <v>39</v>
      </c>
      <c r="AQ15" s="8">
        <f t="shared" si="1"/>
        <v>0.32500000000000001</v>
      </c>
    </row>
    <row r="16" spans="1:45" ht="18" customHeight="1" x14ac:dyDescent="0.15">
      <c r="A16" s="6"/>
      <c r="B16" s="12"/>
      <c r="C16" s="48"/>
      <c r="D16" s="49"/>
      <c r="E16" s="50"/>
      <c r="F16" s="51">
        <f t="shared" si="0"/>
        <v>0</v>
      </c>
      <c r="G16" s="52"/>
      <c r="H16" s="53"/>
      <c r="I16" s="51">
        <f t="shared" si="2"/>
        <v>0</v>
      </c>
      <c r="J16" s="52"/>
      <c r="K16" s="53"/>
      <c r="L16" s="51">
        <f t="shared" si="3"/>
        <v>0</v>
      </c>
      <c r="M16" s="52"/>
      <c r="N16" s="53"/>
      <c r="O16" s="51">
        <f t="shared" si="4"/>
        <v>0</v>
      </c>
      <c r="P16" s="52"/>
      <c r="Q16" s="53"/>
      <c r="R16" s="51">
        <f t="shared" si="5"/>
        <v>0</v>
      </c>
      <c r="S16" s="52"/>
      <c r="T16" s="53"/>
      <c r="U16" s="51">
        <f t="shared" si="6"/>
        <v>0</v>
      </c>
      <c r="V16" s="52"/>
      <c r="W16" s="53"/>
      <c r="X16" s="51">
        <f t="shared" si="7"/>
        <v>0</v>
      </c>
      <c r="Y16" s="52"/>
      <c r="Z16" s="53"/>
      <c r="AA16" s="51">
        <f t="shared" si="8"/>
        <v>0</v>
      </c>
      <c r="AB16" s="52"/>
      <c r="AC16" s="53"/>
      <c r="AD16" s="51">
        <f t="shared" si="9"/>
        <v>0</v>
      </c>
      <c r="AE16" s="52"/>
      <c r="AF16" s="53"/>
      <c r="AG16" s="51">
        <f t="shared" si="10"/>
        <v>0</v>
      </c>
      <c r="AH16" s="52"/>
      <c r="AI16" s="53"/>
      <c r="AJ16" s="51">
        <f t="shared" si="11"/>
        <v>0</v>
      </c>
      <c r="AK16" s="52"/>
      <c r="AL16" s="53"/>
      <c r="AM16" s="51">
        <f t="shared" si="12"/>
        <v>0</v>
      </c>
      <c r="AN16" s="52"/>
      <c r="AO16" s="53"/>
      <c r="AP16" s="49">
        <f t="shared" si="13"/>
        <v>0</v>
      </c>
      <c r="AQ16" s="8" t="e">
        <f t="shared" si="1"/>
        <v>#DIV/0!</v>
      </c>
    </row>
    <row r="17" spans="1:43" ht="18" customHeight="1" x14ac:dyDescent="0.15">
      <c r="A17" s="6"/>
      <c r="B17" s="12"/>
      <c r="C17" s="48"/>
      <c r="D17" s="49"/>
      <c r="E17" s="50"/>
      <c r="F17" s="51">
        <f t="shared" si="0"/>
        <v>0</v>
      </c>
      <c r="G17" s="52"/>
      <c r="H17" s="53"/>
      <c r="I17" s="51">
        <f t="shared" si="2"/>
        <v>0</v>
      </c>
      <c r="J17" s="52"/>
      <c r="K17" s="53"/>
      <c r="L17" s="51">
        <f t="shared" si="3"/>
        <v>0</v>
      </c>
      <c r="M17" s="52"/>
      <c r="N17" s="53"/>
      <c r="O17" s="51">
        <f t="shared" si="4"/>
        <v>0</v>
      </c>
      <c r="P17" s="52"/>
      <c r="Q17" s="53"/>
      <c r="R17" s="51">
        <f t="shared" si="5"/>
        <v>0</v>
      </c>
      <c r="S17" s="52"/>
      <c r="T17" s="53"/>
      <c r="U17" s="51">
        <f t="shared" si="6"/>
        <v>0</v>
      </c>
      <c r="V17" s="52"/>
      <c r="W17" s="53"/>
      <c r="X17" s="51">
        <f t="shared" si="7"/>
        <v>0</v>
      </c>
      <c r="Y17" s="52"/>
      <c r="Z17" s="53"/>
      <c r="AA17" s="51">
        <f t="shared" si="8"/>
        <v>0</v>
      </c>
      <c r="AB17" s="52"/>
      <c r="AC17" s="53"/>
      <c r="AD17" s="51">
        <f t="shared" si="9"/>
        <v>0</v>
      </c>
      <c r="AE17" s="52"/>
      <c r="AF17" s="53"/>
      <c r="AG17" s="51">
        <f t="shared" si="10"/>
        <v>0</v>
      </c>
      <c r="AH17" s="52"/>
      <c r="AI17" s="53"/>
      <c r="AJ17" s="51">
        <f t="shared" si="11"/>
        <v>0</v>
      </c>
      <c r="AK17" s="52"/>
      <c r="AL17" s="53"/>
      <c r="AM17" s="51">
        <f t="shared" si="12"/>
        <v>0</v>
      </c>
      <c r="AN17" s="52"/>
      <c r="AO17" s="53"/>
      <c r="AP17" s="49">
        <f t="shared" si="13"/>
        <v>0</v>
      </c>
      <c r="AQ17" s="8" t="e">
        <f t="shared" si="1"/>
        <v>#DIV/0!</v>
      </c>
    </row>
    <row r="18" spans="1:43" ht="18" customHeight="1" x14ac:dyDescent="0.15">
      <c r="A18" s="6"/>
      <c r="B18" s="12"/>
      <c r="C18" s="48"/>
      <c r="D18" s="49"/>
      <c r="E18" s="50"/>
      <c r="F18" s="51">
        <f t="shared" si="0"/>
        <v>0</v>
      </c>
      <c r="G18" s="52"/>
      <c r="H18" s="53"/>
      <c r="I18" s="51">
        <f t="shared" si="2"/>
        <v>0</v>
      </c>
      <c r="J18" s="52"/>
      <c r="K18" s="53"/>
      <c r="L18" s="51">
        <f t="shared" si="3"/>
        <v>0</v>
      </c>
      <c r="M18" s="52"/>
      <c r="N18" s="53"/>
      <c r="O18" s="51">
        <f t="shared" si="4"/>
        <v>0</v>
      </c>
      <c r="P18" s="52"/>
      <c r="Q18" s="53"/>
      <c r="R18" s="51">
        <f t="shared" si="5"/>
        <v>0</v>
      </c>
      <c r="S18" s="52"/>
      <c r="T18" s="53"/>
      <c r="U18" s="51">
        <f t="shared" si="6"/>
        <v>0</v>
      </c>
      <c r="V18" s="52"/>
      <c r="W18" s="53"/>
      <c r="X18" s="51">
        <f t="shared" si="7"/>
        <v>0</v>
      </c>
      <c r="Y18" s="52"/>
      <c r="Z18" s="53"/>
      <c r="AA18" s="51">
        <f t="shared" si="8"/>
        <v>0</v>
      </c>
      <c r="AB18" s="52"/>
      <c r="AC18" s="53"/>
      <c r="AD18" s="51">
        <f t="shared" si="9"/>
        <v>0</v>
      </c>
      <c r="AE18" s="52"/>
      <c r="AF18" s="53"/>
      <c r="AG18" s="51">
        <f t="shared" si="10"/>
        <v>0</v>
      </c>
      <c r="AH18" s="52"/>
      <c r="AI18" s="53"/>
      <c r="AJ18" s="51">
        <f t="shared" si="11"/>
        <v>0</v>
      </c>
      <c r="AK18" s="52"/>
      <c r="AL18" s="53"/>
      <c r="AM18" s="51">
        <f t="shared" si="12"/>
        <v>0</v>
      </c>
      <c r="AN18" s="52"/>
      <c r="AO18" s="53"/>
      <c r="AP18" s="49">
        <f t="shared" si="13"/>
        <v>0</v>
      </c>
      <c r="AQ18" s="8" t="e">
        <f t="shared" si="1"/>
        <v>#DIV/0!</v>
      </c>
    </row>
    <row r="19" spans="1:43" ht="18" customHeight="1" x14ac:dyDescent="0.15">
      <c r="A19" s="6"/>
      <c r="B19" s="12"/>
      <c r="C19" s="48"/>
      <c r="D19" s="49"/>
      <c r="E19" s="50"/>
      <c r="F19" s="51">
        <f t="shared" si="0"/>
        <v>0</v>
      </c>
      <c r="G19" s="52"/>
      <c r="H19" s="53"/>
      <c r="I19" s="51">
        <f t="shared" si="2"/>
        <v>0</v>
      </c>
      <c r="J19" s="52"/>
      <c r="K19" s="53"/>
      <c r="L19" s="51">
        <f t="shared" si="3"/>
        <v>0</v>
      </c>
      <c r="M19" s="52"/>
      <c r="N19" s="53"/>
      <c r="O19" s="51">
        <f t="shared" si="4"/>
        <v>0</v>
      </c>
      <c r="P19" s="52"/>
      <c r="Q19" s="53"/>
      <c r="R19" s="51">
        <f t="shared" si="5"/>
        <v>0</v>
      </c>
      <c r="S19" s="52"/>
      <c r="T19" s="53"/>
      <c r="U19" s="51">
        <f t="shared" si="6"/>
        <v>0</v>
      </c>
      <c r="V19" s="52"/>
      <c r="W19" s="53"/>
      <c r="X19" s="51">
        <f t="shared" si="7"/>
        <v>0</v>
      </c>
      <c r="Y19" s="52"/>
      <c r="Z19" s="53"/>
      <c r="AA19" s="51">
        <f t="shared" si="8"/>
        <v>0</v>
      </c>
      <c r="AB19" s="52"/>
      <c r="AC19" s="53"/>
      <c r="AD19" s="51">
        <f t="shared" si="9"/>
        <v>0</v>
      </c>
      <c r="AE19" s="52"/>
      <c r="AF19" s="53"/>
      <c r="AG19" s="51">
        <f t="shared" si="10"/>
        <v>0</v>
      </c>
      <c r="AH19" s="52"/>
      <c r="AI19" s="53"/>
      <c r="AJ19" s="51">
        <f t="shared" si="11"/>
        <v>0</v>
      </c>
      <c r="AK19" s="52"/>
      <c r="AL19" s="53"/>
      <c r="AM19" s="51">
        <f t="shared" si="12"/>
        <v>0</v>
      </c>
      <c r="AN19" s="52"/>
      <c r="AO19" s="53"/>
      <c r="AP19" s="49">
        <f t="shared" si="13"/>
        <v>0</v>
      </c>
      <c r="AQ19" s="8" t="e">
        <f t="shared" si="1"/>
        <v>#DIV/0!</v>
      </c>
    </row>
    <row r="20" spans="1:43" ht="18" customHeight="1" x14ac:dyDescent="0.15">
      <c r="A20" s="6"/>
      <c r="B20" s="12"/>
      <c r="C20" s="48"/>
      <c r="D20" s="49"/>
      <c r="E20" s="50"/>
      <c r="F20" s="51">
        <f t="shared" si="0"/>
        <v>0</v>
      </c>
      <c r="G20" s="52"/>
      <c r="H20" s="53"/>
      <c r="I20" s="51">
        <f t="shared" si="2"/>
        <v>0</v>
      </c>
      <c r="J20" s="52"/>
      <c r="K20" s="53"/>
      <c r="L20" s="51">
        <f t="shared" si="3"/>
        <v>0</v>
      </c>
      <c r="M20" s="52"/>
      <c r="N20" s="53"/>
      <c r="O20" s="51">
        <f t="shared" si="4"/>
        <v>0</v>
      </c>
      <c r="P20" s="52"/>
      <c r="Q20" s="53"/>
      <c r="R20" s="51">
        <f t="shared" si="5"/>
        <v>0</v>
      </c>
      <c r="S20" s="52"/>
      <c r="T20" s="53"/>
      <c r="U20" s="51">
        <f t="shared" si="6"/>
        <v>0</v>
      </c>
      <c r="V20" s="52"/>
      <c r="W20" s="53"/>
      <c r="X20" s="51">
        <f t="shared" si="7"/>
        <v>0</v>
      </c>
      <c r="Y20" s="52"/>
      <c r="Z20" s="53"/>
      <c r="AA20" s="51">
        <f t="shared" si="8"/>
        <v>0</v>
      </c>
      <c r="AB20" s="52"/>
      <c r="AC20" s="53"/>
      <c r="AD20" s="51">
        <f t="shared" si="9"/>
        <v>0</v>
      </c>
      <c r="AE20" s="52"/>
      <c r="AF20" s="53"/>
      <c r="AG20" s="51">
        <f t="shared" si="10"/>
        <v>0</v>
      </c>
      <c r="AH20" s="52"/>
      <c r="AI20" s="53"/>
      <c r="AJ20" s="51">
        <f t="shared" si="11"/>
        <v>0</v>
      </c>
      <c r="AK20" s="52"/>
      <c r="AL20" s="53"/>
      <c r="AM20" s="51">
        <f t="shared" si="12"/>
        <v>0</v>
      </c>
      <c r="AN20" s="52"/>
      <c r="AO20" s="53"/>
      <c r="AP20" s="49">
        <f t="shared" si="13"/>
        <v>0</v>
      </c>
      <c r="AQ20" s="8" t="e">
        <f t="shared" si="1"/>
        <v>#DIV/0!</v>
      </c>
    </row>
    <row r="21" spans="1:43" ht="18" customHeight="1" x14ac:dyDescent="0.15">
      <c r="A21" s="6"/>
      <c r="B21" s="12"/>
      <c r="C21" s="48"/>
      <c r="D21" s="49"/>
      <c r="E21" s="50"/>
      <c r="F21" s="51">
        <f t="shared" si="0"/>
        <v>0</v>
      </c>
      <c r="G21" s="52"/>
      <c r="H21" s="53"/>
      <c r="I21" s="51">
        <f t="shared" si="2"/>
        <v>0</v>
      </c>
      <c r="J21" s="52"/>
      <c r="K21" s="53"/>
      <c r="L21" s="51">
        <f t="shared" si="3"/>
        <v>0</v>
      </c>
      <c r="M21" s="52"/>
      <c r="N21" s="53"/>
      <c r="O21" s="51">
        <f t="shared" si="4"/>
        <v>0</v>
      </c>
      <c r="P21" s="52"/>
      <c r="Q21" s="53"/>
      <c r="R21" s="51">
        <f t="shared" si="5"/>
        <v>0</v>
      </c>
      <c r="S21" s="52"/>
      <c r="T21" s="53"/>
      <c r="U21" s="51">
        <f t="shared" si="6"/>
        <v>0</v>
      </c>
      <c r="V21" s="52"/>
      <c r="W21" s="53"/>
      <c r="X21" s="51">
        <f t="shared" si="7"/>
        <v>0</v>
      </c>
      <c r="Y21" s="52"/>
      <c r="Z21" s="53"/>
      <c r="AA21" s="51">
        <f t="shared" si="8"/>
        <v>0</v>
      </c>
      <c r="AB21" s="52"/>
      <c r="AC21" s="53"/>
      <c r="AD21" s="51">
        <f t="shared" si="9"/>
        <v>0</v>
      </c>
      <c r="AE21" s="52"/>
      <c r="AF21" s="53"/>
      <c r="AG21" s="51">
        <f t="shared" si="10"/>
        <v>0</v>
      </c>
      <c r="AH21" s="52"/>
      <c r="AI21" s="53"/>
      <c r="AJ21" s="51">
        <f t="shared" si="11"/>
        <v>0</v>
      </c>
      <c r="AK21" s="52"/>
      <c r="AL21" s="53"/>
      <c r="AM21" s="51">
        <f t="shared" si="12"/>
        <v>0</v>
      </c>
      <c r="AN21" s="52"/>
      <c r="AO21" s="53"/>
      <c r="AP21" s="49">
        <f t="shared" si="13"/>
        <v>0</v>
      </c>
      <c r="AQ21" s="8" t="e">
        <f t="shared" si="1"/>
        <v>#DIV/0!</v>
      </c>
    </row>
    <row r="22" spans="1:43" ht="18" customHeight="1" x14ac:dyDescent="0.15">
      <c r="A22" s="6"/>
      <c r="B22" s="12"/>
      <c r="C22" s="48"/>
      <c r="D22" s="49"/>
      <c r="E22" s="50"/>
      <c r="F22" s="51">
        <f t="shared" si="0"/>
        <v>0</v>
      </c>
      <c r="G22" s="52"/>
      <c r="H22" s="53"/>
      <c r="I22" s="51">
        <f t="shared" si="2"/>
        <v>0</v>
      </c>
      <c r="J22" s="52"/>
      <c r="K22" s="53"/>
      <c r="L22" s="51">
        <f t="shared" si="3"/>
        <v>0</v>
      </c>
      <c r="M22" s="52"/>
      <c r="N22" s="53"/>
      <c r="O22" s="51">
        <f t="shared" si="4"/>
        <v>0</v>
      </c>
      <c r="P22" s="52"/>
      <c r="Q22" s="53"/>
      <c r="R22" s="51">
        <f t="shared" si="5"/>
        <v>0</v>
      </c>
      <c r="S22" s="52"/>
      <c r="T22" s="53"/>
      <c r="U22" s="51">
        <f t="shared" si="6"/>
        <v>0</v>
      </c>
      <c r="V22" s="52"/>
      <c r="W22" s="53"/>
      <c r="X22" s="51">
        <f t="shared" si="7"/>
        <v>0</v>
      </c>
      <c r="Y22" s="52"/>
      <c r="Z22" s="53"/>
      <c r="AA22" s="51">
        <f t="shared" si="8"/>
        <v>0</v>
      </c>
      <c r="AB22" s="52"/>
      <c r="AC22" s="53"/>
      <c r="AD22" s="51">
        <f t="shared" si="9"/>
        <v>0</v>
      </c>
      <c r="AE22" s="52"/>
      <c r="AF22" s="53"/>
      <c r="AG22" s="51">
        <f t="shared" si="10"/>
        <v>0</v>
      </c>
      <c r="AH22" s="52"/>
      <c r="AI22" s="53"/>
      <c r="AJ22" s="51">
        <f t="shared" si="11"/>
        <v>0</v>
      </c>
      <c r="AK22" s="52"/>
      <c r="AL22" s="53"/>
      <c r="AM22" s="51">
        <f t="shared" si="12"/>
        <v>0</v>
      </c>
      <c r="AN22" s="52"/>
      <c r="AO22" s="53"/>
      <c r="AP22" s="49">
        <f t="shared" si="13"/>
        <v>0</v>
      </c>
      <c r="AQ22" s="8" t="e">
        <f t="shared" si="1"/>
        <v>#DIV/0!</v>
      </c>
    </row>
    <row r="23" spans="1:43" ht="18" customHeight="1" x14ac:dyDescent="0.15">
      <c r="A23" s="6"/>
      <c r="B23" s="12"/>
      <c r="C23" s="48"/>
      <c r="D23" s="49"/>
      <c r="E23" s="50"/>
      <c r="F23" s="51">
        <f t="shared" si="0"/>
        <v>0</v>
      </c>
      <c r="G23" s="52"/>
      <c r="H23" s="53"/>
      <c r="I23" s="51">
        <f t="shared" si="2"/>
        <v>0</v>
      </c>
      <c r="J23" s="52"/>
      <c r="K23" s="53"/>
      <c r="L23" s="51">
        <f t="shared" si="3"/>
        <v>0</v>
      </c>
      <c r="M23" s="52"/>
      <c r="N23" s="53"/>
      <c r="O23" s="51">
        <f t="shared" si="4"/>
        <v>0</v>
      </c>
      <c r="P23" s="52"/>
      <c r="Q23" s="53"/>
      <c r="R23" s="51">
        <f t="shared" si="5"/>
        <v>0</v>
      </c>
      <c r="S23" s="52"/>
      <c r="T23" s="53"/>
      <c r="U23" s="51">
        <f t="shared" si="6"/>
        <v>0</v>
      </c>
      <c r="V23" s="52"/>
      <c r="W23" s="53"/>
      <c r="X23" s="51">
        <f t="shared" si="7"/>
        <v>0</v>
      </c>
      <c r="Y23" s="52"/>
      <c r="Z23" s="53"/>
      <c r="AA23" s="51">
        <f t="shared" si="8"/>
        <v>0</v>
      </c>
      <c r="AB23" s="52"/>
      <c r="AC23" s="53"/>
      <c r="AD23" s="51">
        <f t="shared" si="9"/>
        <v>0</v>
      </c>
      <c r="AE23" s="52"/>
      <c r="AF23" s="53"/>
      <c r="AG23" s="51">
        <f t="shared" si="10"/>
        <v>0</v>
      </c>
      <c r="AH23" s="52"/>
      <c r="AI23" s="53"/>
      <c r="AJ23" s="51">
        <f t="shared" si="11"/>
        <v>0</v>
      </c>
      <c r="AK23" s="52"/>
      <c r="AL23" s="53"/>
      <c r="AM23" s="51">
        <f t="shared" si="12"/>
        <v>0</v>
      </c>
      <c r="AN23" s="52"/>
      <c r="AO23" s="53"/>
      <c r="AP23" s="49">
        <f t="shared" si="13"/>
        <v>0</v>
      </c>
      <c r="AQ23" s="8" t="e">
        <f t="shared" si="1"/>
        <v>#DIV/0!</v>
      </c>
    </row>
    <row r="24" spans="1:43" ht="18" customHeight="1" x14ac:dyDescent="0.15">
      <c r="A24" s="6"/>
      <c r="B24" s="12"/>
      <c r="C24" s="48"/>
      <c r="D24" s="49"/>
      <c r="E24" s="50"/>
      <c r="F24" s="51">
        <f t="shared" si="0"/>
        <v>0</v>
      </c>
      <c r="G24" s="52"/>
      <c r="H24" s="53"/>
      <c r="I24" s="51">
        <f t="shared" si="2"/>
        <v>0</v>
      </c>
      <c r="J24" s="52"/>
      <c r="K24" s="53"/>
      <c r="L24" s="51">
        <f t="shared" si="3"/>
        <v>0</v>
      </c>
      <c r="M24" s="52"/>
      <c r="N24" s="53"/>
      <c r="O24" s="51">
        <f t="shared" si="4"/>
        <v>0</v>
      </c>
      <c r="P24" s="52"/>
      <c r="Q24" s="53"/>
      <c r="R24" s="51">
        <f t="shared" si="5"/>
        <v>0</v>
      </c>
      <c r="S24" s="52"/>
      <c r="T24" s="53"/>
      <c r="U24" s="51">
        <f t="shared" si="6"/>
        <v>0</v>
      </c>
      <c r="V24" s="52"/>
      <c r="W24" s="53"/>
      <c r="X24" s="51">
        <f t="shared" si="7"/>
        <v>0</v>
      </c>
      <c r="Y24" s="52"/>
      <c r="Z24" s="53"/>
      <c r="AA24" s="51">
        <f t="shared" si="8"/>
        <v>0</v>
      </c>
      <c r="AB24" s="52"/>
      <c r="AC24" s="53"/>
      <c r="AD24" s="51">
        <f t="shared" si="9"/>
        <v>0</v>
      </c>
      <c r="AE24" s="52"/>
      <c r="AF24" s="53"/>
      <c r="AG24" s="51">
        <f t="shared" si="10"/>
        <v>0</v>
      </c>
      <c r="AH24" s="52"/>
      <c r="AI24" s="53"/>
      <c r="AJ24" s="51">
        <f t="shared" si="11"/>
        <v>0</v>
      </c>
      <c r="AK24" s="52"/>
      <c r="AL24" s="53"/>
      <c r="AM24" s="51">
        <f t="shared" si="12"/>
        <v>0</v>
      </c>
      <c r="AN24" s="52"/>
      <c r="AO24" s="53"/>
      <c r="AP24" s="49">
        <f t="shared" si="13"/>
        <v>0</v>
      </c>
      <c r="AQ24" s="8" t="e">
        <f t="shared" si="1"/>
        <v>#DIV/0!</v>
      </c>
    </row>
    <row r="25" spans="1:43" ht="18" customHeight="1" x14ac:dyDescent="0.15">
      <c r="A25" s="6"/>
      <c r="B25" s="12"/>
      <c r="C25" s="48"/>
      <c r="D25" s="49"/>
      <c r="E25" s="50"/>
      <c r="F25" s="51">
        <f t="shared" si="0"/>
        <v>0</v>
      </c>
      <c r="G25" s="52"/>
      <c r="H25" s="53"/>
      <c r="I25" s="51">
        <f t="shared" si="2"/>
        <v>0</v>
      </c>
      <c r="J25" s="52"/>
      <c r="K25" s="53"/>
      <c r="L25" s="51">
        <f t="shared" si="3"/>
        <v>0</v>
      </c>
      <c r="M25" s="52"/>
      <c r="N25" s="53"/>
      <c r="O25" s="51">
        <f t="shared" si="4"/>
        <v>0</v>
      </c>
      <c r="P25" s="52"/>
      <c r="Q25" s="53"/>
      <c r="R25" s="51">
        <f t="shared" si="5"/>
        <v>0</v>
      </c>
      <c r="S25" s="52"/>
      <c r="T25" s="53"/>
      <c r="U25" s="51">
        <f t="shared" si="6"/>
        <v>0</v>
      </c>
      <c r="V25" s="52"/>
      <c r="W25" s="53"/>
      <c r="X25" s="51">
        <f t="shared" si="7"/>
        <v>0</v>
      </c>
      <c r="Y25" s="52"/>
      <c r="Z25" s="53"/>
      <c r="AA25" s="51">
        <f t="shared" si="8"/>
        <v>0</v>
      </c>
      <c r="AB25" s="52"/>
      <c r="AC25" s="53"/>
      <c r="AD25" s="51">
        <f t="shared" si="9"/>
        <v>0</v>
      </c>
      <c r="AE25" s="52"/>
      <c r="AF25" s="53"/>
      <c r="AG25" s="51">
        <f t="shared" si="10"/>
        <v>0</v>
      </c>
      <c r="AH25" s="52"/>
      <c r="AI25" s="53"/>
      <c r="AJ25" s="51">
        <f t="shared" si="11"/>
        <v>0</v>
      </c>
      <c r="AK25" s="52"/>
      <c r="AL25" s="53"/>
      <c r="AM25" s="51">
        <f t="shared" si="12"/>
        <v>0</v>
      </c>
      <c r="AN25" s="52"/>
      <c r="AO25" s="53"/>
      <c r="AP25" s="49">
        <f t="shared" si="13"/>
        <v>0</v>
      </c>
      <c r="AQ25" s="8" t="e">
        <f t="shared" si="1"/>
        <v>#DIV/0!</v>
      </c>
    </row>
    <row r="26" spans="1:43" ht="18" customHeight="1" x14ac:dyDescent="0.15">
      <c r="A26" s="6"/>
      <c r="B26" s="12"/>
      <c r="C26" s="48"/>
      <c r="D26" s="49"/>
      <c r="E26" s="50"/>
      <c r="F26" s="51">
        <f t="shared" si="0"/>
        <v>0</v>
      </c>
      <c r="G26" s="52"/>
      <c r="H26" s="53"/>
      <c r="I26" s="51">
        <f t="shared" si="2"/>
        <v>0</v>
      </c>
      <c r="J26" s="52"/>
      <c r="K26" s="53"/>
      <c r="L26" s="51">
        <f t="shared" si="3"/>
        <v>0</v>
      </c>
      <c r="M26" s="52"/>
      <c r="N26" s="53"/>
      <c r="O26" s="51">
        <f t="shared" si="4"/>
        <v>0</v>
      </c>
      <c r="P26" s="52"/>
      <c r="Q26" s="53"/>
      <c r="R26" s="51">
        <f t="shared" si="5"/>
        <v>0</v>
      </c>
      <c r="S26" s="52"/>
      <c r="T26" s="53"/>
      <c r="U26" s="51">
        <f t="shared" si="6"/>
        <v>0</v>
      </c>
      <c r="V26" s="52"/>
      <c r="W26" s="53"/>
      <c r="X26" s="51">
        <f t="shared" si="7"/>
        <v>0</v>
      </c>
      <c r="Y26" s="52"/>
      <c r="Z26" s="53"/>
      <c r="AA26" s="51">
        <f t="shared" si="8"/>
        <v>0</v>
      </c>
      <c r="AB26" s="52"/>
      <c r="AC26" s="53"/>
      <c r="AD26" s="51">
        <f t="shared" si="9"/>
        <v>0</v>
      </c>
      <c r="AE26" s="52"/>
      <c r="AF26" s="53"/>
      <c r="AG26" s="51">
        <f t="shared" si="10"/>
        <v>0</v>
      </c>
      <c r="AH26" s="52"/>
      <c r="AI26" s="53"/>
      <c r="AJ26" s="51">
        <f t="shared" si="11"/>
        <v>0</v>
      </c>
      <c r="AK26" s="52"/>
      <c r="AL26" s="53"/>
      <c r="AM26" s="51">
        <f t="shared" si="12"/>
        <v>0</v>
      </c>
      <c r="AN26" s="52"/>
      <c r="AO26" s="53"/>
      <c r="AP26" s="49">
        <f t="shared" si="13"/>
        <v>0</v>
      </c>
      <c r="AQ26" s="8" t="e">
        <f t="shared" si="1"/>
        <v>#DIV/0!</v>
      </c>
    </row>
    <row r="27" spans="1:43" ht="18" customHeight="1" x14ac:dyDescent="0.15">
      <c r="A27" s="6"/>
      <c r="B27" s="12"/>
      <c r="C27" s="48"/>
      <c r="D27" s="49"/>
      <c r="E27" s="50"/>
      <c r="F27" s="51">
        <f t="shared" si="0"/>
        <v>0</v>
      </c>
      <c r="G27" s="52"/>
      <c r="H27" s="53"/>
      <c r="I27" s="51">
        <f t="shared" si="2"/>
        <v>0</v>
      </c>
      <c r="J27" s="52"/>
      <c r="K27" s="53"/>
      <c r="L27" s="51">
        <f t="shared" si="3"/>
        <v>0</v>
      </c>
      <c r="M27" s="52"/>
      <c r="N27" s="53"/>
      <c r="O27" s="51">
        <f t="shared" si="4"/>
        <v>0</v>
      </c>
      <c r="P27" s="52"/>
      <c r="Q27" s="53"/>
      <c r="R27" s="51">
        <f t="shared" si="5"/>
        <v>0</v>
      </c>
      <c r="S27" s="52"/>
      <c r="T27" s="53"/>
      <c r="U27" s="51">
        <f t="shared" si="6"/>
        <v>0</v>
      </c>
      <c r="V27" s="52"/>
      <c r="W27" s="53"/>
      <c r="X27" s="51">
        <f t="shared" si="7"/>
        <v>0</v>
      </c>
      <c r="Y27" s="52"/>
      <c r="Z27" s="53"/>
      <c r="AA27" s="51">
        <f t="shared" si="8"/>
        <v>0</v>
      </c>
      <c r="AB27" s="52"/>
      <c r="AC27" s="53"/>
      <c r="AD27" s="51">
        <f t="shared" si="9"/>
        <v>0</v>
      </c>
      <c r="AE27" s="52"/>
      <c r="AF27" s="53"/>
      <c r="AG27" s="51">
        <f t="shared" si="10"/>
        <v>0</v>
      </c>
      <c r="AH27" s="52"/>
      <c r="AI27" s="53"/>
      <c r="AJ27" s="51">
        <f t="shared" si="11"/>
        <v>0</v>
      </c>
      <c r="AK27" s="52"/>
      <c r="AL27" s="53"/>
      <c r="AM27" s="51">
        <f t="shared" si="12"/>
        <v>0</v>
      </c>
      <c r="AN27" s="52"/>
      <c r="AO27" s="53"/>
      <c r="AP27" s="49">
        <f t="shared" si="13"/>
        <v>0</v>
      </c>
      <c r="AQ27" s="8" t="e">
        <f t="shared" si="1"/>
        <v>#DIV/0!</v>
      </c>
    </row>
    <row r="28" spans="1:43" ht="18" customHeight="1" x14ac:dyDescent="0.15">
      <c r="A28" s="6"/>
      <c r="B28" s="12"/>
      <c r="C28" s="48"/>
      <c r="D28" s="49"/>
      <c r="E28" s="50"/>
      <c r="F28" s="51">
        <f t="shared" si="0"/>
        <v>0</v>
      </c>
      <c r="G28" s="52"/>
      <c r="H28" s="53"/>
      <c r="I28" s="51">
        <f t="shared" si="2"/>
        <v>0</v>
      </c>
      <c r="J28" s="52"/>
      <c r="K28" s="53"/>
      <c r="L28" s="51">
        <f t="shared" si="3"/>
        <v>0</v>
      </c>
      <c r="M28" s="52"/>
      <c r="N28" s="53"/>
      <c r="O28" s="51">
        <f t="shared" si="4"/>
        <v>0</v>
      </c>
      <c r="P28" s="52"/>
      <c r="Q28" s="53"/>
      <c r="R28" s="51">
        <f t="shared" si="5"/>
        <v>0</v>
      </c>
      <c r="S28" s="52"/>
      <c r="T28" s="53"/>
      <c r="U28" s="51">
        <f t="shared" si="6"/>
        <v>0</v>
      </c>
      <c r="V28" s="52"/>
      <c r="W28" s="53"/>
      <c r="X28" s="51">
        <f t="shared" si="7"/>
        <v>0</v>
      </c>
      <c r="Y28" s="52"/>
      <c r="Z28" s="53"/>
      <c r="AA28" s="51">
        <f t="shared" si="8"/>
        <v>0</v>
      </c>
      <c r="AB28" s="52"/>
      <c r="AC28" s="53"/>
      <c r="AD28" s="51">
        <f t="shared" si="9"/>
        <v>0</v>
      </c>
      <c r="AE28" s="52"/>
      <c r="AF28" s="53"/>
      <c r="AG28" s="51">
        <f t="shared" si="10"/>
        <v>0</v>
      </c>
      <c r="AH28" s="52"/>
      <c r="AI28" s="53"/>
      <c r="AJ28" s="51">
        <f t="shared" si="11"/>
        <v>0</v>
      </c>
      <c r="AK28" s="52"/>
      <c r="AL28" s="53"/>
      <c r="AM28" s="51">
        <f t="shared" si="12"/>
        <v>0</v>
      </c>
      <c r="AN28" s="52"/>
      <c r="AO28" s="53"/>
      <c r="AP28" s="49">
        <f t="shared" si="13"/>
        <v>0</v>
      </c>
      <c r="AQ28" s="8" t="e">
        <f t="shared" si="1"/>
        <v>#DIV/0!</v>
      </c>
    </row>
    <row r="29" spans="1:43" ht="18" customHeight="1" x14ac:dyDescent="0.15">
      <c r="A29" s="6"/>
      <c r="B29" s="12"/>
      <c r="C29" s="48"/>
      <c r="D29" s="54"/>
      <c r="E29" s="50"/>
      <c r="F29" s="51">
        <f t="shared" si="0"/>
        <v>0</v>
      </c>
      <c r="G29" s="52"/>
      <c r="H29" s="53"/>
      <c r="I29" s="51">
        <f t="shared" si="2"/>
        <v>0</v>
      </c>
      <c r="J29" s="52"/>
      <c r="K29" s="53"/>
      <c r="L29" s="51">
        <f t="shared" si="3"/>
        <v>0</v>
      </c>
      <c r="M29" s="52"/>
      <c r="N29" s="53"/>
      <c r="O29" s="51">
        <f t="shared" si="4"/>
        <v>0</v>
      </c>
      <c r="P29" s="52"/>
      <c r="Q29" s="53"/>
      <c r="R29" s="51">
        <f t="shared" si="5"/>
        <v>0</v>
      </c>
      <c r="S29" s="52"/>
      <c r="T29" s="53"/>
      <c r="U29" s="51">
        <f t="shared" si="6"/>
        <v>0</v>
      </c>
      <c r="V29" s="52"/>
      <c r="W29" s="53"/>
      <c r="X29" s="51">
        <f t="shared" si="7"/>
        <v>0</v>
      </c>
      <c r="Y29" s="52"/>
      <c r="Z29" s="53"/>
      <c r="AA29" s="51">
        <f t="shared" si="8"/>
        <v>0</v>
      </c>
      <c r="AB29" s="52"/>
      <c r="AC29" s="53"/>
      <c r="AD29" s="51">
        <f t="shared" si="9"/>
        <v>0</v>
      </c>
      <c r="AE29" s="52"/>
      <c r="AF29" s="53"/>
      <c r="AG29" s="51">
        <f t="shared" si="10"/>
        <v>0</v>
      </c>
      <c r="AH29" s="52"/>
      <c r="AI29" s="53"/>
      <c r="AJ29" s="51">
        <f t="shared" si="11"/>
        <v>0</v>
      </c>
      <c r="AK29" s="52"/>
      <c r="AL29" s="53"/>
      <c r="AM29" s="51">
        <f t="shared" si="12"/>
        <v>0</v>
      </c>
      <c r="AN29" s="52"/>
      <c r="AO29" s="53"/>
      <c r="AP29" s="54">
        <f t="shared" si="13"/>
        <v>0</v>
      </c>
      <c r="AQ29" s="8" t="e">
        <f t="shared" si="1"/>
        <v>#DIV/0!</v>
      </c>
    </row>
    <row r="30" spans="1:43" ht="18" customHeight="1" x14ac:dyDescent="0.15">
      <c r="A30" s="6"/>
      <c r="B30" s="12"/>
      <c r="C30" s="48"/>
      <c r="D30" s="54"/>
      <c r="E30" s="50"/>
      <c r="F30" s="51">
        <f t="shared" si="0"/>
        <v>0</v>
      </c>
      <c r="G30" s="52"/>
      <c r="H30" s="53"/>
      <c r="I30" s="51">
        <f t="shared" si="2"/>
        <v>0</v>
      </c>
      <c r="J30" s="52"/>
      <c r="K30" s="53"/>
      <c r="L30" s="51">
        <f t="shared" si="3"/>
        <v>0</v>
      </c>
      <c r="M30" s="52"/>
      <c r="N30" s="53"/>
      <c r="O30" s="51">
        <f t="shared" si="4"/>
        <v>0</v>
      </c>
      <c r="P30" s="52"/>
      <c r="Q30" s="53"/>
      <c r="R30" s="51">
        <f t="shared" si="5"/>
        <v>0</v>
      </c>
      <c r="S30" s="52"/>
      <c r="T30" s="53"/>
      <c r="U30" s="51">
        <f t="shared" si="6"/>
        <v>0</v>
      </c>
      <c r="V30" s="52"/>
      <c r="W30" s="53"/>
      <c r="X30" s="51">
        <f t="shared" si="7"/>
        <v>0</v>
      </c>
      <c r="Y30" s="52"/>
      <c r="Z30" s="53"/>
      <c r="AA30" s="51">
        <f t="shared" si="8"/>
        <v>0</v>
      </c>
      <c r="AB30" s="52"/>
      <c r="AC30" s="53"/>
      <c r="AD30" s="51">
        <f t="shared" si="9"/>
        <v>0</v>
      </c>
      <c r="AE30" s="52"/>
      <c r="AF30" s="53"/>
      <c r="AG30" s="51">
        <f t="shared" si="10"/>
        <v>0</v>
      </c>
      <c r="AH30" s="52"/>
      <c r="AI30" s="53"/>
      <c r="AJ30" s="51">
        <f t="shared" si="11"/>
        <v>0</v>
      </c>
      <c r="AK30" s="52"/>
      <c r="AL30" s="53"/>
      <c r="AM30" s="51">
        <f t="shared" si="12"/>
        <v>0</v>
      </c>
      <c r="AN30" s="52"/>
      <c r="AO30" s="53"/>
      <c r="AP30" s="54">
        <f t="shared" si="13"/>
        <v>0</v>
      </c>
      <c r="AQ30" s="8" t="e">
        <f t="shared" si="1"/>
        <v>#DIV/0!</v>
      </c>
    </row>
    <row r="31" spans="1:43" ht="18" customHeight="1" thickBot="1" x14ac:dyDescent="0.2">
      <c r="A31" s="6"/>
      <c r="B31" s="13"/>
      <c r="C31" s="43"/>
      <c r="D31" s="55"/>
      <c r="E31" s="45"/>
      <c r="F31" s="45">
        <f t="shared" si="0"/>
        <v>0</v>
      </c>
      <c r="G31" s="56"/>
      <c r="H31" s="57"/>
      <c r="I31" s="45">
        <f t="shared" si="2"/>
        <v>0</v>
      </c>
      <c r="J31" s="56"/>
      <c r="K31" s="57"/>
      <c r="L31" s="45">
        <f t="shared" si="3"/>
        <v>0</v>
      </c>
      <c r="M31" s="56"/>
      <c r="N31" s="57"/>
      <c r="O31" s="45">
        <f t="shared" si="4"/>
        <v>0</v>
      </c>
      <c r="P31" s="56"/>
      <c r="Q31" s="57"/>
      <c r="R31" s="45">
        <f t="shared" si="5"/>
        <v>0</v>
      </c>
      <c r="S31" s="56"/>
      <c r="T31" s="57"/>
      <c r="U31" s="45">
        <f t="shared" si="6"/>
        <v>0</v>
      </c>
      <c r="V31" s="56"/>
      <c r="W31" s="57"/>
      <c r="X31" s="45">
        <f t="shared" si="7"/>
        <v>0</v>
      </c>
      <c r="Y31" s="56"/>
      <c r="Z31" s="57"/>
      <c r="AA31" s="45">
        <f t="shared" si="8"/>
        <v>0</v>
      </c>
      <c r="AB31" s="56"/>
      <c r="AC31" s="57"/>
      <c r="AD31" s="45">
        <f t="shared" si="9"/>
        <v>0</v>
      </c>
      <c r="AE31" s="56"/>
      <c r="AF31" s="57"/>
      <c r="AG31" s="45">
        <f t="shared" si="10"/>
        <v>0</v>
      </c>
      <c r="AH31" s="56"/>
      <c r="AI31" s="57"/>
      <c r="AJ31" s="45">
        <f t="shared" si="11"/>
        <v>0</v>
      </c>
      <c r="AK31" s="56"/>
      <c r="AL31" s="57"/>
      <c r="AM31" s="45">
        <f t="shared" si="12"/>
        <v>0</v>
      </c>
      <c r="AN31" s="56"/>
      <c r="AO31" s="57"/>
      <c r="AP31" s="55">
        <f t="shared" si="13"/>
        <v>0</v>
      </c>
      <c r="AQ31" s="7" t="e">
        <f t="shared" si="1"/>
        <v>#DIV/0!</v>
      </c>
    </row>
    <row r="32" spans="1:43" ht="18" customHeight="1" thickTop="1" x14ac:dyDescent="0.15">
      <c r="B32" s="14" t="s">
        <v>32</v>
      </c>
      <c r="C32" s="58">
        <f t="shared" ref="C32" si="14">SUM(C12:C31)</f>
        <v>2392</v>
      </c>
      <c r="D32" s="59">
        <f t="shared" ref="D32:AP32" si="15">SUM(D12:D31)</f>
        <v>370</v>
      </c>
      <c r="E32" s="60">
        <f t="shared" si="15"/>
        <v>2160</v>
      </c>
      <c r="F32" s="60">
        <f t="shared" si="15"/>
        <v>876</v>
      </c>
      <c r="G32" s="61">
        <f t="shared" si="15"/>
        <v>390</v>
      </c>
      <c r="H32" s="62">
        <f t="shared" si="15"/>
        <v>486</v>
      </c>
      <c r="I32" s="60">
        <f t="shared" ref="I32:N32" si="16">SUM(I12:I31)</f>
        <v>0</v>
      </c>
      <c r="J32" s="61">
        <f t="shared" si="16"/>
        <v>0</v>
      </c>
      <c r="K32" s="62">
        <f t="shared" si="16"/>
        <v>0</v>
      </c>
      <c r="L32" s="60">
        <f t="shared" si="16"/>
        <v>0</v>
      </c>
      <c r="M32" s="61">
        <f t="shared" si="16"/>
        <v>0</v>
      </c>
      <c r="N32" s="62">
        <f t="shared" si="16"/>
        <v>0</v>
      </c>
      <c r="O32" s="60">
        <f t="shared" ref="O32:T32" si="17">SUM(O12:O31)</f>
        <v>0</v>
      </c>
      <c r="P32" s="61">
        <f t="shared" si="17"/>
        <v>0</v>
      </c>
      <c r="Q32" s="62">
        <f t="shared" si="17"/>
        <v>0</v>
      </c>
      <c r="R32" s="60">
        <f t="shared" si="17"/>
        <v>0</v>
      </c>
      <c r="S32" s="61">
        <f t="shared" si="17"/>
        <v>0</v>
      </c>
      <c r="T32" s="62">
        <f t="shared" si="17"/>
        <v>0</v>
      </c>
      <c r="U32" s="60">
        <f t="shared" ref="U32:AI32" si="18">SUM(U12:U31)</f>
        <v>0</v>
      </c>
      <c r="V32" s="61">
        <f t="shared" si="18"/>
        <v>0</v>
      </c>
      <c r="W32" s="62">
        <f t="shared" si="18"/>
        <v>0</v>
      </c>
      <c r="X32" s="60">
        <f t="shared" si="18"/>
        <v>0</v>
      </c>
      <c r="Y32" s="61">
        <f t="shared" si="18"/>
        <v>0</v>
      </c>
      <c r="Z32" s="62">
        <f t="shared" si="18"/>
        <v>0</v>
      </c>
      <c r="AA32" s="60">
        <f t="shared" si="18"/>
        <v>0</v>
      </c>
      <c r="AB32" s="61">
        <f t="shared" si="18"/>
        <v>0</v>
      </c>
      <c r="AC32" s="62">
        <f t="shared" si="18"/>
        <v>0</v>
      </c>
      <c r="AD32" s="60">
        <f t="shared" si="18"/>
        <v>0</v>
      </c>
      <c r="AE32" s="61">
        <f t="shared" si="18"/>
        <v>0</v>
      </c>
      <c r="AF32" s="62">
        <f t="shared" si="18"/>
        <v>0</v>
      </c>
      <c r="AG32" s="60">
        <f t="shared" si="18"/>
        <v>0</v>
      </c>
      <c r="AH32" s="61">
        <f t="shared" si="18"/>
        <v>0</v>
      </c>
      <c r="AI32" s="62">
        <f t="shared" si="18"/>
        <v>0</v>
      </c>
      <c r="AJ32" s="60">
        <f t="shared" ref="AJ32:AO32" si="19">SUM(AJ12:AJ31)</f>
        <v>0</v>
      </c>
      <c r="AK32" s="61">
        <f t="shared" si="19"/>
        <v>0</v>
      </c>
      <c r="AL32" s="62">
        <f t="shared" si="19"/>
        <v>0</v>
      </c>
      <c r="AM32" s="60">
        <f t="shared" si="19"/>
        <v>0</v>
      </c>
      <c r="AN32" s="61">
        <f t="shared" si="19"/>
        <v>0</v>
      </c>
      <c r="AO32" s="62">
        <f t="shared" si="19"/>
        <v>0</v>
      </c>
      <c r="AP32" s="59">
        <f t="shared" si="15"/>
        <v>876</v>
      </c>
      <c r="AQ32" s="9">
        <f t="shared" si="1"/>
        <v>0.40555555555555556</v>
      </c>
    </row>
  </sheetData>
  <mergeCells count="27">
    <mergeCell ref="AD9:AI9"/>
    <mergeCell ref="AD10:AF10"/>
    <mergeCell ref="AG10:AI10"/>
    <mergeCell ref="AJ9:AO9"/>
    <mergeCell ref="AJ10:AL10"/>
    <mergeCell ref="AM10:AO10"/>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I10:K10"/>
    <mergeCell ref="L9:Q9"/>
    <mergeCell ref="L10:N10"/>
    <mergeCell ref="O10:Q10"/>
    <mergeCell ref="R9:W9"/>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7" firstPageNumber="6" orientation="landscape" useFirstPageNumber="1" r:id="rId1"/>
  <headerFooter>
    <oddHeader>&amp;C数理・データサイエンス・AI教育プログラム認定制度【リテラシーレベル】</oddHeader>
    <oddFooter>&amp;C&amp;21&amp;P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O134"/>
  <sheetViews>
    <sheetView showZeros="0" view="pageBreakPreview" zoomScale="148" zoomScaleNormal="100" zoomScaleSheetLayoutView="148" workbookViewId="0">
      <selection activeCell="E3" sqref="E3"/>
    </sheetView>
  </sheetViews>
  <sheetFormatPr defaultColWidth="11.375" defaultRowHeight="18.75" customHeight="1" x14ac:dyDescent="0.15"/>
  <cols>
    <col min="1" max="1" width="2.75" style="25"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25" t="s">
        <v>64</v>
      </c>
      <c r="I1" s="21" t="s">
        <v>105</v>
      </c>
    </row>
    <row r="2" spans="1:9" ht="18.75" customHeight="1" x14ac:dyDescent="0.15">
      <c r="G2" s="21" t="s">
        <v>108</v>
      </c>
      <c r="H2" s="66" t="e">
        <f>#REF!</f>
        <v>#REF!</v>
      </c>
      <c r="I2" s="67"/>
    </row>
    <row r="3" spans="1:9" ht="18.75" customHeight="1" x14ac:dyDescent="0.15">
      <c r="G3" s="21"/>
      <c r="H3" s="10"/>
      <c r="I3" s="10"/>
    </row>
    <row r="4" spans="1:9" ht="18.600000000000001" customHeight="1" x14ac:dyDescent="0.15">
      <c r="A4" s="70" t="s">
        <v>35</v>
      </c>
      <c r="B4" s="70"/>
      <c r="C4" s="70"/>
      <c r="D4" s="70"/>
      <c r="E4" s="70"/>
      <c r="F4" s="70"/>
      <c r="G4" s="70"/>
      <c r="H4" s="70"/>
      <c r="I4" s="70"/>
    </row>
    <row r="5" spans="1:9" ht="13.15" customHeight="1" x14ac:dyDescent="0.15">
      <c r="B5" s="3"/>
      <c r="C5" s="3"/>
      <c r="D5" s="3"/>
      <c r="E5" s="3"/>
      <c r="F5" s="3"/>
      <c r="G5" s="3"/>
      <c r="H5" s="3"/>
      <c r="I5" s="3"/>
    </row>
    <row r="6" spans="1:9" ht="18" customHeight="1" x14ac:dyDescent="0.15">
      <c r="A6" s="1" t="s">
        <v>0</v>
      </c>
      <c r="B6" s="10" t="s">
        <v>90</v>
      </c>
      <c r="C6" s="146" t="s">
        <v>91</v>
      </c>
      <c r="D6" s="146"/>
      <c r="E6" s="20">
        <v>108</v>
      </c>
      <c r="F6" s="3" t="s">
        <v>1</v>
      </c>
      <c r="G6" s="3" t="s">
        <v>2</v>
      </c>
      <c r="H6" s="20">
        <v>18</v>
      </c>
      <c r="I6" s="10" t="s">
        <v>1</v>
      </c>
    </row>
    <row r="7" spans="1:9" ht="12" customHeight="1" x14ac:dyDescent="0.15">
      <c r="C7" s="2"/>
      <c r="D7" s="2"/>
      <c r="E7" s="2"/>
      <c r="F7" s="2"/>
      <c r="G7" s="2"/>
      <c r="H7" s="2"/>
      <c r="I7" s="26"/>
    </row>
    <row r="8" spans="1:9" ht="18" customHeight="1" x14ac:dyDescent="0.15">
      <c r="A8" s="1" t="s">
        <v>3</v>
      </c>
      <c r="B8" s="10" t="s">
        <v>92</v>
      </c>
      <c r="E8" s="3"/>
      <c r="F8" s="3"/>
      <c r="G8" s="3"/>
      <c r="H8" s="20">
        <v>26</v>
      </c>
      <c r="I8" s="10" t="s">
        <v>1</v>
      </c>
    </row>
    <row r="9" spans="1:9" ht="9" customHeight="1" x14ac:dyDescent="0.15">
      <c r="B9" s="3"/>
      <c r="C9" s="3"/>
      <c r="D9" s="3"/>
      <c r="E9" s="3"/>
      <c r="F9" s="3"/>
      <c r="G9" s="3"/>
      <c r="H9" s="3"/>
      <c r="I9" s="3"/>
    </row>
    <row r="10" spans="1:9" ht="18" customHeight="1" x14ac:dyDescent="0.15">
      <c r="A10" s="1" t="s">
        <v>4</v>
      </c>
      <c r="B10" s="10" t="s">
        <v>93</v>
      </c>
      <c r="C10" s="3"/>
      <c r="D10" s="3"/>
      <c r="E10" s="3"/>
      <c r="F10" s="3"/>
      <c r="G10" s="3"/>
      <c r="H10" s="3"/>
      <c r="I10" s="3"/>
    </row>
    <row r="11" spans="1:9" ht="18" customHeight="1" x14ac:dyDescent="0.15">
      <c r="B11" s="21" t="s">
        <v>42</v>
      </c>
      <c r="C11" s="141" t="s">
        <v>168</v>
      </c>
      <c r="D11" s="144"/>
      <c r="E11" s="145"/>
      <c r="F11" s="26"/>
      <c r="G11" s="21" t="s">
        <v>10</v>
      </c>
      <c r="H11" s="141" t="s">
        <v>167</v>
      </c>
      <c r="I11" s="145"/>
    </row>
    <row r="12" spans="1:9" ht="10.15" customHeight="1" x14ac:dyDescent="0.15">
      <c r="B12" s="21"/>
      <c r="C12" s="10"/>
      <c r="D12" s="26"/>
      <c r="E12" s="26"/>
      <c r="F12" s="26"/>
      <c r="G12" s="21"/>
      <c r="H12" s="10"/>
      <c r="I12" s="26"/>
    </row>
    <row r="13" spans="1:9" ht="18" customHeight="1" x14ac:dyDescent="0.15">
      <c r="A13" s="1" t="s">
        <v>7</v>
      </c>
      <c r="B13" s="10" t="s">
        <v>87</v>
      </c>
      <c r="C13" s="3"/>
      <c r="D13" s="3"/>
      <c r="E13" s="3"/>
      <c r="F13" s="3"/>
      <c r="G13" s="3"/>
      <c r="H13" s="3"/>
      <c r="I13" s="3"/>
    </row>
    <row r="14" spans="1:9" ht="18" customHeight="1" x14ac:dyDescent="0.15">
      <c r="B14" s="141" t="s">
        <v>166</v>
      </c>
      <c r="C14" s="142"/>
      <c r="D14" s="142"/>
      <c r="E14" s="142"/>
      <c r="F14" s="142"/>
      <c r="G14" s="142"/>
      <c r="H14" s="142"/>
      <c r="I14" s="143"/>
    </row>
    <row r="15" spans="1:9" ht="9" customHeight="1" x14ac:dyDescent="0.15">
      <c r="B15" s="3"/>
      <c r="C15" s="3"/>
      <c r="D15" s="3"/>
      <c r="E15" s="3"/>
      <c r="F15" s="3"/>
      <c r="G15" s="3"/>
      <c r="H15" s="3"/>
      <c r="I15" s="3"/>
    </row>
    <row r="16" spans="1:9" ht="18" customHeight="1" x14ac:dyDescent="0.15">
      <c r="B16" s="21" t="s">
        <v>42</v>
      </c>
      <c r="C16" s="141" t="s">
        <v>168</v>
      </c>
      <c r="D16" s="144"/>
      <c r="E16" s="145"/>
      <c r="F16" s="26"/>
      <c r="G16" s="21" t="s">
        <v>10</v>
      </c>
      <c r="H16" s="141" t="s">
        <v>167</v>
      </c>
      <c r="I16" s="145"/>
    </row>
    <row r="17" spans="1:9" ht="18" customHeight="1" x14ac:dyDescent="0.15">
      <c r="B17" s="3"/>
      <c r="C17" s="3"/>
      <c r="D17" s="3"/>
      <c r="E17" s="3"/>
      <c r="F17" s="3"/>
      <c r="G17" s="3"/>
      <c r="H17" s="3"/>
      <c r="I17" s="3"/>
    </row>
    <row r="18" spans="1:9" ht="18.75" customHeight="1" x14ac:dyDescent="0.15">
      <c r="A18" s="1" t="s">
        <v>5</v>
      </c>
      <c r="B18" s="1" t="s">
        <v>41</v>
      </c>
      <c r="I18" s="3"/>
    </row>
    <row r="19" spans="1:9" ht="18.75" customHeight="1" x14ac:dyDescent="0.15">
      <c r="A19" s="1"/>
      <c r="B19" s="135" t="s">
        <v>169</v>
      </c>
      <c r="C19" s="136"/>
      <c r="D19" s="136"/>
      <c r="E19" s="136"/>
      <c r="F19" s="136"/>
      <c r="G19" s="136"/>
      <c r="H19" s="136"/>
      <c r="I19" s="137"/>
    </row>
    <row r="20" spans="1:9" ht="7.5" customHeight="1" x14ac:dyDescent="0.15">
      <c r="B20" s="3"/>
      <c r="C20" s="3"/>
      <c r="D20" s="3"/>
      <c r="E20" s="3"/>
      <c r="F20" s="3"/>
      <c r="G20" s="3"/>
      <c r="H20" s="3"/>
      <c r="I20" s="3"/>
    </row>
    <row r="21" spans="1:9" ht="18.75" customHeight="1" x14ac:dyDescent="0.15">
      <c r="A21" s="1" t="s">
        <v>8</v>
      </c>
      <c r="B21" s="1" t="s">
        <v>24</v>
      </c>
    </row>
    <row r="22" spans="1:9" ht="18.75" customHeight="1" x14ac:dyDescent="0.15">
      <c r="A22" s="15"/>
      <c r="B22" s="98" t="s">
        <v>170</v>
      </c>
      <c r="C22" s="99"/>
      <c r="D22" s="99"/>
      <c r="E22" s="99"/>
      <c r="F22" s="99"/>
      <c r="G22" s="99"/>
      <c r="H22" s="99"/>
      <c r="I22" s="127"/>
    </row>
    <row r="23" spans="1:9" ht="18.75" customHeight="1" x14ac:dyDescent="0.15">
      <c r="A23" s="15"/>
      <c r="B23" s="101"/>
      <c r="C23" s="102"/>
      <c r="D23" s="102"/>
      <c r="E23" s="102"/>
      <c r="F23" s="102"/>
      <c r="G23" s="102"/>
      <c r="H23" s="102"/>
      <c r="I23" s="130"/>
    </row>
    <row r="24" spans="1:9" ht="18.75" customHeight="1" x14ac:dyDescent="0.15">
      <c r="A24" s="15"/>
      <c r="B24" s="101"/>
      <c r="C24" s="102"/>
      <c r="D24" s="102"/>
      <c r="E24" s="102"/>
      <c r="F24" s="102"/>
      <c r="G24" s="102"/>
      <c r="H24" s="102"/>
      <c r="I24" s="130"/>
    </row>
    <row r="25" spans="1:9" ht="18.75" customHeight="1" x14ac:dyDescent="0.15">
      <c r="A25" s="15"/>
      <c r="B25" s="101"/>
      <c r="C25" s="102"/>
      <c r="D25" s="102"/>
      <c r="E25" s="102"/>
      <c r="F25" s="102"/>
      <c r="G25" s="102"/>
      <c r="H25" s="102"/>
      <c r="I25" s="130"/>
    </row>
    <row r="26" spans="1:9" ht="18.75" customHeight="1" x14ac:dyDescent="0.15">
      <c r="A26" s="15"/>
      <c r="B26" s="101"/>
      <c r="C26" s="102"/>
      <c r="D26" s="102"/>
      <c r="E26" s="102"/>
      <c r="F26" s="102"/>
      <c r="G26" s="102"/>
      <c r="H26" s="102"/>
      <c r="I26" s="130"/>
    </row>
    <row r="27" spans="1:9" ht="18.75" customHeight="1" x14ac:dyDescent="0.15">
      <c r="A27" s="15"/>
      <c r="B27" s="101"/>
      <c r="C27" s="102"/>
      <c r="D27" s="102"/>
      <c r="E27" s="102"/>
      <c r="F27" s="102"/>
      <c r="G27" s="102"/>
      <c r="H27" s="102"/>
      <c r="I27" s="130"/>
    </row>
    <row r="28" spans="1:9" ht="18.75" customHeight="1" x14ac:dyDescent="0.15">
      <c r="A28" s="15"/>
      <c r="B28" s="101"/>
      <c r="C28" s="102"/>
      <c r="D28" s="102"/>
      <c r="E28" s="102"/>
      <c r="F28" s="102"/>
      <c r="G28" s="102"/>
      <c r="H28" s="102"/>
      <c r="I28" s="130"/>
    </row>
    <row r="29" spans="1:9" ht="18.75" customHeight="1" x14ac:dyDescent="0.15">
      <c r="A29" s="15"/>
      <c r="B29" s="101"/>
      <c r="C29" s="102"/>
      <c r="D29" s="102"/>
      <c r="E29" s="102"/>
      <c r="F29" s="102"/>
      <c r="G29" s="102"/>
      <c r="H29" s="102"/>
      <c r="I29" s="130"/>
    </row>
    <row r="30" spans="1:9" ht="18.75" customHeight="1" x14ac:dyDescent="0.15">
      <c r="A30" s="15"/>
      <c r="B30" s="128"/>
      <c r="C30" s="129"/>
      <c r="D30" s="129"/>
      <c r="E30" s="129"/>
      <c r="F30" s="129"/>
      <c r="G30" s="129"/>
      <c r="H30" s="129"/>
      <c r="I30" s="130"/>
    </row>
    <row r="31" spans="1:9" ht="18.75" customHeight="1" x14ac:dyDescent="0.15">
      <c r="A31" s="15"/>
      <c r="B31" s="128"/>
      <c r="C31" s="129"/>
      <c r="D31" s="129"/>
      <c r="E31" s="129"/>
      <c r="F31" s="129"/>
      <c r="G31" s="129"/>
      <c r="H31" s="129"/>
      <c r="I31" s="130"/>
    </row>
    <row r="32" spans="1:9" ht="18.75" customHeight="1" x14ac:dyDescent="0.15">
      <c r="A32" s="15"/>
      <c r="B32" s="131"/>
      <c r="C32" s="132"/>
      <c r="D32" s="132"/>
      <c r="E32" s="132"/>
      <c r="F32" s="132"/>
      <c r="G32" s="132"/>
      <c r="H32" s="132"/>
      <c r="I32" s="133"/>
    </row>
    <row r="33" spans="1:9" ht="7.5" customHeight="1" x14ac:dyDescent="0.15">
      <c r="A33" s="15"/>
      <c r="B33" s="15"/>
      <c r="C33" s="15"/>
      <c r="D33" s="15"/>
      <c r="E33" s="15"/>
      <c r="F33" s="15"/>
      <c r="G33" s="15"/>
      <c r="H33" s="15"/>
      <c r="I33" s="15"/>
    </row>
    <row r="34" spans="1:9" ht="18.75" customHeight="1" x14ac:dyDescent="0.15">
      <c r="A34" s="16" t="s">
        <v>6</v>
      </c>
      <c r="B34" s="16" t="s">
        <v>9</v>
      </c>
      <c r="C34" s="10"/>
      <c r="D34" s="16"/>
      <c r="E34" s="16"/>
      <c r="F34" s="16"/>
      <c r="G34" s="16"/>
      <c r="H34" s="16"/>
      <c r="I34" s="16"/>
    </row>
    <row r="35" spans="1:9" ht="18.75" customHeight="1" x14ac:dyDescent="0.15">
      <c r="A35" s="15"/>
      <c r="B35" s="98" t="s">
        <v>186</v>
      </c>
      <c r="C35" s="99"/>
      <c r="D35" s="99"/>
      <c r="E35" s="99"/>
      <c r="F35" s="99"/>
      <c r="G35" s="99"/>
      <c r="H35" s="99"/>
      <c r="I35" s="127"/>
    </row>
    <row r="36" spans="1:9" ht="18.75" customHeight="1" x14ac:dyDescent="0.15">
      <c r="A36" s="15"/>
      <c r="B36" s="128"/>
      <c r="C36" s="129"/>
      <c r="D36" s="129"/>
      <c r="E36" s="129"/>
      <c r="F36" s="129"/>
      <c r="G36" s="129"/>
      <c r="H36" s="129"/>
      <c r="I36" s="130"/>
    </row>
    <row r="37" spans="1:9" ht="18.75" customHeight="1" x14ac:dyDescent="0.15">
      <c r="A37" s="15"/>
      <c r="B37" s="128"/>
      <c r="C37" s="129"/>
      <c r="D37" s="129"/>
      <c r="E37" s="129"/>
      <c r="F37" s="129"/>
      <c r="G37" s="129"/>
      <c r="H37" s="129"/>
      <c r="I37" s="130"/>
    </row>
    <row r="38" spans="1:9" ht="18.75" customHeight="1" x14ac:dyDescent="0.15">
      <c r="A38" s="15"/>
      <c r="B38" s="128"/>
      <c r="C38" s="129"/>
      <c r="D38" s="129"/>
      <c r="E38" s="129"/>
      <c r="F38" s="129"/>
      <c r="G38" s="129"/>
      <c r="H38" s="129"/>
      <c r="I38" s="130"/>
    </row>
    <row r="39" spans="1:9" ht="18.75" customHeight="1" x14ac:dyDescent="0.15">
      <c r="A39" s="15"/>
      <c r="B39" s="128"/>
      <c r="C39" s="129"/>
      <c r="D39" s="129"/>
      <c r="E39" s="129"/>
      <c r="F39" s="129"/>
      <c r="G39" s="129"/>
      <c r="H39" s="129"/>
      <c r="I39" s="130"/>
    </row>
    <row r="40" spans="1:9" ht="18.75" customHeight="1" x14ac:dyDescent="0.15">
      <c r="A40" s="15"/>
      <c r="B40" s="128"/>
      <c r="C40" s="129"/>
      <c r="D40" s="129"/>
      <c r="E40" s="129"/>
      <c r="F40" s="129"/>
      <c r="G40" s="129"/>
      <c r="H40" s="129"/>
      <c r="I40" s="130"/>
    </row>
    <row r="41" spans="1:9" ht="18.75" customHeight="1" x14ac:dyDescent="0.15">
      <c r="A41" s="15"/>
      <c r="B41" s="128"/>
      <c r="C41" s="129"/>
      <c r="D41" s="129"/>
      <c r="E41" s="129"/>
      <c r="F41" s="129"/>
      <c r="G41" s="129"/>
      <c r="H41" s="129"/>
      <c r="I41" s="130"/>
    </row>
    <row r="42" spans="1:9" ht="18.75" customHeight="1" x14ac:dyDescent="0.15">
      <c r="A42" s="15"/>
      <c r="B42" s="128"/>
      <c r="C42" s="129"/>
      <c r="D42" s="129"/>
      <c r="E42" s="129"/>
      <c r="F42" s="129"/>
      <c r="G42" s="129"/>
      <c r="H42" s="129"/>
      <c r="I42" s="130"/>
    </row>
    <row r="43" spans="1:9" ht="18.75" customHeight="1" x14ac:dyDescent="0.15">
      <c r="A43" s="15"/>
      <c r="B43" s="128"/>
      <c r="C43" s="129"/>
      <c r="D43" s="129"/>
      <c r="E43" s="129"/>
      <c r="F43" s="129"/>
      <c r="G43" s="129"/>
      <c r="H43" s="129"/>
      <c r="I43" s="130"/>
    </row>
    <row r="44" spans="1:9" ht="18.75" customHeight="1" x14ac:dyDescent="0.15">
      <c r="A44" s="15"/>
      <c r="B44" s="128"/>
      <c r="C44" s="129"/>
      <c r="D44" s="129"/>
      <c r="E44" s="129"/>
      <c r="F44" s="129"/>
      <c r="G44" s="129"/>
      <c r="H44" s="129"/>
      <c r="I44" s="130"/>
    </row>
    <row r="45" spans="1:9" ht="18.75" customHeight="1" x14ac:dyDescent="0.15">
      <c r="A45" s="15"/>
      <c r="B45" s="128"/>
      <c r="C45" s="129"/>
      <c r="D45" s="129"/>
      <c r="E45" s="129"/>
      <c r="F45" s="129"/>
      <c r="G45" s="129"/>
      <c r="H45" s="129"/>
      <c r="I45" s="130"/>
    </row>
    <row r="46" spans="1:9" ht="18.75" customHeight="1" x14ac:dyDescent="0.15">
      <c r="A46" s="15"/>
      <c r="B46" s="131"/>
      <c r="C46" s="132"/>
      <c r="D46" s="132"/>
      <c r="E46" s="132"/>
      <c r="F46" s="132"/>
      <c r="G46" s="132"/>
      <c r="H46" s="132"/>
      <c r="I46" s="133"/>
    </row>
    <row r="47" spans="1:9" ht="7.5" customHeight="1" x14ac:dyDescent="0.15">
      <c r="A47" s="4"/>
      <c r="B47" s="4"/>
      <c r="C47" s="4"/>
      <c r="D47" s="4"/>
      <c r="E47" s="4"/>
      <c r="F47" s="4"/>
      <c r="G47" s="4"/>
      <c r="H47" s="4"/>
      <c r="I47" s="4"/>
    </row>
    <row r="48" spans="1:9" ht="18.75" customHeight="1" x14ac:dyDescent="0.15">
      <c r="A48" s="1" t="s">
        <v>30</v>
      </c>
      <c r="B48" s="1" t="s">
        <v>122</v>
      </c>
    </row>
    <row r="49" spans="1:15" s="3" customFormat="1" ht="18.75" customHeight="1" x14ac:dyDescent="0.15">
      <c r="B49" s="27" t="s">
        <v>88</v>
      </c>
      <c r="C49" s="116">
        <v>0.41</v>
      </c>
      <c r="D49" s="116"/>
      <c r="E49" s="27" t="s">
        <v>65</v>
      </c>
      <c r="F49" s="116">
        <v>0.6</v>
      </c>
      <c r="G49" s="116"/>
      <c r="H49" s="27" t="s">
        <v>66</v>
      </c>
      <c r="I49" s="63">
        <v>0.8</v>
      </c>
      <c r="J49" s="1"/>
      <c r="M49" s="1"/>
      <c r="N49" s="28"/>
    </row>
    <row r="50" spans="1:15" s="3" customFormat="1" ht="18.75" customHeight="1" x14ac:dyDescent="0.15">
      <c r="B50" s="29" t="s">
        <v>67</v>
      </c>
      <c r="C50" s="117">
        <v>1</v>
      </c>
      <c r="D50" s="117"/>
      <c r="E50" s="29" t="s">
        <v>89</v>
      </c>
      <c r="F50" s="117">
        <v>1</v>
      </c>
      <c r="G50" s="117"/>
      <c r="H50" s="29" t="s">
        <v>68</v>
      </c>
      <c r="I50" s="30">
        <f>'様式２ 履修者等数の実績'!E32</f>
        <v>2160</v>
      </c>
      <c r="J50" s="1"/>
      <c r="M50" s="1"/>
      <c r="N50" s="28"/>
    </row>
    <row r="51" spans="1:15" ht="18.75" customHeight="1" x14ac:dyDescent="0.15">
      <c r="A51" s="1"/>
      <c r="B51" s="138" t="s">
        <v>69</v>
      </c>
      <c r="C51" s="139"/>
      <c r="D51" s="139"/>
      <c r="E51" s="139"/>
      <c r="F51" s="139"/>
      <c r="G51" s="139"/>
      <c r="H51" s="139"/>
      <c r="I51" s="140"/>
      <c r="N51" s="28"/>
      <c r="O51" s="3"/>
    </row>
    <row r="52" spans="1:15" ht="18.75" customHeight="1" x14ac:dyDescent="0.15">
      <c r="A52" s="1"/>
      <c r="B52" s="118" t="s">
        <v>174</v>
      </c>
      <c r="C52" s="119"/>
      <c r="D52" s="119"/>
      <c r="E52" s="119"/>
      <c r="F52" s="119"/>
      <c r="G52" s="119"/>
      <c r="H52" s="119"/>
      <c r="I52" s="120"/>
      <c r="N52" s="28"/>
      <c r="O52" s="3"/>
    </row>
    <row r="53" spans="1:15" ht="18.75" customHeight="1" x14ac:dyDescent="0.15">
      <c r="A53" s="1"/>
      <c r="B53" s="121"/>
      <c r="C53" s="122"/>
      <c r="D53" s="122"/>
      <c r="E53" s="122"/>
      <c r="F53" s="122"/>
      <c r="G53" s="122"/>
      <c r="H53" s="122"/>
      <c r="I53" s="123"/>
      <c r="N53" s="28"/>
      <c r="O53" s="3"/>
    </row>
    <row r="54" spans="1:15" ht="18.75" customHeight="1" x14ac:dyDescent="0.15">
      <c r="A54" s="1"/>
      <c r="B54" s="121"/>
      <c r="C54" s="122"/>
      <c r="D54" s="122"/>
      <c r="E54" s="122"/>
      <c r="F54" s="122"/>
      <c r="G54" s="122"/>
      <c r="H54" s="122"/>
      <c r="I54" s="123"/>
    </row>
    <row r="55" spans="1:15" ht="18.75" customHeight="1" x14ac:dyDescent="0.15">
      <c r="A55" s="1"/>
      <c r="B55" s="121"/>
      <c r="C55" s="122"/>
      <c r="D55" s="122"/>
      <c r="E55" s="122"/>
      <c r="F55" s="122"/>
      <c r="G55" s="122"/>
      <c r="H55" s="122"/>
      <c r="I55" s="123"/>
    </row>
    <row r="56" spans="1:15" ht="18.75" customHeight="1" x14ac:dyDescent="0.15">
      <c r="A56" s="1"/>
      <c r="B56" s="121"/>
      <c r="C56" s="122"/>
      <c r="D56" s="122"/>
      <c r="E56" s="122"/>
      <c r="F56" s="122"/>
      <c r="G56" s="122"/>
      <c r="H56" s="122"/>
      <c r="I56" s="123"/>
    </row>
    <row r="57" spans="1:15" ht="18.75" customHeight="1" x14ac:dyDescent="0.15">
      <c r="A57" s="1"/>
      <c r="B57" s="121"/>
      <c r="C57" s="122"/>
      <c r="D57" s="122"/>
      <c r="E57" s="122"/>
      <c r="F57" s="122"/>
      <c r="G57" s="122"/>
      <c r="H57" s="122"/>
      <c r="I57" s="123"/>
    </row>
    <row r="58" spans="1:15" ht="18.75" customHeight="1" x14ac:dyDescent="0.15">
      <c r="A58" s="1"/>
      <c r="B58" s="121"/>
      <c r="C58" s="122"/>
      <c r="D58" s="122"/>
      <c r="E58" s="122"/>
      <c r="F58" s="122"/>
      <c r="G58" s="122"/>
      <c r="H58" s="122"/>
      <c r="I58" s="123"/>
    </row>
    <row r="59" spans="1:15" ht="18.75" customHeight="1" x14ac:dyDescent="0.15">
      <c r="A59" s="1"/>
      <c r="B59" s="121"/>
      <c r="C59" s="122"/>
      <c r="D59" s="122"/>
      <c r="E59" s="122"/>
      <c r="F59" s="122"/>
      <c r="G59" s="122"/>
      <c r="H59" s="122"/>
      <c r="I59" s="123"/>
    </row>
    <row r="60" spans="1:15" ht="18.75" customHeight="1" x14ac:dyDescent="0.15">
      <c r="A60" s="1"/>
      <c r="B60" s="121"/>
      <c r="C60" s="122"/>
      <c r="D60" s="122"/>
      <c r="E60" s="122"/>
      <c r="F60" s="122"/>
      <c r="G60" s="122"/>
      <c r="H60" s="122"/>
      <c r="I60" s="123"/>
    </row>
    <row r="61" spans="1:15" ht="18.75" customHeight="1" x14ac:dyDescent="0.15">
      <c r="A61" s="1"/>
      <c r="B61" s="121"/>
      <c r="C61" s="122"/>
      <c r="D61" s="122"/>
      <c r="E61" s="122"/>
      <c r="F61" s="122"/>
      <c r="G61" s="122"/>
      <c r="H61" s="122"/>
      <c r="I61" s="123"/>
    </row>
    <row r="62" spans="1:15" ht="18.75" customHeight="1" x14ac:dyDescent="0.15">
      <c r="A62" s="1"/>
      <c r="B62" s="121"/>
      <c r="C62" s="122"/>
      <c r="D62" s="122"/>
      <c r="E62" s="122"/>
      <c r="F62" s="122"/>
      <c r="G62" s="122"/>
      <c r="H62" s="122"/>
      <c r="I62" s="123"/>
    </row>
    <row r="63" spans="1:15" ht="18.75" customHeight="1" x14ac:dyDescent="0.15">
      <c r="A63" s="1"/>
      <c r="B63" s="124"/>
      <c r="C63" s="125"/>
      <c r="D63" s="125"/>
      <c r="E63" s="125"/>
      <c r="F63" s="125"/>
      <c r="G63" s="125"/>
      <c r="H63" s="125"/>
      <c r="I63" s="126"/>
    </row>
    <row r="64" spans="1:15" ht="7.5" customHeight="1" x14ac:dyDescent="0.15">
      <c r="A64" s="15"/>
      <c r="B64" s="15"/>
      <c r="C64" s="15"/>
      <c r="D64" s="15"/>
      <c r="E64" s="15"/>
      <c r="F64" s="15"/>
      <c r="G64" s="15"/>
      <c r="H64" s="15"/>
      <c r="I64" s="15"/>
    </row>
    <row r="65" spans="1:9" ht="18.75" customHeight="1" x14ac:dyDescent="0.15">
      <c r="A65" s="16" t="s">
        <v>33</v>
      </c>
      <c r="B65" s="1" t="s">
        <v>36</v>
      </c>
      <c r="I65" s="16"/>
    </row>
    <row r="66" spans="1:9" ht="18.75" customHeight="1" x14ac:dyDescent="0.15">
      <c r="A66" s="4"/>
      <c r="B66" s="98" t="s">
        <v>171</v>
      </c>
      <c r="C66" s="99"/>
      <c r="D66" s="99"/>
      <c r="E66" s="99"/>
      <c r="F66" s="99"/>
      <c r="G66" s="99"/>
      <c r="H66" s="99"/>
      <c r="I66" s="100"/>
    </row>
    <row r="67" spans="1:9" ht="18.75" customHeight="1" x14ac:dyDescent="0.15">
      <c r="A67" s="4"/>
      <c r="B67" s="101"/>
      <c r="C67" s="102"/>
      <c r="D67" s="102"/>
      <c r="E67" s="102"/>
      <c r="F67" s="102"/>
      <c r="G67" s="102"/>
      <c r="H67" s="102"/>
      <c r="I67" s="103"/>
    </row>
    <row r="68" spans="1:9" ht="18.75" customHeight="1" x14ac:dyDescent="0.15">
      <c r="A68" s="4"/>
      <c r="B68" s="101"/>
      <c r="C68" s="102"/>
      <c r="D68" s="102"/>
      <c r="E68" s="102"/>
      <c r="F68" s="102"/>
      <c r="G68" s="102"/>
      <c r="H68" s="102"/>
      <c r="I68" s="103"/>
    </row>
    <row r="69" spans="1:9" ht="18.75" customHeight="1" x14ac:dyDescent="0.15">
      <c r="A69" s="4"/>
      <c r="B69" s="101"/>
      <c r="C69" s="102"/>
      <c r="D69" s="102"/>
      <c r="E69" s="102"/>
      <c r="F69" s="102"/>
      <c r="G69" s="102"/>
      <c r="H69" s="102"/>
      <c r="I69" s="103"/>
    </row>
    <row r="70" spans="1:9" ht="18.75" customHeight="1" x14ac:dyDescent="0.15">
      <c r="A70" s="4"/>
      <c r="B70" s="101"/>
      <c r="C70" s="102"/>
      <c r="D70" s="102"/>
      <c r="E70" s="102"/>
      <c r="F70" s="102"/>
      <c r="G70" s="102"/>
      <c r="H70" s="102"/>
      <c r="I70" s="103"/>
    </row>
    <row r="71" spans="1:9" ht="18.75" customHeight="1" x14ac:dyDescent="0.15">
      <c r="A71" s="4"/>
      <c r="B71" s="101"/>
      <c r="C71" s="102"/>
      <c r="D71" s="102"/>
      <c r="E71" s="102"/>
      <c r="F71" s="102"/>
      <c r="G71" s="102"/>
      <c r="H71" s="102"/>
      <c r="I71" s="103"/>
    </row>
    <row r="72" spans="1:9" ht="18.75" customHeight="1" x14ac:dyDescent="0.15">
      <c r="A72" s="4"/>
      <c r="B72" s="101"/>
      <c r="C72" s="102"/>
      <c r="D72" s="102"/>
      <c r="E72" s="102"/>
      <c r="F72" s="102"/>
      <c r="G72" s="102"/>
      <c r="H72" s="102"/>
      <c r="I72" s="103"/>
    </row>
    <row r="73" spans="1:9" ht="18.75" customHeight="1" x14ac:dyDescent="0.15">
      <c r="A73" s="4"/>
      <c r="B73" s="101"/>
      <c r="C73" s="102"/>
      <c r="D73" s="102"/>
      <c r="E73" s="102"/>
      <c r="F73" s="102"/>
      <c r="G73" s="102"/>
      <c r="H73" s="102"/>
      <c r="I73" s="103"/>
    </row>
    <row r="74" spans="1:9" ht="18.75" customHeight="1" x14ac:dyDescent="0.15">
      <c r="A74" s="4"/>
      <c r="B74" s="101"/>
      <c r="C74" s="102"/>
      <c r="D74" s="102"/>
      <c r="E74" s="102"/>
      <c r="F74" s="102"/>
      <c r="G74" s="102"/>
      <c r="H74" s="102"/>
      <c r="I74" s="103"/>
    </row>
    <row r="75" spans="1:9" ht="18.75" customHeight="1" x14ac:dyDescent="0.15">
      <c r="A75" s="4"/>
      <c r="B75" s="101"/>
      <c r="C75" s="102"/>
      <c r="D75" s="102"/>
      <c r="E75" s="102"/>
      <c r="F75" s="102"/>
      <c r="G75" s="102"/>
      <c r="H75" s="102"/>
      <c r="I75" s="103"/>
    </row>
    <row r="76" spans="1:9" ht="18.75" customHeight="1" x14ac:dyDescent="0.15">
      <c r="A76" s="4"/>
      <c r="B76" s="101"/>
      <c r="C76" s="102"/>
      <c r="D76" s="102"/>
      <c r="E76" s="102"/>
      <c r="F76" s="102"/>
      <c r="G76" s="102"/>
      <c r="H76" s="102"/>
      <c r="I76" s="103"/>
    </row>
    <row r="77" spans="1:9" ht="18.75" customHeight="1" x14ac:dyDescent="0.15">
      <c r="A77" s="4"/>
      <c r="B77" s="104"/>
      <c r="C77" s="105"/>
      <c r="D77" s="105"/>
      <c r="E77" s="105"/>
      <c r="F77" s="105"/>
      <c r="G77" s="105"/>
      <c r="H77" s="105"/>
      <c r="I77" s="106"/>
    </row>
    <row r="78" spans="1:9" ht="7.5" customHeight="1" x14ac:dyDescent="0.15">
      <c r="A78" s="4"/>
      <c r="B78" s="4"/>
      <c r="C78" s="4"/>
      <c r="D78" s="4"/>
      <c r="E78" s="4"/>
      <c r="F78" s="4"/>
      <c r="G78" s="4"/>
      <c r="H78" s="4"/>
      <c r="I78" s="4"/>
    </row>
    <row r="79" spans="1:9" ht="18.75" customHeight="1" x14ac:dyDescent="0.15">
      <c r="A79" s="1" t="s">
        <v>11</v>
      </c>
      <c r="B79" s="1" t="s">
        <v>40</v>
      </c>
    </row>
    <row r="80" spans="1:9" ht="18.75" customHeight="1" x14ac:dyDescent="0.15">
      <c r="A80" s="1"/>
      <c r="B80" s="107" t="s">
        <v>181</v>
      </c>
      <c r="C80" s="108"/>
      <c r="D80" s="108"/>
      <c r="E80" s="108"/>
      <c r="F80" s="108"/>
      <c r="G80" s="108"/>
      <c r="H80" s="108"/>
      <c r="I80" s="109"/>
    </row>
    <row r="81" spans="1:9" ht="18.75" customHeight="1" x14ac:dyDescent="0.15">
      <c r="A81" s="1"/>
      <c r="B81" s="110"/>
      <c r="C81" s="111"/>
      <c r="D81" s="111"/>
      <c r="E81" s="111"/>
      <c r="F81" s="111"/>
      <c r="G81" s="111"/>
      <c r="H81" s="111"/>
      <c r="I81" s="112"/>
    </row>
    <row r="82" spans="1:9" ht="18.75" customHeight="1" x14ac:dyDescent="0.15">
      <c r="A82" s="1"/>
      <c r="B82" s="110"/>
      <c r="C82" s="111"/>
      <c r="D82" s="111"/>
      <c r="E82" s="111"/>
      <c r="F82" s="111"/>
      <c r="G82" s="111"/>
      <c r="H82" s="111"/>
      <c r="I82" s="112"/>
    </row>
    <row r="83" spans="1:9" ht="18.75" customHeight="1" x14ac:dyDescent="0.15">
      <c r="A83" s="1"/>
      <c r="B83" s="110"/>
      <c r="C83" s="111"/>
      <c r="D83" s="111"/>
      <c r="E83" s="111"/>
      <c r="F83" s="111"/>
      <c r="G83" s="111"/>
      <c r="H83" s="111"/>
      <c r="I83" s="112"/>
    </row>
    <row r="84" spans="1:9" ht="18.75" customHeight="1" x14ac:dyDescent="0.15">
      <c r="A84" s="1"/>
      <c r="B84" s="110"/>
      <c r="C84" s="111"/>
      <c r="D84" s="111"/>
      <c r="E84" s="111"/>
      <c r="F84" s="111"/>
      <c r="G84" s="111"/>
      <c r="H84" s="111"/>
      <c r="I84" s="112"/>
    </row>
    <row r="85" spans="1:9" ht="18.75" customHeight="1" x14ac:dyDescent="0.15">
      <c r="A85" s="1"/>
      <c r="B85" s="110"/>
      <c r="C85" s="111"/>
      <c r="D85" s="111"/>
      <c r="E85" s="111"/>
      <c r="F85" s="111"/>
      <c r="G85" s="111"/>
      <c r="H85" s="111"/>
      <c r="I85" s="112"/>
    </row>
    <row r="86" spans="1:9" ht="18.75" customHeight="1" x14ac:dyDescent="0.15">
      <c r="A86" s="1"/>
      <c r="B86" s="110"/>
      <c r="C86" s="111"/>
      <c r="D86" s="111"/>
      <c r="E86" s="111"/>
      <c r="F86" s="111"/>
      <c r="G86" s="111"/>
      <c r="H86" s="111"/>
      <c r="I86" s="112"/>
    </row>
    <row r="87" spans="1:9" ht="18.75" customHeight="1" x14ac:dyDescent="0.15">
      <c r="A87" s="1"/>
      <c r="B87" s="110"/>
      <c r="C87" s="111"/>
      <c r="D87" s="111"/>
      <c r="E87" s="111"/>
      <c r="F87" s="111"/>
      <c r="G87" s="111"/>
      <c r="H87" s="111"/>
      <c r="I87" s="112"/>
    </row>
    <row r="88" spans="1:9" ht="18.75" customHeight="1" x14ac:dyDescent="0.15">
      <c r="A88" s="1"/>
      <c r="B88" s="110"/>
      <c r="C88" s="111"/>
      <c r="D88" s="111"/>
      <c r="E88" s="111"/>
      <c r="F88" s="111"/>
      <c r="G88" s="111"/>
      <c r="H88" s="111"/>
      <c r="I88" s="112"/>
    </row>
    <row r="89" spans="1:9" ht="18.75" customHeight="1" x14ac:dyDescent="0.15">
      <c r="A89" s="1"/>
      <c r="B89" s="110"/>
      <c r="C89" s="111"/>
      <c r="D89" s="111"/>
      <c r="E89" s="111"/>
      <c r="F89" s="111"/>
      <c r="G89" s="111"/>
      <c r="H89" s="111"/>
      <c r="I89" s="112"/>
    </row>
    <row r="90" spans="1:9" ht="18.75" customHeight="1" x14ac:dyDescent="0.15">
      <c r="A90" s="4"/>
      <c r="B90" s="110"/>
      <c r="C90" s="111"/>
      <c r="D90" s="111"/>
      <c r="E90" s="111"/>
      <c r="F90" s="111"/>
      <c r="G90" s="111"/>
      <c r="H90" s="111"/>
      <c r="I90" s="112"/>
    </row>
    <row r="91" spans="1:9" ht="18.75" customHeight="1" x14ac:dyDescent="0.15">
      <c r="A91" s="4"/>
      <c r="B91" s="113"/>
      <c r="C91" s="114"/>
      <c r="D91" s="114"/>
      <c r="E91" s="114"/>
      <c r="F91" s="114"/>
      <c r="G91" s="114"/>
      <c r="H91" s="114"/>
      <c r="I91" s="115"/>
    </row>
    <row r="92" spans="1:9" ht="7.5" customHeight="1" x14ac:dyDescent="0.15">
      <c r="A92" s="4"/>
      <c r="B92" s="4"/>
      <c r="C92" s="4"/>
      <c r="D92" s="4"/>
      <c r="E92" s="4"/>
      <c r="F92" s="4"/>
      <c r="G92" s="4"/>
      <c r="H92" s="4"/>
      <c r="I92" s="4"/>
    </row>
    <row r="93" spans="1:9" ht="18.75" customHeight="1" x14ac:dyDescent="0.15">
      <c r="A93" s="1" t="s">
        <v>43</v>
      </c>
      <c r="B93" s="1" t="s">
        <v>12</v>
      </c>
    </row>
    <row r="94" spans="1:9" ht="18.75" customHeight="1" x14ac:dyDescent="0.15">
      <c r="A94" s="1"/>
      <c r="B94" s="98" t="s">
        <v>179</v>
      </c>
      <c r="C94" s="99"/>
      <c r="D94" s="99"/>
      <c r="E94" s="99"/>
      <c r="F94" s="99"/>
      <c r="G94" s="99"/>
      <c r="H94" s="99"/>
      <c r="I94" s="127"/>
    </row>
    <row r="95" spans="1:9" ht="18.75" customHeight="1" x14ac:dyDescent="0.15">
      <c r="A95" s="1"/>
      <c r="B95" s="128"/>
      <c r="C95" s="129"/>
      <c r="D95" s="129"/>
      <c r="E95" s="129"/>
      <c r="F95" s="129"/>
      <c r="G95" s="129"/>
      <c r="H95" s="129"/>
      <c r="I95" s="130"/>
    </row>
    <row r="96" spans="1:9" ht="18.75" customHeight="1" x14ac:dyDescent="0.15">
      <c r="A96" s="1"/>
      <c r="B96" s="128"/>
      <c r="C96" s="129"/>
      <c r="D96" s="129"/>
      <c r="E96" s="129"/>
      <c r="F96" s="129"/>
      <c r="G96" s="129"/>
      <c r="H96" s="129"/>
      <c r="I96" s="130"/>
    </row>
    <row r="97" spans="1:9" ht="18.75" customHeight="1" x14ac:dyDescent="0.15">
      <c r="A97" s="1"/>
      <c r="B97" s="128"/>
      <c r="C97" s="129"/>
      <c r="D97" s="129"/>
      <c r="E97" s="129"/>
      <c r="F97" s="129"/>
      <c r="G97" s="129"/>
      <c r="H97" s="129"/>
      <c r="I97" s="130"/>
    </row>
    <row r="98" spans="1:9" ht="18.75" customHeight="1" x14ac:dyDescent="0.15">
      <c r="A98" s="1"/>
      <c r="B98" s="128"/>
      <c r="C98" s="129"/>
      <c r="D98" s="129"/>
      <c r="E98" s="129"/>
      <c r="F98" s="129"/>
      <c r="G98" s="129"/>
      <c r="H98" s="129"/>
      <c r="I98" s="130"/>
    </row>
    <row r="99" spans="1:9" ht="18.75" customHeight="1" x14ac:dyDescent="0.15">
      <c r="A99" s="1"/>
      <c r="B99" s="128"/>
      <c r="C99" s="129"/>
      <c r="D99" s="129"/>
      <c r="E99" s="129"/>
      <c r="F99" s="129"/>
      <c r="G99" s="129"/>
      <c r="H99" s="129"/>
      <c r="I99" s="130"/>
    </row>
    <row r="100" spans="1:9" ht="18.75" customHeight="1" x14ac:dyDescent="0.15">
      <c r="A100" s="1"/>
      <c r="B100" s="128"/>
      <c r="C100" s="129"/>
      <c r="D100" s="129"/>
      <c r="E100" s="129"/>
      <c r="F100" s="129"/>
      <c r="G100" s="129"/>
      <c r="H100" s="129"/>
      <c r="I100" s="130"/>
    </row>
    <row r="101" spans="1:9" ht="18.75" customHeight="1" x14ac:dyDescent="0.15">
      <c r="A101" s="1"/>
      <c r="B101" s="128"/>
      <c r="C101" s="129"/>
      <c r="D101" s="129"/>
      <c r="E101" s="129"/>
      <c r="F101" s="129"/>
      <c r="G101" s="129"/>
      <c r="H101" s="129"/>
      <c r="I101" s="130"/>
    </row>
    <row r="102" spans="1:9" ht="18.75" customHeight="1" x14ac:dyDescent="0.15">
      <c r="A102" s="1"/>
      <c r="B102" s="128"/>
      <c r="C102" s="129"/>
      <c r="D102" s="129"/>
      <c r="E102" s="129"/>
      <c r="F102" s="129"/>
      <c r="G102" s="129"/>
      <c r="H102" s="129"/>
      <c r="I102" s="130"/>
    </row>
    <row r="103" spans="1:9" ht="18.75" customHeight="1" x14ac:dyDescent="0.15">
      <c r="A103" s="1"/>
      <c r="B103" s="128"/>
      <c r="C103" s="129"/>
      <c r="D103" s="129"/>
      <c r="E103" s="129"/>
      <c r="F103" s="129"/>
      <c r="G103" s="129"/>
      <c r="H103" s="129"/>
      <c r="I103" s="130"/>
    </row>
    <row r="104" spans="1:9" ht="18.75" customHeight="1" x14ac:dyDescent="0.15">
      <c r="A104" s="1"/>
      <c r="B104" s="128"/>
      <c r="C104" s="129"/>
      <c r="D104" s="129"/>
      <c r="E104" s="129"/>
      <c r="F104" s="129"/>
      <c r="G104" s="129"/>
      <c r="H104" s="129"/>
      <c r="I104" s="130"/>
    </row>
    <row r="105" spans="1:9" ht="18.75" customHeight="1" x14ac:dyDescent="0.15">
      <c r="A105" s="4"/>
      <c r="B105" s="131"/>
      <c r="C105" s="132"/>
      <c r="D105" s="132"/>
      <c r="E105" s="132"/>
      <c r="F105" s="132"/>
      <c r="G105" s="132"/>
      <c r="H105" s="132"/>
      <c r="I105" s="133"/>
    </row>
    <row r="106" spans="1:9" ht="7.5" customHeight="1" x14ac:dyDescent="0.15">
      <c r="A106" s="4"/>
      <c r="B106" s="4"/>
      <c r="C106" s="4"/>
      <c r="D106" s="4"/>
      <c r="E106" s="4"/>
      <c r="F106" s="4"/>
      <c r="G106" s="4"/>
      <c r="H106" s="4"/>
      <c r="I106" s="4"/>
    </row>
    <row r="107" spans="1:9" ht="18.75" customHeight="1" x14ac:dyDescent="0.15">
      <c r="A107" s="1" t="s">
        <v>29</v>
      </c>
      <c r="B107" s="134" t="s">
        <v>45</v>
      </c>
      <c r="C107" s="134"/>
      <c r="D107" s="134"/>
      <c r="E107" s="134"/>
      <c r="F107" s="134"/>
      <c r="G107" s="134"/>
      <c r="H107" s="134"/>
      <c r="I107" s="134"/>
    </row>
    <row r="108" spans="1:9" ht="18.75" customHeight="1" x14ac:dyDescent="0.15">
      <c r="A108" s="4"/>
      <c r="B108" s="98" t="s">
        <v>180</v>
      </c>
      <c r="C108" s="99"/>
      <c r="D108" s="99"/>
      <c r="E108" s="99"/>
      <c r="F108" s="99"/>
      <c r="G108" s="99"/>
      <c r="H108" s="99"/>
      <c r="I108" s="127"/>
    </row>
    <row r="109" spans="1:9" ht="18.75" customHeight="1" x14ac:dyDescent="0.15">
      <c r="A109" s="4"/>
      <c r="B109" s="128"/>
      <c r="C109" s="129"/>
      <c r="D109" s="129"/>
      <c r="E109" s="129"/>
      <c r="F109" s="129"/>
      <c r="G109" s="129"/>
      <c r="H109" s="129"/>
      <c r="I109" s="130"/>
    </row>
    <row r="110" spans="1:9" ht="18.75" customHeight="1" x14ac:dyDescent="0.15">
      <c r="A110" s="4"/>
      <c r="B110" s="128"/>
      <c r="C110" s="129"/>
      <c r="D110" s="129"/>
      <c r="E110" s="129"/>
      <c r="F110" s="129"/>
      <c r="G110" s="129"/>
      <c r="H110" s="129"/>
      <c r="I110" s="130"/>
    </row>
    <row r="111" spans="1:9" ht="18.75" customHeight="1" x14ac:dyDescent="0.15">
      <c r="A111" s="4"/>
      <c r="B111" s="128"/>
      <c r="C111" s="129"/>
      <c r="D111" s="129"/>
      <c r="E111" s="129"/>
      <c r="F111" s="129"/>
      <c r="G111" s="129"/>
      <c r="H111" s="129"/>
      <c r="I111" s="130"/>
    </row>
    <row r="112" spans="1:9" ht="18.75" customHeight="1" x14ac:dyDescent="0.15">
      <c r="A112" s="4"/>
      <c r="B112" s="128"/>
      <c r="C112" s="129"/>
      <c r="D112" s="129"/>
      <c r="E112" s="129"/>
      <c r="F112" s="129"/>
      <c r="G112" s="129"/>
      <c r="H112" s="129"/>
      <c r="I112" s="130"/>
    </row>
    <row r="113" spans="1:9" ht="18.75" customHeight="1" x14ac:dyDescent="0.15">
      <c r="A113" s="4"/>
      <c r="B113" s="128"/>
      <c r="C113" s="129"/>
      <c r="D113" s="129"/>
      <c r="E113" s="129"/>
      <c r="F113" s="129"/>
      <c r="G113" s="129"/>
      <c r="H113" s="129"/>
      <c r="I113" s="130"/>
    </row>
    <row r="114" spans="1:9" ht="18.75" customHeight="1" x14ac:dyDescent="0.15">
      <c r="A114" s="4"/>
      <c r="B114" s="128"/>
      <c r="C114" s="129"/>
      <c r="D114" s="129"/>
      <c r="E114" s="129"/>
      <c r="F114" s="129"/>
      <c r="G114" s="129"/>
      <c r="H114" s="129"/>
      <c r="I114" s="130"/>
    </row>
    <row r="115" spans="1:9" ht="18.75" customHeight="1" x14ac:dyDescent="0.15">
      <c r="A115" s="4"/>
      <c r="B115" s="128"/>
      <c r="C115" s="129"/>
      <c r="D115" s="129"/>
      <c r="E115" s="129"/>
      <c r="F115" s="129"/>
      <c r="G115" s="129"/>
      <c r="H115" s="129"/>
      <c r="I115" s="130"/>
    </row>
    <row r="116" spans="1:9" ht="18.75" customHeight="1" x14ac:dyDescent="0.15">
      <c r="A116" s="4"/>
      <c r="B116" s="128"/>
      <c r="C116" s="129"/>
      <c r="D116" s="129"/>
      <c r="E116" s="129"/>
      <c r="F116" s="129"/>
      <c r="G116" s="129"/>
      <c r="H116" s="129"/>
      <c r="I116" s="130"/>
    </row>
    <row r="117" spans="1:9" ht="18.75" customHeight="1" x14ac:dyDescent="0.15">
      <c r="A117" s="4"/>
      <c r="B117" s="128"/>
      <c r="C117" s="129"/>
      <c r="D117" s="129"/>
      <c r="E117" s="129"/>
      <c r="F117" s="129"/>
      <c r="G117" s="129"/>
      <c r="H117" s="129"/>
      <c r="I117" s="130"/>
    </row>
    <row r="118" spans="1:9" ht="18.75" customHeight="1" x14ac:dyDescent="0.15">
      <c r="A118" s="4"/>
      <c r="B118" s="128"/>
      <c r="C118" s="129"/>
      <c r="D118" s="129"/>
      <c r="E118" s="129"/>
      <c r="F118" s="129"/>
      <c r="G118" s="129"/>
      <c r="H118" s="129"/>
      <c r="I118" s="130"/>
    </row>
    <row r="119" spans="1:9" ht="18.75" customHeight="1" x14ac:dyDescent="0.15">
      <c r="A119" s="4"/>
      <c r="B119" s="131"/>
      <c r="C119" s="132"/>
      <c r="D119" s="132"/>
      <c r="E119" s="132"/>
      <c r="F119" s="132"/>
      <c r="G119" s="132"/>
      <c r="H119" s="132"/>
      <c r="I119" s="133"/>
    </row>
    <row r="120" spans="1:9" ht="7.5" customHeight="1" x14ac:dyDescent="0.15">
      <c r="A120" s="4"/>
      <c r="B120" s="31"/>
      <c r="C120" s="31"/>
      <c r="D120" s="31"/>
      <c r="E120" s="31"/>
      <c r="F120" s="31"/>
      <c r="G120" s="31"/>
      <c r="H120" s="31"/>
      <c r="I120" s="31"/>
    </row>
    <row r="121" spans="1:9" ht="18.75" customHeight="1" x14ac:dyDescent="0.15">
      <c r="A121" s="4"/>
      <c r="B121" s="4"/>
      <c r="C121" s="4"/>
      <c r="D121" s="4"/>
      <c r="E121" s="4"/>
      <c r="F121" s="4"/>
      <c r="G121" s="4"/>
      <c r="H121" s="4"/>
      <c r="I121" s="4"/>
    </row>
    <row r="122" spans="1:9" ht="18.75" customHeight="1" x14ac:dyDescent="0.15">
      <c r="A122" s="4"/>
      <c r="B122" s="4"/>
      <c r="C122" s="4"/>
      <c r="D122" s="4"/>
      <c r="E122" s="4"/>
      <c r="F122" s="4"/>
      <c r="G122" s="4"/>
      <c r="H122" s="4"/>
      <c r="I122" s="4"/>
    </row>
    <row r="123" spans="1:9" ht="18.75" customHeight="1" x14ac:dyDescent="0.15">
      <c r="A123" s="4"/>
      <c r="B123" s="4"/>
      <c r="C123" s="4"/>
      <c r="D123" s="4"/>
      <c r="E123" s="4"/>
      <c r="F123" s="4"/>
      <c r="G123" s="4"/>
      <c r="H123" s="4"/>
      <c r="I123" s="4"/>
    </row>
    <row r="124" spans="1:9" ht="18.75" customHeight="1" x14ac:dyDescent="0.15">
      <c r="A124" s="4"/>
      <c r="B124" s="4"/>
      <c r="C124" s="4"/>
      <c r="D124" s="4"/>
      <c r="E124" s="4"/>
      <c r="F124" s="4"/>
      <c r="G124" s="4"/>
      <c r="H124" s="4"/>
      <c r="I124" s="4"/>
    </row>
    <row r="125" spans="1:9" ht="18.75" customHeight="1" x14ac:dyDescent="0.15">
      <c r="A125" s="4"/>
      <c r="B125" s="4"/>
      <c r="C125" s="4"/>
      <c r="D125" s="4"/>
      <c r="E125" s="4"/>
      <c r="F125" s="4"/>
      <c r="G125" s="4"/>
      <c r="H125" s="4"/>
      <c r="I125" s="4"/>
    </row>
    <row r="126" spans="1:9" ht="18.75" customHeight="1" x14ac:dyDescent="0.15">
      <c r="A126" s="4"/>
      <c r="B126" s="4"/>
      <c r="C126" s="4"/>
      <c r="D126" s="4"/>
      <c r="E126" s="4"/>
      <c r="F126" s="4"/>
      <c r="G126" s="4"/>
      <c r="H126" s="4"/>
      <c r="I126" s="4"/>
    </row>
    <row r="127" spans="1:9" ht="18.75" customHeight="1" x14ac:dyDescent="0.15">
      <c r="A127" s="4"/>
      <c r="B127" s="4"/>
      <c r="C127" s="4"/>
      <c r="D127" s="4"/>
      <c r="E127" s="4"/>
      <c r="F127" s="4"/>
      <c r="G127" s="4"/>
      <c r="H127" s="4"/>
      <c r="I127" s="4"/>
    </row>
    <row r="128" spans="1:9" ht="18.75" customHeight="1" x14ac:dyDescent="0.15">
      <c r="A128" s="4"/>
      <c r="B128" s="4"/>
      <c r="C128" s="4"/>
      <c r="D128" s="4"/>
      <c r="E128" s="4"/>
      <c r="F128" s="4"/>
      <c r="G128" s="4"/>
      <c r="H128" s="4"/>
      <c r="I128" s="4"/>
    </row>
    <row r="129" spans="1:9" ht="18.75" customHeight="1" x14ac:dyDescent="0.15">
      <c r="A129" s="4"/>
      <c r="B129" s="4"/>
      <c r="C129" s="4"/>
      <c r="D129" s="4"/>
      <c r="E129" s="4"/>
      <c r="F129" s="4"/>
      <c r="G129" s="4"/>
      <c r="H129" s="4"/>
      <c r="I129" s="4"/>
    </row>
    <row r="130" spans="1:9" ht="18.75" customHeight="1" x14ac:dyDescent="0.15">
      <c r="A130" s="4"/>
      <c r="B130" s="4"/>
      <c r="C130" s="4"/>
      <c r="D130" s="4"/>
      <c r="E130" s="4"/>
      <c r="F130" s="4"/>
      <c r="G130" s="4"/>
      <c r="H130" s="4"/>
      <c r="I130" s="4"/>
    </row>
    <row r="131" spans="1:9" ht="18.75" customHeight="1" x14ac:dyDescent="0.15">
      <c r="A131" s="4"/>
      <c r="B131" s="4"/>
      <c r="C131" s="4"/>
      <c r="D131" s="4"/>
      <c r="E131" s="4"/>
      <c r="F131" s="4"/>
      <c r="G131" s="4"/>
      <c r="H131" s="4"/>
      <c r="I131" s="4"/>
    </row>
    <row r="132" spans="1:9" ht="18.75" customHeight="1" x14ac:dyDescent="0.15">
      <c r="A132" s="4"/>
      <c r="B132" s="4"/>
      <c r="C132" s="4"/>
      <c r="D132" s="4"/>
      <c r="E132" s="4"/>
      <c r="F132" s="4"/>
      <c r="G132" s="4"/>
      <c r="H132" s="4"/>
      <c r="I132" s="4"/>
    </row>
    <row r="133" spans="1:9" ht="14.25" x14ac:dyDescent="0.15">
      <c r="A133" s="4"/>
      <c r="B133" s="4"/>
      <c r="C133" s="4"/>
      <c r="D133" s="4"/>
      <c r="E133" s="4"/>
      <c r="F133" s="4"/>
      <c r="G133" s="4"/>
      <c r="H133" s="4"/>
      <c r="I133" s="4"/>
    </row>
    <row r="134" spans="1:9" ht="7.5" customHeight="1" x14ac:dyDescent="0.15">
      <c r="A134" s="32"/>
      <c r="B134" s="32"/>
      <c r="C134" s="32"/>
      <c r="D134" s="32"/>
      <c r="E134" s="32"/>
      <c r="F134" s="32"/>
      <c r="G134" s="32"/>
      <c r="H134" s="32"/>
      <c r="I134" s="32"/>
    </row>
  </sheetData>
  <mergeCells count="22">
    <mergeCell ref="B94:I105"/>
    <mergeCell ref="B107:I107"/>
    <mergeCell ref="B108:I119"/>
    <mergeCell ref="H2:I2"/>
    <mergeCell ref="A4:I4"/>
    <mergeCell ref="B19:I19"/>
    <mergeCell ref="B22:I32"/>
    <mergeCell ref="B35:I46"/>
    <mergeCell ref="B51:I51"/>
    <mergeCell ref="B14:I14"/>
    <mergeCell ref="C16:E16"/>
    <mergeCell ref="H16:I16"/>
    <mergeCell ref="C11:E11"/>
    <mergeCell ref="H11:I11"/>
    <mergeCell ref="C6:D6"/>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firstPageNumber="7" fitToHeight="0" orientation="portrait" useFirstPageNumber="1" r:id="rId1"/>
  <headerFooter>
    <oddHeader>&amp;C数理・データサイエンス・AI教育プログラム認定制度【リテラシーレベル】</oddHeader>
    <oddFooter>&amp;C&amp;12&amp;P</oddFooter>
  </headerFooter>
  <rowBreaks count="2" manualBreakCount="2">
    <brk id="47" max="9" man="1"/>
    <brk id="92" max="9"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30"/>
  <sheetViews>
    <sheetView showZeros="0" view="pageBreakPreview" zoomScale="106" zoomScaleNormal="100" zoomScaleSheetLayoutView="106" workbookViewId="0">
      <selection activeCell="I5" sqref="I5"/>
    </sheetView>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x14ac:dyDescent="0.15">
      <c r="A1" s="1" t="s">
        <v>70</v>
      </c>
      <c r="I1" s="21" t="s">
        <v>104</v>
      </c>
    </row>
    <row r="2" spans="1:9" ht="18.75" customHeight="1" x14ac:dyDescent="0.15">
      <c r="H2" s="21" t="s">
        <v>108</v>
      </c>
      <c r="I2" s="20" t="e">
        <f>#REF!</f>
        <v>#REF!</v>
      </c>
    </row>
    <row r="3" spans="1:9" ht="18.75" customHeight="1" x14ac:dyDescent="0.15">
      <c r="A3" s="70" t="s">
        <v>27</v>
      </c>
      <c r="B3" s="70"/>
      <c r="C3" s="70"/>
      <c r="D3" s="70"/>
      <c r="E3" s="70"/>
      <c r="F3" s="70"/>
      <c r="G3" s="70"/>
      <c r="H3" s="70"/>
      <c r="I3" s="70"/>
    </row>
    <row r="4" spans="1:9" ht="18.75" customHeight="1" x14ac:dyDescent="0.15">
      <c r="A4" s="5"/>
      <c r="B4" s="5"/>
      <c r="C4" s="5"/>
      <c r="D4" s="5"/>
      <c r="E4" s="5"/>
      <c r="F4" s="5"/>
      <c r="G4" s="5"/>
      <c r="H4" s="5"/>
      <c r="I4" s="5"/>
    </row>
    <row r="5" spans="1:9" ht="18.75" customHeight="1" x14ac:dyDescent="0.15">
      <c r="A5" s="1" t="s">
        <v>0</v>
      </c>
      <c r="B5" s="10" t="s">
        <v>94</v>
      </c>
      <c r="C5" s="5"/>
      <c r="D5" s="5"/>
      <c r="E5" s="5"/>
      <c r="F5" s="5"/>
      <c r="G5" s="5"/>
      <c r="H5" s="5"/>
      <c r="I5" s="5"/>
    </row>
    <row r="6" spans="1:9" ht="26.25" customHeight="1" x14ac:dyDescent="0.15">
      <c r="A6" s="5"/>
      <c r="B6" s="141" t="s">
        <v>161</v>
      </c>
      <c r="C6" s="167"/>
      <c r="D6" s="167"/>
      <c r="E6" s="167"/>
      <c r="F6" s="167"/>
      <c r="G6" s="167"/>
      <c r="H6" s="168"/>
      <c r="I6" s="3"/>
    </row>
    <row r="7" spans="1:9" ht="9" customHeight="1" x14ac:dyDescent="0.15">
      <c r="A7" s="5"/>
      <c r="B7" s="10"/>
      <c r="C7" s="10"/>
      <c r="D7" s="10"/>
      <c r="E7" s="10"/>
      <c r="F7" s="10"/>
      <c r="G7" s="10"/>
      <c r="H7" s="10"/>
      <c r="I7" s="3"/>
    </row>
    <row r="8" spans="1:9" ht="18.75" customHeight="1" x14ac:dyDescent="0.15">
      <c r="A8" s="5"/>
      <c r="B8" s="3"/>
      <c r="C8" s="3"/>
      <c r="D8" s="21" t="s">
        <v>42</v>
      </c>
      <c r="E8" s="22" t="s">
        <v>162</v>
      </c>
      <c r="F8" s="3"/>
      <c r="G8" s="21" t="s">
        <v>10</v>
      </c>
      <c r="H8" s="22" t="s">
        <v>163</v>
      </c>
      <c r="I8" s="3"/>
    </row>
    <row r="9" spans="1:9" ht="7.5" customHeight="1" x14ac:dyDescent="0.15">
      <c r="A9" s="5"/>
      <c r="B9" s="5"/>
      <c r="C9" s="5"/>
      <c r="D9" s="5"/>
      <c r="E9" s="5"/>
      <c r="F9" s="5"/>
      <c r="G9" s="5"/>
      <c r="H9" s="5"/>
      <c r="I9" s="5"/>
    </row>
    <row r="10" spans="1:9" ht="18.75" customHeight="1" x14ac:dyDescent="0.15">
      <c r="A10" s="1" t="s">
        <v>3</v>
      </c>
      <c r="B10" s="1" t="s">
        <v>26</v>
      </c>
      <c r="C10" s="4"/>
      <c r="D10" s="4"/>
      <c r="E10" s="4"/>
      <c r="F10" s="4"/>
      <c r="G10" s="4"/>
      <c r="H10" s="4"/>
      <c r="I10" s="4"/>
    </row>
    <row r="11" spans="1:9" ht="18.75" customHeight="1" x14ac:dyDescent="0.15">
      <c r="B11" s="66" t="s">
        <v>23</v>
      </c>
      <c r="C11" s="68"/>
      <c r="D11" s="67"/>
      <c r="E11" s="68" t="s">
        <v>25</v>
      </c>
      <c r="F11" s="68"/>
      <c r="G11" s="68"/>
      <c r="H11" s="68"/>
      <c r="I11" s="67"/>
    </row>
    <row r="12" spans="1:9" ht="26.25" customHeight="1" x14ac:dyDescent="0.15">
      <c r="B12" s="33" t="s">
        <v>13</v>
      </c>
      <c r="C12" s="40"/>
      <c r="D12" s="34"/>
      <c r="E12" s="41"/>
      <c r="F12" s="41"/>
      <c r="G12" s="41"/>
      <c r="H12" s="41"/>
      <c r="I12" s="34"/>
    </row>
    <row r="13" spans="1:9" ht="210.75" customHeight="1" x14ac:dyDescent="0.15">
      <c r="B13" s="35"/>
      <c r="C13" s="150" t="s">
        <v>14</v>
      </c>
      <c r="D13" s="151"/>
      <c r="E13" s="163" t="s">
        <v>175</v>
      </c>
      <c r="F13" s="152"/>
      <c r="G13" s="152"/>
      <c r="H13" s="152"/>
      <c r="I13" s="153"/>
    </row>
    <row r="14" spans="1:9" ht="210.75" customHeight="1" x14ac:dyDescent="0.15">
      <c r="B14" s="35"/>
      <c r="C14" s="165" t="s">
        <v>15</v>
      </c>
      <c r="D14" s="166"/>
      <c r="E14" s="163" t="s">
        <v>182</v>
      </c>
      <c r="F14" s="152"/>
      <c r="G14" s="152"/>
      <c r="H14" s="152"/>
      <c r="I14" s="153"/>
    </row>
    <row r="15" spans="1:9" ht="210.75" customHeight="1" x14ac:dyDescent="0.15">
      <c r="B15" s="35"/>
      <c r="C15" s="150" t="s">
        <v>16</v>
      </c>
      <c r="D15" s="151"/>
      <c r="E15" s="163" t="s">
        <v>185</v>
      </c>
      <c r="F15" s="152"/>
      <c r="G15" s="152"/>
      <c r="H15" s="152"/>
      <c r="I15" s="153"/>
    </row>
    <row r="16" spans="1:9" ht="210.75" customHeight="1" x14ac:dyDescent="0.15">
      <c r="B16" s="35"/>
      <c r="C16" s="150" t="s">
        <v>17</v>
      </c>
      <c r="D16" s="151"/>
      <c r="E16" s="163" t="s">
        <v>183</v>
      </c>
      <c r="F16" s="152"/>
      <c r="G16" s="152"/>
      <c r="H16" s="152"/>
      <c r="I16" s="153"/>
    </row>
    <row r="17" spans="2:9" ht="210.75" customHeight="1" x14ac:dyDescent="0.15">
      <c r="B17" s="36"/>
      <c r="C17" s="154" t="s">
        <v>18</v>
      </c>
      <c r="D17" s="155"/>
      <c r="E17" s="164" t="s">
        <v>172</v>
      </c>
      <c r="F17" s="156"/>
      <c r="G17" s="156"/>
      <c r="H17" s="156"/>
      <c r="I17" s="157"/>
    </row>
    <row r="18" spans="2:9" ht="24" customHeight="1" x14ac:dyDescent="0.15">
      <c r="B18" s="33" t="s">
        <v>19</v>
      </c>
      <c r="C18" s="37"/>
      <c r="D18" s="38"/>
      <c r="E18" s="39"/>
      <c r="F18" s="39"/>
      <c r="G18" s="39"/>
      <c r="H18" s="39"/>
      <c r="I18" s="42"/>
    </row>
    <row r="19" spans="2:9" ht="218.25" customHeight="1" x14ac:dyDescent="0.15">
      <c r="B19" s="35"/>
      <c r="C19" s="150" t="s">
        <v>20</v>
      </c>
      <c r="D19" s="151"/>
      <c r="E19" s="152" t="s">
        <v>173</v>
      </c>
      <c r="F19" s="152"/>
      <c r="G19" s="152"/>
      <c r="H19" s="152"/>
      <c r="I19" s="153"/>
    </row>
    <row r="20" spans="2:9" ht="218.25" customHeight="1" x14ac:dyDescent="0.15">
      <c r="B20" s="36"/>
      <c r="C20" s="154" t="s">
        <v>21</v>
      </c>
      <c r="D20" s="155"/>
      <c r="E20" s="156" t="s">
        <v>177</v>
      </c>
      <c r="F20" s="156"/>
      <c r="G20" s="156"/>
      <c r="H20" s="156"/>
      <c r="I20" s="157"/>
    </row>
    <row r="21" spans="2:9" ht="218.25" customHeight="1" x14ac:dyDescent="0.15">
      <c r="B21" s="158" t="s">
        <v>22</v>
      </c>
      <c r="C21" s="159"/>
      <c r="D21" s="160"/>
      <c r="E21" s="161" t="s">
        <v>184</v>
      </c>
      <c r="F21" s="161"/>
      <c r="G21" s="161"/>
      <c r="H21" s="161"/>
      <c r="I21" s="162"/>
    </row>
    <row r="22" spans="2:9" ht="218.25" customHeight="1" x14ac:dyDescent="0.15">
      <c r="B22" s="147" t="s">
        <v>37</v>
      </c>
      <c r="C22" s="148"/>
      <c r="D22" s="149"/>
      <c r="E22" s="105" t="s">
        <v>178</v>
      </c>
      <c r="F22" s="105"/>
      <c r="G22" s="105"/>
      <c r="H22" s="105"/>
      <c r="I22" s="106"/>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5"/>
      <c r="C28" s="15"/>
      <c r="D28" s="15"/>
      <c r="E28" s="15"/>
      <c r="F28" s="15"/>
      <c r="G28" s="15"/>
      <c r="H28" s="15"/>
      <c r="I28" s="15"/>
    </row>
    <row r="29" spans="2:9" ht="22.5" customHeight="1" x14ac:dyDescent="0.15">
      <c r="B29" s="15"/>
      <c r="C29" s="15"/>
      <c r="D29" s="15"/>
      <c r="E29" s="15"/>
      <c r="F29" s="15"/>
      <c r="G29" s="15"/>
      <c r="H29" s="15"/>
      <c r="I29" s="15"/>
    </row>
    <row r="30" spans="2:9" ht="22.5" customHeight="1" x14ac:dyDescent="0.15">
      <c r="B30" s="15"/>
      <c r="C30" s="15"/>
      <c r="D30" s="15"/>
      <c r="E30" s="15"/>
      <c r="F30" s="15"/>
      <c r="G30" s="15"/>
      <c r="H30" s="15"/>
      <c r="I30" s="15"/>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2" firstPageNumber="10" fitToHeight="0" orientation="portrait" useFirstPageNumber="1" r:id="rId1"/>
  <headerFooter>
    <oddHeader>&amp;C数理・データサイエンス・AI教育プログラム認定制度【リテラシーレベル】</oddHeader>
    <oddFooter>&amp;C&amp;20&amp;P</oddFoot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★様式１プログラムを構成する授業科目（学部）</vt:lpstr>
      <vt:lpstr>様式２ 履修者等数の実績</vt:lpstr>
      <vt:lpstr>★様式３ 教育の質・履修者数を向上させるための体制・計画</vt:lpstr>
      <vt:lpstr>★様式４　自己点検・評価</vt:lpstr>
      <vt:lpstr>'★様式１プログラムを構成する授業科目（学部）'!Print_Area</vt:lpstr>
      <vt:lpstr>'★様式３ 教育の質・履修者数を向上させるための体制・計画'!Print_Area</vt:lpstr>
      <vt:lpstr>'★様式４　自己点検・評価'!Print_Area</vt:lpstr>
      <vt:lpstr>'様式２ 履修者等数の実績'!Print_Area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Windows ユーザー</cp:lastModifiedBy>
  <cp:lastPrinted>2023-08-04T22:34:50Z</cp:lastPrinted>
  <dcterms:created xsi:type="dcterms:W3CDTF">2011-06-14T05:32:50Z</dcterms:created>
  <dcterms:modified xsi:type="dcterms:W3CDTF">2023-08-04T22:35:19Z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