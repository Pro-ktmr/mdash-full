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defaultThemeVersion="124226"/>
  <mc:AlternateContent xmlns:mc="http://schemas.openxmlformats.org/markup-compatibility/2006">
    <mc:Choice Requires="x15">
      <x15ac:absPath xmlns:x15ac="http://schemas.microsoft.com/office/spreadsheetml/2010/11/ac" url="Z:\B08.情報科学センター運営\数理・データサイエンス・AI教育プログラム認定制度\5_申請様式\R5\②文部科学省提出用\01_専修大学_リテラシー\"/>
    </mc:Choice>
  </mc:AlternateContent>
  <bookViews>
    <workbookView xWindow="0" yWindow="0" windowWidth="15285" windowHeight="435" tabRatio="885"/>
  </bookViews>
  <sheets>
    <sheet name="様式１　プログラムを構成する授業科目" sheetId="39" r:id="rId1"/>
    <sheet name="様式１　プログラムを構成する授業科目　経営学部" sheetId="44" r:id="rId2"/>
    <sheet name="様式１　プログラムを構成する授業科目　商学部" sheetId="43" r:id="rId3"/>
    <sheet name="様式１　プログラムを構成する授業科目　文学部" sheetId="45" r:id="rId4"/>
    <sheet name="様式１　プログラムを構成する授業科目　ネットワーク情報学部" sheetId="46" r:id="rId5"/>
    <sheet name="様式１プログラムを構成する授業科目　国際コミュニケーション学部" sheetId="47" r:id="rId6"/>
    <sheet name="様式２ 履修者等数の実績" sheetId="48" r:id="rId7"/>
    <sheet name="様式３ 教育の質・履修者数を向上させるための体制・計画" sheetId="49" r:id="rId8"/>
    <sheet name="様式４　自己点検・評価" sheetId="50" r:id="rId9"/>
  </sheets>
  <definedNames>
    <definedName name="_xlnm._FilterDatabase" localSheetId="0" hidden="1">'様式１　プログラムを構成する授業科目'!$V$14:$V$16</definedName>
    <definedName name="_xlnm._FilterDatabase" localSheetId="4" hidden="1">'様式１　プログラムを構成する授業科目　ネットワーク情報学部'!$V$14:$V$16</definedName>
    <definedName name="_xlnm._FilterDatabase" localSheetId="1" hidden="1">'様式１　プログラムを構成する授業科目　経営学部'!$V$14:$V$16</definedName>
    <definedName name="_xlnm._FilterDatabase" localSheetId="2" hidden="1">'様式１　プログラムを構成する授業科目　商学部'!$V$14:$V$16</definedName>
    <definedName name="_xlnm._FilterDatabase" localSheetId="3" hidden="1">'様式１　プログラムを構成する授業科目　文学部'!$V$14:$V$16</definedName>
    <definedName name="_xlnm._FilterDatabase" localSheetId="5" hidden="1">'様式１プログラムを構成する授業科目　国際コミュニケーション学部'!$V$14:$V$16</definedName>
    <definedName name="_xlnm._FilterDatabase" localSheetId="6" hidden="1">'様式２ 履修者等数の実績'!#REF!</definedName>
    <definedName name="_xlnm.Print_Area" localSheetId="0">'様式１　プログラムを構成する授業科目'!$A$1:$S$102</definedName>
    <definedName name="_xlnm.Print_Area" localSheetId="4">'様式１　プログラムを構成する授業科目　ネットワーク情報学部'!$A$1:$S$102</definedName>
    <definedName name="_xlnm.Print_Area" localSheetId="1">'様式１　プログラムを構成する授業科目　経営学部'!$A$1:$S$102</definedName>
    <definedName name="_xlnm.Print_Area" localSheetId="2">'様式１　プログラムを構成する授業科目　商学部'!$A$1:$S$102</definedName>
    <definedName name="_xlnm.Print_Area" localSheetId="3">'様式１　プログラムを構成する授業科目　文学部'!$A$1:$S$102</definedName>
    <definedName name="_xlnm.Print_Area" localSheetId="5">'様式１プログラムを構成する授業科目　国際コミュニケーション学部'!$A$1:$S$102</definedName>
    <definedName name="_xlnm.Print_Area" localSheetId="6">'様式２ 履修者等数の実績'!$A$1:$AQ$32</definedName>
    <definedName name="_xlnm.Print_Area" localSheetId="7">'様式３ 教育の質・履修者数を向上させるための体制・計画'!$A$1:$I$120</definedName>
    <definedName name="_xlnm.Print_Area" localSheetId="8">'様式４　自己点検・評価'!$A$1:$I$22</definedName>
    <definedName name="_xlnm.Print_Titles" localSheetId="8">'様式４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0" i="49" l="1"/>
  <c r="C49" i="49"/>
  <c r="I2" i="50" l="1"/>
  <c r="H2" i="49"/>
  <c r="AM2" i="48"/>
  <c r="AO32" i="48" l="1"/>
  <c r="AN32" i="48"/>
  <c r="AM32" i="48"/>
  <c r="AL32" i="48"/>
  <c r="AK32" i="48"/>
  <c r="AI32" i="48"/>
  <c r="AH32" i="48"/>
  <c r="AF32" i="48"/>
  <c r="AE32" i="48"/>
  <c r="AC32" i="48"/>
  <c r="AB32" i="48"/>
  <c r="Z32" i="48"/>
  <c r="Y32" i="48"/>
  <c r="W32" i="48"/>
  <c r="V32" i="48"/>
  <c r="U32" i="48"/>
  <c r="T32" i="48"/>
  <c r="S32" i="48"/>
  <c r="Q32" i="48"/>
  <c r="P32" i="48"/>
  <c r="O32" i="48"/>
  <c r="N32" i="48"/>
  <c r="M32" i="48"/>
  <c r="K32" i="48"/>
  <c r="J32" i="48"/>
  <c r="H32" i="48"/>
  <c r="G32" i="48"/>
  <c r="E32" i="48"/>
  <c r="D32" i="48"/>
  <c r="C32" i="48"/>
  <c r="AM31" i="48"/>
  <c r="AJ31" i="48"/>
  <c r="AG31" i="48"/>
  <c r="AD31" i="48"/>
  <c r="AA31" i="48"/>
  <c r="X31" i="48"/>
  <c r="U31" i="48"/>
  <c r="R31" i="48"/>
  <c r="O31" i="48"/>
  <c r="L31" i="48"/>
  <c r="I31" i="48"/>
  <c r="F31" i="48"/>
  <c r="AP31" i="48" s="1"/>
  <c r="AQ31" i="48" s="1"/>
  <c r="AM30" i="48"/>
  <c r="AJ30" i="48"/>
  <c r="AG30" i="48"/>
  <c r="AD30" i="48"/>
  <c r="AA30" i="48"/>
  <c r="X30" i="48"/>
  <c r="U30" i="48"/>
  <c r="R30" i="48"/>
  <c r="O30" i="48"/>
  <c r="L30" i="48"/>
  <c r="I30" i="48"/>
  <c r="F30" i="48"/>
  <c r="AP30" i="48" s="1"/>
  <c r="AQ30" i="48" s="1"/>
  <c r="AM29" i="48"/>
  <c r="AJ29" i="48"/>
  <c r="AG29" i="48"/>
  <c r="AD29" i="48"/>
  <c r="AA29" i="48"/>
  <c r="X29" i="48"/>
  <c r="U29" i="48"/>
  <c r="R29" i="48"/>
  <c r="AP29" i="48" s="1"/>
  <c r="AQ29" i="48" s="1"/>
  <c r="O29" i="48"/>
  <c r="L29" i="48"/>
  <c r="I29" i="48"/>
  <c r="F29" i="48"/>
  <c r="AM28" i="48"/>
  <c r="AJ28" i="48"/>
  <c r="AG28" i="48"/>
  <c r="AD28" i="48"/>
  <c r="AA28" i="48"/>
  <c r="X28" i="48"/>
  <c r="U28" i="48"/>
  <c r="R28" i="48"/>
  <c r="O28" i="48"/>
  <c r="L28" i="48"/>
  <c r="AP28" i="48" s="1"/>
  <c r="AQ28" i="48" s="1"/>
  <c r="I28" i="48"/>
  <c r="F28" i="48"/>
  <c r="AM27" i="48"/>
  <c r="AJ27" i="48"/>
  <c r="AG27" i="48"/>
  <c r="AD27" i="48"/>
  <c r="AA27" i="48"/>
  <c r="X27" i="48"/>
  <c r="U27" i="48"/>
  <c r="R27" i="48"/>
  <c r="O27" i="48"/>
  <c r="L27" i="48"/>
  <c r="I27" i="48"/>
  <c r="F27" i="48"/>
  <c r="AP27" i="48" s="1"/>
  <c r="AQ27" i="48" s="1"/>
  <c r="AM26" i="48"/>
  <c r="AJ26" i="48"/>
  <c r="AG26" i="48"/>
  <c r="AD26" i="48"/>
  <c r="AA26" i="48"/>
  <c r="X26" i="48"/>
  <c r="U26" i="48"/>
  <c r="R26" i="48"/>
  <c r="O26" i="48"/>
  <c r="L26" i="48"/>
  <c r="I26" i="48"/>
  <c r="F26" i="48"/>
  <c r="AP26" i="48" s="1"/>
  <c r="AQ26" i="48" s="1"/>
  <c r="AP25" i="48"/>
  <c r="AQ25" i="48" s="1"/>
  <c r="AM25" i="48"/>
  <c r="AJ25" i="48"/>
  <c r="AG25" i="48"/>
  <c r="AD25" i="48"/>
  <c r="AA25" i="48"/>
  <c r="X25" i="48"/>
  <c r="U25" i="48"/>
  <c r="R25" i="48"/>
  <c r="O25" i="48"/>
  <c r="L25" i="48"/>
  <c r="I25" i="48"/>
  <c r="F25" i="48"/>
  <c r="AM24" i="48"/>
  <c r="AJ24" i="48"/>
  <c r="AG24" i="48"/>
  <c r="AD24" i="48"/>
  <c r="AA24" i="48"/>
  <c r="X24" i="48"/>
  <c r="U24" i="48"/>
  <c r="R24" i="48"/>
  <c r="O24" i="48"/>
  <c r="L24" i="48"/>
  <c r="AP24" i="48" s="1"/>
  <c r="AQ24" i="48" s="1"/>
  <c r="I24" i="48"/>
  <c r="F24" i="48"/>
  <c r="AM23" i="48"/>
  <c r="AJ23" i="48"/>
  <c r="AG23" i="48"/>
  <c r="AD23" i="48"/>
  <c r="AA23" i="48"/>
  <c r="X23" i="48"/>
  <c r="U23" i="48"/>
  <c r="R23" i="48"/>
  <c r="O23" i="48"/>
  <c r="L23" i="48"/>
  <c r="I23" i="48"/>
  <c r="F23" i="48"/>
  <c r="AP23" i="48" s="1"/>
  <c r="AQ23" i="48" s="1"/>
  <c r="AM22" i="48"/>
  <c r="AJ22" i="48"/>
  <c r="AG22" i="48"/>
  <c r="AD22" i="48"/>
  <c r="AA22" i="48"/>
  <c r="X22" i="48"/>
  <c r="U22" i="48"/>
  <c r="R22" i="48"/>
  <c r="O22" i="48"/>
  <c r="L22" i="48"/>
  <c r="I22" i="48"/>
  <c r="F22" i="48"/>
  <c r="AP22" i="48" s="1"/>
  <c r="AQ22" i="48" s="1"/>
  <c r="AP21" i="48"/>
  <c r="AQ21" i="48" s="1"/>
  <c r="AM21" i="48"/>
  <c r="AJ21" i="48"/>
  <c r="AG21" i="48"/>
  <c r="AD21" i="48"/>
  <c r="AA21" i="48"/>
  <c r="X21" i="48"/>
  <c r="U21" i="48"/>
  <c r="R21" i="48"/>
  <c r="O21" i="48"/>
  <c r="L21" i="48"/>
  <c r="I21" i="48"/>
  <c r="F21" i="48"/>
  <c r="AM20" i="48"/>
  <c r="AJ20" i="48"/>
  <c r="AG20" i="48"/>
  <c r="AD20" i="48"/>
  <c r="AA20" i="48"/>
  <c r="X20" i="48"/>
  <c r="U20" i="48"/>
  <c r="R20" i="48"/>
  <c r="O20" i="48"/>
  <c r="L20" i="48"/>
  <c r="AP20" i="48" s="1"/>
  <c r="AQ20" i="48" s="1"/>
  <c r="I20" i="48"/>
  <c r="I32" i="48" s="1"/>
  <c r="F20" i="48"/>
  <c r="AM19" i="48"/>
  <c r="AJ19" i="48"/>
  <c r="AG19" i="48"/>
  <c r="AD19" i="48"/>
  <c r="AA19" i="48"/>
  <c r="X19" i="48"/>
  <c r="U19" i="48"/>
  <c r="R19" i="48"/>
  <c r="O19" i="48"/>
  <c r="L19" i="48"/>
  <c r="AP19" i="48" s="1"/>
  <c r="AQ19" i="48" s="1"/>
  <c r="AM18" i="48"/>
  <c r="AJ18" i="48"/>
  <c r="AG18" i="48"/>
  <c r="AD18" i="48"/>
  <c r="AA18" i="48"/>
  <c r="X18" i="48"/>
  <c r="U18" i="48"/>
  <c r="R18" i="48"/>
  <c r="AP18" i="48" s="1"/>
  <c r="AQ18" i="48" s="1"/>
  <c r="O18" i="48"/>
  <c r="L18" i="48"/>
  <c r="AM17" i="48"/>
  <c r="AJ17" i="48"/>
  <c r="AG17" i="48"/>
  <c r="AD17" i="48"/>
  <c r="AA17" i="48"/>
  <c r="X17" i="48"/>
  <c r="U17" i="48"/>
  <c r="R17" i="48"/>
  <c r="O17" i="48"/>
  <c r="L17" i="48"/>
  <c r="AP17" i="48" s="1"/>
  <c r="AQ17" i="48" s="1"/>
  <c r="AP16" i="48"/>
  <c r="AQ16" i="48" s="1"/>
  <c r="AM16" i="48"/>
  <c r="AJ16" i="48"/>
  <c r="AG16" i="48"/>
  <c r="AD16" i="48"/>
  <c r="AA16" i="48"/>
  <c r="X16" i="48"/>
  <c r="U16" i="48"/>
  <c r="R16" i="48"/>
  <c r="O16" i="48"/>
  <c r="L16" i="48"/>
  <c r="AM15" i="48"/>
  <c r="AJ15" i="48"/>
  <c r="AG15" i="48"/>
  <c r="AD15" i="48"/>
  <c r="AA15" i="48"/>
  <c r="X15" i="48"/>
  <c r="U15" i="48"/>
  <c r="R15" i="48"/>
  <c r="O15" i="48"/>
  <c r="L15" i="48"/>
  <c r="AP15" i="48" s="1"/>
  <c r="AQ15" i="48" s="1"/>
  <c r="AM14" i="48"/>
  <c r="AJ14" i="48"/>
  <c r="AG14" i="48"/>
  <c r="AD14" i="48"/>
  <c r="AA14" i="48"/>
  <c r="X14" i="48"/>
  <c r="U14" i="48"/>
  <c r="R14" i="48"/>
  <c r="AP14" i="48" s="1"/>
  <c r="AQ14" i="48" s="1"/>
  <c r="O14" i="48"/>
  <c r="L14" i="48"/>
  <c r="AM13" i="48"/>
  <c r="AJ13" i="48"/>
  <c r="AG13" i="48"/>
  <c r="AD13" i="48"/>
  <c r="AA13" i="48"/>
  <c r="X13" i="48"/>
  <c r="U13" i="48"/>
  <c r="R13" i="48"/>
  <c r="O13" i="48"/>
  <c r="L13" i="48"/>
  <c r="AP13" i="48" s="1"/>
  <c r="AQ13" i="48" s="1"/>
  <c r="AM12" i="48"/>
  <c r="AJ12" i="48"/>
  <c r="AJ32" i="48" s="1"/>
  <c r="AG12" i="48"/>
  <c r="AG32" i="48" s="1"/>
  <c r="AD12" i="48"/>
  <c r="AD32" i="48" s="1"/>
  <c r="AA12" i="48"/>
  <c r="AA32" i="48" s="1"/>
  <c r="X12" i="48"/>
  <c r="X32" i="48" s="1"/>
  <c r="U12" i="48"/>
  <c r="R12" i="48"/>
  <c r="R32" i="48" s="1"/>
  <c r="O12" i="48"/>
  <c r="L12" i="48"/>
  <c r="L32" i="48" s="1"/>
  <c r="F32" i="48" l="1"/>
  <c r="AP12" i="48"/>
  <c r="AP32" i="48" l="1"/>
  <c r="AQ32" i="48" s="1"/>
  <c r="AQ12" i="48"/>
</calcChain>
</file>

<file path=xl/sharedStrings.xml><?xml version="1.0" encoding="utf-8"?>
<sst xmlns="http://schemas.openxmlformats.org/spreadsheetml/2006/main" count="1076" uniqueCount="267">
  <si>
    <t>プログラムを構成する授業科目について</t>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</si>
  <si>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</si>
  <si>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</si>
  <si>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</si>
  <si>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</si>
  <si>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</si>
  <si>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</si>
  <si>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</si>
  <si>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</si>
  <si>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</si>
  <si>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</si>
  <si>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</si>
  <si>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</si>
  <si>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</si>
  <si>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</si>
  <si>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</si>
  <si>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</si>
  <si>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</si>
  <si>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</si>
  <si>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</si>
  <si>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</si>
  <si>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</si>
  <si>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</si>
  <si>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必須</t>
    <rPh sb="0" eb="2">
      <t>ヒッス</t>
    </rPh>
    <phoneticPr fontId="1"/>
  </si>
  <si>
    <t>単位</t>
    <rPh sb="0" eb="2">
      <t>タンイ</t>
    </rPh>
    <phoneticPr fontId="1"/>
  </si>
  <si>
    <t>2-1</t>
  </si>
  <si>
    <t>プログラム名</t>
    <rPh sb="5" eb="6">
      <t>メイ</t>
    </rPh>
    <phoneticPr fontId="1"/>
  </si>
  <si>
    <t>【プルダウンリスト】</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</si>
  <si>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</si>
  <si>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</si>
  <si>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</si>
  <si>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</si>
  <si>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</si>
  <si>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</si>
  <si>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</si>
  <si>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</si>
  <si>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</si>
  <si>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</si>
  <si>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</si>
  <si>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</si>
  <si>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</si>
  <si>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</si>
  <si>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</si>
  <si>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</si>
  <si>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</si>
  <si>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</si>
  <si>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学部・学科によって、修了要件は相違する</t>
  </si>
  <si>
    <t>「情報入門１」「情報入門２」の２科目４単位を取得すること。</t>
    <phoneticPr fontId="1"/>
  </si>
  <si>
    <t>情報入門１</t>
    <phoneticPr fontId="1"/>
  </si>
  <si>
    <t>○</t>
  </si>
  <si>
    <t>情報入門２</t>
    <phoneticPr fontId="1"/>
  </si>
  <si>
    <r>
      <t>・ビッグデータ、IoT、AI、ロボット「情報入門１」（4回目）
・データ量の増加、計算機の処理性能の向上、AI の</t>
    </r>
    <r>
      <rPr>
        <sz val="12"/>
        <color theme="1"/>
        <rFont val="Microsoft JhengHei UI"/>
        <family val="3"/>
        <charset val="134"/>
      </rPr>
      <t>⾮</t>
    </r>
    <r>
      <rPr>
        <sz val="12"/>
        <color theme="1"/>
        <rFont val="ＭＳ Ｐゴシック"/>
        <family val="3"/>
        <charset val="128"/>
        <scheme val="minor"/>
      </rPr>
      <t>連続的進化「情報入門１」（4回目）
・複数技術を組み合わせたAIサービス「情報入門１」（4回目）</t>
    </r>
    <phoneticPr fontId="1"/>
  </si>
  <si>
    <t>・AI最新技術の活用例（深層生成モデル、敵対的生成ネットワーク、強化学習、転移学習など）「情報入門１」（5回目）</t>
    <phoneticPr fontId="1"/>
  </si>
  <si>
    <t>・調査データ、実験データ、人の行動ログデータ、機械の稼働ログデータなど「情報入門１」（4回目）
・1次データ、2次データ、データのメタ化「情報入門１」（4回目）
・構造化データ、非構造化データ（文章、画像/動画、音声/音楽など）「情報入門１」（4回目）
・データのオープン化（オープンデータ）「情報入門１」（4回目）</t>
    <phoneticPr fontId="1"/>
  </si>
  <si>
    <t>・データ・AI活用領域の広がり(生産、消費、文化活動など)「情報入門１」（4回目）
・研究開発、調達、製造、物流、販売、マーケティング、サービスなど「情報入門１」（4回目）
・仮説検証、知識発見、原因究明、計画策定、判断支援、活動代替、新規生成など「情報入門１」（4回目）</t>
    <phoneticPr fontId="1"/>
  </si>
  <si>
    <t>・データ解析：予測、グルーピング、パターン発見、最適化、シミュレーション・データ同化など「情報入門１」（4回目）
・データ可視化：複合グラフ、2軸グラフ、多次元の可視化、関係性の可視化、地図上の可視化、挙動・軌跡の可視化、リアルタイム可視化など「情報入門１」（4回目）
・非構造化データ処理：言語処理、画像/動画処理、音声/音楽処理など「情報入門１」（4回目）
・特化型AIと汎用AI、今のAIで出来ることと出来ないこと、AIとビッグデータ「情報入門１」（4回目）</t>
    <phoneticPr fontId="1"/>
  </si>
  <si>
    <t>・データサイエンスのサイクル（課題抽出と定式化、データの取得・管理・加工、探索的データ解析、データ解析と推論、結果の共有・伝達、課題解決に向けた提案）「情報入門１」（5回目）
・流通、製造、金融、サービス、インフラ、公共、ヘルスケア等におけるデータ・AI利活用事例紹介「情報入門１」（5回目）</t>
    <phoneticPr fontId="1"/>
  </si>
  <si>
    <t>・情報セキュリティ：機密性、完全性、可用性「情報入門１」（5回目）
・情報漏洩等によるセキュリティ事故の事例紹介「情報入門１」（1回目）</t>
    <phoneticPr fontId="1"/>
  </si>
  <si>
    <t>・データ表現（棒グラフ、折線グラフ、散布図、ヒートマップ）「情報入門1」（11回目）「情報入門2」（13回目）
・データの図表表現（チャート化）「情報入門2」（7回目）
・データの比較（条件をそろえた比較、処理の前後での比較、A/Bテスト)「情報入門1」（9回目）
・不適切なグラフ表現（チャートジャンク、不必要な視覚的要素） 「情報入門1」（11回目）
・優れた可視化事例の紹介（可視化することによって新たな気づきがあった事例など）「情報入門2」（13回目）</t>
    <rPh sb="167" eb="169">
      <t>ニュウモン</t>
    </rPh>
    <phoneticPr fontId="1"/>
  </si>
  <si>
    <t>・データの集計（和、平均）「情報入門1」（6,7回目）
・データの並び替え、ランキング「情報入門1」（10回目）
・データ解析ツール（スプレッドシート）  「情報入門1」（6回目）
・表形式のデータ（csv）「情報入門1」（13回目）</t>
    <rPh sb="81" eb="83">
      <t>ニュウモン</t>
    </rPh>
    <phoneticPr fontId="1"/>
  </si>
  <si>
    <t>商学部</t>
    <rPh sb="0" eb="3">
      <t>ショウガクブ</t>
    </rPh>
    <phoneticPr fontId="1"/>
  </si>
  <si>
    <t>情報基礎Ⅰ</t>
  </si>
  <si>
    <t>・AI最新技術の活用例（深層生成モデル、敵対的生成ネットワーク、強化学習、転移学習など）「情報基礎Ⅰ」（5回目）</t>
  </si>
  <si>
    <t>・調査データ、実験データ、人の行動ログデータ、機械の稼働ログデータなど「情報基礎Ⅰ」（4回目）
・1次データ、2次データ、データのメタ化「情報基礎Ⅰ」（4回目）
・構造化データ、非構造化データ（文章、画像/動画、音声/音楽など）「情報基礎Ⅰ」（4回目）
・データのオープン化（オープンデータ）「情報基礎Ⅰ」（4回目）</t>
  </si>
  <si>
    <t>・情報セキュリティ：機密性、完全性、可用性「情報基礎Ⅰ」（5回目）
・情報漏洩等によるセキュリティ事故の事例紹介「情報基礎Ⅰ」（1回目）</t>
  </si>
  <si>
    <t>・データの集計（和、平均）「情報基礎Ⅰ」（6,7回目）
・データの並び替え、ランキング「情報基礎Ⅰ」（10回目）
・データ解析ツール（スプレッドシート）  「情報基礎Ⅰ」（6回目）
・表形式のデータ（csv）「情報基礎Ⅰ」（13回目）</t>
    <phoneticPr fontId="1"/>
  </si>
  <si>
    <t>「情報基礎Ⅰ」「情報基礎Ⅱ」の２科目４単位を取得すること。</t>
  </si>
  <si>
    <t>情報基礎Ⅱ</t>
  </si>
  <si>
    <t>・データ表現（棒グラフ、折線グラフ、散布図、ヒートマップ）「情報基礎Ⅰ」（11回目）「情報基礎Ⅱ」（13回目）
・データの図表表現（チャート化）「情報基礎Ⅱ」（7回目）
・データの比較（条件をそろえた比較、処理の前後での比較、A/Bテスト)「情報基礎Ⅰ」（9回目）
・不適切なグラフ表現（チャートジャンク、不必要な視覚的要素） 「情報基礎Ⅰ」（11回目）
・優れた可視化事例の紹介（可視化することによって新たな気づきがあった事例など）「情報基礎Ⅱ」（13回目）</t>
  </si>
  <si>
    <t>経営学部</t>
    <rPh sb="0" eb="2">
      <t>ケイエイ</t>
    </rPh>
    <rPh sb="2" eb="4">
      <t>ガクブ</t>
    </rPh>
    <phoneticPr fontId="1"/>
  </si>
  <si>
    <t>「情報システム入門」「情報処理入門」「情報リテラシ基礎演習」「統計入門」の４科目８単位を取得すること。</t>
    <phoneticPr fontId="1"/>
  </si>
  <si>
    <t>情報システム入門</t>
    <phoneticPr fontId="1"/>
  </si>
  <si>
    <t>情報処理入門</t>
    <phoneticPr fontId="1"/>
  </si>
  <si>
    <t>○</t>
    <phoneticPr fontId="1"/>
  </si>
  <si>
    <t>情報リテラシ基礎演習</t>
    <phoneticPr fontId="1"/>
  </si>
  <si>
    <t>統計入門</t>
    <phoneticPr fontId="1"/>
  </si>
  <si>
    <t>・AI等を活用した新しいビジネスモデル(シェアリングエコノミー、商品のレコメンデーションなど)「情報システム入門」（3、4回目）
・AI最新技術の活用例（深層生成モデル、敵対的生成ネットワーク、強化学習、転移学習など）「情報システム入門」（4回目）</t>
    <phoneticPr fontId="1"/>
  </si>
  <si>
    <t>・調査データ、実験データ、人の行動ログデータ、機械の稼働ログデータなど「情報システム入門」（2、3回目）、「情報処理入門」（15回目）、「情報リテラシ基礎演習」（3、4回目）
・1次データ、2次データ、データのメタ化「情報処理入門」（15回目）
・データ作成（ビッグデータとアノテーション）「情報システム入門」（3回目）、「情報処理入門」（15回目）</t>
    <phoneticPr fontId="1"/>
  </si>
  <si>
    <t>・仮説検証、知識発見、原因究明、計画策定、判断支援、活動代替、新規生成など「情報処理入門」（9回目）、「情報リテラシ基礎演習」（3、4回目）</t>
    <phoneticPr fontId="1"/>
  </si>
  <si>
    <t>・データ解析：予測、グルーピング、パターン発見、最適化、シミュレーション・データ同化など「情報システム入門」（3回目）、「情報処理入門」（7、8、9回目）
・データ可視化：複合グラフ、2軸グラフ、多次元の可視化、関係性の可視化、地図上の可視化、挙動・軌跡の可視化、リアルタイム可視化など「情報処理入門」（7、8、9回目）</t>
    <phoneticPr fontId="1"/>
  </si>
  <si>
    <t>・データサイエンスのサイクル（課題抽出と定式化、データの取得・管理・加工、探索的データ解析、データ解析と推論、結果の共有・伝達、課題解決に向けた提案）「情報処理入門」（15回目）
・流通、製造、金融、サービス、インフラ、公共、ヘルスケア等におけるデータ・AI利活用事例紹介「情報システム入門」（2、3回目）</t>
    <phoneticPr fontId="1"/>
  </si>
  <si>
    <t>・個人情報保護、EU一般データ保護規則(GDPR)、忘れられる権利、オプトアウト「情報システム入門」（14回目）、「情報リテラシ基礎演習」（1、15回目）
・データ倫理：データのねつ造、改ざん、盗用、プライバシー保護「情報システム入門」（14回目）、「情報処理入門」（3、4回目）、「情報リテラシ基礎演習」（1、15回目）
・AI社会原則（公平性、説明責任、透明性、人間中心の判断）「情報システム入門」（14回目）
・データ・AI活用における負の事例紹介「情報処理入門」（3、4回目）、「情報リテラシ基礎演習」（15回目）</t>
    <phoneticPr fontId="1"/>
  </si>
  <si>
    <t>・データの種類（量的変数、質的変数）「統計入門」（1、2回目）
・データの分布(ヒストグラム)と代表値（平均値、中央値、最頻値）「情報処理入門」（7、8、9回目）、「統計入門」（1回目）
・代表値の性質の違い（実社会では平均値＝最頻値でないことが多い）「統計入門」（1回目）
・データのばらつき（分散、標準偏差、偏差値）「統計入門」（1、2回目）
・観測データに含まれる誤差の扱い「統計入門」（1回目）
・相関と因果（相関係数、擬似相関、交絡）「統計入門」（13回目）
・母集団と標本抽出（国勢調査、アンケート調査、全数調査、単純無作為抽出、層別抽出、多段抽出）「統計入門」（1回目）
・クロス集計表、分割表、相関係数行列、散布図行列「情報処理入門」（7、8、9、10回目）、「統計入門」（2回目）</t>
    <phoneticPr fontId="1"/>
  </si>
  <si>
    <t>・データ表現（棒グラフ、折線グラフ、散布図、ヒートマップ）「情報処理入門」（7、8、9回目）、「情報リテラシ基礎演習」（5、6回目）、「統計入門」（2回目）
・データの図表表現（チャート化）「情報処理入門」（7、8、9回目）、「情報リテラシ基礎演習」（5、6回目）、「統計入門」（2回目）
・データの比較（条件をそろえた比較、処理の前後での比較、A/Bテスト)「統計入門」（1、10回目）</t>
    <phoneticPr fontId="1"/>
  </si>
  <si>
    <t>・データの集計（和、平均）「情報処理入門」（7、8、9回目）、「統計入門」（3回目）
・データの並び替え、ランキング「情報処理入門」（7、8、9、10回目）
・データ解析ツール（スプレッドシート）「情報処理入門」（7、8、9、10回目）
・表形式のデータ（csv）「統計入門」（3回目）</t>
    <phoneticPr fontId="1"/>
  </si>
  <si>
    <t>情報表現実習（基礎）</t>
    <phoneticPr fontId="1"/>
  </si>
  <si>
    <t>スポーツ医科学情報</t>
    <phoneticPr fontId="1"/>
  </si>
  <si>
    <t>現代社会とスポーツ</t>
    <phoneticPr fontId="1"/>
  </si>
  <si>
    <t>心理情報とメンタルマネジメント</t>
    <phoneticPr fontId="1"/>
  </si>
  <si>
    <t>ライフステージと健康情報</t>
    <phoneticPr fontId="1"/>
  </si>
  <si>
    <t>コンディショニングのための情報分析</t>
    <phoneticPr fontId="1"/>
  </si>
  <si>
    <t>パブリックメディア論</t>
    <phoneticPr fontId="1"/>
  </si>
  <si>
    <t>情報表現実習（応用）</t>
    <phoneticPr fontId="1"/>
  </si>
  <si>
    <t>ネットワーク情報学部</t>
    <rPh sb="6" eb="8">
      <t>ジョウホウ</t>
    </rPh>
    <rPh sb="8" eb="10">
      <t>ガクブ</t>
    </rPh>
    <phoneticPr fontId="1"/>
  </si>
  <si>
    <t>「ネットワーク情報総論１」「 情報分析基礎」「情報分析演習」の３科目６単位を取得すること。</t>
    <phoneticPr fontId="1"/>
  </si>
  <si>
    <t>ネットワーク情報総論１</t>
    <phoneticPr fontId="1"/>
  </si>
  <si>
    <t>情報分析基礎</t>
    <phoneticPr fontId="1"/>
  </si>
  <si>
    <t>情報分析演習</t>
    <phoneticPr fontId="1"/>
  </si>
  <si>
    <r>
      <t>・ビッグデータ、IoT、AI、ロボット「ネットワーク情報総論１」（３・４・１０回目）
・データ量の増加、計算機の処理性能の向上、AI の</t>
    </r>
    <r>
      <rPr>
        <sz val="12"/>
        <color theme="1"/>
        <rFont val="Microsoft JhengHei UI"/>
        <family val="3"/>
        <charset val="134"/>
      </rPr>
      <t>⾮</t>
    </r>
    <r>
      <rPr>
        <sz val="12"/>
        <color theme="1"/>
        <rFont val="ＭＳ Ｐゴシック"/>
        <family val="3"/>
        <charset val="128"/>
        <scheme val="minor"/>
      </rPr>
      <t>連続的進化「ネットワーク情報総論１」（３・４・１０回目）
・第4 次産業革命、 Society 5.0 、 データ駆動型社会「ネットワーク情報総論１」（３・４・１０回目）
・複数技術を組み合わせたAIサービス「ネットワーク情報総論１」（３・４・１０回目）</t>
    </r>
    <phoneticPr fontId="1"/>
  </si>
  <si>
    <t>・AI最新技術の活用例（深層生成モデル、敵対的生成ネットワーク、強化学習、転移学習など）「ネットワーク情報総論１」（３・４・１０回目）</t>
    <phoneticPr fontId="1"/>
  </si>
  <si>
    <t>・調査データ、実験データ、人の行動ログデータ、機械の稼働ログデータなど「ネットワーク情報総論１」（５・６・７回目）
・1次データ、2次データ、データのメタ化「ネットワーク情報総論１」（５・６・７回目）
・構造化データ、非構造化データ（文章、画像/動画、音声/音楽など）「ネットワーク情報総論１」（５・６・７回目）
・データのオープン化（オープンデータ）「ネットワーク情報総論１」（６回目）</t>
    <phoneticPr fontId="1"/>
  </si>
  <si>
    <t>・データ・AI活用領域の広がり(生産、消費、文化活動など)「ネットワーク情報総論１」（５・６・７回目）
・研究開発、調達、製造、物流、販売、マーケティング、サービスなど「ネットワーク情報総論１」（５・６・７回目）
・仮説検証、知識発見、原因究明、計画策定、判断支援、活動代替、新規生成など「ネットワーク情報総論１」（５・６・７回目）</t>
    <phoneticPr fontId="1"/>
  </si>
  <si>
    <t>・データ解析：予測、グルーピング、パターン発見、最適化、シミュレーション・データ同化など「ネットワーク情報総論１」（５・７回目）
・データ可視化：複合グラフ、2軸グラフ、多次元の可視化、関係性の可視化、地図上の可視化、挙動・軌跡の可視化、リアルタイム可視化など「ネットワーク情報総論１」（５・７回目）
・非構造化データ処理：言語処理、画像/動画処理、音声/音楽処理など「ネットワーク情報総論１」（５・７回目）
・特化型AIと汎用AI、今のAIで出来ることと出来ないこと、AIとビッグデータ「ネットワーク情報総論１」（５・７回目）</t>
    <phoneticPr fontId="1"/>
  </si>
  <si>
    <t>・データサイエンスのサイクル（課題抽出と定式化、データの取得・管理・加工、探索的データ解析、データ解析と推論、結果の共有・伝達、課題解決に向けた提案）「ネットワーク情報総論１」（５・７回目）
・流通、製造、金融、サービス、インフラ、公共、ヘルスケア等におけるデータ・AI利活用事例紹介「ネットワーク情報総論１」（５・７回目）</t>
    <phoneticPr fontId="1"/>
  </si>
  <si>
    <t>・ELSI（Ethical, Legal and Social Issues）「ネットワーク情報総論１」（８回目）
・個人情報保護、EU一般データ保護規則(GDPR)、忘れられる権利、オプトアウト「ネットワーク情報総論１」（８回目）
・データ倫理：データのねつ造、改ざん、盗用、プライバシー保護「ネットワーク情報総論１」（８回目）
・AI社会原則（公平性、説明責任、透明性、人間中心の判断）「ネットワーク情報総論１」（８回目）
・データバイアス、アルゴリズムバイアス「ネットワーク情報総論１」（８回目）</t>
    <phoneticPr fontId="1"/>
  </si>
  <si>
    <t>・情報セキュリティ：機密性、完全性、可用性「ネットワーク情報総論１」（８回目）
・匿名加工情報、暗号化、パスワード、悪意ある情報搾取「ネットワーク情報総論１」（８回目）
・情報漏洩等によるセキュリティ事故の事例紹介「ネットワーク情報総論１」（８回目）</t>
    <phoneticPr fontId="1"/>
  </si>
  <si>
    <t>・データ表現（棒グラフ、折線グラフ、散布図、ヒートマップ）「情報分析基礎」（２・３回目）「情報分析演習」（３・４・６回目）
・データの図表表現（チャート化）「情報分析基礎」（２・３回目）「情報分析演習」（３・４・５・６回目）</t>
    <phoneticPr fontId="1"/>
  </si>
  <si>
    <t>・データの集計（和、平均）「情報分析基礎」（１回目）「情報分析演習」（１回目）
・データの並び替え、ランキング「情報分析演習」（２回目）
・データ解析ツール（スプレッドシート）「情報分析演習」（１〜８回目）
・表形式のデータ（csv）「情報分析演習」（８回目）</t>
    <phoneticPr fontId="1"/>
  </si>
  <si>
    <t>日本語情報処理１</t>
    <phoneticPr fontId="1"/>
  </si>
  <si>
    <t>日本語情報処理２</t>
    <phoneticPr fontId="1"/>
  </si>
  <si>
    <t>専修大学</t>
    <rPh sb="0" eb="2">
      <t>センシュウ</t>
    </rPh>
    <rPh sb="2" eb="4">
      <t>ダイガク</t>
    </rPh>
    <phoneticPr fontId="1"/>
  </si>
  <si>
    <t>Siデータサイエンス教育プログラム（基礎リテラシーレベル）</t>
    <rPh sb="10" eb="12">
      <t>キョウイク</t>
    </rPh>
    <rPh sb="18" eb="20">
      <t>キソ</t>
    </rPh>
    <phoneticPr fontId="1"/>
  </si>
  <si>
    <t>専修大学</t>
    <phoneticPr fontId="1"/>
  </si>
  <si>
    <t>ビッグデータやAIによって駆動される現代の情報化社会に変化について理解し、基礎的な情報処理・データ分析能力・情報倫理を身につけることができる。</t>
    <phoneticPr fontId="1"/>
  </si>
  <si>
    <t>ビッグデータやAIによって駆動される現代の情報化社会に変化について理解し、基礎的な情報処理・データ分析能力・情報倫理を身につけることができる。</t>
    <phoneticPr fontId="1"/>
  </si>
  <si>
    <t>・ELSI（Ethical, Legal and Social Issues）「情報入門１」（5回目）
・個人情報保護、EU一般データ保護規則(GDPR)、忘れられる権利、オプトアウト「情報入門１」（5回目）
・データ倫理：データのねつ造、改ざん、盗用、プライバシー保護「情報入門１」（5回目）
・AI社会原則（公平性、説明責任、透明性、人間中心の判断）「情報入門１」（5回目）
・データバイアス、アルゴリズムバイアス「情報入門１」（5回目）</t>
    <phoneticPr fontId="1"/>
  </si>
  <si>
    <t>・ELSI（Ethical, Legal and Social Issues）「情報基礎Ⅰ」（5回目）
・個人情報保護、EU一般データ保護規則(GDPR)、忘れられる権利、オプトアウト「情報基礎Ⅰ」（5回目）
・データ倫理：データのねつ造、改ざん、盗用、プライバシー保護「情報基礎Ⅰ」（5回目）
・AI社会原則（公平性、説明責任、透明性、人間中心の判断）「情報基礎Ⅰ」（5回目）
・データバイアス、アルゴリズムバイアス「情報基礎Ⅰ」（5回目）</t>
    <phoneticPr fontId="1"/>
  </si>
  <si>
    <r>
      <t>・ビッグデータ、IoT、AI、ロボット「情報システム入門」（1、2、3、4、14回目）
・データ量の増加、計算機の処理性能の向上、AI の</t>
    </r>
    <r>
      <rPr>
        <sz val="11"/>
        <color theme="1"/>
        <rFont val="Microsoft JhengHei UI"/>
        <family val="3"/>
        <charset val="134"/>
      </rPr>
      <t>⾮</t>
    </r>
    <r>
      <rPr>
        <sz val="11"/>
        <color theme="1"/>
        <rFont val="ＭＳ Ｐゴシック"/>
        <family val="3"/>
        <charset val="128"/>
        <scheme val="minor"/>
      </rPr>
      <t>連続的進化「情報システム入門」（4回目）
・第4 次産業革命、 Society 5.0 、 データ駆動型社会「情報システム入門」（1、4、14回目）
・複数技術を組み合わせたAIサービス「情報システム入門」（1回目）
・人間の知的活動とAIの関係性「情報システム入門」（4、14回目）
・データを起点としたものの見方、人間の知的活動を起点としたものの見方「情報システム入門」（1回目）、「情報処理入門」（15回目）</t>
    </r>
    <phoneticPr fontId="1"/>
  </si>
  <si>
    <t>日本語情報処理２</t>
    <rPh sb="0" eb="3">
      <t>ニホンゴ</t>
    </rPh>
    <rPh sb="3" eb="5">
      <t>ジョウホウ</t>
    </rPh>
    <rPh sb="5" eb="7">
      <t>ショリ</t>
    </rPh>
    <phoneticPr fontId="1"/>
  </si>
  <si>
    <t>様式１－１</t>
    <rPh sb="0" eb="2">
      <t>ヨウシキ</t>
    </rPh>
    <phoneticPr fontId="1"/>
  </si>
  <si>
    <t>様式１－２</t>
    <rPh sb="0" eb="2">
      <t>ヨウシキ</t>
    </rPh>
    <phoneticPr fontId="1"/>
  </si>
  <si>
    <t>様式１－３</t>
    <rPh sb="0" eb="2">
      <t>ヨウシキ</t>
    </rPh>
    <phoneticPr fontId="1"/>
  </si>
  <si>
    <t>様式１－４</t>
    <rPh sb="0" eb="2">
      <t>ヨウシキ</t>
    </rPh>
    <phoneticPr fontId="1"/>
  </si>
  <si>
    <t>様式１－５</t>
    <rPh sb="0" eb="2">
      <t>ヨウシキ</t>
    </rPh>
    <phoneticPr fontId="1"/>
  </si>
  <si>
    <t>様式１－６</t>
    <rPh sb="0" eb="2">
      <t>ヨウシキ</t>
    </rPh>
    <phoneticPr fontId="1"/>
  </si>
  <si>
    <t>様式２</t>
    <phoneticPr fontId="1"/>
  </si>
  <si>
    <t>プログラムの履修者数等の実績について</t>
    <phoneticPr fontId="1"/>
  </si>
  <si>
    <t>①プログラム開設年度</t>
    <rPh sb="6" eb="8">
      <t>カイセツ</t>
    </rPh>
    <rPh sb="8" eb="10">
      <t>ネンド</t>
    </rPh>
    <phoneticPr fontId="1"/>
  </si>
  <si>
    <t>令和４</t>
    <rPh sb="0" eb="2">
      <t>レイワ</t>
    </rPh>
    <phoneticPr fontId="1"/>
  </si>
  <si>
    <t>年度</t>
    <rPh sb="0" eb="2">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</si>
  <si>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</si>
  <si>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</si>
  <si>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</si>
  <si>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</si>
  <si>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</si>
  <si>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</si>
  <si>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</si>
  <si>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</si>
  <si>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</si>
  <si>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</si>
  <si>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</si>
  <si>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</si>
  <si>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</si>
  <si>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</si>
  <si>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</si>
  <si>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合計</t>
    <rPh sb="0" eb="2">
      <t>ゴウケイ</t>
    </rPh>
    <phoneticPr fontId="1"/>
  </si>
  <si>
    <t>男性</t>
    <rPh sb="0" eb="2">
      <t>ダンセイ</t>
    </rPh>
    <phoneticPr fontId="1"/>
  </si>
  <si>
    <t>女性</t>
    <rPh sb="0" eb="2">
      <t>ジョセイ</t>
    </rPh>
    <phoneticPr fontId="1"/>
  </si>
  <si>
    <t>経済学部</t>
    <rPh sb="2" eb="4">
      <t>ガクブ</t>
    </rPh>
    <phoneticPr fontId="1"/>
  </si>
  <si>
    <t>法学部</t>
    <rPh sb="0" eb="3">
      <t>ホウガクブ</t>
    </rPh>
    <phoneticPr fontId="1"/>
  </si>
  <si>
    <t>商学部</t>
    <rPh sb="0" eb="1">
      <t>ショウ</t>
    </rPh>
    <rPh sb="1" eb="3">
      <t>ガクブ</t>
    </rPh>
    <phoneticPr fontId="1"/>
  </si>
  <si>
    <t>文学部</t>
    <rPh sb="0" eb="3">
      <t>ブンガクブ</t>
    </rPh>
    <phoneticPr fontId="1"/>
  </si>
  <si>
    <t>ネットワーク情報学部</t>
    <rPh sb="6" eb="10">
      <t>ジョウホウガクブ</t>
    </rPh>
    <phoneticPr fontId="1"/>
  </si>
  <si>
    <t>人間科学部</t>
    <rPh sb="0" eb="2">
      <t>ニンゲン</t>
    </rPh>
    <rPh sb="2" eb="4">
      <t>カガク</t>
    </rPh>
    <rPh sb="4" eb="5">
      <t>ブ</t>
    </rPh>
    <phoneticPr fontId="1"/>
  </si>
  <si>
    <t>国際コミュニケーション学部</t>
    <rPh sb="0" eb="2">
      <t>コクサイ</t>
    </rPh>
    <rPh sb="11" eb="13">
      <t>ガクブ</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</si>
  <si>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</si>
  <si>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</si>
  <si>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</si>
  <si>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</si>
  <si>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</si>
  <si>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</si>
  <si>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</si>
  <si>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人</t>
    <rPh sb="0" eb="1">
      <t>ニン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</si>
  <si>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</si>
  <si>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</si>
  <si>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</si>
  <si>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</si>
  <si>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</si>
  <si>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</si>
  <si>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松永　賢次</t>
    <phoneticPr fontId="1"/>
  </si>
  <si>
    <t>（役職名）</t>
    <rPh sb="1" eb="4">
      <t>ヤクショクメイ</t>
    </rPh>
    <phoneticPr fontId="1"/>
  </si>
  <si>
    <t>ネットワーク情報学部教授</t>
    <phoneticPr fontId="1"/>
  </si>
  <si>
    <t>④</t>
    <phoneticPr fontId="1"/>
  </si>
  <si>
    <t>プログラムを改善・進化させるための体制（委員会・組織等）</t>
    <phoneticPr fontId="1"/>
  </si>
  <si>
    <t>専修大学数理・データサイエンス・ＡＩ教育運営委員会</t>
    <phoneticPr fontId="1"/>
  </si>
  <si>
    <t>⑤</t>
    <phoneticPr fontId="1"/>
  </si>
  <si>
    <t>プログラムを改善・進化させるための体制を定める規則名称</t>
    <phoneticPr fontId="1"/>
  </si>
  <si>
    <t>専修大学数理・データサイエンス・ＡＩ教育運営委員会規程</t>
    <phoneticPr fontId="1"/>
  </si>
  <si>
    <t>⑥</t>
    <phoneticPr fontId="1"/>
  </si>
  <si>
    <t>体制の目的</t>
    <rPh sb="0" eb="2">
      <t>タイセイ</t>
    </rPh>
    <rPh sb="3" eb="5">
      <t>モクテキ</t>
    </rPh>
    <phoneticPr fontId="1"/>
  </si>
  <si>
    <t>　数理・データサイエンス・ＡＩ教育の円滑な運営を図るために必要な連絡調整を行い、本学における数理・データサイエンス・ＡＩ教育の推進及び質向上を図ることを目的として、令和４年４月１日に「専修大学数理・データサイエンス・ＡＩ教育運営委員会」を設置した。
　本委員会では本学の数理・データサイエンス・AI教育分野の授業科目ならびに教育プログラムの点検、評価、改善・充実とその支援に取り組んでいる。</t>
    <phoneticPr fontId="1"/>
  </si>
  <si>
    <t>⑦</t>
    <phoneticPr fontId="1"/>
  </si>
  <si>
    <t>具体的な構成員</t>
    <rPh sb="0" eb="3">
      <t>グタイテキ</t>
    </rPh>
    <rPh sb="4" eb="7">
      <t>コウセイイン</t>
    </rPh>
    <phoneticPr fontId="1"/>
  </si>
  <si>
    <t>ネットワーク情報学部　教授　松永　賢次　（委員長・情報科学センター長）
商学部　教授　岩尾　詠一郎 　（情報科学センター教育企画室長）
経済学部　准教授　小川　健
法学部　教授　水崎　高浩
経営学部　教授　西山　貴弘
経営学部　准教授　宇佐美　嘉弘
商学部　教授　高萩　栄一郎  
文学部　教授　福冨　忠和
人間科学部　教授　金井　雅之 
国際コミュニケーション学部　教授　丸山　岳彦 
教務部教務課　課長　遠藤　清
情報システム部情報システム課　掛長　天坂　里緒子</t>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</si>
  <si>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</si>
  <si>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</si>
  <si>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令和４年度実績</t>
    <rPh sb="0" eb="2">
      <t>レイワ</t>
    </rPh>
    <rPh sb="3" eb="5">
      <t>ネンド</t>
    </rPh>
    <rPh sb="5" eb="7">
      <t>ジッセキ</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</si>
  <si>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</si>
  <si>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</si>
  <si>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</si>
  <si>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</si>
  <si>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</si>
  <si>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</si>
  <si>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上記の目標を実現するために、以下の取組みを実施する計画である。
●令和５年度の計画
１　「情報入門１・２」の展開増等の対応
　　令和４年度開講の「情報入門 １」を調査したところ、 履修希望者が特定の曜日・時限に集中していたため、２割程度が希望する曜日・時限で履修できなかったことが判明した。そのため、令和５年度は、令和４年度の実績（学生の履修状況）に基づき、「情報入門１」「情報入門２」の展開増等で履修率の改善を図る。
２　文学部ジャーナリズム学科の令和５年度カリキュラム改正
　　多くの学科が「情報入門１」「情報入門２」の２科目４単位の修得で基礎リテラシーレベルの修了を認定する一方、文学部ジャーナリズム学科の令和４年度入学者は、「情報入門１」「情報入門２」を履修できないカリキュラムとなっていた。そのため、基礎リテラシーレベル修了には配当年次が２年次以上の２科目を含む５科目10単位の修得が求められていたことから、同学科における履修者数・履修率の向上を図るため令和５年度以降入学者を対象に、「情報入門１」「情報入門２」を履修できるようカリキュラム改正を行うとともに、修了要件をこの２科目の修得に変更する。これに伴い、令和４年度の文学部ジャーナリズム学科の修了要件は、令和５年度入学者からは適用しない。
●令和６年度以降の計画
　令和５年度の実績や外部評価の結果に基づき、令和６年度以降の改善策を検討する。</t>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</si>
  <si>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</si>
  <si>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</si>
  <si>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</si>
  <si>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</si>
  <si>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　Siデータサイエンス教育プログラム（基礎リテラシーレベル）の履修率向上を目的として、令和４年度入学者に対しては、Siデータサイエンス教育プログラム専用のホームページの公開や、ニュース専修による紹介、さらには令和４年４月のオリエンテーションガイダンスにおけるリーフレットの配布を通じて、令和４年度入学者に向けて様々な周知を行った。それに加えて、専修大学長と専修大学数理・データサイエンス・AI教育運営委員会委員長との対談動画を用意し、この動画をSiデータサイエンス教育プログラム専用のホームページで紹介するなどの広報活動を展開した。
　令和５年度は、引き続きSiデータサイエンス教育プログラム専用のホームページにおいて本プログラムの周知を図るとともに、オリエンテーションガイダンスの際、「学修ガイドブック」を活用したガイダンス説明などを計画している。</t>
    <phoneticPr fontId="1"/>
  </si>
  <si>
    <t>⑪</t>
    <phoneticPr fontId="1"/>
  </si>
  <si>
    <t>できる限り多くの学生が履修・修得できるようなサポート体制</t>
    <rPh sb="26" eb="28">
      <t>タイセイ</t>
    </rPh>
    <phoneticPr fontId="1"/>
  </si>
  <si>
    <t>　Siデータサイエンス教育プログラム（基礎リテラシーレベル）では、学生の興味・関心にあわせたオンデマンド教材８本(１本：15～20分程度)を用意することにより、学生の理解力向上につなげることができた。令和５年度は、昨年度制作した既存動画８本の改訂に加えて、新規動画２本の制作を行う計画である。　
　また、⑩に記載のとおり、専修大学長と専修大学数理・データサイエンス・AI教育運営委員会委員長との対談動画をSiデータサイエンス教育プログラム専用のホームページで紹介するなど、学生がこの動画を通じて数理・データサイエンス・AI教育を受講することの意義を理解できるように努めている。</t>
    <phoneticPr fontId="1"/>
  </si>
  <si>
    <t>⑫</t>
    <phoneticPr fontId="1"/>
  </si>
  <si>
    <t>授業時間内外で学習指導、質問を受け付ける具体的な仕組み</t>
    <rPh sb="20" eb="23">
      <t>グタイテキ</t>
    </rPh>
    <phoneticPr fontId="1"/>
  </si>
  <si>
    <t>　電子メールや授業支援システム(LMS)であるin CampusやGoogle Classroomを通じて、履修者はいつでも担当教員から質問することができ、また返信されるスキームを構築している。それに加えて、オフィスアワー制度の導入により、専任教員が質問対応や履修上の相談に対応できる体制も整備している。
　さらに、学内の情報環境の利用に関するサポートを情報科学センターが担っており、授業時間外に資格試験を受験することに対する支援として、PCスキルアップ講座、MOS資格試験対策講座、ＩＴパスポート対策講座、情報セキュリティマネジメント試験対策講座などの各種講座を実施している。</t>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</si>
  <si>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</si>
  <si>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</si>
  <si>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</si>
  <si>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</si>
  <si>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</si>
  <si>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</si>
  <si>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</si>
  <si>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</si>
  <si>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</si>
  <si>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　教務部教務課において、Siデータサイエンス教育プログラム（基礎リテラシーレベル）の履修・修得状況を分析し、その結果を数理・データサイエンス・AI教育運営委員会にて情報共有することにより、学生の履修率の向上などの検討を図っている。</t>
    <phoneticPr fontId="1"/>
  </si>
  <si>
    <t>学修成果</t>
    <rPh sb="0" eb="2">
      <t>ガクシュウ</t>
    </rPh>
    <rPh sb="2" eb="4">
      <t>セイカ</t>
    </rPh>
    <phoneticPr fontId="1"/>
  </si>
  <si>
    <t>　数理・データサイエンス・AI教育運営委員会において、令和４年10月24日（月）から11月27日（日）までの間、大規模な学生アンケート調査を実施し、学生の学修成果を測定した。アンケート対象者は、本プログラムを受講する令和４年度入学者（２年次にも開講科目がある文学部ジャーナリズム学科については調査から除外。）とした。対象者2,834名のうち、1,148名が回答しており、回答率は40.5%であった。学生の学修成果を測定するに際しては、①【意欲】②【理解度】③【成長実感】④【推奨度】⑤【希望】の５つの観点から把握・測定し、本委員会にてSiデータサイエンス教育プログラム（基礎リテラシーレベル）の評価・改善を行っている。
　</t>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</si>
  <si>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</si>
  <si>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　上述の学生アンケート調査において、学生の【理解度】を確認するために設定した、設問２「データ・AIによって、社会および日常生活が大きく変化していることを理解できた。」、設問３「『数理・データサイエンス・AI』が、今後の社会における『読み・書き・そろばん』に相当することを理解できた。」、設問４「今のAIで出来ることと、出来ないことを理解できた。」、設問５「AIを活用した新しいビジネスやサービスは複数の技術が組み合わされて実現していることを理解できた。」、設問７「個人情報保護法やＥＵ一般データ保護規則（ＧＤＰＲ）など、データを取り巻く国際的な動向を理解できた。」、設問８「データ・AIを利活用する際に求められるモラルや倫理、データ駆動型社会におけるリスク、個人のデータを守るために留意すべき事項を理解できた。」については、設問７を除いて、肯定回答率が50％を超える結果となった。
　その一方で、肯定回答率が46.4％に沈んだ設問７については、新入生には理解が難しい授業内容であることが判明した。この点については、次年度以降の課題であると認識している。</t>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</si>
  <si>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</si>
  <si>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　上述の学生アンケート調査において、学生の【推奨度】を確認するために設定した、設問10「このSiデータサイエンス教育プログラムを、後輩や友人などのほかの学生に勧めたい。」については、肯定回答率が62.5％となり、本プログラムを高く評価していることが確認できた。</t>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</si>
  <si>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</si>
  <si>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　数理・データサイエンス・AI教育運営委員会において、全学的な観点からSiデータサイエンス教育プログラム（基礎リテラシーレベル）の実施状況についての確認を継続的に行っている。本委員会では令和４年度実績に基づき、令和５年度の履修者数・履修率の向上に向けた計画を立案している。令和５年度は、「情報入門１」「情報入門２」の展開増等、文学部ジャーナリズム学科のカリキュラム改正（学生が「情報入門１」「情報入門２」を履修できるように改正）を主に計画している。</t>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</si>
  <si>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</si>
  <si>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</si>
  <si>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　Siデータサイエンス教育プログラム（基礎リテラシーレベル）については令和４年度に開講したことから、本プログラム第１期生の卒業は令和７年度からとなる。したがって、現状では本申請のプログラム修了者の進路調査や活躍状況の調査、企業からの評価は受けていない。今後は、数理・データサイエンス・AI教育運営委員会を中心としてキャリアセンター事務部と調整を図りながら、教育プログラム修了者の進路や活躍状況などを追跡できるように整備を進めていく計画である。</t>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</si>
  <si>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</si>
  <si>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　産業界で活躍中の外部評価委員と年１回、「外部評価」の機会を設けている。令和４年度は、Siデータサイエンス教育プログラム（基礎リテラシーレベル）の教育内容を中心にオンラインで実施し、外部評価委員からは概ね肯定的な意見をいただいた。
　その一方で、外部評価委員からは本プログラムが内包する課題も複数指摘されたことから、これらの課題については数理・データサイエンス・AI教育運営委員会を通じて、改善していく計画である。</t>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</si>
  <si>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</si>
  <si>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</si>
  <si>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 xml:space="preserve">　Siデータサイエンス教育プログラム（基礎リテラシーレベル）では、学生の興味・関心にあわせたオンデマンド教材８本(１本：15～20分程度)を用意することにより、教育内容・水準を維持しつつ、学生にとってわかりやすい授業を展開することができた。数理・データサイエンス・AI教育運営委員会では、本委員会委員より、オンデマンド教材を活用した授業が学生に好評であったことが報告されている。
　一方、上述の学生アンケート調査において、「Siデータサイエンス教育プログラムをより良くするために工夫できることがあれば記入してください。」を設問１３に設定した。本設問は、任意項目であったものの、124名の有効回答数を得ることができた。学生からフィードバックされた回答については一部の学生からの声ではあるものの、本プログラムの授業内容が「伝わりにくい」「難しい」といったキーワードが抽出されたため、今後は、より分かりやすい授業内容に改善していく必要があると考える。
</t>
    <phoneticPr fontId="1"/>
  </si>
  <si>
    <t>・ビッグデータ、IoT、AI、ロボット「情報基礎Ⅰ」（4回目）
・データ量の増加、計算機の処理性能の向上、AI の⾮連続的進化「情報基礎Ⅰ」（4回目）
・複数技術を組み合わせたAIサービス「情報基礎Ⅰ」（4回目）</t>
    <phoneticPr fontId="1"/>
  </si>
  <si>
    <t>・データ・AI活用領域の広がり(生産、消費、文化活動など)「情報基礎Ⅰ」（4回目）
・研究開発、調達、製造、物流、販売、マーケティング、サービスなど「情報基礎Ⅰ」（4回目）
・仮説検証、知識発見、原因究明、計画策定、判断支援、活動代替、新規生成など「情報基礎Ⅰ」（4回目）</t>
    <phoneticPr fontId="1"/>
  </si>
  <si>
    <t>・データ解析：予測、グルーピング、パターン発見、最適化、シミュレーション・データ同化など「情報基礎Ⅰ」（4回目）
・データ可視化：複合グラフ、2軸グラフ、多次元の可視化、関係性の可視化、地図上の可視化、挙動・軌跡の可視化、リアルタイム可視化など「情報基礎Ⅰ」（4回目）
・非構造化データ処理：言語処理、画像/動画処理、音声/音楽処理など「情報基礎Ⅰ」（4回目）
・特化型AIと汎用AI、今のAIで出来ることと出来ないこと、AIとビッグデータ「情報基礎Ⅰ」（4回目）</t>
    <phoneticPr fontId="1"/>
  </si>
  <si>
    <t>・データサイエンスのサイクル（課題抽出と定式化、データの取得・管理・加工、探索的データ解析、データ解析と推論、結果の共有・伝達、課題解決に向けた提案）「情報基礎Ⅰ」（5回目）
・流通、製造、金融、サービス、インフラ、公共、ヘルスケア等におけるデータ・AI利活用事例紹介「情報基礎Ⅰ」（5回目）</t>
    <phoneticPr fontId="1"/>
  </si>
  <si>
    <t>　Siデータサイエンス教育プログラム（基礎リテラシーレベル）の開講科目は各学部で異なるものの、ネットワーク情報学部および国際コミュニケーション学部日本語学科においては開講科目の全てを必修科目としている。
　経営学部においては全ての開講科目（４科目）のうち、３科目を必修科目に設定しており、残る１科目は選択必修科目に位置付けられているものの、当該科目は履修を希望する全ての学生が履修できるように対応している。
　文学部ジャーナリズム学科においては、⑧に記載のとおり、令和５年度にカリキュラム改正を行うことによって、他学科と比べて著しく高い修了要件となっていた状況の見直しを図る。
　一方、これらを除く全ての学部・学科においては、基礎的なデータ分析の手法や統計学について、「情報入門１・２（情報基礎Ⅰ・Ⅱ）」を履修することとなるが、⑧に記載のとおり、履修を希望する全ての学生が履修可能となるように、令和５年度は「情報入門１」「情報入門２」の展開増等を計画している。</t>
    <rPh sb="60" eb="62">
      <t>コクサイ</t>
    </rPh>
    <rPh sb="71" eb="73">
      <t>ガクブ</t>
    </rPh>
    <rPh sb="73" eb="78">
      <t>ニホンゴガッカ</t>
    </rPh>
    <phoneticPr fontId="1"/>
  </si>
  <si>
    <t>専修大学数理・データサイエンス・ＡＩ教育関係自己点検・評価実施委員会</t>
    <rPh sb="20" eb="22">
      <t>カンケイ</t>
    </rPh>
    <phoneticPr fontId="1"/>
  </si>
  <si>
    <t>　上述の学生アンケート調査において、設問12では、本プログラムにおける学生の評価を確認することを企図して、「Siデータサイエンス教育プログラムを受講して良かったと思う点を記入してください。」を設定した。本設問は、任意項目であったものの、482名の有効回答数を得ることができた。
　学生からフィードバックされた回答については、テキストマイニングを活用して共起キーワードを分析した結果、「できる」「知る」「学ぶ」「身につける」といった学生の成長実感が、AIやデータを含む多様なキーワードと結びついていることが看取できた。この学生の成長実感は、数理・データサイエンス・ＡＩを「学ぶ楽しさ」を直接的ないしは間接的に証明しているものと考える。なお、学生の【意欲】を確認するために設定した、設問１「Siデータサイエンス教育プログラムに意欲的に参加することができた。」については、肯定回答率の割合が、67.1％となり、７割近くの学生が本プログラムに意欲的に参加していることが確認できた。
　また、専修大学長と専修大学数理・データサイエンス・AI教育運営委員会委員長との対談動画をSiデータサイエンス教育プログラム専用のホームページで紹介するなど、この動画を通じてより多くの学生に数理・データサイエンス・AI教育を受講することの意義を伝えている。</t>
    <phoneticPr fontId="1"/>
  </si>
  <si>
    <t>・情報セキュリティ：機密性、完全性、可用性「情報システム入門」（14回目）
・匿名加工情報、暗号化、パスワード、悪意ある情報搾取「情報システム入門」（14回目）、「情報処理入門」（3、4回目）
・情報漏洩等によるセキュリティ事故の事例紹介「情報システム入門」（14回目）、「情報処理入門」（3、4回目）</t>
    <phoneticPr fontId="1"/>
  </si>
  <si>
    <t>経済学部、法学部、人間科学部</t>
    <phoneticPr fontId="1"/>
  </si>
  <si>
    <t>＜日本文学文化学科・英語英米文学科・哲学科・歴史学科・環境地理学科＞
「情報入門１」「情報入門２」の２科目４単位を取得すること。
＜ジャーナリズム学科＞
必修科目３科目６単位及び次の条件を満たす選択必修科目４単位を含む合計１０単位を修得すること。
【必修】
「情報表現実習（基礎）」「パブリックメディア論」「情報表現実習（応用）」の３科目６単位
【選択必修】
「スポーツ医科学情報」「現代社会とスポーツ」の２科目の中から１科目（２単位）かつ
「心理情報とメンタルマネジメント」「ライフステージと健康情報」「コンディショニングのための情報分析」の３科目の中から１科目（２単位）</t>
    <rPh sb="73" eb="75">
      <t>ガッカ</t>
    </rPh>
    <phoneticPr fontId="1"/>
  </si>
  <si>
    <t>・ビッグデータ、IoT、AI、ロボット「情報入門１」（4回目）
・データ量の増加、計算機の処理性能の向上、AI の⾮連続的進化「情報入門１」（4回目）
・複数技術を組み合わせたAIサービス「情報入門１」（4回目）
・第4 次産業革命、 Society 5.0 、 データ駆動型社会　「情報表現実習（基礎）」（１・８回目）</t>
    <phoneticPr fontId="1"/>
  </si>
  <si>
    <t>・AI最新技術の活用例（深層生成モデル、敵対的生成ネットワーク、強化学習、転移学習など）「情報入門１」（5回目）「情報表現実習（基礎）」（１・８回目）</t>
    <phoneticPr fontId="1"/>
  </si>
  <si>
    <t>・調査データ、実験データ、人の行動ログデータ、機械の稼働ログデータなど「情報入門１」（4回目）
・1次データ、2次データ、データのメタ化「情報入門１」（4回目）
・構造化データ、非構造化データ（文章、画像/動画、音声/音楽など）「情報入門１」（4回目）
・データのオープン化（オープンデータ）「情報入門１」（4回目）
・調査データ「スポーツ医科学情報」（２・３・４・５・９回目）「現代社会とスポーツ」（１１・１２・１３回目）</t>
    <phoneticPr fontId="1"/>
  </si>
  <si>
    <t>・データ・AI活用領域の広がり(生産、消費、文化活動など)「情報入門１」（4回目）
・研究開発、調達、製造、物流、販売、マーケティング、サービスなど「情報入門１」（4回目）
・仮説検証、知識発見、原因究明、計画策定、判断支援、活動代替、新規生成など「情報入門１」（4回目）
・データ・AI活用領域の広がり「スポーツ医科学情報」（２・３・４・５・９回目）「現代社会とスポーツ」（１１・１２・１３回目）</t>
    <phoneticPr fontId="1"/>
  </si>
  <si>
    <t>・データ解析：予測、グルーピング、パターン発見、最適化、シミュレーション・データ同化など「情報入門１」（4回目）「心理情報とメンタルマネジメント」（８回目）「ライフステージと健康情報」（３・１４回目）「コンディショニングのための情報分析」（１４回目）
・データ可視化：複合グラフ、2軸グラフ、多次元の可視化、関係性の可視化、地図上の可視化、挙動・軌跡の可視化、リアルタイム可視化など「情報入門１」（4回目）「コンディショニングのための情報分析」（２回目）
・非構造化データ処理：言語処理、画像/動画処理、音声/音楽処理など「情報入門１」（4回目）
・特化型AIと汎用AI、今のAIで出来ることと出来ないこと、AIとビッグデータ「情報入門１」（4回目）</t>
    <phoneticPr fontId="1"/>
  </si>
  <si>
    <t>・データサイエンスのサイクル（課題抽出と定式化、データの取得・管理・加工、探索的データ解析、データ解析と推論、結果の共有・伝達、課題解決に向けた提案）「情報入門１」（5回目）
・流通、製造、金融、サービス、インフラ、公共、ヘルスケア等におけるデータ・AI利活用事例紹介「情報入門１」（5回目）
・データサイエンスのサイクル（探索的データ解析、データ解析と推論、結果の共有・伝達、課題解決に向けた提案）「心理情報とメンタルマネジメント」（８回目）「ライフステージと健康情報」（３・１４回目）「コンディショニングのための情報分析」（２・１４回目）
・ヘルスケアにおけるデータ・AI利活用事例紹介「心理情報とメンタルマネジメント」（８回目）「ライフステージと健康情報」（３・１４回目）</t>
    <phoneticPr fontId="1"/>
  </si>
  <si>
    <t>・ELSI（Ethical, Legal and Social Issues）「情報入門１」（5回目）
・個人情報保護、EU一般データ保護規則(GDPR)、忘れられる権利、オプトアウト「情報入門１」（5回目）
・データ倫理：データのねつ造、改ざん、盗用、プライバシー保護「情報入門１」（5回目）「パブリックメディア論」（９回目） 
・AI社会原則（公平性、説明責任、透明性、人間中心の判断）「情報入門１」（5回目）「パブリックメディア論」（９回目） 
・データバイアス、アルゴリズムバイアス「情報入門１」（5回目）
・個人情報保護「パブリックメディア論」（１０回目）</t>
    <phoneticPr fontId="1"/>
  </si>
  <si>
    <t>・情報セキュリティ：機密性、完全性、可用性「情報入門１」（5回目）「パブリックメディア論」（１０回目）
・情報漏洩等によるセキュリティ事故の事例紹介「情報入門１」（1回目）「パブリックメディア論」（１０回目）
・匿名加工情報、暗号化、パスワード、悪意ある情報搾取「パブリックメディア論」（１０回目）</t>
    <phoneticPr fontId="1"/>
  </si>
  <si>
    <t>・データ表現（棒グラフ、折線グラフ、散布図、ヒートマップ）「情報入門1」（11回目）「情報入門2」（13回目）「スポーツ医科学情報」（２・３・４・５・９回目）「現代社会とスポーツ」（１１・１２・１３回目）
・データの図表表現（チャート化）「情報入門2」（7回目）
・データの比較（条件をそろえた比較、処理の前後での比較、A/Bテスト)「情報入門1」（9回目）
・不適切なグラフ表現（チャートジャンク、不必要な視覚的要素） 「情報入門1」（11回目）
・優れた可視化事例の紹介（可視化することによって新たな気づきがあった事例など）「情報入門2」（13回目）</t>
    <phoneticPr fontId="1"/>
  </si>
  <si>
    <t>・データの集計（和、平均）「情報入門1」（6,7回目）「情報表現実習（応用）」（９・１２回目）
・データの並び替え、ランキング「情報入門1」（10回目）「情報表現実習（応用）」（９・１２回目）
・データ解析ツール（スプレッドシート）  「情報入門1」（6回目）
・表形式のデータ（csv）「情報入門1」（13回目）</t>
    <phoneticPr fontId="1"/>
  </si>
  <si>
    <t>＜日本語学科＞
「日本語情報処理１」「日本語情報処理２」の２科目４単位を取得すること。
＜異文化コミュニケーション学科＞
「情報入門１」「情報入門２」の２科目４単位を取得すること。</t>
    <phoneticPr fontId="1"/>
  </si>
  <si>
    <t>・ビッグデータ、IoT、AI、ロボット「日本語情報処理1」（1,2回目）「情報入門１」（4回目）
・データ量の増加、計算機の処理性能の向上、AI の⾮連続的進化「日本語情報処理1」（2回目）「情報入門１」（4回目）
・第4 次産業革命、 Society 5.0 、 データ駆動型社会「日本語情報処理1」（2回目）
・複数技術を組み合わせたAIサービス「日本語情報処理1」（2回目）「情報入門１」（4回目）
・人間の知的活動とAIの関係性「日本語情報処理2」（1回目）
・データを起点としたものの見方、人間の知的活動を起点としたものの見方「日本語情報処理2」（1回目）</t>
    <phoneticPr fontId="1"/>
  </si>
  <si>
    <t>・AI最新技術の活用例（深層生成モデル、敵対的生成ネットワーク、強化学習、転移学習など）「日本語情報処理1」（9回目）「情報入門１」（5回目）</t>
    <phoneticPr fontId="1"/>
  </si>
  <si>
    <t>・調査データ、実験データ、人の行動ログデータ、機械の稼働ログデータなど「日本語情報処理1」（2,3回目）「情報入門１」（4回目）
・1次データ、2次データ、データのメタ化「日本語情報処理1」（2,3回目）「情報入門１」（4回目）
・構造化データ、非構造化データ（文章、画像/動画、音声/音楽など）「日本語情報処理1」（2,3回目）「情報入門１」（4回目）
・データ作成（ビッグデータとアノテーション）「日本語情報処理2」（1, 3回目）
・データのオープン化（オープンデータ）「日本語情報処理1」（2回目）「日本語情報処理2」（3回目）「情報入門１」（4回目）</t>
    <phoneticPr fontId="1"/>
  </si>
  <si>
    <t>・データ・AI活用領域の広がり(生産、消費、文化活動など)「日本語情報処理1」（2,4回目）「情報入門１」（4回目）
・研究開発、調達、製造、物流、販売、マーケティング、サービスなど「日本語情報処理1」（2回目）「情報入門１」（4回目）
・仮説検証、知識発見、原因究明、計画策定、判断支援、活動代替、新規生成など「日本語情報処理1」（2回目）「情報入門１」（4回目）</t>
    <phoneticPr fontId="1"/>
  </si>
  <si>
    <t>・データ解析：予測、グルーピング、パターン発見、最適化、シミュレーション・データ同化など「日本語情報処理1」（2回目）「情報入門１」（4回目）
・データ可視化：複合グラフ、2軸グラフ、多次元の可視化、関係性の可視化、地図上の可視化、挙動・軌跡の可視化、リアルタイム可視化など「日本語情報処理1」（2,5回目）「情報入門１」（4回目）
・非構造化データ処理：言語処理、画像/動画処理、音声/音楽処理など「日本語情報処理1」（2,3回目）「情報入門１」（4回目）
・特化型AIと汎用AI、今のAIで出来ることと出来ないこと、AIとビッグデータ「日本語情報処理1」（2,5回目）「情報入門１」（4回目）</t>
    <phoneticPr fontId="1"/>
  </si>
  <si>
    <t>・データサイエンスのサイクル（課題抽出と定式化、データの取得・管理・加工、探索的データ解析、データ解析と推論、結果の共有・伝達、課題解決に向けた提案）「日本語情報処理1」（9回目）「情報入門１」（5回目）
・流通、製造、金融、サービス、インフラ、公共、ヘルスケア等におけるデータ・AI利活用事例紹介「日本語情報処理1」（6,9回目）「情報入門１」（5回目）</t>
    <phoneticPr fontId="1"/>
  </si>
  <si>
    <t>・ELSI（Ethical, Legal and Social Issues）「日本語情報処理1」（7,9回目）「情報入門１」（5回目）
・個人情報保護、EU一般データ保護規則(GDPR)、忘れられる権利、オプトアウト「日本語情報処理1」（7,9回目）「情報入門１」（5回目）
・データ倫理：データのねつ造、改ざん、盗用、プライバシー保護「日本語情報処理1」（7,9回目）「日本語情報処理2」（11, 12回目）「情報入門１」（5回目）
・AI社会原則（公平性、説明責任、透明性、人間中心の判断）「日本語情報処理1」（9回目）「情報入門１」（5回目）
・データバイアス、アルゴリズムバイアス「日本語情報処理1」（9回目）「情報入門１」（5回目）</t>
    <phoneticPr fontId="1"/>
  </si>
  <si>
    <t>・情報セキュリティ：機密性、完全性、可用性「日本語情報処理1」（8,9回目）「情報入門１」（5回目）
・匿名加工情報、暗号化、パスワード、悪意ある情報搾取「日本語情報処理1」（8回目）
・情報漏洩等によるセキュリティ事故の事例紹介「日本語情報処理1」（8,9回目）「情報入門１」（1回目）</t>
    <phoneticPr fontId="1"/>
  </si>
  <si>
    <t>・データ表現（棒グラフ、折線グラフ、散布図、ヒートマップ）「日本語情報処理2」（3, 7回目）「情報入門1」（11回目）「情報入門2」（13回目）
・データの比較（条件をそろえた比較、処理の前後での比較、A/Bテスト)「日本語情報処理2」（3, 7回目）「情報入門1」（9回目）
・優れた可視化事例の紹介（可視化することによって新たな気づきがあった事例など）「日本語情報処理2」（3, 7回目）「情報入門2」（13回目）
・データの図表表現（チャート化）「情報入門2」（7回目）
・不適切なグラフ表現（チャートジャンク、不必要な視覚的要素） 「情報入門1」（11回目）</t>
    <phoneticPr fontId="1"/>
  </si>
  <si>
    <t>・データの集計（和、平均）「日本語情報処理1」（6, 7, 11, 12回目）「日本語情報処理2」（3, 7回目）「情報入門1」（6,7回目）
・データの並び替え、ランキング「日本語情報処理1」（6, 7, 11, 12回目）「日本語情報処理2」（3, 7回目）「情報入門1」（10回目）
・データ解析ツール（スプレッドシート）「日本語情報処理1」（6, 7, 11, 12回目）「日本語情報処理2」（3, 7回目）「情報入門1」（6回目）
・表形式のデータ（csv）「日本語情報処理1」（6, 7, 11, 12回目）「日本語情報処理2」（3, 7回目）「情報入門1」（13回目）</t>
    <phoneticPr fontId="1"/>
  </si>
  <si>
    <t>・データの種類（量的変数、質的変数）「情報入門2」（11回目）
・データの分布(ヒストグラム)と代表値（平均値、中央値、最頻値）「情報入門１」（8回目）「情報入門2」（6回目）
・代表値の性質の違い（実社会では平均値＝最頻値でないことが多い）「情報入門2」（6回目）
・データのばらつき（分散、標準偏差、偏差値）「情報入門2」（6回目）
・観測データに含まれる誤差の扱い「情報入門2」（11回目）
・打ち切りや脱落を含むデータ、層別の必要なデータ「情報入門2」（11回目）
・相関と因果（相関係数、擬似相関、交絡）「情報入門2」（7回目）
・母集団と標本抽出（国勢調査、アンケート調査、全数調査、単純無作為抽出、層別抽出、多段抽出）「情報入門1」（13回目）
・クロス集計表、分割表、相関係数行列、散布図行列「情報入門2」（12回目）
・統計情報の正しい理解（誇張表現に惑わされない）「情報入門1」（11回目）</t>
    <phoneticPr fontId="1"/>
  </si>
  <si>
    <t>・データの種類（量的変数、質的変数）「情報入門2」（11回目）
・データの分布(ヒストグラム)と代表値（平均値、中央値、最頻値）「情報入門１」（8回目）「情報入門2」（6回目）
・代表値の性質の違い（実社会では平均値＝最頻値でないことが多い）「情報入門2」（6回目）
・データのばらつき（分散、標準偏差、偏差値）「情報入門2」（6回目）
・観測データに含まれる誤差の扱い「情報入門2」（11回目）
・打ち切りや脱落を含むデータ、層別の必要なデータ「情報入門2」（11回目）
・相関と因果（相関係数、擬似相関、交絡）「情報入門2」（7回目）
・母集団と標本抽出（国勢調査、アンケート調査、全数調査、単純無作為抽出、層別抽出、多段抽出）「情報入門1」（13回目）
・クロス集計表、分割表、相関係数行列、散布図行列「情報入門2」（12回目）
・統計情報の正しい理解（誇張表現に惑わされない）「情報入門1」（11回目）「スポーツ医科学情報」（２・３・４・５・９回目）「現代社会とスポーツ」（１１・１２・１３回目）</t>
    <phoneticPr fontId="1"/>
  </si>
  <si>
    <t>・データの種類（量的変数、質的変数）「日本語情報処理1」（6, 7, 11, 12回目）「日本語情報処理2」（3, 7回目）「情報入門2」（11回目）
・データの分布(ヒストグラム)と代表値（平均値、中央値、最頻値）「日本語情報処理1」（6, 7, 11, 12回目）「日本語情報処理2」（3, 7回目）「情報入門１」（8回目）「情報入門2」（6回目）
・代表値の性質の違い（実社会では平均値＝最頻値でないことが多い）「日本語情報処理1」（6, 7, 11, 12回目）「日本語情報処理2」（3, 7回目）「情報入門2」（6回目）
・データのばらつき（分散、標準偏差、偏差値）「日本語情報処理1」（6, 7, 11, 12回目）「情報入門2」（6回目）
・打ち切りや脱落を含むデータ、層別の必要なデータ「日本語情報処理1」（6, 7, 11, 12回目）「日本語情報処理2」（3, 7回目）「情報入門2」（11回目）
・母集団と標本抽出（国勢調査、アンケート調査、全数調査、単純無作為抽出、層別抽出、多段抽出）「日本語情報処理1」（6, 7, 11, 12回目）「情報入門1」（13回目）
・クロス集計表、分割表、相関係数行列、散布図行列「日本語情報処理1」（6, 7, 11, 12回目）「日本語情報処理2」（3, 7回目）「情報入門2」（12回目）
・観測データに含まれる誤差の扱い「情報入門2」（11回目）・相関と因果（相関係数、擬似相関、交絡）「情報入門2」（7回目）
・統計情報の正しい理解（誇張表現に惑わされない）「情報入門1」（11回目）</t>
    <phoneticPr fontId="1"/>
  </si>
  <si>
    <t>・データの種類（量的変数、質的変数）「情報基礎Ⅱ」（11回目）
・データの分布(ヒストグラム)と代表値（平均値、中央値、最頻値）「情報基礎Ⅰ」（8回目）「情報基礎Ⅱ」（6回目）
・代表値の性質の違い（実社会では平均値＝最頻値でないことが多い）「情報基礎Ⅱ」（6回目）
・データのばらつき（分散、標準偏差、偏差値）「情報基礎Ⅱ」（6回目）
・観測データに含まれる誤差の扱い「情報基礎Ⅱ」（11回目）
・打ち切りや脱落を含むデータ、層別の必要なデータ「情報基礎Ⅱ」（11回目）
・相関と因果（相関係数、擬似相関、交絡）「情報基礎Ⅱ」（7回目）
・母集団と標本抽出（国勢調査、アンケート調査、全数調査、単純無作為抽出、層別抽出、多段抽出）「情報基礎Ⅰ」（13回目）
・クロス集計表、分割表、相関係数行列、散布図行列「情報基礎Ⅱ」（12回目）
・統計情報の正しい理解（誇張表現に惑わされない）「情報基礎Ⅰ」（11回目）</t>
    <phoneticPr fontId="1"/>
  </si>
  <si>
    <t>・データの種類（量的変数、質的変数）「情報分析基礎」（１回目）
・データの分布(ヒストグラム)と代表値（平均値、中央値、最頻値）「情報分析基礎」（２回目）「情報分析演習」（４回目）
・代表値の性質の違い（実社会では平均値＝最頻値でないことが多い）「情報分析基礎」（２回目）
・データのばらつき（分散、標準偏差、偏差値）「情報分析基礎」（３回目）「情報分析演習」（４回目）
・相関と因果（相関係数、擬似相関、交絡）「情報分析基礎」（４回目）「情報分析演習」（６回目）
・母集団と標本抽出（国勢調査、アンケート調査、全数調査、単純無作為抽出、層別抽出、多段抽出）「情報分析演習」（７・８回目）
・クロス集計表、分割表、相関係数行列、散布図行列「情報分析演習」（６回目）</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</si>
</sst>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12"/>
      <color theme="1"/>
      <name val="Microsoft JhengHei UI"/>
      <family val="3"/>
      <charset val="134"/>
    </font>
    <font>
      <sz val="7"/>
      <color theme="1"/>
      <name val="ＭＳ Ｐゴシック"/>
      <family val="3"/>
      <charset val="128"/>
      <scheme val="minor"/>
    </font>
    <font>
      <sz val="8"/>
      <color theme="1"/>
      <name val="ＭＳ Ｐゴシック"/>
      <family val="3"/>
      <charset val="128"/>
      <scheme val="minor"/>
    </font>
    <font>
      <sz val="11"/>
      <color theme="1"/>
      <name val="Microsoft JhengHei UI"/>
      <family val="3"/>
      <charset val="134"/>
    </font>
    <font>
      <sz val="11"/>
      <color theme="1"/>
      <name val="ＭＳ Ｐゴシック"/>
      <family val="2"/>
      <charset val="128"/>
      <scheme val="minor"/>
    </font>
    <font>
      <sz val="6"/>
      <color theme="1"/>
      <name val="ＭＳ Ｐゴシック"/>
      <family val="3"/>
      <charset val="128"/>
      <scheme val="minor"/>
    </font>
    <font>
      <sz val="11.5"/>
      <color theme="1"/>
      <name val="ＭＳ Ｐゴシック"/>
      <family val="3"/>
      <charset val="128"/>
      <scheme val="minor"/>
    </font>
    <font>
      <sz val="12"/>
      <name val="ＭＳ Ｐゴシック"/>
      <family val="3"/>
      <charset val="128"/>
      <scheme val="minor"/>
    </font>
    <font>
      <sz val="10"/>
      <name val="ＭＳ Ｐゴシック"/>
      <family val="3"/>
      <charset val="128"/>
      <scheme val="minor"/>
    </font>
    <font>
      <sz val="7"/>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hair">
        <color auto="1"/>
      </top>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diagonalDown="1">
      <left style="dotted">
        <color auto="1"/>
      </left>
      <right/>
      <top style="thin">
        <color auto="1"/>
      </top>
      <bottom/>
      <diagonal style="dotted">
        <color auto="1"/>
      </diagonal>
    </border>
    <border diagonalDown="1">
      <left style="hair">
        <color auto="1"/>
      </left>
      <right style="thin">
        <color auto="1"/>
      </right>
      <top style="thin">
        <color auto="1"/>
      </top>
      <bottom/>
      <diagonal style="dotted">
        <color auto="1"/>
      </diagonal>
    </border>
    <border>
      <left style="dotted">
        <color auto="1"/>
      </left>
      <right/>
      <top/>
      <bottom/>
      <diagonal/>
    </border>
    <border>
      <left style="hair">
        <color auto="1"/>
      </left>
      <right style="thin">
        <color auto="1"/>
      </right>
      <top/>
      <bottom/>
      <diagonal/>
    </border>
    <border>
      <left style="thin">
        <color auto="1"/>
      </left>
      <right style="dotted">
        <color auto="1"/>
      </right>
      <top style="hair">
        <color auto="1"/>
      </top>
      <bottom style="hair">
        <color auto="1"/>
      </bottom>
      <diagonal/>
    </border>
    <border diagonalDown="1">
      <left style="dotted">
        <color auto="1"/>
      </left>
      <right/>
      <top style="hair">
        <color auto="1"/>
      </top>
      <bottom style="hair">
        <color auto="1"/>
      </bottom>
      <diagonal style="dotted">
        <color auto="1"/>
      </diagonal>
    </border>
    <border diagonalDown="1">
      <left style="hair">
        <color auto="1"/>
      </left>
      <right style="thin">
        <color auto="1"/>
      </right>
      <top style="hair">
        <color auto="1"/>
      </top>
      <bottom style="hair">
        <color auto="1"/>
      </bottom>
      <diagonal style="dotted">
        <color auto="1"/>
      </diagonal>
    </border>
    <border>
      <left style="dotted">
        <color auto="1"/>
      </left>
      <right/>
      <top style="hair">
        <color auto="1"/>
      </top>
      <bottom style="hair">
        <color auto="1"/>
      </bottom>
      <diagonal/>
    </border>
    <border>
      <left style="thin">
        <color auto="1"/>
      </left>
      <right style="thin">
        <color auto="1"/>
      </right>
      <top style="hair">
        <color auto="1"/>
      </top>
      <bottom style="double">
        <color auto="1"/>
      </bottom>
      <diagonal/>
    </border>
    <border>
      <left style="dotted">
        <color auto="1"/>
      </left>
      <right/>
      <top/>
      <bottom style="double">
        <color auto="1"/>
      </bottom>
      <diagonal/>
    </border>
    <border>
      <left style="hair">
        <color auto="1"/>
      </left>
      <right style="thin">
        <color auto="1"/>
      </right>
      <top/>
      <bottom style="double">
        <color auto="1"/>
      </bottom>
      <diagonal/>
    </border>
    <border>
      <left style="thin">
        <color auto="1"/>
      </left>
      <right style="thin">
        <color auto="1"/>
      </right>
      <top style="double">
        <color auto="1"/>
      </top>
      <bottom style="thin">
        <color auto="1"/>
      </bottom>
      <diagonal/>
    </border>
    <border>
      <left/>
      <right/>
      <top style="double">
        <color auto="1"/>
      </top>
      <bottom style="thin">
        <color auto="1"/>
      </bottom>
      <diagonal/>
    </border>
    <border>
      <left style="thin">
        <color auto="1"/>
      </left>
      <right/>
      <top style="double">
        <color auto="1"/>
      </top>
      <bottom style="thin">
        <color auto="1"/>
      </bottom>
      <diagonal/>
    </border>
    <border>
      <left style="dotted">
        <color auto="1"/>
      </left>
      <right style="hair">
        <color auto="1"/>
      </right>
      <top style="double">
        <color auto="1"/>
      </top>
      <bottom style="thin">
        <color auto="1"/>
      </bottom>
      <diagonal/>
    </border>
    <border>
      <left style="hair">
        <color auto="1"/>
      </left>
      <right style="thin">
        <color auto="1"/>
      </right>
      <top style="double">
        <color auto="1"/>
      </top>
      <bottom style="thin">
        <color auto="1"/>
      </bottom>
      <diagonal/>
    </border>
    <border>
      <left style="hair">
        <color auto="1"/>
      </left>
      <right/>
      <top style="hair">
        <color auto="1"/>
      </top>
      <bottom style="hair">
        <color auto="1"/>
      </bottom>
      <diagonal/>
    </border>
    <border>
      <left style="hair">
        <color auto="1"/>
      </left>
      <right/>
      <top style="hair">
        <color auto="1"/>
      </top>
      <bottom style="thin">
        <color indexed="64"/>
      </bottom>
      <diagonal/>
    </border>
    <border>
      <left/>
      <right/>
      <top/>
      <bottom style="hair">
        <color auto="1"/>
      </bottom>
      <diagonal/>
    </border>
    <border>
      <left/>
      <right style="thin">
        <color auto="1"/>
      </right>
      <top/>
      <bottom style="hair">
        <color auto="1"/>
      </bottom>
      <diagonal/>
    </border>
    <border>
      <left style="thin">
        <color auto="1"/>
      </left>
      <right/>
      <top/>
      <bottom style="hair">
        <color auto="1"/>
      </bottom>
      <diagonal/>
    </border>
    <border>
      <left style="thin">
        <color auto="1"/>
      </left>
      <right style="thin">
        <color auto="1"/>
      </right>
      <top/>
      <bottom style="hair">
        <color auto="1"/>
      </bottom>
      <diagonal/>
    </border>
    <border>
      <left style="thin">
        <color auto="1"/>
      </left>
      <right style="thin">
        <color auto="1"/>
      </right>
      <top style="hair">
        <color auto="1"/>
      </top>
      <bottom/>
      <diagonal/>
    </border>
  </borders>
  <cellStyleXfs count="3">
    <xf numFmtId="0" fontId="0" fillId="0" borderId="0">
      <alignment vertical="center"/>
    </xf>
    <xf numFmtId="38" fontId="11" fillId="0" borderId="0" applyFont="0" applyFill="0" applyBorder="0" applyAlignment="0" applyProtection="0">
      <alignment vertical="center"/>
    </xf>
    <xf numFmtId="9" fontId="11" fillId="0" borderId="0" applyFont="0" applyFill="0" applyBorder="0" applyAlignment="0" applyProtection="0">
      <alignment vertical="center"/>
    </xf>
  </cellStyleXfs>
  <cellXfs count="334">
    <xf numFmtId="0" fontId="0" fillId="0" borderId="0" xfId="0">
      <alignment vertical="center"/>
    </xf>
    <xf numFmtId="0" fontId="2" fillId="0" borderId="0" xfId="0" applyFont="1">
      <alignment vertical="center"/>
    </xf>
    <xf numFmtId="0" fontId="4" fillId="0" borderId="0" xfId="0" applyFont="1">
      <alignment vertical="center"/>
    </xf>
    <xf numFmtId="0" fontId="2" fillId="0" borderId="0" xfId="0" applyFont="1" applyAlignment="1">
      <alignment horizontal="center" vertical="center"/>
    </xf>
    <xf numFmtId="0" fontId="2" fillId="0" borderId="0" xfId="0" applyFont="1" applyAlignment="1">
      <alignment vertical="center" shrinkToFit="1"/>
    </xf>
    <xf numFmtId="0" fontId="2" fillId="0" borderId="0" xfId="0" applyFont="1" applyAlignment="1">
      <alignment horizontal="left" vertical="center"/>
    </xf>
    <xf numFmtId="0" fontId="2" fillId="0" borderId="0" xfId="0" applyFont="1" applyAlignment="1">
      <alignment vertical="top" wrapTex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0" xfId="0" applyFont="1" applyBorder="1" applyAlignment="1">
      <alignment horizontal="center" vertical="center" shrinkToFit="1"/>
    </xf>
    <xf numFmtId="0" fontId="2" fillId="0" borderId="0" xfId="0" applyFont="1" applyAlignment="1">
      <alignment horizontal="center" vertical="center" shrinkToFit="1"/>
    </xf>
    <xf numFmtId="49" fontId="3" fillId="0" borderId="35" xfId="0" applyNumberFormat="1" applyFont="1" applyBorder="1" applyAlignment="1">
      <alignment horizontal="center" vertical="center"/>
    </xf>
    <xf numFmtId="49" fontId="3" fillId="0" borderId="36" xfId="0" applyNumberFormat="1" applyFont="1" applyBorder="1" applyAlignment="1">
      <alignment horizontal="center" vertical="center"/>
    </xf>
    <xf numFmtId="49" fontId="3" fillId="0" borderId="31" xfId="0" applyNumberFormat="1" applyFont="1" applyBorder="1" applyAlignment="1">
      <alignment horizontal="center" vertical="center"/>
    </xf>
    <xf numFmtId="49" fontId="3" fillId="0" borderId="21" xfId="0" applyNumberFormat="1" applyFont="1" applyBorder="1" applyAlignment="1">
      <alignment horizontal="center" vertical="center"/>
    </xf>
    <xf numFmtId="49" fontId="3" fillId="0" borderId="34" xfId="0" applyNumberFormat="1" applyFont="1" applyBorder="1" applyAlignment="1">
      <alignment horizontal="center" vertical="center"/>
    </xf>
    <xf numFmtId="49" fontId="3" fillId="0" borderId="23"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4" fillId="0" borderId="0" xfId="0" applyFont="1" applyAlignment="1">
      <alignment horizontal="center" vertical="center"/>
    </xf>
    <xf numFmtId="0" fontId="2" fillId="0" borderId="5" xfId="0" applyFont="1" applyBorder="1">
      <alignment vertical="center"/>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0" fontId="2" fillId="0" borderId="0" xfId="0" applyFont="1" applyAlignment="1">
      <alignment vertical="center" wrapText="1"/>
    </xf>
    <xf numFmtId="0" fontId="2" fillId="0" borderId="0" xfId="0" applyFont="1" applyAlignment="1">
      <alignment horizontal="right" vertical="center"/>
    </xf>
    <xf numFmtId="0" fontId="5" fillId="0" borderId="0" xfId="0" applyFont="1" applyAlignment="1">
      <alignment horizontal="center" vertical="center"/>
    </xf>
    <xf numFmtId="0" fontId="9" fillId="0" borderId="11" xfId="0" applyFont="1" applyBorder="1" applyAlignment="1">
      <alignment horizontal="center" vertical="center"/>
    </xf>
    <xf numFmtId="0" fontId="9" fillId="0" borderId="40" xfId="0" applyFont="1" applyBorder="1" applyAlignment="1">
      <alignment horizontal="center" vertical="center"/>
    </xf>
    <xf numFmtId="0" fontId="9" fillId="0" borderId="41" xfId="0" applyFont="1" applyBorder="1" applyAlignment="1">
      <alignment horizontal="center" vertical="center"/>
    </xf>
    <xf numFmtId="0" fontId="2" fillId="0" borderId="14" xfId="0" applyFont="1" applyBorder="1" applyAlignment="1">
      <alignment horizontal="left" vertical="center" shrinkToFit="1"/>
    </xf>
    <xf numFmtId="38" fontId="2" fillId="0" borderId="38" xfId="1" applyFont="1" applyBorder="1" applyAlignment="1">
      <alignment vertical="center" shrinkToFit="1"/>
    </xf>
    <xf numFmtId="38" fontId="2" fillId="0" borderId="0" xfId="1" applyFont="1" applyAlignment="1">
      <alignment vertical="center" shrinkToFit="1"/>
    </xf>
    <xf numFmtId="38" fontId="2" fillId="0" borderId="5" xfId="1" applyFont="1" applyBorder="1" applyAlignment="1">
      <alignment vertical="center" shrinkToFit="1"/>
    </xf>
    <xf numFmtId="38" fontId="2" fillId="0" borderId="42" xfId="1" applyFont="1" applyBorder="1" applyAlignment="1">
      <alignment vertical="center" shrinkToFit="1"/>
    </xf>
    <xf numFmtId="38" fontId="2" fillId="0" borderId="43" xfId="1" applyFont="1" applyBorder="1" applyAlignment="1">
      <alignment vertical="center" shrinkToFit="1"/>
    </xf>
    <xf numFmtId="38" fontId="2" fillId="0" borderId="44" xfId="1" applyFont="1" applyBorder="1" applyAlignment="1">
      <alignment vertical="center" shrinkToFit="1"/>
    </xf>
    <xf numFmtId="38" fontId="2" fillId="0" borderId="45" xfId="1" applyFont="1" applyBorder="1" applyAlignment="1">
      <alignment vertical="center" shrinkToFit="1"/>
    </xf>
    <xf numFmtId="9" fontId="2" fillId="0" borderId="37" xfId="0" applyNumberFormat="1" applyFont="1" applyBorder="1" applyAlignment="1">
      <alignment vertical="center" shrinkToFit="1"/>
    </xf>
    <xf numFmtId="0" fontId="2" fillId="0" borderId="20" xfId="0" applyFont="1" applyBorder="1" applyAlignment="1">
      <alignment horizontal="left" vertical="center" shrinkToFit="1"/>
    </xf>
    <xf numFmtId="38" fontId="2" fillId="0" borderId="20" xfId="1" applyFont="1" applyBorder="1" applyAlignment="1">
      <alignment vertical="center" shrinkToFit="1"/>
    </xf>
    <xf numFmtId="38" fontId="2" fillId="0" borderId="17" xfId="1" applyFont="1" applyBorder="1" applyAlignment="1">
      <alignment vertical="center" shrinkToFit="1"/>
    </xf>
    <xf numFmtId="38" fontId="2" fillId="0" borderId="16" xfId="1" applyFont="1" applyBorder="1" applyAlignment="1">
      <alignment vertical="center" shrinkToFit="1"/>
    </xf>
    <xf numFmtId="38" fontId="2" fillId="0" borderId="46" xfId="1" applyFont="1" applyBorder="1" applyAlignment="1">
      <alignment vertical="center" shrinkToFit="1"/>
    </xf>
    <xf numFmtId="38" fontId="2" fillId="0" borderId="47" xfId="1" applyFont="1" applyBorder="1" applyAlignment="1">
      <alignment vertical="center" shrinkToFit="1"/>
    </xf>
    <xf numFmtId="38" fontId="2" fillId="0" borderId="48" xfId="1" applyFont="1" applyBorder="1" applyAlignment="1">
      <alignment vertical="center" shrinkToFit="1"/>
    </xf>
    <xf numFmtId="38" fontId="2" fillId="0" borderId="49" xfId="1" applyFont="1" applyBorder="1" applyAlignment="1">
      <alignment vertical="center" shrinkToFit="1"/>
    </xf>
    <xf numFmtId="38" fontId="2" fillId="0" borderId="23" xfId="1" applyFont="1" applyBorder="1" applyAlignment="1">
      <alignment vertical="center" shrinkToFit="1"/>
    </xf>
    <xf numFmtId="9" fontId="2" fillId="0" borderId="20" xfId="0" applyNumberFormat="1" applyFont="1" applyBorder="1" applyAlignment="1">
      <alignment vertical="center" shrinkToFit="1"/>
    </xf>
    <xf numFmtId="38" fontId="2" fillId="0" borderId="15" xfId="1" applyFont="1" applyBorder="1" applyAlignment="1">
      <alignment vertical="center" shrinkToFit="1"/>
    </xf>
    <xf numFmtId="0" fontId="2" fillId="0" borderId="50" xfId="0" applyFont="1" applyBorder="1" applyAlignment="1">
      <alignment horizontal="left" vertical="center" shrinkToFit="1"/>
    </xf>
    <xf numFmtId="38" fontId="2" fillId="0" borderId="10" xfId="1" applyFont="1" applyBorder="1" applyAlignment="1">
      <alignment vertical="center" shrinkToFit="1"/>
    </xf>
    <xf numFmtId="38" fontId="2" fillId="0" borderId="51" xfId="1" applyFont="1" applyBorder="1" applyAlignment="1">
      <alignment vertical="center" shrinkToFit="1"/>
    </xf>
    <xf numFmtId="38" fontId="2" fillId="0" borderId="52" xfId="1" applyFont="1" applyBorder="1" applyAlignment="1">
      <alignment vertical="center" shrinkToFit="1"/>
    </xf>
    <xf numFmtId="9" fontId="2" fillId="0" borderId="10" xfId="0" applyNumberFormat="1" applyFont="1" applyBorder="1" applyAlignment="1">
      <alignment vertical="center" shrinkToFit="1"/>
    </xf>
    <xf numFmtId="0" fontId="2" fillId="0" borderId="53" xfId="0" applyFont="1" applyBorder="1" applyAlignment="1">
      <alignment horizontal="center" vertical="center" shrinkToFit="1"/>
    </xf>
    <xf numFmtId="38" fontId="2" fillId="0" borderId="53" xfId="1" applyFont="1" applyBorder="1" applyAlignment="1">
      <alignment vertical="center" shrinkToFit="1"/>
    </xf>
    <xf numFmtId="38" fontId="2" fillId="0" borderId="54" xfId="1" applyFont="1" applyBorder="1" applyAlignment="1">
      <alignment vertical="center" shrinkToFit="1"/>
    </xf>
    <xf numFmtId="38" fontId="2" fillId="0" borderId="55" xfId="1" applyFont="1" applyBorder="1" applyAlignment="1">
      <alignment vertical="center" shrinkToFit="1"/>
    </xf>
    <xf numFmtId="38" fontId="2" fillId="0" borderId="56" xfId="1" applyFont="1" applyBorder="1" applyAlignment="1">
      <alignment vertical="center" shrinkToFit="1"/>
    </xf>
    <xf numFmtId="38" fontId="2" fillId="0" borderId="57" xfId="1" applyFont="1" applyBorder="1" applyAlignment="1">
      <alignment vertical="center" shrinkToFit="1"/>
    </xf>
    <xf numFmtId="9" fontId="2" fillId="0" borderId="53" xfId="0" applyNumberFormat="1" applyFont="1" applyBorder="1" applyAlignment="1">
      <alignment vertical="center" shrinkToFit="1"/>
    </xf>
    <xf numFmtId="0" fontId="3" fillId="0" borderId="0" xfId="0" applyFont="1">
      <alignment vertical="center"/>
    </xf>
    <xf numFmtId="0" fontId="2" fillId="0" borderId="1" xfId="0" applyFont="1" applyFill="1" applyBorder="1" applyAlignment="1">
      <alignment horizontal="center" vertical="center"/>
    </xf>
    <xf numFmtId="0" fontId="2" fillId="0" borderId="0" xfId="0" applyFont="1" applyFill="1" applyAlignment="1">
      <alignment horizontal="center" vertical="center"/>
    </xf>
    <xf numFmtId="0" fontId="4" fillId="0" borderId="0" xfId="0" applyFont="1" applyAlignment="1">
      <alignment horizontal="left" vertical="center"/>
    </xf>
    <xf numFmtId="0" fontId="3" fillId="0" borderId="0" xfId="0" applyFont="1" applyAlignment="1">
      <alignment vertical="top" wrapText="1"/>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2"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0" borderId="1" xfId="0" applyFont="1" applyBorder="1" applyAlignment="1">
      <alignment horizontal="left" vertical="center"/>
    </xf>
    <xf numFmtId="0" fontId="2" fillId="2" borderId="5" xfId="0" applyFont="1" applyFill="1" applyBorder="1">
      <alignment vertical="center"/>
    </xf>
    <xf numFmtId="0" fontId="3" fillId="2" borderId="0" xfId="0" applyFont="1" applyFill="1" applyAlignment="1">
      <alignment vertical="top" wrapText="1"/>
    </xf>
    <xf numFmtId="0" fontId="3" fillId="2" borderId="10" xfId="0" applyFont="1" applyFill="1" applyBorder="1" applyAlignment="1">
      <alignment vertical="top" wrapText="1"/>
    </xf>
    <xf numFmtId="0" fontId="2" fillId="2" borderId="0" xfId="0" applyFont="1" applyFill="1">
      <alignment vertical="center"/>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60" xfId="0" applyFont="1" applyFill="1" applyBorder="1" applyAlignment="1">
      <alignment vertical="top" wrapText="1"/>
    </xf>
    <xf numFmtId="0" fontId="3" fillId="2" borderId="61" xfId="0" applyFont="1" applyFill="1" applyBorder="1" applyAlignment="1">
      <alignment vertical="top" wrapText="1"/>
    </xf>
    <xf numFmtId="0" fontId="3" fillId="2" borderId="60" xfId="0" applyFont="1" applyFill="1" applyBorder="1" applyAlignment="1">
      <alignment vertical="top" shrinkToFit="1"/>
    </xf>
    <xf numFmtId="0" fontId="3" fillId="2" borderId="61" xfId="0" applyFont="1" applyFill="1" applyBorder="1" applyAlignment="1">
      <alignment vertical="top" shrinkToFit="1"/>
    </xf>
    <xf numFmtId="0" fontId="2" fillId="0" borderId="37" xfId="0" applyFont="1" applyBorder="1" applyAlignment="1">
      <alignment horizontal="center" vertical="center" shrinkToFit="1"/>
    </xf>
    <xf numFmtId="0" fontId="2" fillId="0" borderId="63" xfId="0" applyFont="1" applyBorder="1" applyAlignment="1">
      <alignment horizontal="center" vertical="center" shrinkToFit="1"/>
    </xf>
    <xf numFmtId="0" fontId="2" fillId="0" borderId="64" xfId="0" applyFont="1" applyBorder="1" applyAlignment="1">
      <alignment horizontal="center" vertical="center" shrinkToFit="1"/>
    </xf>
    <xf numFmtId="0" fontId="2" fillId="0" borderId="24" xfId="0" applyFont="1" applyBorder="1" applyAlignment="1">
      <alignment vertical="center" shrinkToFit="1"/>
    </xf>
    <xf numFmtId="0" fontId="2" fillId="0" borderId="26" xfId="0" applyFont="1" applyBorder="1" applyAlignment="1">
      <alignment vertical="center" shrinkToFit="1"/>
    </xf>
    <xf numFmtId="0" fontId="2" fillId="0" borderId="25" xfId="0" applyFont="1" applyBorder="1" applyAlignment="1">
      <alignment vertical="center" shrinkToFit="1"/>
    </xf>
    <xf numFmtId="0" fontId="2" fillId="0" borderId="16" xfId="0" applyFont="1" applyBorder="1" applyAlignment="1">
      <alignment vertical="center" shrinkToFit="1"/>
    </xf>
    <xf numFmtId="0" fontId="2" fillId="0" borderId="17" xfId="0" applyFont="1" applyBorder="1" applyAlignment="1">
      <alignment vertical="center" shrinkToFit="1"/>
    </xf>
    <xf numFmtId="0" fontId="2" fillId="0" borderId="15"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27" xfId="0" applyFont="1" applyBorder="1" applyAlignment="1">
      <alignment vertical="center" shrinkToFit="1"/>
    </xf>
    <xf numFmtId="0" fontId="2" fillId="0" borderId="28" xfId="0" applyFont="1" applyBorder="1" applyAlignment="1">
      <alignment vertical="center" shrinkToFit="1"/>
    </xf>
    <xf numFmtId="0" fontId="2" fillId="0" borderId="29" xfId="0" applyFont="1" applyBorder="1" applyAlignment="1">
      <alignment vertical="center" shrinkToFit="1"/>
    </xf>
    <xf numFmtId="0" fontId="2" fillId="0" borderId="0" xfId="0" applyFont="1" applyAlignment="1">
      <alignment vertical="center" wrapText="1"/>
    </xf>
    <xf numFmtId="0" fontId="3" fillId="0" borderId="32" xfId="0" applyFont="1" applyBorder="1" applyAlignment="1">
      <alignment vertical="center" wrapText="1"/>
    </xf>
    <xf numFmtId="0" fontId="3" fillId="0" borderId="22" xfId="0" applyFont="1" applyBorder="1" applyAlignment="1">
      <alignment vertical="center" wrapText="1"/>
    </xf>
    <xf numFmtId="0" fontId="3" fillId="0" borderId="33" xfId="0" applyFont="1" applyBorder="1" applyAlignment="1">
      <alignment vertical="center" wrapText="1"/>
    </xf>
    <xf numFmtId="0" fontId="8" fillId="0" borderId="26" xfId="0" applyFont="1" applyBorder="1" applyAlignment="1">
      <alignment vertical="center" wrapText="1" shrinkToFit="1"/>
    </xf>
    <xf numFmtId="0" fontId="8" fillId="0" borderId="26" xfId="0" applyFont="1" applyBorder="1" applyAlignment="1">
      <alignment vertical="center" shrinkToFit="1"/>
    </xf>
    <xf numFmtId="0" fontId="8" fillId="0" borderId="25" xfId="0" applyFont="1" applyBorder="1" applyAlignment="1">
      <alignment vertical="center"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6" fillId="0" borderId="2" xfId="0" applyFont="1" applyBorder="1" applyAlignment="1">
      <alignment horizontal="center" vertical="center" shrinkToFit="1"/>
    </xf>
    <xf numFmtId="0" fontId="6" fillId="0" borderId="4" xfId="0" applyFont="1" applyBorder="1" applyAlignment="1">
      <alignment horizontal="center" vertical="center" shrinkToFit="1"/>
    </xf>
    <xf numFmtId="0" fontId="2" fillId="0" borderId="24" xfId="0" applyFont="1" applyBorder="1" applyAlignment="1">
      <alignment horizontal="center" vertical="center" shrinkToFit="1"/>
    </xf>
    <xf numFmtId="0" fontId="2" fillId="0" borderId="26" xfId="0" applyFont="1" applyBorder="1" applyAlignment="1">
      <alignment horizontal="center" vertical="center" shrinkToFit="1"/>
    </xf>
    <xf numFmtId="0" fontId="2" fillId="0" borderId="25" xfId="0" applyFont="1" applyBorder="1" applyAlignment="1">
      <alignment horizontal="center" vertical="center" shrinkToFit="1"/>
    </xf>
    <xf numFmtId="0" fontId="2" fillId="0" borderId="16"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15"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27" xfId="0" applyFont="1" applyBorder="1" applyAlignment="1">
      <alignment horizontal="center" vertical="center" shrinkToFit="1"/>
    </xf>
    <xf numFmtId="0" fontId="2" fillId="0" borderId="28" xfId="0" applyFont="1" applyBorder="1" applyAlignment="1">
      <alignment horizontal="center" vertical="center" shrinkToFit="1"/>
    </xf>
    <xf numFmtId="0" fontId="2" fillId="0" borderId="29" xfId="0" applyFont="1" applyBorder="1" applyAlignment="1">
      <alignment horizontal="center" vertical="center" shrinkToFit="1"/>
    </xf>
    <xf numFmtId="0" fontId="2" fillId="0" borderId="19" xfId="0" applyFont="1" applyBorder="1" applyAlignment="1">
      <alignment horizontal="left" vertical="center" wrapText="1" shrinkToFit="1"/>
    </xf>
    <xf numFmtId="0" fontId="2" fillId="0" borderId="19" xfId="0" applyFont="1" applyBorder="1" applyAlignment="1">
      <alignment horizontal="left" vertical="center" shrinkToFit="1"/>
    </xf>
    <xf numFmtId="0" fontId="2" fillId="0" borderId="18" xfId="0" applyFont="1" applyBorder="1" applyAlignment="1">
      <alignment horizontal="left" vertical="center" shrinkToFit="1"/>
    </xf>
    <xf numFmtId="0" fontId="2" fillId="0" borderId="26" xfId="0" applyFont="1" applyBorder="1" applyAlignment="1">
      <alignment horizontal="left" vertical="center" wrapText="1" shrinkToFit="1"/>
    </xf>
    <xf numFmtId="0" fontId="2" fillId="0" borderId="26" xfId="0" applyFont="1" applyBorder="1" applyAlignment="1">
      <alignment horizontal="left" vertical="center" shrinkToFit="1"/>
    </xf>
    <xf numFmtId="0" fontId="2" fillId="0" borderId="25" xfId="0" applyFont="1" applyBorder="1" applyAlignment="1">
      <alignment horizontal="left" vertical="center"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28" xfId="0" applyFont="1" applyBorder="1" applyAlignment="1">
      <alignment horizontal="left" vertical="center" wrapText="1" shrinkToFit="1"/>
    </xf>
    <xf numFmtId="0" fontId="2" fillId="0" borderId="28" xfId="0" applyFont="1" applyBorder="1" applyAlignment="1">
      <alignment horizontal="left" vertical="center" shrinkToFit="1"/>
    </xf>
    <xf numFmtId="0" fontId="2" fillId="0" borderId="29" xfId="0" applyFont="1" applyBorder="1" applyAlignment="1">
      <alignment horizontal="left" vertical="center" shrinkToFit="1"/>
    </xf>
    <xf numFmtId="0" fontId="4" fillId="0" borderId="16" xfId="0" applyFont="1" applyBorder="1" applyAlignment="1">
      <alignment vertical="center" wrapText="1" shrinkToFit="1"/>
    </xf>
    <xf numFmtId="0" fontId="4" fillId="0" borderId="17" xfId="0" applyFont="1" applyBorder="1" applyAlignment="1">
      <alignment vertical="center" shrinkToFit="1"/>
    </xf>
    <xf numFmtId="0" fontId="4" fillId="0" borderId="15" xfId="0" applyFont="1" applyBorder="1" applyAlignment="1">
      <alignment vertical="center" shrinkToFit="1"/>
    </xf>
    <xf numFmtId="0" fontId="2" fillId="0" borderId="0" xfId="0" applyFont="1" applyAlignment="1">
      <alignment horizontal="right" vertical="center"/>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4" xfId="0" applyFont="1" applyBorder="1" applyAlignment="1">
      <alignment horizontal="center" vertical="center" shrinkToFit="1"/>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5"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4" fillId="0" borderId="8" xfId="0" applyFont="1" applyBorder="1" applyAlignment="1">
      <alignment horizontal="left" vertical="center" wrapText="1" shrinkToFit="1"/>
    </xf>
    <xf numFmtId="0" fontId="4" fillId="0" borderId="8" xfId="0" applyFont="1" applyBorder="1" applyAlignment="1">
      <alignment horizontal="left" vertical="center" shrinkToFit="1"/>
    </xf>
    <xf numFmtId="0" fontId="4" fillId="0" borderId="9" xfId="0" applyFont="1" applyBorder="1" applyAlignment="1">
      <alignment horizontal="left" vertical="center" shrinkToFit="1"/>
    </xf>
    <xf numFmtId="0" fontId="3" fillId="0" borderId="26" xfId="0" applyFont="1" applyBorder="1" applyAlignment="1">
      <alignment vertical="center" wrapText="1" shrinkToFit="1"/>
    </xf>
    <xf numFmtId="0" fontId="3" fillId="0" borderId="26" xfId="0" applyFont="1" applyBorder="1" applyAlignment="1">
      <alignment vertical="center" shrinkToFit="1"/>
    </xf>
    <xf numFmtId="0" fontId="3" fillId="0" borderId="25" xfId="0" applyFont="1" applyBorder="1" applyAlignment="1">
      <alignment vertical="center" shrinkToFit="1"/>
    </xf>
    <xf numFmtId="0" fontId="2" fillId="0" borderId="16" xfId="0" applyFont="1" applyBorder="1" applyAlignment="1">
      <alignment vertical="center" wrapText="1" shrinkToFit="1"/>
    </xf>
    <xf numFmtId="0" fontId="3" fillId="0" borderId="7" xfId="0" applyFont="1" applyBorder="1" applyAlignment="1">
      <alignment horizontal="left" vertical="top" wrapText="1" shrinkToFit="1"/>
    </xf>
    <xf numFmtId="0" fontId="3" fillId="0" borderId="8" xfId="0" applyFont="1" applyBorder="1" applyAlignment="1">
      <alignment horizontal="left" vertical="top" wrapText="1" shrinkToFit="1"/>
    </xf>
    <xf numFmtId="0" fontId="3" fillId="0" borderId="9" xfId="0" applyFont="1" applyBorder="1" applyAlignment="1">
      <alignment horizontal="left" vertical="top" wrapText="1" shrinkToFit="1"/>
    </xf>
    <xf numFmtId="0" fontId="3" fillId="0" borderId="5" xfId="0" applyFont="1" applyBorder="1" applyAlignment="1">
      <alignment horizontal="left" vertical="top" wrapText="1" shrinkToFit="1"/>
    </xf>
    <xf numFmtId="0" fontId="3" fillId="0" borderId="0" xfId="0" applyFont="1" applyAlignment="1">
      <alignment horizontal="left" vertical="top" wrapText="1" shrinkToFit="1"/>
    </xf>
    <xf numFmtId="0" fontId="3" fillId="0" borderId="10" xfId="0" applyFont="1" applyBorder="1" applyAlignment="1">
      <alignment horizontal="left" vertical="top" wrapText="1" shrinkToFit="1"/>
    </xf>
    <xf numFmtId="0" fontId="3" fillId="0" borderId="11" xfId="0" applyFont="1" applyBorder="1" applyAlignment="1">
      <alignment horizontal="left" vertical="top" wrapText="1" shrinkToFit="1"/>
    </xf>
    <xf numFmtId="0" fontId="3" fillId="0" borderId="6" xfId="0" applyFont="1" applyBorder="1" applyAlignment="1">
      <alignment horizontal="left" vertical="top" wrapText="1" shrinkToFit="1"/>
    </xf>
    <xf numFmtId="0" fontId="3" fillId="0" borderId="12" xfId="0" applyFont="1" applyBorder="1" applyAlignment="1">
      <alignment horizontal="left" vertical="top" wrapText="1" shrinkToFit="1"/>
    </xf>
    <xf numFmtId="0" fontId="2" fillId="0" borderId="7" xfId="0" applyFont="1" applyBorder="1" applyAlignment="1">
      <alignment vertical="center" shrinkToFit="1"/>
    </xf>
    <xf numFmtId="0" fontId="2" fillId="0" borderId="8" xfId="0" applyFont="1" applyBorder="1" applyAlignment="1">
      <alignment vertical="center" shrinkToFit="1"/>
    </xf>
    <xf numFmtId="0" fontId="2" fillId="0" borderId="9" xfId="0" applyFont="1" applyBorder="1" applyAlignment="1">
      <alignment vertical="center" shrinkToFit="1"/>
    </xf>
    <xf numFmtId="0" fontId="2" fillId="0" borderId="62" xfId="0" applyFont="1" applyBorder="1" applyAlignment="1">
      <alignment vertical="center" shrinkToFit="1"/>
    </xf>
    <xf numFmtId="0" fontId="2" fillId="0" borderId="60" xfId="0" applyFont="1" applyBorder="1" applyAlignment="1">
      <alignment vertical="center" shrinkToFit="1"/>
    </xf>
    <xf numFmtId="0" fontId="2" fillId="0" borderId="61" xfId="0" applyFont="1" applyBorder="1" applyAlignment="1">
      <alignment vertical="center" shrinkToFit="1"/>
    </xf>
    <xf numFmtId="0" fontId="6" fillId="0" borderId="26" xfId="0" applyFont="1" applyBorder="1" applyAlignment="1">
      <alignment horizontal="left" vertical="center" wrapText="1" shrinkToFit="1"/>
    </xf>
    <xf numFmtId="0" fontId="6" fillId="0" borderId="26" xfId="0" applyFont="1" applyBorder="1" applyAlignment="1">
      <alignment horizontal="left" vertical="center" shrinkToFit="1"/>
    </xf>
    <xf numFmtId="0" fontId="6" fillId="0" borderId="25" xfId="0" applyFont="1" applyBorder="1" applyAlignment="1">
      <alignment horizontal="left" vertical="center" shrinkToFit="1"/>
    </xf>
    <xf numFmtId="0" fontId="3" fillId="0" borderId="6" xfId="0" applyFont="1" applyBorder="1" applyAlignment="1">
      <alignment horizontal="left" vertical="center" wrapText="1" shrinkToFit="1"/>
    </xf>
    <xf numFmtId="0" fontId="3" fillId="0" borderId="6" xfId="0" applyFont="1" applyBorder="1" applyAlignment="1">
      <alignment horizontal="left" vertical="center" shrinkToFit="1"/>
    </xf>
    <xf numFmtId="0" fontId="3" fillId="0" borderId="12" xfId="0" applyFont="1" applyBorder="1" applyAlignment="1">
      <alignment horizontal="left" vertical="center" shrinkToFit="1"/>
    </xf>
    <xf numFmtId="0" fontId="6" fillId="0" borderId="8" xfId="0" applyFont="1" applyBorder="1" applyAlignment="1">
      <alignment horizontal="left" vertical="center" wrapText="1" shrinkToFit="1"/>
    </xf>
    <xf numFmtId="0" fontId="6" fillId="0" borderId="8" xfId="0" applyFont="1" applyBorder="1" applyAlignment="1">
      <alignment horizontal="left" vertical="center" shrinkToFit="1"/>
    </xf>
    <xf numFmtId="0" fontId="6" fillId="0" borderId="9" xfId="0" applyFont="1" applyBorder="1" applyAlignment="1">
      <alignment horizontal="left" vertical="center" shrinkToFit="1"/>
    </xf>
    <xf numFmtId="0" fontId="6" fillId="0" borderId="26" xfId="0" applyFont="1" applyBorder="1" applyAlignment="1">
      <alignment vertical="center" wrapText="1" shrinkToFit="1"/>
    </xf>
    <xf numFmtId="0" fontId="6" fillId="0" borderId="26" xfId="0" applyFont="1" applyBorder="1" applyAlignment="1">
      <alignment vertical="center" shrinkToFit="1"/>
    </xf>
    <xf numFmtId="0" fontId="6" fillId="0" borderId="25" xfId="0" applyFont="1" applyBorder="1" applyAlignment="1">
      <alignment vertical="center" shrinkToFit="1"/>
    </xf>
    <xf numFmtId="0" fontId="2" fillId="0" borderId="39" xfId="0" applyFont="1" applyBorder="1" applyAlignment="1">
      <alignment vertical="center" shrinkToFit="1"/>
    </xf>
    <xf numFmtId="0" fontId="2" fillId="0" borderId="19" xfId="0" applyFont="1" applyBorder="1" applyAlignment="1">
      <alignment vertical="center" shrinkToFit="1"/>
    </xf>
    <xf numFmtId="0" fontId="2" fillId="0" borderId="18" xfId="0" applyFont="1" applyBorder="1" applyAlignment="1">
      <alignment vertical="center" shrinkToFit="1"/>
    </xf>
    <xf numFmtId="0" fontId="15" fillId="0" borderId="8" xfId="0" applyFont="1" applyBorder="1" applyAlignment="1">
      <alignment horizontal="left" vertical="center" wrapText="1" shrinkToFit="1"/>
    </xf>
    <xf numFmtId="0" fontId="15" fillId="0" borderId="8" xfId="0" applyFont="1" applyBorder="1" applyAlignment="1">
      <alignment horizontal="left" vertical="center" shrinkToFit="1"/>
    </xf>
    <xf numFmtId="0" fontId="15" fillId="0" borderId="9" xfId="0" applyFont="1" applyBorder="1" applyAlignment="1">
      <alignment horizontal="left" vertical="center" shrinkToFit="1"/>
    </xf>
    <xf numFmtId="0" fontId="14" fillId="0" borderId="19" xfId="0" applyFont="1" applyBorder="1" applyAlignment="1">
      <alignment horizontal="left" vertical="center" wrapText="1" shrinkToFit="1"/>
    </xf>
    <xf numFmtId="0" fontId="14" fillId="0" borderId="19" xfId="0" applyFont="1" applyBorder="1" applyAlignment="1">
      <alignment horizontal="left" vertical="center" shrinkToFit="1"/>
    </xf>
    <xf numFmtId="0" fontId="14" fillId="0" borderId="18" xfId="0" applyFont="1" applyBorder="1" applyAlignment="1">
      <alignment horizontal="left" vertical="center" shrinkToFit="1"/>
    </xf>
    <xf numFmtId="0" fontId="15" fillId="0" borderId="26" xfId="0" applyFont="1" applyBorder="1" applyAlignment="1">
      <alignment horizontal="left" vertical="center" wrapText="1" shrinkToFit="1"/>
    </xf>
    <xf numFmtId="0" fontId="15" fillId="0" borderId="26" xfId="0" applyFont="1" applyBorder="1" applyAlignment="1">
      <alignment horizontal="left" vertical="center" shrinkToFit="1"/>
    </xf>
    <xf numFmtId="0" fontId="15" fillId="0" borderId="25" xfId="0" applyFont="1" applyBorder="1" applyAlignment="1">
      <alignment horizontal="left" vertical="center" shrinkToFit="1"/>
    </xf>
    <xf numFmtId="0" fontId="14" fillId="0" borderId="28" xfId="0" applyFont="1" applyBorder="1" applyAlignment="1">
      <alignment horizontal="left" vertical="center" wrapText="1" shrinkToFit="1"/>
    </xf>
    <xf numFmtId="0" fontId="14" fillId="0" borderId="28" xfId="0" applyFont="1" applyBorder="1" applyAlignment="1">
      <alignment horizontal="left" vertical="center" shrinkToFit="1"/>
    </xf>
    <xf numFmtId="0" fontId="14" fillId="0" borderId="29" xfId="0" applyFont="1" applyBorder="1" applyAlignment="1">
      <alignment horizontal="left" vertical="center" shrinkToFit="1"/>
    </xf>
    <xf numFmtId="0" fontId="16" fillId="0" borderId="26" xfId="0" applyFont="1" applyBorder="1" applyAlignment="1">
      <alignment vertical="center" wrapText="1" shrinkToFit="1"/>
    </xf>
    <xf numFmtId="0" fontId="16" fillId="0" borderId="26" xfId="0" applyFont="1" applyBorder="1" applyAlignment="1">
      <alignment vertical="center" shrinkToFit="1"/>
    </xf>
    <xf numFmtId="0" fontId="16" fillId="0" borderId="25" xfId="0" applyFont="1" applyBorder="1" applyAlignment="1">
      <alignment vertical="center" shrinkToFit="1"/>
    </xf>
    <xf numFmtId="0" fontId="15" fillId="0" borderId="16" xfId="0" applyFont="1" applyBorder="1" applyAlignment="1">
      <alignment vertical="center" wrapText="1" shrinkToFit="1"/>
    </xf>
    <xf numFmtId="0" fontId="15" fillId="0" borderId="17" xfId="0" applyFont="1" applyBorder="1" applyAlignment="1">
      <alignment vertical="center" shrinkToFit="1"/>
    </xf>
    <xf numFmtId="0" fontId="15" fillId="0" borderId="15" xfId="0" applyFont="1" applyBorder="1" applyAlignment="1">
      <alignment vertical="center" shrinkToFit="1"/>
    </xf>
    <xf numFmtId="0" fontId="15" fillId="0" borderId="6" xfId="0" applyFont="1" applyBorder="1" applyAlignment="1">
      <alignment vertical="center" wrapText="1" shrinkToFit="1"/>
    </xf>
    <xf numFmtId="0" fontId="15" fillId="0" borderId="6" xfId="0" applyFont="1" applyBorder="1" applyAlignment="1">
      <alignment vertical="center" shrinkToFit="1"/>
    </xf>
    <xf numFmtId="0" fontId="15" fillId="0" borderId="12" xfId="0" applyFont="1" applyBorder="1" applyAlignment="1">
      <alignment vertical="center" shrinkToFit="1"/>
    </xf>
    <xf numFmtId="0" fontId="14" fillId="0" borderId="6" xfId="0" applyFont="1" applyBorder="1" applyAlignment="1">
      <alignment horizontal="left" vertical="center" wrapText="1" shrinkToFit="1"/>
    </xf>
    <xf numFmtId="0" fontId="14" fillId="0" borderId="6" xfId="0" applyFont="1" applyBorder="1" applyAlignment="1">
      <alignment horizontal="left" vertical="center" shrinkToFit="1"/>
    </xf>
    <xf numFmtId="0" fontId="14" fillId="0" borderId="12" xfId="0" applyFont="1" applyBorder="1" applyAlignment="1">
      <alignment horizontal="left" vertical="center" shrinkToFit="1"/>
    </xf>
    <xf numFmtId="0" fontId="4" fillId="0" borderId="39" xfId="0" applyFont="1" applyBorder="1" applyAlignment="1">
      <alignment horizontal="center" vertical="center"/>
    </xf>
    <xf numFmtId="0" fontId="4" fillId="0" borderId="19" xfId="0" applyFont="1" applyBorder="1" applyAlignment="1">
      <alignment horizontal="center" vertical="center"/>
    </xf>
    <xf numFmtId="0" fontId="2" fillId="0" borderId="14" xfId="0" applyFont="1" applyBorder="1" applyAlignment="1">
      <alignment horizontal="center" vertical="center"/>
    </xf>
    <xf numFmtId="0" fontId="8" fillId="0" borderId="37" xfId="0" applyFont="1" applyBorder="1" applyAlignment="1">
      <alignment horizontal="center" vertical="center" wrapText="1"/>
    </xf>
    <xf numFmtId="0" fontId="8" fillId="0" borderId="38" xfId="0" applyFont="1" applyBorder="1" applyAlignment="1">
      <alignment horizontal="center" vertical="center" wrapText="1"/>
    </xf>
    <xf numFmtId="0" fontId="8" fillId="0" borderId="13" xfId="0"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12"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37" xfId="0" applyFont="1" applyBorder="1" applyAlignment="1">
      <alignment horizontal="center" vertical="center"/>
    </xf>
    <xf numFmtId="0" fontId="2" fillId="0" borderId="38" xfId="0" applyFont="1" applyBorder="1" applyAlignment="1">
      <alignment horizontal="center" vertical="center"/>
    </xf>
    <xf numFmtId="0" fontId="2" fillId="0" borderId="13" xfId="0" applyFont="1" applyBorder="1" applyAlignment="1">
      <alignment horizontal="center" vertical="center"/>
    </xf>
    <xf numFmtId="0" fontId="6" fillId="0" borderId="37" xfId="0" applyFont="1" applyBorder="1" applyAlignment="1">
      <alignment horizontal="center" vertical="center" wrapText="1"/>
    </xf>
    <xf numFmtId="0" fontId="6" fillId="0" borderId="38" xfId="0" applyFont="1" applyBorder="1" applyAlignment="1">
      <alignment horizontal="center" vertical="center" wrapText="1"/>
    </xf>
    <xf numFmtId="0" fontId="6" fillId="0" borderId="13" xfId="0" applyFont="1" applyBorder="1" applyAlignment="1">
      <alignment horizontal="center" vertical="center"/>
    </xf>
    <xf numFmtId="0" fontId="6" fillId="0" borderId="8" xfId="0" applyFont="1" applyBorder="1" applyAlignment="1">
      <alignment horizontal="center" vertical="center" wrapText="1"/>
    </xf>
    <xf numFmtId="0" fontId="6" fillId="0" borderId="0" xfId="0" applyFont="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wrapText="1"/>
    </xf>
    <xf numFmtId="0" fontId="6" fillId="0" borderId="5" xfId="0" applyFont="1" applyBorder="1" applyAlignment="1">
      <alignment horizontal="center" vertical="center" wrapText="1"/>
    </xf>
    <xf numFmtId="0" fontId="6" fillId="0" borderId="11"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9" fontId="2" fillId="0" borderId="1" xfId="0" applyNumberFormat="1" applyFont="1" applyBorder="1" applyAlignment="1">
      <alignment horizontal="center" vertical="center"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3" fillId="0" borderId="7" xfId="0" applyFont="1" applyBorder="1" applyAlignment="1">
      <alignment horizontal="left" vertical="top" wrapText="1"/>
    </xf>
    <xf numFmtId="0" fontId="13" fillId="0" borderId="8" xfId="0" applyFont="1" applyBorder="1" applyAlignment="1">
      <alignment horizontal="left" vertical="top" wrapText="1"/>
    </xf>
    <xf numFmtId="0" fontId="13" fillId="0" borderId="9" xfId="0" applyFont="1" applyBorder="1" applyAlignment="1">
      <alignment horizontal="left" vertical="top" wrapText="1"/>
    </xf>
    <xf numFmtId="0" fontId="13" fillId="0" borderId="5" xfId="0" applyFont="1" applyBorder="1" applyAlignment="1">
      <alignment horizontal="left" vertical="top" wrapText="1"/>
    </xf>
    <xf numFmtId="0" fontId="13" fillId="0" borderId="0" xfId="0" applyFont="1" applyAlignment="1">
      <alignment horizontal="left" vertical="top" wrapText="1"/>
    </xf>
    <xf numFmtId="0" fontId="13" fillId="0" borderId="10" xfId="0" applyFont="1" applyBorder="1" applyAlignment="1">
      <alignment horizontal="left" vertical="top" wrapText="1"/>
    </xf>
    <xf numFmtId="0" fontId="13" fillId="0" borderId="11" xfId="0" applyFont="1" applyBorder="1" applyAlignment="1">
      <alignment horizontal="left" vertical="top" wrapText="1"/>
    </xf>
    <xf numFmtId="0" fontId="13" fillId="0" borderId="6" xfId="0" applyFont="1" applyBorder="1" applyAlignment="1">
      <alignment horizontal="left" vertical="top" wrapText="1"/>
    </xf>
    <xf numFmtId="0" fontId="13" fillId="0" borderId="12" xfId="0" applyFont="1" applyBorder="1" applyAlignment="1">
      <alignment horizontal="lef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0" xfId="0" applyFont="1" applyAlignment="1">
      <alignment horizontal="center" vertical="center"/>
    </xf>
    <xf numFmtId="0" fontId="2" fillId="0" borderId="2" xfId="0" applyFont="1" applyBorder="1" applyAlignment="1">
      <alignment horizontal="left" vertical="center"/>
    </xf>
    <xf numFmtId="0" fontId="4" fillId="0" borderId="3" xfId="0" applyFont="1" applyBorder="1" applyAlignment="1">
      <alignment horizontal="left" vertical="center"/>
    </xf>
    <xf numFmtId="0" fontId="4" fillId="0" borderId="4" xfId="0" applyFont="1" applyBorder="1" applyAlignment="1">
      <alignment horizontal="left" vertical="center"/>
    </xf>
    <xf numFmtId="0" fontId="4" fillId="0" borderId="3" xfId="0" applyFont="1" applyBorder="1">
      <alignment vertical="center"/>
    </xf>
    <xf numFmtId="0" fontId="4" fillId="0" borderId="4" xfId="0" applyFont="1" applyBorder="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62" xfId="0" applyFont="1" applyBorder="1" applyAlignment="1">
      <alignment vertical="center" wrapText="1"/>
    </xf>
    <xf numFmtId="0" fontId="2" fillId="0" borderId="60" xfId="0" applyFont="1" applyBorder="1" applyAlignment="1">
      <alignment vertical="center" wrapText="1"/>
    </xf>
    <xf numFmtId="0" fontId="2" fillId="0" borderId="61" xfId="0" applyFont="1" applyBorder="1" applyAlignment="1">
      <alignment vertical="center" wrapText="1"/>
    </xf>
    <xf numFmtId="0" fontId="2" fillId="0" borderId="60" xfId="0" applyFont="1" applyBorder="1" applyAlignment="1">
      <alignment vertical="top" wrapText="1" shrinkToFit="1"/>
    </xf>
    <xf numFmtId="0" fontId="2" fillId="0" borderId="61"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59" xfId="0" applyFont="1" applyBorder="1" applyAlignment="1">
      <alignment vertical="center" wrapText="1"/>
    </xf>
    <xf numFmtId="0" fontId="2" fillId="0" borderId="29" xfId="0" applyFont="1" applyBorder="1" applyAlignment="1">
      <alignment vertical="center" wrapText="1"/>
    </xf>
    <xf numFmtId="0" fontId="2" fillId="0" borderId="27" xfId="0" applyFont="1" applyBorder="1" applyAlignment="1">
      <alignment vertical="top" wrapText="1" shrinkToFit="1"/>
    </xf>
    <xf numFmtId="0" fontId="2" fillId="0" borderId="28" xfId="0" applyFont="1" applyBorder="1" applyAlignment="1">
      <alignment vertical="top" wrapText="1" shrinkToFit="1"/>
    </xf>
    <xf numFmtId="0" fontId="2" fillId="0" borderId="29" xfId="0" applyFont="1" applyBorder="1" applyAlignment="1">
      <alignment vertical="top" wrapText="1" shrinkToFit="1"/>
    </xf>
    <xf numFmtId="0" fontId="2" fillId="0" borderId="58" xfId="0" applyFont="1" applyBorder="1" applyAlignment="1">
      <alignment vertical="center" wrapText="1"/>
    </xf>
    <xf numFmtId="0" fontId="2" fillId="0" borderId="15" xfId="0" applyFont="1" applyBorder="1" applyAlignment="1">
      <alignment vertical="center" wrapText="1"/>
    </xf>
    <xf numFmtId="0" fontId="2" fillId="0" borderId="17" xfId="0" applyFont="1" applyBorder="1" applyAlignment="1">
      <alignment vertical="top" wrapText="1" shrinkToFit="1"/>
    </xf>
    <xf numFmtId="0" fontId="2" fillId="0" borderId="15" xfId="0" applyFont="1" applyBorder="1" applyAlignment="1">
      <alignment vertical="top" wrapText="1" shrinkToFit="1"/>
    </xf>
    <xf numFmtId="0" fontId="2" fillId="0" borderId="58" xfId="0" applyFont="1" applyBorder="1">
      <alignment vertical="center"/>
    </xf>
    <xf numFmtId="0" fontId="4" fillId="0" borderId="15" xfId="0" applyFont="1" applyBorder="1">
      <alignment vertical="center"/>
    </xf>
    <xf numFmtId="0" fontId="2" fillId="0" borderId="16" xfId="0" applyFont="1" applyBorder="1" applyAlignment="1">
      <alignment vertical="top" wrapText="1" shrinkToFit="1"/>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2" builtinId="5"/>
    <cellStyle name="桁区切り" xfId="1" builtinId="6"/>
    <cellStyle name="標準" xfId="0" builtinId="0"/>
  </cellStyles>
  <dxfs count="6">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abSelected="1" zoomScaleNormal="100" zoomScaleSheetLayoutView="100" workbookViewId="0">
      <selection activeCell="A33" sqref="A33:S34"/>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48" t="s">
        <v>119</v>
      </c>
      <c r="S1" s="148"/>
      <c r="T1" s="2" t="s">
        <v>30</v>
      </c>
    </row>
    <row r="2" spans="1:22" ht="18.75" customHeight="1" x14ac:dyDescent="0.15">
      <c r="B2" s="19" t="s">
        <v>29</v>
      </c>
      <c r="C2" s="97" t="s">
        <v>112</v>
      </c>
      <c r="D2" s="98"/>
      <c r="E2" s="98"/>
      <c r="F2" s="98"/>
      <c r="G2" s="98"/>
      <c r="H2" s="98"/>
      <c r="I2" s="99"/>
      <c r="J2" s="20"/>
      <c r="K2" s="4"/>
      <c r="L2" s="4"/>
      <c r="M2" s="4"/>
      <c r="N2" s="4"/>
      <c r="O2" s="4"/>
      <c r="P2" s="4"/>
      <c r="Q2" s="4"/>
      <c r="R2" s="4"/>
      <c r="S2" s="4"/>
    </row>
    <row r="3" spans="1:22" ht="18.75" customHeight="1" x14ac:dyDescent="0.15">
      <c r="B3" s="19" t="s">
        <v>26</v>
      </c>
      <c r="C3" s="152" t="s">
        <v>111</v>
      </c>
      <c r="D3" s="153"/>
      <c r="E3" s="153"/>
      <c r="F3" s="153"/>
      <c r="G3" s="153"/>
      <c r="H3" s="153"/>
      <c r="I3" s="154"/>
      <c r="J3" s="20"/>
      <c r="K3" s="4"/>
      <c r="L3" s="4"/>
      <c r="M3" s="4"/>
      <c r="N3" s="4"/>
      <c r="O3" s="4"/>
      <c r="P3" s="4"/>
      <c r="Q3" s="4"/>
      <c r="R3" s="4"/>
      <c r="S3" s="4"/>
    </row>
    <row r="4" spans="1:22" ht="15" customHeight="1" x14ac:dyDescent="0.15">
      <c r="K4" s="20"/>
      <c r="L4" s="21"/>
      <c r="M4" s="21"/>
      <c r="N4" s="21"/>
      <c r="O4" s="21"/>
      <c r="P4" s="21"/>
      <c r="Q4" s="21"/>
      <c r="R4" s="21"/>
      <c r="S4" s="21"/>
    </row>
    <row r="5" spans="1:22" ht="18" customHeight="1" x14ac:dyDescent="0.15">
      <c r="A5" s="155" t="s">
        <v>0</v>
      </c>
      <c r="B5" s="155"/>
      <c r="C5" s="155"/>
      <c r="D5" s="155"/>
      <c r="E5" s="155"/>
      <c r="F5" s="155"/>
      <c r="G5" s="155"/>
      <c r="H5" s="155"/>
      <c r="I5" s="155"/>
      <c r="J5" s="155"/>
      <c r="K5" s="155"/>
      <c r="L5" s="155"/>
      <c r="M5" s="155"/>
      <c r="N5" s="155"/>
      <c r="O5" s="155"/>
      <c r="P5" s="155"/>
      <c r="Q5" s="155"/>
      <c r="R5" s="155"/>
      <c r="S5" s="155"/>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44</v>
      </c>
      <c r="C7" s="3"/>
      <c r="J7" s="22" t="s">
        <v>28</v>
      </c>
      <c r="K7" s="165" t="s">
        <v>46</v>
      </c>
      <c r="L7" s="166"/>
      <c r="M7" s="166"/>
      <c r="N7" s="166"/>
      <c r="O7" s="166"/>
      <c r="P7" s="166"/>
      <c r="Q7" s="166"/>
      <c r="R7" s="166"/>
      <c r="S7" s="167"/>
    </row>
    <row r="8" spans="1:22" ht="6" customHeight="1" x14ac:dyDescent="0.15">
      <c r="B8" s="3"/>
      <c r="C8" s="3"/>
      <c r="D8" s="3"/>
      <c r="E8" s="3"/>
      <c r="F8" s="3"/>
      <c r="G8" s="3"/>
      <c r="H8" s="3"/>
      <c r="I8" s="3"/>
      <c r="J8" s="3"/>
      <c r="K8" s="5"/>
      <c r="L8" s="3"/>
      <c r="M8" s="3"/>
      <c r="N8" s="3"/>
      <c r="O8" s="3"/>
      <c r="P8" s="3"/>
      <c r="Q8" s="3"/>
      <c r="R8" s="3"/>
      <c r="S8" s="3"/>
    </row>
    <row r="9" spans="1:22" ht="18" customHeight="1" x14ac:dyDescent="0.15">
      <c r="B9" s="168" t="s">
        <v>239</v>
      </c>
      <c r="C9" s="169"/>
      <c r="D9" s="169"/>
      <c r="E9" s="169"/>
      <c r="F9" s="169"/>
      <c r="G9" s="169"/>
      <c r="H9" s="169"/>
      <c r="I9" s="169"/>
      <c r="J9" s="169"/>
      <c r="K9" s="169"/>
      <c r="L9" s="169"/>
      <c r="M9" s="169"/>
      <c r="N9" s="169"/>
      <c r="O9" s="169"/>
      <c r="P9" s="169"/>
      <c r="Q9" s="169"/>
      <c r="R9" s="169"/>
      <c r="S9" s="170"/>
    </row>
    <row r="10" spans="1:22" ht="18" customHeight="1" x14ac:dyDescent="0.15">
      <c r="B10" s="171"/>
      <c r="C10" s="172"/>
      <c r="D10" s="172"/>
      <c r="E10" s="172"/>
      <c r="F10" s="172"/>
      <c r="G10" s="172"/>
      <c r="H10" s="172"/>
      <c r="I10" s="172"/>
      <c r="J10" s="172"/>
      <c r="K10" s="172"/>
      <c r="L10" s="172"/>
      <c r="M10" s="172"/>
      <c r="N10" s="172"/>
      <c r="O10" s="172"/>
      <c r="P10" s="172"/>
      <c r="Q10" s="172"/>
      <c r="R10" s="172"/>
      <c r="S10" s="173"/>
    </row>
    <row r="11" spans="1:22" ht="6" customHeight="1" x14ac:dyDescent="0.15">
      <c r="B11" s="3"/>
      <c r="C11" s="3"/>
      <c r="D11" s="3"/>
      <c r="E11" s="3"/>
      <c r="F11" s="3"/>
      <c r="G11" s="3"/>
      <c r="H11" s="3"/>
      <c r="I11" s="3"/>
      <c r="J11" s="3"/>
      <c r="K11" s="5"/>
      <c r="L11" s="3"/>
      <c r="M11" s="3"/>
      <c r="N11" s="3"/>
      <c r="O11" s="3"/>
      <c r="P11" s="3"/>
      <c r="Q11" s="3"/>
      <c r="R11" s="3"/>
      <c r="S11" s="3"/>
    </row>
    <row r="12" spans="1:22" ht="18" customHeight="1" x14ac:dyDescent="0.15">
      <c r="A12" s="1" t="s">
        <v>32</v>
      </c>
      <c r="B12" s="3"/>
      <c r="C12" s="3"/>
      <c r="D12" s="20"/>
      <c r="E12" s="20"/>
      <c r="F12" s="20"/>
      <c r="G12" s="20"/>
      <c r="H12" s="20"/>
      <c r="I12" s="20"/>
      <c r="J12" s="20"/>
      <c r="K12" s="23"/>
      <c r="L12" s="23"/>
      <c r="M12" s="23"/>
      <c r="N12" s="23"/>
      <c r="O12" s="23"/>
      <c r="P12" s="23"/>
      <c r="Q12" s="23"/>
      <c r="R12" s="23"/>
      <c r="S12" s="23"/>
    </row>
    <row r="13" spans="1:22" ht="18" customHeight="1" x14ac:dyDescent="0.15">
      <c r="B13" s="156" t="s">
        <v>47</v>
      </c>
      <c r="C13" s="157"/>
      <c r="D13" s="157"/>
      <c r="E13" s="157"/>
      <c r="F13" s="157"/>
      <c r="G13" s="157"/>
      <c r="H13" s="157"/>
      <c r="I13" s="157"/>
      <c r="J13" s="157"/>
      <c r="K13" s="157"/>
      <c r="L13" s="157"/>
      <c r="M13" s="157"/>
      <c r="N13" s="157"/>
      <c r="O13" s="157"/>
      <c r="P13" s="157"/>
      <c r="Q13" s="157"/>
      <c r="R13" s="157"/>
      <c r="S13" s="158"/>
      <c r="V13" s="1" t="s">
        <v>27</v>
      </c>
    </row>
    <row r="14" spans="1:22" ht="18" customHeight="1" x14ac:dyDescent="0.15">
      <c r="B14" s="159"/>
      <c r="C14" s="160"/>
      <c r="D14" s="160"/>
      <c r="E14" s="160"/>
      <c r="F14" s="160"/>
      <c r="G14" s="160"/>
      <c r="H14" s="160"/>
      <c r="I14" s="160"/>
      <c r="J14" s="160"/>
      <c r="K14" s="160"/>
      <c r="L14" s="160"/>
      <c r="M14" s="160"/>
      <c r="N14" s="160"/>
      <c r="O14" s="160"/>
      <c r="P14" s="160"/>
      <c r="Q14" s="160"/>
      <c r="R14" s="160"/>
      <c r="S14" s="161"/>
      <c r="V14" s="1" t="s">
        <v>31</v>
      </c>
    </row>
    <row r="15" spans="1:22" ht="18" customHeight="1" x14ac:dyDescent="0.15">
      <c r="B15" s="159"/>
      <c r="C15" s="160"/>
      <c r="D15" s="160"/>
      <c r="E15" s="160"/>
      <c r="F15" s="160"/>
      <c r="G15" s="160"/>
      <c r="H15" s="160"/>
      <c r="I15" s="160"/>
      <c r="J15" s="160"/>
      <c r="K15" s="160"/>
      <c r="L15" s="160"/>
      <c r="M15" s="160"/>
      <c r="N15" s="160"/>
      <c r="O15" s="160"/>
      <c r="P15" s="160"/>
      <c r="Q15" s="160"/>
      <c r="R15" s="160"/>
      <c r="S15" s="161"/>
      <c r="V15" s="1" t="s">
        <v>43</v>
      </c>
    </row>
    <row r="16" spans="1:22" ht="18" customHeight="1" x14ac:dyDescent="0.15">
      <c r="B16" s="159"/>
      <c r="C16" s="160"/>
      <c r="D16" s="160"/>
      <c r="E16" s="160"/>
      <c r="F16" s="160"/>
      <c r="G16" s="160"/>
      <c r="H16" s="160"/>
      <c r="I16" s="160"/>
      <c r="J16" s="160"/>
      <c r="K16" s="160"/>
      <c r="L16" s="160"/>
      <c r="M16" s="160"/>
      <c r="N16" s="160"/>
      <c r="O16" s="160"/>
      <c r="P16" s="160"/>
      <c r="Q16" s="160"/>
      <c r="R16" s="160"/>
      <c r="S16" s="161"/>
      <c r="V16" s="1" t="s">
        <v>45</v>
      </c>
    </row>
    <row r="17" spans="1:19" ht="18" customHeight="1" x14ac:dyDescent="0.15">
      <c r="B17" s="159"/>
      <c r="C17" s="160"/>
      <c r="D17" s="160"/>
      <c r="E17" s="160"/>
      <c r="F17" s="160"/>
      <c r="G17" s="160"/>
      <c r="H17" s="160"/>
      <c r="I17" s="160"/>
      <c r="J17" s="160"/>
      <c r="K17" s="160"/>
      <c r="L17" s="160"/>
      <c r="M17" s="160"/>
      <c r="N17" s="160"/>
      <c r="O17" s="160"/>
      <c r="P17" s="160"/>
      <c r="Q17" s="160"/>
      <c r="R17" s="160"/>
      <c r="S17" s="161"/>
    </row>
    <row r="18" spans="1:19" ht="18" customHeight="1" x14ac:dyDescent="0.15">
      <c r="B18" s="162"/>
      <c r="C18" s="163"/>
      <c r="D18" s="163"/>
      <c r="E18" s="163"/>
      <c r="F18" s="163"/>
      <c r="G18" s="163"/>
      <c r="H18" s="163"/>
      <c r="I18" s="163"/>
      <c r="J18" s="163"/>
      <c r="K18" s="163"/>
      <c r="L18" s="163"/>
      <c r="M18" s="163"/>
      <c r="N18" s="163"/>
      <c r="O18" s="163"/>
      <c r="P18" s="163"/>
      <c r="Q18" s="163"/>
      <c r="R18" s="163"/>
      <c r="S18" s="164"/>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33</v>
      </c>
      <c r="C20" s="97">
        <v>4</v>
      </c>
      <c r="D20" s="99"/>
      <c r="E20" s="24" t="s">
        <v>24</v>
      </c>
      <c r="G20" s="5"/>
      <c r="H20" s="3"/>
      <c r="I20" s="3"/>
      <c r="J20" s="20" t="s">
        <v>42</v>
      </c>
      <c r="K20" s="149" t="s">
        <v>45</v>
      </c>
      <c r="L20" s="150"/>
      <c r="M20" s="150"/>
      <c r="N20" s="150"/>
      <c r="O20" s="150"/>
      <c r="P20" s="150"/>
      <c r="Q20" s="150"/>
      <c r="R20" s="150"/>
      <c r="S20" s="151"/>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03" t="s">
        <v>34</v>
      </c>
      <c r="B22" s="103"/>
      <c r="C22" s="103"/>
      <c r="D22" s="103"/>
      <c r="E22" s="103"/>
      <c r="F22" s="103"/>
      <c r="G22" s="103"/>
      <c r="H22" s="103"/>
      <c r="I22" s="103"/>
      <c r="J22" s="103"/>
      <c r="K22" s="103"/>
      <c r="L22" s="103"/>
      <c r="M22" s="103"/>
      <c r="N22" s="103"/>
      <c r="O22" s="103"/>
      <c r="P22" s="103"/>
      <c r="Q22" s="103"/>
      <c r="R22" s="103"/>
      <c r="S22" s="103"/>
    </row>
    <row r="23" spans="1:19" ht="18" customHeight="1" x14ac:dyDescent="0.15">
      <c r="A23" s="103"/>
      <c r="B23" s="103"/>
      <c r="C23" s="103"/>
      <c r="D23" s="103"/>
      <c r="E23" s="103"/>
      <c r="F23" s="103"/>
      <c r="G23" s="103"/>
      <c r="H23" s="103"/>
      <c r="I23" s="103"/>
      <c r="J23" s="103"/>
      <c r="K23" s="103"/>
      <c r="L23" s="103"/>
      <c r="M23" s="103"/>
      <c r="N23" s="103"/>
      <c r="O23" s="103"/>
      <c r="P23" s="103"/>
      <c r="Q23" s="103"/>
      <c r="R23" s="103"/>
      <c r="S23" s="103"/>
    </row>
    <row r="24" spans="1:19" ht="18" customHeight="1" x14ac:dyDescent="0.15">
      <c r="B24" s="97" t="s">
        <v>1</v>
      </c>
      <c r="C24" s="98"/>
      <c r="D24" s="98"/>
      <c r="E24" s="99"/>
      <c r="F24" s="26" t="s">
        <v>21</v>
      </c>
      <c r="G24" s="25" t="s">
        <v>23</v>
      </c>
      <c r="H24" s="7" t="s">
        <v>4</v>
      </c>
      <c r="I24" s="7" t="s">
        <v>7</v>
      </c>
      <c r="J24" s="97" t="s">
        <v>1</v>
      </c>
      <c r="K24" s="98"/>
      <c r="L24" s="98"/>
      <c r="M24" s="98"/>
      <c r="N24" s="98"/>
      <c r="O24" s="99"/>
      <c r="P24" s="26" t="s">
        <v>21</v>
      </c>
      <c r="Q24" s="25" t="s">
        <v>23</v>
      </c>
      <c r="R24" s="7" t="s">
        <v>4</v>
      </c>
      <c r="S24" s="7" t="s">
        <v>7</v>
      </c>
    </row>
    <row r="25" spans="1:19" ht="18" customHeight="1" x14ac:dyDescent="0.15">
      <c r="B25" s="91" t="s">
        <v>48</v>
      </c>
      <c r="C25" s="92"/>
      <c r="D25" s="92"/>
      <c r="E25" s="93"/>
      <c r="F25" s="8">
        <v>2</v>
      </c>
      <c r="G25" s="8" t="s">
        <v>49</v>
      </c>
      <c r="H25" s="8" t="s">
        <v>49</v>
      </c>
      <c r="I25" s="8" t="s">
        <v>49</v>
      </c>
      <c r="J25" s="91"/>
      <c r="K25" s="92"/>
      <c r="L25" s="92"/>
      <c r="M25" s="92"/>
      <c r="N25" s="92"/>
      <c r="O25" s="93"/>
      <c r="P25" s="8"/>
      <c r="Q25" s="8"/>
      <c r="R25" s="8"/>
      <c r="S25" s="8"/>
    </row>
    <row r="26" spans="1:19" ht="18" customHeight="1" x14ac:dyDescent="0.15">
      <c r="B26" s="94"/>
      <c r="C26" s="95"/>
      <c r="D26" s="95"/>
      <c r="E26" s="96"/>
      <c r="F26" s="9"/>
      <c r="G26" s="9"/>
      <c r="H26" s="9"/>
      <c r="I26" s="9"/>
      <c r="J26" s="94"/>
      <c r="K26" s="95"/>
      <c r="L26" s="95"/>
      <c r="M26" s="95"/>
      <c r="N26" s="95"/>
      <c r="O26" s="96"/>
      <c r="P26" s="9"/>
      <c r="Q26" s="9"/>
      <c r="R26" s="9"/>
      <c r="S26" s="9"/>
    </row>
    <row r="27" spans="1:19" ht="18" customHeight="1" x14ac:dyDescent="0.15">
      <c r="B27" s="94"/>
      <c r="C27" s="95"/>
      <c r="D27" s="95"/>
      <c r="E27" s="96"/>
      <c r="F27" s="9"/>
      <c r="G27" s="9"/>
      <c r="H27" s="9"/>
      <c r="I27" s="9"/>
      <c r="J27" s="94"/>
      <c r="K27" s="95"/>
      <c r="L27" s="95"/>
      <c r="M27" s="95"/>
      <c r="N27" s="95"/>
      <c r="O27" s="96"/>
      <c r="P27" s="9"/>
      <c r="Q27" s="9"/>
      <c r="R27" s="9"/>
      <c r="S27" s="9"/>
    </row>
    <row r="28" spans="1:19" ht="18" customHeight="1" x14ac:dyDescent="0.15">
      <c r="B28" s="94"/>
      <c r="C28" s="95"/>
      <c r="D28" s="95"/>
      <c r="E28" s="96"/>
      <c r="F28" s="9"/>
      <c r="G28" s="9"/>
      <c r="H28" s="9"/>
      <c r="I28" s="9"/>
      <c r="J28" s="94"/>
      <c r="K28" s="95"/>
      <c r="L28" s="95"/>
      <c r="M28" s="95"/>
      <c r="N28" s="95"/>
      <c r="O28" s="96"/>
      <c r="P28" s="9"/>
      <c r="Q28" s="9"/>
      <c r="R28" s="9"/>
      <c r="S28" s="9"/>
    </row>
    <row r="29" spans="1:19" ht="18" customHeight="1" x14ac:dyDescent="0.15">
      <c r="B29" s="94"/>
      <c r="C29" s="95"/>
      <c r="D29" s="95"/>
      <c r="E29" s="96"/>
      <c r="F29" s="9"/>
      <c r="G29" s="9"/>
      <c r="H29" s="9"/>
      <c r="I29" s="9"/>
      <c r="J29" s="94"/>
      <c r="K29" s="95"/>
      <c r="L29" s="95"/>
      <c r="M29" s="95"/>
      <c r="N29" s="95"/>
      <c r="O29" s="96"/>
      <c r="P29" s="9"/>
      <c r="Q29" s="9"/>
      <c r="R29" s="9"/>
      <c r="S29" s="9"/>
    </row>
    <row r="30" spans="1:19" ht="18" customHeight="1" x14ac:dyDescent="0.15">
      <c r="A30" s="3"/>
      <c r="B30" s="94"/>
      <c r="C30" s="95"/>
      <c r="D30" s="95"/>
      <c r="E30" s="96"/>
      <c r="F30" s="9"/>
      <c r="G30" s="9"/>
      <c r="H30" s="9"/>
      <c r="I30" s="9"/>
      <c r="J30" s="94"/>
      <c r="K30" s="95"/>
      <c r="L30" s="95"/>
      <c r="M30" s="95"/>
      <c r="N30" s="95"/>
      <c r="O30" s="96"/>
      <c r="P30" s="9"/>
      <c r="Q30" s="9"/>
      <c r="R30" s="9"/>
      <c r="S30" s="9"/>
    </row>
    <row r="31" spans="1:19" ht="18" customHeight="1" x14ac:dyDescent="0.15">
      <c r="A31" s="3"/>
      <c r="B31" s="100"/>
      <c r="C31" s="101"/>
      <c r="D31" s="101"/>
      <c r="E31" s="102"/>
      <c r="F31" s="10"/>
      <c r="G31" s="10"/>
      <c r="H31" s="11"/>
      <c r="I31" s="11"/>
      <c r="J31" s="100"/>
      <c r="K31" s="101"/>
      <c r="L31" s="101"/>
      <c r="M31" s="101"/>
      <c r="N31" s="101"/>
      <c r="O31" s="102"/>
      <c r="P31" s="10"/>
      <c r="Q31" s="10"/>
      <c r="R31" s="11"/>
      <c r="S31" s="11"/>
    </row>
    <row r="32" spans="1:19" ht="7.5" customHeight="1" x14ac:dyDescent="0.15">
      <c r="A32" s="3"/>
      <c r="B32" s="4"/>
      <c r="C32" s="4"/>
      <c r="D32" s="3"/>
      <c r="E32" s="3"/>
      <c r="F32" s="3"/>
      <c r="G32" s="3"/>
      <c r="H32" s="4"/>
      <c r="I32" s="4"/>
      <c r="J32" s="4"/>
      <c r="K32" s="4"/>
      <c r="L32" s="4"/>
      <c r="M32" s="4"/>
      <c r="N32" s="4"/>
      <c r="O32" s="4"/>
      <c r="P32" s="4"/>
      <c r="Q32" s="4"/>
      <c r="R32" s="4"/>
      <c r="S32" s="3"/>
    </row>
    <row r="33" spans="1:19" ht="18" customHeight="1" x14ac:dyDescent="0.15">
      <c r="A33" s="103" t="s">
        <v>35</v>
      </c>
      <c r="B33" s="103"/>
      <c r="C33" s="103"/>
      <c r="D33" s="103"/>
      <c r="E33" s="103"/>
      <c r="F33" s="103"/>
      <c r="G33" s="103"/>
      <c r="H33" s="103"/>
      <c r="I33" s="103"/>
      <c r="J33" s="103"/>
      <c r="K33" s="103"/>
      <c r="L33" s="103"/>
      <c r="M33" s="103"/>
      <c r="N33" s="103"/>
      <c r="O33" s="103"/>
      <c r="P33" s="103"/>
      <c r="Q33" s="103"/>
      <c r="R33" s="103"/>
      <c r="S33" s="103"/>
    </row>
    <row r="34" spans="1:19" ht="18" customHeight="1" x14ac:dyDescent="0.15">
      <c r="A34" s="103"/>
      <c r="B34" s="103"/>
      <c r="C34" s="103"/>
      <c r="D34" s="103"/>
      <c r="E34" s="103"/>
      <c r="F34" s="103"/>
      <c r="G34" s="103"/>
      <c r="H34" s="103"/>
      <c r="I34" s="103"/>
      <c r="J34" s="103"/>
      <c r="K34" s="103"/>
      <c r="L34" s="103"/>
      <c r="M34" s="103"/>
      <c r="N34" s="103"/>
      <c r="O34" s="103"/>
      <c r="P34" s="103"/>
      <c r="Q34" s="103"/>
      <c r="R34" s="103"/>
      <c r="S34" s="103"/>
    </row>
    <row r="35" spans="1:19" ht="18" customHeight="1" x14ac:dyDescent="0.15">
      <c r="B35" s="97" t="s">
        <v>1</v>
      </c>
      <c r="C35" s="98"/>
      <c r="D35" s="98"/>
      <c r="E35" s="99"/>
      <c r="F35" s="26" t="s">
        <v>21</v>
      </c>
      <c r="G35" s="25" t="s">
        <v>23</v>
      </c>
      <c r="H35" s="7" t="s">
        <v>12</v>
      </c>
      <c r="I35" s="7" t="s">
        <v>13</v>
      </c>
      <c r="J35" s="97" t="s">
        <v>1</v>
      </c>
      <c r="K35" s="98"/>
      <c r="L35" s="98"/>
      <c r="M35" s="98"/>
      <c r="N35" s="98"/>
      <c r="O35" s="99"/>
      <c r="P35" s="26" t="s">
        <v>21</v>
      </c>
      <c r="Q35" s="25" t="s">
        <v>23</v>
      </c>
      <c r="R35" s="7" t="s">
        <v>12</v>
      </c>
      <c r="S35" s="7" t="s">
        <v>13</v>
      </c>
    </row>
    <row r="36" spans="1:19" ht="18" customHeight="1" x14ac:dyDescent="0.15">
      <c r="B36" s="91" t="s">
        <v>48</v>
      </c>
      <c r="C36" s="92"/>
      <c r="D36" s="92"/>
      <c r="E36" s="93"/>
      <c r="F36" s="8">
        <v>2</v>
      </c>
      <c r="G36" s="8" t="s">
        <v>49</v>
      </c>
      <c r="H36" s="8" t="s">
        <v>49</v>
      </c>
      <c r="I36" s="8" t="s">
        <v>49</v>
      </c>
      <c r="J36" s="91"/>
      <c r="K36" s="92"/>
      <c r="L36" s="92"/>
      <c r="M36" s="92"/>
      <c r="N36" s="92"/>
      <c r="O36" s="93"/>
      <c r="P36" s="8"/>
      <c r="Q36" s="8"/>
      <c r="R36" s="8"/>
      <c r="S36" s="8"/>
    </row>
    <row r="37" spans="1:19" ht="18" customHeight="1" x14ac:dyDescent="0.15">
      <c r="B37" s="94"/>
      <c r="C37" s="95"/>
      <c r="D37" s="95"/>
      <c r="E37" s="96"/>
      <c r="F37" s="9"/>
      <c r="G37" s="9"/>
      <c r="H37" s="9"/>
      <c r="I37" s="9"/>
      <c r="J37" s="94"/>
      <c r="K37" s="95"/>
      <c r="L37" s="95"/>
      <c r="M37" s="95"/>
      <c r="N37" s="95"/>
      <c r="O37" s="96"/>
      <c r="P37" s="9"/>
      <c r="Q37" s="9"/>
      <c r="R37" s="9"/>
      <c r="S37" s="9"/>
    </row>
    <row r="38" spans="1:19" ht="18" customHeight="1" x14ac:dyDescent="0.15">
      <c r="B38" s="94"/>
      <c r="C38" s="95"/>
      <c r="D38" s="95"/>
      <c r="E38" s="96"/>
      <c r="F38" s="9"/>
      <c r="G38" s="9"/>
      <c r="H38" s="9"/>
      <c r="I38" s="9"/>
      <c r="J38" s="94"/>
      <c r="K38" s="95"/>
      <c r="L38" s="95"/>
      <c r="M38" s="95"/>
      <c r="N38" s="95"/>
      <c r="O38" s="96"/>
      <c r="P38" s="9"/>
      <c r="Q38" s="9"/>
      <c r="R38" s="9"/>
      <c r="S38" s="9"/>
    </row>
    <row r="39" spans="1:19" ht="18" customHeight="1" x14ac:dyDescent="0.15">
      <c r="B39" s="94"/>
      <c r="C39" s="95"/>
      <c r="D39" s="95"/>
      <c r="E39" s="96"/>
      <c r="F39" s="9"/>
      <c r="G39" s="9"/>
      <c r="H39" s="9"/>
      <c r="I39" s="9"/>
      <c r="J39" s="94"/>
      <c r="K39" s="95"/>
      <c r="L39" s="95"/>
      <c r="M39" s="95"/>
      <c r="N39" s="95"/>
      <c r="O39" s="96"/>
      <c r="P39" s="9"/>
      <c r="Q39" s="9"/>
      <c r="R39" s="9"/>
      <c r="S39" s="9"/>
    </row>
    <row r="40" spans="1:19" ht="18" customHeight="1" x14ac:dyDescent="0.15">
      <c r="B40" s="94"/>
      <c r="C40" s="95"/>
      <c r="D40" s="95"/>
      <c r="E40" s="96"/>
      <c r="F40" s="9"/>
      <c r="G40" s="9"/>
      <c r="H40" s="9"/>
      <c r="I40" s="9"/>
      <c r="J40" s="94"/>
      <c r="K40" s="95"/>
      <c r="L40" s="95"/>
      <c r="M40" s="95"/>
      <c r="N40" s="95"/>
      <c r="O40" s="96"/>
      <c r="P40" s="9"/>
      <c r="Q40" s="9"/>
      <c r="R40" s="9"/>
      <c r="S40" s="9"/>
    </row>
    <row r="41" spans="1:19" ht="18" customHeight="1" x14ac:dyDescent="0.15">
      <c r="B41" s="94"/>
      <c r="C41" s="95"/>
      <c r="D41" s="95"/>
      <c r="E41" s="96"/>
      <c r="F41" s="9"/>
      <c r="G41" s="9"/>
      <c r="H41" s="9"/>
      <c r="I41" s="9"/>
      <c r="J41" s="94"/>
      <c r="K41" s="95"/>
      <c r="L41" s="95"/>
      <c r="M41" s="95"/>
      <c r="N41" s="95"/>
      <c r="O41" s="96"/>
      <c r="P41" s="9"/>
      <c r="Q41" s="9"/>
      <c r="R41" s="9"/>
      <c r="S41" s="9"/>
    </row>
    <row r="42" spans="1:19" ht="18" customHeight="1" x14ac:dyDescent="0.15">
      <c r="B42" s="100"/>
      <c r="C42" s="101"/>
      <c r="D42" s="101"/>
      <c r="E42" s="102"/>
      <c r="F42" s="10"/>
      <c r="G42" s="10"/>
      <c r="H42" s="11"/>
      <c r="I42" s="11"/>
      <c r="J42" s="100"/>
      <c r="K42" s="101"/>
      <c r="L42" s="101"/>
      <c r="M42" s="101"/>
      <c r="N42" s="101"/>
      <c r="O42" s="102"/>
      <c r="P42" s="10"/>
      <c r="Q42" s="10"/>
      <c r="R42" s="11"/>
      <c r="S42" s="11"/>
    </row>
    <row r="43" spans="1:19" ht="7.5" customHeight="1" x14ac:dyDescent="0.15">
      <c r="A43" s="3"/>
      <c r="B43" s="4"/>
      <c r="C43" s="4"/>
      <c r="D43" s="3"/>
      <c r="E43" s="3"/>
      <c r="F43" s="3"/>
      <c r="G43" s="3"/>
      <c r="H43" s="4"/>
      <c r="I43" s="4"/>
      <c r="J43" s="4"/>
      <c r="K43" s="4"/>
      <c r="L43" s="4"/>
      <c r="M43" s="4"/>
      <c r="N43" s="4"/>
      <c r="O43" s="4"/>
      <c r="P43" s="4"/>
      <c r="Q43" s="4"/>
      <c r="R43" s="4"/>
      <c r="S43" s="3"/>
    </row>
    <row r="44" spans="1:19" ht="18" customHeight="1" x14ac:dyDescent="0.15">
      <c r="A44" s="103" t="s">
        <v>36</v>
      </c>
      <c r="B44" s="103"/>
      <c r="C44" s="103"/>
      <c r="D44" s="103"/>
      <c r="E44" s="103"/>
      <c r="F44" s="103"/>
      <c r="G44" s="103"/>
      <c r="H44" s="103"/>
      <c r="I44" s="103"/>
      <c r="J44" s="103"/>
      <c r="K44" s="103"/>
      <c r="L44" s="103"/>
      <c r="M44" s="103"/>
      <c r="N44" s="103"/>
      <c r="O44" s="103"/>
      <c r="P44" s="103"/>
      <c r="Q44" s="103"/>
      <c r="R44" s="103"/>
      <c r="S44" s="103"/>
    </row>
    <row r="45" spans="1:19" ht="18" customHeight="1" x14ac:dyDescent="0.15">
      <c r="A45" s="103"/>
      <c r="B45" s="103"/>
      <c r="C45" s="103"/>
      <c r="D45" s="103"/>
      <c r="E45" s="103"/>
      <c r="F45" s="103"/>
      <c r="G45" s="103"/>
      <c r="H45" s="103"/>
      <c r="I45" s="103"/>
      <c r="J45" s="103"/>
      <c r="K45" s="103"/>
      <c r="L45" s="103"/>
      <c r="M45" s="103"/>
      <c r="N45" s="103"/>
      <c r="O45" s="103"/>
      <c r="P45" s="103"/>
      <c r="Q45" s="103"/>
      <c r="R45" s="103"/>
      <c r="S45" s="103"/>
    </row>
    <row r="46" spans="1:19" ht="18" customHeight="1" x14ac:dyDescent="0.15">
      <c r="B46" s="97" t="s">
        <v>1</v>
      </c>
      <c r="C46" s="98"/>
      <c r="D46" s="98"/>
      <c r="E46" s="99"/>
      <c r="F46" s="26" t="s">
        <v>21</v>
      </c>
      <c r="G46" s="25" t="s">
        <v>23</v>
      </c>
      <c r="H46" s="7" t="s">
        <v>14</v>
      </c>
      <c r="I46" s="7" t="s">
        <v>15</v>
      </c>
      <c r="J46" s="97" t="s">
        <v>1</v>
      </c>
      <c r="K46" s="98"/>
      <c r="L46" s="98"/>
      <c r="M46" s="98"/>
      <c r="N46" s="98"/>
      <c r="O46" s="99"/>
      <c r="P46" s="26" t="s">
        <v>21</v>
      </c>
      <c r="Q46" s="25" t="s">
        <v>23</v>
      </c>
      <c r="R46" s="7" t="s">
        <v>14</v>
      </c>
      <c r="S46" s="7" t="s">
        <v>15</v>
      </c>
    </row>
    <row r="47" spans="1:19" ht="18" customHeight="1" x14ac:dyDescent="0.15">
      <c r="A47" s="3"/>
      <c r="B47" s="91" t="s">
        <v>48</v>
      </c>
      <c r="C47" s="92"/>
      <c r="D47" s="92"/>
      <c r="E47" s="93"/>
      <c r="F47" s="8">
        <v>2</v>
      </c>
      <c r="G47" s="8" t="s">
        <v>49</v>
      </c>
      <c r="H47" s="8" t="s">
        <v>49</v>
      </c>
      <c r="I47" s="8" t="s">
        <v>49</v>
      </c>
      <c r="J47" s="91"/>
      <c r="K47" s="92"/>
      <c r="L47" s="92"/>
      <c r="M47" s="92"/>
      <c r="N47" s="92"/>
      <c r="O47" s="93"/>
      <c r="P47" s="8"/>
      <c r="Q47" s="8"/>
      <c r="R47" s="8"/>
      <c r="S47" s="8"/>
    </row>
    <row r="48" spans="1:19" ht="18" customHeight="1" x14ac:dyDescent="0.15">
      <c r="A48" s="3"/>
      <c r="B48" s="94"/>
      <c r="C48" s="95"/>
      <c r="D48" s="95"/>
      <c r="E48" s="96"/>
      <c r="F48" s="9"/>
      <c r="G48" s="9"/>
      <c r="H48" s="9"/>
      <c r="I48" s="9"/>
      <c r="J48" s="94"/>
      <c r="K48" s="95"/>
      <c r="L48" s="95"/>
      <c r="M48" s="95"/>
      <c r="N48" s="95"/>
      <c r="O48" s="96"/>
      <c r="P48" s="9"/>
      <c r="Q48" s="9"/>
      <c r="R48" s="9"/>
      <c r="S48" s="9"/>
    </row>
    <row r="49" spans="1:19" ht="18" customHeight="1" x14ac:dyDescent="0.15">
      <c r="A49" s="3"/>
      <c r="B49" s="94"/>
      <c r="C49" s="95"/>
      <c r="D49" s="95"/>
      <c r="E49" s="96"/>
      <c r="F49" s="9"/>
      <c r="G49" s="9"/>
      <c r="H49" s="9"/>
      <c r="I49" s="9"/>
      <c r="J49" s="94"/>
      <c r="K49" s="95"/>
      <c r="L49" s="95"/>
      <c r="M49" s="95"/>
      <c r="N49" s="95"/>
      <c r="O49" s="96"/>
      <c r="P49" s="9"/>
      <c r="Q49" s="9"/>
      <c r="R49" s="9"/>
      <c r="S49" s="9"/>
    </row>
    <row r="50" spans="1:19" ht="18" customHeight="1" x14ac:dyDescent="0.15">
      <c r="A50" s="3"/>
      <c r="B50" s="94"/>
      <c r="C50" s="95"/>
      <c r="D50" s="95"/>
      <c r="E50" s="96"/>
      <c r="F50" s="9"/>
      <c r="G50" s="9"/>
      <c r="H50" s="9"/>
      <c r="I50" s="9"/>
      <c r="J50" s="94"/>
      <c r="K50" s="95"/>
      <c r="L50" s="95"/>
      <c r="M50" s="95"/>
      <c r="N50" s="95"/>
      <c r="O50" s="96"/>
      <c r="P50" s="9"/>
      <c r="Q50" s="9"/>
      <c r="R50" s="9"/>
      <c r="S50" s="9"/>
    </row>
    <row r="51" spans="1:19" ht="18" customHeight="1" x14ac:dyDescent="0.15">
      <c r="A51" s="3"/>
      <c r="B51" s="94"/>
      <c r="C51" s="95"/>
      <c r="D51" s="95"/>
      <c r="E51" s="96"/>
      <c r="F51" s="9"/>
      <c r="G51" s="9"/>
      <c r="H51" s="9"/>
      <c r="I51" s="9"/>
      <c r="J51" s="94"/>
      <c r="K51" s="95"/>
      <c r="L51" s="95"/>
      <c r="M51" s="95"/>
      <c r="N51" s="95"/>
      <c r="O51" s="96"/>
      <c r="P51" s="9"/>
      <c r="Q51" s="9"/>
      <c r="R51" s="9"/>
      <c r="S51" s="9"/>
    </row>
    <row r="52" spans="1:19" ht="18" customHeight="1" x14ac:dyDescent="0.15">
      <c r="A52" s="3"/>
      <c r="B52" s="94"/>
      <c r="C52" s="95"/>
      <c r="D52" s="95"/>
      <c r="E52" s="96"/>
      <c r="F52" s="9"/>
      <c r="G52" s="9"/>
      <c r="H52" s="9"/>
      <c r="I52" s="9"/>
      <c r="J52" s="94"/>
      <c r="K52" s="95"/>
      <c r="L52" s="95"/>
      <c r="M52" s="95"/>
      <c r="N52" s="95"/>
      <c r="O52" s="96"/>
      <c r="P52" s="9"/>
      <c r="Q52" s="9"/>
      <c r="R52" s="9"/>
      <c r="S52" s="9"/>
    </row>
    <row r="53" spans="1:19" ht="18" customHeight="1" x14ac:dyDescent="0.15">
      <c r="A53" s="3"/>
      <c r="B53" s="100"/>
      <c r="C53" s="101"/>
      <c r="D53" s="101"/>
      <c r="E53" s="102"/>
      <c r="F53" s="10"/>
      <c r="G53" s="10"/>
      <c r="H53" s="11"/>
      <c r="I53" s="11"/>
      <c r="J53" s="100"/>
      <c r="K53" s="101"/>
      <c r="L53" s="101"/>
      <c r="M53" s="101"/>
      <c r="N53" s="101"/>
      <c r="O53" s="102"/>
      <c r="P53" s="10"/>
      <c r="Q53" s="10"/>
      <c r="R53" s="11"/>
      <c r="S53" s="11"/>
    </row>
    <row r="54" spans="1:19" ht="7.5" customHeight="1" x14ac:dyDescent="0.15">
      <c r="B54" s="6"/>
      <c r="C54" s="6"/>
      <c r="D54" s="6"/>
      <c r="E54" s="6"/>
      <c r="F54" s="6"/>
      <c r="G54" s="6"/>
      <c r="H54" s="6"/>
      <c r="I54" s="6"/>
      <c r="J54" s="6"/>
      <c r="K54" s="6"/>
      <c r="L54" s="6"/>
      <c r="M54" s="6"/>
      <c r="N54" s="6"/>
      <c r="O54" s="6"/>
      <c r="P54" s="6"/>
      <c r="Q54" s="6"/>
      <c r="R54" s="6"/>
    </row>
    <row r="55" spans="1:19" ht="18" customHeight="1" x14ac:dyDescent="0.15">
      <c r="A55" s="103" t="s">
        <v>37</v>
      </c>
      <c r="B55" s="103"/>
      <c r="C55" s="103"/>
      <c r="D55" s="103"/>
      <c r="E55" s="103"/>
      <c r="F55" s="103"/>
      <c r="G55" s="103"/>
      <c r="H55" s="103"/>
      <c r="I55" s="103"/>
      <c r="J55" s="103"/>
      <c r="K55" s="103"/>
      <c r="L55" s="103"/>
      <c r="M55" s="103"/>
      <c r="N55" s="103"/>
      <c r="O55" s="103"/>
      <c r="P55" s="103"/>
      <c r="Q55" s="103"/>
      <c r="R55" s="103"/>
      <c r="S55" s="103"/>
    </row>
    <row r="56" spans="1:19" ht="18" customHeight="1" x14ac:dyDescent="0.15">
      <c r="A56" s="103"/>
      <c r="B56" s="103"/>
      <c r="C56" s="103"/>
      <c r="D56" s="103"/>
      <c r="E56" s="103"/>
      <c r="F56" s="103"/>
      <c r="G56" s="103"/>
      <c r="H56" s="103"/>
      <c r="I56" s="103"/>
      <c r="J56" s="103"/>
      <c r="K56" s="103"/>
      <c r="L56" s="103"/>
      <c r="M56" s="103"/>
      <c r="N56" s="103"/>
      <c r="O56" s="103"/>
      <c r="P56" s="103"/>
      <c r="Q56" s="103"/>
      <c r="R56" s="103"/>
      <c r="S56" s="103"/>
    </row>
    <row r="57" spans="1:19" ht="18" customHeight="1" x14ac:dyDescent="0.15">
      <c r="B57" s="97" t="s">
        <v>1</v>
      </c>
      <c r="C57" s="98"/>
      <c r="D57" s="98"/>
      <c r="E57" s="99"/>
      <c r="F57" s="26" t="s">
        <v>21</v>
      </c>
      <c r="G57" s="25" t="s">
        <v>23</v>
      </c>
      <c r="H57" s="7" t="s">
        <v>6</v>
      </c>
      <c r="I57" s="7" t="s">
        <v>8</v>
      </c>
      <c r="J57" s="97" t="s">
        <v>1</v>
      </c>
      <c r="K57" s="98"/>
      <c r="L57" s="98"/>
      <c r="M57" s="98"/>
      <c r="N57" s="98"/>
      <c r="O57" s="99"/>
      <c r="P57" s="26" t="s">
        <v>21</v>
      </c>
      <c r="Q57" s="25" t="s">
        <v>23</v>
      </c>
      <c r="R57" s="7" t="s">
        <v>6</v>
      </c>
      <c r="S57" s="7" t="s">
        <v>8</v>
      </c>
    </row>
    <row r="58" spans="1:19" ht="18" customHeight="1" x14ac:dyDescent="0.15">
      <c r="A58" s="3"/>
      <c r="B58" s="91" t="s">
        <v>48</v>
      </c>
      <c r="C58" s="92"/>
      <c r="D58" s="92"/>
      <c r="E58" s="93"/>
      <c r="F58" s="8">
        <v>2</v>
      </c>
      <c r="G58" s="8" t="s">
        <v>49</v>
      </c>
      <c r="H58" s="8" t="s">
        <v>49</v>
      </c>
      <c r="I58" s="8" t="s">
        <v>49</v>
      </c>
      <c r="J58" s="91"/>
      <c r="K58" s="92"/>
      <c r="L58" s="92"/>
      <c r="M58" s="92"/>
      <c r="N58" s="92"/>
      <c r="O58" s="93"/>
      <c r="P58" s="8"/>
      <c r="Q58" s="8"/>
      <c r="R58" s="8"/>
      <c r="S58" s="8"/>
    </row>
    <row r="59" spans="1:19" ht="18" customHeight="1" x14ac:dyDescent="0.15">
      <c r="A59" s="3"/>
      <c r="B59" s="94"/>
      <c r="C59" s="95"/>
      <c r="D59" s="95"/>
      <c r="E59" s="96"/>
      <c r="F59" s="9"/>
      <c r="G59" s="9"/>
      <c r="H59" s="9"/>
      <c r="I59" s="9"/>
      <c r="J59" s="94"/>
      <c r="K59" s="95"/>
      <c r="L59" s="95"/>
      <c r="M59" s="95"/>
      <c r="N59" s="95"/>
      <c r="O59" s="96"/>
      <c r="P59" s="9"/>
      <c r="Q59" s="9"/>
      <c r="R59" s="9"/>
      <c r="S59" s="9"/>
    </row>
    <row r="60" spans="1:19" ht="18" customHeight="1" x14ac:dyDescent="0.15">
      <c r="A60" s="3"/>
      <c r="B60" s="94"/>
      <c r="C60" s="95"/>
      <c r="D60" s="95"/>
      <c r="E60" s="96"/>
      <c r="F60" s="9"/>
      <c r="G60" s="9"/>
      <c r="H60" s="9"/>
      <c r="I60" s="9"/>
      <c r="J60" s="94"/>
      <c r="K60" s="95"/>
      <c r="L60" s="95"/>
      <c r="M60" s="95"/>
      <c r="N60" s="95"/>
      <c r="O60" s="96"/>
      <c r="P60" s="9"/>
      <c r="Q60" s="9"/>
      <c r="R60" s="9"/>
      <c r="S60" s="9"/>
    </row>
    <row r="61" spans="1:19" ht="18" customHeight="1" x14ac:dyDescent="0.15">
      <c r="A61" s="3"/>
      <c r="B61" s="94"/>
      <c r="C61" s="95"/>
      <c r="D61" s="95"/>
      <c r="E61" s="96"/>
      <c r="F61" s="9"/>
      <c r="G61" s="9"/>
      <c r="H61" s="9"/>
      <c r="I61" s="9"/>
      <c r="J61" s="94"/>
      <c r="K61" s="95"/>
      <c r="L61" s="95"/>
      <c r="M61" s="95"/>
      <c r="N61" s="95"/>
      <c r="O61" s="96"/>
      <c r="P61" s="9"/>
      <c r="Q61" s="9"/>
      <c r="R61" s="9"/>
      <c r="S61" s="9"/>
    </row>
    <row r="62" spans="1:19" ht="18" customHeight="1" x14ac:dyDescent="0.15">
      <c r="A62" s="3"/>
      <c r="B62" s="94"/>
      <c r="C62" s="95"/>
      <c r="D62" s="95"/>
      <c r="E62" s="96"/>
      <c r="F62" s="9"/>
      <c r="G62" s="9"/>
      <c r="H62" s="9"/>
      <c r="I62" s="9"/>
      <c r="J62" s="94"/>
      <c r="K62" s="95"/>
      <c r="L62" s="95"/>
      <c r="M62" s="95"/>
      <c r="N62" s="95"/>
      <c r="O62" s="96"/>
      <c r="P62" s="9"/>
      <c r="Q62" s="9"/>
      <c r="R62" s="9"/>
      <c r="S62" s="9"/>
    </row>
    <row r="63" spans="1:19" ht="18" customHeight="1" x14ac:dyDescent="0.15">
      <c r="A63" s="3"/>
      <c r="B63" s="94"/>
      <c r="C63" s="95"/>
      <c r="D63" s="95"/>
      <c r="E63" s="96"/>
      <c r="F63" s="9"/>
      <c r="G63" s="9"/>
      <c r="H63" s="9"/>
      <c r="I63" s="9"/>
      <c r="J63" s="94"/>
      <c r="K63" s="95"/>
      <c r="L63" s="95"/>
      <c r="M63" s="95"/>
      <c r="N63" s="95"/>
      <c r="O63" s="96"/>
      <c r="P63" s="9"/>
      <c r="Q63" s="9"/>
      <c r="R63" s="9"/>
      <c r="S63" s="9"/>
    </row>
    <row r="64" spans="1:19" ht="18" customHeight="1" x14ac:dyDescent="0.15">
      <c r="A64" s="3"/>
      <c r="B64" s="100"/>
      <c r="C64" s="101"/>
      <c r="D64" s="101"/>
      <c r="E64" s="102"/>
      <c r="F64" s="10"/>
      <c r="G64" s="10"/>
      <c r="H64" s="11"/>
      <c r="I64" s="11"/>
      <c r="J64" s="100"/>
      <c r="K64" s="101"/>
      <c r="L64" s="101"/>
      <c r="M64" s="101"/>
      <c r="N64" s="101"/>
      <c r="O64" s="102"/>
      <c r="P64" s="10"/>
      <c r="Q64" s="10"/>
      <c r="R64" s="11"/>
      <c r="S64" s="11"/>
    </row>
    <row r="65" spans="1:19" ht="7.5" customHeight="1" x14ac:dyDescent="0.15">
      <c r="B65" s="6"/>
      <c r="C65" s="6"/>
      <c r="D65" s="6"/>
      <c r="E65" s="6"/>
      <c r="F65" s="6"/>
      <c r="G65" s="6"/>
      <c r="H65" s="6"/>
      <c r="I65" s="6"/>
      <c r="J65" s="6"/>
      <c r="K65" s="6"/>
      <c r="L65" s="6"/>
      <c r="M65" s="6"/>
      <c r="N65" s="6"/>
      <c r="O65" s="6"/>
      <c r="P65" s="6"/>
      <c r="Q65" s="6"/>
      <c r="R65" s="6"/>
    </row>
    <row r="66" spans="1:19" ht="18" customHeight="1" x14ac:dyDescent="0.15">
      <c r="A66" s="103" t="s">
        <v>38</v>
      </c>
      <c r="B66" s="103"/>
      <c r="C66" s="103"/>
      <c r="D66" s="103"/>
      <c r="E66" s="103"/>
      <c r="F66" s="103"/>
      <c r="G66" s="103"/>
      <c r="H66" s="103"/>
      <c r="I66" s="103"/>
      <c r="J66" s="103"/>
      <c r="K66" s="103"/>
      <c r="L66" s="103"/>
      <c r="M66" s="103"/>
      <c r="N66" s="103"/>
      <c r="O66" s="103"/>
      <c r="P66" s="103"/>
      <c r="Q66" s="103"/>
      <c r="R66" s="103"/>
      <c r="S66" s="103"/>
    </row>
    <row r="67" spans="1:19" ht="18" customHeight="1" x14ac:dyDescent="0.15">
      <c r="A67" s="103"/>
      <c r="B67" s="103"/>
      <c r="C67" s="103"/>
      <c r="D67" s="103"/>
      <c r="E67" s="103"/>
      <c r="F67" s="103"/>
      <c r="G67" s="103"/>
      <c r="H67" s="103"/>
      <c r="I67" s="103"/>
      <c r="J67" s="103"/>
      <c r="K67" s="103"/>
      <c r="L67" s="103"/>
      <c r="M67" s="103"/>
      <c r="N67" s="103"/>
      <c r="O67" s="103"/>
      <c r="P67" s="103"/>
      <c r="Q67" s="103"/>
      <c r="R67" s="103"/>
      <c r="S67" s="103"/>
    </row>
    <row r="68" spans="1:19" ht="18" customHeight="1" x14ac:dyDescent="0.15">
      <c r="B68" s="97" t="s">
        <v>1</v>
      </c>
      <c r="C68" s="98"/>
      <c r="D68" s="98"/>
      <c r="E68" s="26" t="s">
        <v>21</v>
      </c>
      <c r="F68" s="25" t="s">
        <v>23</v>
      </c>
      <c r="G68" s="7" t="s">
        <v>25</v>
      </c>
      <c r="H68" s="7" t="s">
        <v>16</v>
      </c>
      <c r="I68" s="7" t="s">
        <v>17</v>
      </c>
      <c r="J68" s="97" t="s">
        <v>1</v>
      </c>
      <c r="K68" s="98"/>
      <c r="L68" s="98"/>
      <c r="M68" s="98"/>
      <c r="N68" s="99"/>
      <c r="O68" s="26" t="s">
        <v>21</v>
      </c>
      <c r="P68" s="25" t="s">
        <v>23</v>
      </c>
      <c r="Q68" s="7" t="s">
        <v>25</v>
      </c>
      <c r="R68" s="7" t="s">
        <v>16</v>
      </c>
      <c r="S68" s="7" t="s">
        <v>17</v>
      </c>
    </row>
    <row r="69" spans="1:19" ht="18" customHeight="1" x14ac:dyDescent="0.15">
      <c r="A69" s="3"/>
      <c r="B69" s="91" t="s">
        <v>48</v>
      </c>
      <c r="C69" s="92"/>
      <c r="D69" s="93"/>
      <c r="E69" s="8">
        <v>2</v>
      </c>
      <c r="F69" s="8" t="s">
        <v>49</v>
      </c>
      <c r="G69" s="8" t="s">
        <v>49</v>
      </c>
      <c r="H69" s="8" t="s">
        <v>49</v>
      </c>
      <c r="I69" s="8" t="s">
        <v>49</v>
      </c>
      <c r="J69" s="91"/>
      <c r="K69" s="92"/>
      <c r="L69" s="92"/>
      <c r="M69" s="92"/>
      <c r="N69" s="93"/>
      <c r="O69" s="8"/>
      <c r="P69" s="8"/>
      <c r="Q69" s="8"/>
      <c r="R69" s="8"/>
      <c r="S69" s="8"/>
    </row>
    <row r="70" spans="1:19" ht="18" customHeight="1" x14ac:dyDescent="0.15">
      <c r="A70" s="3"/>
      <c r="B70" s="94" t="s">
        <v>50</v>
      </c>
      <c r="C70" s="95"/>
      <c r="D70" s="95"/>
      <c r="E70" s="9">
        <v>2</v>
      </c>
      <c r="F70" s="9" t="s">
        <v>49</v>
      </c>
      <c r="G70" s="9" t="s">
        <v>49</v>
      </c>
      <c r="H70" s="9" t="s">
        <v>49</v>
      </c>
      <c r="I70" s="9"/>
      <c r="J70" s="94"/>
      <c r="K70" s="95"/>
      <c r="L70" s="95"/>
      <c r="M70" s="95"/>
      <c r="N70" s="96"/>
      <c r="O70" s="9"/>
      <c r="P70" s="9"/>
      <c r="Q70" s="9"/>
      <c r="R70" s="9"/>
      <c r="S70" s="9"/>
    </row>
    <row r="71" spans="1:19" ht="18" customHeight="1" x14ac:dyDescent="0.15">
      <c r="A71" s="3"/>
      <c r="B71" s="94"/>
      <c r="C71" s="95"/>
      <c r="D71" s="95"/>
      <c r="E71" s="9"/>
      <c r="F71" s="9"/>
      <c r="G71" s="9"/>
      <c r="H71" s="9"/>
      <c r="I71" s="9"/>
      <c r="J71" s="94"/>
      <c r="K71" s="95"/>
      <c r="L71" s="95"/>
      <c r="M71" s="95"/>
      <c r="N71" s="96"/>
      <c r="O71" s="9"/>
      <c r="P71" s="9"/>
      <c r="Q71" s="9"/>
      <c r="R71" s="9"/>
      <c r="S71" s="9"/>
    </row>
    <row r="72" spans="1:19" ht="18" customHeight="1" x14ac:dyDescent="0.15">
      <c r="A72" s="3"/>
      <c r="B72" s="94"/>
      <c r="C72" s="95"/>
      <c r="D72" s="95"/>
      <c r="E72" s="9"/>
      <c r="F72" s="9"/>
      <c r="G72" s="9"/>
      <c r="H72" s="9"/>
      <c r="I72" s="9"/>
      <c r="J72" s="94"/>
      <c r="K72" s="95"/>
      <c r="L72" s="95"/>
      <c r="M72" s="95"/>
      <c r="N72" s="96"/>
      <c r="O72" s="9"/>
      <c r="P72" s="9"/>
      <c r="Q72" s="9"/>
      <c r="R72" s="9"/>
      <c r="S72" s="9"/>
    </row>
    <row r="73" spans="1:19" ht="18" customHeight="1" x14ac:dyDescent="0.15">
      <c r="A73" s="3"/>
      <c r="B73" s="94"/>
      <c r="C73" s="95"/>
      <c r="D73" s="95"/>
      <c r="E73" s="9"/>
      <c r="F73" s="9"/>
      <c r="G73" s="9"/>
      <c r="H73" s="9"/>
      <c r="I73" s="9"/>
      <c r="J73" s="94"/>
      <c r="K73" s="95"/>
      <c r="L73" s="95"/>
      <c r="M73" s="95"/>
      <c r="N73" s="96"/>
      <c r="O73" s="9"/>
      <c r="P73" s="9"/>
      <c r="Q73" s="9"/>
      <c r="R73" s="9"/>
      <c r="S73" s="9"/>
    </row>
    <row r="74" spans="1:19" ht="18" customHeight="1" x14ac:dyDescent="0.15">
      <c r="A74" s="3"/>
      <c r="B74" s="94"/>
      <c r="C74" s="95"/>
      <c r="D74" s="95"/>
      <c r="E74" s="9"/>
      <c r="F74" s="9"/>
      <c r="G74" s="9"/>
      <c r="H74" s="9"/>
      <c r="I74" s="9"/>
      <c r="J74" s="94"/>
      <c r="K74" s="95"/>
      <c r="L74" s="95"/>
      <c r="M74" s="95"/>
      <c r="N74" s="96"/>
      <c r="O74" s="9"/>
      <c r="P74" s="9"/>
      <c r="Q74" s="9"/>
      <c r="R74" s="9"/>
      <c r="S74" s="9"/>
    </row>
    <row r="75" spans="1:19" ht="18" customHeight="1" x14ac:dyDescent="0.15">
      <c r="A75" s="3"/>
      <c r="B75" s="100"/>
      <c r="C75" s="101"/>
      <c r="D75" s="101"/>
      <c r="E75" s="10"/>
      <c r="F75" s="10"/>
      <c r="G75" s="11"/>
      <c r="H75" s="11"/>
      <c r="I75" s="11"/>
      <c r="J75" s="100"/>
      <c r="K75" s="101"/>
      <c r="L75" s="101"/>
      <c r="M75" s="101"/>
      <c r="N75" s="102"/>
      <c r="O75" s="10"/>
      <c r="P75" s="10"/>
      <c r="Q75" s="11"/>
      <c r="R75" s="11"/>
      <c r="S75" s="11"/>
    </row>
    <row r="76" spans="1:19" ht="7.5" customHeight="1" x14ac:dyDescent="0.15">
      <c r="B76" s="6"/>
      <c r="C76" s="6"/>
      <c r="D76" s="6"/>
      <c r="E76" s="6"/>
      <c r="F76" s="6"/>
      <c r="G76" s="6"/>
      <c r="H76" s="6"/>
      <c r="I76" s="6"/>
      <c r="J76" s="6"/>
      <c r="K76" s="6"/>
      <c r="L76" s="6"/>
      <c r="M76" s="6"/>
      <c r="N76" s="6"/>
      <c r="O76" s="6"/>
      <c r="P76" s="6"/>
      <c r="Q76" s="6"/>
      <c r="R76" s="6"/>
    </row>
    <row r="77" spans="1:19" ht="18" customHeight="1" x14ac:dyDescent="0.15">
      <c r="A77" s="1" t="s">
        <v>39</v>
      </c>
      <c r="H77" s="3"/>
      <c r="I77" s="3"/>
      <c r="J77" s="3"/>
      <c r="K77" s="3"/>
      <c r="L77" s="3"/>
      <c r="M77" s="3"/>
      <c r="N77" s="3"/>
      <c r="O77" s="3"/>
      <c r="P77" s="3"/>
      <c r="Q77" s="3"/>
      <c r="R77" s="3"/>
      <c r="S77" s="3"/>
    </row>
    <row r="78" spans="1:19" ht="18" customHeight="1" x14ac:dyDescent="0.15">
      <c r="B78" s="97" t="s">
        <v>1</v>
      </c>
      <c r="C78" s="98"/>
      <c r="D78" s="98"/>
      <c r="E78" s="99"/>
      <c r="F78" s="97" t="s">
        <v>22</v>
      </c>
      <c r="G78" s="98"/>
      <c r="H78" s="98"/>
      <c r="I78" s="99"/>
      <c r="J78" s="124" t="s">
        <v>1</v>
      </c>
      <c r="K78" s="125"/>
      <c r="L78" s="125"/>
      <c r="M78" s="125"/>
      <c r="N78" s="125"/>
      <c r="O78" s="126"/>
      <c r="P78" s="97" t="s">
        <v>22</v>
      </c>
      <c r="Q78" s="98"/>
      <c r="R78" s="98"/>
      <c r="S78" s="99"/>
    </row>
    <row r="79" spans="1:19" ht="18" customHeight="1" x14ac:dyDescent="0.15">
      <c r="A79" s="3"/>
      <c r="B79" s="91"/>
      <c r="C79" s="92"/>
      <c r="D79" s="92"/>
      <c r="E79" s="93"/>
      <c r="F79" s="118"/>
      <c r="G79" s="119"/>
      <c r="H79" s="119"/>
      <c r="I79" s="120"/>
      <c r="J79" s="91"/>
      <c r="K79" s="92"/>
      <c r="L79" s="92"/>
      <c r="M79" s="92"/>
      <c r="N79" s="92"/>
      <c r="O79" s="93"/>
      <c r="P79" s="118"/>
      <c r="Q79" s="119"/>
      <c r="R79" s="119"/>
      <c r="S79" s="120"/>
    </row>
    <row r="80" spans="1:19" ht="18" customHeight="1" x14ac:dyDescent="0.15">
      <c r="A80" s="3"/>
      <c r="B80" s="94"/>
      <c r="C80" s="95"/>
      <c r="D80" s="95"/>
      <c r="E80" s="96"/>
      <c r="F80" s="121"/>
      <c r="G80" s="122"/>
      <c r="H80" s="122"/>
      <c r="I80" s="123"/>
      <c r="J80" s="94"/>
      <c r="K80" s="95"/>
      <c r="L80" s="95"/>
      <c r="M80" s="95"/>
      <c r="N80" s="95"/>
      <c r="O80" s="96"/>
      <c r="P80" s="121"/>
      <c r="Q80" s="122"/>
      <c r="R80" s="122"/>
      <c r="S80" s="123"/>
    </row>
    <row r="81" spans="1:19" ht="18" customHeight="1" x14ac:dyDescent="0.15">
      <c r="A81" s="3"/>
      <c r="B81" s="94"/>
      <c r="C81" s="95"/>
      <c r="D81" s="95"/>
      <c r="E81" s="96"/>
      <c r="F81" s="121"/>
      <c r="G81" s="122"/>
      <c r="H81" s="122"/>
      <c r="I81" s="123"/>
      <c r="J81" s="94"/>
      <c r="K81" s="95"/>
      <c r="L81" s="95"/>
      <c r="M81" s="95"/>
      <c r="N81" s="95"/>
      <c r="O81" s="96"/>
      <c r="P81" s="121"/>
      <c r="Q81" s="122"/>
      <c r="R81" s="122"/>
      <c r="S81" s="123"/>
    </row>
    <row r="82" spans="1:19" ht="18" customHeight="1" x14ac:dyDescent="0.15">
      <c r="A82" s="3"/>
      <c r="B82" s="94"/>
      <c r="C82" s="95"/>
      <c r="D82" s="95"/>
      <c r="E82" s="96"/>
      <c r="F82" s="121"/>
      <c r="G82" s="122"/>
      <c r="H82" s="122"/>
      <c r="I82" s="123"/>
      <c r="J82" s="94"/>
      <c r="K82" s="95"/>
      <c r="L82" s="95"/>
      <c r="M82" s="95"/>
      <c r="N82" s="95"/>
      <c r="O82" s="96"/>
      <c r="P82" s="121"/>
      <c r="Q82" s="122"/>
      <c r="R82" s="122"/>
      <c r="S82" s="123"/>
    </row>
    <row r="83" spans="1:19" ht="18" customHeight="1" x14ac:dyDescent="0.15">
      <c r="A83" s="3"/>
      <c r="B83" s="94"/>
      <c r="C83" s="95"/>
      <c r="D83" s="95"/>
      <c r="E83" s="96"/>
      <c r="F83" s="121"/>
      <c r="G83" s="122"/>
      <c r="H83" s="122"/>
      <c r="I83" s="123"/>
      <c r="J83" s="94"/>
      <c r="K83" s="95"/>
      <c r="L83" s="95"/>
      <c r="M83" s="95"/>
      <c r="N83" s="95"/>
      <c r="O83" s="96"/>
      <c r="P83" s="121"/>
      <c r="Q83" s="122"/>
      <c r="R83" s="122"/>
      <c r="S83" s="123"/>
    </row>
    <row r="84" spans="1:19" ht="18" customHeight="1" x14ac:dyDescent="0.15">
      <c r="A84" s="3"/>
      <c r="B84" s="94"/>
      <c r="C84" s="95"/>
      <c r="D84" s="95"/>
      <c r="E84" s="96"/>
      <c r="F84" s="121"/>
      <c r="G84" s="122"/>
      <c r="H84" s="122"/>
      <c r="I84" s="123"/>
      <c r="J84" s="94"/>
      <c r="K84" s="95"/>
      <c r="L84" s="95"/>
      <c r="M84" s="95"/>
      <c r="N84" s="95"/>
      <c r="O84" s="96"/>
      <c r="P84" s="121"/>
      <c r="Q84" s="122"/>
      <c r="R84" s="122"/>
      <c r="S84" s="123"/>
    </row>
    <row r="85" spans="1:19" ht="18" customHeight="1" x14ac:dyDescent="0.15">
      <c r="A85" s="3"/>
      <c r="B85" s="100"/>
      <c r="C85" s="101"/>
      <c r="D85" s="101"/>
      <c r="E85" s="102"/>
      <c r="F85" s="130"/>
      <c r="G85" s="131"/>
      <c r="H85" s="131"/>
      <c r="I85" s="132"/>
      <c r="J85" s="100"/>
      <c r="K85" s="101"/>
      <c r="L85" s="101"/>
      <c r="M85" s="101"/>
      <c r="N85" s="101"/>
      <c r="O85" s="102"/>
      <c r="P85" s="130"/>
      <c r="Q85" s="131"/>
      <c r="R85" s="131"/>
      <c r="S85" s="132"/>
    </row>
    <row r="86" spans="1:19" ht="18" customHeight="1" x14ac:dyDescent="0.15">
      <c r="A86" s="3"/>
      <c r="B86" s="4"/>
      <c r="C86" s="4"/>
      <c r="D86" s="4"/>
      <c r="E86" s="4"/>
      <c r="F86" s="12"/>
      <c r="G86" s="12"/>
      <c r="H86" s="12"/>
      <c r="I86" s="12"/>
      <c r="J86" s="4"/>
      <c r="K86" s="4"/>
      <c r="L86" s="4"/>
      <c r="M86" s="4"/>
      <c r="N86" s="4"/>
      <c r="O86" s="4"/>
      <c r="P86" s="12"/>
      <c r="Q86" s="12"/>
      <c r="R86" s="12"/>
      <c r="S86" s="12"/>
    </row>
    <row r="87" spans="1:19" ht="18.75" customHeight="1" x14ac:dyDescent="0.15">
      <c r="A87" s="1" t="s">
        <v>40</v>
      </c>
    </row>
    <row r="88" spans="1:19" ht="18.75" customHeight="1" x14ac:dyDescent="0.15">
      <c r="B88" s="116" t="s">
        <v>2</v>
      </c>
      <c r="C88" s="117"/>
      <c r="D88" s="98" t="s">
        <v>3</v>
      </c>
      <c r="E88" s="98"/>
      <c r="F88" s="98"/>
      <c r="G88" s="98"/>
      <c r="H88" s="98"/>
      <c r="I88" s="98"/>
      <c r="J88" s="98"/>
      <c r="K88" s="98"/>
      <c r="L88" s="98"/>
      <c r="M88" s="98"/>
      <c r="N88" s="98"/>
      <c r="O88" s="98"/>
      <c r="P88" s="98"/>
      <c r="Q88" s="98"/>
      <c r="R88" s="98"/>
      <c r="S88" s="99"/>
    </row>
    <row r="89" spans="1:19" ht="97.5" customHeight="1" x14ac:dyDescent="0.15">
      <c r="B89" s="104" t="s">
        <v>9</v>
      </c>
      <c r="C89" s="13" t="s">
        <v>4</v>
      </c>
      <c r="D89" s="113" t="s">
        <v>51</v>
      </c>
      <c r="E89" s="114"/>
      <c r="F89" s="114"/>
      <c r="G89" s="114"/>
      <c r="H89" s="114"/>
      <c r="I89" s="114"/>
      <c r="J89" s="114"/>
      <c r="K89" s="114"/>
      <c r="L89" s="114"/>
      <c r="M89" s="114"/>
      <c r="N89" s="114"/>
      <c r="O89" s="114"/>
      <c r="P89" s="114"/>
      <c r="Q89" s="114"/>
      <c r="R89" s="114"/>
      <c r="S89" s="115"/>
    </row>
    <row r="90" spans="1:19" ht="97.5" customHeight="1" x14ac:dyDescent="0.15">
      <c r="B90" s="105"/>
      <c r="C90" s="14" t="s">
        <v>18</v>
      </c>
      <c r="D90" s="133" t="s">
        <v>52</v>
      </c>
      <c r="E90" s="134"/>
      <c r="F90" s="134"/>
      <c r="G90" s="134"/>
      <c r="H90" s="134"/>
      <c r="I90" s="134"/>
      <c r="J90" s="134"/>
      <c r="K90" s="134"/>
      <c r="L90" s="134"/>
      <c r="M90" s="134"/>
      <c r="N90" s="134"/>
      <c r="O90" s="134"/>
      <c r="P90" s="134"/>
      <c r="Q90" s="134"/>
      <c r="R90" s="134"/>
      <c r="S90" s="135"/>
    </row>
    <row r="91" spans="1:19" ht="97.5" customHeight="1" x14ac:dyDescent="0.15">
      <c r="B91" s="104" t="s">
        <v>10</v>
      </c>
      <c r="C91" s="15" t="s">
        <v>12</v>
      </c>
      <c r="D91" s="136" t="s">
        <v>53</v>
      </c>
      <c r="E91" s="137"/>
      <c r="F91" s="137"/>
      <c r="G91" s="137"/>
      <c r="H91" s="137"/>
      <c r="I91" s="137"/>
      <c r="J91" s="137"/>
      <c r="K91" s="137"/>
      <c r="L91" s="137"/>
      <c r="M91" s="137"/>
      <c r="N91" s="137"/>
      <c r="O91" s="137"/>
      <c r="P91" s="137"/>
      <c r="Q91" s="137"/>
      <c r="R91" s="137"/>
      <c r="S91" s="138"/>
    </row>
    <row r="92" spans="1:19" ht="97.5" customHeight="1" x14ac:dyDescent="0.15">
      <c r="B92" s="106"/>
      <c r="C92" s="16" t="s">
        <v>13</v>
      </c>
      <c r="D92" s="142" t="s">
        <v>54</v>
      </c>
      <c r="E92" s="143"/>
      <c r="F92" s="143"/>
      <c r="G92" s="143"/>
      <c r="H92" s="143"/>
      <c r="I92" s="143"/>
      <c r="J92" s="143"/>
      <c r="K92" s="143"/>
      <c r="L92" s="143"/>
      <c r="M92" s="143"/>
      <c r="N92" s="143"/>
      <c r="O92" s="143"/>
      <c r="P92" s="143"/>
      <c r="Q92" s="143"/>
      <c r="R92" s="143"/>
      <c r="S92" s="144"/>
    </row>
    <row r="93" spans="1:19" ht="97.5" customHeight="1" x14ac:dyDescent="0.15">
      <c r="B93" s="104" t="s">
        <v>11</v>
      </c>
      <c r="C93" s="15" t="s">
        <v>14</v>
      </c>
      <c r="D93" s="136" t="s">
        <v>55</v>
      </c>
      <c r="E93" s="137"/>
      <c r="F93" s="137"/>
      <c r="G93" s="137"/>
      <c r="H93" s="137"/>
      <c r="I93" s="137"/>
      <c r="J93" s="137"/>
      <c r="K93" s="137"/>
      <c r="L93" s="137"/>
      <c r="M93" s="137"/>
      <c r="N93" s="137"/>
      <c r="O93" s="137"/>
      <c r="P93" s="137"/>
      <c r="Q93" s="137"/>
      <c r="R93" s="137"/>
      <c r="S93" s="138"/>
    </row>
    <row r="94" spans="1:19" ht="97.5" customHeight="1" x14ac:dyDescent="0.15">
      <c r="B94" s="106"/>
      <c r="C94" s="17" t="s">
        <v>15</v>
      </c>
      <c r="D94" s="139" t="s">
        <v>56</v>
      </c>
      <c r="E94" s="140"/>
      <c r="F94" s="140"/>
      <c r="G94" s="140"/>
      <c r="H94" s="140"/>
      <c r="I94" s="140"/>
      <c r="J94" s="140"/>
      <c r="K94" s="140"/>
      <c r="L94" s="140"/>
      <c r="M94" s="140"/>
      <c r="N94" s="140"/>
      <c r="O94" s="140"/>
      <c r="P94" s="140"/>
      <c r="Q94" s="140"/>
      <c r="R94" s="140"/>
      <c r="S94" s="141"/>
    </row>
    <row r="95" spans="1:19" ht="97.5" customHeight="1" x14ac:dyDescent="0.15">
      <c r="B95" s="104" t="s">
        <v>19</v>
      </c>
      <c r="C95" s="13" t="s">
        <v>6</v>
      </c>
      <c r="D95" s="113" t="s">
        <v>115</v>
      </c>
      <c r="E95" s="114"/>
      <c r="F95" s="114"/>
      <c r="G95" s="114"/>
      <c r="H95" s="114"/>
      <c r="I95" s="114"/>
      <c r="J95" s="114"/>
      <c r="K95" s="114"/>
      <c r="L95" s="114"/>
      <c r="M95" s="114"/>
      <c r="N95" s="114"/>
      <c r="O95" s="114"/>
      <c r="P95" s="114"/>
      <c r="Q95" s="114"/>
      <c r="R95" s="114"/>
      <c r="S95" s="115"/>
    </row>
    <row r="96" spans="1:19" ht="97.5" customHeight="1" x14ac:dyDescent="0.15">
      <c r="B96" s="106"/>
      <c r="C96" s="16" t="s">
        <v>8</v>
      </c>
      <c r="D96" s="142" t="s">
        <v>57</v>
      </c>
      <c r="E96" s="143"/>
      <c r="F96" s="143"/>
      <c r="G96" s="143"/>
      <c r="H96" s="143"/>
      <c r="I96" s="143"/>
      <c r="J96" s="143"/>
      <c r="K96" s="143"/>
      <c r="L96" s="143"/>
      <c r="M96" s="143"/>
      <c r="N96" s="143"/>
      <c r="O96" s="143"/>
      <c r="P96" s="143"/>
      <c r="Q96" s="143"/>
      <c r="R96" s="143"/>
      <c r="S96" s="144"/>
    </row>
    <row r="97" spans="1:19" ht="97.5" customHeight="1" x14ac:dyDescent="0.15">
      <c r="B97" s="104" t="s">
        <v>20</v>
      </c>
      <c r="C97" s="15" t="s">
        <v>5</v>
      </c>
      <c r="D97" s="107" t="s">
        <v>262</v>
      </c>
      <c r="E97" s="108"/>
      <c r="F97" s="108"/>
      <c r="G97" s="108"/>
      <c r="H97" s="108"/>
      <c r="I97" s="108"/>
      <c r="J97" s="108"/>
      <c r="K97" s="108"/>
      <c r="L97" s="108"/>
      <c r="M97" s="108"/>
      <c r="N97" s="108"/>
      <c r="O97" s="108"/>
      <c r="P97" s="108"/>
      <c r="Q97" s="108"/>
      <c r="R97" s="108"/>
      <c r="S97" s="109"/>
    </row>
    <row r="98" spans="1:19" ht="97.5" customHeight="1" x14ac:dyDescent="0.15">
      <c r="B98" s="105"/>
      <c r="C98" s="18" t="s">
        <v>16</v>
      </c>
      <c r="D98" s="145" t="s">
        <v>58</v>
      </c>
      <c r="E98" s="146"/>
      <c r="F98" s="146"/>
      <c r="G98" s="146"/>
      <c r="H98" s="146"/>
      <c r="I98" s="146"/>
      <c r="J98" s="146"/>
      <c r="K98" s="146"/>
      <c r="L98" s="146"/>
      <c r="M98" s="146"/>
      <c r="N98" s="146"/>
      <c r="O98" s="146"/>
      <c r="P98" s="146"/>
      <c r="Q98" s="146"/>
      <c r="R98" s="146"/>
      <c r="S98" s="147"/>
    </row>
    <row r="99" spans="1:19" ht="97.5" customHeight="1" x14ac:dyDescent="0.15">
      <c r="B99" s="106"/>
      <c r="C99" s="17" t="s">
        <v>17</v>
      </c>
      <c r="D99" s="110" t="s">
        <v>59</v>
      </c>
      <c r="E99" s="111"/>
      <c r="F99" s="111"/>
      <c r="G99" s="111"/>
      <c r="H99" s="111"/>
      <c r="I99" s="111"/>
      <c r="J99" s="111"/>
      <c r="K99" s="111"/>
      <c r="L99" s="111"/>
      <c r="M99" s="111"/>
      <c r="N99" s="111"/>
      <c r="O99" s="111"/>
      <c r="P99" s="111"/>
      <c r="Q99" s="111"/>
      <c r="R99" s="111"/>
      <c r="S99" s="112"/>
    </row>
    <row r="100" spans="1:19" ht="6" customHeight="1" x14ac:dyDescent="0.15"/>
    <row r="101" spans="1:19" ht="18.75" customHeight="1" x14ac:dyDescent="0.15">
      <c r="A101" s="1" t="s">
        <v>41</v>
      </c>
    </row>
    <row r="102" spans="1:19" ht="81.75" customHeight="1" x14ac:dyDescent="0.15">
      <c r="B102" s="127" t="s">
        <v>113</v>
      </c>
      <c r="C102" s="128"/>
      <c r="D102" s="128"/>
      <c r="E102" s="128"/>
      <c r="F102" s="128"/>
      <c r="G102" s="128"/>
      <c r="H102" s="128"/>
      <c r="I102" s="128"/>
      <c r="J102" s="128"/>
      <c r="K102" s="128"/>
      <c r="L102" s="128"/>
      <c r="M102" s="128"/>
      <c r="N102" s="128"/>
      <c r="O102" s="128"/>
      <c r="P102" s="128"/>
      <c r="Q102" s="128"/>
      <c r="R102" s="128"/>
      <c r="S102" s="129"/>
    </row>
    <row r="110" spans="1:19" ht="18" customHeight="1" x14ac:dyDescent="0.15"/>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5" priority="1">
      <formula>$K$7="学部・学科によって、修了要件は相違しない"</formula>
    </cfRule>
  </conditionalFormatting>
  <dataValidations count="5">
    <dataValidation type="list" allowBlank="1" showInputMessage="1" showErrorMessage="1" sqref="G25:I31 Q25:S31 P69:S75 Q36:S42 G36:I42 Q47:S53 G47:I53 Q58:S64 G58:I64 F69:I75">
      <formula1>"○"</formula1>
    </dataValidation>
    <dataValidation type="list" allowBlank="1" showInputMessage="1" showErrorMessage="1" sqref="S32 S43 D32:G32 D43:G43">
      <formula1>"全学開講,一部開講"</formula1>
    </dataValidation>
    <dataValidation type="list" allowBlank="1" showInputMessage="1" showErrorMessage="1" sqref="K12 K7">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zoomScaleNormal="100" zoomScaleSheetLayoutView="100" workbookViewId="0">
      <selection activeCell="A33" sqref="A33:S34"/>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48" t="s">
        <v>120</v>
      </c>
      <c r="S1" s="148"/>
      <c r="T1" s="2" t="s">
        <v>30</v>
      </c>
    </row>
    <row r="2" spans="1:22" ht="18.75" customHeight="1" x14ac:dyDescent="0.15">
      <c r="B2" s="19" t="s">
        <v>29</v>
      </c>
      <c r="C2" s="97" t="s">
        <v>112</v>
      </c>
      <c r="D2" s="98"/>
      <c r="E2" s="98"/>
      <c r="F2" s="98"/>
      <c r="G2" s="98"/>
      <c r="H2" s="98"/>
      <c r="I2" s="99"/>
      <c r="J2" s="20"/>
      <c r="K2" s="4"/>
      <c r="L2" s="4"/>
      <c r="M2" s="4"/>
      <c r="N2" s="4"/>
      <c r="O2" s="4"/>
      <c r="P2" s="4"/>
      <c r="Q2" s="4"/>
      <c r="R2" s="4"/>
      <c r="S2" s="4"/>
    </row>
    <row r="3" spans="1:22" ht="18.75" customHeight="1" x14ac:dyDescent="0.15">
      <c r="B3" s="19" t="s">
        <v>26</v>
      </c>
      <c r="C3" s="152" t="s">
        <v>111</v>
      </c>
      <c r="D3" s="153"/>
      <c r="E3" s="153"/>
      <c r="F3" s="153"/>
      <c r="G3" s="153"/>
      <c r="H3" s="153"/>
      <c r="I3" s="154"/>
      <c r="J3" s="20"/>
      <c r="K3" s="4"/>
      <c r="L3" s="4"/>
      <c r="M3" s="4"/>
      <c r="N3" s="4"/>
      <c r="O3" s="4"/>
      <c r="P3" s="4"/>
      <c r="Q3" s="4"/>
      <c r="R3" s="4"/>
      <c r="S3" s="4"/>
    </row>
    <row r="4" spans="1:22" ht="15" customHeight="1" x14ac:dyDescent="0.15">
      <c r="K4" s="20"/>
      <c r="L4" s="21"/>
      <c r="M4" s="21"/>
      <c r="N4" s="21"/>
      <c r="O4" s="21"/>
      <c r="P4" s="21"/>
      <c r="Q4" s="21"/>
      <c r="R4" s="21"/>
      <c r="S4" s="21"/>
    </row>
    <row r="5" spans="1:22" ht="18" customHeight="1" x14ac:dyDescent="0.15">
      <c r="A5" s="155" t="s">
        <v>0</v>
      </c>
      <c r="B5" s="155"/>
      <c r="C5" s="155"/>
      <c r="D5" s="155"/>
      <c r="E5" s="155"/>
      <c r="F5" s="155"/>
      <c r="G5" s="155"/>
      <c r="H5" s="155"/>
      <c r="I5" s="155"/>
      <c r="J5" s="155"/>
      <c r="K5" s="155"/>
      <c r="L5" s="155"/>
      <c r="M5" s="155"/>
      <c r="N5" s="155"/>
      <c r="O5" s="155"/>
      <c r="P5" s="155"/>
      <c r="Q5" s="155"/>
      <c r="R5" s="155"/>
      <c r="S5" s="155"/>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44</v>
      </c>
      <c r="C7" s="3"/>
      <c r="J7" s="22" t="s">
        <v>28</v>
      </c>
      <c r="K7" s="165" t="s">
        <v>46</v>
      </c>
      <c r="L7" s="166"/>
      <c r="M7" s="166"/>
      <c r="N7" s="166"/>
      <c r="O7" s="166"/>
      <c r="P7" s="166"/>
      <c r="Q7" s="166"/>
      <c r="R7" s="166"/>
      <c r="S7" s="167"/>
    </row>
    <row r="8" spans="1:22" ht="6" customHeight="1" x14ac:dyDescent="0.15">
      <c r="B8" s="3"/>
      <c r="C8" s="3"/>
      <c r="D8" s="3"/>
      <c r="E8" s="3"/>
      <c r="F8" s="3"/>
      <c r="G8" s="3"/>
      <c r="H8" s="3"/>
      <c r="I8" s="3"/>
      <c r="J8" s="3"/>
      <c r="K8" s="5"/>
      <c r="L8" s="3"/>
      <c r="M8" s="3"/>
      <c r="N8" s="3"/>
      <c r="O8" s="3"/>
      <c r="P8" s="3"/>
      <c r="Q8" s="3"/>
      <c r="R8" s="3"/>
      <c r="S8" s="3"/>
    </row>
    <row r="9" spans="1:22" ht="18" customHeight="1" x14ac:dyDescent="0.15">
      <c r="B9" s="168" t="s">
        <v>69</v>
      </c>
      <c r="C9" s="169"/>
      <c r="D9" s="169"/>
      <c r="E9" s="169"/>
      <c r="F9" s="169"/>
      <c r="G9" s="169"/>
      <c r="H9" s="169"/>
      <c r="I9" s="169"/>
      <c r="J9" s="169"/>
      <c r="K9" s="169"/>
      <c r="L9" s="169"/>
      <c r="M9" s="169"/>
      <c r="N9" s="169"/>
      <c r="O9" s="169"/>
      <c r="P9" s="169"/>
      <c r="Q9" s="169"/>
      <c r="R9" s="169"/>
      <c r="S9" s="170"/>
    </row>
    <row r="10" spans="1:22" ht="18" customHeight="1" x14ac:dyDescent="0.15">
      <c r="B10" s="171"/>
      <c r="C10" s="172"/>
      <c r="D10" s="172"/>
      <c r="E10" s="172"/>
      <c r="F10" s="172"/>
      <c r="G10" s="172"/>
      <c r="H10" s="172"/>
      <c r="I10" s="172"/>
      <c r="J10" s="172"/>
      <c r="K10" s="172"/>
      <c r="L10" s="172"/>
      <c r="M10" s="172"/>
      <c r="N10" s="172"/>
      <c r="O10" s="172"/>
      <c r="P10" s="172"/>
      <c r="Q10" s="172"/>
      <c r="R10" s="172"/>
      <c r="S10" s="173"/>
    </row>
    <row r="11" spans="1:22" ht="6" customHeight="1" x14ac:dyDescent="0.15">
      <c r="B11" s="3"/>
      <c r="C11" s="3"/>
      <c r="D11" s="3"/>
      <c r="E11" s="3"/>
      <c r="F11" s="3"/>
      <c r="G11" s="3"/>
      <c r="H11" s="3"/>
      <c r="I11" s="3"/>
      <c r="J11" s="3"/>
      <c r="K11" s="5"/>
      <c r="L11" s="3"/>
      <c r="M11" s="3"/>
      <c r="N11" s="3"/>
      <c r="O11" s="3"/>
      <c r="P11" s="3"/>
      <c r="Q11" s="3"/>
      <c r="R11" s="3"/>
      <c r="S11" s="3"/>
    </row>
    <row r="12" spans="1:22" ht="18" customHeight="1" x14ac:dyDescent="0.15">
      <c r="A12" s="1" t="s">
        <v>32</v>
      </c>
      <c r="B12" s="3"/>
      <c r="C12" s="3"/>
      <c r="D12" s="20"/>
      <c r="E12" s="20"/>
      <c r="F12" s="20"/>
      <c r="G12" s="20"/>
      <c r="H12" s="20"/>
      <c r="I12" s="20"/>
      <c r="J12" s="20"/>
      <c r="K12" s="23"/>
      <c r="L12" s="23"/>
      <c r="M12" s="23"/>
      <c r="N12" s="23"/>
      <c r="O12" s="23"/>
      <c r="P12" s="23"/>
      <c r="Q12" s="23"/>
      <c r="R12" s="23"/>
      <c r="S12" s="23"/>
    </row>
    <row r="13" spans="1:22" ht="18" customHeight="1" x14ac:dyDescent="0.15">
      <c r="B13" s="156" t="s">
        <v>70</v>
      </c>
      <c r="C13" s="157"/>
      <c r="D13" s="157"/>
      <c r="E13" s="157"/>
      <c r="F13" s="157"/>
      <c r="G13" s="157"/>
      <c r="H13" s="157"/>
      <c r="I13" s="157"/>
      <c r="J13" s="157"/>
      <c r="K13" s="157"/>
      <c r="L13" s="157"/>
      <c r="M13" s="157"/>
      <c r="N13" s="157"/>
      <c r="O13" s="157"/>
      <c r="P13" s="157"/>
      <c r="Q13" s="157"/>
      <c r="R13" s="157"/>
      <c r="S13" s="158"/>
      <c r="V13" s="1" t="s">
        <v>27</v>
      </c>
    </row>
    <row r="14" spans="1:22" ht="18" customHeight="1" x14ac:dyDescent="0.15">
      <c r="B14" s="159"/>
      <c r="C14" s="160"/>
      <c r="D14" s="160"/>
      <c r="E14" s="160"/>
      <c r="F14" s="160"/>
      <c r="G14" s="160"/>
      <c r="H14" s="160"/>
      <c r="I14" s="160"/>
      <c r="J14" s="160"/>
      <c r="K14" s="160"/>
      <c r="L14" s="160"/>
      <c r="M14" s="160"/>
      <c r="N14" s="160"/>
      <c r="O14" s="160"/>
      <c r="P14" s="160"/>
      <c r="Q14" s="160"/>
      <c r="R14" s="160"/>
      <c r="S14" s="161"/>
      <c r="V14" s="1" t="s">
        <v>31</v>
      </c>
    </row>
    <row r="15" spans="1:22" ht="18" customHeight="1" x14ac:dyDescent="0.15">
      <c r="B15" s="159"/>
      <c r="C15" s="160"/>
      <c r="D15" s="160"/>
      <c r="E15" s="160"/>
      <c r="F15" s="160"/>
      <c r="G15" s="160"/>
      <c r="H15" s="160"/>
      <c r="I15" s="160"/>
      <c r="J15" s="160"/>
      <c r="K15" s="160"/>
      <c r="L15" s="160"/>
      <c r="M15" s="160"/>
      <c r="N15" s="160"/>
      <c r="O15" s="160"/>
      <c r="P15" s="160"/>
      <c r="Q15" s="160"/>
      <c r="R15" s="160"/>
      <c r="S15" s="161"/>
      <c r="V15" s="1" t="s">
        <v>43</v>
      </c>
    </row>
    <row r="16" spans="1:22" ht="18" customHeight="1" x14ac:dyDescent="0.15">
      <c r="B16" s="159"/>
      <c r="C16" s="160"/>
      <c r="D16" s="160"/>
      <c r="E16" s="160"/>
      <c r="F16" s="160"/>
      <c r="G16" s="160"/>
      <c r="H16" s="160"/>
      <c r="I16" s="160"/>
      <c r="J16" s="160"/>
      <c r="K16" s="160"/>
      <c r="L16" s="160"/>
      <c r="M16" s="160"/>
      <c r="N16" s="160"/>
      <c r="O16" s="160"/>
      <c r="P16" s="160"/>
      <c r="Q16" s="160"/>
      <c r="R16" s="160"/>
      <c r="S16" s="161"/>
      <c r="V16" s="1" t="s">
        <v>45</v>
      </c>
    </row>
    <row r="17" spans="1:19" ht="18" customHeight="1" x14ac:dyDescent="0.15">
      <c r="B17" s="159"/>
      <c r="C17" s="160"/>
      <c r="D17" s="160"/>
      <c r="E17" s="160"/>
      <c r="F17" s="160"/>
      <c r="G17" s="160"/>
      <c r="H17" s="160"/>
      <c r="I17" s="160"/>
      <c r="J17" s="160"/>
      <c r="K17" s="160"/>
      <c r="L17" s="160"/>
      <c r="M17" s="160"/>
      <c r="N17" s="160"/>
      <c r="O17" s="160"/>
      <c r="P17" s="160"/>
      <c r="Q17" s="160"/>
      <c r="R17" s="160"/>
      <c r="S17" s="161"/>
    </row>
    <row r="18" spans="1:19" ht="18" customHeight="1" x14ac:dyDescent="0.15">
      <c r="B18" s="162"/>
      <c r="C18" s="163"/>
      <c r="D18" s="163"/>
      <c r="E18" s="163"/>
      <c r="F18" s="163"/>
      <c r="G18" s="163"/>
      <c r="H18" s="163"/>
      <c r="I18" s="163"/>
      <c r="J18" s="163"/>
      <c r="K18" s="163"/>
      <c r="L18" s="163"/>
      <c r="M18" s="163"/>
      <c r="N18" s="163"/>
      <c r="O18" s="163"/>
      <c r="P18" s="163"/>
      <c r="Q18" s="163"/>
      <c r="R18" s="163"/>
      <c r="S18" s="164"/>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33</v>
      </c>
      <c r="C20" s="97">
        <v>8</v>
      </c>
      <c r="D20" s="99"/>
      <c r="E20" s="24" t="s">
        <v>24</v>
      </c>
      <c r="G20" s="5"/>
      <c r="H20" s="3"/>
      <c r="I20" s="3"/>
      <c r="J20" s="20" t="s">
        <v>42</v>
      </c>
      <c r="K20" s="149" t="s">
        <v>45</v>
      </c>
      <c r="L20" s="150"/>
      <c r="M20" s="150"/>
      <c r="N20" s="150"/>
      <c r="O20" s="150"/>
      <c r="P20" s="150"/>
      <c r="Q20" s="150"/>
      <c r="R20" s="150"/>
      <c r="S20" s="151"/>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03" t="s">
        <v>34</v>
      </c>
      <c r="B22" s="103"/>
      <c r="C22" s="103"/>
      <c r="D22" s="103"/>
      <c r="E22" s="103"/>
      <c r="F22" s="103"/>
      <c r="G22" s="103"/>
      <c r="H22" s="103"/>
      <c r="I22" s="103"/>
      <c r="J22" s="103"/>
      <c r="K22" s="103"/>
      <c r="L22" s="103"/>
      <c r="M22" s="103"/>
      <c r="N22" s="103"/>
      <c r="O22" s="103"/>
      <c r="P22" s="103"/>
      <c r="Q22" s="103"/>
      <c r="R22" s="103"/>
      <c r="S22" s="103"/>
    </row>
    <row r="23" spans="1:19" ht="18" customHeight="1" x14ac:dyDescent="0.15">
      <c r="A23" s="103"/>
      <c r="B23" s="103"/>
      <c r="C23" s="103"/>
      <c r="D23" s="103"/>
      <c r="E23" s="103"/>
      <c r="F23" s="103"/>
      <c r="G23" s="103"/>
      <c r="H23" s="103"/>
      <c r="I23" s="103"/>
      <c r="J23" s="103"/>
      <c r="K23" s="103"/>
      <c r="L23" s="103"/>
      <c r="M23" s="103"/>
      <c r="N23" s="103"/>
      <c r="O23" s="103"/>
      <c r="P23" s="103"/>
      <c r="Q23" s="103"/>
      <c r="R23" s="103"/>
      <c r="S23" s="103"/>
    </row>
    <row r="24" spans="1:19" ht="18" customHeight="1" x14ac:dyDescent="0.15">
      <c r="B24" s="97" t="s">
        <v>1</v>
      </c>
      <c r="C24" s="98"/>
      <c r="D24" s="98"/>
      <c r="E24" s="99"/>
      <c r="F24" s="26" t="s">
        <v>21</v>
      </c>
      <c r="G24" s="25" t="s">
        <v>23</v>
      </c>
      <c r="H24" s="7" t="s">
        <v>4</v>
      </c>
      <c r="I24" s="7" t="s">
        <v>7</v>
      </c>
      <c r="J24" s="97" t="s">
        <v>1</v>
      </c>
      <c r="K24" s="98"/>
      <c r="L24" s="98"/>
      <c r="M24" s="98"/>
      <c r="N24" s="98"/>
      <c r="O24" s="99"/>
      <c r="P24" s="26" t="s">
        <v>21</v>
      </c>
      <c r="Q24" s="25" t="s">
        <v>23</v>
      </c>
      <c r="R24" s="7" t="s">
        <v>4</v>
      </c>
      <c r="S24" s="7" t="s">
        <v>7</v>
      </c>
    </row>
    <row r="25" spans="1:19" ht="18" customHeight="1" x14ac:dyDescent="0.15">
      <c r="B25" s="91" t="s">
        <v>71</v>
      </c>
      <c r="C25" s="92"/>
      <c r="D25" s="92"/>
      <c r="E25" s="93"/>
      <c r="F25" s="8">
        <v>2</v>
      </c>
      <c r="G25" s="8" t="s">
        <v>49</v>
      </c>
      <c r="H25" s="8" t="s">
        <v>49</v>
      </c>
      <c r="I25" s="8" t="s">
        <v>49</v>
      </c>
      <c r="J25" s="91"/>
      <c r="K25" s="92"/>
      <c r="L25" s="92"/>
      <c r="M25" s="92"/>
      <c r="N25" s="92"/>
      <c r="O25" s="93"/>
      <c r="P25" s="8"/>
      <c r="Q25" s="8"/>
      <c r="R25" s="8"/>
      <c r="S25" s="8"/>
    </row>
    <row r="26" spans="1:19" ht="18" customHeight="1" x14ac:dyDescent="0.15">
      <c r="B26" s="94" t="s">
        <v>72</v>
      </c>
      <c r="C26" s="95"/>
      <c r="D26" s="95"/>
      <c r="E26" s="96"/>
      <c r="F26" s="9">
        <v>2</v>
      </c>
      <c r="G26" s="9" t="s">
        <v>73</v>
      </c>
      <c r="H26" s="9" t="s">
        <v>73</v>
      </c>
      <c r="I26" s="9"/>
      <c r="J26" s="94"/>
      <c r="K26" s="95"/>
      <c r="L26" s="95"/>
      <c r="M26" s="95"/>
      <c r="N26" s="95"/>
      <c r="O26" s="96"/>
      <c r="P26" s="9"/>
      <c r="Q26" s="9"/>
      <c r="R26" s="9"/>
      <c r="S26" s="9"/>
    </row>
    <row r="27" spans="1:19" ht="18" customHeight="1" x14ac:dyDescent="0.15">
      <c r="B27" s="94"/>
      <c r="C27" s="95"/>
      <c r="D27" s="95"/>
      <c r="E27" s="96"/>
      <c r="F27" s="9"/>
      <c r="G27" s="9"/>
      <c r="H27" s="9"/>
      <c r="I27" s="9"/>
      <c r="J27" s="94"/>
      <c r="K27" s="95"/>
      <c r="L27" s="95"/>
      <c r="M27" s="95"/>
      <c r="N27" s="95"/>
      <c r="O27" s="96"/>
      <c r="P27" s="9"/>
      <c r="Q27" s="9"/>
      <c r="R27" s="9"/>
      <c r="S27" s="9"/>
    </row>
    <row r="28" spans="1:19" ht="18" customHeight="1" x14ac:dyDescent="0.15">
      <c r="B28" s="94"/>
      <c r="C28" s="95"/>
      <c r="D28" s="95"/>
      <c r="E28" s="96"/>
      <c r="F28" s="9"/>
      <c r="G28" s="9"/>
      <c r="H28" s="9"/>
      <c r="I28" s="9"/>
      <c r="J28" s="94"/>
      <c r="K28" s="95"/>
      <c r="L28" s="95"/>
      <c r="M28" s="95"/>
      <c r="N28" s="95"/>
      <c r="O28" s="96"/>
      <c r="P28" s="9"/>
      <c r="Q28" s="9"/>
      <c r="R28" s="9"/>
      <c r="S28" s="9"/>
    </row>
    <row r="29" spans="1:19" ht="18" customHeight="1" x14ac:dyDescent="0.15">
      <c r="B29" s="94"/>
      <c r="C29" s="95"/>
      <c r="D29" s="95"/>
      <c r="E29" s="96"/>
      <c r="F29" s="9"/>
      <c r="G29" s="9"/>
      <c r="H29" s="9"/>
      <c r="I29" s="9"/>
      <c r="J29" s="94"/>
      <c r="K29" s="95"/>
      <c r="L29" s="95"/>
      <c r="M29" s="95"/>
      <c r="N29" s="95"/>
      <c r="O29" s="96"/>
      <c r="P29" s="9"/>
      <c r="Q29" s="9"/>
      <c r="R29" s="9"/>
      <c r="S29" s="9"/>
    </row>
    <row r="30" spans="1:19" ht="18" customHeight="1" x14ac:dyDescent="0.15">
      <c r="A30" s="3"/>
      <c r="B30" s="94"/>
      <c r="C30" s="95"/>
      <c r="D30" s="95"/>
      <c r="E30" s="96"/>
      <c r="F30" s="9"/>
      <c r="G30" s="9"/>
      <c r="H30" s="9"/>
      <c r="I30" s="9"/>
      <c r="J30" s="94"/>
      <c r="K30" s="95"/>
      <c r="L30" s="95"/>
      <c r="M30" s="95"/>
      <c r="N30" s="95"/>
      <c r="O30" s="96"/>
      <c r="P30" s="9"/>
      <c r="Q30" s="9"/>
      <c r="R30" s="9"/>
      <c r="S30" s="9"/>
    </row>
    <row r="31" spans="1:19" ht="18" customHeight="1" x14ac:dyDescent="0.15">
      <c r="A31" s="3"/>
      <c r="B31" s="100"/>
      <c r="C31" s="101"/>
      <c r="D31" s="101"/>
      <c r="E31" s="102"/>
      <c r="F31" s="10"/>
      <c r="G31" s="10"/>
      <c r="H31" s="11"/>
      <c r="I31" s="11"/>
      <c r="J31" s="100"/>
      <c r="K31" s="101"/>
      <c r="L31" s="101"/>
      <c r="M31" s="101"/>
      <c r="N31" s="101"/>
      <c r="O31" s="102"/>
      <c r="P31" s="10"/>
      <c r="Q31" s="10"/>
      <c r="R31" s="11"/>
      <c r="S31" s="11"/>
    </row>
    <row r="32" spans="1:19" ht="7.5" customHeight="1" x14ac:dyDescent="0.15">
      <c r="A32" s="3"/>
      <c r="B32" s="4"/>
      <c r="C32" s="4"/>
      <c r="D32" s="3"/>
      <c r="E32" s="3"/>
      <c r="F32" s="3"/>
      <c r="G32" s="3"/>
      <c r="H32" s="4"/>
      <c r="I32" s="4"/>
      <c r="J32" s="4"/>
      <c r="K32" s="4"/>
      <c r="L32" s="4"/>
      <c r="M32" s="4"/>
      <c r="N32" s="4"/>
      <c r="O32" s="4"/>
      <c r="P32" s="4"/>
      <c r="Q32" s="4"/>
      <c r="R32" s="4"/>
      <c r="S32" s="3"/>
    </row>
    <row r="33" spans="1:19" ht="18" customHeight="1" x14ac:dyDescent="0.15">
      <c r="A33" s="103" t="s">
        <v>35</v>
      </c>
      <c r="B33" s="103"/>
      <c r="C33" s="103"/>
      <c r="D33" s="103"/>
      <c r="E33" s="103"/>
      <c r="F33" s="103"/>
      <c r="G33" s="103"/>
      <c r="H33" s="103"/>
      <c r="I33" s="103"/>
      <c r="J33" s="103"/>
      <c r="K33" s="103"/>
      <c r="L33" s="103"/>
      <c r="M33" s="103"/>
      <c r="N33" s="103"/>
      <c r="O33" s="103"/>
      <c r="P33" s="103"/>
      <c r="Q33" s="103"/>
      <c r="R33" s="103"/>
      <c r="S33" s="103"/>
    </row>
    <row r="34" spans="1:19" ht="18" customHeight="1" x14ac:dyDescent="0.15">
      <c r="A34" s="103"/>
      <c r="B34" s="103"/>
      <c r="C34" s="103"/>
      <c r="D34" s="103"/>
      <c r="E34" s="103"/>
      <c r="F34" s="103"/>
      <c r="G34" s="103"/>
      <c r="H34" s="103"/>
      <c r="I34" s="103"/>
      <c r="J34" s="103"/>
      <c r="K34" s="103"/>
      <c r="L34" s="103"/>
      <c r="M34" s="103"/>
      <c r="N34" s="103"/>
      <c r="O34" s="103"/>
      <c r="P34" s="103"/>
      <c r="Q34" s="103"/>
      <c r="R34" s="103"/>
      <c r="S34" s="103"/>
    </row>
    <row r="35" spans="1:19" ht="18" customHeight="1" x14ac:dyDescent="0.15">
      <c r="B35" s="97" t="s">
        <v>1</v>
      </c>
      <c r="C35" s="98"/>
      <c r="D35" s="98"/>
      <c r="E35" s="99"/>
      <c r="F35" s="26" t="s">
        <v>21</v>
      </c>
      <c r="G35" s="25" t="s">
        <v>23</v>
      </c>
      <c r="H35" s="7" t="s">
        <v>12</v>
      </c>
      <c r="I35" s="7" t="s">
        <v>13</v>
      </c>
      <c r="J35" s="97" t="s">
        <v>1</v>
      </c>
      <c r="K35" s="98"/>
      <c r="L35" s="98"/>
      <c r="M35" s="98"/>
      <c r="N35" s="98"/>
      <c r="O35" s="99"/>
      <c r="P35" s="26" t="s">
        <v>21</v>
      </c>
      <c r="Q35" s="25" t="s">
        <v>23</v>
      </c>
      <c r="R35" s="7" t="s">
        <v>12</v>
      </c>
      <c r="S35" s="7" t="s">
        <v>13</v>
      </c>
    </row>
    <row r="36" spans="1:19" ht="18" customHeight="1" x14ac:dyDescent="0.15">
      <c r="B36" s="91" t="s">
        <v>71</v>
      </c>
      <c r="C36" s="92"/>
      <c r="D36" s="92"/>
      <c r="E36" s="93"/>
      <c r="F36" s="8">
        <v>2</v>
      </c>
      <c r="G36" s="8" t="s">
        <v>49</v>
      </c>
      <c r="H36" s="8" t="s">
        <v>49</v>
      </c>
      <c r="I36" s="8"/>
      <c r="J36" s="91"/>
      <c r="K36" s="92"/>
      <c r="L36" s="92"/>
      <c r="M36" s="92"/>
      <c r="N36" s="92"/>
      <c r="O36" s="93"/>
      <c r="P36" s="8"/>
      <c r="Q36" s="8"/>
      <c r="R36" s="8"/>
      <c r="S36" s="8"/>
    </row>
    <row r="37" spans="1:19" ht="18" customHeight="1" x14ac:dyDescent="0.15">
      <c r="B37" s="94" t="s">
        <v>72</v>
      </c>
      <c r="C37" s="95"/>
      <c r="D37" s="95"/>
      <c r="E37" s="96"/>
      <c r="F37" s="9">
        <v>2</v>
      </c>
      <c r="G37" s="9" t="s">
        <v>73</v>
      </c>
      <c r="H37" s="9" t="s">
        <v>73</v>
      </c>
      <c r="I37" s="9" t="s">
        <v>73</v>
      </c>
      <c r="J37" s="94"/>
      <c r="K37" s="95"/>
      <c r="L37" s="95"/>
      <c r="M37" s="95"/>
      <c r="N37" s="95"/>
      <c r="O37" s="96"/>
      <c r="P37" s="9"/>
      <c r="Q37" s="9"/>
      <c r="R37" s="9"/>
      <c r="S37" s="9"/>
    </row>
    <row r="38" spans="1:19" ht="18" customHeight="1" x14ac:dyDescent="0.15">
      <c r="B38" s="94" t="s">
        <v>74</v>
      </c>
      <c r="C38" s="95"/>
      <c r="D38" s="95"/>
      <c r="E38" s="96"/>
      <c r="F38" s="9">
        <v>2</v>
      </c>
      <c r="G38" s="9" t="s">
        <v>49</v>
      </c>
      <c r="H38" s="9" t="s">
        <v>73</v>
      </c>
      <c r="I38" s="9" t="s">
        <v>73</v>
      </c>
      <c r="J38" s="94"/>
      <c r="K38" s="95"/>
      <c r="L38" s="95"/>
      <c r="M38" s="95"/>
      <c r="N38" s="95"/>
      <c r="O38" s="96"/>
      <c r="P38" s="9"/>
      <c r="Q38" s="9"/>
      <c r="R38" s="9"/>
      <c r="S38" s="9"/>
    </row>
    <row r="39" spans="1:19" ht="18" customHeight="1" x14ac:dyDescent="0.15">
      <c r="B39" s="94"/>
      <c r="C39" s="95"/>
      <c r="D39" s="95"/>
      <c r="E39" s="96"/>
      <c r="F39" s="9"/>
      <c r="G39" s="9"/>
      <c r="H39" s="9"/>
      <c r="I39" s="9"/>
      <c r="J39" s="94"/>
      <c r="K39" s="95"/>
      <c r="L39" s="95"/>
      <c r="M39" s="95"/>
      <c r="N39" s="95"/>
      <c r="O39" s="96"/>
      <c r="P39" s="9"/>
      <c r="Q39" s="9"/>
      <c r="R39" s="9"/>
      <c r="S39" s="9"/>
    </row>
    <row r="40" spans="1:19" ht="18" customHeight="1" x14ac:dyDescent="0.15">
      <c r="B40" s="94"/>
      <c r="C40" s="95"/>
      <c r="D40" s="95"/>
      <c r="E40" s="96"/>
      <c r="F40" s="9"/>
      <c r="G40" s="9"/>
      <c r="H40" s="9"/>
      <c r="I40" s="9"/>
      <c r="J40" s="94"/>
      <c r="K40" s="95"/>
      <c r="L40" s="95"/>
      <c r="M40" s="95"/>
      <c r="N40" s="95"/>
      <c r="O40" s="96"/>
      <c r="P40" s="9"/>
      <c r="Q40" s="9"/>
      <c r="R40" s="9"/>
      <c r="S40" s="9"/>
    </row>
    <row r="41" spans="1:19" ht="18" customHeight="1" x14ac:dyDescent="0.15">
      <c r="B41" s="94"/>
      <c r="C41" s="95"/>
      <c r="D41" s="95"/>
      <c r="E41" s="96"/>
      <c r="F41" s="9"/>
      <c r="G41" s="9"/>
      <c r="H41" s="9"/>
      <c r="I41" s="9"/>
      <c r="J41" s="94"/>
      <c r="K41" s="95"/>
      <c r="L41" s="95"/>
      <c r="M41" s="95"/>
      <c r="N41" s="95"/>
      <c r="O41" s="96"/>
      <c r="P41" s="9"/>
      <c r="Q41" s="9"/>
      <c r="R41" s="9"/>
      <c r="S41" s="9"/>
    </row>
    <row r="42" spans="1:19" ht="18" customHeight="1" x14ac:dyDescent="0.15">
      <c r="B42" s="100"/>
      <c r="C42" s="101"/>
      <c r="D42" s="101"/>
      <c r="E42" s="102"/>
      <c r="F42" s="10"/>
      <c r="G42" s="10"/>
      <c r="H42" s="11"/>
      <c r="I42" s="11"/>
      <c r="J42" s="100"/>
      <c r="K42" s="101"/>
      <c r="L42" s="101"/>
      <c r="M42" s="101"/>
      <c r="N42" s="101"/>
      <c r="O42" s="102"/>
      <c r="P42" s="10"/>
      <c r="Q42" s="10"/>
      <c r="R42" s="11"/>
      <c r="S42" s="11"/>
    </row>
    <row r="43" spans="1:19" ht="7.5" customHeight="1" x14ac:dyDescent="0.15">
      <c r="A43" s="3"/>
      <c r="B43" s="4"/>
      <c r="C43" s="4"/>
      <c r="D43" s="3"/>
      <c r="E43" s="3"/>
      <c r="F43" s="3"/>
      <c r="G43" s="3"/>
      <c r="H43" s="4"/>
      <c r="I43" s="4"/>
      <c r="J43" s="4"/>
      <c r="K43" s="4"/>
      <c r="L43" s="4"/>
      <c r="M43" s="4"/>
      <c r="N43" s="4"/>
      <c r="O43" s="4"/>
      <c r="P43" s="4"/>
      <c r="Q43" s="4"/>
      <c r="R43" s="4"/>
      <c r="S43" s="3"/>
    </row>
    <row r="44" spans="1:19" ht="18" customHeight="1" x14ac:dyDescent="0.15">
      <c r="A44" s="103" t="s">
        <v>36</v>
      </c>
      <c r="B44" s="103"/>
      <c r="C44" s="103"/>
      <c r="D44" s="103"/>
      <c r="E44" s="103"/>
      <c r="F44" s="103"/>
      <c r="G44" s="103"/>
      <c r="H44" s="103"/>
      <c r="I44" s="103"/>
      <c r="J44" s="103"/>
      <c r="K44" s="103"/>
      <c r="L44" s="103"/>
      <c r="M44" s="103"/>
      <c r="N44" s="103"/>
      <c r="O44" s="103"/>
      <c r="P44" s="103"/>
      <c r="Q44" s="103"/>
      <c r="R44" s="103"/>
      <c r="S44" s="103"/>
    </row>
    <row r="45" spans="1:19" ht="18" customHeight="1" x14ac:dyDescent="0.15">
      <c r="A45" s="103"/>
      <c r="B45" s="103"/>
      <c r="C45" s="103"/>
      <c r="D45" s="103"/>
      <c r="E45" s="103"/>
      <c r="F45" s="103"/>
      <c r="G45" s="103"/>
      <c r="H45" s="103"/>
      <c r="I45" s="103"/>
      <c r="J45" s="103"/>
      <c r="K45" s="103"/>
      <c r="L45" s="103"/>
      <c r="M45" s="103"/>
      <c r="N45" s="103"/>
      <c r="O45" s="103"/>
      <c r="P45" s="103"/>
      <c r="Q45" s="103"/>
      <c r="R45" s="103"/>
      <c r="S45" s="103"/>
    </row>
    <row r="46" spans="1:19" ht="18" customHeight="1" x14ac:dyDescent="0.15">
      <c r="B46" s="97" t="s">
        <v>1</v>
      </c>
      <c r="C46" s="98"/>
      <c r="D46" s="98"/>
      <c r="E46" s="99"/>
      <c r="F46" s="26" t="s">
        <v>21</v>
      </c>
      <c r="G46" s="25" t="s">
        <v>23</v>
      </c>
      <c r="H46" s="7" t="s">
        <v>14</v>
      </c>
      <c r="I46" s="7" t="s">
        <v>15</v>
      </c>
      <c r="J46" s="97" t="s">
        <v>1</v>
      </c>
      <c r="K46" s="98"/>
      <c r="L46" s="98"/>
      <c r="M46" s="98"/>
      <c r="N46" s="98"/>
      <c r="O46" s="99"/>
      <c r="P46" s="26" t="s">
        <v>21</v>
      </c>
      <c r="Q46" s="25" t="s">
        <v>23</v>
      </c>
      <c r="R46" s="7" t="s">
        <v>14</v>
      </c>
      <c r="S46" s="7" t="s">
        <v>15</v>
      </c>
    </row>
    <row r="47" spans="1:19" ht="18" customHeight="1" x14ac:dyDescent="0.15">
      <c r="A47" s="3"/>
      <c r="B47" s="91" t="s">
        <v>71</v>
      </c>
      <c r="C47" s="92"/>
      <c r="D47" s="92"/>
      <c r="E47" s="93"/>
      <c r="F47" s="8">
        <v>2</v>
      </c>
      <c r="G47" s="8" t="s">
        <v>49</v>
      </c>
      <c r="H47" s="8" t="s">
        <v>49</v>
      </c>
      <c r="I47" s="8" t="s">
        <v>49</v>
      </c>
      <c r="J47" s="91"/>
      <c r="K47" s="92"/>
      <c r="L47" s="92"/>
      <c r="M47" s="92"/>
      <c r="N47" s="92"/>
      <c r="O47" s="93"/>
      <c r="P47" s="8"/>
      <c r="Q47" s="8"/>
      <c r="R47" s="8"/>
      <c r="S47" s="8"/>
    </row>
    <row r="48" spans="1:19" ht="18" customHeight="1" x14ac:dyDescent="0.15">
      <c r="A48" s="3"/>
      <c r="B48" s="94" t="s">
        <v>72</v>
      </c>
      <c r="C48" s="95"/>
      <c r="D48" s="95"/>
      <c r="E48" s="96"/>
      <c r="F48" s="9">
        <v>2</v>
      </c>
      <c r="G48" s="9" t="s">
        <v>73</v>
      </c>
      <c r="H48" s="9" t="s">
        <v>73</v>
      </c>
      <c r="I48" s="9" t="s">
        <v>73</v>
      </c>
      <c r="J48" s="94"/>
      <c r="K48" s="95"/>
      <c r="L48" s="95"/>
      <c r="M48" s="95"/>
      <c r="N48" s="95"/>
      <c r="O48" s="96"/>
      <c r="P48" s="9"/>
      <c r="Q48" s="9"/>
      <c r="R48" s="9"/>
      <c r="S48" s="9"/>
    </row>
    <row r="49" spans="1:19" ht="18" customHeight="1" x14ac:dyDescent="0.15">
      <c r="A49" s="3"/>
      <c r="B49" s="94"/>
      <c r="C49" s="95"/>
      <c r="D49" s="95"/>
      <c r="E49" s="96"/>
      <c r="F49" s="9"/>
      <c r="G49" s="9"/>
      <c r="H49" s="9"/>
      <c r="I49" s="9"/>
      <c r="J49" s="94"/>
      <c r="K49" s="95"/>
      <c r="L49" s="95"/>
      <c r="M49" s="95"/>
      <c r="N49" s="95"/>
      <c r="O49" s="96"/>
      <c r="P49" s="9"/>
      <c r="Q49" s="9"/>
      <c r="R49" s="9"/>
      <c r="S49" s="9"/>
    </row>
    <row r="50" spans="1:19" ht="18" customHeight="1" x14ac:dyDescent="0.15">
      <c r="A50" s="3"/>
      <c r="B50" s="94"/>
      <c r="C50" s="95"/>
      <c r="D50" s="95"/>
      <c r="E50" s="96"/>
      <c r="F50" s="9"/>
      <c r="G50" s="9"/>
      <c r="H50" s="9"/>
      <c r="I50" s="9"/>
      <c r="J50" s="94"/>
      <c r="K50" s="95"/>
      <c r="L50" s="95"/>
      <c r="M50" s="95"/>
      <c r="N50" s="95"/>
      <c r="O50" s="96"/>
      <c r="P50" s="9"/>
      <c r="Q50" s="9"/>
      <c r="R50" s="9"/>
      <c r="S50" s="9"/>
    </row>
    <row r="51" spans="1:19" ht="18" customHeight="1" x14ac:dyDescent="0.15">
      <c r="A51" s="3"/>
      <c r="B51" s="94"/>
      <c r="C51" s="95"/>
      <c r="D51" s="95"/>
      <c r="E51" s="96"/>
      <c r="F51" s="9"/>
      <c r="G51" s="9"/>
      <c r="H51" s="9"/>
      <c r="I51" s="9"/>
      <c r="J51" s="94"/>
      <c r="K51" s="95"/>
      <c r="L51" s="95"/>
      <c r="M51" s="95"/>
      <c r="N51" s="95"/>
      <c r="O51" s="96"/>
      <c r="P51" s="9"/>
      <c r="Q51" s="9"/>
      <c r="R51" s="9"/>
      <c r="S51" s="9"/>
    </row>
    <row r="52" spans="1:19" ht="18" customHeight="1" x14ac:dyDescent="0.15">
      <c r="A52" s="3"/>
      <c r="B52" s="94"/>
      <c r="C52" s="95"/>
      <c r="D52" s="95"/>
      <c r="E52" s="96"/>
      <c r="F52" s="9"/>
      <c r="G52" s="9"/>
      <c r="H52" s="9"/>
      <c r="I52" s="9"/>
      <c r="J52" s="94"/>
      <c r="K52" s="95"/>
      <c r="L52" s="95"/>
      <c r="M52" s="95"/>
      <c r="N52" s="95"/>
      <c r="O52" s="96"/>
      <c r="P52" s="9"/>
      <c r="Q52" s="9"/>
      <c r="R52" s="9"/>
      <c r="S52" s="9"/>
    </row>
    <row r="53" spans="1:19" ht="18" customHeight="1" x14ac:dyDescent="0.15">
      <c r="A53" s="3"/>
      <c r="B53" s="100"/>
      <c r="C53" s="101"/>
      <c r="D53" s="101"/>
      <c r="E53" s="102"/>
      <c r="F53" s="10"/>
      <c r="G53" s="10"/>
      <c r="H53" s="11"/>
      <c r="I53" s="11"/>
      <c r="J53" s="100"/>
      <c r="K53" s="101"/>
      <c r="L53" s="101"/>
      <c r="M53" s="101"/>
      <c r="N53" s="101"/>
      <c r="O53" s="102"/>
      <c r="P53" s="10"/>
      <c r="Q53" s="10"/>
      <c r="R53" s="11"/>
      <c r="S53" s="11"/>
    </row>
    <row r="54" spans="1:19" ht="7.5" customHeight="1" x14ac:dyDescent="0.15">
      <c r="B54" s="6"/>
      <c r="C54" s="6"/>
      <c r="D54" s="6"/>
      <c r="E54" s="6"/>
      <c r="F54" s="6"/>
      <c r="G54" s="6"/>
      <c r="H54" s="6"/>
      <c r="I54" s="6"/>
      <c r="J54" s="6"/>
      <c r="K54" s="6"/>
      <c r="L54" s="6"/>
      <c r="M54" s="6"/>
      <c r="N54" s="6"/>
      <c r="O54" s="6"/>
      <c r="P54" s="6"/>
      <c r="Q54" s="6"/>
      <c r="R54" s="6"/>
    </row>
    <row r="55" spans="1:19" ht="18" customHeight="1" x14ac:dyDescent="0.15">
      <c r="A55" s="103" t="s">
        <v>37</v>
      </c>
      <c r="B55" s="103"/>
      <c r="C55" s="103"/>
      <c r="D55" s="103"/>
      <c r="E55" s="103"/>
      <c r="F55" s="103"/>
      <c r="G55" s="103"/>
      <c r="H55" s="103"/>
      <c r="I55" s="103"/>
      <c r="J55" s="103"/>
      <c r="K55" s="103"/>
      <c r="L55" s="103"/>
      <c r="M55" s="103"/>
      <c r="N55" s="103"/>
      <c r="O55" s="103"/>
      <c r="P55" s="103"/>
      <c r="Q55" s="103"/>
      <c r="R55" s="103"/>
      <c r="S55" s="103"/>
    </row>
    <row r="56" spans="1:19" ht="18" customHeight="1" x14ac:dyDescent="0.15">
      <c r="A56" s="103"/>
      <c r="B56" s="103"/>
      <c r="C56" s="103"/>
      <c r="D56" s="103"/>
      <c r="E56" s="103"/>
      <c r="F56" s="103"/>
      <c r="G56" s="103"/>
      <c r="H56" s="103"/>
      <c r="I56" s="103"/>
      <c r="J56" s="103"/>
      <c r="K56" s="103"/>
      <c r="L56" s="103"/>
      <c r="M56" s="103"/>
      <c r="N56" s="103"/>
      <c r="O56" s="103"/>
      <c r="P56" s="103"/>
      <c r="Q56" s="103"/>
      <c r="R56" s="103"/>
      <c r="S56" s="103"/>
    </row>
    <row r="57" spans="1:19" ht="18" customHeight="1" x14ac:dyDescent="0.15">
      <c r="B57" s="97" t="s">
        <v>1</v>
      </c>
      <c r="C57" s="98"/>
      <c r="D57" s="98"/>
      <c r="E57" s="99"/>
      <c r="F57" s="26" t="s">
        <v>21</v>
      </c>
      <c r="G57" s="25" t="s">
        <v>23</v>
      </c>
      <c r="H57" s="7" t="s">
        <v>6</v>
      </c>
      <c r="I57" s="7" t="s">
        <v>8</v>
      </c>
      <c r="J57" s="97" t="s">
        <v>1</v>
      </c>
      <c r="K57" s="98"/>
      <c r="L57" s="98"/>
      <c r="M57" s="98"/>
      <c r="N57" s="98"/>
      <c r="O57" s="99"/>
      <c r="P57" s="26" t="s">
        <v>21</v>
      </c>
      <c r="Q57" s="25" t="s">
        <v>23</v>
      </c>
      <c r="R57" s="7" t="s">
        <v>6</v>
      </c>
      <c r="S57" s="7" t="s">
        <v>8</v>
      </c>
    </row>
    <row r="58" spans="1:19" ht="18" customHeight="1" x14ac:dyDescent="0.15">
      <c r="A58" s="3"/>
      <c r="B58" s="91" t="s">
        <v>71</v>
      </c>
      <c r="C58" s="92"/>
      <c r="D58" s="92"/>
      <c r="E58" s="93"/>
      <c r="F58" s="8">
        <v>2</v>
      </c>
      <c r="G58" s="8" t="s">
        <v>49</v>
      </c>
      <c r="H58" s="8" t="s">
        <v>49</v>
      </c>
      <c r="I58" s="8" t="s">
        <v>49</v>
      </c>
      <c r="J58" s="91"/>
      <c r="K58" s="92"/>
      <c r="L58" s="92"/>
      <c r="M58" s="92"/>
      <c r="N58" s="92"/>
      <c r="O58" s="93"/>
      <c r="P58" s="8"/>
      <c r="Q58" s="8"/>
      <c r="R58" s="8"/>
      <c r="S58" s="8"/>
    </row>
    <row r="59" spans="1:19" ht="18" customHeight="1" x14ac:dyDescent="0.15">
      <c r="A59" s="3"/>
      <c r="B59" s="94" t="s">
        <v>72</v>
      </c>
      <c r="C59" s="95"/>
      <c r="D59" s="95"/>
      <c r="E59" s="96"/>
      <c r="F59" s="9">
        <v>2</v>
      </c>
      <c r="G59" s="9" t="s">
        <v>73</v>
      </c>
      <c r="H59" s="9" t="s">
        <v>73</v>
      </c>
      <c r="I59" s="9" t="s">
        <v>73</v>
      </c>
      <c r="J59" s="94"/>
      <c r="K59" s="95"/>
      <c r="L59" s="95"/>
      <c r="M59" s="95"/>
      <c r="N59" s="95"/>
      <c r="O59" s="96"/>
      <c r="P59" s="9"/>
      <c r="Q59" s="9"/>
      <c r="R59" s="9"/>
      <c r="S59" s="9"/>
    </row>
    <row r="60" spans="1:19" ht="18" customHeight="1" x14ac:dyDescent="0.15">
      <c r="A60" s="3"/>
      <c r="B60" s="94" t="s">
        <v>74</v>
      </c>
      <c r="C60" s="95"/>
      <c r="D60" s="95"/>
      <c r="E60" s="96"/>
      <c r="F60" s="9">
        <v>2</v>
      </c>
      <c r="G60" s="9" t="s">
        <v>49</v>
      </c>
      <c r="H60" s="9" t="s">
        <v>73</v>
      </c>
      <c r="I60" s="9"/>
      <c r="J60" s="94"/>
      <c r="K60" s="95"/>
      <c r="L60" s="95"/>
      <c r="M60" s="95"/>
      <c r="N60" s="95"/>
      <c r="O60" s="96"/>
      <c r="P60" s="9"/>
      <c r="Q60" s="9"/>
      <c r="R60" s="9"/>
      <c r="S60" s="9"/>
    </row>
    <row r="61" spans="1:19" ht="18" customHeight="1" x14ac:dyDescent="0.15">
      <c r="A61" s="3"/>
      <c r="B61" s="94"/>
      <c r="C61" s="95"/>
      <c r="D61" s="95"/>
      <c r="E61" s="96"/>
      <c r="F61" s="9"/>
      <c r="G61" s="9"/>
      <c r="H61" s="9"/>
      <c r="I61" s="9"/>
      <c r="J61" s="94"/>
      <c r="K61" s="95"/>
      <c r="L61" s="95"/>
      <c r="M61" s="95"/>
      <c r="N61" s="95"/>
      <c r="O61" s="96"/>
      <c r="P61" s="9"/>
      <c r="Q61" s="9"/>
      <c r="R61" s="9"/>
      <c r="S61" s="9"/>
    </row>
    <row r="62" spans="1:19" ht="18" customHeight="1" x14ac:dyDescent="0.15">
      <c r="A62" s="3"/>
      <c r="B62" s="94"/>
      <c r="C62" s="95"/>
      <c r="D62" s="95"/>
      <c r="E62" s="96"/>
      <c r="F62" s="9"/>
      <c r="G62" s="9"/>
      <c r="H62" s="9"/>
      <c r="I62" s="9"/>
      <c r="J62" s="94"/>
      <c r="K62" s="95"/>
      <c r="L62" s="95"/>
      <c r="M62" s="95"/>
      <c r="N62" s="95"/>
      <c r="O62" s="96"/>
      <c r="P62" s="9"/>
      <c r="Q62" s="9"/>
      <c r="R62" s="9"/>
      <c r="S62" s="9"/>
    </row>
    <row r="63" spans="1:19" ht="18" customHeight="1" x14ac:dyDescent="0.15">
      <c r="A63" s="3"/>
      <c r="B63" s="94"/>
      <c r="C63" s="95"/>
      <c r="D63" s="95"/>
      <c r="E63" s="96"/>
      <c r="F63" s="9"/>
      <c r="G63" s="9"/>
      <c r="H63" s="9"/>
      <c r="I63" s="9"/>
      <c r="J63" s="94"/>
      <c r="K63" s="95"/>
      <c r="L63" s="95"/>
      <c r="M63" s="95"/>
      <c r="N63" s="95"/>
      <c r="O63" s="96"/>
      <c r="P63" s="9"/>
      <c r="Q63" s="9"/>
      <c r="R63" s="9"/>
      <c r="S63" s="9"/>
    </row>
    <row r="64" spans="1:19" ht="18" customHeight="1" x14ac:dyDescent="0.15">
      <c r="A64" s="3"/>
      <c r="B64" s="100"/>
      <c r="C64" s="101"/>
      <c r="D64" s="101"/>
      <c r="E64" s="102"/>
      <c r="F64" s="10"/>
      <c r="G64" s="10"/>
      <c r="H64" s="11"/>
      <c r="I64" s="11"/>
      <c r="J64" s="100"/>
      <c r="K64" s="101"/>
      <c r="L64" s="101"/>
      <c r="M64" s="101"/>
      <c r="N64" s="101"/>
      <c r="O64" s="102"/>
      <c r="P64" s="10"/>
      <c r="Q64" s="10"/>
      <c r="R64" s="11"/>
      <c r="S64" s="11"/>
    </row>
    <row r="65" spans="1:19" ht="7.5" customHeight="1" x14ac:dyDescent="0.15">
      <c r="B65" s="6"/>
      <c r="C65" s="6"/>
      <c r="D65" s="6"/>
      <c r="E65" s="6"/>
      <c r="F65" s="6"/>
      <c r="G65" s="6"/>
      <c r="H65" s="6"/>
      <c r="I65" s="6"/>
      <c r="J65" s="6"/>
      <c r="K65" s="6"/>
      <c r="L65" s="6"/>
      <c r="M65" s="6"/>
      <c r="N65" s="6"/>
      <c r="O65" s="6"/>
      <c r="P65" s="6"/>
      <c r="Q65" s="6"/>
      <c r="R65" s="6"/>
    </row>
    <row r="66" spans="1:19" ht="18" customHeight="1" x14ac:dyDescent="0.15">
      <c r="A66" s="103" t="s">
        <v>38</v>
      </c>
      <c r="B66" s="103"/>
      <c r="C66" s="103"/>
      <c r="D66" s="103"/>
      <c r="E66" s="103"/>
      <c r="F66" s="103"/>
      <c r="G66" s="103"/>
      <c r="H66" s="103"/>
      <c r="I66" s="103"/>
      <c r="J66" s="103"/>
      <c r="K66" s="103"/>
      <c r="L66" s="103"/>
      <c r="M66" s="103"/>
      <c r="N66" s="103"/>
      <c r="O66" s="103"/>
      <c r="P66" s="103"/>
      <c r="Q66" s="103"/>
      <c r="R66" s="103"/>
      <c r="S66" s="103"/>
    </row>
    <row r="67" spans="1:19" ht="18" customHeight="1" x14ac:dyDescent="0.15">
      <c r="A67" s="103"/>
      <c r="B67" s="103"/>
      <c r="C67" s="103"/>
      <c r="D67" s="103"/>
      <c r="E67" s="103"/>
      <c r="F67" s="103"/>
      <c r="G67" s="103"/>
      <c r="H67" s="103"/>
      <c r="I67" s="103"/>
      <c r="J67" s="103"/>
      <c r="K67" s="103"/>
      <c r="L67" s="103"/>
      <c r="M67" s="103"/>
      <c r="N67" s="103"/>
      <c r="O67" s="103"/>
      <c r="P67" s="103"/>
      <c r="Q67" s="103"/>
      <c r="R67" s="103"/>
      <c r="S67" s="103"/>
    </row>
    <row r="68" spans="1:19" ht="18" customHeight="1" x14ac:dyDescent="0.15">
      <c r="B68" s="97" t="s">
        <v>1</v>
      </c>
      <c r="C68" s="98"/>
      <c r="D68" s="98"/>
      <c r="E68" s="26" t="s">
        <v>21</v>
      </c>
      <c r="F68" s="25" t="s">
        <v>23</v>
      </c>
      <c r="G68" s="7" t="s">
        <v>25</v>
      </c>
      <c r="H68" s="7" t="s">
        <v>16</v>
      </c>
      <c r="I68" s="7" t="s">
        <v>17</v>
      </c>
      <c r="J68" s="97" t="s">
        <v>1</v>
      </c>
      <c r="K68" s="98"/>
      <c r="L68" s="98"/>
      <c r="M68" s="98"/>
      <c r="N68" s="99"/>
      <c r="O68" s="26" t="s">
        <v>21</v>
      </c>
      <c r="P68" s="25" t="s">
        <v>23</v>
      </c>
      <c r="Q68" s="7" t="s">
        <v>25</v>
      </c>
      <c r="R68" s="7" t="s">
        <v>16</v>
      </c>
      <c r="S68" s="7" t="s">
        <v>17</v>
      </c>
    </row>
    <row r="69" spans="1:19" ht="18" customHeight="1" x14ac:dyDescent="0.15">
      <c r="A69" s="3"/>
      <c r="B69" s="91" t="s">
        <v>72</v>
      </c>
      <c r="C69" s="92"/>
      <c r="D69" s="93"/>
      <c r="E69" s="8">
        <v>2</v>
      </c>
      <c r="F69" s="8" t="s">
        <v>49</v>
      </c>
      <c r="G69" s="8" t="s">
        <v>49</v>
      </c>
      <c r="H69" s="8" t="s">
        <v>49</v>
      </c>
      <c r="I69" s="8" t="s">
        <v>49</v>
      </c>
      <c r="J69" s="91"/>
      <c r="K69" s="92"/>
      <c r="L69" s="92"/>
      <c r="M69" s="92"/>
      <c r="N69" s="93"/>
      <c r="O69" s="8"/>
      <c r="P69" s="8"/>
      <c r="Q69" s="8"/>
      <c r="R69" s="8"/>
      <c r="S69" s="8"/>
    </row>
    <row r="70" spans="1:19" ht="18" customHeight="1" x14ac:dyDescent="0.15">
      <c r="A70" s="3"/>
      <c r="B70" s="94" t="s">
        <v>74</v>
      </c>
      <c r="C70" s="95"/>
      <c r="D70" s="95"/>
      <c r="E70" s="9">
        <v>2</v>
      </c>
      <c r="F70" s="9" t="s">
        <v>49</v>
      </c>
      <c r="G70" s="9"/>
      <c r="H70" s="9" t="s">
        <v>49</v>
      </c>
      <c r="I70" s="9"/>
      <c r="J70" s="94"/>
      <c r="K70" s="95"/>
      <c r="L70" s="95"/>
      <c r="M70" s="95"/>
      <c r="N70" s="96"/>
      <c r="O70" s="9"/>
      <c r="P70" s="9"/>
      <c r="Q70" s="9"/>
      <c r="R70" s="9"/>
      <c r="S70" s="9"/>
    </row>
    <row r="71" spans="1:19" ht="18" customHeight="1" x14ac:dyDescent="0.15">
      <c r="A71" s="3"/>
      <c r="B71" s="94" t="s">
        <v>75</v>
      </c>
      <c r="C71" s="95"/>
      <c r="D71" s="95"/>
      <c r="E71" s="9">
        <v>2</v>
      </c>
      <c r="F71" s="9" t="s">
        <v>73</v>
      </c>
      <c r="G71" s="9" t="s">
        <v>73</v>
      </c>
      <c r="H71" s="9" t="s">
        <v>73</v>
      </c>
      <c r="I71" s="9" t="s">
        <v>73</v>
      </c>
      <c r="J71" s="94"/>
      <c r="K71" s="95"/>
      <c r="L71" s="95"/>
      <c r="M71" s="95"/>
      <c r="N71" s="96"/>
      <c r="O71" s="9"/>
      <c r="P71" s="9"/>
      <c r="Q71" s="9"/>
      <c r="R71" s="9"/>
      <c r="S71" s="9"/>
    </row>
    <row r="72" spans="1:19" ht="18" customHeight="1" x14ac:dyDescent="0.15">
      <c r="A72" s="3"/>
      <c r="B72" s="94"/>
      <c r="C72" s="95"/>
      <c r="D72" s="95"/>
      <c r="E72" s="9"/>
      <c r="F72" s="9"/>
      <c r="G72" s="9"/>
      <c r="H72" s="9"/>
      <c r="I72" s="9"/>
      <c r="J72" s="94"/>
      <c r="K72" s="95"/>
      <c r="L72" s="95"/>
      <c r="M72" s="95"/>
      <c r="N72" s="96"/>
      <c r="O72" s="9"/>
      <c r="P72" s="9"/>
      <c r="Q72" s="9"/>
      <c r="R72" s="9"/>
      <c r="S72" s="9"/>
    </row>
    <row r="73" spans="1:19" ht="18" customHeight="1" x14ac:dyDescent="0.15">
      <c r="A73" s="3"/>
      <c r="B73" s="94"/>
      <c r="C73" s="95"/>
      <c r="D73" s="95"/>
      <c r="E73" s="9"/>
      <c r="F73" s="9"/>
      <c r="G73" s="9"/>
      <c r="H73" s="9"/>
      <c r="I73" s="9"/>
      <c r="J73" s="94"/>
      <c r="K73" s="95"/>
      <c r="L73" s="95"/>
      <c r="M73" s="95"/>
      <c r="N73" s="96"/>
      <c r="O73" s="9"/>
      <c r="P73" s="9"/>
      <c r="Q73" s="9"/>
      <c r="R73" s="9"/>
      <c r="S73" s="9"/>
    </row>
    <row r="74" spans="1:19" ht="18" customHeight="1" x14ac:dyDescent="0.15">
      <c r="A74" s="3"/>
      <c r="B74" s="94"/>
      <c r="C74" s="95"/>
      <c r="D74" s="95"/>
      <c r="E74" s="9"/>
      <c r="F74" s="9"/>
      <c r="G74" s="9"/>
      <c r="H74" s="9"/>
      <c r="I74" s="9"/>
      <c r="J74" s="94"/>
      <c r="K74" s="95"/>
      <c r="L74" s="95"/>
      <c r="M74" s="95"/>
      <c r="N74" s="96"/>
      <c r="O74" s="9"/>
      <c r="P74" s="9"/>
      <c r="Q74" s="9"/>
      <c r="R74" s="9"/>
      <c r="S74" s="9"/>
    </row>
    <row r="75" spans="1:19" ht="18" customHeight="1" x14ac:dyDescent="0.15">
      <c r="A75" s="3"/>
      <c r="B75" s="100"/>
      <c r="C75" s="101"/>
      <c r="D75" s="101"/>
      <c r="E75" s="10"/>
      <c r="F75" s="10"/>
      <c r="G75" s="11"/>
      <c r="H75" s="11"/>
      <c r="I75" s="11"/>
      <c r="J75" s="100"/>
      <c r="K75" s="101"/>
      <c r="L75" s="101"/>
      <c r="M75" s="101"/>
      <c r="N75" s="102"/>
      <c r="O75" s="10"/>
      <c r="P75" s="10"/>
      <c r="Q75" s="11"/>
      <c r="R75" s="11"/>
      <c r="S75" s="11"/>
    </row>
    <row r="76" spans="1:19" ht="7.5" customHeight="1" x14ac:dyDescent="0.15">
      <c r="B76" s="6"/>
      <c r="C76" s="6"/>
      <c r="D76" s="6"/>
      <c r="E76" s="6"/>
      <c r="F76" s="6"/>
      <c r="G76" s="6"/>
      <c r="H76" s="6"/>
      <c r="I76" s="6"/>
      <c r="J76" s="6"/>
      <c r="K76" s="6"/>
      <c r="L76" s="6"/>
      <c r="M76" s="6"/>
      <c r="N76" s="6"/>
      <c r="O76" s="6"/>
      <c r="P76" s="6"/>
      <c r="Q76" s="6"/>
      <c r="R76" s="6"/>
    </row>
    <row r="77" spans="1:19" ht="18" customHeight="1" x14ac:dyDescent="0.15">
      <c r="A77" s="1" t="s">
        <v>39</v>
      </c>
      <c r="H77" s="3"/>
      <c r="I77" s="3"/>
      <c r="J77" s="3"/>
      <c r="K77" s="3"/>
      <c r="L77" s="3"/>
      <c r="M77" s="3"/>
      <c r="N77" s="3"/>
      <c r="O77" s="3"/>
      <c r="P77" s="3"/>
      <c r="Q77" s="3"/>
      <c r="R77" s="3"/>
      <c r="S77" s="3"/>
    </row>
    <row r="78" spans="1:19" ht="18" customHeight="1" x14ac:dyDescent="0.15">
      <c r="B78" s="97" t="s">
        <v>1</v>
      </c>
      <c r="C78" s="98"/>
      <c r="D78" s="98"/>
      <c r="E78" s="99"/>
      <c r="F78" s="97" t="s">
        <v>22</v>
      </c>
      <c r="G78" s="98"/>
      <c r="H78" s="98"/>
      <c r="I78" s="99"/>
      <c r="J78" s="124" t="s">
        <v>1</v>
      </c>
      <c r="K78" s="125"/>
      <c r="L78" s="125"/>
      <c r="M78" s="125"/>
      <c r="N78" s="125"/>
      <c r="O78" s="126"/>
      <c r="P78" s="97" t="s">
        <v>22</v>
      </c>
      <c r="Q78" s="98"/>
      <c r="R78" s="98"/>
      <c r="S78" s="99"/>
    </row>
    <row r="79" spans="1:19" ht="18" customHeight="1" x14ac:dyDescent="0.15">
      <c r="A79" s="3"/>
      <c r="B79" s="91"/>
      <c r="C79" s="92"/>
      <c r="D79" s="92"/>
      <c r="E79" s="93"/>
      <c r="F79" s="118"/>
      <c r="G79" s="119"/>
      <c r="H79" s="119"/>
      <c r="I79" s="120"/>
      <c r="J79" s="91"/>
      <c r="K79" s="92"/>
      <c r="L79" s="92"/>
      <c r="M79" s="92"/>
      <c r="N79" s="92"/>
      <c r="O79" s="93"/>
      <c r="P79" s="118"/>
      <c r="Q79" s="119"/>
      <c r="R79" s="119"/>
      <c r="S79" s="120"/>
    </row>
    <row r="80" spans="1:19" ht="18" customHeight="1" x14ac:dyDescent="0.15">
      <c r="A80" s="3"/>
      <c r="B80" s="94"/>
      <c r="C80" s="95"/>
      <c r="D80" s="95"/>
      <c r="E80" s="96"/>
      <c r="F80" s="121"/>
      <c r="G80" s="122"/>
      <c r="H80" s="122"/>
      <c r="I80" s="123"/>
      <c r="J80" s="94"/>
      <c r="K80" s="95"/>
      <c r="L80" s="95"/>
      <c r="M80" s="95"/>
      <c r="N80" s="95"/>
      <c r="O80" s="96"/>
      <c r="P80" s="121"/>
      <c r="Q80" s="122"/>
      <c r="R80" s="122"/>
      <c r="S80" s="123"/>
    </row>
    <row r="81" spans="1:19" ht="18" customHeight="1" x14ac:dyDescent="0.15">
      <c r="A81" s="3"/>
      <c r="B81" s="94"/>
      <c r="C81" s="95"/>
      <c r="D81" s="95"/>
      <c r="E81" s="96"/>
      <c r="F81" s="121"/>
      <c r="G81" s="122"/>
      <c r="H81" s="122"/>
      <c r="I81" s="123"/>
      <c r="J81" s="94"/>
      <c r="K81" s="95"/>
      <c r="L81" s="95"/>
      <c r="M81" s="95"/>
      <c r="N81" s="95"/>
      <c r="O81" s="96"/>
      <c r="P81" s="121"/>
      <c r="Q81" s="122"/>
      <c r="R81" s="122"/>
      <c r="S81" s="123"/>
    </row>
    <row r="82" spans="1:19" ht="18" customHeight="1" x14ac:dyDescent="0.15">
      <c r="A82" s="3"/>
      <c r="B82" s="94"/>
      <c r="C82" s="95"/>
      <c r="D82" s="95"/>
      <c r="E82" s="96"/>
      <c r="F82" s="121"/>
      <c r="G82" s="122"/>
      <c r="H82" s="122"/>
      <c r="I82" s="123"/>
      <c r="J82" s="94"/>
      <c r="K82" s="95"/>
      <c r="L82" s="95"/>
      <c r="M82" s="95"/>
      <c r="N82" s="95"/>
      <c r="O82" s="96"/>
      <c r="P82" s="121"/>
      <c r="Q82" s="122"/>
      <c r="R82" s="122"/>
      <c r="S82" s="123"/>
    </row>
    <row r="83" spans="1:19" ht="18" customHeight="1" x14ac:dyDescent="0.15">
      <c r="A83" s="3"/>
      <c r="B83" s="94"/>
      <c r="C83" s="95"/>
      <c r="D83" s="95"/>
      <c r="E83" s="96"/>
      <c r="F83" s="121"/>
      <c r="G83" s="122"/>
      <c r="H83" s="122"/>
      <c r="I83" s="123"/>
      <c r="J83" s="94"/>
      <c r="K83" s="95"/>
      <c r="L83" s="95"/>
      <c r="M83" s="95"/>
      <c r="N83" s="95"/>
      <c r="O83" s="96"/>
      <c r="P83" s="121"/>
      <c r="Q83" s="122"/>
      <c r="R83" s="122"/>
      <c r="S83" s="123"/>
    </row>
    <row r="84" spans="1:19" ht="18" customHeight="1" x14ac:dyDescent="0.15">
      <c r="A84" s="3"/>
      <c r="B84" s="94"/>
      <c r="C84" s="95"/>
      <c r="D84" s="95"/>
      <c r="E84" s="96"/>
      <c r="F84" s="121"/>
      <c r="G84" s="122"/>
      <c r="H84" s="122"/>
      <c r="I84" s="123"/>
      <c r="J84" s="94"/>
      <c r="K84" s="95"/>
      <c r="L84" s="95"/>
      <c r="M84" s="95"/>
      <c r="N84" s="95"/>
      <c r="O84" s="96"/>
      <c r="P84" s="121"/>
      <c r="Q84" s="122"/>
      <c r="R84" s="122"/>
      <c r="S84" s="123"/>
    </row>
    <row r="85" spans="1:19" ht="18" customHeight="1" x14ac:dyDescent="0.15">
      <c r="A85" s="3"/>
      <c r="B85" s="100"/>
      <c r="C85" s="101"/>
      <c r="D85" s="101"/>
      <c r="E85" s="102"/>
      <c r="F85" s="130"/>
      <c r="G85" s="131"/>
      <c r="H85" s="131"/>
      <c r="I85" s="132"/>
      <c r="J85" s="100"/>
      <c r="K85" s="101"/>
      <c r="L85" s="101"/>
      <c r="M85" s="101"/>
      <c r="N85" s="101"/>
      <c r="O85" s="102"/>
      <c r="P85" s="130"/>
      <c r="Q85" s="131"/>
      <c r="R85" s="131"/>
      <c r="S85" s="132"/>
    </row>
    <row r="86" spans="1:19" ht="18" customHeight="1" x14ac:dyDescent="0.15">
      <c r="A86" s="3"/>
      <c r="B86" s="4"/>
      <c r="C86" s="4"/>
      <c r="D86" s="4"/>
      <c r="E86" s="4"/>
      <c r="F86" s="12"/>
      <c r="G86" s="12"/>
      <c r="H86" s="12"/>
      <c r="I86" s="12"/>
      <c r="J86" s="4"/>
      <c r="K86" s="4"/>
      <c r="L86" s="4"/>
      <c r="M86" s="4"/>
      <c r="N86" s="4"/>
      <c r="O86" s="4"/>
      <c r="P86" s="12"/>
      <c r="Q86" s="12"/>
      <c r="R86" s="12"/>
      <c r="S86" s="12"/>
    </row>
    <row r="87" spans="1:19" ht="18.75" customHeight="1" x14ac:dyDescent="0.15">
      <c r="A87" s="1" t="s">
        <v>40</v>
      </c>
    </row>
    <row r="88" spans="1:19" ht="18.75" customHeight="1" x14ac:dyDescent="0.15">
      <c r="B88" s="116" t="s">
        <v>2</v>
      </c>
      <c r="C88" s="117"/>
      <c r="D88" s="98" t="s">
        <v>3</v>
      </c>
      <c r="E88" s="98"/>
      <c r="F88" s="98"/>
      <c r="G88" s="98"/>
      <c r="H88" s="98"/>
      <c r="I88" s="98"/>
      <c r="J88" s="98"/>
      <c r="K88" s="98"/>
      <c r="L88" s="98"/>
      <c r="M88" s="98"/>
      <c r="N88" s="98"/>
      <c r="O88" s="98"/>
      <c r="P88" s="98"/>
      <c r="Q88" s="98"/>
      <c r="R88" s="98"/>
      <c r="S88" s="99"/>
    </row>
    <row r="89" spans="1:19" ht="97.5" customHeight="1" x14ac:dyDescent="0.15">
      <c r="B89" s="104" t="s">
        <v>9</v>
      </c>
      <c r="C89" s="13" t="s">
        <v>4</v>
      </c>
      <c r="D89" s="174" t="s">
        <v>117</v>
      </c>
      <c r="E89" s="175"/>
      <c r="F89" s="175"/>
      <c r="G89" s="175"/>
      <c r="H89" s="175"/>
      <c r="I89" s="175"/>
      <c r="J89" s="175"/>
      <c r="K89" s="175"/>
      <c r="L89" s="175"/>
      <c r="M89" s="175"/>
      <c r="N89" s="175"/>
      <c r="O89" s="175"/>
      <c r="P89" s="175"/>
      <c r="Q89" s="175"/>
      <c r="R89" s="175"/>
      <c r="S89" s="176"/>
    </row>
    <row r="90" spans="1:19" ht="97.5" customHeight="1" x14ac:dyDescent="0.15">
      <c r="B90" s="105"/>
      <c r="C90" s="14" t="s">
        <v>18</v>
      </c>
      <c r="D90" s="133" t="s">
        <v>76</v>
      </c>
      <c r="E90" s="134"/>
      <c r="F90" s="134"/>
      <c r="G90" s="134"/>
      <c r="H90" s="134"/>
      <c r="I90" s="134"/>
      <c r="J90" s="134"/>
      <c r="K90" s="134"/>
      <c r="L90" s="134"/>
      <c r="M90" s="134"/>
      <c r="N90" s="134"/>
      <c r="O90" s="134"/>
      <c r="P90" s="134"/>
      <c r="Q90" s="134"/>
      <c r="R90" s="134"/>
      <c r="S90" s="135"/>
    </row>
    <row r="91" spans="1:19" ht="97.5" customHeight="1" x14ac:dyDescent="0.15">
      <c r="B91" s="104" t="s">
        <v>10</v>
      </c>
      <c r="C91" s="15" t="s">
        <v>12</v>
      </c>
      <c r="D91" s="136" t="s">
        <v>77</v>
      </c>
      <c r="E91" s="137"/>
      <c r="F91" s="137"/>
      <c r="G91" s="137"/>
      <c r="H91" s="137"/>
      <c r="I91" s="137"/>
      <c r="J91" s="137"/>
      <c r="K91" s="137"/>
      <c r="L91" s="137"/>
      <c r="M91" s="137"/>
      <c r="N91" s="137"/>
      <c r="O91" s="137"/>
      <c r="P91" s="137"/>
      <c r="Q91" s="137"/>
      <c r="R91" s="137"/>
      <c r="S91" s="138"/>
    </row>
    <row r="92" spans="1:19" ht="97.5" customHeight="1" x14ac:dyDescent="0.15">
      <c r="B92" s="106"/>
      <c r="C92" s="16" t="s">
        <v>13</v>
      </c>
      <c r="D92" s="142" t="s">
        <v>78</v>
      </c>
      <c r="E92" s="143"/>
      <c r="F92" s="143"/>
      <c r="G92" s="143"/>
      <c r="H92" s="143"/>
      <c r="I92" s="143"/>
      <c r="J92" s="143"/>
      <c r="K92" s="143"/>
      <c r="L92" s="143"/>
      <c r="M92" s="143"/>
      <c r="N92" s="143"/>
      <c r="O92" s="143"/>
      <c r="P92" s="143"/>
      <c r="Q92" s="143"/>
      <c r="R92" s="143"/>
      <c r="S92" s="144"/>
    </row>
    <row r="93" spans="1:19" ht="97.5" customHeight="1" x14ac:dyDescent="0.15">
      <c r="B93" s="104" t="s">
        <v>11</v>
      </c>
      <c r="C93" s="15" t="s">
        <v>14</v>
      </c>
      <c r="D93" s="136" t="s">
        <v>79</v>
      </c>
      <c r="E93" s="137"/>
      <c r="F93" s="137"/>
      <c r="G93" s="137"/>
      <c r="H93" s="137"/>
      <c r="I93" s="137"/>
      <c r="J93" s="137"/>
      <c r="K93" s="137"/>
      <c r="L93" s="137"/>
      <c r="M93" s="137"/>
      <c r="N93" s="137"/>
      <c r="O93" s="137"/>
      <c r="P93" s="137"/>
      <c r="Q93" s="137"/>
      <c r="R93" s="137"/>
      <c r="S93" s="138"/>
    </row>
    <row r="94" spans="1:19" ht="97.5" customHeight="1" x14ac:dyDescent="0.15">
      <c r="B94" s="106"/>
      <c r="C94" s="17" t="s">
        <v>15</v>
      </c>
      <c r="D94" s="139" t="s">
        <v>80</v>
      </c>
      <c r="E94" s="140"/>
      <c r="F94" s="140"/>
      <c r="G94" s="140"/>
      <c r="H94" s="140"/>
      <c r="I94" s="140"/>
      <c r="J94" s="140"/>
      <c r="K94" s="140"/>
      <c r="L94" s="140"/>
      <c r="M94" s="140"/>
      <c r="N94" s="140"/>
      <c r="O94" s="140"/>
      <c r="P94" s="140"/>
      <c r="Q94" s="140"/>
      <c r="R94" s="140"/>
      <c r="S94" s="141"/>
    </row>
    <row r="95" spans="1:19" ht="97.5" customHeight="1" x14ac:dyDescent="0.15">
      <c r="B95" s="104" t="s">
        <v>19</v>
      </c>
      <c r="C95" s="13" t="s">
        <v>6</v>
      </c>
      <c r="D95" s="174" t="s">
        <v>81</v>
      </c>
      <c r="E95" s="175"/>
      <c r="F95" s="175"/>
      <c r="G95" s="175"/>
      <c r="H95" s="175"/>
      <c r="I95" s="175"/>
      <c r="J95" s="175"/>
      <c r="K95" s="175"/>
      <c r="L95" s="175"/>
      <c r="M95" s="175"/>
      <c r="N95" s="175"/>
      <c r="O95" s="175"/>
      <c r="P95" s="175"/>
      <c r="Q95" s="175"/>
      <c r="R95" s="175"/>
      <c r="S95" s="176"/>
    </row>
    <row r="96" spans="1:19" ht="97.5" customHeight="1" x14ac:dyDescent="0.15">
      <c r="B96" s="106"/>
      <c r="C96" s="16" t="s">
        <v>8</v>
      </c>
      <c r="D96" s="142" t="s">
        <v>238</v>
      </c>
      <c r="E96" s="143"/>
      <c r="F96" s="143"/>
      <c r="G96" s="143"/>
      <c r="H96" s="143"/>
      <c r="I96" s="143"/>
      <c r="J96" s="143"/>
      <c r="K96" s="143"/>
      <c r="L96" s="143"/>
      <c r="M96" s="143"/>
      <c r="N96" s="143"/>
      <c r="O96" s="143"/>
      <c r="P96" s="143"/>
      <c r="Q96" s="143"/>
      <c r="R96" s="143"/>
      <c r="S96" s="144"/>
    </row>
    <row r="97" spans="1:19" ht="97.5" customHeight="1" x14ac:dyDescent="0.15">
      <c r="B97" s="104" t="s">
        <v>20</v>
      </c>
      <c r="C97" s="15" t="s">
        <v>5</v>
      </c>
      <c r="D97" s="177" t="s">
        <v>82</v>
      </c>
      <c r="E97" s="178"/>
      <c r="F97" s="178"/>
      <c r="G97" s="178"/>
      <c r="H97" s="178"/>
      <c r="I97" s="178"/>
      <c r="J97" s="178"/>
      <c r="K97" s="178"/>
      <c r="L97" s="178"/>
      <c r="M97" s="178"/>
      <c r="N97" s="178"/>
      <c r="O97" s="178"/>
      <c r="P97" s="178"/>
      <c r="Q97" s="178"/>
      <c r="R97" s="178"/>
      <c r="S97" s="179"/>
    </row>
    <row r="98" spans="1:19" ht="97.5" customHeight="1" x14ac:dyDescent="0.15">
      <c r="B98" s="105"/>
      <c r="C98" s="18" t="s">
        <v>16</v>
      </c>
      <c r="D98" s="180" t="s">
        <v>83</v>
      </c>
      <c r="E98" s="95"/>
      <c r="F98" s="95"/>
      <c r="G98" s="95"/>
      <c r="H98" s="95"/>
      <c r="I98" s="95"/>
      <c r="J98" s="95"/>
      <c r="K98" s="95"/>
      <c r="L98" s="95"/>
      <c r="M98" s="95"/>
      <c r="N98" s="95"/>
      <c r="O98" s="95"/>
      <c r="P98" s="95"/>
      <c r="Q98" s="95"/>
      <c r="R98" s="95"/>
      <c r="S98" s="96"/>
    </row>
    <row r="99" spans="1:19" ht="97.5" customHeight="1" x14ac:dyDescent="0.15">
      <c r="B99" s="106"/>
      <c r="C99" s="17" t="s">
        <v>17</v>
      </c>
      <c r="D99" s="110" t="s">
        <v>84</v>
      </c>
      <c r="E99" s="111"/>
      <c r="F99" s="111"/>
      <c r="G99" s="111"/>
      <c r="H99" s="111"/>
      <c r="I99" s="111"/>
      <c r="J99" s="111"/>
      <c r="K99" s="111"/>
      <c r="L99" s="111"/>
      <c r="M99" s="111"/>
      <c r="N99" s="111"/>
      <c r="O99" s="111"/>
      <c r="P99" s="111"/>
      <c r="Q99" s="111"/>
      <c r="R99" s="111"/>
      <c r="S99" s="112"/>
    </row>
    <row r="100" spans="1:19" ht="6" customHeight="1" x14ac:dyDescent="0.15"/>
    <row r="101" spans="1:19" ht="18.75" customHeight="1" x14ac:dyDescent="0.15">
      <c r="A101" s="1" t="s">
        <v>41</v>
      </c>
    </row>
    <row r="102" spans="1:19" ht="81.75" customHeight="1" x14ac:dyDescent="0.15">
      <c r="B102" s="127" t="s">
        <v>113</v>
      </c>
      <c r="C102" s="128"/>
      <c r="D102" s="128"/>
      <c r="E102" s="128"/>
      <c r="F102" s="128"/>
      <c r="G102" s="128"/>
      <c r="H102" s="128"/>
      <c r="I102" s="128"/>
      <c r="J102" s="128"/>
      <c r="K102" s="128"/>
      <c r="L102" s="128"/>
      <c r="M102" s="128"/>
      <c r="N102" s="128"/>
      <c r="O102" s="128"/>
      <c r="P102" s="128"/>
      <c r="Q102" s="128"/>
      <c r="R102" s="128"/>
      <c r="S102" s="129"/>
    </row>
    <row r="110" spans="1:19" ht="18" customHeight="1" x14ac:dyDescent="0.15"/>
  </sheetData>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4" priority="1">
      <formula>$K$7="学部・学科によって、修了要件は相違しない"</formula>
    </cfRule>
  </conditionalFormatting>
  <dataValidations count="5">
    <dataValidation type="list" allowBlank="1" showInputMessage="1" showErrorMessage="1" sqref="G25:I31 Q25:S31 P69:S75 Q36:S42 F69:I75 Q47:S53 G36:I42 Q58:S64 G58:I64 G47:I53">
      <formula1>"○"</formula1>
    </dataValidation>
    <dataValidation type="list" allowBlank="1" showInputMessage="1" showErrorMessage="1" sqref="S32 S43 D32:G32 D43:G43">
      <formula1>"全学開講,一部開講"</formula1>
    </dataValidation>
    <dataValidation type="list" allowBlank="1" showInputMessage="1" showErrorMessage="1" sqref="K12 K7">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opLeftCell="A95" zoomScaleNormal="100" zoomScaleSheetLayoutView="100" workbookViewId="0">
      <selection activeCell="A33" sqref="A33:S34"/>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48" t="s">
        <v>121</v>
      </c>
      <c r="S1" s="148"/>
      <c r="T1" s="2" t="s">
        <v>30</v>
      </c>
    </row>
    <row r="2" spans="1:22" ht="18.75" customHeight="1" x14ac:dyDescent="0.15">
      <c r="B2" s="19" t="s">
        <v>29</v>
      </c>
      <c r="C2" s="97" t="s">
        <v>112</v>
      </c>
      <c r="D2" s="98"/>
      <c r="E2" s="98"/>
      <c r="F2" s="98"/>
      <c r="G2" s="98"/>
      <c r="H2" s="98"/>
      <c r="I2" s="99"/>
      <c r="J2" s="20"/>
      <c r="K2" s="4"/>
      <c r="L2" s="4"/>
      <c r="M2" s="4"/>
      <c r="N2" s="4"/>
      <c r="O2" s="4"/>
      <c r="P2" s="4"/>
      <c r="Q2" s="4"/>
      <c r="R2" s="4"/>
      <c r="S2" s="4"/>
    </row>
    <row r="3" spans="1:22" ht="18.75" customHeight="1" x14ac:dyDescent="0.15">
      <c r="B3" s="19" t="s">
        <v>26</v>
      </c>
      <c r="C3" s="152" t="s">
        <v>111</v>
      </c>
      <c r="D3" s="153"/>
      <c r="E3" s="153"/>
      <c r="F3" s="153"/>
      <c r="G3" s="153"/>
      <c r="H3" s="153"/>
      <c r="I3" s="154"/>
      <c r="J3" s="20"/>
      <c r="K3" s="4"/>
      <c r="L3" s="4"/>
      <c r="M3" s="4"/>
      <c r="N3" s="4"/>
      <c r="O3" s="4"/>
      <c r="P3" s="4"/>
      <c r="Q3" s="4"/>
      <c r="R3" s="4"/>
      <c r="S3" s="4"/>
    </row>
    <row r="4" spans="1:22" ht="15" customHeight="1" x14ac:dyDescent="0.15">
      <c r="K4" s="20"/>
      <c r="L4" s="21"/>
      <c r="M4" s="21"/>
      <c r="N4" s="21"/>
      <c r="O4" s="21"/>
      <c r="P4" s="21"/>
      <c r="Q4" s="21"/>
      <c r="R4" s="21"/>
      <c r="S4" s="21"/>
    </row>
    <row r="5" spans="1:22" ht="18" customHeight="1" x14ac:dyDescent="0.15">
      <c r="A5" s="155" t="s">
        <v>0</v>
      </c>
      <c r="B5" s="155"/>
      <c r="C5" s="155"/>
      <c r="D5" s="155"/>
      <c r="E5" s="155"/>
      <c r="F5" s="155"/>
      <c r="G5" s="155"/>
      <c r="H5" s="155"/>
      <c r="I5" s="155"/>
      <c r="J5" s="155"/>
      <c r="K5" s="155"/>
      <c r="L5" s="155"/>
      <c r="M5" s="155"/>
      <c r="N5" s="155"/>
      <c r="O5" s="155"/>
      <c r="P5" s="155"/>
      <c r="Q5" s="155"/>
      <c r="R5" s="155"/>
      <c r="S5" s="155"/>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44</v>
      </c>
      <c r="C7" s="3"/>
      <c r="J7" s="22" t="s">
        <v>28</v>
      </c>
      <c r="K7" s="165" t="s">
        <v>46</v>
      </c>
      <c r="L7" s="166"/>
      <c r="M7" s="166"/>
      <c r="N7" s="166"/>
      <c r="O7" s="166"/>
      <c r="P7" s="166"/>
      <c r="Q7" s="166"/>
      <c r="R7" s="166"/>
      <c r="S7" s="167"/>
    </row>
    <row r="8" spans="1:22" ht="6" customHeight="1" x14ac:dyDescent="0.15">
      <c r="B8" s="3"/>
      <c r="C8" s="3"/>
      <c r="D8" s="3"/>
      <c r="E8" s="3"/>
      <c r="F8" s="3"/>
      <c r="G8" s="3"/>
      <c r="H8" s="3"/>
      <c r="I8" s="3"/>
      <c r="J8" s="3"/>
      <c r="K8" s="5"/>
      <c r="L8" s="3"/>
      <c r="M8" s="3"/>
      <c r="N8" s="3"/>
      <c r="O8" s="3"/>
      <c r="P8" s="3"/>
      <c r="Q8" s="3"/>
      <c r="R8" s="3"/>
      <c r="S8" s="3"/>
    </row>
    <row r="9" spans="1:22" ht="18" customHeight="1" x14ac:dyDescent="0.15">
      <c r="B9" s="168" t="s">
        <v>60</v>
      </c>
      <c r="C9" s="169"/>
      <c r="D9" s="169"/>
      <c r="E9" s="169"/>
      <c r="F9" s="169"/>
      <c r="G9" s="169"/>
      <c r="H9" s="169"/>
      <c r="I9" s="169"/>
      <c r="J9" s="169"/>
      <c r="K9" s="169"/>
      <c r="L9" s="169"/>
      <c r="M9" s="169"/>
      <c r="N9" s="169"/>
      <c r="O9" s="169"/>
      <c r="P9" s="169"/>
      <c r="Q9" s="169"/>
      <c r="R9" s="169"/>
      <c r="S9" s="170"/>
    </row>
    <row r="10" spans="1:22" ht="18" customHeight="1" x14ac:dyDescent="0.15">
      <c r="B10" s="171"/>
      <c r="C10" s="172"/>
      <c r="D10" s="172"/>
      <c r="E10" s="172"/>
      <c r="F10" s="172"/>
      <c r="G10" s="172"/>
      <c r="H10" s="172"/>
      <c r="I10" s="172"/>
      <c r="J10" s="172"/>
      <c r="K10" s="172"/>
      <c r="L10" s="172"/>
      <c r="M10" s="172"/>
      <c r="N10" s="172"/>
      <c r="O10" s="172"/>
      <c r="P10" s="172"/>
      <c r="Q10" s="172"/>
      <c r="R10" s="172"/>
      <c r="S10" s="173"/>
    </row>
    <row r="11" spans="1:22" ht="6" customHeight="1" x14ac:dyDescent="0.15">
      <c r="B11" s="3"/>
      <c r="C11" s="3"/>
      <c r="D11" s="3"/>
      <c r="E11" s="3"/>
      <c r="F11" s="3"/>
      <c r="G11" s="3"/>
      <c r="H11" s="3"/>
      <c r="I11" s="3"/>
      <c r="J11" s="3"/>
      <c r="K11" s="5"/>
      <c r="L11" s="3"/>
      <c r="M11" s="3"/>
      <c r="N11" s="3"/>
      <c r="O11" s="3"/>
      <c r="P11" s="3"/>
      <c r="Q11" s="3"/>
      <c r="R11" s="3"/>
      <c r="S11" s="3"/>
    </row>
    <row r="12" spans="1:22" ht="18" customHeight="1" x14ac:dyDescent="0.15">
      <c r="A12" s="1" t="s">
        <v>32</v>
      </c>
      <c r="B12" s="3"/>
      <c r="C12" s="3"/>
      <c r="D12" s="20"/>
      <c r="E12" s="20"/>
      <c r="F12" s="20"/>
      <c r="G12" s="20"/>
      <c r="H12" s="20"/>
      <c r="I12" s="20"/>
      <c r="J12" s="20"/>
      <c r="K12" s="23"/>
      <c r="L12" s="23"/>
      <c r="M12" s="23"/>
      <c r="N12" s="23"/>
      <c r="O12" s="23"/>
      <c r="P12" s="23"/>
      <c r="Q12" s="23"/>
      <c r="R12" s="23"/>
      <c r="S12" s="23"/>
    </row>
    <row r="13" spans="1:22" ht="18" customHeight="1" x14ac:dyDescent="0.15">
      <c r="B13" s="156" t="s">
        <v>66</v>
      </c>
      <c r="C13" s="157"/>
      <c r="D13" s="157"/>
      <c r="E13" s="157"/>
      <c r="F13" s="157"/>
      <c r="G13" s="157"/>
      <c r="H13" s="157"/>
      <c r="I13" s="157"/>
      <c r="J13" s="157"/>
      <c r="K13" s="157"/>
      <c r="L13" s="157"/>
      <c r="M13" s="157"/>
      <c r="N13" s="157"/>
      <c r="O13" s="157"/>
      <c r="P13" s="157"/>
      <c r="Q13" s="157"/>
      <c r="R13" s="157"/>
      <c r="S13" s="158"/>
      <c r="V13" s="1" t="s">
        <v>27</v>
      </c>
    </row>
    <row r="14" spans="1:22" ht="18" customHeight="1" x14ac:dyDescent="0.15">
      <c r="B14" s="159"/>
      <c r="C14" s="160"/>
      <c r="D14" s="160"/>
      <c r="E14" s="160"/>
      <c r="F14" s="160"/>
      <c r="G14" s="160"/>
      <c r="H14" s="160"/>
      <c r="I14" s="160"/>
      <c r="J14" s="160"/>
      <c r="K14" s="160"/>
      <c r="L14" s="160"/>
      <c r="M14" s="160"/>
      <c r="N14" s="160"/>
      <c r="O14" s="160"/>
      <c r="P14" s="160"/>
      <c r="Q14" s="160"/>
      <c r="R14" s="160"/>
      <c r="S14" s="161"/>
      <c r="V14" s="1" t="s">
        <v>31</v>
      </c>
    </row>
    <row r="15" spans="1:22" ht="18" customHeight="1" x14ac:dyDescent="0.15">
      <c r="B15" s="159"/>
      <c r="C15" s="160"/>
      <c r="D15" s="160"/>
      <c r="E15" s="160"/>
      <c r="F15" s="160"/>
      <c r="G15" s="160"/>
      <c r="H15" s="160"/>
      <c r="I15" s="160"/>
      <c r="J15" s="160"/>
      <c r="K15" s="160"/>
      <c r="L15" s="160"/>
      <c r="M15" s="160"/>
      <c r="N15" s="160"/>
      <c r="O15" s="160"/>
      <c r="P15" s="160"/>
      <c r="Q15" s="160"/>
      <c r="R15" s="160"/>
      <c r="S15" s="161"/>
      <c r="V15" s="1" t="s">
        <v>43</v>
      </c>
    </row>
    <row r="16" spans="1:22" ht="18" customHeight="1" x14ac:dyDescent="0.15">
      <c r="B16" s="159"/>
      <c r="C16" s="160"/>
      <c r="D16" s="160"/>
      <c r="E16" s="160"/>
      <c r="F16" s="160"/>
      <c r="G16" s="160"/>
      <c r="H16" s="160"/>
      <c r="I16" s="160"/>
      <c r="J16" s="160"/>
      <c r="K16" s="160"/>
      <c r="L16" s="160"/>
      <c r="M16" s="160"/>
      <c r="N16" s="160"/>
      <c r="O16" s="160"/>
      <c r="P16" s="160"/>
      <c r="Q16" s="160"/>
      <c r="R16" s="160"/>
      <c r="S16" s="161"/>
      <c r="V16" s="1" t="s">
        <v>45</v>
      </c>
    </row>
    <row r="17" spans="1:19" ht="18" customHeight="1" x14ac:dyDescent="0.15">
      <c r="B17" s="159"/>
      <c r="C17" s="160"/>
      <c r="D17" s="160"/>
      <c r="E17" s="160"/>
      <c r="F17" s="160"/>
      <c r="G17" s="160"/>
      <c r="H17" s="160"/>
      <c r="I17" s="160"/>
      <c r="J17" s="160"/>
      <c r="K17" s="160"/>
      <c r="L17" s="160"/>
      <c r="M17" s="160"/>
      <c r="N17" s="160"/>
      <c r="O17" s="160"/>
      <c r="P17" s="160"/>
      <c r="Q17" s="160"/>
      <c r="R17" s="160"/>
      <c r="S17" s="161"/>
    </row>
    <row r="18" spans="1:19" ht="18" customHeight="1" x14ac:dyDescent="0.15">
      <c r="B18" s="162"/>
      <c r="C18" s="163"/>
      <c r="D18" s="163"/>
      <c r="E18" s="163"/>
      <c r="F18" s="163"/>
      <c r="G18" s="163"/>
      <c r="H18" s="163"/>
      <c r="I18" s="163"/>
      <c r="J18" s="163"/>
      <c r="K18" s="163"/>
      <c r="L18" s="163"/>
      <c r="M18" s="163"/>
      <c r="N18" s="163"/>
      <c r="O18" s="163"/>
      <c r="P18" s="163"/>
      <c r="Q18" s="163"/>
      <c r="R18" s="163"/>
      <c r="S18" s="164"/>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33</v>
      </c>
      <c r="C20" s="97">
        <v>4</v>
      </c>
      <c r="D20" s="99"/>
      <c r="E20" s="24" t="s">
        <v>24</v>
      </c>
      <c r="G20" s="5"/>
      <c r="H20" s="3"/>
      <c r="I20" s="3"/>
      <c r="J20" s="20" t="s">
        <v>42</v>
      </c>
      <c r="K20" s="149" t="s">
        <v>45</v>
      </c>
      <c r="L20" s="150"/>
      <c r="M20" s="150"/>
      <c r="N20" s="150"/>
      <c r="O20" s="150"/>
      <c r="P20" s="150"/>
      <c r="Q20" s="150"/>
      <c r="R20" s="150"/>
      <c r="S20" s="151"/>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03" t="s">
        <v>34</v>
      </c>
      <c r="B22" s="103"/>
      <c r="C22" s="103"/>
      <c r="D22" s="103"/>
      <c r="E22" s="103"/>
      <c r="F22" s="103"/>
      <c r="G22" s="103"/>
      <c r="H22" s="103"/>
      <c r="I22" s="103"/>
      <c r="J22" s="103"/>
      <c r="K22" s="103"/>
      <c r="L22" s="103"/>
      <c r="M22" s="103"/>
      <c r="N22" s="103"/>
      <c r="O22" s="103"/>
      <c r="P22" s="103"/>
      <c r="Q22" s="103"/>
      <c r="R22" s="103"/>
      <c r="S22" s="103"/>
    </row>
    <row r="23" spans="1:19" ht="18" customHeight="1" x14ac:dyDescent="0.15">
      <c r="A23" s="103"/>
      <c r="B23" s="103"/>
      <c r="C23" s="103"/>
      <c r="D23" s="103"/>
      <c r="E23" s="103"/>
      <c r="F23" s="103"/>
      <c r="G23" s="103"/>
      <c r="H23" s="103"/>
      <c r="I23" s="103"/>
      <c r="J23" s="103"/>
      <c r="K23" s="103"/>
      <c r="L23" s="103"/>
      <c r="M23" s="103"/>
      <c r="N23" s="103"/>
      <c r="O23" s="103"/>
      <c r="P23" s="103"/>
      <c r="Q23" s="103"/>
      <c r="R23" s="103"/>
      <c r="S23" s="103"/>
    </row>
    <row r="24" spans="1:19" ht="18" customHeight="1" x14ac:dyDescent="0.15">
      <c r="B24" s="97" t="s">
        <v>1</v>
      </c>
      <c r="C24" s="98"/>
      <c r="D24" s="98"/>
      <c r="E24" s="99"/>
      <c r="F24" s="26" t="s">
        <v>21</v>
      </c>
      <c r="G24" s="25" t="s">
        <v>23</v>
      </c>
      <c r="H24" s="7" t="s">
        <v>4</v>
      </c>
      <c r="I24" s="7" t="s">
        <v>7</v>
      </c>
      <c r="J24" s="97" t="s">
        <v>1</v>
      </c>
      <c r="K24" s="98"/>
      <c r="L24" s="98"/>
      <c r="M24" s="98"/>
      <c r="N24" s="98"/>
      <c r="O24" s="99"/>
      <c r="P24" s="26" t="s">
        <v>21</v>
      </c>
      <c r="Q24" s="25" t="s">
        <v>23</v>
      </c>
      <c r="R24" s="7" t="s">
        <v>4</v>
      </c>
      <c r="S24" s="7" t="s">
        <v>7</v>
      </c>
    </row>
    <row r="25" spans="1:19" ht="18" customHeight="1" x14ac:dyDescent="0.15">
      <c r="B25" s="91" t="s">
        <v>61</v>
      </c>
      <c r="C25" s="92"/>
      <c r="D25" s="92"/>
      <c r="E25" s="93"/>
      <c r="F25" s="8">
        <v>2</v>
      </c>
      <c r="G25" s="8" t="s">
        <v>49</v>
      </c>
      <c r="H25" s="8" t="s">
        <v>49</v>
      </c>
      <c r="I25" s="8" t="s">
        <v>49</v>
      </c>
      <c r="J25" s="91"/>
      <c r="K25" s="92"/>
      <c r="L25" s="92"/>
      <c r="M25" s="92"/>
      <c r="N25" s="92"/>
      <c r="O25" s="93"/>
      <c r="P25" s="8"/>
      <c r="Q25" s="8"/>
      <c r="R25" s="8"/>
      <c r="S25" s="8"/>
    </row>
    <row r="26" spans="1:19" ht="18" customHeight="1" x14ac:dyDescent="0.15">
      <c r="B26" s="94"/>
      <c r="C26" s="95"/>
      <c r="D26" s="95"/>
      <c r="E26" s="96"/>
      <c r="F26" s="9"/>
      <c r="G26" s="9"/>
      <c r="H26" s="9"/>
      <c r="I26" s="9"/>
      <c r="J26" s="94"/>
      <c r="K26" s="95"/>
      <c r="L26" s="95"/>
      <c r="M26" s="95"/>
      <c r="N26" s="95"/>
      <c r="O26" s="96"/>
      <c r="P26" s="9"/>
      <c r="Q26" s="9"/>
      <c r="R26" s="9"/>
      <c r="S26" s="9"/>
    </row>
    <row r="27" spans="1:19" ht="18" customHeight="1" x14ac:dyDescent="0.15">
      <c r="B27" s="94"/>
      <c r="C27" s="95"/>
      <c r="D27" s="95"/>
      <c r="E27" s="96"/>
      <c r="F27" s="9"/>
      <c r="G27" s="9"/>
      <c r="H27" s="9"/>
      <c r="I27" s="9"/>
      <c r="J27" s="94"/>
      <c r="K27" s="95"/>
      <c r="L27" s="95"/>
      <c r="M27" s="95"/>
      <c r="N27" s="95"/>
      <c r="O27" s="96"/>
      <c r="P27" s="9"/>
      <c r="Q27" s="9"/>
      <c r="R27" s="9"/>
      <c r="S27" s="9"/>
    </row>
    <row r="28" spans="1:19" ht="18" customHeight="1" x14ac:dyDescent="0.15">
      <c r="B28" s="94"/>
      <c r="C28" s="95"/>
      <c r="D28" s="95"/>
      <c r="E28" s="96"/>
      <c r="F28" s="9"/>
      <c r="G28" s="9"/>
      <c r="H28" s="9"/>
      <c r="I28" s="9"/>
      <c r="J28" s="94"/>
      <c r="K28" s="95"/>
      <c r="L28" s="95"/>
      <c r="M28" s="95"/>
      <c r="N28" s="95"/>
      <c r="O28" s="96"/>
      <c r="P28" s="9"/>
      <c r="Q28" s="9"/>
      <c r="R28" s="9"/>
      <c r="S28" s="9"/>
    </row>
    <row r="29" spans="1:19" ht="18" customHeight="1" x14ac:dyDescent="0.15">
      <c r="B29" s="94"/>
      <c r="C29" s="95"/>
      <c r="D29" s="95"/>
      <c r="E29" s="96"/>
      <c r="F29" s="9"/>
      <c r="G29" s="9"/>
      <c r="H29" s="9"/>
      <c r="I29" s="9"/>
      <c r="J29" s="94"/>
      <c r="K29" s="95"/>
      <c r="L29" s="95"/>
      <c r="M29" s="95"/>
      <c r="N29" s="95"/>
      <c r="O29" s="96"/>
      <c r="P29" s="9"/>
      <c r="Q29" s="9"/>
      <c r="R29" s="9"/>
      <c r="S29" s="9"/>
    </row>
    <row r="30" spans="1:19" ht="18" customHeight="1" x14ac:dyDescent="0.15">
      <c r="A30" s="3"/>
      <c r="B30" s="94"/>
      <c r="C30" s="95"/>
      <c r="D30" s="95"/>
      <c r="E30" s="96"/>
      <c r="F30" s="9"/>
      <c r="G30" s="9"/>
      <c r="H30" s="9"/>
      <c r="I30" s="9"/>
      <c r="J30" s="94"/>
      <c r="K30" s="95"/>
      <c r="L30" s="95"/>
      <c r="M30" s="95"/>
      <c r="N30" s="95"/>
      <c r="O30" s="96"/>
      <c r="P30" s="9"/>
      <c r="Q30" s="9"/>
      <c r="R30" s="9"/>
      <c r="S30" s="9"/>
    </row>
    <row r="31" spans="1:19" ht="18" customHeight="1" x14ac:dyDescent="0.15">
      <c r="A31" s="3"/>
      <c r="B31" s="100"/>
      <c r="C31" s="101"/>
      <c r="D31" s="101"/>
      <c r="E31" s="102"/>
      <c r="F31" s="10"/>
      <c r="G31" s="10"/>
      <c r="H31" s="11"/>
      <c r="I31" s="11"/>
      <c r="J31" s="100"/>
      <c r="K31" s="101"/>
      <c r="L31" s="101"/>
      <c r="M31" s="101"/>
      <c r="N31" s="101"/>
      <c r="O31" s="102"/>
      <c r="P31" s="10"/>
      <c r="Q31" s="10"/>
      <c r="R31" s="11"/>
      <c r="S31" s="11"/>
    </row>
    <row r="32" spans="1:19" ht="7.5" customHeight="1" x14ac:dyDescent="0.15">
      <c r="A32" s="3"/>
      <c r="B32" s="4"/>
      <c r="C32" s="4"/>
      <c r="D32" s="3"/>
      <c r="E32" s="3"/>
      <c r="F32" s="3"/>
      <c r="G32" s="3"/>
      <c r="H32" s="4"/>
      <c r="I32" s="4"/>
      <c r="J32" s="4"/>
      <c r="K32" s="4"/>
      <c r="L32" s="4"/>
      <c r="M32" s="4"/>
      <c r="N32" s="4"/>
      <c r="O32" s="4"/>
      <c r="P32" s="4"/>
      <c r="Q32" s="4"/>
      <c r="R32" s="4"/>
      <c r="S32" s="3"/>
    </row>
    <row r="33" spans="1:19" ht="18" customHeight="1" x14ac:dyDescent="0.15">
      <c r="A33" s="103" t="s">
        <v>35</v>
      </c>
      <c r="B33" s="103"/>
      <c r="C33" s="103"/>
      <c r="D33" s="103"/>
      <c r="E33" s="103"/>
      <c r="F33" s="103"/>
      <c r="G33" s="103"/>
      <c r="H33" s="103"/>
      <c r="I33" s="103"/>
      <c r="J33" s="103"/>
      <c r="K33" s="103"/>
      <c r="L33" s="103"/>
      <c r="M33" s="103"/>
      <c r="N33" s="103"/>
      <c r="O33" s="103"/>
      <c r="P33" s="103"/>
      <c r="Q33" s="103"/>
      <c r="R33" s="103"/>
      <c r="S33" s="103"/>
    </row>
    <row r="34" spans="1:19" ht="18" customHeight="1" x14ac:dyDescent="0.15">
      <c r="A34" s="103"/>
      <c r="B34" s="103"/>
      <c r="C34" s="103"/>
      <c r="D34" s="103"/>
      <c r="E34" s="103"/>
      <c r="F34" s="103"/>
      <c r="G34" s="103"/>
      <c r="H34" s="103"/>
      <c r="I34" s="103"/>
      <c r="J34" s="103"/>
      <c r="K34" s="103"/>
      <c r="L34" s="103"/>
      <c r="M34" s="103"/>
      <c r="N34" s="103"/>
      <c r="O34" s="103"/>
      <c r="P34" s="103"/>
      <c r="Q34" s="103"/>
      <c r="R34" s="103"/>
      <c r="S34" s="103"/>
    </row>
    <row r="35" spans="1:19" ht="18" customHeight="1" x14ac:dyDescent="0.15">
      <c r="B35" s="97" t="s">
        <v>1</v>
      </c>
      <c r="C35" s="98"/>
      <c r="D35" s="98"/>
      <c r="E35" s="99"/>
      <c r="F35" s="26" t="s">
        <v>21</v>
      </c>
      <c r="G35" s="25" t="s">
        <v>23</v>
      </c>
      <c r="H35" s="7" t="s">
        <v>12</v>
      </c>
      <c r="I35" s="7" t="s">
        <v>13</v>
      </c>
      <c r="J35" s="97" t="s">
        <v>1</v>
      </c>
      <c r="K35" s="98"/>
      <c r="L35" s="98"/>
      <c r="M35" s="98"/>
      <c r="N35" s="98"/>
      <c r="O35" s="99"/>
      <c r="P35" s="26" t="s">
        <v>21</v>
      </c>
      <c r="Q35" s="25" t="s">
        <v>23</v>
      </c>
      <c r="R35" s="7" t="s">
        <v>12</v>
      </c>
      <c r="S35" s="7" t="s">
        <v>13</v>
      </c>
    </row>
    <row r="36" spans="1:19" ht="18" customHeight="1" x14ac:dyDescent="0.15">
      <c r="B36" s="91" t="s">
        <v>61</v>
      </c>
      <c r="C36" s="92"/>
      <c r="D36" s="92"/>
      <c r="E36" s="93"/>
      <c r="F36" s="8">
        <v>2</v>
      </c>
      <c r="G36" s="8" t="s">
        <v>49</v>
      </c>
      <c r="H36" s="8" t="s">
        <v>49</v>
      </c>
      <c r="I36" s="8" t="s">
        <v>49</v>
      </c>
      <c r="J36" s="91"/>
      <c r="K36" s="92"/>
      <c r="L36" s="92"/>
      <c r="M36" s="92"/>
      <c r="N36" s="92"/>
      <c r="O36" s="93"/>
      <c r="P36" s="8"/>
      <c r="Q36" s="8"/>
      <c r="R36" s="8"/>
      <c r="S36" s="8"/>
    </row>
    <row r="37" spans="1:19" ht="18" customHeight="1" x14ac:dyDescent="0.15">
      <c r="B37" s="94"/>
      <c r="C37" s="95"/>
      <c r="D37" s="95"/>
      <c r="E37" s="96"/>
      <c r="F37" s="9"/>
      <c r="G37" s="9"/>
      <c r="H37" s="9"/>
      <c r="I37" s="9"/>
      <c r="J37" s="94"/>
      <c r="K37" s="95"/>
      <c r="L37" s="95"/>
      <c r="M37" s="95"/>
      <c r="N37" s="95"/>
      <c r="O37" s="96"/>
      <c r="P37" s="9"/>
      <c r="Q37" s="9"/>
      <c r="R37" s="9"/>
      <c r="S37" s="9"/>
    </row>
    <row r="38" spans="1:19" ht="18" customHeight="1" x14ac:dyDescent="0.15">
      <c r="B38" s="94"/>
      <c r="C38" s="95"/>
      <c r="D38" s="95"/>
      <c r="E38" s="96"/>
      <c r="F38" s="9"/>
      <c r="G38" s="9"/>
      <c r="H38" s="9"/>
      <c r="I38" s="9"/>
      <c r="J38" s="94"/>
      <c r="K38" s="95"/>
      <c r="L38" s="95"/>
      <c r="M38" s="95"/>
      <c r="N38" s="95"/>
      <c r="O38" s="96"/>
      <c r="P38" s="9"/>
      <c r="Q38" s="9"/>
      <c r="R38" s="9"/>
      <c r="S38" s="9"/>
    </row>
    <row r="39" spans="1:19" ht="18" customHeight="1" x14ac:dyDescent="0.15">
      <c r="B39" s="94"/>
      <c r="C39" s="95"/>
      <c r="D39" s="95"/>
      <c r="E39" s="96"/>
      <c r="F39" s="9"/>
      <c r="G39" s="9"/>
      <c r="H39" s="9"/>
      <c r="I39" s="9"/>
      <c r="J39" s="94"/>
      <c r="K39" s="95"/>
      <c r="L39" s="95"/>
      <c r="M39" s="95"/>
      <c r="N39" s="95"/>
      <c r="O39" s="96"/>
      <c r="P39" s="9"/>
      <c r="Q39" s="9"/>
      <c r="R39" s="9"/>
      <c r="S39" s="9"/>
    </row>
    <row r="40" spans="1:19" ht="18" customHeight="1" x14ac:dyDescent="0.15">
      <c r="B40" s="94"/>
      <c r="C40" s="95"/>
      <c r="D40" s="95"/>
      <c r="E40" s="96"/>
      <c r="F40" s="9"/>
      <c r="G40" s="9"/>
      <c r="H40" s="9"/>
      <c r="I40" s="9"/>
      <c r="J40" s="94"/>
      <c r="K40" s="95"/>
      <c r="L40" s="95"/>
      <c r="M40" s="95"/>
      <c r="N40" s="95"/>
      <c r="O40" s="96"/>
      <c r="P40" s="9"/>
      <c r="Q40" s="9"/>
      <c r="R40" s="9"/>
      <c r="S40" s="9"/>
    </row>
    <row r="41" spans="1:19" ht="18" customHeight="1" x14ac:dyDescent="0.15">
      <c r="B41" s="94"/>
      <c r="C41" s="95"/>
      <c r="D41" s="95"/>
      <c r="E41" s="96"/>
      <c r="F41" s="9"/>
      <c r="G41" s="9"/>
      <c r="H41" s="9"/>
      <c r="I41" s="9"/>
      <c r="J41" s="94"/>
      <c r="K41" s="95"/>
      <c r="L41" s="95"/>
      <c r="M41" s="95"/>
      <c r="N41" s="95"/>
      <c r="O41" s="96"/>
      <c r="P41" s="9"/>
      <c r="Q41" s="9"/>
      <c r="R41" s="9"/>
      <c r="S41" s="9"/>
    </row>
    <row r="42" spans="1:19" ht="18" customHeight="1" x14ac:dyDescent="0.15">
      <c r="B42" s="100"/>
      <c r="C42" s="101"/>
      <c r="D42" s="101"/>
      <c r="E42" s="102"/>
      <c r="F42" s="10"/>
      <c r="G42" s="10"/>
      <c r="H42" s="11"/>
      <c r="I42" s="11"/>
      <c r="J42" s="100"/>
      <c r="K42" s="101"/>
      <c r="L42" s="101"/>
      <c r="M42" s="101"/>
      <c r="N42" s="101"/>
      <c r="O42" s="102"/>
      <c r="P42" s="10"/>
      <c r="Q42" s="10"/>
      <c r="R42" s="11"/>
      <c r="S42" s="11"/>
    </row>
    <row r="43" spans="1:19" ht="7.5" customHeight="1" x14ac:dyDescent="0.15">
      <c r="A43" s="3"/>
      <c r="B43" s="4"/>
      <c r="C43" s="4"/>
      <c r="D43" s="3"/>
      <c r="E43" s="3"/>
      <c r="F43" s="3"/>
      <c r="G43" s="3"/>
      <c r="H43" s="4"/>
      <c r="I43" s="4"/>
      <c r="J43" s="4"/>
      <c r="K43" s="4"/>
      <c r="L43" s="4"/>
      <c r="M43" s="4"/>
      <c r="N43" s="4"/>
      <c r="O43" s="4"/>
      <c r="P43" s="4"/>
      <c r="Q43" s="4"/>
      <c r="R43" s="4"/>
      <c r="S43" s="3"/>
    </row>
    <row r="44" spans="1:19" ht="18" customHeight="1" x14ac:dyDescent="0.15">
      <c r="A44" s="103" t="s">
        <v>36</v>
      </c>
      <c r="B44" s="103"/>
      <c r="C44" s="103"/>
      <c r="D44" s="103"/>
      <c r="E44" s="103"/>
      <c r="F44" s="103"/>
      <c r="G44" s="103"/>
      <c r="H44" s="103"/>
      <c r="I44" s="103"/>
      <c r="J44" s="103"/>
      <c r="K44" s="103"/>
      <c r="L44" s="103"/>
      <c r="M44" s="103"/>
      <c r="N44" s="103"/>
      <c r="O44" s="103"/>
      <c r="P44" s="103"/>
      <c r="Q44" s="103"/>
      <c r="R44" s="103"/>
      <c r="S44" s="103"/>
    </row>
    <row r="45" spans="1:19" ht="18" customHeight="1" x14ac:dyDescent="0.15">
      <c r="A45" s="103"/>
      <c r="B45" s="103"/>
      <c r="C45" s="103"/>
      <c r="D45" s="103"/>
      <c r="E45" s="103"/>
      <c r="F45" s="103"/>
      <c r="G45" s="103"/>
      <c r="H45" s="103"/>
      <c r="I45" s="103"/>
      <c r="J45" s="103"/>
      <c r="K45" s="103"/>
      <c r="L45" s="103"/>
      <c r="M45" s="103"/>
      <c r="N45" s="103"/>
      <c r="O45" s="103"/>
      <c r="P45" s="103"/>
      <c r="Q45" s="103"/>
      <c r="R45" s="103"/>
      <c r="S45" s="103"/>
    </row>
    <row r="46" spans="1:19" ht="18" customHeight="1" x14ac:dyDescent="0.15">
      <c r="B46" s="97" t="s">
        <v>1</v>
      </c>
      <c r="C46" s="98"/>
      <c r="D46" s="98"/>
      <c r="E46" s="99"/>
      <c r="F46" s="26" t="s">
        <v>21</v>
      </c>
      <c r="G46" s="25" t="s">
        <v>23</v>
      </c>
      <c r="H46" s="7" t="s">
        <v>14</v>
      </c>
      <c r="I46" s="7" t="s">
        <v>15</v>
      </c>
      <c r="J46" s="97" t="s">
        <v>1</v>
      </c>
      <c r="K46" s="98"/>
      <c r="L46" s="98"/>
      <c r="M46" s="98"/>
      <c r="N46" s="98"/>
      <c r="O46" s="99"/>
      <c r="P46" s="26" t="s">
        <v>21</v>
      </c>
      <c r="Q46" s="25" t="s">
        <v>23</v>
      </c>
      <c r="R46" s="7" t="s">
        <v>14</v>
      </c>
      <c r="S46" s="7" t="s">
        <v>15</v>
      </c>
    </row>
    <row r="47" spans="1:19" ht="18" customHeight="1" x14ac:dyDescent="0.15">
      <c r="A47" s="3"/>
      <c r="B47" s="91" t="s">
        <v>61</v>
      </c>
      <c r="C47" s="92"/>
      <c r="D47" s="92"/>
      <c r="E47" s="93"/>
      <c r="F47" s="8">
        <v>2</v>
      </c>
      <c r="G47" s="8" t="s">
        <v>49</v>
      </c>
      <c r="H47" s="8" t="s">
        <v>49</v>
      </c>
      <c r="I47" s="8" t="s">
        <v>49</v>
      </c>
      <c r="J47" s="91"/>
      <c r="K47" s="92"/>
      <c r="L47" s="92"/>
      <c r="M47" s="92"/>
      <c r="N47" s="92"/>
      <c r="O47" s="93"/>
      <c r="P47" s="8"/>
      <c r="Q47" s="8"/>
      <c r="R47" s="8"/>
      <c r="S47" s="8"/>
    </row>
    <row r="48" spans="1:19" ht="18" customHeight="1" x14ac:dyDescent="0.15">
      <c r="A48" s="3"/>
      <c r="B48" s="94"/>
      <c r="C48" s="95"/>
      <c r="D48" s="95"/>
      <c r="E48" s="96"/>
      <c r="F48" s="9"/>
      <c r="G48" s="9"/>
      <c r="H48" s="9"/>
      <c r="I48" s="9"/>
      <c r="J48" s="94"/>
      <c r="K48" s="95"/>
      <c r="L48" s="95"/>
      <c r="M48" s="95"/>
      <c r="N48" s="95"/>
      <c r="O48" s="96"/>
      <c r="P48" s="9"/>
      <c r="Q48" s="9"/>
      <c r="R48" s="9"/>
      <c r="S48" s="9"/>
    </row>
    <row r="49" spans="1:19" ht="18" customHeight="1" x14ac:dyDescent="0.15">
      <c r="A49" s="3"/>
      <c r="B49" s="94"/>
      <c r="C49" s="95"/>
      <c r="D49" s="95"/>
      <c r="E49" s="96"/>
      <c r="F49" s="9"/>
      <c r="G49" s="9"/>
      <c r="H49" s="9"/>
      <c r="I49" s="9"/>
      <c r="J49" s="94"/>
      <c r="K49" s="95"/>
      <c r="L49" s="95"/>
      <c r="M49" s="95"/>
      <c r="N49" s="95"/>
      <c r="O49" s="96"/>
      <c r="P49" s="9"/>
      <c r="Q49" s="9"/>
      <c r="R49" s="9"/>
      <c r="S49" s="9"/>
    </row>
    <row r="50" spans="1:19" ht="18" customHeight="1" x14ac:dyDescent="0.15">
      <c r="A50" s="3"/>
      <c r="B50" s="94"/>
      <c r="C50" s="95"/>
      <c r="D50" s="95"/>
      <c r="E50" s="96"/>
      <c r="F50" s="9"/>
      <c r="G50" s="9"/>
      <c r="H50" s="9"/>
      <c r="I50" s="9"/>
      <c r="J50" s="94"/>
      <c r="K50" s="95"/>
      <c r="L50" s="95"/>
      <c r="M50" s="95"/>
      <c r="N50" s="95"/>
      <c r="O50" s="96"/>
      <c r="P50" s="9"/>
      <c r="Q50" s="9"/>
      <c r="R50" s="9"/>
      <c r="S50" s="9"/>
    </row>
    <row r="51" spans="1:19" ht="18" customHeight="1" x14ac:dyDescent="0.15">
      <c r="A51" s="3"/>
      <c r="B51" s="94"/>
      <c r="C51" s="95"/>
      <c r="D51" s="95"/>
      <c r="E51" s="96"/>
      <c r="F51" s="9"/>
      <c r="G51" s="9"/>
      <c r="H51" s="9"/>
      <c r="I51" s="9"/>
      <c r="J51" s="94"/>
      <c r="K51" s="95"/>
      <c r="L51" s="95"/>
      <c r="M51" s="95"/>
      <c r="N51" s="95"/>
      <c r="O51" s="96"/>
      <c r="P51" s="9"/>
      <c r="Q51" s="9"/>
      <c r="R51" s="9"/>
      <c r="S51" s="9"/>
    </row>
    <row r="52" spans="1:19" ht="18" customHeight="1" x14ac:dyDescent="0.15">
      <c r="A52" s="3"/>
      <c r="B52" s="94"/>
      <c r="C52" s="95"/>
      <c r="D52" s="95"/>
      <c r="E52" s="96"/>
      <c r="F52" s="9"/>
      <c r="G52" s="9"/>
      <c r="H52" s="9"/>
      <c r="I52" s="9"/>
      <c r="J52" s="94"/>
      <c r="K52" s="95"/>
      <c r="L52" s="95"/>
      <c r="M52" s="95"/>
      <c r="N52" s="95"/>
      <c r="O52" s="96"/>
      <c r="P52" s="9"/>
      <c r="Q52" s="9"/>
      <c r="R52" s="9"/>
      <c r="S52" s="9"/>
    </row>
    <row r="53" spans="1:19" ht="18" customHeight="1" x14ac:dyDescent="0.15">
      <c r="A53" s="3"/>
      <c r="B53" s="100"/>
      <c r="C53" s="101"/>
      <c r="D53" s="101"/>
      <c r="E53" s="102"/>
      <c r="F53" s="10"/>
      <c r="G53" s="10"/>
      <c r="H53" s="11"/>
      <c r="I53" s="11"/>
      <c r="J53" s="100"/>
      <c r="K53" s="101"/>
      <c r="L53" s="101"/>
      <c r="M53" s="101"/>
      <c r="N53" s="101"/>
      <c r="O53" s="102"/>
      <c r="P53" s="10"/>
      <c r="Q53" s="10"/>
      <c r="R53" s="11"/>
      <c r="S53" s="11"/>
    </row>
    <row r="54" spans="1:19" ht="7.5" customHeight="1" x14ac:dyDescent="0.15">
      <c r="B54" s="6"/>
      <c r="C54" s="6"/>
      <c r="D54" s="6"/>
      <c r="E54" s="6"/>
      <c r="F54" s="6"/>
      <c r="G54" s="6"/>
      <c r="H54" s="6"/>
      <c r="I54" s="6"/>
      <c r="J54" s="6"/>
      <c r="K54" s="6"/>
      <c r="L54" s="6"/>
      <c r="M54" s="6"/>
      <c r="N54" s="6"/>
      <c r="O54" s="6"/>
      <c r="P54" s="6"/>
      <c r="Q54" s="6"/>
      <c r="R54" s="6"/>
    </row>
    <row r="55" spans="1:19" ht="18" customHeight="1" x14ac:dyDescent="0.15">
      <c r="A55" s="103" t="s">
        <v>37</v>
      </c>
      <c r="B55" s="103"/>
      <c r="C55" s="103"/>
      <c r="D55" s="103"/>
      <c r="E55" s="103"/>
      <c r="F55" s="103"/>
      <c r="G55" s="103"/>
      <c r="H55" s="103"/>
      <c r="I55" s="103"/>
      <c r="J55" s="103"/>
      <c r="K55" s="103"/>
      <c r="L55" s="103"/>
      <c r="M55" s="103"/>
      <c r="N55" s="103"/>
      <c r="O55" s="103"/>
      <c r="P55" s="103"/>
      <c r="Q55" s="103"/>
      <c r="R55" s="103"/>
      <c r="S55" s="103"/>
    </row>
    <row r="56" spans="1:19" ht="18" customHeight="1" x14ac:dyDescent="0.15">
      <c r="A56" s="103"/>
      <c r="B56" s="103"/>
      <c r="C56" s="103"/>
      <c r="D56" s="103"/>
      <c r="E56" s="103"/>
      <c r="F56" s="103"/>
      <c r="G56" s="103"/>
      <c r="H56" s="103"/>
      <c r="I56" s="103"/>
      <c r="J56" s="103"/>
      <c r="K56" s="103"/>
      <c r="L56" s="103"/>
      <c r="M56" s="103"/>
      <c r="N56" s="103"/>
      <c r="O56" s="103"/>
      <c r="P56" s="103"/>
      <c r="Q56" s="103"/>
      <c r="R56" s="103"/>
      <c r="S56" s="103"/>
    </row>
    <row r="57" spans="1:19" ht="18" customHeight="1" x14ac:dyDescent="0.15">
      <c r="B57" s="97" t="s">
        <v>1</v>
      </c>
      <c r="C57" s="98"/>
      <c r="D57" s="98"/>
      <c r="E57" s="99"/>
      <c r="F57" s="26" t="s">
        <v>21</v>
      </c>
      <c r="G57" s="25" t="s">
        <v>23</v>
      </c>
      <c r="H57" s="7" t="s">
        <v>6</v>
      </c>
      <c r="I57" s="7" t="s">
        <v>8</v>
      </c>
      <c r="J57" s="97" t="s">
        <v>1</v>
      </c>
      <c r="K57" s="98"/>
      <c r="L57" s="98"/>
      <c r="M57" s="98"/>
      <c r="N57" s="98"/>
      <c r="O57" s="99"/>
      <c r="P57" s="26" t="s">
        <v>21</v>
      </c>
      <c r="Q57" s="25" t="s">
        <v>23</v>
      </c>
      <c r="R57" s="7" t="s">
        <v>6</v>
      </c>
      <c r="S57" s="7" t="s">
        <v>8</v>
      </c>
    </row>
    <row r="58" spans="1:19" ht="18" customHeight="1" x14ac:dyDescent="0.15">
      <c r="A58" s="3"/>
      <c r="B58" s="91" t="s">
        <v>61</v>
      </c>
      <c r="C58" s="92"/>
      <c r="D58" s="92"/>
      <c r="E58" s="93"/>
      <c r="F58" s="8">
        <v>2</v>
      </c>
      <c r="G58" s="8" t="s">
        <v>49</v>
      </c>
      <c r="H58" s="8" t="s">
        <v>49</v>
      </c>
      <c r="I58" s="8" t="s">
        <v>49</v>
      </c>
      <c r="J58" s="91"/>
      <c r="K58" s="92"/>
      <c r="L58" s="92"/>
      <c r="M58" s="92"/>
      <c r="N58" s="92"/>
      <c r="O58" s="93"/>
      <c r="P58" s="8"/>
      <c r="Q58" s="8"/>
      <c r="R58" s="8"/>
      <c r="S58" s="8"/>
    </row>
    <row r="59" spans="1:19" ht="18" customHeight="1" x14ac:dyDescent="0.15">
      <c r="A59" s="3"/>
      <c r="B59" s="94"/>
      <c r="C59" s="95"/>
      <c r="D59" s="95"/>
      <c r="E59" s="96"/>
      <c r="F59" s="9"/>
      <c r="G59" s="9"/>
      <c r="H59" s="9"/>
      <c r="I59" s="9"/>
      <c r="J59" s="94"/>
      <c r="K59" s="95"/>
      <c r="L59" s="95"/>
      <c r="M59" s="95"/>
      <c r="N59" s="95"/>
      <c r="O59" s="96"/>
      <c r="P59" s="9"/>
      <c r="Q59" s="9"/>
      <c r="R59" s="9"/>
      <c r="S59" s="9"/>
    </row>
    <row r="60" spans="1:19" ht="18" customHeight="1" x14ac:dyDescent="0.15">
      <c r="A60" s="3"/>
      <c r="B60" s="94"/>
      <c r="C60" s="95"/>
      <c r="D60" s="95"/>
      <c r="E60" s="96"/>
      <c r="F60" s="9"/>
      <c r="G60" s="9"/>
      <c r="H60" s="9"/>
      <c r="I60" s="9"/>
      <c r="J60" s="94"/>
      <c r="K60" s="95"/>
      <c r="L60" s="95"/>
      <c r="M60" s="95"/>
      <c r="N60" s="95"/>
      <c r="O60" s="96"/>
      <c r="P60" s="9"/>
      <c r="Q60" s="9"/>
      <c r="R60" s="9"/>
      <c r="S60" s="9"/>
    </row>
    <row r="61" spans="1:19" ht="18" customHeight="1" x14ac:dyDescent="0.15">
      <c r="A61" s="3"/>
      <c r="B61" s="94"/>
      <c r="C61" s="95"/>
      <c r="D61" s="95"/>
      <c r="E61" s="96"/>
      <c r="F61" s="9"/>
      <c r="G61" s="9"/>
      <c r="H61" s="9"/>
      <c r="I61" s="9"/>
      <c r="J61" s="94"/>
      <c r="K61" s="95"/>
      <c r="L61" s="95"/>
      <c r="M61" s="95"/>
      <c r="N61" s="95"/>
      <c r="O61" s="96"/>
      <c r="P61" s="9"/>
      <c r="Q61" s="9"/>
      <c r="R61" s="9"/>
      <c r="S61" s="9"/>
    </row>
    <row r="62" spans="1:19" ht="18" customHeight="1" x14ac:dyDescent="0.15">
      <c r="A62" s="3"/>
      <c r="B62" s="94"/>
      <c r="C62" s="95"/>
      <c r="D62" s="95"/>
      <c r="E62" s="96"/>
      <c r="F62" s="9"/>
      <c r="G62" s="9"/>
      <c r="H62" s="9"/>
      <c r="I62" s="9"/>
      <c r="J62" s="94"/>
      <c r="K62" s="95"/>
      <c r="L62" s="95"/>
      <c r="M62" s="95"/>
      <c r="N62" s="95"/>
      <c r="O62" s="96"/>
      <c r="P62" s="9"/>
      <c r="Q62" s="9"/>
      <c r="R62" s="9"/>
      <c r="S62" s="9"/>
    </row>
    <row r="63" spans="1:19" ht="18" customHeight="1" x14ac:dyDescent="0.15">
      <c r="A63" s="3"/>
      <c r="B63" s="94"/>
      <c r="C63" s="95"/>
      <c r="D63" s="95"/>
      <c r="E63" s="96"/>
      <c r="F63" s="9"/>
      <c r="G63" s="9"/>
      <c r="H63" s="9"/>
      <c r="I63" s="9"/>
      <c r="J63" s="94"/>
      <c r="K63" s="95"/>
      <c r="L63" s="95"/>
      <c r="M63" s="95"/>
      <c r="N63" s="95"/>
      <c r="O63" s="96"/>
      <c r="P63" s="9"/>
      <c r="Q63" s="9"/>
      <c r="R63" s="9"/>
      <c r="S63" s="9"/>
    </row>
    <row r="64" spans="1:19" ht="18" customHeight="1" x14ac:dyDescent="0.15">
      <c r="A64" s="3"/>
      <c r="B64" s="100"/>
      <c r="C64" s="101"/>
      <c r="D64" s="101"/>
      <c r="E64" s="102"/>
      <c r="F64" s="10"/>
      <c r="G64" s="10"/>
      <c r="H64" s="11"/>
      <c r="I64" s="11"/>
      <c r="J64" s="100"/>
      <c r="K64" s="101"/>
      <c r="L64" s="101"/>
      <c r="M64" s="101"/>
      <c r="N64" s="101"/>
      <c r="O64" s="102"/>
      <c r="P64" s="10"/>
      <c r="Q64" s="10"/>
      <c r="R64" s="11"/>
      <c r="S64" s="11"/>
    </row>
    <row r="65" spans="1:19" ht="7.5" customHeight="1" x14ac:dyDescent="0.15">
      <c r="B65" s="6"/>
      <c r="C65" s="6"/>
      <c r="D65" s="6"/>
      <c r="E65" s="6"/>
      <c r="F65" s="6"/>
      <c r="G65" s="6"/>
      <c r="H65" s="6"/>
      <c r="I65" s="6"/>
      <c r="J65" s="6"/>
      <c r="K65" s="6"/>
      <c r="L65" s="6"/>
      <c r="M65" s="6"/>
      <c r="N65" s="6"/>
      <c r="O65" s="6"/>
      <c r="P65" s="6"/>
      <c r="Q65" s="6"/>
      <c r="R65" s="6"/>
    </row>
    <row r="66" spans="1:19" ht="18" customHeight="1" x14ac:dyDescent="0.15">
      <c r="A66" s="103" t="s">
        <v>38</v>
      </c>
      <c r="B66" s="103"/>
      <c r="C66" s="103"/>
      <c r="D66" s="103"/>
      <c r="E66" s="103"/>
      <c r="F66" s="103"/>
      <c r="G66" s="103"/>
      <c r="H66" s="103"/>
      <c r="I66" s="103"/>
      <c r="J66" s="103"/>
      <c r="K66" s="103"/>
      <c r="L66" s="103"/>
      <c r="M66" s="103"/>
      <c r="N66" s="103"/>
      <c r="O66" s="103"/>
      <c r="P66" s="103"/>
      <c r="Q66" s="103"/>
      <c r="R66" s="103"/>
      <c r="S66" s="103"/>
    </row>
    <row r="67" spans="1:19" ht="18" customHeight="1" x14ac:dyDescent="0.15">
      <c r="A67" s="103"/>
      <c r="B67" s="103"/>
      <c r="C67" s="103"/>
      <c r="D67" s="103"/>
      <c r="E67" s="103"/>
      <c r="F67" s="103"/>
      <c r="G67" s="103"/>
      <c r="H67" s="103"/>
      <c r="I67" s="103"/>
      <c r="J67" s="103"/>
      <c r="K67" s="103"/>
      <c r="L67" s="103"/>
      <c r="M67" s="103"/>
      <c r="N67" s="103"/>
      <c r="O67" s="103"/>
      <c r="P67" s="103"/>
      <c r="Q67" s="103"/>
      <c r="R67" s="103"/>
      <c r="S67" s="103"/>
    </row>
    <row r="68" spans="1:19" ht="18" customHeight="1" x14ac:dyDescent="0.15">
      <c r="B68" s="97" t="s">
        <v>1</v>
      </c>
      <c r="C68" s="98"/>
      <c r="D68" s="98"/>
      <c r="E68" s="26" t="s">
        <v>21</v>
      </c>
      <c r="F68" s="25" t="s">
        <v>23</v>
      </c>
      <c r="G68" s="7" t="s">
        <v>25</v>
      </c>
      <c r="H68" s="7" t="s">
        <v>16</v>
      </c>
      <c r="I68" s="7" t="s">
        <v>17</v>
      </c>
      <c r="J68" s="97" t="s">
        <v>1</v>
      </c>
      <c r="K68" s="98"/>
      <c r="L68" s="98"/>
      <c r="M68" s="98"/>
      <c r="N68" s="99"/>
      <c r="O68" s="26" t="s">
        <v>21</v>
      </c>
      <c r="P68" s="25" t="s">
        <v>23</v>
      </c>
      <c r="Q68" s="7" t="s">
        <v>25</v>
      </c>
      <c r="R68" s="7" t="s">
        <v>16</v>
      </c>
      <c r="S68" s="7" t="s">
        <v>17</v>
      </c>
    </row>
    <row r="69" spans="1:19" ht="18" customHeight="1" x14ac:dyDescent="0.15">
      <c r="A69" s="3"/>
      <c r="B69" s="91" t="s">
        <v>61</v>
      </c>
      <c r="C69" s="92"/>
      <c r="D69" s="93"/>
      <c r="E69" s="8">
        <v>2</v>
      </c>
      <c r="F69" s="8" t="s">
        <v>49</v>
      </c>
      <c r="G69" s="8" t="s">
        <v>49</v>
      </c>
      <c r="H69" s="8" t="s">
        <v>49</v>
      </c>
      <c r="I69" s="8" t="s">
        <v>49</v>
      </c>
      <c r="J69" s="91"/>
      <c r="K69" s="92"/>
      <c r="L69" s="92"/>
      <c r="M69" s="92"/>
      <c r="N69" s="93"/>
      <c r="O69" s="8"/>
      <c r="P69" s="8"/>
      <c r="Q69" s="8"/>
      <c r="R69" s="8"/>
      <c r="S69" s="8"/>
    </row>
    <row r="70" spans="1:19" ht="18" customHeight="1" x14ac:dyDescent="0.15">
      <c r="A70" s="3"/>
      <c r="B70" s="94" t="s">
        <v>67</v>
      </c>
      <c r="C70" s="95"/>
      <c r="D70" s="95"/>
      <c r="E70" s="9">
        <v>2</v>
      </c>
      <c r="F70" s="9" t="s">
        <v>49</v>
      </c>
      <c r="G70" s="9" t="s">
        <v>49</v>
      </c>
      <c r="H70" s="9" t="s">
        <v>49</v>
      </c>
      <c r="I70" s="9"/>
      <c r="J70" s="94"/>
      <c r="K70" s="95"/>
      <c r="L70" s="95"/>
      <c r="M70" s="95"/>
      <c r="N70" s="96"/>
      <c r="O70" s="9"/>
      <c r="P70" s="9"/>
      <c r="Q70" s="9"/>
      <c r="R70" s="9"/>
      <c r="S70" s="9"/>
    </row>
    <row r="71" spans="1:19" ht="18" customHeight="1" x14ac:dyDescent="0.15">
      <c r="A71" s="3"/>
      <c r="B71" s="94"/>
      <c r="C71" s="95"/>
      <c r="D71" s="95"/>
      <c r="E71" s="9"/>
      <c r="F71" s="9"/>
      <c r="G71" s="9"/>
      <c r="H71" s="9"/>
      <c r="I71" s="9"/>
      <c r="J71" s="94"/>
      <c r="K71" s="95"/>
      <c r="L71" s="95"/>
      <c r="M71" s="95"/>
      <c r="N71" s="96"/>
      <c r="O71" s="9"/>
      <c r="P71" s="9"/>
      <c r="Q71" s="9"/>
      <c r="R71" s="9"/>
      <c r="S71" s="9"/>
    </row>
    <row r="72" spans="1:19" ht="18" customHeight="1" x14ac:dyDescent="0.15">
      <c r="A72" s="3"/>
      <c r="B72" s="94"/>
      <c r="C72" s="95"/>
      <c r="D72" s="95"/>
      <c r="E72" s="9"/>
      <c r="F72" s="9"/>
      <c r="G72" s="9"/>
      <c r="H72" s="9"/>
      <c r="I72" s="9"/>
      <c r="J72" s="94"/>
      <c r="K72" s="95"/>
      <c r="L72" s="95"/>
      <c r="M72" s="95"/>
      <c r="N72" s="96"/>
      <c r="O72" s="9"/>
      <c r="P72" s="9"/>
      <c r="Q72" s="9"/>
      <c r="R72" s="9"/>
      <c r="S72" s="9"/>
    </row>
    <row r="73" spans="1:19" ht="18" customHeight="1" x14ac:dyDescent="0.15">
      <c r="A73" s="3"/>
      <c r="B73" s="94"/>
      <c r="C73" s="95"/>
      <c r="D73" s="95"/>
      <c r="E73" s="9"/>
      <c r="F73" s="9"/>
      <c r="G73" s="9"/>
      <c r="H73" s="9"/>
      <c r="I73" s="9"/>
      <c r="J73" s="94"/>
      <c r="K73" s="95"/>
      <c r="L73" s="95"/>
      <c r="M73" s="95"/>
      <c r="N73" s="96"/>
      <c r="O73" s="9"/>
      <c r="P73" s="9"/>
      <c r="Q73" s="9"/>
      <c r="R73" s="9"/>
      <c r="S73" s="9"/>
    </row>
    <row r="74" spans="1:19" ht="18" customHeight="1" x14ac:dyDescent="0.15">
      <c r="A74" s="3"/>
      <c r="B74" s="94"/>
      <c r="C74" s="95"/>
      <c r="D74" s="95"/>
      <c r="E74" s="9"/>
      <c r="F74" s="9"/>
      <c r="G74" s="9"/>
      <c r="H74" s="9"/>
      <c r="I74" s="9"/>
      <c r="J74" s="94"/>
      <c r="K74" s="95"/>
      <c r="L74" s="95"/>
      <c r="M74" s="95"/>
      <c r="N74" s="96"/>
      <c r="O74" s="9"/>
      <c r="P74" s="9"/>
      <c r="Q74" s="9"/>
      <c r="R74" s="9"/>
      <c r="S74" s="9"/>
    </row>
    <row r="75" spans="1:19" ht="18" customHeight="1" x14ac:dyDescent="0.15">
      <c r="A75" s="3"/>
      <c r="B75" s="100"/>
      <c r="C75" s="101"/>
      <c r="D75" s="101"/>
      <c r="E75" s="10"/>
      <c r="F75" s="10"/>
      <c r="G75" s="11"/>
      <c r="H75" s="11"/>
      <c r="I75" s="11"/>
      <c r="J75" s="100"/>
      <c r="K75" s="101"/>
      <c r="L75" s="101"/>
      <c r="M75" s="101"/>
      <c r="N75" s="102"/>
      <c r="O75" s="10"/>
      <c r="P75" s="10"/>
      <c r="Q75" s="11"/>
      <c r="R75" s="11"/>
      <c r="S75" s="11"/>
    </row>
    <row r="76" spans="1:19" ht="7.5" customHeight="1" x14ac:dyDescent="0.15">
      <c r="B76" s="6"/>
      <c r="C76" s="6"/>
      <c r="D76" s="6"/>
      <c r="E76" s="6"/>
      <c r="F76" s="6"/>
      <c r="G76" s="6"/>
      <c r="H76" s="6"/>
      <c r="I76" s="6"/>
      <c r="J76" s="6"/>
      <c r="K76" s="6"/>
      <c r="L76" s="6"/>
      <c r="M76" s="6"/>
      <c r="N76" s="6"/>
      <c r="O76" s="6"/>
      <c r="P76" s="6"/>
      <c r="Q76" s="6"/>
      <c r="R76" s="6"/>
    </row>
    <row r="77" spans="1:19" ht="18" customHeight="1" x14ac:dyDescent="0.15">
      <c r="A77" s="1" t="s">
        <v>39</v>
      </c>
      <c r="H77" s="3"/>
      <c r="I77" s="3"/>
      <c r="J77" s="3"/>
      <c r="K77" s="3"/>
      <c r="L77" s="3"/>
      <c r="M77" s="3"/>
      <c r="N77" s="3"/>
      <c r="O77" s="3"/>
      <c r="P77" s="3"/>
      <c r="Q77" s="3"/>
      <c r="R77" s="3"/>
      <c r="S77" s="3"/>
    </row>
    <row r="78" spans="1:19" ht="18" customHeight="1" x14ac:dyDescent="0.15">
      <c r="B78" s="97" t="s">
        <v>1</v>
      </c>
      <c r="C78" s="98"/>
      <c r="D78" s="98"/>
      <c r="E78" s="99"/>
      <c r="F78" s="97" t="s">
        <v>22</v>
      </c>
      <c r="G78" s="98"/>
      <c r="H78" s="98"/>
      <c r="I78" s="99"/>
      <c r="J78" s="124" t="s">
        <v>1</v>
      </c>
      <c r="K78" s="125"/>
      <c r="L78" s="125"/>
      <c r="M78" s="125"/>
      <c r="N78" s="125"/>
      <c r="O78" s="126"/>
      <c r="P78" s="97" t="s">
        <v>22</v>
      </c>
      <c r="Q78" s="98"/>
      <c r="R78" s="98"/>
      <c r="S78" s="99"/>
    </row>
    <row r="79" spans="1:19" ht="18" customHeight="1" x14ac:dyDescent="0.15">
      <c r="A79" s="3"/>
      <c r="B79" s="91"/>
      <c r="C79" s="92"/>
      <c r="D79" s="92"/>
      <c r="E79" s="93"/>
      <c r="F79" s="118"/>
      <c r="G79" s="119"/>
      <c r="H79" s="119"/>
      <c r="I79" s="120"/>
      <c r="J79" s="91"/>
      <c r="K79" s="92"/>
      <c r="L79" s="92"/>
      <c r="M79" s="92"/>
      <c r="N79" s="92"/>
      <c r="O79" s="93"/>
      <c r="P79" s="118"/>
      <c r="Q79" s="119"/>
      <c r="R79" s="119"/>
      <c r="S79" s="120"/>
    </row>
    <row r="80" spans="1:19" ht="18" customHeight="1" x14ac:dyDescent="0.15">
      <c r="A80" s="3"/>
      <c r="B80" s="94"/>
      <c r="C80" s="95"/>
      <c r="D80" s="95"/>
      <c r="E80" s="96"/>
      <c r="F80" s="121"/>
      <c r="G80" s="122"/>
      <c r="H80" s="122"/>
      <c r="I80" s="123"/>
      <c r="J80" s="94"/>
      <c r="K80" s="95"/>
      <c r="L80" s="95"/>
      <c r="M80" s="95"/>
      <c r="N80" s="95"/>
      <c r="O80" s="96"/>
      <c r="P80" s="121"/>
      <c r="Q80" s="122"/>
      <c r="R80" s="122"/>
      <c r="S80" s="123"/>
    </row>
    <row r="81" spans="1:19" ht="18" customHeight="1" x14ac:dyDescent="0.15">
      <c r="A81" s="3"/>
      <c r="B81" s="94"/>
      <c r="C81" s="95"/>
      <c r="D81" s="95"/>
      <c r="E81" s="96"/>
      <c r="F81" s="121"/>
      <c r="G81" s="122"/>
      <c r="H81" s="122"/>
      <c r="I81" s="123"/>
      <c r="J81" s="94"/>
      <c r="K81" s="95"/>
      <c r="L81" s="95"/>
      <c r="M81" s="95"/>
      <c r="N81" s="95"/>
      <c r="O81" s="96"/>
      <c r="P81" s="121"/>
      <c r="Q81" s="122"/>
      <c r="R81" s="122"/>
      <c r="S81" s="123"/>
    </row>
    <row r="82" spans="1:19" ht="18" customHeight="1" x14ac:dyDescent="0.15">
      <c r="A82" s="3"/>
      <c r="B82" s="94"/>
      <c r="C82" s="95"/>
      <c r="D82" s="95"/>
      <c r="E82" s="96"/>
      <c r="F82" s="121"/>
      <c r="G82" s="122"/>
      <c r="H82" s="122"/>
      <c r="I82" s="123"/>
      <c r="J82" s="94"/>
      <c r="K82" s="95"/>
      <c r="L82" s="95"/>
      <c r="M82" s="95"/>
      <c r="N82" s="95"/>
      <c r="O82" s="96"/>
      <c r="P82" s="121"/>
      <c r="Q82" s="122"/>
      <c r="R82" s="122"/>
      <c r="S82" s="123"/>
    </row>
    <row r="83" spans="1:19" ht="18" customHeight="1" x14ac:dyDescent="0.15">
      <c r="A83" s="3"/>
      <c r="B83" s="94"/>
      <c r="C83" s="95"/>
      <c r="D83" s="95"/>
      <c r="E83" s="96"/>
      <c r="F83" s="121"/>
      <c r="G83" s="122"/>
      <c r="H83" s="122"/>
      <c r="I83" s="123"/>
      <c r="J83" s="94"/>
      <c r="K83" s="95"/>
      <c r="L83" s="95"/>
      <c r="M83" s="95"/>
      <c r="N83" s="95"/>
      <c r="O83" s="96"/>
      <c r="P83" s="121"/>
      <c r="Q83" s="122"/>
      <c r="R83" s="122"/>
      <c r="S83" s="123"/>
    </row>
    <row r="84" spans="1:19" ht="18" customHeight="1" x14ac:dyDescent="0.15">
      <c r="A84" s="3"/>
      <c r="B84" s="94"/>
      <c r="C84" s="95"/>
      <c r="D84" s="95"/>
      <c r="E84" s="96"/>
      <c r="F84" s="121"/>
      <c r="G84" s="122"/>
      <c r="H84" s="122"/>
      <c r="I84" s="123"/>
      <c r="J84" s="94"/>
      <c r="K84" s="95"/>
      <c r="L84" s="95"/>
      <c r="M84" s="95"/>
      <c r="N84" s="95"/>
      <c r="O84" s="96"/>
      <c r="P84" s="121"/>
      <c r="Q84" s="122"/>
      <c r="R84" s="122"/>
      <c r="S84" s="123"/>
    </row>
    <row r="85" spans="1:19" ht="18" customHeight="1" x14ac:dyDescent="0.15">
      <c r="A85" s="3"/>
      <c r="B85" s="100"/>
      <c r="C85" s="101"/>
      <c r="D85" s="101"/>
      <c r="E85" s="102"/>
      <c r="F85" s="130"/>
      <c r="G85" s="131"/>
      <c r="H85" s="131"/>
      <c r="I85" s="132"/>
      <c r="J85" s="100"/>
      <c r="K85" s="101"/>
      <c r="L85" s="101"/>
      <c r="M85" s="101"/>
      <c r="N85" s="101"/>
      <c r="O85" s="102"/>
      <c r="P85" s="130"/>
      <c r="Q85" s="131"/>
      <c r="R85" s="131"/>
      <c r="S85" s="132"/>
    </row>
    <row r="86" spans="1:19" ht="18" customHeight="1" x14ac:dyDescent="0.15">
      <c r="A86" s="3"/>
      <c r="B86" s="4"/>
      <c r="C86" s="4"/>
      <c r="D86" s="4"/>
      <c r="E86" s="4"/>
      <c r="F86" s="12"/>
      <c r="G86" s="12"/>
      <c r="H86" s="12"/>
      <c r="I86" s="12"/>
      <c r="J86" s="4"/>
      <c r="K86" s="4"/>
      <c r="L86" s="4"/>
      <c r="M86" s="4"/>
      <c r="N86" s="4"/>
      <c r="O86" s="4"/>
      <c r="P86" s="12"/>
      <c r="Q86" s="12"/>
      <c r="R86" s="12"/>
      <c r="S86" s="12"/>
    </row>
    <row r="87" spans="1:19" ht="18.75" customHeight="1" x14ac:dyDescent="0.15">
      <c r="A87" s="1" t="s">
        <v>40</v>
      </c>
    </row>
    <row r="88" spans="1:19" ht="18.75" customHeight="1" x14ac:dyDescent="0.15">
      <c r="B88" s="116" t="s">
        <v>2</v>
      </c>
      <c r="C88" s="117"/>
      <c r="D88" s="98" t="s">
        <v>3</v>
      </c>
      <c r="E88" s="98"/>
      <c r="F88" s="98"/>
      <c r="G88" s="98"/>
      <c r="H88" s="98"/>
      <c r="I88" s="98"/>
      <c r="J88" s="98"/>
      <c r="K88" s="98"/>
      <c r="L88" s="98"/>
      <c r="M88" s="98"/>
      <c r="N88" s="98"/>
      <c r="O88" s="98"/>
      <c r="P88" s="98"/>
      <c r="Q88" s="98"/>
      <c r="R88" s="98"/>
      <c r="S88" s="99"/>
    </row>
    <row r="89" spans="1:19" ht="97.5" customHeight="1" x14ac:dyDescent="0.15">
      <c r="B89" s="104" t="s">
        <v>9</v>
      </c>
      <c r="C89" s="13" t="s">
        <v>4</v>
      </c>
      <c r="D89" s="113" t="s">
        <v>231</v>
      </c>
      <c r="E89" s="114"/>
      <c r="F89" s="114"/>
      <c r="G89" s="114"/>
      <c r="H89" s="114"/>
      <c r="I89" s="114"/>
      <c r="J89" s="114"/>
      <c r="K89" s="114"/>
      <c r="L89" s="114"/>
      <c r="M89" s="114"/>
      <c r="N89" s="114"/>
      <c r="O89" s="114"/>
      <c r="P89" s="114"/>
      <c r="Q89" s="114"/>
      <c r="R89" s="114"/>
      <c r="S89" s="115"/>
    </row>
    <row r="90" spans="1:19" ht="97.5" customHeight="1" x14ac:dyDescent="0.15">
      <c r="B90" s="105"/>
      <c r="C90" s="14" t="s">
        <v>18</v>
      </c>
      <c r="D90" s="133" t="s">
        <v>62</v>
      </c>
      <c r="E90" s="134"/>
      <c r="F90" s="134"/>
      <c r="G90" s="134"/>
      <c r="H90" s="134"/>
      <c r="I90" s="134"/>
      <c r="J90" s="134"/>
      <c r="K90" s="134"/>
      <c r="L90" s="134"/>
      <c r="M90" s="134"/>
      <c r="N90" s="134"/>
      <c r="O90" s="134"/>
      <c r="P90" s="134"/>
      <c r="Q90" s="134"/>
      <c r="R90" s="134"/>
      <c r="S90" s="135"/>
    </row>
    <row r="91" spans="1:19" ht="97.5" customHeight="1" x14ac:dyDescent="0.15">
      <c r="B91" s="104" t="s">
        <v>10</v>
      </c>
      <c r="C91" s="15" t="s">
        <v>12</v>
      </c>
      <c r="D91" s="136" t="s">
        <v>63</v>
      </c>
      <c r="E91" s="137"/>
      <c r="F91" s="137"/>
      <c r="G91" s="137"/>
      <c r="H91" s="137"/>
      <c r="I91" s="137"/>
      <c r="J91" s="137"/>
      <c r="K91" s="137"/>
      <c r="L91" s="137"/>
      <c r="M91" s="137"/>
      <c r="N91" s="137"/>
      <c r="O91" s="137"/>
      <c r="P91" s="137"/>
      <c r="Q91" s="137"/>
      <c r="R91" s="137"/>
      <c r="S91" s="138"/>
    </row>
    <row r="92" spans="1:19" ht="97.5" customHeight="1" x14ac:dyDescent="0.15">
      <c r="B92" s="106"/>
      <c r="C92" s="16" t="s">
        <v>13</v>
      </c>
      <c r="D92" s="142" t="s">
        <v>232</v>
      </c>
      <c r="E92" s="143"/>
      <c r="F92" s="143"/>
      <c r="G92" s="143"/>
      <c r="H92" s="143"/>
      <c r="I92" s="143"/>
      <c r="J92" s="143"/>
      <c r="K92" s="143"/>
      <c r="L92" s="143"/>
      <c r="M92" s="143"/>
      <c r="N92" s="143"/>
      <c r="O92" s="143"/>
      <c r="P92" s="143"/>
      <c r="Q92" s="143"/>
      <c r="R92" s="143"/>
      <c r="S92" s="144"/>
    </row>
    <row r="93" spans="1:19" ht="97.5" customHeight="1" x14ac:dyDescent="0.15">
      <c r="B93" s="104" t="s">
        <v>11</v>
      </c>
      <c r="C93" s="15" t="s">
        <v>14</v>
      </c>
      <c r="D93" s="136" t="s">
        <v>233</v>
      </c>
      <c r="E93" s="137"/>
      <c r="F93" s="137"/>
      <c r="G93" s="137"/>
      <c r="H93" s="137"/>
      <c r="I93" s="137"/>
      <c r="J93" s="137"/>
      <c r="K93" s="137"/>
      <c r="L93" s="137"/>
      <c r="M93" s="137"/>
      <c r="N93" s="137"/>
      <c r="O93" s="137"/>
      <c r="P93" s="137"/>
      <c r="Q93" s="137"/>
      <c r="R93" s="137"/>
      <c r="S93" s="138"/>
    </row>
    <row r="94" spans="1:19" ht="97.5" customHeight="1" x14ac:dyDescent="0.15">
      <c r="B94" s="106"/>
      <c r="C94" s="17" t="s">
        <v>15</v>
      </c>
      <c r="D94" s="139" t="s">
        <v>234</v>
      </c>
      <c r="E94" s="140"/>
      <c r="F94" s="140"/>
      <c r="G94" s="140"/>
      <c r="H94" s="140"/>
      <c r="I94" s="140"/>
      <c r="J94" s="140"/>
      <c r="K94" s="140"/>
      <c r="L94" s="140"/>
      <c r="M94" s="140"/>
      <c r="N94" s="140"/>
      <c r="O94" s="140"/>
      <c r="P94" s="140"/>
      <c r="Q94" s="140"/>
      <c r="R94" s="140"/>
      <c r="S94" s="141"/>
    </row>
    <row r="95" spans="1:19" ht="97.5" customHeight="1" x14ac:dyDescent="0.15">
      <c r="B95" s="104" t="s">
        <v>19</v>
      </c>
      <c r="C95" s="13" t="s">
        <v>6</v>
      </c>
      <c r="D95" s="113" t="s">
        <v>116</v>
      </c>
      <c r="E95" s="114"/>
      <c r="F95" s="114"/>
      <c r="G95" s="114"/>
      <c r="H95" s="114"/>
      <c r="I95" s="114"/>
      <c r="J95" s="114"/>
      <c r="K95" s="114"/>
      <c r="L95" s="114"/>
      <c r="M95" s="114"/>
      <c r="N95" s="114"/>
      <c r="O95" s="114"/>
      <c r="P95" s="114"/>
      <c r="Q95" s="114"/>
      <c r="R95" s="114"/>
      <c r="S95" s="115"/>
    </row>
    <row r="96" spans="1:19" ht="97.5" customHeight="1" x14ac:dyDescent="0.15">
      <c r="B96" s="106"/>
      <c r="C96" s="16" t="s">
        <v>8</v>
      </c>
      <c r="D96" s="142" t="s">
        <v>64</v>
      </c>
      <c r="E96" s="143"/>
      <c r="F96" s="143"/>
      <c r="G96" s="143"/>
      <c r="H96" s="143"/>
      <c r="I96" s="143"/>
      <c r="J96" s="143"/>
      <c r="K96" s="143"/>
      <c r="L96" s="143"/>
      <c r="M96" s="143"/>
      <c r="N96" s="143"/>
      <c r="O96" s="143"/>
      <c r="P96" s="143"/>
      <c r="Q96" s="143"/>
      <c r="R96" s="143"/>
      <c r="S96" s="144"/>
    </row>
    <row r="97" spans="1:19" ht="97.5" customHeight="1" x14ac:dyDescent="0.15">
      <c r="B97" s="104" t="s">
        <v>20</v>
      </c>
      <c r="C97" s="15" t="s">
        <v>5</v>
      </c>
      <c r="D97" s="107" t="s">
        <v>265</v>
      </c>
      <c r="E97" s="108"/>
      <c r="F97" s="108"/>
      <c r="G97" s="108"/>
      <c r="H97" s="108"/>
      <c r="I97" s="108"/>
      <c r="J97" s="108"/>
      <c r="K97" s="108"/>
      <c r="L97" s="108"/>
      <c r="M97" s="108"/>
      <c r="N97" s="108"/>
      <c r="O97" s="108"/>
      <c r="P97" s="108"/>
      <c r="Q97" s="108"/>
      <c r="R97" s="108"/>
      <c r="S97" s="109"/>
    </row>
    <row r="98" spans="1:19" ht="97.5" customHeight="1" x14ac:dyDescent="0.15">
      <c r="B98" s="105"/>
      <c r="C98" s="18" t="s">
        <v>16</v>
      </c>
      <c r="D98" s="145" t="s">
        <v>68</v>
      </c>
      <c r="E98" s="146"/>
      <c r="F98" s="146"/>
      <c r="G98" s="146"/>
      <c r="H98" s="146"/>
      <c r="I98" s="146"/>
      <c r="J98" s="146"/>
      <c r="K98" s="146"/>
      <c r="L98" s="146"/>
      <c r="M98" s="146"/>
      <c r="N98" s="146"/>
      <c r="O98" s="146"/>
      <c r="P98" s="146"/>
      <c r="Q98" s="146"/>
      <c r="R98" s="146"/>
      <c r="S98" s="147"/>
    </row>
    <row r="99" spans="1:19" ht="97.5" customHeight="1" x14ac:dyDescent="0.15">
      <c r="B99" s="106"/>
      <c r="C99" s="17" t="s">
        <v>17</v>
      </c>
      <c r="D99" s="110" t="s">
        <v>65</v>
      </c>
      <c r="E99" s="111"/>
      <c r="F99" s="111"/>
      <c r="G99" s="111"/>
      <c r="H99" s="111"/>
      <c r="I99" s="111"/>
      <c r="J99" s="111"/>
      <c r="K99" s="111"/>
      <c r="L99" s="111"/>
      <c r="M99" s="111"/>
      <c r="N99" s="111"/>
      <c r="O99" s="111"/>
      <c r="P99" s="111"/>
      <c r="Q99" s="111"/>
      <c r="R99" s="111"/>
      <c r="S99" s="112"/>
    </row>
    <row r="100" spans="1:19" ht="6" customHeight="1" x14ac:dyDescent="0.15"/>
    <row r="101" spans="1:19" ht="18.75" customHeight="1" x14ac:dyDescent="0.15">
      <c r="A101" s="1" t="s">
        <v>41</v>
      </c>
    </row>
    <row r="102" spans="1:19" ht="81.75" customHeight="1" x14ac:dyDescent="0.15">
      <c r="B102" s="127" t="s">
        <v>113</v>
      </c>
      <c r="C102" s="128"/>
      <c r="D102" s="128"/>
      <c r="E102" s="128"/>
      <c r="F102" s="128"/>
      <c r="G102" s="128"/>
      <c r="H102" s="128"/>
      <c r="I102" s="128"/>
      <c r="J102" s="128"/>
      <c r="K102" s="128"/>
      <c r="L102" s="128"/>
      <c r="M102" s="128"/>
      <c r="N102" s="128"/>
      <c r="O102" s="128"/>
      <c r="P102" s="128"/>
      <c r="Q102" s="128"/>
      <c r="R102" s="128"/>
      <c r="S102" s="129"/>
    </row>
    <row r="110" spans="1:19" ht="18" customHeight="1" x14ac:dyDescent="0.15"/>
  </sheetData>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3" priority="1">
      <formula>$K$7="学部・学科によって、修了要件は相違しない"</formula>
    </cfRule>
  </conditionalFormatting>
  <dataValidations count="5">
    <dataValidation type="list" allowBlank="1" showInputMessage="1" showErrorMessage="1" sqref="K20:S20">
      <formula1>$V$14:$V$16</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12 K7">
      <formula1>"学部・学科によって、修了要件は相違する,学部・学科によって、修了要件は相違しない"</formula1>
    </dataValidation>
    <dataValidation type="list" allowBlank="1" showInputMessage="1" showErrorMessage="1" sqref="S32 S43 D32:G32 D43:G43">
      <formula1>"全学開講,一部開講"</formula1>
    </dataValidation>
    <dataValidation type="list" allowBlank="1" showInputMessage="1" showErrorMessage="1" sqref="G25:I31 Q25:S31 P69:S75 Q36:S42 G36:I42 Q47:S53 G47:I53 Q58:S64 G58:I64 F69:I75">
      <formula1>"○"</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opLeftCell="A94" zoomScaleNormal="100" zoomScaleSheetLayoutView="100" workbookViewId="0">
      <selection activeCell="A33" sqref="A33:S34"/>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48" t="s">
        <v>122</v>
      </c>
      <c r="S1" s="148"/>
      <c r="T1" s="2" t="s">
        <v>30</v>
      </c>
    </row>
    <row r="2" spans="1:22" ht="18.75" customHeight="1" x14ac:dyDescent="0.15">
      <c r="B2" s="19" t="s">
        <v>29</v>
      </c>
      <c r="C2" s="97" t="s">
        <v>112</v>
      </c>
      <c r="D2" s="98"/>
      <c r="E2" s="98"/>
      <c r="F2" s="98"/>
      <c r="G2" s="98"/>
      <c r="H2" s="98"/>
      <c r="I2" s="99"/>
      <c r="J2" s="20"/>
      <c r="K2" s="4"/>
      <c r="L2" s="4"/>
      <c r="M2" s="4"/>
      <c r="N2" s="4"/>
      <c r="O2" s="4"/>
      <c r="P2" s="4"/>
      <c r="Q2" s="4"/>
      <c r="R2" s="4"/>
      <c r="S2" s="4"/>
    </row>
    <row r="3" spans="1:22" ht="18.75" customHeight="1" x14ac:dyDescent="0.15">
      <c r="B3" s="19" t="s">
        <v>26</v>
      </c>
      <c r="C3" s="152" t="s">
        <v>111</v>
      </c>
      <c r="D3" s="153"/>
      <c r="E3" s="153"/>
      <c r="F3" s="153"/>
      <c r="G3" s="153"/>
      <c r="H3" s="153"/>
      <c r="I3" s="154"/>
      <c r="J3" s="20"/>
      <c r="K3" s="4"/>
      <c r="L3" s="4"/>
      <c r="M3" s="4"/>
      <c r="N3" s="4"/>
      <c r="O3" s="4"/>
      <c r="P3" s="4"/>
      <c r="Q3" s="4"/>
      <c r="R3" s="4"/>
      <c r="S3" s="4"/>
    </row>
    <row r="4" spans="1:22" ht="15" customHeight="1" x14ac:dyDescent="0.15">
      <c r="K4" s="20"/>
      <c r="L4" s="21"/>
      <c r="M4" s="21"/>
      <c r="N4" s="21"/>
      <c r="O4" s="21"/>
      <c r="P4" s="21"/>
      <c r="Q4" s="21"/>
      <c r="R4" s="21"/>
      <c r="S4" s="21"/>
    </row>
    <row r="5" spans="1:22" ht="18" customHeight="1" x14ac:dyDescent="0.15">
      <c r="A5" s="155" t="s">
        <v>0</v>
      </c>
      <c r="B5" s="155"/>
      <c r="C5" s="155"/>
      <c r="D5" s="155"/>
      <c r="E5" s="155"/>
      <c r="F5" s="155"/>
      <c r="G5" s="155"/>
      <c r="H5" s="155"/>
      <c r="I5" s="155"/>
      <c r="J5" s="155"/>
      <c r="K5" s="155"/>
      <c r="L5" s="155"/>
      <c r="M5" s="155"/>
      <c r="N5" s="155"/>
      <c r="O5" s="155"/>
      <c r="P5" s="155"/>
      <c r="Q5" s="155"/>
      <c r="R5" s="155"/>
      <c r="S5" s="155"/>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44</v>
      </c>
      <c r="C7" s="3"/>
      <c r="J7" s="22" t="s">
        <v>28</v>
      </c>
      <c r="K7" s="165" t="s">
        <v>46</v>
      </c>
      <c r="L7" s="166"/>
      <c r="M7" s="166"/>
      <c r="N7" s="166"/>
      <c r="O7" s="166"/>
      <c r="P7" s="166"/>
      <c r="Q7" s="166"/>
      <c r="R7" s="166"/>
      <c r="S7" s="167"/>
    </row>
    <row r="8" spans="1:22" ht="6" customHeight="1" x14ac:dyDescent="0.15">
      <c r="B8" s="3"/>
      <c r="C8" s="3"/>
      <c r="D8" s="3"/>
      <c r="E8" s="3"/>
      <c r="F8" s="3"/>
      <c r="G8" s="3"/>
      <c r="H8" s="3"/>
      <c r="I8" s="3"/>
      <c r="J8" s="3"/>
      <c r="K8" s="5"/>
      <c r="L8" s="3"/>
      <c r="M8" s="3"/>
      <c r="N8" s="3"/>
      <c r="O8" s="3"/>
      <c r="P8" s="3"/>
      <c r="Q8" s="3"/>
      <c r="R8" s="3"/>
      <c r="S8" s="3"/>
    </row>
    <row r="9" spans="1:22" ht="18" customHeight="1" x14ac:dyDescent="0.15">
      <c r="B9" s="168" t="s">
        <v>151</v>
      </c>
      <c r="C9" s="169"/>
      <c r="D9" s="169"/>
      <c r="E9" s="169"/>
      <c r="F9" s="169"/>
      <c r="G9" s="169"/>
      <c r="H9" s="169"/>
      <c r="I9" s="169"/>
      <c r="J9" s="169"/>
      <c r="K9" s="169"/>
      <c r="L9" s="169"/>
      <c r="M9" s="169"/>
      <c r="N9" s="169"/>
      <c r="O9" s="169"/>
      <c r="P9" s="169"/>
      <c r="Q9" s="169"/>
      <c r="R9" s="169"/>
      <c r="S9" s="170"/>
    </row>
    <row r="10" spans="1:22" ht="18" customHeight="1" x14ac:dyDescent="0.15">
      <c r="B10" s="171"/>
      <c r="C10" s="172"/>
      <c r="D10" s="172"/>
      <c r="E10" s="172"/>
      <c r="F10" s="172"/>
      <c r="G10" s="172"/>
      <c r="H10" s="172"/>
      <c r="I10" s="172"/>
      <c r="J10" s="172"/>
      <c r="K10" s="172"/>
      <c r="L10" s="172"/>
      <c r="M10" s="172"/>
      <c r="N10" s="172"/>
      <c r="O10" s="172"/>
      <c r="P10" s="172"/>
      <c r="Q10" s="172"/>
      <c r="R10" s="172"/>
      <c r="S10" s="173"/>
    </row>
    <row r="11" spans="1:22" ht="6" customHeight="1" x14ac:dyDescent="0.15">
      <c r="B11" s="3"/>
      <c r="C11" s="3"/>
      <c r="D11" s="3"/>
      <c r="E11" s="3"/>
      <c r="F11" s="3"/>
      <c r="G11" s="3"/>
      <c r="H11" s="3"/>
      <c r="I11" s="3"/>
      <c r="J11" s="3"/>
      <c r="K11" s="5"/>
      <c r="L11" s="3"/>
      <c r="M11" s="3"/>
      <c r="N11" s="3"/>
      <c r="O11" s="3"/>
      <c r="P11" s="3"/>
      <c r="Q11" s="3"/>
      <c r="R11" s="3"/>
      <c r="S11" s="3"/>
    </row>
    <row r="12" spans="1:22" ht="18" customHeight="1" x14ac:dyDescent="0.15">
      <c r="A12" s="1" t="s">
        <v>32</v>
      </c>
      <c r="B12" s="3"/>
      <c r="C12" s="3"/>
      <c r="D12" s="20"/>
      <c r="E12" s="20"/>
      <c r="F12" s="20"/>
      <c r="G12" s="20"/>
      <c r="H12" s="20"/>
      <c r="I12" s="20"/>
      <c r="J12" s="20"/>
      <c r="K12" s="23"/>
      <c r="L12" s="23"/>
      <c r="M12" s="23"/>
      <c r="N12" s="23"/>
      <c r="O12" s="23"/>
      <c r="P12" s="23"/>
      <c r="Q12" s="23"/>
      <c r="R12" s="23"/>
      <c r="S12" s="23"/>
    </row>
    <row r="13" spans="1:22" ht="18" customHeight="1" x14ac:dyDescent="0.15">
      <c r="B13" s="181" t="s">
        <v>240</v>
      </c>
      <c r="C13" s="182"/>
      <c r="D13" s="182"/>
      <c r="E13" s="182"/>
      <c r="F13" s="182"/>
      <c r="G13" s="182"/>
      <c r="H13" s="182"/>
      <c r="I13" s="182"/>
      <c r="J13" s="182"/>
      <c r="K13" s="182"/>
      <c r="L13" s="182"/>
      <c r="M13" s="182"/>
      <c r="N13" s="182"/>
      <c r="O13" s="182"/>
      <c r="P13" s="182"/>
      <c r="Q13" s="182"/>
      <c r="R13" s="182"/>
      <c r="S13" s="183"/>
      <c r="V13" s="1" t="s">
        <v>27</v>
      </c>
    </row>
    <row r="14" spans="1:22" ht="18" customHeight="1" x14ac:dyDescent="0.15">
      <c r="B14" s="184"/>
      <c r="C14" s="185"/>
      <c r="D14" s="185"/>
      <c r="E14" s="185"/>
      <c r="F14" s="185"/>
      <c r="G14" s="185"/>
      <c r="H14" s="185"/>
      <c r="I14" s="185"/>
      <c r="J14" s="185"/>
      <c r="K14" s="185"/>
      <c r="L14" s="185"/>
      <c r="M14" s="185"/>
      <c r="N14" s="185"/>
      <c r="O14" s="185"/>
      <c r="P14" s="185"/>
      <c r="Q14" s="185"/>
      <c r="R14" s="185"/>
      <c r="S14" s="186"/>
      <c r="V14" s="1" t="s">
        <v>31</v>
      </c>
    </row>
    <row r="15" spans="1:22" ht="18" customHeight="1" x14ac:dyDescent="0.15">
      <c r="B15" s="184"/>
      <c r="C15" s="185"/>
      <c r="D15" s="185"/>
      <c r="E15" s="185"/>
      <c r="F15" s="185"/>
      <c r="G15" s="185"/>
      <c r="H15" s="185"/>
      <c r="I15" s="185"/>
      <c r="J15" s="185"/>
      <c r="K15" s="185"/>
      <c r="L15" s="185"/>
      <c r="M15" s="185"/>
      <c r="N15" s="185"/>
      <c r="O15" s="185"/>
      <c r="P15" s="185"/>
      <c r="Q15" s="185"/>
      <c r="R15" s="185"/>
      <c r="S15" s="186"/>
      <c r="V15" s="1" t="s">
        <v>43</v>
      </c>
    </row>
    <row r="16" spans="1:22" ht="18" customHeight="1" x14ac:dyDescent="0.15">
      <c r="B16" s="184"/>
      <c r="C16" s="185"/>
      <c r="D16" s="185"/>
      <c r="E16" s="185"/>
      <c r="F16" s="185"/>
      <c r="G16" s="185"/>
      <c r="H16" s="185"/>
      <c r="I16" s="185"/>
      <c r="J16" s="185"/>
      <c r="K16" s="185"/>
      <c r="L16" s="185"/>
      <c r="M16" s="185"/>
      <c r="N16" s="185"/>
      <c r="O16" s="185"/>
      <c r="P16" s="185"/>
      <c r="Q16" s="185"/>
      <c r="R16" s="185"/>
      <c r="S16" s="186"/>
      <c r="V16" s="1" t="s">
        <v>45</v>
      </c>
    </row>
    <row r="17" spans="1:19" ht="18" customHeight="1" x14ac:dyDescent="0.15">
      <c r="B17" s="184"/>
      <c r="C17" s="185"/>
      <c r="D17" s="185"/>
      <c r="E17" s="185"/>
      <c r="F17" s="185"/>
      <c r="G17" s="185"/>
      <c r="H17" s="185"/>
      <c r="I17" s="185"/>
      <c r="J17" s="185"/>
      <c r="K17" s="185"/>
      <c r="L17" s="185"/>
      <c r="M17" s="185"/>
      <c r="N17" s="185"/>
      <c r="O17" s="185"/>
      <c r="P17" s="185"/>
      <c r="Q17" s="185"/>
      <c r="R17" s="185"/>
      <c r="S17" s="186"/>
    </row>
    <row r="18" spans="1:19" ht="18" customHeight="1" x14ac:dyDescent="0.15">
      <c r="B18" s="187"/>
      <c r="C18" s="188"/>
      <c r="D18" s="188"/>
      <c r="E18" s="188"/>
      <c r="F18" s="188"/>
      <c r="G18" s="188"/>
      <c r="H18" s="188"/>
      <c r="I18" s="188"/>
      <c r="J18" s="188"/>
      <c r="K18" s="188"/>
      <c r="L18" s="188"/>
      <c r="M18" s="188"/>
      <c r="N18" s="188"/>
      <c r="O18" s="188"/>
      <c r="P18" s="188"/>
      <c r="Q18" s="188"/>
      <c r="R18" s="188"/>
      <c r="S18" s="189"/>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33</v>
      </c>
      <c r="C20" s="97">
        <v>4</v>
      </c>
      <c r="D20" s="99"/>
      <c r="E20" s="24" t="s">
        <v>24</v>
      </c>
      <c r="G20" s="5"/>
      <c r="H20" s="3"/>
      <c r="I20" s="3"/>
      <c r="J20" s="20" t="s">
        <v>42</v>
      </c>
      <c r="K20" s="149" t="s">
        <v>45</v>
      </c>
      <c r="L20" s="150"/>
      <c r="M20" s="150"/>
      <c r="N20" s="150"/>
      <c r="O20" s="150"/>
      <c r="P20" s="150"/>
      <c r="Q20" s="150"/>
      <c r="R20" s="150"/>
      <c r="S20" s="151"/>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03" t="s">
        <v>34</v>
      </c>
      <c r="B22" s="103"/>
      <c r="C22" s="103"/>
      <c r="D22" s="103"/>
      <c r="E22" s="103"/>
      <c r="F22" s="103"/>
      <c r="G22" s="103"/>
      <c r="H22" s="103"/>
      <c r="I22" s="103"/>
      <c r="J22" s="103"/>
      <c r="K22" s="103"/>
      <c r="L22" s="103"/>
      <c r="M22" s="103"/>
      <c r="N22" s="103"/>
      <c r="O22" s="103"/>
      <c r="P22" s="103"/>
      <c r="Q22" s="103"/>
      <c r="R22" s="103"/>
      <c r="S22" s="103"/>
    </row>
    <row r="23" spans="1:19" ht="18" customHeight="1" x14ac:dyDescent="0.15">
      <c r="A23" s="103"/>
      <c r="B23" s="103"/>
      <c r="C23" s="103"/>
      <c r="D23" s="103"/>
      <c r="E23" s="103"/>
      <c r="F23" s="103"/>
      <c r="G23" s="103"/>
      <c r="H23" s="103"/>
      <c r="I23" s="103"/>
      <c r="J23" s="103"/>
      <c r="K23" s="103"/>
      <c r="L23" s="103"/>
      <c r="M23" s="103"/>
      <c r="N23" s="103"/>
      <c r="O23" s="103"/>
      <c r="P23" s="103"/>
      <c r="Q23" s="103"/>
      <c r="R23" s="103"/>
      <c r="S23" s="103"/>
    </row>
    <row r="24" spans="1:19" ht="18" customHeight="1" x14ac:dyDescent="0.15">
      <c r="B24" s="97" t="s">
        <v>1</v>
      </c>
      <c r="C24" s="98"/>
      <c r="D24" s="98"/>
      <c r="E24" s="99"/>
      <c r="F24" s="26" t="s">
        <v>21</v>
      </c>
      <c r="G24" s="25" t="s">
        <v>23</v>
      </c>
      <c r="H24" s="7" t="s">
        <v>4</v>
      </c>
      <c r="I24" s="7" t="s">
        <v>7</v>
      </c>
      <c r="J24" s="97" t="s">
        <v>1</v>
      </c>
      <c r="K24" s="98"/>
      <c r="L24" s="98"/>
      <c r="M24" s="98"/>
      <c r="N24" s="98"/>
      <c r="O24" s="99"/>
      <c r="P24" s="26" t="s">
        <v>21</v>
      </c>
      <c r="Q24" s="25" t="s">
        <v>23</v>
      </c>
      <c r="R24" s="7" t="s">
        <v>4</v>
      </c>
      <c r="S24" s="7" t="s">
        <v>7</v>
      </c>
    </row>
    <row r="25" spans="1:19" ht="18" customHeight="1" x14ac:dyDescent="0.15">
      <c r="B25" s="190" t="s">
        <v>48</v>
      </c>
      <c r="C25" s="191"/>
      <c r="D25" s="191"/>
      <c r="E25" s="192"/>
      <c r="F25" s="88">
        <v>2</v>
      </c>
      <c r="G25" s="88"/>
      <c r="H25" s="88" t="s">
        <v>49</v>
      </c>
      <c r="I25" s="88" t="s">
        <v>49</v>
      </c>
      <c r="J25" s="91"/>
      <c r="K25" s="92"/>
      <c r="L25" s="92"/>
      <c r="M25" s="92"/>
      <c r="N25" s="92"/>
      <c r="O25" s="93"/>
      <c r="P25" s="8"/>
      <c r="Q25" s="8"/>
      <c r="R25" s="8"/>
      <c r="S25" s="8"/>
    </row>
    <row r="26" spans="1:19" ht="18" customHeight="1" x14ac:dyDescent="0.15">
      <c r="B26" s="94" t="s">
        <v>85</v>
      </c>
      <c r="C26" s="95"/>
      <c r="D26" s="95"/>
      <c r="E26" s="96"/>
      <c r="F26" s="9">
        <v>2</v>
      </c>
      <c r="G26" s="9"/>
      <c r="H26" s="9" t="s">
        <v>49</v>
      </c>
      <c r="I26" s="9" t="s">
        <v>49</v>
      </c>
      <c r="J26" s="94"/>
      <c r="K26" s="95"/>
      <c r="L26" s="95"/>
      <c r="M26" s="95"/>
      <c r="N26" s="95"/>
      <c r="O26" s="96"/>
      <c r="P26" s="9"/>
      <c r="Q26" s="9"/>
      <c r="R26" s="9"/>
      <c r="S26" s="9"/>
    </row>
    <row r="27" spans="1:19" ht="18" customHeight="1" x14ac:dyDescent="0.15">
      <c r="B27" s="193"/>
      <c r="C27" s="194"/>
      <c r="D27" s="194"/>
      <c r="E27" s="195"/>
      <c r="F27" s="89"/>
      <c r="G27" s="89"/>
      <c r="H27" s="89"/>
      <c r="I27" s="89"/>
      <c r="J27" s="94"/>
      <c r="K27" s="95"/>
      <c r="L27" s="95"/>
      <c r="M27" s="95"/>
      <c r="N27" s="95"/>
      <c r="O27" s="96"/>
      <c r="P27" s="9"/>
      <c r="Q27" s="9"/>
      <c r="R27" s="9"/>
      <c r="S27" s="9"/>
    </row>
    <row r="28" spans="1:19" ht="18" customHeight="1" x14ac:dyDescent="0.15">
      <c r="B28" s="94"/>
      <c r="C28" s="95"/>
      <c r="D28" s="95"/>
      <c r="E28" s="96"/>
      <c r="F28" s="9"/>
      <c r="G28" s="9"/>
      <c r="H28" s="9"/>
      <c r="I28" s="9"/>
      <c r="J28" s="94"/>
      <c r="K28" s="95"/>
      <c r="L28" s="95"/>
      <c r="M28" s="95"/>
      <c r="N28" s="95"/>
      <c r="O28" s="96"/>
      <c r="P28" s="9"/>
      <c r="Q28" s="9"/>
      <c r="R28" s="9"/>
      <c r="S28" s="9"/>
    </row>
    <row r="29" spans="1:19" ht="18" customHeight="1" x14ac:dyDescent="0.15">
      <c r="B29" s="94"/>
      <c r="C29" s="95"/>
      <c r="D29" s="95"/>
      <c r="E29" s="96"/>
      <c r="F29" s="9"/>
      <c r="G29" s="9"/>
      <c r="H29" s="9"/>
      <c r="I29" s="9"/>
      <c r="J29" s="94"/>
      <c r="K29" s="95"/>
      <c r="L29" s="95"/>
      <c r="M29" s="95"/>
      <c r="N29" s="95"/>
      <c r="O29" s="96"/>
      <c r="P29" s="9"/>
      <c r="Q29" s="9"/>
      <c r="R29" s="9"/>
      <c r="S29" s="9"/>
    </row>
    <row r="30" spans="1:19" ht="18" customHeight="1" x14ac:dyDescent="0.15">
      <c r="A30" s="3"/>
      <c r="B30" s="94"/>
      <c r="C30" s="95"/>
      <c r="D30" s="95"/>
      <c r="E30" s="96"/>
      <c r="F30" s="9"/>
      <c r="G30" s="9"/>
      <c r="H30" s="9"/>
      <c r="I30" s="9"/>
      <c r="J30" s="94"/>
      <c r="K30" s="95"/>
      <c r="L30" s="95"/>
      <c r="M30" s="95"/>
      <c r="N30" s="95"/>
      <c r="O30" s="96"/>
      <c r="P30" s="9"/>
      <c r="Q30" s="9"/>
      <c r="R30" s="9"/>
      <c r="S30" s="9"/>
    </row>
    <row r="31" spans="1:19" ht="18" customHeight="1" x14ac:dyDescent="0.15">
      <c r="A31" s="3"/>
      <c r="B31" s="100"/>
      <c r="C31" s="101"/>
      <c r="D31" s="101"/>
      <c r="E31" s="102"/>
      <c r="F31" s="10"/>
      <c r="G31" s="10"/>
      <c r="H31" s="11"/>
      <c r="I31" s="11"/>
      <c r="J31" s="100"/>
      <c r="K31" s="101"/>
      <c r="L31" s="101"/>
      <c r="M31" s="101"/>
      <c r="N31" s="101"/>
      <c r="O31" s="102"/>
      <c r="P31" s="10"/>
      <c r="Q31" s="10"/>
      <c r="R31" s="11"/>
      <c r="S31" s="11"/>
    </row>
    <row r="32" spans="1:19" ht="7.5" customHeight="1" x14ac:dyDescent="0.15">
      <c r="A32" s="3"/>
      <c r="B32" s="4"/>
      <c r="C32" s="4"/>
      <c r="D32" s="3"/>
      <c r="E32" s="3"/>
      <c r="F32" s="3"/>
      <c r="G32" s="3"/>
      <c r="H32" s="4"/>
      <c r="I32" s="4"/>
      <c r="J32" s="4"/>
      <c r="K32" s="4"/>
      <c r="L32" s="4"/>
      <c r="M32" s="4"/>
      <c r="N32" s="4"/>
      <c r="O32" s="4"/>
      <c r="P32" s="4"/>
      <c r="Q32" s="4"/>
      <c r="R32" s="4"/>
      <c r="S32" s="3"/>
    </row>
    <row r="33" spans="1:19" ht="18" customHeight="1" x14ac:dyDescent="0.15">
      <c r="A33" s="103" t="s">
        <v>35</v>
      </c>
      <c r="B33" s="103"/>
      <c r="C33" s="103"/>
      <c r="D33" s="103"/>
      <c r="E33" s="103"/>
      <c r="F33" s="103"/>
      <c r="G33" s="103"/>
      <c r="H33" s="103"/>
      <c r="I33" s="103"/>
      <c r="J33" s="103"/>
      <c r="K33" s="103"/>
      <c r="L33" s="103"/>
      <c r="M33" s="103"/>
      <c r="N33" s="103"/>
      <c r="O33" s="103"/>
      <c r="P33" s="103"/>
      <c r="Q33" s="103"/>
      <c r="R33" s="103"/>
      <c r="S33" s="103"/>
    </row>
    <row r="34" spans="1:19" ht="18" customHeight="1" x14ac:dyDescent="0.15">
      <c r="A34" s="103"/>
      <c r="B34" s="103"/>
      <c r="C34" s="103"/>
      <c r="D34" s="103"/>
      <c r="E34" s="103"/>
      <c r="F34" s="103"/>
      <c r="G34" s="103"/>
      <c r="H34" s="103"/>
      <c r="I34" s="103"/>
      <c r="J34" s="103"/>
      <c r="K34" s="103"/>
      <c r="L34" s="103"/>
      <c r="M34" s="103"/>
      <c r="N34" s="103"/>
      <c r="O34" s="103"/>
      <c r="P34" s="103"/>
      <c r="Q34" s="103"/>
      <c r="R34" s="103"/>
      <c r="S34" s="103"/>
    </row>
    <row r="35" spans="1:19" ht="18" customHeight="1" x14ac:dyDescent="0.15">
      <c r="B35" s="97" t="s">
        <v>1</v>
      </c>
      <c r="C35" s="98"/>
      <c r="D35" s="98"/>
      <c r="E35" s="99"/>
      <c r="F35" s="26" t="s">
        <v>21</v>
      </c>
      <c r="G35" s="25" t="s">
        <v>23</v>
      </c>
      <c r="H35" s="7" t="s">
        <v>12</v>
      </c>
      <c r="I35" s="7" t="s">
        <v>13</v>
      </c>
      <c r="J35" s="97" t="s">
        <v>1</v>
      </c>
      <c r="K35" s="98"/>
      <c r="L35" s="98"/>
      <c r="M35" s="98"/>
      <c r="N35" s="98"/>
      <c r="O35" s="99"/>
      <c r="P35" s="26" t="s">
        <v>21</v>
      </c>
      <c r="Q35" s="25" t="s">
        <v>23</v>
      </c>
      <c r="R35" s="7" t="s">
        <v>12</v>
      </c>
      <c r="S35" s="7" t="s">
        <v>13</v>
      </c>
    </row>
    <row r="36" spans="1:19" ht="18" customHeight="1" x14ac:dyDescent="0.15">
      <c r="B36" s="91" t="s">
        <v>48</v>
      </c>
      <c r="C36" s="92"/>
      <c r="D36" s="92"/>
      <c r="E36" s="93"/>
      <c r="F36" s="8">
        <v>2</v>
      </c>
      <c r="G36" s="8"/>
      <c r="H36" s="8" t="s">
        <v>49</v>
      </c>
      <c r="I36" s="8" t="s">
        <v>49</v>
      </c>
      <c r="J36" s="91"/>
      <c r="K36" s="92"/>
      <c r="L36" s="92"/>
      <c r="M36" s="92"/>
      <c r="N36" s="92"/>
      <c r="O36" s="93"/>
      <c r="P36" s="8"/>
      <c r="Q36" s="8"/>
      <c r="R36" s="8"/>
      <c r="S36" s="8"/>
    </row>
    <row r="37" spans="1:19" ht="18" customHeight="1" x14ac:dyDescent="0.15">
      <c r="B37" s="94" t="s">
        <v>86</v>
      </c>
      <c r="C37" s="95"/>
      <c r="D37" s="95"/>
      <c r="E37" s="96"/>
      <c r="F37" s="9">
        <v>2</v>
      </c>
      <c r="G37" s="9"/>
      <c r="H37" s="9" t="s">
        <v>73</v>
      </c>
      <c r="I37" s="9" t="s">
        <v>73</v>
      </c>
      <c r="J37" s="94"/>
      <c r="K37" s="95"/>
      <c r="L37" s="95"/>
      <c r="M37" s="95"/>
      <c r="N37" s="95"/>
      <c r="O37" s="96"/>
      <c r="P37" s="9"/>
      <c r="Q37" s="9"/>
      <c r="R37" s="9"/>
      <c r="S37" s="9"/>
    </row>
    <row r="38" spans="1:19" ht="18" customHeight="1" x14ac:dyDescent="0.15">
      <c r="B38" s="94" t="s">
        <v>87</v>
      </c>
      <c r="C38" s="95"/>
      <c r="D38" s="95"/>
      <c r="E38" s="96"/>
      <c r="F38" s="9">
        <v>2</v>
      </c>
      <c r="G38" s="9"/>
      <c r="H38" s="9" t="s">
        <v>73</v>
      </c>
      <c r="I38" s="9" t="s">
        <v>73</v>
      </c>
      <c r="J38" s="94"/>
      <c r="K38" s="95"/>
      <c r="L38" s="95"/>
      <c r="M38" s="95"/>
      <c r="N38" s="95"/>
      <c r="O38" s="96"/>
      <c r="P38" s="9"/>
      <c r="Q38" s="9"/>
      <c r="R38" s="9"/>
      <c r="S38" s="9"/>
    </row>
    <row r="39" spans="1:19" ht="18" customHeight="1" x14ac:dyDescent="0.15">
      <c r="B39" s="94"/>
      <c r="C39" s="95"/>
      <c r="D39" s="95"/>
      <c r="E39" s="96"/>
      <c r="F39" s="9"/>
      <c r="G39" s="9"/>
      <c r="H39" s="9"/>
      <c r="I39" s="9"/>
      <c r="J39" s="94"/>
      <c r="K39" s="95"/>
      <c r="L39" s="95"/>
      <c r="M39" s="95"/>
      <c r="N39" s="95"/>
      <c r="O39" s="96"/>
      <c r="P39" s="9"/>
      <c r="Q39" s="9"/>
      <c r="R39" s="9"/>
      <c r="S39" s="9"/>
    </row>
    <row r="40" spans="1:19" ht="18" customHeight="1" x14ac:dyDescent="0.15">
      <c r="B40" s="94"/>
      <c r="C40" s="95"/>
      <c r="D40" s="95"/>
      <c r="E40" s="96"/>
      <c r="F40" s="9"/>
      <c r="G40" s="9"/>
      <c r="H40" s="9"/>
      <c r="I40" s="9"/>
      <c r="J40" s="94"/>
      <c r="K40" s="95"/>
      <c r="L40" s="95"/>
      <c r="M40" s="95"/>
      <c r="N40" s="95"/>
      <c r="O40" s="96"/>
      <c r="P40" s="9"/>
      <c r="Q40" s="9"/>
      <c r="R40" s="9"/>
      <c r="S40" s="9"/>
    </row>
    <row r="41" spans="1:19" ht="18" customHeight="1" x14ac:dyDescent="0.15">
      <c r="B41" s="94"/>
      <c r="C41" s="95"/>
      <c r="D41" s="95"/>
      <c r="E41" s="96"/>
      <c r="F41" s="9"/>
      <c r="G41" s="9"/>
      <c r="H41" s="9"/>
      <c r="I41" s="9"/>
      <c r="J41" s="94"/>
      <c r="K41" s="95"/>
      <c r="L41" s="95"/>
      <c r="M41" s="95"/>
      <c r="N41" s="95"/>
      <c r="O41" s="96"/>
      <c r="P41" s="9"/>
      <c r="Q41" s="9"/>
      <c r="R41" s="9"/>
      <c r="S41" s="9"/>
    </row>
    <row r="42" spans="1:19" ht="18" customHeight="1" x14ac:dyDescent="0.15">
      <c r="B42" s="100"/>
      <c r="C42" s="101"/>
      <c r="D42" s="101"/>
      <c r="E42" s="102"/>
      <c r="F42" s="10"/>
      <c r="G42" s="10"/>
      <c r="H42" s="11"/>
      <c r="I42" s="11"/>
      <c r="J42" s="100"/>
      <c r="K42" s="101"/>
      <c r="L42" s="101"/>
      <c r="M42" s="101"/>
      <c r="N42" s="101"/>
      <c r="O42" s="102"/>
      <c r="P42" s="10"/>
      <c r="Q42" s="10"/>
      <c r="R42" s="11"/>
      <c r="S42" s="11"/>
    </row>
    <row r="43" spans="1:19" ht="7.5" customHeight="1" x14ac:dyDescent="0.15">
      <c r="A43" s="3"/>
      <c r="B43" s="4"/>
      <c r="C43" s="4"/>
      <c r="D43" s="3"/>
      <c r="E43" s="3"/>
      <c r="F43" s="3"/>
      <c r="G43" s="3"/>
      <c r="H43" s="4"/>
      <c r="I43" s="4"/>
      <c r="J43" s="4"/>
      <c r="K43" s="4"/>
      <c r="L43" s="4"/>
      <c r="M43" s="4"/>
      <c r="N43" s="4"/>
      <c r="O43" s="4"/>
      <c r="P43" s="4"/>
      <c r="Q43" s="4"/>
      <c r="R43" s="4"/>
      <c r="S43" s="3"/>
    </row>
    <row r="44" spans="1:19" ht="18" customHeight="1" x14ac:dyDescent="0.15">
      <c r="A44" s="103" t="s">
        <v>36</v>
      </c>
      <c r="B44" s="103"/>
      <c r="C44" s="103"/>
      <c r="D44" s="103"/>
      <c r="E44" s="103"/>
      <c r="F44" s="103"/>
      <c r="G44" s="103"/>
      <c r="H44" s="103"/>
      <c r="I44" s="103"/>
      <c r="J44" s="103"/>
      <c r="K44" s="103"/>
      <c r="L44" s="103"/>
      <c r="M44" s="103"/>
      <c r="N44" s="103"/>
      <c r="O44" s="103"/>
      <c r="P44" s="103"/>
      <c r="Q44" s="103"/>
      <c r="R44" s="103"/>
      <c r="S44" s="103"/>
    </row>
    <row r="45" spans="1:19" ht="18" customHeight="1" x14ac:dyDescent="0.15">
      <c r="A45" s="103"/>
      <c r="B45" s="103"/>
      <c r="C45" s="103"/>
      <c r="D45" s="103"/>
      <c r="E45" s="103"/>
      <c r="F45" s="103"/>
      <c r="G45" s="103"/>
      <c r="H45" s="103"/>
      <c r="I45" s="103"/>
      <c r="J45" s="103"/>
      <c r="K45" s="103"/>
      <c r="L45" s="103"/>
      <c r="M45" s="103"/>
      <c r="N45" s="103"/>
      <c r="O45" s="103"/>
      <c r="P45" s="103"/>
      <c r="Q45" s="103"/>
      <c r="R45" s="103"/>
      <c r="S45" s="103"/>
    </row>
    <row r="46" spans="1:19" ht="18" customHeight="1" x14ac:dyDescent="0.15">
      <c r="B46" s="97" t="s">
        <v>1</v>
      </c>
      <c r="C46" s="98"/>
      <c r="D46" s="98"/>
      <c r="E46" s="99"/>
      <c r="F46" s="26" t="s">
        <v>21</v>
      </c>
      <c r="G46" s="25" t="s">
        <v>23</v>
      </c>
      <c r="H46" s="7" t="s">
        <v>14</v>
      </c>
      <c r="I46" s="7" t="s">
        <v>15</v>
      </c>
      <c r="J46" s="97" t="s">
        <v>1</v>
      </c>
      <c r="K46" s="98"/>
      <c r="L46" s="98"/>
      <c r="M46" s="98"/>
      <c r="N46" s="98"/>
      <c r="O46" s="99"/>
      <c r="P46" s="26" t="s">
        <v>21</v>
      </c>
      <c r="Q46" s="25" t="s">
        <v>23</v>
      </c>
      <c r="R46" s="7" t="s">
        <v>14</v>
      </c>
      <c r="S46" s="7" t="s">
        <v>15</v>
      </c>
    </row>
    <row r="47" spans="1:19" ht="18" customHeight="1" x14ac:dyDescent="0.15">
      <c r="A47" s="3"/>
      <c r="B47" s="91" t="s">
        <v>48</v>
      </c>
      <c r="C47" s="92"/>
      <c r="D47" s="92"/>
      <c r="E47" s="93"/>
      <c r="F47" s="8">
        <v>2</v>
      </c>
      <c r="G47" s="8"/>
      <c r="H47" s="8" t="s">
        <v>49</v>
      </c>
      <c r="I47" s="8" t="s">
        <v>49</v>
      </c>
      <c r="J47" s="91"/>
      <c r="K47" s="92"/>
      <c r="L47" s="92"/>
      <c r="M47" s="92"/>
      <c r="N47" s="92"/>
      <c r="O47" s="93"/>
      <c r="P47" s="8"/>
      <c r="Q47" s="8"/>
      <c r="R47" s="8"/>
      <c r="S47" s="8"/>
    </row>
    <row r="48" spans="1:19" ht="18" customHeight="1" x14ac:dyDescent="0.15">
      <c r="A48" s="3"/>
      <c r="B48" s="94" t="s">
        <v>88</v>
      </c>
      <c r="C48" s="95"/>
      <c r="D48" s="95"/>
      <c r="E48" s="96"/>
      <c r="F48" s="9">
        <v>2</v>
      </c>
      <c r="G48" s="9"/>
      <c r="H48" s="9" t="s">
        <v>73</v>
      </c>
      <c r="I48" s="9" t="s">
        <v>73</v>
      </c>
      <c r="J48" s="94"/>
      <c r="K48" s="95"/>
      <c r="L48" s="95"/>
      <c r="M48" s="95"/>
      <c r="N48" s="95"/>
      <c r="O48" s="96"/>
      <c r="P48" s="9"/>
      <c r="Q48" s="9"/>
      <c r="R48" s="9"/>
      <c r="S48" s="9"/>
    </row>
    <row r="49" spans="1:19" ht="18" customHeight="1" x14ac:dyDescent="0.15">
      <c r="A49" s="3"/>
      <c r="B49" s="94" t="s">
        <v>89</v>
      </c>
      <c r="C49" s="95"/>
      <c r="D49" s="95"/>
      <c r="E49" s="96"/>
      <c r="F49" s="9">
        <v>2</v>
      </c>
      <c r="G49" s="9"/>
      <c r="H49" s="9" t="s">
        <v>73</v>
      </c>
      <c r="I49" s="9" t="s">
        <v>73</v>
      </c>
      <c r="J49" s="94"/>
      <c r="K49" s="95"/>
      <c r="L49" s="95"/>
      <c r="M49" s="95"/>
      <c r="N49" s="95"/>
      <c r="O49" s="96"/>
      <c r="P49" s="9"/>
      <c r="Q49" s="9"/>
      <c r="R49" s="9"/>
      <c r="S49" s="9"/>
    </row>
    <row r="50" spans="1:19" ht="18" customHeight="1" x14ac:dyDescent="0.15">
      <c r="A50" s="3"/>
      <c r="B50" s="94" t="s">
        <v>90</v>
      </c>
      <c r="C50" s="95"/>
      <c r="D50" s="95"/>
      <c r="E50" s="96"/>
      <c r="F50" s="9">
        <v>2</v>
      </c>
      <c r="G50" s="9"/>
      <c r="H50" s="9" t="s">
        <v>73</v>
      </c>
      <c r="I50" s="9" t="s">
        <v>73</v>
      </c>
      <c r="J50" s="94"/>
      <c r="K50" s="95"/>
      <c r="L50" s="95"/>
      <c r="M50" s="95"/>
      <c r="N50" s="95"/>
      <c r="O50" s="96"/>
      <c r="P50" s="9"/>
      <c r="Q50" s="9"/>
      <c r="R50" s="9"/>
      <c r="S50" s="9"/>
    </row>
    <row r="51" spans="1:19" ht="18" customHeight="1" x14ac:dyDescent="0.15">
      <c r="A51" s="3"/>
      <c r="B51" s="94"/>
      <c r="C51" s="95"/>
      <c r="D51" s="95"/>
      <c r="E51" s="96"/>
      <c r="F51" s="9"/>
      <c r="G51" s="9"/>
      <c r="H51" s="9"/>
      <c r="I51" s="9"/>
      <c r="J51" s="94"/>
      <c r="K51" s="95"/>
      <c r="L51" s="95"/>
      <c r="M51" s="95"/>
      <c r="N51" s="95"/>
      <c r="O51" s="96"/>
      <c r="P51" s="9"/>
      <c r="Q51" s="9"/>
      <c r="R51" s="9"/>
      <c r="S51" s="9"/>
    </row>
    <row r="52" spans="1:19" ht="18" customHeight="1" x14ac:dyDescent="0.15">
      <c r="A52" s="3"/>
      <c r="B52" s="94"/>
      <c r="C52" s="95"/>
      <c r="D52" s="95"/>
      <c r="E52" s="96"/>
      <c r="F52" s="9"/>
      <c r="G52" s="9"/>
      <c r="H52" s="9"/>
      <c r="I52" s="9"/>
      <c r="J52" s="94"/>
      <c r="K52" s="95"/>
      <c r="L52" s="95"/>
      <c r="M52" s="95"/>
      <c r="N52" s="95"/>
      <c r="O52" s="96"/>
      <c r="P52" s="9"/>
      <c r="Q52" s="9"/>
      <c r="R52" s="9"/>
      <c r="S52" s="9"/>
    </row>
    <row r="53" spans="1:19" ht="18" customHeight="1" x14ac:dyDescent="0.15">
      <c r="A53" s="3"/>
      <c r="B53" s="100"/>
      <c r="C53" s="101"/>
      <c r="D53" s="101"/>
      <c r="E53" s="102"/>
      <c r="F53" s="10"/>
      <c r="G53" s="10"/>
      <c r="H53" s="11"/>
      <c r="I53" s="11"/>
      <c r="J53" s="100"/>
      <c r="K53" s="101"/>
      <c r="L53" s="101"/>
      <c r="M53" s="101"/>
      <c r="N53" s="101"/>
      <c r="O53" s="102"/>
      <c r="P53" s="10"/>
      <c r="Q53" s="10"/>
      <c r="R53" s="11"/>
      <c r="S53" s="11"/>
    </row>
    <row r="54" spans="1:19" ht="7.5" customHeight="1" x14ac:dyDescent="0.15">
      <c r="B54" s="6"/>
      <c r="C54" s="6"/>
      <c r="D54" s="6"/>
      <c r="E54" s="6"/>
      <c r="F54" s="6"/>
      <c r="G54" s="6"/>
      <c r="H54" s="6"/>
      <c r="I54" s="6"/>
      <c r="J54" s="6"/>
      <c r="K54" s="6"/>
      <c r="L54" s="6"/>
      <c r="M54" s="6"/>
      <c r="N54" s="6"/>
      <c r="O54" s="6"/>
      <c r="P54" s="6"/>
      <c r="Q54" s="6"/>
      <c r="R54" s="6"/>
    </row>
    <row r="55" spans="1:19" ht="18" customHeight="1" x14ac:dyDescent="0.15">
      <c r="A55" s="103" t="s">
        <v>37</v>
      </c>
      <c r="B55" s="103"/>
      <c r="C55" s="103"/>
      <c r="D55" s="103"/>
      <c r="E55" s="103"/>
      <c r="F55" s="103"/>
      <c r="G55" s="103"/>
      <c r="H55" s="103"/>
      <c r="I55" s="103"/>
      <c r="J55" s="103"/>
      <c r="K55" s="103"/>
      <c r="L55" s="103"/>
      <c r="M55" s="103"/>
      <c r="N55" s="103"/>
      <c r="O55" s="103"/>
      <c r="P55" s="103"/>
      <c r="Q55" s="103"/>
      <c r="R55" s="103"/>
      <c r="S55" s="103"/>
    </row>
    <row r="56" spans="1:19" ht="18" customHeight="1" x14ac:dyDescent="0.15">
      <c r="A56" s="103"/>
      <c r="B56" s="103"/>
      <c r="C56" s="103"/>
      <c r="D56" s="103"/>
      <c r="E56" s="103"/>
      <c r="F56" s="103"/>
      <c r="G56" s="103"/>
      <c r="H56" s="103"/>
      <c r="I56" s="103"/>
      <c r="J56" s="103"/>
      <c r="K56" s="103"/>
      <c r="L56" s="103"/>
      <c r="M56" s="103"/>
      <c r="N56" s="103"/>
      <c r="O56" s="103"/>
      <c r="P56" s="103"/>
      <c r="Q56" s="103"/>
      <c r="R56" s="103"/>
      <c r="S56" s="103"/>
    </row>
    <row r="57" spans="1:19" ht="18" customHeight="1" x14ac:dyDescent="0.15">
      <c r="B57" s="97" t="s">
        <v>1</v>
      </c>
      <c r="C57" s="98"/>
      <c r="D57" s="98"/>
      <c r="E57" s="99"/>
      <c r="F57" s="26" t="s">
        <v>21</v>
      </c>
      <c r="G57" s="25" t="s">
        <v>23</v>
      </c>
      <c r="H57" s="7" t="s">
        <v>6</v>
      </c>
      <c r="I57" s="7" t="s">
        <v>8</v>
      </c>
      <c r="J57" s="97" t="s">
        <v>1</v>
      </c>
      <c r="K57" s="98"/>
      <c r="L57" s="98"/>
      <c r="M57" s="98"/>
      <c r="N57" s="98"/>
      <c r="O57" s="99"/>
      <c r="P57" s="26" t="s">
        <v>21</v>
      </c>
      <c r="Q57" s="25" t="s">
        <v>23</v>
      </c>
      <c r="R57" s="7" t="s">
        <v>6</v>
      </c>
      <c r="S57" s="7" t="s">
        <v>8</v>
      </c>
    </row>
    <row r="58" spans="1:19" ht="18" customHeight="1" x14ac:dyDescent="0.15">
      <c r="A58" s="3"/>
      <c r="B58" s="91" t="s">
        <v>48</v>
      </c>
      <c r="C58" s="92"/>
      <c r="D58" s="92"/>
      <c r="E58" s="93"/>
      <c r="F58" s="8">
        <v>2</v>
      </c>
      <c r="G58" s="8"/>
      <c r="H58" s="8" t="s">
        <v>49</v>
      </c>
      <c r="I58" s="8" t="s">
        <v>49</v>
      </c>
      <c r="J58" s="91"/>
      <c r="K58" s="92"/>
      <c r="L58" s="92"/>
      <c r="M58" s="92"/>
      <c r="N58" s="92"/>
      <c r="O58" s="93"/>
      <c r="P58" s="8"/>
      <c r="Q58" s="8"/>
      <c r="R58" s="8"/>
      <c r="S58" s="8"/>
    </row>
    <row r="59" spans="1:19" ht="18" customHeight="1" x14ac:dyDescent="0.15">
      <c r="A59" s="3"/>
      <c r="B59" s="94" t="s">
        <v>91</v>
      </c>
      <c r="C59" s="95"/>
      <c r="D59" s="95"/>
      <c r="E59" s="96"/>
      <c r="F59" s="9">
        <v>2</v>
      </c>
      <c r="G59" s="9"/>
      <c r="H59" s="9" t="s">
        <v>49</v>
      </c>
      <c r="I59" s="9" t="s">
        <v>49</v>
      </c>
      <c r="J59" s="94"/>
      <c r="K59" s="95"/>
      <c r="L59" s="95"/>
      <c r="M59" s="95"/>
      <c r="N59" s="95"/>
      <c r="O59" s="96"/>
      <c r="P59" s="9"/>
      <c r="Q59" s="9"/>
      <c r="R59" s="9"/>
      <c r="S59" s="9"/>
    </row>
    <row r="60" spans="1:19" ht="18" customHeight="1" x14ac:dyDescent="0.15">
      <c r="A60" s="3"/>
      <c r="B60" s="94"/>
      <c r="C60" s="95"/>
      <c r="D60" s="95"/>
      <c r="E60" s="96"/>
      <c r="F60" s="9"/>
      <c r="G60" s="9"/>
      <c r="H60" s="9"/>
      <c r="I60" s="9"/>
      <c r="J60" s="94"/>
      <c r="K60" s="95"/>
      <c r="L60" s="95"/>
      <c r="M60" s="95"/>
      <c r="N60" s="95"/>
      <c r="O60" s="96"/>
      <c r="P60" s="9"/>
      <c r="Q60" s="9"/>
      <c r="R60" s="9"/>
      <c r="S60" s="9"/>
    </row>
    <row r="61" spans="1:19" ht="18" customHeight="1" x14ac:dyDescent="0.15">
      <c r="A61" s="3"/>
      <c r="B61" s="94"/>
      <c r="C61" s="95"/>
      <c r="D61" s="95"/>
      <c r="E61" s="96"/>
      <c r="F61" s="9"/>
      <c r="G61" s="9"/>
      <c r="H61" s="9"/>
      <c r="I61" s="9"/>
      <c r="J61" s="94"/>
      <c r="K61" s="95"/>
      <c r="L61" s="95"/>
      <c r="M61" s="95"/>
      <c r="N61" s="95"/>
      <c r="O61" s="96"/>
      <c r="P61" s="9"/>
      <c r="Q61" s="9"/>
      <c r="R61" s="9"/>
      <c r="S61" s="9"/>
    </row>
    <row r="62" spans="1:19" ht="18" customHeight="1" x14ac:dyDescent="0.15">
      <c r="A62" s="3"/>
      <c r="B62" s="94"/>
      <c r="C62" s="95"/>
      <c r="D62" s="95"/>
      <c r="E62" s="96"/>
      <c r="F62" s="9"/>
      <c r="G62" s="9"/>
      <c r="H62" s="9"/>
      <c r="I62" s="9"/>
      <c r="J62" s="94"/>
      <c r="K62" s="95"/>
      <c r="L62" s="95"/>
      <c r="M62" s="95"/>
      <c r="N62" s="95"/>
      <c r="O62" s="96"/>
      <c r="P62" s="9"/>
      <c r="Q62" s="9"/>
      <c r="R62" s="9"/>
      <c r="S62" s="9"/>
    </row>
    <row r="63" spans="1:19" ht="18" customHeight="1" x14ac:dyDescent="0.15">
      <c r="A63" s="3"/>
      <c r="B63" s="94"/>
      <c r="C63" s="95"/>
      <c r="D63" s="95"/>
      <c r="E63" s="96"/>
      <c r="F63" s="9"/>
      <c r="G63" s="9"/>
      <c r="H63" s="9"/>
      <c r="I63" s="9"/>
      <c r="J63" s="94"/>
      <c r="K63" s="95"/>
      <c r="L63" s="95"/>
      <c r="M63" s="95"/>
      <c r="N63" s="95"/>
      <c r="O63" s="96"/>
      <c r="P63" s="9"/>
      <c r="Q63" s="9"/>
      <c r="R63" s="9"/>
      <c r="S63" s="9"/>
    </row>
    <row r="64" spans="1:19" ht="18" customHeight="1" x14ac:dyDescent="0.15">
      <c r="A64" s="3"/>
      <c r="B64" s="100"/>
      <c r="C64" s="101"/>
      <c r="D64" s="101"/>
      <c r="E64" s="102"/>
      <c r="F64" s="10"/>
      <c r="G64" s="10"/>
      <c r="H64" s="11"/>
      <c r="I64" s="11"/>
      <c r="J64" s="100"/>
      <c r="K64" s="101"/>
      <c r="L64" s="101"/>
      <c r="M64" s="101"/>
      <c r="N64" s="101"/>
      <c r="O64" s="102"/>
      <c r="P64" s="10"/>
      <c r="Q64" s="10"/>
      <c r="R64" s="11"/>
      <c r="S64" s="11"/>
    </row>
    <row r="65" spans="1:19" ht="7.5" customHeight="1" x14ac:dyDescent="0.15">
      <c r="B65" s="6"/>
      <c r="C65" s="6"/>
      <c r="D65" s="6"/>
      <c r="E65" s="6"/>
      <c r="F65" s="6"/>
      <c r="G65" s="6"/>
      <c r="H65" s="6"/>
      <c r="I65" s="6"/>
      <c r="J65" s="6"/>
      <c r="K65" s="6"/>
      <c r="L65" s="6"/>
      <c r="M65" s="6"/>
      <c r="N65" s="6"/>
      <c r="O65" s="6"/>
      <c r="P65" s="6"/>
      <c r="Q65" s="6"/>
      <c r="R65" s="6"/>
    </row>
    <row r="66" spans="1:19" ht="18" customHeight="1" x14ac:dyDescent="0.15">
      <c r="A66" s="103" t="s">
        <v>38</v>
      </c>
      <c r="B66" s="103"/>
      <c r="C66" s="103"/>
      <c r="D66" s="103"/>
      <c r="E66" s="103"/>
      <c r="F66" s="103"/>
      <c r="G66" s="103"/>
      <c r="H66" s="103"/>
      <c r="I66" s="103"/>
      <c r="J66" s="103"/>
      <c r="K66" s="103"/>
      <c r="L66" s="103"/>
      <c r="M66" s="103"/>
      <c r="N66" s="103"/>
      <c r="O66" s="103"/>
      <c r="P66" s="103"/>
      <c r="Q66" s="103"/>
      <c r="R66" s="103"/>
      <c r="S66" s="103"/>
    </row>
    <row r="67" spans="1:19" ht="18" customHeight="1" x14ac:dyDescent="0.15">
      <c r="A67" s="103"/>
      <c r="B67" s="103"/>
      <c r="C67" s="103"/>
      <c r="D67" s="103"/>
      <c r="E67" s="103"/>
      <c r="F67" s="103"/>
      <c r="G67" s="103"/>
      <c r="H67" s="103"/>
      <c r="I67" s="103"/>
      <c r="J67" s="103"/>
      <c r="K67" s="103"/>
      <c r="L67" s="103"/>
      <c r="M67" s="103"/>
      <c r="N67" s="103"/>
      <c r="O67" s="103"/>
      <c r="P67" s="103"/>
      <c r="Q67" s="103"/>
      <c r="R67" s="103"/>
      <c r="S67" s="103"/>
    </row>
    <row r="68" spans="1:19" ht="18" customHeight="1" x14ac:dyDescent="0.15">
      <c r="B68" s="97" t="s">
        <v>1</v>
      </c>
      <c r="C68" s="98"/>
      <c r="D68" s="98"/>
      <c r="E68" s="26" t="s">
        <v>21</v>
      </c>
      <c r="F68" s="25" t="s">
        <v>23</v>
      </c>
      <c r="G68" s="7" t="s">
        <v>25</v>
      </c>
      <c r="H68" s="7" t="s">
        <v>16</v>
      </c>
      <c r="I68" s="7" t="s">
        <v>17</v>
      </c>
      <c r="J68" s="97" t="s">
        <v>1</v>
      </c>
      <c r="K68" s="98"/>
      <c r="L68" s="98"/>
      <c r="M68" s="98"/>
      <c r="N68" s="99"/>
      <c r="O68" s="26" t="s">
        <v>21</v>
      </c>
      <c r="P68" s="25" t="s">
        <v>23</v>
      </c>
      <c r="Q68" s="7" t="s">
        <v>25</v>
      </c>
      <c r="R68" s="7" t="s">
        <v>16</v>
      </c>
      <c r="S68" s="7" t="s">
        <v>17</v>
      </c>
    </row>
    <row r="69" spans="1:19" ht="18" customHeight="1" x14ac:dyDescent="0.15">
      <c r="A69" s="3"/>
      <c r="B69" s="91" t="s">
        <v>48</v>
      </c>
      <c r="C69" s="92"/>
      <c r="D69" s="93"/>
      <c r="E69" s="8">
        <v>2</v>
      </c>
      <c r="F69" s="8"/>
      <c r="G69" s="8" t="s">
        <v>49</v>
      </c>
      <c r="H69" s="8" t="s">
        <v>49</v>
      </c>
      <c r="I69" s="8" t="s">
        <v>49</v>
      </c>
      <c r="J69" s="91"/>
      <c r="K69" s="92"/>
      <c r="L69" s="92"/>
      <c r="M69" s="92"/>
      <c r="N69" s="93"/>
      <c r="O69" s="8"/>
      <c r="P69" s="8"/>
      <c r="Q69" s="8"/>
      <c r="R69" s="8"/>
      <c r="S69" s="8"/>
    </row>
    <row r="70" spans="1:19" ht="18" customHeight="1" x14ac:dyDescent="0.15">
      <c r="A70" s="3"/>
      <c r="B70" s="94" t="s">
        <v>50</v>
      </c>
      <c r="C70" s="95"/>
      <c r="D70" s="95"/>
      <c r="E70" s="9">
        <v>2</v>
      </c>
      <c r="F70" s="9"/>
      <c r="G70" s="9" t="s">
        <v>49</v>
      </c>
      <c r="H70" s="9" t="s">
        <v>49</v>
      </c>
      <c r="I70" s="9"/>
      <c r="J70" s="94"/>
      <c r="K70" s="95"/>
      <c r="L70" s="95"/>
      <c r="M70" s="95"/>
      <c r="N70" s="96"/>
      <c r="O70" s="9"/>
      <c r="P70" s="9"/>
      <c r="Q70" s="9"/>
      <c r="R70" s="9"/>
      <c r="S70" s="9"/>
    </row>
    <row r="71" spans="1:19" ht="18" customHeight="1" x14ac:dyDescent="0.15">
      <c r="A71" s="3"/>
      <c r="B71" s="193" t="s">
        <v>92</v>
      </c>
      <c r="C71" s="194"/>
      <c r="D71" s="195"/>
      <c r="E71" s="89">
        <v>2</v>
      </c>
      <c r="F71" s="89"/>
      <c r="G71" s="89"/>
      <c r="H71" s="89"/>
      <c r="I71" s="89" t="s">
        <v>49</v>
      </c>
      <c r="J71" s="94"/>
      <c r="K71" s="95"/>
      <c r="L71" s="95"/>
      <c r="M71" s="95"/>
      <c r="N71" s="96"/>
      <c r="O71" s="9"/>
      <c r="P71" s="9"/>
      <c r="Q71" s="9"/>
      <c r="R71" s="9"/>
      <c r="S71" s="9"/>
    </row>
    <row r="72" spans="1:19" ht="18" customHeight="1" x14ac:dyDescent="0.15">
      <c r="A72" s="3"/>
      <c r="B72" s="94" t="s">
        <v>86</v>
      </c>
      <c r="C72" s="95"/>
      <c r="D72" s="95"/>
      <c r="E72" s="9">
        <v>2</v>
      </c>
      <c r="F72" s="9"/>
      <c r="G72" s="9" t="s">
        <v>49</v>
      </c>
      <c r="H72" s="9" t="s">
        <v>49</v>
      </c>
      <c r="I72" s="9"/>
      <c r="J72" s="94"/>
      <c r="K72" s="95"/>
      <c r="L72" s="95"/>
      <c r="M72" s="95"/>
      <c r="N72" s="96"/>
      <c r="O72" s="9"/>
      <c r="P72" s="9"/>
      <c r="Q72" s="9"/>
      <c r="R72" s="9"/>
      <c r="S72" s="9"/>
    </row>
    <row r="73" spans="1:19" ht="18" customHeight="1" x14ac:dyDescent="0.15">
      <c r="A73" s="3"/>
      <c r="B73" s="94" t="s">
        <v>87</v>
      </c>
      <c r="C73" s="95"/>
      <c r="D73" s="95"/>
      <c r="E73" s="9">
        <v>2</v>
      </c>
      <c r="F73" s="9"/>
      <c r="G73" s="9" t="s">
        <v>73</v>
      </c>
      <c r="H73" s="9" t="s">
        <v>73</v>
      </c>
      <c r="I73" s="9"/>
      <c r="J73" s="94"/>
      <c r="K73" s="95"/>
      <c r="L73" s="95"/>
      <c r="M73" s="95"/>
      <c r="N73" s="96"/>
      <c r="O73" s="9"/>
      <c r="P73" s="9"/>
      <c r="Q73" s="9"/>
      <c r="R73" s="9"/>
      <c r="S73" s="9"/>
    </row>
    <row r="74" spans="1:19" ht="18" customHeight="1" x14ac:dyDescent="0.15">
      <c r="A74" s="3"/>
      <c r="B74" s="94"/>
      <c r="C74" s="95"/>
      <c r="D74" s="95"/>
      <c r="E74" s="9"/>
      <c r="F74" s="9"/>
      <c r="G74" s="9"/>
      <c r="H74" s="9"/>
      <c r="I74" s="9"/>
      <c r="J74" s="94"/>
      <c r="K74" s="95"/>
      <c r="L74" s="95"/>
      <c r="M74" s="95"/>
      <c r="N74" s="96"/>
      <c r="O74" s="9"/>
      <c r="P74" s="9"/>
      <c r="Q74" s="9"/>
      <c r="R74" s="9"/>
      <c r="S74" s="9"/>
    </row>
    <row r="75" spans="1:19" ht="18" customHeight="1" x14ac:dyDescent="0.15">
      <c r="A75" s="3"/>
      <c r="B75" s="100"/>
      <c r="C75" s="101"/>
      <c r="D75" s="101"/>
      <c r="E75" s="10"/>
      <c r="F75" s="10"/>
      <c r="G75" s="11"/>
      <c r="H75" s="11"/>
      <c r="I75" s="11"/>
      <c r="J75" s="100"/>
      <c r="K75" s="101"/>
      <c r="L75" s="101"/>
      <c r="M75" s="101"/>
      <c r="N75" s="102"/>
      <c r="O75" s="10"/>
      <c r="P75" s="10"/>
      <c r="Q75" s="11"/>
      <c r="R75" s="11"/>
      <c r="S75" s="11"/>
    </row>
    <row r="76" spans="1:19" ht="7.5" customHeight="1" x14ac:dyDescent="0.15">
      <c r="B76" s="6"/>
      <c r="C76" s="6"/>
      <c r="D76" s="6"/>
      <c r="E76" s="6"/>
      <c r="F76" s="6"/>
      <c r="G76" s="6"/>
      <c r="H76" s="6"/>
      <c r="I76" s="6"/>
      <c r="J76" s="6"/>
      <c r="K76" s="6"/>
      <c r="L76" s="6"/>
      <c r="M76" s="6"/>
      <c r="N76" s="6"/>
      <c r="O76" s="6"/>
      <c r="P76" s="6"/>
      <c r="Q76" s="6"/>
      <c r="R76" s="6"/>
    </row>
    <row r="77" spans="1:19" ht="18" customHeight="1" x14ac:dyDescent="0.15">
      <c r="A77" s="1" t="s">
        <v>39</v>
      </c>
      <c r="H77" s="3"/>
      <c r="I77" s="3"/>
      <c r="J77" s="3"/>
      <c r="K77" s="3"/>
      <c r="L77" s="3"/>
      <c r="M77" s="3"/>
      <c r="N77" s="3"/>
      <c r="O77" s="3"/>
      <c r="P77" s="3"/>
      <c r="Q77" s="3"/>
      <c r="R77" s="3"/>
      <c r="S77" s="3"/>
    </row>
    <row r="78" spans="1:19" ht="18" customHeight="1" x14ac:dyDescent="0.15">
      <c r="B78" s="97" t="s">
        <v>1</v>
      </c>
      <c r="C78" s="98"/>
      <c r="D78" s="98"/>
      <c r="E78" s="99"/>
      <c r="F78" s="97" t="s">
        <v>22</v>
      </c>
      <c r="G78" s="98"/>
      <c r="H78" s="98"/>
      <c r="I78" s="99"/>
      <c r="J78" s="124" t="s">
        <v>1</v>
      </c>
      <c r="K78" s="125"/>
      <c r="L78" s="125"/>
      <c r="M78" s="125"/>
      <c r="N78" s="125"/>
      <c r="O78" s="126"/>
      <c r="P78" s="97" t="s">
        <v>22</v>
      </c>
      <c r="Q78" s="98"/>
      <c r="R78" s="98"/>
      <c r="S78" s="99"/>
    </row>
    <row r="79" spans="1:19" ht="18" customHeight="1" x14ac:dyDescent="0.15">
      <c r="A79" s="3"/>
      <c r="B79" s="91"/>
      <c r="C79" s="92"/>
      <c r="D79" s="92"/>
      <c r="E79" s="93"/>
      <c r="F79" s="118"/>
      <c r="G79" s="119"/>
      <c r="H79" s="119"/>
      <c r="I79" s="120"/>
      <c r="J79" s="91"/>
      <c r="K79" s="92"/>
      <c r="L79" s="92"/>
      <c r="M79" s="92"/>
      <c r="N79" s="92"/>
      <c r="O79" s="93"/>
      <c r="P79" s="118"/>
      <c r="Q79" s="119"/>
      <c r="R79" s="119"/>
      <c r="S79" s="120"/>
    </row>
    <row r="80" spans="1:19" ht="18" customHeight="1" x14ac:dyDescent="0.15">
      <c r="A80" s="3"/>
      <c r="B80" s="94"/>
      <c r="C80" s="95"/>
      <c r="D80" s="95"/>
      <c r="E80" s="96"/>
      <c r="F80" s="121"/>
      <c r="G80" s="122"/>
      <c r="H80" s="122"/>
      <c r="I80" s="123"/>
      <c r="J80" s="94"/>
      <c r="K80" s="95"/>
      <c r="L80" s="95"/>
      <c r="M80" s="95"/>
      <c r="N80" s="95"/>
      <c r="O80" s="96"/>
      <c r="P80" s="121"/>
      <c r="Q80" s="122"/>
      <c r="R80" s="122"/>
      <c r="S80" s="123"/>
    </row>
    <row r="81" spans="1:19" ht="18" customHeight="1" x14ac:dyDescent="0.15">
      <c r="A81" s="3"/>
      <c r="B81" s="94"/>
      <c r="C81" s="95"/>
      <c r="D81" s="95"/>
      <c r="E81" s="96"/>
      <c r="F81" s="121"/>
      <c r="G81" s="122"/>
      <c r="H81" s="122"/>
      <c r="I81" s="123"/>
      <c r="J81" s="94"/>
      <c r="K81" s="95"/>
      <c r="L81" s="95"/>
      <c r="M81" s="95"/>
      <c r="N81" s="95"/>
      <c r="O81" s="96"/>
      <c r="P81" s="121"/>
      <c r="Q81" s="122"/>
      <c r="R81" s="122"/>
      <c r="S81" s="123"/>
    </row>
    <row r="82" spans="1:19" ht="18" customHeight="1" x14ac:dyDescent="0.15">
      <c r="A82" s="3"/>
      <c r="B82" s="94"/>
      <c r="C82" s="95"/>
      <c r="D82" s="95"/>
      <c r="E82" s="96"/>
      <c r="F82" s="121"/>
      <c r="G82" s="122"/>
      <c r="H82" s="122"/>
      <c r="I82" s="123"/>
      <c r="J82" s="94"/>
      <c r="K82" s="95"/>
      <c r="L82" s="95"/>
      <c r="M82" s="95"/>
      <c r="N82" s="95"/>
      <c r="O82" s="96"/>
      <c r="P82" s="121"/>
      <c r="Q82" s="122"/>
      <c r="R82" s="122"/>
      <c r="S82" s="123"/>
    </row>
    <row r="83" spans="1:19" ht="18" customHeight="1" x14ac:dyDescent="0.15">
      <c r="A83" s="3"/>
      <c r="B83" s="94"/>
      <c r="C83" s="95"/>
      <c r="D83" s="95"/>
      <c r="E83" s="96"/>
      <c r="F83" s="121"/>
      <c r="G83" s="122"/>
      <c r="H83" s="122"/>
      <c r="I83" s="123"/>
      <c r="J83" s="94"/>
      <c r="K83" s="95"/>
      <c r="L83" s="95"/>
      <c r="M83" s="95"/>
      <c r="N83" s="95"/>
      <c r="O83" s="96"/>
      <c r="P83" s="121"/>
      <c r="Q83" s="122"/>
      <c r="R83" s="122"/>
      <c r="S83" s="123"/>
    </row>
    <row r="84" spans="1:19" ht="18" customHeight="1" x14ac:dyDescent="0.15">
      <c r="A84" s="3"/>
      <c r="B84" s="94"/>
      <c r="C84" s="95"/>
      <c r="D84" s="95"/>
      <c r="E84" s="96"/>
      <c r="F84" s="121"/>
      <c r="G84" s="122"/>
      <c r="H84" s="122"/>
      <c r="I84" s="123"/>
      <c r="J84" s="94"/>
      <c r="K84" s="95"/>
      <c r="L84" s="95"/>
      <c r="M84" s="95"/>
      <c r="N84" s="95"/>
      <c r="O84" s="96"/>
      <c r="P84" s="121"/>
      <c r="Q84" s="122"/>
      <c r="R84" s="122"/>
      <c r="S84" s="123"/>
    </row>
    <row r="85" spans="1:19" ht="18" customHeight="1" x14ac:dyDescent="0.15">
      <c r="A85" s="3"/>
      <c r="B85" s="100"/>
      <c r="C85" s="101"/>
      <c r="D85" s="101"/>
      <c r="E85" s="102"/>
      <c r="F85" s="130"/>
      <c r="G85" s="131"/>
      <c r="H85" s="131"/>
      <c r="I85" s="132"/>
      <c r="J85" s="100"/>
      <c r="K85" s="101"/>
      <c r="L85" s="101"/>
      <c r="M85" s="101"/>
      <c r="N85" s="101"/>
      <c r="O85" s="102"/>
      <c r="P85" s="130"/>
      <c r="Q85" s="131"/>
      <c r="R85" s="131"/>
      <c r="S85" s="132"/>
    </row>
    <row r="86" spans="1:19" ht="18" customHeight="1" x14ac:dyDescent="0.15">
      <c r="A86" s="3"/>
      <c r="B86" s="4"/>
      <c r="C86" s="4"/>
      <c r="D86" s="4"/>
      <c r="E86" s="4"/>
      <c r="F86" s="12"/>
      <c r="G86" s="12"/>
      <c r="H86" s="12"/>
      <c r="I86" s="12"/>
      <c r="J86" s="4"/>
      <c r="K86" s="4"/>
      <c r="L86" s="4"/>
      <c r="M86" s="4"/>
      <c r="N86" s="4"/>
      <c r="O86" s="4"/>
      <c r="P86" s="12"/>
      <c r="Q86" s="12"/>
      <c r="R86" s="12"/>
      <c r="S86" s="12"/>
    </row>
    <row r="87" spans="1:19" ht="18.75" customHeight="1" x14ac:dyDescent="0.15">
      <c r="A87" s="1" t="s">
        <v>40</v>
      </c>
    </row>
    <row r="88" spans="1:19" ht="18.75" customHeight="1" x14ac:dyDescent="0.15">
      <c r="B88" s="116" t="s">
        <v>2</v>
      </c>
      <c r="C88" s="117"/>
      <c r="D88" s="98" t="s">
        <v>3</v>
      </c>
      <c r="E88" s="98"/>
      <c r="F88" s="98"/>
      <c r="G88" s="98"/>
      <c r="H88" s="98"/>
      <c r="I88" s="98"/>
      <c r="J88" s="98"/>
      <c r="K88" s="98"/>
      <c r="L88" s="98"/>
      <c r="M88" s="98"/>
      <c r="N88" s="98"/>
      <c r="O88" s="98"/>
      <c r="P88" s="98"/>
      <c r="Q88" s="98"/>
      <c r="R88" s="98"/>
      <c r="S88" s="99"/>
    </row>
    <row r="89" spans="1:19" ht="97.5" customHeight="1" x14ac:dyDescent="0.15">
      <c r="B89" s="104" t="s">
        <v>9</v>
      </c>
      <c r="C89" s="13" t="s">
        <v>4</v>
      </c>
      <c r="D89" s="113" t="s">
        <v>241</v>
      </c>
      <c r="E89" s="114"/>
      <c r="F89" s="114"/>
      <c r="G89" s="114"/>
      <c r="H89" s="114"/>
      <c r="I89" s="114"/>
      <c r="J89" s="114"/>
      <c r="K89" s="114"/>
      <c r="L89" s="114"/>
      <c r="M89" s="114"/>
      <c r="N89" s="114"/>
      <c r="O89" s="114"/>
      <c r="P89" s="114"/>
      <c r="Q89" s="114"/>
      <c r="R89" s="114"/>
      <c r="S89" s="115"/>
    </row>
    <row r="90" spans="1:19" ht="97.5" customHeight="1" x14ac:dyDescent="0.15">
      <c r="B90" s="105"/>
      <c r="C90" s="14" t="s">
        <v>18</v>
      </c>
      <c r="D90" s="133" t="s">
        <v>242</v>
      </c>
      <c r="E90" s="134"/>
      <c r="F90" s="134"/>
      <c r="G90" s="134"/>
      <c r="H90" s="134"/>
      <c r="I90" s="134"/>
      <c r="J90" s="134"/>
      <c r="K90" s="134"/>
      <c r="L90" s="134"/>
      <c r="M90" s="134"/>
      <c r="N90" s="134"/>
      <c r="O90" s="134"/>
      <c r="P90" s="134"/>
      <c r="Q90" s="134"/>
      <c r="R90" s="134"/>
      <c r="S90" s="135"/>
    </row>
    <row r="91" spans="1:19" ht="97.5" customHeight="1" x14ac:dyDescent="0.15">
      <c r="B91" s="104" t="s">
        <v>10</v>
      </c>
      <c r="C91" s="15" t="s">
        <v>12</v>
      </c>
      <c r="D91" s="136" t="s">
        <v>243</v>
      </c>
      <c r="E91" s="137"/>
      <c r="F91" s="137"/>
      <c r="G91" s="137"/>
      <c r="H91" s="137"/>
      <c r="I91" s="137"/>
      <c r="J91" s="137"/>
      <c r="K91" s="137"/>
      <c r="L91" s="137"/>
      <c r="M91" s="137"/>
      <c r="N91" s="137"/>
      <c r="O91" s="137"/>
      <c r="P91" s="137"/>
      <c r="Q91" s="137"/>
      <c r="R91" s="137"/>
      <c r="S91" s="138"/>
    </row>
    <row r="92" spans="1:19" ht="97.5" customHeight="1" x14ac:dyDescent="0.15">
      <c r="B92" s="106"/>
      <c r="C92" s="16" t="s">
        <v>13</v>
      </c>
      <c r="D92" s="142" t="s">
        <v>244</v>
      </c>
      <c r="E92" s="143"/>
      <c r="F92" s="143"/>
      <c r="G92" s="143"/>
      <c r="H92" s="143"/>
      <c r="I92" s="143"/>
      <c r="J92" s="143"/>
      <c r="K92" s="143"/>
      <c r="L92" s="143"/>
      <c r="M92" s="143"/>
      <c r="N92" s="143"/>
      <c r="O92" s="143"/>
      <c r="P92" s="143"/>
      <c r="Q92" s="143"/>
      <c r="R92" s="143"/>
      <c r="S92" s="144"/>
    </row>
    <row r="93" spans="1:19" ht="97.5" customHeight="1" x14ac:dyDescent="0.15">
      <c r="B93" s="104" t="s">
        <v>11</v>
      </c>
      <c r="C93" s="15" t="s">
        <v>14</v>
      </c>
      <c r="D93" s="196" t="s">
        <v>245</v>
      </c>
      <c r="E93" s="197"/>
      <c r="F93" s="197"/>
      <c r="G93" s="197"/>
      <c r="H93" s="197"/>
      <c r="I93" s="197"/>
      <c r="J93" s="197"/>
      <c r="K93" s="197"/>
      <c r="L93" s="197"/>
      <c r="M93" s="197"/>
      <c r="N93" s="197"/>
      <c r="O93" s="197"/>
      <c r="P93" s="197"/>
      <c r="Q93" s="197"/>
      <c r="R93" s="197"/>
      <c r="S93" s="198"/>
    </row>
    <row r="94" spans="1:19" ht="97.5" customHeight="1" x14ac:dyDescent="0.15">
      <c r="B94" s="106"/>
      <c r="C94" s="17" t="s">
        <v>15</v>
      </c>
      <c r="D94" s="199" t="s">
        <v>246</v>
      </c>
      <c r="E94" s="200"/>
      <c r="F94" s="200"/>
      <c r="G94" s="200"/>
      <c r="H94" s="200"/>
      <c r="I94" s="200"/>
      <c r="J94" s="200"/>
      <c r="K94" s="200"/>
      <c r="L94" s="200"/>
      <c r="M94" s="200"/>
      <c r="N94" s="200"/>
      <c r="O94" s="200"/>
      <c r="P94" s="200"/>
      <c r="Q94" s="200"/>
      <c r="R94" s="200"/>
      <c r="S94" s="201"/>
    </row>
    <row r="95" spans="1:19" ht="97.5" customHeight="1" x14ac:dyDescent="0.15">
      <c r="B95" s="104" t="s">
        <v>19</v>
      </c>
      <c r="C95" s="13" t="s">
        <v>6</v>
      </c>
      <c r="D95" s="202" t="s">
        <v>247</v>
      </c>
      <c r="E95" s="203"/>
      <c r="F95" s="203"/>
      <c r="G95" s="203"/>
      <c r="H95" s="203"/>
      <c r="I95" s="203"/>
      <c r="J95" s="203"/>
      <c r="K95" s="203"/>
      <c r="L95" s="203"/>
      <c r="M95" s="203"/>
      <c r="N95" s="203"/>
      <c r="O95" s="203"/>
      <c r="P95" s="203"/>
      <c r="Q95" s="203"/>
      <c r="R95" s="203"/>
      <c r="S95" s="204"/>
    </row>
    <row r="96" spans="1:19" ht="97.5" customHeight="1" x14ac:dyDescent="0.15">
      <c r="B96" s="106"/>
      <c r="C96" s="16" t="s">
        <v>8</v>
      </c>
      <c r="D96" s="142" t="s">
        <v>248</v>
      </c>
      <c r="E96" s="143"/>
      <c r="F96" s="143"/>
      <c r="G96" s="143"/>
      <c r="H96" s="143"/>
      <c r="I96" s="143"/>
      <c r="J96" s="143"/>
      <c r="K96" s="143"/>
      <c r="L96" s="143"/>
      <c r="M96" s="143"/>
      <c r="N96" s="143"/>
      <c r="O96" s="143"/>
      <c r="P96" s="143"/>
      <c r="Q96" s="143"/>
      <c r="R96" s="143"/>
      <c r="S96" s="144"/>
    </row>
    <row r="97" spans="1:19" ht="97.5" customHeight="1" x14ac:dyDescent="0.15">
      <c r="B97" s="104" t="s">
        <v>20</v>
      </c>
      <c r="C97" s="15" t="s">
        <v>5</v>
      </c>
      <c r="D97" s="107" t="s">
        <v>263</v>
      </c>
      <c r="E97" s="108"/>
      <c r="F97" s="108"/>
      <c r="G97" s="108"/>
      <c r="H97" s="108"/>
      <c r="I97" s="108"/>
      <c r="J97" s="108"/>
      <c r="K97" s="108"/>
      <c r="L97" s="108"/>
      <c r="M97" s="108"/>
      <c r="N97" s="108"/>
      <c r="O97" s="108"/>
      <c r="P97" s="108"/>
      <c r="Q97" s="108"/>
      <c r="R97" s="108"/>
      <c r="S97" s="109"/>
    </row>
    <row r="98" spans="1:19" ht="97.5" customHeight="1" x14ac:dyDescent="0.15">
      <c r="B98" s="105"/>
      <c r="C98" s="18" t="s">
        <v>16</v>
      </c>
      <c r="D98" s="145" t="s">
        <v>249</v>
      </c>
      <c r="E98" s="146"/>
      <c r="F98" s="146"/>
      <c r="G98" s="146"/>
      <c r="H98" s="146"/>
      <c r="I98" s="146"/>
      <c r="J98" s="146"/>
      <c r="K98" s="146"/>
      <c r="L98" s="146"/>
      <c r="M98" s="146"/>
      <c r="N98" s="146"/>
      <c r="O98" s="146"/>
      <c r="P98" s="146"/>
      <c r="Q98" s="146"/>
      <c r="R98" s="146"/>
      <c r="S98" s="147"/>
    </row>
    <row r="99" spans="1:19" ht="97.5" customHeight="1" x14ac:dyDescent="0.15">
      <c r="B99" s="106"/>
      <c r="C99" s="17" t="s">
        <v>17</v>
      </c>
      <c r="D99" s="110" t="s">
        <v>250</v>
      </c>
      <c r="E99" s="111"/>
      <c r="F99" s="111"/>
      <c r="G99" s="111"/>
      <c r="H99" s="111"/>
      <c r="I99" s="111"/>
      <c r="J99" s="111"/>
      <c r="K99" s="111"/>
      <c r="L99" s="111"/>
      <c r="M99" s="111"/>
      <c r="N99" s="111"/>
      <c r="O99" s="111"/>
      <c r="P99" s="111"/>
      <c r="Q99" s="111"/>
      <c r="R99" s="111"/>
      <c r="S99" s="112"/>
    </row>
    <row r="100" spans="1:19" ht="6" customHeight="1" x14ac:dyDescent="0.15"/>
    <row r="101" spans="1:19" ht="18.75" customHeight="1" x14ac:dyDescent="0.15">
      <c r="A101" s="1" t="s">
        <v>41</v>
      </c>
    </row>
    <row r="102" spans="1:19" ht="81.75" customHeight="1" x14ac:dyDescent="0.15">
      <c r="B102" s="127" t="s">
        <v>113</v>
      </c>
      <c r="C102" s="128"/>
      <c r="D102" s="128"/>
      <c r="E102" s="128"/>
      <c r="F102" s="128"/>
      <c r="G102" s="128"/>
      <c r="H102" s="128"/>
      <c r="I102" s="128"/>
      <c r="J102" s="128"/>
      <c r="K102" s="128"/>
      <c r="L102" s="128"/>
      <c r="M102" s="128"/>
      <c r="N102" s="128"/>
      <c r="O102" s="128"/>
      <c r="P102" s="128"/>
      <c r="Q102" s="128"/>
      <c r="R102" s="128"/>
      <c r="S102" s="129"/>
    </row>
    <row r="110" spans="1:19" ht="18" customHeight="1" x14ac:dyDescent="0.15"/>
  </sheetData>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2" priority="1">
      <formula>$K$7="学部・学科によって、修了要件は相違しない"</formula>
    </cfRule>
  </conditionalFormatting>
  <dataValidations count="5">
    <dataValidation type="list" allowBlank="1" showInputMessage="1" showErrorMessage="1" sqref="G58:I64 Q25:S31 P69:S75 Q36:S42 G25:I31 Q47:S53 G36:I42 Q58:S64 G47:I53 F69:I75">
      <formula1>"○"</formula1>
    </dataValidation>
    <dataValidation type="list" allowBlank="1" showInputMessage="1" showErrorMessage="1" sqref="S32 S43 D32:G32 D43:G43">
      <formula1>"全学開講,一部開講"</formula1>
    </dataValidation>
    <dataValidation type="list" allowBlank="1" showInputMessage="1" showErrorMessage="1" sqref="K12 K7">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opLeftCell="A96" zoomScaleNormal="100" zoomScaleSheetLayoutView="100" workbookViewId="0">
      <selection activeCell="A33" sqref="A33:S34"/>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48" t="s">
        <v>123</v>
      </c>
      <c r="S1" s="148"/>
      <c r="T1" s="2" t="s">
        <v>30</v>
      </c>
    </row>
    <row r="2" spans="1:22" ht="18.75" customHeight="1" x14ac:dyDescent="0.15">
      <c r="B2" s="19" t="s">
        <v>29</v>
      </c>
      <c r="C2" s="97" t="s">
        <v>112</v>
      </c>
      <c r="D2" s="98"/>
      <c r="E2" s="98"/>
      <c r="F2" s="98"/>
      <c r="G2" s="98"/>
      <c r="H2" s="98"/>
      <c r="I2" s="99"/>
      <c r="J2" s="20"/>
      <c r="K2" s="4"/>
      <c r="L2" s="4"/>
      <c r="M2" s="4"/>
      <c r="N2" s="4"/>
      <c r="O2" s="4"/>
      <c r="P2" s="4"/>
      <c r="Q2" s="4"/>
      <c r="R2" s="4"/>
      <c r="S2" s="4"/>
    </row>
    <row r="3" spans="1:22" ht="18.75" customHeight="1" x14ac:dyDescent="0.15">
      <c r="B3" s="19" t="s">
        <v>26</v>
      </c>
      <c r="C3" s="152" t="s">
        <v>111</v>
      </c>
      <c r="D3" s="153"/>
      <c r="E3" s="153"/>
      <c r="F3" s="153"/>
      <c r="G3" s="153"/>
      <c r="H3" s="153"/>
      <c r="I3" s="154"/>
      <c r="J3" s="20"/>
      <c r="K3" s="4"/>
      <c r="L3" s="4"/>
      <c r="M3" s="4"/>
      <c r="N3" s="4"/>
      <c r="O3" s="4"/>
      <c r="P3" s="4"/>
      <c r="Q3" s="4"/>
      <c r="R3" s="4"/>
      <c r="S3" s="4"/>
    </row>
    <row r="4" spans="1:22" ht="15" customHeight="1" x14ac:dyDescent="0.15">
      <c r="K4" s="20"/>
      <c r="L4" s="21"/>
      <c r="M4" s="21"/>
      <c r="N4" s="21"/>
      <c r="O4" s="21"/>
      <c r="P4" s="21"/>
      <c r="Q4" s="21"/>
      <c r="R4" s="21"/>
      <c r="S4" s="21"/>
    </row>
    <row r="5" spans="1:22" ht="18" customHeight="1" x14ac:dyDescent="0.15">
      <c r="A5" s="155" t="s">
        <v>0</v>
      </c>
      <c r="B5" s="155"/>
      <c r="C5" s="155"/>
      <c r="D5" s="155"/>
      <c r="E5" s="155"/>
      <c r="F5" s="155"/>
      <c r="G5" s="155"/>
      <c r="H5" s="155"/>
      <c r="I5" s="155"/>
      <c r="J5" s="155"/>
      <c r="K5" s="155"/>
      <c r="L5" s="155"/>
      <c r="M5" s="155"/>
      <c r="N5" s="155"/>
      <c r="O5" s="155"/>
      <c r="P5" s="155"/>
      <c r="Q5" s="155"/>
      <c r="R5" s="155"/>
      <c r="S5" s="155"/>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44</v>
      </c>
      <c r="C7" s="3"/>
      <c r="J7" s="22" t="s">
        <v>28</v>
      </c>
      <c r="K7" s="165" t="s">
        <v>46</v>
      </c>
      <c r="L7" s="166"/>
      <c r="M7" s="166"/>
      <c r="N7" s="166"/>
      <c r="O7" s="166"/>
      <c r="P7" s="166"/>
      <c r="Q7" s="166"/>
      <c r="R7" s="166"/>
      <c r="S7" s="167"/>
    </row>
    <row r="8" spans="1:22" ht="6" customHeight="1" x14ac:dyDescent="0.15">
      <c r="B8" s="3"/>
      <c r="C8" s="3"/>
      <c r="D8" s="3"/>
      <c r="E8" s="3"/>
      <c r="F8" s="3"/>
      <c r="G8" s="3"/>
      <c r="H8" s="3"/>
      <c r="I8" s="3"/>
      <c r="J8" s="3"/>
      <c r="K8" s="5"/>
      <c r="L8" s="3"/>
      <c r="M8" s="3"/>
      <c r="N8" s="3"/>
      <c r="O8" s="3"/>
      <c r="P8" s="3"/>
      <c r="Q8" s="3"/>
      <c r="R8" s="3"/>
      <c r="S8" s="3"/>
    </row>
    <row r="9" spans="1:22" ht="18" customHeight="1" x14ac:dyDescent="0.15">
      <c r="B9" s="168" t="s">
        <v>93</v>
      </c>
      <c r="C9" s="169"/>
      <c r="D9" s="169"/>
      <c r="E9" s="169"/>
      <c r="F9" s="169"/>
      <c r="G9" s="169"/>
      <c r="H9" s="169"/>
      <c r="I9" s="169"/>
      <c r="J9" s="169"/>
      <c r="K9" s="169"/>
      <c r="L9" s="169"/>
      <c r="M9" s="169"/>
      <c r="N9" s="169"/>
      <c r="O9" s="169"/>
      <c r="P9" s="169"/>
      <c r="Q9" s="169"/>
      <c r="R9" s="169"/>
      <c r="S9" s="170"/>
    </row>
    <row r="10" spans="1:22" ht="18" customHeight="1" x14ac:dyDescent="0.15">
      <c r="B10" s="171"/>
      <c r="C10" s="172"/>
      <c r="D10" s="172"/>
      <c r="E10" s="172"/>
      <c r="F10" s="172"/>
      <c r="G10" s="172"/>
      <c r="H10" s="172"/>
      <c r="I10" s="172"/>
      <c r="J10" s="172"/>
      <c r="K10" s="172"/>
      <c r="L10" s="172"/>
      <c r="M10" s="172"/>
      <c r="N10" s="172"/>
      <c r="O10" s="172"/>
      <c r="P10" s="172"/>
      <c r="Q10" s="172"/>
      <c r="R10" s="172"/>
      <c r="S10" s="173"/>
    </row>
    <row r="11" spans="1:22" ht="6" customHeight="1" x14ac:dyDescent="0.15">
      <c r="B11" s="3"/>
      <c r="C11" s="3"/>
      <c r="D11" s="3"/>
      <c r="E11" s="3"/>
      <c r="F11" s="3"/>
      <c r="G11" s="3"/>
      <c r="H11" s="3"/>
      <c r="I11" s="3"/>
      <c r="J11" s="3"/>
      <c r="K11" s="5"/>
      <c r="L11" s="3"/>
      <c r="M11" s="3"/>
      <c r="N11" s="3"/>
      <c r="O11" s="3"/>
      <c r="P11" s="3"/>
      <c r="Q11" s="3"/>
      <c r="R11" s="3"/>
      <c r="S11" s="3"/>
    </row>
    <row r="12" spans="1:22" ht="18" customHeight="1" x14ac:dyDescent="0.15">
      <c r="A12" s="1" t="s">
        <v>32</v>
      </c>
      <c r="B12" s="3"/>
      <c r="C12" s="3"/>
      <c r="D12" s="20"/>
      <c r="E12" s="20"/>
      <c r="F12" s="20"/>
      <c r="G12" s="20"/>
      <c r="H12" s="20"/>
      <c r="I12" s="20"/>
      <c r="J12" s="20"/>
      <c r="K12" s="23"/>
      <c r="L12" s="23"/>
      <c r="M12" s="23"/>
      <c r="N12" s="23"/>
      <c r="O12" s="23"/>
      <c r="P12" s="23"/>
      <c r="Q12" s="23"/>
      <c r="R12" s="23"/>
      <c r="S12" s="23"/>
    </row>
    <row r="13" spans="1:22" ht="18" customHeight="1" x14ac:dyDescent="0.15">
      <c r="B13" s="156" t="s">
        <v>94</v>
      </c>
      <c r="C13" s="157"/>
      <c r="D13" s="157"/>
      <c r="E13" s="157"/>
      <c r="F13" s="157"/>
      <c r="G13" s="157"/>
      <c r="H13" s="157"/>
      <c r="I13" s="157"/>
      <c r="J13" s="157"/>
      <c r="K13" s="157"/>
      <c r="L13" s="157"/>
      <c r="M13" s="157"/>
      <c r="N13" s="157"/>
      <c r="O13" s="157"/>
      <c r="P13" s="157"/>
      <c r="Q13" s="157"/>
      <c r="R13" s="157"/>
      <c r="S13" s="158"/>
      <c r="V13" s="1" t="s">
        <v>27</v>
      </c>
    </row>
    <row r="14" spans="1:22" ht="18" customHeight="1" x14ac:dyDescent="0.15">
      <c r="B14" s="159"/>
      <c r="C14" s="160"/>
      <c r="D14" s="160"/>
      <c r="E14" s="160"/>
      <c r="F14" s="160"/>
      <c r="G14" s="160"/>
      <c r="H14" s="160"/>
      <c r="I14" s="160"/>
      <c r="J14" s="160"/>
      <c r="K14" s="160"/>
      <c r="L14" s="160"/>
      <c r="M14" s="160"/>
      <c r="N14" s="160"/>
      <c r="O14" s="160"/>
      <c r="P14" s="160"/>
      <c r="Q14" s="160"/>
      <c r="R14" s="160"/>
      <c r="S14" s="161"/>
      <c r="V14" s="1" t="s">
        <v>31</v>
      </c>
    </row>
    <row r="15" spans="1:22" ht="18" customHeight="1" x14ac:dyDescent="0.15">
      <c r="B15" s="159"/>
      <c r="C15" s="160"/>
      <c r="D15" s="160"/>
      <c r="E15" s="160"/>
      <c r="F15" s="160"/>
      <c r="G15" s="160"/>
      <c r="H15" s="160"/>
      <c r="I15" s="160"/>
      <c r="J15" s="160"/>
      <c r="K15" s="160"/>
      <c r="L15" s="160"/>
      <c r="M15" s="160"/>
      <c r="N15" s="160"/>
      <c r="O15" s="160"/>
      <c r="P15" s="160"/>
      <c r="Q15" s="160"/>
      <c r="R15" s="160"/>
      <c r="S15" s="161"/>
      <c r="V15" s="1" t="s">
        <v>43</v>
      </c>
    </row>
    <row r="16" spans="1:22" ht="18" customHeight="1" x14ac:dyDescent="0.15">
      <c r="B16" s="159"/>
      <c r="C16" s="160"/>
      <c r="D16" s="160"/>
      <c r="E16" s="160"/>
      <c r="F16" s="160"/>
      <c r="G16" s="160"/>
      <c r="H16" s="160"/>
      <c r="I16" s="160"/>
      <c r="J16" s="160"/>
      <c r="K16" s="160"/>
      <c r="L16" s="160"/>
      <c r="M16" s="160"/>
      <c r="N16" s="160"/>
      <c r="O16" s="160"/>
      <c r="P16" s="160"/>
      <c r="Q16" s="160"/>
      <c r="R16" s="160"/>
      <c r="S16" s="161"/>
      <c r="V16" s="1" t="s">
        <v>45</v>
      </c>
    </row>
    <row r="17" spans="1:19" ht="18" customHeight="1" x14ac:dyDescent="0.15">
      <c r="B17" s="159"/>
      <c r="C17" s="160"/>
      <c r="D17" s="160"/>
      <c r="E17" s="160"/>
      <c r="F17" s="160"/>
      <c r="G17" s="160"/>
      <c r="H17" s="160"/>
      <c r="I17" s="160"/>
      <c r="J17" s="160"/>
      <c r="K17" s="160"/>
      <c r="L17" s="160"/>
      <c r="M17" s="160"/>
      <c r="N17" s="160"/>
      <c r="O17" s="160"/>
      <c r="P17" s="160"/>
      <c r="Q17" s="160"/>
      <c r="R17" s="160"/>
      <c r="S17" s="161"/>
    </row>
    <row r="18" spans="1:19" ht="18" customHeight="1" x14ac:dyDescent="0.15">
      <c r="B18" s="162"/>
      <c r="C18" s="163"/>
      <c r="D18" s="163"/>
      <c r="E18" s="163"/>
      <c r="F18" s="163"/>
      <c r="G18" s="163"/>
      <c r="H18" s="163"/>
      <c r="I18" s="163"/>
      <c r="J18" s="163"/>
      <c r="K18" s="163"/>
      <c r="L18" s="163"/>
      <c r="M18" s="163"/>
      <c r="N18" s="163"/>
      <c r="O18" s="163"/>
      <c r="P18" s="163"/>
      <c r="Q18" s="163"/>
      <c r="R18" s="163"/>
      <c r="S18" s="164"/>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33</v>
      </c>
      <c r="C20" s="97">
        <v>6</v>
      </c>
      <c r="D20" s="99"/>
      <c r="E20" s="24" t="s">
        <v>24</v>
      </c>
      <c r="G20" s="5"/>
      <c r="H20" s="3"/>
      <c r="I20" s="3"/>
      <c r="J20" s="20" t="s">
        <v>42</v>
      </c>
      <c r="K20" s="149" t="s">
        <v>31</v>
      </c>
      <c r="L20" s="150"/>
      <c r="M20" s="150"/>
      <c r="N20" s="150"/>
      <c r="O20" s="150"/>
      <c r="P20" s="150"/>
      <c r="Q20" s="150"/>
      <c r="R20" s="150"/>
      <c r="S20" s="151"/>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03" t="s">
        <v>34</v>
      </c>
      <c r="B22" s="103"/>
      <c r="C22" s="103"/>
      <c r="D22" s="103"/>
      <c r="E22" s="103"/>
      <c r="F22" s="103"/>
      <c r="G22" s="103"/>
      <c r="H22" s="103"/>
      <c r="I22" s="103"/>
      <c r="J22" s="103"/>
      <c r="K22" s="103"/>
      <c r="L22" s="103"/>
      <c r="M22" s="103"/>
      <c r="N22" s="103"/>
      <c r="O22" s="103"/>
      <c r="P22" s="103"/>
      <c r="Q22" s="103"/>
      <c r="R22" s="103"/>
      <c r="S22" s="103"/>
    </row>
    <row r="23" spans="1:19" ht="18" customHeight="1" x14ac:dyDescent="0.15">
      <c r="A23" s="103"/>
      <c r="B23" s="103"/>
      <c r="C23" s="103"/>
      <c r="D23" s="103"/>
      <c r="E23" s="103"/>
      <c r="F23" s="103"/>
      <c r="G23" s="103"/>
      <c r="H23" s="103"/>
      <c r="I23" s="103"/>
      <c r="J23" s="103"/>
      <c r="K23" s="103"/>
      <c r="L23" s="103"/>
      <c r="M23" s="103"/>
      <c r="N23" s="103"/>
      <c r="O23" s="103"/>
      <c r="P23" s="103"/>
      <c r="Q23" s="103"/>
      <c r="R23" s="103"/>
      <c r="S23" s="103"/>
    </row>
    <row r="24" spans="1:19" ht="18" customHeight="1" x14ac:dyDescent="0.15">
      <c r="B24" s="97" t="s">
        <v>1</v>
      </c>
      <c r="C24" s="98"/>
      <c r="D24" s="98"/>
      <c r="E24" s="99"/>
      <c r="F24" s="26" t="s">
        <v>21</v>
      </c>
      <c r="G24" s="25" t="s">
        <v>23</v>
      </c>
      <c r="H24" s="7" t="s">
        <v>4</v>
      </c>
      <c r="I24" s="7" t="s">
        <v>7</v>
      </c>
      <c r="J24" s="97" t="s">
        <v>1</v>
      </c>
      <c r="K24" s="98"/>
      <c r="L24" s="98"/>
      <c r="M24" s="98"/>
      <c r="N24" s="98"/>
      <c r="O24" s="99"/>
      <c r="P24" s="26" t="s">
        <v>21</v>
      </c>
      <c r="Q24" s="25" t="s">
        <v>23</v>
      </c>
      <c r="R24" s="7" t="s">
        <v>4</v>
      </c>
      <c r="S24" s="7" t="s">
        <v>7</v>
      </c>
    </row>
    <row r="25" spans="1:19" ht="18" customHeight="1" x14ac:dyDescent="0.15">
      <c r="B25" s="91" t="s">
        <v>95</v>
      </c>
      <c r="C25" s="92"/>
      <c r="D25" s="92"/>
      <c r="E25" s="93"/>
      <c r="F25" s="8">
        <v>2</v>
      </c>
      <c r="G25" s="8" t="s">
        <v>49</v>
      </c>
      <c r="H25" s="8" t="s">
        <v>49</v>
      </c>
      <c r="I25" s="8" t="s">
        <v>49</v>
      </c>
      <c r="J25" s="91"/>
      <c r="K25" s="92"/>
      <c r="L25" s="92"/>
      <c r="M25" s="92"/>
      <c r="N25" s="92"/>
      <c r="O25" s="93"/>
      <c r="P25" s="8"/>
      <c r="Q25" s="8"/>
      <c r="R25" s="8"/>
      <c r="S25" s="8"/>
    </row>
    <row r="26" spans="1:19" ht="18" customHeight="1" x14ac:dyDescent="0.15">
      <c r="B26" s="94"/>
      <c r="C26" s="95"/>
      <c r="D26" s="95"/>
      <c r="E26" s="96"/>
      <c r="F26" s="9"/>
      <c r="G26" s="9"/>
      <c r="H26" s="9"/>
      <c r="I26" s="9"/>
      <c r="J26" s="94"/>
      <c r="K26" s="95"/>
      <c r="L26" s="95"/>
      <c r="M26" s="95"/>
      <c r="N26" s="95"/>
      <c r="O26" s="96"/>
      <c r="P26" s="9"/>
      <c r="Q26" s="9"/>
      <c r="R26" s="9"/>
      <c r="S26" s="9"/>
    </row>
    <row r="27" spans="1:19" ht="18" customHeight="1" x14ac:dyDescent="0.15">
      <c r="B27" s="94"/>
      <c r="C27" s="95"/>
      <c r="D27" s="95"/>
      <c r="E27" s="96"/>
      <c r="F27" s="9"/>
      <c r="G27" s="9"/>
      <c r="H27" s="9"/>
      <c r="I27" s="9"/>
      <c r="J27" s="94"/>
      <c r="K27" s="95"/>
      <c r="L27" s="95"/>
      <c r="M27" s="95"/>
      <c r="N27" s="95"/>
      <c r="O27" s="96"/>
      <c r="P27" s="9"/>
      <c r="Q27" s="9"/>
      <c r="R27" s="9"/>
      <c r="S27" s="9"/>
    </row>
    <row r="28" spans="1:19" ht="18" customHeight="1" x14ac:dyDescent="0.15">
      <c r="B28" s="94"/>
      <c r="C28" s="95"/>
      <c r="D28" s="95"/>
      <c r="E28" s="96"/>
      <c r="F28" s="9"/>
      <c r="G28" s="9"/>
      <c r="H28" s="9"/>
      <c r="I28" s="9"/>
      <c r="J28" s="94"/>
      <c r="K28" s="95"/>
      <c r="L28" s="95"/>
      <c r="M28" s="95"/>
      <c r="N28" s="95"/>
      <c r="O28" s="96"/>
      <c r="P28" s="9"/>
      <c r="Q28" s="9"/>
      <c r="R28" s="9"/>
      <c r="S28" s="9"/>
    </row>
    <row r="29" spans="1:19" ht="18" customHeight="1" x14ac:dyDescent="0.15">
      <c r="B29" s="94"/>
      <c r="C29" s="95"/>
      <c r="D29" s="95"/>
      <c r="E29" s="96"/>
      <c r="F29" s="9"/>
      <c r="G29" s="9"/>
      <c r="H29" s="9"/>
      <c r="I29" s="9"/>
      <c r="J29" s="94"/>
      <c r="K29" s="95"/>
      <c r="L29" s="95"/>
      <c r="M29" s="95"/>
      <c r="N29" s="95"/>
      <c r="O29" s="96"/>
      <c r="P29" s="9"/>
      <c r="Q29" s="9"/>
      <c r="R29" s="9"/>
      <c r="S29" s="9"/>
    </row>
    <row r="30" spans="1:19" ht="18" customHeight="1" x14ac:dyDescent="0.15">
      <c r="A30" s="3"/>
      <c r="B30" s="94"/>
      <c r="C30" s="95"/>
      <c r="D30" s="95"/>
      <c r="E30" s="96"/>
      <c r="F30" s="9"/>
      <c r="G30" s="9"/>
      <c r="H30" s="9"/>
      <c r="I30" s="9"/>
      <c r="J30" s="94"/>
      <c r="K30" s="95"/>
      <c r="L30" s="95"/>
      <c r="M30" s="95"/>
      <c r="N30" s="95"/>
      <c r="O30" s="96"/>
      <c r="P30" s="9"/>
      <c r="Q30" s="9"/>
      <c r="R30" s="9"/>
      <c r="S30" s="9"/>
    </row>
    <row r="31" spans="1:19" ht="18" customHeight="1" x14ac:dyDescent="0.15">
      <c r="A31" s="3"/>
      <c r="B31" s="100"/>
      <c r="C31" s="101"/>
      <c r="D31" s="101"/>
      <c r="E31" s="102"/>
      <c r="F31" s="10"/>
      <c r="G31" s="10"/>
      <c r="H31" s="11"/>
      <c r="I31" s="11"/>
      <c r="J31" s="100"/>
      <c r="K31" s="101"/>
      <c r="L31" s="101"/>
      <c r="M31" s="101"/>
      <c r="N31" s="101"/>
      <c r="O31" s="102"/>
      <c r="P31" s="10"/>
      <c r="Q31" s="10"/>
      <c r="R31" s="11"/>
      <c r="S31" s="11"/>
    </row>
    <row r="32" spans="1:19" ht="7.5" customHeight="1" x14ac:dyDescent="0.15">
      <c r="A32" s="3"/>
      <c r="B32" s="4"/>
      <c r="C32" s="4"/>
      <c r="D32" s="3"/>
      <c r="E32" s="3"/>
      <c r="F32" s="3"/>
      <c r="G32" s="3"/>
      <c r="H32" s="4"/>
      <c r="I32" s="4"/>
      <c r="J32" s="4"/>
      <c r="K32" s="4"/>
      <c r="L32" s="4"/>
      <c r="M32" s="4"/>
      <c r="N32" s="4"/>
      <c r="O32" s="4"/>
      <c r="P32" s="4"/>
      <c r="Q32" s="4"/>
      <c r="R32" s="4"/>
      <c r="S32" s="3"/>
    </row>
    <row r="33" spans="1:19" ht="18" customHeight="1" x14ac:dyDescent="0.15">
      <c r="A33" s="103" t="s">
        <v>35</v>
      </c>
      <c r="B33" s="103"/>
      <c r="C33" s="103"/>
      <c r="D33" s="103"/>
      <c r="E33" s="103"/>
      <c r="F33" s="103"/>
      <c r="G33" s="103"/>
      <c r="H33" s="103"/>
      <c r="I33" s="103"/>
      <c r="J33" s="103"/>
      <c r="K33" s="103"/>
      <c r="L33" s="103"/>
      <c r="M33" s="103"/>
      <c r="N33" s="103"/>
      <c r="O33" s="103"/>
      <c r="P33" s="103"/>
      <c r="Q33" s="103"/>
      <c r="R33" s="103"/>
      <c r="S33" s="103"/>
    </row>
    <row r="34" spans="1:19" ht="18" customHeight="1" x14ac:dyDescent="0.15">
      <c r="A34" s="103"/>
      <c r="B34" s="103"/>
      <c r="C34" s="103"/>
      <c r="D34" s="103"/>
      <c r="E34" s="103"/>
      <c r="F34" s="103"/>
      <c r="G34" s="103"/>
      <c r="H34" s="103"/>
      <c r="I34" s="103"/>
      <c r="J34" s="103"/>
      <c r="K34" s="103"/>
      <c r="L34" s="103"/>
      <c r="M34" s="103"/>
      <c r="N34" s="103"/>
      <c r="O34" s="103"/>
      <c r="P34" s="103"/>
      <c r="Q34" s="103"/>
      <c r="R34" s="103"/>
      <c r="S34" s="103"/>
    </row>
    <row r="35" spans="1:19" ht="18" customHeight="1" x14ac:dyDescent="0.15">
      <c r="B35" s="97" t="s">
        <v>1</v>
      </c>
      <c r="C35" s="98"/>
      <c r="D35" s="98"/>
      <c r="E35" s="99"/>
      <c r="F35" s="26" t="s">
        <v>21</v>
      </c>
      <c r="G35" s="25" t="s">
        <v>23</v>
      </c>
      <c r="H35" s="7" t="s">
        <v>12</v>
      </c>
      <c r="I35" s="7" t="s">
        <v>13</v>
      </c>
      <c r="J35" s="97" t="s">
        <v>1</v>
      </c>
      <c r="K35" s="98"/>
      <c r="L35" s="98"/>
      <c r="M35" s="98"/>
      <c r="N35" s="98"/>
      <c r="O35" s="99"/>
      <c r="P35" s="26" t="s">
        <v>21</v>
      </c>
      <c r="Q35" s="25" t="s">
        <v>23</v>
      </c>
      <c r="R35" s="7" t="s">
        <v>12</v>
      </c>
      <c r="S35" s="7" t="s">
        <v>13</v>
      </c>
    </row>
    <row r="36" spans="1:19" ht="18" customHeight="1" x14ac:dyDescent="0.15">
      <c r="B36" s="91" t="s">
        <v>95</v>
      </c>
      <c r="C36" s="92"/>
      <c r="D36" s="92"/>
      <c r="E36" s="93"/>
      <c r="F36" s="8">
        <v>2</v>
      </c>
      <c r="G36" s="8" t="s">
        <v>49</v>
      </c>
      <c r="H36" s="8" t="s">
        <v>49</v>
      </c>
      <c r="I36" s="8" t="s">
        <v>49</v>
      </c>
      <c r="J36" s="91"/>
      <c r="K36" s="92"/>
      <c r="L36" s="92"/>
      <c r="M36" s="92"/>
      <c r="N36" s="92"/>
      <c r="O36" s="93"/>
      <c r="P36" s="8"/>
      <c r="Q36" s="8"/>
      <c r="R36" s="8"/>
      <c r="S36" s="8"/>
    </row>
    <row r="37" spans="1:19" ht="18" customHeight="1" x14ac:dyDescent="0.15">
      <c r="B37" s="94"/>
      <c r="C37" s="95"/>
      <c r="D37" s="95"/>
      <c r="E37" s="96"/>
      <c r="F37" s="9"/>
      <c r="G37" s="9"/>
      <c r="H37" s="9"/>
      <c r="I37" s="9"/>
      <c r="J37" s="94"/>
      <c r="K37" s="95"/>
      <c r="L37" s="95"/>
      <c r="M37" s="95"/>
      <c r="N37" s="95"/>
      <c r="O37" s="96"/>
      <c r="P37" s="9"/>
      <c r="Q37" s="9"/>
      <c r="R37" s="9"/>
      <c r="S37" s="9"/>
    </row>
    <row r="38" spans="1:19" ht="18" customHeight="1" x14ac:dyDescent="0.15">
      <c r="B38" s="94"/>
      <c r="C38" s="95"/>
      <c r="D38" s="95"/>
      <c r="E38" s="96"/>
      <c r="F38" s="9"/>
      <c r="G38" s="9"/>
      <c r="H38" s="9"/>
      <c r="I38" s="9"/>
      <c r="J38" s="94"/>
      <c r="K38" s="95"/>
      <c r="L38" s="95"/>
      <c r="M38" s="95"/>
      <c r="N38" s="95"/>
      <c r="O38" s="96"/>
      <c r="P38" s="9"/>
      <c r="Q38" s="9"/>
      <c r="R38" s="9"/>
      <c r="S38" s="9"/>
    </row>
    <row r="39" spans="1:19" ht="18" customHeight="1" x14ac:dyDescent="0.15">
      <c r="B39" s="94"/>
      <c r="C39" s="95"/>
      <c r="D39" s="95"/>
      <c r="E39" s="96"/>
      <c r="F39" s="9"/>
      <c r="G39" s="9"/>
      <c r="H39" s="9"/>
      <c r="I39" s="9"/>
      <c r="J39" s="94"/>
      <c r="K39" s="95"/>
      <c r="L39" s="95"/>
      <c r="M39" s="95"/>
      <c r="N39" s="95"/>
      <c r="O39" s="96"/>
      <c r="P39" s="9"/>
      <c r="Q39" s="9"/>
      <c r="R39" s="9"/>
      <c r="S39" s="9"/>
    </row>
    <row r="40" spans="1:19" ht="18" customHeight="1" x14ac:dyDescent="0.15">
      <c r="B40" s="94"/>
      <c r="C40" s="95"/>
      <c r="D40" s="95"/>
      <c r="E40" s="96"/>
      <c r="F40" s="9"/>
      <c r="G40" s="9"/>
      <c r="H40" s="9"/>
      <c r="I40" s="9"/>
      <c r="J40" s="94"/>
      <c r="K40" s="95"/>
      <c r="L40" s="95"/>
      <c r="M40" s="95"/>
      <c r="N40" s="95"/>
      <c r="O40" s="96"/>
      <c r="P40" s="9"/>
      <c r="Q40" s="9"/>
      <c r="R40" s="9"/>
      <c r="S40" s="9"/>
    </row>
    <row r="41" spans="1:19" ht="18" customHeight="1" x14ac:dyDescent="0.15">
      <c r="B41" s="94"/>
      <c r="C41" s="95"/>
      <c r="D41" s="95"/>
      <c r="E41" s="96"/>
      <c r="F41" s="9"/>
      <c r="G41" s="9"/>
      <c r="H41" s="9"/>
      <c r="I41" s="9"/>
      <c r="J41" s="94"/>
      <c r="K41" s="95"/>
      <c r="L41" s="95"/>
      <c r="M41" s="95"/>
      <c r="N41" s="95"/>
      <c r="O41" s="96"/>
      <c r="P41" s="9"/>
      <c r="Q41" s="9"/>
      <c r="R41" s="9"/>
      <c r="S41" s="9"/>
    </row>
    <row r="42" spans="1:19" ht="18" customHeight="1" x14ac:dyDescent="0.15">
      <c r="B42" s="100"/>
      <c r="C42" s="101"/>
      <c r="D42" s="101"/>
      <c r="E42" s="102"/>
      <c r="F42" s="10"/>
      <c r="G42" s="10"/>
      <c r="H42" s="11"/>
      <c r="I42" s="11"/>
      <c r="J42" s="100"/>
      <c r="K42" s="101"/>
      <c r="L42" s="101"/>
      <c r="M42" s="101"/>
      <c r="N42" s="101"/>
      <c r="O42" s="102"/>
      <c r="P42" s="10"/>
      <c r="Q42" s="10"/>
      <c r="R42" s="11"/>
      <c r="S42" s="11"/>
    </row>
    <row r="43" spans="1:19" ht="7.5" customHeight="1" x14ac:dyDescent="0.15">
      <c r="A43" s="3"/>
      <c r="B43" s="4"/>
      <c r="C43" s="4"/>
      <c r="D43" s="3"/>
      <c r="E43" s="3"/>
      <c r="F43" s="3"/>
      <c r="G43" s="3"/>
      <c r="H43" s="4"/>
      <c r="I43" s="4"/>
      <c r="J43" s="4"/>
      <c r="K43" s="4"/>
      <c r="L43" s="4"/>
      <c r="M43" s="4"/>
      <c r="N43" s="4"/>
      <c r="O43" s="4"/>
      <c r="P43" s="4"/>
      <c r="Q43" s="4"/>
      <c r="R43" s="4"/>
      <c r="S43" s="3"/>
    </row>
    <row r="44" spans="1:19" ht="18" customHeight="1" x14ac:dyDescent="0.15">
      <c r="A44" s="103" t="s">
        <v>36</v>
      </c>
      <c r="B44" s="103"/>
      <c r="C44" s="103"/>
      <c r="D44" s="103"/>
      <c r="E44" s="103"/>
      <c r="F44" s="103"/>
      <c r="G44" s="103"/>
      <c r="H44" s="103"/>
      <c r="I44" s="103"/>
      <c r="J44" s="103"/>
      <c r="K44" s="103"/>
      <c r="L44" s="103"/>
      <c r="M44" s="103"/>
      <c r="N44" s="103"/>
      <c r="O44" s="103"/>
      <c r="P44" s="103"/>
      <c r="Q44" s="103"/>
      <c r="R44" s="103"/>
      <c r="S44" s="103"/>
    </row>
    <row r="45" spans="1:19" ht="18" customHeight="1" x14ac:dyDescent="0.15">
      <c r="A45" s="103"/>
      <c r="B45" s="103"/>
      <c r="C45" s="103"/>
      <c r="D45" s="103"/>
      <c r="E45" s="103"/>
      <c r="F45" s="103"/>
      <c r="G45" s="103"/>
      <c r="H45" s="103"/>
      <c r="I45" s="103"/>
      <c r="J45" s="103"/>
      <c r="K45" s="103"/>
      <c r="L45" s="103"/>
      <c r="M45" s="103"/>
      <c r="N45" s="103"/>
      <c r="O45" s="103"/>
      <c r="P45" s="103"/>
      <c r="Q45" s="103"/>
      <c r="R45" s="103"/>
      <c r="S45" s="103"/>
    </row>
    <row r="46" spans="1:19" ht="18" customHeight="1" x14ac:dyDescent="0.15">
      <c r="B46" s="97" t="s">
        <v>1</v>
      </c>
      <c r="C46" s="98"/>
      <c r="D46" s="98"/>
      <c r="E46" s="99"/>
      <c r="F46" s="26" t="s">
        <v>21</v>
      </c>
      <c r="G46" s="25" t="s">
        <v>23</v>
      </c>
      <c r="H46" s="7" t="s">
        <v>14</v>
      </c>
      <c r="I46" s="7" t="s">
        <v>15</v>
      </c>
      <c r="J46" s="97" t="s">
        <v>1</v>
      </c>
      <c r="K46" s="98"/>
      <c r="L46" s="98"/>
      <c r="M46" s="98"/>
      <c r="N46" s="98"/>
      <c r="O46" s="99"/>
      <c r="P46" s="26" t="s">
        <v>21</v>
      </c>
      <c r="Q46" s="25" t="s">
        <v>23</v>
      </c>
      <c r="R46" s="7" t="s">
        <v>14</v>
      </c>
      <c r="S46" s="7" t="s">
        <v>15</v>
      </c>
    </row>
    <row r="47" spans="1:19" ht="18" customHeight="1" x14ac:dyDescent="0.15">
      <c r="A47" s="3"/>
      <c r="B47" s="91" t="s">
        <v>95</v>
      </c>
      <c r="C47" s="92"/>
      <c r="D47" s="92"/>
      <c r="E47" s="93"/>
      <c r="F47" s="8">
        <v>2</v>
      </c>
      <c r="G47" s="8" t="s">
        <v>49</v>
      </c>
      <c r="H47" s="8" t="s">
        <v>49</v>
      </c>
      <c r="I47" s="8" t="s">
        <v>49</v>
      </c>
      <c r="J47" s="91"/>
      <c r="K47" s="92"/>
      <c r="L47" s="92"/>
      <c r="M47" s="92"/>
      <c r="N47" s="92"/>
      <c r="O47" s="93"/>
      <c r="P47" s="8"/>
      <c r="Q47" s="8"/>
      <c r="R47" s="8"/>
      <c r="S47" s="8"/>
    </row>
    <row r="48" spans="1:19" ht="18" customHeight="1" x14ac:dyDescent="0.15">
      <c r="A48" s="3"/>
      <c r="B48" s="94"/>
      <c r="C48" s="95"/>
      <c r="D48" s="95"/>
      <c r="E48" s="96"/>
      <c r="F48" s="9"/>
      <c r="G48" s="9"/>
      <c r="H48" s="9"/>
      <c r="I48" s="9"/>
      <c r="J48" s="94"/>
      <c r="K48" s="95"/>
      <c r="L48" s="95"/>
      <c r="M48" s="95"/>
      <c r="N48" s="95"/>
      <c r="O48" s="96"/>
      <c r="P48" s="9"/>
      <c r="Q48" s="9"/>
      <c r="R48" s="9"/>
      <c r="S48" s="9"/>
    </row>
    <row r="49" spans="1:19" ht="18" customHeight="1" x14ac:dyDescent="0.15">
      <c r="A49" s="3"/>
      <c r="B49" s="94"/>
      <c r="C49" s="95"/>
      <c r="D49" s="95"/>
      <c r="E49" s="96"/>
      <c r="F49" s="9"/>
      <c r="G49" s="9"/>
      <c r="H49" s="9"/>
      <c r="I49" s="9"/>
      <c r="J49" s="94"/>
      <c r="K49" s="95"/>
      <c r="L49" s="95"/>
      <c r="M49" s="95"/>
      <c r="N49" s="95"/>
      <c r="O49" s="96"/>
      <c r="P49" s="9"/>
      <c r="Q49" s="9"/>
      <c r="R49" s="9"/>
      <c r="S49" s="9"/>
    </row>
    <row r="50" spans="1:19" ht="18" customHeight="1" x14ac:dyDescent="0.15">
      <c r="A50" s="3"/>
      <c r="B50" s="94"/>
      <c r="C50" s="95"/>
      <c r="D50" s="95"/>
      <c r="E50" s="96"/>
      <c r="F50" s="9"/>
      <c r="G50" s="9"/>
      <c r="H50" s="9"/>
      <c r="I50" s="9"/>
      <c r="J50" s="94"/>
      <c r="K50" s="95"/>
      <c r="L50" s="95"/>
      <c r="M50" s="95"/>
      <c r="N50" s="95"/>
      <c r="O50" s="96"/>
      <c r="P50" s="9"/>
      <c r="Q50" s="9"/>
      <c r="R50" s="9"/>
      <c r="S50" s="9"/>
    </row>
    <row r="51" spans="1:19" ht="18" customHeight="1" x14ac:dyDescent="0.15">
      <c r="A51" s="3"/>
      <c r="B51" s="94"/>
      <c r="C51" s="95"/>
      <c r="D51" s="95"/>
      <c r="E51" s="96"/>
      <c r="F51" s="9"/>
      <c r="G51" s="9"/>
      <c r="H51" s="9"/>
      <c r="I51" s="9"/>
      <c r="J51" s="94"/>
      <c r="K51" s="95"/>
      <c r="L51" s="95"/>
      <c r="M51" s="95"/>
      <c r="N51" s="95"/>
      <c r="O51" s="96"/>
      <c r="P51" s="9"/>
      <c r="Q51" s="9"/>
      <c r="R51" s="9"/>
      <c r="S51" s="9"/>
    </row>
    <row r="52" spans="1:19" ht="18" customHeight="1" x14ac:dyDescent="0.15">
      <c r="A52" s="3"/>
      <c r="B52" s="94"/>
      <c r="C52" s="95"/>
      <c r="D52" s="95"/>
      <c r="E52" s="96"/>
      <c r="F52" s="9"/>
      <c r="G52" s="9"/>
      <c r="H52" s="9"/>
      <c r="I52" s="9"/>
      <c r="J52" s="94"/>
      <c r="K52" s="95"/>
      <c r="L52" s="95"/>
      <c r="M52" s="95"/>
      <c r="N52" s="95"/>
      <c r="O52" s="96"/>
      <c r="P52" s="9"/>
      <c r="Q52" s="9"/>
      <c r="R52" s="9"/>
      <c r="S52" s="9"/>
    </row>
    <row r="53" spans="1:19" ht="18" customHeight="1" x14ac:dyDescent="0.15">
      <c r="A53" s="3"/>
      <c r="B53" s="100"/>
      <c r="C53" s="101"/>
      <c r="D53" s="101"/>
      <c r="E53" s="102"/>
      <c r="F53" s="10"/>
      <c r="G53" s="10"/>
      <c r="H53" s="11"/>
      <c r="I53" s="11"/>
      <c r="J53" s="100"/>
      <c r="K53" s="101"/>
      <c r="L53" s="101"/>
      <c r="M53" s="101"/>
      <c r="N53" s="101"/>
      <c r="O53" s="102"/>
      <c r="P53" s="10"/>
      <c r="Q53" s="10"/>
      <c r="R53" s="11"/>
      <c r="S53" s="11"/>
    </row>
    <row r="54" spans="1:19" ht="7.5" customHeight="1" x14ac:dyDescent="0.15">
      <c r="B54" s="6"/>
      <c r="C54" s="6"/>
      <c r="D54" s="6"/>
      <c r="E54" s="6"/>
      <c r="F54" s="6"/>
      <c r="G54" s="6"/>
      <c r="H54" s="6"/>
      <c r="I54" s="6"/>
      <c r="J54" s="6"/>
      <c r="K54" s="6"/>
      <c r="L54" s="6"/>
      <c r="M54" s="6"/>
      <c r="N54" s="6"/>
      <c r="O54" s="6"/>
      <c r="P54" s="6"/>
      <c r="Q54" s="6"/>
      <c r="R54" s="6"/>
    </row>
    <row r="55" spans="1:19" ht="18" customHeight="1" x14ac:dyDescent="0.15">
      <c r="A55" s="103" t="s">
        <v>37</v>
      </c>
      <c r="B55" s="103"/>
      <c r="C55" s="103"/>
      <c r="D55" s="103"/>
      <c r="E55" s="103"/>
      <c r="F55" s="103"/>
      <c r="G55" s="103"/>
      <c r="H55" s="103"/>
      <c r="I55" s="103"/>
      <c r="J55" s="103"/>
      <c r="K55" s="103"/>
      <c r="L55" s="103"/>
      <c r="M55" s="103"/>
      <c r="N55" s="103"/>
      <c r="O55" s="103"/>
      <c r="P55" s="103"/>
      <c r="Q55" s="103"/>
      <c r="R55" s="103"/>
      <c r="S55" s="103"/>
    </row>
    <row r="56" spans="1:19" ht="18" customHeight="1" x14ac:dyDescent="0.15">
      <c r="A56" s="103"/>
      <c r="B56" s="103"/>
      <c r="C56" s="103"/>
      <c r="D56" s="103"/>
      <c r="E56" s="103"/>
      <c r="F56" s="103"/>
      <c r="G56" s="103"/>
      <c r="H56" s="103"/>
      <c r="I56" s="103"/>
      <c r="J56" s="103"/>
      <c r="K56" s="103"/>
      <c r="L56" s="103"/>
      <c r="M56" s="103"/>
      <c r="N56" s="103"/>
      <c r="O56" s="103"/>
      <c r="P56" s="103"/>
      <c r="Q56" s="103"/>
      <c r="R56" s="103"/>
      <c r="S56" s="103"/>
    </row>
    <row r="57" spans="1:19" ht="18" customHeight="1" x14ac:dyDescent="0.15">
      <c r="B57" s="97" t="s">
        <v>1</v>
      </c>
      <c r="C57" s="98"/>
      <c r="D57" s="98"/>
      <c r="E57" s="99"/>
      <c r="F57" s="26" t="s">
        <v>21</v>
      </c>
      <c r="G57" s="25" t="s">
        <v>23</v>
      </c>
      <c r="H57" s="7" t="s">
        <v>6</v>
      </c>
      <c r="I57" s="7" t="s">
        <v>8</v>
      </c>
      <c r="J57" s="97" t="s">
        <v>1</v>
      </c>
      <c r="K57" s="98"/>
      <c r="L57" s="98"/>
      <c r="M57" s="98"/>
      <c r="N57" s="98"/>
      <c r="O57" s="99"/>
      <c r="P57" s="26" t="s">
        <v>21</v>
      </c>
      <c r="Q57" s="25" t="s">
        <v>23</v>
      </c>
      <c r="R57" s="7" t="s">
        <v>6</v>
      </c>
      <c r="S57" s="7" t="s">
        <v>8</v>
      </c>
    </row>
    <row r="58" spans="1:19" ht="18" customHeight="1" x14ac:dyDescent="0.15">
      <c r="A58" s="3"/>
      <c r="B58" s="91" t="s">
        <v>95</v>
      </c>
      <c r="C58" s="92"/>
      <c r="D58" s="92"/>
      <c r="E58" s="93"/>
      <c r="F58" s="8">
        <v>2</v>
      </c>
      <c r="G58" s="8" t="s">
        <v>49</v>
      </c>
      <c r="H58" s="8" t="s">
        <v>49</v>
      </c>
      <c r="I58" s="8" t="s">
        <v>49</v>
      </c>
      <c r="J58" s="91"/>
      <c r="K58" s="92"/>
      <c r="L58" s="92"/>
      <c r="M58" s="92"/>
      <c r="N58" s="92"/>
      <c r="O58" s="93"/>
      <c r="P58" s="8"/>
      <c r="Q58" s="8"/>
      <c r="R58" s="8"/>
      <c r="S58" s="8"/>
    </row>
    <row r="59" spans="1:19" ht="18" customHeight="1" x14ac:dyDescent="0.15">
      <c r="A59" s="3"/>
      <c r="B59" s="94"/>
      <c r="C59" s="95"/>
      <c r="D59" s="95"/>
      <c r="E59" s="96"/>
      <c r="F59" s="9"/>
      <c r="G59" s="9"/>
      <c r="H59" s="9"/>
      <c r="I59" s="9"/>
      <c r="J59" s="94"/>
      <c r="K59" s="95"/>
      <c r="L59" s="95"/>
      <c r="M59" s="95"/>
      <c r="N59" s="95"/>
      <c r="O59" s="96"/>
      <c r="P59" s="9"/>
      <c r="Q59" s="9"/>
      <c r="R59" s="9"/>
      <c r="S59" s="9"/>
    </row>
    <row r="60" spans="1:19" ht="18" customHeight="1" x14ac:dyDescent="0.15">
      <c r="A60" s="3"/>
      <c r="B60" s="94"/>
      <c r="C60" s="95"/>
      <c r="D60" s="95"/>
      <c r="E60" s="96"/>
      <c r="F60" s="9"/>
      <c r="G60" s="9"/>
      <c r="H60" s="9"/>
      <c r="I60" s="9"/>
      <c r="J60" s="94"/>
      <c r="K60" s="95"/>
      <c r="L60" s="95"/>
      <c r="M60" s="95"/>
      <c r="N60" s="95"/>
      <c r="O60" s="96"/>
      <c r="P60" s="9"/>
      <c r="Q60" s="9"/>
      <c r="R60" s="9"/>
      <c r="S60" s="9"/>
    </row>
    <row r="61" spans="1:19" ht="18" customHeight="1" x14ac:dyDescent="0.15">
      <c r="A61" s="3"/>
      <c r="B61" s="94"/>
      <c r="C61" s="95"/>
      <c r="D61" s="95"/>
      <c r="E61" s="96"/>
      <c r="F61" s="9"/>
      <c r="G61" s="9"/>
      <c r="H61" s="9"/>
      <c r="I61" s="9"/>
      <c r="J61" s="94"/>
      <c r="K61" s="95"/>
      <c r="L61" s="95"/>
      <c r="M61" s="95"/>
      <c r="N61" s="95"/>
      <c r="O61" s="96"/>
      <c r="P61" s="9"/>
      <c r="Q61" s="9"/>
      <c r="R61" s="9"/>
      <c r="S61" s="9"/>
    </row>
    <row r="62" spans="1:19" ht="18" customHeight="1" x14ac:dyDescent="0.15">
      <c r="A62" s="3"/>
      <c r="B62" s="94"/>
      <c r="C62" s="95"/>
      <c r="D62" s="95"/>
      <c r="E62" s="96"/>
      <c r="F62" s="9"/>
      <c r="G62" s="9"/>
      <c r="H62" s="9"/>
      <c r="I62" s="9"/>
      <c r="J62" s="94"/>
      <c r="K62" s="95"/>
      <c r="L62" s="95"/>
      <c r="M62" s="95"/>
      <c r="N62" s="95"/>
      <c r="O62" s="96"/>
      <c r="P62" s="9"/>
      <c r="Q62" s="9"/>
      <c r="R62" s="9"/>
      <c r="S62" s="9"/>
    </row>
    <row r="63" spans="1:19" ht="18" customHeight="1" x14ac:dyDescent="0.15">
      <c r="A63" s="3"/>
      <c r="B63" s="94"/>
      <c r="C63" s="95"/>
      <c r="D63" s="95"/>
      <c r="E63" s="96"/>
      <c r="F63" s="9"/>
      <c r="G63" s="9"/>
      <c r="H63" s="9"/>
      <c r="I63" s="9"/>
      <c r="J63" s="94"/>
      <c r="K63" s="95"/>
      <c r="L63" s="95"/>
      <c r="M63" s="95"/>
      <c r="N63" s="95"/>
      <c r="O63" s="96"/>
      <c r="P63" s="9"/>
      <c r="Q63" s="9"/>
      <c r="R63" s="9"/>
      <c r="S63" s="9"/>
    </row>
    <row r="64" spans="1:19" ht="18" customHeight="1" x14ac:dyDescent="0.15">
      <c r="A64" s="3"/>
      <c r="B64" s="100"/>
      <c r="C64" s="101"/>
      <c r="D64" s="101"/>
      <c r="E64" s="102"/>
      <c r="F64" s="10"/>
      <c r="G64" s="10"/>
      <c r="H64" s="11"/>
      <c r="I64" s="11"/>
      <c r="J64" s="100"/>
      <c r="K64" s="101"/>
      <c r="L64" s="101"/>
      <c r="M64" s="101"/>
      <c r="N64" s="101"/>
      <c r="O64" s="102"/>
      <c r="P64" s="10"/>
      <c r="Q64" s="10"/>
      <c r="R64" s="11"/>
      <c r="S64" s="11"/>
    </row>
    <row r="65" spans="1:19" ht="7.5" customHeight="1" x14ac:dyDescent="0.15">
      <c r="B65" s="6"/>
      <c r="C65" s="6"/>
      <c r="D65" s="6"/>
      <c r="E65" s="6"/>
      <c r="F65" s="6"/>
      <c r="G65" s="6"/>
      <c r="H65" s="6"/>
      <c r="I65" s="6"/>
      <c r="J65" s="6"/>
      <c r="K65" s="6"/>
      <c r="L65" s="6"/>
      <c r="M65" s="6"/>
      <c r="N65" s="6"/>
      <c r="O65" s="6"/>
      <c r="P65" s="6"/>
      <c r="Q65" s="6"/>
      <c r="R65" s="6"/>
    </row>
    <row r="66" spans="1:19" ht="18" customHeight="1" x14ac:dyDescent="0.15">
      <c r="A66" s="103" t="s">
        <v>38</v>
      </c>
      <c r="B66" s="103"/>
      <c r="C66" s="103"/>
      <c r="D66" s="103"/>
      <c r="E66" s="103"/>
      <c r="F66" s="103"/>
      <c r="G66" s="103"/>
      <c r="H66" s="103"/>
      <c r="I66" s="103"/>
      <c r="J66" s="103"/>
      <c r="K66" s="103"/>
      <c r="L66" s="103"/>
      <c r="M66" s="103"/>
      <c r="N66" s="103"/>
      <c r="O66" s="103"/>
      <c r="P66" s="103"/>
      <c r="Q66" s="103"/>
      <c r="R66" s="103"/>
      <c r="S66" s="103"/>
    </row>
    <row r="67" spans="1:19" ht="18" customHeight="1" x14ac:dyDescent="0.15">
      <c r="A67" s="103"/>
      <c r="B67" s="103"/>
      <c r="C67" s="103"/>
      <c r="D67" s="103"/>
      <c r="E67" s="103"/>
      <c r="F67" s="103"/>
      <c r="G67" s="103"/>
      <c r="H67" s="103"/>
      <c r="I67" s="103"/>
      <c r="J67" s="103"/>
      <c r="K67" s="103"/>
      <c r="L67" s="103"/>
      <c r="M67" s="103"/>
      <c r="N67" s="103"/>
      <c r="O67" s="103"/>
      <c r="P67" s="103"/>
      <c r="Q67" s="103"/>
      <c r="R67" s="103"/>
      <c r="S67" s="103"/>
    </row>
    <row r="68" spans="1:19" ht="18" customHeight="1" x14ac:dyDescent="0.15">
      <c r="B68" s="97" t="s">
        <v>1</v>
      </c>
      <c r="C68" s="98"/>
      <c r="D68" s="98"/>
      <c r="E68" s="26" t="s">
        <v>21</v>
      </c>
      <c r="F68" s="25" t="s">
        <v>23</v>
      </c>
      <c r="G68" s="7" t="s">
        <v>25</v>
      </c>
      <c r="H68" s="7" t="s">
        <v>16</v>
      </c>
      <c r="I68" s="7" t="s">
        <v>17</v>
      </c>
      <c r="J68" s="97" t="s">
        <v>1</v>
      </c>
      <c r="K68" s="98"/>
      <c r="L68" s="98"/>
      <c r="M68" s="98"/>
      <c r="N68" s="99"/>
      <c r="O68" s="26" t="s">
        <v>21</v>
      </c>
      <c r="P68" s="25" t="s">
        <v>23</v>
      </c>
      <c r="Q68" s="7" t="s">
        <v>25</v>
      </c>
      <c r="R68" s="7" t="s">
        <v>16</v>
      </c>
      <c r="S68" s="7" t="s">
        <v>17</v>
      </c>
    </row>
    <row r="69" spans="1:19" ht="18" customHeight="1" x14ac:dyDescent="0.15">
      <c r="A69" s="3"/>
      <c r="B69" s="91" t="s">
        <v>96</v>
      </c>
      <c r="C69" s="92"/>
      <c r="D69" s="93"/>
      <c r="E69" s="8">
        <v>2</v>
      </c>
      <c r="F69" s="8" t="s">
        <v>49</v>
      </c>
      <c r="G69" s="8" t="s">
        <v>49</v>
      </c>
      <c r="H69" s="8" t="s">
        <v>49</v>
      </c>
      <c r="I69" s="8" t="s">
        <v>49</v>
      </c>
      <c r="J69" s="91"/>
      <c r="K69" s="92"/>
      <c r="L69" s="92"/>
      <c r="M69" s="92"/>
      <c r="N69" s="93"/>
      <c r="O69" s="8"/>
      <c r="P69" s="8"/>
      <c r="Q69" s="8"/>
      <c r="R69" s="8"/>
      <c r="S69" s="8"/>
    </row>
    <row r="70" spans="1:19" ht="18" customHeight="1" x14ac:dyDescent="0.15">
      <c r="A70" s="3"/>
      <c r="B70" s="94" t="s">
        <v>97</v>
      </c>
      <c r="C70" s="95"/>
      <c r="D70" s="95"/>
      <c r="E70" s="9">
        <v>2</v>
      </c>
      <c r="F70" s="9" t="s">
        <v>49</v>
      </c>
      <c r="G70" s="9" t="s">
        <v>49</v>
      </c>
      <c r="H70" s="9" t="s">
        <v>49</v>
      </c>
      <c r="I70" s="9" t="s">
        <v>49</v>
      </c>
      <c r="J70" s="94"/>
      <c r="K70" s="95"/>
      <c r="L70" s="95"/>
      <c r="M70" s="95"/>
      <c r="N70" s="96"/>
      <c r="O70" s="9"/>
      <c r="P70" s="9"/>
      <c r="Q70" s="9"/>
      <c r="R70" s="9"/>
      <c r="S70" s="9"/>
    </row>
    <row r="71" spans="1:19" ht="18" customHeight="1" x14ac:dyDescent="0.15">
      <c r="A71" s="3"/>
      <c r="B71" s="94"/>
      <c r="C71" s="95"/>
      <c r="D71" s="95"/>
      <c r="E71" s="9"/>
      <c r="F71" s="9"/>
      <c r="G71" s="9"/>
      <c r="H71" s="9"/>
      <c r="I71" s="9"/>
      <c r="J71" s="94"/>
      <c r="K71" s="95"/>
      <c r="L71" s="95"/>
      <c r="M71" s="95"/>
      <c r="N71" s="96"/>
      <c r="O71" s="9"/>
      <c r="P71" s="9"/>
      <c r="Q71" s="9"/>
      <c r="R71" s="9"/>
      <c r="S71" s="9"/>
    </row>
    <row r="72" spans="1:19" ht="18" customHeight="1" x14ac:dyDescent="0.15">
      <c r="A72" s="3"/>
      <c r="B72" s="94"/>
      <c r="C72" s="95"/>
      <c r="D72" s="95"/>
      <c r="E72" s="9"/>
      <c r="F72" s="9"/>
      <c r="G72" s="9"/>
      <c r="H72" s="9"/>
      <c r="I72" s="9"/>
      <c r="J72" s="94"/>
      <c r="K72" s="95"/>
      <c r="L72" s="95"/>
      <c r="M72" s="95"/>
      <c r="N72" s="96"/>
      <c r="O72" s="9"/>
      <c r="P72" s="9"/>
      <c r="Q72" s="9"/>
      <c r="R72" s="9"/>
      <c r="S72" s="9"/>
    </row>
    <row r="73" spans="1:19" ht="18" customHeight="1" x14ac:dyDescent="0.15">
      <c r="A73" s="3"/>
      <c r="B73" s="94"/>
      <c r="C73" s="95"/>
      <c r="D73" s="95"/>
      <c r="E73" s="9"/>
      <c r="F73" s="9"/>
      <c r="G73" s="9"/>
      <c r="H73" s="9"/>
      <c r="I73" s="9"/>
      <c r="J73" s="94"/>
      <c r="K73" s="95"/>
      <c r="L73" s="95"/>
      <c r="M73" s="95"/>
      <c r="N73" s="96"/>
      <c r="O73" s="9"/>
      <c r="P73" s="9"/>
      <c r="Q73" s="9"/>
      <c r="R73" s="9"/>
      <c r="S73" s="9"/>
    </row>
    <row r="74" spans="1:19" ht="18" customHeight="1" x14ac:dyDescent="0.15">
      <c r="A74" s="3"/>
      <c r="B74" s="94"/>
      <c r="C74" s="95"/>
      <c r="D74" s="95"/>
      <c r="E74" s="9"/>
      <c r="F74" s="9"/>
      <c r="G74" s="9"/>
      <c r="H74" s="9"/>
      <c r="I74" s="9"/>
      <c r="J74" s="94"/>
      <c r="K74" s="95"/>
      <c r="L74" s="95"/>
      <c r="M74" s="95"/>
      <c r="N74" s="96"/>
      <c r="O74" s="9"/>
      <c r="P74" s="9"/>
      <c r="Q74" s="9"/>
      <c r="R74" s="9"/>
      <c r="S74" s="9"/>
    </row>
    <row r="75" spans="1:19" ht="18" customHeight="1" x14ac:dyDescent="0.15">
      <c r="A75" s="3"/>
      <c r="B75" s="100"/>
      <c r="C75" s="101"/>
      <c r="D75" s="101"/>
      <c r="E75" s="10"/>
      <c r="F75" s="10"/>
      <c r="G75" s="11"/>
      <c r="H75" s="11"/>
      <c r="I75" s="11"/>
      <c r="J75" s="100"/>
      <c r="K75" s="101"/>
      <c r="L75" s="101"/>
      <c r="M75" s="101"/>
      <c r="N75" s="102"/>
      <c r="O75" s="10"/>
      <c r="P75" s="10"/>
      <c r="Q75" s="11"/>
      <c r="R75" s="11"/>
      <c r="S75" s="11"/>
    </row>
    <row r="76" spans="1:19" ht="7.5" customHeight="1" x14ac:dyDescent="0.15">
      <c r="B76" s="6"/>
      <c r="C76" s="6"/>
      <c r="D76" s="6"/>
      <c r="E76" s="6"/>
      <c r="F76" s="6"/>
      <c r="G76" s="6"/>
      <c r="H76" s="6"/>
      <c r="I76" s="6"/>
      <c r="J76" s="6"/>
      <c r="K76" s="6"/>
      <c r="L76" s="6"/>
      <c r="M76" s="6"/>
      <c r="N76" s="6"/>
      <c r="O76" s="6"/>
      <c r="P76" s="6"/>
      <c r="Q76" s="6"/>
      <c r="R76" s="6"/>
    </row>
    <row r="77" spans="1:19" ht="18" customHeight="1" x14ac:dyDescent="0.15">
      <c r="A77" s="1" t="s">
        <v>39</v>
      </c>
      <c r="H77" s="3"/>
      <c r="I77" s="3"/>
      <c r="J77" s="3"/>
      <c r="K77" s="3"/>
      <c r="L77" s="3"/>
      <c r="M77" s="3"/>
      <c r="N77" s="3"/>
      <c r="O77" s="3"/>
      <c r="P77" s="3"/>
      <c r="Q77" s="3"/>
      <c r="R77" s="3"/>
      <c r="S77" s="3"/>
    </row>
    <row r="78" spans="1:19" ht="18" customHeight="1" x14ac:dyDescent="0.15">
      <c r="B78" s="97" t="s">
        <v>1</v>
      </c>
      <c r="C78" s="98"/>
      <c r="D78" s="98"/>
      <c r="E78" s="99"/>
      <c r="F78" s="97" t="s">
        <v>22</v>
      </c>
      <c r="G78" s="98"/>
      <c r="H78" s="98"/>
      <c r="I78" s="99"/>
      <c r="J78" s="124" t="s">
        <v>1</v>
      </c>
      <c r="K78" s="125"/>
      <c r="L78" s="125"/>
      <c r="M78" s="125"/>
      <c r="N78" s="125"/>
      <c r="O78" s="126"/>
      <c r="P78" s="97" t="s">
        <v>22</v>
      </c>
      <c r="Q78" s="98"/>
      <c r="R78" s="98"/>
      <c r="S78" s="99"/>
    </row>
    <row r="79" spans="1:19" ht="18" customHeight="1" x14ac:dyDescent="0.15">
      <c r="A79" s="3"/>
      <c r="B79" s="91"/>
      <c r="C79" s="92"/>
      <c r="D79" s="92"/>
      <c r="E79" s="93"/>
      <c r="F79" s="118"/>
      <c r="G79" s="119"/>
      <c r="H79" s="119"/>
      <c r="I79" s="120"/>
      <c r="J79" s="91"/>
      <c r="K79" s="92"/>
      <c r="L79" s="92"/>
      <c r="M79" s="92"/>
      <c r="N79" s="92"/>
      <c r="O79" s="93"/>
      <c r="P79" s="118"/>
      <c r="Q79" s="119"/>
      <c r="R79" s="119"/>
      <c r="S79" s="120"/>
    </row>
    <row r="80" spans="1:19" ht="18" customHeight="1" x14ac:dyDescent="0.15">
      <c r="A80" s="3"/>
      <c r="B80" s="94"/>
      <c r="C80" s="95"/>
      <c r="D80" s="95"/>
      <c r="E80" s="96"/>
      <c r="F80" s="121"/>
      <c r="G80" s="122"/>
      <c r="H80" s="122"/>
      <c r="I80" s="123"/>
      <c r="J80" s="94"/>
      <c r="K80" s="95"/>
      <c r="L80" s="95"/>
      <c r="M80" s="95"/>
      <c r="N80" s="95"/>
      <c r="O80" s="96"/>
      <c r="P80" s="121"/>
      <c r="Q80" s="122"/>
      <c r="R80" s="122"/>
      <c r="S80" s="123"/>
    </row>
    <row r="81" spans="1:19" ht="18" customHeight="1" x14ac:dyDescent="0.15">
      <c r="A81" s="3"/>
      <c r="B81" s="94"/>
      <c r="C81" s="95"/>
      <c r="D81" s="95"/>
      <c r="E81" s="96"/>
      <c r="F81" s="121"/>
      <c r="G81" s="122"/>
      <c r="H81" s="122"/>
      <c r="I81" s="123"/>
      <c r="J81" s="94"/>
      <c r="K81" s="95"/>
      <c r="L81" s="95"/>
      <c r="M81" s="95"/>
      <c r="N81" s="95"/>
      <c r="O81" s="96"/>
      <c r="P81" s="121"/>
      <c r="Q81" s="122"/>
      <c r="R81" s="122"/>
      <c r="S81" s="123"/>
    </row>
    <row r="82" spans="1:19" ht="18" customHeight="1" x14ac:dyDescent="0.15">
      <c r="A82" s="3"/>
      <c r="B82" s="94"/>
      <c r="C82" s="95"/>
      <c r="D82" s="95"/>
      <c r="E82" s="96"/>
      <c r="F82" s="121"/>
      <c r="G82" s="122"/>
      <c r="H82" s="122"/>
      <c r="I82" s="123"/>
      <c r="J82" s="94"/>
      <c r="K82" s="95"/>
      <c r="L82" s="95"/>
      <c r="M82" s="95"/>
      <c r="N82" s="95"/>
      <c r="O82" s="96"/>
      <c r="P82" s="121"/>
      <c r="Q82" s="122"/>
      <c r="R82" s="122"/>
      <c r="S82" s="123"/>
    </row>
    <row r="83" spans="1:19" ht="18" customHeight="1" x14ac:dyDescent="0.15">
      <c r="A83" s="3"/>
      <c r="B83" s="94"/>
      <c r="C83" s="95"/>
      <c r="D83" s="95"/>
      <c r="E83" s="96"/>
      <c r="F83" s="121"/>
      <c r="G83" s="122"/>
      <c r="H83" s="122"/>
      <c r="I83" s="123"/>
      <c r="J83" s="94"/>
      <c r="K83" s="95"/>
      <c r="L83" s="95"/>
      <c r="M83" s="95"/>
      <c r="N83" s="95"/>
      <c r="O83" s="96"/>
      <c r="P83" s="121"/>
      <c r="Q83" s="122"/>
      <c r="R83" s="122"/>
      <c r="S83" s="123"/>
    </row>
    <row r="84" spans="1:19" ht="18" customHeight="1" x14ac:dyDescent="0.15">
      <c r="A84" s="3"/>
      <c r="B84" s="94"/>
      <c r="C84" s="95"/>
      <c r="D84" s="95"/>
      <c r="E84" s="96"/>
      <c r="F84" s="121"/>
      <c r="G84" s="122"/>
      <c r="H84" s="122"/>
      <c r="I84" s="123"/>
      <c r="J84" s="94"/>
      <c r="K84" s="95"/>
      <c r="L84" s="95"/>
      <c r="M84" s="95"/>
      <c r="N84" s="95"/>
      <c r="O84" s="96"/>
      <c r="P84" s="121"/>
      <c r="Q84" s="122"/>
      <c r="R84" s="122"/>
      <c r="S84" s="123"/>
    </row>
    <row r="85" spans="1:19" ht="18" customHeight="1" x14ac:dyDescent="0.15">
      <c r="A85" s="3"/>
      <c r="B85" s="100"/>
      <c r="C85" s="101"/>
      <c r="D85" s="101"/>
      <c r="E85" s="102"/>
      <c r="F85" s="130"/>
      <c r="G85" s="131"/>
      <c r="H85" s="131"/>
      <c r="I85" s="132"/>
      <c r="J85" s="100"/>
      <c r="K85" s="101"/>
      <c r="L85" s="101"/>
      <c r="M85" s="101"/>
      <c r="N85" s="101"/>
      <c r="O85" s="102"/>
      <c r="P85" s="130"/>
      <c r="Q85" s="131"/>
      <c r="R85" s="131"/>
      <c r="S85" s="132"/>
    </row>
    <row r="86" spans="1:19" ht="18" customHeight="1" x14ac:dyDescent="0.15">
      <c r="A86" s="3"/>
      <c r="B86" s="4"/>
      <c r="C86" s="4"/>
      <c r="D86" s="4"/>
      <c r="E86" s="4"/>
      <c r="F86" s="12"/>
      <c r="G86" s="12"/>
      <c r="H86" s="12"/>
      <c r="I86" s="12"/>
      <c r="J86" s="4"/>
      <c r="K86" s="4"/>
      <c r="L86" s="4"/>
      <c r="M86" s="4"/>
      <c r="N86" s="4"/>
      <c r="O86" s="4"/>
      <c r="P86" s="12"/>
      <c r="Q86" s="12"/>
      <c r="R86" s="12"/>
      <c r="S86" s="12"/>
    </row>
    <row r="87" spans="1:19" ht="18.75" customHeight="1" x14ac:dyDescent="0.15">
      <c r="A87" s="1" t="s">
        <v>40</v>
      </c>
    </row>
    <row r="88" spans="1:19" ht="18.75" customHeight="1" x14ac:dyDescent="0.15">
      <c r="B88" s="116" t="s">
        <v>2</v>
      </c>
      <c r="C88" s="117"/>
      <c r="D88" s="98" t="s">
        <v>3</v>
      </c>
      <c r="E88" s="98"/>
      <c r="F88" s="98"/>
      <c r="G88" s="98"/>
      <c r="H88" s="98"/>
      <c r="I88" s="98"/>
      <c r="J88" s="98"/>
      <c r="K88" s="98"/>
      <c r="L88" s="98"/>
      <c r="M88" s="98"/>
      <c r="N88" s="98"/>
      <c r="O88" s="98"/>
      <c r="P88" s="98"/>
      <c r="Q88" s="98"/>
      <c r="R88" s="98"/>
      <c r="S88" s="99"/>
    </row>
    <row r="89" spans="1:19" ht="97.5" customHeight="1" x14ac:dyDescent="0.15">
      <c r="B89" s="104" t="s">
        <v>9</v>
      </c>
      <c r="C89" s="13" t="s">
        <v>4</v>
      </c>
      <c r="D89" s="113" t="s">
        <v>98</v>
      </c>
      <c r="E89" s="114"/>
      <c r="F89" s="114"/>
      <c r="G89" s="114"/>
      <c r="H89" s="114"/>
      <c r="I89" s="114"/>
      <c r="J89" s="114"/>
      <c r="K89" s="114"/>
      <c r="L89" s="114"/>
      <c r="M89" s="114"/>
      <c r="N89" s="114"/>
      <c r="O89" s="114"/>
      <c r="P89" s="114"/>
      <c r="Q89" s="114"/>
      <c r="R89" s="114"/>
      <c r="S89" s="115"/>
    </row>
    <row r="90" spans="1:19" ht="97.5" customHeight="1" x14ac:dyDescent="0.15">
      <c r="B90" s="105"/>
      <c r="C90" s="14" t="s">
        <v>18</v>
      </c>
      <c r="D90" s="133" t="s">
        <v>99</v>
      </c>
      <c r="E90" s="134"/>
      <c r="F90" s="134"/>
      <c r="G90" s="134"/>
      <c r="H90" s="134"/>
      <c r="I90" s="134"/>
      <c r="J90" s="134"/>
      <c r="K90" s="134"/>
      <c r="L90" s="134"/>
      <c r="M90" s="134"/>
      <c r="N90" s="134"/>
      <c r="O90" s="134"/>
      <c r="P90" s="134"/>
      <c r="Q90" s="134"/>
      <c r="R90" s="134"/>
      <c r="S90" s="135"/>
    </row>
    <row r="91" spans="1:19" ht="97.5" customHeight="1" x14ac:dyDescent="0.15">
      <c r="B91" s="104" t="s">
        <v>10</v>
      </c>
      <c r="C91" s="15" t="s">
        <v>12</v>
      </c>
      <c r="D91" s="136" t="s">
        <v>100</v>
      </c>
      <c r="E91" s="137"/>
      <c r="F91" s="137"/>
      <c r="G91" s="137"/>
      <c r="H91" s="137"/>
      <c r="I91" s="137"/>
      <c r="J91" s="137"/>
      <c r="K91" s="137"/>
      <c r="L91" s="137"/>
      <c r="M91" s="137"/>
      <c r="N91" s="137"/>
      <c r="O91" s="137"/>
      <c r="P91" s="137"/>
      <c r="Q91" s="137"/>
      <c r="R91" s="137"/>
      <c r="S91" s="138"/>
    </row>
    <row r="92" spans="1:19" ht="97.5" customHeight="1" x14ac:dyDescent="0.15">
      <c r="B92" s="106"/>
      <c r="C92" s="16" t="s">
        <v>13</v>
      </c>
      <c r="D92" s="142" t="s">
        <v>101</v>
      </c>
      <c r="E92" s="143"/>
      <c r="F92" s="143"/>
      <c r="G92" s="143"/>
      <c r="H92" s="143"/>
      <c r="I92" s="143"/>
      <c r="J92" s="143"/>
      <c r="K92" s="143"/>
      <c r="L92" s="143"/>
      <c r="M92" s="143"/>
      <c r="N92" s="143"/>
      <c r="O92" s="143"/>
      <c r="P92" s="143"/>
      <c r="Q92" s="143"/>
      <c r="R92" s="143"/>
      <c r="S92" s="144"/>
    </row>
    <row r="93" spans="1:19" ht="97.5" customHeight="1" x14ac:dyDescent="0.15">
      <c r="B93" s="104" t="s">
        <v>11</v>
      </c>
      <c r="C93" s="15" t="s">
        <v>14</v>
      </c>
      <c r="D93" s="196" t="s">
        <v>102</v>
      </c>
      <c r="E93" s="197"/>
      <c r="F93" s="197"/>
      <c r="G93" s="197"/>
      <c r="H93" s="197"/>
      <c r="I93" s="197"/>
      <c r="J93" s="197"/>
      <c r="K93" s="197"/>
      <c r="L93" s="197"/>
      <c r="M93" s="197"/>
      <c r="N93" s="197"/>
      <c r="O93" s="197"/>
      <c r="P93" s="197"/>
      <c r="Q93" s="197"/>
      <c r="R93" s="197"/>
      <c r="S93" s="198"/>
    </row>
    <row r="94" spans="1:19" ht="97.5" customHeight="1" x14ac:dyDescent="0.15">
      <c r="B94" s="106"/>
      <c r="C94" s="17" t="s">
        <v>15</v>
      </c>
      <c r="D94" s="139" t="s">
        <v>103</v>
      </c>
      <c r="E94" s="140"/>
      <c r="F94" s="140"/>
      <c r="G94" s="140"/>
      <c r="H94" s="140"/>
      <c r="I94" s="140"/>
      <c r="J94" s="140"/>
      <c r="K94" s="140"/>
      <c r="L94" s="140"/>
      <c r="M94" s="140"/>
      <c r="N94" s="140"/>
      <c r="O94" s="140"/>
      <c r="P94" s="140"/>
      <c r="Q94" s="140"/>
      <c r="R94" s="140"/>
      <c r="S94" s="141"/>
    </row>
    <row r="95" spans="1:19" ht="97.5" customHeight="1" x14ac:dyDescent="0.15">
      <c r="B95" s="104" t="s">
        <v>19</v>
      </c>
      <c r="C95" s="13" t="s">
        <v>6</v>
      </c>
      <c r="D95" s="113" t="s">
        <v>104</v>
      </c>
      <c r="E95" s="114"/>
      <c r="F95" s="114"/>
      <c r="G95" s="114"/>
      <c r="H95" s="114"/>
      <c r="I95" s="114"/>
      <c r="J95" s="114"/>
      <c r="K95" s="114"/>
      <c r="L95" s="114"/>
      <c r="M95" s="114"/>
      <c r="N95" s="114"/>
      <c r="O95" s="114"/>
      <c r="P95" s="114"/>
      <c r="Q95" s="114"/>
      <c r="R95" s="114"/>
      <c r="S95" s="115"/>
    </row>
    <row r="96" spans="1:19" ht="97.5" customHeight="1" x14ac:dyDescent="0.15">
      <c r="B96" s="106"/>
      <c r="C96" s="16" t="s">
        <v>8</v>
      </c>
      <c r="D96" s="142" t="s">
        <v>105</v>
      </c>
      <c r="E96" s="143"/>
      <c r="F96" s="143"/>
      <c r="G96" s="143"/>
      <c r="H96" s="143"/>
      <c r="I96" s="143"/>
      <c r="J96" s="143"/>
      <c r="K96" s="143"/>
      <c r="L96" s="143"/>
      <c r="M96" s="143"/>
      <c r="N96" s="143"/>
      <c r="O96" s="143"/>
      <c r="P96" s="143"/>
      <c r="Q96" s="143"/>
      <c r="R96" s="143"/>
      <c r="S96" s="144"/>
    </row>
    <row r="97" spans="1:19" ht="97.5" customHeight="1" x14ac:dyDescent="0.15">
      <c r="B97" s="104" t="s">
        <v>20</v>
      </c>
      <c r="C97" s="15" t="s">
        <v>5</v>
      </c>
      <c r="D97" s="205" t="s">
        <v>266</v>
      </c>
      <c r="E97" s="206"/>
      <c r="F97" s="206"/>
      <c r="G97" s="206"/>
      <c r="H97" s="206"/>
      <c r="I97" s="206"/>
      <c r="J97" s="206"/>
      <c r="K97" s="206"/>
      <c r="L97" s="206"/>
      <c r="M97" s="206"/>
      <c r="N97" s="206"/>
      <c r="O97" s="206"/>
      <c r="P97" s="206"/>
      <c r="Q97" s="206"/>
      <c r="R97" s="206"/>
      <c r="S97" s="207"/>
    </row>
    <row r="98" spans="1:19" ht="97.5" customHeight="1" x14ac:dyDescent="0.15">
      <c r="B98" s="105"/>
      <c r="C98" s="18" t="s">
        <v>16</v>
      </c>
      <c r="D98" s="180" t="s">
        <v>106</v>
      </c>
      <c r="E98" s="95"/>
      <c r="F98" s="95"/>
      <c r="G98" s="95"/>
      <c r="H98" s="95"/>
      <c r="I98" s="95"/>
      <c r="J98" s="95"/>
      <c r="K98" s="95"/>
      <c r="L98" s="95"/>
      <c r="M98" s="95"/>
      <c r="N98" s="95"/>
      <c r="O98" s="95"/>
      <c r="P98" s="95"/>
      <c r="Q98" s="95"/>
      <c r="R98" s="95"/>
      <c r="S98" s="96"/>
    </row>
    <row r="99" spans="1:19" ht="97.5" customHeight="1" x14ac:dyDescent="0.15">
      <c r="B99" s="106"/>
      <c r="C99" s="17" t="s">
        <v>17</v>
      </c>
      <c r="D99" s="110" t="s">
        <v>107</v>
      </c>
      <c r="E99" s="111"/>
      <c r="F99" s="111"/>
      <c r="G99" s="111"/>
      <c r="H99" s="111"/>
      <c r="I99" s="111"/>
      <c r="J99" s="111"/>
      <c r="K99" s="111"/>
      <c r="L99" s="111"/>
      <c r="M99" s="111"/>
      <c r="N99" s="111"/>
      <c r="O99" s="111"/>
      <c r="P99" s="111"/>
      <c r="Q99" s="111"/>
      <c r="R99" s="111"/>
      <c r="S99" s="112"/>
    </row>
    <row r="100" spans="1:19" ht="6" customHeight="1" x14ac:dyDescent="0.15"/>
    <row r="101" spans="1:19" ht="18.75" customHeight="1" x14ac:dyDescent="0.15">
      <c r="A101" s="1" t="s">
        <v>41</v>
      </c>
    </row>
    <row r="102" spans="1:19" ht="81.75" customHeight="1" x14ac:dyDescent="0.15">
      <c r="B102" s="127" t="s">
        <v>114</v>
      </c>
      <c r="C102" s="128"/>
      <c r="D102" s="128"/>
      <c r="E102" s="128"/>
      <c r="F102" s="128"/>
      <c r="G102" s="128"/>
      <c r="H102" s="128"/>
      <c r="I102" s="128"/>
      <c r="J102" s="128"/>
      <c r="K102" s="128"/>
      <c r="L102" s="128"/>
      <c r="M102" s="128"/>
      <c r="N102" s="128"/>
      <c r="O102" s="128"/>
      <c r="P102" s="128"/>
      <c r="Q102" s="128"/>
      <c r="R102" s="128"/>
      <c r="S102" s="129"/>
    </row>
    <row r="110" spans="1:19" ht="18" customHeight="1" x14ac:dyDescent="0.15"/>
  </sheetData>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1" priority="1">
      <formula>$K$7="学部・学科によって、修了要件は相違しない"</formula>
    </cfRule>
  </conditionalFormatting>
  <dataValidations count="5">
    <dataValidation type="list" allowBlank="1" showInputMessage="1" showErrorMessage="1" sqref="G25:I31 Q25:S31 P69:S75 Q36:S42 F69:I75 Q47:S53 G36:I42 Q58:S64 G47:I53 G58:I64">
      <formula1>"○"</formula1>
    </dataValidation>
    <dataValidation type="list" allowBlank="1" showInputMessage="1" showErrorMessage="1" sqref="S32 S43 D32:G32 D43:G43">
      <formula1>"全学開講,一部開講"</formula1>
    </dataValidation>
    <dataValidation type="list" allowBlank="1" showInputMessage="1" showErrorMessage="1" sqref="K12 K7">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opLeftCell="A82" zoomScaleNormal="100" zoomScaleSheetLayoutView="100" workbookViewId="0">
      <selection activeCell="A33" sqref="A33:S34"/>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48" t="s">
        <v>124</v>
      </c>
      <c r="S1" s="148"/>
      <c r="T1" s="2" t="s">
        <v>30</v>
      </c>
    </row>
    <row r="2" spans="1:22" ht="18.75" customHeight="1" x14ac:dyDescent="0.15">
      <c r="B2" s="19" t="s">
        <v>29</v>
      </c>
      <c r="C2" s="97" t="s">
        <v>110</v>
      </c>
      <c r="D2" s="98"/>
      <c r="E2" s="98"/>
      <c r="F2" s="98"/>
      <c r="G2" s="98"/>
      <c r="H2" s="98"/>
      <c r="I2" s="99"/>
      <c r="J2" s="20"/>
      <c r="K2" s="4"/>
      <c r="L2" s="4"/>
      <c r="M2" s="4"/>
      <c r="N2" s="4"/>
      <c r="O2" s="4"/>
      <c r="P2" s="4"/>
      <c r="Q2" s="4"/>
      <c r="R2" s="4"/>
      <c r="S2" s="4"/>
    </row>
    <row r="3" spans="1:22" ht="18.75" customHeight="1" x14ac:dyDescent="0.15">
      <c r="B3" s="19" t="s">
        <v>26</v>
      </c>
      <c r="C3" s="152" t="s">
        <v>111</v>
      </c>
      <c r="D3" s="153"/>
      <c r="E3" s="153"/>
      <c r="F3" s="153"/>
      <c r="G3" s="153"/>
      <c r="H3" s="153"/>
      <c r="I3" s="154"/>
      <c r="J3" s="20"/>
      <c r="K3" s="4"/>
      <c r="L3" s="4"/>
      <c r="M3" s="4"/>
      <c r="N3" s="4"/>
      <c r="O3" s="4"/>
      <c r="P3" s="4"/>
      <c r="Q3" s="4"/>
      <c r="R3" s="4"/>
      <c r="S3" s="4"/>
    </row>
    <row r="4" spans="1:22" ht="15" customHeight="1" x14ac:dyDescent="0.15">
      <c r="K4" s="20"/>
      <c r="L4" s="21"/>
      <c r="M4" s="21"/>
      <c r="N4" s="21"/>
      <c r="O4" s="21"/>
      <c r="P4" s="21"/>
      <c r="Q4" s="21"/>
      <c r="R4" s="21"/>
      <c r="S4" s="21"/>
    </row>
    <row r="5" spans="1:22" ht="18" customHeight="1" x14ac:dyDescent="0.15">
      <c r="A5" s="155" t="s">
        <v>0</v>
      </c>
      <c r="B5" s="155"/>
      <c r="C5" s="155"/>
      <c r="D5" s="155"/>
      <c r="E5" s="155"/>
      <c r="F5" s="155"/>
      <c r="G5" s="155"/>
      <c r="H5" s="155"/>
      <c r="I5" s="155"/>
      <c r="J5" s="155"/>
      <c r="K5" s="155"/>
      <c r="L5" s="155"/>
      <c r="M5" s="155"/>
      <c r="N5" s="155"/>
      <c r="O5" s="155"/>
      <c r="P5" s="155"/>
      <c r="Q5" s="155"/>
      <c r="R5" s="155"/>
      <c r="S5" s="155"/>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44</v>
      </c>
      <c r="C7" s="3"/>
      <c r="J7" s="22" t="s">
        <v>28</v>
      </c>
      <c r="K7" s="165" t="s">
        <v>46</v>
      </c>
      <c r="L7" s="166"/>
      <c r="M7" s="166"/>
      <c r="N7" s="166"/>
      <c r="O7" s="166"/>
      <c r="P7" s="166"/>
      <c r="Q7" s="166"/>
      <c r="R7" s="166"/>
      <c r="S7" s="167"/>
    </row>
    <row r="8" spans="1:22" ht="6" customHeight="1" x14ac:dyDescent="0.15">
      <c r="B8" s="3"/>
      <c r="C8" s="3"/>
      <c r="D8" s="3"/>
      <c r="E8" s="3"/>
      <c r="F8" s="3"/>
      <c r="G8" s="3"/>
      <c r="H8" s="3"/>
      <c r="I8" s="3"/>
      <c r="J8" s="3"/>
      <c r="K8" s="5"/>
      <c r="L8" s="3"/>
      <c r="M8" s="3"/>
      <c r="N8" s="3"/>
      <c r="O8" s="3"/>
      <c r="P8" s="3"/>
      <c r="Q8" s="3"/>
      <c r="R8" s="3"/>
      <c r="S8" s="3"/>
    </row>
    <row r="9" spans="1:22" ht="18" customHeight="1" x14ac:dyDescent="0.15">
      <c r="B9" s="168" t="s">
        <v>154</v>
      </c>
      <c r="C9" s="169"/>
      <c r="D9" s="169"/>
      <c r="E9" s="169"/>
      <c r="F9" s="169"/>
      <c r="G9" s="169"/>
      <c r="H9" s="169"/>
      <c r="I9" s="169"/>
      <c r="J9" s="169"/>
      <c r="K9" s="169"/>
      <c r="L9" s="169"/>
      <c r="M9" s="169"/>
      <c r="N9" s="169"/>
      <c r="O9" s="169"/>
      <c r="P9" s="169"/>
      <c r="Q9" s="169"/>
      <c r="R9" s="169"/>
      <c r="S9" s="170"/>
    </row>
    <row r="10" spans="1:22" ht="18" customHeight="1" x14ac:dyDescent="0.15">
      <c r="B10" s="171"/>
      <c r="C10" s="172"/>
      <c r="D10" s="172"/>
      <c r="E10" s="172"/>
      <c r="F10" s="172"/>
      <c r="G10" s="172"/>
      <c r="H10" s="172"/>
      <c r="I10" s="172"/>
      <c r="J10" s="172"/>
      <c r="K10" s="172"/>
      <c r="L10" s="172"/>
      <c r="M10" s="172"/>
      <c r="N10" s="172"/>
      <c r="O10" s="172"/>
      <c r="P10" s="172"/>
      <c r="Q10" s="172"/>
      <c r="R10" s="172"/>
      <c r="S10" s="173"/>
    </row>
    <row r="11" spans="1:22" ht="6" customHeight="1" x14ac:dyDescent="0.15">
      <c r="B11" s="3"/>
      <c r="C11" s="3"/>
      <c r="D11" s="3"/>
      <c r="E11" s="3"/>
      <c r="F11" s="3"/>
      <c r="G11" s="3"/>
      <c r="H11" s="3"/>
      <c r="I11" s="3"/>
      <c r="J11" s="3"/>
      <c r="K11" s="5"/>
      <c r="L11" s="3"/>
      <c r="M11" s="3"/>
      <c r="N11" s="3"/>
      <c r="O11" s="3"/>
      <c r="P11" s="3"/>
      <c r="Q11" s="3"/>
      <c r="R11" s="3"/>
      <c r="S11" s="3"/>
    </row>
    <row r="12" spans="1:22" ht="18" customHeight="1" x14ac:dyDescent="0.15">
      <c r="A12" s="1" t="s">
        <v>32</v>
      </c>
      <c r="B12" s="3"/>
      <c r="C12" s="3"/>
      <c r="D12" s="20"/>
      <c r="E12" s="20"/>
      <c r="F12" s="20"/>
      <c r="G12" s="20"/>
      <c r="H12" s="20"/>
      <c r="I12" s="20"/>
      <c r="J12" s="20"/>
      <c r="K12" s="23"/>
      <c r="L12" s="23"/>
      <c r="M12" s="23"/>
      <c r="N12" s="23"/>
      <c r="O12" s="23"/>
      <c r="P12" s="23"/>
      <c r="Q12" s="23"/>
      <c r="R12" s="23"/>
      <c r="S12" s="23"/>
    </row>
    <row r="13" spans="1:22" ht="18" customHeight="1" x14ac:dyDescent="0.15">
      <c r="B13" s="156" t="s">
        <v>251</v>
      </c>
      <c r="C13" s="157"/>
      <c r="D13" s="157"/>
      <c r="E13" s="157"/>
      <c r="F13" s="157"/>
      <c r="G13" s="157"/>
      <c r="H13" s="157"/>
      <c r="I13" s="157"/>
      <c r="J13" s="157"/>
      <c r="K13" s="157"/>
      <c r="L13" s="157"/>
      <c r="M13" s="157"/>
      <c r="N13" s="157"/>
      <c r="O13" s="157"/>
      <c r="P13" s="157"/>
      <c r="Q13" s="157"/>
      <c r="R13" s="157"/>
      <c r="S13" s="158"/>
      <c r="V13" s="1" t="s">
        <v>27</v>
      </c>
    </row>
    <row r="14" spans="1:22" ht="18" customHeight="1" x14ac:dyDescent="0.15">
      <c r="B14" s="159"/>
      <c r="C14" s="160"/>
      <c r="D14" s="160"/>
      <c r="E14" s="160"/>
      <c r="F14" s="160"/>
      <c r="G14" s="160"/>
      <c r="H14" s="160"/>
      <c r="I14" s="160"/>
      <c r="J14" s="160"/>
      <c r="K14" s="160"/>
      <c r="L14" s="160"/>
      <c r="M14" s="160"/>
      <c r="N14" s="160"/>
      <c r="O14" s="160"/>
      <c r="P14" s="160"/>
      <c r="Q14" s="160"/>
      <c r="R14" s="160"/>
      <c r="S14" s="161"/>
      <c r="V14" s="1" t="s">
        <v>31</v>
      </c>
    </row>
    <row r="15" spans="1:22" ht="18" customHeight="1" x14ac:dyDescent="0.15">
      <c r="B15" s="159"/>
      <c r="C15" s="160"/>
      <c r="D15" s="160"/>
      <c r="E15" s="160"/>
      <c r="F15" s="160"/>
      <c r="G15" s="160"/>
      <c r="H15" s="160"/>
      <c r="I15" s="160"/>
      <c r="J15" s="160"/>
      <c r="K15" s="160"/>
      <c r="L15" s="160"/>
      <c r="M15" s="160"/>
      <c r="N15" s="160"/>
      <c r="O15" s="160"/>
      <c r="P15" s="160"/>
      <c r="Q15" s="160"/>
      <c r="R15" s="160"/>
      <c r="S15" s="161"/>
      <c r="V15" s="1" t="s">
        <v>43</v>
      </c>
    </row>
    <row r="16" spans="1:22" ht="18" customHeight="1" x14ac:dyDescent="0.15">
      <c r="B16" s="159"/>
      <c r="C16" s="160"/>
      <c r="D16" s="160"/>
      <c r="E16" s="160"/>
      <c r="F16" s="160"/>
      <c r="G16" s="160"/>
      <c r="H16" s="160"/>
      <c r="I16" s="160"/>
      <c r="J16" s="160"/>
      <c r="K16" s="160"/>
      <c r="L16" s="160"/>
      <c r="M16" s="160"/>
      <c r="N16" s="160"/>
      <c r="O16" s="160"/>
      <c r="P16" s="160"/>
      <c r="Q16" s="160"/>
      <c r="R16" s="160"/>
      <c r="S16" s="161"/>
      <c r="V16" s="1" t="s">
        <v>45</v>
      </c>
    </row>
    <row r="17" spans="1:19" ht="18" customHeight="1" x14ac:dyDescent="0.15">
      <c r="B17" s="159"/>
      <c r="C17" s="160"/>
      <c r="D17" s="160"/>
      <c r="E17" s="160"/>
      <c r="F17" s="160"/>
      <c r="G17" s="160"/>
      <c r="H17" s="160"/>
      <c r="I17" s="160"/>
      <c r="J17" s="160"/>
      <c r="K17" s="160"/>
      <c r="L17" s="160"/>
      <c r="M17" s="160"/>
      <c r="N17" s="160"/>
      <c r="O17" s="160"/>
      <c r="P17" s="160"/>
      <c r="Q17" s="160"/>
      <c r="R17" s="160"/>
      <c r="S17" s="161"/>
    </row>
    <row r="18" spans="1:19" ht="18" customHeight="1" x14ac:dyDescent="0.15">
      <c r="B18" s="162"/>
      <c r="C18" s="163"/>
      <c r="D18" s="163"/>
      <c r="E18" s="163"/>
      <c r="F18" s="163"/>
      <c r="G18" s="163"/>
      <c r="H18" s="163"/>
      <c r="I18" s="163"/>
      <c r="J18" s="163"/>
      <c r="K18" s="163"/>
      <c r="L18" s="163"/>
      <c r="M18" s="163"/>
      <c r="N18" s="163"/>
      <c r="O18" s="163"/>
      <c r="P18" s="163"/>
      <c r="Q18" s="163"/>
      <c r="R18" s="163"/>
      <c r="S18" s="164"/>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33</v>
      </c>
      <c r="C20" s="97">
        <v>4</v>
      </c>
      <c r="D20" s="99"/>
      <c r="E20" s="24" t="s">
        <v>24</v>
      </c>
      <c r="G20" s="5"/>
      <c r="H20" s="3"/>
      <c r="I20" s="3"/>
      <c r="J20" s="20" t="s">
        <v>42</v>
      </c>
      <c r="K20" s="149" t="s">
        <v>45</v>
      </c>
      <c r="L20" s="150"/>
      <c r="M20" s="150"/>
      <c r="N20" s="150"/>
      <c r="O20" s="150"/>
      <c r="P20" s="150"/>
      <c r="Q20" s="150"/>
      <c r="R20" s="150"/>
      <c r="S20" s="151"/>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03" t="s">
        <v>34</v>
      </c>
      <c r="B22" s="103"/>
      <c r="C22" s="103"/>
      <c r="D22" s="103"/>
      <c r="E22" s="103"/>
      <c r="F22" s="103"/>
      <c r="G22" s="103"/>
      <c r="H22" s="103"/>
      <c r="I22" s="103"/>
      <c r="J22" s="103"/>
      <c r="K22" s="103"/>
      <c r="L22" s="103"/>
      <c r="M22" s="103"/>
      <c r="N22" s="103"/>
      <c r="O22" s="103"/>
      <c r="P22" s="103"/>
      <c r="Q22" s="103"/>
      <c r="R22" s="103"/>
      <c r="S22" s="103"/>
    </row>
    <row r="23" spans="1:19" ht="18" customHeight="1" x14ac:dyDescent="0.15">
      <c r="A23" s="103"/>
      <c r="B23" s="103"/>
      <c r="C23" s="103"/>
      <c r="D23" s="103"/>
      <c r="E23" s="103"/>
      <c r="F23" s="103"/>
      <c r="G23" s="103"/>
      <c r="H23" s="103"/>
      <c r="I23" s="103"/>
      <c r="J23" s="103"/>
      <c r="K23" s="103"/>
      <c r="L23" s="103"/>
      <c r="M23" s="103"/>
      <c r="N23" s="103"/>
      <c r="O23" s="103"/>
      <c r="P23" s="103"/>
      <c r="Q23" s="103"/>
      <c r="R23" s="103"/>
      <c r="S23" s="103"/>
    </row>
    <row r="24" spans="1:19" ht="18" customHeight="1" x14ac:dyDescent="0.15">
      <c r="B24" s="97" t="s">
        <v>1</v>
      </c>
      <c r="C24" s="98"/>
      <c r="D24" s="98"/>
      <c r="E24" s="99"/>
      <c r="F24" s="26" t="s">
        <v>21</v>
      </c>
      <c r="G24" s="25" t="s">
        <v>23</v>
      </c>
      <c r="H24" s="7" t="s">
        <v>4</v>
      </c>
      <c r="I24" s="7" t="s">
        <v>7</v>
      </c>
      <c r="J24" s="97" t="s">
        <v>1</v>
      </c>
      <c r="K24" s="98"/>
      <c r="L24" s="98"/>
      <c r="M24" s="98"/>
      <c r="N24" s="98"/>
      <c r="O24" s="99"/>
      <c r="P24" s="26" t="s">
        <v>21</v>
      </c>
      <c r="Q24" s="25" t="s">
        <v>23</v>
      </c>
      <c r="R24" s="7" t="s">
        <v>4</v>
      </c>
      <c r="S24" s="7" t="s">
        <v>7</v>
      </c>
    </row>
    <row r="25" spans="1:19" ht="18" customHeight="1" x14ac:dyDescent="0.15">
      <c r="B25" s="91" t="s">
        <v>108</v>
      </c>
      <c r="C25" s="92"/>
      <c r="D25" s="92"/>
      <c r="E25" s="93"/>
      <c r="F25" s="8">
        <v>2</v>
      </c>
      <c r="G25" s="8"/>
      <c r="H25" s="8" t="s">
        <v>49</v>
      </c>
      <c r="I25" s="8" t="s">
        <v>49</v>
      </c>
      <c r="J25" s="91"/>
      <c r="K25" s="92"/>
      <c r="L25" s="92"/>
      <c r="M25" s="92"/>
      <c r="N25" s="92"/>
      <c r="O25" s="93"/>
      <c r="P25" s="8"/>
      <c r="Q25" s="8"/>
      <c r="R25" s="8"/>
      <c r="S25" s="8"/>
    </row>
    <row r="26" spans="1:19" ht="18" customHeight="1" x14ac:dyDescent="0.15">
      <c r="B26" s="208" t="s">
        <v>109</v>
      </c>
      <c r="C26" s="209"/>
      <c r="D26" s="209"/>
      <c r="E26" s="210"/>
      <c r="F26" s="90">
        <v>2</v>
      </c>
      <c r="G26" s="90"/>
      <c r="H26" s="90" t="s">
        <v>73</v>
      </c>
      <c r="I26" s="90"/>
      <c r="J26" s="94"/>
      <c r="K26" s="95"/>
      <c r="L26" s="95"/>
      <c r="M26" s="95"/>
      <c r="N26" s="95"/>
      <c r="O26" s="96"/>
      <c r="P26" s="9"/>
      <c r="Q26" s="9"/>
      <c r="R26" s="9"/>
      <c r="S26" s="9"/>
    </row>
    <row r="27" spans="1:19" ht="18" customHeight="1" x14ac:dyDescent="0.15">
      <c r="B27" s="94" t="s">
        <v>48</v>
      </c>
      <c r="C27" s="95"/>
      <c r="D27" s="95"/>
      <c r="E27" s="96"/>
      <c r="F27" s="9">
        <v>2</v>
      </c>
      <c r="G27" s="9"/>
      <c r="H27" s="9" t="s">
        <v>49</v>
      </c>
      <c r="I27" s="9" t="s">
        <v>49</v>
      </c>
      <c r="J27" s="94"/>
      <c r="K27" s="95"/>
      <c r="L27" s="95"/>
      <c r="M27" s="95"/>
      <c r="N27" s="95"/>
      <c r="O27" s="96"/>
      <c r="P27" s="9"/>
      <c r="Q27" s="9"/>
      <c r="R27" s="9"/>
      <c r="S27" s="9"/>
    </row>
    <row r="28" spans="1:19" ht="18" customHeight="1" x14ac:dyDescent="0.15">
      <c r="B28" s="94"/>
      <c r="C28" s="95"/>
      <c r="D28" s="95"/>
      <c r="E28" s="96"/>
      <c r="F28" s="9"/>
      <c r="G28" s="9"/>
      <c r="H28" s="9"/>
      <c r="I28" s="9"/>
      <c r="J28" s="94"/>
      <c r="K28" s="95"/>
      <c r="L28" s="95"/>
      <c r="M28" s="95"/>
      <c r="N28" s="95"/>
      <c r="O28" s="96"/>
      <c r="P28" s="9"/>
      <c r="Q28" s="9"/>
      <c r="R28" s="9"/>
      <c r="S28" s="9"/>
    </row>
    <row r="29" spans="1:19" ht="18" customHeight="1" x14ac:dyDescent="0.15">
      <c r="B29" s="94"/>
      <c r="C29" s="95"/>
      <c r="D29" s="95"/>
      <c r="E29" s="96"/>
      <c r="F29" s="9"/>
      <c r="G29" s="9"/>
      <c r="H29" s="9"/>
      <c r="I29" s="9"/>
      <c r="J29" s="94"/>
      <c r="K29" s="95"/>
      <c r="L29" s="95"/>
      <c r="M29" s="95"/>
      <c r="N29" s="95"/>
      <c r="O29" s="96"/>
      <c r="P29" s="9"/>
      <c r="Q29" s="9"/>
      <c r="R29" s="9"/>
      <c r="S29" s="9"/>
    </row>
    <row r="30" spans="1:19" ht="18" customHeight="1" x14ac:dyDescent="0.15">
      <c r="A30" s="3"/>
      <c r="B30" s="94"/>
      <c r="C30" s="95"/>
      <c r="D30" s="95"/>
      <c r="E30" s="96"/>
      <c r="F30" s="9"/>
      <c r="G30" s="9"/>
      <c r="H30" s="9"/>
      <c r="I30" s="9"/>
      <c r="J30" s="94"/>
      <c r="K30" s="95"/>
      <c r="L30" s="95"/>
      <c r="M30" s="95"/>
      <c r="N30" s="95"/>
      <c r="O30" s="96"/>
      <c r="P30" s="9"/>
      <c r="Q30" s="9"/>
      <c r="R30" s="9"/>
      <c r="S30" s="9"/>
    </row>
    <row r="31" spans="1:19" ht="18" customHeight="1" x14ac:dyDescent="0.15">
      <c r="A31" s="3"/>
      <c r="B31" s="100"/>
      <c r="C31" s="101"/>
      <c r="D31" s="101"/>
      <c r="E31" s="102"/>
      <c r="F31" s="10"/>
      <c r="G31" s="10"/>
      <c r="H31" s="11"/>
      <c r="I31" s="11"/>
      <c r="J31" s="100"/>
      <c r="K31" s="101"/>
      <c r="L31" s="101"/>
      <c r="M31" s="101"/>
      <c r="N31" s="101"/>
      <c r="O31" s="102"/>
      <c r="P31" s="10"/>
      <c r="Q31" s="10"/>
      <c r="R31" s="11"/>
      <c r="S31" s="11"/>
    </row>
    <row r="32" spans="1:19" ht="7.5" customHeight="1" x14ac:dyDescent="0.15">
      <c r="A32" s="3"/>
      <c r="B32" s="4"/>
      <c r="C32" s="4"/>
      <c r="D32" s="3"/>
      <c r="E32" s="3"/>
      <c r="F32" s="3"/>
      <c r="G32" s="3"/>
      <c r="H32" s="4"/>
      <c r="I32" s="4"/>
      <c r="J32" s="4"/>
      <c r="K32" s="4"/>
      <c r="L32" s="4"/>
      <c r="M32" s="4"/>
      <c r="N32" s="4"/>
      <c r="O32" s="4"/>
      <c r="P32" s="4"/>
      <c r="Q32" s="4"/>
      <c r="R32" s="4"/>
      <c r="S32" s="3"/>
    </row>
    <row r="33" spans="1:19" ht="18" customHeight="1" x14ac:dyDescent="0.15">
      <c r="A33" s="103" t="s">
        <v>35</v>
      </c>
      <c r="B33" s="103"/>
      <c r="C33" s="103"/>
      <c r="D33" s="103"/>
      <c r="E33" s="103"/>
      <c r="F33" s="103"/>
      <c r="G33" s="103"/>
      <c r="H33" s="103"/>
      <c r="I33" s="103"/>
      <c r="J33" s="103"/>
      <c r="K33" s="103"/>
      <c r="L33" s="103"/>
      <c r="M33" s="103"/>
      <c r="N33" s="103"/>
      <c r="O33" s="103"/>
      <c r="P33" s="103"/>
      <c r="Q33" s="103"/>
      <c r="R33" s="103"/>
      <c r="S33" s="103"/>
    </row>
    <row r="34" spans="1:19" ht="18" customHeight="1" x14ac:dyDescent="0.15">
      <c r="A34" s="103"/>
      <c r="B34" s="103"/>
      <c r="C34" s="103"/>
      <c r="D34" s="103"/>
      <c r="E34" s="103"/>
      <c r="F34" s="103"/>
      <c r="G34" s="103"/>
      <c r="H34" s="103"/>
      <c r="I34" s="103"/>
      <c r="J34" s="103"/>
      <c r="K34" s="103"/>
      <c r="L34" s="103"/>
      <c r="M34" s="103"/>
      <c r="N34" s="103"/>
      <c r="O34" s="103"/>
      <c r="P34" s="103"/>
      <c r="Q34" s="103"/>
      <c r="R34" s="103"/>
      <c r="S34" s="103"/>
    </row>
    <row r="35" spans="1:19" ht="18" customHeight="1" x14ac:dyDescent="0.15">
      <c r="B35" s="97" t="s">
        <v>1</v>
      </c>
      <c r="C35" s="98"/>
      <c r="D35" s="98"/>
      <c r="E35" s="99"/>
      <c r="F35" s="26" t="s">
        <v>21</v>
      </c>
      <c r="G35" s="25" t="s">
        <v>23</v>
      </c>
      <c r="H35" s="7" t="s">
        <v>12</v>
      </c>
      <c r="I35" s="7" t="s">
        <v>13</v>
      </c>
      <c r="J35" s="97" t="s">
        <v>1</v>
      </c>
      <c r="K35" s="98"/>
      <c r="L35" s="98"/>
      <c r="M35" s="98"/>
      <c r="N35" s="98"/>
      <c r="O35" s="99"/>
      <c r="P35" s="26" t="s">
        <v>21</v>
      </c>
      <c r="Q35" s="25" t="s">
        <v>23</v>
      </c>
      <c r="R35" s="7" t="s">
        <v>12</v>
      </c>
      <c r="S35" s="7" t="s">
        <v>13</v>
      </c>
    </row>
    <row r="36" spans="1:19" ht="18" customHeight="1" x14ac:dyDescent="0.15">
      <c r="B36" s="91" t="s">
        <v>108</v>
      </c>
      <c r="C36" s="92"/>
      <c r="D36" s="92"/>
      <c r="E36" s="93"/>
      <c r="F36" s="8">
        <v>2</v>
      </c>
      <c r="G36" s="8"/>
      <c r="H36" s="8" t="s">
        <v>49</v>
      </c>
      <c r="I36" s="8" t="s">
        <v>49</v>
      </c>
      <c r="J36" s="91"/>
      <c r="K36" s="92"/>
      <c r="L36" s="92"/>
      <c r="M36" s="92"/>
      <c r="N36" s="92"/>
      <c r="O36" s="93"/>
      <c r="P36" s="8"/>
      <c r="Q36" s="8"/>
      <c r="R36" s="8"/>
      <c r="S36" s="8"/>
    </row>
    <row r="37" spans="1:19" ht="18" customHeight="1" x14ac:dyDescent="0.15">
      <c r="B37" s="208" t="s">
        <v>109</v>
      </c>
      <c r="C37" s="209"/>
      <c r="D37" s="209"/>
      <c r="E37" s="210"/>
      <c r="F37" s="90">
        <v>2</v>
      </c>
      <c r="G37" s="90"/>
      <c r="H37" s="90" t="s">
        <v>73</v>
      </c>
      <c r="I37" s="90"/>
      <c r="J37" s="94"/>
      <c r="K37" s="95"/>
      <c r="L37" s="95"/>
      <c r="M37" s="95"/>
      <c r="N37" s="95"/>
      <c r="O37" s="96"/>
      <c r="P37" s="9"/>
      <c r="Q37" s="9"/>
      <c r="R37" s="9"/>
      <c r="S37" s="9"/>
    </row>
    <row r="38" spans="1:19" ht="18" customHeight="1" x14ac:dyDescent="0.15">
      <c r="B38" s="94" t="s">
        <v>48</v>
      </c>
      <c r="C38" s="95"/>
      <c r="D38" s="95"/>
      <c r="E38" s="96"/>
      <c r="F38" s="9">
        <v>2</v>
      </c>
      <c r="G38" s="9"/>
      <c r="H38" s="9" t="s">
        <v>49</v>
      </c>
      <c r="I38" s="9" t="s">
        <v>49</v>
      </c>
      <c r="J38" s="94"/>
      <c r="K38" s="95"/>
      <c r="L38" s="95"/>
      <c r="M38" s="95"/>
      <c r="N38" s="95"/>
      <c r="O38" s="96"/>
      <c r="P38" s="9"/>
      <c r="Q38" s="9"/>
      <c r="R38" s="9"/>
      <c r="S38" s="9"/>
    </row>
    <row r="39" spans="1:19" ht="18" customHeight="1" x14ac:dyDescent="0.15">
      <c r="B39" s="94"/>
      <c r="C39" s="95"/>
      <c r="D39" s="95"/>
      <c r="E39" s="96"/>
      <c r="F39" s="9"/>
      <c r="G39" s="9"/>
      <c r="H39" s="9"/>
      <c r="I39" s="9"/>
      <c r="J39" s="94"/>
      <c r="K39" s="95"/>
      <c r="L39" s="95"/>
      <c r="M39" s="95"/>
      <c r="N39" s="95"/>
      <c r="O39" s="96"/>
      <c r="P39" s="9"/>
      <c r="Q39" s="9"/>
      <c r="R39" s="9"/>
      <c r="S39" s="9"/>
    </row>
    <row r="40" spans="1:19" ht="18" customHeight="1" x14ac:dyDescent="0.15">
      <c r="B40" s="94"/>
      <c r="C40" s="95"/>
      <c r="D40" s="95"/>
      <c r="E40" s="96"/>
      <c r="F40" s="9"/>
      <c r="G40" s="9"/>
      <c r="H40" s="9"/>
      <c r="I40" s="9"/>
      <c r="J40" s="94"/>
      <c r="K40" s="95"/>
      <c r="L40" s="95"/>
      <c r="M40" s="95"/>
      <c r="N40" s="95"/>
      <c r="O40" s="96"/>
      <c r="P40" s="9"/>
      <c r="Q40" s="9"/>
      <c r="R40" s="9"/>
      <c r="S40" s="9"/>
    </row>
    <row r="41" spans="1:19" ht="18" customHeight="1" x14ac:dyDescent="0.15">
      <c r="B41" s="94"/>
      <c r="C41" s="95"/>
      <c r="D41" s="95"/>
      <c r="E41" s="96"/>
      <c r="F41" s="9"/>
      <c r="G41" s="9"/>
      <c r="H41" s="9"/>
      <c r="I41" s="9"/>
      <c r="J41" s="94"/>
      <c r="K41" s="95"/>
      <c r="L41" s="95"/>
      <c r="M41" s="95"/>
      <c r="N41" s="95"/>
      <c r="O41" s="96"/>
      <c r="P41" s="9"/>
      <c r="Q41" s="9"/>
      <c r="R41" s="9"/>
      <c r="S41" s="9"/>
    </row>
    <row r="42" spans="1:19" ht="18" customHeight="1" x14ac:dyDescent="0.15">
      <c r="B42" s="100"/>
      <c r="C42" s="101"/>
      <c r="D42" s="101"/>
      <c r="E42" s="102"/>
      <c r="F42" s="10"/>
      <c r="G42" s="10"/>
      <c r="H42" s="11"/>
      <c r="I42" s="11"/>
      <c r="J42" s="100"/>
      <c r="K42" s="101"/>
      <c r="L42" s="101"/>
      <c r="M42" s="101"/>
      <c r="N42" s="101"/>
      <c r="O42" s="102"/>
      <c r="P42" s="10"/>
      <c r="Q42" s="10"/>
      <c r="R42" s="11"/>
      <c r="S42" s="11"/>
    </row>
    <row r="43" spans="1:19" ht="7.5" customHeight="1" x14ac:dyDescent="0.15">
      <c r="A43" s="3"/>
      <c r="B43" s="4"/>
      <c r="C43" s="4"/>
      <c r="D43" s="3"/>
      <c r="E43" s="3"/>
      <c r="F43" s="3"/>
      <c r="G43" s="3"/>
      <c r="H43" s="4"/>
      <c r="I43" s="4"/>
      <c r="J43" s="4"/>
      <c r="K43" s="4"/>
      <c r="L43" s="4"/>
      <c r="M43" s="4"/>
      <c r="N43" s="4"/>
      <c r="O43" s="4"/>
      <c r="P43" s="4"/>
      <c r="Q43" s="4"/>
      <c r="R43" s="4"/>
      <c r="S43" s="3"/>
    </row>
    <row r="44" spans="1:19" ht="18" customHeight="1" x14ac:dyDescent="0.15">
      <c r="A44" s="103" t="s">
        <v>36</v>
      </c>
      <c r="B44" s="103"/>
      <c r="C44" s="103"/>
      <c r="D44" s="103"/>
      <c r="E44" s="103"/>
      <c r="F44" s="103"/>
      <c r="G44" s="103"/>
      <c r="H44" s="103"/>
      <c r="I44" s="103"/>
      <c r="J44" s="103"/>
      <c r="K44" s="103"/>
      <c r="L44" s="103"/>
      <c r="M44" s="103"/>
      <c r="N44" s="103"/>
      <c r="O44" s="103"/>
      <c r="P44" s="103"/>
      <c r="Q44" s="103"/>
      <c r="R44" s="103"/>
      <c r="S44" s="103"/>
    </row>
    <row r="45" spans="1:19" ht="18" customHeight="1" x14ac:dyDescent="0.15">
      <c r="A45" s="103"/>
      <c r="B45" s="103"/>
      <c r="C45" s="103"/>
      <c r="D45" s="103"/>
      <c r="E45" s="103"/>
      <c r="F45" s="103"/>
      <c r="G45" s="103"/>
      <c r="H45" s="103"/>
      <c r="I45" s="103"/>
      <c r="J45" s="103"/>
      <c r="K45" s="103"/>
      <c r="L45" s="103"/>
      <c r="M45" s="103"/>
      <c r="N45" s="103"/>
      <c r="O45" s="103"/>
      <c r="P45" s="103"/>
      <c r="Q45" s="103"/>
      <c r="R45" s="103"/>
      <c r="S45" s="103"/>
    </row>
    <row r="46" spans="1:19" ht="18" customHeight="1" x14ac:dyDescent="0.15">
      <c r="B46" s="97" t="s">
        <v>1</v>
      </c>
      <c r="C46" s="98"/>
      <c r="D46" s="98"/>
      <c r="E46" s="99"/>
      <c r="F46" s="26" t="s">
        <v>21</v>
      </c>
      <c r="G46" s="25" t="s">
        <v>23</v>
      </c>
      <c r="H46" s="7" t="s">
        <v>14</v>
      </c>
      <c r="I46" s="7" t="s">
        <v>15</v>
      </c>
      <c r="J46" s="97" t="s">
        <v>1</v>
      </c>
      <c r="K46" s="98"/>
      <c r="L46" s="98"/>
      <c r="M46" s="98"/>
      <c r="N46" s="98"/>
      <c r="O46" s="99"/>
      <c r="P46" s="26" t="s">
        <v>21</v>
      </c>
      <c r="Q46" s="25" t="s">
        <v>23</v>
      </c>
      <c r="R46" s="7" t="s">
        <v>14</v>
      </c>
      <c r="S46" s="7" t="s">
        <v>15</v>
      </c>
    </row>
    <row r="47" spans="1:19" ht="18" customHeight="1" x14ac:dyDescent="0.15">
      <c r="A47" s="3"/>
      <c r="B47" s="190" t="s">
        <v>108</v>
      </c>
      <c r="C47" s="191"/>
      <c r="D47" s="191"/>
      <c r="E47" s="192"/>
      <c r="F47" s="88">
        <v>2</v>
      </c>
      <c r="G47" s="88"/>
      <c r="H47" s="88" t="s">
        <v>49</v>
      </c>
      <c r="I47" s="88" t="s">
        <v>49</v>
      </c>
      <c r="J47" s="91"/>
      <c r="K47" s="92"/>
      <c r="L47" s="92"/>
      <c r="M47" s="92"/>
      <c r="N47" s="92"/>
      <c r="O47" s="93"/>
      <c r="P47" s="8"/>
      <c r="Q47" s="8"/>
      <c r="R47" s="8"/>
      <c r="S47" s="8"/>
    </row>
    <row r="48" spans="1:19" ht="18" customHeight="1" x14ac:dyDescent="0.15">
      <c r="A48" s="3"/>
      <c r="B48" s="94" t="s">
        <v>48</v>
      </c>
      <c r="C48" s="95"/>
      <c r="D48" s="95"/>
      <c r="E48" s="96"/>
      <c r="F48" s="9">
        <v>2</v>
      </c>
      <c r="G48" s="9"/>
      <c r="H48" s="9" t="s">
        <v>49</v>
      </c>
      <c r="I48" s="9" t="s">
        <v>49</v>
      </c>
      <c r="J48" s="94"/>
      <c r="K48" s="95"/>
      <c r="L48" s="95"/>
      <c r="M48" s="95"/>
      <c r="N48" s="95"/>
      <c r="O48" s="96"/>
      <c r="P48" s="9"/>
      <c r="Q48" s="9"/>
      <c r="R48" s="9"/>
      <c r="S48" s="9"/>
    </row>
    <row r="49" spans="1:19" ht="18" customHeight="1" x14ac:dyDescent="0.15">
      <c r="A49" s="3"/>
      <c r="B49" s="94"/>
      <c r="C49" s="95"/>
      <c r="D49" s="95"/>
      <c r="E49" s="96"/>
      <c r="F49" s="9"/>
      <c r="G49" s="9"/>
      <c r="H49" s="9"/>
      <c r="I49" s="9"/>
      <c r="J49" s="94"/>
      <c r="K49" s="95"/>
      <c r="L49" s="95"/>
      <c r="M49" s="95"/>
      <c r="N49" s="95"/>
      <c r="O49" s="96"/>
      <c r="P49" s="9"/>
      <c r="Q49" s="9"/>
      <c r="R49" s="9"/>
      <c r="S49" s="9"/>
    </row>
    <row r="50" spans="1:19" ht="18" customHeight="1" x14ac:dyDescent="0.15">
      <c r="A50" s="3"/>
      <c r="B50" s="94"/>
      <c r="C50" s="95"/>
      <c r="D50" s="95"/>
      <c r="E50" s="96"/>
      <c r="F50" s="9"/>
      <c r="G50" s="9"/>
      <c r="H50" s="9"/>
      <c r="I50" s="9"/>
      <c r="J50" s="94"/>
      <c r="K50" s="95"/>
      <c r="L50" s="95"/>
      <c r="M50" s="95"/>
      <c r="N50" s="95"/>
      <c r="O50" s="96"/>
      <c r="P50" s="9"/>
      <c r="Q50" s="9"/>
      <c r="R50" s="9"/>
      <c r="S50" s="9"/>
    </row>
    <row r="51" spans="1:19" ht="18" customHeight="1" x14ac:dyDescent="0.15">
      <c r="A51" s="3"/>
      <c r="B51" s="94"/>
      <c r="C51" s="95"/>
      <c r="D51" s="95"/>
      <c r="E51" s="96"/>
      <c r="F51" s="9"/>
      <c r="G51" s="9"/>
      <c r="H51" s="9"/>
      <c r="I51" s="9"/>
      <c r="J51" s="94"/>
      <c r="K51" s="95"/>
      <c r="L51" s="95"/>
      <c r="M51" s="95"/>
      <c r="N51" s="95"/>
      <c r="O51" s="96"/>
      <c r="P51" s="9"/>
      <c r="Q51" s="9"/>
      <c r="R51" s="9"/>
      <c r="S51" s="9"/>
    </row>
    <row r="52" spans="1:19" ht="18" customHeight="1" x14ac:dyDescent="0.15">
      <c r="A52" s="3"/>
      <c r="B52" s="94"/>
      <c r="C52" s="95"/>
      <c r="D52" s="95"/>
      <c r="E52" s="96"/>
      <c r="F52" s="9"/>
      <c r="G52" s="9"/>
      <c r="H52" s="9"/>
      <c r="I52" s="9"/>
      <c r="J52" s="94"/>
      <c r="K52" s="95"/>
      <c r="L52" s="95"/>
      <c r="M52" s="95"/>
      <c r="N52" s="95"/>
      <c r="O52" s="96"/>
      <c r="P52" s="9"/>
      <c r="Q52" s="9"/>
      <c r="R52" s="9"/>
      <c r="S52" s="9"/>
    </row>
    <row r="53" spans="1:19" ht="18" customHeight="1" x14ac:dyDescent="0.15">
      <c r="A53" s="3"/>
      <c r="B53" s="100"/>
      <c r="C53" s="101"/>
      <c r="D53" s="101"/>
      <c r="E53" s="102"/>
      <c r="F53" s="10"/>
      <c r="G53" s="10"/>
      <c r="H53" s="11"/>
      <c r="I53" s="11"/>
      <c r="J53" s="100"/>
      <c r="K53" s="101"/>
      <c r="L53" s="101"/>
      <c r="M53" s="101"/>
      <c r="N53" s="101"/>
      <c r="O53" s="102"/>
      <c r="P53" s="10"/>
      <c r="Q53" s="10"/>
      <c r="R53" s="11"/>
      <c r="S53" s="11"/>
    </row>
    <row r="54" spans="1:19" ht="7.5" customHeight="1" x14ac:dyDescent="0.15">
      <c r="B54" s="6"/>
      <c r="C54" s="6"/>
      <c r="D54" s="6"/>
      <c r="E54" s="6"/>
      <c r="F54" s="6"/>
      <c r="G54" s="6"/>
      <c r="H54" s="6"/>
      <c r="I54" s="6"/>
      <c r="J54" s="6"/>
      <c r="K54" s="6"/>
      <c r="L54" s="6"/>
      <c r="M54" s="6"/>
      <c r="N54" s="6"/>
      <c r="O54" s="6"/>
      <c r="P54" s="6"/>
      <c r="Q54" s="6"/>
      <c r="R54" s="6"/>
    </row>
    <row r="55" spans="1:19" ht="18" customHeight="1" x14ac:dyDescent="0.15">
      <c r="A55" s="103" t="s">
        <v>37</v>
      </c>
      <c r="B55" s="103"/>
      <c r="C55" s="103"/>
      <c r="D55" s="103"/>
      <c r="E55" s="103"/>
      <c r="F55" s="103"/>
      <c r="G55" s="103"/>
      <c r="H55" s="103"/>
      <c r="I55" s="103"/>
      <c r="J55" s="103"/>
      <c r="K55" s="103"/>
      <c r="L55" s="103"/>
      <c r="M55" s="103"/>
      <c r="N55" s="103"/>
      <c r="O55" s="103"/>
      <c r="P55" s="103"/>
      <c r="Q55" s="103"/>
      <c r="R55" s="103"/>
      <c r="S55" s="103"/>
    </row>
    <row r="56" spans="1:19" ht="18" customHeight="1" x14ac:dyDescent="0.15">
      <c r="A56" s="103"/>
      <c r="B56" s="103"/>
      <c r="C56" s="103"/>
      <c r="D56" s="103"/>
      <c r="E56" s="103"/>
      <c r="F56" s="103"/>
      <c r="G56" s="103"/>
      <c r="H56" s="103"/>
      <c r="I56" s="103"/>
      <c r="J56" s="103"/>
      <c r="K56" s="103"/>
      <c r="L56" s="103"/>
      <c r="M56" s="103"/>
      <c r="N56" s="103"/>
      <c r="O56" s="103"/>
      <c r="P56" s="103"/>
      <c r="Q56" s="103"/>
      <c r="R56" s="103"/>
      <c r="S56" s="103"/>
    </row>
    <row r="57" spans="1:19" ht="18" customHeight="1" x14ac:dyDescent="0.15">
      <c r="B57" s="97" t="s">
        <v>1</v>
      </c>
      <c r="C57" s="98"/>
      <c r="D57" s="98"/>
      <c r="E57" s="99"/>
      <c r="F57" s="26" t="s">
        <v>21</v>
      </c>
      <c r="G57" s="25" t="s">
        <v>23</v>
      </c>
      <c r="H57" s="7" t="s">
        <v>6</v>
      </c>
      <c r="I57" s="7" t="s">
        <v>8</v>
      </c>
      <c r="J57" s="97" t="s">
        <v>1</v>
      </c>
      <c r="K57" s="98"/>
      <c r="L57" s="98"/>
      <c r="M57" s="98"/>
      <c r="N57" s="98"/>
      <c r="O57" s="99"/>
      <c r="P57" s="26" t="s">
        <v>21</v>
      </c>
      <c r="Q57" s="25" t="s">
        <v>23</v>
      </c>
      <c r="R57" s="7" t="s">
        <v>6</v>
      </c>
      <c r="S57" s="7" t="s">
        <v>8</v>
      </c>
    </row>
    <row r="58" spans="1:19" ht="18" customHeight="1" x14ac:dyDescent="0.15">
      <c r="A58" s="3"/>
      <c r="B58" s="91" t="s">
        <v>108</v>
      </c>
      <c r="C58" s="92"/>
      <c r="D58" s="92"/>
      <c r="E58" s="93"/>
      <c r="F58" s="8">
        <v>2</v>
      </c>
      <c r="G58" s="8"/>
      <c r="H58" s="8" t="s">
        <v>49</v>
      </c>
      <c r="I58" s="8" t="s">
        <v>49</v>
      </c>
      <c r="J58" s="91"/>
      <c r="K58" s="92"/>
      <c r="L58" s="92"/>
      <c r="M58" s="92"/>
      <c r="N58" s="92"/>
      <c r="O58" s="93"/>
      <c r="P58" s="8"/>
      <c r="Q58" s="8"/>
      <c r="R58" s="8"/>
      <c r="S58" s="8"/>
    </row>
    <row r="59" spans="1:19" ht="18" customHeight="1" x14ac:dyDescent="0.15">
      <c r="A59" s="3"/>
      <c r="B59" s="208" t="s">
        <v>118</v>
      </c>
      <c r="C59" s="209"/>
      <c r="D59" s="209"/>
      <c r="E59" s="210"/>
      <c r="F59" s="90">
        <v>2</v>
      </c>
      <c r="G59" s="90"/>
      <c r="H59" s="90" t="s">
        <v>49</v>
      </c>
      <c r="I59" s="90"/>
      <c r="J59" s="94"/>
      <c r="K59" s="95"/>
      <c r="L59" s="95"/>
      <c r="M59" s="95"/>
      <c r="N59" s="95"/>
      <c r="O59" s="96"/>
      <c r="P59" s="9"/>
      <c r="Q59" s="9"/>
      <c r="R59" s="9"/>
      <c r="S59" s="9"/>
    </row>
    <row r="60" spans="1:19" ht="18" customHeight="1" x14ac:dyDescent="0.15">
      <c r="A60" s="3"/>
      <c r="B60" s="94" t="s">
        <v>48</v>
      </c>
      <c r="C60" s="95"/>
      <c r="D60" s="95"/>
      <c r="E60" s="96"/>
      <c r="F60" s="9">
        <v>2</v>
      </c>
      <c r="G60" s="9"/>
      <c r="H60" s="9" t="s">
        <v>49</v>
      </c>
      <c r="I60" s="9" t="s">
        <v>49</v>
      </c>
      <c r="J60" s="94"/>
      <c r="K60" s="95"/>
      <c r="L60" s="95"/>
      <c r="M60" s="95"/>
      <c r="N60" s="95"/>
      <c r="O60" s="96"/>
      <c r="P60" s="9"/>
      <c r="Q60" s="9"/>
      <c r="R60" s="9"/>
      <c r="S60" s="9"/>
    </row>
    <row r="61" spans="1:19" ht="18" customHeight="1" x14ac:dyDescent="0.15">
      <c r="A61" s="3"/>
      <c r="B61" s="94"/>
      <c r="C61" s="95"/>
      <c r="D61" s="95"/>
      <c r="E61" s="96"/>
      <c r="F61" s="9"/>
      <c r="G61" s="9"/>
      <c r="H61" s="9"/>
      <c r="I61" s="9"/>
      <c r="J61" s="94"/>
      <c r="K61" s="95"/>
      <c r="L61" s="95"/>
      <c r="M61" s="95"/>
      <c r="N61" s="95"/>
      <c r="O61" s="96"/>
      <c r="P61" s="9"/>
      <c r="Q61" s="9"/>
      <c r="R61" s="9"/>
      <c r="S61" s="9"/>
    </row>
    <row r="62" spans="1:19" ht="18" customHeight="1" x14ac:dyDescent="0.15">
      <c r="A62" s="3"/>
      <c r="B62" s="94"/>
      <c r="C62" s="95"/>
      <c r="D62" s="95"/>
      <c r="E62" s="96"/>
      <c r="F62" s="9"/>
      <c r="G62" s="9"/>
      <c r="H62" s="9"/>
      <c r="I62" s="9"/>
      <c r="J62" s="94"/>
      <c r="K62" s="95"/>
      <c r="L62" s="95"/>
      <c r="M62" s="95"/>
      <c r="N62" s="95"/>
      <c r="O62" s="96"/>
      <c r="P62" s="9"/>
      <c r="Q62" s="9"/>
      <c r="R62" s="9"/>
      <c r="S62" s="9"/>
    </row>
    <row r="63" spans="1:19" ht="18" customHeight="1" x14ac:dyDescent="0.15">
      <c r="A63" s="3"/>
      <c r="B63" s="94"/>
      <c r="C63" s="95"/>
      <c r="D63" s="95"/>
      <c r="E63" s="96"/>
      <c r="F63" s="9"/>
      <c r="G63" s="9"/>
      <c r="H63" s="9"/>
      <c r="I63" s="9"/>
      <c r="J63" s="94"/>
      <c r="K63" s="95"/>
      <c r="L63" s="95"/>
      <c r="M63" s="95"/>
      <c r="N63" s="95"/>
      <c r="O63" s="96"/>
      <c r="P63" s="9"/>
      <c r="Q63" s="9"/>
      <c r="R63" s="9"/>
      <c r="S63" s="9"/>
    </row>
    <row r="64" spans="1:19" ht="18" customHeight="1" x14ac:dyDescent="0.15">
      <c r="A64" s="3"/>
      <c r="B64" s="100"/>
      <c r="C64" s="101"/>
      <c r="D64" s="101"/>
      <c r="E64" s="102"/>
      <c r="F64" s="10"/>
      <c r="G64" s="10"/>
      <c r="H64" s="11"/>
      <c r="I64" s="11"/>
      <c r="J64" s="100"/>
      <c r="K64" s="101"/>
      <c r="L64" s="101"/>
      <c r="M64" s="101"/>
      <c r="N64" s="101"/>
      <c r="O64" s="102"/>
      <c r="P64" s="10"/>
      <c r="Q64" s="10"/>
      <c r="R64" s="11"/>
      <c r="S64" s="11"/>
    </row>
    <row r="65" spans="1:19" ht="7.5" customHeight="1" x14ac:dyDescent="0.15">
      <c r="B65" s="6"/>
      <c r="C65" s="6"/>
      <c r="D65" s="6"/>
      <c r="E65" s="6"/>
      <c r="F65" s="6"/>
      <c r="G65" s="6"/>
      <c r="H65" s="6"/>
      <c r="I65" s="6"/>
      <c r="J65" s="6"/>
      <c r="K65" s="6"/>
      <c r="L65" s="6"/>
      <c r="M65" s="6"/>
      <c r="N65" s="6"/>
      <c r="O65" s="6"/>
      <c r="P65" s="6"/>
      <c r="Q65" s="6"/>
      <c r="R65" s="6"/>
    </row>
    <row r="66" spans="1:19" ht="18" customHeight="1" x14ac:dyDescent="0.15">
      <c r="A66" s="103" t="s">
        <v>38</v>
      </c>
      <c r="B66" s="103"/>
      <c r="C66" s="103"/>
      <c r="D66" s="103"/>
      <c r="E66" s="103"/>
      <c r="F66" s="103"/>
      <c r="G66" s="103"/>
      <c r="H66" s="103"/>
      <c r="I66" s="103"/>
      <c r="J66" s="103"/>
      <c r="K66" s="103"/>
      <c r="L66" s="103"/>
      <c r="M66" s="103"/>
      <c r="N66" s="103"/>
      <c r="O66" s="103"/>
      <c r="P66" s="103"/>
      <c r="Q66" s="103"/>
      <c r="R66" s="103"/>
      <c r="S66" s="103"/>
    </row>
    <row r="67" spans="1:19" ht="18" customHeight="1" x14ac:dyDescent="0.15">
      <c r="A67" s="103"/>
      <c r="B67" s="103"/>
      <c r="C67" s="103"/>
      <c r="D67" s="103"/>
      <c r="E67" s="103"/>
      <c r="F67" s="103"/>
      <c r="G67" s="103"/>
      <c r="H67" s="103"/>
      <c r="I67" s="103"/>
      <c r="J67" s="103"/>
      <c r="K67" s="103"/>
      <c r="L67" s="103"/>
      <c r="M67" s="103"/>
      <c r="N67" s="103"/>
      <c r="O67" s="103"/>
      <c r="P67" s="103"/>
      <c r="Q67" s="103"/>
      <c r="R67" s="103"/>
      <c r="S67" s="103"/>
    </row>
    <row r="68" spans="1:19" ht="18" customHeight="1" x14ac:dyDescent="0.15">
      <c r="B68" s="97" t="s">
        <v>1</v>
      </c>
      <c r="C68" s="98"/>
      <c r="D68" s="98"/>
      <c r="E68" s="26" t="s">
        <v>21</v>
      </c>
      <c r="F68" s="25" t="s">
        <v>23</v>
      </c>
      <c r="G68" s="7" t="s">
        <v>25</v>
      </c>
      <c r="H68" s="7" t="s">
        <v>16</v>
      </c>
      <c r="I68" s="7" t="s">
        <v>17</v>
      </c>
      <c r="J68" s="97" t="s">
        <v>1</v>
      </c>
      <c r="K68" s="98"/>
      <c r="L68" s="98"/>
      <c r="M68" s="98"/>
      <c r="N68" s="99"/>
      <c r="O68" s="26" t="s">
        <v>21</v>
      </c>
      <c r="P68" s="25" t="s">
        <v>23</v>
      </c>
      <c r="Q68" s="7" t="s">
        <v>25</v>
      </c>
      <c r="R68" s="7" t="s">
        <v>16</v>
      </c>
      <c r="S68" s="7" t="s">
        <v>17</v>
      </c>
    </row>
    <row r="69" spans="1:19" ht="18" customHeight="1" x14ac:dyDescent="0.15">
      <c r="A69" s="3"/>
      <c r="B69" s="91" t="s">
        <v>108</v>
      </c>
      <c r="C69" s="92"/>
      <c r="D69" s="93"/>
      <c r="E69" s="8">
        <v>2</v>
      </c>
      <c r="F69" s="8"/>
      <c r="G69" s="8" t="s">
        <v>49</v>
      </c>
      <c r="H69" s="8"/>
      <c r="I69" s="8" t="s">
        <v>49</v>
      </c>
      <c r="J69" s="91"/>
      <c r="K69" s="92"/>
      <c r="L69" s="92"/>
      <c r="M69" s="92"/>
      <c r="N69" s="93"/>
      <c r="O69" s="8"/>
      <c r="P69" s="8"/>
      <c r="Q69" s="8"/>
      <c r="R69" s="8"/>
      <c r="S69" s="8"/>
    </row>
    <row r="70" spans="1:19" ht="18" customHeight="1" x14ac:dyDescent="0.15">
      <c r="A70" s="3"/>
      <c r="B70" s="208" t="s">
        <v>109</v>
      </c>
      <c r="C70" s="209"/>
      <c r="D70" s="209"/>
      <c r="E70" s="90">
        <v>2</v>
      </c>
      <c r="F70" s="90"/>
      <c r="G70" s="90" t="s">
        <v>49</v>
      </c>
      <c r="H70" s="90" t="s">
        <v>49</v>
      </c>
      <c r="I70" s="90" t="s">
        <v>49</v>
      </c>
      <c r="J70" s="94"/>
      <c r="K70" s="95"/>
      <c r="L70" s="95"/>
      <c r="M70" s="95"/>
      <c r="N70" s="96"/>
      <c r="O70" s="9"/>
      <c r="P70" s="9"/>
      <c r="Q70" s="9"/>
      <c r="R70" s="9"/>
      <c r="S70" s="9"/>
    </row>
    <row r="71" spans="1:19" ht="18" customHeight="1" x14ac:dyDescent="0.15">
      <c r="A71" s="3"/>
      <c r="B71" s="94" t="s">
        <v>48</v>
      </c>
      <c r="C71" s="95"/>
      <c r="D71" s="96"/>
      <c r="E71" s="9">
        <v>2</v>
      </c>
      <c r="F71" s="9"/>
      <c r="G71" s="9" t="s">
        <v>49</v>
      </c>
      <c r="H71" s="9" t="s">
        <v>49</v>
      </c>
      <c r="I71" s="9" t="s">
        <v>49</v>
      </c>
      <c r="J71" s="94"/>
      <c r="K71" s="95"/>
      <c r="L71" s="95"/>
      <c r="M71" s="95"/>
      <c r="N71" s="96"/>
      <c r="O71" s="9"/>
      <c r="P71" s="9"/>
      <c r="Q71" s="9"/>
      <c r="R71" s="9"/>
      <c r="S71" s="9"/>
    </row>
    <row r="72" spans="1:19" ht="18" customHeight="1" x14ac:dyDescent="0.15">
      <c r="A72" s="3"/>
      <c r="B72" s="94" t="s">
        <v>50</v>
      </c>
      <c r="C72" s="95"/>
      <c r="D72" s="95"/>
      <c r="E72" s="9">
        <v>2</v>
      </c>
      <c r="F72" s="9"/>
      <c r="G72" s="9" t="s">
        <v>49</v>
      </c>
      <c r="H72" s="9" t="s">
        <v>49</v>
      </c>
      <c r="I72" s="9"/>
      <c r="J72" s="94"/>
      <c r="K72" s="95"/>
      <c r="L72" s="95"/>
      <c r="M72" s="95"/>
      <c r="N72" s="96"/>
      <c r="O72" s="9"/>
      <c r="P72" s="9"/>
      <c r="Q72" s="9"/>
      <c r="R72" s="9"/>
      <c r="S72" s="9"/>
    </row>
    <row r="73" spans="1:19" ht="18" customHeight="1" x14ac:dyDescent="0.15">
      <c r="A73" s="3"/>
      <c r="B73" s="94"/>
      <c r="C73" s="95"/>
      <c r="D73" s="95"/>
      <c r="E73" s="9"/>
      <c r="F73" s="9"/>
      <c r="G73" s="9"/>
      <c r="H73" s="9"/>
      <c r="I73" s="9"/>
      <c r="J73" s="94"/>
      <c r="K73" s="95"/>
      <c r="L73" s="95"/>
      <c r="M73" s="95"/>
      <c r="N73" s="96"/>
      <c r="O73" s="9"/>
      <c r="P73" s="9"/>
      <c r="Q73" s="9"/>
      <c r="R73" s="9"/>
      <c r="S73" s="9"/>
    </row>
    <row r="74" spans="1:19" ht="18" customHeight="1" x14ac:dyDescent="0.15">
      <c r="A74" s="3"/>
      <c r="B74" s="94"/>
      <c r="C74" s="95"/>
      <c r="D74" s="95"/>
      <c r="E74" s="9"/>
      <c r="F74" s="9"/>
      <c r="G74" s="9"/>
      <c r="H74" s="9"/>
      <c r="I74" s="9"/>
      <c r="J74" s="94"/>
      <c r="K74" s="95"/>
      <c r="L74" s="95"/>
      <c r="M74" s="95"/>
      <c r="N74" s="96"/>
      <c r="O74" s="9"/>
      <c r="P74" s="9"/>
      <c r="Q74" s="9"/>
      <c r="R74" s="9"/>
      <c r="S74" s="9"/>
    </row>
    <row r="75" spans="1:19" ht="18" customHeight="1" x14ac:dyDescent="0.15">
      <c r="A75" s="3"/>
      <c r="B75" s="100"/>
      <c r="C75" s="101"/>
      <c r="D75" s="101"/>
      <c r="E75" s="10"/>
      <c r="F75" s="10"/>
      <c r="G75" s="11"/>
      <c r="H75" s="11"/>
      <c r="I75" s="11"/>
      <c r="J75" s="100"/>
      <c r="K75" s="101"/>
      <c r="L75" s="101"/>
      <c r="M75" s="101"/>
      <c r="N75" s="102"/>
      <c r="O75" s="10"/>
      <c r="P75" s="10"/>
      <c r="Q75" s="11"/>
      <c r="R75" s="11"/>
      <c r="S75" s="11"/>
    </row>
    <row r="76" spans="1:19" ht="7.5" customHeight="1" x14ac:dyDescent="0.15">
      <c r="B76" s="6"/>
      <c r="C76" s="6"/>
      <c r="D76" s="6"/>
      <c r="E76" s="6"/>
      <c r="F76" s="6"/>
      <c r="G76" s="6"/>
      <c r="H76" s="6"/>
      <c r="I76" s="6"/>
      <c r="J76" s="6"/>
      <c r="K76" s="6"/>
      <c r="L76" s="6"/>
      <c r="M76" s="6"/>
      <c r="N76" s="6"/>
      <c r="O76" s="6"/>
      <c r="P76" s="6"/>
      <c r="Q76" s="6"/>
      <c r="R76" s="6"/>
    </row>
    <row r="77" spans="1:19" ht="18" customHeight="1" x14ac:dyDescent="0.15">
      <c r="A77" s="1" t="s">
        <v>39</v>
      </c>
      <c r="H77" s="3"/>
      <c r="I77" s="3"/>
      <c r="J77" s="3"/>
      <c r="K77" s="3"/>
      <c r="L77" s="3"/>
      <c r="M77" s="3"/>
      <c r="N77" s="3"/>
      <c r="O77" s="3"/>
      <c r="P77" s="3"/>
      <c r="Q77" s="3"/>
      <c r="R77" s="3"/>
      <c r="S77" s="3"/>
    </row>
    <row r="78" spans="1:19" ht="18" customHeight="1" x14ac:dyDescent="0.15">
      <c r="B78" s="97" t="s">
        <v>1</v>
      </c>
      <c r="C78" s="98"/>
      <c r="D78" s="98"/>
      <c r="E78" s="99"/>
      <c r="F78" s="97" t="s">
        <v>22</v>
      </c>
      <c r="G78" s="98"/>
      <c r="H78" s="98"/>
      <c r="I78" s="99"/>
      <c r="J78" s="124" t="s">
        <v>1</v>
      </c>
      <c r="K78" s="125"/>
      <c r="L78" s="125"/>
      <c r="M78" s="125"/>
      <c r="N78" s="125"/>
      <c r="O78" s="126"/>
      <c r="P78" s="97" t="s">
        <v>22</v>
      </c>
      <c r="Q78" s="98"/>
      <c r="R78" s="98"/>
      <c r="S78" s="99"/>
    </row>
    <row r="79" spans="1:19" ht="18" customHeight="1" x14ac:dyDescent="0.15">
      <c r="A79" s="3"/>
      <c r="B79" s="91"/>
      <c r="C79" s="92"/>
      <c r="D79" s="92"/>
      <c r="E79" s="93"/>
      <c r="F79" s="118"/>
      <c r="G79" s="119"/>
      <c r="H79" s="119"/>
      <c r="I79" s="120"/>
      <c r="J79" s="91"/>
      <c r="K79" s="92"/>
      <c r="L79" s="92"/>
      <c r="M79" s="92"/>
      <c r="N79" s="92"/>
      <c r="O79" s="93"/>
      <c r="P79" s="118"/>
      <c r="Q79" s="119"/>
      <c r="R79" s="119"/>
      <c r="S79" s="120"/>
    </row>
    <row r="80" spans="1:19" ht="18" customHeight="1" x14ac:dyDescent="0.15">
      <c r="A80" s="3"/>
      <c r="B80" s="94"/>
      <c r="C80" s="95"/>
      <c r="D80" s="95"/>
      <c r="E80" s="96"/>
      <c r="F80" s="121"/>
      <c r="G80" s="122"/>
      <c r="H80" s="122"/>
      <c r="I80" s="123"/>
      <c r="J80" s="94"/>
      <c r="K80" s="95"/>
      <c r="L80" s="95"/>
      <c r="M80" s="95"/>
      <c r="N80" s="95"/>
      <c r="O80" s="96"/>
      <c r="P80" s="121"/>
      <c r="Q80" s="122"/>
      <c r="R80" s="122"/>
      <c r="S80" s="123"/>
    </row>
    <row r="81" spans="1:19" ht="18" customHeight="1" x14ac:dyDescent="0.15">
      <c r="A81" s="3"/>
      <c r="B81" s="94"/>
      <c r="C81" s="95"/>
      <c r="D81" s="95"/>
      <c r="E81" s="96"/>
      <c r="F81" s="121"/>
      <c r="G81" s="122"/>
      <c r="H81" s="122"/>
      <c r="I81" s="123"/>
      <c r="J81" s="94"/>
      <c r="K81" s="95"/>
      <c r="L81" s="95"/>
      <c r="M81" s="95"/>
      <c r="N81" s="95"/>
      <c r="O81" s="96"/>
      <c r="P81" s="121"/>
      <c r="Q81" s="122"/>
      <c r="R81" s="122"/>
      <c r="S81" s="123"/>
    </row>
    <row r="82" spans="1:19" ht="18" customHeight="1" x14ac:dyDescent="0.15">
      <c r="A82" s="3"/>
      <c r="B82" s="94"/>
      <c r="C82" s="95"/>
      <c r="D82" s="95"/>
      <c r="E82" s="96"/>
      <c r="F82" s="121"/>
      <c r="G82" s="122"/>
      <c r="H82" s="122"/>
      <c r="I82" s="123"/>
      <c r="J82" s="94"/>
      <c r="K82" s="95"/>
      <c r="L82" s="95"/>
      <c r="M82" s="95"/>
      <c r="N82" s="95"/>
      <c r="O82" s="96"/>
      <c r="P82" s="121"/>
      <c r="Q82" s="122"/>
      <c r="R82" s="122"/>
      <c r="S82" s="123"/>
    </row>
    <row r="83" spans="1:19" ht="18" customHeight="1" x14ac:dyDescent="0.15">
      <c r="A83" s="3"/>
      <c r="B83" s="94"/>
      <c r="C83" s="95"/>
      <c r="D83" s="95"/>
      <c r="E83" s="96"/>
      <c r="F83" s="121"/>
      <c r="G83" s="122"/>
      <c r="H83" s="122"/>
      <c r="I83" s="123"/>
      <c r="J83" s="94"/>
      <c r="K83" s="95"/>
      <c r="L83" s="95"/>
      <c r="M83" s="95"/>
      <c r="N83" s="95"/>
      <c r="O83" s="96"/>
      <c r="P83" s="121"/>
      <c r="Q83" s="122"/>
      <c r="R83" s="122"/>
      <c r="S83" s="123"/>
    </row>
    <row r="84" spans="1:19" ht="18" customHeight="1" x14ac:dyDescent="0.15">
      <c r="A84" s="3"/>
      <c r="B84" s="94"/>
      <c r="C84" s="95"/>
      <c r="D84" s="95"/>
      <c r="E84" s="96"/>
      <c r="F84" s="121"/>
      <c r="G84" s="122"/>
      <c r="H84" s="122"/>
      <c r="I84" s="123"/>
      <c r="J84" s="94"/>
      <c r="K84" s="95"/>
      <c r="L84" s="95"/>
      <c r="M84" s="95"/>
      <c r="N84" s="95"/>
      <c r="O84" s="96"/>
      <c r="P84" s="121"/>
      <c r="Q84" s="122"/>
      <c r="R84" s="122"/>
      <c r="S84" s="123"/>
    </row>
    <row r="85" spans="1:19" ht="18" customHeight="1" x14ac:dyDescent="0.15">
      <c r="A85" s="3"/>
      <c r="B85" s="100"/>
      <c r="C85" s="101"/>
      <c r="D85" s="101"/>
      <c r="E85" s="102"/>
      <c r="F85" s="130"/>
      <c r="G85" s="131"/>
      <c r="H85" s="131"/>
      <c r="I85" s="132"/>
      <c r="J85" s="100"/>
      <c r="K85" s="101"/>
      <c r="L85" s="101"/>
      <c r="M85" s="101"/>
      <c r="N85" s="101"/>
      <c r="O85" s="102"/>
      <c r="P85" s="130"/>
      <c r="Q85" s="131"/>
      <c r="R85" s="131"/>
      <c r="S85" s="132"/>
    </row>
    <row r="86" spans="1:19" ht="18" customHeight="1" x14ac:dyDescent="0.15">
      <c r="A86" s="3"/>
      <c r="B86" s="4"/>
      <c r="C86" s="4"/>
      <c r="D86" s="4"/>
      <c r="E86" s="4"/>
      <c r="F86" s="12"/>
      <c r="G86" s="12"/>
      <c r="H86" s="12"/>
      <c r="I86" s="12"/>
      <c r="J86" s="4"/>
      <c r="K86" s="4"/>
      <c r="L86" s="4"/>
      <c r="M86" s="4"/>
      <c r="N86" s="4"/>
      <c r="O86" s="4"/>
      <c r="P86" s="12"/>
      <c r="Q86" s="12"/>
      <c r="R86" s="12"/>
      <c r="S86" s="12"/>
    </row>
    <row r="87" spans="1:19" ht="18.75" customHeight="1" x14ac:dyDescent="0.15">
      <c r="A87" s="1" t="s">
        <v>40</v>
      </c>
    </row>
    <row r="88" spans="1:19" ht="18.75" customHeight="1" x14ac:dyDescent="0.15">
      <c r="B88" s="116" t="s">
        <v>2</v>
      </c>
      <c r="C88" s="117"/>
      <c r="D88" s="98" t="s">
        <v>3</v>
      </c>
      <c r="E88" s="98"/>
      <c r="F88" s="98"/>
      <c r="G88" s="98"/>
      <c r="H88" s="98"/>
      <c r="I88" s="98"/>
      <c r="J88" s="98"/>
      <c r="K88" s="98"/>
      <c r="L88" s="98"/>
      <c r="M88" s="98"/>
      <c r="N88" s="98"/>
      <c r="O88" s="98"/>
      <c r="P88" s="98"/>
      <c r="Q88" s="98"/>
      <c r="R88" s="98"/>
      <c r="S88" s="99"/>
    </row>
    <row r="89" spans="1:19" ht="97.5" customHeight="1" x14ac:dyDescent="0.15">
      <c r="B89" s="104" t="s">
        <v>9</v>
      </c>
      <c r="C89" s="13" t="s">
        <v>4</v>
      </c>
      <c r="D89" s="211" t="s">
        <v>252</v>
      </c>
      <c r="E89" s="212"/>
      <c r="F89" s="212"/>
      <c r="G89" s="212"/>
      <c r="H89" s="212"/>
      <c r="I89" s="212"/>
      <c r="J89" s="212"/>
      <c r="K89" s="212"/>
      <c r="L89" s="212"/>
      <c r="M89" s="212"/>
      <c r="N89" s="212"/>
      <c r="O89" s="212"/>
      <c r="P89" s="212"/>
      <c r="Q89" s="212"/>
      <c r="R89" s="212"/>
      <c r="S89" s="213"/>
    </row>
    <row r="90" spans="1:19" ht="97.5" customHeight="1" x14ac:dyDescent="0.15">
      <c r="B90" s="105"/>
      <c r="C90" s="14" t="s">
        <v>18</v>
      </c>
      <c r="D90" s="214" t="s">
        <v>253</v>
      </c>
      <c r="E90" s="215"/>
      <c r="F90" s="215"/>
      <c r="G90" s="215"/>
      <c r="H90" s="215"/>
      <c r="I90" s="215"/>
      <c r="J90" s="215"/>
      <c r="K90" s="215"/>
      <c r="L90" s="215"/>
      <c r="M90" s="215"/>
      <c r="N90" s="215"/>
      <c r="O90" s="215"/>
      <c r="P90" s="215"/>
      <c r="Q90" s="215"/>
      <c r="R90" s="215"/>
      <c r="S90" s="216"/>
    </row>
    <row r="91" spans="1:19" ht="97.5" customHeight="1" x14ac:dyDescent="0.15">
      <c r="B91" s="104" t="s">
        <v>10</v>
      </c>
      <c r="C91" s="15" t="s">
        <v>12</v>
      </c>
      <c r="D91" s="217" t="s">
        <v>254</v>
      </c>
      <c r="E91" s="218"/>
      <c r="F91" s="218"/>
      <c r="G91" s="218"/>
      <c r="H91" s="218"/>
      <c r="I91" s="218"/>
      <c r="J91" s="218"/>
      <c r="K91" s="218"/>
      <c r="L91" s="218"/>
      <c r="M91" s="218"/>
      <c r="N91" s="218"/>
      <c r="O91" s="218"/>
      <c r="P91" s="218"/>
      <c r="Q91" s="218"/>
      <c r="R91" s="218"/>
      <c r="S91" s="219"/>
    </row>
    <row r="92" spans="1:19" ht="97.5" customHeight="1" x14ac:dyDescent="0.15">
      <c r="B92" s="106"/>
      <c r="C92" s="16" t="s">
        <v>13</v>
      </c>
      <c r="D92" s="220" t="s">
        <v>255</v>
      </c>
      <c r="E92" s="221"/>
      <c r="F92" s="221"/>
      <c r="G92" s="221"/>
      <c r="H92" s="221"/>
      <c r="I92" s="221"/>
      <c r="J92" s="221"/>
      <c r="K92" s="221"/>
      <c r="L92" s="221"/>
      <c r="M92" s="221"/>
      <c r="N92" s="221"/>
      <c r="O92" s="221"/>
      <c r="P92" s="221"/>
      <c r="Q92" s="221"/>
      <c r="R92" s="221"/>
      <c r="S92" s="222"/>
    </row>
    <row r="93" spans="1:19" ht="97.5" customHeight="1" x14ac:dyDescent="0.15">
      <c r="B93" s="104" t="s">
        <v>11</v>
      </c>
      <c r="C93" s="15" t="s">
        <v>14</v>
      </c>
      <c r="D93" s="217" t="s">
        <v>256</v>
      </c>
      <c r="E93" s="218"/>
      <c r="F93" s="218"/>
      <c r="G93" s="218"/>
      <c r="H93" s="218"/>
      <c r="I93" s="218"/>
      <c r="J93" s="218"/>
      <c r="K93" s="218"/>
      <c r="L93" s="218"/>
      <c r="M93" s="218"/>
      <c r="N93" s="218"/>
      <c r="O93" s="218"/>
      <c r="P93" s="218"/>
      <c r="Q93" s="218"/>
      <c r="R93" s="218"/>
      <c r="S93" s="219"/>
    </row>
    <row r="94" spans="1:19" ht="97.5" customHeight="1" x14ac:dyDescent="0.15">
      <c r="B94" s="106"/>
      <c r="C94" s="17" t="s">
        <v>15</v>
      </c>
      <c r="D94" s="232" t="s">
        <v>257</v>
      </c>
      <c r="E94" s="233"/>
      <c r="F94" s="233"/>
      <c r="G94" s="233"/>
      <c r="H94" s="233"/>
      <c r="I94" s="233"/>
      <c r="J94" s="233"/>
      <c r="K94" s="233"/>
      <c r="L94" s="233"/>
      <c r="M94" s="233"/>
      <c r="N94" s="233"/>
      <c r="O94" s="233"/>
      <c r="P94" s="233"/>
      <c r="Q94" s="233"/>
      <c r="R94" s="233"/>
      <c r="S94" s="234"/>
    </row>
    <row r="95" spans="1:19" ht="97.5" customHeight="1" x14ac:dyDescent="0.15">
      <c r="B95" s="104" t="s">
        <v>19</v>
      </c>
      <c r="C95" s="13" t="s">
        <v>6</v>
      </c>
      <c r="D95" s="211" t="s">
        <v>258</v>
      </c>
      <c r="E95" s="212"/>
      <c r="F95" s="212"/>
      <c r="G95" s="212"/>
      <c r="H95" s="212"/>
      <c r="I95" s="212"/>
      <c r="J95" s="212"/>
      <c r="K95" s="212"/>
      <c r="L95" s="212"/>
      <c r="M95" s="212"/>
      <c r="N95" s="212"/>
      <c r="O95" s="212"/>
      <c r="P95" s="212"/>
      <c r="Q95" s="212"/>
      <c r="R95" s="212"/>
      <c r="S95" s="213"/>
    </row>
    <row r="96" spans="1:19" ht="97.5" customHeight="1" x14ac:dyDescent="0.15">
      <c r="B96" s="106"/>
      <c r="C96" s="16" t="s">
        <v>8</v>
      </c>
      <c r="D96" s="220" t="s">
        <v>259</v>
      </c>
      <c r="E96" s="221"/>
      <c r="F96" s="221"/>
      <c r="G96" s="221"/>
      <c r="H96" s="221"/>
      <c r="I96" s="221"/>
      <c r="J96" s="221"/>
      <c r="K96" s="221"/>
      <c r="L96" s="221"/>
      <c r="M96" s="221"/>
      <c r="N96" s="221"/>
      <c r="O96" s="221"/>
      <c r="P96" s="221"/>
      <c r="Q96" s="221"/>
      <c r="R96" s="221"/>
      <c r="S96" s="222"/>
    </row>
    <row r="97" spans="1:19" ht="97.5" customHeight="1" x14ac:dyDescent="0.15">
      <c r="B97" s="104" t="s">
        <v>20</v>
      </c>
      <c r="C97" s="15" t="s">
        <v>5</v>
      </c>
      <c r="D97" s="223" t="s">
        <v>264</v>
      </c>
      <c r="E97" s="224"/>
      <c r="F97" s="224"/>
      <c r="G97" s="224"/>
      <c r="H97" s="224"/>
      <c r="I97" s="224"/>
      <c r="J97" s="224"/>
      <c r="K97" s="224"/>
      <c r="L97" s="224"/>
      <c r="M97" s="224"/>
      <c r="N97" s="224"/>
      <c r="O97" s="224"/>
      <c r="P97" s="224"/>
      <c r="Q97" s="224"/>
      <c r="R97" s="224"/>
      <c r="S97" s="225"/>
    </row>
    <row r="98" spans="1:19" ht="97.5" customHeight="1" x14ac:dyDescent="0.15">
      <c r="B98" s="105"/>
      <c r="C98" s="18" t="s">
        <v>16</v>
      </c>
      <c r="D98" s="226" t="s">
        <v>260</v>
      </c>
      <c r="E98" s="227"/>
      <c r="F98" s="227"/>
      <c r="G98" s="227"/>
      <c r="H98" s="227"/>
      <c r="I98" s="227"/>
      <c r="J98" s="227"/>
      <c r="K98" s="227"/>
      <c r="L98" s="227"/>
      <c r="M98" s="227"/>
      <c r="N98" s="227"/>
      <c r="O98" s="227"/>
      <c r="P98" s="227"/>
      <c r="Q98" s="227"/>
      <c r="R98" s="227"/>
      <c r="S98" s="228"/>
    </row>
    <row r="99" spans="1:19" ht="97.5" customHeight="1" x14ac:dyDescent="0.15">
      <c r="B99" s="106"/>
      <c r="C99" s="17" t="s">
        <v>17</v>
      </c>
      <c r="D99" s="229" t="s">
        <v>261</v>
      </c>
      <c r="E99" s="230"/>
      <c r="F99" s="230"/>
      <c r="G99" s="230"/>
      <c r="H99" s="230"/>
      <c r="I99" s="230"/>
      <c r="J99" s="230"/>
      <c r="K99" s="230"/>
      <c r="L99" s="230"/>
      <c r="M99" s="230"/>
      <c r="N99" s="230"/>
      <c r="O99" s="230"/>
      <c r="P99" s="230"/>
      <c r="Q99" s="230"/>
      <c r="R99" s="230"/>
      <c r="S99" s="231"/>
    </row>
    <row r="100" spans="1:19" ht="6" customHeight="1" x14ac:dyDescent="0.15"/>
    <row r="101" spans="1:19" ht="18.75" customHeight="1" x14ac:dyDescent="0.15">
      <c r="A101" s="1" t="s">
        <v>41</v>
      </c>
    </row>
    <row r="102" spans="1:19" ht="81.75" customHeight="1" x14ac:dyDescent="0.15">
      <c r="B102" s="127" t="s">
        <v>114</v>
      </c>
      <c r="C102" s="128"/>
      <c r="D102" s="128"/>
      <c r="E102" s="128"/>
      <c r="F102" s="128"/>
      <c r="G102" s="128"/>
      <c r="H102" s="128"/>
      <c r="I102" s="128"/>
      <c r="J102" s="128"/>
      <c r="K102" s="128"/>
      <c r="L102" s="128"/>
      <c r="M102" s="128"/>
      <c r="N102" s="128"/>
      <c r="O102" s="128"/>
      <c r="P102" s="128"/>
      <c r="Q102" s="128"/>
      <c r="R102" s="128"/>
      <c r="S102" s="129"/>
    </row>
    <row r="110" spans="1:19" ht="18" customHeight="1" x14ac:dyDescent="0.15"/>
  </sheetData>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K20:S20">
      <formula1>$V$14:$V$16</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12 K7">
      <formula1>"学部・学科によって、修了要件は相違する,学部・学科によって、修了要件は相違しない"</formula1>
    </dataValidation>
    <dataValidation type="list" allowBlank="1" showInputMessage="1" showErrorMessage="1" sqref="S32 S43 D32:G32 D43:G43">
      <formula1>"全学開講,一部開講"</formula1>
    </dataValidation>
    <dataValidation type="list" allowBlank="1" showInputMessage="1" showErrorMessage="1" sqref="G47:I53 Q25:S31 P69:S75 Q36:S42 G58:I64 Q47:S53 G36:I42 Q58:S64 G25:I31 F69:I75">
      <formula1>"○"</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zoomScaleNormal="100" zoomScaleSheetLayoutView="100" workbookViewId="0">
      <selection activeCell="A33" sqref="A33:S34"/>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125</v>
      </c>
    </row>
    <row r="2" spans="1:45" ht="18" customHeight="1" x14ac:dyDescent="0.15">
      <c r="K2" s="28"/>
      <c r="Q2" s="28"/>
      <c r="W2" s="28"/>
      <c r="AC2" s="28"/>
      <c r="AI2" s="28"/>
      <c r="AL2" s="28" t="s">
        <v>29</v>
      </c>
      <c r="AM2" s="244" t="str">
        <f>'様式１　プログラムを構成する授業科目'!C2</f>
        <v>専修大学</v>
      </c>
      <c r="AN2" s="244"/>
      <c r="AO2" s="244"/>
      <c r="AP2" s="244"/>
      <c r="AQ2" s="244"/>
    </row>
    <row r="3" spans="1:45" ht="18" customHeight="1" x14ac:dyDescent="0.15">
      <c r="A3" s="155" t="s">
        <v>126</v>
      </c>
      <c r="B3" s="155"/>
      <c r="C3" s="155"/>
      <c r="D3" s="155"/>
      <c r="E3" s="155"/>
      <c r="F3" s="155"/>
      <c r="G3" s="155"/>
      <c r="H3" s="155"/>
      <c r="I3" s="155"/>
      <c r="J3" s="155"/>
      <c r="K3" s="155"/>
      <c r="L3" s="155"/>
      <c r="M3" s="155"/>
      <c r="N3" s="155"/>
      <c r="O3" s="155"/>
      <c r="P3" s="155"/>
      <c r="Q3" s="155"/>
      <c r="R3" s="155"/>
      <c r="S3" s="155"/>
      <c r="T3" s="155"/>
      <c r="U3" s="155"/>
      <c r="V3" s="155"/>
      <c r="W3" s="155"/>
      <c r="X3" s="155"/>
      <c r="Y3" s="155"/>
      <c r="Z3" s="155"/>
      <c r="AA3" s="155"/>
      <c r="AB3" s="155"/>
      <c r="AC3" s="155"/>
      <c r="AD3" s="155"/>
      <c r="AE3" s="155"/>
      <c r="AF3" s="155"/>
      <c r="AG3" s="155"/>
      <c r="AH3" s="155"/>
      <c r="AI3" s="155"/>
      <c r="AJ3" s="155"/>
      <c r="AK3" s="155"/>
      <c r="AL3" s="155"/>
      <c r="AM3" s="155"/>
      <c r="AN3" s="155"/>
      <c r="AO3" s="155"/>
      <c r="AP3" s="155"/>
      <c r="AQ3" s="155"/>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127</v>
      </c>
      <c r="C5" s="245" t="s">
        <v>128</v>
      </c>
      <c r="D5" s="246"/>
      <c r="E5" s="3" t="s">
        <v>129</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4"/>
      <c r="AQ5" s="4"/>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130</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247" t="s">
        <v>131</v>
      </c>
      <c r="C9" s="250" t="s">
        <v>132</v>
      </c>
      <c r="D9" s="253" t="s">
        <v>133</v>
      </c>
      <c r="E9" s="256" t="s">
        <v>134</v>
      </c>
      <c r="F9" s="237" t="s">
        <v>135</v>
      </c>
      <c r="G9" s="237"/>
      <c r="H9" s="237"/>
      <c r="I9" s="237"/>
      <c r="J9" s="237"/>
      <c r="K9" s="237"/>
      <c r="L9" s="237" t="s">
        <v>136</v>
      </c>
      <c r="M9" s="237"/>
      <c r="N9" s="237"/>
      <c r="O9" s="237"/>
      <c r="P9" s="237"/>
      <c r="Q9" s="237"/>
      <c r="R9" s="237" t="s">
        <v>137</v>
      </c>
      <c r="S9" s="237"/>
      <c r="T9" s="237"/>
      <c r="U9" s="237"/>
      <c r="V9" s="237"/>
      <c r="W9" s="237"/>
      <c r="X9" s="237" t="s">
        <v>138</v>
      </c>
      <c r="Y9" s="237"/>
      <c r="Z9" s="237"/>
      <c r="AA9" s="237"/>
      <c r="AB9" s="237"/>
      <c r="AC9" s="237"/>
      <c r="AD9" s="237" t="s">
        <v>139</v>
      </c>
      <c r="AE9" s="237"/>
      <c r="AF9" s="237"/>
      <c r="AG9" s="237"/>
      <c r="AH9" s="237"/>
      <c r="AI9" s="237"/>
      <c r="AJ9" s="237" t="s">
        <v>140</v>
      </c>
      <c r="AK9" s="237"/>
      <c r="AL9" s="237"/>
      <c r="AM9" s="237"/>
      <c r="AN9" s="237"/>
      <c r="AO9" s="237"/>
      <c r="AP9" s="238" t="s">
        <v>141</v>
      </c>
      <c r="AQ9" s="241" t="s">
        <v>142</v>
      </c>
      <c r="AS9" s="2"/>
    </row>
    <row r="10" spans="1:45" ht="16.899999999999999" customHeight="1" x14ac:dyDescent="0.15">
      <c r="B10" s="248"/>
      <c r="C10" s="251"/>
      <c r="D10" s="254"/>
      <c r="E10" s="257"/>
      <c r="F10" s="235" t="s">
        <v>143</v>
      </c>
      <c r="G10" s="236"/>
      <c r="H10" s="236"/>
      <c r="I10" s="235" t="s">
        <v>144</v>
      </c>
      <c r="J10" s="236"/>
      <c r="K10" s="236"/>
      <c r="L10" s="235" t="s">
        <v>143</v>
      </c>
      <c r="M10" s="236"/>
      <c r="N10" s="236"/>
      <c r="O10" s="235" t="s">
        <v>144</v>
      </c>
      <c r="P10" s="236"/>
      <c r="Q10" s="236"/>
      <c r="R10" s="235" t="s">
        <v>143</v>
      </c>
      <c r="S10" s="236"/>
      <c r="T10" s="236"/>
      <c r="U10" s="235" t="s">
        <v>144</v>
      </c>
      <c r="V10" s="236"/>
      <c r="W10" s="236"/>
      <c r="X10" s="235" t="s">
        <v>143</v>
      </c>
      <c r="Y10" s="236"/>
      <c r="Z10" s="236"/>
      <c r="AA10" s="235" t="s">
        <v>144</v>
      </c>
      <c r="AB10" s="236"/>
      <c r="AC10" s="236"/>
      <c r="AD10" s="235" t="s">
        <v>143</v>
      </c>
      <c r="AE10" s="236"/>
      <c r="AF10" s="236"/>
      <c r="AG10" s="235" t="s">
        <v>144</v>
      </c>
      <c r="AH10" s="236"/>
      <c r="AI10" s="236"/>
      <c r="AJ10" s="235" t="s">
        <v>143</v>
      </c>
      <c r="AK10" s="236"/>
      <c r="AL10" s="236"/>
      <c r="AM10" s="235" t="s">
        <v>144</v>
      </c>
      <c r="AN10" s="236"/>
      <c r="AO10" s="236"/>
      <c r="AP10" s="239"/>
      <c r="AQ10" s="242"/>
      <c r="AS10" s="2"/>
    </row>
    <row r="11" spans="1:45" ht="18" customHeight="1" x14ac:dyDescent="0.15">
      <c r="B11" s="249"/>
      <c r="C11" s="252"/>
      <c r="D11" s="255"/>
      <c r="E11" s="258"/>
      <c r="F11" s="30" t="s">
        <v>145</v>
      </c>
      <c r="G11" s="31" t="s">
        <v>146</v>
      </c>
      <c r="H11" s="32" t="s">
        <v>147</v>
      </c>
      <c r="I11" s="30" t="s">
        <v>145</v>
      </c>
      <c r="J11" s="31" t="s">
        <v>146</v>
      </c>
      <c r="K11" s="32" t="s">
        <v>147</v>
      </c>
      <c r="L11" s="30" t="s">
        <v>145</v>
      </c>
      <c r="M11" s="31" t="s">
        <v>146</v>
      </c>
      <c r="N11" s="32" t="s">
        <v>147</v>
      </c>
      <c r="O11" s="30" t="s">
        <v>145</v>
      </c>
      <c r="P11" s="31" t="s">
        <v>146</v>
      </c>
      <c r="Q11" s="32" t="s">
        <v>147</v>
      </c>
      <c r="R11" s="30" t="s">
        <v>145</v>
      </c>
      <c r="S11" s="31" t="s">
        <v>146</v>
      </c>
      <c r="T11" s="32" t="s">
        <v>147</v>
      </c>
      <c r="U11" s="30" t="s">
        <v>145</v>
      </c>
      <c r="V11" s="31" t="s">
        <v>146</v>
      </c>
      <c r="W11" s="32" t="s">
        <v>147</v>
      </c>
      <c r="X11" s="30" t="s">
        <v>145</v>
      </c>
      <c r="Y11" s="31" t="s">
        <v>146</v>
      </c>
      <c r="Z11" s="32" t="s">
        <v>147</v>
      </c>
      <c r="AA11" s="30" t="s">
        <v>145</v>
      </c>
      <c r="AB11" s="31" t="s">
        <v>146</v>
      </c>
      <c r="AC11" s="32" t="s">
        <v>147</v>
      </c>
      <c r="AD11" s="30" t="s">
        <v>145</v>
      </c>
      <c r="AE11" s="31" t="s">
        <v>146</v>
      </c>
      <c r="AF11" s="32" t="s">
        <v>147</v>
      </c>
      <c r="AG11" s="30" t="s">
        <v>145</v>
      </c>
      <c r="AH11" s="31" t="s">
        <v>146</v>
      </c>
      <c r="AI11" s="32" t="s">
        <v>147</v>
      </c>
      <c r="AJ11" s="30" t="s">
        <v>145</v>
      </c>
      <c r="AK11" s="31" t="s">
        <v>146</v>
      </c>
      <c r="AL11" s="32" t="s">
        <v>147</v>
      </c>
      <c r="AM11" s="30" t="s">
        <v>145</v>
      </c>
      <c r="AN11" s="31" t="s">
        <v>146</v>
      </c>
      <c r="AO11" s="32" t="s">
        <v>147</v>
      </c>
      <c r="AP11" s="240"/>
      <c r="AQ11" s="243"/>
      <c r="AS11" s="2"/>
    </row>
    <row r="12" spans="1:45" ht="18" customHeight="1" x14ac:dyDescent="0.15">
      <c r="A12" s="4"/>
      <c r="B12" s="33" t="s">
        <v>148</v>
      </c>
      <c r="C12" s="34">
        <v>3135</v>
      </c>
      <c r="D12" s="35">
        <v>751</v>
      </c>
      <c r="E12" s="36">
        <v>2948</v>
      </c>
      <c r="F12" s="36">
        <v>329</v>
      </c>
      <c r="G12" s="37"/>
      <c r="H12" s="38"/>
      <c r="I12" s="36">
        <v>264</v>
      </c>
      <c r="J12" s="37"/>
      <c r="K12" s="38"/>
      <c r="L12" s="36">
        <f>M12+N12</f>
        <v>0</v>
      </c>
      <c r="M12" s="39"/>
      <c r="N12" s="40"/>
      <c r="O12" s="36">
        <f>P12+Q12</f>
        <v>0</v>
      </c>
      <c r="P12" s="39"/>
      <c r="Q12" s="40"/>
      <c r="R12" s="36">
        <f>S12+T12</f>
        <v>0</v>
      </c>
      <c r="S12" s="39"/>
      <c r="T12" s="40"/>
      <c r="U12" s="36">
        <f>V12+W12</f>
        <v>0</v>
      </c>
      <c r="V12" s="39"/>
      <c r="W12" s="40"/>
      <c r="X12" s="36">
        <f>Y12+Z12</f>
        <v>0</v>
      </c>
      <c r="Y12" s="39"/>
      <c r="Z12" s="40"/>
      <c r="AA12" s="36">
        <f>AB12+AC12</f>
        <v>0</v>
      </c>
      <c r="AB12" s="39"/>
      <c r="AC12" s="40"/>
      <c r="AD12" s="36">
        <f>AE12+AF12</f>
        <v>0</v>
      </c>
      <c r="AE12" s="39"/>
      <c r="AF12" s="40"/>
      <c r="AG12" s="36">
        <f>AH12+AI12</f>
        <v>0</v>
      </c>
      <c r="AH12" s="39"/>
      <c r="AI12" s="40"/>
      <c r="AJ12" s="36">
        <f>AK12+AL12</f>
        <v>0</v>
      </c>
      <c r="AK12" s="39"/>
      <c r="AL12" s="40"/>
      <c r="AM12" s="36">
        <f>AN12+AO12</f>
        <v>0</v>
      </c>
      <c r="AN12" s="39"/>
      <c r="AO12" s="40"/>
      <c r="AP12" s="35">
        <f>F12+L12+R12+X12+AD12+AJ12</f>
        <v>329</v>
      </c>
      <c r="AQ12" s="41">
        <f t="shared" ref="AQ12:AQ32" si="0">AP12/E12</f>
        <v>0.1116010854816825</v>
      </c>
    </row>
    <row r="13" spans="1:45" ht="18" customHeight="1" x14ac:dyDescent="0.15">
      <c r="A13" s="4"/>
      <c r="B13" s="42" t="s">
        <v>149</v>
      </c>
      <c r="C13" s="43">
        <v>3016</v>
      </c>
      <c r="D13" s="44">
        <v>697</v>
      </c>
      <c r="E13" s="45">
        <v>2806</v>
      </c>
      <c r="F13" s="46">
        <v>529</v>
      </c>
      <c r="G13" s="47"/>
      <c r="H13" s="48"/>
      <c r="I13" s="46">
        <v>425</v>
      </c>
      <c r="J13" s="47"/>
      <c r="K13" s="48"/>
      <c r="L13" s="46">
        <f t="shared" ref="L13:L31" si="1">M13+N13</f>
        <v>0</v>
      </c>
      <c r="M13" s="49"/>
      <c r="N13" s="50"/>
      <c r="O13" s="46">
        <f t="shared" ref="O13:O31" si="2">P13+Q13</f>
        <v>0</v>
      </c>
      <c r="P13" s="49"/>
      <c r="Q13" s="50"/>
      <c r="R13" s="46">
        <f t="shared" ref="R13:R31" si="3">S13+T13</f>
        <v>0</v>
      </c>
      <c r="S13" s="49"/>
      <c r="T13" s="50"/>
      <c r="U13" s="46">
        <f t="shared" ref="U13:U31" si="4">V13+W13</f>
        <v>0</v>
      </c>
      <c r="V13" s="49"/>
      <c r="W13" s="50"/>
      <c r="X13" s="46">
        <f t="shared" ref="X13:X31" si="5">Y13+Z13</f>
        <v>0</v>
      </c>
      <c r="Y13" s="49"/>
      <c r="Z13" s="50"/>
      <c r="AA13" s="46">
        <f t="shared" ref="AA13:AA31" si="6">AB13+AC13</f>
        <v>0</v>
      </c>
      <c r="AB13" s="49"/>
      <c r="AC13" s="50"/>
      <c r="AD13" s="46">
        <f t="shared" ref="AD13:AD31" si="7">AE13+AF13</f>
        <v>0</v>
      </c>
      <c r="AE13" s="49"/>
      <c r="AF13" s="50"/>
      <c r="AG13" s="46">
        <f t="shared" ref="AG13:AG31" si="8">AH13+AI13</f>
        <v>0</v>
      </c>
      <c r="AH13" s="49"/>
      <c r="AI13" s="50"/>
      <c r="AJ13" s="46">
        <f t="shared" ref="AJ13:AJ31" si="9">AK13+AL13</f>
        <v>0</v>
      </c>
      <c r="AK13" s="49"/>
      <c r="AL13" s="50"/>
      <c r="AM13" s="46">
        <f t="shared" ref="AM13:AM31" si="10">AN13+AO13</f>
        <v>0</v>
      </c>
      <c r="AN13" s="49"/>
      <c r="AO13" s="50"/>
      <c r="AP13" s="44">
        <f t="shared" ref="AP13:AP31" si="11">F13+L13+R13+X13+AD13+AJ13</f>
        <v>529</v>
      </c>
      <c r="AQ13" s="51">
        <f t="shared" si="0"/>
        <v>0.18852459016393441</v>
      </c>
    </row>
    <row r="14" spans="1:45" ht="18" customHeight="1" x14ac:dyDescent="0.15">
      <c r="A14" s="4"/>
      <c r="B14" s="42" t="s">
        <v>69</v>
      </c>
      <c r="C14" s="43">
        <v>2399</v>
      </c>
      <c r="D14" s="44">
        <v>553</v>
      </c>
      <c r="E14" s="45">
        <v>2212</v>
      </c>
      <c r="F14" s="46">
        <v>606</v>
      </c>
      <c r="G14" s="47"/>
      <c r="H14" s="48"/>
      <c r="I14" s="46">
        <v>432</v>
      </c>
      <c r="J14" s="47"/>
      <c r="K14" s="48"/>
      <c r="L14" s="46">
        <f t="shared" si="1"/>
        <v>0</v>
      </c>
      <c r="M14" s="49"/>
      <c r="N14" s="50"/>
      <c r="O14" s="46">
        <f t="shared" si="2"/>
        <v>0</v>
      </c>
      <c r="P14" s="49"/>
      <c r="Q14" s="50"/>
      <c r="R14" s="46">
        <f t="shared" si="3"/>
        <v>0</v>
      </c>
      <c r="S14" s="49"/>
      <c r="T14" s="50"/>
      <c r="U14" s="46">
        <f t="shared" si="4"/>
        <v>0</v>
      </c>
      <c r="V14" s="49"/>
      <c r="W14" s="50"/>
      <c r="X14" s="46">
        <f t="shared" si="5"/>
        <v>0</v>
      </c>
      <c r="Y14" s="49"/>
      <c r="Z14" s="50"/>
      <c r="AA14" s="46">
        <f t="shared" si="6"/>
        <v>0</v>
      </c>
      <c r="AB14" s="49"/>
      <c r="AC14" s="50"/>
      <c r="AD14" s="46">
        <f t="shared" si="7"/>
        <v>0</v>
      </c>
      <c r="AE14" s="49"/>
      <c r="AF14" s="50"/>
      <c r="AG14" s="46">
        <f t="shared" si="8"/>
        <v>0</v>
      </c>
      <c r="AH14" s="49"/>
      <c r="AI14" s="50"/>
      <c r="AJ14" s="46">
        <f t="shared" si="9"/>
        <v>0</v>
      </c>
      <c r="AK14" s="49"/>
      <c r="AL14" s="50"/>
      <c r="AM14" s="46">
        <f t="shared" si="10"/>
        <v>0</v>
      </c>
      <c r="AN14" s="49"/>
      <c r="AO14" s="50"/>
      <c r="AP14" s="44">
        <f t="shared" si="11"/>
        <v>606</v>
      </c>
      <c r="AQ14" s="51">
        <f t="shared" si="0"/>
        <v>0.27396021699819167</v>
      </c>
    </row>
    <row r="15" spans="1:45" ht="18" customHeight="1" x14ac:dyDescent="0.15">
      <c r="A15" s="4"/>
      <c r="B15" s="42" t="s">
        <v>150</v>
      </c>
      <c r="C15" s="43">
        <v>2791</v>
      </c>
      <c r="D15" s="44">
        <v>648</v>
      </c>
      <c r="E15" s="45">
        <v>2619</v>
      </c>
      <c r="F15" s="46">
        <v>681</v>
      </c>
      <c r="G15" s="47"/>
      <c r="H15" s="48"/>
      <c r="I15" s="46">
        <v>636</v>
      </c>
      <c r="J15" s="47"/>
      <c r="K15" s="48"/>
      <c r="L15" s="46">
        <f t="shared" si="1"/>
        <v>0</v>
      </c>
      <c r="M15" s="49"/>
      <c r="N15" s="50"/>
      <c r="O15" s="46">
        <f t="shared" si="2"/>
        <v>0</v>
      </c>
      <c r="P15" s="49"/>
      <c r="Q15" s="50"/>
      <c r="R15" s="46">
        <f t="shared" si="3"/>
        <v>0</v>
      </c>
      <c r="S15" s="49"/>
      <c r="T15" s="50"/>
      <c r="U15" s="46">
        <f t="shared" si="4"/>
        <v>0</v>
      </c>
      <c r="V15" s="49"/>
      <c r="W15" s="50"/>
      <c r="X15" s="46">
        <f t="shared" si="5"/>
        <v>0</v>
      </c>
      <c r="Y15" s="49"/>
      <c r="Z15" s="50"/>
      <c r="AA15" s="46">
        <f t="shared" si="6"/>
        <v>0</v>
      </c>
      <c r="AB15" s="49"/>
      <c r="AC15" s="50"/>
      <c r="AD15" s="46">
        <f t="shared" si="7"/>
        <v>0</v>
      </c>
      <c r="AE15" s="49"/>
      <c r="AF15" s="50"/>
      <c r="AG15" s="46">
        <f t="shared" si="8"/>
        <v>0</v>
      </c>
      <c r="AH15" s="49"/>
      <c r="AI15" s="50"/>
      <c r="AJ15" s="46">
        <f t="shared" si="9"/>
        <v>0</v>
      </c>
      <c r="AK15" s="49"/>
      <c r="AL15" s="50"/>
      <c r="AM15" s="46">
        <f t="shared" si="10"/>
        <v>0</v>
      </c>
      <c r="AN15" s="49"/>
      <c r="AO15" s="50"/>
      <c r="AP15" s="44">
        <f t="shared" si="11"/>
        <v>681</v>
      </c>
      <c r="AQ15" s="51">
        <f t="shared" si="0"/>
        <v>0.26002290950744561</v>
      </c>
    </row>
    <row r="16" spans="1:45" ht="18" customHeight="1" x14ac:dyDescent="0.15">
      <c r="A16" s="4"/>
      <c r="B16" s="42" t="s">
        <v>151</v>
      </c>
      <c r="C16" s="43">
        <v>2910</v>
      </c>
      <c r="D16" s="44">
        <v>671</v>
      </c>
      <c r="E16" s="45">
        <v>2718</v>
      </c>
      <c r="F16" s="46">
        <v>282</v>
      </c>
      <c r="G16" s="47"/>
      <c r="H16" s="48"/>
      <c r="I16" s="46">
        <v>122</v>
      </c>
      <c r="J16" s="47"/>
      <c r="K16" s="48"/>
      <c r="L16" s="46">
        <f t="shared" si="1"/>
        <v>0</v>
      </c>
      <c r="M16" s="49"/>
      <c r="N16" s="50"/>
      <c r="O16" s="46">
        <f t="shared" si="2"/>
        <v>0</v>
      </c>
      <c r="P16" s="49"/>
      <c r="Q16" s="50"/>
      <c r="R16" s="46">
        <f t="shared" si="3"/>
        <v>0</v>
      </c>
      <c r="S16" s="49"/>
      <c r="T16" s="50"/>
      <c r="U16" s="46">
        <f t="shared" si="4"/>
        <v>0</v>
      </c>
      <c r="V16" s="49"/>
      <c r="W16" s="50"/>
      <c r="X16" s="46">
        <f t="shared" si="5"/>
        <v>0</v>
      </c>
      <c r="Y16" s="49"/>
      <c r="Z16" s="50"/>
      <c r="AA16" s="46">
        <f t="shared" si="6"/>
        <v>0</v>
      </c>
      <c r="AB16" s="49"/>
      <c r="AC16" s="50"/>
      <c r="AD16" s="46">
        <f t="shared" si="7"/>
        <v>0</v>
      </c>
      <c r="AE16" s="49"/>
      <c r="AF16" s="50"/>
      <c r="AG16" s="46">
        <f t="shared" si="8"/>
        <v>0</v>
      </c>
      <c r="AH16" s="49"/>
      <c r="AI16" s="50"/>
      <c r="AJ16" s="46">
        <f t="shared" si="9"/>
        <v>0</v>
      </c>
      <c r="AK16" s="49"/>
      <c r="AL16" s="50"/>
      <c r="AM16" s="46">
        <f t="shared" si="10"/>
        <v>0</v>
      </c>
      <c r="AN16" s="49"/>
      <c r="AO16" s="50"/>
      <c r="AP16" s="44">
        <f t="shared" si="11"/>
        <v>282</v>
      </c>
      <c r="AQ16" s="51">
        <f t="shared" si="0"/>
        <v>0.10375275938189846</v>
      </c>
    </row>
    <row r="17" spans="1:43" ht="18" customHeight="1" x14ac:dyDescent="0.15">
      <c r="A17" s="4"/>
      <c r="B17" s="42" t="s">
        <v>152</v>
      </c>
      <c r="C17" s="43">
        <v>989</v>
      </c>
      <c r="D17" s="44">
        <v>235</v>
      </c>
      <c r="E17" s="45">
        <v>940</v>
      </c>
      <c r="F17" s="46">
        <v>247</v>
      </c>
      <c r="G17" s="47"/>
      <c r="H17" s="48"/>
      <c r="I17" s="46">
        <v>199</v>
      </c>
      <c r="J17" s="47"/>
      <c r="K17" s="48"/>
      <c r="L17" s="46">
        <f t="shared" si="1"/>
        <v>0</v>
      </c>
      <c r="M17" s="49"/>
      <c r="N17" s="50"/>
      <c r="O17" s="46">
        <f t="shared" si="2"/>
        <v>0</v>
      </c>
      <c r="P17" s="49"/>
      <c r="Q17" s="50"/>
      <c r="R17" s="46">
        <f t="shared" si="3"/>
        <v>0</v>
      </c>
      <c r="S17" s="49"/>
      <c r="T17" s="50"/>
      <c r="U17" s="46">
        <f t="shared" si="4"/>
        <v>0</v>
      </c>
      <c r="V17" s="49"/>
      <c r="W17" s="50"/>
      <c r="X17" s="46">
        <f t="shared" si="5"/>
        <v>0</v>
      </c>
      <c r="Y17" s="49"/>
      <c r="Z17" s="50"/>
      <c r="AA17" s="46">
        <f t="shared" si="6"/>
        <v>0</v>
      </c>
      <c r="AB17" s="49"/>
      <c r="AC17" s="50"/>
      <c r="AD17" s="46">
        <f t="shared" si="7"/>
        <v>0</v>
      </c>
      <c r="AE17" s="49"/>
      <c r="AF17" s="50"/>
      <c r="AG17" s="46">
        <f t="shared" si="8"/>
        <v>0</v>
      </c>
      <c r="AH17" s="49"/>
      <c r="AI17" s="50"/>
      <c r="AJ17" s="46">
        <f t="shared" si="9"/>
        <v>0</v>
      </c>
      <c r="AK17" s="49"/>
      <c r="AL17" s="50"/>
      <c r="AM17" s="46">
        <f t="shared" si="10"/>
        <v>0</v>
      </c>
      <c r="AN17" s="49"/>
      <c r="AO17" s="50"/>
      <c r="AP17" s="44">
        <f t="shared" si="11"/>
        <v>247</v>
      </c>
      <c r="AQ17" s="51">
        <f t="shared" si="0"/>
        <v>0.26276595744680853</v>
      </c>
    </row>
    <row r="18" spans="1:43" ht="18" customHeight="1" x14ac:dyDescent="0.15">
      <c r="A18" s="4"/>
      <c r="B18" s="42" t="s">
        <v>153</v>
      </c>
      <c r="C18" s="43">
        <v>936</v>
      </c>
      <c r="D18" s="44">
        <v>224</v>
      </c>
      <c r="E18" s="45">
        <v>866</v>
      </c>
      <c r="F18" s="46">
        <v>142</v>
      </c>
      <c r="G18" s="47"/>
      <c r="H18" s="48"/>
      <c r="I18" s="46">
        <v>125</v>
      </c>
      <c r="J18" s="47"/>
      <c r="K18" s="48"/>
      <c r="L18" s="46">
        <f t="shared" si="1"/>
        <v>0</v>
      </c>
      <c r="M18" s="49"/>
      <c r="N18" s="50"/>
      <c r="O18" s="46">
        <f t="shared" si="2"/>
        <v>0</v>
      </c>
      <c r="P18" s="49"/>
      <c r="Q18" s="50"/>
      <c r="R18" s="46">
        <f t="shared" si="3"/>
        <v>0</v>
      </c>
      <c r="S18" s="49"/>
      <c r="T18" s="50"/>
      <c r="U18" s="46">
        <f t="shared" si="4"/>
        <v>0</v>
      </c>
      <c r="V18" s="49"/>
      <c r="W18" s="50"/>
      <c r="X18" s="46">
        <f t="shared" si="5"/>
        <v>0</v>
      </c>
      <c r="Y18" s="49"/>
      <c r="Z18" s="50"/>
      <c r="AA18" s="46">
        <f t="shared" si="6"/>
        <v>0</v>
      </c>
      <c r="AB18" s="49"/>
      <c r="AC18" s="50"/>
      <c r="AD18" s="46">
        <f t="shared" si="7"/>
        <v>0</v>
      </c>
      <c r="AE18" s="49"/>
      <c r="AF18" s="50"/>
      <c r="AG18" s="46">
        <f t="shared" si="8"/>
        <v>0</v>
      </c>
      <c r="AH18" s="49"/>
      <c r="AI18" s="50"/>
      <c r="AJ18" s="46">
        <f t="shared" si="9"/>
        <v>0</v>
      </c>
      <c r="AK18" s="49"/>
      <c r="AL18" s="50"/>
      <c r="AM18" s="46">
        <f t="shared" si="10"/>
        <v>0</v>
      </c>
      <c r="AN18" s="49"/>
      <c r="AO18" s="50"/>
      <c r="AP18" s="44">
        <f t="shared" si="11"/>
        <v>142</v>
      </c>
      <c r="AQ18" s="51">
        <f t="shared" si="0"/>
        <v>0.16397228637413394</v>
      </c>
    </row>
    <row r="19" spans="1:43" ht="18" customHeight="1" x14ac:dyDescent="0.15">
      <c r="A19" s="4"/>
      <c r="B19" s="42" t="s">
        <v>154</v>
      </c>
      <c r="C19" s="43">
        <v>689</v>
      </c>
      <c r="D19" s="44">
        <v>221</v>
      </c>
      <c r="E19" s="45">
        <v>663</v>
      </c>
      <c r="F19" s="46">
        <v>160</v>
      </c>
      <c r="G19" s="47"/>
      <c r="H19" s="48"/>
      <c r="I19" s="46">
        <v>145</v>
      </c>
      <c r="J19" s="47"/>
      <c r="K19" s="48"/>
      <c r="L19" s="46">
        <f t="shared" si="1"/>
        <v>0</v>
      </c>
      <c r="M19" s="49"/>
      <c r="N19" s="50"/>
      <c r="O19" s="46">
        <f t="shared" si="2"/>
        <v>0</v>
      </c>
      <c r="P19" s="49"/>
      <c r="Q19" s="50"/>
      <c r="R19" s="46">
        <f t="shared" si="3"/>
        <v>0</v>
      </c>
      <c r="S19" s="49"/>
      <c r="T19" s="50"/>
      <c r="U19" s="46">
        <f t="shared" si="4"/>
        <v>0</v>
      </c>
      <c r="V19" s="49"/>
      <c r="W19" s="50"/>
      <c r="X19" s="46">
        <f t="shared" si="5"/>
        <v>0</v>
      </c>
      <c r="Y19" s="49"/>
      <c r="Z19" s="50"/>
      <c r="AA19" s="46">
        <f t="shared" si="6"/>
        <v>0</v>
      </c>
      <c r="AB19" s="49"/>
      <c r="AC19" s="50"/>
      <c r="AD19" s="46">
        <f t="shared" si="7"/>
        <v>0</v>
      </c>
      <c r="AE19" s="49"/>
      <c r="AF19" s="50"/>
      <c r="AG19" s="46">
        <f t="shared" si="8"/>
        <v>0</v>
      </c>
      <c r="AH19" s="49"/>
      <c r="AI19" s="50"/>
      <c r="AJ19" s="46">
        <f t="shared" si="9"/>
        <v>0</v>
      </c>
      <c r="AK19" s="49"/>
      <c r="AL19" s="50"/>
      <c r="AM19" s="46">
        <f t="shared" si="10"/>
        <v>0</v>
      </c>
      <c r="AN19" s="49"/>
      <c r="AO19" s="50"/>
      <c r="AP19" s="44">
        <f t="shared" si="11"/>
        <v>160</v>
      </c>
      <c r="AQ19" s="51">
        <f t="shared" si="0"/>
        <v>0.24132730015082957</v>
      </c>
    </row>
    <row r="20" spans="1:43" ht="18" customHeight="1" x14ac:dyDescent="0.15">
      <c r="A20" s="4"/>
      <c r="B20" s="42"/>
      <c r="C20" s="43"/>
      <c r="D20" s="44"/>
      <c r="E20" s="45"/>
      <c r="F20" s="46">
        <f t="shared" ref="F20:F31" si="12">G20+H20</f>
        <v>0</v>
      </c>
      <c r="G20" s="49"/>
      <c r="H20" s="50"/>
      <c r="I20" s="46">
        <f t="shared" ref="I20:I31" si="13">J20+K20</f>
        <v>0</v>
      </c>
      <c r="J20" s="49"/>
      <c r="K20" s="50"/>
      <c r="L20" s="46">
        <f t="shared" si="1"/>
        <v>0</v>
      </c>
      <c r="M20" s="49"/>
      <c r="N20" s="50"/>
      <c r="O20" s="46">
        <f t="shared" si="2"/>
        <v>0</v>
      </c>
      <c r="P20" s="49"/>
      <c r="Q20" s="50"/>
      <c r="R20" s="46">
        <f t="shared" si="3"/>
        <v>0</v>
      </c>
      <c r="S20" s="49"/>
      <c r="T20" s="50"/>
      <c r="U20" s="46">
        <f t="shared" si="4"/>
        <v>0</v>
      </c>
      <c r="V20" s="49"/>
      <c r="W20" s="50"/>
      <c r="X20" s="46">
        <f t="shared" si="5"/>
        <v>0</v>
      </c>
      <c r="Y20" s="49"/>
      <c r="Z20" s="50"/>
      <c r="AA20" s="46">
        <f t="shared" si="6"/>
        <v>0</v>
      </c>
      <c r="AB20" s="49"/>
      <c r="AC20" s="50"/>
      <c r="AD20" s="46">
        <f t="shared" si="7"/>
        <v>0</v>
      </c>
      <c r="AE20" s="49"/>
      <c r="AF20" s="50"/>
      <c r="AG20" s="46">
        <f t="shared" si="8"/>
        <v>0</v>
      </c>
      <c r="AH20" s="49"/>
      <c r="AI20" s="50"/>
      <c r="AJ20" s="46">
        <f t="shared" si="9"/>
        <v>0</v>
      </c>
      <c r="AK20" s="49"/>
      <c r="AL20" s="50"/>
      <c r="AM20" s="46">
        <f t="shared" si="10"/>
        <v>0</v>
      </c>
      <c r="AN20" s="49"/>
      <c r="AO20" s="50"/>
      <c r="AP20" s="44">
        <f t="shared" si="11"/>
        <v>0</v>
      </c>
      <c r="AQ20" s="51" t="e">
        <f t="shared" si="0"/>
        <v>#DIV/0!</v>
      </c>
    </row>
    <row r="21" spans="1:43" ht="18" customHeight="1" x14ac:dyDescent="0.15">
      <c r="A21" s="4"/>
      <c r="B21" s="42"/>
      <c r="C21" s="43"/>
      <c r="D21" s="44"/>
      <c r="E21" s="45"/>
      <c r="F21" s="46">
        <f t="shared" si="12"/>
        <v>0</v>
      </c>
      <c r="G21" s="49"/>
      <c r="H21" s="50"/>
      <c r="I21" s="46">
        <f t="shared" si="13"/>
        <v>0</v>
      </c>
      <c r="J21" s="49"/>
      <c r="K21" s="50"/>
      <c r="L21" s="46">
        <f t="shared" si="1"/>
        <v>0</v>
      </c>
      <c r="M21" s="49"/>
      <c r="N21" s="50"/>
      <c r="O21" s="46">
        <f t="shared" si="2"/>
        <v>0</v>
      </c>
      <c r="P21" s="49"/>
      <c r="Q21" s="50"/>
      <c r="R21" s="46">
        <f t="shared" si="3"/>
        <v>0</v>
      </c>
      <c r="S21" s="49"/>
      <c r="T21" s="50"/>
      <c r="U21" s="46">
        <f t="shared" si="4"/>
        <v>0</v>
      </c>
      <c r="V21" s="49"/>
      <c r="W21" s="50"/>
      <c r="X21" s="46">
        <f t="shared" si="5"/>
        <v>0</v>
      </c>
      <c r="Y21" s="49"/>
      <c r="Z21" s="50"/>
      <c r="AA21" s="46">
        <f t="shared" si="6"/>
        <v>0</v>
      </c>
      <c r="AB21" s="49"/>
      <c r="AC21" s="50"/>
      <c r="AD21" s="46">
        <f t="shared" si="7"/>
        <v>0</v>
      </c>
      <c r="AE21" s="49"/>
      <c r="AF21" s="50"/>
      <c r="AG21" s="46">
        <f t="shared" si="8"/>
        <v>0</v>
      </c>
      <c r="AH21" s="49"/>
      <c r="AI21" s="50"/>
      <c r="AJ21" s="46">
        <f t="shared" si="9"/>
        <v>0</v>
      </c>
      <c r="AK21" s="49"/>
      <c r="AL21" s="50"/>
      <c r="AM21" s="46">
        <f t="shared" si="10"/>
        <v>0</v>
      </c>
      <c r="AN21" s="49"/>
      <c r="AO21" s="50"/>
      <c r="AP21" s="44">
        <f t="shared" si="11"/>
        <v>0</v>
      </c>
      <c r="AQ21" s="51" t="e">
        <f t="shared" si="0"/>
        <v>#DIV/0!</v>
      </c>
    </row>
    <row r="22" spans="1:43" ht="18" customHeight="1" x14ac:dyDescent="0.15">
      <c r="A22" s="4"/>
      <c r="B22" s="42"/>
      <c r="C22" s="43"/>
      <c r="D22" s="44"/>
      <c r="E22" s="45"/>
      <c r="F22" s="46">
        <f t="shared" si="12"/>
        <v>0</v>
      </c>
      <c r="G22" s="49"/>
      <c r="H22" s="50"/>
      <c r="I22" s="46">
        <f t="shared" si="13"/>
        <v>0</v>
      </c>
      <c r="J22" s="49"/>
      <c r="K22" s="50"/>
      <c r="L22" s="46">
        <f t="shared" si="1"/>
        <v>0</v>
      </c>
      <c r="M22" s="49"/>
      <c r="N22" s="50"/>
      <c r="O22" s="46">
        <f t="shared" si="2"/>
        <v>0</v>
      </c>
      <c r="P22" s="49"/>
      <c r="Q22" s="50"/>
      <c r="R22" s="46">
        <f t="shared" si="3"/>
        <v>0</v>
      </c>
      <c r="S22" s="49"/>
      <c r="T22" s="50"/>
      <c r="U22" s="46">
        <f t="shared" si="4"/>
        <v>0</v>
      </c>
      <c r="V22" s="49"/>
      <c r="W22" s="50"/>
      <c r="X22" s="46">
        <f t="shared" si="5"/>
        <v>0</v>
      </c>
      <c r="Y22" s="49"/>
      <c r="Z22" s="50"/>
      <c r="AA22" s="46">
        <f t="shared" si="6"/>
        <v>0</v>
      </c>
      <c r="AB22" s="49"/>
      <c r="AC22" s="50"/>
      <c r="AD22" s="46">
        <f t="shared" si="7"/>
        <v>0</v>
      </c>
      <c r="AE22" s="49"/>
      <c r="AF22" s="50"/>
      <c r="AG22" s="46">
        <f t="shared" si="8"/>
        <v>0</v>
      </c>
      <c r="AH22" s="49"/>
      <c r="AI22" s="50"/>
      <c r="AJ22" s="46">
        <f t="shared" si="9"/>
        <v>0</v>
      </c>
      <c r="AK22" s="49"/>
      <c r="AL22" s="50"/>
      <c r="AM22" s="46">
        <f t="shared" si="10"/>
        <v>0</v>
      </c>
      <c r="AN22" s="49"/>
      <c r="AO22" s="50"/>
      <c r="AP22" s="44">
        <f t="shared" si="11"/>
        <v>0</v>
      </c>
      <c r="AQ22" s="51" t="e">
        <f t="shared" si="0"/>
        <v>#DIV/0!</v>
      </c>
    </row>
    <row r="23" spans="1:43" ht="18" customHeight="1" x14ac:dyDescent="0.15">
      <c r="A23" s="4"/>
      <c r="B23" s="42"/>
      <c r="C23" s="43"/>
      <c r="D23" s="44"/>
      <c r="E23" s="45"/>
      <c r="F23" s="46">
        <f t="shared" si="12"/>
        <v>0</v>
      </c>
      <c r="G23" s="49"/>
      <c r="H23" s="50"/>
      <c r="I23" s="46">
        <f t="shared" si="13"/>
        <v>0</v>
      </c>
      <c r="J23" s="49"/>
      <c r="K23" s="50"/>
      <c r="L23" s="46">
        <f t="shared" si="1"/>
        <v>0</v>
      </c>
      <c r="M23" s="49"/>
      <c r="N23" s="50"/>
      <c r="O23" s="46">
        <f t="shared" si="2"/>
        <v>0</v>
      </c>
      <c r="P23" s="49"/>
      <c r="Q23" s="50"/>
      <c r="R23" s="46">
        <f t="shared" si="3"/>
        <v>0</v>
      </c>
      <c r="S23" s="49"/>
      <c r="T23" s="50"/>
      <c r="U23" s="46">
        <f t="shared" si="4"/>
        <v>0</v>
      </c>
      <c r="V23" s="49"/>
      <c r="W23" s="50"/>
      <c r="X23" s="46">
        <f t="shared" si="5"/>
        <v>0</v>
      </c>
      <c r="Y23" s="49"/>
      <c r="Z23" s="50"/>
      <c r="AA23" s="46">
        <f t="shared" si="6"/>
        <v>0</v>
      </c>
      <c r="AB23" s="49"/>
      <c r="AC23" s="50"/>
      <c r="AD23" s="46">
        <f t="shared" si="7"/>
        <v>0</v>
      </c>
      <c r="AE23" s="49"/>
      <c r="AF23" s="50"/>
      <c r="AG23" s="46">
        <f t="shared" si="8"/>
        <v>0</v>
      </c>
      <c r="AH23" s="49"/>
      <c r="AI23" s="50"/>
      <c r="AJ23" s="46">
        <f t="shared" si="9"/>
        <v>0</v>
      </c>
      <c r="AK23" s="49"/>
      <c r="AL23" s="50"/>
      <c r="AM23" s="46">
        <f t="shared" si="10"/>
        <v>0</v>
      </c>
      <c r="AN23" s="49"/>
      <c r="AO23" s="50"/>
      <c r="AP23" s="44">
        <f t="shared" si="11"/>
        <v>0</v>
      </c>
      <c r="AQ23" s="51" t="e">
        <f t="shared" si="0"/>
        <v>#DIV/0!</v>
      </c>
    </row>
    <row r="24" spans="1:43" ht="18" customHeight="1" x14ac:dyDescent="0.15">
      <c r="A24" s="4"/>
      <c r="B24" s="42"/>
      <c r="C24" s="43"/>
      <c r="D24" s="44"/>
      <c r="E24" s="45"/>
      <c r="F24" s="46">
        <f t="shared" si="12"/>
        <v>0</v>
      </c>
      <c r="G24" s="49"/>
      <c r="H24" s="50"/>
      <c r="I24" s="46">
        <f t="shared" si="13"/>
        <v>0</v>
      </c>
      <c r="J24" s="49"/>
      <c r="K24" s="50"/>
      <c r="L24" s="46">
        <f t="shared" si="1"/>
        <v>0</v>
      </c>
      <c r="M24" s="49"/>
      <c r="N24" s="50"/>
      <c r="O24" s="46">
        <f t="shared" si="2"/>
        <v>0</v>
      </c>
      <c r="P24" s="49"/>
      <c r="Q24" s="50"/>
      <c r="R24" s="46">
        <f t="shared" si="3"/>
        <v>0</v>
      </c>
      <c r="S24" s="49"/>
      <c r="T24" s="50"/>
      <c r="U24" s="46">
        <f t="shared" si="4"/>
        <v>0</v>
      </c>
      <c r="V24" s="49"/>
      <c r="W24" s="50"/>
      <c r="X24" s="46">
        <f t="shared" si="5"/>
        <v>0</v>
      </c>
      <c r="Y24" s="49"/>
      <c r="Z24" s="50"/>
      <c r="AA24" s="46">
        <f t="shared" si="6"/>
        <v>0</v>
      </c>
      <c r="AB24" s="49"/>
      <c r="AC24" s="50"/>
      <c r="AD24" s="46">
        <f t="shared" si="7"/>
        <v>0</v>
      </c>
      <c r="AE24" s="49"/>
      <c r="AF24" s="50"/>
      <c r="AG24" s="46">
        <f t="shared" si="8"/>
        <v>0</v>
      </c>
      <c r="AH24" s="49"/>
      <c r="AI24" s="50"/>
      <c r="AJ24" s="46">
        <f t="shared" si="9"/>
        <v>0</v>
      </c>
      <c r="AK24" s="49"/>
      <c r="AL24" s="50"/>
      <c r="AM24" s="46">
        <f t="shared" si="10"/>
        <v>0</v>
      </c>
      <c r="AN24" s="49"/>
      <c r="AO24" s="50"/>
      <c r="AP24" s="44">
        <f t="shared" si="11"/>
        <v>0</v>
      </c>
      <c r="AQ24" s="51" t="e">
        <f t="shared" si="0"/>
        <v>#DIV/0!</v>
      </c>
    </row>
    <row r="25" spans="1:43" ht="18" customHeight="1" x14ac:dyDescent="0.15">
      <c r="A25" s="4"/>
      <c r="B25" s="42"/>
      <c r="C25" s="43"/>
      <c r="D25" s="44"/>
      <c r="E25" s="45"/>
      <c r="F25" s="46">
        <f t="shared" si="12"/>
        <v>0</v>
      </c>
      <c r="G25" s="49"/>
      <c r="H25" s="50"/>
      <c r="I25" s="46">
        <f t="shared" si="13"/>
        <v>0</v>
      </c>
      <c r="J25" s="49"/>
      <c r="K25" s="50"/>
      <c r="L25" s="46">
        <f t="shared" si="1"/>
        <v>0</v>
      </c>
      <c r="M25" s="49"/>
      <c r="N25" s="50"/>
      <c r="O25" s="46">
        <f t="shared" si="2"/>
        <v>0</v>
      </c>
      <c r="P25" s="49"/>
      <c r="Q25" s="50"/>
      <c r="R25" s="46">
        <f t="shared" si="3"/>
        <v>0</v>
      </c>
      <c r="S25" s="49"/>
      <c r="T25" s="50"/>
      <c r="U25" s="46">
        <f t="shared" si="4"/>
        <v>0</v>
      </c>
      <c r="V25" s="49"/>
      <c r="W25" s="50"/>
      <c r="X25" s="46">
        <f t="shared" si="5"/>
        <v>0</v>
      </c>
      <c r="Y25" s="49"/>
      <c r="Z25" s="50"/>
      <c r="AA25" s="46">
        <f t="shared" si="6"/>
        <v>0</v>
      </c>
      <c r="AB25" s="49"/>
      <c r="AC25" s="50"/>
      <c r="AD25" s="46">
        <f t="shared" si="7"/>
        <v>0</v>
      </c>
      <c r="AE25" s="49"/>
      <c r="AF25" s="50"/>
      <c r="AG25" s="46">
        <f t="shared" si="8"/>
        <v>0</v>
      </c>
      <c r="AH25" s="49"/>
      <c r="AI25" s="50"/>
      <c r="AJ25" s="46">
        <f t="shared" si="9"/>
        <v>0</v>
      </c>
      <c r="AK25" s="49"/>
      <c r="AL25" s="50"/>
      <c r="AM25" s="46">
        <f t="shared" si="10"/>
        <v>0</v>
      </c>
      <c r="AN25" s="49"/>
      <c r="AO25" s="50"/>
      <c r="AP25" s="44">
        <f t="shared" si="11"/>
        <v>0</v>
      </c>
      <c r="AQ25" s="51" t="e">
        <f t="shared" si="0"/>
        <v>#DIV/0!</v>
      </c>
    </row>
    <row r="26" spans="1:43" ht="18" customHeight="1" x14ac:dyDescent="0.15">
      <c r="A26" s="4"/>
      <c r="B26" s="42"/>
      <c r="C26" s="43"/>
      <c r="D26" s="44"/>
      <c r="E26" s="45"/>
      <c r="F26" s="46">
        <f t="shared" si="12"/>
        <v>0</v>
      </c>
      <c r="G26" s="49"/>
      <c r="H26" s="50"/>
      <c r="I26" s="46">
        <f t="shared" si="13"/>
        <v>0</v>
      </c>
      <c r="J26" s="49"/>
      <c r="K26" s="50"/>
      <c r="L26" s="46">
        <f t="shared" si="1"/>
        <v>0</v>
      </c>
      <c r="M26" s="49"/>
      <c r="N26" s="50"/>
      <c r="O26" s="46">
        <f t="shared" si="2"/>
        <v>0</v>
      </c>
      <c r="P26" s="49"/>
      <c r="Q26" s="50"/>
      <c r="R26" s="46">
        <f t="shared" si="3"/>
        <v>0</v>
      </c>
      <c r="S26" s="49"/>
      <c r="T26" s="50"/>
      <c r="U26" s="46">
        <f t="shared" si="4"/>
        <v>0</v>
      </c>
      <c r="V26" s="49"/>
      <c r="W26" s="50"/>
      <c r="X26" s="46">
        <f t="shared" si="5"/>
        <v>0</v>
      </c>
      <c r="Y26" s="49"/>
      <c r="Z26" s="50"/>
      <c r="AA26" s="46">
        <f t="shared" si="6"/>
        <v>0</v>
      </c>
      <c r="AB26" s="49"/>
      <c r="AC26" s="50"/>
      <c r="AD26" s="46">
        <f t="shared" si="7"/>
        <v>0</v>
      </c>
      <c r="AE26" s="49"/>
      <c r="AF26" s="50"/>
      <c r="AG26" s="46">
        <f t="shared" si="8"/>
        <v>0</v>
      </c>
      <c r="AH26" s="49"/>
      <c r="AI26" s="50"/>
      <c r="AJ26" s="46">
        <f t="shared" si="9"/>
        <v>0</v>
      </c>
      <c r="AK26" s="49"/>
      <c r="AL26" s="50"/>
      <c r="AM26" s="46">
        <f t="shared" si="10"/>
        <v>0</v>
      </c>
      <c r="AN26" s="49"/>
      <c r="AO26" s="50"/>
      <c r="AP26" s="44">
        <f t="shared" si="11"/>
        <v>0</v>
      </c>
      <c r="AQ26" s="51" t="e">
        <f t="shared" si="0"/>
        <v>#DIV/0!</v>
      </c>
    </row>
    <row r="27" spans="1:43" ht="18" customHeight="1" x14ac:dyDescent="0.15">
      <c r="A27" s="4"/>
      <c r="B27" s="42"/>
      <c r="C27" s="43"/>
      <c r="D27" s="44"/>
      <c r="E27" s="45"/>
      <c r="F27" s="46">
        <f t="shared" si="12"/>
        <v>0</v>
      </c>
      <c r="G27" s="49"/>
      <c r="H27" s="50"/>
      <c r="I27" s="46">
        <f t="shared" si="13"/>
        <v>0</v>
      </c>
      <c r="J27" s="49"/>
      <c r="K27" s="50"/>
      <c r="L27" s="46">
        <f t="shared" si="1"/>
        <v>0</v>
      </c>
      <c r="M27" s="49"/>
      <c r="N27" s="50"/>
      <c r="O27" s="46">
        <f t="shared" si="2"/>
        <v>0</v>
      </c>
      <c r="P27" s="49"/>
      <c r="Q27" s="50"/>
      <c r="R27" s="46">
        <f t="shared" si="3"/>
        <v>0</v>
      </c>
      <c r="S27" s="49"/>
      <c r="T27" s="50"/>
      <c r="U27" s="46">
        <f t="shared" si="4"/>
        <v>0</v>
      </c>
      <c r="V27" s="49"/>
      <c r="W27" s="50"/>
      <c r="X27" s="46">
        <f t="shared" si="5"/>
        <v>0</v>
      </c>
      <c r="Y27" s="49"/>
      <c r="Z27" s="50"/>
      <c r="AA27" s="46">
        <f t="shared" si="6"/>
        <v>0</v>
      </c>
      <c r="AB27" s="49"/>
      <c r="AC27" s="50"/>
      <c r="AD27" s="46">
        <f t="shared" si="7"/>
        <v>0</v>
      </c>
      <c r="AE27" s="49"/>
      <c r="AF27" s="50"/>
      <c r="AG27" s="46">
        <f t="shared" si="8"/>
        <v>0</v>
      </c>
      <c r="AH27" s="49"/>
      <c r="AI27" s="50"/>
      <c r="AJ27" s="46">
        <f t="shared" si="9"/>
        <v>0</v>
      </c>
      <c r="AK27" s="49"/>
      <c r="AL27" s="50"/>
      <c r="AM27" s="46">
        <f t="shared" si="10"/>
        <v>0</v>
      </c>
      <c r="AN27" s="49"/>
      <c r="AO27" s="50"/>
      <c r="AP27" s="44">
        <f t="shared" si="11"/>
        <v>0</v>
      </c>
      <c r="AQ27" s="51" t="e">
        <f t="shared" si="0"/>
        <v>#DIV/0!</v>
      </c>
    </row>
    <row r="28" spans="1:43" ht="18" customHeight="1" x14ac:dyDescent="0.15">
      <c r="A28" s="4"/>
      <c r="B28" s="42"/>
      <c r="C28" s="43"/>
      <c r="D28" s="44"/>
      <c r="E28" s="45"/>
      <c r="F28" s="46">
        <f t="shared" si="12"/>
        <v>0</v>
      </c>
      <c r="G28" s="49"/>
      <c r="H28" s="50"/>
      <c r="I28" s="46">
        <f t="shared" si="13"/>
        <v>0</v>
      </c>
      <c r="J28" s="49"/>
      <c r="K28" s="50"/>
      <c r="L28" s="46">
        <f t="shared" si="1"/>
        <v>0</v>
      </c>
      <c r="M28" s="49"/>
      <c r="N28" s="50"/>
      <c r="O28" s="46">
        <f t="shared" si="2"/>
        <v>0</v>
      </c>
      <c r="P28" s="49"/>
      <c r="Q28" s="50"/>
      <c r="R28" s="46">
        <f t="shared" si="3"/>
        <v>0</v>
      </c>
      <c r="S28" s="49"/>
      <c r="T28" s="50"/>
      <c r="U28" s="46">
        <f t="shared" si="4"/>
        <v>0</v>
      </c>
      <c r="V28" s="49"/>
      <c r="W28" s="50"/>
      <c r="X28" s="46">
        <f t="shared" si="5"/>
        <v>0</v>
      </c>
      <c r="Y28" s="49"/>
      <c r="Z28" s="50"/>
      <c r="AA28" s="46">
        <f t="shared" si="6"/>
        <v>0</v>
      </c>
      <c r="AB28" s="49"/>
      <c r="AC28" s="50"/>
      <c r="AD28" s="46">
        <f t="shared" si="7"/>
        <v>0</v>
      </c>
      <c r="AE28" s="49"/>
      <c r="AF28" s="50"/>
      <c r="AG28" s="46">
        <f t="shared" si="8"/>
        <v>0</v>
      </c>
      <c r="AH28" s="49"/>
      <c r="AI28" s="50"/>
      <c r="AJ28" s="46">
        <f t="shared" si="9"/>
        <v>0</v>
      </c>
      <c r="AK28" s="49"/>
      <c r="AL28" s="50"/>
      <c r="AM28" s="46">
        <f t="shared" si="10"/>
        <v>0</v>
      </c>
      <c r="AN28" s="49"/>
      <c r="AO28" s="50"/>
      <c r="AP28" s="44">
        <f t="shared" si="11"/>
        <v>0</v>
      </c>
      <c r="AQ28" s="51" t="e">
        <f t="shared" si="0"/>
        <v>#DIV/0!</v>
      </c>
    </row>
    <row r="29" spans="1:43" ht="18" customHeight="1" x14ac:dyDescent="0.15">
      <c r="A29" s="4"/>
      <c r="B29" s="42"/>
      <c r="C29" s="43"/>
      <c r="D29" s="52"/>
      <c r="E29" s="45"/>
      <c r="F29" s="46">
        <f t="shared" si="12"/>
        <v>0</v>
      </c>
      <c r="G29" s="49"/>
      <c r="H29" s="50"/>
      <c r="I29" s="46">
        <f t="shared" si="13"/>
        <v>0</v>
      </c>
      <c r="J29" s="49"/>
      <c r="K29" s="50"/>
      <c r="L29" s="46">
        <f t="shared" si="1"/>
        <v>0</v>
      </c>
      <c r="M29" s="49"/>
      <c r="N29" s="50"/>
      <c r="O29" s="46">
        <f t="shared" si="2"/>
        <v>0</v>
      </c>
      <c r="P29" s="49"/>
      <c r="Q29" s="50"/>
      <c r="R29" s="46">
        <f t="shared" si="3"/>
        <v>0</v>
      </c>
      <c r="S29" s="49"/>
      <c r="T29" s="50"/>
      <c r="U29" s="46">
        <f t="shared" si="4"/>
        <v>0</v>
      </c>
      <c r="V29" s="49"/>
      <c r="W29" s="50"/>
      <c r="X29" s="46">
        <f t="shared" si="5"/>
        <v>0</v>
      </c>
      <c r="Y29" s="49"/>
      <c r="Z29" s="50"/>
      <c r="AA29" s="46">
        <f t="shared" si="6"/>
        <v>0</v>
      </c>
      <c r="AB29" s="49"/>
      <c r="AC29" s="50"/>
      <c r="AD29" s="46">
        <f t="shared" si="7"/>
        <v>0</v>
      </c>
      <c r="AE29" s="49"/>
      <c r="AF29" s="50"/>
      <c r="AG29" s="46">
        <f t="shared" si="8"/>
        <v>0</v>
      </c>
      <c r="AH29" s="49"/>
      <c r="AI29" s="50"/>
      <c r="AJ29" s="46">
        <f t="shared" si="9"/>
        <v>0</v>
      </c>
      <c r="AK29" s="49"/>
      <c r="AL29" s="50"/>
      <c r="AM29" s="46">
        <f t="shared" si="10"/>
        <v>0</v>
      </c>
      <c r="AN29" s="49"/>
      <c r="AO29" s="50"/>
      <c r="AP29" s="52">
        <f t="shared" si="11"/>
        <v>0</v>
      </c>
      <c r="AQ29" s="51" t="e">
        <f t="shared" si="0"/>
        <v>#DIV/0!</v>
      </c>
    </row>
    <row r="30" spans="1:43" ht="18" customHeight="1" x14ac:dyDescent="0.15">
      <c r="A30" s="4"/>
      <c r="B30" s="42"/>
      <c r="C30" s="43"/>
      <c r="D30" s="52"/>
      <c r="E30" s="45"/>
      <c r="F30" s="46">
        <f t="shared" si="12"/>
        <v>0</v>
      </c>
      <c r="G30" s="49"/>
      <c r="H30" s="50"/>
      <c r="I30" s="46">
        <f t="shared" si="13"/>
        <v>0</v>
      </c>
      <c r="J30" s="49"/>
      <c r="K30" s="50"/>
      <c r="L30" s="46">
        <f t="shared" si="1"/>
        <v>0</v>
      </c>
      <c r="M30" s="49"/>
      <c r="N30" s="50"/>
      <c r="O30" s="46">
        <f t="shared" si="2"/>
        <v>0</v>
      </c>
      <c r="P30" s="49"/>
      <c r="Q30" s="50"/>
      <c r="R30" s="46">
        <f t="shared" si="3"/>
        <v>0</v>
      </c>
      <c r="S30" s="49"/>
      <c r="T30" s="50"/>
      <c r="U30" s="46">
        <f t="shared" si="4"/>
        <v>0</v>
      </c>
      <c r="V30" s="49"/>
      <c r="W30" s="50"/>
      <c r="X30" s="46">
        <f t="shared" si="5"/>
        <v>0</v>
      </c>
      <c r="Y30" s="49"/>
      <c r="Z30" s="50"/>
      <c r="AA30" s="46">
        <f t="shared" si="6"/>
        <v>0</v>
      </c>
      <c r="AB30" s="49"/>
      <c r="AC30" s="50"/>
      <c r="AD30" s="46">
        <f t="shared" si="7"/>
        <v>0</v>
      </c>
      <c r="AE30" s="49"/>
      <c r="AF30" s="50"/>
      <c r="AG30" s="46">
        <f t="shared" si="8"/>
        <v>0</v>
      </c>
      <c r="AH30" s="49"/>
      <c r="AI30" s="50"/>
      <c r="AJ30" s="46">
        <f t="shared" si="9"/>
        <v>0</v>
      </c>
      <c r="AK30" s="49"/>
      <c r="AL30" s="50"/>
      <c r="AM30" s="46">
        <f t="shared" si="10"/>
        <v>0</v>
      </c>
      <c r="AN30" s="49"/>
      <c r="AO30" s="50"/>
      <c r="AP30" s="52">
        <f t="shared" si="11"/>
        <v>0</v>
      </c>
      <c r="AQ30" s="51" t="e">
        <f t="shared" si="0"/>
        <v>#DIV/0!</v>
      </c>
    </row>
    <row r="31" spans="1:43" ht="18" customHeight="1" thickBot="1" x14ac:dyDescent="0.2">
      <c r="A31" s="4"/>
      <c r="B31" s="53"/>
      <c r="C31" s="34"/>
      <c r="D31" s="54"/>
      <c r="E31" s="36"/>
      <c r="F31" s="36">
        <f t="shared" si="12"/>
        <v>0</v>
      </c>
      <c r="G31" s="55"/>
      <c r="H31" s="56"/>
      <c r="I31" s="36">
        <f t="shared" si="13"/>
        <v>0</v>
      </c>
      <c r="J31" s="55"/>
      <c r="K31" s="56"/>
      <c r="L31" s="36">
        <f t="shared" si="1"/>
        <v>0</v>
      </c>
      <c r="M31" s="55"/>
      <c r="N31" s="56"/>
      <c r="O31" s="36">
        <f t="shared" si="2"/>
        <v>0</v>
      </c>
      <c r="P31" s="55"/>
      <c r="Q31" s="56"/>
      <c r="R31" s="36">
        <f t="shared" si="3"/>
        <v>0</v>
      </c>
      <c r="S31" s="55"/>
      <c r="T31" s="56"/>
      <c r="U31" s="36">
        <f t="shared" si="4"/>
        <v>0</v>
      </c>
      <c r="V31" s="55"/>
      <c r="W31" s="56"/>
      <c r="X31" s="36">
        <f t="shared" si="5"/>
        <v>0</v>
      </c>
      <c r="Y31" s="55"/>
      <c r="Z31" s="56"/>
      <c r="AA31" s="36">
        <f t="shared" si="6"/>
        <v>0</v>
      </c>
      <c r="AB31" s="55"/>
      <c r="AC31" s="56"/>
      <c r="AD31" s="36">
        <f t="shared" si="7"/>
        <v>0</v>
      </c>
      <c r="AE31" s="55"/>
      <c r="AF31" s="56"/>
      <c r="AG31" s="36">
        <f t="shared" si="8"/>
        <v>0</v>
      </c>
      <c r="AH31" s="55"/>
      <c r="AI31" s="56"/>
      <c r="AJ31" s="36">
        <f t="shared" si="9"/>
        <v>0</v>
      </c>
      <c r="AK31" s="55"/>
      <c r="AL31" s="56"/>
      <c r="AM31" s="36">
        <f t="shared" si="10"/>
        <v>0</v>
      </c>
      <c r="AN31" s="55"/>
      <c r="AO31" s="56"/>
      <c r="AP31" s="54">
        <f t="shared" si="11"/>
        <v>0</v>
      </c>
      <c r="AQ31" s="57" t="e">
        <f t="shared" si="0"/>
        <v>#DIV/0!</v>
      </c>
    </row>
    <row r="32" spans="1:43" ht="18" customHeight="1" thickTop="1" x14ac:dyDescent="0.15">
      <c r="B32" s="58" t="s">
        <v>155</v>
      </c>
      <c r="C32" s="59">
        <f t="shared" ref="C32:AP32" si="14">SUM(C12:C31)</f>
        <v>16865</v>
      </c>
      <c r="D32" s="60">
        <f t="shared" si="14"/>
        <v>4000</v>
      </c>
      <c r="E32" s="61">
        <f t="shared" si="14"/>
        <v>15772</v>
      </c>
      <c r="F32" s="61">
        <f t="shared" si="14"/>
        <v>2976</v>
      </c>
      <c r="G32" s="62">
        <f t="shared" si="14"/>
        <v>0</v>
      </c>
      <c r="H32" s="63">
        <f t="shared" si="14"/>
        <v>0</v>
      </c>
      <c r="I32" s="61">
        <f t="shared" si="14"/>
        <v>2348</v>
      </c>
      <c r="J32" s="62">
        <f t="shared" si="14"/>
        <v>0</v>
      </c>
      <c r="K32" s="63">
        <f t="shared" si="14"/>
        <v>0</v>
      </c>
      <c r="L32" s="61">
        <f t="shared" si="14"/>
        <v>0</v>
      </c>
      <c r="M32" s="62">
        <f t="shared" si="14"/>
        <v>0</v>
      </c>
      <c r="N32" s="63">
        <f t="shared" si="14"/>
        <v>0</v>
      </c>
      <c r="O32" s="61">
        <f t="shared" si="14"/>
        <v>0</v>
      </c>
      <c r="P32" s="62">
        <f t="shared" si="14"/>
        <v>0</v>
      </c>
      <c r="Q32" s="63">
        <f t="shared" si="14"/>
        <v>0</v>
      </c>
      <c r="R32" s="61">
        <f t="shared" si="14"/>
        <v>0</v>
      </c>
      <c r="S32" s="62">
        <f t="shared" si="14"/>
        <v>0</v>
      </c>
      <c r="T32" s="63">
        <f t="shared" si="14"/>
        <v>0</v>
      </c>
      <c r="U32" s="61">
        <f t="shared" si="14"/>
        <v>0</v>
      </c>
      <c r="V32" s="62">
        <f t="shared" si="14"/>
        <v>0</v>
      </c>
      <c r="W32" s="63">
        <f t="shared" si="14"/>
        <v>0</v>
      </c>
      <c r="X32" s="61">
        <f t="shared" si="14"/>
        <v>0</v>
      </c>
      <c r="Y32" s="62">
        <f t="shared" si="14"/>
        <v>0</v>
      </c>
      <c r="Z32" s="63">
        <f t="shared" si="14"/>
        <v>0</v>
      </c>
      <c r="AA32" s="61">
        <f t="shared" si="14"/>
        <v>0</v>
      </c>
      <c r="AB32" s="62">
        <f t="shared" si="14"/>
        <v>0</v>
      </c>
      <c r="AC32" s="63">
        <f t="shared" si="14"/>
        <v>0</v>
      </c>
      <c r="AD32" s="61">
        <f t="shared" si="14"/>
        <v>0</v>
      </c>
      <c r="AE32" s="62">
        <f t="shared" si="14"/>
        <v>0</v>
      </c>
      <c r="AF32" s="63">
        <f t="shared" si="14"/>
        <v>0</v>
      </c>
      <c r="AG32" s="61">
        <f t="shared" si="14"/>
        <v>0</v>
      </c>
      <c r="AH32" s="62">
        <f t="shared" si="14"/>
        <v>0</v>
      </c>
      <c r="AI32" s="63">
        <f t="shared" si="14"/>
        <v>0</v>
      </c>
      <c r="AJ32" s="61">
        <f t="shared" si="14"/>
        <v>0</v>
      </c>
      <c r="AK32" s="62">
        <f t="shared" si="14"/>
        <v>0</v>
      </c>
      <c r="AL32" s="63">
        <f t="shared" si="14"/>
        <v>0</v>
      </c>
      <c r="AM32" s="61">
        <f t="shared" si="14"/>
        <v>0</v>
      </c>
      <c r="AN32" s="62">
        <f t="shared" si="14"/>
        <v>0</v>
      </c>
      <c r="AO32" s="63">
        <f t="shared" si="14"/>
        <v>0</v>
      </c>
      <c r="AP32" s="60">
        <f t="shared" si="14"/>
        <v>2976</v>
      </c>
      <c r="AQ32" s="64">
        <f t="shared" si="0"/>
        <v>0.18868881562262238</v>
      </c>
    </row>
  </sheetData>
  <mergeCells count="27">
    <mergeCell ref="AM2:AQ2"/>
    <mergeCell ref="A3:AQ3"/>
    <mergeCell ref="C5:D5"/>
    <mergeCell ref="B9:B11"/>
    <mergeCell ref="C9:C11"/>
    <mergeCell ref="D9:D11"/>
    <mergeCell ref="E9:E11"/>
    <mergeCell ref="F9:K9"/>
    <mergeCell ref="L9:Q9"/>
    <mergeCell ref="R9:W9"/>
    <mergeCell ref="F10:H10"/>
    <mergeCell ref="I10:K10"/>
    <mergeCell ref="L10:N10"/>
    <mergeCell ref="O10:Q10"/>
    <mergeCell ref="R10:T10"/>
    <mergeCell ref="X9:AC9"/>
    <mergeCell ref="AD9:AI9"/>
    <mergeCell ref="AJ9:AO9"/>
    <mergeCell ref="AP9:AP11"/>
    <mergeCell ref="AQ9:AQ11"/>
    <mergeCell ref="AM10:AO10"/>
    <mergeCell ref="AJ10:AL10"/>
    <mergeCell ref="U10:W10"/>
    <mergeCell ref="X10:Z10"/>
    <mergeCell ref="AA10:AC10"/>
    <mergeCell ref="AD10:AF10"/>
    <mergeCell ref="AG10:AI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zoomScaleNormal="100" zoomScaleSheetLayoutView="100" workbookViewId="0">
      <selection activeCell="A33" sqref="A33:S34"/>
    </sheetView>
  </sheetViews>
  <sheetFormatPr defaultColWidth="11.375" defaultRowHeight="18.75" customHeight="1" x14ac:dyDescent="0.15"/>
  <cols>
    <col min="1" max="1" width="2.75" style="65"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65" t="s">
        <v>156</v>
      </c>
      <c r="I1" s="28" t="s">
        <v>157</v>
      </c>
    </row>
    <row r="2" spans="1:9" ht="18.75" customHeight="1" x14ac:dyDescent="0.15">
      <c r="G2" s="28" t="s">
        <v>29</v>
      </c>
      <c r="H2" s="97" t="str">
        <f>'様式１　プログラムを構成する授業科目'!C2</f>
        <v>専修大学</v>
      </c>
      <c r="I2" s="99"/>
    </row>
    <row r="3" spans="1:9" ht="18.75" customHeight="1" x14ac:dyDescent="0.15">
      <c r="G3" s="28"/>
      <c r="H3" s="5"/>
      <c r="I3" s="5"/>
    </row>
    <row r="4" spans="1:9" ht="18.600000000000001" customHeight="1" x14ac:dyDescent="0.15">
      <c r="A4" s="155" t="s">
        <v>158</v>
      </c>
      <c r="B4" s="155"/>
      <c r="C4" s="155"/>
      <c r="D4" s="155"/>
      <c r="E4" s="155"/>
      <c r="F4" s="155"/>
      <c r="G4" s="155"/>
      <c r="H4" s="155"/>
      <c r="I4" s="155"/>
    </row>
    <row r="5" spans="1:9" ht="13.15" customHeight="1" x14ac:dyDescent="0.15">
      <c r="B5" s="3"/>
      <c r="C5" s="3"/>
      <c r="D5" s="3"/>
      <c r="E5" s="3"/>
      <c r="F5" s="3"/>
      <c r="G5" s="3"/>
      <c r="H5" s="3"/>
      <c r="I5" s="3"/>
    </row>
    <row r="6" spans="1:9" ht="18" customHeight="1" x14ac:dyDescent="0.15">
      <c r="A6" s="1" t="s">
        <v>159</v>
      </c>
      <c r="B6" s="5" t="s">
        <v>160</v>
      </c>
      <c r="C6" s="299" t="s">
        <v>161</v>
      </c>
      <c r="D6" s="299"/>
      <c r="E6" s="66">
        <v>442</v>
      </c>
      <c r="F6" s="67" t="s">
        <v>162</v>
      </c>
      <c r="G6" s="67" t="s">
        <v>163</v>
      </c>
      <c r="H6" s="66">
        <v>720</v>
      </c>
      <c r="I6" s="5" t="s">
        <v>162</v>
      </c>
    </row>
    <row r="7" spans="1:9" ht="12" customHeight="1" x14ac:dyDescent="0.15">
      <c r="C7" s="2"/>
      <c r="D7" s="2"/>
      <c r="E7" s="2"/>
      <c r="F7" s="2"/>
      <c r="G7" s="2"/>
      <c r="H7" s="2"/>
      <c r="I7" s="68"/>
    </row>
    <row r="8" spans="1:9" ht="18" customHeight="1" x14ac:dyDescent="0.15">
      <c r="A8" s="1" t="s">
        <v>164</v>
      </c>
      <c r="B8" s="5" t="s">
        <v>165</v>
      </c>
      <c r="E8" s="3"/>
      <c r="F8" s="3"/>
      <c r="G8" s="3"/>
      <c r="H8" s="66">
        <v>46</v>
      </c>
      <c r="I8" s="5" t="s">
        <v>162</v>
      </c>
    </row>
    <row r="9" spans="1:9" ht="9" customHeight="1" x14ac:dyDescent="0.15">
      <c r="B9" s="3"/>
      <c r="C9" s="3"/>
      <c r="D9" s="3"/>
      <c r="E9" s="3"/>
      <c r="F9" s="3"/>
      <c r="G9" s="3"/>
      <c r="H9" s="3"/>
      <c r="I9" s="3"/>
    </row>
    <row r="10" spans="1:9" ht="18" customHeight="1" x14ac:dyDescent="0.15">
      <c r="A10" s="1" t="s">
        <v>166</v>
      </c>
      <c r="B10" s="5" t="s">
        <v>167</v>
      </c>
      <c r="C10" s="3"/>
      <c r="D10" s="3"/>
      <c r="E10" s="3"/>
      <c r="F10" s="3"/>
      <c r="G10" s="3"/>
      <c r="H10" s="3"/>
      <c r="I10" s="3"/>
    </row>
    <row r="11" spans="1:9" ht="18" customHeight="1" x14ac:dyDescent="0.15">
      <c r="B11" s="28" t="s">
        <v>168</v>
      </c>
      <c r="C11" s="300" t="s">
        <v>169</v>
      </c>
      <c r="D11" s="301"/>
      <c r="E11" s="302"/>
      <c r="F11" s="68"/>
      <c r="G11" s="28" t="s">
        <v>170</v>
      </c>
      <c r="H11" s="300" t="s">
        <v>171</v>
      </c>
      <c r="I11" s="302"/>
    </row>
    <row r="12" spans="1:9" ht="10.15" customHeight="1" x14ac:dyDescent="0.15">
      <c r="B12" s="28"/>
      <c r="C12" s="5"/>
      <c r="D12" s="68"/>
      <c r="E12" s="68"/>
      <c r="F12" s="68"/>
      <c r="G12" s="28"/>
      <c r="H12" s="5"/>
      <c r="I12" s="68"/>
    </row>
    <row r="13" spans="1:9" ht="18" customHeight="1" x14ac:dyDescent="0.15">
      <c r="A13" s="1" t="s">
        <v>172</v>
      </c>
      <c r="B13" s="5" t="s">
        <v>173</v>
      </c>
      <c r="C13" s="3"/>
      <c r="D13" s="3"/>
      <c r="E13" s="3"/>
      <c r="F13" s="3"/>
      <c r="G13" s="3"/>
      <c r="H13" s="3"/>
      <c r="I13" s="3"/>
    </row>
    <row r="14" spans="1:9" ht="18" customHeight="1" x14ac:dyDescent="0.15">
      <c r="B14" s="300" t="s">
        <v>174</v>
      </c>
      <c r="C14" s="303"/>
      <c r="D14" s="303"/>
      <c r="E14" s="303"/>
      <c r="F14" s="303"/>
      <c r="G14" s="303"/>
      <c r="H14" s="303"/>
      <c r="I14" s="304"/>
    </row>
    <row r="15" spans="1:9" ht="9" customHeight="1" x14ac:dyDescent="0.15">
      <c r="B15" s="3"/>
      <c r="C15" s="3"/>
      <c r="D15" s="3"/>
      <c r="E15" s="3"/>
      <c r="F15" s="3"/>
      <c r="G15" s="3"/>
      <c r="H15" s="3"/>
      <c r="I15" s="3"/>
    </row>
    <row r="16" spans="1:9" ht="18" customHeight="1" x14ac:dyDescent="0.15">
      <c r="B16" s="28" t="s">
        <v>168</v>
      </c>
      <c r="C16" s="300" t="s">
        <v>169</v>
      </c>
      <c r="D16" s="301"/>
      <c r="E16" s="302"/>
      <c r="F16" s="68"/>
      <c r="G16" s="28" t="s">
        <v>170</v>
      </c>
      <c r="H16" s="300" t="s">
        <v>171</v>
      </c>
      <c r="I16" s="302"/>
    </row>
    <row r="17" spans="1:9" ht="18" customHeight="1" x14ac:dyDescent="0.15">
      <c r="B17" s="3"/>
      <c r="C17" s="3"/>
      <c r="D17" s="3"/>
      <c r="E17" s="3"/>
      <c r="F17" s="3"/>
      <c r="G17" s="3"/>
      <c r="H17" s="3"/>
      <c r="I17" s="3"/>
    </row>
    <row r="18" spans="1:9" ht="18.75" customHeight="1" x14ac:dyDescent="0.15">
      <c r="A18" s="1" t="s">
        <v>175</v>
      </c>
      <c r="B18" s="1" t="s">
        <v>176</v>
      </c>
      <c r="I18" s="3"/>
    </row>
    <row r="19" spans="1:9" ht="18.75" customHeight="1" x14ac:dyDescent="0.15">
      <c r="A19" s="1"/>
      <c r="B19" s="305" t="s">
        <v>177</v>
      </c>
      <c r="C19" s="306"/>
      <c r="D19" s="306"/>
      <c r="E19" s="306"/>
      <c r="F19" s="306"/>
      <c r="G19" s="306"/>
      <c r="H19" s="306"/>
      <c r="I19" s="307"/>
    </row>
    <row r="20" spans="1:9" ht="7.5" customHeight="1" x14ac:dyDescent="0.15">
      <c r="B20" s="3"/>
      <c r="C20" s="3"/>
      <c r="D20" s="3"/>
      <c r="E20" s="3"/>
      <c r="F20" s="3"/>
      <c r="G20" s="3"/>
      <c r="H20" s="3"/>
      <c r="I20" s="3"/>
    </row>
    <row r="21" spans="1:9" ht="18.75" customHeight="1" x14ac:dyDescent="0.15">
      <c r="A21" s="1" t="s">
        <v>178</v>
      </c>
      <c r="B21" s="1" t="s">
        <v>179</v>
      </c>
    </row>
    <row r="22" spans="1:9" ht="18.75" customHeight="1" x14ac:dyDescent="0.15">
      <c r="A22" s="6"/>
      <c r="B22" s="259" t="s">
        <v>180</v>
      </c>
      <c r="C22" s="260"/>
      <c r="D22" s="260"/>
      <c r="E22" s="260"/>
      <c r="F22" s="260"/>
      <c r="G22" s="260"/>
      <c r="H22" s="260"/>
      <c r="I22" s="261"/>
    </row>
    <row r="23" spans="1:9" ht="18.75" customHeight="1" x14ac:dyDescent="0.15">
      <c r="A23" s="6"/>
      <c r="B23" s="308"/>
      <c r="C23" s="309"/>
      <c r="D23" s="309"/>
      <c r="E23" s="309"/>
      <c r="F23" s="309"/>
      <c r="G23" s="309"/>
      <c r="H23" s="309"/>
      <c r="I23" s="264"/>
    </row>
    <row r="24" spans="1:9" ht="18.75" customHeight="1" x14ac:dyDescent="0.15">
      <c r="A24" s="6"/>
      <c r="B24" s="308"/>
      <c r="C24" s="309"/>
      <c r="D24" s="309"/>
      <c r="E24" s="309"/>
      <c r="F24" s="309"/>
      <c r="G24" s="309"/>
      <c r="H24" s="309"/>
      <c r="I24" s="264"/>
    </row>
    <row r="25" spans="1:9" ht="18.75" customHeight="1" x14ac:dyDescent="0.15">
      <c r="A25" s="6"/>
      <c r="B25" s="308"/>
      <c r="C25" s="309"/>
      <c r="D25" s="309"/>
      <c r="E25" s="309"/>
      <c r="F25" s="309"/>
      <c r="G25" s="309"/>
      <c r="H25" s="309"/>
      <c r="I25" s="264"/>
    </row>
    <row r="26" spans="1:9" ht="18.75" customHeight="1" x14ac:dyDescent="0.15">
      <c r="A26" s="6"/>
      <c r="B26" s="308"/>
      <c r="C26" s="309"/>
      <c r="D26" s="309"/>
      <c r="E26" s="309"/>
      <c r="F26" s="309"/>
      <c r="G26" s="309"/>
      <c r="H26" s="309"/>
      <c r="I26" s="264"/>
    </row>
    <row r="27" spans="1:9" ht="18.75" customHeight="1" x14ac:dyDescent="0.15">
      <c r="A27" s="6"/>
      <c r="B27" s="308"/>
      <c r="C27" s="309"/>
      <c r="D27" s="309"/>
      <c r="E27" s="309"/>
      <c r="F27" s="309"/>
      <c r="G27" s="309"/>
      <c r="H27" s="309"/>
      <c r="I27" s="264"/>
    </row>
    <row r="28" spans="1:9" ht="18.75" customHeight="1" x14ac:dyDescent="0.15">
      <c r="A28" s="6"/>
      <c r="B28" s="308"/>
      <c r="C28" s="309"/>
      <c r="D28" s="309"/>
      <c r="E28" s="309"/>
      <c r="F28" s="309"/>
      <c r="G28" s="309"/>
      <c r="H28" s="309"/>
      <c r="I28" s="264"/>
    </row>
    <row r="29" spans="1:9" ht="18.75" customHeight="1" x14ac:dyDescent="0.15">
      <c r="A29" s="6"/>
      <c r="B29" s="308"/>
      <c r="C29" s="309"/>
      <c r="D29" s="309"/>
      <c r="E29" s="309"/>
      <c r="F29" s="309"/>
      <c r="G29" s="309"/>
      <c r="H29" s="309"/>
      <c r="I29" s="264"/>
    </row>
    <row r="30" spans="1:9" ht="18.75" customHeight="1" x14ac:dyDescent="0.15">
      <c r="A30" s="6"/>
      <c r="B30" s="262"/>
      <c r="C30" s="263"/>
      <c r="D30" s="263"/>
      <c r="E30" s="263"/>
      <c r="F30" s="263"/>
      <c r="G30" s="263"/>
      <c r="H30" s="263"/>
      <c r="I30" s="264"/>
    </row>
    <row r="31" spans="1:9" ht="18.75" customHeight="1" x14ac:dyDescent="0.15">
      <c r="A31" s="6"/>
      <c r="B31" s="262"/>
      <c r="C31" s="263"/>
      <c r="D31" s="263"/>
      <c r="E31" s="263"/>
      <c r="F31" s="263"/>
      <c r="G31" s="263"/>
      <c r="H31" s="263"/>
      <c r="I31" s="264"/>
    </row>
    <row r="32" spans="1:9" ht="18.75" customHeight="1" x14ac:dyDescent="0.15">
      <c r="A32" s="6"/>
      <c r="B32" s="265"/>
      <c r="C32" s="266"/>
      <c r="D32" s="266"/>
      <c r="E32" s="266"/>
      <c r="F32" s="266"/>
      <c r="G32" s="266"/>
      <c r="H32" s="266"/>
      <c r="I32" s="267"/>
    </row>
    <row r="33" spans="1:9" ht="7.5" customHeight="1" x14ac:dyDescent="0.15">
      <c r="A33" s="6"/>
      <c r="B33" s="6"/>
      <c r="C33" s="6"/>
      <c r="D33" s="6"/>
      <c r="E33" s="6"/>
      <c r="F33" s="6"/>
      <c r="G33" s="6"/>
      <c r="H33" s="6"/>
      <c r="I33" s="6"/>
    </row>
    <row r="34" spans="1:9" ht="18.75" customHeight="1" x14ac:dyDescent="0.15">
      <c r="A34" s="27" t="s">
        <v>181</v>
      </c>
      <c r="B34" s="27" t="s">
        <v>182</v>
      </c>
      <c r="C34" s="5"/>
      <c r="D34" s="27"/>
      <c r="E34" s="27"/>
      <c r="F34" s="27"/>
      <c r="G34" s="27"/>
      <c r="H34" s="27"/>
      <c r="I34" s="27"/>
    </row>
    <row r="35" spans="1:9" ht="18.75" customHeight="1" x14ac:dyDescent="0.15">
      <c r="A35" s="6"/>
      <c r="B35" s="259" t="s">
        <v>183</v>
      </c>
      <c r="C35" s="260"/>
      <c r="D35" s="260"/>
      <c r="E35" s="260"/>
      <c r="F35" s="260"/>
      <c r="G35" s="260"/>
      <c r="H35" s="260"/>
      <c r="I35" s="261"/>
    </row>
    <row r="36" spans="1:9" ht="18.75" customHeight="1" x14ac:dyDescent="0.15">
      <c r="A36" s="6"/>
      <c r="B36" s="262"/>
      <c r="C36" s="263"/>
      <c r="D36" s="263"/>
      <c r="E36" s="263"/>
      <c r="F36" s="263"/>
      <c r="G36" s="263"/>
      <c r="H36" s="263"/>
      <c r="I36" s="264"/>
    </row>
    <row r="37" spans="1:9" ht="18.75" customHeight="1" x14ac:dyDescent="0.15">
      <c r="A37" s="6"/>
      <c r="B37" s="262"/>
      <c r="C37" s="263"/>
      <c r="D37" s="263"/>
      <c r="E37" s="263"/>
      <c r="F37" s="263"/>
      <c r="G37" s="263"/>
      <c r="H37" s="263"/>
      <c r="I37" s="264"/>
    </row>
    <row r="38" spans="1:9" ht="18.75" customHeight="1" x14ac:dyDescent="0.15">
      <c r="A38" s="6"/>
      <c r="B38" s="262"/>
      <c r="C38" s="263"/>
      <c r="D38" s="263"/>
      <c r="E38" s="263"/>
      <c r="F38" s="263"/>
      <c r="G38" s="263"/>
      <c r="H38" s="263"/>
      <c r="I38" s="264"/>
    </row>
    <row r="39" spans="1:9" ht="18.75" customHeight="1" x14ac:dyDescent="0.15">
      <c r="A39" s="6"/>
      <c r="B39" s="262"/>
      <c r="C39" s="263"/>
      <c r="D39" s="263"/>
      <c r="E39" s="263"/>
      <c r="F39" s="263"/>
      <c r="G39" s="263"/>
      <c r="H39" s="263"/>
      <c r="I39" s="264"/>
    </row>
    <row r="40" spans="1:9" ht="18.75" customHeight="1" x14ac:dyDescent="0.15">
      <c r="A40" s="6"/>
      <c r="B40" s="262"/>
      <c r="C40" s="263"/>
      <c r="D40" s="263"/>
      <c r="E40" s="263"/>
      <c r="F40" s="263"/>
      <c r="G40" s="263"/>
      <c r="H40" s="263"/>
      <c r="I40" s="264"/>
    </row>
    <row r="41" spans="1:9" ht="18.75" customHeight="1" x14ac:dyDescent="0.15">
      <c r="A41" s="6"/>
      <c r="B41" s="262"/>
      <c r="C41" s="263"/>
      <c r="D41" s="263"/>
      <c r="E41" s="263"/>
      <c r="F41" s="263"/>
      <c r="G41" s="263"/>
      <c r="H41" s="263"/>
      <c r="I41" s="264"/>
    </row>
    <row r="42" spans="1:9" ht="18.75" customHeight="1" x14ac:dyDescent="0.15">
      <c r="A42" s="6"/>
      <c r="B42" s="262"/>
      <c r="C42" s="263"/>
      <c r="D42" s="263"/>
      <c r="E42" s="263"/>
      <c r="F42" s="263"/>
      <c r="G42" s="263"/>
      <c r="H42" s="263"/>
      <c r="I42" s="264"/>
    </row>
    <row r="43" spans="1:9" ht="18.75" customHeight="1" x14ac:dyDescent="0.15">
      <c r="A43" s="6"/>
      <c r="B43" s="262"/>
      <c r="C43" s="263"/>
      <c r="D43" s="263"/>
      <c r="E43" s="263"/>
      <c r="F43" s="263"/>
      <c r="G43" s="263"/>
      <c r="H43" s="263"/>
      <c r="I43" s="264"/>
    </row>
    <row r="44" spans="1:9" ht="18.75" customHeight="1" x14ac:dyDescent="0.15">
      <c r="A44" s="6"/>
      <c r="B44" s="262"/>
      <c r="C44" s="263"/>
      <c r="D44" s="263"/>
      <c r="E44" s="263"/>
      <c r="F44" s="263"/>
      <c r="G44" s="263"/>
      <c r="H44" s="263"/>
      <c r="I44" s="264"/>
    </row>
    <row r="45" spans="1:9" ht="18.75" customHeight="1" x14ac:dyDescent="0.15">
      <c r="A45" s="6"/>
      <c r="B45" s="262"/>
      <c r="C45" s="263"/>
      <c r="D45" s="263"/>
      <c r="E45" s="263"/>
      <c r="F45" s="263"/>
      <c r="G45" s="263"/>
      <c r="H45" s="263"/>
      <c r="I45" s="264"/>
    </row>
    <row r="46" spans="1:9" ht="18.75" customHeight="1" x14ac:dyDescent="0.15">
      <c r="A46" s="6"/>
      <c r="B46" s="265"/>
      <c r="C46" s="266"/>
      <c r="D46" s="266"/>
      <c r="E46" s="266"/>
      <c r="F46" s="266"/>
      <c r="G46" s="266"/>
      <c r="H46" s="266"/>
      <c r="I46" s="267"/>
    </row>
    <row r="47" spans="1:9" ht="7.5" customHeight="1" x14ac:dyDescent="0.15">
      <c r="A47" s="69"/>
      <c r="B47" s="69"/>
      <c r="C47" s="69"/>
      <c r="D47" s="69"/>
      <c r="E47" s="69"/>
      <c r="F47" s="69"/>
      <c r="G47" s="69"/>
      <c r="H47" s="69"/>
      <c r="I47" s="69"/>
    </row>
    <row r="48" spans="1:9" ht="18.75" customHeight="1" x14ac:dyDescent="0.15">
      <c r="A48" s="1" t="s">
        <v>184</v>
      </c>
      <c r="B48" s="1" t="s">
        <v>185</v>
      </c>
    </row>
    <row r="49" spans="1:15" s="3" customFormat="1" ht="18.75" customHeight="1" x14ac:dyDescent="0.15">
      <c r="B49" s="70" t="s">
        <v>186</v>
      </c>
      <c r="C49" s="298">
        <f>'様式２ 履修者等数の実績'!AQ32</f>
        <v>0.18868881562262238</v>
      </c>
      <c r="D49" s="298"/>
      <c r="E49" s="70" t="s">
        <v>187</v>
      </c>
      <c r="F49" s="298">
        <v>0.38</v>
      </c>
      <c r="G49" s="298"/>
      <c r="H49" s="70" t="s">
        <v>188</v>
      </c>
      <c r="I49" s="71">
        <v>0.56999999999999995</v>
      </c>
      <c r="J49" s="1"/>
      <c r="M49" s="1"/>
      <c r="N49" s="72"/>
    </row>
    <row r="50" spans="1:15" s="3" customFormat="1" ht="18.75" customHeight="1" x14ac:dyDescent="0.15">
      <c r="B50" s="73" t="s">
        <v>189</v>
      </c>
      <c r="C50" s="269">
        <v>0.76</v>
      </c>
      <c r="D50" s="269"/>
      <c r="E50" s="73" t="s">
        <v>190</v>
      </c>
      <c r="F50" s="269">
        <v>0.85</v>
      </c>
      <c r="G50" s="269"/>
      <c r="H50" s="73" t="s">
        <v>191</v>
      </c>
      <c r="I50" s="74">
        <f>'様式２ 履修者等数の実績'!E32</f>
        <v>15772</v>
      </c>
      <c r="J50" s="1"/>
      <c r="M50" s="1"/>
      <c r="N50" s="72"/>
    </row>
    <row r="51" spans="1:15" ht="18.75" customHeight="1" x14ac:dyDescent="0.15">
      <c r="A51" s="1"/>
      <c r="B51" s="270" t="s">
        <v>192</v>
      </c>
      <c r="C51" s="271"/>
      <c r="D51" s="271"/>
      <c r="E51" s="271"/>
      <c r="F51" s="271"/>
      <c r="G51" s="271"/>
      <c r="H51" s="271"/>
      <c r="I51" s="272"/>
      <c r="N51" s="72"/>
      <c r="O51" s="3"/>
    </row>
    <row r="52" spans="1:15" ht="20.25" customHeight="1" x14ac:dyDescent="0.15">
      <c r="A52" s="1"/>
      <c r="B52" s="273" t="s">
        <v>193</v>
      </c>
      <c r="C52" s="274"/>
      <c r="D52" s="274"/>
      <c r="E52" s="274"/>
      <c r="F52" s="274"/>
      <c r="G52" s="274"/>
      <c r="H52" s="274"/>
      <c r="I52" s="275"/>
      <c r="N52" s="72"/>
      <c r="O52" s="3"/>
    </row>
    <row r="53" spans="1:15" ht="20.25" customHeight="1" x14ac:dyDescent="0.15">
      <c r="A53" s="1"/>
      <c r="B53" s="276"/>
      <c r="C53" s="277"/>
      <c r="D53" s="277"/>
      <c r="E53" s="277"/>
      <c r="F53" s="277"/>
      <c r="G53" s="277"/>
      <c r="H53" s="277"/>
      <c r="I53" s="278"/>
      <c r="N53" s="72"/>
      <c r="O53" s="3"/>
    </row>
    <row r="54" spans="1:15" ht="20.25" customHeight="1" x14ac:dyDescent="0.15">
      <c r="A54" s="1"/>
      <c r="B54" s="276"/>
      <c r="C54" s="277"/>
      <c r="D54" s="277"/>
      <c r="E54" s="277"/>
      <c r="F54" s="277"/>
      <c r="G54" s="277"/>
      <c r="H54" s="277"/>
      <c r="I54" s="278"/>
    </row>
    <row r="55" spans="1:15" ht="20.25" customHeight="1" x14ac:dyDescent="0.15">
      <c r="A55" s="1"/>
      <c r="B55" s="276"/>
      <c r="C55" s="277"/>
      <c r="D55" s="277"/>
      <c r="E55" s="277"/>
      <c r="F55" s="277"/>
      <c r="G55" s="277"/>
      <c r="H55" s="277"/>
      <c r="I55" s="278"/>
    </row>
    <row r="56" spans="1:15" ht="20.25" customHeight="1" x14ac:dyDescent="0.15">
      <c r="A56" s="1"/>
      <c r="B56" s="276"/>
      <c r="C56" s="277"/>
      <c r="D56" s="277"/>
      <c r="E56" s="277"/>
      <c r="F56" s="277"/>
      <c r="G56" s="277"/>
      <c r="H56" s="277"/>
      <c r="I56" s="278"/>
    </row>
    <row r="57" spans="1:15" ht="20.25" customHeight="1" x14ac:dyDescent="0.15">
      <c r="A57" s="1"/>
      <c r="B57" s="276"/>
      <c r="C57" s="277"/>
      <c r="D57" s="277"/>
      <c r="E57" s="277"/>
      <c r="F57" s="277"/>
      <c r="G57" s="277"/>
      <c r="H57" s="277"/>
      <c r="I57" s="278"/>
    </row>
    <row r="58" spans="1:15" ht="20.25" customHeight="1" x14ac:dyDescent="0.15">
      <c r="A58" s="1"/>
      <c r="B58" s="276"/>
      <c r="C58" s="277"/>
      <c r="D58" s="277"/>
      <c r="E58" s="277"/>
      <c r="F58" s="277"/>
      <c r="G58" s="277"/>
      <c r="H58" s="277"/>
      <c r="I58" s="278"/>
    </row>
    <row r="59" spans="1:15" ht="20.25" customHeight="1" x14ac:dyDescent="0.15">
      <c r="A59" s="1"/>
      <c r="B59" s="276"/>
      <c r="C59" s="277"/>
      <c r="D59" s="277"/>
      <c r="E59" s="277"/>
      <c r="F59" s="277"/>
      <c r="G59" s="277"/>
      <c r="H59" s="277"/>
      <c r="I59" s="278"/>
    </row>
    <row r="60" spans="1:15" ht="20.25" customHeight="1" x14ac:dyDescent="0.15">
      <c r="A60" s="1"/>
      <c r="B60" s="276"/>
      <c r="C60" s="277"/>
      <c r="D60" s="277"/>
      <c r="E60" s="277"/>
      <c r="F60" s="277"/>
      <c r="G60" s="277"/>
      <c r="H60" s="277"/>
      <c r="I60" s="278"/>
    </row>
    <row r="61" spans="1:15" ht="20.25" customHeight="1" x14ac:dyDescent="0.15">
      <c r="A61" s="1"/>
      <c r="B61" s="276"/>
      <c r="C61" s="277"/>
      <c r="D61" s="277"/>
      <c r="E61" s="277"/>
      <c r="F61" s="277"/>
      <c r="G61" s="277"/>
      <c r="H61" s="277"/>
      <c r="I61" s="278"/>
    </row>
    <row r="62" spans="1:15" ht="20.25" customHeight="1" x14ac:dyDescent="0.15">
      <c r="A62" s="1"/>
      <c r="B62" s="276"/>
      <c r="C62" s="277"/>
      <c r="D62" s="277"/>
      <c r="E62" s="277"/>
      <c r="F62" s="277"/>
      <c r="G62" s="277"/>
      <c r="H62" s="277"/>
      <c r="I62" s="278"/>
    </row>
    <row r="63" spans="1:15" ht="20.25" customHeight="1" x14ac:dyDescent="0.15">
      <c r="A63" s="1"/>
      <c r="B63" s="279"/>
      <c r="C63" s="280"/>
      <c r="D63" s="280"/>
      <c r="E63" s="280"/>
      <c r="F63" s="280"/>
      <c r="G63" s="280"/>
      <c r="H63" s="280"/>
      <c r="I63" s="281"/>
    </row>
    <row r="64" spans="1:15" ht="7.5" customHeight="1" x14ac:dyDescent="0.15">
      <c r="A64" s="6"/>
      <c r="B64" s="6"/>
      <c r="C64" s="6"/>
      <c r="D64" s="6"/>
      <c r="E64" s="6"/>
      <c r="F64" s="6"/>
      <c r="G64" s="6"/>
      <c r="H64" s="6"/>
      <c r="I64" s="6"/>
    </row>
    <row r="65" spans="1:9" ht="18.75" customHeight="1" x14ac:dyDescent="0.15">
      <c r="A65" s="27" t="s">
        <v>194</v>
      </c>
      <c r="B65" s="1" t="s">
        <v>195</v>
      </c>
      <c r="I65" s="27"/>
    </row>
    <row r="66" spans="1:9" ht="18.75" customHeight="1" x14ac:dyDescent="0.15">
      <c r="A66" s="69"/>
      <c r="B66" s="282" t="s">
        <v>235</v>
      </c>
      <c r="C66" s="283"/>
      <c r="D66" s="283"/>
      <c r="E66" s="283"/>
      <c r="F66" s="283"/>
      <c r="G66" s="283"/>
      <c r="H66" s="283"/>
      <c r="I66" s="284"/>
    </row>
    <row r="67" spans="1:9" ht="18.75" customHeight="1" x14ac:dyDescent="0.15">
      <c r="A67" s="69"/>
      <c r="B67" s="285"/>
      <c r="C67" s="286"/>
      <c r="D67" s="286"/>
      <c r="E67" s="286"/>
      <c r="F67" s="286"/>
      <c r="G67" s="286"/>
      <c r="H67" s="286"/>
      <c r="I67" s="287"/>
    </row>
    <row r="68" spans="1:9" ht="18.75" customHeight="1" x14ac:dyDescent="0.15">
      <c r="A68" s="69"/>
      <c r="B68" s="285"/>
      <c r="C68" s="286"/>
      <c r="D68" s="286"/>
      <c r="E68" s="286"/>
      <c r="F68" s="286"/>
      <c r="G68" s="286"/>
      <c r="H68" s="286"/>
      <c r="I68" s="287"/>
    </row>
    <row r="69" spans="1:9" ht="18.75" customHeight="1" x14ac:dyDescent="0.15">
      <c r="A69" s="69"/>
      <c r="B69" s="285"/>
      <c r="C69" s="286"/>
      <c r="D69" s="286"/>
      <c r="E69" s="286"/>
      <c r="F69" s="286"/>
      <c r="G69" s="286"/>
      <c r="H69" s="286"/>
      <c r="I69" s="287"/>
    </row>
    <row r="70" spans="1:9" ht="18.75" customHeight="1" x14ac:dyDescent="0.15">
      <c r="A70" s="69"/>
      <c r="B70" s="285"/>
      <c r="C70" s="286"/>
      <c r="D70" s="286"/>
      <c r="E70" s="286"/>
      <c r="F70" s="286"/>
      <c r="G70" s="286"/>
      <c r="H70" s="286"/>
      <c r="I70" s="287"/>
    </row>
    <row r="71" spans="1:9" ht="18.75" customHeight="1" x14ac:dyDescent="0.15">
      <c r="A71" s="69"/>
      <c r="B71" s="285"/>
      <c r="C71" s="286"/>
      <c r="D71" s="286"/>
      <c r="E71" s="286"/>
      <c r="F71" s="286"/>
      <c r="G71" s="286"/>
      <c r="H71" s="286"/>
      <c r="I71" s="287"/>
    </row>
    <row r="72" spans="1:9" ht="18.75" customHeight="1" x14ac:dyDescent="0.15">
      <c r="A72" s="69"/>
      <c r="B72" s="285"/>
      <c r="C72" s="286"/>
      <c r="D72" s="286"/>
      <c r="E72" s="286"/>
      <c r="F72" s="286"/>
      <c r="G72" s="286"/>
      <c r="H72" s="286"/>
      <c r="I72" s="287"/>
    </row>
    <row r="73" spans="1:9" ht="18.75" customHeight="1" x14ac:dyDescent="0.15">
      <c r="A73" s="69"/>
      <c r="B73" s="285"/>
      <c r="C73" s="286"/>
      <c r="D73" s="286"/>
      <c r="E73" s="286"/>
      <c r="F73" s="286"/>
      <c r="G73" s="286"/>
      <c r="H73" s="286"/>
      <c r="I73" s="287"/>
    </row>
    <row r="74" spans="1:9" ht="18.75" customHeight="1" x14ac:dyDescent="0.15">
      <c r="A74" s="69"/>
      <c r="B74" s="285"/>
      <c r="C74" s="286"/>
      <c r="D74" s="286"/>
      <c r="E74" s="286"/>
      <c r="F74" s="286"/>
      <c r="G74" s="286"/>
      <c r="H74" s="286"/>
      <c r="I74" s="287"/>
    </row>
    <row r="75" spans="1:9" ht="18.75" customHeight="1" x14ac:dyDescent="0.15">
      <c r="A75" s="69"/>
      <c r="B75" s="285"/>
      <c r="C75" s="286"/>
      <c r="D75" s="286"/>
      <c r="E75" s="286"/>
      <c r="F75" s="286"/>
      <c r="G75" s="286"/>
      <c r="H75" s="286"/>
      <c r="I75" s="287"/>
    </row>
    <row r="76" spans="1:9" ht="18.75" customHeight="1" x14ac:dyDescent="0.15">
      <c r="A76" s="69"/>
      <c r="B76" s="285"/>
      <c r="C76" s="286"/>
      <c r="D76" s="286"/>
      <c r="E76" s="286"/>
      <c r="F76" s="286"/>
      <c r="G76" s="286"/>
      <c r="H76" s="286"/>
      <c r="I76" s="287"/>
    </row>
    <row r="77" spans="1:9" ht="18.75" customHeight="1" x14ac:dyDescent="0.15">
      <c r="A77" s="69"/>
      <c r="B77" s="288"/>
      <c r="C77" s="289"/>
      <c r="D77" s="289"/>
      <c r="E77" s="289"/>
      <c r="F77" s="289"/>
      <c r="G77" s="289"/>
      <c r="H77" s="289"/>
      <c r="I77" s="290"/>
    </row>
    <row r="78" spans="1:9" ht="7.5" customHeight="1" x14ac:dyDescent="0.15">
      <c r="A78" s="69"/>
      <c r="B78" s="69"/>
      <c r="C78" s="69"/>
      <c r="D78" s="69"/>
      <c r="E78" s="69"/>
      <c r="F78" s="69"/>
      <c r="G78" s="69"/>
      <c r="H78" s="69"/>
      <c r="I78" s="69"/>
    </row>
    <row r="79" spans="1:9" ht="18.75" customHeight="1" x14ac:dyDescent="0.15">
      <c r="A79" s="1" t="s">
        <v>196</v>
      </c>
      <c r="B79" s="1" t="s">
        <v>197</v>
      </c>
    </row>
    <row r="80" spans="1:9" ht="18.75" customHeight="1" x14ac:dyDescent="0.15">
      <c r="A80" s="1"/>
      <c r="B80" s="282" t="s">
        <v>198</v>
      </c>
      <c r="C80" s="283"/>
      <c r="D80" s="283"/>
      <c r="E80" s="283"/>
      <c r="F80" s="283"/>
      <c r="G80" s="283"/>
      <c r="H80" s="283"/>
      <c r="I80" s="291"/>
    </row>
    <row r="81" spans="1:9" ht="18.75" customHeight="1" x14ac:dyDescent="0.15">
      <c r="A81" s="1"/>
      <c r="B81" s="292"/>
      <c r="C81" s="293"/>
      <c r="D81" s="293"/>
      <c r="E81" s="293"/>
      <c r="F81" s="293"/>
      <c r="G81" s="293"/>
      <c r="H81" s="293"/>
      <c r="I81" s="294"/>
    </row>
    <row r="82" spans="1:9" ht="18.75" customHeight="1" x14ac:dyDescent="0.15">
      <c r="A82" s="1"/>
      <c r="B82" s="292"/>
      <c r="C82" s="293"/>
      <c r="D82" s="293"/>
      <c r="E82" s="293"/>
      <c r="F82" s="293"/>
      <c r="G82" s="293"/>
      <c r="H82" s="293"/>
      <c r="I82" s="294"/>
    </row>
    <row r="83" spans="1:9" ht="18.75" customHeight="1" x14ac:dyDescent="0.15">
      <c r="A83" s="1"/>
      <c r="B83" s="292"/>
      <c r="C83" s="293"/>
      <c r="D83" s="293"/>
      <c r="E83" s="293"/>
      <c r="F83" s="293"/>
      <c r="G83" s="293"/>
      <c r="H83" s="293"/>
      <c r="I83" s="294"/>
    </row>
    <row r="84" spans="1:9" ht="18.75" customHeight="1" x14ac:dyDescent="0.15">
      <c r="A84" s="1"/>
      <c r="B84" s="292"/>
      <c r="C84" s="293"/>
      <c r="D84" s="293"/>
      <c r="E84" s="293"/>
      <c r="F84" s="293"/>
      <c r="G84" s="293"/>
      <c r="H84" s="293"/>
      <c r="I84" s="294"/>
    </row>
    <row r="85" spans="1:9" ht="18.75" customHeight="1" x14ac:dyDescent="0.15">
      <c r="A85" s="1"/>
      <c r="B85" s="292"/>
      <c r="C85" s="293"/>
      <c r="D85" s="293"/>
      <c r="E85" s="293"/>
      <c r="F85" s="293"/>
      <c r="G85" s="293"/>
      <c r="H85" s="293"/>
      <c r="I85" s="294"/>
    </row>
    <row r="86" spans="1:9" ht="18.75" customHeight="1" x14ac:dyDescent="0.15">
      <c r="A86" s="1"/>
      <c r="B86" s="292"/>
      <c r="C86" s="293"/>
      <c r="D86" s="293"/>
      <c r="E86" s="293"/>
      <c r="F86" s="293"/>
      <c r="G86" s="293"/>
      <c r="H86" s="293"/>
      <c r="I86" s="294"/>
    </row>
    <row r="87" spans="1:9" ht="18.75" customHeight="1" x14ac:dyDescent="0.15">
      <c r="A87" s="1"/>
      <c r="B87" s="292"/>
      <c r="C87" s="293"/>
      <c r="D87" s="293"/>
      <c r="E87" s="293"/>
      <c r="F87" s="293"/>
      <c r="G87" s="293"/>
      <c r="H87" s="293"/>
      <c r="I87" s="294"/>
    </row>
    <row r="88" spans="1:9" ht="18.75" customHeight="1" x14ac:dyDescent="0.15">
      <c r="A88" s="1"/>
      <c r="B88" s="292"/>
      <c r="C88" s="293"/>
      <c r="D88" s="293"/>
      <c r="E88" s="293"/>
      <c r="F88" s="293"/>
      <c r="G88" s="293"/>
      <c r="H88" s="293"/>
      <c r="I88" s="294"/>
    </row>
    <row r="89" spans="1:9" ht="18.75" customHeight="1" x14ac:dyDescent="0.15">
      <c r="A89" s="1"/>
      <c r="B89" s="292"/>
      <c r="C89" s="293"/>
      <c r="D89" s="293"/>
      <c r="E89" s="293"/>
      <c r="F89" s="293"/>
      <c r="G89" s="293"/>
      <c r="H89" s="293"/>
      <c r="I89" s="294"/>
    </row>
    <row r="90" spans="1:9" ht="18.75" customHeight="1" x14ac:dyDescent="0.15">
      <c r="A90" s="69"/>
      <c r="B90" s="292"/>
      <c r="C90" s="293"/>
      <c r="D90" s="293"/>
      <c r="E90" s="293"/>
      <c r="F90" s="293"/>
      <c r="G90" s="293"/>
      <c r="H90" s="293"/>
      <c r="I90" s="294"/>
    </row>
    <row r="91" spans="1:9" ht="18.75" customHeight="1" x14ac:dyDescent="0.15">
      <c r="A91" s="69"/>
      <c r="B91" s="295"/>
      <c r="C91" s="296"/>
      <c r="D91" s="296"/>
      <c r="E91" s="296"/>
      <c r="F91" s="296"/>
      <c r="G91" s="296"/>
      <c r="H91" s="296"/>
      <c r="I91" s="297"/>
    </row>
    <row r="92" spans="1:9" ht="7.5" customHeight="1" x14ac:dyDescent="0.15">
      <c r="A92" s="69"/>
      <c r="B92" s="69"/>
      <c r="C92" s="69"/>
      <c r="D92" s="69"/>
      <c r="E92" s="69"/>
      <c r="F92" s="69"/>
      <c r="G92" s="69"/>
      <c r="H92" s="69"/>
      <c r="I92" s="69"/>
    </row>
    <row r="93" spans="1:9" ht="18.75" customHeight="1" x14ac:dyDescent="0.15">
      <c r="A93" s="1" t="s">
        <v>199</v>
      </c>
      <c r="B93" s="1" t="s">
        <v>200</v>
      </c>
    </row>
    <row r="94" spans="1:9" ht="18.75" customHeight="1" x14ac:dyDescent="0.15">
      <c r="A94" s="1"/>
      <c r="B94" s="259" t="s">
        <v>201</v>
      </c>
      <c r="C94" s="260"/>
      <c r="D94" s="260"/>
      <c r="E94" s="260"/>
      <c r="F94" s="260"/>
      <c r="G94" s="260"/>
      <c r="H94" s="260"/>
      <c r="I94" s="261"/>
    </row>
    <row r="95" spans="1:9" ht="18.75" customHeight="1" x14ac:dyDescent="0.15">
      <c r="A95" s="1"/>
      <c r="B95" s="262"/>
      <c r="C95" s="263"/>
      <c r="D95" s="263"/>
      <c r="E95" s="263"/>
      <c r="F95" s="263"/>
      <c r="G95" s="263"/>
      <c r="H95" s="263"/>
      <c r="I95" s="264"/>
    </row>
    <row r="96" spans="1:9" ht="18.75" customHeight="1" x14ac:dyDescent="0.15">
      <c r="A96" s="1"/>
      <c r="B96" s="262"/>
      <c r="C96" s="263"/>
      <c r="D96" s="263"/>
      <c r="E96" s="263"/>
      <c r="F96" s="263"/>
      <c r="G96" s="263"/>
      <c r="H96" s="263"/>
      <c r="I96" s="264"/>
    </row>
    <row r="97" spans="1:9" ht="18.75" customHeight="1" x14ac:dyDescent="0.15">
      <c r="A97" s="1"/>
      <c r="B97" s="262"/>
      <c r="C97" s="263"/>
      <c r="D97" s="263"/>
      <c r="E97" s="263"/>
      <c r="F97" s="263"/>
      <c r="G97" s="263"/>
      <c r="H97" s="263"/>
      <c r="I97" s="264"/>
    </row>
    <row r="98" spans="1:9" ht="18.75" customHeight="1" x14ac:dyDescent="0.15">
      <c r="A98" s="1"/>
      <c r="B98" s="262"/>
      <c r="C98" s="263"/>
      <c r="D98" s="263"/>
      <c r="E98" s="263"/>
      <c r="F98" s="263"/>
      <c r="G98" s="263"/>
      <c r="H98" s="263"/>
      <c r="I98" s="264"/>
    </row>
    <row r="99" spans="1:9" ht="18.75" customHeight="1" x14ac:dyDescent="0.15">
      <c r="A99" s="1"/>
      <c r="B99" s="262"/>
      <c r="C99" s="263"/>
      <c r="D99" s="263"/>
      <c r="E99" s="263"/>
      <c r="F99" s="263"/>
      <c r="G99" s="263"/>
      <c r="H99" s="263"/>
      <c r="I99" s="264"/>
    </row>
    <row r="100" spans="1:9" ht="18.75" customHeight="1" x14ac:dyDescent="0.15">
      <c r="A100" s="1"/>
      <c r="B100" s="262"/>
      <c r="C100" s="263"/>
      <c r="D100" s="263"/>
      <c r="E100" s="263"/>
      <c r="F100" s="263"/>
      <c r="G100" s="263"/>
      <c r="H100" s="263"/>
      <c r="I100" s="264"/>
    </row>
    <row r="101" spans="1:9" ht="18.75" customHeight="1" x14ac:dyDescent="0.15">
      <c r="A101" s="1"/>
      <c r="B101" s="262"/>
      <c r="C101" s="263"/>
      <c r="D101" s="263"/>
      <c r="E101" s="263"/>
      <c r="F101" s="263"/>
      <c r="G101" s="263"/>
      <c r="H101" s="263"/>
      <c r="I101" s="264"/>
    </row>
    <row r="102" spans="1:9" ht="18.75" customHeight="1" x14ac:dyDescent="0.15">
      <c r="A102" s="1"/>
      <c r="B102" s="262"/>
      <c r="C102" s="263"/>
      <c r="D102" s="263"/>
      <c r="E102" s="263"/>
      <c r="F102" s="263"/>
      <c r="G102" s="263"/>
      <c r="H102" s="263"/>
      <c r="I102" s="264"/>
    </row>
    <row r="103" spans="1:9" ht="18.75" customHeight="1" x14ac:dyDescent="0.15">
      <c r="A103" s="1"/>
      <c r="B103" s="262"/>
      <c r="C103" s="263"/>
      <c r="D103" s="263"/>
      <c r="E103" s="263"/>
      <c r="F103" s="263"/>
      <c r="G103" s="263"/>
      <c r="H103" s="263"/>
      <c r="I103" s="264"/>
    </row>
    <row r="104" spans="1:9" ht="18.75" customHeight="1" x14ac:dyDescent="0.15">
      <c r="A104" s="1"/>
      <c r="B104" s="262"/>
      <c r="C104" s="263"/>
      <c r="D104" s="263"/>
      <c r="E104" s="263"/>
      <c r="F104" s="263"/>
      <c r="G104" s="263"/>
      <c r="H104" s="263"/>
      <c r="I104" s="264"/>
    </row>
    <row r="105" spans="1:9" ht="18.75" customHeight="1" x14ac:dyDescent="0.15">
      <c r="A105" s="69"/>
      <c r="B105" s="265"/>
      <c r="C105" s="266"/>
      <c r="D105" s="266"/>
      <c r="E105" s="266"/>
      <c r="F105" s="266"/>
      <c r="G105" s="266"/>
      <c r="H105" s="266"/>
      <c r="I105" s="267"/>
    </row>
    <row r="106" spans="1:9" ht="7.5" customHeight="1" x14ac:dyDescent="0.15">
      <c r="A106" s="69"/>
      <c r="B106" s="69"/>
      <c r="C106" s="69"/>
      <c r="D106" s="69"/>
      <c r="E106" s="69"/>
      <c r="F106" s="69"/>
      <c r="G106" s="69"/>
      <c r="H106" s="69"/>
      <c r="I106" s="69"/>
    </row>
    <row r="107" spans="1:9" ht="18.75" customHeight="1" x14ac:dyDescent="0.15">
      <c r="A107" s="1" t="s">
        <v>202</v>
      </c>
      <c r="B107" s="268" t="s">
        <v>203</v>
      </c>
      <c r="C107" s="268"/>
      <c r="D107" s="268"/>
      <c r="E107" s="268"/>
      <c r="F107" s="268"/>
      <c r="G107" s="268"/>
      <c r="H107" s="268"/>
      <c r="I107" s="268"/>
    </row>
    <row r="108" spans="1:9" ht="18.75" customHeight="1" x14ac:dyDescent="0.15">
      <c r="A108" s="69"/>
      <c r="B108" s="259" t="s">
        <v>204</v>
      </c>
      <c r="C108" s="260"/>
      <c r="D108" s="260"/>
      <c r="E108" s="260"/>
      <c r="F108" s="260"/>
      <c r="G108" s="260"/>
      <c r="H108" s="260"/>
      <c r="I108" s="261"/>
    </row>
    <row r="109" spans="1:9" ht="18.75" customHeight="1" x14ac:dyDescent="0.15">
      <c r="A109" s="69"/>
      <c r="B109" s="262"/>
      <c r="C109" s="263"/>
      <c r="D109" s="263"/>
      <c r="E109" s="263"/>
      <c r="F109" s="263"/>
      <c r="G109" s="263"/>
      <c r="H109" s="263"/>
      <c r="I109" s="264"/>
    </row>
    <row r="110" spans="1:9" ht="18.75" customHeight="1" x14ac:dyDescent="0.15">
      <c r="A110" s="69"/>
      <c r="B110" s="262"/>
      <c r="C110" s="263"/>
      <c r="D110" s="263"/>
      <c r="E110" s="263"/>
      <c r="F110" s="263"/>
      <c r="G110" s="263"/>
      <c r="H110" s="263"/>
      <c r="I110" s="264"/>
    </row>
    <row r="111" spans="1:9" ht="18.75" customHeight="1" x14ac:dyDescent="0.15">
      <c r="A111" s="69"/>
      <c r="B111" s="262"/>
      <c r="C111" s="263"/>
      <c r="D111" s="263"/>
      <c r="E111" s="263"/>
      <c r="F111" s="263"/>
      <c r="G111" s="263"/>
      <c r="H111" s="263"/>
      <c r="I111" s="264"/>
    </row>
    <row r="112" spans="1:9" ht="18.75" customHeight="1" x14ac:dyDescent="0.15">
      <c r="A112" s="69"/>
      <c r="B112" s="262"/>
      <c r="C112" s="263"/>
      <c r="D112" s="263"/>
      <c r="E112" s="263"/>
      <c r="F112" s="263"/>
      <c r="G112" s="263"/>
      <c r="H112" s="263"/>
      <c r="I112" s="264"/>
    </row>
    <row r="113" spans="1:9" ht="18.75" customHeight="1" x14ac:dyDescent="0.15">
      <c r="A113" s="69"/>
      <c r="B113" s="262"/>
      <c r="C113" s="263"/>
      <c r="D113" s="263"/>
      <c r="E113" s="263"/>
      <c r="F113" s="263"/>
      <c r="G113" s="263"/>
      <c r="H113" s="263"/>
      <c r="I113" s="264"/>
    </row>
    <row r="114" spans="1:9" ht="18.75" customHeight="1" x14ac:dyDescent="0.15">
      <c r="A114" s="69"/>
      <c r="B114" s="262"/>
      <c r="C114" s="263"/>
      <c r="D114" s="263"/>
      <c r="E114" s="263"/>
      <c r="F114" s="263"/>
      <c r="G114" s="263"/>
      <c r="H114" s="263"/>
      <c r="I114" s="264"/>
    </row>
    <row r="115" spans="1:9" ht="18.75" customHeight="1" x14ac:dyDescent="0.15">
      <c r="A115" s="69"/>
      <c r="B115" s="262"/>
      <c r="C115" s="263"/>
      <c r="D115" s="263"/>
      <c r="E115" s="263"/>
      <c r="F115" s="263"/>
      <c r="G115" s="263"/>
      <c r="H115" s="263"/>
      <c r="I115" s="264"/>
    </row>
    <row r="116" spans="1:9" ht="18.75" customHeight="1" x14ac:dyDescent="0.15">
      <c r="A116" s="69"/>
      <c r="B116" s="262"/>
      <c r="C116" s="263"/>
      <c r="D116" s="263"/>
      <c r="E116" s="263"/>
      <c r="F116" s="263"/>
      <c r="G116" s="263"/>
      <c r="H116" s="263"/>
      <c r="I116" s="264"/>
    </row>
    <row r="117" spans="1:9" ht="18.75" customHeight="1" x14ac:dyDescent="0.15">
      <c r="A117" s="69"/>
      <c r="B117" s="262"/>
      <c r="C117" s="263"/>
      <c r="D117" s="263"/>
      <c r="E117" s="263"/>
      <c r="F117" s="263"/>
      <c r="G117" s="263"/>
      <c r="H117" s="263"/>
      <c r="I117" s="264"/>
    </row>
    <row r="118" spans="1:9" ht="18.75" customHeight="1" x14ac:dyDescent="0.15">
      <c r="A118" s="69"/>
      <c r="B118" s="262"/>
      <c r="C118" s="263"/>
      <c r="D118" s="263"/>
      <c r="E118" s="263"/>
      <c r="F118" s="263"/>
      <c r="G118" s="263"/>
      <c r="H118" s="263"/>
      <c r="I118" s="264"/>
    </row>
    <row r="119" spans="1:9" ht="18.75" customHeight="1" x14ac:dyDescent="0.15">
      <c r="A119" s="69"/>
      <c r="B119" s="265"/>
      <c r="C119" s="266"/>
      <c r="D119" s="266"/>
      <c r="E119" s="266"/>
      <c r="F119" s="266"/>
      <c r="G119" s="266"/>
      <c r="H119" s="266"/>
      <c r="I119" s="267"/>
    </row>
    <row r="120" spans="1:9" ht="7.5" customHeight="1" x14ac:dyDescent="0.15">
      <c r="A120" s="69"/>
      <c r="B120" s="75"/>
      <c r="C120" s="75"/>
      <c r="D120" s="75"/>
      <c r="E120" s="75"/>
      <c r="F120" s="75"/>
      <c r="G120" s="75"/>
      <c r="H120" s="75"/>
      <c r="I120" s="75"/>
    </row>
    <row r="121" spans="1:9" ht="18.75" customHeight="1" x14ac:dyDescent="0.15">
      <c r="A121" s="69"/>
      <c r="B121" s="69"/>
      <c r="C121" s="69"/>
      <c r="D121" s="69"/>
      <c r="E121" s="69"/>
      <c r="F121" s="69"/>
      <c r="G121" s="69"/>
      <c r="H121" s="69"/>
      <c r="I121" s="69"/>
    </row>
    <row r="122" spans="1:9" ht="18.75" customHeight="1" x14ac:dyDescent="0.15">
      <c r="A122" s="69"/>
      <c r="B122" s="69"/>
      <c r="C122" s="69"/>
      <c r="D122" s="69"/>
      <c r="E122" s="69"/>
      <c r="F122" s="69"/>
      <c r="G122" s="69"/>
      <c r="H122" s="69"/>
      <c r="I122" s="69"/>
    </row>
    <row r="123" spans="1:9" ht="18.75" customHeight="1" x14ac:dyDescent="0.15">
      <c r="A123" s="69"/>
      <c r="B123" s="69"/>
      <c r="C123" s="69"/>
      <c r="D123" s="69"/>
      <c r="E123" s="69"/>
      <c r="F123" s="69"/>
      <c r="G123" s="69"/>
      <c r="H123" s="69"/>
      <c r="I123" s="69"/>
    </row>
    <row r="124" spans="1:9" ht="18.75" customHeight="1" x14ac:dyDescent="0.15">
      <c r="A124" s="69"/>
      <c r="B124" s="69"/>
      <c r="C124" s="69"/>
      <c r="D124" s="69"/>
      <c r="E124" s="69"/>
      <c r="F124" s="69"/>
      <c r="G124" s="69"/>
      <c r="H124" s="69"/>
      <c r="I124" s="69"/>
    </row>
    <row r="125" spans="1:9" ht="18.75" customHeight="1" x14ac:dyDescent="0.15">
      <c r="A125" s="69"/>
      <c r="B125" s="69"/>
      <c r="C125" s="69"/>
      <c r="D125" s="69"/>
      <c r="E125" s="69"/>
      <c r="F125" s="69"/>
      <c r="G125" s="69"/>
      <c r="H125" s="69"/>
      <c r="I125" s="69"/>
    </row>
    <row r="126" spans="1:9" ht="18.75" customHeight="1" x14ac:dyDescent="0.15">
      <c r="A126" s="69"/>
      <c r="B126" s="69"/>
      <c r="C126" s="69"/>
      <c r="D126" s="69"/>
      <c r="E126" s="69"/>
      <c r="F126" s="69"/>
      <c r="G126" s="69"/>
      <c r="H126" s="69"/>
      <c r="I126" s="69"/>
    </row>
    <row r="127" spans="1:9" ht="18.75" customHeight="1" x14ac:dyDescent="0.15">
      <c r="A127" s="69"/>
      <c r="B127" s="69"/>
      <c r="C127" s="69"/>
      <c r="D127" s="69"/>
      <c r="E127" s="69"/>
      <c r="F127" s="69"/>
      <c r="G127" s="69"/>
      <c r="H127" s="69"/>
      <c r="I127" s="69"/>
    </row>
    <row r="128" spans="1:9" ht="18.75" customHeight="1" x14ac:dyDescent="0.15">
      <c r="A128" s="69"/>
      <c r="B128" s="69"/>
      <c r="C128" s="69"/>
      <c r="D128" s="69"/>
      <c r="E128" s="69"/>
      <c r="F128" s="69"/>
      <c r="G128" s="69"/>
      <c r="H128" s="69"/>
      <c r="I128" s="69"/>
    </row>
    <row r="129" spans="1:9" ht="18.75" customHeight="1" x14ac:dyDescent="0.15">
      <c r="A129" s="69"/>
      <c r="B129" s="69"/>
      <c r="C129" s="69"/>
      <c r="D129" s="69"/>
      <c r="E129" s="69"/>
      <c r="F129" s="69"/>
      <c r="G129" s="69"/>
      <c r="H129" s="69"/>
      <c r="I129" s="69"/>
    </row>
    <row r="130" spans="1:9" ht="18.75" customHeight="1" x14ac:dyDescent="0.15">
      <c r="A130" s="69"/>
      <c r="B130" s="69"/>
      <c r="C130" s="69"/>
      <c r="D130" s="69"/>
      <c r="E130" s="69"/>
      <c r="F130" s="69"/>
      <c r="G130" s="69"/>
      <c r="H130" s="69"/>
      <c r="I130" s="69"/>
    </row>
    <row r="131" spans="1:9" ht="18.75" customHeight="1" x14ac:dyDescent="0.15">
      <c r="A131" s="69"/>
      <c r="B131" s="69"/>
      <c r="C131" s="69"/>
      <c r="D131" s="69"/>
      <c r="E131" s="69"/>
      <c r="F131" s="69"/>
      <c r="G131" s="69"/>
      <c r="H131" s="69"/>
      <c r="I131" s="69"/>
    </row>
    <row r="132" spans="1:9" ht="18.75" customHeight="1" x14ac:dyDescent="0.15">
      <c r="A132" s="69"/>
      <c r="B132" s="69"/>
      <c r="C132" s="69"/>
      <c r="D132" s="69"/>
      <c r="E132" s="69"/>
      <c r="F132" s="69"/>
      <c r="G132" s="69"/>
      <c r="H132" s="69"/>
      <c r="I132" s="69"/>
    </row>
    <row r="133" spans="1:9" ht="14.25" x14ac:dyDescent="0.15">
      <c r="A133" s="69"/>
      <c r="B133" s="69"/>
      <c r="C133" s="69"/>
      <c r="D133" s="69"/>
      <c r="E133" s="69"/>
      <c r="F133" s="69"/>
      <c r="G133" s="69"/>
      <c r="H133" s="69"/>
      <c r="I133" s="69"/>
    </row>
    <row r="134" spans="1:9" ht="7.5" customHeight="1" x14ac:dyDescent="0.15">
      <c r="A134" s="76"/>
      <c r="B134" s="76"/>
      <c r="C134" s="76"/>
      <c r="D134" s="76"/>
      <c r="E134" s="76"/>
      <c r="F134" s="76"/>
      <c r="G134" s="76"/>
      <c r="H134" s="76"/>
      <c r="I134" s="76"/>
    </row>
  </sheetData>
  <mergeCells count="22">
    <mergeCell ref="C49:D49"/>
    <mergeCell ref="F49:G49"/>
    <mergeCell ref="H2:I2"/>
    <mergeCell ref="A4:I4"/>
    <mergeCell ref="C6:D6"/>
    <mergeCell ref="C11:E11"/>
    <mergeCell ref="H11:I11"/>
    <mergeCell ref="B14:I14"/>
    <mergeCell ref="C16:E16"/>
    <mergeCell ref="H16:I16"/>
    <mergeCell ref="B19:I19"/>
    <mergeCell ref="B22:I32"/>
    <mergeCell ref="B35:I46"/>
    <mergeCell ref="B94:I105"/>
    <mergeCell ref="B107:I107"/>
    <mergeCell ref="B108:I119"/>
    <mergeCell ref="C50:D50"/>
    <mergeCell ref="F50:G50"/>
    <mergeCell ref="B51:I51"/>
    <mergeCell ref="B52:I63"/>
    <mergeCell ref="B66:I77"/>
    <mergeCell ref="B80:I9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zoomScale="85" zoomScaleNormal="85" zoomScaleSheetLayoutView="100" workbookViewId="0">
      <selection activeCell="A33" sqref="A33:S34"/>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205</v>
      </c>
      <c r="I1" s="28" t="s">
        <v>206</v>
      </c>
    </row>
    <row r="2" spans="1:9" ht="18.75" customHeight="1" x14ac:dyDescent="0.15">
      <c r="H2" s="28" t="s">
        <v>29</v>
      </c>
      <c r="I2" s="19" t="str">
        <f>'様式１　プログラムを構成する授業科目'!C2</f>
        <v>専修大学</v>
      </c>
    </row>
    <row r="3" spans="1:9" ht="18.75" customHeight="1" x14ac:dyDescent="0.15">
      <c r="A3" s="155" t="s">
        <v>207</v>
      </c>
      <c r="B3" s="155"/>
      <c r="C3" s="155"/>
      <c r="D3" s="155"/>
      <c r="E3" s="155"/>
      <c r="F3" s="155"/>
      <c r="G3" s="155"/>
      <c r="H3" s="155"/>
      <c r="I3" s="155"/>
    </row>
    <row r="4" spans="1:9" ht="18.75" customHeight="1" x14ac:dyDescent="0.15">
      <c r="A4" s="29"/>
      <c r="B4" s="29"/>
      <c r="C4" s="29"/>
      <c r="D4" s="29"/>
      <c r="E4" s="29"/>
      <c r="F4" s="29"/>
      <c r="G4" s="29"/>
      <c r="H4" s="29"/>
      <c r="I4" s="29"/>
    </row>
    <row r="5" spans="1:9" ht="18.75" customHeight="1" x14ac:dyDescent="0.15">
      <c r="A5" s="1" t="s">
        <v>159</v>
      </c>
      <c r="B5" s="5" t="s">
        <v>208</v>
      </c>
      <c r="C5" s="29"/>
      <c r="D5" s="29"/>
      <c r="E5" s="29"/>
      <c r="F5" s="29"/>
      <c r="G5" s="29"/>
      <c r="H5" s="29"/>
      <c r="I5" s="29"/>
    </row>
    <row r="6" spans="1:9" ht="26.25" customHeight="1" x14ac:dyDescent="0.15">
      <c r="A6" s="29"/>
      <c r="B6" s="300" t="s">
        <v>236</v>
      </c>
      <c r="C6" s="332"/>
      <c r="D6" s="332"/>
      <c r="E6" s="332"/>
      <c r="F6" s="332"/>
      <c r="G6" s="332"/>
      <c r="H6" s="333"/>
      <c r="I6" s="3"/>
    </row>
    <row r="7" spans="1:9" ht="9" customHeight="1" x14ac:dyDescent="0.15">
      <c r="A7" s="29"/>
      <c r="B7" s="5"/>
      <c r="C7" s="5"/>
      <c r="D7" s="5"/>
      <c r="E7" s="5"/>
      <c r="F7" s="5"/>
      <c r="G7" s="5"/>
      <c r="H7" s="5"/>
      <c r="I7" s="3"/>
    </row>
    <row r="8" spans="1:9" ht="18.75" customHeight="1" x14ac:dyDescent="0.15">
      <c r="A8" s="29"/>
      <c r="B8" s="3"/>
      <c r="C8" s="3"/>
      <c r="D8" s="28" t="s">
        <v>168</v>
      </c>
      <c r="E8" s="77" t="s">
        <v>169</v>
      </c>
      <c r="F8" s="3"/>
      <c r="G8" s="28" t="s">
        <v>170</v>
      </c>
      <c r="H8" s="77" t="s">
        <v>171</v>
      </c>
      <c r="I8" s="3"/>
    </row>
    <row r="9" spans="1:9" ht="7.5" customHeight="1" x14ac:dyDescent="0.15">
      <c r="A9" s="29"/>
      <c r="B9" s="29"/>
      <c r="C9" s="29"/>
      <c r="D9" s="29"/>
      <c r="E9" s="29"/>
      <c r="F9" s="29"/>
      <c r="G9" s="29"/>
      <c r="H9" s="29"/>
      <c r="I9" s="29"/>
    </row>
    <row r="10" spans="1:9" ht="18.75" customHeight="1" x14ac:dyDescent="0.15">
      <c r="A10" s="1" t="s">
        <v>164</v>
      </c>
      <c r="B10" s="1" t="s">
        <v>209</v>
      </c>
      <c r="C10" s="69"/>
      <c r="D10" s="69"/>
      <c r="E10" s="69"/>
      <c r="F10" s="69"/>
      <c r="G10" s="69"/>
      <c r="H10" s="69"/>
      <c r="I10" s="69"/>
    </row>
    <row r="11" spans="1:9" ht="18.75" customHeight="1" x14ac:dyDescent="0.15">
      <c r="B11" s="97" t="s">
        <v>210</v>
      </c>
      <c r="C11" s="98"/>
      <c r="D11" s="99"/>
      <c r="E11" s="98" t="s">
        <v>211</v>
      </c>
      <c r="F11" s="98"/>
      <c r="G11" s="98"/>
      <c r="H11" s="98"/>
      <c r="I11" s="99"/>
    </row>
    <row r="12" spans="1:9" ht="26.25" customHeight="1" x14ac:dyDescent="0.15">
      <c r="B12" s="78" t="s">
        <v>212</v>
      </c>
      <c r="C12" s="79"/>
      <c r="D12" s="80"/>
      <c r="E12" s="81"/>
      <c r="F12" s="81"/>
      <c r="G12" s="81"/>
      <c r="H12" s="81"/>
      <c r="I12" s="80"/>
    </row>
    <row r="13" spans="1:9" ht="210.75" customHeight="1" x14ac:dyDescent="0.15">
      <c r="B13" s="82"/>
      <c r="C13" s="325" t="s">
        <v>213</v>
      </c>
      <c r="D13" s="326"/>
      <c r="E13" s="331" t="s">
        <v>214</v>
      </c>
      <c r="F13" s="327"/>
      <c r="G13" s="327"/>
      <c r="H13" s="327"/>
      <c r="I13" s="328"/>
    </row>
    <row r="14" spans="1:9" ht="210.75" customHeight="1" x14ac:dyDescent="0.15">
      <c r="B14" s="82"/>
      <c r="C14" s="329" t="s">
        <v>215</v>
      </c>
      <c r="D14" s="330"/>
      <c r="E14" s="331" t="s">
        <v>216</v>
      </c>
      <c r="F14" s="327"/>
      <c r="G14" s="327"/>
      <c r="H14" s="327"/>
      <c r="I14" s="328"/>
    </row>
    <row r="15" spans="1:9" ht="210.75" customHeight="1" x14ac:dyDescent="0.15">
      <c r="B15" s="82"/>
      <c r="C15" s="325" t="s">
        <v>217</v>
      </c>
      <c r="D15" s="326"/>
      <c r="E15" s="331" t="s">
        <v>218</v>
      </c>
      <c r="F15" s="327"/>
      <c r="G15" s="327"/>
      <c r="H15" s="327"/>
      <c r="I15" s="328"/>
    </row>
    <row r="16" spans="1:9" ht="210.75" customHeight="1" x14ac:dyDescent="0.15">
      <c r="B16" s="82"/>
      <c r="C16" s="325" t="s">
        <v>219</v>
      </c>
      <c r="D16" s="326"/>
      <c r="E16" s="331" t="s">
        <v>220</v>
      </c>
      <c r="F16" s="327"/>
      <c r="G16" s="327"/>
      <c r="H16" s="327"/>
      <c r="I16" s="328"/>
    </row>
    <row r="17" spans="2:9" ht="210.75" customHeight="1" x14ac:dyDescent="0.15">
      <c r="B17" s="83"/>
      <c r="C17" s="320" t="s">
        <v>221</v>
      </c>
      <c r="D17" s="321"/>
      <c r="E17" s="322" t="s">
        <v>222</v>
      </c>
      <c r="F17" s="323"/>
      <c r="G17" s="323"/>
      <c r="H17" s="323"/>
      <c r="I17" s="324"/>
    </row>
    <row r="18" spans="2:9" ht="24" customHeight="1" x14ac:dyDescent="0.15">
      <c r="B18" s="78" t="s">
        <v>223</v>
      </c>
      <c r="C18" s="84"/>
      <c r="D18" s="85"/>
      <c r="E18" s="86"/>
      <c r="F18" s="86"/>
      <c r="G18" s="86"/>
      <c r="H18" s="86"/>
      <c r="I18" s="87"/>
    </row>
    <row r="19" spans="2:9" ht="218.25" customHeight="1" x14ac:dyDescent="0.15">
      <c r="B19" s="82"/>
      <c r="C19" s="325" t="s">
        <v>224</v>
      </c>
      <c r="D19" s="326"/>
      <c r="E19" s="327" t="s">
        <v>225</v>
      </c>
      <c r="F19" s="327"/>
      <c r="G19" s="327"/>
      <c r="H19" s="327"/>
      <c r="I19" s="328"/>
    </row>
    <row r="20" spans="2:9" ht="218.25" customHeight="1" x14ac:dyDescent="0.15">
      <c r="B20" s="83"/>
      <c r="C20" s="320" t="s">
        <v>226</v>
      </c>
      <c r="D20" s="321"/>
      <c r="E20" s="323" t="s">
        <v>227</v>
      </c>
      <c r="F20" s="323"/>
      <c r="G20" s="323"/>
      <c r="H20" s="323"/>
      <c r="I20" s="324"/>
    </row>
    <row r="21" spans="2:9" ht="218.25" customHeight="1" x14ac:dyDescent="0.15">
      <c r="B21" s="310" t="s">
        <v>228</v>
      </c>
      <c r="C21" s="311"/>
      <c r="D21" s="312"/>
      <c r="E21" s="313" t="s">
        <v>237</v>
      </c>
      <c r="F21" s="313"/>
      <c r="G21" s="313"/>
      <c r="H21" s="313"/>
      <c r="I21" s="314"/>
    </row>
    <row r="22" spans="2:9" ht="218.25" customHeight="1" x14ac:dyDescent="0.15">
      <c r="B22" s="315" t="s">
        <v>229</v>
      </c>
      <c r="C22" s="316"/>
      <c r="D22" s="317"/>
      <c r="E22" s="318" t="s">
        <v>230</v>
      </c>
      <c r="F22" s="318"/>
      <c r="G22" s="318"/>
      <c r="H22" s="318"/>
      <c r="I22" s="319"/>
    </row>
    <row r="23" spans="2:9" ht="22.5" customHeight="1" x14ac:dyDescent="0.15">
      <c r="B23" s="69"/>
      <c r="C23" s="69"/>
      <c r="D23" s="69"/>
      <c r="E23" s="69"/>
      <c r="F23" s="69"/>
      <c r="G23" s="69"/>
      <c r="H23" s="69"/>
      <c r="I23" s="69"/>
    </row>
    <row r="24" spans="2:9" ht="22.5" customHeight="1" x14ac:dyDescent="0.15">
      <c r="B24" s="69"/>
      <c r="C24" s="69"/>
      <c r="D24" s="69"/>
      <c r="E24" s="69"/>
      <c r="F24" s="69"/>
      <c r="G24" s="69"/>
      <c r="H24" s="69"/>
      <c r="I24" s="69"/>
    </row>
    <row r="25" spans="2:9" ht="22.5" customHeight="1" x14ac:dyDescent="0.15">
      <c r="B25" s="69"/>
      <c r="C25" s="69"/>
      <c r="D25" s="69"/>
      <c r="E25" s="69"/>
      <c r="F25" s="69"/>
      <c r="G25" s="69"/>
      <c r="H25" s="69"/>
      <c r="I25" s="69"/>
    </row>
    <row r="26" spans="2:9" ht="22.5" customHeight="1" x14ac:dyDescent="0.15">
      <c r="B26" s="69"/>
      <c r="C26" s="69"/>
      <c r="D26" s="69"/>
      <c r="E26" s="69"/>
      <c r="F26" s="69"/>
      <c r="G26" s="69"/>
      <c r="H26" s="69"/>
      <c r="I26" s="69"/>
    </row>
    <row r="27" spans="2:9" ht="22.5" customHeight="1" x14ac:dyDescent="0.15">
      <c r="B27" s="69"/>
      <c r="C27" s="69"/>
      <c r="D27" s="69"/>
      <c r="E27" s="69"/>
      <c r="F27" s="69"/>
      <c r="G27" s="69"/>
      <c r="H27" s="69"/>
      <c r="I27" s="69"/>
    </row>
    <row r="28" spans="2:9" ht="22.5" customHeight="1" x14ac:dyDescent="0.15">
      <c r="B28" s="6"/>
      <c r="C28" s="6"/>
      <c r="D28" s="6"/>
      <c r="E28" s="6"/>
      <c r="F28" s="6"/>
      <c r="G28" s="6"/>
      <c r="H28" s="6"/>
      <c r="I28" s="6"/>
    </row>
    <row r="29" spans="2:9" ht="22.5" customHeight="1" x14ac:dyDescent="0.15">
      <c r="B29" s="6"/>
      <c r="C29" s="6"/>
      <c r="D29" s="6"/>
      <c r="E29" s="6"/>
      <c r="F29" s="6"/>
      <c r="G29" s="6"/>
      <c r="H29" s="6"/>
      <c r="I29" s="6"/>
    </row>
    <row r="30" spans="2:9" ht="22.5" customHeight="1" x14ac:dyDescent="0.15">
      <c r="B30" s="6"/>
      <c r="C30" s="6"/>
      <c r="D30" s="6"/>
      <c r="E30" s="6"/>
      <c r="F30" s="6"/>
      <c r="G30" s="6"/>
      <c r="H30" s="6"/>
      <c r="I30" s="6"/>
    </row>
  </sheetData>
  <mergeCells count="22">
    <mergeCell ref="A3:I3"/>
    <mergeCell ref="B6:H6"/>
    <mergeCell ref="B11:D11"/>
    <mergeCell ref="E11:I11"/>
    <mergeCell ref="C13:D13"/>
    <mergeCell ref="E13:I13"/>
    <mergeCell ref="C14:D14"/>
    <mergeCell ref="E14:I14"/>
    <mergeCell ref="C15:D15"/>
    <mergeCell ref="E15:I15"/>
    <mergeCell ref="C16:D16"/>
    <mergeCell ref="E16:I16"/>
    <mergeCell ref="B21:D21"/>
    <mergeCell ref="E21:I21"/>
    <mergeCell ref="B22:D22"/>
    <mergeCell ref="E22:I22"/>
    <mergeCell ref="C17:D17"/>
    <mergeCell ref="E17:I17"/>
    <mergeCell ref="C19:D19"/>
    <mergeCell ref="E19:I19"/>
    <mergeCell ref="C20:D20"/>
    <mergeCell ref="E20:I20"/>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10</vt:i4>
      </vt:variant>
    </vt:vector>
  </HeadingPairs>
  <TitlesOfParts>
    <vt:vector size="19" baseType="lpstr">
      <vt:lpstr>様式１　プログラムを構成する授業科目</vt:lpstr>
      <vt:lpstr>様式１　プログラムを構成する授業科目　経営学部</vt:lpstr>
      <vt:lpstr>様式１　プログラムを構成する授業科目　商学部</vt:lpstr>
      <vt:lpstr>様式１　プログラムを構成する授業科目　文学部</vt:lpstr>
      <vt:lpstr>様式１　プログラムを構成する授業科目　ネットワーク情報学部</vt:lpstr>
      <vt:lpstr>様式１プログラムを構成する授業科目　国際コミュニケーション学部</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'様式１　プログラムを構成する授業科目　ネットワーク情報学部'!Print_Area</vt:lpstr>
      <vt:lpstr>'様式１　プログラムを構成する授業科目　経営学部'!Print_Area</vt:lpstr>
      <vt:lpstr>'様式１　プログラムを構成する授業科目　商学部'!Print_Area</vt:lpstr>
      <vt:lpstr>'様式１　プログラムを構成する授業科目　文学部'!Print_Area</vt:lpstr>
      <vt:lpstr>'様式１プログラムを構成する授業科目　国際コミュニケーション学部'!Print_Area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天坂　里緒子</cp:lastModifiedBy>
  <cp:lastPrinted>2023-07-19T06:11:21Z</cp:lastPrinted>
  <dcterms:created xsi:type="dcterms:W3CDTF">2011-06-14T05:32:50Z</dcterms:created>
  <dcterms:modified xsi:type="dcterms:W3CDTF">2023-07-19T07:13:06Z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