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aizu\工学部事務室\021   AI数理データサイエンスセンター\認定プログラム\文科省申請関係\令和5年度文科省申請書類（2023年5月）\提出用資料\再提出\"/>
    </mc:Choice>
  </mc:AlternateContent>
  <xr:revisionPtr revIDLastSave="0" documentId="13_ncr:1_{2F30C4D2-C940-4CF9-92F8-A112F3AA092B}"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プログラムを構成する授業科目'!$A$1:$S$92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32" i="40" l="1"/>
  <c r="AN32" i="40"/>
  <c r="AL32" i="40"/>
  <c r="AK32" i="40"/>
  <c r="AI32" i="40"/>
  <c r="AH32" i="40"/>
  <c r="AF32" i="40"/>
  <c r="AE32" i="40"/>
  <c r="AC32" i="40"/>
  <c r="AB32" i="40"/>
  <c r="Z32" i="40"/>
  <c r="Y32" i="40"/>
  <c r="W32" i="40"/>
  <c r="V32" i="40"/>
  <c r="T32" i="40"/>
  <c r="S32" i="40"/>
  <c r="Q32" i="40"/>
  <c r="P32" i="40"/>
  <c r="N32" i="40"/>
  <c r="M32" i="40"/>
  <c r="K32" i="40"/>
  <c r="J32" i="40"/>
  <c r="H32" i="40"/>
  <c r="G32" i="40"/>
  <c r="E32" i="40"/>
  <c r="D32" i="40"/>
  <c r="C32" i="40"/>
  <c r="AM31" i="40"/>
  <c r="AJ31" i="40"/>
  <c r="AG31" i="40"/>
  <c r="AD31" i="40"/>
  <c r="AA31" i="40"/>
  <c r="X31" i="40"/>
  <c r="U31" i="40"/>
  <c r="R31" i="40"/>
  <c r="O31" i="40"/>
  <c r="L31" i="40"/>
  <c r="I31" i="40"/>
  <c r="F31" i="40"/>
  <c r="AP31" i="40" s="1"/>
  <c r="AQ31" i="40" s="1"/>
  <c r="AM30" i="40"/>
  <c r="AJ30" i="40"/>
  <c r="AG30" i="40"/>
  <c r="AD30" i="40"/>
  <c r="AA30" i="40"/>
  <c r="X30" i="40"/>
  <c r="U30" i="40"/>
  <c r="R30" i="40"/>
  <c r="O30" i="40"/>
  <c r="L30" i="40"/>
  <c r="I30" i="40"/>
  <c r="F30" i="40"/>
  <c r="AP30" i="40" s="1"/>
  <c r="AQ30" i="40" s="1"/>
  <c r="AM29" i="40"/>
  <c r="AJ29" i="40"/>
  <c r="AG29" i="40"/>
  <c r="AD29" i="40"/>
  <c r="AA29" i="40"/>
  <c r="X29" i="40"/>
  <c r="U29" i="40"/>
  <c r="R29" i="40"/>
  <c r="O29" i="40"/>
  <c r="L29" i="40"/>
  <c r="I29" i="40"/>
  <c r="F29" i="40"/>
  <c r="AP29" i="40" s="1"/>
  <c r="AQ29" i="40" s="1"/>
  <c r="AM28" i="40"/>
  <c r="AJ28" i="40"/>
  <c r="AG28" i="40"/>
  <c r="AD28" i="40"/>
  <c r="AA28" i="40"/>
  <c r="X28" i="40"/>
  <c r="U28" i="40"/>
  <c r="R28" i="40"/>
  <c r="O28" i="40"/>
  <c r="L28" i="40"/>
  <c r="I28" i="40"/>
  <c r="F28" i="40"/>
  <c r="AP28" i="40" s="1"/>
  <c r="AQ28" i="40" s="1"/>
  <c r="AM27" i="40"/>
  <c r="AJ27" i="40"/>
  <c r="AG27" i="40"/>
  <c r="AD27" i="40"/>
  <c r="AA27" i="40"/>
  <c r="X27" i="40"/>
  <c r="U27" i="40"/>
  <c r="R27" i="40"/>
  <c r="O27" i="40"/>
  <c r="L27" i="40"/>
  <c r="I27" i="40"/>
  <c r="F27" i="40"/>
  <c r="AP27" i="40" s="1"/>
  <c r="AQ27" i="40" s="1"/>
  <c r="AM26" i="40"/>
  <c r="AJ26" i="40"/>
  <c r="AG26" i="40"/>
  <c r="AD26" i="40"/>
  <c r="AA26" i="40"/>
  <c r="X26" i="40"/>
  <c r="U26" i="40"/>
  <c r="R26" i="40"/>
  <c r="O26" i="40"/>
  <c r="L26" i="40"/>
  <c r="I26" i="40"/>
  <c r="F26" i="40"/>
  <c r="AP26" i="40" s="1"/>
  <c r="AQ26" i="40" s="1"/>
  <c r="AM25" i="40"/>
  <c r="AJ25" i="40"/>
  <c r="AG25" i="40"/>
  <c r="AD25" i="40"/>
  <c r="AA25" i="40"/>
  <c r="X25" i="40"/>
  <c r="U25" i="40"/>
  <c r="R25" i="40"/>
  <c r="O25" i="40"/>
  <c r="L25" i="40"/>
  <c r="I25" i="40"/>
  <c r="F25" i="40"/>
  <c r="AP25" i="40" s="1"/>
  <c r="AQ25" i="40" s="1"/>
  <c r="AM24" i="40"/>
  <c r="AJ24" i="40"/>
  <c r="AG24" i="40"/>
  <c r="AD24" i="40"/>
  <c r="AA24" i="40"/>
  <c r="X24" i="40"/>
  <c r="U24" i="40"/>
  <c r="R24" i="40"/>
  <c r="O24" i="40"/>
  <c r="L24" i="40"/>
  <c r="I24" i="40"/>
  <c r="F24" i="40"/>
  <c r="AP24" i="40" s="1"/>
  <c r="AQ24" i="40" s="1"/>
  <c r="AM23" i="40"/>
  <c r="AJ23" i="40"/>
  <c r="AG23" i="40"/>
  <c r="AD23" i="40"/>
  <c r="AA23" i="40"/>
  <c r="X23" i="40"/>
  <c r="U23" i="40"/>
  <c r="R23" i="40"/>
  <c r="O23" i="40"/>
  <c r="L23" i="40"/>
  <c r="I23" i="40"/>
  <c r="F23" i="40"/>
  <c r="AP23" i="40" s="1"/>
  <c r="AQ23" i="40" s="1"/>
  <c r="AM22" i="40"/>
  <c r="AJ22" i="40"/>
  <c r="AG22" i="40"/>
  <c r="AD22" i="40"/>
  <c r="AA22" i="40"/>
  <c r="X22" i="40"/>
  <c r="U22" i="40"/>
  <c r="R22" i="40"/>
  <c r="O22" i="40"/>
  <c r="L22" i="40"/>
  <c r="I22" i="40"/>
  <c r="F22" i="40"/>
  <c r="AP22" i="40" s="1"/>
  <c r="AQ22" i="40" s="1"/>
  <c r="AM21" i="40"/>
  <c r="AJ21" i="40"/>
  <c r="AG21" i="40"/>
  <c r="AD21" i="40"/>
  <c r="AA21" i="40"/>
  <c r="X21" i="40"/>
  <c r="U21" i="40"/>
  <c r="R21" i="40"/>
  <c r="O21" i="40"/>
  <c r="L21" i="40"/>
  <c r="I21" i="40"/>
  <c r="F21" i="40"/>
  <c r="AP21" i="40" s="1"/>
  <c r="AQ21" i="40" s="1"/>
  <c r="AM20" i="40"/>
  <c r="AJ20" i="40"/>
  <c r="AG20" i="40"/>
  <c r="AD20" i="40"/>
  <c r="AA20" i="40"/>
  <c r="X20" i="40"/>
  <c r="U20" i="40"/>
  <c r="R20" i="40"/>
  <c r="O20" i="40"/>
  <c r="L20" i="40"/>
  <c r="I20" i="40"/>
  <c r="F20" i="40"/>
  <c r="AP20" i="40" s="1"/>
  <c r="AQ20" i="40" s="1"/>
  <c r="AM19" i="40"/>
  <c r="AJ19" i="40"/>
  <c r="AG19" i="40"/>
  <c r="AD19" i="40"/>
  <c r="AA19" i="40"/>
  <c r="X19" i="40"/>
  <c r="U19" i="40"/>
  <c r="R19" i="40"/>
  <c r="O19" i="40"/>
  <c r="L19" i="40"/>
  <c r="I19" i="40"/>
  <c r="I32" i="40" s="1"/>
  <c r="F19" i="40"/>
  <c r="AP19" i="40" s="1"/>
  <c r="AQ19" i="40" s="1"/>
  <c r="AM18" i="40"/>
  <c r="AJ18" i="40"/>
  <c r="AG18" i="40"/>
  <c r="AD18" i="40"/>
  <c r="AA18" i="40"/>
  <c r="X18" i="40"/>
  <c r="U18" i="40"/>
  <c r="R18" i="40"/>
  <c r="O18" i="40"/>
  <c r="L18" i="40"/>
  <c r="AP18" i="40" s="1"/>
  <c r="AQ18" i="40" s="1"/>
  <c r="AM17" i="40"/>
  <c r="AJ17" i="40"/>
  <c r="AG17" i="40"/>
  <c r="AD17" i="40"/>
  <c r="AA17" i="40"/>
  <c r="X17" i="40"/>
  <c r="U17" i="40"/>
  <c r="R17" i="40"/>
  <c r="O17" i="40"/>
  <c r="L17" i="40"/>
  <c r="AP17" i="40" s="1"/>
  <c r="AQ17" i="40" s="1"/>
  <c r="AM16" i="40"/>
  <c r="AJ16" i="40"/>
  <c r="AG16" i="40"/>
  <c r="AD16" i="40"/>
  <c r="AA16" i="40"/>
  <c r="X16" i="40"/>
  <c r="U16" i="40"/>
  <c r="R16" i="40"/>
  <c r="O16" i="40"/>
  <c r="L16" i="40"/>
  <c r="AP16" i="40" s="1"/>
  <c r="AQ16" i="40" s="1"/>
  <c r="AM15" i="40"/>
  <c r="AJ15" i="40"/>
  <c r="AG15" i="40"/>
  <c r="AD15" i="40"/>
  <c r="AA15" i="40"/>
  <c r="X15" i="40"/>
  <c r="U15" i="40"/>
  <c r="R15" i="40"/>
  <c r="O15" i="40"/>
  <c r="L15" i="40"/>
  <c r="AP15" i="40" s="1"/>
  <c r="AQ15" i="40" s="1"/>
  <c r="AM14" i="40"/>
  <c r="AJ14" i="40"/>
  <c r="AG14" i="40"/>
  <c r="AD14" i="40"/>
  <c r="AA14" i="40"/>
  <c r="X14" i="40"/>
  <c r="U14" i="40"/>
  <c r="R14" i="40"/>
  <c r="O14" i="40"/>
  <c r="L14" i="40"/>
  <c r="F14" i="40"/>
  <c r="AM13" i="40"/>
  <c r="AJ13" i="40"/>
  <c r="AG13" i="40"/>
  <c r="AD13" i="40"/>
  <c r="AA13" i="40"/>
  <c r="X13" i="40"/>
  <c r="U13" i="40"/>
  <c r="R13" i="40"/>
  <c r="O13" i="40"/>
  <c r="L13" i="40"/>
  <c r="AP13" i="40" s="1"/>
  <c r="AQ13" i="40" s="1"/>
  <c r="AM12" i="40"/>
  <c r="AM32" i="40" s="1"/>
  <c r="AJ12" i="40"/>
  <c r="AJ32" i="40" s="1"/>
  <c r="AG12" i="40"/>
  <c r="AG32" i="40" s="1"/>
  <c r="AD12" i="40"/>
  <c r="AD32" i="40" s="1"/>
  <c r="AA12" i="40"/>
  <c r="AA32" i="40" s="1"/>
  <c r="X12" i="40"/>
  <c r="X32" i="40" s="1"/>
  <c r="U12" i="40"/>
  <c r="U32" i="40" s="1"/>
  <c r="R12" i="40"/>
  <c r="R32" i="40" s="1"/>
  <c r="O12" i="40"/>
  <c r="O32" i="40" s="1"/>
  <c r="L12" i="40"/>
  <c r="H2" i="41"/>
  <c r="L32" i="40" l="1"/>
  <c r="AP12" i="40"/>
  <c r="F32" i="40"/>
  <c r="AP14" i="40"/>
  <c r="AQ14" i="40" s="1"/>
  <c r="I50" i="41"/>
  <c r="AP32" i="40" l="1"/>
  <c r="AQ32" i="40" s="1"/>
  <c r="AQ12" i="40"/>
  <c r="C49" i="41"/>
</calcChain>
</file>

<file path=xl/sharedStrings.xml><?xml version="1.0" encoding="utf-8"?>
<sst xmlns="http://schemas.openxmlformats.org/spreadsheetml/2006/main" count="349" uniqueCount="192">
  <si>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</si>
  <si>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</si>
  <si>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</si>
  <si>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</si>
  <si>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</si>
  <si>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</si>
  <si>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</si>
  <si>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</si>
  <si>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</si>
  <si>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</si>
  <si>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</si>
  <si>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</si>
  <si>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</si>
  <si>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</si>
  <si>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</si>
  <si>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</si>
  <si>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</si>
  <si>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</si>
  <si>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</si>
  <si>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</si>
  <si>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</si>
  <si>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</si>
  <si>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</si>
  <si>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</si>
  <si>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</si>
  <si>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</si>
  <si>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</si>
  <si>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</si>
  <si>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</si>
  <si>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</si>
  <si>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</si>
  <si>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</si>
  <si>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</si>
  <si>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</si>
  <si>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</si>
  <si>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</si>
  <si>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</si>
  <si>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</si>
  <si>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</si>
  <si>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</si>
  <si>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</si>
  <si>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</si>
  <si>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</si>
  <si>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</si>
  <si>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</si>
  <si>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</si>
  <si>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</si>
  <si>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</si>
  <si>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</si>
  <si>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</si>
  <si>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</si>
  <si>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</si>
  <si>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</si>
  <si>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</si>
  <si>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</si>
  <si>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</si>
  <si>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</si>
  <si>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</si>
  <si>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</si>
  <si>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</si>
  <si>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</si>
  <si>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</si>
  <si>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</si>
  <si>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</si>
  <si>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</si>
  <si>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</si>
  <si>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</si>
  <si>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</si>
  <si>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</si>
  <si>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</si>
  <si>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</si>
  <si>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</si>
  <si>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</si>
  <si>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</si>
  <si>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</si>
  <si>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</si>
  <si>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</si>
  <si>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</si>
  <si>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</si>
  <si>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</si>
  <si>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</si>
  <si>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</si>
  <si>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</si>
  <si>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</si>
  <si>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</si>
  <si>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</si>
  <si>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</si>
  <si>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</si>
  <si>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</si>
  <si>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</si>
  <si>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</si>
  <si>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</si>
  <si>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</si>
  <si>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</si>
  <si>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</si>
  <si>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</si>
  <si>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</si>
  <si>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</si>
  <si>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</si>
  <si>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</si>
  <si>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</si>
  <si>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</si>
  <si>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</si>
  <si>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</si>
  <si>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</si>
  <si>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</si>
  <si>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</si>
  <si>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</si>
  <si>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</si>
  <si>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</si>
  <si>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</si>
  <si>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</si>
  <si>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</si>
  <si>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</si>
  <si>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</si>
  <si>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</si>
  <si>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</si>
  <si>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</si>
  <si>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</si>
  <si>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</si>
  <si>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</si>
  <si>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</si>
  <si>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</si>
  <si>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</si>
  <si>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</si>
  <si>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</si>
  <si>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</si>
  <si>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中部大学</t>
    <rPh sb="0" eb="2">
      <t>チュウブ</t>
    </rPh>
    <rPh sb="2" eb="4">
      <t>ダイガク</t>
    </rPh>
    <phoneticPr fontId="1"/>
  </si>
  <si>
    <t>中部大学</t>
    <rPh sb="0" eb="2">
      <t>チュウブ</t>
    </rPh>
    <rPh sb="2" eb="4">
      <t>ダイガク</t>
    </rPh>
    <phoneticPr fontId="1"/>
  </si>
  <si>
    <t>AI数理データサイエンスプログラム（リテラシーレベル）</t>
    <rPh sb="2" eb="4">
      <t>スウリ</t>
    </rPh>
    <phoneticPr fontId="1"/>
  </si>
  <si>
    <t>学部・学科によって、修了要件は相違しない</t>
  </si>
  <si>
    <t>プログラム必修科目「情報スキル入門」（2単位）に加え、選択科目3科目の中から2科目4単位以上、合計6単位以上を修得すること。
選択科目：「情報スキル活用」（2単位）、
　　　　　　 「データサイエンスのための数理要論」（2単位）
              「問題解決のための統計学入門」（2単位）</t>
    <rPh sb="5" eb="7">
      <t>ヒッシュウ</t>
    </rPh>
    <rPh sb="7" eb="9">
      <t>カモク</t>
    </rPh>
    <rPh sb="10" eb="12">
      <t>ジョウホウ</t>
    </rPh>
    <rPh sb="15" eb="17">
      <t>ニュウモン</t>
    </rPh>
    <rPh sb="20" eb="22">
      <t>タンイ</t>
    </rPh>
    <rPh sb="24" eb="25">
      <t>クワ</t>
    </rPh>
    <rPh sb="27" eb="29">
      <t>センタク</t>
    </rPh>
    <rPh sb="29" eb="31">
      <t>カモク</t>
    </rPh>
    <rPh sb="32" eb="34">
      <t>カモク</t>
    </rPh>
    <rPh sb="35" eb="36">
      <t>ナカ</t>
    </rPh>
    <rPh sb="39" eb="41">
      <t>カモク</t>
    </rPh>
    <rPh sb="42" eb="44">
      <t>タンイ</t>
    </rPh>
    <rPh sb="44" eb="46">
      <t>イジョウ</t>
    </rPh>
    <rPh sb="47" eb="49">
      <t>ゴウケイ</t>
    </rPh>
    <rPh sb="50" eb="52">
      <t>タンイ</t>
    </rPh>
    <rPh sb="52" eb="54">
      <t>イジョウ</t>
    </rPh>
    <rPh sb="55" eb="57">
      <t>シュウトク</t>
    </rPh>
    <rPh sb="64" eb="66">
      <t>センタク</t>
    </rPh>
    <rPh sb="66" eb="68">
      <t>カモク</t>
    </rPh>
    <rPh sb="70" eb="72">
      <t>ジョウホウ</t>
    </rPh>
    <rPh sb="75" eb="77">
      <t>カツヨウ</t>
    </rPh>
    <rPh sb="80" eb="82">
      <t>タンイ</t>
    </rPh>
    <rPh sb="105" eb="107">
      <t>スウリ</t>
    </rPh>
    <rPh sb="107" eb="108">
      <t>ヨウ</t>
    </rPh>
    <rPh sb="108" eb="109">
      <t>ロン</t>
    </rPh>
    <rPh sb="112" eb="114">
      <t>タンイ</t>
    </rPh>
    <rPh sb="131" eb="133">
      <t>モンダイ</t>
    </rPh>
    <rPh sb="133" eb="135">
      <t>カイケツ</t>
    </rPh>
    <rPh sb="139" eb="142">
      <t>トウケイガク</t>
    </rPh>
    <rPh sb="142" eb="144">
      <t>ニュウモン</t>
    </rPh>
    <rPh sb="147" eb="149">
      <t>タンイ</t>
    </rPh>
    <phoneticPr fontId="1"/>
  </si>
  <si>
    <t>情報スキル入門</t>
    <rPh sb="0" eb="2">
      <t>ジョウホウ</t>
    </rPh>
    <rPh sb="5" eb="7">
      <t>ニュウモン</t>
    </rPh>
    <phoneticPr fontId="1"/>
  </si>
  <si>
    <t>情報スキル活用</t>
    <rPh sb="0" eb="2">
      <t>ジョウホウ</t>
    </rPh>
    <rPh sb="5" eb="7">
      <t>カツヨウ</t>
    </rPh>
    <phoneticPr fontId="1"/>
  </si>
  <si>
    <t>問題解決のための統計学入門</t>
    <rPh sb="0" eb="2">
      <t>モンダイ</t>
    </rPh>
    <rPh sb="2" eb="4">
      <t>カイケツ</t>
    </rPh>
    <rPh sb="8" eb="11">
      <t>トウケイガク</t>
    </rPh>
    <rPh sb="11" eb="13">
      <t>ニュウモン</t>
    </rPh>
    <phoneticPr fontId="1"/>
  </si>
  <si>
    <t>○</t>
  </si>
  <si>
    <t>データサイエンスのための数理要論</t>
    <rPh sb="12" eb="14">
      <t>スウリ</t>
    </rPh>
    <rPh sb="14" eb="15">
      <t>ヨウ</t>
    </rPh>
    <rPh sb="15" eb="16">
      <t>ロン</t>
    </rPh>
    <phoneticPr fontId="1"/>
  </si>
  <si>
    <t>4-1統計および数理基礎</t>
  </si>
  <si>
    <t>4‐2アルゴリズム基礎</t>
  </si>
  <si>
    <t>4‐3データ構造とプログラミング基礎</t>
  </si>
  <si>
    <t>○</t>
    <phoneticPr fontId="1"/>
  </si>
  <si>
    <t>令和４</t>
    <rPh sb="0" eb="2">
      <t>レイワ</t>
    </rPh>
    <phoneticPr fontId="1"/>
  </si>
  <si>
    <t>工学部</t>
    <rPh sb="0" eb="3">
      <t>コウガクブ</t>
    </rPh>
    <phoneticPr fontId="1"/>
  </si>
  <si>
    <t>経営情報学部</t>
    <rPh sb="0" eb="4">
      <t>ケイエイジョウホウ</t>
    </rPh>
    <rPh sb="4" eb="6">
      <t>ガクブ</t>
    </rPh>
    <phoneticPr fontId="1"/>
  </si>
  <si>
    <t>国際関係学部</t>
    <rPh sb="0" eb="2">
      <t>コクサイ</t>
    </rPh>
    <rPh sb="2" eb="4">
      <t>カンケイ</t>
    </rPh>
    <rPh sb="4" eb="6">
      <t>ガクブ</t>
    </rPh>
    <phoneticPr fontId="1"/>
  </si>
  <si>
    <t>人文学部</t>
    <rPh sb="0" eb="4">
      <t>ジンブンガクブ</t>
    </rPh>
    <phoneticPr fontId="1"/>
  </si>
  <si>
    <t>応用生物学部</t>
    <rPh sb="0" eb="2">
      <t>オウヨウ</t>
    </rPh>
    <rPh sb="2" eb="4">
      <t>セイブツ</t>
    </rPh>
    <rPh sb="4" eb="6">
      <t>ガクブ</t>
    </rPh>
    <phoneticPr fontId="1"/>
  </si>
  <si>
    <t>生命健康科学部</t>
    <rPh sb="0" eb="2">
      <t>セイメイ</t>
    </rPh>
    <rPh sb="2" eb="4">
      <t>ケンコウ</t>
    </rPh>
    <rPh sb="4" eb="7">
      <t>カガクブ</t>
    </rPh>
    <phoneticPr fontId="1"/>
  </si>
  <si>
    <t>現代教育学部</t>
    <rPh sb="0" eb="2">
      <t>ゲンダイ</t>
    </rPh>
    <rPh sb="2" eb="4">
      <t>キョウイク</t>
    </rPh>
    <rPh sb="4" eb="6">
      <t>ガクブ</t>
    </rPh>
    <phoneticPr fontId="1"/>
  </si>
  <si>
    <t>中部大学AI数理データサイエンスプログラム運営委員会規程</t>
    <phoneticPr fontId="1"/>
  </si>
  <si>
    <t>津田　一郎</t>
    <phoneticPr fontId="1"/>
  </si>
  <si>
    <t>AI数理データサイエンスセンター長</t>
    <phoneticPr fontId="1"/>
  </si>
  <si>
    <t>AI数理データサイエンスプログラム運営委員会</t>
    <phoneticPr fontId="1"/>
  </si>
  <si>
    <t>AI数理データサイエンスプログラム運営委員長</t>
    <phoneticPr fontId="1"/>
  </si>
  <si>
    <t>AI数理データサイエンスプログラム運営委員会</t>
    <rPh sb="2" eb="4">
      <t>スウリ</t>
    </rPh>
    <rPh sb="17" eb="19">
      <t>ウンエイ</t>
    </rPh>
    <rPh sb="19" eb="22">
      <t>イインカイ</t>
    </rPh>
    <phoneticPr fontId="1"/>
  </si>
  <si>
    <t>津田　一郎</t>
    <rPh sb="0" eb="2">
      <t>ツダ</t>
    </rPh>
    <rPh sb="3" eb="5">
      <t>イチロウ</t>
    </rPh>
    <phoneticPr fontId="1"/>
  </si>
  <si>
    <t>AI数理データサイエンスプログラム運営委員会委員長</t>
    <rPh sb="2" eb="4">
      <t>スウリ</t>
    </rPh>
    <rPh sb="17" eb="19">
      <t>ウンエイ</t>
    </rPh>
    <rPh sb="19" eb="22">
      <t>イインカイ</t>
    </rPh>
    <rPh sb="22" eb="25">
      <t>イインチョウ</t>
    </rPh>
    <phoneticPr fontId="1"/>
  </si>
  <si>
    <t>情報スキル活用</t>
    <phoneticPr fontId="1"/>
  </si>
  <si>
    <t>4‐7データハンドリング</t>
    <phoneticPr fontId="1"/>
  </si>
  <si>
    <t>情報スキル入門</t>
    <rPh sb="0" eb="2">
      <t>ジョウホウ</t>
    </rPh>
    <rPh sb="5" eb="7">
      <t xml:space="preserve">ニュウモン </t>
    </rPh>
    <phoneticPr fontId="1"/>
  </si>
  <si>
    <t>情報スキル活用</t>
    <rPh sb="0" eb="1">
      <t xml:space="preserve">ジョウホウ </t>
    </rPh>
    <rPh sb="2" eb="4">
      <t>スキル</t>
    </rPh>
    <rPh sb="5" eb="7">
      <t xml:space="preserve">カツヨウ </t>
    </rPh>
    <phoneticPr fontId="1"/>
  </si>
  <si>
    <r>
      <t>・AI等を活用した新しいビジネスモデル(シェアリングエコノミー、商品のレコメンデーションなど)</t>
    </r>
    <r>
      <rPr>
        <sz val="12"/>
        <rFont val="ＭＳ Ｐゴシック"/>
        <family val="3"/>
        <charset val="128"/>
      </rPr>
      <t>：「問題解決のための統計学入門」（6回目）、「情報スキル活用」（13回目）</t>
    </r>
    <r>
      <rPr>
        <sz val="12"/>
        <rFont val="ＭＳ Ｐゴシック"/>
        <family val="3"/>
        <charset val="128"/>
        <scheme val="minor"/>
      </rPr>
      <t xml:space="preserve">
・AI最新技術の活用例（深層生成モデル、敵対的生成ネットワーク、強化学習、転移学習など）</t>
    </r>
    <r>
      <rPr>
        <sz val="12"/>
        <rFont val="ＭＳ Ｐゴシック"/>
        <family val="3"/>
        <charset val="128"/>
      </rPr>
      <t>：「問題解決のための統計学入門」（6回目）、「情報スキル入門」（15回目）、「情報スキル活用」（13回目）</t>
    </r>
    <phoneticPr fontId="1"/>
  </si>
  <si>
    <r>
      <t>・調査データ、実験データ、人の行動ログデータ、機械の稼働ログデータなど</t>
    </r>
    <r>
      <rPr>
        <sz val="12"/>
        <rFont val="ＭＳ Ｐゴシック"/>
        <family val="3"/>
        <charset val="128"/>
      </rPr>
      <t>：「問題解決のための統計学入門」（2回目）、「情報スキル入門」（15回目），「情報スキル活用」（12回目）</t>
    </r>
    <r>
      <rPr>
        <sz val="12"/>
        <rFont val="ＭＳ Ｐゴシック"/>
        <family val="3"/>
        <charset val="128"/>
        <scheme val="minor"/>
      </rPr>
      <t xml:space="preserve">
・1次データ、2次データ、データのメタ化：「問題解決のための統計学入門」（2回目）、
・構造化データ、非構造化データ（文章、画像/動画、音声/音楽など）</t>
    </r>
    <r>
      <rPr>
        <sz val="12"/>
        <rFont val="ＭＳ Ｐゴシック"/>
        <family val="3"/>
        <charset val="128"/>
      </rPr>
      <t>：「問題解決のための統計学入門」（2回目）、「情報スキル活用」（13回目）</t>
    </r>
    <r>
      <rPr>
        <sz val="12"/>
        <rFont val="ＭＳ Ｐゴシック"/>
        <family val="3"/>
        <charset val="128"/>
        <scheme val="minor"/>
      </rPr>
      <t xml:space="preserve">
・データ作成（ビッグデータとアノテーション）</t>
    </r>
    <r>
      <rPr>
        <sz val="12"/>
        <rFont val="ＭＳ Ｐゴシック"/>
        <family val="3"/>
        <charset val="128"/>
      </rPr>
      <t>：「問題解決のための統計学入門」（2回目）、「情報スキル入門」（13回目）</t>
    </r>
    <r>
      <rPr>
        <sz val="12"/>
        <rFont val="ＭＳ Ｐゴシック"/>
        <family val="3"/>
        <charset val="128"/>
        <scheme val="minor"/>
      </rPr>
      <t xml:space="preserve">
・データのオープン化（オープンデータ）</t>
    </r>
    <r>
      <rPr>
        <sz val="12"/>
        <rFont val="ＭＳ Ｐゴシック"/>
        <family val="3"/>
        <charset val="128"/>
      </rPr>
      <t>：「問題解決のための統計学入門」（2回目）、「情報スキル活用」（13回目）</t>
    </r>
    <phoneticPr fontId="1"/>
  </si>
  <si>
    <r>
      <t>・データサイエンスのサイクル（課題抽出と定式化、データの取得・管理・加工、
探索的データ解析、データ解析と推論、結果の共有・伝達、課題解決に向けた提案）：「問題解決のための統計学入門」（5回目）
・流通、製造、金融、サービス、インフラ、公共、ヘルスケア等におけるデータ・AI利活用事例紹介</t>
    </r>
    <r>
      <rPr>
        <sz val="12"/>
        <rFont val="ＭＳ Ｐゴシック"/>
        <family val="3"/>
        <charset val="128"/>
      </rPr>
      <t>：「問題解決のための統計学入門」（5回目）、「情報スキル入門」（15回目）、「情報スキル活用」（11回目）</t>
    </r>
    <phoneticPr fontId="1"/>
  </si>
  <si>
    <t>　大学企画部高等教育推進課により毎学期末に実施する学生による授業評価アンケート、および本教育プログラム登録者を対象として実施したアンケート結果を分析することによって、学生の理解度を把握することができる。また、プログラム構成科目の単位修得状況を分析することにより、授業の難易度に問題がないかを確認している。これらの分析結果は、前述のAI数理データサイエンスプログラム運営委員会において共有し、本教育プログラムの評価・改善に活用している。</t>
    <phoneticPr fontId="1"/>
  </si>
  <si>
    <t>　授業評価アンケートおよびプログラム登録者アンケートを通じて、学生の理解度を把握している。授業評価アンケートにおける設問「この授業の内容は理解できましたか」に、プログラム必修科目「情報スキル入門」では、回答選択肢「５：そう思う」、「４：どちらかといえばそう思う」に対し、平均評価値が4.33ポイントであった。また、プログラム登録者を対象としたアンケートでは、設問「プログラム構成科目を受講し、授業の内容は理解できましたか」に、85.8％が「そう思う」、「どちらかといえばそう思う」と回答した。上述の結果から、授業の難易度は適切であると考えられる。</t>
    <rPh sb="1" eb="3">
      <t>ジュギョウ</t>
    </rPh>
    <rPh sb="3" eb="5">
      <t>ヒョウカ</t>
    </rPh>
    <rPh sb="18" eb="20">
      <t>トウロク</t>
    </rPh>
    <rPh sb="20" eb="21">
      <t>シャ</t>
    </rPh>
    <rPh sb="27" eb="28">
      <t>ツウ</t>
    </rPh>
    <rPh sb="31" eb="33">
      <t>ガクセイ</t>
    </rPh>
    <rPh sb="34" eb="36">
      <t>リカイ</t>
    </rPh>
    <rPh sb="36" eb="37">
      <t>ド</t>
    </rPh>
    <rPh sb="38" eb="40">
      <t>ハアク</t>
    </rPh>
    <rPh sb="45" eb="47">
      <t>ジュギョウ</t>
    </rPh>
    <rPh sb="47" eb="49">
      <t>ヒョウカ</t>
    </rPh>
    <rPh sb="58" eb="60">
      <t>セツモン</t>
    </rPh>
    <rPh sb="128" eb="129">
      <t>オモ</t>
    </rPh>
    <rPh sb="132" eb="133">
      <t>タイ</t>
    </rPh>
    <rPh sb="135" eb="137">
      <t>ヘイキン</t>
    </rPh>
    <rPh sb="137" eb="139">
      <t>ヒョウカ</t>
    </rPh>
    <rPh sb="139" eb="140">
      <t>チ</t>
    </rPh>
    <rPh sb="162" eb="164">
      <t>トウロク</t>
    </rPh>
    <rPh sb="164" eb="165">
      <t>シャ</t>
    </rPh>
    <rPh sb="166" eb="168">
      <t>タイショウ</t>
    </rPh>
    <rPh sb="179" eb="181">
      <t>セツモン</t>
    </rPh>
    <rPh sb="222" eb="223">
      <t>オモ</t>
    </rPh>
    <rPh sb="237" eb="238">
      <t>オモ</t>
    </rPh>
    <rPh sb="241" eb="243">
      <t>カイトウ</t>
    </rPh>
    <rPh sb="246" eb="248">
      <t>ジョウジュツ</t>
    </rPh>
    <rPh sb="249" eb="251">
      <t>ケッカ</t>
    </rPh>
    <rPh sb="254" eb="256">
      <t>ジュギョウ</t>
    </rPh>
    <rPh sb="257" eb="260">
      <t>ナンイド</t>
    </rPh>
    <rPh sb="261" eb="263">
      <t>テキセツ</t>
    </rPh>
    <rPh sb="267" eb="268">
      <t>カンガ</t>
    </rPh>
    <phoneticPr fontId="1"/>
  </si>
  <si>
    <t>　AI数理データサイエンスセンター所属教員が講師を務める「CU Synergy-Program～AI基礎と応用～※」において、参加企業に対してアンケートを実施した。数理・データサイエンス・AI教育プログラムの認知度、また入社してくる学生に求める能力等についての設問に対し得た回答を、AI数理データサイエンスプログラム運営委員会において共有し、本教育プログラム改善の参考とする。
※CU Synergy-Programは、社会の第一線で活躍する方を対象とした中部大学提供の教育プログラム。本学教員が個別企業と特有の課題解決に取り組む共同研究とは異なり、多くの企業に共通する問題の解決につながる知識・技術を、講義や実習の形式で提供すべく令和４年度より開設した。</t>
    <rPh sb="77" eb="79">
      <t>ジッシ</t>
    </rPh>
    <rPh sb="82" eb="84">
      <t>スウリ</t>
    </rPh>
    <rPh sb="96" eb="98">
      <t>キョウイク</t>
    </rPh>
    <rPh sb="104" eb="107">
      <t>ニンチド</t>
    </rPh>
    <rPh sb="130" eb="132">
      <t>セツモン</t>
    </rPh>
    <rPh sb="133" eb="134">
      <t>タイ</t>
    </rPh>
    <rPh sb="135" eb="136">
      <t>エ</t>
    </rPh>
    <rPh sb="137" eb="139">
      <t>カイトウ</t>
    </rPh>
    <rPh sb="143" eb="145">
      <t>スウリ</t>
    </rPh>
    <rPh sb="158" eb="160">
      <t>ウンエイ</t>
    </rPh>
    <rPh sb="160" eb="163">
      <t>イインカイ</t>
    </rPh>
    <rPh sb="167" eb="169">
      <t>キョウユウ</t>
    </rPh>
    <rPh sb="172" eb="174">
      <t>キョウイク</t>
    </rPh>
    <rPh sb="179" eb="181">
      <t>カイゼン</t>
    </rPh>
    <rPh sb="182" eb="184">
      <t>サンコウ</t>
    </rPh>
    <rPh sb="229" eb="231">
      <t>チュウブ</t>
    </rPh>
    <rPh sb="231" eb="233">
      <t>ダイガク</t>
    </rPh>
    <rPh sb="233" eb="235">
      <t>テイキョウ</t>
    </rPh>
    <rPh sb="317" eb="319">
      <t>レイワ</t>
    </rPh>
    <rPh sb="320" eb="322">
      <t>ネンド</t>
    </rPh>
    <rPh sb="324" eb="326">
      <t>カイセツ</t>
    </rPh>
    <phoneticPr fontId="1"/>
  </si>
  <si>
    <t>　データサイエンスの基礎知識を講述しながら、コンピュータのアプリケーションやソフトウェアとその連携を利用した実習をまじえることにより理解を深める。情報処理の基本的な知識、およびコンピュータ・データサイエンスの活用を通して、問題解決とそれに必要な論理的な思考の能力を養う。</t>
    <phoneticPr fontId="1"/>
  </si>
  <si>
    <t>　２０２１年度に開設したAI数理データサイエンスセンターを中心とし、プログラム構成科目を運営する人間力創成教育院の院長、各プログラム長および科目担当者等により構成するAI数理データサイエンスプログラム運営委員会を設置し、プログラムの企画、実施、評価、改善を行う。</t>
    <rPh sb="57" eb="59">
      <t>インチョウ</t>
    </rPh>
    <rPh sb="60" eb="61">
      <t>カク</t>
    </rPh>
    <rPh sb="66" eb="67">
      <t>チョウ</t>
    </rPh>
    <rPh sb="79" eb="81">
      <t>コウセイ</t>
    </rPh>
    <phoneticPr fontId="1"/>
  </si>
  <si>
    <t>　入学時に全ての学生に対して本教育プログラムの概要、目的を記したパンフレットを配付し、プログラムの存在を周知すると共に、プログラム必修科目である「情報スキル」の各授業内で紹介を行い、数理・データサイエンス・AI教育を受講する意義を伝えている。また、毎年7月に全学学生に向けた説明会を開催し、秋学期に開講されるプログラム構成科目の履修を促している。
　また、大学ホームページ、大学案内などの広報媒体、学内外のイベント等によりプログラム内容の紹介や学修成果の発信を行うことで学生へ周知している。</t>
    <rPh sb="1" eb="4">
      <t>ニュウガクジ</t>
    </rPh>
    <rPh sb="5" eb="6">
      <t>スベ</t>
    </rPh>
    <rPh sb="8" eb="10">
      <t>ガクセイ</t>
    </rPh>
    <rPh sb="11" eb="12">
      <t>タイ</t>
    </rPh>
    <rPh sb="14" eb="15">
      <t>ホン</t>
    </rPh>
    <rPh sb="15" eb="17">
      <t>キョウイク</t>
    </rPh>
    <rPh sb="23" eb="25">
      <t>ガイヨウ</t>
    </rPh>
    <rPh sb="26" eb="28">
      <t>モクテキ</t>
    </rPh>
    <rPh sb="29" eb="30">
      <t>シル</t>
    </rPh>
    <rPh sb="39" eb="41">
      <t>ハイフ</t>
    </rPh>
    <rPh sb="49" eb="51">
      <t>ソンザイ</t>
    </rPh>
    <rPh sb="52" eb="54">
      <t>シュウチ</t>
    </rPh>
    <rPh sb="57" eb="58">
      <t>トモ</t>
    </rPh>
    <rPh sb="65" eb="67">
      <t>ヒッシュウ</t>
    </rPh>
    <rPh sb="67" eb="69">
      <t>カモク</t>
    </rPh>
    <rPh sb="73" eb="75">
      <t>ジョウホウ</t>
    </rPh>
    <rPh sb="80" eb="81">
      <t>カク</t>
    </rPh>
    <rPh sb="81" eb="83">
      <t>ジュギョウ</t>
    </rPh>
    <rPh sb="83" eb="84">
      <t>ナイ</t>
    </rPh>
    <rPh sb="85" eb="87">
      <t>ショウカイ</t>
    </rPh>
    <rPh sb="88" eb="89">
      <t>オコナ</t>
    </rPh>
    <rPh sb="91" eb="93">
      <t>スウリ</t>
    </rPh>
    <rPh sb="105" eb="107">
      <t>キョウイク</t>
    </rPh>
    <rPh sb="108" eb="110">
      <t>ジュコウ</t>
    </rPh>
    <rPh sb="112" eb="114">
      <t>イギ</t>
    </rPh>
    <rPh sb="115" eb="116">
      <t>ツタ</t>
    </rPh>
    <rPh sb="124" eb="126">
      <t>マイトシ</t>
    </rPh>
    <rPh sb="127" eb="128">
      <t>ガツ</t>
    </rPh>
    <rPh sb="129" eb="131">
      <t>ゼンガク</t>
    </rPh>
    <rPh sb="131" eb="133">
      <t>ガクセイ</t>
    </rPh>
    <rPh sb="134" eb="135">
      <t>ム</t>
    </rPh>
    <rPh sb="137" eb="140">
      <t>セツメイカイ</t>
    </rPh>
    <rPh sb="141" eb="143">
      <t>カイサイ</t>
    </rPh>
    <rPh sb="145" eb="148">
      <t>アキガッキ</t>
    </rPh>
    <rPh sb="149" eb="151">
      <t>カイコウ</t>
    </rPh>
    <rPh sb="159" eb="161">
      <t>コウセイ</t>
    </rPh>
    <rPh sb="161" eb="163">
      <t>カモク</t>
    </rPh>
    <rPh sb="164" eb="166">
      <t>リシュウ</t>
    </rPh>
    <rPh sb="167" eb="168">
      <t>ウナガ</t>
    </rPh>
    <rPh sb="178" eb="180">
      <t>ダイガク</t>
    </rPh>
    <rPh sb="187" eb="189">
      <t>ダイガク</t>
    </rPh>
    <rPh sb="189" eb="191">
      <t>アンナイ</t>
    </rPh>
    <rPh sb="194" eb="196">
      <t>コウホウ</t>
    </rPh>
    <rPh sb="196" eb="198">
      <t>バイタイ</t>
    </rPh>
    <rPh sb="199" eb="202">
      <t>ガクナイガイ</t>
    </rPh>
    <rPh sb="207" eb="208">
      <t>トウ</t>
    </rPh>
    <rPh sb="216" eb="218">
      <t>ナイヨウ</t>
    </rPh>
    <rPh sb="219" eb="221">
      <t>ショウカイ</t>
    </rPh>
    <rPh sb="222" eb="224">
      <t>ガクシュウ</t>
    </rPh>
    <rPh sb="224" eb="226">
      <t>セイカ</t>
    </rPh>
    <rPh sb="227" eb="229">
      <t>ハッシン</t>
    </rPh>
    <rPh sb="230" eb="231">
      <t>オコナ</t>
    </rPh>
    <rPh sb="235" eb="237">
      <t>ガクセイ</t>
    </rPh>
    <rPh sb="238" eb="240">
      <t>シュウチ</t>
    </rPh>
    <phoneticPr fontId="1"/>
  </si>
  <si>
    <t xml:space="preserve">　本教育プログラムを構成する科目においては、以下のような工夫を行っている。
・対面形式の授業においては、授業の最後に必ず質問を受け付ける時間を設け、授業時間外では、メールにて質問内容に答えている。
・課題提出にてスキル習得レベルを確認し、習得できていない受講者にはメールおよび授業の質問時間を使って技術習得のサポートを行なっている。
・LMSとしてGoogle Classroomを用いている。授業時間内外での学習が効果的となるように、課題の提示とともに解説動画をGoogle Classroom内に配置している。課題返却は、Google Classroomの機能を用いて、採点結果とともにコメントを付して返却している。質問に関しては、Google Classroomのコメント機能および学内メールを用いて随時受け付け対応している。
</t>
    <rPh sb="1" eb="2">
      <t>ホン</t>
    </rPh>
    <rPh sb="2" eb="4">
      <t>キョウイク</t>
    </rPh>
    <rPh sb="10" eb="12">
      <t>コウセイ</t>
    </rPh>
    <rPh sb="14" eb="16">
      <t>カモク</t>
    </rPh>
    <rPh sb="22" eb="24">
      <t>イカ</t>
    </rPh>
    <rPh sb="28" eb="30">
      <t>クフウ</t>
    </rPh>
    <rPh sb="31" eb="32">
      <t>オコナ</t>
    </rPh>
    <rPh sb="39" eb="41">
      <t>タイメン</t>
    </rPh>
    <rPh sb="41" eb="43">
      <t>ケイシキ</t>
    </rPh>
    <rPh sb="44" eb="46">
      <t>ジュギョウ</t>
    </rPh>
    <rPh sb="53" eb="54">
      <t xml:space="preserve">ジカン </t>
    </rPh>
    <rPh sb="54" eb="56">
      <t xml:space="preserve">サイゴニ </t>
    </rPh>
    <rPh sb="57" eb="58">
      <t xml:space="preserve">カナラズ </t>
    </rPh>
    <rPh sb="59" eb="61">
      <t xml:space="preserve">シツモン </t>
    </rPh>
    <rPh sb="62" eb="63">
      <t xml:space="preserve">ウケツケル </t>
    </rPh>
    <rPh sb="67" eb="69">
      <t xml:space="preserve">ジカン </t>
    </rPh>
    <rPh sb="70" eb="71">
      <t xml:space="preserve">モウケテイル </t>
    </rPh>
    <rPh sb="71" eb="72">
      <t>モウ</t>
    </rPh>
    <rPh sb="74" eb="79">
      <t xml:space="preserve">ジュギョウガイデハ </t>
    </rPh>
    <rPh sb="84" eb="86">
      <t xml:space="preserve">シツモンナイ </t>
    </rPh>
    <rPh sb="86" eb="88">
      <t xml:space="preserve">ナイヨウ </t>
    </rPh>
    <rPh sb="89" eb="90">
      <t xml:space="preserve">コタエテイル </t>
    </rPh>
    <rPh sb="100" eb="102">
      <t xml:space="preserve">カダイ </t>
    </rPh>
    <rPh sb="102" eb="104">
      <t xml:space="preserve">テイシュツ </t>
    </rPh>
    <rPh sb="109" eb="111">
      <t xml:space="preserve">シュウトク </t>
    </rPh>
    <rPh sb="115" eb="117">
      <t xml:space="preserve">カクニン </t>
    </rPh>
    <rPh sb="127" eb="130">
      <t xml:space="preserve">ジュコウシャ </t>
    </rPh>
    <rPh sb="139" eb="141">
      <t xml:space="preserve">ジュギョウノ </t>
    </rPh>
    <rPh sb="147" eb="148">
      <t xml:space="preserve">ツカッテ </t>
    </rPh>
    <rPh sb="150" eb="151">
      <t xml:space="preserve">ギジュツ </t>
    </rPh>
    <rPh sb="151" eb="153">
      <t xml:space="preserve">シュウトク </t>
    </rPh>
    <rPh sb="159" eb="160">
      <t xml:space="preserve">オコナッテイル </t>
    </rPh>
    <phoneticPr fontId="1"/>
  </si>
  <si>
    <t>　本教育プログラムの設置は、令和4年度からであり、プログラム修了者が社会に出るのは令和8年度以降であるため、本項目の評価は行えていない。今後、学生の就職先、地域、企業、公共団体等に対しての調査を実施し、本プログラムを修了した卒業生の採用状況、企業評価を把握できる仕組みを検討していく。</t>
    <rPh sb="1" eb="2">
      <t>ホン</t>
    </rPh>
    <rPh sb="2" eb="4">
      <t>キョウイク</t>
    </rPh>
    <rPh sb="10" eb="12">
      <t>セッチ</t>
    </rPh>
    <rPh sb="14" eb="16">
      <t>レイワ</t>
    </rPh>
    <rPh sb="17" eb="19">
      <t>ネンド</t>
    </rPh>
    <rPh sb="30" eb="32">
      <t>シュウリョウ</t>
    </rPh>
    <rPh sb="32" eb="33">
      <t>シャ</t>
    </rPh>
    <rPh sb="34" eb="36">
      <t>シャカイ</t>
    </rPh>
    <rPh sb="37" eb="38">
      <t>デ</t>
    </rPh>
    <rPh sb="41" eb="43">
      <t>レイワ</t>
    </rPh>
    <rPh sb="44" eb="46">
      <t>ネンド</t>
    </rPh>
    <rPh sb="46" eb="48">
      <t>イコウ</t>
    </rPh>
    <rPh sb="54" eb="55">
      <t>ホン</t>
    </rPh>
    <rPh sb="55" eb="57">
      <t>コウモク</t>
    </rPh>
    <rPh sb="58" eb="60">
      <t>ヒョウカ</t>
    </rPh>
    <rPh sb="61" eb="62">
      <t>オコナ</t>
    </rPh>
    <rPh sb="68" eb="70">
      <t>コンゴ</t>
    </rPh>
    <rPh sb="71" eb="73">
      <t>ガクセイ</t>
    </rPh>
    <rPh sb="74" eb="77">
      <t>シュウショクサキ</t>
    </rPh>
    <rPh sb="78" eb="80">
      <t>チイキ</t>
    </rPh>
    <rPh sb="81" eb="83">
      <t>キギョウ</t>
    </rPh>
    <rPh sb="84" eb="89">
      <t>コウキョウダンタイトウ</t>
    </rPh>
    <rPh sb="90" eb="91">
      <t>タイ</t>
    </rPh>
    <rPh sb="94" eb="96">
      <t>チョウサ</t>
    </rPh>
    <rPh sb="97" eb="99">
      <t>ジッシ</t>
    </rPh>
    <rPh sb="101" eb="102">
      <t>ホン</t>
    </rPh>
    <rPh sb="108" eb="110">
      <t>シュウリョウ</t>
    </rPh>
    <rPh sb="112" eb="115">
      <t>ソツギョウセイ</t>
    </rPh>
    <rPh sb="116" eb="118">
      <t>サイヨウ</t>
    </rPh>
    <rPh sb="118" eb="120">
      <t>ジョウキョウ</t>
    </rPh>
    <rPh sb="121" eb="123">
      <t>キギョウ</t>
    </rPh>
    <rPh sb="123" eb="125">
      <t>ヒョウカ</t>
    </rPh>
    <rPh sb="126" eb="128">
      <t>ハアク</t>
    </rPh>
    <rPh sb="131" eb="133">
      <t>シク</t>
    </rPh>
    <rPh sb="135" eb="137">
      <t>ケントウ</t>
    </rPh>
    <phoneticPr fontId="1"/>
  </si>
  <si>
    <r>
      <t>・データ・AI活用領域の広がり(生産、消費、文化活動など)</t>
    </r>
    <r>
      <rPr>
        <sz val="12"/>
        <rFont val="ＭＳ Ｐゴシック"/>
        <family val="3"/>
        <charset val="128"/>
      </rPr>
      <t>：「問題解決のための統計学入門」（2回目）、「情報スキル入門」（15回目）、「情報スキル活用」（14回目）</t>
    </r>
    <r>
      <rPr>
        <sz val="12"/>
        <rFont val="ＭＳ Ｐゴシック"/>
        <family val="3"/>
        <charset val="128"/>
        <scheme val="minor"/>
      </rPr>
      <t xml:space="preserve">
・研究開発、調達、製造、物流、販売、マーケティング、サービスなど</t>
    </r>
    <r>
      <rPr>
        <sz val="12"/>
        <rFont val="ＭＳ Ｐゴシック"/>
        <family val="3"/>
        <charset val="128"/>
      </rPr>
      <t>：「問題解決のための統計学入門」（2回目）、「情報スキル入門」（15回目）、「情報スキル活用」（14回目）</t>
    </r>
    <r>
      <rPr>
        <sz val="12"/>
        <rFont val="ＭＳ Ｐゴシック"/>
        <family val="3"/>
        <charset val="128"/>
        <scheme val="minor"/>
      </rPr>
      <t xml:space="preserve">
・仮説検証、知識発見、原因究明、計画策定、判断支援、活動代替、新規生成など</t>
    </r>
    <r>
      <rPr>
        <sz val="12"/>
        <rFont val="ＭＳ Ｐゴシック"/>
        <family val="3"/>
        <charset val="128"/>
      </rPr>
      <t>：「問題解決のための統計学入門」（2回目）、「情報スキル活用」（12回目）、「データサイエンスのための数理要論」（13、14、15回目）</t>
    </r>
    <rPh sb="257" eb="259">
      <t>スウリ</t>
    </rPh>
    <rPh sb="271" eb="272">
      <t>カイ</t>
    </rPh>
    <rPh sb="272" eb="273">
      <t>メ</t>
    </rPh>
    <phoneticPr fontId="1"/>
  </si>
  <si>
    <r>
      <t>・データ・AI活用領域の広がり(生産、消費、文化活動など)</t>
    </r>
    <r>
      <rPr>
        <sz val="12"/>
        <rFont val="ＭＳ Ｐゴシック"/>
        <family val="3"/>
        <charset val="128"/>
      </rPr>
      <t>：「問題解決のための統計学入門」（2回目）、「情報スキル入門」（15回目）、「情報スキル活用」（14回目）</t>
    </r>
    <r>
      <rPr>
        <sz val="12"/>
        <rFont val="ＭＳ Ｐゴシック"/>
        <family val="3"/>
        <charset val="128"/>
        <scheme val="minor"/>
      </rPr>
      <t xml:space="preserve">
・研究開発、調達、製造、物流、販売、マーケティング、サービスなど</t>
    </r>
    <r>
      <rPr>
        <sz val="12"/>
        <rFont val="ＭＳ Ｐゴシック"/>
        <family val="3"/>
        <charset val="128"/>
      </rPr>
      <t>：「問題解決のための統計学入門」（2回目）、「情報スキル入門」（15回目）、「情報スキル活用」（14回目）</t>
    </r>
    <r>
      <rPr>
        <sz val="12"/>
        <rFont val="ＭＳ Ｐゴシック"/>
        <family val="3"/>
        <charset val="128"/>
        <scheme val="minor"/>
      </rPr>
      <t xml:space="preserve">
・仮説検証、知識発見、原因究明、計画策定、判断支援、活動代替、新規生成など</t>
    </r>
    <r>
      <rPr>
        <sz val="12"/>
        <rFont val="ＭＳ Ｐゴシック"/>
        <family val="3"/>
        <charset val="128"/>
      </rPr>
      <t>：「問題解決のための統計学入門」（2回目）、「情報スキル活用」（12回目）、「データサイエンスのた</t>
    </r>
    <r>
      <rPr>
        <sz val="12"/>
        <color theme="1"/>
        <rFont val="ＭＳ Ｐゴシック"/>
        <family val="3"/>
        <charset val="128"/>
        <scheme val="minor"/>
      </rPr>
      <t>めの数理要論」（13、14、15回目）</t>
    </r>
    <rPh sb="257" eb="259">
      <t>スウリ</t>
    </rPh>
    <rPh sb="271" eb="272">
      <t>カイ</t>
    </rPh>
    <rPh sb="272" eb="273">
      <t>メ</t>
    </rPh>
    <phoneticPr fontId="1"/>
  </si>
  <si>
    <r>
      <t>データ・AIを利活用する上で知っておくべきこと</t>
    </r>
    <r>
      <rPr>
        <sz val="12"/>
        <rFont val="ＭＳ Ｐゴシック"/>
        <family val="3"/>
        <charset val="128"/>
      </rPr>
      <t>：「問題解決のための統計学入門」（14回目）、「情報スキル入門」（15回目）、「情報スキル活用」（14回目）</t>
    </r>
    <rPh sb="52" eb="54">
      <t xml:space="preserve">ニュウモン </t>
    </rPh>
    <phoneticPr fontId="1"/>
  </si>
  <si>
    <r>
      <t>・データの集計（和、平均）</t>
    </r>
    <r>
      <rPr>
        <sz val="12"/>
        <rFont val="ＭＳ Ｐゴシック"/>
        <family val="3"/>
        <charset val="128"/>
      </rPr>
      <t>：「問題解決のための統計学入門」（10回目）、「情報スキル入門」（12回目）、「情報スキル活用」（11回目）</t>
    </r>
    <r>
      <rPr>
        <sz val="12"/>
        <rFont val="ＭＳ Ｐゴシック"/>
        <family val="3"/>
        <charset val="128"/>
        <scheme val="minor"/>
      </rPr>
      <t xml:space="preserve">
・データの並び替え、ランキング</t>
    </r>
    <r>
      <rPr>
        <sz val="12"/>
        <rFont val="ＭＳ Ｐゴシック"/>
        <family val="3"/>
        <charset val="128"/>
      </rPr>
      <t>：「問題解決のための統計学入門」（11回目）、「情報スキル入門」（13回目）、「情報スキル活用」（11回目）</t>
    </r>
    <r>
      <rPr>
        <sz val="12"/>
        <rFont val="ＭＳ Ｐゴシック"/>
        <family val="3"/>
        <charset val="128"/>
        <scheme val="minor"/>
      </rPr>
      <t xml:space="preserve">
・データ解析ツール（スプレッドシート）</t>
    </r>
    <r>
      <rPr>
        <sz val="12"/>
        <rFont val="ＭＳ Ｐゴシック"/>
        <family val="3"/>
        <charset val="128"/>
      </rPr>
      <t>：「問題解決のための統計学入門」（10、11、12、13回目）、「情報スキル活用」（12回目）</t>
    </r>
    <r>
      <rPr>
        <sz val="12"/>
        <rFont val="ＭＳ Ｐゴシック"/>
        <family val="3"/>
        <charset val="128"/>
        <scheme val="minor"/>
      </rPr>
      <t xml:space="preserve">
・表形式のデータ（csv）</t>
    </r>
    <r>
      <rPr>
        <sz val="12"/>
        <rFont val="ＭＳ Ｐゴシック"/>
        <family val="3"/>
        <charset val="128"/>
      </rPr>
      <t>：「情報スキル入門」（12回目）、「情報スキル活用」（11回目）</t>
    </r>
    <rPh sb="73" eb="75">
      <t xml:space="preserve">ニュウモン </t>
    </rPh>
    <phoneticPr fontId="1"/>
  </si>
  <si>
    <t>AI数理データサイエンスセンター長　　津田一郎（運営委員会委員長）
AI数理データサイエンスセンター副センター長　　平田　豊
人間力創成教育院長　　佐野　充
人間力創成教育院全学共通教育部情報教育プログラム長　　鈴木知治
人間力創成教育院全学共通教育部教養課題教育プログラム長補佐　　相川弘明
AI数理データサイエンスセンター教授　　鈴木　肇
AI数理データサイエンスセンター准教授　　塚田啓道
AI数理データサイエンスセンター准教授　　後藤振一郎
教務支援課長　　大西教仁
人間力創成教育院事務室　　古田明彦
AI数理データサイエンスセンター事務室事務長　　内藤有香（事務局）</t>
    <rPh sb="126" eb="128">
      <t>キョウヨウ</t>
    </rPh>
    <rPh sb="275" eb="278">
      <t>ジムチョウ</t>
    </rPh>
    <phoneticPr fontId="1"/>
  </si>
  <si>
    <t>各年度の履修者数の目標を以下のとおりとする。（（　）内は履修率。）
　令和５年度　1050名　（10％）
　令和６年度　1570名　（15％）
　令和７年度　2600名　（25％）
　令和８年度　2600名　（25％）
　令和４年度以降入学生を対象としたプログラムであるため、履修率は年度の経過に伴い向上していくものであるが、より多くの学生に周知をはかるため、プログラム必修科目内での概要説明、全学学生を対象とした説明会の実施、また登録機会を広く、複数年度に亘り設けるなどの工夫を行う。また、パンフレット、ホームページ、学生情報用アプリなどの複合的なツールを活用して、履修を促す計画である。</t>
    <rPh sb="0" eb="3">
      <t>カクネンド</t>
    </rPh>
    <rPh sb="4" eb="7">
      <t>リシュウシャ</t>
    </rPh>
    <rPh sb="7" eb="8">
      <t>スウ</t>
    </rPh>
    <rPh sb="9" eb="11">
      <t>モクヒョウ</t>
    </rPh>
    <rPh sb="12" eb="14">
      <t>イカ</t>
    </rPh>
    <rPh sb="26" eb="27">
      <t>ナイ</t>
    </rPh>
    <rPh sb="28" eb="30">
      <t>リシュウ</t>
    </rPh>
    <rPh sb="30" eb="31">
      <t>リツ</t>
    </rPh>
    <rPh sb="35" eb="37">
      <t>レイワ</t>
    </rPh>
    <rPh sb="38" eb="40">
      <t>ネンド</t>
    </rPh>
    <rPh sb="45" eb="46">
      <t>メイ</t>
    </rPh>
    <rPh sb="54" eb="56">
      <t>レイワ</t>
    </rPh>
    <rPh sb="57" eb="59">
      <t>ネンド</t>
    </rPh>
    <rPh sb="64" eb="65">
      <t>メイ</t>
    </rPh>
    <rPh sb="73" eb="75">
      <t>レイワ</t>
    </rPh>
    <rPh sb="76" eb="78">
      <t>ネンド</t>
    </rPh>
    <rPh sb="83" eb="84">
      <t>メイ</t>
    </rPh>
    <rPh sb="92" eb="94">
      <t>レイワ</t>
    </rPh>
    <rPh sb="95" eb="97">
      <t>ネンド</t>
    </rPh>
    <rPh sb="102" eb="103">
      <t>メイ</t>
    </rPh>
    <rPh sb="112" eb="114">
      <t>レイワ</t>
    </rPh>
    <rPh sb="115" eb="117">
      <t>ネンド</t>
    </rPh>
    <rPh sb="117" eb="119">
      <t>イコウ</t>
    </rPh>
    <rPh sb="119" eb="122">
      <t>ニュウガクセイ</t>
    </rPh>
    <rPh sb="123" eb="125">
      <t>タイショウ</t>
    </rPh>
    <rPh sb="139" eb="141">
      <t>リシュウ</t>
    </rPh>
    <rPh sb="141" eb="142">
      <t>リツ</t>
    </rPh>
    <rPh sb="143" eb="145">
      <t>ネンド</t>
    </rPh>
    <rPh sb="146" eb="148">
      <t>ケイカ</t>
    </rPh>
    <rPh sb="151" eb="153">
      <t>コウジョウ</t>
    </rPh>
    <rPh sb="166" eb="167">
      <t>オオ</t>
    </rPh>
    <rPh sb="169" eb="171">
      <t>ガクセイ</t>
    </rPh>
    <rPh sb="172" eb="174">
      <t>シュウチ</t>
    </rPh>
    <rPh sb="186" eb="188">
      <t>ヒッシュウ</t>
    </rPh>
    <rPh sb="188" eb="190">
      <t>カモク</t>
    </rPh>
    <rPh sb="190" eb="191">
      <t>ナイ</t>
    </rPh>
    <rPh sb="193" eb="195">
      <t>ガイヨウ</t>
    </rPh>
    <rPh sb="195" eb="197">
      <t>セツメイ</t>
    </rPh>
    <rPh sb="198" eb="200">
      <t>ゼンガク</t>
    </rPh>
    <rPh sb="200" eb="202">
      <t>ガクセイ</t>
    </rPh>
    <rPh sb="203" eb="205">
      <t>タイショウ</t>
    </rPh>
    <rPh sb="208" eb="211">
      <t>セツメイカイ</t>
    </rPh>
    <rPh sb="212" eb="214">
      <t>ジッシ</t>
    </rPh>
    <rPh sb="217" eb="219">
      <t>トウロク</t>
    </rPh>
    <rPh sb="219" eb="221">
      <t>キカイ</t>
    </rPh>
    <rPh sb="222" eb="223">
      <t>ヒロ</t>
    </rPh>
    <rPh sb="225" eb="227">
      <t>フクスウ</t>
    </rPh>
    <rPh sb="227" eb="229">
      <t>ネンド</t>
    </rPh>
    <rPh sb="230" eb="231">
      <t>ワタ</t>
    </rPh>
    <rPh sb="232" eb="233">
      <t>モウ</t>
    </rPh>
    <rPh sb="238" eb="240">
      <t>クフウ</t>
    </rPh>
    <rPh sb="241" eb="242">
      <t>オコナ</t>
    </rPh>
    <rPh sb="261" eb="263">
      <t>ガクセイ</t>
    </rPh>
    <rPh sb="263" eb="265">
      <t>ジョウホウ</t>
    </rPh>
    <rPh sb="265" eb="266">
      <t>ヨウ</t>
    </rPh>
    <rPh sb="272" eb="275">
      <t>フクゴウテキ</t>
    </rPh>
    <rPh sb="280" eb="282">
      <t>カツヨウ</t>
    </rPh>
    <rPh sb="285" eb="287">
      <t>リシュウ</t>
    </rPh>
    <rPh sb="288" eb="289">
      <t>ウナガ</t>
    </rPh>
    <rPh sb="290" eb="292">
      <t>ケイカク</t>
    </rPh>
    <phoneticPr fontId="1"/>
  </si>
  <si>
    <t>　本教育プログラムを構成する4科目は、全て全学共通教育科目であり、学部・学科に拘わらず全ての学生が受講することができる科目である。特に、プログラム必修科目である「情報スキル入門」は、ほぼ全ての学科において、1年時春学期の「指定科目」として位置づけられており、学科毎に開講クラスを設定し、必要な授業担当教員数を確保している。</t>
    <rPh sb="1" eb="2">
      <t>ホン</t>
    </rPh>
    <rPh sb="2" eb="4">
      <t>キョウイク</t>
    </rPh>
    <rPh sb="10" eb="12">
      <t>コウセイ</t>
    </rPh>
    <rPh sb="15" eb="17">
      <t>カモク</t>
    </rPh>
    <rPh sb="19" eb="20">
      <t>スベ</t>
    </rPh>
    <rPh sb="21" eb="23">
      <t>ゼンガク</t>
    </rPh>
    <rPh sb="23" eb="25">
      <t>キョウツウ</t>
    </rPh>
    <rPh sb="25" eb="27">
      <t>キョウイク</t>
    </rPh>
    <rPh sb="27" eb="29">
      <t>カモク</t>
    </rPh>
    <rPh sb="33" eb="35">
      <t>ガクブ</t>
    </rPh>
    <rPh sb="36" eb="38">
      <t>ガッカ</t>
    </rPh>
    <rPh sb="39" eb="40">
      <t>カカ</t>
    </rPh>
    <rPh sb="43" eb="44">
      <t>スベ</t>
    </rPh>
    <rPh sb="46" eb="48">
      <t>ガクセイ</t>
    </rPh>
    <rPh sb="49" eb="51">
      <t>ジュコウ</t>
    </rPh>
    <rPh sb="59" eb="61">
      <t>カモク</t>
    </rPh>
    <rPh sb="65" eb="66">
      <t>トク</t>
    </rPh>
    <rPh sb="73" eb="75">
      <t>ヒッシュウ</t>
    </rPh>
    <rPh sb="75" eb="77">
      <t>カモク</t>
    </rPh>
    <rPh sb="81" eb="83">
      <t>ジョウホウ</t>
    </rPh>
    <rPh sb="86" eb="88">
      <t>ニュウモン</t>
    </rPh>
    <rPh sb="93" eb="94">
      <t>スベ</t>
    </rPh>
    <rPh sb="96" eb="98">
      <t>ガッカ</t>
    </rPh>
    <rPh sb="104" eb="106">
      <t>ネンジ</t>
    </rPh>
    <rPh sb="106" eb="109">
      <t>ハルガッキ</t>
    </rPh>
    <rPh sb="111" eb="113">
      <t>シテイ</t>
    </rPh>
    <rPh sb="113" eb="115">
      <t>カモク</t>
    </rPh>
    <rPh sb="119" eb="121">
      <t>イチ</t>
    </rPh>
    <rPh sb="129" eb="131">
      <t>ガッカ</t>
    </rPh>
    <rPh sb="131" eb="132">
      <t>ゴト</t>
    </rPh>
    <rPh sb="133" eb="135">
      <t>カイコウ</t>
    </rPh>
    <rPh sb="139" eb="141">
      <t>セッテイ</t>
    </rPh>
    <rPh sb="143" eb="145">
      <t>ヒツヨウ</t>
    </rPh>
    <rPh sb="146" eb="148">
      <t>ジュギョウ</t>
    </rPh>
    <rPh sb="148" eb="150">
      <t>タントウ</t>
    </rPh>
    <rPh sb="150" eb="152">
      <t>キョウイン</t>
    </rPh>
    <rPh sb="152" eb="153">
      <t>スウ</t>
    </rPh>
    <rPh sb="154" eb="156">
      <t>カクホ</t>
    </rPh>
    <phoneticPr fontId="1"/>
  </si>
  <si>
    <t>　１年次春学期に配置されたプログラム必修科目内において、数理・データサイエンス・AI教育を受講することの意義を伝え、１年次秋学期以降に開講されるプログラム選択科目の履修を促している。また、本教育プログラムを構成する４科目の内２科目は、オンデマンド授業となっており、学部・学科に拘わらず、多くの学生が履修しやすい体制が構築されている。本学では、全ての学生が一台ずつノートPCを携帯しており、環境に依らずオンデマンド授業にも対応することができる。</t>
    <rPh sb="2" eb="4">
      <t>ネンジ</t>
    </rPh>
    <rPh sb="4" eb="7">
      <t>ハルガッキ</t>
    </rPh>
    <rPh sb="8" eb="10">
      <t>ハイチ</t>
    </rPh>
    <rPh sb="18" eb="20">
      <t>ヒッシュウ</t>
    </rPh>
    <rPh sb="20" eb="22">
      <t>カモク</t>
    </rPh>
    <rPh sb="22" eb="23">
      <t>ナイ</t>
    </rPh>
    <rPh sb="28" eb="30">
      <t>スウリ</t>
    </rPh>
    <rPh sb="42" eb="44">
      <t>キョウイク</t>
    </rPh>
    <rPh sb="45" eb="47">
      <t>ジュコウ</t>
    </rPh>
    <rPh sb="52" eb="54">
      <t>イギ</t>
    </rPh>
    <rPh sb="55" eb="56">
      <t>ツタ</t>
    </rPh>
    <rPh sb="59" eb="61">
      <t>ネンジ</t>
    </rPh>
    <rPh sb="61" eb="64">
      <t>アキガッキ</t>
    </rPh>
    <rPh sb="64" eb="66">
      <t>イコウ</t>
    </rPh>
    <rPh sb="67" eb="69">
      <t>カイコウ</t>
    </rPh>
    <rPh sb="77" eb="79">
      <t>センタク</t>
    </rPh>
    <rPh sb="79" eb="81">
      <t>カモク</t>
    </rPh>
    <rPh sb="82" eb="84">
      <t>リシュウ</t>
    </rPh>
    <rPh sb="85" eb="86">
      <t>ウナガ</t>
    </rPh>
    <rPh sb="94" eb="95">
      <t>ホン</t>
    </rPh>
    <rPh sb="95" eb="97">
      <t>キョウイク</t>
    </rPh>
    <rPh sb="103" eb="105">
      <t>コウセイ</t>
    </rPh>
    <rPh sb="108" eb="110">
      <t>カモク</t>
    </rPh>
    <rPh sb="111" eb="112">
      <t>ウチ</t>
    </rPh>
    <rPh sb="113" eb="115">
      <t>カモク</t>
    </rPh>
    <rPh sb="123" eb="125">
      <t>ジュギョウ</t>
    </rPh>
    <rPh sb="132" eb="134">
      <t>ガクブ</t>
    </rPh>
    <rPh sb="135" eb="137">
      <t>ガッカ</t>
    </rPh>
    <rPh sb="138" eb="139">
      <t>カカ</t>
    </rPh>
    <rPh sb="143" eb="144">
      <t>オオ</t>
    </rPh>
    <rPh sb="146" eb="148">
      <t>ガクセイ</t>
    </rPh>
    <rPh sb="149" eb="151">
      <t>リシュウ</t>
    </rPh>
    <rPh sb="155" eb="157">
      <t>タイセイ</t>
    </rPh>
    <rPh sb="158" eb="160">
      <t>コウチク</t>
    </rPh>
    <rPh sb="166" eb="168">
      <t>ホンガク</t>
    </rPh>
    <rPh sb="171" eb="172">
      <t>スベ</t>
    </rPh>
    <rPh sb="174" eb="176">
      <t>ガクセイ</t>
    </rPh>
    <rPh sb="177" eb="179">
      <t>イチダイ</t>
    </rPh>
    <rPh sb="187" eb="189">
      <t>ケイタイ</t>
    </rPh>
    <rPh sb="194" eb="196">
      <t>カンキョウ</t>
    </rPh>
    <rPh sb="197" eb="198">
      <t>ヨ</t>
    </rPh>
    <rPh sb="206" eb="208">
      <t>ジュギョウ</t>
    </rPh>
    <rPh sb="210" eb="212">
      <t>タイオウ</t>
    </rPh>
    <phoneticPr fontId="1"/>
  </si>
  <si>
    <t>　本教育プログラムの履修、修得状況については、AI数理データサイエンスセンターを中心とし、プログラム構成科目を運営する人間力創成教育院院長、各プログラム長および科目担当者等により構成するAI数理データサイエンスプログラム運営委員会において、学生の履修データ、修了状況等を用いた分析・点検を行うことで問題点を把握し、改善案を策定、実行する。
　本教育プログラムは、令和４年度入学生より開始となったため、年度の経過に伴い履修率は向上していくものと想定されるが、学内におけるプログラムのより広い周知を図り、全学部における履修率の向上の方策を同委員会において策定していく。</t>
    <rPh sb="1" eb="2">
      <t>ホン</t>
    </rPh>
    <rPh sb="2" eb="4">
      <t>キョウイク</t>
    </rPh>
    <rPh sb="10" eb="12">
      <t>リシュウ</t>
    </rPh>
    <rPh sb="13" eb="15">
      <t>シュウトク</t>
    </rPh>
    <rPh sb="15" eb="17">
      <t>ジョウキョウ</t>
    </rPh>
    <rPh sb="25" eb="27">
      <t>スウリ</t>
    </rPh>
    <rPh sb="40" eb="42">
      <t>チュウシン</t>
    </rPh>
    <rPh sb="50" eb="52">
      <t>コウセイ</t>
    </rPh>
    <rPh sb="52" eb="54">
      <t>カモク</t>
    </rPh>
    <rPh sb="55" eb="57">
      <t>ウンエイ</t>
    </rPh>
    <rPh sb="59" eb="62">
      <t>ニンゲンリョク</t>
    </rPh>
    <rPh sb="62" eb="64">
      <t>ソウセイ</t>
    </rPh>
    <rPh sb="64" eb="66">
      <t>キョウイク</t>
    </rPh>
    <rPh sb="66" eb="67">
      <t>イン</t>
    </rPh>
    <rPh sb="67" eb="69">
      <t>インチョウ</t>
    </rPh>
    <rPh sb="70" eb="71">
      <t>カク</t>
    </rPh>
    <rPh sb="76" eb="77">
      <t>チョウ</t>
    </rPh>
    <rPh sb="80" eb="82">
      <t>カモク</t>
    </rPh>
    <rPh sb="82" eb="85">
      <t>タントウシャ</t>
    </rPh>
    <rPh sb="85" eb="86">
      <t>トウ</t>
    </rPh>
    <rPh sb="89" eb="91">
      <t>コウセイ</t>
    </rPh>
    <rPh sb="95" eb="97">
      <t>スウリ</t>
    </rPh>
    <rPh sb="110" eb="112">
      <t>ウンエイ</t>
    </rPh>
    <rPh sb="112" eb="115">
      <t>イインカイ</t>
    </rPh>
    <rPh sb="120" eb="122">
      <t>ガクセイ</t>
    </rPh>
    <rPh sb="123" eb="125">
      <t>リシュウ</t>
    </rPh>
    <rPh sb="135" eb="136">
      <t>モチ</t>
    </rPh>
    <rPh sb="138" eb="140">
      <t>ブンセキ</t>
    </rPh>
    <rPh sb="141" eb="143">
      <t>テンケン</t>
    </rPh>
    <rPh sb="144" eb="145">
      <t>オコナ</t>
    </rPh>
    <rPh sb="149" eb="152">
      <t>モンダイテン</t>
    </rPh>
    <rPh sb="153" eb="155">
      <t>ハアク</t>
    </rPh>
    <rPh sb="157" eb="160">
      <t>カイゼンアン</t>
    </rPh>
    <rPh sb="161" eb="163">
      <t>サクテイ</t>
    </rPh>
    <rPh sb="164" eb="166">
      <t>ジッコウ</t>
    </rPh>
    <rPh sb="171" eb="172">
      <t>ホン</t>
    </rPh>
    <rPh sb="172" eb="174">
      <t>キョウイク</t>
    </rPh>
    <rPh sb="181" eb="183">
      <t>レイワ</t>
    </rPh>
    <rPh sb="184" eb="186">
      <t>ネンド</t>
    </rPh>
    <rPh sb="186" eb="189">
      <t>ニュウガクセイ</t>
    </rPh>
    <rPh sb="191" eb="193">
      <t>カイシ</t>
    </rPh>
    <rPh sb="200" eb="202">
      <t>ネンド</t>
    </rPh>
    <rPh sb="203" eb="205">
      <t>ケイカ</t>
    </rPh>
    <rPh sb="206" eb="207">
      <t>トモナ</t>
    </rPh>
    <rPh sb="208" eb="210">
      <t>リシュウ</t>
    </rPh>
    <rPh sb="210" eb="211">
      <t>リツ</t>
    </rPh>
    <rPh sb="212" eb="214">
      <t>コウジョウ</t>
    </rPh>
    <rPh sb="221" eb="223">
      <t>ソウテイ</t>
    </rPh>
    <rPh sb="228" eb="230">
      <t>ガクナイ</t>
    </rPh>
    <rPh sb="242" eb="243">
      <t>ヒロ</t>
    </rPh>
    <rPh sb="244" eb="246">
      <t>シュウチ</t>
    </rPh>
    <rPh sb="247" eb="248">
      <t>ハカ</t>
    </rPh>
    <rPh sb="250" eb="253">
      <t>ゼンガクブ</t>
    </rPh>
    <rPh sb="257" eb="259">
      <t>リシュウ</t>
    </rPh>
    <rPh sb="259" eb="260">
      <t>リツ</t>
    </rPh>
    <rPh sb="261" eb="263">
      <t>コウジョウ</t>
    </rPh>
    <rPh sb="264" eb="266">
      <t>ホウサク</t>
    </rPh>
    <rPh sb="267" eb="268">
      <t>ドウ</t>
    </rPh>
    <rPh sb="268" eb="271">
      <t>イインカイ</t>
    </rPh>
    <rPh sb="275" eb="277">
      <t>サクテイ</t>
    </rPh>
    <phoneticPr fontId="1"/>
  </si>
  <si>
    <t>　授業評価アンケートおよびプログラム登録者アンケートを通じて、学生の知的関心の高まりや達成感が得られたかを確認している。授業評価アンケートにおける設問「この授業は総合的に魅力的な授業でしたか」に、プログラム必修科目「情報スキル入門」では、回答選択肢「５：そう思う」、「４：どちらかといえばそう思う」に対し、平均評価値が4.29ポイントであった。また、プログラム登録者を対象としたアンケートでは、設問「プログラム構成科目を受講し、授業は総合的に魅力的な授業でしたか」に、85.7％が「そう思う」、「どちらかといえばそう思う」と回答し、設問「このプログラムを他の学生や後輩へ推奨したいと思いますか」に、82.8％が「そう思う」、「どちらかといえばそう思う」と回答した。上述の結果から、後輩等にも受講を推奨できると評価している受講生が多いと考えられる。</t>
    <rPh sb="34" eb="36">
      <t>チテキ</t>
    </rPh>
    <rPh sb="36" eb="38">
      <t>カンシン</t>
    </rPh>
    <rPh sb="39" eb="40">
      <t>タカ</t>
    </rPh>
    <rPh sb="266" eb="268">
      <t>セツモン</t>
    </rPh>
    <rPh sb="332" eb="334">
      <t>ジョウジュツ</t>
    </rPh>
    <rPh sb="340" eb="342">
      <t>コウハイ</t>
    </rPh>
    <rPh sb="342" eb="343">
      <t>トウ</t>
    </rPh>
    <rPh sb="345" eb="347">
      <t>ジュコウ</t>
    </rPh>
    <rPh sb="348" eb="350">
      <t>スイショウ</t>
    </rPh>
    <rPh sb="354" eb="356">
      <t>ヒョウカ</t>
    </rPh>
    <rPh sb="360" eb="363">
      <t>ジュコウセイ</t>
    </rPh>
    <rPh sb="364" eb="365">
      <t>オオ</t>
    </rPh>
    <rPh sb="367" eb="368">
      <t>カンガ</t>
    </rPh>
    <phoneticPr fontId="1"/>
  </si>
  <si>
    <t>　本教育プログラムは、登録を必須としており、原則として、プログラム登録説明会を実施する７月から、秋学期履修申告を行う９月中旬までを、それぞれの年度の登録期間として設ける。登録者数、登録者の所属内訳などについては、１０月に開催するAI数理データサイエンスプログラム運営委員会において共有し、履修率の達成進捗状況の確認を行う。同運営委員会では、科目を運営する人間力創成教育院、教務支援課、全体を統括するAI数理データサイエンスセンターが連携、協働して、学修をサポートする体制を整えている。</t>
    <rPh sb="1" eb="2">
      <t>ホン</t>
    </rPh>
    <rPh sb="2" eb="4">
      <t>キョウイク</t>
    </rPh>
    <rPh sb="11" eb="13">
      <t>トウロク</t>
    </rPh>
    <rPh sb="14" eb="16">
      <t>ヒッス</t>
    </rPh>
    <rPh sb="22" eb="24">
      <t>ゲンソク</t>
    </rPh>
    <rPh sb="33" eb="35">
      <t>トウロク</t>
    </rPh>
    <rPh sb="35" eb="38">
      <t>セツメイカイ</t>
    </rPh>
    <rPh sb="39" eb="41">
      <t>ジッシ</t>
    </rPh>
    <rPh sb="44" eb="45">
      <t>ガツ</t>
    </rPh>
    <rPh sb="48" eb="51">
      <t>アキガッキ</t>
    </rPh>
    <rPh sb="51" eb="53">
      <t>リシュウ</t>
    </rPh>
    <rPh sb="53" eb="55">
      <t>シンコク</t>
    </rPh>
    <rPh sb="56" eb="57">
      <t>オコナ</t>
    </rPh>
    <rPh sb="59" eb="60">
      <t>ガツ</t>
    </rPh>
    <rPh sb="60" eb="62">
      <t>チュウジュン</t>
    </rPh>
    <rPh sb="71" eb="73">
      <t>ネンド</t>
    </rPh>
    <rPh sb="74" eb="76">
      <t>トウロク</t>
    </rPh>
    <rPh sb="76" eb="78">
      <t>キカン</t>
    </rPh>
    <rPh sb="81" eb="82">
      <t>モウ</t>
    </rPh>
    <rPh sb="85" eb="87">
      <t>トウロク</t>
    </rPh>
    <rPh sb="87" eb="88">
      <t>シャ</t>
    </rPh>
    <rPh sb="88" eb="89">
      <t>スウ</t>
    </rPh>
    <rPh sb="90" eb="92">
      <t>トウロク</t>
    </rPh>
    <rPh sb="92" eb="93">
      <t>シャ</t>
    </rPh>
    <rPh sb="94" eb="96">
      <t>ショゾク</t>
    </rPh>
    <rPh sb="96" eb="98">
      <t>ウチワケ</t>
    </rPh>
    <rPh sb="108" eb="109">
      <t>ガツ</t>
    </rPh>
    <rPh sb="110" eb="112">
      <t>カイサイ</t>
    </rPh>
    <rPh sb="116" eb="118">
      <t>スウリ</t>
    </rPh>
    <rPh sb="131" eb="133">
      <t>ウンエイ</t>
    </rPh>
    <rPh sb="133" eb="136">
      <t>イインカイ</t>
    </rPh>
    <rPh sb="140" eb="142">
      <t>キョウユウ</t>
    </rPh>
    <rPh sb="144" eb="146">
      <t>リシュウ</t>
    </rPh>
    <rPh sb="146" eb="147">
      <t>リツ</t>
    </rPh>
    <rPh sb="148" eb="150">
      <t>タッセイ</t>
    </rPh>
    <rPh sb="150" eb="154">
      <t>シンチョクジョウキョウ</t>
    </rPh>
    <rPh sb="155" eb="157">
      <t>カクニン</t>
    </rPh>
    <rPh sb="158" eb="159">
      <t>オコナ</t>
    </rPh>
    <rPh sb="161" eb="162">
      <t>ドウ</t>
    </rPh>
    <rPh sb="162" eb="164">
      <t>ウンエイ</t>
    </rPh>
    <rPh sb="164" eb="167">
      <t>イインカイ</t>
    </rPh>
    <rPh sb="170" eb="172">
      <t>カモク</t>
    </rPh>
    <rPh sb="173" eb="175">
      <t>ウンエイ</t>
    </rPh>
    <rPh sb="177" eb="180">
      <t>ニンゲンリョク</t>
    </rPh>
    <rPh sb="180" eb="182">
      <t>ソウセイ</t>
    </rPh>
    <rPh sb="182" eb="184">
      <t>キョウイク</t>
    </rPh>
    <rPh sb="184" eb="185">
      <t>イン</t>
    </rPh>
    <rPh sb="186" eb="188">
      <t>キョウム</t>
    </rPh>
    <rPh sb="188" eb="190">
      <t>シエン</t>
    </rPh>
    <rPh sb="190" eb="191">
      <t>カ</t>
    </rPh>
    <rPh sb="192" eb="194">
      <t>ゼンタイ</t>
    </rPh>
    <rPh sb="195" eb="197">
      <t>トウカツ</t>
    </rPh>
    <rPh sb="201" eb="203">
      <t>スウリ</t>
    </rPh>
    <rPh sb="216" eb="218">
      <t>レンケイ</t>
    </rPh>
    <rPh sb="219" eb="221">
      <t>キョウドウ</t>
    </rPh>
    <rPh sb="224" eb="226">
      <t>ガクシュウ</t>
    </rPh>
    <rPh sb="233" eb="235">
      <t>タイセイ</t>
    </rPh>
    <rPh sb="236" eb="237">
      <t>トトノリシュウリツコウジョウホウサクドウイインカイサクテイ</t>
    </rPh>
    <phoneticPr fontId="1"/>
  </si>
  <si>
    <t xml:space="preserve">  本教育プログラムでは、座学による抽象的な数学だけではなく、社会や大学において使われる実践的な例題を多く取り入れ、自分が学んだことが実際に役に立つことが理解できるような講義を行っている。また教科書以外にExcelや各種アプリケーション、Web教材なども利用して多面的に学習できるように工夫している。例えば
・Excelによる実践的な統計・データ処理
・GoogleTrendによる特定検索キーワードの時間的変化と、そのときの社会情勢の比較
・国土交通省による地理情報システムGISを利用した解析
・画像処理ソフトGIMPを利用した画像データ解析
・Google Cloud VISION AIによるAIを用いた写真の内容の解析
・プログラミング言語Pythonを用いた高度なデータ解析
などを用いた講義を行い、学生が自分で実際に操作をすることで、最先端のAIとデータサイエンスについての興味と理解を深める。</t>
    <rPh sb="2" eb="3">
      <t>ホン</t>
    </rPh>
    <rPh sb="3" eb="5">
      <t>キョウイク</t>
    </rPh>
    <rPh sb="400" eb="401">
      <t>フカ</t>
    </rPh>
    <phoneticPr fontId="1"/>
  </si>
  <si>
    <t>　本教育プログラム科目では、学修の際に数理的基礎知識を要する単元がある。そのため、数学基礎科目の学修が、学生の本プログラム構成科目の理解度向上に繋がる。従って、それら数学基礎科目と、本教育プログラム科目での学修内容が、有機的に繋がるかを運営委員会で確認する。
　具体的には、本教育プログラムを構成する科目の一部担当教員は、学部低学年に対して開講している数学基礎科目も担当しているので、それらの教員および必要に応じて他の教員からの意見を取り入れ、科目の理解度向上を目指している。また、学生による授業評価アンケートから学生の理解度を把握し、授業改善に繋げていく。</t>
    <phoneticPr fontId="1"/>
  </si>
  <si>
    <t>中部大学</t>
  </si>
  <si>
    <r>
      <t>・ビッグデータ、IoT、AI、ロボット</t>
    </r>
    <r>
      <rPr>
        <sz val="12"/>
        <rFont val="ＭＳ Ｐゴシック"/>
        <family val="3"/>
        <charset val="128"/>
      </rPr>
      <t>：「問題解決のための統計学入門」（1回目）、「情報スキル入門」（15回目）、「情報スキル活用」（13回目）</t>
    </r>
    <r>
      <rPr>
        <sz val="12"/>
        <rFont val="ＭＳ Ｐゴシック"/>
        <family val="3"/>
        <charset val="128"/>
        <scheme val="minor"/>
      </rPr>
      <t xml:space="preserve">
・データ量の増加、計算機の処理性能の向上、AIの非連続的進化</t>
    </r>
    <r>
      <rPr>
        <sz val="12"/>
        <rFont val="ＭＳ Ｐゴシック"/>
        <family val="3"/>
        <charset val="128"/>
      </rPr>
      <t>：「問題解決のための統計学入門」（1回目）、「情報スキル入門」（15回目）、「</t>
    </r>
    <r>
      <rPr>
        <sz val="12"/>
        <rFont val="ＭＳ Ｐゴシック"/>
        <family val="3"/>
        <charset val="128"/>
        <scheme val="minor"/>
      </rPr>
      <t>情報スキル活用」（11回目）
・第4次産業革命、Society 5.0、データ駆動型社会</t>
    </r>
    <r>
      <rPr>
        <sz val="12"/>
        <rFont val="ＭＳ Ｐゴシック"/>
        <family val="3"/>
        <charset val="128"/>
      </rPr>
      <t>：「問題解決のための統計学入門」（1回目）、「情報スキル入門」（15回目）、「情報スキル活用」（11回目）</t>
    </r>
    <r>
      <rPr>
        <sz val="12"/>
        <rFont val="ＭＳ Ｐゴシック"/>
        <family val="3"/>
        <charset val="128"/>
        <scheme val="minor"/>
      </rPr>
      <t xml:space="preserve">
・複数技術を組み合わせたAIサービス</t>
    </r>
    <r>
      <rPr>
        <sz val="12"/>
        <rFont val="ＭＳ Ｐゴシック"/>
        <family val="3"/>
        <charset val="128"/>
      </rPr>
      <t>：「問題解決のための統計学入門」（1回目）、「情報スキル入門」（15回目），「情報スキル活用」（13回目）</t>
    </r>
    <r>
      <rPr>
        <sz val="12"/>
        <rFont val="ＭＳ Ｐゴシック"/>
        <family val="3"/>
        <charset val="128"/>
        <scheme val="minor"/>
      </rPr>
      <t xml:space="preserve">
・人間の知的活動とAIの関係性</t>
    </r>
    <r>
      <rPr>
        <sz val="12"/>
        <rFont val="ＭＳ Ｐゴシック"/>
        <family val="3"/>
        <charset val="128"/>
      </rPr>
      <t>：「問題解決のための統計学入門」（1回目）、「情報スキル入門」（15回目）、「情報スキル活用」（14回目）</t>
    </r>
    <r>
      <rPr>
        <sz val="12"/>
        <rFont val="ＭＳ Ｐゴシック"/>
        <family val="3"/>
        <charset val="128"/>
        <scheme val="minor"/>
      </rPr>
      <t xml:space="preserve">
・データを起点としたものの見方、人間の知的活動を起点としたものの見方</t>
    </r>
    <r>
      <rPr>
        <sz val="12"/>
        <rFont val="ＭＳ Ｐゴシック"/>
        <family val="3"/>
        <charset val="128"/>
      </rPr>
      <t>：「問題解決のための統計学入門」（1回目）、「情報スキル入門」（15回目）、「情報スキル活用」（11回目）</t>
    </r>
    <rPh sb="74" eb="76">
      <t>ジョウホウ</t>
    </rPh>
    <rPh sb="79" eb="81">
      <t>カツヨウ</t>
    </rPh>
    <rPh sb="85" eb="87">
      <t>カイメ</t>
    </rPh>
    <phoneticPr fontId="1"/>
  </si>
  <si>
    <t>・情報セキュリティ：機密性、完全性、可用性：「問題解決のための統計学入門」(15回目)
・匿名加工情報、暗号化、パスワード、悪意ある情報搾取：「問題解決のための統計学入門」(15回目)、「情報スキル入門」（4回目）、「情報スキル活用」（14回目）
・情報漏洩等によるセキュリティ事故の事例紹介：「問題解決のための統計学入門」(15回目)、「情報スキル入門」（4回目）</t>
    <rPh sb="1" eb="3">
      <t>ジョウホウ</t>
    </rPh>
    <rPh sb="14" eb="16">
      <t>カンゼン</t>
    </rPh>
    <rPh sb="16" eb="17">
      <t>セイ</t>
    </rPh>
    <rPh sb="18" eb="19">
      <t>カ</t>
    </rPh>
    <rPh sb="19" eb="20">
      <t>ヨウ</t>
    </rPh>
    <rPh sb="20" eb="21">
      <t>セイ</t>
    </rPh>
    <rPh sb="24" eb="30">
      <t>トクメイカコウジョウホウ</t>
    </rPh>
    <rPh sb="31" eb="34">
      <t>アンゴウカ</t>
    </rPh>
    <rPh sb="41" eb="43">
      <t>アクイ</t>
    </rPh>
    <rPh sb="45" eb="47">
      <t>ジョウホウ</t>
    </rPh>
    <rPh sb="47" eb="49">
      <t>サクシュ</t>
    </rPh>
    <rPh sb="52" eb="54">
      <t>ジョウホウ</t>
    </rPh>
    <rPh sb="54" eb="57">
      <t>ロウエイトウ</t>
    </rPh>
    <rPh sb="66" eb="68">
      <t>ジコ</t>
    </rPh>
    <rPh sb="69" eb="71">
      <t>ジレイ</t>
    </rPh>
    <rPh sb="71" eb="73">
      <t>ショウカイ</t>
    </rPh>
    <rPh sb="94" eb="96">
      <t>ジョウホウ</t>
    </rPh>
    <rPh sb="99" eb="101">
      <t>ニュウモン</t>
    </rPh>
    <rPh sb="104" eb="105">
      <t>カイ</t>
    </rPh>
    <rPh sb="105" eb="106">
      <t>メ</t>
    </rPh>
    <rPh sb="109" eb="111">
      <t>ジョウホウ</t>
    </rPh>
    <rPh sb="114" eb="116">
      <t>カツヨウ</t>
    </rPh>
    <rPh sb="120" eb="122">
      <t>カイメ</t>
    </rPh>
    <rPh sb="170" eb="172">
      <t>ジョウホウ</t>
    </rPh>
    <rPh sb="175" eb="177">
      <t>ニュウモン</t>
    </rPh>
    <rPh sb="180" eb="182">
      <t>カイメ</t>
    </rPh>
    <phoneticPr fontId="1"/>
  </si>
  <si>
    <r>
      <t>・データ解析：予測、グルーピング、パターン発見、最適化、シミュレーション・データ同化など：「問題解決のための統計学入門」（3回目）
・データ可視化：複合グラフ、2軸グラフ、多次元の可視化、関係性の可視化、地図上の可視化、
挙動・軌跡の可視化、リアルタイム可視化など</t>
    </r>
    <r>
      <rPr>
        <sz val="12"/>
        <rFont val="ＭＳ Ｐゴシック"/>
        <family val="3"/>
        <charset val="128"/>
      </rPr>
      <t>：「問題解決のための統計学入門」（4回目）、「情報スキル入門」（12回目）、「情報スキル活用」（11回目）</t>
    </r>
    <r>
      <rPr>
        <sz val="12"/>
        <rFont val="ＭＳ Ｐゴシック"/>
        <family val="3"/>
        <charset val="128"/>
        <scheme val="minor"/>
      </rPr>
      <t xml:space="preserve">
・非構造化データ処理：言語処理、画像/動画処理、音声/音楽処理など</t>
    </r>
    <r>
      <rPr>
        <sz val="12"/>
        <rFont val="ＭＳ Ｐゴシック"/>
        <family val="3"/>
        <charset val="128"/>
      </rPr>
      <t>：「情報スキル活用」（13回目）</t>
    </r>
    <r>
      <rPr>
        <sz val="12"/>
        <rFont val="ＭＳ Ｐゴシック"/>
        <family val="3"/>
        <charset val="128"/>
        <scheme val="minor"/>
      </rPr>
      <t xml:space="preserve">
・特化型AIと汎用AI、今のAIで出来ることと出来ないこと、AIとビッグデータ</t>
    </r>
    <r>
      <rPr>
        <sz val="12"/>
        <rFont val="ＭＳ Ｐゴシック"/>
        <family val="3"/>
        <charset val="128"/>
      </rPr>
      <t>：「問題解決のための統計学入門」（4回目）、「情報スキル入門」（15回目）、「情報スキル活用」（14回目）</t>
    </r>
    <r>
      <rPr>
        <sz val="12"/>
        <rFont val="ＭＳ Ｐゴシック"/>
        <family val="3"/>
        <charset val="128"/>
        <scheme val="minor"/>
      </rPr>
      <t xml:space="preserve">
・認識技術、ルールベース、自動化技術：「問題解決のための統計学入門」（4回目）</t>
    </r>
    <phoneticPr fontId="1"/>
  </si>
  <si>
    <t>・ELSI（Ethical, Legal and Social Issues）：「問題解決のための統計学入門」(14回目)、「情報スキル活用」（14回目）
・個人情報保護、EU一般データ保護規則（GDPR)、忘れられる権利、オプトアウト：「問題解決のための統計学入門」(14回目)、「情報スキル入門」（4回目）、「情報スキル活用」（14回目）
・データ倫理：データのねつ造、改ざん、盗用、プライバシー保護：「問題解決のための統計学入門」(14回目)、「情報スキル入門」（4、5回目）、「情報スキル活用」（14回目）
・AI社会原則（公平性、説明責任、透明性、人間中心の判断）：「問題解決のための統計学入門」(14回目)、「情報スキル活用」（14回目）
・データバイアス、アルゴリズムバイアス：「問題解決のための統計学入門」(14回目)、「情報スキル活用」（14回目）
・AIサービスの責任論：「問題解決のための統計学入門」(14回目)、「情報スキル活用」（14回目）
・データ・AI活用における負の事例紹介：「問題解決のための統計学入門」(14回目)、「情報スキル活用」（14回目）</t>
    <rPh sb="41" eb="43">
      <t>モンダイ</t>
    </rPh>
    <rPh sb="43" eb="45">
      <t>カイケテゥ</t>
    </rPh>
    <rPh sb="49" eb="54">
      <t>トウケイ</t>
    </rPh>
    <rPh sb="58" eb="60">
      <t>カイ</t>
    </rPh>
    <rPh sb="63" eb="65">
      <t>ジョウホウ</t>
    </rPh>
    <rPh sb="68" eb="70">
      <t>カツヨウ</t>
    </rPh>
    <rPh sb="74" eb="76">
      <t>カイメ</t>
    </rPh>
    <rPh sb="79" eb="83">
      <t>コジンジョウホウ</t>
    </rPh>
    <rPh sb="83" eb="85">
      <t>ホゴ</t>
    </rPh>
    <rPh sb="88" eb="90">
      <t>イッパン</t>
    </rPh>
    <rPh sb="93" eb="95">
      <t>ホゴ</t>
    </rPh>
    <rPh sb="95" eb="97">
      <t>キソク</t>
    </rPh>
    <rPh sb="104" eb="105">
      <t>ワス</t>
    </rPh>
    <rPh sb="109" eb="111">
      <t>ケンリ</t>
    </rPh>
    <rPh sb="126" eb="127">
      <t>ゾウ</t>
    </rPh>
    <rPh sb="128" eb="129">
      <t>カイ</t>
    </rPh>
    <rPh sb="132" eb="134">
      <t>トウヨウ</t>
    </rPh>
    <rPh sb="142" eb="144">
      <t>ジョウホウ</t>
    </rPh>
    <rPh sb="147" eb="149">
      <t>ニュウモン</t>
    </rPh>
    <rPh sb="152" eb="154">
      <t>カイメ</t>
    </rPh>
    <rPh sb="157" eb="159">
      <t>ジョウホウ</t>
    </rPh>
    <rPh sb="162" eb="164">
      <t>カツヨウ</t>
    </rPh>
    <rPh sb="168" eb="170">
      <t>カイメ</t>
    </rPh>
    <rPh sb="172" eb="174">
      <t>ホゴ</t>
    </rPh>
    <rPh sb="179" eb="181">
      <t>シャカイ</t>
    </rPh>
    <rPh sb="181" eb="183">
      <t>ゲンソク</t>
    </rPh>
    <rPh sb="184" eb="187">
      <t>コウヘイセイ</t>
    </rPh>
    <rPh sb="188" eb="190">
      <t>セツメイ</t>
    </rPh>
    <rPh sb="190" eb="192">
      <t>セキニン</t>
    </rPh>
    <rPh sb="193" eb="196">
      <t>トウメイセイ</t>
    </rPh>
    <rPh sb="197" eb="199">
      <t>ニンゲン</t>
    </rPh>
    <rPh sb="199" eb="201">
      <t>チュウシン</t>
    </rPh>
    <rPh sb="202" eb="204">
      <t>ハンダン</t>
    </rPh>
    <rPh sb="226" eb="228">
      <t>ジョウホウ</t>
    </rPh>
    <rPh sb="231" eb="233">
      <t>ニュウモン</t>
    </rPh>
    <rPh sb="238" eb="239">
      <t>カイ</t>
    </rPh>
    <rPh sb="239" eb="240">
      <t>メ</t>
    </rPh>
    <rPh sb="243" eb="245">
      <t>ジョウホウ</t>
    </rPh>
    <rPh sb="248" eb="250">
      <t>カツヨウ</t>
    </rPh>
    <rPh sb="254" eb="256">
      <t>カイメ</t>
    </rPh>
    <rPh sb="269" eb="272">
      <t>セキニンロン</t>
    </rPh>
    <rPh sb="281" eb="283">
      <t>カツヨウ</t>
    </rPh>
    <rPh sb="287" eb="288">
      <t>フ</t>
    </rPh>
    <rPh sb="289" eb="293">
      <t>ジレイショウカイ</t>
    </rPh>
    <rPh sb="311" eb="313">
      <t>ジョウホウ</t>
    </rPh>
    <rPh sb="316" eb="318">
      <t>カツヨウ</t>
    </rPh>
    <rPh sb="322" eb="324">
      <t>カイメ</t>
    </rPh>
    <phoneticPr fontId="1"/>
  </si>
  <si>
    <r>
      <t>・データの種類（量的変数、質的変数）</t>
    </r>
    <r>
      <rPr>
        <sz val="12"/>
        <rFont val="ＭＳ Ｐゴシック"/>
        <family val="3"/>
        <charset val="128"/>
      </rPr>
      <t>：「問題解決のための統計学入門」（7回目）、「情報スキル活用」（12回目）</t>
    </r>
    <r>
      <rPr>
        <sz val="12"/>
        <rFont val="ＭＳ Ｐゴシック"/>
        <family val="3"/>
        <charset val="128"/>
        <scheme val="minor"/>
      </rPr>
      <t xml:space="preserve">
・データの分布(ヒストグラム)と代表値（平均値、中央値、最頻値）</t>
    </r>
    <r>
      <rPr>
        <sz val="12"/>
        <rFont val="ＭＳ Ｐゴシック"/>
        <family val="3"/>
        <charset val="128"/>
      </rPr>
      <t>：「問題解決のための統計学入門」（7回目）、「情報スキル活用」（12回目）</t>
    </r>
    <r>
      <rPr>
        <sz val="12"/>
        <rFont val="ＭＳ Ｐゴシック"/>
        <family val="3"/>
        <charset val="128"/>
        <scheme val="minor"/>
      </rPr>
      <t xml:space="preserve">
・代表値の性質の違い（実社会では平均値＝最頻値でないことが多い）：「問題解決のための統計学入門」（7回目）
・データのばらつき（分散、標準偏差、偏差値）</t>
    </r>
    <r>
      <rPr>
        <sz val="12"/>
        <rFont val="ＭＳ Ｐゴシック"/>
        <family val="3"/>
        <charset val="128"/>
      </rPr>
      <t>：「問題解決のための統計学入門」（7回目）、「情報スキル入門」（13回目）、「情報スキル活用」（11回目）</t>
    </r>
    <r>
      <rPr>
        <sz val="12"/>
        <rFont val="ＭＳ Ｐゴシック"/>
        <family val="3"/>
        <charset val="128"/>
        <scheme val="minor"/>
      </rPr>
      <t xml:space="preserve">
・観測データに含まれる誤差の扱い：「問題解決のための統計学入門」（7回目）
・打ち切りや脱落を含むデータ、層別の必要なデータ：「問題解決のための統計学入門」（7回目）
・相関と因果（相関係数、擬似相関、交絡）</t>
    </r>
    <r>
      <rPr>
        <sz val="12"/>
        <rFont val="ＭＳ Ｐゴシック"/>
        <family val="3"/>
        <charset val="128"/>
      </rPr>
      <t xml:space="preserve">：「問題解決のための統計学入門」（8回目）、「情報スキル活用」（11回目）
</t>
    </r>
    <r>
      <rPr>
        <sz val="12"/>
        <rFont val="ＭＳ Ｐゴシック"/>
        <family val="3"/>
        <charset val="128"/>
        <scheme val="minor"/>
      </rPr>
      <t>・母集団と標本抽出（国勢調査、アンケート調査、全数調査、単純無作為抽出、層別抽出、多段抽出）</t>
    </r>
    <r>
      <rPr>
        <sz val="12"/>
        <rFont val="ＭＳ Ｐゴシック"/>
        <family val="3"/>
        <charset val="128"/>
      </rPr>
      <t>：「問題解決のための統計学入門」（8回目）、「情報スキル活用」（12回目）</t>
    </r>
    <r>
      <rPr>
        <sz val="12"/>
        <rFont val="ＭＳ Ｐゴシック"/>
        <family val="3"/>
        <charset val="128"/>
        <scheme val="minor"/>
      </rPr>
      <t xml:space="preserve">
・クロス集計表、分割表、相関係数行列、散布図行列</t>
    </r>
    <r>
      <rPr>
        <sz val="12"/>
        <rFont val="ＭＳ Ｐゴシック"/>
        <family val="3"/>
        <charset val="128"/>
      </rPr>
      <t>：「問題解決のための統計学入門」（8回目）、「情報スキル活用」（11回目）</t>
    </r>
    <r>
      <rPr>
        <sz val="12"/>
        <rFont val="ＭＳ Ｐゴシック"/>
        <family val="3"/>
        <charset val="128"/>
        <scheme val="minor"/>
      </rPr>
      <t xml:space="preserve">
・統計情報の正しい理解（誇張表現に惑わされない）</t>
    </r>
    <r>
      <rPr>
        <sz val="12"/>
        <rFont val="ＭＳ Ｐゴシック"/>
        <family val="3"/>
        <charset val="128"/>
      </rPr>
      <t>：「問題解決のための統計学入門」（8回目）、「情報スキル入門」（15回目）、「情報スキル活用」（14回目）</t>
    </r>
    <phoneticPr fontId="1"/>
  </si>
  <si>
    <r>
      <t>・データ表現（棒グラフ、折線グラフ、散布図、ヒートマップ）</t>
    </r>
    <r>
      <rPr>
        <sz val="12"/>
        <rFont val="ＭＳ Ｐゴシック"/>
        <family val="3"/>
        <charset val="128"/>
      </rPr>
      <t>：「問題解決のための統計学入門」（9、12、13回目）、「情報スキル入門」（12回目）、「情報スキル活用」（11回目）</t>
    </r>
    <r>
      <rPr>
        <sz val="12"/>
        <rFont val="ＭＳ Ｐゴシック"/>
        <family val="3"/>
        <charset val="128"/>
        <scheme val="minor"/>
      </rPr>
      <t xml:space="preserve">
・データの図表表現（チャート化）</t>
    </r>
    <r>
      <rPr>
        <sz val="12"/>
        <rFont val="ＭＳ Ｐゴシック"/>
        <family val="3"/>
        <charset val="128"/>
      </rPr>
      <t>：「問題解決のための統計学入門」（9回目）、「情報スキル入門」（12回目）、「情報スキル活用」（11回目）</t>
    </r>
    <r>
      <rPr>
        <sz val="12"/>
        <rFont val="ＭＳ Ｐゴシック"/>
        <family val="3"/>
        <charset val="128"/>
        <scheme val="minor"/>
      </rPr>
      <t xml:space="preserve">
・データの比較（条件をそろえた比較、処理の前後での比較、A/Bテスト)</t>
    </r>
    <r>
      <rPr>
        <sz val="12"/>
        <rFont val="ＭＳ Ｐゴシック"/>
        <family val="3"/>
        <charset val="128"/>
      </rPr>
      <t xml:space="preserve">：「問題解決のための統計学入門」（9回目）、「情報スキル活用」（11回目）
</t>
    </r>
    <r>
      <rPr>
        <sz val="12"/>
        <rFont val="ＭＳ Ｐゴシック"/>
        <family val="3"/>
        <charset val="128"/>
        <scheme val="minor"/>
      </rPr>
      <t>・不適切なグラフ表現（チャートジャンク、不必要な視覚的要素）：「問題解決のための統計学入門」（9回目）
・優れた可視化事例の紹介（可視化することによって新たな気づきがあった事例など）</t>
    </r>
    <r>
      <rPr>
        <sz val="12"/>
        <rFont val="ＭＳ Ｐゴシック"/>
        <family val="3"/>
        <charset val="128"/>
      </rPr>
      <t>：「問題解決のための統計学入門」（9回目）、「情報スキル活用」（11回目）</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</si>
</sst>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Down="1">
      <left style="dotted">
        <color auto="1"/>
      </left>
      <right/>
      <top style="thin">
        <color auto="1"/>
      </top>
      <bottom/>
      <diagonal style="hair">
        <color auto="1"/>
      </diagonal>
    </border>
    <border diagonalDown="1">
      <left style="hair">
        <color auto="1"/>
      </left>
      <right style="thin">
        <color auto="1"/>
      </right>
      <top style="thin">
        <color auto="1"/>
      </top>
      <bottom/>
      <diagonal style="hair">
        <color auto="1"/>
      </diagonal>
    </border>
    <border diagonalDown="1">
      <left style="dotted">
        <color auto="1"/>
      </left>
      <right/>
      <top style="hair">
        <color auto="1"/>
      </top>
      <bottom style="hair">
        <color auto="1"/>
      </bottom>
      <diagonal style="hair">
        <color auto="1"/>
      </diagonal>
    </border>
    <border diagonalDown="1">
      <left style="hair">
        <color auto="1"/>
      </left>
      <right style="thin">
        <color auto="1"/>
      </right>
      <top style="hair">
        <color auto="1"/>
      </top>
      <bottom style="hair">
        <color auto="1"/>
      </bottom>
      <diagonal style="hair">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38" fontId="2" fillId="0" borderId="60"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0" fontId="2" fillId="0" borderId="1" xfId="0" applyFont="1" applyBorder="1" applyAlignment="1">
      <alignment horizontal="left" vertical="center" shrinkToFit="1"/>
    </xf>
    <xf numFmtId="0" fontId="2" fillId="0" borderId="15" xfId="0" applyFont="1" applyBorder="1" applyAlignment="1">
      <alignment horizontal="center" vertical="center" shrinkToFit="1"/>
    </xf>
    <xf numFmtId="0" fontId="2" fillId="0" borderId="59" xfId="0" applyFont="1" applyBorder="1" applyAlignment="1">
      <alignment horizontal="center" vertical="center" shrinkToFit="1"/>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15" xfId="0" applyFont="1" applyBorder="1" applyAlignment="1">
      <alignment horizontal="center" vertical="center" shrinkToFit="1"/>
    </xf>
    <xf numFmtId="0" fontId="11" fillId="0" borderId="22" xfId="0" applyFont="1" applyBorder="1" applyAlignment="1">
      <alignment horizontal="center" vertical="center" shrinkToFit="1"/>
    </xf>
    <xf numFmtId="49" fontId="12" fillId="0" borderId="47" xfId="0" applyNumberFormat="1" applyFont="1" applyBorder="1" applyAlignment="1">
      <alignment horizontal="center" vertical="center"/>
    </xf>
    <xf numFmtId="49" fontId="12" fillId="0" borderId="48" xfId="0" applyNumberFormat="1" applyFont="1" applyBorder="1" applyAlignment="1">
      <alignment horizontal="center" vertical="center"/>
    </xf>
    <xf numFmtId="49" fontId="12" fillId="0" borderId="43" xfId="0" applyNumberFormat="1" applyFont="1" applyBorder="1" applyAlignment="1">
      <alignment horizontal="center" vertical="center"/>
    </xf>
    <xf numFmtId="49" fontId="12" fillId="0" borderId="28" xfId="0" applyNumberFormat="1" applyFont="1" applyBorder="1" applyAlignment="1">
      <alignment horizontal="center" vertical="center"/>
    </xf>
    <xf numFmtId="49" fontId="12" fillId="0" borderId="46" xfId="0" applyNumberFormat="1" applyFont="1" applyBorder="1" applyAlignment="1">
      <alignment horizontal="center" vertical="center"/>
    </xf>
    <xf numFmtId="49" fontId="12" fillId="0" borderId="31" xfId="0" applyNumberFormat="1" applyFont="1" applyBorder="1" applyAlignment="1">
      <alignment horizontal="center" vertical="center"/>
    </xf>
    <xf numFmtId="0" fontId="11" fillId="0" borderId="0" xfId="0" applyFont="1">
      <alignment vertical="center"/>
    </xf>
    <xf numFmtId="38" fontId="2" fillId="0" borderId="49" xfId="2" applyFont="1" applyFill="1" applyBorder="1" applyAlignment="1">
      <alignment vertical="center" shrinkToFit="1"/>
    </xf>
    <xf numFmtId="38" fontId="2" fillId="0" borderId="22" xfId="2" applyFont="1" applyFill="1" applyBorder="1" applyAlignment="1">
      <alignment vertical="center" shrinkToFit="1"/>
    </xf>
    <xf numFmtId="9" fontId="2" fillId="0" borderId="14"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11"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2" fillId="0" borderId="0" xfId="0" applyFont="1" applyAlignment="1">
      <alignment vertical="center" wrapText="1"/>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18" xfId="0" applyFont="1" applyBorder="1" applyAlignment="1">
      <alignment horizontal="left"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11" fillId="0" borderId="33" xfId="0" applyFont="1" applyBorder="1" applyAlignment="1">
      <alignment vertical="center" shrinkToFit="1"/>
    </xf>
    <xf numFmtId="0" fontId="11" fillId="0" borderId="35" xfId="0" applyFont="1" applyBorder="1" applyAlignment="1">
      <alignment vertical="center" shrinkToFit="1"/>
    </xf>
    <xf numFmtId="0" fontId="11" fillId="0" borderId="34"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36" xfId="0" applyFont="1" applyBorder="1" applyAlignment="1">
      <alignment horizontal="left" vertical="center" wrapText="1" shrinkToFit="1"/>
    </xf>
    <xf numFmtId="0" fontId="11" fillId="0" borderId="37"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33" xfId="0" applyFont="1" applyBorder="1" applyAlignment="1">
      <alignment horizontal="left" vertical="center" wrapText="1" shrinkToFit="1"/>
    </xf>
    <xf numFmtId="0" fontId="11" fillId="0" borderId="35" xfId="0" applyFont="1" applyBorder="1" applyAlignment="1">
      <alignment horizontal="left" vertical="center" shrinkToFit="1"/>
    </xf>
    <xf numFmtId="0" fontId="11" fillId="0" borderId="34" xfId="0" applyFont="1" applyBorder="1" applyAlignment="1">
      <alignment horizontal="left" vertical="center" shrinkToFit="1"/>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19" xfId="0" applyFont="1" applyBorder="1" applyAlignment="1">
      <alignment vertical="center" wrapText="1" shrinkToFit="1"/>
    </xf>
    <xf numFmtId="0" fontId="12" fillId="0" borderId="44" xfId="0" applyFont="1" applyBorder="1" applyAlignment="1">
      <alignment vertical="center" wrapText="1"/>
    </xf>
    <xf numFmtId="0" fontId="12" fillId="0" borderId="30" xfId="0" applyFont="1" applyBorder="1" applyAlignment="1">
      <alignment vertical="center" wrapText="1"/>
    </xf>
    <xf numFmtId="0" fontId="12" fillId="0" borderId="45" xfId="0" applyFont="1" applyBorder="1" applyAlignment="1">
      <alignment vertical="center" wrapText="1"/>
    </xf>
    <xf numFmtId="0" fontId="11" fillId="0" borderId="33" xfId="0" applyFont="1" applyBorder="1" applyAlignment="1">
      <alignment vertical="center" wrapText="1" shrinkToFit="1"/>
    </xf>
    <xf numFmtId="0" fontId="11" fillId="0" borderId="36" xfId="0" applyFont="1" applyBorder="1" applyAlignment="1">
      <alignmen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11" fillId="0" borderId="3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11" fillId="0" borderId="0" xfId="0" applyFont="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3"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12" fillId="0" borderId="47" xfId="0" applyNumberFormat="1" applyFont="1" applyFill="1" applyBorder="1" applyAlignment="1">
      <alignment horizontal="center" vertical="center"/>
    </xf>
    <xf numFmtId="0" fontId="11" fillId="0" borderId="35" xfId="0" applyFont="1" applyFill="1" applyBorder="1" applyAlignment="1">
      <alignment horizontal="left" vertical="center" wrapText="1"/>
    </xf>
    <xf numFmtId="0" fontId="11" fillId="0" borderId="34" xfId="0" applyFont="1" applyFill="1" applyBorder="1" applyAlignment="1">
      <alignment horizontal="left" vertical="center" wrapText="1"/>
    </xf>
    <xf numFmtId="0" fontId="13" fillId="0" borderId="33" xfId="0" applyFont="1" applyFill="1" applyBorder="1" applyAlignment="1">
      <alignment horizontal="left" vertical="center" wrapText="1"/>
    </xf>
    <xf numFmtId="49" fontId="12" fillId="0" borderId="28" xfId="0" applyNumberFormat="1" applyFont="1" applyFill="1" applyBorder="1" applyAlignment="1">
      <alignment horizontal="center" vertical="center"/>
    </xf>
    <xf numFmtId="0" fontId="11" fillId="0" borderId="37" xfId="0" applyFont="1" applyFill="1" applyBorder="1" applyAlignment="1">
      <alignment horizontal="left" vertical="center" wrapText="1"/>
    </xf>
    <xf numFmtId="0" fontId="11" fillId="0" borderId="38" xfId="0" applyFont="1" applyFill="1" applyBorder="1" applyAlignment="1">
      <alignment horizontal="left" vertical="center" wrapText="1"/>
    </xf>
    <xf numFmtId="0" fontId="11" fillId="0" borderId="36" xfId="0" applyFont="1" applyFill="1" applyBorder="1" applyAlignment="1">
      <alignment horizontal="left" vertical="center" wrapTex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00"/>
  <sheetViews>
    <sheetView showZeros="0" tabSelected="1" topLeftCell="A88" zoomScaleNormal="100" zoomScaleSheetLayoutView="70" workbookViewId="0">
      <selection activeCell="D89" sqref="D89:S8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7" t="s">
        <v>12</v>
      </c>
      <c r="S1" s="127"/>
      <c r="T1" s="2" t="s">
        <v>110</v>
      </c>
    </row>
    <row r="2" spans="1:22" ht="18.75" customHeight="1" x14ac:dyDescent="0.15">
      <c r="B2" s="27" t="s">
        <v>109</v>
      </c>
      <c r="C2" s="102" t="s">
        <v>128</v>
      </c>
      <c r="D2" s="103"/>
      <c r="E2" s="103"/>
      <c r="F2" s="103"/>
      <c r="G2" s="103"/>
      <c r="H2" s="103"/>
      <c r="I2" s="104"/>
      <c r="J2" s="28"/>
      <c r="K2" s="6"/>
      <c r="L2" s="6"/>
      <c r="M2" s="6"/>
      <c r="N2" s="6"/>
      <c r="O2" s="6"/>
      <c r="P2" s="6"/>
      <c r="Q2" s="6"/>
      <c r="R2" s="6"/>
      <c r="S2" s="6"/>
    </row>
    <row r="3" spans="1:22" ht="18.75" customHeight="1" x14ac:dyDescent="0.15">
      <c r="B3" s="27" t="s">
        <v>103</v>
      </c>
      <c r="C3" s="131" t="s">
        <v>129</v>
      </c>
      <c r="D3" s="132"/>
      <c r="E3" s="132"/>
      <c r="F3" s="132"/>
      <c r="G3" s="132"/>
      <c r="H3" s="132"/>
      <c r="I3" s="133"/>
      <c r="J3" s="28"/>
      <c r="K3" s="6"/>
      <c r="L3" s="6"/>
      <c r="M3" s="6"/>
      <c r="N3" s="6"/>
      <c r="O3" s="6"/>
      <c r="P3" s="6"/>
      <c r="Q3" s="6"/>
      <c r="R3" s="6"/>
      <c r="S3" s="6"/>
    </row>
    <row r="4" spans="1:22" ht="15" customHeight="1" x14ac:dyDescent="0.15">
      <c r="K4" s="28"/>
      <c r="L4" s="30"/>
      <c r="M4" s="30"/>
      <c r="N4" s="30"/>
      <c r="O4" s="30"/>
      <c r="P4" s="30"/>
      <c r="Q4" s="30"/>
      <c r="R4" s="30"/>
      <c r="S4" s="30"/>
    </row>
    <row r="5" spans="1:22" ht="18" customHeight="1" x14ac:dyDescent="0.15">
      <c r="A5" s="134" t="s">
        <v>39</v>
      </c>
      <c r="B5" s="134"/>
      <c r="C5" s="134"/>
      <c r="D5" s="134"/>
      <c r="E5" s="134"/>
      <c r="F5" s="134"/>
      <c r="G5" s="134"/>
      <c r="H5" s="134"/>
      <c r="I5" s="134"/>
      <c r="J5" s="134"/>
      <c r="K5" s="134"/>
      <c r="L5" s="134"/>
      <c r="M5" s="134"/>
      <c r="N5" s="134"/>
      <c r="O5" s="134"/>
      <c r="P5" s="134"/>
      <c r="Q5" s="134"/>
      <c r="R5" s="134"/>
      <c r="S5" s="13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1" t="s">
        <v>108</v>
      </c>
      <c r="K7" s="144" t="s">
        <v>130</v>
      </c>
      <c r="L7" s="145"/>
      <c r="M7" s="145"/>
      <c r="N7" s="145"/>
      <c r="O7" s="145"/>
      <c r="P7" s="145"/>
      <c r="Q7" s="145"/>
      <c r="R7" s="145"/>
      <c r="S7" s="14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7"/>
      <c r="C9" s="148"/>
      <c r="D9" s="148"/>
      <c r="E9" s="148"/>
      <c r="F9" s="148"/>
      <c r="G9" s="148"/>
      <c r="H9" s="148"/>
      <c r="I9" s="148"/>
      <c r="J9" s="148"/>
      <c r="K9" s="148"/>
      <c r="L9" s="148"/>
      <c r="M9" s="148"/>
      <c r="N9" s="148"/>
      <c r="O9" s="148"/>
      <c r="P9" s="148"/>
      <c r="Q9" s="148"/>
      <c r="R9" s="148"/>
      <c r="S9" s="149"/>
    </row>
    <row r="10" spans="1:22" ht="18" customHeight="1" x14ac:dyDescent="0.15">
      <c r="B10" s="150"/>
      <c r="C10" s="151"/>
      <c r="D10" s="151"/>
      <c r="E10" s="151"/>
      <c r="F10" s="151"/>
      <c r="G10" s="151"/>
      <c r="H10" s="151"/>
      <c r="I10" s="151"/>
      <c r="J10" s="151"/>
      <c r="K10" s="151"/>
      <c r="L10" s="151"/>
      <c r="M10" s="151"/>
      <c r="N10" s="151"/>
      <c r="O10" s="151"/>
      <c r="P10" s="151"/>
      <c r="Q10" s="151"/>
      <c r="R10" s="151"/>
      <c r="S10" s="15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28"/>
      <c r="E12" s="28"/>
      <c r="F12" s="28"/>
      <c r="G12" s="28"/>
      <c r="H12" s="28"/>
      <c r="I12" s="28"/>
      <c r="J12" s="28"/>
      <c r="K12" s="32"/>
      <c r="L12" s="32"/>
      <c r="M12" s="32"/>
      <c r="N12" s="32"/>
      <c r="O12" s="32"/>
      <c r="P12" s="32"/>
      <c r="Q12" s="32"/>
      <c r="R12" s="32"/>
      <c r="S12" s="32"/>
    </row>
    <row r="13" spans="1:22" ht="18" customHeight="1" x14ac:dyDescent="0.15">
      <c r="B13" s="135" t="s">
        <v>131</v>
      </c>
      <c r="C13" s="136"/>
      <c r="D13" s="136"/>
      <c r="E13" s="136"/>
      <c r="F13" s="136"/>
      <c r="G13" s="136"/>
      <c r="H13" s="136"/>
      <c r="I13" s="136"/>
      <c r="J13" s="136"/>
      <c r="K13" s="136"/>
      <c r="L13" s="136"/>
      <c r="M13" s="136"/>
      <c r="N13" s="136"/>
      <c r="O13" s="136"/>
      <c r="P13" s="136"/>
      <c r="Q13" s="136"/>
      <c r="R13" s="136"/>
      <c r="S13" s="137"/>
      <c r="V13" s="1" t="s">
        <v>104</v>
      </c>
    </row>
    <row r="14" spans="1:22" ht="18" customHeight="1" x14ac:dyDescent="0.15">
      <c r="B14" s="138"/>
      <c r="C14" s="139"/>
      <c r="D14" s="139"/>
      <c r="E14" s="139"/>
      <c r="F14" s="139"/>
      <c r="G14" s="139"/>
      <c r="H14" s="139"/>
      <c r="I14" s="139"/>
      <c r="J14" s="139"/>
      <c r="K14" s="139"/>
      <c r="L14" s="139"/>
      <c r="M14" s="139"/>
      <c r="N14" s="139"/>
      <c r="O14" s="139"/>
      <c r="P14" s="139"/>
      <c r="Q14" s="139"/>
      <c r="R14" s="139"/>
      <c r="S14" s="140"/>
      <c r="V14" s="1" t="s">
        <v>111</v>
      </c>
    </row>
    <row r="15" spans="1:22" ht="18" customHeight="1" x14ac:dyDescent="0.15">
      <c r="B15" s="138"/>
      <c r="C15" s="139"/>
      <c r="D15" s="139"/>
      <c r="E15" s="139"/>
      <c r="F15" s="139"/>
      <c r="G15" s="139"/>
      <c r="H15" s="139"/>
      <c r="I15" s="139"/>
      <c r="J15" s="139"/>
      <c r="K15" s="139"/>
      <c r="L15" s="139"/>
      <c r="M15" s="139"/>
      <c r="N15" s="139"/>
      <c r="O15" s="139"/>
      <c r="P15" s="139"/>
      <c r="Q15" s="139"/>
      <c r="R15" s="139"/>
      <c r="S15" s="140"/>
      <c r="V15" s="1" t="s">
        <v>124</v>
      </c>
    </row>
    <row r="16" spans="1:22" ht="18" customHeight="1" x14ac:dyDescent="0.15">
      <c r="B16" s="138"/>
      <c r="C16" s="139"/>
      <c r="D16" s="139"/>
      <c r="E16" s="139"/>
      <c r="F16" s="139"/>
      <c r="G16" s="139"/>
      <c r="H16" s="139"/>
      <c r="I16" s="139"/>
      <c r="J16" s="139"/>
      <c r="K16" s="139"/>
      <c r="L16" s="139"/>
      <c r="M16" s="139"/>
      <c r="N16" s="139"/>
      <c r="O16" s="139"/>
      <c r="P16" s="139"/>
      <c r="Q16" s="139"/>
      <c r="R16" s="139"/>
      <c r="S16" s="140"/>
      <c r="V16" s="1" t="s">
        <v>126</v>
      </c>
    </row>
    <row r="17" spans="1:19" ht="18" customHeight="1" x14ac:dyDescent="0.15">
      <c r="B17" s="138"/>
      <c r="C17" s="139"/>
      <c r="D17" s="139"/>
      <c r="E17" s="139"/>
      <c r="F17" s="139"/>
      <c r="G17" s="139"/>
      <c r="H17" s="139"/>
      <c r="I17" s="139"/>
      <c r="J17" s="139"/>
      <c r="K17" s="139"/>
      <c r="L17" s="139"/>
      <c r="M17" s="139"/>
      <c r="N17" s="139"/>
      <c r="O17" s="139"/>
      <c r="P17" s="139"/>
      <c r="Q17" s="139"/>
      <c r="R17" s="139"/>
      <c r="S17" s="140"/>
    </row>
    <row r="18" spans="1:19" ht="18" customHeight="1" x14ac:dyDescent="0.15">
      <c r="B18" s="141"/>
      <c r="C18" s="142"/>
      <c r="D18" s="142"/>
      <c r="E18" s="142"/>
      <c r="F18" s="142"/>
      <c r="G18" s="142"/>
      <c r="H18" s="142"/>
      <c r="I18" s="142"/>
      <c r="J18" s="142"/>
      <c r="K18" s="142"/>
      <c r="L18" s="142"/>
      <c r="M18" s="142"/>
      <c r="N18" s="142"/>
      <c r="O18" s="142"/>
      <c r="P18" s="142"/>
      <c r="Q18" s="142"/>
      <c r="R18" s="142"/>
      <c r="S18" s="143"/>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102">
        <v>6</v>
      </c>
      <c r="D20" s="104"/>
      <c r="E20" s="33" t="s">
        <v>96</v>
      </c>
      <c r="G20" s="10"/>
      <c r="H20" s="3"/>
      <c r="I20" s="3"/>
      <c r="J20" s="28" t="s">
        <v>122</v>
      </c>
      <c r="K20" s="128" t="s">
        <v>126</v>
      </c>
      <c r="L20" s="129"/>
      <c r="M20" s="129"/>
      <c r="N20" s="129"/>
      <c r="O20" s="129"/>
      <c r="P20" s="129"/>
      <c r="Q20" s="129"/>
      <c r="R20" s="129"/>
      <c r="S20" s="130"/>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7" t="s">
        <v>114</v>
      </c>
      <c r="B22" s="117"/>
      <c r="C22" s="117"/>
      <c r="D22" s="117"/>
      <c r="E22" s="117"/>
      <c r="F22" s="117"/>
      <c r="G22" s="117"/>
      <c r="H22" s="117"/>
      <c r="I22" s="117"/>
      <c r="J22" s="117"/>
      <c r="K22" s="117"/>
      <c r="L22" s="117"/>
      <c r="M22" s="117"/>
      <c r="N22" s="117"/>
      <c r="O22" s="117"/>
      <c r="P22" s="117"/>
      <c r="Q22" s="117"/>
      <c r="R22" s="117"/>
      <c r="S22" s="117"/>
    </row>
    <row r="23" spans="1:19" ht="18" customHeight="1" x14ac:dyDescent="0.15">
      <c r="A23" s="117"/>
      <c r="B23" s="117"/>
      <c r="C23" s="117"/>
      <c r="D23" s="117"/>
      <c r="E23" s="117"/>
      <c r="F23" s="117"/>
      <c r="G23" s="117"/>
      <c r="H23" s="117"/>
      <c r="I23" s="117"/>
      <c r="J23" s="117"/>
      <c r="K23" s="117"/>
      <c r="L23" s="117"/>
      <c r="M23" s="117"/>
      <c r="N23" s="117"/>
      <c r="O23" s="117"/>
      <c r="P23" s="117"/>
      <c r="Q23" s="117"/>
      <c r="R23" s="117"/>
      <c r="S23" s="117"/>
    </row>
    <row r="24" spans="1:19" ht="18" customHeight="1" x14ac:dyDescent="0.15">
      <c r="B24" s="102" t="s">
        <v>54</v>
      </c>
      <c r="C24" s="103"/>
      <c r="D24" s="103"/>
      <c r="E24" s="104"/>
      <c r="F24" s="52" t="s">
        <v>81</v>
      </c>
      <c r="G24" s="51" t="s">
        <v>85</v>
      </c>
      <c r="H24" s="21" t="s">
        <v>57</v>
      </c>
      <c r="I24" s="21" t="s">
        <v>60</v>
      </c>
      <c r="J24" s="102" t="s">
        <v>54</v>
      </c>
      <c r="K24" s="103"/>
      <c r="L24" s="103"/>
      <c r="M24" s="103"/>
      <c r="N24" s="103"/>
      <c r="O24" s="104"/>
      <c r="P24" s="52" t="s">
        <v>81</v>
      </c>
      <c r="Q24" s="51" t="s">
        <v>85</v>
      </c>
      <c r="R24" s="21" t="s">
        <v>57</v>
      </c>
      <c r="S24" s="21" t="s">
        <v>60</v>
      </c>
    </row>
    <row r="25" spans="1:19" ht="18" customHeight="1" x14ac:dyDescent="0.15">
      <c r="B25" s="121" t="s">
        <v>132</v>
      </c>
      <c r="C25" s="122"/>
      <c r="D25" s="122"/>
      <c r="E25" s="123"/>
      <c r="F25" s="22">
        <v>2</v>
      </c>
      <c r="G25" s="22" t="s">
        <v>135</v>
      </c>
      <c r="H25" s="81" t="s">
        <v>135</v>
      </c>
      <c r="I25" s="81" t="s">
        <v>135</v>
      </c>
      <c r="J25" s="121"/>
      <c r="K25" s="122"/>
      <c r="L25" s="122"/>
      <c r="M25" s="122"/>
      <c r="N25" s="122"/>
      <c r="O25" s="123"/>
      <c r="P25" s="22"/>
      <c r="Q25" s="22"/>
      <c r="R25" s="22"/>
      <c r="S25" s="22"/>
    </row>
    <row r="26" spans="1:19" ht="18" customHeight="1" x14ac:dyDescent="0.15">
      <c r="B26" s="105" t="s">
        <v>133</v>
      </c>
      <c r="C26" s="106"/>
      <c r="D26" s="106"/>
      <c r="E26" s="107"/>
      <c r="F26" s="23">
        <v>2</v>
      </c>
      <c r="G26" s="23"/>
      <c r="H26" s="23" t="s">
        <v>135</v>
      </c>
      <c r="I26" s="23" t="s">
        <v>135</v>
      </c>
      <c r="J26" s="105"/>
      <c r="K26" s="106"/>
      <c r="L26" s="106"/>
      <c r="M26" s="106"/>
      <c r="N26" s="106"/>
      <c r="O26" s="107"/>
      <c r="P26" s="23"/>
      <c r="Q26" s="23"/>
      <c r="R26" s="23"/>
      <c r="S26" s="23"/>
    </row>
    <row r="27" spans="1:19" ht="18" customHeight="1" x14ac:dyDescent="0.15">
      <c r="B27" s="105" t="s">
        <v>134</v>
      </c>
      <c r="C27" s="106"/>
      <c r="D27" s="106"/>
      <c r="E27" s="107"/>
      <c r="F27" s="23">
        <v>2</v>
      </c>
      <c r="G27" s="23"/>
      <c r="H27" s="82" t="s">
        <v>135</v>
      </c>
      <c r="I27" s="82" t="s">
        <v>135</v>
      </c>
      <c r="J27" s="105"/>
      <c r="K27" s="106"/>
      <c r="L27" s="106"/>
      <c r="M27" s="106"/>
      <c r="N27" s="106"/>
      <c r="O27" s="107"/>
      <c r="P27" s="23"/>
      <c r="Q27" s="23"/>
      <c r="R27" s="23"/>
      <c r="S27" s="23"/>
    </row>
    <row r="28" spans="1:19" ht="18" customHeight="1" x14ac:dyDescent="0.15">
      <c r="B28" s="105"/>
      <c r="C28" s="106"/>
      <c r="D28" s="106"/>
      <c r="E28" s="107"/>
      <c r="F28" s="23"/>
      <c r="G28" s="23"/>
      <c r="H28" s="23"/>
      <c r="I28" s="23"/>
      <c r="J28" s="105"/>
      <c r="K28" s="106"/>
      <c r="L28" s="106"/>
      <c r="M28" s="106"/>
      <c r="N28" s="106"/>
      <c r="O28" s="107"/>
      <c r="P28" s="23"/>
      <c r="Q28" s="23"/>
      <c r="R28" s="23"/>
      <c r="S28" s="23"/>
    </row>
    <row r="29" spans="1:19" ht="18" customHeight="1" x14ac:dyDescent="0.15">
      <c r="A29" s="3"/>
      <c r="B29" s="108"/>
      <c r="C29" s="109"/>
      <c r="D29" s="109"/>
      <c r="E29" s="110"/>
      <c r="F29" s="24"/>
      <c r="G29" s="24"/>
      <c r="H29" s="25"/>
      <c r="I29" s="25"/>
      <c r="J29" s="108"/>
      <c r="K29" s="109"/>
      <c r="L29" s="109"/>
      <c r="M29" s="109"/>
      <c r="N29" s="109"/>
      <c r="O29" s="110"/>
      <c r="P29" s="24"/>
      <c r="Q29" s="24"/>
      <c r="R29" s="25"/>
      <c r="S29" s="25"/>
    </row>
    <row r="30" spans="1:19" ht="7.5" customHeight="1" x14ac:dyDescent="0.15">
      <c r="A30" s="3"/>
      <c r="B30" s="6"/>
      <c r="C30" s="6"/>
      <c r="D30" s="3"/>
      <c r="E30" s="3"/>
      <c r="F30" s="3"/>
      <c r="G30" s="3"/>
      <c r="H30" s="6"/>
      <c r="I30" s="6"/>
      <c r="J30" s="6"/>
      <c r="K30" s="6"/>
      <c r="L30" s="6"/>
      <c r="M30" s="6"/>
      <c r="N30" s="6"/>
      <c r="O30" s="6"/>
      <c r="P30" s="6"/>
      <c r="Q30" s="6"/>
      <c r="R30" s="6"/>
      <c r="S30" s="3"/>
    </row>
    <row r="31" spans="1:19" ht="18" customHeight="1" x14ac:dyDescent="0.15">
      <c r="A31" s="117" t="s">
        <v>115</v>
      </c>
      <c r="B31" s="117"/>
      <c r="C31" s="117"/>
      <c r="D31" s="117"/>
      <c r="E31" s="117"/>
      <c r="F31" s="117"/>
      <c r="G31" s="117"/>
      <c r="H31" s="117"/>
      <c r="I31" s="117"/>
      <c r="J31" s="117"/>
      <c r="K31" s="117"/>
      <c r="L31" s="117"/>
      <c r="M31" s="117"/>
      <c r="N31" s="117"/>
      <c r="O31" s="117"/>
      <c r="P31" s="117"/>
      <c r="Q31" s="117"/>
      <c r="R31" s="117"/>
      <c r="S31" s="117"/>
    </row>
    <row r="32" spans="1:19" ht="18" customHeight="1" x14ac:dyDescent="0.15">
      <c r="A32" s="117"/>
      <c r="B32" s="117"/>
      <c r="C32" s="117"/>
      <c r="D32" s="117"/>
      <c r="E32" s="117"/>
      <c r="F32" s="117"/>
      <c r="G32" s="117"/>
      <c r="H32" s="117"/>
      <c r="I32" s="117"/>
      <c r="J32" s="117"/>
      <c r="K32" s="117"/>
      <c r="L32" s="117"/>
      <c r="M32" s="117"/>
      <c r="N32" s="117"/>
      <c r="O32" s="117"/>
      <c r="P32" s="117"/>
      <c r="Q32" s="117"/>
      <c r="R32" s="117"/>
      <c r="S32" s="117"/>
    </row>
    <row r="33" spans="1:19" ht="18" customHeight="1" x14ac:dyDescent="0.15">
      <c r="B33" s="102" t="s">
        <v>54</v>
      </c>
      <c r="C33" s="103"/>
      <c r="D33" s="103"/>
      <c r="E33" s="104"/>
      <c r="F33" s="52" t="s">
        <v>81</v>
      </c>
      <c r="G33" s="51" t="s">
        <v>85</v>
      </c>
      <c r="H33" s="21" t="s">
        <v>72</v>
      </c>
      <c r="I33" s="21" t="s">
        <v>73</v>
      </c>
      <c r="J33" s="102" t="s">
        <v>54</v>
      </c>
      <c r="K33" s="103"/>
      <c r="L33" s="103"/>
      <c r="M33" s="103"/>
      <c r="N33" s="103"/>
      <c r="O33" s="104"/>
      <c r="P33" s="52" t="s">
        <v>81</v>
      </c>
      <c r="Q33" s="51" t="s">
        <v>85</v>
      </c>
      <c r="R33" s="21" t="s">
        <v>72</v>
      </c>
      <c r="S33" s="21" t="s">
        <v>73</v>
      </c>
    </row>
    <row r="34" spans="1:19" ht="18" customHeight="1" x14ac:dyDescent="0.15">
      <c r="B34" s="121" t="s">
        <v>132</v>
      </c>
      <c r="C34" s="122"/>
      <c r="D34" s="122"/>
      <c r="E34" s="123"/>
      <c r="F34" s="22">
        <v>2</v>
      </c>
      <c r="G34" s="22" t="s">
        <v>135</v>
      </c>
      <c r="H34" s="81" t="s">
        <v>135</v>
      </c>
      <c r="I34" s="81" t="s">
        <v>135</v>
      </c>
      <c r="J34" s="121"/>
      <c r="K34" s="122"/>
      <c r="L34" s="122"/>
      <c r="M34" s="122"/>
      <c r="N34" s="122"/>
      <c r="O34" s="123"/>
      <c r="P34" s="22"/>
      <c r="Q34" s="22"/>
      <c r="R34" s="22"/>
      <c r="S34" s="22"/>
    </row>
    <row r="35" spans="1:19" ht="18" customHeight="1" x14ac:dyDescent="0.15">
      <c r="B35" s="105" t="s">
        <v>133</v>
      </c>
      <c r="C35" s="106"/>
      <c r="D35" s="106"/>
      <c r="E35" s="107"/>
      <c r="F35" s="23">
        <v>2</v>
      </c>
      <c r="G35" s="23"/>
      <c r="H35" s="23" t="s">
        <v>135</v>
      </c>
      <c r="I35" s="23" t="s">
        <v>135</v>
      </c>
      <c r="J35" s="105"/>
      <c r="K35" s="106"/>
      <c r="L35" s="106"/>
      <c r="M35" s="106"/>
      <c r="N35" s="106"/>
      <c r="O35" s="107"/>
      <c r="P35" s="23"/>
      <c r="Q35" s="23"/>
      <c r="R35" s="23"/>
      <c r="S35" s="23"/>
    </row>
    <row r="36" spans="1:19" ht="18" customHeight="1" x14ac:dyDescent="0.15">
      <c r="B36" s="105" t="s">
        <v>136</v>
      </c>
      <c r="C36" s="106"/>
      <c r="D36" s="106"/>
      <c r="E36" s="107"/>
      <c r="F36" s="23">
        <v>2</v>
      </c>
      <c r="G36" s="23"/>
      <c r="H36" s="82"/>
      <c r="I36" s="82" t="s">
        <v>135</v>
      </c>
      <c r="J36" s="105"/>
      <c r="K36" s="106"/>
      <c r="L36" s="106"/>
      <c r="M36" s="106"/>
      <c r="N36" s="106"/>
      <c r="O36" s="107"/>
      <c r="P36" s="23"/>
      <c r="Q36" s="23"/>
      <c r="R36" s="23"/>
      <c r="S36" s="23"/>
    </row>
    <row r="37" spans="1:19" ht="18" customHeight="1" x14ac:dyDescent="0.15">
      <c r="B37" s="118" t="s">
        <v>134</v>
      </c>
      <c r="C37" s="119"/>
      <c r="D37" s="119"/>
      <c r="E37" s="120"/>
      <c r="F37" s="23">
        <v>2</v>
      </c>
      <c r="G37" s="23"/>
      <c r="H37" s="82" t="s">
        <v>135</v>
      </c>
      <c r="I37" s="82" t="s">
        <v>135</v>
      </c>
      <c r="J37" s="105"/>
      <c r="K37" s="106"/>
      <c r="L37" s="106"/>
      <c r="M37" s="106"/>
      <c r="N37" s="106"/>
      <c r="O37" s="107"/>
      <c r="P37" s="23"/>
      <c r="Q37" s="23"/>
      <c r="R37" s="23"/>
      <c r="S37" s="23"/>
    </row>
    <row r="38" spans="1:19" ht="18" customHeight="1" x14ac:dyDescent="0.15">
      <c r="B38" s="105"/>
      <c r="C38" s="106"/>
      <c r="D38" s="106"/>
      <c r="E38" s="107"/>
      <c r="F38" s="23"/>
      <c r="G38" s="23"/>
      <c r="H38" s="23"/>
      <c r="I38" s="23"/>
      <c r="J38" s="105"/>
      <c r="K38" s="106"/>
      <c r="L38" s="106"/>
      <c r="M38" s="106"/>
      <c r="N38" s="106"/>
      <c r="O38" s="107"/>
      <c r="P38" s="23"/>
      <c r="Q38" s="23"/>
      <c r="R38" s="23"/>
      <c r="S38" s="23"/>
    </row>
    <row r="39" spans="1:19" ht="18" customHeight="1" x14ac:dyDescent="0.15">
      <c r="B39" s="108"/>
      <c r="C39" s="109"/>
      <c r="D39" s="109"/>
      <c r="E39" s="110"/>
      <c r="F39" s="24"/>
      <c r="G39" s="24"/>
      <c r="H39" s="25"/>
      <c r="I39" s="25"/>
      <c r="J39" s="108"/>
      <c r="K39" s="109"/>
      <c r="L39" s="109"/>
      <c r="M39" s="109"/>
      <c r="N39" s="109"/>
      <c r="O39" s="110"/>
      <c r="P39" s="24"/>
      <c r="Q39" s="24"/>
      <c r="R39" s="25"/>
      <c r="S39" s="25"/>
    </row>
    <row r="40" spans="1:19" ht="7.5" customHeight="1" x14ac:dyDescent="0.15">
      <c r="A40" s="3"/>
      <c r="B40" s="6"/>
      <c r="C40" s="6"/>
      <c r="D40" s="3"/>
      <c r="E40" s="3"/>
      <c r="F40" s="3"/>
      <c r="G40" s="3"/>
      <c r="H40" s="6"/>
      <c r="I40" s="6"/>
      <c r="J40" s="6"/>
      <c r="K40" s="6"/>
      <c r="L40" s="6"/>
      <c r="M40" s="6"/>
      <c r="N40" s="6"/>
      <c r="O40" s="6"/>
      <c r="P40" s="6"/>
      <c r="Q40" s="6"/>
      <c r="R40" s="6"/>
      <c r="S40" s="3"/>
    </row>
    <row r="41" spans="1:19" ht="18" customHeight="1" x14ac:dyDescent="0.15">
      <c r="A41" s="117" t="s">
        <v>116</v>
      </c>
      <c r="B41" s="117"/>
      <c r="C41" s="117"/>
      <c r="D41" s="117"/>
      <c r="E41" s="117"/>
      <c r="F41" s="117"/>
      <c r="G41" s="117"/>
      <c r="H41" s="117"/>
      <c r="I41" s="117"/>
      <c r="J41" s="117"/>
      <c r="K41" s="117"/>
      <c r="L41" s="117"/>
      <c r="M41" s="117"/>
      <c r="N41" s="117"/>
      <c r="O41" s="117"/>
      <c r="P41" s="117"/>
      <c r="Q41" s="117"/>
      <c r="R41" s="117"/>
      <c r="S41" s="117"/>
    </row>
    <row r="42" spans="1:19" ht="18" customHeight="1" x14ac:dyDescent="0.15">
      <c r="A42" s="117"/>
      <c r="B42" s="117"/>
      <c r="C42" s="117"/>
      <c r="D42" s="117"/>
      <c r="E42" s="117"/>
      <c r="F42" s="117"/>
      <c r="G42" s="117"/>
      <c r="H42" s="117"/>
      <c r="I42" s="117"/>
      <c r="J42" s="117"/>
      <c r="K42" s="117"/>
      <c r="L42" s="117"/>
      <c r="M42" s="117"/>
      <c r="N42" s="117"/>
      <c r="O42" s="117"/>
      <c r="P42" s="117"/>
      <c r="Q42" s="117"/>
      <c r="R42" s="117"/>
      <c r="S42" s="117"/>
    </row>
    <row r="43" spans="1:19" ht="18" customHeight="1" x14ac:dyDescent="0.15">
      <c r="B43" s="111" t="s">
        <v>54</v>
      </c>
      <c r="C43" s="112"/>
      <c r="D43" s="112"/>
      <c r="E43" s="113"/>
      <c r="F43" s="83" t="s">
        <v>81</v>
      </c>
      <c r="G43" s="84" t="s">
        <v>85</v>
      </c>
      <c r="H43" s="85" t="s">
        <v>74</v>
      </c>
      <c r="I43" s="85" t="s">
        <v>75</v>
      </c>
      <c r="J43" s="111" t="s">
        <v>54</v>
      </c>
      <c r="K43" s="112"/>
      <c r="L43" s="112"/>
      <c r="M43" s="112"/>
      <c r="N43" s="112"/>
      <c r="O43" s="113"/>
      <c r="P43" s="52" t="s">
        <v>81</v>
      </c>
      <c r="Q43" s="51" t="s">
        <v>85</v>
      </c>
      <c r="R43" s="21" t="s">
        <v>74</v>
      </c>
      <c r="S43" s="21" t="s">
        <v>75</v>
      </c>
    </row>
    <row r="44" spans="1:19" ht="18" customHeight="1" x14ac:dyDescent="0.15">
      <c r="A44" s="3"/>
      <c r="B44" s="124" t="s">
        <v>132</v>
      </c>
      <c r="C44" s="125"/>
      <c r="D44" s="125"/>
      <c r="E44" s="126"/>
      <c r="F44" s="86">
        <v>2</v>
      </c>
      <c r="G44" s="86" t="s">
        <v>135</v>
      </c>
      <c r="H44" s="87" t="s">
        <v>135</v>
      </c>
      <c r="I44" s="87" t="s">
        <v>135</v>
      </c>
      <c r="J44" s="124"/>
      <c r="K44" s="125"/>
      <c r="L44" s="125"/>
      <c r="M44" s="125"/>
      <c r="N44" s="125"/>
      <c r="O44" s="126"/>
      <c r="P44" s="22"/>
      <c r="Q44" s="22"/>
      <c r="R44" s="22"/>
      <c r="S44" s="22"/>
    </row>
    <row r="45" spans="1:19" ht="18" customHeight="1" x14ac:dyDescent="0.15">
      <c r="A45" s="3"/>
      <c r="B45" s="114" t="s">
        <v>133</v>
      </c>
      <c r="C45" s="115"/>
      <c r="D45" s="115"/>
      <c r="E45" s="116"/>
      <c r="F45" s="88">
        <v>2</v>
      </c>
      <c r="G45" s="88"/>
      <c r="H45" s="88" t="s">
        <v>135</v>
      </c>
      <c r="I45" s="88" t="s">
        <v>135</v>
      </c>
      <c r="J45" s="114"/>
      <c r="K45" s="115"/>
      <c r="L45" s="115"/>
      <c r="M45" s="115"/>
      <c r="N45" s="115"/>
      <c r="O45" s="116"/>
      <c r="P45" s="23"/>
      <c r="Q45" s="23"/>
      <c r="R45" s="23"/>
      <c r="S45" s="23"/>
    </row>
    <row r="46" spans="1:19" ht="18" customHeight="1" x14ac:dyDescent="0.15">
      <c r="A46" s="3"/>
      <c r="B46" s="114" t="s">
        <v>134</v>
      </c>
      <c r="C46" s="115"/>
      <c r="D46" s="115"/>
      <c r="E46" s="116"/>
      <c r="F46" s="88">
        <v>2</v>
      </c>
      <c r="G46" s="88"/>
      <c r="H46" s="88" t="s">
        <v>135</v>
      </c>
      <c r="I46" s="88" t="s">
        <v>135</v>
      </c>
      <c r="J46" s="114"/>
      <c r="K46" s="115"/>
      <c r="L46" s="115"/>
      <c r="M46" s="115"/>
      <c r="N46" s="115"/>
      <c r="O46" s="116"/>
      <c r="P46" s="23"/>
      <c r="Q46" s="23"/>
      <c r="R46" s="23"/>
      <c r="S46" s="23"/>
    </row>
    <row r="47" spans="1:19" ht="18" customHeight="1" x14ac:dyDescent="0.15">
      <c r="A47" s="3"/>
      <c r="B47" s="105"/>
      <c r="C47" s="106"/>
      <c r="D47" s="106"/>
      <c r="E47" s="107"/>
      <c r="F47" s="23"/>
      <c r="G47" s="23"/>
      <c r="H47" s="23"/>
      <c r="I47" s="23"/>
      <c r="J47" s="105"/>
      <c r="K47" s="106"/>
      <c r="L47" s="106"/>
      <c r="M47" s="106"/>
      <c r="N47" s="106"/>
      <c r="O47" s="107"/>
      <c r="P47" s="23"/>
      <c r="Q47" s="23"/>
      <c r="R47" s="23"/>
      <c r="S47" s="23"/>
    </row>
    <row r="48" spans="1:19" ht="18" customHeight="1" x14ac:dyDescent="0.15">
      <c r="A48" s="3"/>
      <c r="B48" s="108"/>
      <c r="C48" s="109"/>
      <c r="D48" s="109"/>
      <c r="E48" s="110"/>
      <c r="F48" s="24"/>
      <c r="G48" s="24"/>
      <c r="H48" s="25"/>
      <c r="I48" s="25"/>
      <c r="J48" s="108"/>
      <c r="K48" s="109"/>
      <c r="L48" s="109"/>
      <c r="M48" s="109"/>
      <c r="N48" s="109"/>
      <c r="O48" s="110"/>
      <c r="P48" s="24"/>
      <c r="Q48" s="24"/>
      <c r="R48" s="25"/>
      <c r="S48" s="25"/>
    </row>
    <row r="49" spans="1:19" ht="7.5" customHeight="1" x14ac:dyDescent="0.15">
      <c r="B49" s="15"/>
      <c r="C49" s="15"/>
      <c r="D49" s="15"/>
      <c r="E49" s="15"/>
      <c r="F49" s="15"/>
      <c r="G49" s="15"/>
      <c r="H49" s="15"/>
      <c r="I49" s="15"/>
      <c r="J49" s="15"/>
      <c r="K49" s="15"/>
      <c r="L49" s="15"/>
      <c r="M49" s="15"/>
      <c r="N49" s="15"/>
      <c r="O49" s="15"/>
      <c r="P49" s="15"/>
      <c r="Q49" s="15"/>
      <c r="R49" s="15"/>
    </row>
    <row r="50" spans="1:19" ht="18" customHeight="1" x14ac:dyDescent="0.15">
      <c r="A50" s="117" t="s">
        <v>117</v>
      </c>
      <c r="B50" s="117"/>
      <c r="C50" s="117"/>
      <c r="D50" s="117"/>
      <c r="E50" s="117"/>
      <c r="F50" s="117"/>
      <c r="G50" s="117"/>
      <c r="H50" s="117"/>
      <c r="I50" s="117"/>
      <c r="J50" s="117"/>
      <c r="K50" s="117"/>
      <c r="L50" s="117"/>
      <c r="M50" s="117"/>
      <c r="N50" s="117"/>
      <c r="O50" s="117"/>
      <c r="P50" s="117"/>
      <c r="Q50" s="117"/>
      <c r="R50" s="117"/>
      <c r="S50" s="117"/>
    </row>
    <row r="51" spans="1:19" ht="18" customHeight="1" x14ac:dyDescent="0.15">
      <c r="A51" s="117"/>
      <c r="B51" s="117"/>
      <c r="C51" s="117"/>
      <c r="D51" s="117"/>
      <c r="E51" s="117"/>
      <c r="F51" s="117"/>
      <c r="G51" s="117"/>
      <c r="H51" s="117"/>
      <c r="I51" s="117"/>
      <c r="J51" s="117"/>
      <c r="K51" s="117"/>
      <c r="L51" s="117"/>
      <c r="M51" s="117"/>
      <c r="N51" s="117"/>
      <c r="O51" s="117"/>
      <c r="P51" s="117"/>
      <c r="Q51" s="117"/>
      <c r="R51" s="117"/>
      <c r="S51" s="117"/>
    </row>
    <row r="52" spans="1:19" ht="18" customHeight="1" x14ac:dyDescent="0.15">
      <c r="B52" s="102" t="s">
        <v>54</v>
      </c>
      <c r="C52" s="103"/>
      <c r="D52" s="103"/>
      <c r="E52" s="104"/>
      <c r="F52" s="52" t="s">
        <v>81</v>
      </c>
      <c r="G52" s="51" t="s">
        <v>85</v>
      </c>
      <c r="H52" s="21" t="s">
        <v>59</v>
      </c>
      <c r="I52" s="21" t="s">
        <v>61</v>
      </c>
      <c r="J52" s="102" t="s">
        <v>54</v>
      </c>
      <c r="K52" s="103"/>
      <c r="L52" s="103"/>
      <c r="M52" s="103"/>
      <c r="N52" s="103"/>
      <c r="O52" s="104"/>
      <c r="P52" s="52" t="s">
        <v>81</v>
      </c>
      <c r="Q52" s="51" t="s">
        <v>85</v>
      </c>
      <c r="R52" s="21" t="s">
        <v>59</v>
      </c>
      <c r="S52" s="21" t="s">
        <v>61</v>
      </c>
    </row>
    <row r="53" spans="1:19" ht="18" customHeight="1" x14ac:dyDescent="0.15">
      <c r="A53" s="3"/>
      <c r="B53" s="121" t="s">
        <v>132</v>
      </c>
      <c r="C53" s="122"/>
      <c r="D53" s="122"/>
      <c r="E53" s="123"/>
      <c r="F53" s="22">
        <v>2</v>
      </c>
      <c r="G53" s="22" t="s">
        <v>135</v>
      </c>
      <c r="H53" s="81" t="s">
        <v>140</v>
      </c>
      <c r="I53" s="81" t="s">
        <v>135</v>
      </c>
      <c r="J53" s="121"/>
      <c r="K53" s="122"/>
      <c r="L53" s="122"/>
      <c r="M53" s="122"/>
      <c r="N53" s="122"/>
      <c r="O53" s="123"/>
      <c r="P53" s="22"/>
      <c r="Q53" s="22"/>
      <c r="R53" s="22"/>
      <c r="S53" s="22"/>
    </row>
    <row r="54" spans="1:19" ht="18" customHeight="1" x14ac:dyDescent="0.15">
      <c r="A54" s="3"/>
      <c r="B54" s="105" t="s">
        <v>133</v>
      </c>
      <c r="C54" s="106"/>
      <c r="D54" s="106"/>
      <c r="E54" s="107"/>
      <c r="F54" s="23">
        <v>2</v>
      </c>
      <c r="G54" s="23"/>
      <c r="H54" s="23" t="s">
        <v>135</v>
      </c>
      <c r="I54" s="23" t="s">
        <v>135</v>
      </c>
      <c r="J54" s="105"/>
      <c r="K54" s="106"/>
      <c r="L54" s="106"/>
      <c r="M54" s="106"/>
      <c r="N54" s="106"/>
      <c r="O54" s="107"/>
      <c r="P54" s="23"/>
      <c r="Q54" s="23"/>
      <c r="R54" s="23"/>
      <c r="S54" s="23"/>
    </row>
    <row r="55" spans="1:19" ht="18" customHeight="1" x14ac:dyDescent="0.15">
      <c r="A55" s="3"/>
      <c r="B55" s="105" t="s">
        <v>134</v>
      </c>
      <c r="C55" s="106"/>
      <c r="D55" s="106"/>
      <c r="E55" s="107"/>
      <c r="F55" s="23">
        <v>2</v>
      </c>
      <c r="G55" s="23"/>
      <c r="H55" s="82" t="s">
        <v>135</v>
      </c>
      <c r="I55" s="82" t="s">
        <v>135</v>
      </c>
      <c r="J55" s="105"/>
      <c r="K55" s="106"/>
      <c r="L55" s="106"/>
      <c r="M55" s="106"/>
      <c r="N55" s="106"/>
      <c r="O55" s="107"/>
      <c r="P55" s="23"/>
      <c r="Q55" s="23"/>
      <c r="R55" s="23"/>
      <c r="S55" s="23"/>
    </row>
    <row r="56" spans="1:19" ht="18" customHeight="1" x14ac:dyDescent="0.15">
      <c r="A56" s="3"/>
      <c r="B56" s="105"/>
      <c r="C56" s="106"/>
      <c r="D56" s="106"/>
      <c r="E56" s="107"/>
      <c r="F56" s="23"/>
      <c r="G56" s="23"/>
      <c r="H56" s="23"/>
      <c r="I56" s="23"/>
      <c r="J56" s="105"/>
      <c r="K56" s="106"/>
      <c r="L56" s="106"/>
      <c r="M56" s="106"/>
      <c r="N56" s="106"/>
      <c r="O56" s="107"/>
      <c r="P56" s="23"/>
      <c r="Q56" s="23"/>
      <c r="R56" s="23"/>
      <c r="S56" s="23"/>
    </row>
    <row r="57" spans="1:19" ht="18" customHeight="1" x14ac:dyDescent="0.15">
      <c r="A57" s="3"/>
      <c r="B57" s="108"/>
      <c r="C57" s="109"/>
      <c r="D57" s="109"/>
      <c r="E57" s="110"/>
      <c r="F57" s="24"/>
      <c r="G57" s="24"/>
      <c r="H57" s="25"/>
      <c r="I57" s="25"/>
      <c r="J57" s="108"/>
      <c r="K57" s="109"/>
      <c r="L57" s="109"/>
      <c r="M57" s="109"/>
      <c r="N57" s="109"/>
      <c r="O57" s="110"/>
      <c r="P57" s="24"/>
      <c r="Q57" s="24"/>
      <c r="R57" s="25"/>
      <c r="S57" s="25"/>
    </row>
    <row r="58" spans="1:19" ht="7.5" customHeight="1" x14ac:dyDescent="0.15">
      <c r="B58" s="15"/>
      <c r="C58" s="15"/>
      <c r="D58" s="15"/>
      <c r="E58" s="15"/>
      <c r="F58" s="15"/>
      <c r="G58" s="15"/>
      <c r="H58" s="15"/>
      <c r="I58" s="15"/>
      <c r="J58" s="15"/>
      <c r="K58" s="15"/>
      <c r="L58" s="15"/>
      <c r="M58" s="15"/>
      <c r="N58" s="15"/>
      <c r="O58" s="15"/>
      <c r="P58" s="15"/>
      <c r="Q58" s="15"/>
      <c r="R58" s="15"/>
    </row>
    <row r="59" spans="1:19" ht="18" customHeight="1" x14ac:dyDescent="0.15">
      <c r="A59" s="117" t="s">
        <v>118</v>
      </c>
      <c r="B59" s="117"/>
      <c r="C59" s="117"/>
      <c r="D59" s="117"/>
      <c r="E59" s="117"/>
      <c r="F59" s="117"/>
      <c r="G59" s="117"/>
      <c r="H59" s="117"/>
      <c r="I59" s="117"/>
      <c r="J59" s="117"/>
      <c r="K59" s="117"/>
      <c r="L59" s="117"/>
      <c r="M59" s="117"/>
      <c r="N59" s="117"/>
      <c r="O59" s="117"/>
      <c r="P59" s="117"/>
      <c r="Q59" s="117"/>
      <c r="R59" s="117"/>
      <c r="S59" s="117"/>
    </row>
    <row r="60" spans="1:19" ht="18" customHeight="1" x14ac:dyDescent="0.15">
      <c r="A60" s="117"/>
      <c r="B60" s="117"/>
      <c r="C60" s="117"/>
      <c r="D60" s="117"/>
      <c r="E60" s="117"/>
      <c r="F60" s="117"/>
      <c r="G60" s="117"/>
      <c r="H60" s="117"/>
      <c r="I60" s="117"/>
      <c r="J60" s="117"/>
      <c r="K60" s="117"/>
      <c r="L60" s="117"/>
      <c r="M60" s="117"/>
      <c r="N60" s="117"/>
      <c r="O60" s="117"/>
      <c r="P60" s="117"/>
      <c r="Q60" s="117"/>
      <c r="R60" s="117"/>
      <c r="S60" s="117"/>
    </row>
    <row r="61" spans="1:19" ht="18" customHeight="1" x14ac:dyDescent="0.15">
      <c r="B61" s="102" t="s">
        <v>54</v>
      </c>
      <c r="C61" s="103"/>
      <c r="D61" s="103"/>
      <c r="E61" s="52" t="s">
        <v>81</v>
      </c>
      <c r="F61" s="51" t="s">
        <v>85</v>
      </c>
      <c r="G61" s="21" t="s">
        <v>102</v>
      </c>
      <c r="H61" s="21" t="s">
        <v>76</v>
      </c>
      <c r="I61" s="21" t="s">
        <v>77</v>
      </c>
      <c r="J61" s="102" t="s">
        <v>54</v>
      </c>
      <c r="K61" s="103"/>
      <c r="L61" s="103"/>
      <c r="M61" s="103"/>
      <c r="N61" s="104"/>
      <c r="O61" s="52" t="s">
        <v>81</v>
      </c>
      <c r="P61" s="51" t="s">
        <v>85</v>
      </c>
      <c r="Q61" s="21" t="s">
        <v>102</v>
      </c>
      <c r="R61" s="21" t="s">
        <v>76</v>
      </c>
      <c r="S61" s="21" t="s">
        <v>77</v>
      </c>
    </row>
    <row r="62" spans="1:19" ht="18" customHeight="1" x14ac:dyDescent="0.15">
      <c r="A62" s="3"/>
      <c r="B62" s="124" t="s">
        <v>159</v>
      </c>
      <c r="C62" s="125"/>
      <c r="D62" s="125"/>
      <c r="E62" s="86">
        <v>2</v>
      </c>
      <c r="F62" s="86" t="s">
        <v>140</v>
      </c>
      <c r="G62" s="87" t="s">
        <v>135</v>
      </c>
      <c r="H62" s="87" t="s">
        <v>135</v>
      </c>
      <c r="I62" s="87" t="s">
        <v>135</v>
      </c>
      <c r="J62" s="124"/>
      <c r="K62" s="125"/>
      <c r="L62" s="125"/>
      <c r="M62" s="125"/>
      <c r="N62" s="126"/>
      <c r="O62" s="22"/>
      <c r="P62" s="22"/>
      <c r="Q62" s="22"/>
      <c r="R62" s="22"/>
      <c r="S62" s="22"/>
    </row>
    <row r="63" spans="1:19" ht="18" customHeight="1" x14ac:dyDescent="0.15">
      <c r="A63" s="3"/>
      <c r="B63" s="114" t="s">
        <v>160</v>
      </c>
      <c r="C63" s="115"/>
      <c r="D63" s="115"/>
      <c r="E63" s="88">
        <v>2</v>
      </c>
      <c r="F63" s="88"/>
      <c r="G63" s="88" t="s">
        <v>135</v>
      </c>
      <c r="H63" s="88" t="s">
        <v>135</v>
      </c>
      <c r="I63" s="88" t="s">
        <v>135</v>
      </c>
      <c r="J63" s="114"/>
      <c r="K63" s="115"/>
      <c r="L63" s="115"/>
      <c r="M63" s="115"/>
      <c r="N63" s="116"/>
      <c r="O63" s="23"/>
      <c r="P63" s="23"/>
      <c r="Q63" s="23"/>
      <c r="R63" s="23"/>
      <c r="S63" s="23"/>
    </row>
    <row r="64" spans="1:19" ht="18" customHeight="1" x14ac:dyDescent="0.15">
      <c r="A64" s="3"/>
      <c r="B64" s="114" t="s">
        <v>134</v>
      </c>
      <c r="C64" s="115"/>
      <c r="D64" s="115"/>
      <c r="E64" s="88">
        <v>2</v>
      </c>
      <c r="F64" s="88"/>
      <c r="G64" s="88" t="s">
        <v>135</v>
      </c>
      <c r="H64" s="88" t="s">
        <v>135</v>
      </c>
      <c r="I64" s="88" t="s">
        <v>135</v>
      </c>
      <c r="J64" s="114"/>
      <c r="K64" s="115"/>
      <c r="L64" s="115"/>
      <c r="M64" s="115"/>
      <c r="N64" s="116"/>
      <c r="O64" s="23"/>
      <c r="P64" s="23"/>
      <c r="Q64" s="23"/>
      <c r="R64" s="23"/>
      <c r="S64" s="23"/>
    </row>
    <row r="65" spans="1:19" ht="18" customHeight="1" x14ac:dyDescent="0.15">
      <c r="A65" s="3"/>
      <c r="B65" s="105"/>
      <c r="C65" s="105"/>
      <c r="D65" s="105"/>
      <c r="E65" s="23"/>
      <c r="F65" s="23"/>
      <c r="G65" s="23"/>
      <c r="H65" s="23"/>
      <c r="I65" s="23"/>
      <c r="J65" s="105"/>
      <c r="K65" s="106"/>
      <c r="L65" s="106"/>
      <c r="M65" s="106"/>
      <c r="N65" s="107"/>
      <c r="O65" s="23"/>
      <c r="P65" s="23"/>
      <c r="Q65" s="23"/>
      <c r="R65" s="23"/>
      <c r="S65" s="23"/>
    </row>
    <row r="66" spans="1:19" ht="18" customHeight="1" x14ac:dyDescent="0.15">
      <c r="A66" s="3"/>
      <c r="B66" s="108"/>
      <c r="C66" s="109"/>
      <c r="D66" s="110"/>
      <c r="E66" s="24"/>
      <c r="F66" s="24"/>
      <c r="G66" s="25"/>
      <c r="H66" s="25"/>
      <c r="I66" s="25"/>
      <c r="J66" s="108"/>
      <c r="K66" s="109"/>
      <c r="L66" s="109"/>
      <c r="M66" s="109"/>
      <c r="N66" s="110"/>
      <c r="O66" s="24"/>
      <c r="P66" s="24"/>
      <c r="Q66" s="25"/>
      <c r="R66" s="25"/>
      <c r="S66" s="25"/>
    </row>
    <row r="67" spans="1:19" ht="7.5" customHeight="1" x14ac:dyDescent="0.15">
      <c r="B67" s="15"/>
      <c r="C67" s="15"/>
      <c r="D67" s="15"/>
      <c r="E67" s="15"/>
      <c r="F67" s="15"/>
      <c r="G67" s="15"/>
      <c r="H67" s="15"/>
      <c r="I67" s="15"/>
      <c r="J67" s="15"/>
      <c r="K67" s="15"/>
      <c r="L67" s="15"/>
      <c r="M67" s="15"/>
      <c r="N67" s="15"/>
      <c r="O67" s="15"/>
      <c r="P67" s="15"/>
      <c r="Q67" s="15"/>
      <c r="R67" s="15"/>
    </row>
    <row r="68" spans="1:19" ht="18" customHeight="1" x14ac:dyDescent="0.15">
      <c r="A68" s="1" t="s">
        <v>119</v>
      </c>
      <c r="H68" s="3"/>
      <c r="I68" s="3"/>
      <c r="J68" s="3"/>
      <c r="K68" s="3"/>
      <c r="L68" s="3"/>
      <c r="M68" s="3"/>
      <c r="N68" s="3"/>
      <c r="O68" s="3"/>
      <c r="P68" s="3"/>
      <c r="Q68" s="3"/>
      <c r="R68" s="3"/>
      <c r="S68" s="3"/>
    </row>
    <row r="69" spans="1:19" ht="18" customHeight="1" x14ac:dyDescent="0.15">
      <c r="B69" s="102" t="s">
        <v>54</v>
      </c>
      <c r="C69" s="103"/>
      <c r="D69" s="103"/>
      <c r="E69" s="104"/>
      <c r="F69" s="102" t="s">
        <v>83</v>
      </c>
      <c r="G69" s="103"/>
      <c r="H69" s="103"/>
      <c r="I69" s="104"/>
      <c r="J69" s="191" t="s">
        <v>54</v>
      </c>
      <c r="K69" s="192"/>
      <c r="L69" s="192"/>
      <c r="M69" s="192"/>
      <c r="N69" s="192"/>
      <c r="O69" s="193"/>
      <c r="P69" s="102" t="s">
        <v>83</v>
      </c>
      <c r="Q69" s="103"/>
      <c r="R69" s="103"/>
      <c r="S69" s="104"/>
    </row>
    <row r="70" spans="1:19" ht="18" customHeight="1" x14ac:dyDescent="0.15">
      <c r="A70" s="3"/>
      <c r="B70" s="124" t="s">
        <v>136</v>
      </c>
      <c r="C70" s="125"/>
      <c r="D70" s="125"/>
      <c r="E70" s="126"/>
      <c r="F70" s="188" t="s">
        <v>137</v>
      </c>
      <c r="G70" s="189"/>
      <c r="H70" s="189"/>
      <c r="I70" s="190"/>
      <c r="J70" s="121"/>
      <c r="K70" s="122"/>
      <c r="L70" s="122"/>
      <c r="M70" s="122"/>
      <c r="N70" s="122"/>
      <c r="O70" s="123"/>
      <c r="P70" s="185"/>
      <c r="Q70" s="186"/>
      <c r="R70" s="186"/>
      <c r="S70" s="187"/>
    </row>
    <row r="71" spans="1:19" ht="18" customHeight="1" x14ac:dyDescent="0.15">
      <c r="A71" s="3"/>
      <c r="B71" s="114" t="s">
        <v>136</v>
      </c>
      <c r="C71" s="115"/>
      <c r="D71" s="115"/>
      <c r="E71" s="116"/>
      <c r="F71" s="159" t="s">
        <v>138</v>
      </c>
      <c r="G71" s="160"/>
      <c r="H71" s="160"/>
      <c r="I71" s="161"/>
      <c r="J71" s="105"/>
      <c r="K71" s="106"/>
      <c r="L71" s="106"/>
      <c r="M71" s="106"/>
      <c r="N71" s="106"/>
      <c r="O71" s="107"/>
      <c r="P71" s="162"/>
      <c r="Q71" s="163"/>
      <c r="R71" s="163"/>
      <c r="S71" s="164"/>
    </row>
    <row r="72" spans="1:19" ht="18" customHeight="1" x14ac:dyDescent="0.15">
      <c r="A72" s="3"/>
      <c r="B72" s="114" t="s">
        <v>133</v>
      </c>
      <c r="C72" s="115"/>
      <c r="D72" s="115"/>
      <c r="E72" s="116"/>
      <c r="F72" s="159" t="s">
        <v>139</v>
      </c>
      <c r="G72" s="160"/>
      <c r="H72" s="160"/>
      <c r="I72" s="161"/>
      <c r="J72" s="105"/>
      <c r="K72" s="106"/>
      <c r="L72" s="106"/>
      <c r="M72" s="106"/>
      <c r="N72" s="106"/>
      <c r="O72" s="107"/>
      <c r="P72" s="162"/>
      <c r="Q72" s="163"/>
      <c r="R72" s="163"/>
      <c r="S72" s="164"/>
    </row>
    <row r="73" spans="1:19" ht="18" customHeight="1" x14ac:dyDescent="0.15">
      <c r="A73" s="3"/>
      <c r="B73" s="114" t="s">
        <v>157</v>
      </c>
      <c r="C73" s="115"/>
      <c r="D73" s="115"/>
      <c r="E73" s="116"/>
      <c r="F73" s="159" t="s">
        <v>158</v>
      </c>
      <c r="G73" s="160"/>
      <c r="H73" s="160"/>
      <c r="I73" s="161"/>
      <c r="J73" s="105"/>
      <c r="K73" s="106"/>
      <c r="L73" s="106"/>
      <c r="M73" s="106"/>
      <c r="N73" s="106"/>
      <c r="O73" s="107"/>
      <c r="P73" s="162"/>
      <c r="Q73" s="163"/>
      <c r="R73" s="163"/>
      <c r="S73" s="164"/>
    </row>
    <row r="74" spans="1:19" ht="18" customHeight="1" x14ac:dyDescent="0.15">
      <c r="A74" s="3"/>
      <c r="B74" s="114"/>
      <c r="C74" s="115"/>
      <c r="D74" s="115"/>
      <c r="E74" s="116"/>
      <c r="F74" s="159"/>
      <c r="G74" s="160"/>
      <c r="H74" s="160"/>
      <c r="I74" s="161"/>
      <c r="J74" s="105"/>
      <c r="K74" s="106"/>
      <c r="L74" s="106"/>
      <c r="M74" s="106"/>
      <c r="N74" s="106"/>
      <c r="O74" s="107"/>
      <c r="P74" s="162"/>
      <c r="Q74" s="163"/>
      <c r="R74" s="163"/>
      <c r="S74" s="164"/>
    </row>
    <row r="75" spans="1:19" ht="18" customHeight="1" x14ac:dyDescent="0.15">
      <c r="A75" s="3"/>
      <c r="B75" s="171"/>
      <c r="C75" s="172"/>
      <c r="D75" s="172"/>
      <c r="E75" s="173"/>
      <c r="F75" s="174"/>
      <c r="G75" s="175"/>
      <c r="H75" s="175"/>
      <c r="I75" s="176"/>
      <c r="J75" s="108"/>
      <c r="K75" s="109"/>
      <c r="L75" s="109"/>
      <c r="M75" s="109"/>
      <c r="N75" s="109"/>
      <c r="O75" s="110"/>
      <c r="P75" s="156"/>
      <c r="Q75" s="157"/>
      <c r="R75" s="157"/>
      <c r="S75" s="158"/>
    </row>
    <row r="76" spans="1:19" ht="18" customHeight="1" x14ac:dyDescent="0.15">
      <c r="A76" s="3"/>
      <c r="B76" s="6"/>
      <c r="C76" s="6"/>
      <c r="D76" s="6"/>
      <c r="E76" s="6"/>
      <c r="F76" s="26"/>
      <c r="G76" s="26"/>
      <c r="H76" s="26"/>
      <c r="I76" s="26"/>
      <c r="J76" s="6"/>
      <c r="K76" s="6"/>
      <c r="L76" s="6"/>
      <c r="M76" s="6"/>
      <c r="N76" s="6"/>
      <c r="O76" s="6"/>
      <c r="P76" s="26"/>
      <c r="Q76" s="26"/>
      <c r="R76" s="26"/>
      <c r="S76" s="26"/>
    </row>
    <row r="77" spans="1:19" ht="18.75" customHeight="1" x14ac:dyDescent="0.15">
      <c r="A77" s="1" t="s">
        <v>120</v>
      </c>
    </row>
    <row r="78" spans="1:19" ht="18.75" customHeight="1" x14ac:dyDescent="0.15">
      <c r="B78" s="183" t="s">
        <v>55</v>
      </c>
      <c r="C78" s="184"/>
      <c r="D78" s="102" t="s">
        <v>56</v>
      </c>
      <c r="E78" s="103"/>
      <c r="F78" s="103"/>
      <c r="G78" s="103"/>
      <c r="H78" s="103"/>
      <c r="I78" s="103"/>
      <c r="J78" s="103"/>
      <c r="K78" s="103"/>
      <c r="L78" s="103"/>
      <c r="M78" s="103"/>
      <c r="N78" s="103"/>
      <c r="O78" s="103"/>
      <c r="P78" s="103"/>
      <c r="Q78" s="103"/>
      <c r="R78" s="103"/>
      <c r="S78" s="104"/>
    </row>
    <row r="79" spans="1:19" ht="200.25" customHeight="1" x14ac:dyDescent="0.15">
      <c r="B79" s="178" t="s">
        <v>62</v>
      </c>
      <c r="C79" s="89" t="s">
        <v>57</v>
      </c>
      <c r="D79" s="168" t="s">
        <v>186</v>
      </c>
      <c r="E79" s="169"/>
      <c r="F79" s="169"/>
      <c r="G79" s="169"/>
      <c r="H79" s="169"/>
      <c r="I79" s="169"/>
      <c r="J79" s="169"/>
      <c r="K79" s="169"/>
      <c r="L79" s="169"/>
      <c r="M79" s="169"/>
      <c r="N79" s="169"/>
      <c r="O79" s="169"/>
      <c r="P79" s="169"/>
      <c r="Q79" s="169"/>
      <c r="R79" s="169"/>
      <c r="S79" s="170"/>
    </row>
    <row r="80" spans="1:19" ht="97.5" customHeight="1" x14ac:dyDescent="0.15">
      <c r="B80" s="179"/>
      <c r="C80" s="90" t="s">
        <v>78</v>
      </c>
      <c r="D80" s="165" t="s">
        <v>161</v>
      </c>
      <c r="E80" s="166"/>
      <c r="F80" s="166"/>
      <c r="G80" s="166"/>
      <c r="H80" s="166"/>
      <c r="I80" s="166"/>
      <c r="J80" s="166"/>
      <c r="K80" s="166"/>
      <c r="L80" s="166"/>
      <c r="M80" s="166"/>
      <c r="N80" s="166"/>
      <c r="O80" s="166"/>
      <c r="P80" s="166"/>
      <c r="Q80" s="166"/>
      <c r="R80" s="166"/>
      <c r="S80" s="167"/>
    </row>
    <row r="81" spans="1:19" ht="178.5" customHeight="1" x14ac:dyDescent="0.15">
      <c r="B81" s="178" t="s">
        <v>63</v>
      </c>
      <c r="C81" s="91" t="s">
        <v>72</v>
      </c>
      <c r="D81" s="168" t="s">
        <v>162</v>
      </c>
      <c r="E81" s="169"/>
      <c r="F81" s="169"/>
      <c r="G81" s="169"/>
      <c r="H81" s="169"/>
      <c r="I81" s="169"/>
      <c r="J81" s="169"/>
      <c r="K81" s="169"/>
      <c r="L81" s="169"/>
      <c r="M81" s="169"/>
      <c r="N81" s="169"/>
      <c r="O81" s="169"/>
      <c r="P81" s="169"/>
      <c r="Q81" s="169"/>
      <c r="R81" s="169"/>
      <c r="S81" s="170"/>
    </row>
    <row r="82" spans="1:19" ht="149.25" customHeight="1" x14ac:dyDescent="0.15">
      <c r="B82" s="180"/>
      <c r="C82" s="92" t="s">
        <v>73</v>
      </c>
      <c r="D82" s="165" t="s">
        <v>172</v>
      </c>
      <c r="E82" s="166"/>
      <c r="F82" s="166"/>
      <c r="G82" s="166"/>
      <c r="H82" s="166"/>
      <c r="I82" s="166"/>
      <c r="J82" s="166"/>
      <c r="K82" s="166"/>
      <c r="L82" s="166"/>
      <c r="M82" s="166"/>
      <c r="N82" s="166"/>
      <c r="O82" s="166"/>
      <c r="P82" s="166"/>
      <c r="Q82" s="166"/>
      <c r="R82" s="166"/>
      <c r="S82" s="167"/>
    </row>
    <row r="83" spans="1:19" ht="159.75" customHeight="1" x14ac:dyDescent="0.15">
      <c r="B83" s="178" t="s">
        <v>64</v>
      </c>
      <c r="C83" s="91" t="s">
        <v>74</v>
      </c>
      <c r="D83" s="168" t="s">
        <v>188</v>
      </c>
      <c r="E83" s="169"/>
      <c r="F83" s="169"/>
      <c r="G83" s="169"/>
      <c r="H83" s="169"/>
      <c r="I83" s="169"/>
      <c r="J83" s="169"/>
      <c r="K83" s="169"/>
      <c r="L83" s="169"/>
      <c r="M83" s="169"/>
      <c r="N83" s="169"/>
      <c r="O83" s="169"/>
      <c r="P83" s="169"/>
      <c r="Q83" s="169"/>
      <c r="R83" s="169"/>
      <c r="S83" s="170"/>
    </row>
    <row r="84" spans="1:19" ht="97.5" customHeight="1" x14ac:dyDescent="0.15">
      <c r="B84" s="180"/>
      <c r="C84" s="93" t="s">
        <v>75</v>
      </c>
      <c r="D84" s="165" t="s">
        <v>163</v>
      </c>
      <c r="E84" s="166"/>
      <c r="F84" s="166"/>
      <c r="G84" s="166"/>
      <c r="H84" s="166"/>
      <c r="I84" s="166"/>
      <c r="J84" s="166"/>
      <c r="K84" s="166"/>
      <c r="L84" s="166"/>
      <c r="M84" s="166"/>
      <c r="N84" s="166"/>
      <c r="O84" s="166"/>
      <c r="P84" s="166"/>
      <c r="Q84" s="166"/>
      <c r="R84" s="166"/>
      <c r="S84" s="167"/>
    </row>
    <row r="85" spans="1:19" ht="233.25" customHeight="1" x14ac:dyDescent="0.15">
      <c r="B85" s="178" t="s">
        <v>79</v>
      </c>
      <c r="C85" s="303" t="s">
        <v>59</v>
      </c>
      <c r="D85" s="306" t="s">
        <v>189</v>
      </c>
      <c r="E85" s="304"/>
      <c r="F85" s="304"/>
      <c r="G85" s="304"/>
      <c r="H85" s="304"/>
      <c r="I85" s="304"/>
      <c r="J85" s="304"/>
      <c r="K85" s="304"/>
      <c r="L85" s="304"/>
      <c r="M85" s="304"/>
      <c r="N85" s="304"/>
      <c r="O85" s="304"/>
      <c r="P85" s="304"/>
      <c r="Q85" s="304"/>
      <c r="R85" s="304"/>
      <c r="S85" s="305"/>
    </row>
    <row r="86" spans="1:19" ht="149.25" customHeight="1" x14ac:dyDescent="0.15">
      <c r="B86" s="180"/>
      <c r="C86" s="307" t="s">
        <v>61</v>
      </c>
      <c r="D86" s="310" t="s">
        <v>187</v>
      </c>
      <c r="E86" s="308"/>
      <c r="F86" s="308"/>
      <c r="G86" s="308"/>
      <c r="H86" s="308"/>
      <c r="I86" s="308"/>
      <c r="J86" s="308"/>
      <c r="K86" s="308"/>
      <c r="L86" s="308"/>
      <c r="M86" s="308"/>
      <c r="N86" s="308"/>
      <c r="O86" s="308"/>
      <c r="P86" s="308"/>
      <c r="Q86" s="308"/>
      <c r="R86" s="308"/>
      <c r="S86" s="309"/>
    </row>
    <row r="87" spans="1:19" ht="305.25" customHeight="1" x14ac:dyDescent="0.15">
      <c r="B87" s="178" t="s">
        <v>80</v>
      </c>
      <c r="C87" s="91" t="s">
        <v>58</v>
      </c>
      <c r="D87" s="181" t="s">
        <v>190</v>
      </c>
      <c r="E87" s="125"/>
      <c r="F87" s="125"/>
      <c r="G87" s="125"/>
      <c r="H87" s="125"/>
      <c r="I87" s="125"/>
      <c r="J87" s="125"/>
      <c r="K87" s="125"/>
      <c r="L87" s="125"/>
      <c r="M87" s="125"/>
      <c r="N87" s="125"/>
      <c r="O87" s="125"/>
      <c r="P87" s="125"/>
      <c r="Q87" s="125"/>
      <c r="R87" s="125"/>
      <c r="S87" s="126"/>
    </row>
    <row r="88" spans="1:19" ht="163.5" customHeight="1" x14ac:dyDescent="0.15">
      <c r="B88" s="179"/>
      <c r="C88" s="94" t="s">
        <v>76</v>
      </c>
      <c r="D88" s="177" t="s">
        <v>191</v>
      </c>
      <c r="E88" s="115"/>
      <c r="F88" s="115"/>
      <c r="G88" s="115"/>
      <c r="H88" s="115"/>
      <c r="I88" s="115"/>
      <c r="J88" s="115"/>
      <c r="K88" s="115"/>
      <c r="L88" s="115"/>
      <c r="M88" s="115"/>
      <c r="N88" s="115"/>
      <c r="O88" s="115"/>
      <c r="P88" s="115"/>
      <c r="Q88" s="115"/>
      <c r="R88" s="115"/>
      <c r="S88" s="116"/>
    </row>
    <row r="89" spans="1:19" ht="168" customHeight="1" x14ac:dyDescent="0.15">
      <c r="B89" s="180"/>
      <c r="C89" s="93" t="s">
        <v>77</v>
      </c>
      <c r="D89" s="182" t="s">
        <v>175</v>
      </c>
      <c r="E89" s="172"/>
      <c r="F89" s="172"/>
      <c r="G89" s="172"/>
      <c r="H89" s="172"/>
      <c r="I89" s="172"/>
      <c r="J89" s="172"/>
      <c r="K89" s="172"/>
      <c r="L89" s="172"/>
      <c r="M89" s="172"/>
      <c r="N89" s="172"/>
      <c r="O89" s="172"/>
      <c r="P89" s="172"/>
      <c r="Q89" s="172"/>
      <c r="R89" s="172"/>
      <c r="S89" s="173"/>
    </row>
    <row r="90" spans="1:19" ht="6" customHeight="1" x14ac:dyDescent="0.15">
      <c r="B90" s="95"/>
      <c r="C90" s="95"/>
      <c r="D90" s="95"/>
      <c r="E90" s="95"/>
      <c r="F90" s="95"/>
      <c r="G90" s="95"/>
      <c r="H90" s="95"/>
      <c r="I90" s="95"/>
      <c r="J90" s="95"/>
      <c r="K90" s="95"/>
      <c r="L90" s="95"/>
      <c r="M90" s="95"/>
      <c r="N90" s="95"/>
      <c r="O90" s="95"/>
      <c r="P90" s="95"/>
      <c r="Q90" s="95"/>
      <c r="R90" s="95"/>
      <c r="S90" s="95"/>
    </row>
    <row r="91" spans="1:19" ht="18.75" customHeight="1" x14ac:dyDescent="0.15">
      <c r="A91" s="1" t="s">
        <v>121</v>
      </c>
      <c r="B91" s="95"/>
      <c r="C91" s="95"/>
      <c r="D91" s="95"/>
      <c r="E91" s="95"/>
      <c r="F91" s="95"/>
      <c r="G91" s="95"/>
      <c r="H91" s="95"/>
      <c r="I91" s="95"/>
      <c r="J91" s="95"/>
      <c r="K91" s="95"/>
      <c r="L91" s="95"/>
      <c r="M91" s="95"/>
      <c r="N91" s="95"/>
      <c r="O91" s="95"/>
      <c r="P91" s="95"/>
      <c r="Q91" s="95"/>
      <c r="R91" s="95"/>
      <c r="S91" s="95"/>
    </row>
    <row r="92" spans="1:19" ht="81.75" customHeight="1" x14ac:dyDescent="0.15">
      <c r="B92" s="153" t="s">
        <v>167</v>
      </c>
      <c r="C92" s="154"/>
      <c r="D92" s="154"/>
      <c r="E92" s="154"/>
      <c r="F92" s="154"/>
      <c r="G92" s="154"/>
      <c r="H92" s="154"/>
      <c r="I92" s="154"/>
      <c r="J92" s="154"/>
      <c r="K92" s="154"/>
      <c r="L92" s="154"/>
      <c r="M92" s="154"/>
      <c r="N92" s="154"/>
      <c r="O92" s="154"/>
      <c r="P92" s="154"/>
      <c r="Q92" s="154"/>
      <c r="R92" s="154"/>
      <c r="S92" s="155"/>
    </row>
    <row r="100" ht="18" customHeight="1" x14ac:dyDescent="0.15"/>
  </sheetData>
  <mergeCells count="123">
    <mergeCell ref="J38:O38"/>
    <mergeCell ref="J39:O39"/>
    <mergeCell ref="A41:S42"/>
    <mergeCell ref="A59:S60"/>
    <mergeCell ref="J55:O55"/>
    <mergeCell ref="J56:O56"/>
    <mergeCell ref="J57:O57"/>
    <mergeCell ref="B43:E43"/>
    <mergeCell ref="B44:E44"/>
    <mergeCell ref="B45:E45"/>
    <mergeCell ref="P69:S69"/>
    <mergeCell ref="B70:E70"/>
    <mergeCell ref="J54:O54"/>
    <mergeCell ref="B69:E69"/>
    <mergeCell ref="F70:I70"/>
    <mergeCell ref="P72:S72"/>
    <mergeCell ref="P73:S73"/>
    <mergeCell ref="B81:B82"/>
    <mergeCell ref="F69:I69"/>
    <mergeCell ref="J69:O69"/>
    <mergeCell ref="B62:D62"/>
    <mergeCell ref="B63:D63"/>
    <mergeCell ref="B65:D65"/>
    <mergeCell ref="B64:D64"/>
    <mergeCell ref="B61:D61"/>
    <mergeCell ref="J61:N61"/>
    <mergeCell ref="B54:E54"/>
    <mergeCell ref="B87:B89"/>
    <mergeCell ref="D87:S87"/>
    <mergeCell ref="D89:S89"/>
    <mergeCell ref="B85:B86"/>
    <mergeCell ref="B83:B84"/>
    <mergeCell ref="B79:B80"/>
    <mergeCell ref="J62:N62"/>
    <mergeCell ref="J63:N63"/>
    <mergeCell ref="J64:N64"/>
    <mergeCell ref="B73:E73"/>
    <mergeCell ref="F72:I72"/>
    <mergeCell ref="F73:I73"/>
    <mergeCell ref="J72:O72"/>
    <mergeCell ref="J73:O73"/>
    <mergeCell ref="B66:D66"/>
    <mergeCell ref="J65:N65"/>
    <mergeCell ref="D85:S85"/>
    <mergeCell ref="J66:N66"/>
    <mergeCell ref="J75:O75"/>
    <mergeCell ref="B78:C78"/>
    <mergeCell ref="D78:S78"/>
    <mergeCell ref="D79:S79"/>
    <mergeCell ref="J70:O70"/>
    <mergeCell ref="P70:S70"/>
    <mergeCell ref="B13:S18"/>
    <mergeCell ref="A22:S23"/>
    <mergeCell ref="K7:S7"/>
    <mergeCell ref="B9:S10"/>
    <mergeCell ref="B92:S92"/>
    <mergeCell ref="P75:S75"/>
    <mergeCell ref="B71:E71"/>
    <mergeCell ref="F71:I71"/>
    <mergeCell ref="J71:O71"/>
    <mergeCell ref="P71:S71"/>
    <mergeCell ref="B74:E74"/>
    <mergeCell ref="F74:I74"/>
    <mergeCell ref="J74:O74"/>
    <mergeCell ref="P74:S74"/>
    <mergeCell ref="B72:E72"/>
    <mergeCell ref="D80:S80"/>
    <mergeCell ref="D81:S81"/>
    <mergeCell ref="D84:S84"/>
    <mergeCell ref="D82:S82"/>
    <mergeCell ref="D83:S83"/>
    <mergeCell ref="B75:E75"/>
    <mergeCell ref="D86:S86"/>
    <mergeCell ref="F75:I75"/>
    <mergeCell ref="D88:S88"/>
    <mergeCell ref="A31:S32"/>
    <mergeCell ref="C20:D20"/>
    <mergeCell ref="B33:E33"/>
    <mergeCell ref="B34:E34"/>
    <mergeCell ref="B35:E35"/>
    <mergeCell ref="B52:E52"/>
    <mergeCell ref="B53:E53"/>
    <mergeCell ref="R1:S1"/>
    <mergeCell ref="B24:E24"/>
    <mergeCell ref="B25:E25"/>
    <mergeCell ref="B26:E26"/>
    <mergeCell ref="B27:E27"/>
    <mergeCell ref="B28:E28"/>
    <mergeCell ref="B29:E29"/>
    <mergeCell ref="J24:O24"/>
    <mergeCell ref="J25:O25"/>
    <mergeCell ref="J26:O26"/>
    <mergeCell ref="J27:O27"/>
    <mergeCell ref="J28:O28"/>
    <mergeCell ref="J29:O29"/>
    <mergeCell ref="K20:S20"/>
    <mergeCell ref="C2:I2"/>
    <mergeCell ref="C3:I3"/>
    <mergeCell ref="A5:S5"/>
    <mergeCell ref="J33:O33"/>
    <mergeCell ref="B55:E55"/>
    <mergeCell ref="B56:E56"/>
    <mergeCell ref="B57:E57"/>
    <mergeCell ref="J43:O43"/>
    <mergeCell ref="B47:E47"/>
    <mergeCell ref="B48:E48"/>
    <mergeCell ref="B46:E46"/>
    <mergeCell ref="A50:S51"/>
    <mergeCell ref="J48:O48"/>
    <mergeCell ref="B37:E37"/>
    <mergeCell ref="J34:O34"/>
    <mergeCell ref="J35:O35"/>
    <mergeCell ref="J36:O36"/>
    <mergeCell ref="J52:O52"/>
    <mergeCell ref="J53:O53"/>
    <mergeCell ref="B36:E36"/>
    <mergeCell ref="B38:E38"/>
    <mergeCell ref="B39:E39"/>
    <mergeCell ref="J44:O44"/>
    <mergeCell ref="J45:O45"/>
    <mergeCell ref="J46:O46"/>
    <mergeCell ref="J47:O47"/>
    <mergeCell ref="J37:O3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29 Q25:S29 G34:I39 Q34:S39 G44:I48 Q44:S48 G53:I57 Q53:S57 F62:I66 P62:S66" xr:uid="{4C0986EB-3601-4249-85F7-B678A400A117}">
      <formula1>"○"</formula1>
    </dataValidation>
    <dataValidation type="list" allowBlank="1" showInputMessage="1" showErrorMessage="1" sqref="S30 S40 D30:G30 D40:G40"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G70:I71 Q70:S71 Q74:S76 G74:I76 P70:P76 F70:F7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6" max="18" man="1"/>
    <brk id="8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N17" sqref="N17"/>
    </sheetView>
  </sheetViews>
  <sheetFormatPr defaultColWidth="9" defaultRowHeight="18.75" customHeight="1" x14ac:dyDescent="0.15"/>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8"/>
      <c r="Q2" s="28"/>
      <c r="W2" s="28"/>
      <c r="AC2" s="28"/>
      <c r="AI2" s="28"/>
      <c r="AL2" s="28" t="s">
        <v>109</v>
      </c>
      <c r="AM2" s="197" t="s">
        <v>185</v>
      </c>
      <c r="AN2" s="197"/>
      <c r="AO2" s="197"/>
      <c r="AP2" s="197"/>
      <c r="AQ2" s="197"/>
    </row>
    <row r="3" spans="1:45" ht="18" customHeight="1" x14ac:dyDescent="0.15">
      <c r="A3" s="134" t="s">
        <v>48</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31" t="s">
        <v>141</v>
      </c>
      <c r="D5" s="13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98" t="s">
        <v>45</v>
      </c>
      <c r="C9" s="213" t="s">
        <v>87</v>
      </c>
      <c r="D9" s="201" t="s">
        <v>47</v>
      </c>
      <c r="E9" s="204" t="s">
        <v>40</v>
      </c>
      <c r="F9" s="196" t="s">
        <v>86</v>
      </c>
      <c r="G9" s="196"/>
      <c r="H9" s="196"/>
      <c r="I9" s="196"/>
      <c r="J9" s="196"/>
      <c r="K9" s="196"/>
      <c r="L9" s="196" t="s">
        <v>49</v>
      </c>
      <c r="M9" s="196"/>
      <c r="N9" s="196"/>
      <c r="O9" s="196"/>
      <c r="P9" s="196"/>
      <c r="Q9" s="196"/>
      <c r="R9" s="196" t="s">
        <v>50</v>
      </c>
      <c r="S9" s="196"/>
      <c r="T9" s="196"/>
      <c r="U9" s="196"/>
      <c r="V9" s="196"/>
      <c r="W9" s="196"/>
      <c r="X9" s="196" t="s">
        <v>101</v>
      </c>
      <c r="Y9" s="196"/>
      <c r="Z9" s="196"/>
      <c r="AA9" s="196"/>
      <c r="AB9" s="196"/>
      <c r="AC9" s="196"/>
      <c r="AD9" s="196" t="s">
        <v>51</v>
      </c>
      <c r="AE9" s="196"/>
      <c r="AF9" s="196"/>
      <c r="AG9" s="196"/>
      <c r="AH9" s="196"/>
      <c r="AI9" s="196"/>
      <c r="AJ9" s="196" t="s">
        <v>52</v>
      </c>
      <c r="AK9" s="196"/>
      <c r="AL9" s="196"/>
      <c r="AM9" s="196"/>
      <c r="AN9" s="196"/>
      <c r="AO9" s="196"/>
      <c r="AP9" s="207" t="s">
        <v>35</v>
      </c>
      <c r="AQ9" s="210" t="s">
        <v>32</v>
      </c>
      <c r="AS9" s="2"/>
    </row>
    <row r="10" spans="1:45" ht="17.100000000000001" customHeight="1" x14ac:dyDescent="0.15">
      <c r="B10" s="199"/>
      <c r="C10" s="214"/>
      <c r="D10" s="202"/>
      <c r="E10" s="205"/>
      <c r="F10" s="194" t="s">
        <v>97</v>
      </c>
      <c r="G10" s="195"/>
      <c r="H10" s="195"/>
      <c r="I10" s="194" t="s">
        <v>29</v>
      </c>
      <c r="J10" s="195"/>
      <c r="K10" s="195"/>
      <c r="L10" s="194" t="s">
        <v>97</v>
      </c>
      <c r="M10" s="195"/>
      <c r="N10" s="195"/>
      <c r="O10" s="194" t="s">
        <v>29</v>
      </c>
      <c r="P10" s="195"/>
      <c r="Q10" s="195"/>
      <c r="R10" s="194" t="s">
        <v>97</v>
      </c>
      <c r="S10" s="195"/>
      <c r="T10" s="195"/>
      <c r="U10" s="194" t="s">
        <v>29</v>
      </c>
      <c r="V10" s="195"/>
      <c r="W10" s="195"/>
      <c r="X10" s="194" t="s">
        <v>97</v>
      </c>
      <c r="Y10" s="195"/>
      <c r="Z10" s="195"/>
      <c r="AA10" s="194" t="s">
        <v>29</v>
      </c>
      <c r="AB10" s="195"/>
      <c r="AC10" s="195"/>
      <c r="AD10" s="194" t="s">
        <v>97</v>
      </c>
      <c r="AE10" s="195"/>
      <c r="AF10" s="195"/>
      <c r="AG10" s="194" t="s">
        <v>29</v>
      </c>
      <c r="AH10" s="195"/>
      <c r="AI10" s="195"/>
      <c r="AJ10" s="194" t="s">
        <v>97</v>
      </c>
      <c r="AK10" s="195"/>
      <c r="AL10" s="195"/>
      <c r="AM10" s="194" t="s">
        <v>29</v>
      </c>
      <c r="AN10" s="195"/>
      <c r="AO10" s="195"/>
      <c r="AP10" s="208"/>
      <c r="AQ10" s="211"/>
      <c r="AS10" s="2"/>
    </row>
    <row r="11" spans="1:45" ht="18" customHeight="1" x14ac:dyDescent="0.15">
      <c r="B11" s="200"/>
      <c r="C11" s="215"/>
      <c r="D11" s="203"/>
      <c r="E11" s="20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209"/>
      <c r="AQ11" s="212"/>
      <c r="AS11" s="2"/>
    </row>
    <row r="12" spans="1:45" ht="18" customHeight="1" x14ac:dyDescent="0.15">
      <c r="A12" s="6"/>
      <c r="B12" s="11" t="s">
        <v>142</v>
      </c>
      <c r="C12" s="96">
        <v>3625</v>
      </c>
      <c r="D12" s="6">
        <v>880</v>
      </c>
      <c r="E12" s="75">
        <v>3552</v>
      </c>
      <c r="F12" s="55">
        <v>108</v>
      </c>
      <c r="G12" s="76"/>
      <c r="H12" s="77"/>
      <c r="I12" s="55">
        <v>71</v>
      </c>
      <c r="J12" s="76"/>
      <c r="K12" s="77"/>
      <c r="L12" s="61">
        <f t="shared" ref="L12:L31" si="0">M12+N12</f>
        <v>0</v>
      </c>
      <c r="M12" s="56"/>
      <c r="N12" s="57"/>
      <c r="O12" s="55">
        <f>P12+Q12</f>
        <v>0</v>
      </c>
      <c r="P12" s="56"/>
      <c r="Q12" s="57"/>
      <c r="R12" s="55">
        <f>S12+T12</f>
        <v>0</v>
      </c>
      <c r="S12" s="56"/>
      <c r="T12" s="57"/>
      <c r="U12" s="55">
        <f>V12+W12</f>
        <v>0</v>
      </c>
      <c r="V12" s="56"/>
      <c r="W12" s="57"/>
      <c r="X12" s="55">
        <f>Y12+Z12</f>
        <v>0</v>
      </c>
      <c r="Y12" s="56"/>
      <c r="Z12" s="57"/>
      <c r="AA12" s="55">
        <f>AB12+AC12</f>
        <v>0</v>
      </c>
      <c r="AB12" s="56"/>
      <c r="AC12" s="57"/>
      <c r="AD12" s="55">
        <f>AE12+AF12</f>
        <v>0</v>
      </c>
      <c r="AE12" s="56"/>
      <c r="AF12" s="57"/>
      <c r="AG12" s="55">
        <f>AH12+AI12</f>
        <v>0</v>
      </c>
      <c r="AH12" s="56"/>
      <c r="AI12" s="57"/>
      <c r="AJ12" s="55">
        <f>AK12+AL12</f>
        <v>0</v>
      </c>
      <c r="AK12" s="56"/>
      <c r="AL12" s="57"/>
      <c r="AM12" s="55">
        <f>AN12+AO12</f>
        <v>0</v>
      </c>
      <c r="AN12" s="56"/>
      <c r="AO12" s="57"/>
      <c r="AP12" s="54">
        <f>F12+L12+R12+X12+AD12+AJ12</f>
        <v>108</v>
      </c>
      <c r="AQ12" s="98">
        <f t="shared" ref="AQ12:AQ32" si="1">AP12/E12</f>
        <v>3.0405405405405407E-2</v>
      </c>
    </row>
    <row r="13" spans="1:45" ht="18" customHeight="1" x14ac:dyDescent="0.15">
      <c r="A13" s="6"/>
      <c r="B13" s="12" t="s">
        <v>143</v>
      </c>
      <c r="C13" s="97">
        <v>1269</v>
      </c>
      <c r="D13" s="74">
        <v>300</v>
      </c>
      <c r="E13" s="73">
        <v>1212</v>
      </c>
      <c r="F13" s="61">
        <v>22</v>
      </c>
      <c r="G13" s="78"/>
      <c r="H13" s="79"/>
      <c r="I13" s="61">
        <v>19</v>
      </c>
      <c r="J13" s="78"/>
      <c r="K13" s="79"/>
      <c r="L13" s="61">
        <f t="shared" si="0"/>
        <v>0</v>
      </c>
      <c r="M13" s="62"/>
      <c r="N13" s="63"/>
      <c r="O13" s="61">
        <f t="shared" ref="O13:O31" si="2">P13+Q13</f>
        <v>0</v>
      </c>
      <c r="P13" s="62"/>
      <c r="Q13" s="63"/>
      <c r="R13" s="61">
        <f t="shared" ref="R13:R31" si="3">S13+T13</f>
        <v>0</v>
      </c>
      <c r="S13" s="62"/>
      <c r="T13" s="63"/>
      <c r="U13" s="61">
        <f t="shared" ref="U13:U31" si="4">V13+W13</f>
        <v>0</v>
      </c>
      <c r="V13" s="62"/>
      <c r="W13" s="63"/>
      <c r="X13" s="61">
        <f t="shared" ref="X13:X31" si="5">Y13+Z13</f>
        <v>0</v>
      </c>
      <c r="Y13" s="62"/>
      <c r="Z13" s="63"/>
      <c r="AA13" s="61">
        <f t="shared" ref="AA13:AA31" si="6">AB13+AC13</f>
        <v>0</v>
      </c>
      <c r="AB13" s="62"/>
      <c r="AC13" s="63"/>
      <c r="AD13" s="61">
        <f t="shared" ref="AD13:AD31" si="7">AE13+AF13</f>
        <v>0</v>
      </c>
      <c r="AE13" s="62"/>
      <c r="AF13" s="63"/>
      <c r="AG13" s="61">
        <f t="shared" ref="AG13:AG31" si="8">AH13+AI13</f>
        <v>0</v>
      </c>
      <c r="AH13" s="62"/>
      <c r="AI13" s="63"/>
      <c r="AJ13" s="61">
        <f t="shared" ref="AJ13:AJ31" si="9">AK13+AL13</f>
        <v>0</v>
      </c>
      <c r="AK13" s="62"/>
      <c r="AL13" s="63"/>
      <c r="AM13" s="61">
        <f t="shared" ref="AM13:AM31" si="10">AN13+AO13</f>
        <v>0</v>
      </c>
      <c r="AN13" s="62"/>
      <c r="AO13" s="63"/>
      <c r="AP13" s="59">
        <f t="shared" ref="AP13:AP31" si="11">F13+L13+R13+X13+AD13+AJ13</f>
        <v>22</v>
      </c>
      <c r="AQ13" s="20">
        <f t="shared" si="1"/>
        <v>1.8151815181518153E-2</v>
      </c>
    </row>
    <row r="14" spans="1:45" ht="18" customHeight="1" x14ac:dyDescent="0.15">
      <c r="A14" s="6"/>
      <c r="B14" s="12" t="s">
        <v>144</v>
      </c>
      <c r="C14" s="97">
        <v>555</v>
      </c>
      <c r="D14" s="74">
        <v>140</v>
      </c>
      <c r="E14" s="73">
        <v>570</v>
      </c>
      <c r="F14" s="61">
        <f t="shared" ref="F14:F31" si="12">G14+H14</f>
        <v>0</v>
      </c>
      <c r="G14" s="78"/>
      <c r="H14" s="79"/>
      <c r="I14" s="61">
        <v>0</v>
      </c>
      <c r="J14" s="78"/>
      <c r="K14" s="79"/>
      <c r="L14" s="61">
        <f t="shared" si="0"/>
        <v>0</v>
      </c>
      <c r="M14" s="62"/>
      <c r="N14" s="63"/>
      <c r="O14" s="61">
        <f t="shared" si="2"/>
        <v>0</v>
      </c>
      <c r="P14" s="62"/>
      <c r="Q14" s="63"/>
      <c r="R14" s="61">
        <f t="shared" si="3"/>
        <v>0</v>
      </c>
      <c r="S14" s="62"/>
      <c r="T14" s="63"/>
      <c r="U14" s="61">
        <f t="shared" si="4"/>
        <v>0</v>
      </c>
      <c r="V14" s="62"/>
      <c r="W14" s="63"/>
      <c r="X14" s="61">
        <f t="shared" si="5"/>
        <v>0</v>
      </c>
      <c r="Y14" s="62"/>
      <c r="Z14" s="63"/>
      <c r="AA14" s="61">
        <f t="shared" si="6"/>
        <v>0</v>
      </c>
      <c r="AB14" s="62"/>
      <c r="AC14" s="63"/>
      <c r="AD14" s="61">
        <f t="shared" si="7"/>
        <v>0</v>
      </c>
      <c r="AE14" s="62"/>
      <c r="AF14" s="63"/>
      <c r="AG14" s="61">
        <f t="shared" si="8"/>
        <v>0</v>
      </c>
      <c r="AH14" s="62"/>
      <c r="AI14" s="63"/>
      <c r="AJ14" s="61">
        <f t="shared" si="9"/>
        <v>0</v>
      </c>
      <c r="AK14" s="62"/>
      <c r="AL14" s="63"/>
      <c r="AM14" s="61">
        <f t="shared" si="10"/>
        <v>0</v>
      </c>
      <c r="AN14" s="62"/>
      <c r="AO14" s="63"/>
      <c r="AP14" s="59">
        <f t="shared" si="11"/>
        <v>0</v>
      </c>
      <c r="AQ14" s="8">
        <f t="shared" si="1"/>
        <v>0</v>
      </c>
    </row>
    <row r="15" spans="1:45" ht="18" customHeight="1" x14ac:dyDescent="0.15">
      <c r="A15" s="6"/>
      <c r="B15" s="12" t="s">
        <v>145</v>
      </c>
      <c r="C15" s="97">
        <v>1686</v>
      </c>
      <c r="D15" s="74">
        <v>400</v>
      </c>
      <c r="E15" s="73">
        <v>1620</v>
      </c>
      <c r="F15" s="61">
        <v>24</v>
      </c>
      <c r="G15" s="78"/>
      <c r="H15" s="79"/>
      <c r="I15" s="61">
        <v>11</v>
      </c>
      <c r="J15" s="78"/>
      <c r="K15" s="79"/>
      <c r="L15" s="61">
        <f t="shared" si="0"/>
        <v>0</v>
      </c>
      <c r="M15" s="62"/>
      <c r="N15" s="63"/>
      <c r="O15" s="61">
        <f t="shared" si="2"/>
        <v>0</v>
      </c>
      <c r="P15" s="62"/>
      <c r="Q15" s="63"/>
      <c r="R15" s="61">
        <f t="shared" si="3"/>
        <v>0</v>
      </c>
      <c r="S15" s="62"/>
      <c r="T15" s="63"/>
      <c r="U15" s="61">
        <f t="shared" si="4"/>
        <v>0</v>
      </c>
      <c r="V15" s="62"/>
      <c r="W15" s="63"/>
      <c r="X15" s="61">
        <f t="shared" si="5"/>
        <v>0</v>
      </c>
      <c r="Y15" s="62"/>
      <c r="Z15" s="63"/>
      <c r="AA15" s="61">
        <f t="shared" si="6"/>
        <v>0</v>
      </c>
      <c r="AB15" s="62"/>
      <c r="AC15" s="63"/>
      <c r="AD15" s="61">
        <f t="shared" si="7"/>
        <v>0</v>
      </c>
      <c r="AE15" s="62"/>
      <c r="AF15" s="63"/>
      <c r="AG15" s="61">
        <f t="shared" si="8"/>
        <v>0</v>
      </c>
      <c r="AH15" s="62"/>
      <c r="AI15" s="63"/>
      <c r="AJ15" s="61">
        <f t="shared" si="9"/>
        <v>0</v>
      </c>
      <c r="AK15" s="62"/>
      <c r="AL15" s="63"/>
      <c r="AM15" s="61">
        <f t="shared" si="10"/>
        <v>0</v>
      </c>
      <c r="AN15" s="62"/>
      <c r="AO15" s="63"/>
      <c r="AP15" s="59">
        <f t="shared" si="11"/>
        <v>24</v>
      </c>
      <c r="AQ15" s="8">
        <f t="shared" si="1"/>
        <v>1.4814814814814815E-2</v>
      </c>
    </row>
    <row r="16" spans="1:45" ht="18" customHeight="1" x14ac:dyDescent="0.15">
      <c r="A16" s="6"/>
      <c r="B16" s="12" t="s">
        <v>146</v>
      </c>
      <c r="C16" s="97">
        <v>1449</v>
      </c>
      <c r="D16" s="74">
        <v>360</v>
      </c>
      <c r="E16" s="73">
        <v>1452</v>
      </c>
      <c r="F16" s="61">
        <v>42</v>
      </c>
      <c r="G16" s="78"/>
      <c r="H16" s="79"/>
      <c r="I16" s="61">
        <v>31</v>
      </c>
      <c r="J16" s="78"/>
      <c r="K16" s="79"/>
      <c r="L16" s="61">
        <f t="shared" si="0"/>
        <v>0</v>
      </c>
      <c r="M16" s="62"/>
      <c r="N16" s="63"/>
      <c r="O16" s="61">
        <f t="shared" si="2"/>
        <v>0</v>
      </c>
      <c r="P16" s="62"/>
      <c r="Q16" s="63"/>
      <c r="R16" s="61">
        <f t="shared" si="3"/>
        <v>0</v>
      </c>
      <c r="S16" s="62"/>
      <c r="T16" s="63"/>
      <c r="U16" s="61">
        <f t="shared" si="4"/>
        <v>0</v>
      </c>
      <c r="V16" s="62"/>
      <c r="W16" s="63"/>
      <c r="X16" s="61">
        <f t="shared" si="5"/>
        <v>0</v>
      </c>
      <c r="Y16" s="62"/>
      <c r="Z16" s="63"/>
      <c r="AA16" s="61">
        <f t="shared" si="6"/>
        <v>0</v>
      </c>
      <c r="AB16" s="62"/>
      <c r="AC16" s="63"/>
      <c r="AD16" s="61">
        <f t="shared" si="7"/>
        <v>0</v>
      </c>
      <c r="AE16" s="62"/>
      <c r="AF16" s="63"/>
      <c r="AG16" s="61">
        <f t="shared" si="8"/>
        <v>0</v>
      </c>
      <c r="AH16" s="62"/>
      <c r="AI16" s="63"/>
      <c r="AJ16" s="61">
        <f t="shared" si="9"/>
        <v>0</v>
      </c>
      <c r="AK16" s="62"/>
      <c r="AL16" s="63"/>
      <c r="AM16" s="61">
        <f t="shared" si="10"/>
        <v>0</v>
      </c>
      <c r="AN16" s="62"/>
      <c r="AO16" s="63"/>
      <c r="AP16" s="59">
        <f t="shared" si="11"/>
        <v>42</v>
      </c>
      <c r="AQ16" s="8">
        <f t="shared" si="1"/>
        <v>2.8925619834710745E-2</v>
      </c>
    </row>
    <row r="17" spans="1:43" ht="18" customHeight="1" x14ac:dyDescent="0.15">
      <c r="A17" s="6"/>
      <c r="B17" s="12" t="s">
        <v>147</v>
      </c>
      <c r="C17" s="97">
        <v>1519</v>
      </c>
      <c r="D17" s="74">
        <v>360</v>
      </c>
      <c r="E17" s="73">
        <v>1440</v>
      </c>
      <c r="F17" s="61">
        <v>6</v>
      </c>
      <c r="G17" s="78"/>
      <c r="H17" s="79"/>
      <c r="I17" s="61">
        <v>1</v>
      </c>
      <c r="J17" s="78"/>
      <c r="K17" s="79"/>
      <c r="L17" s="61">
        <f t="shared" si="0"/>
        <v>0</v>
      </c>
      <c r="M17" s="62"/>
      <c r="N17" s="63"/>
      <c r="O17" s="61">
        <f t="shared" si="2"/>
        <v>0</v>
      </c>
      <c r="P17" s="62"/>
      <c r="Q17" s="63"/>
      <c r="R17" s="61">
        <f t="shared" si="3"/>
        <v>0</v>
      </c>
      <c r="S17" s="62"/>
      <c r="T17" s="63"/>
      <c r="U17" s="61">
        <f t="shared" si="4"/>
        <v>0</v>
      </c>
      <c r="V17" s="62"/>
      <c r="W17" s="63"/>
      <c r="X17" s="61">
        <f t="shared" si="5"/>
        <v>0</v>
      </c>
      <c r="Y17" s="62"/>
      <c r="Z17" s="63"/>
      <c r="AA17" s="61">
        <f t="shared" si="6"/>
        <v>0</v>
      </c>
      <c r="AB17" s="62"/>
      <c r="AC17" s="63"/>
      <c r="AD17" s="61">
        <f t="shared" si="7"/>
        <v>0</v>
      </c>
      <c r="AE17" s="62"/>
      <c r="AF17" s="63"/>
      <c r="AG17" s="61">
        <f t="shared" si="8"/>
        <v>0</v>
      </c>
      <c r="AH17" s="62"/>
      <c r="AI17" s="63"/>
      <c r="AJ17" s="61">
        <f t="shared" si="9"/>
        <v>0</v>
      </c>
      <c r="AK17" s="62"/>
      <c r="AL17" s="63"/>
      <c r="AM17" s="61">
        <f t="shared" si="10"/>
        <v>0</v>
      </c>
      <c r="AN17" s="62"/>
      <c r="AO17" s="63"/>
      <c r="AP17" s="59">
        <f t="shared" si="11"/>
        <v>6</v>
      </c>
      <c r="AQ17" s="8">
        <f t="shared" si="1"/>
        <v>4.1666666666666666E-3</v>
      </c>
    </row>
    <row r="18" spans="1:43" ht="18" customHeight="1" x14ac:dyDescent="0.15">
      <c r="A18" s="6"/>
      <c r="B18" s="12" t="s">
        <v>148</v>
      </c>
      <c r="C18" s="97">
        <v>663</v>
      </c>
      <c r="D18" s="74">
        <v>160</v>
      </c>
      <c r="E18" s="73">
        <v>648</v>
      </c>
      <c r="F18" s="61">
        <v>4</v>
      </c>
      <c r="G18" s="78"/>
      <c r="H18" s="79"/>
      <c r="I18" s="61">
        <v>0</v>
      </c>
      <c r="J18" s="78"/>
      <c r="K18" s="79"/>
      <c r="L18" s="61">
        <f t="shared" si="0"/>
        <v>0</v>
      </c>
      <c r="M18" s="62"/>
      <c r="N18" s="63"/>
      <c r="O18" s="61">
        <f t="shared" si="2"/>
        <v>0</v>
      </c>
      <c r="P18" s="62"/>
      <c r="Q18" s="63"/>
      <c r="R18" s="61">
        <f t="shared" si="3"/>
        <v>0</v>
      </c>
      <c r="S18" s="62"/>
      <c r="T18" s="63"/>
      <c r="U18" s="61">
        <f t="shared" si="4"/>
        <v>0</v>
      </c>
      <c r="V18" s="62"/>
      <c r="W18" s="63"/>
      <c r="X18" s="61">
        <f t="shared" si="5"/>
        <v>0</v>
      </c>
      <c r="Y18" s="62"/>
      <c r="Z18" s="63"/>
      <c r="AA18" s="61">
        <f t="shared" si="6"/>
        <v>0</v>
      </c>
      <c r="AB18" s="62"/>
      <c r="AC18" s="63"/>
      <c r="AD18" s="61">
        <f t="shared" si="7"/>
        <v>0</v>
      </c>
      <c r="AE18" s="62"/>
      <c r="AF18" s="63"/>
      <c r="AG18" s="61">
        <f t="shared" si="8"/>
        <v>0</v>
      </c>
      <c r="AH18" s="62"/>
      <c r="AI18" s="63"/>
      <c r="AJ18" s="61">
        <f t="shared" si="9"/>
        <v>0</v>
      </c>
      <c r="AK18" s="62"/>
      <c r="AL18" s="63"/>
      <c r="AM18" s="61">
        <f t="shared" si="10"/>
        <v>0</v>
      </c>
      <c r="AN18" s="62"/>
      <c r="AO18" s="63"/>
      <c r="AP18" s="59">
        <f t="shared" si="11"/>
        <v>4</v>
      </c>
      <c r="AQ18" s="8">
        <f t="shared" si="1"/>
        <v>6.1728395061728392E-3</v>
      </c>
    </row>
    <row r="19" spans="1:43" ht="18" customHeight="1" x14ac:dyDescent="0.15">
      <c r="A19" s="6"/>
      <c r="B19" s="12"/>
      <c r="C19" s="58"/>
      <c r="D19" s="59"/>
      <c r="E19" s="60"/>
      <c r="F19" s="61">
        <f t="shared" si="12"/>
        <v>0</v>
      </c>
      <c r="G19" s="62"/>
      <c r="H19" s="63"/>
      <c r="I19" s="61">
        <f t="shared" ref="I19:I31" si="13">J19+K19</f>
        <v>0</v>
      </c>
      <c r="J19" s="62"/>
      <c r="K19" s="63"/>
      <c r="L19" s="61">
        <f t="shared" si="0"/>
        <v>0</v>
      </c>
      <c r="M19" s="62"/>
      <c r="N19" s="63"/>
      <c r="O19" s="61">
        <f t="shared" si="2"/>
        <v>0</v>
      </c>
      <c r="P19" s="62"/>
      <c r="Q19" s="63"/>
      <c r="R19" s="61">
        <f t="shared" si="3"/>
        <v>0</v>
      </c>
      <c r="S19" s="62"/>
      <c r="T19" s="63"/>
      <c r="U19" s="61">
        <f t="shared" si="4"/>
        <v>0</v>
      </c>
      <c r="V19" s="62"/>
      <c r="W19" s="63"/>
      <c r="X19" s="61">
        <f t="shared" si="5"/>
        <v>0</v>
      </c>
      <c r="Y19" s="62"/>
      <c r="Z19" s="63"/>
      <c r="AA19" s="61">
        <f t="shared" si="6"/>
        <v>0</v>
      </c>
      <c r="AB19" s="62"/>
      <c r="AC19" s="63"/>
      <c r="AD19" s="61">
        <f t="shared" si="7"/>
        <v>0</v>
      </c>
      <c r="AE19" s="62"/>
      <c r="AF19" s="63"/>
      <c r="AG19" s="61">
        <f t="shared" si="8"/>
        <v>0</v>
      </c>
      <c r="AH19" s="62"/>
      <c r="AI19" s="63"/>
      <c r="AJ19" s="61">
        <f t="shared" si="9"/>
        <v>0</v>
      </c>
      <c r="AK19" s="62"/>
      <c r="AL19" s="63"/>
      <c r="AM19" s="61">
        <f t="shared" si="10"/>
        <v>0</v>
      </c>
      <c r="AN19" s="62"/>
      <c r="AO19" s="63"/>
      <c r="AP19" s="59">
        <f t="shared" si="11"/>
        <v>0</v>
      </c>
      <c r="AQ19" s="8" t="e">
        <f t="shared" si="1"/>
        <v>#DIV/0!</v>
      </c>
    </row>
    <row r="20" spans="1:43" ht="18" customHeight="1" x14ac:dyDescent="0.15">
      <c r="A20" s="6"/>
      <c r="B20" s="12"/>
      <c r="C20" s="58"/>
      <c r="D20" s="59"/>
      <c r="E20" s="60"/>
      <c r="F20" s="61">
        <f t="shared" si="12"/>
        <v>0</v>
      </c>
      <c r="G20" s="62"/>
      <c r="H20" s="63"/>
      <c r="I20" s="61">
        <f t="shared" si="13"/>
        <v>0</v>
      </c>
      <c r="J20" s="62"/>
      <c r="K20" s="63"/>
      <c r="L20" s="61">
        <f t="shared" si="0"/>
        <v>0</v>
      </c>
      <c r="M20" s="62"/>
      <c r="N20" s="63"/>
      <c r="O20" s="61">
        <f t="shared" si="2"/>
        <v>0</v>
      </c>
      <c r="P20" s="62"/>
      <c r="Q20" s="63"/>
      <c r="R20" s="61">
        <f t="shared" si="3"/>
        <v>0</v>
      </c>
      <c r="S20" s="62"/>
      <c r="T20" s="63"/>
      <c r="U20" s="61">
        <f t="shared" si="4"/>
        <v>0</v>
      </c>
      <c r="V20" s="62"/>
      <c r="W20" s="63"/>
      <c r="X20" s="61">
        <f t="shared" si="5"/>
        <v>0</v>
      </c>
      <c r="Y20" s="62"/>
      <c r="Z20" s="63"/>
      <c r="AA20" s="61">
        <f t="shared" si="6"/>
        <v>0</v>
      </c>
      <c r="AB20" s="62"/>
      <c r="AC20" s="63"/>
      <c r="AD20" s="61">
        <f t="shared" si="7"/>
        <v>0</v>
      </c>
      <c r="AE20" s="62"/>
      <c r="AF20" s="63"/>
      <c r="AG20" s="61">
        <f t="shared" si="8"/>
        <v>0</v>
      </c>
      <c r="AH20" s="62"/>
      <c r="AI20" s="63"/>
      <c r="AJ20" s="61">
        <f t="shared" si="9"/>
        <v>0</v>
      </c>
      <c r="AK20" s="62"/>
      <c r="AL20" s="63"/>
      <c r="AM20" s="61">
        <f t="shared" si="10"/>
        <v>0</v>
      </c>
      <c r="AN20" s="62"/>
      <c r="AO20" s="63"/>
      <c r="AP20" s="59">
        <f t="shared" si="11"/>
        <v>0</v>
      </c>
      <c r="AQ20" s="8" t="e">
        <f t="shared" si="1"/>
        <v>#DIV/0!</v>
      </c>
    </row>
    <row r="21" spans="1:43" ht="18" customHeight="1" x14ac:dyDescent="0.15">
      <c r="A21" s="6"/>
      <c r="B21" s="12"/>
      <c r="C21" s="58"/>
      <c r="D21" s="59"/>
      <c r="E21" s="60"/>
      <c r="F21" s="61">
        <f t="shared" si="12"/>
        <v>0</v>
      </c>
      <c r="G21" s="62"/>
      <c r="H21" s="63"/>
      <c r="I21" s="61">
        <f t="shared" si="13"/>
        <v>0</v>
      </c>
      <c r="J21" s="62"/>
      <c r="K21" s="63"/>
      <c r="L21" s="61">
        <f t="shared" si="0"/>
        <v>0</v>
      </c>
      <c r="M21" s="62"/>
      <c r="N21" s="63"/>
      <c r="O21" s="61">
        <f t="shared" si="2"/>
        <v>0</v>
      </c>
      <c r="P21" s="62"/>
      <c r="Q21" s="63"/>
      <c r="R21" s="61">
        <f t="shared" si="3"/>
        <v>0</v>
      </c>
      <c r="S21" s="62"/>
      <c r="T21" s="63"/>
      <c r="U21" s="61">
        <f t="shared" si="4"/>
        <v>0</v>
      </c>
      <c r="V21" s="62"/>
      <c r="W21" s="63"/>
      <c r="X21" s="61">
        <f t="shared" si="5"/>
        <v>0</v>
      </c>
      <c r="Y21" s="62"/>
      <c r="Z21" s="63"/>
      <c r="AA21" s="61">
        <f t="shared" si="6"/>
        <v>0</v>
      </c>
      <c r="AB21" s="62"/>
      <c r="AC21" s="63"/>
      <c r="AD21" s="61">
        <f t="shared" si="7"/>
        <v>0</v>
      </c>
      <c r="AE21" s="62"/>
      <c r="AF21" s="63"/>
      <c r="AG21" s="61">
        <f t="shared" si="8"/>
        <v>0</v>
      </c>
      <c r="AH21" s="62"/>
      <c r="AI21" s="63"/>
      <c r="AJ21" s="61">
        <f t="shared" si="9"/>
        <v>0</v>
      </c>
      <c r="AK21" s="62"/>
      <c r="AL21" s="63"/>
      <c r="AM21" s="61">
        <f t="shared" si="10"/>
        <v>0</v>
      </c>
      <c r="AN21" s="62"/>
      <c r="AO21" s="63"/>
      <c r="AP21" s="59">
        <f t="shared" si="11"/>
        <v>0</v>
      </c>
      <c r="AQ21" s="8" t="e">
        <f t="shared" si="1"/>
        <v>#DIV/0!</v>
      </c>
    </row>
    <row r="22" spans="1:43" ht="18" customHeight="1" x14ac:dyDescent="0.15">
      <c r="A22" s="6"/>
      <c r="B22" s="12"/>
      <c r="C22" s="58"/>
      <c r="D22" s="59"/>
      <c r="E22" s="60"/>
      <c r="F22" s="61">
        <f t="shared" si="12"/>
        <v>0</v>
      </c>
      <c r="G22" s="62"/>
      <c r="H22" s="63"/>
      <c r="I22" s="61">
        <f t="shared" si="13"/>
        <v>0</v>
      </c>
      <c r="J22" s="62"/>
      <c r="K22" s="63"/>
      <c r="L22" s="61">
        <f t="shared" si="0"/>
        <v>0</v>
      </c>
      <c r="M22" s="62"/>
      <c r="N22" s="63"/>
      <c r="O22" s="61">
        <f t="shared" si="2"/>
        <v>0</v>
      </c>
      <c r="P22" s="62"/>
      <c r="Q22" s="63"/>
      <c r="R22" s="61">
        <f t="shared" si="3"/>
        <v>0</v>
      </c>
      <c r="S22" s="62"/>
      <c r="T22" s="63"/>
      <c r="U22" s="61">
        <f t="shared" si="4"/>
        <v>0</v>
      </c>
      <c r="V22" s="62"/>
      <c r="W22" s="63"/>
      <c r="X22" s="61">
        <f t="shared" si="5"/>
        <v>0</v>
      </c>
      <c r="Y22" s="62"/>
      <c r="Z22" s="63"/>
      <c r="AA22" s="61">
        <f t="shared" si="6"/>
        <v>0</v>
      </c>
      <c r="AB22" s="62"/>
      <c r="AC22" s="63"/>
      <c r="AD22" s="61">
        <f t="shared" si="7"/>
        <v>0</v>
      </c>
      <c r="AE22" s="62"/>
      <c r="AF22" s="63"/>
      <c r="AG22" s="61">
        <f t="shared" si="8"/>
        <v>0</v>
      </c>
      <c r="AH22" s="62"/>
      <c r="AI22" s="63"/>
      <c r="AJ22" s="61">
        <f t="shared" si="9"/>
        <v>0</v>
      </c>
      <c r="AK22" s="62"/>
      <c r="AL22" s="63"/>
      <c r="AM22" s="61">
        <f t="shared" si="10"/>
        <v>0</v>
      </c>
      <c r="AN22" s="62"/>
      <c r="AO22" s="63"/>
      <c r="AP22" s="59">
        <f t="shared" si="11"/>
        <v>0</v>
      </c>
      <c r="AQ22" s="8" t="e">
        <f t="shared" si="1"/>
        <v>#DIV/0!</v>
      </c>
    </row>
    <row r="23" spans="1:43" ht="18" customHeight="1" x14ac:dyDescent="0.15">
      <c r="A23" s="6"/>
      <c r="B23" s="12"/>
      <c r="C23" s="58"/>
      <c r="D23" s="59"/>
      <c r="E23" s="60"/>
      <c r="F23" s="61">
        <f t="shared" si="12"/>
        <v>0</v>
      </c>
      <c r="G23" s="62"/>
      <c r="H23" s="63"/>
      <c r="I23" s="61">
        <f t="shared" si="13"/>
        <v>0</v>
      </c>
      <c r="J23" s="62"/>
      <c r="K23" s="63"/>
      <c r="L23" s="61">
        <f t="shared" si="0"/>
        <v>0</v>
      </c>
      <c r="M23" s="62"/>
      <c r="N23" s="63"/>
      <c r="O23" s="61">
        <f t="shared" si="2"/>
        <v>0</v>
      </c>
      <c r="P23" s="62"/>
      <c r="Q23" s="63"/>
      <c r="R23" s="61">
        <f t="shared" si="3"/>
        <v>0</v>
      </c>
      <c r="S23" s="62"/>
      <c r="T23" s="63"/>
      <c r="U23" s="61">
        <f t="shared" si="4"/>
        <v>0</v>
      </c>
      <c r="V23" s="62"/>
      <c r="W23" s="63"/>
      <c r="X23" s="61">
        <f t="shared" si="5"/>
        <v>0</v>
      </c>
      <c r="Y23" s="62"/>
      <c r="Z23" s="63"/>
      <c r="AA23" s="61">
        <f t="shared" si="6"/>
        <v>0</v>
      </c>
      <c r="AB23" s="62"/>
      <c r="AC23" s="63"/>
      <c r="AD23" s="61">
        <f t="shared" si="7"/>
        <v>0</v>
      </c>
      <c r="AE23" s="62"/>
      <c r="AF23" s="63"/>
      <c r="AG23" s="61">
        <f t="shared" si="8"/>
        <v>0</v>
      </c>
      <c r="AH23" s="62"/>
      <c r="AI23" s="63"/>
      <c r="AJ23" s="61">
        <f t="shared" si="9"/>
        <v>0</v>
      </c>
      <c r="AK23" s="62"/>
      <c r="AL23" s="63"/>
      <c r="AM23" s="61">
        <f t="shared" si="10"/>
        <v>0</v>
      </c>
      <c r="AN23" s="62"/>
      <c r="AO23" s="63"/>
      <c r="AP23" s="59">
        <f t="shared" si="11"/>
        <v>0</v>
      </c>
      <c r="AQ23" s="8" t="e">
        <f t="shared" si="1"/>
        <v>#DIV/0!</v>
      </c>
    </row>
    <row r="24" spans="1:43" ht="18" customHeight="1" x14ac:dyDescent="0.15">
      <c r="A24" s="6"/>
      <c r="B24" s="12"/>
      <c r="C24" s="58"/>
      <c r="D24" s="59"/>
      <c r="E24" s="60"/>
      <c r="F24" s="61">
        <f t="shared" si="12"/>
        <v>0</v>
      </c>
      <c r="G24" s="62"/>
      <c r="H24" s="63"/>
      <c r="I24" s="61">
        <f t="shared" si="13"/>
        <v>0</v>
      </c>
      <c r="J24" s="62"/>
      <c r="K24" s="63"/>
      <c r="L24" s="61">
        <f t="shared" si="0"/>
        <v>0</v>
      </c>
      <c r="M24" s="62"/>
      <c r="N24" s="63"/>
      <c r="O24" s="61">
        <f t="shared" si="2"/>
        <v>0</v>
      </c>
      <c r="P24" s="62"/>
      <c r="Q24" s="63"/>
      <c r="R24" s="61">
        <f t="shared" si="3"/>
        <v>0</v>
      </c>
      <c r="S24" s="62"/>
      <c r="T24" s="63"/>
      <c r="U24" s="61">
        <f t="shared" si="4"/>
        <v>0</v>
      </c>
      <c r="V24" s="62"/>
      <c r="W24" s="63"/>
      <c r="X24" s="61">
        <f t="shared" si="5"/>
        <v>0</v>
      </c>
      <c r="Y24" s="62"/>
      <c r="Z24" s="63"/>
      <c r="AA24" s="61">
        <f t="shared" si="6"/>
        <v>0</v>
      </c>
      <c r="AB24" s="62"/>
      <c r="AC24" s="63"/>
      <c r="AD24" s="61">
        <f t="shared" si="7"/>
        <v>0</v>
      </c>
      <c r="AE24" s="62"/>
      <c r="AF24" s="63"/>
      <c r="AG24" s="61">
        <f t="shared" si="8"/>
        <v>0</v>
      </c>
      <c r="AH24" s="62"/>
      <c r="AI24" s="63"/>
      <c r="AJ24" s="61">
        <f t="shared" si="9"/>
        <v>0</v>
      </c>
      <c r="AK24" s="62"/>
      <c r="AL24" s="63"/>
      <c r="AM24" s="61">
        <f t="shared" si="10"/>
        <v>0</v>
      </c>
      <c r="AN24" s="62"/>
      <c r="AO24" s="63"/>
      <c r="AP24" s="59">
        <f t="shared" si="11"/>
        <v>0</v>
      </c>
      <c r="AQ24" s="8" t="e">
        <f t="shared" si="1"/>
        <v>#DIV/0!</v>
      </c>
    </row>
    <row r="25" spans="1:43" ht="18" customHeight="1" x14ac:dyDescent="0.15">
      <c r="A25" s="6"/>
      <c r="B25" s="12"/>
      <c r="C25" s="58"/>
      <c r="D25" s="59"/>
      <c r="E25" s="60"/>
      <c r="F25" s="61">
        <f t="shared" si="12"/>
        <v>0</v>
      </c>
      <c r="G25" s="62"/>
      <c r="H25" s="63"/>
      <c r="I25" s="61">
        <f t="shared" si="13"/>
        <v>0</v>
      </c>
      <c r="J25" s="62"/>
      <c r="K25" s="63"/>
      <c r="L25" s="61">
        <f t="shared" si="0"/>
        <v>0</v>
      </c>
      <c r="M25" s="62"/>
      <c r="N25" s="63"/>
      <c r="O25" s="61">
        <f t="shared" si="2"/>
        <v>0</v>
      </c>
      <c r="P25" s="62"/>
      <c r="Q25" s="63"/>
      <c r="R25" s="61">
        <f t="shared" si="3"/>
        <v>0</v>
      </c>
      <c r="S25" s="62"/>
      <c r="T25" s="63"/>
      <c r="U25" s="61">
        <f t="shared" si="4"/>
        <v>0</v>
      </c>
      <c r="V25" s="62"/>
      <c r="W25" s="63"/>
      <c r="X25" s="61">
        <f t="shared" si="5"/>
        <v>0</v>
      </c>
      <c r="Y25" s="62"/>
      <c r="Z25" s="63"/>
      <c r="AA25" s="61">
        <f t="shared" si="6"/>
        <v>0</v>
      </c>
      <c r="AB25" s="62"/>
      <c r="AC25" s="63"/>
      <c r="AD25" s="61">
        <f t="shared" si="7"/>
        <v>0</v>
      </c>
      <c r="AE25" s="62"/>
      <c r="AF25" s="63"/>
      <c r="AG25" s="61">
        <f t="shared" si="8"/>
        <v>0</v>
      </c>
      <c r="AH25" s="62"/>
      <c r="AI25" s="63"/>
      <c r="AJ25" s="61">
        <f t="shared" si="9"/>
        <v>0</v>
      </c>
      <c r="AK25" s="62"/>
      <c r="AL25" s="63"/>
      <c r="AM25" s="61">
        <f t="shared" si="10"/>
        <v>0</v>
      </c>
      <c r="AN25" s="62"/>
      <c r="AO25" s="63"/>
      <c r="AP25" s="59">
        <f t="shared" si="11"/>
        <v>0</v>
      </c>
      <c r="AQ25" s="8" t="e">
        <f t="shared" si="1"/>
        <v>#DIV/0!</v>
      </c>
    </row>
    <row r="26" spans="1:43" ht="18" customHeight="1" x14ac:dyDescent="0.15">
      <c r="A26" s="6"/>
      <c r="B26" s="12"/>
      <c r="C26" s="58"/>
      <c r="D26" s="59"/>
      <c r="E26" s="60"/>
      <c r="F26" s="61">
        <f t="shared" si="12"/>
        <v>0</v>
      </c>
      <c r="G26" s="62"/>
      <c r="H26" s="63"/>
      <c r="I26" s="61">
        <f t="shared" si="13"/>
        <v>0</v>
      </c>
      <c r="J26" s="62"/>
      <c r="K26" s="63"/>
      <c r="L26" s="61">
        <f t="shared" si="0"/>
        <v>0</v>
      </c>
      <c r="M26" s="62"/>
      <c r="N26" s="63"/>
      <c r="O26" s="61">
        <f t="shared" si="2"/>
        <v>0</v>
      </c>
      <c r="P26" s="62"/>
      <c r="Q26" s="63"/>
      <c r="R26" s="61">
        <f t="shared" si="3"/>
        <v>0</v>
      </c>
      <c r="S26" s="62"/>
      <c r="T26" s="63"/>
      <c r="U26" s="61">
        <f t="shared" si="4"/>
        <v>0</v>
      </c>
      <c r="V26" s="62"/>
      <c r="W26" s="63"/>
      <c r="X26" s="61">
        <f t="shared" si="5"/>
        <v>0</v>
      </c>
      <c r="Y26" s="62"/>
      <c r="Z26" s="63"/>
      <c r="AA26" s="61">
        <f t="shared" si="6"/>
        <v>0</v>
      </c>
      <c r="AB26" s="62"/>
      <c r="AC26" s="63"/>
      <c r="AD26" s="61">
        <f t="shared" si="7"/>
        <v>0</v>
      </c>
      <c r="AE26" s="62"/>
      <c r="AF26" s="63"/>
      <c r="AG26" s="61">
        <f t="shared" si="8"/>
        <v>0</v>
      </c>
      <c r="AH26" s="62"/>
      <c r="AI26" s="63"/>
      <c r="AJ26" s="61">
        <f t="shared" si="9"/>
        <v>0</v>
      </c>
      <c r="AK26" s="62"/>
      <c r="AL26" s="63"/>
      <c r="AM26" s="61">
        <f t="shared" si="10"/>
        <v>0</v>
      </c>
      <c r="AN26" s="62"/>
      <c r="AO26" s="63"/>
      <c r="AP26" s="59">
        <f t="shared" si="11"/>
        <v>0</v>
      </c>
      <c r="AQ26" s="8" t="e">
        <f t="shared" si="1"/>
        <v>#DIV/0!</v>
      </c>
    </row>
    <row r="27" spans="1:43" ht="18" customHeight="1" x14ac:dyDescent="0.15">
      <c r="A27" s="6"/>
      <c r="B27" s="12"/>
      <c r="C27" s="58"/>
      <c r="D27" s="59"/>
      <c r="E27" s="60"/>
      <c r="F27" s="61">
        <f t="shared" si="12"/>
        <v>0</v>
      </c>
      <c r="G27" s="62"/>
      <c r="H27" s="63"/>
      <c r="I27" s="61">
        <f t="shared" si="13"/>
        <v>0</v>
      </c>
      <c r="J27" s="62"/>
      <c r="K27" s="63"/>
      <c r="L27" s="61">
        <f t="shared" si="0"/>
        <v>0</v>
      </c>
      <c r="M27" s="62"/>
      <c r="N27" s="63"/>
      <c r="O27" s="61">
        <f t="shared" si="2"/>
        <v>0</v>
      </c>
      <c r="P27" s="62"/>
      <c r="Q27" s="63"/>
      <c r="R27" s="61">
        <f t="shared" si="3"/>
        <v>0</v>
      </c>
      <c r="S27" s="62"/>
      <c r="T27" s="63"/>
      <c r="U27" s="61">
        <f t="shared" si="4"/>
        <v>0</v>
      </c>
      <c r="V27" s="62"/>
      <c r="W27" s="63"/>
      <c r="X27" s="61">
        <f t="shared" si="5"/>
        <v>0</v>
      </c>
      <c r="Y27" s="62"/>
      <c r="Z27" s="63"/>
      <c r="AA27" s="61">
        <f t="shared" si="6"/>
        <v>0</v>
      </c>
      <c r="AB27" s="62"/>
      <c r="AC27" s="63"/>
      <c r="AD27" s="61">
        <f t="shared" si="7"/>
        <v>0</v>
      </c>
      <c r="AE27" s="62"/>
      <c r="AF27" s="63"/>
      <c r="AG27" s="61">
        <f t="shared" si="8"/>
        <v>0</v>
      </c>
      <c r="AH27" s="62"/>
      <c r="AI27" s="63"/>
      <c r="AJ27" s="61">
        <f t="shared" si="9"/>
        <v>0</v>
      </c>
      <c r="AK27" s="62"/>
      <c r="AL27" s="63"/>
      <c r="AM27" s="61">
        <f t="shared" si="10"/>
        <v>0</v>
      </c>
      <c r="AN27" s="62"/>
      <c r="AO27" s="63"/>
      <c r="AP27" s="59">
        <f t="shared" si="11"/>
        <v>0</v>
      </c>
      <c r="AQ27" s="8" t="e">
        <f t="shared" si="1"/>
        <v>#DIV/0!</v>
      </c>
    </row>
    <row r="28" spans="1:43" ht="18" customHeight="1" x14ac:dyDescent="0.15">
      <c r="A28" s="6"/>
      <c r="B28" s="12"/>
      <c r="C28" s="58"/>
      <c r="D28" s="59"/>
      <c r="E28" s="60"/>
      <c r="F28" s="61">
        <f t="shared" si="12"/>
        <v>0</v>
      </c>
      <c r="G28" s="62"/>
      <c r="H28" s="63"/>
      <c r="I28" s="61">
        <f t="shared" si="13"/>
        <v>0</v>
      </c>
      <c r="J28" s="62"/>
      <c r="K28" s="63"/>
      <c r="L28" s="61">
        <f t="shared" si="0"/>
        <v>0</v>
      </c>
      <c r="M28" s="62"/>
      <c r="N28" s="63"/>
      <c r="O28" s="61">
        <f t="shared" si="2"/>
        <v>0</v>
      </c>
      <c r="P28" s="62"/>
      <c r="Q28" s="63"/>
      <c r="R28" s="61">
        <f t="shared" si="3"/>
        <v>0</v>
      </c>
      <c r="S28" s="62"/>
      <c r="T28" s="63"/>
      <c r="U28" s="61">
        <f t="shared" si="4"/>
        <v>0</v>
      </c>
      <c r="V28" s="62"/>
      <c r="W28" s="63"/>
      <c r="X28" s="61">
        <f t="shared" si="5"/>
        <v>0</v>
      </c>
      <c r="Y28" s="62"/>
      <c r="Z28" s="63"/>
      <c r="AA28" s="61">
        <f t="shared" si="6"/>
        <v>0</v>
      </c>
      <c r="AB28" s="62"/>
      <c r="AC28" s="63"/>
      <c r="AD28" s="61">
        <f t="shared" si="7"/>
        <v>0</v>
      </c>
      <c r="AE28" s="62"/>
      <c r="AF28" s="63"/>
      <c r="AG28" s="61">
        <f t="shared" si="8"/>
        <v>0</v>
      </c>
      <c r="AH28" s="62"/>
      <c r="AI28" s="63"/>
      <c r="AJ28" s="61">
        <f t="shared" si="9"/>
        <v>0</v>
      </c>
      <c r="AK28" s="62"/>
      <c r="AL28" s="63"/>
      <c r="AM28" s="61">
        <f t="shared" si="10"/>
        <v>0</v>
      </c>
      <c r="AN28" s="62"/>
      <c r="AO28" s="63"/>
      <c r="AP28" s="59">
        <f t="shared" si="11"/>
        <v>0</v>
      </c>
      <c r="AQ28" s="8" t="e">
        <f t="shared" si="1"/>
        <v>#DIV/0!</v>
      </c>
    </row>
    <row r="29" spans="1:43" ht="18" customHeight="1" x14ac:dyDescent="0.15">
      <c r="A29" s="6"/>
      <c r="B29" s="12"/>
      <c r="C29" s="58"/>
      <c r="D29" s="64"/>
      <c r="E29" s="60"/>
      <c r="F29" s="61">
        <f t="shared" si="12"/>
        <v>0</v>
      </c>
      <c r="G29" s="62"/>
      <c r="H29" s="63"/>
      <c r="I29" s="61">
        <f t="shared" si="13"/>
        <v>0</v>
      </c>
      <c r="J29" s="62"/>
      <c r="K29" s="63"/>
      <c r="L29" s="61">
        <f t="shared" si="0"/>
        <v>0</v>
      </c>
      <c r="M29" s="62"/>
      <c r="N29" s="63"/>
      <c r="O29" s="61">
        <f t="shared" si="2"/>
        <v>0</v>
      </c>
      <c r="P29" s="62"/>
      <c r="Q29" s="63"/>
      <c r="R29" s="61">
        <f t="shared" si="3"/>
        <v>0</v>
      </c>
      <c r="S29" s="62"/>
      <c r="T29" s="63"/>
      <c r="U29" s="61">
        <f t="shared" si="4"/>
        <v>0</v>
      </c>
      <c r="V29" s="62"/>
      <c r="W29" s="63"/>
      <c r="X29" s="61">
        <f t="shared" si="5"/>
        <v>0</v>
      </c>
      <c r="Y29" s="62"/>
      <c r="Z29" s="63"/>
      <c r="AA29" s="61">
        <f t="shared" si="6"/>
        <v>0</v>
      </c>
      <c r="AB29" s="62"/>
      <c r="AC29" s="63"/>
      <c r="AD29" s="61">
        <f t="shared" si="7"/>
        <v>0</v>
      </c>
      <c r="AE29" s="62"/>
      <c r="AF29" s="63"/>
      <c r="AG29" s="61">
        <f t="shared" si="8"/>
        <v>0</v>
      </c>
      <c r="AH29" s="62"/>
      <c r="AI29" s="63"/>
      <c r="AJ29" s="61">
        <f t="shared" si="9"/>
        <v>0</v>
      </c>
      <c r="AK29" s="62"/>
      <c r="AL29" s="63"/>
      <c r="AM29" s="61">
        <f t="shared" si="10"/>
        <v>0</v>
      </c>
      <c r="AN29" s="62"/>
      <c r="AO29" s="63"/>
      <c r="AP29" s="64">
        <f t="shared" si="11"/>
        <v>0</v>
      </c>
      <c r="AQ29" s="8" t="e">
        <f t="shared" si="1"/>
        <v>#DIV/0!</v>
      </c>
    </row>
    <row r="30" spans="1:43" ht="18" customHeight="1" x14ac:dyDescent="0.15">
      <c r="A30" s="6"/>
      <c r="B30" s="12"/>
      <c r="C30" s="58"/>
      <c r="D30" s="64"/>
      <c r="E30" s="60"/>
      <c r="F30" s="61">
        <f t="shared" si="12"/>
        <v>0</v>
      </c>
      <c r="G30" s="62"/>
      <c r="H30" s="63"/>
      <c r="I30" s="61">
        <f t="shared" si="13"/>
        <v>0</v>
      </c>
      <c r="J30" s="62"/>
      <c r="K30" s="63"/>
      <c r="L30" s="61">
        <f t="shared" si="0"/>
        <v>0</v>
      </c>
      <c r="M30" s="62"/>
      <c r="N30" s="63"/>
      <c r="O30" s="61">
        <f t="shared" si="2"/>
        <v>0</v>
      </c>
      <c r="P30" s="62"/>
      <c r="Q30" s="63"/>
      <c r="R30" s="61">
        <f t="shared" si="3"/>
        <v>0</v>
      </c>
      <c r="S30" s="62"/>
      <c r="T30" s="63"/>
      <c r="U30" s="61">
        <f t="shared" si="4"/>
        <v>0</v>
      </c>
      <c r="V30" s="62"/>
      <c r="W30" s="63"/>
      <c r="X30" s="61">
        <f t="shared" si="5"/>
        <v>0</v>
      </c>
      <c r="Y30" s="62"/>
      <c r="Z30" s="63"/>
      <c r="AA30" s="61">
        <f t="shared" si="6"/>
        <v>0</v>
      </c>
      <c r="AB30" s="62"/>
      <c r="AC30" s="63"/>
      <c r="AD30" s="61">
        <f t="shared" si="7"/>
        <v>0</v>
      </c>
      <c r="AE30" s="62"/>
      <c r="AF30" s="63"/>
      <c r="AG30" s="61">
        <f t="shared" si="8"/>
        <v>0</v>
      </c>
      <c r="AH30" s="62"/>
      <c r="AI30" s="63"/>
      <c r="AJ30" s="61">
        <f t="shared" si="9"/>
        <v>0</v>
      </c>
      <c r="AK30" s="62"/>
      <c r="AL30" s="63"/>
      <c r="AM30" s="61">
        <f t="shared" si="10"/>
        <v>0</v>
      </c>
      <c r="AN30" s="62"/>
      <c r="AO30" s="63"/>
      <c r="AP30" s="64">
        <f t="shared" si="11"/>
        <v>0</v>
      </c>
      <c r="AQ30" s="8" t="e">
        <f t="shared" si="1"/>
        <v>#DIV/0!</v>
      </c>
    </row>
    <row r="31" spans="1:43" ht="18" customHeight="1" thickBot="1" x14ac:dyDescent="0.2">
      <c r="A31" s="6"/>
      <c r="B31" s="13"/>
      <c r="C31" s="53"/>
      <c r="D31" s="65"/>
      <c r="E31" s="55"/>
      <c r="F31" s="55">
        <f t="shared" si="12"/>
        <v>0</v>
      </c>
      <c r="G31" s="66"/>
      <c r="H31" s="67"/>
      <c r="I31" s="55">
        <f t="shared" si="13"/>
        <v>0</v>
      </c>
      <c r="J31" s="66"/>
      <c r="K31" s="67"/>
      <c r="L31" s="55">
        <f t="shared" si="0"/>
        <v>0</v>
      </c>
      <c r="M31" s="66"/>
      <c r="N31" s="67"/>
      <c r="O31" s="55">
        <f t="shared" si="2"/>
        <v>0</v>
      </c>
      <c r="P31" s="66"/>
      <c r="Q31" s="67"/>
      <c r="R31" s="55">
        <f t="shared" si="3"/>
        <v>0</v>
      </c>
      <c r="S31" s="66"/>
      <c r="T31" s="67"/>
      <c r="U31" s="55">
        <f t="shared" si="4"/>
        <v>0</v>
      </c>
      <c r="V31" s="66"/>
      <c r="W31" s="67"/>
      <c r="X31" s="55">
        <f t="shared" si="5"/>
        <v>0</v>
      </c>
      <c r="Y31" s="66"/>
      <c r="Z31" s="67"/>
      <c r="AA31" s="55">
        <f t="shared" si="6"/>
        <v>0</v>
      </c>
      <c r="AB31" s="66"/>
      <c r="AC31" s="67"/>
      <c r="AD31" s="55">
        <f t="shared" si="7"/>
        <v>0</v>
      </c>
      <c r="AE31" s="66"/>
      <c r="AF31" s="67"/>
      <c r="AG31" s="55">
        <f t="shared" si="8"/>
        <v>0</v>
      </c>
      <c r="AH31" s="66"/>
      <c r="AI31" s="67"/>
      <c r="AJ31" s="55">
        <f t="shared" si="9"/>
        <v>0</v>
      </c>
      <c r="AK31" s="66"/>
      <c r="AL31" s="67"/>
      <c r="AM31" s="55">
        <f t="shared" si="10"/>
        <v>0</v>
      </c>
      <c r="AN31" s="66"/>
      <c r="AO31" s="67"/>
      <c r="AP31" s="65">
        <f t="shared" si="11"/>
        <v>0</v>
      </c>
      <c r="AQ31" s="7" t="e">
        <f t="shared" si="1"/>
        <v>#DIV/0!</v>
      </c>
    </row>
    <row r="32" spans="1:43" ht="18" customHeight="1" thickTop="1" x14ac:dyDescent="0.15">
      <c r="B32" s="14" t="s">
        <v>33</v>
      </c>
      <c r="C32" s="68">
        <f t="shared" ref="C32:AO32" si="14">SUM(C12:C31)</f>
        <v>10766</v>
      </c>
      <c r="D32" s="69">
        <f t="shared" si="14"/>
        <v>2600</v>
      </c>
      <c r="E32" s="70">
        <f t="shared" si="14"/>
        <v>10494</v>
      </c>
      <c r="F32" s="70">
        <f t="shared" si="14"/>
        <v>206</v>
      </c>
      <c r="G32" s="71">
        <f t="shared" si="14"/>
        <v>0</v>
      </c>
      <c r="H32" s="72">
        <f t="shared" si="14"/>
        <v>0</v>
      </c>
      <c r="I32" s="70">
        <f t="shared" si="14"/>
        <v>133</v>
      </c>
      <c r="J32" s="71">
        <f t="shared" si="14"/>
        <v>0</v>
      </c>
      <c r="K32" s="72">
        <f t="shared" si="14"/>
        <v>0</v>
      </c>
      <c r="L32" s="70">
        <f t="shared" si="14"/>
        <v>0</v>
      </c>
      <c r="M32" s="71">
        <f t="shared" si="14"/>
        <v>0</v>
      </c>
      <c r="N32" s="72">
        <f t="shared" si="14"/>
        <v>0</v>
      </c>
      <c r="O32" s="70">
        <f t="shared" si="14"/>
        <v>0</v>
      </c>
      <c r="P32" s="71">
        <f t="shared" si="14"/>
        <v>0</v>
      </c>
      <c r="Q32" s="72">
        <f t="shared" si="14"/>
        <v>0</v>
      </c>
      <c r="R32" s="70">
        <f t="shared" si="14"/>
        <v>0</v>
      </c>
      <c r="S32" s="71">
        <f t="shared" si="14"/>
        <v>0</v>
      </c>
      <c r="T32" s="72">
        <f t="shared" si="14"/>
        <v>0</v>
      </c>
      <c r="U32" s="70">
        <f t="shared" si="14"/>
        <v>0</v>
      </c>
      <c r="V32" s="71">
        <f t="shared" si="14"/>
        <v>0</v>
      </c>
      <c r="W32" s="72">
        <f t="shared" si="14"/>
        <v>0</v>
      </c>
      <c r="X32" s="70">
        <f t="shared" si="14"/>
        <v>0</v>
      </c>
      <c r="Y32" s="71">
        <f t="shared" si="14"/>
        <v>0</v>
      </c>
      <c r="Z32" s="72">
        <f t="shared" si="14"/>
        <v>0</v>
      </c>
      <c r="AA32" s="70">
        <f t="shared" si="14"/>
        <v>0</v>
      </c>
      <c r="AB32" s="71">
        <f t="shared" si="14"/>
        <v>0</v>
      </c>
      <c r="AC32" s="72">
        <f t="shared" si="14"/>
        <v>0</v>
      </c>
      <c r="AD32" s="70">
        <f t="shared" si="14"/>
        <v>0</v>
      </c>
      <c r="AE32" s="71">
        <f t="shared" si="14"/>
        <v>0</v>
      </c>
      <c r="AF32" s="72">
        <f t="shared" si="14"/>
        <v>0</v>
      </c>
      <c r="AG32" s="70">
        <f t="shared" si="14"/>
        <v>0</v>
      </c>
      <c r="AH32" s="71">
        <f t="shared" si="14"/>
        <v>0</v>
      </c>
      <c r="AI32" s="72">
        <f t="shared" si="14"/>
        <v>0</v>
      </c>
      <c r="AJ32" s="70">
        <f t="shared" si="14"/>
        <v>0</v>
      </c>
      <c r="AK32" s="71">
        <f t="shared" si="14"/>
        <v>0</v>
      </c>
      <c r="AL32" s="72">
        <f t="shared" si="14"/>
        <v>0</v>
      </c>
      <c r="AM32" s="70">
        <f t="shared" si="14"/>
        <v>0</v>
      </c>
      <c r="AN32" s="71">
        <f t="shared" si="14"/>
        <v>0</v>
      </c>
      <c r="AO32" s="72">
        <f t="shared" si="14"/>
        <v>0</v>
      </c>
      <c r="AP32" s="69">
        <f>SUM(AP12:AP31)</f>
        <v>206</v>
      </c>
      <c r="AQ32" s="9">
        <f t="shared" si="1"/>
        <v>1.963026491328378E-2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78" zoomScale="130" zoomScaleNormal="100" zoomScaleSheetLayoutView="130" workbookViewId="0">
      <selection activeCell="K98" sqref="K98"/>
    </sheetView>
  </sheetViews>
  <sheetFormatPr defaultColWidth="11.375" defaultRowHeight="18.75" customHeight="1" x14ac:dyDescent="0.15"/>
  <cols>
    <col min="1" max="1" width="2.625" style="34"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4" t="s">
        <v>65</v>
      </c>
      <c r="I1" s="28" t="s">
        <v>106</v>
      </c>
    </row>
    <row r="2" spans="1:9" ht="18.75" customHeight="1" x14ac:dyDescent="0.15">
      <c r="G2" s="28" t="s">
        <v>109</v>
      </c>
      <c r="H2" s="102" t="str">
        <f>'様式１　プログラムを構成する授業科目'!C2</f>
        <v>中部大学</v>
      </c>
      <c r="I2" s="104"/>
    </row>
    <row r="3" spans="1:9" ht="18.75" customHeight="1" x14ac:dyDescent="0.15">
      <c r="G3" s="28"/>
      <c r="H3" s="10"/>
      <c r="I3" s="10"/>
    </row>
    <row r="4" spans="1:9" ht="18.600000000000001" customHeight="1" x14ac:dyDescent="0.15">
      <c r="A4" s="134" t="s">
        <v>36</v>
      </c>
      <c r="B4" s="134"/>
      <c r="C4" s="134"/>
      <c r="D4" s="134"/>
      <c r="E4" s="134"/>
      <c r="F4" s="134"/>
      <c r="G4" s="134"/>
      <c r="H4" s="134"/>
      <c r="I4" s="134"/>
    </row>
    <row r="5" spans="1:9" ht="13.35" customHeight="1" x14ac:dyDescent="0.15">
      <c r="B5" s="3"/>
      <c r="C5" s="3"/>
      <c r="D5" s="3"/>
      <c r="E5" s="3"/>
      <c r="F5" s="3"/>
      <c r="G5" s="3"/>
      <c r="H5" s="3"/>
      <c r="I5" s="3"/>
    </row>
    <row r="6" spans="1:9" ht="18" customHeight="1" x14ac:dyDescent="0.15">
      <c r="A6" s="1" t="s">
        <v>0</v>
      </c>
      <c r="B6" s="10" t="s">
        <v>91</v>
      </c>
      <c r="C6" s="278" t="s">
        <v>92</v>
      </c>
      <c r="D6" s="278"/>
      <c r="E6" s="27">
        <v>515</v>
      </c>
      <c r="F6" s="3" t="s">
        <v>1</v>
      </c>
      <c r="G6" s="3" t="s">
        <v>2</v>
      </c>
      <c r="H6" s="27">
        <v>383</v>
      </c>
      <c r="I6" s="10" t="s">
        <v>1</v>
      </c>
    </row>
    <row r="7" spans="1:9" ht="12" customHeight="1" x14ac:dyDescent="0.15">
      <c r="C7" s="2"/>
      <c r="D7" s="2"/>
      <c r="E7" s="2"/>
      <c r="F7" s="2"/>
      <c r="G7" s="2"/>
      <c r="H7" s="2"/>
      <c r="I7" s="35"/>
    </row>
    <row r="8" spans="1:9" ht="18" customHeight="1" x14ac:dyDescent="0.15">
      <c r="A8" s="1" t="s">
        <v>3</v>
      </c>
      <c r="B8" s="10" t="s">
        <v>93</v>
      </c>
      <c r="E8" s="3"/>
      <c r="F8" s="3"/>
      <c r="G8" s="3"/>
      <c r="H8" s="27">
        <v>25</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8" t="s">
        <v>43</v>
      </c>
      <c r="C11" s="271" t="s">
        <v>150</v>
      </c>
      <c r="D11" s="274"/>
      <c r="E11" s="275"/>
      <c r="F11" s="35"/>
      <c r="G11" s="28" t="s">
        <v>10</v>
      </c>
      <c r="H11" s="276" t="s">
        <v>151</v>
      </c>
      <c r="I11" s="277"/>
    </row>
    <row r="12" spans="1:9" ht="10.35" customHeight="1" x14ac:dyDescent="0.15">
      <c r="B12" s="28"/>
      <c r="C12" s="10"/>
      <c r="D12" s="35"/>
      <c r="E12" s="35"/>
      <c r="F12" s="35"/>
      <c r="G12" s="28"/>
      <c r="H12" s="10"/>
      <c r="I12" s="35"/>
    </row>
    <row r="13" spans="1:9" ht="18" customHeight="1" x14ac:dyDescent="0.15">
      <c r="A13" s="1" t="s">
        <v>7</v>
      </c>
      <c r="B13" s="10" t="s">
        <v>88</v>
      </c>
      <c r="C13" s="3"/>
      <c r="D13" s="3"/>
      <c r="E13" s="3"/>
      <c r="F13" s="3"/>
      <c r="G13" s="3"/>
      <c r="H13" s="3"/>
      <c r="I13" s="3"/>
    </row>
    <row r="14" spans="1:9" ht="18" customHeight="1" x14ac:dyDescent="0.15">
      <c r="B14" s="271" t="s">
        <v>152</v>
      </c>
      <c r="C14" s="272"/>
      <c r="D14" s="272"/>
      <c r="E14" s="272"/>
      <c r="F14" s="272"/>
      <c r="G14" s="272"/>
      <c r="H14" s="272"/>
      <c r="I14" s="273"/>
    </row>
    <row r="15" spans="1:9" ht="9" customHeight="1" x14ac:dyDescent="0.15">
      <c r="B15" s="3"/>
      <c r="C15" s="3"/>
      <c r="D15" s="3"/>
      <c r="E15" s="3"/>
      <c r="F15" s="3"/>
      <c r="G15" s="3"/>
      <c r="H15" s="3"/>
      <c r="I15" s="3"/>
    </row>
    <row r="16" spans="1:9" ht="18" customHeight="1" x14ac:dyDescent="0.15">
      <c r="B16" s="28" t="s">
        <v>43</v>
      </c>
      <c r="C16" s="271" t="s">
        <v>150</v>
      </c>
      <c r="D16" s="274"/>
      <c r="E16" s="275"/>
      <c r="F16" s="35"/>
      <c r="G16" s="28" t="s">
        <v>10</v>
      </c>
      <c r="H16" s="276" t="s">
        <v>153</v>
      </c>
      <c r="I16" s="277"/>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63" t="s">
        <v>149</v>
      </c>
      <c r="C19" s="264"/>
      <c r="D19" s="264"/>
      <c r="E19" s="264"/>
      <c r="F19" s="264"/>
      <c r="G19" s="264"/>
      <c r="H19" s="264"/>
      <c r="I19" s="26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44" t="s">
        <v>168</v>
      </c>
      <c r="C22" s="245"/>
      <c r="D22" s="245"/>
      <c r="E22" s="245"/>
      <c r="F22" s="245"/>
      <c r="G22" s="245"/>
      <c r="H22" s="245"/>
      <c r="I22" s="246"/>
    </row>
    <row r="23" spans="1:9" ht="18.75" customHeight="1" x14ac:dyDescent="0.15">
      <c r="A23" s="15"/>
      <c r="B23" s="266"/>
      <c r="C23" s="267"/>
      <c r="D23" s="267"/>
      <c r="E23" s="267"/>
      <c r="F23" s="267"/>
      <c r="G23" s="267"/>
      <c r="H23" s="267"/>
      <c r="I23" s="249"/>
    </row>
    <row r="24" spans="1:9" ht="18.75" customHeight="1" x14ac:dyDescent="0.15">
      <c r="A24" s="15"/>
      <c r="B24" s="266"/>
      <c r="C24" s="267"/>
      <c r="D24" s="267"/>
      <c r="E24" s="267"/>
      <c r="F24" s="267"/>
      <c r="G24" s="267"/>
      <c r="H24" s="267"/>
      <c r="I24" s="249"/>
    </row>
    <row r="25" spans="1:9" ht="18.75" customHeight="1" x14ac:dyDescent="0.15">
      <c r="A25" s="15"/>
      <c r="B25" s="266"/>
      <c r="C25" s="267"/>
      <c r="D25" s="267"/>
      <c r="E25" s="267"/>
      <c r="F25" s="267"/>
      <c r="G25" s="267"/>
      <c r="H25" s="267"/>
      <c r="I25" s="249"/>
    </row>
    <row r="26" spans="1:9" ht="18.75" customHeight="1" x14ac:dyDescent="0.15">
      <c r="A26" s="15"/>
      <c r="B26" s="266"/>
      <c r="C26" s="267"/>
      <c r="D26" s="267"/>
      <c r="E26" s="267"/>
      <c r="F26" s="267"/>
      <c r="G26" s="267"/>
      <c r="H26" s="267"/>
      <c r="I26" s="249"/>
    </row>
    <row r="27" spans="1:9" ht="18.75" customHeight="1" x14ac:dyDescent="0.15">
      <c r="A27" s="15"/>
      <c r="B27" s="266"/>
      <c r="C27" s="267"/>
      <c r="D27" s="267"/>
      <c r="E27" s="267"/>
      <c r="F27" s="267"/>
      <c r="G27" s="267"/>
      <c r="H27" s="267"/>
      <c r="I27" s="249"/>
    </row>
    <row r="28" spans="1:9" ht="18.75" customHeight="1" x14ac:dyDescent="0.15">
      <c r="A28" s="15"/>
      <c r="B28" s="266"/>
      <c r="C28" s="267"/>
      <c r="D28" s="267"/>
      <c r="E28" s="267"/>
      <c r="F28" s="267"/>
      <c r="G28" s="267"/>
      <c r="H28" s="267"/>
      <c r="I28" s="249"/>
    </row>
    <row r="29" spans="1:9" ht="18.75" customHeight="1" x14ac:dyDescent="0.15">
      <c r="A29" s="15"/>
      <c r="B29" s="266"/>
      <c r="C29" s="267"/>
      <c r="D29" s="267"/>
      <c r="E29" s="267"/>
      <c r="F29" s="267"/>
      <c r="G29" s="267"/>
      <c r="H29" s="267"/>
      <c r="I29" s="249"/>
    </row>
    <row r="30" spans="1:9" ht="18.75" customHeight="1" x14ac:dyDescent="0.15">
      <c r="A30" s="15"/>
      <c r="B30" s="247"/>
      <c r="C30" s="248"/>
      <c r="D30" s="248"/>
      <c r="E30" s="248"/>
      <c r="F30" s="248"/>
      <c r="G30" s="248"/>
      <c r="H30" s="248"/>
      <c r="I30" s="249"/>
    </row>
    <row r="31" spans="1:9" ht="18.75" customHeight="1" x14ac:dyDescent="0.15">
      <c r="A31" s="15"/>
      <c r="B31" s="247"/>
      <c r="C31" s="248"/>
      <c r="D31" s="248"/>
      <c r="E31" s="248"/>
      <c r="F31" s="248"/>
      <c r="G31" s="248"/>
      <c r="H31" s="248"/>
      <c r="I31" s="249"/>
    </row>
    <row r="32" spans="1:9" ht="18.75" customHeight="1" x14ac:dyDescent="0.15">
      <c r="A32" s="15"/>
      <c r="B32" s="250"/>
      <c r="C32" s="251"/>
      <c r="D32" s="251"/>
      <c r="E32" s="251"/>
      <c r="F32" s="251"/>
      <c r="G32" s="251"/>
      <c r="H32" s="251"/>
      <c r="I32" s="25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44" t="s">
        <v>176</v>
      </c>
      <c r="C35" s="245"/>
      <c r="D35" s="245"/>
      <c r="E35" s="245"/>
      <c r="F35" s="245"/>
      <c r="G35" s="245"/>
      <c r="H35" s="245"/>
      <c r="I35" s="246"/>
    </row>
    <row r="36" spans="1:9" ht="18.75" customHeight="1" x14ac:dyDescent="0.15">
      <c r="A36" s="15"/>
      <c r="B36" s="247"/>
      <c r="C36" s="248"/>
      <c r="D36" s="248"/>
      <c r="E36" s="248"/>
      <c r="F36" s="248"/>
      <c r="G36" s="248"/>
      <c r="H36" s="248"/>
      <c r="I36" s="249"/>
    </row>
    <row r="37" spans="1:9" ht="18.75" customHeight="1" x14ac:dyDescent="0.15">
      <c r="A37" s="15"/>
      <c r="B37" s="247"/>
      <c r="C37" s="248"/>
      <c r="D37" s="248"/>
      <c r="E37" s="248"/>
      <c r="F37" s="248"/>
      <c r="G37" s="248"/>
      <c r="H37" s="248"/>
      <c r="I37" s="249"/>
    </row>
    <row r="38" spans="1:9" ht="18.75" customHeight="1" x14ac:dyDescent="0.15">
      <c r="A38" s="15"/>
      <c r="B38" s="247"/>
      <c r="C38" s="248"/>
      <c r="D38" s="248"/>
      <c r="E38" s="248"/>
      <c r="F38" s="248"/>
      <c r="G38" s="248"/>
      <c r="H38" s="248"/>
      <c r="I38" s="249"/>
    </row>
    <row r="39" spans="1:9" ht="18.75" customHeight="1" x14ac:dyDescent="0.15">
      <c r="A39" s="15"/>
      <c r="B39" s="247"/>
      <c r="C39" s="248"/>
      <c r="D39" s="248"/>
      <c r="E39" s="248"/>
      <c r="F39" s="248"/>
      <c r="G39" s="248"/>
      <c r="H39" s="248"/>
      <c r="I39" s="249"/>
    </row>
    <row r="40" spans="1:9" ht="18.75" customHeight="1" x14ac:dyDescent="0.15">
      <c r="A40" s="15"/>
      <c r="B40" s="247"/>
      <c r="C40" s="248"/>
      <c r="D40" s="248"/>
      <c r="E40" s="248"/>
      <c r="F40" s="248"/>
      <c r="G40" s="248"/>
      <c r="H40" s="248"/>
      <c r="I40" s="249"/>
    </row>
    <row r="41" spans="1:9" ht="18.75" customHeight="1" x14ac:dyDescent="0.15">
      <c r="A41" s="15"/>
      <c r="B41" s="247"/>
      <c r="C41" s="248"/>
      <c r="D41" s="248"/>
      <c r="E41" s="248"/>
      <c r="F41" s="248"/>
      <c r="G41" s="248"/>
      <c r="H41" s="248"/>
      <c r="I41" s="249"/>
    </row>
    <row r="42" spans="1:9" ht="18.75" customHeight="1" x14ac:dyDescent="0.15">
      <c r="A42" s="15"/>
      <c r="B42" s="247"/>
      <c r="C42" s="248"/>
      <c r="D42" s="248"/>
      <c r="E42" s="248"/>
      <c r="F42" s="248"/>
      <c r="G42" s="248"/>
      <c r="H42" s="248"/>
      <c r="I42" s="249"/>
    </row>
    <row r="43" spans="1:9" ht="18.75" customHeight="1" x14ac:dyDescent="0.15">
      <c r="A43" s="15"/>
      <c r="B43" s="247"/>
      <c r="C43" s="248"/>
      <c r="D43" s="248"/>
      <c r="E43" s="248"/>
      <c r="F43" s="248"/>
      <c r="G43" s="248"/>
      <c r="H43" s="248"/>
      <c r="I43" s="249"/>
    </row>
    <row r="44" spans="1:9" ht="18.75" customHeight="1" x14ac:dyDescent="0.15">
      <c r="A44" s="15"/>
      <c r="B44" s="247"/>
      <c r="C44" s="248"/>
      <c r="D44" s="248"/>
      <c r="E44" s="248"/>
      <c r="F44" s="248"/>
      <c r="G44" s="248"/>
      <c r="H44" s="248"/>
      <c r="I44" s="249"/>
    </row>
    <row r="45" spans="1:9" ht="18.75" customHeight="1" x14ac:dyDescent="0.15">
      <c r="A45" s="15"/>
      <c r="B45" s="247"/>
      <c r="C45" s="248"/>
      <c r="D45" s="248"/>
      <c r="E45" s="248"/>
      <c r="F45" s="248"/>
      <c r="G45" s="248"/>
      <c r="H45" s="248"/>
      <c r="I45" s="249"/>
    </row>
    <row r="46" spans="1:9" ht="18.75" customHeight="1" x14ac:dyDescent="0.15">
      <c r="A46" s="15"/>
      <c r="B46" s="250"/>
      <c r="C46" s="251"/>
      <c r="D46" s="251"/>
      <c r="E46" s="251"/>
      <c r="F46" s="251"/>
      <c r="G46" s="251"/>
      <c r="H46" s="251"/>
      <c r="I46" s="25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36" t="s">
        <v>89</v>
      </c>
      <c r="C49" s="233">
        <f>'様式２ 履修者等数の実績'!AQ32</f>
        <v>1.963026491328378E-2</v>
      </c>
      <c r="D49" s="233"/>
      <c r="E49" s="36" t="s">
        <v>66</v>
      </c>
      <c r="F49" s="233">
        <v>0.1</v>
      </c>
      <c r="G49" s="233"/>
      <c r="H49" s="36" t="s">
        <v>67</v>
      </c>
      <c r="I49" s="99">
        <v>0.15</v>
      </c>
      <c r="J49" s="1"/>
      <c r="M49" s="1"/>
      <c r="N49" s="37"/>
    </row>
    <row r="50" spans="1:15" s="3" customFormat="1" ht="18.75" customHeight="1" x14ac:dyDescent="0.15">
      <c r="B50" s="38" t="s">
        <v>68</v>
      </c>
      <c r="C50" s="234">
        <v>0.25</v>
      </c>
      <c r="D50" s="234"/>
      <c r="E50" s="38" t="s">
        <v>90</v>
      </c>
      <c r="F50" s="234">
        <v>0.25</v>
      </c>
      <c r="G50" s="234"/>
      <c r="H50" s="38" t="s">
        <v>69</v>
      </c>
      <c r="I50" s="100">
        <f>'様式２ 履修者等数の実績'!E32</f>
        <v>10494</v>
      </c>
      <c r="J50" s="1"/>
      <c r="M50" s="1"/>
      <c r="N50" s="37"/>
    </row>
    <row r="51" spans="1:15" ht="18.75" customHeight="1" x14ac:dyDescent="0.15">
      <c r="A51" s="1"/>
      <c r="B51" s="268" t="s">
        <v>70</v>
      </c>
      <c r="C51" s="269"/>
      <c r="D51" s="269"/>
      <c r="E51" s="269"/>
      <c r="F51" s="269"/>
      <c r="G51" s="269"/>
      <c r="H51" s="269"/>
      <c r="I51" s="270"/>
      <c r="N51" s="37"/>
      <c r="O51" s="3"/>
    </row>
    <row r="52" spans="1:15" ht="18.75" customHeight="1" x14ac:dyDescent="0.15">
      <c r="A52" s="1"/>
      <c r="B52" s="235" t="s">
        <v>177</v>
      </c>
      <c r="C52" s="236"/>
      <c r="D52" s="236"/>
      <c r="E52" s="236"/>
      <c r="F52" s="236"/>
      <c r="G52" s="236"/>
      <c r="H52" s="236"/>
      <c r="I52" s="237"/>
      <c r="N52" s="37"/>
      <c r="O52" s="3"/>
    </row>
    <row r="53" spans="1:15" ht="18.75" customHeight="1" x14ac:dyDescent="0.15">
      <c r="A53" s="1"/>
      <c r="B53" s="238"/>
      <c r="C53" s="239"/>
      <c r="D53" s="239"/>
      <c r="E53" s="239"/>
      <c r="F53" s="239"/>
      <c r="G53" s="239"/>
      <c r="H53" s="239"/>
      <c r="I53" s="240"/>
      <c r="N53" s="37"/>
      <c r="O53" s="3"/>
    </row>
    <row r="54" spans="1:15" ht="18.75" customHeight="1" x14ac:dyDescent="0.15">
      <c r="A54" s="1"/>
      <c r="B54" s="238"/>
      <c r="C54" s="239"/>
      <c r="D54" s="239"/>
      <c r="E54" s="239"/>
      <c r="F54" s="239"/>
      <c r="G54" s="239"/>
      <c r="H54" s="239"/>
      <c r="I54" s="240"/>
    </row>
    <row r="55" spans="1:15" ht="18.75" customHeight="1" x14ac:dyDescent="0.15">
      <c r="A55" s="1"/>
      <c r="B55" s="238"/>
      <c r="C55" s="239"/>
      <c r="D55" s="239"/>
      <c r="E55" s="239"/>
      <c r="F55" s="239"/>
      <c r="G55" s="239"/>
      <c r="H55" s="239"/>
      <c r="I55" s="240"/>
    </row>
    <row r="56" spans="1:15" ht="18.75" customHeight="1" x14ac:dyDescent="0.15">
      <c r="A56" s="1"/>
      <c r="B56" s="238"/>
      <c r="C56" s="239"/>
      <c r="D56" s="239"/>
      <c r="E56" s="239"/>
      <c r="F56" s="239"/>
      <c r="G56" s="239"/>
      <c r="H56" s="239"/>
      <c r="I56" s="240"/>
    </row>
    <row r="57" spans="1:15" ht="18.75" customHeight="1" x14ac:dyDescent="0.15">
      <c r="A57" s="1"/>
      <c r="B57" s="238"/>
      <c r="C57" s="239"/>
      <c r="D57" s="239"/>
      <c r="E57" s="239"/>
      <c r="F57" s="239"/>
      <c r="G57" s="239"/>
      <c r="H57" s="239"/>
      <c r="I57" s="240"/>
    </row>
    <row r="58" spans="1:15" ht="18.75" customHeight="1" x14ac:dyDescent="0.15">
      <c r="A58" s="1"/>
      <c r="B58" s="238"/>
      <c r="C58" s="239"/>
      <c r="D58" s="239"/>
      <c r="E58" s="239"/>
      <c r="F58" s="239"/>
      <c r="G58" s="239"/>
      <c r="H58" s="239"/>
      <c r="I58" s="240"/>
    </row>
    <row r="59" spans="1:15" ht="18.75" customHeight="1" x14ac:dyDescent="0.15">
      <c r="A59" s="1"/>
      <c r="B59" s="238"/>
      <c r="C59" s="239"/>
      <c r="D59" s="239"/>
      <c r="E59" s="239"/>
      <c r="F59" s="239"/>
      <c r="G59" s="239"/>
      <c r="H59" s="239"/>
      <c r="I59" s="240"/>
    </row>
    <row r="60" spans="1:15" ht="18.75" customHeight="1" x14ac:dyDescent="0.15">
      <c r="A60" s="1"/>
      <c r="B60" s="238"/>
      <c r="C60" s="239"/>
      <c r="D60" s="239"/>
      <c r="E60" s="239"/>
      <c r="F60" s="239"/>
      <c r="G60" s="239"/>
      <c r="H60" s="239"/>
      <c r="I60" s="240"/>
    </row>
    <row r="61" spans="1:15" ht="18.75" customHeight="1" x14ac:dyDescent="0.15">
      <c r="A61" s="1"/>
      <c r="B61" s="238"/>
      <c r="C61" s="239"/>
      <c r="D61" s="239"/>
      <c r="E61" s="239"/>
      <c r="F61" s="239"/>
      <c r="G61" s="239"/>
      <c r="H61" s="239"/>
      <c r="I61" s="240"/>
    </row>
    <row r="62" spans="1:15" ht="18.75" customHeight="1" x14ac:dyDescent="0.15">
      <c r="A62" s="1"/>
      <c r="B62" s="238"/>
      <c r="C62" s="239"/>
      <c r="D62" s="239"/>
      <c r="E62" s="239"/>
      <c r="F62" s="239"/>
      <c r="G62" s="239"/>
      <c r="H62" s="239"/>
      <c r="I62" s="240"/>
    </row>
    <row r="63" spans="1:15" ht="18.75" customHeight="1" x14ac:dyDescent="0.15">
      <c r="A63" s="1"/>
      <c r="B63" s="241"/>
      <c r="C63" s="242"/>
      <c r="D63" s="242"/>
      <c r="E63" s="242"/>
      <c r="F63" s="242"/>
      <c r="G63" s="242"/>
      <c r="H63" s="242"/>
      <c r="I63" s="24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6" t="s">
        <v>178</v>
      </c>
      <c r="C66" s="217"/>
      <c r="D66" s="217"/>
      <c r="E66" s="217"/>
      <c r="F66" s="217"/>
      <c r="G66" s="217"/>
      <c r="H66" s="217"/>
      <c r="I66" s="218"/>
    </row>
    <row r="67" spans="1:9" ht="18.75" customHeight="1" x14ac:dyDescent="0.15">
      <c r="A67" s="4"/>
      <c r="B67" s="219"/>
      <c r="C67" s="220"/>
      <c r="D67" s="220"/>
      <c r="E67" s="220"/>
      <c r="F67" s="220"/>
      <c r="G67" s="220"/>
      <c r="H67" s="220"/>
      <c r="I67" s="221"/>
    </row>
    <row r="68" spans="1:9" ht="18.75" customHeight="1" x14ac:dyDescent="0.15">
      <c r="A68" s="4"/>
      <c r="B68" s="219"/>
      <c r="C68" s="220"/>
      <c r="D68" s="220"/>
      <c r="E68" s="220"/>
      <c r="F68" s="220"/>
      <c r="G68" s="220"/>
      <c r="H68" s="220"/>
      <c r="I68" s="221"/>
    </row>
    <row r="69" spans="1:9" ht="18.75" customHeight="1" x14ac:dyDescent="0.15">
      <c r="A69" s="4"/>
      <c r="B69" s="219"/>
      <c r="C69" s="220"/>
      <c r="D69" s="220"/>
      <c r="E69" s="220"/>
      <c r="F69" s="220"/>
      <c r="G69" s="220"/>
      <c r="H69" s="220"/>
      <c r="I69" s="221"/>
    </row>
    <row r="70" spans="1:9" ht="18.75" customHeight="1" x14ac:dyDescent="0.15">
      <c r="A70" s="4"/>
      <c r="B70" s="219"/>
      <c r="C70" s="220"/>
      <c r="D70" s="220"/>
      <c r="E70" s="220"/>
      <c r="F70" s="220"/>
      <c r="G70" s="220"/>
      <c r="H70" s="220"/>
      <c r="I70" s="221"/>
    </row>
    <row r="71" spans="1:9" ht="18.75" customHeight="1" x14ac:dyDescent="0.15">
      <c r="A71" s="4"/>
      <c r="B71" s="219"/>
      <c r="C71" s="220"/>
      <c r="D71" s="220"/>
      <c r="E71" s="220"/>
      <c r="F71" s="220"/>
      <c r="G71" s="220"/>
      <c r="H71" s="220"/>
      <c r="I71" s="221"/>
    </row>
    <row r="72" spans="1:9" ht="18.75" customHeight="1" x14ac:dyDescent="0.15">
      <c r="A72" s="4"/>
      <c r="B72" s="219"/>
      <c r="C72" s="220"/>
      <c r="D72" s="220"/>
      <c r="E72" s="220"/>
      <c r="F72" s="220"/>
      <c r="G72" s="220"/>
      <c r="H72" s="220"/>
      <c r="I72" s="221"/>
    </row>
    <row r="73" spans="1:9" ht="18.75" customHeight="1" x14ac:dyDescent="0.15">
      <c r="A73" s="4"/>
      <c r="B73" s="219"/>
      <c r="C73" s="220"/>
      <c r="D73" s="220"/>
      <c r="E73" s="220"/>
      <c r="F73" s="220"/>
      <c r="G73" s="220"/>
      <c r="H73" s="220"/>
      <c r="I73" s="221"/>
    </row>
    <row r="74" spans="1:9" ht="18.75" customHeight="1" x14ac:dyDescent="0.15">
      <c r="A74" s="4"/>
      <c r="B74" s="219"/>
      <c r="C74" s="220"/>
      <c r="D74" s="220"/>
      <c r="E74" s="220"/>
      <c r="F74" s="220"/>
      <c r="G74" s="220"/>
      <c r="H74" s="220"/>
      <c r="I74" s="221"/>
    </row>
    <row r="75" spans="1:9" ht="18.75" customHeight="1" x14ac:dyDescent="0.15">
      <c r="A75" s="4"/>
      <c r="B75" s="219"/>
      <c r="C75" s="220"/>
      <c r="D75" s="220"/>
      <c r="E75" s="220"/>
      <c r="F75" s="220"/>
      <c r="G75" s="220"/>
      <c r="H75" s="220"/>
      <c r="I75" s="221"/>
    </row>
    <row r="76" spans="1:9" ht="18.75" customHeight="1" x14ac:dyDescent="0.15">
      <c r="A76" s="4"/>
      <c r="B76" s="219"/>
      <c r="C76" s="220"/>
      <c r="D76" s="220"/>
      <c r="E76" s="220"/>
      <c r="F76" s="220"/>
      <c r="G76" s="220"/>
      <c r="H76" s="220"/>
      <c r="I76" s="221"/>
    </row>
    <row r="77" spans="1:9" ht="18.75" customHeight="1" x14ac:dyDescent="0.15">
      <c r="A77" s="4"/>
      <c r="B77" s="222"/>
      <c r="C77" s="223"/>
      <c r="D77" s="223"/>
      <c r="E77" s="223"/>
      <c r="F77" s="223"/>
      <c r="G77" s="223"/>
      <c r="H77" s="223"/>
      <c r="I77" s="224"/>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6" t="s">
        <v>169</v>
      </c>
      <c r="C80" s="217"/>
      <c r="D80" s="217"/>
      <c r="E80" s="217"/>
      <c r="F80" s="217"/>
      <c r="G80" s="217"/>
      <c r="H80" s="217"/>
      <c r="I80" s="225"/>
    </row>
    <row r="81" spans="1:9" ht="18.75" customHeight="1" x14ac:dyDescent="0.15">
      <c r="A81" s="1"/>
      <c r="B81" s="226"/>
      <c r="C81" s="227"/>
      <c r="D81" s="227"/>
      <c r="E81" s="227"/>
      <c r="F81" s="227"/>
      <c r="G81" s="227"/>
      <c r="H81" s="227"/>
      <c r="I81" s="228"/>
    </row>
    <row r="82" spans="1:9" ht="18.75" customHeight="1" x14ac:dyDescent="0.15">
      <c r="A82" s="1"/>
      <c r="B82" s="226"/>
      <c r="C82" s="227"/>
      <c r="D82" s="229"/>
      <c r="E82" s="227"/>
      <c r="F82" s="227"/>
      <c r="G82" s="227"/>
      <c r="H82" s="227"/>
      <c r="I82" s="228"/>
    </row>
    <row r="83" spans="1:9" ht="18.75" customHeight="1" x14ac:dyDescent="0.15">
      <c r="A83" s="1"/>
      <c r="B83" s="226"/>
      <c r="C83" s="227"/>
      <c r="D83" s="227"/>
      <c r="E83" s="227"/>
      <c r="F83" s="227"/>
      <c r="G83" s="227"/>
      <c r="H83" s="227"/>
      <c r="I83" s="228"/>
    </row>
    <row r="84" spans="1:9" ht="18.75" customHeight="1" x14ac:dyDescent="0.15">
      <c r="A84" s="1"/>
      <c r="B84" s="226"/>
      <c r="C84" s="227"/>
      <c r="D84" s="227"/>
      <c r="E84" s="227"/>
      <c r="F84" s="227"/>
      <c r="G84" s="227"/>
      <c r="H84" s="227"/>
      <c r="I84" s="228"/>
    </row>
    <row r="85" spans="1:9" ht="18.75" customHeight="1" x14ac:dyDescent="0.15">
      <c r="A85" s="1"/>
      <c r="B85" s="226"/>
      <c r="C85" s="227"/>
      <c r="D85" s="229"/>
      <c r="E85" s="227"/>
      <c r="F85" s="227"/>
      <c r="G85" s="227"/>
      <c r="H85" s="227"/>
      <c r="I85" s="228"/>
    </row>
    <row r="86" spans="1:9" ht="18.75" customHeight="1" x14ac:dyDescent="0.15">
      <c r="A86" s="1"/>
      <c r="B86" s="226"/>
      <c r="C86" s="227"/>
      <c r="D86" s="227"/>
      <c r="E86" s="227"/>
      <c r="F86" s="227"/>
      <c r="G86" s="227"/>
      <c r="H86" s="227"/>
      <c r="I86" s="228"/>
    </row>
    <row r="87" spans="1:9" ht="18.75" customHeight="1" x14ac:dyDescent="0.15">
      <c r="A87" s="1"/>
      <c r="B87" s="226"/>
      <c r="C87" s="227"/>
      <c r="D87" s="227"/>
      <c r="E87" s="227"/>
      <c r="F87" s="227"/>
      <c r="G87" s="227"/>
      <c r="H87" s="227"/>
      <c r="I87" s="228"/>
    </row>
    <row r="88" spans="1:9" ht="18.75" customHeight="1" x14ac:dyDescent="0.15">
      <c r="A88" s="1"/>
      <c r="B88" s="226"/>
      <c r="C88" s="227"/>
      <c r="D88" s="227"/>
      <c r="E88" s="227"/>
      <c r="F88" s="227"/>
      <c r="G88" s="227"/>
      <c r="H88" s="227"/>
      <c r="I88" s="228"/>
    </row>
    <row r="89" spans="1:9" ht="18.75" customHeight="1" x14ac:dyDescent="0.15">
      <c r="A89" s="1"/>
      <c r="B89" s="226"/>
      <c r="C89" s="227"/>
      <c r="D89" s="229"/>
      <c r="E89" s="227"/>
      <c r="F89" s="227"/>
      <c r="G89" s="227"/>
      <c r="H89" s="227"/>
      <c r="I89" s="228"/>
    </row>
    <row r="90" spans="1:9" ht="18.75" customHeight="1" x14ac:dyDescent="0.15">
      <c r="A90" s="4"/>
      <c r="B90" s="226"/>
      <c r="C90" s="227"/>
      <c r="D90" s="227"/>
      <c r="E90" s="227"/>
      <c r="F90" s="227"/>
      <c r="G90" s="227"/>
      <c r="H90" s="227"/>
      <c r="I90" s="228"/>
    </row>
    <row r="91" spans="1:9" ht="18.75" customHeight="1" x14ac:dyDescent="0.15">
      <c r="A91" s="4"/>
      <c r="B91" s="230"/>
      <c r="C91" s="231"/>
      <c r="D91" s="231"/>
      <c r="E91" s="231"/>
      <c r="F91" s="231"/>
      <c r="G91" s="231"/>
      <c r="H91" s="231"/>
      <c r="I91" s="23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44" t="s">
        <v>179</v>
      </c>
      <c r="C94" s="245"/>
      <c r="D94" s="245"/>
      <c r="E94" s="245"/>
      <c r="F94" s="245"/>
      <c r="G94" s="245"/>
      <c r="H94" s="245"/>
      <c r="I94" s="246"/>
    </row>
    <row r="95" spans="1:9" ht="18.75" customHeight="1" x14ac:dyDescent="0.15">
      <c r="A95" s="1"/>
      <c r="B95" s="247"/>
      <c r="C95" s="248"/>
      <c r="D95" s="248"/>
      <c r="E95" s="248"/>
      <c r="F95" s="248"/>
      <c r="G95" s="248"/>
      <c r="H95" s="248"/>
      <c r="I95" s="249"/>
    </row>
    <row r="96" spans="1:9" ht="18.75" customHeight="1" x14ac:dyDescent="0.15">
      <c r="A96" s="1"/>
      <c r="B96" s="247"/>
      <c r="C96" s="248"/>
      <c r="D96" s="248"/>
      <c r="E96" s="248"/>
      <c r="F96" s="248"/>
      <c r="G96" s="248"/>
      <c r="H96" s="248"/>
      <c r="I96" s="249"/>
    </row>
    <row r="97" spans="1:9" ht="18.75" customHeight="1" x14ac:dyDescent="0.15">
      <c r="A97" s="1"/>
      <c r="B97" s="247"/>
      <c r="C97" s="248"/>
      <c r="D97" s="248"/>
      <c r="E97" s="248"/>
      <c r="F97" s="248"/>
      <c r="G97" s="248"/>
      <c r="H97" s="248"/>
      <c r="I97" s="249"/>
    </row>
    <row r="98" spans="1:9" ht="18.75" customHeight="1" x14ac:dyDescent="0.15">
      <c r="A98" s="1"/>
      <c r="B98" s="247"/>
      <c r="C98" s="248"/>
      <c r="D98" s="248"/>
      <c r="E98" s="248"/>
      <c r="F98" s="248"/>
      <c r="G98" s="248"/>
      <c r="H98" s="248"/>
      <c r="I98" s="249"/>
    </row>
    <row r="99" spans="1:9" ht="18.75" customHeight="1" x14ac:dyDescent="0.15">
      <c r="A99" s="1"/>
      <c r="B99" s="247"/>
      <c r="C99" s="248"/>
      <c r="D99" s="248"/>
      <c r="E99" s="248"/>
      <c r="F99" s="248"/>
      <c r="G99" s="248"/>
      <c r="H99" s="248"/>
      <c r="I99" s="249"/>
    </row>
    <row r="100" spans="1:9" ht="18.75" customHeight="1" x14ac:dyDescent="0.15">
      <c r="A100" s="1"/>
      <c r="B100" s="247"/>
      <c r="C100" s="248"/>
      <c r="D100" s="248"/>
      <c r="E100" s="248"/>
      <c r="F100" s="248"/>
      <c r="G100" s="248"/>
      <c r="H100" s="248"/>
      <c r="I100" s="249"/>
    </row>
    <row r="101" spans="1:9" ht="18.75" customHeight="1" x14ac:dyDescent="0.15">
      <c r="A101" s="1"/>
      <c r="B101" s="247"/>
      <c r="C101" s="248"/>
      <c r="D101" s="248"/>
      <c r="E101" s="248"/>
      <c r="F101" s="248"/>
      <c r="G101" s="248"/>
      <c r="H101" s="248"/>
      <c r="I101" s="249"/>
    </row>
    <row r="102" spans="1:9" ht="18.75" customHeight="1" x14ac:dyDescent="0.15">
      <c r="A102" s="1"/>
      <c r="B102" s="247"/>
      <c r="C102" s="248"/>
      <c r="D102" s="248"/>
      <c r="E102" s="248"/>
      <c r="F102" s="248"/>
      <c r="G102" s="248"/>
      <c r="H102" s="248"/>
      <c r="I102" s="249"/>
    </row>
    <row r="103" spans="1:9" ht="18.75" customHeight="1" x14ac:dyDescent="0.15">
      <c r="A103" s="1"/>
      <c r="B103" s="247"/>
      <c r="C103" s="248"/>
      <c r="D103" s="248"/>
      <c r="E103" s="248"/>
      <c r="F103" s="248"/>
      <c r="G103" s="248"/>
      <c r="H103" s="248"/>
      <c r="I103" s="249"/>
    </row>
    <row r="104" spans="1:9" ht="18.75" customHeight="1" x14ac:dyDescent="0.15">
      <c r="A104" s="1"/>
      <c r="B104" s="247"/>
      <c r="C104" s="248"/>
      <c r="D104" s="248"/>
      <c r="E104" s="248"/>
      <c r="F104" s="248"/>
      <c r="G104" s="248"/>
      <c r="H104" s="248"/>
      <c r="I104" s="249"/>
    </row>
    <row r="105" spans="1:9" ht="18.75" customHeight="1" x14ac:dyDescent="0.15">
      <c r="A105" s="4"/>
      <c r="B105" s="250"/>
      <c r="C105" s="251"/>
      <c r="D105" s="251"/>
      <c r="E105" s="251"/>
      <c r="F105" s="251"/>
      <c r="G105" s="251"/>
      <c r="H105" s="251"/>
      <c r="I105" s="252"/>
    </row>
    <row r="106" spans="1:9" ht="7.5" customHeight="1" x14ac:dyDescent="0.15">
      <c r="A106" s="4"/>
      <c r="B106" s="4"/>
      <c r="C106" s="4"/>
      <c r="D106" s="4"/>
      <c r="E106" s="4"/>
      <c r="F106" s="4"/>
      <c r="G106" s="4"/>
      <c r="H106" s="4"/>
      <c r="I106" s="4"/>
    </row>
    <row r="107" spans="1:9" ht="18.75" customHeight="1" x14ac:dyDescent="0.15">
      <c r="A107" s="1" t="s">
        <v>30</v>
      </c>
      <c r="B107" s="253" t="s">
        <v>46</v>
      </c>
      <c r="C107" s="253"/>
      <c r="D107" s="253"/>
      <c r="E107" s="253"/>
      <c r="F107" s="253"/>
      <c r="G107" s="253"/>
      <c r="H107" s="253"/>
      <c r="I107" s="253"/>
    </row>
    <row r="108" spans="1:9" ht="18.75" customHeight="1" x14ac:dyDescent="0.15">
      <c r="A108" s="4"/>
      <c r="B108" s="254" t="s">
        <v>170</v>
      </c>
      <c r="C108" s="255"/>
      <c r="D108" s="255"/>
      <c r="E108" s="255"/>
      <c r="F108" s="255"/>
      <c r="G108" s="255"/>
      <c r="H108" s="255"/>
      <c r="I108" s="256"/>
    </row>
    <row r="109" spans="1:9" ht="18.75" customHeight="1" x14ac:dyDescent="0.15">
      <c r="A109" s="4"/>
      <c r="B109" s="257"/>
      <c r="C109" s="258"/>
      <c r="D109" s="258"/>
      <c r="E109" s="258"/>
      <c r="F109" s="258"/>
      <c r="G109" s="258"/>
      <c r="H109" s="258"/>
      <c r="I109" s="259"/>
    </row>
    <row r="110" spans="1:9" ht="18.75" customHeight="1" x14ac:dyDescent="0.15">
      <c r="A110" s="4"/>
      <c r="B110" s="257"/>
      <c r="C110" s="258"/>
      <c r="D110" s="258"/>
      <c r="E110" s="258"/>
      <c r="F110" s="258"/>
      <c r="G110" s="258"/>
      <c r="H110" s="258"/>
      <c r="I110" s="259"/>
    </row>
    <row r="111" spans="1:9" ht="18.75" customHeight="1" x14ac:dyDescent="0.15">
      <c r="A111" s="4"/>
      <c r="B111" s="257"/>
      <c r="C111" s="258"/>
      <c r="D111" s="258"/>
      <c r="E111" s="258"/>
      <c r="F111" s="258"/>
      <c r="G111" s="258"/>
      <c r="H111" s="258"/>
      <c r="I111" s="259"/>
    </row>
    <row r="112" spans="1:9" ht="18.75" customHeight="1" x14ac:dyDescent="0.15">
      <c r="A112" s="4"/>
      <c r="B112" s="257"/>
      <c r="C112" s="258"/>
      <c r="D112" s="258"/>
      <c r="E112" s="258"/>
      <c r="F112" s="258"/>
      <c r="G112" s="258"/>
      <c r="H112" s="258"/>
      <c r="I112" s="259"/>
    </row>
    <row r="113" spans="1:9" ht="18.75" customHeight="1" x14ac:dyDescent="0.15">
      <c r="A113" s="4"/>
      <c r="B113" s="257"/>
      <c r="C113" s="258"/>
      <c r="D113" s="258"/>
      <c r="E113" s="258"/>
      <c r="F113" s="258"/>
      <c r="G113" s="258"/>
      <c r="H113" s="258"/>
      <c r="I113" s="259"/>
    </row>
    <row r="114" spans="1:9" ht="18.75" customHeight="1" x14ac:dyDescent="0.15">
      <c r="A114" s="4"/>
      <c r="B114" s="257"/>
      <c r="C114" s="258"/>
      <c r="D114" s="258"/>
      <c r="E114" s="258"/>
      <c r="F114" s="258"/>
      <c r="G114" s="258"/>
      <c r="H114" s="258"/>
      <c r="I114" s="259"/>
    </row>
    <row r="115" spans="1:9" ht="18.75" customHeight="1" x14ac:dyDescent="0.15">
      <c r="A115" s="4"/>
      <c r="B115" s="257"/>
      <c r="C115" s="258"/>
      <c r="D115" s="258"/>
      <c r="E115" s="258"/>
      <c r="F115" s="258"/>
      <c r="G115" s="258"/>
      <c r="H115" s="258"/>
      <c r="I115" s="259"/>
    </row>
    <row r="116" spans="1:9" ht="18.75" customHeight="1" x14ac:dyDescent="0.15">
      <c r="A116" s="4"/>
      <c r="B116" s="257"/>
      <c r="C116" s="258"/>
      <c r="D116" s="258"/>
      <c r="E116" s="258"/>
      <c r="F116" s="258"/>
      <c r="G116" s="258"/>
      <c r="H116" s="258"/>
      <c r="I116" s="259"/>
    </row>
    <row r="117" spans="1:9" ht="18.75" customHeight="1" x14ac:dyDescent="0.15">
      <c r="A117" s="4"/>
      <c r="B117" s="257"/>
      <c r="C117" s="258"/>
      <c r="D117" s="258"/>
      <c r="E117" s="258"/>
      <c r="F117" s="258"/>
      <c r="G117" s="258"/>
      <c r="H117" s="258"/>
      <c r="I117" s="259"/>
    </row>
    <row r="118" spans="1:9" ht="18.75" customHeight="1" x14ac:dyDescent="0.15">
      <c r="A118" s="4"/>
      <c r="B118" s="257"/>
      <c r="C118" s="258"/>
      <c r="D118" s="258"/>
      <c r="E118" s="258"/>
      <c r="F118" s="258"/>
      <c r="G118" s="258"/>
      <c r="H118" s="258"/>
      <c r="I118" s="259"/>
    </row>
    <row r="119" spans="1:9" ht="18.75" customHeight="1" x14ac:dyDescent="0.15">
      <c r="A119" s="4"/>
      <c r="B119" s="260"/>
      <c r="C119" s="261"/>
      <c r="D119" s="261"/>
      <c r="E119" s="261"/>
      <c r="F119" s="261"/>
      <c r="G119" s="261"/>
      <c r="H119" s="261"/>
      <c r="I119" s="262"/>
    </row>
    <row r="120" spans="1:9" ht="7.5" customHeight="1" x14ac:dyDescent="0.15">
      <c r="A120" s="4"/>
      <c r="B120" s="39"/>
      <c r="C120" s="39"/>
      <c r="D120" s="39"/>
      <c r="E120" s="39"/>
      <c r="F120" s="39"/>
      <c r="G120" s="39"/>
      <c r="H120" s="39"/>
      <c r="I120" s="39"/>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0"/>
      <c r="B134" s="40"/>
      <c r="C134" s="40"/>
      <c r="D134" s="40"/>
      <c r="E134" s="40"/>
      <c r="F134" s="40"/>
      <c r="G134" s="40"/>
      <c r="H134" s="40"/>
      <c r="I134" s="40"/>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89"/>
  <sheetViews>
    <sheetView showZeros="0" view="pageBreakPreview" topLeftCell="A12" zoomScale="85" zoomScaleNormal="100" zoomScaleSheetLayoutView="85" workbookViewId="0">
      <selection activeCell="O22" sqref="O22"/>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71</v>
      </c>
      <c r="I1" s="28" t="s">
        <v>105</v>
      </c>
    </row>
    <row r="2" spans="1:9" ht="18.75" customHeight="1" x14ac:dyDescent="0.15">
      <c r="H2" s="28" t="s">
        <v>109</v>
      </c>
      <c r="I2" s="27" t="s">
        <v>127</v>
      </c>
    </row>
    <row r="3" spans="1:9" ht="18.75" customHeight="1" x14ac:dyDescent="0.15">
      <c r="A3" s="134" t="s">
        <v>28</v>
      </c>
      <c r="B3" s="134"/>
      <c r="C3" s="134"/>
      <c r="D3" s="134"/>
      <c r="E3" s="134"/>
      <c r="F3" s="134"/>
      <c r="G3" s="134"/>
      <c r="H3" s="134"/>
      <c r="I3" s="134"/>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71" t="s">
        <v>154</v>
      </c>
      <c r="C6" s="301"/>
      <c r="D6" s="301"/>
      <c r="E6" s="301"/>
      <c r="F6" s="301"/>
      <c r="G6" s="301"/>
      <c r="H6" s="302"/>
      <c r="I6" s="3"/>
    </row>
    <row r="7" spans="1:9" ht="9" customHeight="1" x14ac:dyDescent="0.15">
      <c r="A7" s="5"/>
      <c r="B7" s="10"/>
      <c r="C7" s="10"/>
      <c r="D7" s="10"/>
      <c r="E7" s="10"/>
      <c r="F7" s="10"/>
      <c r="G7" s="10"/>
      <c r="H7" s="10"/>
      <c r="I7" s="3"/>
    </row>
    <row r="8" spans="1:9" ht="18.75" customHeight="1" x14ac:dyDescent="0.15">
      <c r="A8" s="5"/>
      <c r="B8" s="3"/>
      <c r="C8" s="3"/>
      <c r="D8" s="28" t="s">
        <v>43</v>
      </c>
      <c r="E8" s="29" t="s">
        <v>155</v>
      </c>
      <c r="F8" s="3"/>
      <c r="G8" s="28" t="s">
        <v>10</v>
      </c>
      <c r="H8" s="80" t="s">
        <v>156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2" t="s">
        <v>24</v>
      </c>
      <c r="C11" s="103"/>
      <c r="D11" s="104"/>
      <c r="E11" s="103" t="s">
        <v>26</v>
      </c>
      <c r="F11" s="103"/>
      <c r="G11" s="103"/>
      <c r="H11" s="103"/>
      <c r="I11" s="104"/>
    </row>
    <row r="12" spans="1:9" ht="26.25" customHeight="1" x14ac:dyDescent="0.15">
      <c r="B12" s="41" t="s">
        <v>14</v>
      </c>
      <c r="C12" s="48"/>
      <c r="D12" s="42"/>
      <c r="E12" s="49"/>
      <c r="F12" s="49"/>
      <c r="G12" s="49"/>
      <c r="H12" s="49"/>
      <c r="I12" s="42"/>
    </row>
    <row r="13" spans="1:9" ht="210.75" customHeight="1" x14ac:dyDescent="0.15">
      <c r="B13" s="43"/>
      <c r="C13" s="284" t="s">
        <v>15</v>
      </c>
      <c r="D13" s="285"/>
      <c r="E13" s="297" t="s">
        <v>180</v>
      </c>
      <c r="F13" s="286"/>
      <c r="G13" s="286"/>
      <c r="H13" s="286"/>
      <c r="I13" s="287"/>
    </row>
    <row r="14" spans="1:9" ht="210.75" customHeight="1" x14ac:dyDescent="0.15">
      <c r="B14" s="43"/>
      <c r="C14" s="299" t="s">
        <v>16</v>
      </c>
      <c r="D14" s="300"/>
      <c r="E14" s="297" t="s">
        <v>164</v>
      </c>
      <c r="F14" s="286"/>
      <c r="G14" s="286"/>
      <c r="H14" s="286"/>
      <c r="I14" s="287"/>
    </row>
    <row r="15" spans="1:9" ht="210.75" customHeight="1" x14ac:dyDescent="0.15">
      <c r="B15" s="43"/>
      <c r="C15" s="284" t="s">
        <v>17</v>
      </c>
      <c r="D15" s="285"/>
      <c r="E15" s="297" t="s">
        <v>165</v>
      </c>
      <c r="F15" s="286"/>
      <c r="G15" s="286"/>
      <c r="H15" s="286"/>
      <c r="I15" s="287"/>
    </row>
    <row r="16" spans="1:9" ht="210.75" customHeight="1" x14ac:dyDescent="0.15">
      <c r="B16" s="43"/>
      <c r="C16" s="284" t="s">
        <v>18</v>
      </c>
      <c r="D16" s="285"/>
      <c r="E16" s="297" t="s">
        <v>181</v>
      </c>
      <c r="F16" s="286"/>
      <c r="G16" s="286"/>
      <c r="H16" s="286"/>
      <c r="I16" s="287"/>
    </row>
    <row r="17" spans="2:9" ht="210.75" customHeight="1" x14ac:dyDescent="0.15">
      <c r="B17" s="44"/>
      <c r="C17" s="288" t="s">
        <v>19</v>
      </c>
      <c r="D17" s="289"/>
      <c r="E17" s="298" t="s">
        <v>182</v>
      </c>
      <c r="F17" s="290"/>
      <c r="G17" s="290"/>
      <c r="H17" s="290"/>
      <c r="I17" s="291"/>
    </row>
    <row r="18" spans="2:9" ht="24" customHeight="1" x14ac:dyDescent="0.15">
      <c r="B18" s="41" t="s">
        <v>20</v>
      </c>
      <c r="C18" s="45"/>
      <c r="D18" s="46"/>
      <c r="E18" s="47"/>
      <c r="F18" s="47"/>
      <c r="G18" s="47"/>
      <c r="H18" s="47"/>
      <c r="I18" s="50"/>
    </row>
    <row r="19" spans="2:9" ht="218.25" customHeight="1" x14ac:dyDescent="0.15">
      <c r="B19" s="43"/>
      <c r="C19" s="284" t="s">
        <v>21</v>
      </c>
      <c r="D19" s="285"/>
      <c r="E19" s="286" t="s">
        <v>171</v>
      </c>
      <c r="F19" s="286"/>
      <c r="G19" s="286"/>
      <c r="H19" s="286"/>
      <c r="I19" s="287"/>
    </row>
    <row r="20" spans="2:9" ht="218.25" customHeight="1" x14ac:dyDescent="0.15">
      <c r="B20" s="44"/>
      <c r="C20" s="288" t="s">
        <v>22</v>
      </c>
      <c r="D20" s="289"/>
      <c r="E20" s="290" t="s">
        <v>166</v>
      </c>
      <c r="F20" s="290"/>
      <c r="G20" s="290"/>
      <c r="H20" s="290"/>
      <c r="I20" s="291"/>
    </row>
    <row r="21" spans="2:9" ht="218.25" customHeight="1" x14ac:dyDescent="0.15">
      <c r="B21" s="292" t="s">
        <v>23</v>
      </c>
      <c r="C21" s="293"/>
      <c r="D21" s="294"/>
      <c r="E21" s="295" t="s">
        <v>183</v>
      </c>
      <c r="F21" s="295"/>
      <c r="G21" s="295"/>
      <c r="H21" s="295"/>
      <c r="I21" s="296"/>
    </row>
    <row r="22" spans="2:9" ht="218.25" customHeight="1" x14ac:dyDescent="0.15">
      <c r="B22" s="279" t="s">
        <v>38</v>
      </c>
      <c r="C22" s="280"/>
      <c r="D22" s="281"/>
      <c r="E22" s="282" t="s">
        <v>184</v>
      </c>
      <c r="F22" s="282"/>
      <c r="G22" s="282"/>
      <c r="H22" s="282"/>
      <c r="I22" s="28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row r="82" spans="4:4" ht="22.5" customHeight="1" x14ac:dyDescent="0.15">
      <c r="D82" s="101" t="s">
        <v>173</v>
      </c>
    </row>
    <row r="85" spans="4:4" ht="22.5" customHeight="1" x14ac:dyDescent="0.15">
      <c r="D85" s="95" t="s">
        <v>174</v>
      </c>
    </row>
    <row r="89" spans="4:4" ht="22.5" customHeight="1" x14ac:dyDescent="0.15">
      <c r="D89" s="101" t="s">
        <v>175</v>
      </c>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矢田 純子</cp:lastModifiedBy>
  <cp:lastPrinted>2023-04-22T09:46:17Z</cp:lastPrinted>
  <dcterms:created xsi:type="dcterms:W3CDTF">2011-06-14T05:32:50Z</dcterms:created>
  <dcterms:modified xsi:type="dcterms:W3CDTF">2023-07-06T01:58:58Z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