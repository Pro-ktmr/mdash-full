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2"/>
  <workbookPr defaultThemeVersion="124226"/>
  <mc:AlternateContent xmlns:mc="http://schemas.openxmlformats.org/markup-compatibility/2006">
    <mc:Choice Requires="x15">
      <x15ac:absPath xmlns:x15ac="http://schemas.microsoft.com/office/spreadsheetml/2010/11/ac" url="D:\Users\y-imai\Desktop\立命館大学\01_立命館大学_リテラシー（修正）\"/>
    </mc:Choice>
  </mc:AlternateContent>
  <xr:revisionPtr revIDLastSave="0" documentId="13_ncr:1_{6599CFDC-8E9C-48A4-80E2-BEE2393B1250}" xr6:coauthVersionLast="36" xr6:coauthVersionMax="47" xr10:uidLastSave="{00000000-0000-0000-0000-000000000000}"/>
  <bookViews>
    <workbookView xWindow="0" yWindow="0" windowWidth="17085" windowHeight="3555" tabRatio="885" xr2:uid="{00000000-000D-0000-FFFF-FFFF00000000}"/>
  </bookViews>
  <sheets>
    <sheet name="様式１-1　プログラムを構成する授業科目" sheetId="39" r:id="rId1"/>
    <sheet name="様式１-2　プログラムを構成する授業科目" sheetId="43" r:id="rId2"/>
    <sheet name="様式１-3　プログラムを構成する授業科目" sheetId="45" r:id="rId3"/>
    <sheet name="様式１-4　プログラムを構成する授業科目" sheetId="46" r:id="rId4"/>
    <sheet name="様式２ 履修者等数の実績" sheetId="40" r:id="rId5"/>
    <sheet name="様式３ 教育の質・履修者数を向上させるための体制・計画" sheetId="41" r:id="rId6"/>
    <sheet name="様式４　自己点検・評価" sheetId="42" r:id="rId7"/>
  </sheets>
  <definedNames>
    <definedName name="_xlnm._FilterDatabase" localSheetId="0" hidden="1">'様式１-1　プログラムを構成する授業科目'!$V$14:$V$16</definedName>
    <definedName name="_xlnm._FilterDatabase" localSheetId="1" hidden="1">'様式１-2　プログラムを構成する授業科目'!$V$14:$V$16</definedName>
    <definedName name="_xlnm._FilterDatabase" localSheetId="2" hidden="1">'様式１-3　プログラムを構成する授業科目'!$V$14:$V$16</definedName>
    <definedName name="_xlnm._FilterDatabase" localSheetId="3" hidden="1">'様式１-4　プログラムを構成する授業科目'!$V$14:$V$16</definedName>
    <definedName name="_xlnm._FilterDatabase" localSheetId="4" hidden="1">'様式２ 履修者等数の実績'!#REF!</definedName>
    <definedName name="_xlnm.Print_Area" localSheetId="0">'様式１-1　プログラムを構成する授業科目'!$A$1:$S$102</definedName>
    <definedName name="_xlnm.Print_Area" localSheetId="1">'様式１-2　プログラムを構成する授業科目'!$A$1:$S$104</definedName>
    <definedName name="_xlnm.Print_Area" localSheetId="2">'様式１-3　プログラムを構成する授業科目'!$A$1:$S$102</definedName>
    <definedName name="_xlnm.Print_Area" localSheetId="3">'様式１-4　プログラムを構成する授業科目'!$A$1:$S$102</definedName>
    <definedName name="_xlnm.Print_Area" localSheetId="4">'様式２ 履修者等数の実績'!$A$1:$AQ$32</definedName>
    <definedName name="_xlnm.Print_Area" localSheetId="5">'様式３ 教育の質・履修者数を向上させるための体制・計画'!$A$1:$I$120</definedName>
    <definedName name="_xlnm.Print_Area" localSheetId="6">'様式４　自己点検・評価'!$A$1:$I$22</definedName>
    <definedName name="_xlnm.Print_Titles" localSheetId="6">'様式４　自己点検・評価'!$11:$11</definedName>
  </definedNames>
  <calcPr calcId="191029"/>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<sst xmlns="http://schemas.openxmlformats.org/spreadsheetml/2006/main" count="764" uniqueCount="250">
  <si>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</si>
  <si>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</si>
  <si>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</si>
  <si>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</si>
  <si>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</si>
  <si>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</si>
  <si>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</si>
  <si>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</si>
  <si>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</si>
  <si>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</si>
  <si>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</si>
  <si>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</si>
  <si>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</si>
  <si>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</si>
  <si>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</si>
  <si>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</si>
  <si>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</si>
  <si>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</si>
  <si>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</si>
  <si>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</si>
  <si>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</si>
  <si>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</si>
  <si>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</si>
  <si>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</si>
  <si>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</si>
  <si>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</si>
  <si>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</si>
  <si>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</si>
  <si>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</si>
  <si>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</si>
  <si>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</si>
  <si>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</si>
  <si>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</si>
  <si>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</si>
  <si>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</si>
  <si>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</si>
  <si>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</si>
  <si>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</si>
  <si>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</si>
  <si>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</si>
  <si>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</si>
  <si>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</si>
  <si>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</si>
  <si>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</si>
  <si>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</si>
  <si>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</si>
  <si>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</si>
  <si>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</si>
  <si>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</si>
  <si>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</si>
  <si>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</si>
  <si>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</si>
  <si>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</si>
  <si>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</si>
  <si>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</si>
  <si>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</si>
  <si>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</si>
  <si>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</si>
  <si>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</si>
  <si>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</si>
  <si>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</si>
  <si>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</si>
  <si>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</si>
  <si>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</si>
  <si>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</si>
  <si>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</si>
  <si>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</si>
  <si>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</si>
  <si>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</si>
  <si>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</si>
  <si>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</si>
  <si>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</si>
  <si>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</si>
  <si>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</si>
  <si>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</si>
  <si>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</si>
  <si>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</si>
  <si>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</si>
  <si>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</si>
  <si>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</si>
  <si>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</si>
  <si>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</si>
  <si>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</si>
  <si>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</si>
  <si>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</si>
  <si>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</si>
  <si>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</si>
  <si>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</si>
  <si>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</si>
  <si>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</si>
  <si>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</si>
  <si>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</si>
  <si>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</si>
  <si>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</si>
  <si>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</si>
  <si>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</si>
  <si>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</si>
  <si>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</si>
  <si>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</si>
  <si>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</si>
  <si>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</si>
  <si>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</si>
  <si>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</si>
  <si>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</si>
  <si>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</si>
  <si>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</si>
  <si>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</si>
  <si>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</si>
  <si>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</si>
  <si>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</si>
  <si>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</si>
  <si>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</si>
  <si>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</si>
  <si>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</si>
  <si>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</si>
  <si>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</si>
  <si>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</si>
  <si>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</si>
  <si>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</si>
  <si>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</si>
  <si>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</si>
  <si>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</si>
  <si>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</si>
  <si>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</si>
  <si>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</si>
  <si>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</si>
  <si>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立命館大学</t>
    <rPh sb="0" eb="5">
      <t>リツメイカンダイガク</t>
    </rPh>
    <phoneticPr fontId="1"/>
  </si>
  <si>
    <t>データサイエンス+Rプログラム（基礎）</t>
    <rPh sb="16" eb="18">
      <t>キソ</t>
    </rPh>
    <phoneticPr fontId="1"/>
  </si>
  <si>
    <t>学部・学科によって、修了要件は相違する</t>
  </si>
  <si>
    <t>プログラムを構成する科目のうち「情報技術と社会」を単位取得すること（令和4年度以降受講者対象）</t>
    <rPh sb="6" eb="8">
      <t>コウセイ</t>
    </rPh>
    <rPh sb="10" eb="12">
      <t>カモク</t>
    </rPh>
    <rPh sb="16" eb="20">
      <t>ジョウホウギジュツ</t>
    </rPh>
    <rPh sb="21" eb="23">
      <t>シャカイ</t>
    </rPh>
    <phoneticPr fontId="1"/>
  </si>
  <si>
    <t>情報技術と社会</t>
    <rPh sb="0" eb="4">
      <t>ジョウホウギジュツ</t>
    </rPh>
    <rPh sb="5" eb="7">
      <t>シャカイ</t>
    </rPh>
    <phoneticPr fontId="1"/>
  </si>
  <si>
    <t>○</t>
  </si>
  <si>
    <t>様式１-1</t>
    <rPh sb="0" eb="2">
      <t>ヨウシキ</t>
    </rPh>
    <phoneticPr fontId="1"/>
  </si>
  <si>
    <t>情報倫理と情報技術</t>
    <rPh sb="0" eb="4">
      <t>ジョウホウリンリ</t>
    </rPh>
    <rPh sb="5" eb="9">
      <t>ジョウホウギジュツ</t>
    </rPh>
    <phoneticPr fontId="1"/>
  </si>
  <si>
    <t>法学部</t>
    <rPh sb="0" eb="3">
      <t>ホウガクブ</t>
    </rPh>
    <phoneticPr fontId="1"/>
  </si>
  <si>
    <t>産業社会学部</t>
    <rPh sb="0" eb="6">
      <t>サンギョウシャカイガクブ</t>
    </rPh>
    <phoneticPr fontId="1"/>
  </si>
  <si>
    <t>国際関係学部</t>
    <rPh sb="0" eb="2">
      <t>コクサイ</t>
    </rPh>
    <rPh sb="2" eb="4">
      <t>カンケイ</t>
    </rPh>
    <rPh sb="4" eb="6">
      <t>ガクブ</t>
    </rPh>
    <phoneticPr fontId="1"/>
  </si>
  <si>
    <t>文学部</t>
    <rPh sb="0" eb="3">
      <t>ブンガクブ</t>
    </rPh>
    <phoneticPr fontId="1"/>
  </si>
  <si>
    <t>映像学部</t>
    <rPh sb="0" eb="4">
      <t>エイゾウガクブ</t>
    </rPh>
    <phoneticPr fontId="1"/>
  </si>
  <si>
    <t>経済学部</t>
    <rPh sb="0" eb="4">
      <t>ケイザイガクブ</t>
    </rPh>
    <phoneticPr fontId="1"/>
  </si>
  <si>
    <t>理工学部</t>
    <rPh sb="0" eb="4">
      <t>リコウガクブ</t>
    </rPh>
    <phoneticPr fontId="1"/>
  </si>
  <si>
    <t>情報理工学部</t>
    <rPh sb="0" eb="2">
      <t>ジョウホウ</t>
    </rPh>
    <rPh sb="2" eb="6">
      <t>リコウガクブ</t>
    </rPh>
    <phoneticPr fontId="1"/>
  </si>
  <si>
    <t>生命科学部</t>
    <rPh sb="0" eb="4">
      <t>セイメイカガク</t>
    </rPh>
    <rPh sb="4" eb="5">
      <t>ブ</t>
    </rPh>
    <phoneticPr fontId="1"/>
  </si>
  <si>
    <t>薬学部</t>
    <rPh sb="0" eb="3">
      <t>ヤクガクブ</t>
    </rPh>
    <phoneticPr fontId="1"/>
  </si>
  <si>
    <t>スポーツ健康科学部</t>
    <rPh sb="4" eb="9">
      <t>ケンコウカガクブ</t>
    </rPh>
    <phoneticPr fontId="1"/>
  </si>
  <si>
    <t>食マネジメント学部</t>
    <rPh sb="0" eb="1">
      <t>ショク</t>
    </rPh>
    <rPh sb="7" eb="9">
      <t>ガクブ</t>
    </rPh>
    <phoneticPr fontId="1"/>
  </si>
  <si>
    <t>経営学部</t>
    <rPh sb="0" eb="4">
      <t>ケイエイガクブ</t>
    </rPh>
    <phoneticPr fontId="1"/>
  </si>
  <si>
    <t>政策科学部</t>
    <rPh sb="0" eb="5">
      <t>セイサクカガクブ</t>
    </rPh>
    <phoneticPr fontId="1"/>
  </si>
  <si>
    <t>総合心理学部</t>
    <rPh sb="0" eb="6">
      <t>ソウゴウシンリガクブ</t>
    </rPh>
    <phoneticPr fontId="1"/>
  </si>
  <si>
    <t>グローバル教養学部</t>
    <rPh sb="5" eb="7">
      <t>キョウヨウ</t>
    </rPh>
    <rPh sb="7" eb="9">
      <t>ガクブ</t>
    </rPh>
    <phoneticPr fontId="1"/>
  </si>
  <si>
    <t>中本 大</t>
    <rPh sb="0" eb="2">
      <t>ナカモト</t>
    </rPh>
    <rPh sb="3" eb="4">
      <t>ダイ</t>
    </rPh>
    <phoneticPr fontId="1"/>
  </si>
  <si>
    <t>教学部長</t>
    <rPh sb="0" eb="4">
      <t>キョウガクブチョウ</t>
    </rPh>
    <phoneticPr fontId="1"/>
  </si>
  <si>
    <t>教学委員会</t>
    <rPh sb="0" eb="5">
      <t>キョウガクイインカイ</t>
    </rPh>
    <phoneticPr fontId="1"/>
  </si>
  <si>
    <t>立命館大学教学委員会規程</t>
    <rPh sb="0" eb="5">
      <t>リツメイカンダイガク</t>
    </rPh>
    <rPh sb="5" eb="10">
      <t>キョウガクイインカイ</t>
    </rPh>
    <rPh sb="10" eb="12">
      <t>キテイ</t>
    </rPh>
    <phoneticPr fontId="1"/>
  </si>
  <si>
    <t>全16学部を擁する本学において数理・データサイエンス・AI教育を全ての学生へ提供することを目的としたデータサイエンス+Rプログラム（基礎）は教養科目と既存の学部独自科目を構成科目として展開しており、全学において一体化されたプログラム展開を行うために、「学部と研究科に共通する教学および教務事項」を審議事項とする教学委員会において、教育の質および履修者数向上に向けた取り組みなどを審議する。</t>
    <phoneticPr fontId="1"/>
  </si>
  <si>
    <t>各学部において配布される「学修要覧」へ記載し、全学生に対し、プログラムおよび修得の必要性について周知を行っている。また、本教育プログラムに関するホームページを公開し、数理・データサイエンス・AIに関する知識・技能を修得することの重要性および今後の社会における必要性について説明し、本学学生が自身の専門に関わらず広く受講および修得することが可能な教育プログラムとなっている点について周知を広く行っている。</t>
    <phoneticPr fontId="1"/>
  </si>
  <si>
    <t>複数のキャンパスに跨って学部が存在する本学においては、キャンパス間移動を伴って受講することが困難なため、各キャンパスにおいて複数クラス開講するまたは、複数クラス開講が困難な場合においては、必修科目との重複などが生じない曜日時限に配置するなど、学生の受講機会の確保に注力し、多くの学生が履修できる環境の整備を行っている。
また、学習段階において適宜課題等を設定し、学生の理解度や進捗の把握を行うことにより、多くの学生が修得できるような体制を構築している。
加えて、各年度科目担当者間において情報共有を行うことにより、履修・修得できる環境の改善を行っている。</t>
    <phoneticPr fontId="1"/>
  </si>
  <si>
    <t>本学では、全授業科目について履修学生を対象として授業内容の全容を把握して回答できる第13・14週において授業アンケートを実施しており、授業外学習時間や学習態度、理解度についてクラス単位で測定を行っている。
加えてデータサイエンス+Rプログラムでは、学生の詳細な学修実態を把握するため、全学において実施しているアンケートとは別に個別アンケートを実施しており、結果について担当教員へフィードバックするとともに、教学委員会にて審議することにより、教育改善に活用している。</t>
    <phoneticPr fontId="1"/>
  </si>
  <si>
    <t>本学は文理16学部を擁する総合大学であり、受講生の興味関心も様々であるが、原理など抽象的な学習内容とならないよう、実社会や日々の生活において活用されている例や課題を取り扱うとともに、情報社会において得られるデータを用いた内容を組み込むこととしている。このことによって、自身の専門分野に関わらず、「学ぶ楽しさ」や「学ぶことの意義」などについて理解できる内容となっている。</t>
    <phoneticPr fontId="1"/>
  </si>
  <si>
    <t>Professional Ethics</t>
  </si>
  <si>
    <t>Professional Ethics</t>
    <phoneticPr fontId="1"/>
  </si>
  <si>
    <t>Introduction to Experimentation</t>
  </si>
  <si>
    <t>Introduction to Experimentation</t>
    <phoneticPr fontId="1"/>
  </si>
  <si>
    <t>国際関係学部（国際関係学科/アメリカン大学・立命館大学国際連携学科）</t>
    <phoneticPr fontId="1"/>
  </si>
  <si>
    <t>IR18-AE114 Data Literacy for Research Design</t>
  </si>
  <si>
    <t>IR18-AE114 Data Literacy for Research Design</t>
    <phoneticPr fontId="1"/>
  </si>
  <si>
    <t>様式１-4</t>
    <rPh sb="0" eb="2">
      <t>ヨウシキ</t>
    </rPh>
    <phoneticPr fontId="1"/>
  </si>
  <si>
    <t>様式１-2</t>
    <rPh sb="0" eb="2">
      <t>ヨウシキ</t>
    </rPh>
    <phoneticPr fontId="1"/>
  </si>
  <si>
    <t>グローバル教養学部（グローバル教養学科）</t>
    <phoneticPr fontId="1"/>
  </si>
  <si>
    <t>Algorithm and Programming</t>
  </si>
  <si>
    <t>Algorithm and Programming</t>
    <phoneticPr fontId="1"/>
  </si>
  <si>
    <t>Social Change with AI</t>
  </si>
  <si>
    <t>Social Change with AI</t>
    <phoneticPr fontId="1"/>
  </si>
  <si>
    <t>4‐2アルゴリズム基礎</t>
  </si>
  <si>
    <t>Algorithm and Programming</t>
    <phoneticPr fontId="1"/>
  </si>
  <si>
    <t>4‐3データ構造とプログラミング基礎</t>
  </si>
  <si>
    <t>4‐6画像解析</t>
  </si>
  <si>
    <t>4‐7データハンドリング</t>
  </si>
  <si>
    <t>・匿名加工情報、暗号化、パスワード、悪意ある情報搾取「Social Change with AI」（第5,6回）</t>
    <rPh sb="1" eb="3">
      <t>トクメイ</t>
    </rPh>
    <rPh sb="3" eb="5">
      <t>カコウ</t>
    </rPh>
    <rPh sb="5" eb="7">
      <t>ジョウホウ</t>
    </rPh>
    <rPh sb="8" eb="11">
      <t>アンゴウカ</t>
    </rPh>
    <rPh sb="18" eb="20">
      <t>アクイ</t>
    </rPh>
    <rPh sb="22" eb="24">
      <t>ジョウホウ</t>
    </rPh>
    <rPh sb="24" eb="26">
      <t>サクシュ</t>
    </rPh>
    <phoneticPr fontId="1"/>
  </si>
  <si>
    <t>社会において情報学が果たす役割ならびに情報倫理に関する問題の重要性を理解し、情報技術者に求められる倫理観を養うことができる。
また代表的な情報技術についてその体系や基礎を理解することができる。</t>
    <rPh sb="0" eb="2">
      <t>シャカイ</t>
    </rPh>
    <rPh sb="6" eb="9">
      <t>ジョウホウガク</t>
    </rPh>
    <rPh sb="10" eb="11">
      <t>ハ</t>
    </rPh>
    <rPh sb="13" eb="15">
      <t>ヤクワリ</t>
    </rPh>
    <rPh sb="19" eb="23">
      <t>ジョウホウリンリ</t>
    </rPh>
    <rPh sb="24" eb="25">
      <t>カン</t>
    </rPh>
    <rPh sb="27" eb="29">
      <t>モンダイ</t>
    </rPh>
    <rPh sb="30" eb="33">
      <t>ジュウヨウセイ</t>
    </rPh>
    <rPh sb="34" eb="36">
      <t>リカイ</t>
    </rPh>
    <rPh sb="38" eb="43">
      <t>ジョウホウギジュツシャ</t>
    </rPh>
    <rPh sb="44" eb="45">
      <t>モト</t>
    </rPh>
    <rPh sb="49" eb="52">
      <t>リンリカン</t>
    </rPh>
    <rPh sb="53" eb="54">
      <t>ヤシナ</t>
    </rPh>
    <rPh sb="65" eb="68">
      <t>ダイヒョウテキ</t>
    </rPh>
    <rPh sb="69" eb="73">
      <t>ジョウホウギジュツ</t>
    </rPh>
    <rPh sb="79" eb="81">
      <t>タイケイ</t>
    </rPh>
    <rPh sb="82" eb="84">
      <t>キソ</t>
    </rPh>
    <rPh sb="85" eb="87">
      <t>リカイ</t>
    </rPh>
    <phoneticPr fontId="1"/>
  </si>
  <si>
    <t>・調査データ、実験データ、人の行動ログデータ、機械の稼働ログデータなど「情報技術と社会」（第12回）
・1次データ、2次データ、データのメタ化「情報技術と社会」（第12回）</t>
    <rPh sb="1" eb="3">
      <t>チョウサ</t>
    </rPh>
    <rPh sb="7" eb="9">
      <t>ジッケン</t>
    </rPh>
    <rPh sb="13" eb="14">
      <t>ヒト</t>
    </rPh>
    <rPh sb="15" eb="17">
      <t>コウドウ</t>
    </rPh>
    <rPh sb="23" eb="25">
      <t>キカイ</t>
    </rPh>
    <rPh sb="26" eb="28">
      <t>カドウ</t>
    </rPh>
    <rPh sb="36" eb="40">
      <t>ジョウホウギジュツ</t>
    </rPh>
    <rPh sb="41" eb="43">
      <t>シャカイ</t>
    </rPh>
    <rPh sb="45" eb="46">
      <t>ダイ</t>
    </rPh>
    <rPh sb="48" eb="49">
      <t>カイ</t>
    </rPh>
    <rPh sb="53" eb="54">
      <t>ジ</t>
    </rPh>
    <rPh sb="59" eb="60">
      <t>ジ</t>
    </rPh>
    <rPh sb="70" eb="71">
      <t>カ</t>
    </rPh>
    <rPh sb="72" eb="76">
      <t>ジョウホウギジュツ</t>
    </rPh>
    <rPh sb="77" eb="79">
      <t>シャカイ</t>
    </rPh>
    <rPh sb="81" eb="82">
      <t>ダイ</t>
    </rPh>
    <rPh sb="84" eb="85">
      <t>カイ</t>
    </rPh>
    <phoneticPr fontId="2"/>
  </si>
  <si>
    <t>・ELSI（Ethical,Legal and Social Issues）「情報技術と社会」（第9,11回）
・個人情報保護、EU一般データ保護規則（GDPR）、忘れられる権利、オプトアウト「情報技術と社会」（第9,11回）
・データ倫理：データの捏造、改ざん、盗用、プライバシー保護「情報技術と社会」（第9,11回）</t>
    <rPh sb="39" eb="43">
      <t>ジョウホウギジュツ</t>
    </rPh>
    <rPh sb="44" eb="46">
      <t>シャカイ</t>
    </rPh>
    <rPh sb="48" eb="49">
      <t>ダイ</t>
    </rPh>
    <rPh sb="53" eb="54">
      <t>カイ</t>
    </rPh>
    <rPh sb="57" eb="61">
      <t>コジンジョウホウ</t>
    </rPh>
    <rPh sb="61" eb="63">
      <t>ホゴ</t>
    </rPh>
    <rPh sb="66" eb="68">
      <t>イッパン</t>
    </rPh>
    <rPh sb="71" eb="73">
      <t>ホゴ</t>
    </rPh>
    <rPh sb="73" eb="75">
      <t>キソク</t>
    </rPh>
    <rPh sb="82" eb="83">
      <t>ワス</t>
    </rPh>
    <rPh sb="87" eb="89">
      <t>ケンリ</t>
    </rPh>
    <rPh sb="97" eb="101">
      <t>ジョウホウギジュツ</t>
    </rPh>
    <rPh sb="102" eb="104">
      <t>シャカイ</t>
    </rPh>
    <rPh sb="106" eb="107">
      <t>ダイ</t>
    </rPh>
    <rPh sb="111" eb="112">
      <t>カイ</t>
    </rPh>
    <rPh sb="118" eb="120">
      <t>リンリ</t>
    </rPh>
    <rPh sb="125" eb="127">
      <t>ネツゾウ</t>
    </rPh>
    <rPh sb="128" eb="129">
      <t>カイ</t>
    </rPh>
    <rPh sb="132" eb="134">
      <t>トウヨウ</t>
    </rPh>
    <rPh sb="141" eb="143">
      <t>ホゴ</t>
    </rPh>
    <rPh sb="144" eb="148">
      <t>ジョウホウギジュツ</t>
    </rPh>
    <rPh sb="149" eb="151">
      <t>シャカイ</t>
    </rPh>
    <rPh sb="153" eb="154">
      <t>ダイ</t>
    </rPh>
    <rPh sb="158" eb="159">
      <t>カイ</t>
    </rPh>
    <phoneticPr fontId="2"/>
  </si>
  <si>
    <t>・データ表現（棒グラフ、折線グラフ、散布図、ヒートマップ）「情報技術と社会」（第15回）
・データの図表表現（チャート化）「情報技術と社会」（第15回）
・不適切なグラフ表現（チャートジャンク、不必要な視覚的要素）「情報技術と社会」（第15回）</t>
    <rPh sb="4" eb="6">
      <t>ヒョウゲン</t>
    </rPh>
    <rPh sb="7" eb="8">
      <t>ボウ</t>
    </rPh>
    <rPh sb="12" eb="14">
      <t>オレセン</t>
    </rPh>
    <rPh sb="18" eb="21">
      <t>サンプズ</t>
    </rPh>
    <rPh sb="30" eb="34">
      <t>ジョウホウギジュツ</t>
    </rPh>
    <rPh sb="35" eb="37">
      <t>シャカイ</t>
    </rPh>
    <rPh sb="39" eb="40">
      <t>ダイ</t>
    </rPh>
    <rPh sb="42" eb="43">
      <t>カイ</t>
    </rPh>
    <rPh sb="50" eb="52">
      <t>ズヒョウ</t>
    </rPh>
    <rPh sb="52" eb="54">
      <t>ヒョウゲン</t>
    </rPh>
    <rPh sb="59" eb="60">
      <t>カ</t>
    </rPh>
    <rPh sb="62" eb="66">
      <t>ジョウホウギジュツ</t>
    </rPh>
    <rPh sb="67" eb="69">
      <t>シャカイ</t>
    </rPh>
    <rPh sb="71" eb="72">
      <t>ダイ</t>
    </rPh>
    <rPh sb="74" eb="75">
      <t>カイ</t>
    </rPh>
    <rPh sb="78" eb="81">
      <t>フテキセツ</t>
    </rPh>
    <rPh sb="85" eb="87">
      <t>ヒョウゲン</t>
    </rPh>
    <rPh sb="97" eb="100">
      <t>フヒツヨウ</t>
    </rPh>
    <rPh sb="101" eb="104">
      <t>シカクテキ</t>
    </rPh>
    <rPh sb="104" eb="106">
      <t>ヨウソ</t>
    </rPh>
    <rPh sb="108" eb="112">
      <t>ジョウホウギジュツ</t>
    </rPh>
    <rPh sb="113" eb="115">
      <t>シャカイ</t>
    </rPh>
    <rPh sb="117" eb="118">
      <t>ダイ</t>
    </rPh>
    <rPh sb="120" eb="121">
      <t>カイ</t>
    </rPh>
    <phoneticPr fontId="2"/>
  </si>
  <si>
    <t>・データの集計（和、平均）「情報技術と社会」（第15回）
・データの並び替え、ランキング「情報技術と社会」（第15回）
・データ解析ツール（スプレッドシート）「情報技術と社会」（第15回）
・表形式のデータ（csv）「情報技術と社会」（第15回）</t>
    <rPh sb="5" eb="7">
      <t>シュウケイ</t>
    </rPh>
    <rPh sb="8" eb="9">
      <t>ワ</t>
    </rPh>
    <rPh sb="10" eb="12">
      <t>ヘイキン</t>
    </rPh>
    <rPh sb="14" eb="18">
      <t>ジョウホウギジュツ</t>
    </rPh>
    <rPh sb="19" eb="21">
      <t>シャカイ</t>
    </rPh>
    <rPh sb="23" eb="24">
      <t>ダイ</t>
    </rPh>
    <rPh sb="26" eb="27">
      <t>カイ</t>
    </rPh>
    <rPh sb="34" eb="35">
      <t>ナラ</t>
    </rPh>
    <rPh sb="36" eb="37">
      <t>カ</t>
    </rPh>
    <rPh sb="45" eb="49">
      <t>ジョウホウギジュツ</t>
    </rPh>
    <rPh sb="50" eb="52">
      <t>シャカイ</t>
    </rPh>
    <rPh sb="54" eb="55">
      <t>ダイ</t>
    </rPh>
    <rPh sb="57" eb="58">
      <t>カイ</t>
    </rPh>
    <rPh sb="64" eb="66">
      <t>カイセキ</t>
    </rPh>
    <rPh sb="80" eb="84">
      <t>ジョウホウギジュツ</t>
    </rPh>
    <rPh sb="85" eb="87">
      <t>シャカイ</t>
    </rPh>
    <rPh sb="89" eb="90">
      <t>ダイ</t>
    </rPh>
    <rPh sb="92" eb="93">
      <t>カイ</t>
    </rPh>
    <rPh sb="96" eb="99">
      <t>ヒョウケイシキ</t>
    </rPh>
    <rPh sb="109" eb="113">
      <t>ジョウホウギジュツ</t>
    </rPh>
    <rPh sb="114" eb="116">
      <t>シャカイ</t>
    </rPh>
    <rPh sb="118" eb="119">
      <t>ダイ</t>
    </rPh>
    <rPh sb="121" eb="122">
      <t>カイ</t>
    </rPh>
    <phoneticPr fontId="2"/>
  </si>
  <si>
    <t>IR18-AE114 Data Literacy for Research Design</t>
    <phoneticPr fontId="1"/>
  </si>
  <si>
    <t>4-1統計および数理基礎</t>
  </si>
  <si>
    <t>4‐8データ活用実践（教師あり学習）</t>
  </si>
  <si>
    <t>4‐9データ活用実践（教師なし学習）</t>
  </si>
  <si>
    <t>・ビッグデータ、IoT、AI、ロボット「Social Change with AI」（第1,2,3,4回）
・複数技術を組み合わせたAIサービス「Social Change with AI」（第2,3,4回）
・人間の知的活動とAIの関係性「Social Change with AI」（第2,3,4回）</t>
    <rPh sb="22" eb="24">
      <t>ニンゲン</t>
    </rPh>
    <rPh sb="25" eb="27">
      <t>チテキ</t>
    </rPh>
    <rPh sb="27" eb="29">
      <t>カツドウ</t>
    </rPh>
    <rPh sb="33" eb="36">
      <t>カンケイセイ</t>
    </rPh>
    <rPh sb="55" eb="57">
      <t>フクスウ</t>
    </rPh>
    <rPh sb="57" eb="59">
      <t>ギジュツ</t>
    </rPh>
    <rPh sb="60" eb="61">
      <t>ク</t>
    </rPh>
    <rPh sb="62" eb="63">
      <t>ア</t>
    </rPh>
    <rPh sb="110" eb="111">
      <t>カイ</t>
    </rPh>
    <phoneticPr fontId="1"/>
  </si>
  <si>
    <t>・AI等を活用した新しいビジネスモデル（シェアリングエコノミー、商品のレコメンデーションなど）「Social Change with AI」（第9,10,12,14回）
・AI最新技術の活用例（深層生成モデル、敵対的生成ネットワーク、強化学習、転移学習など）「Social Change with AI」（第9,10,12,14回）</t>
    <rPh sb="3" eb="4">
      <t>トウ</t>
    </rPh>
    <rPh sb="5" eb="7">
      <t>カツヨウ</t>
    </rPh>
    <rPh sb="9" eb="10">
      <t>アタラ</t>
    </rPh>
    <rPh sb="32" eb="34">
      <t>ショウヒン</t>
    </rPh>
    <rPh sb="88" eb="92">
      <t>サイシンギジュツ</t>
    </rPh>
    <rPh sb="93" eb="95">
      <t>カツヨウ</t>
    </rPh>
    <rPh sb="95" eb="96">
      <t>レイ</t>
    </rPh>
    <rPh sb="97" eb="99">
      <t>シンソウ</t>
    </rPh>
    <rPh sb="99" eb="101">
      <t>セイセイ</t>
    </rPh>
    <rPh sb="105" eb="108">
      <t>テキタイテキ</t>
    </rPh>
    <rPh sb="108" eb="110">
      <t>セイセイ</t>
    </rPh>
    <rPh sb="117" eb="119">
      <t>キョウカ</t>
    </rPh>
    <rPh sb="119" eb="121">
      <t>ガクシュウ</t>
    </rPh>
    <rPh sb="122" eb="124">
      <t>テンイ</t>
    </rPh>
    <rPh sb="124" eb="126">
      <t>ガクシュウ</t>
    </rPh>
    <phoneticPr fontId="1"/>
  </si>
  <si>
    <t>・データ・AI活用領域の広がり（生産、消費、文化活動など）「Social Change with AI」（第9,10,13回）
・研究開発、調達、製造、物流、販売、マーケティング、サービスなど「Social Change with AI」（第9,10,13回）
・仮説検証、知識発見、原因究明、計画策定、判断支援、活動代替、新規生成など「Social Change with AI」（第9,10,13回）</t>
    <rPh sb="7" eb="9">
      <t>カツヨウ</t>
    </rPh>
    <rPh sb="9" eb="11">
      <t>リョウイキ</t>
    </rPh>
    <rPh sb="12" eb="13">
      <t>ヒロ</t>
    </rPh>
    <rPh sb="16" eb="18">
      <t>セイサン</t>
    </rPh>
    <rPh sb="19" eb="21">
      <t>ショウヒ</t>
    </rPh>
    <rPh sb="22" eb="26">
      <t>ブンカカツドウ</t>
    </rPh>
    <rPh sb="65" eb="69">
      <t>ケンキュウカイハツ</t>
    </rPh>
    <rPh sb="70" eb="72">
      <t>チョウタツ</t>
    </rPh>
    <rPh sb="73" eb="75">
      <t>セイゾウ</t>
    </rPh>
    <rPh sb="76" eb="78">
      <t>ブツリュウ</t>
    </rPh>
    <rPh sb="79" eb="81">
      <t>ハンバイ</t>
    </rPh>
    <rPh sb="132" eb="136">
      <t>カセツケンショウ</t>
    </rPh>
    <rPh sb="137" eb="139">
      <t>チシキ</t>
    </rPh>
    <rPh sb="139" eb="141">
      <t>ハッケン</t>
    </rPh>
    <rPh sb="142" eb="144">
      <t>ゲンイン</t>
    </rPh>
    <rPh sb="144" eb="146">
      <t>キュウメイ</t>
    </rPh>
    <rPh sb="147" eb="149">
      <t>ケイカク</t>
    </rPh>
    <rPh sb="149" eb="151">
      <t>サクテイ</t>
    </rPh>
    <rPh sb="152" eb="154">
      <t>ハンダン</t>
    </rPh>
    <rPh sb="154" eb="156">
      <t>シエン</t>
    </rPh>
    <rPh sb="157" eb="159">
      <t>カツドウ</t>
    </rPh>
    <rPh sb="159" eb="161">
      <t>ダイカ</t>
    </rPh>
    <rPh sb="162" eb="166">
      <t>シンキセイセイ</t>
    </rPh>
    <phoneticPr fontId="1"/>
  </si>
  <si>
    <t>・調査データ、実験データ、人の行動ログデータ、機械の稼働ログデータなど「Social Change with AI」（第3,4,13回）</t>
    <rPh sb="1" eb="3">
      <t>チョウサ</t>
    </rPh>
    <rPh sb="7" eb="9">
      <t>ジッケン</t>
    </rPh>
    <rPh sb="13" eb="14">
      <t>ヒト</t>
    </rPh>
    <rPh sb="15" eb="17">
      <t>コウドウ</t>
    </rPh>
    <rPh sb="23" eb="25">
      <t>キカイ</t>
    </rPh>
    <rPh sb="26" eb="28">
      <t>カドウ</t>
    </rPh>
    <phoneticPr fontId="1"/>
  </si>
  <si>
    <t>・第4次産業革命、Society5.0、データ駆動型社会「情報技術と社会」（第1,2,3回）
・ビッグデータ、IoT、AI、ロボット「情報技術と社会」（第5,7,8,12回）</t>
    <rPh sb="1" eb="2">
      <t>ダイ</t>
    </rPh>
    <rPh sb="3" eb="4">
      <t>ジ</t>
    </rPh>
    <rPh sb="4" eb="8">
      <t>サンギョウカクメイ</t>
    </rPh>
    <rPh sb="23" eb="26">
      <t>クドウガタ</t>
    </rPh>
    <rPh sb="26" eb="28">
      <t>シャカイ</t>
    </rPh>
    <rPh sb="29" eb="33">
      <t>ジョウホウギジュツ</t>
    </rPh>
    <rPh sb="34" eb="36">
      <t>シャカイ</t>
    </rPh>
    <rPh sb="38" eb="39">
      <t>ダイ</t>
    </rPh>
    <rPh sb="44" eb="45">
      <t>カイ</t>
    </rPh>
    <rPh sb="67" eb="71">
      <t>ジョウホウギジュツ</t>
    </rPh>
    <rPh sb="72" eb="74">
      <t>シャカイ</t>
    </rPh>
    <rPh sb="76" eb="77">
      <t>ダイ</t>
    </rPh>
    <rPh sb="85" eb="86">
      <t>カイ</t>
    </rPh>
    <phoneticPr fontId="2"/>
  </si>
  <si>
    <t>・データ・AI活用領域の広がり（生産、消費、文化活動など）「情報技術と社会」（第4,5,6回）
・研究開発、調達、製造、物流、販売、マーケティング、サービスなど「情報技術と社会」（第4,5,6,13回）</t>
    <rPh sb="7" eb="9">
      <t>カツヨウ</t>
    </rPh>
    <rPh sb="9" eb="11">
      <t>リョウイキ</t>
    </rPh>
    <rPh sb="12" eb="13">
      <t>ヒロ</t>
    </rPh>
    <rPh sb="16" eb="18">
      <t>セイサン</t>
    </rPh>
    <rPh sb="19" eb="21">
      <t>ショウヒ</t>
    </rPh>
    <rPh sb="22" eb="24">
      <t>ブンカ</t>
    </rPh>
    <rPh sb="24" eb="26">
      <t>カツドウ</t>
    </rPh>
    <rPh sb="30" eb="34">
      <t>ジョウホウギジュツ</t>
    </rPh>
    <rPh sb="35" eb="37">
      <t>シャカイ</t>
    </rPh>
    <rPh sb="39" eb="40">
      <t>ダイ</t>
    </rPh>
    <rPh sb="45" eb="46">
      <t>カイ</t>
    </rPh>
    <rPh sb="49" eb="51">
      <t>ケンキュウ</t>
    </rPh>
    <rPh sb="51" eb="53">
      <t>カイハツ</t>
    </rPh>
    <rPh sb="54" eb="56">
      <t>チョウタツ</t>
    </rPh>
    <rPh sb="57" eb="59">
      <t>セイゾウ</t>
    </rPh>
    <rPh sb="60" eb="62">
      <t>ブツリュウ</t>
    </rPh>
    <rPh sb="63" eb="65">
      <t>ハンバイ</t>
    </rPh>
    <rPh sb="81" eb="85">
      <t>ジョウホウギジュツ</t>
    </rPh>
    <rPh sb="86" eb="88">
      <t>シャカイ</t>
    </rPh>
    <rPh sb="90" eb="91">
      <t>ダイ</t>
    </rPh>
    <rPh sb="99" eb="100">
      <t>カイ</t>
    </rPh>
    <phoneticPr fontId="2"/>
  </si>
  <si>
    <t>・特化型AIと汎用AI、今のAIに出来ることと出来ないこと、AIとビッグデータ「情報技術と社会」（第8,12回）
・データ解析：予測、グルーピング、パターン発見、最適化、シミュレーション、データ同化など「情報技術と社会」（第13回）</t>
    <rPh sb="1" eb="4">
      <t>トッカガタ</t>
    </rPh>
    <rPh sb="7" eb="9">
      <t>ハンヨウ</t>
    </rPh>
    <rPh sb="12" eb="13">
      <t>イマ</t>
    </rPh>
    <rPh sb="17" eb="19">
      <t>デキ</t>
    </rPh>
    <rPh sb="23" eb="25">
      <t>デキ</t>
    </rPh>
    <rPh sb="40" eb="44">
      <t>ジョウホウギジュツ</t>
    </rPh>
    <rPh sb="45" eb="47">
      <t>シャカイ</t>
    </rPh>
    <rPh sb="49" eb="50">
      <t>ダイ</t>
    </rPh>
    <rPh sb="54" eb="55">
      <t>カイ</t>
    </rPh>
    <rPh sb="61" eb="63">
      <t>カイセキ</t>
    </rPh>
    <rPh sb="64" eb="66">
      <t>ヨソク</t>
    </rPh>
    <rPh sb="78" eb="80">
      <t>ハッケン</t>
    </rPh>
    <rPh sb="81" eb="84">
      <t>サイテキカ</t>
    </rPh>
    <rPh sb="97" eb="99">
      <t>ドウカ</t>
    </rPh>
    <rPh sb="102" eb="106">
      <t>ジョウホウギジュツ</t>
    </rPh>
    <rPh sb="107" eb="109">
      <t>シャカイ</t>
    </rPh>
    <rPh sb="111" eb="112">
      <t>ダイ</t>
    </rPh>
    <rPh sb="114" eb="115">
      <t>カイ</t>
    </rPh>
    <phoneticPr fontId="2"/>
  </si>
  <si>
    <t>・流通、製造、金融、サービス、インフラ、公共、ヘルスケア等におけるデータ・AI利活用事例紹介「情報技術と社会」（第4,6,12回）</t>
    <rPh sb="1" eb="3">
      <t>リュウツウ</t>
    </rPh>
    <rPh sb="4" eb="6">
      <t>セイゾウ</t>
    </rPh>
    <rPh sb="7" eb="9">
      <t>キンユウ</t>
    </rPh>
    <rPh sb="20" eb="22">
      <t>コウキョウ</t>
    </rPh>
    <rPh sb="28" eb="29">
      <t>トウ</t>
    </rPh>
    <rPh sb="39" eb="42">
      <t>リカツヨウ</t>
    </rPh>
    <rPh sb="42" eb="44">
      <t>ジレイ</t>
    </rPh>
    <rPh sb="44" eb="46">
      <t>ショウカイ</t>
    </rPh>
    <rPh sb="47" eb="51">
      <t>ジョウホウギジュツ</t>
    </rPh>
    <rPh sb="52" eb="54">
      <t>シャカイ</t>
    </rPh>
    <rPh sb="56" eb="57">
      <t>ダイ</t>
    </rPh>
    <rPh sb="63" eb="64">
      <t>カイ</t>
    </rPh>
    <phoneticPr fontId="2"/>
  </si>
  <si>
    <t>・情報セキュリティ：機密性、完全性、可用性「情報技術と社会」（第10回）
・匿名加工情報、暗号化、パスワード、悪意ある情報搾取「情報技術と社会」（第9,10回）</t>
    <rPh sb="1" eb="3">
      <t>ジョウホウ</t>
    </rPh>
    <rPh sb="10" eb="13">
      <t>キミツセイ</t>
    </rPh>
    <rPh sb="14" eb="17">
      <t>カンゼンセイ</t>
    </rPh>
    <rPh sb="18" eb="21">
      <t>カヨウセイ</t>
    </rPh>
    <rPh sb="22" eb="26">
      <t>ジョウホウギジュツ</t>
    </rPh>
    <rPh sb="27" eb="29">
      <t>シャカイ</t>
    </rPh>
    <rPh sb="31" eb="32">
      <t>ダイ</t>
    </rPh>
    <rPh sb="34" eb="35">
      <t>カイ</t>
    </rPh>
    <rPh sb="38" eb="40">
      <t>トクメイ</t>
    </rPh>
    <rPh sb="40" eb="42">
      <t>カコウ</t>
    </rPh>
    <rPh sb="42" eb="44">
      <t>ジョウホウ</t>
    </rPh>
    <rPh sb="45" eb="48">
      <t>アンゴウカ</t>
    </rPh>
    <rPh sb="55" eb="57">
      <t>アクイ</t>
    </rPh>
    <rPh sb="59" eb="61">
      <t>ジョウホウ</t>
    </rPh>
    <rPh sb="61" eb="63">
      <t>サクシュ</t>
    </rPh>
    <rPh sb="64" eb="68">
      <t>ジョウホウギジュツ</t>
    </rPh>
    <rPh sb="69" eb="71">
      <t>シャカイ</t>
    </rPh>
    <rPh sb="73" eb="74">
      <t>ダイ</t>
    </rPh>
    <rPh sb="78" eb="79">
      <t>カイ</t>
    </rPh>
    <phoneticPr fontId="2"/>
  </si>
  <si>
    <t>令和4</t>
    <rPh sb="0" eb="2">
      <t>レイワ</t>
    </rPh>
    <phoneticPr fontId="1"/>
  </si>
  <si>
    <t>前述の独自アンケートにおいて、授業内容の修得度ならびに難易度について集計を実施しており、その2つの視点より学生の理解度について把握することとしている。令和4年度での集計結果として、修得度においては、肯定的評価である「身についた」と「ある程度身についた」が76.2%となり、多くの受講生が授業内容について修得している状況が確認できる。また、難易度についても、「適切」が51.6%となり、学部の独自科目において専門的な要素が含まれているため、難易度が若干高くなっているが、おおよそ適切であると考えられる。なお、「難しい」が11.0％、「やや難しい」が31.8％、「やや簡単」が4.6％、「簡単」が1.0％となった。</t>
    <rPh sb="75" eb="77">
      <t>レイワ</t>
    </rPh>
    <phoneticPr fontId="1"/>
  </si>
  <si>
    <t>「データサイエンス+Rプログラム（基礎）」は、令和4年度より取り組みを進めているものであり、さらには低回生向けに開講されている科目が大半を占めるため、令和4年度卒業回生となる学生が一部受講しているものの、全受講生に占める割合は僅かであり、進路ならびに活躍状況、企業の評価において、当該プログラムの直接的、間接的因果関係は考えにくい。
令和4年度において1または2回生時に当該プログラムを修了した学生が卒業該当年次となる4年後を目処に、進路ならびに活躍状況、企業等の評価について、改めて検証することとしたい。</t>
    <rPh sb="23" eb="25">
      <t>レイワ</t>
    </rPh>
    <rPh sb="75" eb="77">
      <t>レイワ</t>
    </rPh>
    <rPh sb="167" eb="169">
      <t>レイワ</t>
    </rPh>
    <phoneticPr fontId="1"/>
  </si>
  <si>
    <t>履修者の増加に向け、令和5年度において、時間割調整を行い、学修要覧、ホームページでの広報を充実させるとともに、「データサイエンス+Rプログラム」の基礎と応用基礎の両方の修了要件を満たした学生に対してオープンバッチを授与することとしており、これら学習意欲向上に資する施策を通じ、履修者の拡大に努める。
令和6年度においては、「データサイエンス+Rプログラム（基礎）」の構成科目である教養科目の「情報技術と社会」を2クラス（秋学期：衣笠1クラス、OIC1クラス）増加させることによって履修者の拡大を目指す。</t>
    <rPh sb="10" eb="12">
      <t>レイワ</t>
    </rPh>
    <rPh sb="122" eb="126">
      <t>ガクシュウイヨク</t>
    </rPh>
    <rPh sb="126" eb="128">
      <t>コウジョウ</t>
    </rPh>
    <rPh sb="129" eb="130">
      <t>シ</t>
    </rPh>
    <rPh sb="132" eb="134">
      <t>シサク</t>
    </rPh>
    <rPh sb="135" eb="136">
      <t>ツウ</t>
    </rPh>
    <rPh sb="150" eb="152">
      <t>レイワ</t>
    </rPh>
    <phoneticPr fontId="1"/>
  </si>
  <si>
    <t>・情報化時代におけるデータの役割を理解し、説明する能力
・科学的手法やデータ駆動型研究のためのデータを収集し活用する能力
・基本的なデータ集計、コンパイル、ソートおよび基本的な統計尺度の適用を行う能力
・倫理の概念とそれらがデータサイエンス、情報システム、データ分析およびモデリングにどのように適用されるかを理解すること</t>
    <rPh sb="1" eb="4">
      <t>ジョウホウカ</t>
    </rPh>
    <rPh sb="4" eb="6">
      <t>ジダイ</t>
    </rPh>
    <rPh sb="14" eb="16">
      <t>ヤクワリ</t>
    </rPh>
    <rPh sb="17" eb="19">
      <t>リカイ</t>
    </rPh>
    <rPh sb="21" eb="23">
      <t>セツメイ</t>
    </rPh>
    <rPh sb="25" eb="27">
      <t>ノウリョク</t>
    </rPh>
    <rPh sb="51" eb="53">
      <t>シュウシュウ</t>
    </rPh>
    <rPh sb="54" eb="56">
      <t>カツヨウ</t>
    </rPh>
    <phoneticPr fontId="1"/>
  </si>
  <si>
    <t>・流通、製造、金融、サービス、インフラ、公共、ヘルスケア等におけるデータ・AI利活用事例紹介「Social Change with AI」（第2,3,4,9,10,12回）</t>
    <rPh sb="1" eb="3">
      <t>リュウツウ</t>
    </rPh>
    <rPh sb="4" eb="6">
      <t>セイゾウ</t>
    </rPh>
    <rPh sb="7" eb="9">
      <t>キンユウ</t>
    </rPh>
    <rPh sb="20" eb="22">
      <t>コウキョウ</t>
    </rPh>
    <rPh sb="28" eb="29">
      <t>トウ</t>
    </rPh>
    <rPh sb="39" eb="42">
      <t>リカツヨウ</t>
    </rPh>
    <rPh sb="42" eb="44">
      <t>ジレイ</t>
    </rPh>
    <rPh sb="44" eb="46">
      <t>ショウカイ</t>
    </rPh>
    <phoneticPr fontId="1"/>
  </si>
  <si>
    <t>・アルゴリズムやAIが社会に与える影響に関する知識を得るとともに、社会の中で影響を受ける部分について理解を深め、データ駆動型の政策の実施、AIがサポートするシステム、データ駆動型のモデルの結果としてのバイアスに対する感受性を身につけることができる
・また弱いAIや強いAIの違いや、社会の変化への影響について概念的に理解することができる
・Pythonを使って、簡単だが自明でないプログラムを書くことができる
・社会で使われているデータやアルゴリズムへの理解が深まる</t>
    <rPh sb="11" eb="13">
      <t>シャカイ</t>
    </rPh>
    <rPh sb="14" eb="15">
      <t>アタ</t>
    </rPh>
    <rPh sb="17" eb="19">
      <t>エイキョウ</t>
    </rPh>
    <rPh sb="20" eb="21">
      <t>カン</t>
    </rPh>
    <rPh sb="23" eb="25">
      <t>チシキ</t>
    </rPh>
    <rPh sb="26" eb="27">
      <t>エ</t>
    </rPh>
    <rPh sb="33" eb="35">
      <t>シャカイ</t>
    </rPh>
    <rPh sb="36" eb="37">
      <t>ナカ</t>
    </rPh>
    <rPh sb="38" eb="40">
      <t>エイキョウ</t>
    </rPh>
    <rPh sb="41" eb="42">
      <t>ウ</t>
    </rPh>
    <rPh sb="44" eb="46">
      <t>ブブン</t>
    </rPh>
    <rPh sb="50" eb="52">
      <t>リカイ</t>
    </rPh>
    <rPh sb="53" eb="54">
      <t>フカ</t>
    </rPh>
    <rPh sb="177" eb="178">
      <t>ツカ</t>
    </rPh>
    <rPh sb="181" eb="183">
      <t>カンタン</t>
    </rPh>
    <rPh sb="185" eb="187">
      <t>ジメイ</t>
    </rPh>
    <rPh sb="196" eb="197">
      <t>カ</t>
    </rPh>
    <rPh sb="206" eb="208">
      <t>シャカイ</t>
    </rPh>
    <rPh sb="209" eb="210">
      <t>ツカ</t>
    </rPh>
    <rPh sb="227" eb="229">
      <t>リカイ</t>
    </rPh>
    <rPh sb="230" eb="231">
      <t>フカ</t>
    </rPh>
    <phoneticPr fontId="1"/>
  </si>
  <si>
    <t>本学のLMSであるmanaba+Rを通じ、課題管理（出題、採点、フィードバック）を担当教員が逐次把握および対応するとともに、個別質疑応答が可能なフォームを設けることにより、学生および担当教員が任意のタイミングで学習指導および質問を受け付ける体制を構築している。また、授業内および終了後を利用して直接質問を受け付ける時間を確保している。</t>
    <phoneticPr fontId="1"/>
  </si>
  <si>
    <t>本学は文理全16の学部を擁しており、学部の専門性や数理・データサイエンス・AIに関するこれまでの学習履歴も様々である。本学においては、全学部一律の科目を設置する形ではなく、学部において特色ある教学の基に開講されている既存科目においても、モデルカリキュラムに記された内容に則した科目についてプログラム科目として位置づけ、学生全員が受講可能となる体制・取り組みとしている。</t>
    <rPh sb="159" eb="161">
      <t>ガクセイ</t>
    </rPh>
    <rPh sb="161" eb="163">
      <t>ゼンイン</t>
    </rPh>
    <rPh sb="164" eb="166">
      <t>ジュコウ</t>
    </rPh>
    <rPh sb="166" eb="168">
      <t>カノウ</t>
    </rPh>
    <rPh sb="171" eb="173">
      <t>タイセイ</t>
    </rPh>
    <rPh sb="174" eb="175">
      <t>ト</t>
    </rPh>
    <rPh sb="176" eb="177">
      <t>ク</t>
    </rPh>
    <phoneticPr fontId="1"/>
  </si>
  <si>
    <t>前述の通り、本教育プログラムでは本学が全授業科目を対象に実施している「授業アンケート」に加え、独自にアンケートを実施しており、授業の難易度や理解度、学習時間など受講生の学修実態を調査し、分析結果について担当教員へのフィードバックならびに教学委員会において確認することによって、教育内容において質の保証および改善を行っている。
授業アンケートにおいて難易度については、「適切」が56.1％となっており、引き続き授業改善に取り組むことにより、当該数値についても向上するよう取り組むこととしたい。</t>
    <rPh sb="163" eb="165">
      <t>ジュギョウ</t>
    </rPh>
    <rPh sb="174" eb="177">
      <t>ナンイド</t>
    </rPh>
    <rPh sb="184" eb="186">
      <t>テキセツ</t>
    </rPh>
    <rPh sb="200" eb="201">
      <t>ヒ</t>
    </rPh>
    <rPh sb="202" eb="203">
      <t>ツヅ</t>
    </rPh>
    <rPh sb="204" eb="206">
      <t>ジュギョウ</t>
    </rPh>
    <rPh sb="206" eb="208">
      <t>カイゼン</t>
    </rPh>
    <rPh sb="209" eb="210">
      <t>ト</t>
    </rPh>
    <rPh sb="211" eb="212">
      <t>ク</t>
    </rPh>
    <rPh sb="219" eb="221">
      <t>トウガイ</t>
    </rPh>
    <rPh sb="221" eb="223">
      <t>スウチ</t>
    </rPh>
    <rPh sb="228" eb="230">
      <t>コウジョウ</t>
    </rPh>
    <rPh sb="234" eb="235">
      <t>ト</t>
    </rPh>
    <rPh sb="236" eb="237">
      <t>ク</t>
    </rPh>
    <phoneticPr fontId="1"/>
  </si>
  <si>
    <t>本学では、令和4年度において、685社を対象に産業界等社会においてプログラムを通じて修得することが望ましい知識・技能を把握することを目的にアンケートを実施している。アンケートではプログラムの中で強化すべき点や新たに追加すべき知識・技能について確認を行っている。
アンケートの結果、122社より回答を得ることができ、概ね既存の授業内容（テーマ）に関する知識・技能の修得が期待されていることが確認できた。
企業からのプログラム内容に関する意見を収集することにより、実社会において求められる知識・技能が得られるよう教育プログラムの改善に役立てる。</t>
    <rPh sb="5" eb="7">
      <t>レイワ</t>
    </rPh>
    <rPh sb="143" eb="144">
      <t>シャ</t>
    </rPh>
    <rPh sb="146" eb="148">
      <t>カイトウ</t>
    </rPh>
    <rPh sb="149" eb="150">
      <t>エ</t>
    </rPh>
    <phoneticPr fontId="1"/>
  </si>
  <si>
    <t>履修率について5.4％と、目標にしていた8％には至らなかった。
次年度の履修目標を10％と定めており、数値目標達成のため、以下の取り組みを行う。
1.データサイエンス+Rプログラム履修促進のため、各学部学修要覧への組み込みならびにHPの改修を行い、プログラムの魅力を発信する。
2.学生の受講選択は配置曜日時限に大きく影響を受けるため、学生が受講選択しやすいよう時間割配置の工夫を行い、学生の受講機会の創出を図る。
3.令和6年度において13学部を対象とする「情報技術と社会」の開講クラス数を2クラス増とし、履修機会の拡充を図る。</t>
    <rPh sb="210" eb="212">
      <t>レイワ</t>
    </rPh>
    <rPh sb="221" eb="223">
      <t>ガクブ</t>
    </rPh>
    <rPh sb="224" eb="226">
      <t>タイショウ</t>
    </rPh>
    <rPh sb="239" eb="241">
      <t>カイコウ</t>
    </rPh>
    <rPh sb="244" eb="245">
      <t>スウ</t>
    </rPh>
    <phoneticPr fontId="1"/>
  </si>
  <si>
    <t>独自アンケートにおいて、推奨度について、0（推奨しない）～10（大いに推奨）の11段階で集計を実施しており、平均値6.38、最頻値7と比較的高い推奨度であることが確認できる。
引き続きアンケートを通じた学生の推奨度把握を行い、授業改善を通じた推奨度の向上を図ることとする。また、未受講者への情報発信に用いることにより、履修率の向上に寄与することを目指したい。</t>
    <rPh sb="110" eb="111">
      <t>オコナ</t>
    </rPh>
    <rPh sb="113" eb="115">
      <t>ジュギョウ</t>
    </rPh>
    <rPh sb="115" eb="117">
      <t>カイゼン</t>
    </rPh>
    <rPh sb="118" eb="119">
      <t>ツウ</t>
    </rPh>
    <phoneticPr fontId="1"/>
  </si>
  <si>
    <t>学部と研究科に共通する教学および教務事項を審議事項とする教学委員会を主とした自己点検・評価体制の基に、履修率向上に向けた計画を策定し、各学部においてその計画を実装する。
令和5年度に向けては、履修率の目標値をクリアするために、履修登録における広報活動を充実化させる。また、「データサイエンス＋Ｒプログラム（基礎・応用基礎）」の修了要件を満たした学生に対して、デジタル化されたサーティフィケートであるオープンバッチを授与することとしており、学生のモチベーションを高める。</t>
    <phoneticPr fontId="1"/>
  </si>
  <si>
    <t>・AI等を活用した新しいビジネスモデル（シェアリングエコノミー、商品のレコメンデーションなど）「情報技術と社会」（第5,6,12回）</t>
    <rPh sb="3" eb="4">
      <t>トウ</t>
    </rPh>
    <rPh sb="5" eb="7">
      <t>カツヨウ</t>
    </rPh>
    <rPh sb="9" eb="10">
      <t>アタラ</t>
    </rPh>
    <rPh sb="32" eb="34">
      <t>ショウヒン</t>
    </rPh>
    <rPh sb="48" eb="52">
      <t>ジョウホウギジュツ</t>
    </rPh>
    <rPh sb="53" eb="55">
      <t>シャカイ</t>
    </rPh>
    <rPh sb="57" eb="58">
      <t>ダイ</t>
    </rPh>
    <rPh sb="64" eb="65">
      <t>カイ</t>
    </rPh>
    <phoneticPr fontId="2"/>
  </si>
  <si>
    <t>・データの分布（ヒストグラム）と代表値（平均値、中央値、最頻値）「情報技術と社会」（第14回）
・代表値の性質の違い（実社会では平均値＝最頻値でないことが多い）「情報技術と社会」（第14回）
・データのばらつき（分散、標準偏差、偏差値）「情報技術と社会」（第14回）
・相関と因果（相関係数、疑似相関、交絡）「情報技術と社会」（第14回）
・統計情報の正しい理解（誇張表現に惑わされない）「情報技術と社会」（第14回）</t>
    <rPh sb="5" eb="7">
      <t>ブンプ</t>
    </rPh>
    <rPh sb="16" eb="19">
      <t>ダイヒョウチ</t>
    </rPh>
    <rPh sb="20" eb="23">
      <t>ヘイキンチ</t>
    </rPh>
    <rPh sb="24" eb="27">
      <t>チュウオウチ</t>
    </rPh>
    <rPh sb="28" eb="31">
      <t>サイヒンチ</t>
    </rPh>
    <rPh sb="33" eb="37">
      <t>ジョウホウギジュツ</t>
    </rPh>
    <rPh sb="38" eb="40">
      <t>シャカイ</t>
    </rPh>
    <rPh sb="42" eb="43">
      <t>ダイ</t>
    </rPh>
    <rPh sb="45" eb="46">
      <t>カイ</t>
    </rPh>
    <rPh sb="49" eb="52">
      <t>ダイヒョウチ</t>
    </rPh>
    <rPh sb="53" eb="55">
      <t>セイシツ</t>
    </rPh>
    <rPh sb="56" eb="57">
      <t>チガ</t>
    </rPh>
    <rPh sb="59" eb="62">
      <t>ジツシャカイ</t>
    </rPh>
    <rPh sb="64" eb="67">
      <t>ヘイキンチ</t>
    </rPh>
    <rPh sb="68" eb="71">
      <t>サイヒンチ</t>
    </rPh>
    <rPh sb="77" eb="78">
      <t>オオ</t>
    </rPh>
    <rPh sb="81" eb="85">
      <t>ジョウホウギジュツ</t>
    </rPh>
    <rPh sb="86" eb="88">
      <t>シャカイ</t>
    </rPh>
    <rPh sb="90" eb="91">
      <t>ダイ</t>
    </rPh>
    <rPh sb="93" eb="94">
      <t>カイ</t>
    </rPh>
    <rPh sb="106" eb="108">
      <t>ブンサン</t>
    </rPh>
    <rPh sb="109" eb="113">
      <t>ヒョウジュンヘンサ</t>
    </rPh>
    <rPh sb="114" eb="117">
      <t>ヘンサチ</t>
    </rPh>
    <rPh sb="119" eb="123">
      <t>ジョウホウギジュツ</t>
    </rPh>
    <rPh sb="124" eb="126">
      <t>シャカイ</t>
    </rPh>
    <rPh sb="128" eb="129">
      <t>ダイ</t>
    </rPh>
    <rPh sb="131" eb="132">
      <t>カイ</t>
    </rPh>
    <rPh sb="135" eb="137">
      <t>ソウカン</t>
    </rPh>
    <rPh sb="138" eb="140">
      <t>インガ</t>
    </rPh>
    <rPh sb="141" eb="145">
      <t>ソウカンケイスウ</t>
    </rPh>
    <rPh sb="146" eb="148">
      <t>ギジ</t>
    </rPh>
    <rPh sb="148" eb="150">
      <t>ソウカン</t>
    </rPh>
    <rPh sb="171" eb="175">
      <t>トウケイジョウホウ</t>
    </rPh>
    <rPh sb="176" eb="177">
      <t>タダ</t>
    </rPh>
    <rPh sb="179" eb="181">
      <t>リカイ</t>
    </rPh>
    <rPh sb="182" eb="184">
      <t>コチョウ</t>
    </rPh>
    <rPh sb="184" eb="186">
      <t>ヒョウゲン</t>
    </rPh>
    <rPh sb="187" eb="188">
      <t>マド</t>
    </rPh>
    <rPh sb="195" eb="199">
      <t>ジョウホウギジュツ</t>
    </rPh>
    <rPh sb="200" eb="202">
      <t>シャカイ</t>
    </rPh>
    <rPh sb="204" eb="205">
      <t>ダイ</t>
    </rPh>
    <rPh sb="207" eb="208">
      <t>カイ</t>
    </rPh>
    <phoneticPr fontId="2"/>
  </si>
  <si>
    <t>・特化型AIと汎用AI、今のAIで出来ることと出来ないこと、AIとビッグデータ「Social Change With AI」（第2回）</t>
    <rPh sb="63" eb="64">
      <t>ダイ</t>
    </rPh>
    <rPh sb="65" eb="66">
      <t>カイ</t>
    </rPh>
    <phoneticPr fontId="1"/>
  </si>
  <si>
    <t>・データバイアス、アルゴリズムバイアス「Social Change with AI」（第6,7回）
・AIサービスの責任論「Social Change with AI」（第6,7回）</t>
    <phoneticPr fontId="1"/>
  </si>
  <si>
    <t>・データの種類（量的変数、質的変数）「Social Change With AI」（第11回）　「Algorithm and Programming」（第13回）
・データの分布（ヒストグラム）と代表値（平均値、中央値、最頻値）「Social Change With AI」（第11回）　「Algorithm and Programming」（第13回）
・代表値の性質の違い（実司会では平均値＝最頻値ではないことが多い）「Social Change With AI」（第11回）　「Algorithm and Programming」（第13回）
・データのばらつき（分散、標準偏差、偏差値）「Social Change With AI」（第11回）　「Algorithm and Programming」（第13回）
・観測データに含まれる誤差の扱い「Social Change With AI」（第11回）　「Algorithm and Programming」（第13回）</t>
    <rPh sb="8" eb="10">
      <t>リョウテキ</t>
    </rPh>
    <rPh sb="10" eb="12">
      <t>ヘンスウ</t>
    </rPh>
    <rPh sb="13" eb="15">
      <t>シツテキ</t>
    </rPh>
    <rPh sb="15" eb="17">
      <t>ヘンスウ</t>
    </rPh>
    <rPh sb="102" eb="105">
      <t>ヘイキンチ</t>
    </rPh>
    <rPh sb="106" eb="109">
      <t>チュウオウチ</t>
    </rPh>
    <rPh sb="110" eb="113">
      <t>サイヒンチ</t>
    </rPh>
    <rPh sb="189" eb="192">
      <t>ジツシカイ</t>
    </rPh>
    <rPh sb="194" eb="197">
      <t>ヘイキンチ</t>
    </rPh>
    <rPh sb="198" eb="201">
      <t>サイヒンチ</t>
    </rPh>
    <rPh sb="208" eb="209">
      <t>オオ</t>
    </rPh>
    <rPh sb="285" eb="287">
      <t>ブンサン</t>
    </rPh>
    <rPh sb="288" eb="292">
      <t>ヒョウジュンヘンサ</t>
    </rPh>
    <rPh sb="293" eb="296">
      <t>ヘンサチ</t>
    </rPh>
    <rPh sb="401" eb="402">
      <t>ダイ</t>
    </rPh>
    <rPh sb="404" eb="405">
      <t>カイ</t>
    </rPh>
    <rPh sb="435" eb="436">
      <t>ダイ</t>
    </rPh>
    <rPh sb="438" eb="439">
      <t>カイ</t>
    </rPh>
    <phoneticPr fontId="1"/>
  </si>
  <si>
    <t>・データ表現（棒グラフ、折線グラフ、散布図、ヒートマップ）「Social Change With AI」（第11回）　「Algorithm and Programming」（第14回）
・データの図表表現（チャート化）「Social Change With AI」（第11回）　「Algorithm and Programming」（第14回）
・優れた可視化事例の紹介（可視化することによって新たな気づきがあった事例など）「Social Change With AI」（第11回）　「Algorithm and Programming」（第14回）</t>
    <rPh sb="7" eb="8">
      <t>ボウ</t>
    </rPh>
    <rPh sb="12" eb="14">
      <t>オレセン</t>
    </rPh>
    <rPh sb="18" eb="21">
      <t>サンプズ</t>
    </rPh>
    <rPh sb="107" eb="108">
      <t>カ</t>
    </rPh>
    <rPh sb="186" eb="189">
      <t>カシカ</t>
    </rPh>
    <rPh sb="197" eb="198">
      <t>アラ</t>
    </rPh>
    <rPh sb="200" eb="201">
      <t>キ</t>
    </rPh>
    <rPh sb="207" eb="209">
      <t>ジレイ</t>
    </rPh>
    <rPh sb="236" eb="237">
      <t>ダイ</t>
    </rPh>
    <rPh sb="239" eb="240">
      <t>カイ</t>
    </rPh>
    <phoneticPr fontId="1"/>
  </si>
  <si>
    <t>・データの集計（和、平均）「Algorithm and Programming」　（第13,14回）
・データの並び替え、ランキング「Algorithm and Programming」　（第13,14回）
・データ解析ツール（スプレッドシート）「Algorithm and Programming」　（第13,14回）
・表形式のデータ（csv）「Algorithm and Programming」　（第13,14回）</t>
    <rPh sb="8" eb="9">
      <t>ワ</t>
    </rPh>
    <rPh sb="10" eb="12">
      <t>ヘイキン</t>
    </rPh>
    <rPh sb="203" eb="204">
      <t>ダイ</t>
    </rPh>
    <rPh sb="209" eb="210">
      <t>カイ</t>
    </rPh>
    <phoneticPr fontId="1"/>
  </si>
  <si>
    <t>・教学部長　　　　　　　　　　　　　　　　　・教学部副部長
・教職教育センター長　　　　　　　　　　 ・教養教育センター長
・言語教育センター長　　　　　　　　　　 ・教育・学修支援センター長
・独立研究科副研究科長　　　　　　　　・国際部長
・法学部副学部長　　　　　　　　　　　　 ・産業社会学部副学部長
・国際関係学部副部長　　　　　　　　　 ・文学部副学部長
・映像学部副学部長　　　　　　　　　　  ・経済学部副学部長
・理工学部副学部長　　　　　　　　　　  ・情報理工学部副学部長
・生命科学部副学部長　　　　　　　　　 ・薬学部副学部長
・スポーツ健康科学部副学部長　　　  ・食マネジメント学部副学部長
・経営学部副学部長　　　　　　　　　　 ・政策科学部副学部長
・総合心理学部副学部長　　　　　　　 ・グローバル教養学部副学部長
・教学部事務部長　　　　　　　　　　　　・教学部次長
・学部または研究科の事務を掌る事務長および課長</t>
    <rPh sb="84" eb="86">
      <t>キョウイク</t>
    </rPh>
    <rPh sb="87" eb="89">
      <t>ガクシュウ</t>
    </rPh>
    <rPh sb="89" eb="91">
      <t>シエン</t>
    </rPh>
    <rPh sb="95" eb="96">
      <t>チョウ</t>
    </rPh>
    <rPh sb="98" eb="100">
      <t>ドクリツ</t>
    </rPh>
    <rPh sb="100" eb="103">
      <t>ケンキュウカ</t>
    </rPh>
    <rPh sb="103" eb="104">
      <t>フク</t>
    </rPh>
    <rPh sb="104" eb="106">
      <t>ケンキュウ</t>
    </rPh>
    <rPh sb="106" eb="107">
      <t>カ</t>
    </rPh>
    <rPh sb="107" eb="108">
      <t>チョウ</t>
    </rPh>
    <rPh sb="117" eb="119">
      <t>コクサイ</t>
    </rPh>
    <rPh sb="119" eb="121">
      <t>ブチョウ</t>
    </rPh>
    <rPh sb="377" eb="380">
      <t>キョウガクブ</t>
    </rPh>
    <rPh sb="380" eb="384">
      <t>ジムブチョウ</t>
    </rPh>
    <rPh sb="397" eb="400">
      <t>キョウガクブ</t>
    </rPh>
    <rPh sb="400" eb="402">
      <t>ジチョウ</t>
    </rPh>
    <rPh sb="404" eb="406">
      <t>ガクブ</t>
    </rPh>
    <rPh sb="409" eb="412">
      <t>ケンキュウカ</t>
    </rPh>
    <rPh sb="413" eb="415">
      <t>ジム</t>
    </rPh>
    <rPh sb="416" eb="417">
      <t>ツカサド</t>
    </rPh>
    <rPh sb="418" eb="421">
      <t>ジムチョウ</t>
    </rPh>
    <rPh sb="424" eb="426">
      <t>カチョウ</t>
    </rPh>
    <phoneticPr fontId="1"/>
  </si>
  <si>
    <t>※「情報技術と社会」において、プログラムを構成する授業内容記載の授業回については、各クラスで扱う授業回が異なる。
　　「K1」K1クラス対応、「K2」K2クラス対応、「K3」K3クラス対応</t>
    <rPh sb="2" eb="4">
      <t>ジョウホウ</t>
    </rPh>
    <rPh sb="4" eb="6">
      <t>ギジュツ</t>
    </rPh>
    <rPh sb="7" eb="9">
      <t>シャカイ</t>
    </rPh>
    <rPh sb="21" eb="23">
      <t>コウセイ</t>
    </rPh>
    <rPh sb="25" eb="27">
      <t>ジュギョウ</t>
    </rPh>
    <rPh sb="27" eb="29">
      <t>ナイヨウ</t>
    </rPh>
    <rPh sb="29" eb="31">
      <t>キサイ</t>
    </rPh>
    <rPh sb="32" eb="35">
      <t>ジュギョウカイ</t>
    </rPh>
    <rPh sb="41" eb="42">
      <t>カク</t>
    </rPh>
    <rPh sb="46" eb="47">
      <t>アツカ</t>
    </rPh>
    <rPh sb="48" eb="51">
      <t>ジュギョウカイ</t>
    </rPh>
    <rPh sb="52" eb="53">
      <t>コト</t>
    </rPh>
    <rPh sb="68" eb="70">
      <t>タイオウ</t>
    </rPh>
    <rPh sb="80" eb="82">
      <t>タイオウ</t>
    </rPh>
    <rPh sb="92" eb="94">
      <t>タイオウ</t>
    </rPh>
    <phoneticPr fontId="1"/>
  </si>
  <si>
    <t>法学部/産業社会学部/文学部/映像学部/経済学部/理工学部/生命科学部/薬学部/スポーツ健康科学部/食マネジメント学部/経営学部/政策科学部/総合心理学部</t>
    <phoneticPr fontId="1"/>
  </si>
  <si>
    <t>情報技術と社会</t>
    <rPh sb="0" eb="4">
      <t>ジョウホウギジュツ</t>
    </rPh>
    <rPh sb="5" eb="7">
      <t>シャカイ</t>
    </rPh>
    <phoneticPr fontId="1"/>
  </si>
  <si>
    <t>Society5.0の実現を念頭に、今日の社会を支える情報技術について学ぶとともに、情報技術によって企業活動や社会生活がどのように変わってきているのか、また、どのように変わっていくのかを具体的な例をあげて考察し、知識を獲得する。さらに、情報社会で得られる様々なデータについて、データの読み方、扱い方、説明の仕方などの活用法を修得する。</t>
    <phoneticPr fontId="1"/>
  </si>
  <si>
    <t>様式１-3</t>
    <rPh sb="0" eb="2">
      <t>ヨウシキ</t>
    </rPh>
    <phoneticPr fontId="1"/>
  </si>
  <si>
    <t>【対象：国際関係学科】
プログラムを構成する科目のうち「情報技術と社会」または「IR18-AE114 Data Literacy for Research Design」のいずれか1科目2単位を単位取得すること（令和4年度以降受講者対象）
【対象：アメリカン大学・立命館大学国際連携学科】
プログラムを構成する科目のうち「IR18-AE114 Data Literacy for Research Design」1科目2単位を単位取得すること（令和4年度以降受講者対象）</t>
    <rPh sb="1" eb="3">
      <t>タイショウ</t>
    </rPh>
    <rPh sb="4" eb="8">
      <t>コクサイカンケイ</t>
    </rPh>
    <rPh sb="8" eb="10">
      <t>ガッカ</t>
    </rPh>
    <rPh sb="28" eb="32">
      <t>ジョウホウギジュツ</t>
    </rPh>
    <rPh sb="33" eb="35">
      <t>シャカイ</t>
    </rPh>
    <rPh sb="91" eb="93">
      <t>カモク</t>
    </rPh>
    <rPh sb="94" eb="96">
      <t>タンイ</t>
    </rPh>
    <rPh sb="113" eb="116">
      <t>ジュコウシャ</t>
    </rPh>
    <rPh sb="122" eb="124">
      <t>タイショウ</t>
    </rPh>
    <rPh sb="130" eb="132">
      <t>ダイガク</t>
    </rPh>
    <rPh sb="133" eb="136">
      <t>リツメイカン</t>
    </rPh>
    <rPh sb="136" eb="138">
      <t>ダイガク</t>
    </rPh>
    <rPh sb="138" eb="140">
      <t>コクサイ</t>
    </rPh>
    <rPh sb="140" eb="142">
      <t>レンケイ</t>
    </rPh>
    <rPh sb="142" eb="144">
      <t>ガッカ</t>
    </rPh>
    <rPh sb="230" eb="233">
      <t>ジュコウシャ</t>
    </rPh>
    <phoneticPr fontId="1"/>
  </si>
  <si>
    <t>・ビッグデータ、IoT、AI、ロボット「IR18-AE114 Data Literacy for Research Design」（第2,3,13回）「情報技術と社会」（第5,7,8,12回）
・データ量の増加、計算機の処理性能の向上、AIの非連続的進化「IR18-AE114 Data Literacy for Research Design」（第3回）
・第4次産業革命、Society5.0、データ駆動型社会「IR18-AE114 Data Literacy for Research Design」（第1,2回）「情報技術と社会」（第1,2,3回）
・データを起点としたものの見方、人間の知的活動を起点としたものの見方「IR18-AE114 Data Literacy for Research Design」（第1,4回）</t>
    <rPh sb="101" eb="102">
      <t>リョウ</t>
    </rPh>
    <rPh sb="103" eb="105">
      <t>ゾウカ</t>
    </rPh>
    <rPh sb="106" eb="109">
      <t>ケイサンキ</t>
    </rPh>
    <rPh sb="110" eb="112">
      <t>ショリ</t>
    </rPh>
    <rPh sb="112" eb="114">
      <t>セイノウ</t>
    </rPh>
    <rPh sb="115" eb="117">
      <t>コウジョウ</t>
    </rPh>
    <rPh sb="121" eb="124">
      <t>ヒレンゾク</t>
    </rPh>
    <rPh sb="124" eb="125">
      <t>テキ</t>
    </rPh>
    <rPh sb="125" eb="127">
      <t>シンカ</t>
    </rPh>
    <rPh sb="180" eb="181">
      <t>ダイ</t>
    </rPh>
    <rPh sb="182" eb="183">
      <t>ジ</t>
    </rPh>
    <rPh sb="183" eb="187">
      <t>サンギョウカクメイ</t>
    </rPh>
    <rPh sb="202" eb="205">
      <t>クドウガタ</t>
    </rPh>
    <rPh sb="205" eb="207">
      <t>シャカイ</t>
    </rPh>
    <rPh sb="254" eb="255">
      <t>ダイ</t>
    </rPh>
    <rPh sb="258" eb="259">
      <t>カイ</t>
    </rPh>
    <rPh sb="284" eb="286">
      <t>キテン</t>
    </rPh>
    <rPh sb="292" eb="294">
      <t>ミカタ</t>
    </rPh>
    <rPh sb="295" eb="297">
      <t>ニンゲン</t>
    </rPh>
    <rPh sb="298" eb="300">
      <t>チテキ</t>
    </rPh>
    <rPh sb="300" eb="302">
      <t>カツドウ</t>
    </rPh>
    <rPh sb="303" eb="305">
      <t>キテン</t>
    </rPh>
    <rPh sb="311" eb="313">
      <t>ミカタ</t>
    </rPh>
    <phoneticPr fontId="1"/>
  </si>
  <si>
    <t>・AI等を活用した新しいビジネスモデル（シェアリングエコノミー、商品のレコメンデーションなど）「IR18-AE114 Data Literacy for Research Design」（第3回）「情報技術と社会」（第5,6,12回）
・AI最新技術の活用例（深層生成モデル、敵対的生成ネットワーク、強化学習、転移学習など）「IR18-AE114 Data Literacy for Research Design」（第13,14回）</t>
    <rPh sb="3" eb="4">
      <t>トウ</t>
    </rPh>
    <rPh sb="5" eb="7">
      <t>カツヨウ</t>
    </rPh>
    <rPh sb="9" eb="10">
      <t>アタラ</t>
    </rPh>
    <rPh sb="32" eb="34">
      <t>ショウヒン</t>
    </rPh>
    <rPh sb="94" eb="95">
      <t>ダイ</t>
    </rPh>
    <rPh sb="96" eb="97">
      <t>カイ</t>
    </rPh>
    <rPh sb="121" eb="123">
      <t>サイシン</t>
    </rPh>
    <rPh sb="123" eb="125">
      <t>ギジュツ</t>
    </rPh>
    <rPh sb="126" eb="128">
      <t>カツヨウ</t>
    </rPh>
    <rPh sb="128" eb="129">
      <t>レイ</t>
    </rPh>
    <rPh sb="130" eb="132">
      <t>シンソウ</t>
    </rPh>
    <rPh sb="132" eb="134">
      <t>セイセイ</t>
    </rPh>
    <rPh sb="138" eb="140">
      <t>テキタイ</t>
    </rPh>
    <rPh sb="140" eb="141">
      <t>テキ</t>
    </rPh>
    <rPh sb="141" eb="143">
      <t>セイセイ</t>
    </rPh>
    <rPh sb="150" eb="152">
      <t>キョウカ</t>
    </rPh>
    <rPh sb="152" eb="154">
      <t>ガクシュウ</t>
    </rPh>
    <rPh sb="155" eb="157">
      <t>テンイ</t>
    </rPh>
    <rPh sb="157" eb="159">
      <t>ガクシュウ</t>
    </rPh>
    <phoneticPr fontId="1"/>
  </si>
  <si>
    <t>・調査データ、実験データ、人の行動ログデータ、機械の稼働ログデータなど「IR18-AE114 Data Literacy for Research Design」（第5,9回）「情報技術と社会」（第12回）
・データ作成（ビッグデータとアノテーション）「IR18-AE114 Data Literacy for Research Design」（第7回）
・1次データ、2次データ、データのメタ化「情報技術と社会」（第12回）</t>
    <rPh sb="1" eb="3">
      <t>チョウサ</t>
    </rPh>
    <rPh sb="7" eb="9">
      <t>ジッケン</t>
    </rPh>
    <rPh sb="13" eb="14">
      <t>ヒト</t>
    </rPh>
    <rPh sb="15" eb="17">
      <t>コウドウ</t>
    </rPh>
    <rPh sb="23" eb="25">
      <t>キカイ</t>
    </rPh>
    <rPh sb="26" eb="28">
      <t>カドウ</t>
    </rPh>
    <rPh sb="82" eb="83">
      <t>ダイ</t>
    </rPh>
    <rPh sb="86" eb="87">
      <t>カイ</t>
    </rPh>
    <rPh sb="108" eb="110">
      <t>サクセイ</t>
    </rPh>
    <rPh sb="173" eb="174">
      <t>ダイ</t>
    </rPh>
    <rPh sb="175" eb="176">
      <t>カイ</t>
    </rPh>
    <phoneticPr fontId="1"/>
  </si>
  <si>
    <t>・データ・AI活用領域の広がり（生産、消費、文化活動など）「IR18-AE114 Data Literacy for Research Design」（第2,13回）「情報技術と社会」（第4,5,6回）
・研究開発、調達、製造、物流、販売、マーケティング、サービスなど「IR18-AE114 Data Literacy for Research Design」（第3,7回）「情報技術と社会」（第4,5,6,13回）</t>
    <rPh sb="7" eb="9">
      <t>カツヨウ</t>
    </rPh>
    <rPh sb="9" eb="11">
      <t>リョウイキ</t>
    </rPh>
    <rPh sb="12" eb="13">
      <t>ヒロ</t>
    </rPh>
    <rPh sb="16" eb="18">
      <t>セイサン</t>
    </rPh>
    <rPh sb="19" eb="21">
      <t>ショウヒ</t>
    </rPh>
    <rPh sb="22" eb="24">
      <t>ブンカ</t>
    </rPh>
    <rPh sb="24" eb="26">
      <t>カツドウ</t>
    </rPh>
    <rPh sb="76" eb="77">
      <t>ダイ</t>
    </rPh>
    <rPh sb="81" eb="82">
      <t>カイ</t>
    </rPh>
    <rPh sb="103" eb="107">
      <t>ケンキュウカイハツ</t>
    </rPh>
    <rPh sb="108" eb="110">
      <t>チョウタツ</t>
    </rPh>
    <rPh sb="111" eb="113">
      <t>セイゾウ</t>
    </rPh>
    <rPh sb="114" eb="116">
      <t>ブツリュウ</t>
    </rPh>
    <rPh sb="117" eb="119">
      <t>ハンバイ</t>
    </rPh>
    <rPh sb="181" eb="182">
      <t>ダイ</t>
    </rPh>
    <rPh sb="185" eb="186">
      <t>カイ</t>
    </rPh>
    <phoneticPr fontId="1"/>
  </si>
  <si>
    <t>・データ可視化：複合グラフ、2軸グラフ、多次元の可視化、関係性の可視化、地図上の可視化、挙動・軌跡の可視化、リアルタイム可視化など「IR18-AE114 Data Literacy for Research Design」（第8回）
・データ解析：予測、グルーピング、パターン発見、最適化、シミュレーション・データ同化など「IR18-AE114 Data Literacy for Research Design」（第13回）「情報技術と社会」（第13回）
・特化型AIと汎用AI、今のAIに出来ることと出来ないこと、AIとビッグデータ「IR18-AE114 Data Literacy for Research Design」（第13回）「情報技術と社会」（第8,12回）</t>
    <rPh sb="4" eb="7">
      <t>カシカ</t>
    </rPh>
    <rPh sb="8" eb="10">
      <t>フクゴウ</t>
    </rPh>
    <rPh sb="15" eb="16">
      <t>ジク</t>
    </rPh>
    <rPh sb="20" eb="23">
      <t>タジゲン</t>
    </rPh>
    <rPh sb="24" eb="27">
      <t>カシカ</t>
    </rPh>
    <rPh sb="28" eb="31">
      <t>カンケイセイ</t>
    </rPh>
    <rPh sb="32" eb="35">
      <t>カシカ</t>
    </rPh>
    <rPh sb="36" eb="39">
      <t>チズジョウ</t>
    </rPh>
    <rPh sb="40" eb="43">
      <t>カシカ</t>
    </rPh>
    <rPh sb="44" eb="46">
      <t>キョドウ</t>
    </rPh>
    <rPh sb="47" eb="49">
      <t>キセキ</t>
    </rPh>
    <rPh sb="50" eb="53">
      <t>カシカ</t>
    </rPh>
    <rPh sb="60" eb="63">
      <t>カシカ</t>
    </rPh>
    <rPh sb="121" eb="123">
      <t>カイセキ</t>
    </rPh>
    <rPh sb="124" eb="126">
      <t>ヨソク</t>
    </rPh>
    <rPh sb="138" eb="140">
      <t>ハッケン</t>
    </rPh>
    <rPh sb="141" eb="144">
      <t>サイテキカ</t>
    </rPh>
    <rPh sb="157" eb="159">
      <t>ドウカ</t>
    </rPh>
    <rPh sb="230" eb="233">
      <t>トッカガタ</t>
    </rPh>
    <rPh sb="236" eb="238">
      <t>ハンヨウ</t>
    </rPh>
    <rPh sb="241" eb="242">
      <t>イマ</t>
    </rPh>
    <rPh sb="246" eb="248">
      <t>デキ</t>
    </rPh>
    <rPh sb="252" eb="254">
      <t>デキ</t>
    </rPh>
    <phoneticPr fontId="1"/>
  </si>
  <si>
    <t>・データサイエンスのサイクル（課題抽出と定式化、データの取得・管理・加工、探索的データ解析、データ解析と推論、結果の共有・伝達、課題解決に向けた提案）「IR18-AE114 Data Literacy for Research Design」（第2回）
・流通、製造、金融、サービス、インフラ、公共、ヘルスケア等におけるデータ・AI利活用事例紹介「IR18-AE114 Data Literacy for Research Design」（第2,3回）「情報技術と社会」（第4,6,12回）</t>
    <rPh sb="15" eb="17">
      <t>カダイ</t>
    </rPh>
    <rPh sb="17" eb="19">
      <t>チュウシュツ</t>
    </rPh>
    <rPh sb="20" eb="23">
      <t>テイシキカ</t>
    </rPh>
    <rPh sb="28" eb="30">
      <t>シュトク</t>
    </rPh>
    <rPh sb="31" eb="33">
      <t>カンリ</t>
    </rPh>
    <rPh sb="34" eb="36">
      <t>カコウ</t>
    </rPh>
    <rPh sb="37" eb="40">
      <t>タンサクテキ</t>
    </rPh>
    <rPh sb="43" eb="45">
      <t>カイセキ</t>
    </rPh>
    <rPh sb="49" eb="51">
      <t>カイセキ</t>
    </rPh>
    <rPh sb="52" eb="54">
      <t>スイロン</t>
    </rPh>
    <rPh sb="55" eb="57">
      <t>ケッカ</t>
    </rPh>
    <rPh sb="58" eb="60">
      <t>キョウユウ</t>
    </rPh>
    <rPh sb="61" eb="63">
      <t>デンタツ</t>
    </rPh>
    <rPh sb="64" eb="66">
      <t>カダイ</t>
    </rPh>
    <rPh sb="66" eb="68">
      <t>カイケツ</t>
    </rPh>
    <rPh sb="69" eb="70">
      <t>ム</t>
    </rPh>
    <rPh sb="72" eb="74">
      <t>テイアン</t>
    </rPh>
    <rPh sb="128" eb="130">
      <t>リュウツウ</t>
    </rPh>
    <rPh sb="131" eb="133">
      <t>セイゾウ</t>
    </rPh>
    <rPh sb="134" eb="136">
      <t>キンユウ</t>
    </rPh>
    <rPh sb="147" eb="149">
      <t>コウキョウ</t>
    </rPh>
    <rPh sb="155" eb="156">
      <t>トウ</t>
    </rPh>
    <rPh sb="166" eb="169">
      <t>リカツヨウ</t>
    </rPh>
    <rPh sb="169" eb="171">
      <t>ジレイ</t>
    </rPh>
    <rPh sb="171" eb="173">
      <t>ショウカイ</t>
    </rPh>
    <rPh sb="220" eb="221">
      <t>ダイ</t>
    </rPh>
    <rPh sb="224" eb="225">
      <t>カイ</t>
    </rPh>
    <phoneticPr fontId="1"/>
  </si>
  <si>
    <t>・ELSI（Ethical,Legal and Social Issues）「IR18-AE114 Data Literacy for Research Design」（第10,11回）「情報技術と社会」（第9,11回）
・個人情報保護、EU一般データ保護規則（GDPR）、忘れられる権利、オプトアウト「IR18-AE114 Data Literacy for Research Design」（第10,11回）「情報技術と社会」（第9,11回）
・データ倫理：データの捏造、改ざん、盗用、プライバシー保護「IR18-AE114 Data Literacy for Research Design」（第10,11回）「情報技術と社会」（第9,11回）
・AI社会原則（公平性、説明責任、透明性、人間中心の判断）「IR18-AE114 Data Literacy for Research Design」（第11回）
・データバイアス、アルゴリズムバイアス「IR18-AE114 Data Literacy for Research Design」（第11回）
・データ・AI活用における負の事例紹介「IR18-AE114 Data Literacy for Research Design」（第11回）</t>
    <rPh sb="85" eb="86">
      <t>ダイ</t>
    </rPh>
    <rPh sb="91" eb="92">
      <t>カイ</t>
    </rPh>
    <rPh sb="112" eb="116">
      <t>コジンジョウホウ</t>
    </rPh>
    <rPh sb="116" eb="118">
      <t>ホゴ</t>
    </rPh>
    <rPh sb="121" eb="123">
      <t>イッパン</t>
    </rPh>
    <rPh sb="126" eb="128">
      <t>ホゴ</t>
    </rPh>
    <rPh sb="128" eb="130">
      <t>キソク</t>
    </rPh>
    <rPh sb="137" eb="138">
      <t>ワス</t>
    </rPh>
    <rPh sb="142" eb="144">
      <t>ケンリ</t>
    </rPh>
    <rPh sb="198" eb="199">
      <t>ダイ</t>
    </rPh>
    <rPh sb="204" eb="205">
      <t>カイ</t>
    </rPh>
    <rPh sb="228" eb="230">
      <t>リンリ</t>
    </rPh>
    <rPh sb="235" eb="237">
      <t>ネツゾウ</t>
    </rPh>
    <rPh sb="238" eb="239">
      <t>カイ</t>
    </rPh>
    <rPh sb="242" eb="244">
      <t>トウヨウ</t>
    </rPh>
    <rPh sb="251" eb="253">
      <t>ホゴ</t>
    </rPh>
    <rPh sb="300" eb="301">
      <t>ダイ</t>
    </rPh>
    <rPh sb="306" eb="307">
      <t>カイ</t>
    </rPh>
    <rPh sb="329" eb="331">
      <t>シャカイ</t>
    </rPh>
    <rPh sb="331" eb="333">
      <t>ゲンソク</t>
    </rPh>
    <rPh sb="334" eb="337">
      <t>コウヘイセイ</t>
    </rPh>
    <rPh sb="338" eb="340">
      <t>セツメイ</t>
    </rPh>
    <rPh sb="340" eb="342">
      <t>セキニン</t>
    </rPh>
    <rPh sb="343" eb="346">
      <t>トウメイセイ</t>
    </rPh>
    <rPh sb="347" eb="349">
      <t>ニンゲン</t>
    </rPh>
    <rPh sb="349" eb="351">
      <t>チュウシン</t>
    </rPh>
    <rPh sb="352" eb="354">
      <t>ハンダン</t>
    </rPh>
    <rPh sb="402" eb="403">
      <t>ダイ</t>
    </rPh>
    <rPh sb="405" eb="406">
      <t>カイ</t>
    </rPh>
    <rPh sb="487" eb="489">
      <t>カツヨウ</t>
    </rPh>
    <rPh sb="493" eb="494">
      <t>フ</t>
    </rPh>
    <rPh sb="495" eb="497">
      <t>ジレイ</t>
    </rPh>
    <rPh sb="497" eb="499">
      <t>ショウカイ</t>
    </rPh>
    <phoneticPr fontId="1"/>
  </si>
  <si>
    <t>・情報セキュリティ：機密性、完全性、可用性「IR18-AE114 Data Literacy for Research Design」（第12回）「情報技術と社会」（第10回）
・匿名加工情報、暗号化、パスワード、悪意ある情報搾取「IR18-AE114 Data Literacy for Research Design」（第12回）「情報技術と社会」（第9,10回）
・情報漏洩等によるセキュリティ事故の事例紹介「IR18-AE114 Data Literacy for Research Design」（第12回）</t>
    <rPh sb="1" eb="3">
      <t>ジョウホウ</t>
    </rPh>
    <rPh sb="10" eb="13">
      <t>キミツセイ</t>
    </rPh>
    <rPh sb="14" eb="17">
      <t>カンゼンセイ</t>
    </rPh>
    <rPh sb="18" eb="21">
      <t>カヨウセイ</t>
    </rPh>
    <rPh sb="68" eb="69">
      <t>ダイ</t>
    </rPh>
    <rPh sb="71" eb="72">
      <t>カイ</t>
    </rPh>
    <rPh sb="90" eb="92">
      <t>トクメイ</t>
    </rPh>
    <rPh sb="92" eb="94">
      <t>カコウ</t>
    </rPh>
    <rPh sb="94" eb="96">
      <t>ジョウホウ</t>
    </rPh>
    <phoneticPr fontId="1"/>
  </si>
  <si>
    <t>・データの種類（量的変数、質的変数）「IR18-AE114 Data Literacy for Research Design」（第1,9回）
・データの分布（ヒストグラム）と代表値（平均値、中央値、最頻値）「IR18-AE114 Data Literacy for Research Design」（第5,9回）「情報技術と社会」（第14回）
・代表値の性質の違い（実社会では平均値＝最頻値でないことが多い）「情報技術と社会」（第14回）
・データのばらつき（分散、標準偏差、偏差値）「IR18-AE114 Data Literacy for Research Design」（第8回）「情報技術と社会」（第14回）
・観測データに含まれる誤差の扱い「IR18-AE114 Data Literacy for Research Design」（第6回）
・相関と因果（相関係数、疑似相関、交絡）「IR18-AE114 Data Literacy for Research Design」（第9回）「情報技術と社会」（第14回）
・統計情報の正しい理解（誇張表現に惑わせない）「IR18-AE114 Data Literacy for Research Design」（第9回）「情報技術と社会」（第14回）</t>
    <rPh sb="5" eb="7">
      <t>シュルイ</t>
    </rPh>
    <rPh sb="8" eb="10">
      <t>リョウテキ</t>
    </rPh>
    <rPh sb="10" eb="12">
      <t>ヘンスウ</t>
    </rPh>
    <rPh sb="13" eb="17">
      <t>シツテキヘンスウ</t>
    </rPh>
    <rPh sb="77" eb="79">
      <t>ブンプ</t>
    </rPh>
    <rPh sb="88" eb="91">
      <t>ダイヒョウチ</t>
    </rPh>
    <rPh sb="92" eb="95">
      <t>ヘイキンチ</t>
    </rPh>
    <rPh sb="311" eb="313">
      <t>カンソク</t>
    </rPh>
    <rPh sb="317" eb="318">
      <t>フク</t>
    </rPh>
    <rPh sb="321" eb="323">
      <t>ゴサ</t>
    </rPh>
    <rPh sb="324" eb="325">
      <t>アツカ</t>
    </rPh>
    <rPh sb="379" eb="381">
      <t>ソウカン</t>
    </rPh>
    <rPh sb="382" eb="384">
      <t>インガ</t>
    </rPh>
    <rPh sb="385" eb="389">
      <t>ソウカンケイスウ</t>
    </rPh>
    <rPh sb="390" eb="392">
      <t>ギジ</t>
    </rPh>
    <rPh sb="392" eb="394">
      <t>ソウカン</t>
    </rPh>
    <phoneticPr fontId="1"/>
  </si>
  <si>
    <t>・データ表現（棒グラフ、折線グラフ、散布図、ヒートマップ）「IR18-AE114 Data Literacy for Research Design」（第8回）「情報技術と社会」（第15回）
・データの図表表現（チャート化）「情報技術と社会」（第15回）
・不適切なグラフ表現（チャートジャンク、不必要な視覚的要素）「IR18-AE114 Data Literacy for Research Design」（第8回）「情報技術と社会」（第15回）
・優れた可視化事例の紹介（可視化することによって新たな気づきがあった事例など）「IR18-AE114 Data Literacy for Research Design」（第8回）</t>
    <rPh sb="4" eb="6">
      <t>ヒョウゲン</t>
    </rPh>
    <rPh sb="7" eb="8">
      <t>ボウ</t>
    </rPh>
    <rPh sb="12" eb="14">
      <t>オレセン</t>
    </rPh>
    <rPh sb="18" eb="21">
      <t>サンプズ</t>
    </rPh>
    <rPh sb="129" eb="132">
      <t>フテキセツ</t>
    </rPh>
    <rPh sb="136" eb="138">
      <t>ヒョウゲン</t>
    </rPh>
    <rPh sb="148" eb="151">
      <t>フヒツヨウ</t>
    </rPh>
    <rPh sb="152" eb="155">
      <t>シカクテキ</t>
    </rPh>
    <rPh sb="155" eb="157">
      <t>ヨウソ</t>
    </rPh>
    <rPh sb="226" eb="227">
      <t>スグ</t>
    </rPh>
    <rPh sb="229" eb="232">
      <t>カシカ</t>
    </rPh>
    <rPh sb="232" eb="234">
      <t>ジレイ</t>
    </rPh>
    <rPh sb="235" eb="237">
      <t>ショウカイ</t>
    </rPh>
    <rPh sb="238" eb="241">
      <t>カシカ</t>
    </rPh>
    <rPh sb="249" eb="250">
      <t>アラ</t>
    </rPh>
    <rPh sb="252" eb="253">
      <t>キ</t>
    </rPh>
    <rPh sb="259" eb="261">
      <t>ジレイ</t>
    </rPh>
    <phoneticPr fontId="1"/>
  </si>
  <si>
    <t>・データの集計（和、平均）「IR18-AE114 Data Literacy for Research Design」（第7回）「情報技術と社会」（第15回）
・データの並び替え、ランキング「情報技術と社会」（第15回）
・データ解析ツール（スプレッドシート）「IR18-AE114 Data Literacy for Research Design」（第8回）「情報技術と社会」（第15回）
・表形式のデータ（csv）「IR18-AE114 Data Literacy for Research Design」（第9回）「情報技術と社会」（第15回）</t>
    <rPh sb="5" eb="7">
      <t>シュウケイ</t>
    </rPh>
    <rPh sb="8" eb="9">
      <t>ワ</t>
    </rPh>
    <rPh sb="10" eb="12">
      <t>ヘイキン</t>
    </rPh>
    <rPh sb="115" eb="117">
      <t>カイセキ</t>
    </rPh>
    <rPh sb="198" eb="201">
      <t>ヒョウケイシキ</t>
    </rPh>
    <phoneticPr fontId="1"/>
  </si>
  <si>
    <t>情報理工学部（情報理工学科 システムアーキテクトコース/セキュリティ・ネットワークコース/先端社会デザインコース/実世界情報コース/画像・音メディアコース/知能情報コース・情報システムグローバルコース）</t>
    <rPh sb="58" eb="60">
      <t>セカイ</t>
    </rPh>
    <phoneticPr fontId="1"/>
  </si>
  <si>
    <t>【対象：情報理工学科 システムアーキテクトコース/セキュリティ・ネットワークコース/先端社会デザインコース/実世界情報コース/画像・音メディアコース/知能情報コース】
プログラムを構成する科目のうち「情報倫理と情報技術」1科目2単位を単位取得すること（令和4年度以降受講者対象）
【対象：情報理工学科 情報システムグローバルコース】
プログラムを構成する科目のうち「Introduction to Experimentation」及び「Professional Ethics」2科目4単位を単位取得すること（令和4年度以降受講者対象）</t>
    <rPh sb="1" eb="3">
      <t>タイショウ</t>
    </rPh>
    <rPh sb="100" eb="104">
      <t>ジョウホウリンリ</t>
    </rPh>
    <rPh sb="105" eb="107">
      <t>ジョウホウ</t>
    </rPh>
    <rPh sb="107" eb="109">
      <t>ギジュツ</t>
    </rPh>
    <rPh sb="111" eb="113">
      <t>カモク</t>
    </rPh>
    <rPh sb="114" eb="116">
      <t>タンイ</t>
    </rPh>
    <rPh sb="152" eb="154">
      <t>ジョウホウ</t>
    </rPh>
    <rPh sb="260" eb="262">
      <t>イコウ</t>
    </rPh>
    <rPh sb="262" eb="265">
      <t>ジュコウシャ</t>
    </rPh>
    <phoneticPr fontId="1"/>
  </si>
  <si>
    <t>・ビッグデータ、IoT、AI、ロボット「情報倫理と情報技術」（第2,5回[K1]/第4,10回[K2]/第2,6回[K3]）「Professional Ethics」（第1回）
・複数技術を組み合わせたAIサービス「情報倫理と情報技術」（第7回[K1]/第3回[K2]/第4回[K3])
・第4次産業革命、Society5.0、データ駆動型社会「Professional Ethics」（第1回）</t>
    <rPh sb="20" eb="24">
      <t>ジョウホウリンリ</t>
    </rPh>
    <rPh sb="25" eb="27">
      <t>ジョウホウ</t>
    </rPh>
    <rPh sb="27" eb="29">
      <t>ギジュツ</t>
    </rPh>
    <rPh sb="31" eb="32">
      <t>ダイ</t>
    </rPh>
    <rPh sb="35" eb="36">
      <t>カイ</t>
    </rPh>
    <rPh sb="41" eb="42">
      <t>ダイ</t>
    </rPh>
    <rPh sb="46" eb="47">
      <t>カイ</t>
    </rPh>
    <rPh sb="52" eb="53">
      <t>ダイ</t>
    </rPh>
    <rPh sb="56" eb="57">
      <t>カイ</t>
    </rPh>
    <rPh sb="69" eb="71">
      <t>フクスウ</t>
    </rPh>
    <rPh sb="71" eb="73">
      <t>ギジュツ</t>
    </rPh>
    <rPh sb="74" eb="75">
      <t>ク</t>
    </rPh>
    <rPh sb="76" eb="77">
      <t>ア</t>
    </rPh>
    <rPh sb="87" eb="91">
      <t>ジョウホウリンリ</t>
    </rPh>
    <rPh sb="92" eb="94">
      <t>ジョウホウ</t>
    </rPh>
    <rPh sb="94" eb="96">
      <t>ギジュツ</t>
    </rPh>
    <rPh sb="98" eb="99">
      <t>ダイ</t>
    </rPh>
    <rPh sb="100" eb="101">
      <t>カイ</t>
    </rPh>
    <rPh sb="106" eb="107">
      <t>ダイ</t>
    </rPh>
    <rPh sb="108" eb="109">
      <t>カイ</t>
    </rPh>
    <rPh sb="114" eb="115">
      <t>ダイ</t>
    </rPh>
    <rPh sb="116" eb="117">
      <t>カイ</t>
    </rPh>
    <phoneticPr fontId="1"/>
  </si>
  <si>
    <t>・AI等を活用した新しいビジネスモデル（シェアリングエコノミー、商品のレコメンデーションなど）「情報倫理と情報技術」（第7回[K1]/第3回[K2]/第4回[K3]）
・AI最新技術の活用例（深層作成モデル、敵対的生成ネットワーク、強化学習、転移学習など）「情報倫理と情報技術」（第7,8回[K1]/第3,7回[K2]/第4,5回[K3]）「Introduction to Experimentation」（第15回）</t>
    <rPh sb="3" eb="4">
      <t>トウ</t>
    </rPh>
    <rPh sb="5" eb="7">
      <t>カツヨウ</t>
    </rPh>
    <rPh sb="9" eb="10">
      <t>アタラ</t>
    </rPh>
    <rPh sb="32" eb="34">
      <t>ショウヒン</t>
    </rPh>
    <rPh sb="67" eb="68">
      <t>ダイ</t>
    </rPh>
    <rPh sb="69" eb="70">
      <t>カイ</t>
    </rPh>
    <rPh sb="75" eb="76">
      <t>ダイ</t>
    </rPh>
    <rPh sb="77" eb="78">
      <t>カイ</t>
    </rPh>
    <rPh sb="86" eb="88">
      <t>サイシン</t>
    </rPh>
    <rPh sb="88" eb="90">
      <t>ギジュツ</t>
    </rPh>
    <rPh sb="91" eb="93">
      <t>カツヨウ</t>
    </rPh>
    <rPh sb="93" eb="94">
      <t>レイ</t>
    </rPh>
    <rPh sb="95" eb="97">
      <t>シンソウ</t>
    </rPh>
    <rPh sb="97" eb="99">
      <t>サクセイ</t>
    </rPh>
    <rPh sb="103" eb="105">
      <t>テキタイ</t>
    </rPh>
    <rPh sb="105" eb="106">
      <t>テキ</t>
    </rPh>
    <rPh sb="106" eb="108">
      <t>セイセイ</t>
    </rPh>
    <rPh sb="115" eb="117">
      <t>キョウカ</t>
    </rPh>
    <rPh sb="117" eb="119">
      <t>ガクシュウ</t>
    </rPh>
    <rPh sb="120" eb="122">
      <t>テンイ</t>
    </rPh>
    <rPh sb="122" eb="124">
      <t>ガクシュウ</t>
    </rPh>
    <rPh sb="149" eb="150">
      <t>ダイ</t>
    </rPh>
    <rPh sb="153" eb="154">
      <t>カイ</t>
    </rPh>
    <rPh sb="159" eb="160">
      <t>ダイ</t>
    </rPh>
    <rPh sb="163" eb="164">
      <t>カイ</t>
    </rPh>
    <phoneticPr fontId="1"/>
  </si>
  <si>
    <t>・調査データ、実験データ、人の行動ログデータ、機械の稼働ログデータなど「情報倫理と情報技術」（第1,4回[K1]/第1,6回[K2]/第1,8回[K3]）「Introduction to Experimentation」（第4回）
・構造化データ、非構造化データ（文章、画像/動画、音声/音楽など）「情報倫理と情報技術」（第6回[K1]/第2回[K2]/第3回[K3]）
・1次データ、2次データ、データのメタ化「Introduction to Experimentation」（第4回）</t>
    <rPh sb="1" eb="3">
      <t>チョウサ</t>
    </rPh>
    <rPh sb="7" eb="9">
      <t>ジッケン</t>
    </rPh>
    <rPh sb="13" eb="14">
      <t>ヒト</t>
    </rPh>
    <rPh sb="15" eb="17">
      <t>コウドウ</t>
    </rPh>
    <rPh sb="23" eb="25">
      <t>キカイ</t>
    </rPh>
    <rPh sb="26" eb="28">
      <t>カドウ</t>
    </rPh>
    <rPh sb="57" eb="58">
      <t>ダイ</t>
    </rPh>
    <rPh sb="61" eb="62">
      <t>カイ</t>
    </rPh>
    <rPh sb="67" eb="68">
      <t>ダイ</t>
    </rPh>
    <rPh sb="71" eb="72">
      <t>カイ</t>
    </rPh>
    <rPh sb="117" eb="120">
      <t>コウゾウカ</t>
    </rPh>
    <rPh sb="169" eb="170">
      <t>ダイ</t>
    </rPh>
    <rPh sb="171" eb="172">
      <t>カイ</t>
    </rPh>
    <rPh sb="177" eb="178">
      <t>ダイ</t>
    </rPh>
    <rPh sb="179" eb="180">
      <t>カイ</t>
    </rPh>
    <phoneticPr fontId="1"/>
  </si>
  <si>
    <t>・データ・AI活用領域の広がり（生産、消費、文化活動など）「情報倫理と情報技術」（第1,4,6,7,8回[K1]/第1,2,3,6,7回[K2]/第1,3,4,5,8回[K3]）
・研究開発、調達、製造、物流、販売、マーケティング、サービスなど「情報倫理と情報技術」（第1回[K1,K2,K3]）
・仮説検証、知識発見、原因究明、計画策定、判断支援、活動代替、新規生成など「Introduction to Experimentation」（第4回）</t>
    <rPh sb="7" eb="9">
      <t>カツヨウ</t>
    </rPh>
    <rPh sb="9" eb="11">
      <t>リョウイキ</t>
    </rPh>
    <rPh sb="12" eb="13">
      <t>ヒロ</t>
    </rPh>
    <rPh sb="16" eb="18">
      <t>セイサン</t>
    </rPh>
    <rPh sb="19" eb="21">
      <t>ショウヒ</t>
    </rPh>
    <rPh sb="22" eb="24">
      <t>ブンカ</t>
    </rPh>
    <rPh sb="24" eb="26">
      <t>カツドウ</t>
    </rPh>
    <rPh sb="57" eb="58">
      <t>ダイ</t>
    </rPh>
    <rPh sb="67" eb="68">
      <t>カイ</t>
    </rPh>
    <rPh sb="73" eb="74">
      <t>ダイ</t>
    </rPh>
    <rPh sb="83" eb="84">
      <t>カイ</t>
    </rPh>
    <rPh sb="91" eb="93">
      <t>ケンキュウ</t>
    </rPh>
    <rPh sb="93" eb="95">
      <t>カイハツ</t>
    </rPh>
    <rPh sb="96" eb="98">
      <t>チョウタツ</t>
    </rPh>
    <rPh sb="99" eb="101">
      <t>セイゾウ</t>
    </rPh>
    <rPh sb="102" eb="104">
      <t>ブツリュウ</t>
    </rPh>
    <rPh sb="105" eb="107">
      <t>ハンバイ</t>
    </rPh>
    <phoneticPr fontId="1"/>
  </si>
  <si>
    <t>・データ解析：予測、グルーピング、パターン発見、最適化、シミュレーション・データ同化など「情報倫理と情報技術」（第4,8回[K1]/第6,7回[K2]/第5,8回[K3]）「Introduction to Experimentation」（第10回）
・特化型AIと汎用AI、今のAIに出来ることと出来ないこと、AIとビッグデータ「情報倫理と情報技術」（第7回[K1]/第3回[K2]/第4回[K3]）
・認識技術、ルールベース、自動化技術「情報倫理と情報技術」（第8回[K1]/第7回[K2]/第5回[K3]）</t>
    <rPh sb="4" eb="6">
      <t>カイセキ</t>
    </rPh>
    <rPh sb="7" eb="9">
      <t>ヨソク</t>
    </rPh>
    <rPh sb="21" eb="23">
      <t>ハッケン</t>
    </rPh>
    <rPh sb="24" eb="27">
      <t>サイテキカ</t>
    </rPh>
    <rPh sb="40" eb="42">
      <t>ドウカ</t>
    </rPh>
    <rPh sb="66" eb="67">
      <t>ダイ</t>
    </rPh>
    <rPh sb="70" eb="71">
      <t>カイ</t>
    </rPh>
    <rPh sb="76" eb="77">
      <t>ダイ</t>
    </rPh>
    <rPh sb="80" eb="81">
      <t>カイ</t>
    </rPh>
    <rPh sb="127" eb="130">
      <t>トッカガタ</t>
    </rPh>
    <rPh sb="133" eb="135">
      <t>ハンヨウ</t>
    </rPh>
    <rPh sb="138" eb="139">
      <t>イマ</t>
    </rPh>
    <rPh sb="143" eb="145">
      <t>デキ</t>
    </rPh>
    <rPh sb="149" eb="151">
      <t>デキ</t>
    </rPh>
    <rPh sb="185" eb="186">
      <t>ダイ</t>
    </rPh>
    <rPh sb="187" eb="188">
      <t>カイ</t>
    </rPh>
    <rPh sb="193" eb="194">
      <t>ダイ</t>
    </rPh>
    <rPh sb="195" eb="196">
      <t>カイ</t>
    </rPh>
    <rPh sb="203" eb="205">
      <t>ニンシキ</t>
    </rPh>
    <rPh sb="205" eb="207">
      <t>ギジュツ</t>
    </rPh>
    <rPh sb="215" eb="218">
      <t>ジドウカ</t>
    </rPh>
    <rPh sb="218" eb="220">
      <t>ギジュツ</t>
    </rPh>
    <rPh sb="240" eb="241">
      <t>ダイ</t>
    </rPh>
    <rPh sb="242" eb="243">
      <t>カイ</t>
    </rPh>
    <rPh sb="248" eb="249">
      <t>ダイ</t>
    </rPh>
    <rPh sb="250" eb="251">
      <t>カイ</t>
    </rPh>
    <phoneticPr fontId="1"/>
  </si>
  <si>
    <t>・流通、製造、金融、サービス、インフラ、公共、ヘルスケア等におけるデータ・AI利活用事例紹介「情報倫理と情報技術」（第7回[K1]/第3回[K2]/第4回[K3]）
・データサイエンスのサイクル（課題抽出と定式化、データの取得・管理・加工、探索的データ解析、データ解析と推論、結果の共有・伝達、課題解決に向けた提案）「Introduction to Experimentation」（第4回）</t>
    <rPh sb="1" eb="3">
      <t>リュウツウ</t>
    </rPh>
    <rPh sb="4" eb="6">
      <t>セイゾウ</t>
    </rPh>
    <rPh sb="7" eb="9">
      <t>キンユウ</t>
    </rPh>
    <rPh sb="20" eb="22">
      <t>コウキョウ</t>
    </rPh>
    <rPh sb="28" eb="29">
      <t>トウ</t>
    </rPh>
    <rPh sb="39" eb="46">
      <t>リカツヨウジレイショウカイ</t>
    </rPh>
    <rPh sb="66" eb="67">
      <t>ダイ</t>
    </rPh>
    <rPh sb="68" eb="69">
      <t>カイ</t>
    </rPh>
    <rPh sb="74" eb="75">
      <t>ダイ</t>
    </rPh>
    <rPh sb="76" eb="77">
      <t>カイ</t>
    </rPh>
    <phoneticPr fontId="1"/>
  </si>
  <si>
    <t>・ELSI（Ethical,Legal and Social Issues）「情報倫理と情報技術」（第13回[K1]/第9回[K2]/第11回[K3]）「Professional Ethics」（第2回）
・個人情報保護、EU一般データ保護規則（GDPR）、忘れられる権利、オプトアウト「情報倫理と情報技術」（第3,12回[K1]/第5,8回[K2]/第7,10回[K3]）「Professional Ethics」（第5回）
・データ倫理：データの捏造、改ざん、盗用、プライバシー保護「情報倫理と情報技術」（第3,9,10回[K1]/第5,11,12回[K2]/第7,9,12回[K3]）「Professional Ethics」（第13回）
・データ・AI活用における負の事例紹介「Professional Ethics」（第2回）</t>
    <rPh sb="59" eb="60">
      <t>ダイ</t>
    </rPh>
    <rPh sb="61" eb="62">
      <t>カイ</t>
    </rPh>
    <rPh sb="67" eb="68">
      <t>ダイ</t>
    </rPh>
    <rPh sb="70" eb="71">
      <t>カイ</t>
    </rPh>
    <rPh sb="104" eb="108">
      <t>コジンジョウホウ</t>
    </rPh>
    <rPh sb="108" eb="110">
      <t>ホゴ</t>
    </rPh>
    <rPh sb="113" eb="115">
      <t>イッパン</t>
    </rPh>
    <rPh sb="118" eb="122">
      <t>ホゴキソク</t>
    </rPh>
    <rPh sb="129" eb="130">
      <t>ワス</t>
    </rPh>
    <rPh sb="134" eb="136">
      <t>ケンリ</t>
    </rPh>
    <rPh sb="166" eb="167">
      <t>ダイ</t>
    </rPh>
    <rPh sb="170" eb="171">
      <t>カイ</t>
    </rPh>
    <rPh sb="176" eb="177">
      <t>ダイ</t>
    </rPh>
    <rPh sb="181" eb="182">
      <t>カイ</t>
    </rPh>
    <rPh sb="218" eb="220">
      <t>リンリ</t>
    </rPh>
    <rPh sb="225" eb="227">
      <t>ネツゾウ</t>
    </rPh>
    <rPh sb="228" eb="229">
      <t>カイ</t>
    </rPh>
    <rPh sb="232" eb="234">
      <t>トウヨウ</t>
    </rPh>
    <rPh sb="241" eb="243">
      <t>ホゴ</t>
    </rPh>
    <rPh sb="268" eb="269">
      <t>ダイ</t>
    </rPh>
    <rPh sb="276" eb="277">
      <t>カイ</t>
    </rPh>
    <rPh sb="282" eb="283">
      <t>ダイ</t>
    </rPh>
    <rPh sb="289" eb="290">
      <t>カイ</t>
    </rPh>
    <phoneticPr fontId="1"/>
  </si>
  <si>
    <t>・情報セキュリティ：機密性、完全性、可用性「情報倫理と情報技術」（第3回[K1]/第5回[K2]/第7回[K3]）「Professional Ethics」（第5回）
・情報漏洩等によるセキュリティ事故の事例紹介「Professional Ethics」（第7回）</t>
    <rPh sb="1" eb="3">
      <t>ジョウホウ</t>
    </rPh>
    <rPh sb="10" eb="13">
      <t>キミツセイ</t>
    </rPh>
    <rPh sb="14" eb="17">
      <t>カンゼンセイ</t>
    </rPh>
    <rPh sb="18" eb="21">
      <t>カヨウセイ</t>
    </rPh>
    <rPh sb="41" eb="42">
      <t>ダイ</t>
    </rPh>
    <rPh sb="43" eb="44">
      <t>カイ</t>
    </rPh>
    <rPh sb="49" eb="50">
      <t>ダイ</t>
    </rPh>
    <rPh sb="51" eb="52">
      <t>カイ</t>
    </rPh>
    <phoneticPr fontId="1"/>
  </si>
  <si>
    <t>・データの種類（量的変数、質的変数）「情報倫理と情報技術」（第1,4回[K1]/第1,6回[K2]/第1,8回[K3]）
・観測データに含まれる誤差の扱い「情報倫理と情報技術」（第1回[K1,K2,K3]）
・データのばらつき（分散、標準偏差、偏差値）「Introduction to Experimentation」（第7,9回）</t>
    <rPh sb="5" eb="7">
      <t>シュルイ</t>
    </rPh>
    <rPh sb="8" eb="10">
      <t>リョウテキ</t>
    </rPh>
    <rPh sb="10" eb="12">
      <t>ヘンスウ</t>
    </rPh>
    <rPh sb="13" eb="15">
      <t>シツテキ</t>
    </rPh>
    <rPh sb="15" eb="17">
      <t>ヘンスウ</t>
    </rPh>
    <rPh sb="40" eb="41">
      <t>ダイ</t>
    </rPh>
    <rPh sb="44" eb="45">
      <t>カイ</t>
    </rPh>
    <rPh sb="50" eb="51">
      <t>ダイ</t>
    </rPh>
    <rPh sb="54" eb="55">
      <t>カイ</t>
    </rPh>
    <rPh sb="62" eb="64">
      <t>カンソク</t>
    </rPh>
    <rPh sb="68" eb="69">
      <t>フク</t>
    </rPh>
    <rPh sb="72" eb="74">
      <t>ゴサ</t>
    </rPh>
    <rPh sb="75" eb="76">
      <t>アツカ</t>
    </rPh>
    <phoneticPr fontId="1"/>
  </si>
  <si>
    <t>・データ表現（棒グラフ、折線グラフ、散布図、ヒートマップ）「情報倫理と情報技術」（第1,4回[K1]/第1,6回[K2]/第1,8回[K3]）
・データの図表表現（チャート化）「情報倫理と情報技術」（第1回{K1,K2,K3]）「Introduction to Experimentation」（第9回）</t>
    <rPh sb="4" eb="6">
      <t>ヒョウゲン</t>
    </rPh>
    <rPh sb="7" eb="8">
      <t>ボウ</t>
    </rPh>
    <rPh sb="12" eb="14">
      <t>オレセン</t>
    </rPh>
    <rPh sb="18" eb="21">
      <t>サンプズ</t>
    </rPh>
    <rPh sb="51" eb="52">
      <t>ダイ</t>
    </rPh>
    <rPh sb="55" eb="56">
      <t>カイ</t>
    </rPh>
    <rPh sb="61" eb="62">
      <t>ダイ</t>
    </rPh>
    <rPh sb="65" eb="66">
      <t>カイ</t>
    </rPh>
    <rPh sb="77" eb="79">
      <t>ズヒョウ</t>
    </rPh>
    <rPh sb="79" eb="81">
      <t>ヒョウゲン</t>
    </rPh>
    <rPh sb="86" eb="87">
      <t>カ</t>
    </rPh>
    <phoneticPr fontId="1"/>
  </si>
  <si>
    <t>・データの集計（和、平均）「情報倫理と情報技術」（第1回[K1,K2,K3]）「Introduction to Experimentation」（第9回）
・データの並び替え、ランキング「情報倫理と情報技術」（第1回[K1,K2,K3]）
・データ解析ツール（スプレッドシート）「Introduction to Experimentation」（第9回）</t>
    <rPh sb="5" eb="7">
      <t>シュウケイ</t>
    </rPh>
    <rPh sb="8" eb="9">
      <t>ワ</t>
    </rPh>
    <rPh sb="10" eb="12">
      <t>ヘイキン</t>
    </rPh>
    <rPh sb="83" eb="84">
      <t>ナラ</t>
    </rPh>
    <rPh sb="85" eb="86">
      <t>カ</t>
    </rPh>
    <phoneticPr fontId="1"/>
  </si>
  <si>
    <t>プログラムを構成する科目のうち「Algorithm and Programming」及び「Social Change with AI」2科目8単位を単位取得すること（令和4年度以降受講者対象）</t>
    <rPh sb="90" eb="93">
      <t>ジュコウシャ</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</si>
</sst>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0"/>
      <name val="ＭＳ Ｐゴシック"/>
      <family val="3"/>
      <charset val="128"/>
      <scheme val="minor"/>
    </font>
    <font>
      <sz val="8"/>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405">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0" xfId="0" applyFont="1" applyAlignment="1">
      <alignment horizontal="right" vertical="center"/>
    </xf>
    <xf numFmtId="0" fontId="2" fillId="0" borderId="1" xfId="0" applyFont="1" applyBorder="1" applyAlignment="1">
      <alignment horizontal="center" vertical="center"/>
    </xf>
    <xf numFmtId="0" fontId="2" fillId="0" borderId="0" xfId="0" applyFont="1" applyAlignment="1">
      <alignment vertical="top" wrapText="1"/>
    </xf>
    <xf numFmtId="0" fontId="2" fillId="0" borderId="0" xfId="0" applyFont="1">
      <alignment vertical="center"/>
    </xf>
    <xf numFmtId="0" fontId="2" fillId="0" borderId="0" xfId="0" applyFont="1" applyAlignment="1">
      <alignment horizontal="center" vertical="center"/>
    </xf>
    <xf numFmtId="3" fontId="2" fillId="0" borderId="1" xfId="0" applyNumberFormat="1" applyFont="1" applyBorder="1" applyAlignment="1">
      <alignment horizontal="center" vertical="center"/>
    </xf>
    <xf numFmtId="0" fontId="11" fillId="0" borderId="0" xfId="0" applyFont="1">
      <alignment vertical="center"/>
    </xf>
    <xf numFmtId="0" fontId="12" fillId="0" borderId="0" xfId="0" applyFont="1">
      <alignment vertical="center"/>
    </xf>
    <xf numFmtId="0" fontId="11" fillId="0" borderId="1" xfId="0" applyFont="1" applyBorder="1" applyAlignment="1">
      <alignment horizontal="center" vertical="center"/>
    </xf>
    <xf numFmtId="0" fontId="11" fillId="0" borderId="0" xfId="0" applyFont="1" applyAlignment="1">
      <alignment horizontal="right" vertical="center"/>
    </xf>
    <xf numFmtId="0" fontId="11" fillId="0" borderId="0" xfId="0" applyFont="1" applyAlignment="1">
      <alignment vertical="center" shrinkToFit="1"/>
    </xf>
    <xf numFmtId="0" fontId="11" fillId="0" borderId="0" xfId="0" applyFont="1" applyAlignment="1">
      <alignment horizontal="left" vertical="center" shrinkToFit="1"/>
    </xf>
    <xf numFmtId="0" fontId="11" fillId="0" borderId="0" xfId="0" applyFont="1" applyAlignment="1">
      <alignment horizontal="center" vertical="center"/>
    </xf>
    <xf numFmtId="0" fontId="11" fillId="0" borderId="10" xfId="0" applyFont="1" applyBorder="1" applyAlignment="1">
      <alignment horizontal="right" vertical="center"/>
    </xf>
    <xf numFmtId="0" fontId="11" fillId="0" borderId="0" xfId="0" applyFont="1" applyAlignment="1">
      <alignment horizontal="left" vertical="center"/>
    </xf>
    <xf numFmtId="0" fontId="12" fillId="0" borderId="0" xfId="0" applyFont="1" applyAlignment="1">
      <alignment horizontal="center" vertical="center"/>
    </xf>
    <xf numFmtId="0" fontId="11" fillId="0" borderId="5" xfId="0" applyFont="1" applyBorder="1">
      <alignment vertical="center"/>
    </xf>
    <xf numFmtId="0" fontId="14" fillId="0" borderId="1" xfId="0" applyFont="1" applyBorder="1" applyAlignment="1">
      <alignment horizontal="center" vertical="center" shrinkToFit="1"/>
    </xf>
    <xf numFmtId="0" fontId="14" fillId="0" borderId="4" xfId="0" applyFont="1" applyBorder="1" applyAlignment="1">
      <alignment horizontal="center" vertical="center" shrinkToFit="1"/>
    </xf>
    <xf numFmtId="49" fontId="14" fillId="0" borderId="1" xfId="0" applyNumberFormat="1" applyFont="1" applyBorder="1" applyAlignment="1">
      <alignment horizontal="center" vertical="center"/>
    </xf>
    <xf numFmtId="0" fontId="11" fillId="0" borderId="14" xfId="0" applyFont="1" applyBorder="1" applyAlignment="1">
      <alignment horizontal="center" vertical="center" shrinkToFit="1"/>
    </xf>
    <xf numFmtId="0" fontId="11" fillId="0" borderId="23" xfId="0" applyFont="1" applyBorder="1" applyAlignment="1">
      <alignment horizontal="center" vertical="center" shrinkToFit="1"/>
    </xf>
    <xf numFmtId="0" fontId="11" fillId="0" borderId="13" xfId="0" applyFont="1" applyBorder="1" applyAlignment="1">
      <alignment horizontal="center" vertical="center" shrinkToFit="1"/>
    </xf>
    <xf numFmtId="0" fontId="11" fillId="0" borderId="40" xfId="0" applyFont="1" applyBorder="1" applyAlignment="1">
      <alignment horizontal="center" vertical="center" shrinkToFit="1"/>
    </xf>
    <xf numFmtId="0" fontId="11" fillId="0" borderId="0" xfId="0" applyFont="1" applyAlignment="1">
      <alignment vertical="top" wrapText="1"/>
    </xf>
    <xf numFmtId="0" fontId="11" fillId="0" borderId="0" xfId="0" applyFont="1" applyAlignment="1">
      <alignment horizontal="center" vertical="center" shrinkToFit="1"/>
    </xf>
    <xf numFmtId="49" fontId="14" fillId="0" borderId="48" xfId="0" applyNumberFormat="1" applyFont="1" applyBorder="1" applyAlignment="1">
      <alignment horizontal="center" vertical="center"/>
    </xf>
    <xf numFmtId="49" fontId="14" fillId="0" borderId="49" xfId="0" applyNumberFormat="1" applyFont="1" applyBorder="1" applyAlignment="1">
      <alignment horizontal="center" vertical="center"/>
    </xf>
    <xf numFmtId="49" fontId="14" fillId="0" borderId="44" xfId="0" applyNumberFormat="1" applyFont="1" applyBorder="1" applyAlignment="1">
      <alignment horizontal="center" vertical="center"/>
    </xf>
    <xf numFmtId="49" fontId="14" fillId="0" borderId="29" xfId="0" applyNumberFormat="1" applyFont="1" applyBorder="1" applyAlignment="1">
      <alignment horizontal="center" vertical="center"/>
    </xf>
    <xf numFmtId="49" fontId="14" fillId="0" borderId="47" xfId="0" applyNumberFormat="1" applyFont="1" applyBorder="1" applyAlignment="1">
      <alignment horizontal="center" vertical="center"/>
    </xf>
    <xf numFmtId="49" fontId="14" fillId="0" borderId="32" xfId="0" applyNumberFormat="1" applyFont="1" applyBorder="1" applyAlignment="1">
      <alignment horizontal="center" vertical="center"/>
    </xf>
    <xf numFmtId="0" fontId="11" fillId="0" borderId="0" xfId="0" applyFont="1" applyAlignment="1">
      <alignment horizontal="right" vertical="center"/>
    </xf>
    <xf numFmtId="0" fontId="11" fillId="0" borderId="60" xfId="0" applyFont="1" applyBorder="1" applyAlignment="1">
      <alignment horizontal="center" vertical="center" shrinkToFit="1"/>
    </xf>
    <xf numFmtId="0" fontId="11" fillId="0" borderId="34" xfId="0" applyFont="1" applyBorder="1" applyAlignment="1">
      <alignment vertical="center" shrinkToFit="1"/>
    </xf>
    <xf numFmtId="0" fontId="11" fillId="0" borderId="36" xfId="0" applyFont="1" applyBorder="1" applyAlignment="1">
      <alignment vertical="center" shrinkToFit="1"/>
    </xf>
    <xf numFmtId="0" fontId="11" fillId="0" borderId="35" xfId="0" applyFont="1" applyBorder="1" applyAlignment="1">
      <alignment vertical="center" shrinkToFit="1"/>
    </xf>
    <xf numFmtId="0" fontId="11" fillId="0" borderId="19" xfId="0" applyFont="1" applyBorder="1" applyAlignment="1">
      <alignment vertical="center" shrinkToFit="1"/>
    </xf>
    <xf numFmtId="0" fontId="11" fillId="0" borderId="20" xfId="0" applyFont="1" applyBorder="1" applyAlignment="1">
      <alignment vertical="center" shrinkToFit="1"/>
    </xf>
    <xf numFmtId="0" fontId="11" fillId="0" borderId="18" xfId="0" applyFont="1" applyBorder="1" applyAlignment="1">
      <alignment vertical="center" shrinkToFi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37" xfId="0" applyFont="1" applyBorder="1" applyAlignment="1">
      <alignment vertical="center" shrinkToFit="1"/>
    </xf>
    <xf numFmtId="0" fontId="11" fillId="0" borderId="38" xfId="0" applyFont="1" applyBorder="1" applyAlignment="1">
      <alignment vertical="center" shrinkToFit="1"/>
    </xf>
    <xf numFmtId="0" fontId="11" fillId="0" borderId="39" xfId="0" applyFont="1" applyBorder="1" applyAlignment="1">
      <alignment vertical="center" shrinkToFit="1"/>
    </xf>
    <xf numFmtId="0" fontId="11" fillId="0" borderId="0" xfId="0" applyFont="1" applyAlignment="1">
      <alignment vertical="center" wrapText="1"/>
    </xf>
    <xf numFmtId="0" fontId="14" fillId="0" borderId="45" xfId="0" applyFont="1" applyBorder="1" applyAlignment="1">
      <alignment vertical="center" wrapText="1"/>
    </xf>
    <xf numFmtId="0" fontId="14" fillId="0" borderId="31" xfId="0" applyFont="1" applyBorder="1" applyAlignment="1">
      <alignment vertical="center" wrapText="1"/>
    </xf>
    <xf numFmtId="0" fontId="14" fillId="0" borderId="46" xfId="0" applyFont="1" applyBorder="1" applyAlignment="1">
      <alignment vertical="center" wrapText="1"/>
    </xf>
    <xf numFmtId="0" fontId="11" fillId="0" borderId="36" xfId="0" applyFont="1" applyBorder="1" applyAlignment="1">
      <alignment vertical="center" wrapText="1" shrinkToFit="1"/>
    </xf>
    <xf numFmtId="0" fontId="11" fillId="0" borderId="6" xfId="0" applyFont="1" applyBorder="1" applyAlignment="1">
      <alignment vertical="center" wrapText="1" shrinkToFit="1"/>
    </xf>
    <xf numFmtId="0" fontId="11" fillId="0" borderId="6" xfId="0" applyFont="1" applyBorder="1" applyAlignment="1">
      <alignment vertical="center" shrinkToFit="1"/>
    </xf>
    <xf numFmtId="0" fontId="11" fillId="0" borderId="12" xfId="0" applyFont="1" applyBorder="1" applyAlignment="1">
      <alignment vertical="center" shrinkToFit="1"/>
    </xf>
    <xf numFmtId="0" fontId="11" fillId="0" borderId="8" xfId="0" applyFont="1" applyBorder="1" applyAlignment="1">
      <alignment horizontal="left" vertical="center" wrapText="1" shrinkToFit="1"/>
    </xf>
    <xf numFmtId="0" fontId="11" fillId="0" borderId="8" xfId="0" applyFont="1" applyBorder="1" applyAlignment="1">
      <alignment horizontal="left" vertical="center" shrinkToFit="1"/>
    </xf>
    <xf numFmtId="0" fontId="11" fillId="0" borderId="9" xfId="0" applyFont="1" applyBorder="1" applyAlignment="1">
      <alignment horizontal="left" vertical="center" shrinkToFit="1"/>
    </xf>
    <xf numFmtId="0" fontId="15" fillId="0" borderId="2" xfId="0" applyFont="1" applyBorder="1" applyAlignment="1">
      <alignment horizontal="center" vertical="center" shrinkToFit="1"/>
    </xf>
    <xf numFmtId="0" fontId="15" fillId="0" borderId="4" xfId="0" applyFont="1" applyBorder="1" applyAlignment="1">
      <alignment horizontal="center" vertical="center" shrinkToFit="1"/>
    </xf>
    <xf numFmtId="0" fontId="11" fillId="0" borderId="34" xfId="0" applyFont="1" applyBorder="1" applyAlignment="1">
      <alignment horizontal="center" vertical="center" shrinkToFit="1"/>
    </xf>
    <xf numFmtId="0" fontId="11" fillId="0" borderId="36" xfId="0" applyFont="1" applyBorder="1" applyAlignment="1">
      <alignment horizontal="center" vertical="center" shrinkToFit="1"/>
    </xf>
    <xf numFmtId="0" fontId="11" fillId="0" borderId="35" xfId="0" applyFont="1" applyBorder="1" applyAlignment="1">
      <alignment horizontal="center" vertical="center" shrinkToFit="1"/>
    </xf>
    <xf numFmtId="0" fontId="11" fillId="0" borderId="19" xfId="0" applyFont="1" applyBorder="1" applyAlignment="1">
      <alignment horizontal="center" vertical="center" shrinkToFit="1"/>
    </xf>
    <xf numFmtId="0" fontId="11" fillId="0" borderId="20" xfId="0" applyFont="1" applyBorder="1" applyAlignment="1">
      <alignment horizontal="center" vertical="center" shrinkToFit="1"/>
    </xf>
    <xf numFmtId="0" fontId="11" fillId="0" borderId="18" xfId="0" applyFont="1" applyBorder="1" applyAlignment="1">
      <alignment horizontal="center" vertical="center" shrinkToFit="1"/>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2" xfId="0" applyFont="1" applyBorder="1" applyAlignment="1">
      <alignment vertical="center" wrapText="1" shrinkToFit="1"/>
    </xf>
    <xf numFmtId="0" fontId="11" fillId="0" borderId="3" xfId="0" applyFont="1" applyBorder="1" applyAlignment="1">
      <alignment vertical="center" wrapText="1" shrinkToFit="1"/>
    </xf>
    <xf numFmtId="0" fontId="11" fillId="0" borderId="4" xfId="0" applyFont="1" applyBorder="1" applyAlignment="1">
      <alignment vertical="center" wrapText="1" shrinkToFit="1"/>
    </xf>
    <xf numFmtId="0" fontId="11" fillId="0" borderId="37" xfId="0" applyFont="1" applyBorder="1" applyAlignment="1">
      <alignment horizontal="center" vertical="center" shrinkToFit="1"/>
    </xf>
    <xf numFmtId="0" fontId="11" fillId="0" borderId="38" xfId="0" applyFont="1" applyBorder="1" applyAlignment="1">
      <alignment horizontal="center" vertical="center" shrinkToFit="1"/>
    </xf>
    <xf numFmtId="0" fontId="11" fillId="0" borderId="39" xfId="0" applyFont="1" applyBorder="1" applyAlignment="1">
      <alignment horizontal="center" vertical="center" shrinkToFit="1"/>
    </xf>
    <xf numFmtId="0" fontId="11" fillId="0" borderId="22" xfId="0" applyFont="1" applyBorder="1" applyAlignment="1">
      <alignment horizontal="left" vertical="center" shrinkToFit="1"/>
    </xf>
    <xf numFmtId="0" fontId="11" fillId="0" borderId="21" xfId="0" applyFont="1" applyBorder="1" applyAlignment="1">
      <alignment horizontal="left" vertical="center" shrinkToFit="1"/>
    </xf>
    <xf numFmtId="0" fontId="11" fillId="0" borderId="36" xfId="0" applyFont="1" applyBorder="1" applyAlignment="1">
      <alignment horizontal="left" vertical="center" wrapText="1" shrinkToFit="1"/>
    </xf>
    <xf numFmtId="0" fontId="11" fillId="0" borderId="36" xfId="0" applyFont="1" applyBorder="1" applyAlignment="1">
      <alignment horizontal="left" vertical="center" shrinkToFit="1"/>
    </xf>
    <xf numFmtId="0" fontId="11" fillId="0" borderId="35" xfId="0" applyFont="1" applyBorder="1" applyAlignment="1">
      <alignment horizontal="left" vertical="center" shrinkToFit="1"/>
    </xf>
    <xf numFmtId="0" fontId="11" fillId="0" borderId="6" xfId="0" applyFont="1" applyBorder="1" applyAlignment="1">
      <alignment horizontal="left" vertical="center" wrapText="1" shrinkToFit="1"/>
    </xf>
    <xf numFmtId="0" fontId="11" fillId="0" borderId="12" xfId="0" applyFont="1" applyBorder="1" applyAlignment="1">
      <alignment horizontal="left" vertical="center" wrapText="1" shrinkToFit="1"/>
    </xf>
    <xf numFmtId="0" fontId="11" fillId="0" borderId="38" xfId="0" applyFont="1" applyBorder="1" applyAlignment="1">
      <alignment horizontal="left" vertical="center" wrapText="1" shrinkToFit="1"/>
    </xf>
    <xf numFmtId="0" fontId="11" fillId="0" borderId="38" xfId="0" applyFont="1" applyBorder="1" applyAlignment="1">
      <alignment horizontal="left" vertical="center" shrinkToFit="1"/>
    </xf>
    <xf numFmtId="0" fontId="11" fillId="0" borderId="39" xfId="0" applyFont="1" applyBorder="1" applyAlignment="1">
      <alignment horizontal="left" vertical="center" shrinkToFit="1"/>
    </xf>
    <xf numFmtId="0" fontId="11" fillId="0" borderId="19" xfId="0" applyFont="1" applyBorder="1" applyAlignment="1">
      <alignment vertical="center" wrapText="1" shrinkToFit="1"/>
    </xf>
    <xf numFmtId="0" fontId="11" fillId="0" borderId="0" xfId="0" applyFont="1" applyAlignment="1">
      <alignment horizontal="righ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3" fillId="0" borderId="0" xfId="0" applyFont="1" applyAlignment="1">
      <alignment horizontal="center" vertical="center"/>
    </xf>
    <xf numFmtId="0" fontId="11" fillId="0" borderId="7" xfId="0" applyFont="1" applyBorder="1" applyAlignment="1">
      <alignment horizontal="left" vertical="top" wrapText="1" shrinkToFit="1"/>
    </xf>
    <xf numFmtId="0" fontId="11" fillId="0" borderId="8" xfId="0" applyFont="1" applyBorder="1" applyAlignment="1">
      <alignment horizontal="left" vertical="top" wrapText="1" shrinkToFit="1"/>
    </xf>
    <xf numFmtId="0" fontId="11" fillId="0" borderId="9" xfId="0" applyFont="1" applyBorder="1" applyAlignment="1">
      <alignment horizontal="left" vertical="top" wrapText="1" shrinkToFit="1"/>
    </xf>
    <xf numFmtId="0" fontId="11" fillId="0" borderId="5" xfId="0" applyFont="1" applyBorder="1" applyAlignment="1">
      <alignment horizontal="left" vertical="top" wrapText="1" shrinkToFit="1"/>
    </xf>
    <xf numFmtId="0" fontId="11" fillId="0" borderId="0" xfId="0" applyFont="1" applyAlignment="1">
      <alignment horizontal="left" vertical="top" wrapText="1" shrinkToFit="1"/>
    </xf>
    <xf numFmtId="0" fontId="11" fillId="0" borderId="10" xfId="0" applyFont="1" applyBorder="1" applyAlignment="1">
      <alignment horizontal="left" vertical="top" wrapText="1" shrinkToFit="1"/>
    </xf>
    <xf numFmtId="0" fontId="11" fillId="0" borderId="11" xfId="0" applyFont="1" applyBorder="1" applyAlignment="1">
      <alignment horizontal="left" vertical="top" wrapText="1" shrinkToFit="1"/>
    </xf>
    <xf numFmtId="0" fontId="11" fillId="0" borderId="6" xfId="0" applyFont="1" applyBorder="1" applyAlignment="1">
      <alignment horizontal="left" vertical="top" wrapText="1" shrinkToFit="1"/>
    </xf>
    <xf numFmtId="0" fontId="11" fillId="0" borderId="12" xfId="0" applyFont="1" applyBorder="1" applyAlignment="1">
      <alignment horizontal="left" vertical="top" wrapText="1"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7" xfId="0" applyFont="1" applyBorder="1" applyAlignment="1">
      <alignment horizontal="left" vertical="center" wrapText="1"/>
    </xf>
    <xf numFmtId="0" fontId="12" fillId="0" borderId="8" xfId="0" applyFont="1" applyBorder="1" applyAlignment="1">
      <alignment horizontal="left" vertical="center" wrapText="1"/>
    </xf>
    <xf numFmtId="0" fontId="12" fillId="0" borderId="9" xfId="0" applyFont="1" applyBorder="1" applyAlignment="1">
      <alignment horizontal="left" vertical="center" wrapText="1"/>
    </xf>
    <xf numFmtId="0" fontId="12" fillId="0" borderId="11" xfId="0" applyFont="1" applyBorder="1" applyAlignment="1">
      <alignment horizontal="left" vertical="center" wrapText="1"/>
    </xf>
    <xf numFmtId="0" fontId="12" fillId="0" borderId="6" xfId="0" applyFont="1" applyBorder="1" applyAlignment="1">
      <alignment horizontal="left" vertical="center" wrapText="1"/>
    </xf>
    <xf numFmtId="0" fontId="12" fillId="0" borderId="12" xfId="0" applyFont="1" applyBorder="1" applyAlignment="1">
      <alignment horizontal="left" vertical="center" wrapText="1"/>
    </xf>
    <xf numFmtId="0" fontId="11" fillId="0" borderId="7" xfId="0" applyFont="1" applyBorder="1" applyAlignment="1">
      <alignment horizontal="left" vertical="center" wrapText="1"/>
    </xf>
    <xf numFmtId="0" fontId="11" fillId="0" borderId="8" xfId="0" applyFont="1" applyBorder="1" applyAlignment="1">
      <alignment horizontal="left" vertical="center" wrapText="1"/>
    </xf>
    <xf numFmtId="0" fontId="11" fillId="0" borderId="9" xfId="0" applyFont="1" applyBorder="1" applyAlignment="1">
      <alignment horizontal="left" vertical="center" wrapText="1"/>
    </xf>
    <xf numFmtId="0" fontId="11" fillId="0" borderId="11" xfId="0" applyFont="1" applyBorder="1" applyAlignment="1">
      <alignment horizontal="left" vertical="center" wrapText="1"/>
    </xf>
    <xf numFmtId="0" fontId="11" fillId="0" borderId="6" xfId="0" applyFont="1" applyBorder="1" applyAlignment="1">
      <alignment horizontal="left" vertical="center" wrapText="1"/>
    </xf>
    <xf numFmtId="0" fontId="11" fillId="0" borderId="12" xfId="0" applyFont="1" applyBorder="1" applyAlignment="1">
      <alignment horizontal="left" vertical="center" wrapText="1"/>
    </xf>
    <xf numFmtId="0" fontId="11" fillId="0" borderId="41" xfId="0" applyFont="1" applyBorder="1" applyAlignment="1">
      <alignment vertical="center" shrinkToFit="1"/>
    </xf>
    <xf numFmtId="0" fontId="11" fillId="0" borderId="42" xfId="0" applyFont="1" applyBorder="1" applyAlignment="1">
      <alignment vertical="center" shrinkToFit="1"/>
    </xf>
    <xf numFmtId="0" fontId="11" fillId="0" borderId="43" xfId="0" applyFont="1" applyBorder="1" applyAlignment="1">
      <alignment vertical="center" shrinkToFit="1"/>
    </xf>
    <xf numFmtId="0" fontId="11" fillId="0" borderId="22" xfId="0" applyFont="1" applyBorder="1" applyAlignment="1">
      <alignment horizontal="left" vertical="center" wrapText="1" shrinkToFit="1"/>
    </xf>
    <xf numFmtId="0" fontId="15" fillId="0" borderId="8" xfId="0" applyFont="1" applyBorder="1" applyAlignment="1">
      <alignment vertical="center" wrapText="1"/>
    </xf>
    <xf numFmtId="0" fontId="15" fillId="0" borderId="0" xfId="0" applyFont="1" applyBorder="1" applyAlignment="1">
      <alignment vertical="center" wrapText="1"/>
    </xf>
    <xf numFmtId="0" fontId="12" fillId="0" borderId="36" xfId="0" applyFont="1" applyBorder="1" applyAlignment="1">
      <alignment horizontal="left" vertical="center" wrapText="1" shrinkToFit="1"/>
    </xf>
    <xf numFmtId="0" fontId="12" fillId="0" borderId="36" xfId="0" applyFont="1" applyBorder="1" applyAlignment="1">
      <alignment horizontal="left" vertical="center" shrinkToFit="1"/>
    </xf>
    <xf numFmtId="0" fontId="12" fillId="0" borderId="35" xfId="0" applyFont="1" applyBorder="1" applyAlignment="1">
      <alignment horizontal="left" vertical="center" shrinkToFit="1"/>
    </xf>
    <xf numFmtId="0" fontId="12" fillId="0" borderId="8" xfId="0" applyFont="1" applyBorder="1" applyAlignment="1">
      <alignment horizontal="left" vertical="center" wrapText="1" shrinkToFit="1"/>
    </xf>
    <xf numFmtId="0" fontId="12" fillId="0" borderId="8" xfId="0" applyFont="1" applyBorder="1" applyAlignment="1">
      <alignment horizontal="left" vertical="center" shrinkToFit="1"/>
    </xf>
    <xf numFmtId="0" fontId="12" fillId="0" borderId="9" xfId="0" applyFont="1" applyBorder="1" applyAlignment="1">
      <alignment horizontal="left" vertical="center" shrinkToFit="1"/>
    </xf>
    <xf numFmtId="0" fontId="11" fillId="0" borderId="39" xfId="0" applyFont="1" applyBorder="1" applyAlignment="1">
      <alignment horizontal="left" vertical="center" wrapText="1" shrinkToFit="1"/>
    </xf>
    <xf numFmtId="0" fontId="14" fillId="0" borderId="8" xfId="0" applyFont="1" applyBorder="1" applyAlignment="1">
      <alignment horizontal="left" vertical="center" wrapText="1" shrinkToFit="1"/>
    </xf>
    <xf numFmtId="0" fontId="14" fillId="0" borderId="8" xfId="0" applyFont="1" applyBorder="1" applyAlignment="1">
      <alignment horizontal="left" vertical="center" shrinkToFit="1"/>
    </xf>
    <xf numFmtId="0" fontId="14" fillId="0" borderId="9" xfId="0" applyFont="1" applyBorder="1" applyAlignment="1">
      <alignment horizontal="left" vertical="center" shrinkToFit="1"/>
    </xf>
    <xf numFmtId="0" fontId="11" fillId="0" borderId="21" xfId="0" applyFont="1" applyBorder="1" applyAlignment="1">
      <alignment horizontal="left" vertical="center" wrapText="1" shrinkToFit="1"/>
    </xf>
    <xf numFmtId="0" fontId="16" fillId="0" borderId="36" xfId="0" applyFont="1" applyBorder="1" applyAlignment="1">
      <alignment vertical="center" wrapText="1" shrinkToFit="1"/>
    </xf>
    <xf numFmtId="0" fontId="16" fillId="0" borderId="36" xfId="0" applyFont="1" applyBorder="1" applyAlignment="1">
      <alignment vertical="center" shrinkToFit="1"/>
    </xf>
    <xf numFmtId="0" fontId="16" fillId="0" borderId="35" xfId="0" applyFont="1" applyBorder="1" applyAlignment="1">
      <alignment vertical="center" shrinkToFit="1"/>
    </xf>
    <xf numFmtId="0" fontId="15" fillId="0" borderId="19" xfId="0" applyFont="1" applyBorder="1" applyAlignment="1">
      <alignment vertical="center" wrapText="1" shrinkToFit="1"/>
    </xf>
    <xf numFmtId="0" fontId="15" fillId="0" borderId="20" xfId="0" applyFont="1" applyBorder="1" applyAlignment="1">
      <alignment vertical="center" shrinkToFit="1"/>
    </xf>
    <xf numFmtId="0" fontId="15" fillId="0" borderId="18" xfId="0" applyFont="1" applyBorder="1" applyAlignment="1">
      <alignment vertical="center" shrinkToFit="1"/>
    </xf>
    <xf numFmtId="0" fontId="12" fillId="0" borderId="6" xfId="0" applyFont="1" applyBorder="1" applyAlignment="1">
      <alignment vertical="center" wrapText="1" shrinkToFit="1"/>
    </xf>
    <xf numFmtId="0" fontId="12" fillId="0" borderId="6" xfId="0" applyFont="1" applyBorder="1" applyAlignment="1">
      <alignment vertical="center" shrinkToFit="1"/>
    </xf>
    <xf numFmtId="0" fontId="12" fillId="0" borderId="12" xfId="0" applyFont="1" applyBorder="1" applyAlignment="1">
      <alignment vertical="center" shrinkToFit="1"/>
    </xf>
    <xf numFmtId="0" fontId="16" fillId="0" borderId="8" xfId="0" applyFont="1" applyBorder="1" applyAlignment="1">
      <alignment horizontal="left" vertical="center" wrapText="1" shrinkToFit="1"/>
    </xf>
    <xf numFmtId="0" fontId="16" fillId="0" borderId="9" xfId="0" applyFont="1" applyBorder="1" applyAlignment="1">
      <alignment horizontal="left" vertical="center" wrapText="1" shrinkToFit="1"/>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0" xfId="0" applyFont="1" applyAlignment="1">
      <alignment vertical="center" wrapText="1"/>
    </xf>
    <xf numFmtId="0" fontId="2" fillId="0" borderId="3" xfId="0" applyFont="1" applyBorder="1" applyAlignment="1">
      <alignment horizontal="center" vertical="center"/>
    </xf>
    <xf numFmtId="0" fontId="2" fillId="0" borderId="0" xfId="0" applyFont="1" applyAlignment="1">
      <alignment horizontal="right" vertical="center"/>
    </xf>
    <xf numFmtId="0" fontId="6" fillId="0" borderId="0" xfId="0" applyFont="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3" fillId="0" borderId="45" xfId="0" applyFont="1" applyBorder="1" applyAlignment="1">
      <alignment vertical="center" wrapText="1"/>
    </xf>
    <xf numFmtId="0" fontId="3" fillId="0" borderId="31" xfId="0" applyFont="1" applyBorder="1" applyAlignment="1">
      <alignment vertical="center" wrapTex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3" fillId="0" borderId="46" xfId="0" applyFont="1" applyBorder="1" applyAlignment="1">
      <alignment vertical="center" wrapTex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3" fillId="0" borderId="36" xfId="0" applyFont="1" applyBorder="1" applyAlignment="1">
      <alignment vertical="center" wrapText="1" shrinkToFit="1"/>
    </xf>
    <xf numFmtId="0" fontId="3" fillId="0" borderId="35" xfId="0" applyFont="1" applyBorder="1" applyAlignment="1">
      <alignment vertical="center" wrapText="1" shrinkToFit="1"/>
    </xf>
    <xf numFmtId="0" fontId="2" fillId="0" borderId="19" xfId="0" applyFont="1" applyBorder="1" applyAlignment="1">
      <alignment vertical="center" wrapText="1" shrinkToFit="1"/>
    </xf>
    <xf numFmtId="0" fontId="2" fillId="0" borderId="20" xfId="0" applyFont="1" applyBorder="1" applyAlignment="1">
      <alignment vertical="center" wrapText="1" shrinkToFit="1"/>
    </xf>
    <xf numFmtId="0" fontId="2" fillId="0" borderId="18" xfId="0" applyFont="1" applyBorder="1" applyAlignment="1">
      <alignment vertical="center" wrapText="1" shrinkToFit="1"/>
    </xf>
    <xf numFmtId="0" fontId="2" fillId="0" borderId="6" xfId="0" applyFont="1" applyBorder="1" applyAlignment="1">
      <alignment vertical="center" wrapText="1" shrinkToFit="1"/>
    </xf>
    <xf numFmtId="0" fontId="2" fillId="0" borderId="12" xfId="0" applyFont="1" applyBorder="1" applyAlignment="1">
      <alignment vertical="center" wrapText="1" shrinkToFit="1"/>
    </xf>
    <xf numFmtId="0" fontId="7" fillId="0" borderId="2" xfId="0" applyFont="1" applyBorder="1" applyAlignment="1">
      <alignment vertical="center" wrapText="1" shrinkToFit="1"/>
    </xf>
    <xf numFmtId="0" fontId="7" fillId="0" borderId="3" xfId="0" applyFont="1" applyBorder="1" applyAlignment="1">
      <alignment vertical="center" wrapText="1" shrinkToFit="1"/>
    </xf>
    <xf numFmtId="0" fontId="7" fillId="0" borderId="4" xfId="0" applyFont="1" applyBorder="1" applyAlignment="1">
      <alignment vertical="center" wrapText="1" shrinkToFit="1"/>
    </xf>
    <xf numFmtId="0" fontId="2" fillId="0" borderId="35" xfId="0" applyFont="1" applyBorder="1" applyAlignment="1">
      <alignment horizontal="left" vertical="center" wrapText="1" shrinkToFit="1"/>
    </xf>
    <xf numFmtId="0" fontId="2" fillId="0" borderId="6" xfId="0" applyFont="1" applyBorder="1" applyAlignment="1">
      <alignment horizontal="left" vertical="center" wrapText="1" shrinkToFit="1"/>
    </xf>
    <xf numFmtId="0" fontId="2" fillId="0" borderId="12" xfId="0" applyFont="1" applyBorder="1" applyAlignment="1">
      <alignment horizontal="left" vertical="center" wrapText="1" shrinkToFit="1"/>
    </xf>
    <xf numFmtId="0" fontId="2" fillId="0" borderId="9" xfId="0" applyFont="1" applyBorder="1" applyAlignment="1">
      <alignment horizontal="left" vertical="center" wrapText="1" shrinkToFi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7" fillId="0" borderId="19" xfId="0" applyFont="1" applyBorder="1" applyAlignment="1">
      <alignment vertical="top" wrapText="1" shrinkToFit="1"/>
    </xf>
    <xf numFmtId="0" fontId="7" fillId="0" borderId="20" xfId="0" applyFont="1" applyBorder="1" applyAlignment="1">
      <alignment vertical="top" wrapText="1" shrinkToFit="1"/>
    </xf>
    <xf numFmtId="0" fontId="7" fillId="0" borderId="18" xfId="0" applyFont="1" applyBorder="1" applyAlignment="1">
      <alignment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cellXfs>
  <cellStyles count="3">
    <cellStyle name="パーセント" xfId="1" builtinId="5"/>
    <cellStyle name="桁区切り" xfId="2" builtinId="6"/>
    <cellStyle name="標準" xfId="0" builtinId="0"/>
  </cellStyles>
  <dxfs count="4">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view="pageBreakPreview" zoomScaleNormal="100" zoomScaleSheetLayoutView="100" workbookViewId="0">
      <selection activeCell="B13" sqref="B13:S18"/>
    </sheetView>
  </sheetViews>
  <sheetFormatPr defaultColWidth="9" defaultRowHeight="18.75" customHeight="1" x14ac:dyDescent="0.15"/>
  <cols>
    <col min="1" max="1" width="2.5" style="88" customWidth="1"/>
    <col min="2" max="2" width="16.5" style="88" customWidth="1"/>
    <col min="3" max="19" width="5.625" style="88" customWidth="1"/>
    <col min="20" max="20" width="9" style="88"/>
    <col min="21" max="21" width="3.625" style="88" customWidth="1"/>
    <col min="22" max="22" width="48.625" style="88" hidden="1" customWidth="1"/>
    <col min="23" max="16384" width="9" style="88"/>
  </cols>
  <sheetData>
    <row r="1" spans="1:22" ht="18.600000000000001" customHeight="1" x14ac:dyDescent="0.15">
      <c r="R1" s="167" t="s">
        <v>132</v>
      </c>
      <c r="S1" s="167"/>
      <c r="T1" s="89" t="s">
        <v>109</v>
      </c>
    </row>
    <row r="2" spans="1:22" ht="18.75" customHeight="1" x14ac:dyDescent="0.15">
      <c r="B2" s="90" t="s">
        <v>108</v>
      </c>
      <c r="C2" s="122" t="s">
        <v>126</v>
      </c>
      <c r="D2" s="123"/>
      <c r="E2" s="123"/>
      <c r="F2" s="123"/>
      <c r="G2" s="123"/>
      <c r="H2" s="123"/>
      <c r="I2" s="124"/>
      <c r="J2" s="91"/>
      <c r="K2" s="92"/>
      <c r="L2" s="92"/>
      <c r="M2" s="92"/>
      <c r="N2" s="92"/>
      <c r="O2" s="92"/>
      <c r="P2" s="92"/>
      <c r="Q2" s="92"/>
      <c r="R2" s="92"/>
      <c r="S2" s="92"/>
    </row>
    <row r="3" spans="1:22" ht="18.75" customHeight="1" x14ac:dyDescent="0.15">
      <c r="B3" s="90" t="s">
        <v>102</v>
      </c>
      <c r="C3" s="122" t="s">
        <v>127</v>
      </c>
      <c r="D3" s="123"/>
      <c r="E3" s="123"/>
      <c r="F3" s="123"/>
      <c r="G3" s="123"/>
      <c r="H3" s="123"/>
      <c r="I3" s="124"/>
      <c r="J3" s="91"/>
      <c r="K3" s="92"/>
      <c r="L3" s="92"/>
      <c r="M3" s="92"/>
      <c r="N3" s="92"/>
      <c r="O3" s="92"/>
      <c r="P3" s="92"/>
      <c r="Q3" s="92"/>
      <c r="R3" s="92"/>
      <c r="S3" s="92"/>
    </row>
    <row r="4" spans="1:22" ht="15" customHeight="1" x14ac:dyDescent="0.15">
      <c r="K4" s="91"/>
      <c r="L4" s="93"/>
      <c r="M4" s="93"/>
      <c r="N4" s="93"/>
      <c r="O4" s="93"/>
      <c r="P4" s="93"/>
      <c r="Q4" s="93"/>
      <c r="R4" s="93"/>
      <c r="S4" s="93"/>
    </row>
    <row r="5" spans="1:22" ht="18" customHeight="1" x14ac:dyDescent="0.15">
      <c r="A5" s="171" t="s">
        <v>38</v>
      </c>
      <c r="B5" s="171"/>
      <c r="C5" s="171"/>
      <c r="D5" s="171"/>
      <c r="E5" s="171"/>
      <c r="F5" s="171"/>
      <c r="G5" s="171"/>
      <c r="H5" s="171"/>
      <c r="I5" s="171"/>
      <c r="J5" s="171"/>
      <c r="K5" s="171"/>
      <c r="L5" s="171"/>
      <c r="M5" s="171"/>
      <c r="N5" s="171"/>
      <c r="O5" s="171"/>
      <c r="P5" s="171"/>
      <c r="Q5" s="171"/>
      <c r="R5" s="171"/>
      <c r="S5" s="171"/>
    </row>
    <row r="6" spans="1:22" ht="15" customHeight="1" x14ac:dyDescent="0.15">
      <c r="B6" s="94"/>
      <c r="C6" s="94"/>
      <c r="D6" s="94"/>
      <c r="E6" s="94"/>
      <c r="F6" s="94"/>
      <c r="G6" s="94"/>
      <c r="H6" s="94"/>
      <c r="I6" s="94"/>
      <c r="J6" s="94"/>
      <c r="K6" s="94"/>
      <c r="L6" s="94"/>
      <c r="M6" s="94"/>
      <c r="N6" s="94"/>
      <c r="O6" s="94"/>
      <c r="P6" s="94"/>
      <c r="Q6" s="94"/>
      <c r="R6" s="94"/>
      <c r="S6" s="94"/>
    </row>
    <row r="7" spans="1:22" ht="18" customHeight="1" x14ac:dyDescent="0.15">
      <c r="A7" s="88" t="s">
        <v>124</v>
      </c>
      <c r="C7" s="94"/>
      <c r="J7" s="95" t="s">
        <v>107</v>
      </c>
      <c r="K7" s="181" t="s">
        <v>128</v>
      </c>
      <c r="L7" s="182"/>
      <c r="M7" s="182"/>
      <c r="N7" s="182"/>
      <c r="O7" s="182"/>
      <c r="P7" s="182"/>
      <c r="Q7" s="182"/>
      <c r="R7" s="182"/>
      <c r="S7" s="183"/>
    </row>
    <row r="8" spans="1:22" ht="6" customHeight="1" x14ac:dyDescent="0.15">
      <c r="B8" s="94"/>
      <c r="C8" s="94"/>
      <c r="D8" s="94"/>
      <c r="E8" s="94"/>
      <c r="F8" s="94"/>
      <c r="G8" s="94"/>
      <c r="H8" s="94"/>
      <c r="I8" s="94"/>
      <c r="J8" s="94"/>
      <c r="K8" s="96"/>
      <c r="L8" s="94"/>
      <c r="M8" s="94"/>
      <c r="N8" s="94"/>
      <c r="O8" s="94"/>
      <c r="P8" s="94"/>
      <c r="Q8" s="94"/>
      <c r="R8" s="94"/>
      <c r="S8" s="94"/>
    </row>
    <row r="9" spans="1:22" ht="18" customHeight="1" x14ac:dyDescent="0.15">
      <c r="B9" s="184" t="s">
        <v>220</v>
      </c>
      <c r="C9" s="185"/>
      <c r="D9" s="185"/>
      <c r="E9" s="185"/>
      <c r="F9" s="185"/>
      <c r="G9" s="185"/>
      <c r="H9" s="185"/>
      <c r="I9" s="185"/>
      <c r="J9" s="185"/>
      <c r="K9" s="185"/>
      <c r="L9" s="185"/>
      <c r="M9" s="185"/>
      <c r="N9" s="185"/>
      <c r="O9" s="185"/>
      <c r="P9" s="185"/>
      <c r="Q9" s="185"/>
      <c r="R9" s="185"/>
      <c r="S9" s="186"/>
    </row>
    <row r="10" spans="1:22" ht="18" customHeight="1" x14ac:dyDescent="0.15">
      <c r="B10" s="187"/>
      <c r="C10" s="188"/>
      <c r="D10" s="188"/>
      <c r="E10" s="188"/>
      <c r="F10" s="188"/>
      <c r="G10" s="188"/>
      <c r="H10" s="188"/>
      <c r="I10" s="188"/>
      <c r="J10" s="188"/>
      <c r="K10" s="188"/>
      <c r="L10" s="188"/>
      <c r="M10" s="188"/>
      <c r="N10" s="188"/>
      <c r="O10" s="188"/>
      <c r="P10" s="188"/>
      <c r="Q10" s="188"/>
      <c r="R10" s="188"/>
      <c r="S10" s="189"/>
    </row>
    <row r="11" spans="1:22" ht="6" customHeight="1" x14ac:dyDescent="0.15">
      <c r="B11" s="94"/>
      <c r="C11" s="94"/>
      <c r="D11" s="94"/>
      <c r="E11" s="94"/>
      <c r="F11" s="94"/>
      <c r="G11" s="94"/>
      <c r="H11" s="94"/>
      <c r="I11" s="94"/>
      <c r="J11" s="94"/>
      <c r="K11" s="96"/>
      <c r="L11" s="94"/>
      <c r="M11" s="94"/>
      <c r="N11" s="94"/>
      <c r="O11" s="94"/>
      <c r="P11" s="94"/>
      <c r="Q11" s="94"/>
      <c r="R11" s="94"/>
      <c r="S11" s="94"/>
    </row>
    <row r="12" spans="1:22" ht="18" customHeight="1" x14ac:dyDescent="0.15">
      <c r="A12" s="88" t="s">
        <v>111</v>
      </c>
      <c r="B12" s="94"/>
      <c r="C12" s="94"/>
      <c r="D12" s="91"/>
      <c r="E12" s="91"/>
      <c r="F12" s="91"/>
      <c r="G12" s="91"/>
      <c r="H12" s="91"/>
      <c r="I12" s="91"/>
      <c r="J12" s="91"/>
      <c r="K12" s="97"/>
      <c r="L12" s="97"/>
      <c r="M12" s="97"/>
      <c r="N12" s="97"/>
      <c r="O12" s="97"/>
      <c r="P12" s="97"/>
      <c r="Q12" s="97"/>
      <c r="R12" s="97"/>
      <c r="S12" s="97"/>
    </row>
    <row r="13" spans="1:22" ht="18" customHeight="1" x14ac:dyDescent="0.15">
      <c r="B13" s="172" t="s">
        <v>129</v>
      </c>
      <c r="C13" s="173"/>
      <c r="D13" s="173"/>
      <c r="E13" s="173"/>
      <c r="F13" s="173"/>
      <c r="G13" s="173"/>
      <c r="H13" s="173"/>
      <c r="I13" s="173"/>
      <c r="J13" s="173"/>
      <c r="K13" s="173"/>
      <c r="L13" s="173"/>
      <c r="M13" s="173"/>
      <c r="N13" s="173"/>
      <c r="O13" s="173"/>
      <c r="P13" s="173"/>
      <c r="Q13" s="173"/>
      <c r="R13" s="173"/>
      <c r="S13" s="174"/>
      <c r="V13" s="88" t="s">
        <v>103</v>
      </c>
    </row>
    <row r="14" spans="1:22" ht="18" customHeight="1" x14ac:dyDescent="0.15">
      <c r="B14" s="175"/>
      <c r="C14" s="176"/>
      <c r="D14" s="176"/>
      <c r="E14" s="176"/>
      <c r="F14" s="176"/>
      <c r="G14" s="176"/>
      <c r="H14" s="176"/>
      <c r="I14" s="176"/>
      <c r="J14" s="176"/>
      <c r="K14" s="176"/>
      <c r="L14" s="176"/>
      <c r="M14" s="176"/>
      <c r="N14" s="176"/>
      <c r="O14" s="176"/>
      <c r="P14" s="176"/>
      <c r="Q14" s="176"/>
      <c r="R14" s="176"/>
      <c r="S14" s="177"/>
      <c r="V14" s="88" t="s">
        <v>110</v>
      </c>
    </row>
    <row r="15" spans="1:22" ht="18" customHeight="1" x14ac:dyDescent="0.15">
      <c r="B15" s="175"/>
      <c r="C15" s="176"/>
      <c r="D15" s="176"/>
      <c r="E15" s="176"/>
      <c r="F15" s="176"/>
      <c r="G15" s="176"/>
      <c r="H15" s="176"/>
      <c r="I15" s="176"/>
      <c r="J15" s="176"/>
      <c r="K15" s="176"/>
      <c r="L15" s="176"/>
      <c r="M15" s="176"/>
      <c r="N15" s="176"/>
      <c r="O15" s="176"/>
      <c r="P15" s="176"/>
      <c r="Q15" s="176"/>
      <c r="R15" s="176"/>
      <c r="S15" s="177"/>
      <c r="V15" s="88" t="s">
        <v>123</v>
      </c>
    </row>
    <row r="16" spans="1:22" ht="18" customHeight="1" x14ac:dyDescent="0.15">
      <c r="B16" s="175"/>
      <c r="C16" s="176"/>
      <c r="D16" s="176"/>
      <c r="E16" s="176"/>
      <c r="F16" s="176"/>
      <c r="G16" s="176"/>
      <c r="H16" s="176"/>
      <c r="I16" s="176"/>
      <c r="J16" s="176"/>
      <c r="K16" s="176"/>
      <c r="L16" s="176"/>
      <c r="M16" s="176"/>
      <c r="N16" s="176"/>
      <c r="O16" s="176"/>
      <c r="P16" s="176"/>
      <c r="Q16" s="176"/>
      <c r="R16" s="176"/>
      <c r="S16" s="177"/>
      <c r="V16" s="88" t="s">
        <v>125</v>
      </c>
    </row>
    <row r="17" spans="1:19" ht="18" customHeight="1" x14ac:dyDescent="0.15">
      <c r="B17" s="175"/>
      <c r="C17" s="176"/>
      <c r="D17" s="176"/>
      <c r="E17" s="176"/>
      <c r="F17" s="176"/>
      <c r="G17" s="176"/>
      <c r="H17" s="176"/>
      <c r="I17" s="176"/>
      <c r="J17" s="176"/>
      <c r="K17" s="176"/>
      <c r="L17" s="176"/>
      <c r="M17" s="176"/>
      <c r="N17" s="176"/>
      <c r="O17" s="176"/>
      <c r="P17" s="176"/>
      <c r="Q17" s="176"/>
      <c r="R17" s="176"/>
      <c r="S17" s="177"/>
    </row>
    <row r="18" spans="1:19" ht="18" customHeight="1" x14ac:dyDescent="0.15">
      <c r="B18" s="178"/>
      <c r="C18" s="179"/>
      <c r="D18" s="179"/>
      <c r="E18" s="179"/>
      <c r="F18" s="179"/>
      <c r="G18" s="179"/>
      <c r="H18" s="179"/>
      <c r="I18" s="179"/>
      <c r="J18" s="179"/>
      <c r="K18" s="179"/>
      <c r="L18" s="179"/>
      <c r="M18" s="179"/>
      <c r="N18" s="179"/>
      <c r="O18" s="179"/>
      <c r="P18" s="179"/>
      <c r="Q18" s="179"/>
      <c r="R18" s="179"/>
      <c r="S18" s="180"/>
    </row>
    <row r="19" spans="1:19" ht="7.5" customHeight="1" x14ac:dyDescent="0.15">
      <c r="B19" s="94"/>
      <c r="C19" s="94"/>
      <c r="D19" s="94"/>
      <c r="E19" s="94"/>
      <c r="F19" s="94"/>
      <c r="G19" s="94"/>
      <c r="H19" s="94"/>
      <c r="I19" s="94"/>
      <c r="J19" s="94"/>
      <c r="K19" s="94"/>
      <c r="L19" s="94"/>
      <c r="M19" s="94"/>
      <c r="N19" s="94"/>
      <c r="O19" s="94"/>
      <c r="P19" s="94"/>
      <c r="Q19" s="94"/>
      <c r="R19" s="94"/>
      <c r="S19" s="94"/>
    </row>
    <row r="20" spans="1:19" ht="19.899999999999999" customHeight="1" x14ac:dyDescent="0.15">
      <c r="B20" s="88" t="s">
        <v>112</v>
      </c>
      <c r="C20" s="122">
        <v>2</v>
      </c>
      <c r="D20" s="124"/>
      <c r="E20" s="98" t="s">
        <v>95</v>
      </c>
      <c r="G20" s="96"/>
      <c r="H20" s="94"/>
      <c r="I20" s="94"/>
      <c r="J20" s="91" t="s">
        <v>121</v>
      </c>
      <c r="K20" s="168" t="s">
        <v>125</v>
      </c>
      <c r="L20" s="169"/>
      <c r="M20" s="169"/>
      <c r="N20" s="169"/>
      <c r="O20" s="169"/>
      <c r="P20" s="169"/>
      <c r="Q20" s="169"/>
      <c r="R20" s="169"/>
      <c r="S20" s="170"/>
    </row>
    <row r="21" spans="1:19" ht="7.5" customHeight="1" x14ac:dyDescent="0.15">
      <c r="B21" s="94"/>
      <c r="C21" s="94"/>
      <c r="D21" s="94"/>
      <c r="E21" s="94"/>
      <c r="F21" s="94"/>
      <c r="G21" s="94"/>
      <c r="H21" s="94"/>
      <c r="I21" s="94"/>
      <c r="J21" s="94"/>
      <c r="K21" s="94"/>
      <c r="L21" s="94"/>
      <c r="M21" s="94"/>
      <c r="N21" s="94"/>
      <c r="O21" s="94"/>
      <c r="P21" s="94"/>
      <c r="Q21" s="94"/>
      <c r="R21" s="94"/>
      <c r="S21" s="94"/>
    </row>
    <row r="22" spans="1:19" ht="18" customHeight="1" x14ac:dyDescent="0.15">
      <c r="A22" s="128" t="s">
        <v>113</v>
      </c>
      <c r="B22" s="128"/>
      <c r="C22" s="128"/>
      <c r="D22" s="128"/>
      <c r="E22" s="128"/>
      <c r="F22" s="128"/>
      <c r="G22" s="128"/>
      <c r="H22" s="128"/>
      <c r="I22" s="128"/>
      <c r="J22" s="128"/>
      <c r="K22" s="128"/>
      <c r="L22" s="128"/>
      <c r="M22" s="128"/>
      <c r="N22" s="128"/>
      <c r="O22" s="128"/>
      <c r="P22" s="128"/>
      <c r="Q22" s="128"/>
      <c r="R22" s="128"/>
      <c r="S22" s="128"/>
    </row>
    <row r="23" spans="1:19" ht="18" customHeight="1" x14ac:dyDescent="0.15">
      <c r="A23" s="128"/>
      <c r="B23" s="128"/>
      <c r="C23" s="128"/>
      <c r="D23" s="128"/>
      <c r="E23" s="128"/>
      <c r="F23" s="128"/>
      <c r="G23" s="128"/>
      <c r="H23" s="128"/>
      <c r="I23" s="128"/>
      <c r="J23" s="128"/>
      <c r="K23" s="128"/>
      <c r="L23" s="128"/>
      <c r="M23" s="128"/>
      <c r="N23" s="128"/>
      <c r="O23" s="128"/>
      <c r="P23" s="128"/>
      <c r="Q23" s="128"/>
      <c r="R23" s="128"/>
      <c r="S23" s="128"/>
    </row>
    <row r="24" spans="1:19" ht="18" customHeight="1" x14ac:dyDescent="0.15">
      <c r="B24" s="122" t="s">
        <v>53</v>
      </c>
      <c r="C24" s="123"/>
      <c r="D24" s="123"/>
      <c r="E24" s="124"/>
      <c r="F24" s="99" t="s">
        <v>80</v>
      </c>
      <c r="G24" s="100" t="s">
        <v>84</v>
      </c>
      <c r="H24" s="101" t="s">
        <v>56</v>
      </c>
      <c r="I24" s="101" t="s">
        <v>59</v>
      </c>
      <c r="J24" s="122" t="s">
        <v>53</v>
      </c>
      <c r="K24" s="123"/>
      <c r="L24" s="123"/>
      <c r="M24" s="123"/>
      <c r="N24" s="123"/>
      <c r="O24" s="124"/>
      <c r="P24" s="99" t="s">
        <v>80</v>
      </c>
      <c r="Q24" s="100" t="s">
        <v>84</v>
      </c>
      <c r="R24" s="101" t="s">
        <v>56</v>
      </c>
      <c r="S24" s="101" t="s">
        <v>59</v>
      </c>
    </row>
    <row r="25" spans="1:19" ht="18" customHeight="1" x14ac:dyDescent="0.15">
      <c r="B25" s="116" t="s">
        <v>130</v>
      </c>
      <c r="C25" s="117"/>
      <c r="D25" s="117"/>
      <c r="E25" s="118"/>
      <c r="F25" s="102">
        <v>2</v>
      </c>
      <c r="G25" s="102" t="s">
        <v>131</v>
      </c>
      <c r="H25" s="102" t="s">
        <v>131</v>
      </c>
      <c r="I25" s="102" t="s">
        <v>131</v>
      </c>
      <c r="J25" s="116"/>
      <c r="K25" s="117"/>
      <c r="L25" s="117"/>
      <c r="M25" s="117"/>
      <c r="N25" s="117"/>
      <c r="O25" s="118"/>
      <c r="P25" s="102"/>
      <c r="Q25" s="102"/>
      <c r="R25" s="102"/>
      <c r="S25" s="102"/>
    </row>
    <row r="26" spans="1:19" ht="18" customHeight="1" x14ac:dyDescent="0.15">
      <c r="B26" s="119"/>
      <c r="C26" s="120"/>
      <c r="D26" s="120"/>
      <c r="E26" s="121"/>
      <c r="F26" s="103"/>
      <c r="G26" s="103"/>
      <c r="H26" s="103"/>
      <c r="I26" s="103"/>
      <c r="J26" s="119"/>
      <c r="K26" s="120"/>
      <c r="L26" s="120"/>
      <c r="M26" s="120"/>
      <c r="N26" s="120"/>
      <c r="O26" s="121"/>
      <c r="P26" s="103"/>
      <c r="Q26" s="103"/>
      <c r="R26" s="103"/>
      <c r="S26" s="103"/>
    </row>
    <row r="27" spans="1:19" ht="18" customHeight="1" x14ac:dyDescent="0.15">
      <c r="B27" s="119"/>
      <c r="C27" s="120"/>
      <c r="D27" s="120"/>
      <c r="E27" s="121"/>
      <c r="F27" s="103"/>
      <c r="G27" s="103"/>
      <c r="H27" s="103"/>
      <c r="I27" s="103"/>
      <c r="J27" s="119"/>
      <c r="K27" s="120"/>
      <c r="L27" s="120"/>
      <c r="M27" s="120"/>
      <c r="N27" s="120"/>
      <c r="O27" s="121"/>
      <c r="P27" s="103"/>
      <c r="Q27" s="103"/>
      <c r="R27" s="103"/>
      <c r="S27" s="103"/>
    </row>
    <row r="28" spans="1:19" ht="18" customHeight="1" x14ac:dyDescent="0.15">
      <c r="B28" s="119"/>
      <c r="C28" s="120"/>
      <c r="D28" s="120"/>
      <c r="E28" s="121"/>
      <c r="F28" s="103"/>
      <c r="G28" s="103"/>
      <c r="H28" s="103"/>
      <c r="I28" s="103"/>
      <c r="J28" s="119"/>
      <c r="K28" s="120"/>
      <c r="L28" s="120"/>
      <c r="M28" s="120"/>
      <c r="N28" s="120"/>
      <c r="O28" s="121"/>
      <c r="P28" s="103"/>
      <c r="Q28" s="103"/>
      <c r="R28" s="103"/>
      <c r="S28" s="103"/>
    </row>
    <row r="29" spans="1:19" ht="18" customHeight="1" x14ac:dyDescent="0.15">
      <c r="B29" s="119"/>
      <c r="C29" s="120"/>
      <c r="D29" s="120"/>
      <c r="E29" s="121"/>
      <c r="F29" s="103"/>
      <c r="G29" s="103"/>
      <c r="H29" s="103"/>
      <c r="I29" s="103"/>
      <c r="J29" s="119"/>
      <c r="K29" s="120"/>
      <c r="L29" s="120"/>
      <c r="M29" s="120"/>
      <c r="N29" s="120"/>
      <c r="O29" s="121"/>
      <c r="P29" s="103"/>
      <c r="Q29" s="103"/>
      <c r="R29" s="103"/>
      <c r="S29" s="103"/>
    </row>
    <row r="30" spans="1:19" ht="18" customHeight="1" x14ac:dyDescent="0.15">
      <c r="A30" s="94"/>
      <c r="B30" s="119"/>
      <c r="C30" s="120"/>
      <c r="D30" s="120"/>
      <c r="E30" s="121"/>
      <c r="F30" s="103"/>
      <c r="G30" s="103"/>
      <c r="H30" s="103"/>
      <c r="I30" s="103"/>
      <c r="J30" s="119"/>
      <c r="K30" s="120"/>
      <c r="L30" s="120"/>
      <c r="M30" s="120"/>
      <c r="N30" s="120"/>
      <c r="O30" s="121"/>
      <c r="P30" s="103"/>
      <c r="Q30" s="103"/>
      <c r="R30" s="103"/>
      <c r="S30" s="103"/>
    </row>
    <row r="31" spans="1:19" ht="18" customHeight="1" x14ac:dyDescent="0.15">
      <c r="A31" s="94"/>
      <c r="B31" s="125"/>
      <c r="C31" s="126"/>
      <c r="D31" s="126"/>
      <c r="E31" s="127"/>
      <c r="F31" s="104"/>
      <c r="G31" s="104"/>
      <c r="H31" s="105"/>
      <c r="I31" s="105"/>
      <c r="J31" s="125"/>
      <c r="K31" s="126"/>
      <c r="L31" s="126"/>
      <c r="M31" s="126"/>
      <c r="N31" s="126"/>
      <c r="O31" s="127"/>
      <c r="P31" s="104"/>
      <c r="Q31" s="104"/>
      <c r="R31" s="105"/>
      <c r="S31" s="105"/>
    </row>
    <row r="32" spans="1:19" ht="7.5" customHeight="1" x14ac:dyDescent="0.15">
      <c r="A32" s="94"/>
      <c r="B32" s="92"/>
      <c r="C32" s="92"/>
      <c r="D32" s="94"/>
      <c r="E32" s="94"/>
      <c r="F32" s="94"/>
      <c r="G32" s="94"/>
      <c r="H32" s="92"/>
      <c r="I32" s="92"/>
      <c r="J32" s="92"/>
      <c r="K32" s="92"/>
      <c r="L32" s="92"/>
      <c r="M32" s="92"/>
      <c r="N32" s="92"/>
      <c r="O32" s="92"/>
      <c r="P32" s="92"/>
      <c r="Q32" s="92"/>
      <c r="R32" s="92"/>
      <c r="S32" s="94"/>
    </row>
    <row r="33" spans="1:19" ht="18" customHeight="1" x14ac:dyDescent="0.15">
      <c r="A33" s="128" t="s">
        <v>114</v>
      </c>
      <c r="B33" s="128"/>
      <c r="C33" s="128"/>
      <c r="D33" s="128"/>
      <c r="E33" s="128"/>
      <c r="F33" s="128"/>
      <c r="G33" s="128"/>
      <c r="H33" s="128"/>
      <c r="I33" s="128"/>
      <c r="J33" s="128"/>
      <c r="K33" s="128"/>
      <c r="L33" s="128"/>
      <c r="M33" s="128"/>
      <c r="N33" s="128"/>
      <c r="O33" s="128"/>
      <c r="P33" s="128"/>
      <c r="Q33" s="128"/>
      <c r="R33" s="128"/>
      <c r="S33" s="128"/>
    </row>
    <row r="34" spans="1:19" ht="18" customHeight="1" x14ac:dyDescent="0.15">
      <c r="A34" s="128"/>
      <c r="B34" s="128"/>
      <c r="C34" s="128"/>
      <c r="D34" s="128"/>
      <c r="E34" s="128"/>
      <c r="F34" s="128"/>
      <c r="G34" s="128"/>
      <c r="H34" s="128"/>
      <c r="I34" s="128"/>
      <c r="J34" s="128"/>
      <c r="K34" s="128"/>
      <c r="L34" s="128"/>
      <c r="M34" s="128"/>
      <c r="N34" s="128"/>
      <c r="O34" s="128"/>
      <c r="P34" s="128"/>
      <c r="Q34" s="128"/>
      <c r="R34" s="128"/>
      <c r="S34" s="128"/>
    </row>
    <row r="35" spans="1:19" ht="18" customHeight="1" x14ac:dyDescent="0.15">
      <c r="B35" s="122" t="s">
        <v>53</v>
      </c>
      <c r="C35" s="123"/>
      <c r="D35" s="123"/>
      <c r="E35" s="124"/>
      <c r="F35" s="99" t="s">
        <v>80</v>
      </c>
      <c r="G35" s="100" t="s">
        <v>84</v>
      </c>
      <c r="H35" s="101" t="s">
        <v>71</v>
      </c>
      <c r="I35" s="101" t="s">
        <v>72</v>
      </c>
      <c r="J35" s="122" t="s">
        <v>53</v>
      </c>
      <c r="K35" s="123"/>
      <c r="L35" s="123"/>
      <c r="M35" s="123"/>
      <c r="N35" s="123"/>
      <c r="O35" s="124"/>
      <c r="P35" s="99" t="s">
        <v>80</v>
      </c>
      <c r="Q35" s="100" t="s">
        <v>84</v>
      </c>
      <c r="R35" s="101" t="s">
        <v>71</v>
      </c>
      <c r="S35" s="101" t="s">
        <v>72</v>
      </c>
    </row>
    <row r="36" spans="1:19" ht="18" customHeight="1" x14ac:dyDescent="0.15">
      <c r="B36" s="116" t="s">
        <v>130</v>
      </c>
      <c r="C36" s="117"/>
      <c r="D36" s="117"/>
      <c r="E36" s="118"/>
      <c r="F36" s="102">
        <v>2</v>
      </c>
      <c r="G36" s="102" t="s">
        <v>131</v>
      </c>
      <c r="H36" s="102" t="s">
        <v>131</v>
      </c>
      <c r="I36" s="102" t="s">
        <v>131</v>
      </c>
      <c r="J36" s="116"/>
      <c r="K36" s="117"/>
      <c r="L36" s="117"/>
      <c r="M36" s="117"/>
      <c r="N36" s="117"/>
      <c r="O36" s="118"/>
      <c r="P36" s="102"/>
      <c r="Q36" s="102"/>
      <c r="R36" s="102"/>
      <c r="S36" s="102"/>
    </row>
    <row r="37" spans="1:19" ht="18" customHeight="1" x14ac:dyDescent="0.15">
      <c r="B37" s="119"/>
      <c r="C37" s="120"/>
      <c r="D37" s="120"/>
      <c r="E37" s="121"/>
      <c r="F37" s="103"/>
      <c r="G37" s="103"/>
      <c r="H37" s="103"/>
      <c r="I37" s="103"/>
      <c r="J37" s="119"/>
      <c r="K37" s="120"/>
      <c r="L37" s="120"/>
      <c r="M37" s="120"/>
      <c r="N37" s="120"/>
      <c r="O37" s="121"/>
      <c r="P37" s="103"/>
      <c r="Q37" s="103"/>
      <c r="R37" s="103"/>
      <c r="S37" s="103"/>
    </row>
    <row r="38" spans="1:19" ht="18" customHeight="1" x14ac:dyDescent="0.15">
      <c r="B38" s="119"/>
      <c r="C38" s="120"/>
      <c r="D38" s="120"/>
      <c r="E38" s="121"/>
      <c r="F38" s="103"/>
      <c r="G38" s="103"/>
      <c r="H38" s="103"/>
      <c r="I38" s="103"/>
      <c r="J38" s="119"/>
      <c r="K38" s="120"/>
      <c r="L38" s="120"/>
      <c r="M38" s="120"/>
      <c r="N38" s="120"/>
      <c r="O38" s="121"/>
      <c r="P38" s="103"/>
      <c r="Q38" s="103"/>
      <c r="R38" s="103"/>
      <c r="S38" s="103"/>
    </row>
    <row r="39" spans="1:19" ht="18" customHeight="1" x14ac:dyDescent="0.15">
      <c r="B39" s="119"/>
      <c r="C39" s="120"/>
      <c r="D39" s="120"/>
      <c r="E39" s="121"/>
      <c r="F39" s="103"/>
      <c r="G39" s="103"/>
      <c r="H39" s="103"/>
      <c r="I39" s="103"/>
      <c r="J39" s="119"/>
      <c r="K39" s="120"/>
      <c r="L39" s="120"/>
      <c r="M39" s="120"/>
      <c r="N39" s="120"/>
      <c r="O39" s="121"/>
      <c r="P39" s="103"/>
      <c r="Q39" s="103"/>
      <c r="R39" s="103"/>
      <c r="S39" s="103"/>
    </row>
    <row r="40" spans="1:19" ht="18" customHeight="1" x14ac:dyDescent="0.15">
      <c r="B40" s="119"/>
      <c r="C40" s="120"/>
      <c r="D40" s="120"/>
      <c r="E40" s="121"/>
      <c r="F40" s="103"/>
      <c r="G40" s="103"/>
      <c r="H40" s="103"/>
      <c r="I40" s="103"/>
      <c r="J40" s="119"/>
      <c r="K40" s="120"/>
      <c r="L40" s="120"/>
      <c r="M40" s="120"/>
      <c r="N40" s="120"/>
      <c r="O40" s="121"/>
      <c r="P40" s="103"/>
      <c r="Q40" s="103"/>
      <c r="R40" s="103"/>
      <c r="S40" s="103"/>
    </row>
    <row r="41" spans="1:19" ht="18" customHeight="1" x14ac:dyDescent="0.15">
      <c r="B41" s="119"/>
      <c r="C41" s="120"/>
      <c r="D41" s="120"/>
      <c r="E41" s="121"/>
      <c r="F41" s="103"/>
      <c r="G41" s="103"/>
      <c r="H41" s="103"/>
      <c r="I41" s="103"/>
      <c r="J41" s="119"/>
      <c r="K41" s="120"/>
      <c r="L41" s="120"/>
      <c r="M41" s="120"/>
      <c r="N41" s="120"/>
      <c r="O41" s="121"/>
      <c r="P41" s="103"/>
      <c r="Q41" s="103"/>
      <c r="R41" s="103"/>
      <c r="S41" s="103"/>
    </row>
    <row r="42" spans="1:19" ht="18" customHeight="1" x14ac:dyDescent="0.15">
      <c r="B42" s="125"/>
      <c r="C42" s="126"/>
      <c r="D42" s="126"/>
      <c r="E42" s="127"/>
      <c r="F42" s="104"/>
      <c r="G42" s="104"/>
      <c r="H42" s="105"/>
      <c r="I42" s="105"/>
      <c r="J42" s="125"/>
      <c r="K42" s="126"/>
      <c r="L42" s="126"/>
      <c r="M42" s="126"/>
      <c r="N42" s="126"/>
      <c r="O42" s="127"/>
      <c r="P42" s="104"/>
      <c r="Q42" s="104"/>
      <c r="R42" s="105"/>
      <c r="S42" s="105"/>
    </row>
    <row r="43" spans="1:19" ht="7.5" customHeight="1" x14ac:dyDescent="0.15">
      <c r="A43" s="94"/>
      <c r="B43" s="92"/>
      <c r="C43" s="92"/>
      <c r="D43" s="94"/>
      <c r="E43" s="94"/>
      <c r="F43" s="94"/>
      <c r="G43" s="94"/>
      <c r="H43" s="92"/>
      <c r="I43" s="92"/>
      <c r="J43" s="92"/>
      <c r="K43" s="92"/>
      <c r="L43" s="92"/>
      <c r="M43" s="92"/>
      <c r="N43" s="92"/>
      <c r="O43" s="92"/>
      <c r="P43" s="92"/>
      <c r="Q43" s="92"/>
      <c r="R43" s="92"/>
      <c r="S43" s="94"/>
    </row>
    <row r="44" spans="1:19" ht="18" customHeight="1" x14ac:dyDescent="0.15">
      <c r="A44" s="128" t="s">
        <v>115</v>
      </c>
      <c r="B44" s="128"/>
      <c r="C44" s="128"/>
      <c r="D44" s="128"/>
      <c r="E44" s="128"/>
      <c r="F44" s="128"/>
      <c r="G44" s="128"/>
      <c r="H44" s="128"/>
      <c r="I44" s="128"/>
      <c r="J44" s="128"/>
      <c r="K44" s="128"/>
      <c r="L44" s="128"/>
      <c r="M44" s="128"/>
      <c r="N44" s="128"/>
      <c r="O44" s="128"/>
      <c r="P44" s="128"/>
      <c r="Q44" s="128"/>
      <c r="R44" s="128"/>
      <c r="S44" s="128"/>
    </row>
    <row r="45" spans="1:19" ht="18" customHeight="1" x14ac:dyDescent="0.15">
      <c r="A45" s="128"/>
      <c r="B45" s="128"/>
      <c r="C45" s="128"/>
      <c r="D45" s="128"/>
      <c r="E45" s="128"/>
      <c r="F45" s="128"/>
      <c r="G45" s="128"/>
      <c r="H45" s="128"/>
      <c r="I45" s="128"/>
      <c r="J45" s="128"/>
      <c r="K45" s="128"/>
      <c r="L45" s="128"/>
      <c r="M45" s="128"/>
      <c r="N45" s="128"/>
      <c r="O45" s="128"/>
      <c r="P45" s="128"/>
      <c r="Q45" s="128"/>
      <c r="R45" s="128"/>
      <c r="S45" s="128"/>
    </row>
    <row r="46" spans="1:19" ht="18" customHeight="1" x14ac:dyDescent="0.15">
      <c r="B46" s="122" t="s">
        <v>53</v>
      </c>
      <c r="C46" s="123"/>
      <c r="D46" s="123"/>
      <c r="E46" s="124"/>
      <c r="F46" s="99" t="s">
        <v>80</v>
      </c>
      <c r="G46" s="100" t="s">
        <v>84</v>
      </c>
      <c r="H46" s="101" t="s">
        <v>73</v>
      </c>
      <c r="I46" s="101" t="s">
        <v>74</v>
      </c>
      <c r="J46" s="122" t="s">
        <v>53</v>
      </c>
      <c r="K46" s="123"/>
      <c r="L46" s="123"/>
      <c r="M46" s="123"/>
      <c r="N46" s="123"/>
      <c r="O46" s="124"/>
      <c r="P46" s="99" t="s">
        <v>80</v>
      </c>
      <c r="Q46" s="100" t="s">
        <v>84</v>
      </c>
      <c r="R46" s="101" t="s">
        <v>73</v>
      </c>
      <c r="S46" s="101" t="s">
        <v>74</v>
      </c>
    </row>
    <row r="47" spans="1:19" ht="18" customHeight="1" x14ac:dyDescent="0.15">
      <c r="A47" s="94"/>
      <c r="B47" s="116" t="s">
        <v>130</v>
      </c>
      <c r="C47" s="117"/>
      <c r="D47" s="117"/>
      <c r="E47" s="118"/>
      <c r="F47" s="102">
        <v>2</v>
      </c>
      <c r="G47" s="102" t="s">
        <v>131</v>
      </c>
      <c r="H47" s="102" t="s">
        <v>131</v>
      </c>
      <c r="I47" s="102" t="s">
        <v>131</v>
      </c>
      <c r="J47" s="116"/>
      <c r="K47" s="117"/>
      <c r="L47" s="117"/>
      <c r="M47" s="117"/>
      <c r="N47" s="117"/>
      <c r="O47" s="118"/>
      <c r="P47" s="102"/>
      <c r="Q47" s="102"/>
      <c r="R47" s="102"/>
      <c r="S47" s="102"/>
    </row>
    <row r="48" spans="1:19" ht="18" customHeight="1" x14ac:dyDescent="0.15">
      <c r="A48" s="94"/>
      <c r="B48" s="119"/>
      <c r="C48" s="120"/>
      <c r="D48" s="120"/>
      <c r="E48" s="121"/>
      <c r="F48" s="103"/>
      <c r="G48" s="103"/>
      <c r="H48" s="103"/>
      <c r="I48" s="103"/>
      <c r="J48" s="119"/>
      <c r="K48" s="120"/>
      <c r="L48" s="120"/>
      <c r="M48" s="120"/>
      <c r="N48" s="120"/>
      <c r="O48" s="121"/>
      <c r="P48" s="103"/>
      <c r="Q48" s="103"/>
      <c r="R48" s="103"/>
      <c r="S48" s="103"/>
    </row>
    <row r="49" spans="1:19" ht="18" customHeight="1" x14ac:dyDescent="0.15">
      <c r="A49" s="94"/>
      <c r="B49" s="119"/>
      <c r="C49" s="120"/>
      <c r="D49" s="120"/>
      <c r="E49" s="121"/>
      <c r="F49" s="103"/>
      <c r="G49" s="103"/>
      <c r="H49" s="103"/>
      <c r="I49" s="103"/>
      <c r="J49" s="119"/>
      <c r="K49" s="120"/>
      <c r="L49" s="120"/>
      <c r="M49" s="120"/>
      <c r="N49" s="120"/>
      <c r="O49" s="121"/>
      <c r="P49" s="103"/>
      <c r="Q49" s="103"/>
      <c r="R49" s="103"/>
      <c r="S49" s="103"/>
    </row>
    <row r="50" spans="1:19" ht="18" customHeight="1" x14ac:dyDescent="0.15">
      <c r="A50" s="94"/>
      <c r="B50" s="119"/>
      <c r="C50" s="120"/>
      <c r="D50" s="120"/>
      <c r="E50" s="121"/>
      <c r="F50" s="103"/>
      <c r="G50" s="103"/>
      <c r="H50" s="103"/>
      <c r="I50" s="103"/>
      <c r="J50" s="119"/>
      <c r="K50" s="120"/>
      <c r="L50" s="120"/>
      <c r="M50" s="120"/>
      <c r="N50" s="120"/>
      <c r="O50" s="121"/>
      <c r="P50" s="103"/>
      <c r="Q50" s="103"/>
      <c r="R50" s="103"/>
      <c r="S50" s="103"/>
    </row>
    <row r="51" spans="1:19" ht="18" customHeight="1" x14ac:dyDescent="0.15">
      <c r="A51" s="94"/>
      <c r="B51" s="119"/>
      <c r="C51" s="120"/>
      <c r="D51" s="120"/>
      <c r="E51" s="121"/>
      <c r="F51" s="103"/>
      <c r="G51" s="103"/>
      <c r="H51" s="103"/>
      <c r="I51" s="103"/>
      <c r="J51" s="119"/>
      <c r="K51" s="120"/>
      <c r="L51" s="120"/>
      <c r="M51" s="120"/>
      <c r="N51" s="120"/>
      <c r="O51" s="121"/>
      <c r="P51" s="103"/>
      <c r="Q51" s="103"/>
      <c r="R51" s="103"/>
      <c r="S51" s="103"/>
    </row>
    <row r="52" spans="1:19" ht="18" customHeight="1" x14ac:dyDescent="0.15">
      <c r="A52" s="94"/>
      <c r="B52" s="119"/>
      <c r="C52" s="120"/>
      <c r="D52" s="120"/>
      <c r="E52" s="121"/>
      <c r="F52" s="103"/>
      <c r="G52" s="103"/>
      <c r="H52" s="103"/>
      <c r="I52" s="103"/>
      <c r="J52" s="119"/>
      <c r="K52" s="120"/>
      <c r="L52" s="120"/>
      <c r="M52" s="120"/>
      <c r="N52" s="120"/>
      <c r="O52" s="121"/>
      <c r="P52" s="103"/>
      <c r="Q52" s="103"/>
      <c r="R52" s="103"/>
      <c r="S52" s="103"/>
    </row>
    <row r="53" spans="1:19" ht="18" customHeight="1" x14ac:dyDescent="0.15">
      <c r="A53" s="94"/>
      <c r="B53" s="125"/>
      <c r="C53" s="126"/>
      <c r="D53" s="126"/>
      <c r="E53" s="127"/>
      <c r="F53" s="104"/>
      <c r="G53" s="104"/>
      <c r="H53" s="105"/>
      <c r="I53" s="105"/>
      <c r="J53" s="125"/>
      <c r="K53" s="126"/>
      <c r="L53" s="126"/>
      <c r="M53" s="126"/>
      <c r="N53" s="126"/>
      <c r="O53" s="127"/>
      <c r="P53" s="104"/>
      <c r="Q53" s="104"/>
      <c r="R53" s="105"/>
      <c r="S53" s="105"/>
    </row>
    <row r="54" spans="1:19" ht="7.5" customHeight="1" x14ac:dyDescent="0.15">
      <c r="B54" s="106"/>
      <c r="C54" s="106"/>
      <c r="D54" s="106"/>
      <c r="E54" s="106"/>
      <c r="F54" s="106"/>
      <c r="G54" s="106"/>
      <c r="H54" s="106"/>
      <c r="I54" s="106"/>
      <c r="J54" s="106"/>
      <c r="K54" s="106"/>
      <c r="L54" s="106"/>
      <c r="M54" s="106"/>
      <c r="N54" s="106"/>
      <c r="O54" s="106"/>
      <c r="P54" s="106"/>
      <c r="Q54" s="106"/>
      <c r="R54" s="106"/>
    </row>
    <row r="55" spans="1:19" ht="18" customHeight="1" x14ac:dyDescent="0.15">
      <c r="A55" s="128" t="s">
        <v>116</v>
      </c>
      <c r="B55" s="128"/>
      <c r="C55" s="128"/>
      <c r="D55" s="128"/>
      <c r="E55" s="128"/>
      <c r="F55" s="128"/>
      <c r="G55" s="128"/>
      <c r="H55" s="128"/>
      <c r="I55" s="128"/>
      <c r="J55" s="128"/>
      <c r="K55" s="128"/>
      <c r="L55" s="128"/>
      <c r="M55" s="128"/>
      <c r="N55" s="128"/>
      <c r="O55" s="128"/>
      <c r="P55" s="128"/>
      <c r="Q55" s="128"/>
      <c r="R55" s="128"/>
      <c r="S55" s="128"/>
    </row>
    <row r="56" spans="1:19" ht="18" customHeight="1" x14ac:dyDescent="0.15">
      <c r="A56" s="128"/>
      <c r="B56" s="128"/>
      <c r="C56" s="128"/>
      <c r="D56" s="128"/>
      <c r="E56" s="128"/>
      <c r="F56" s="128"/>
      <c r="G56" s="128"/>
      <c r="H56" s="128"/>
      <c r="I56" s="128"/>
      <c r="J56" s="128"/>
      <c r="K56" s="128"/>
      <c r="L56" s="128"/>
      <c r="M56" s="128"/>
      <c r="N56" s="128"/>
      <c r="O56" s="128"/>
      <c r="P56" s="128"/>
      <c r="Q56" s="128"/>
      <c r="R56" s="128"/>
      <c r="S56" s="128"/>
    </row>
    <row r="57" spans="1:19" ht="18" customHeight="1" x14ac:dyDescent="0.15">
      <c r="B57" s="122" t="s">
        <v>53</v>
      </c>
      <c r="C57" s="123"/>
      <c r="D57" s="123"/>
      <c r="E57" s="124"/>
      <c r="F57" s="99" t="s">
        <v>80</v>
      </c>
      <c r="G57" s="100" t="s">
        <v>84</v>
      </c>
      <c r="H57" s="101" t="s">
        <v>58</v>
      </c>
      <c r="I57" s="101" t="s">
        <v>60</v>
      </c>
      <c r="J57" s="122" t="s">
        <v>53</v>
      </c>
      <c r="K57" s="123"/>
      <c r="L57" s="123"/>
      <c r="M57" s="123"/>
      <c r="N57" s="123"/>
      <c r="O57" s="124"/>
      <c r="P57" s="99" t="s">
        <v>80</v>
      </c>
      <c r="Q57" s="100" t="s">
        <v>84</v>
      </c>
      <c r="R57" s="101" t="s">
        <v>58</v>
      </c>
      <c r="S57" s="101" t="s">
        <v>60</v>
      </c>
    </row>
    <row r="58" spans="1:19" ht="18" customHeight="1" x14ac:dyDescent="0.15">
      <c r="A58" s="94"/>
      <c r="B58" s="116" t="s">
        <v>130</v>
      </c>
      <c r="C58" s="117"/>
      <c r="D58" s="117"/>
      <c r="E58" s="118"/>
      <c r="F58" s="102">
        <v>2</v>
      </c>
      <c r="G58" s="102" t="s">
        <v>131</v>
      </c>
      <c r="H58" s="102" t="s">
        <v>131</v>
      </c>
      <c r="I58" s="102" t="s">
        <v>131</v>
      </c>
      <c r="J58" s="116"/>
      <c r="K58" s="117"/>
      <c r="L58" s="117"/>
      <c r="M58" s="117"/>
      <c r="N58" s="117"/>
      <c r="O58" s="118"/>
      <c r="P58" s="102"/>
      <c r="Q58" s="102"/>
      <c r="R58" s="102"/>
      <c r="S58" s="102"/>
    </row>
    <row r="59" spans="1:19" ht="18" customHeight="1" x14ac:dyDescent="0.15">
      <c r="A59" s="94"/>
      <c r="B59" s="119"/>
      <c r="C59" s="120"/>
      <c r="D59" s="120"/>
      <c r="E59" s="121"/>
      <c r="F59" s="103"/>
      <c r="G59" s="103"/>
      <c r="H59" s="103"/>
      <c r="I59" s="103"/>
      <c r="J59" s="119"/>
      <c r="K59" s="120"/>
      <c r="L59" s="120"/>
      <c r="M59" s="120"/>
      <c r="N59" s="120"/>
      <c r="O59" s="121"/>
      <c r="P59" s="103"/>
      <c r="Q59" s="103"/>
      <c r="R59" s="103"/>
      <c r="S59" s="103"/>
    </row>
    <row r="60" spans="1:19" ht="18" customHeight="1" x14ac:dyDescent="0.15">
      <c r="A60" s="94"/>
      <c r="B60" s="119"/>
      <c r="C60" s="120"/>
      <c r="D60" s="120"/>
      <c r="E60" s="121"/>
      <c r="F60" s="103"/>
      <c r="G60" s="103"/>
      <c r="H60" s="103"/>
      <c r="I60" s="103"/>
      <c r="J60" s="119"/>
      <c r="K60" s="120"/>
      <c r="L60" s="120"/>
      <c r="M60" s="120"/>
      <c r="N60" s="120"/>
      <c r="O60" s="121"/>
      <c r="P60" s="103"/>
      <c r="Q60" s="103"/>
      <c r="R60" s="103"/>
      <c r="S60" s="103"/>
    </row>
    <row r="61" spans="1:19" ht="18" customHeight="1" x14ac:dyDescent="0.15">
      <c r="A61" s="94"/>
      <c r="B61" s="119"/>
      <c r="C61" s="120"/>
      <c r="D61" s="120"/>
      <c r="E61" s="121"/>
      <c r="F61" s="103"/>
      <c r="G61" s="103"/>
      <c r="H61" s="103"/>
      <c r="I61" s="103"/>
      <c r="J61" s="119"/>
      <c r="K61" s="120"/>
      <c r="L61" s="120"/>
      <c r="M61" s="120"/>
      <c r="N61" s="120"/>
      <c r="O61" s="121"/>
      <c r="P61" s="103"/>
      <c r="Q61" s="103"/>
      <c r="R61" s="103"/>
      <c r="S61" s="103"/>
    </row>
    <row r="62" spans="1:19" ht="18" customHeight="1" x14ac:dyDescent="0.15">
      <c r="A62" s="94"/>
      <c r="B62" s="119"/>
      <c r="C62" s="120"/>
      <c r="D62" s="120"/>
      <c r="E62" s="121"/>
      <c r="F62" s="103"/>
      <c r="G62" s="103"/>
      <c r="H62" s="103"/>
      <c r="I62" s="103"/>
      <c r="J62" s="119"/>
      <c r="K62" s="120"/>
      <c r="L62" s="120"/>
      <c r="M62" s="120"/>
      <c r="N62" s="120"/>
      <c r="O62" s="121"/>
      <c r="P62" s="103"/>
      <c r="Q62" s="103"/>
      <c r="R62" s="103"/>
      <c r="S62" s="103"/>
    </row>
    <row r="63" spans="1:19" ht="18" customHeight="1" x14ac:dyDescent="0.15">
      <c r="A63" s="94"/>
      <c r="B63" s="119"/>
      <c r="C63" s="120"/>
      <c r="D63" s="120"/>
      <c r="E63" s="121"/>
      <c r="F63" s="103"/>
      <c r="G63" s="103"/>
      <c r="H63" s="103"/>
      <c r="I63" s="103"/>
      <c r="J63" s="119"/>
      <c r="K63" s="120"/>
      <c r="L63" s="120"/>
      <c r="M63" s="120"/>
      <c r="N63" s="120"/>
      <c r="O63" s="121"/>
      <c r="P63" s="103"/>
      <c r="Q63" s="103"/>
      <c r="R63" s="103"/>
      <c r="S63" s="103"/>
    </row>
    <row r="64" spans="1:19" ht="18" customHeight="1" x14ac:dyDescent="0.15">
      <c r="A64" s="94"/>
      <c r="B64" s="125"/>
      <c r="C64" s="126"/>
      <c r="D64" s="126"/>
      <c r="E64" s="127"/>
      <c r="F64" s="104"/>
      <c r="G64" s="104"/>
      <c r="H64" s="105"/>
      <c r="I64" s="105"/>
      <c r="J64" s="125"/>
      <c r="K64" s="126"/>
      <c r="L64" s="126"/>
      <c r="M64" s="126"/>
      <c r="N64" s="126"/>
      <c r="O64" s="127"/>
      <c r="P64" s="104"/>
      <c r="Q64" s="104"/>
      <c r="R64" s="105"/>
      <c r="S64" s="105"/>
    </row>
    <row r="65" spans="1:19" ht="7.5" customHeight="1" x14ac:dyDescent="0.15">
      <c r="B65" s="106"/>
      <c r="C65" s="106"/>
      <c r="D65" s="106"/>
      <c r="E65" s="106"/>
      <c r="F65" s="106"/>
      <c r="G65" s="106"/>
      <c r="H65" s="106"/>
      <c r="I65" s="106"/>
      <c r="J65" s="106"/>
      <c r="K65" s="106"/>
      <c r="L65" s="106"/>
      <c r="M65" s="106"/>
      <c r="N65" s="106"/>
      <c r="O65" s="106"/>
      <c r="P65" s="106"/>
      <c r="Q65" s="106"/>
      <c r="R65" s="106"/>
    </row>
    <row r="66" spans="1:19" ht="18" customHeight="1" x14ac:dyDescent="0.15">
      <c r="A66" s="128" t="s">
        <v>117</v>
      </c>
      <c r="B66" s="128"/>
      <c r="C66" s="128"/>
      <c r="D66" s="128"/>
      <c r="E66" s="128"/>
      <c r="F66" s="128"/>
      <c r="G66" s="128"/>
      <c r="H66" s="128"/>
      <c r="I66" s="128"/>
      <c r="J66" s="128"/>
      <c r="K66" s="128"/>
      <c r="L66" s="128"/>
      <c r="M66" s="128"/>
      <c r="N66" s="128"/>
      <c r="O66" s="128"/>
      <c r="P66" s="128"/>
      <c r="Q66" s="128"/>
      <c r="R66" s="128"/>
      <c r="S66" s="128"/>
    </row>
    <row r="67" spans="1:19" ht="18" customHeight="1" x14ac:dyDescent="0.15">
      <c r="A67" s="128"/>
      <c r="B67" s="128"/>
      <c r="C67" s="128"/>
      <c r="D67" s="128"/>
      <c r="E67" s="128"/>
      <c r="F67" s="128"/>
      <c r="G67" s="128"/>
      <c r="H67" s="128"/>
      <c r="I67" s="128"/>
      <c r="J67" s="128"/>
      <c r="K67" s="128"/>
      <c r="L67" s="128"/>
      <c r="M67" s="128"/>
      <c r="N67" s="128"/>
      <c r="O67" s="128"/>
      <c r="P67" s="128"/>
      <c r="Q67" s="128"/>
      <c r="R67" s="128"/>
      <c r="S67" s="128"/>
    </row>
    <row r="68" spans="1:19" ht="18" customHeight="1" x14ac:dyDescent="0.15">
      <c r="B68" s="122" t="s">
        <v>53</v>
      </c>
      <c r="C68" s="123"/>
      <c r="D68" s="123"/>
      <c r="E68" s="99" t="s">
        <v>80</v>
      </c>
      <c r="F68" s="100" t="s">
        <v>84</v>
      </c>
      <c r="G68" s="101" t="s">
        <v>101</v>
      </c>
      <c r="H68" s="101" t="s">
        <v>75</v>
      </c>
      <c r="I68" s="101" t="s">
        <v>76</v>
      </c>
      <c r="J68" s="122" t="s">
        <v>53</v>
      </c>
      <c r="K68" s="123"/>
      <c r="L68" s="123"/>
      <c r="M68" s="123"/>
      <c r="N68" s="124"/>
      <c r="O68" s="99" t="s">
        <v>80</v>
      </c>
      <c r="P68" s="100" t="s">
        <v>84</v>
      </c>
      <c r="Q68" s="101" t="s">
        <v>101</v>
      </c>
      <c r="R68" s="101" t="s">
        <v>75</v>
      </c>
      <c r="S68" s="101" t="s">
        <v>76</v>
      </c>
    </row>
    <row r="69" spans="1:19" ht="18" customHeight="1" x14ac:dyDescent="0.15">
      <c r="A69" s="94"/>
      <c r="B69" s="116" t="s">
        <v>130</v>
      </c>
      <c r="C69" s="117"/>
      <c r="D69" s="117"/>
      <c r="E69" s="102">
        <v>2</v>
      </c>
      <c r="F69" s="102" t="s">
        <v>131</v>
      </c>
      <c r="G69" s="102" t="s">
        <v>131</v>
      </c>
      <c r="H69" s="102" t="s">
        <v>131</v>
      </c>
      <c r="I69" s="102" t="s">
        <v>131</v>
      </c>
      <c r="J69" s="116"/>
      <c r="K69" s="117"/>
      <c r="L69" s="117"/>
      <c r="M69" s="117"/>
      <c r="N69" s="118"/>
      <c r="O69" s="102"/>
      <c r="P69" s="102"/>
      <c r="Q69" s="102"/>
      <c r="R69" s="102"/>
      <c r="S69" s="102"/>
    </row>
    <row r="70" spans="1:19" ht="18" customHeight="1" x14ac:dyDescent="0.15">
      <c r="A70" s="94"/>
      <c r="B70" s="119"/>
      <c r="C70" s="120"/>
      <c r="D70" s="120"/>
      <c r="E70" s="103"/>
      <c r="F70" s="103"/>
      <c r="G70" s="103"/>
      <c r="H70" s="103"/>
      <c r="I70" s="103"/>
      <c r="J70" s="119"/>
      <c r="K70" s="120"/>
      <c r="L70" s="120"/>
      <c r="M70" s="120"/>
      <c r="N70" s="121"/>
      <c r="O70" s="103"/>
      <c r="P70" s="103"/>
      <c r="Q70" s="103"/>
      <c r="R70" s="103"/>
      <c r="S70" s="103"/>
    </row>
    <row r="71" spans="1:19" ht="18" customHeight="1" x14ac:dyDescent="0.15">
      <c r="A71" s="94"/>
      <c r="B71" s="119"/>
      <c r="C71" s="120"/>
      <c r="D71" s="120"/>
      <c r="E71" s="103"/>
      <c r="F71" s="103"/>
      <c r="G71" s="103"/>
      <c r="H71" s="103"/>
      <c r="I71" s="103"/>
      <c r="J71" s="119"/>
      <c r="K71" s="120"/>
      <c r="L71" s="120"/>
      <c r="M71" s="120"/>
      <c r="N71" s="121"/>
      <c r="O71" s="103"/>
      <c r="P71" s="103"/>
      <c r="Q71" s="103"/>
      <c r="R71" s="103"/>
      <c r="S71" s="103"/>
    </row>
    <row r="72" spans="1:19" ht="18" customHeight="1" x14ac:dyDescent="0.15">
      <c r="A72" s="94"/>
      <c r="B72" s="119"/>
      <c r="C72" s="120"/>
      <c r="D72" s="120"/>
      <c r="E72" s="103"/>
      <c r="F72" s="103"/>
      <c r="G72" s="103"/>
      <c r="H72" s="103"/>
      <c r="I72" s="103"/>
      <c r="J72" s="119"/>
      <c r="K72" s="120"/>
      <c r="L72" s="120"/>
      <c r="M72" s="120"/>
      <c r="N72" s="121"/>
      <c r="O72" s="103"/>
      <c r="P72" s="103"/>
      <c r="Q72" s="103"/>
      <c r="R72" s="103"/>
      <c r="S72" s="103"/>
    </row>
    <row r="73" spans="1:19" ht="18" customHeight="1" x14ac:dyDescent="0.15">
      <c r="A73" s="94"/>
      <c r="B73" s="119"/>
      <c r="C73" s="120"/>
      <c r="D73" s="120"/>
      <c r="E73" s="103"/>
      <c r="F73" s="103"/>
      <c r="G73" s="103"/>
      <c r="H73" s="103"/>
      <c r="I73" s="103"/>
      <c r="J73" s="119"/>
      <c r="K73" s="120"/>
      <c r="L73" s="120"/>
      <c r="M73" s="120"/>
      <c r="N73" s="121"/>
      <c r="O73" s="103"/>
      <c r="P73" s="103"/>
      <c r="Q73" s="103"/>
      <c r="R73" s="103"/>
      <c r="S73" s="103"/>
    </row>
    <row r="74" spans="1:19" ht="18" customHeight="1" x14ac:dyDescent="0.15">
      <c r="A74" s="94"/>
      <c r="B74" s="119"/>
      <c r="C74" s="120"/>
      <c r="D74" s="120"/>
      <c r="E74" s="103"/>
      <c r="F74" s="103"/>
      <c r="G74" s="103"/>
      <c r="H74" s="103"/>
      <c r="I74" s="103"/>
      <c r="J74" s="119"/>
      <c r="K74" s="120"/>
      <c r="L74" s="120"/>
      <c r="M74" s="120"/>
      <c r="N74" s="121"/>
      <c r="O74" s="103"/>
      <c r="P74" s="103"/>
      <c r="Q74" s="103"/>
      <c r="R74" s="103"/>
      <c r="S74" s="103"/>
    </row>
    <row r="75" spans="1:19" ht="18" customHeight="1" x14ac:dyDescent="0.15">
      <c r="A75" s="94"/>
      <c r="B75" s="125"/>
      <c r="C75" s="126"/>
      <c r="D75" s="126"/>
      <c r="E75" s="104"/>
      <c r="F75" s="104"/>
      <c r="G75" s="105"/>
      <c r="H75" s="105"/>
      <c r="I75" s="105"/>
      <c r="J75" s="125"/>
      <c r="K75" s="126"/>
      <c r="L75" s="126"/>
      <c r="M75" s="126"/>
      <c r="N75" s="127"/>
      <c r="O75" s="104"/>
      <c r="P75" s="104"/>
      <c r="Q75" s="105"/>
      <c r="R75" s="105"/>
      <c r="S75" s="105"/>
    </row>
    <row r="76" spans="1:19" ht="7.5" customHeight="1" x14ac:dyDescent="0.15">
      <c r="B76" s="106"/>
      <c r="C76" s="106"/>
      <c r="D76" s="106"/>
      <c r="E76" s="106"/>
      <c r="F76" s="106"/>
      <c r="G76" s="106"/>
      <c r="H76" s="106"/>
      <c r="I76" s="106"/>
      <c r="J76" s="106"/>
      <c r="K76" s="106"/>
      <c r="L76" s="106"/>
      <c r="M76" s="106"/>
      <c r="N76" s="106"/>
      <c r="O76" s="106"/>
      <c r="P76" s="106"/>
      <c r="Q76" s="106"/>
      <c r="R76" s="106"/>
    </row>
    <row r="77" spans="1:19" ht="18" customHeight="1" x14ac:dyDescent="0.15">
      <c r="A77" s="88" t="s">
        <v>118</v>
      </c>
      <c r="H77" s="94"/>
      <c r="I77" s="94"/>
      <c r="J77" s="94"/>
      <c r="K77" s="94"/>
      <c r="L77" s="94"/>
      <c r="M77" s="94"/>
      <c r="N77" s="94"/>
      <c r="O77" s="94"/>
      <c r="P77" s="94"/>
      <c r="Q77" s="94"/>
      <c r="R77" s="94"/>
      <c r="S77" s="94"/>
    </row>
    <row r="78" spans="1:19" ht="18" customHeight="1" x14ac:dyDescent="0.15">
      <c r="B78" s="122" t="s">
        <v>53</v>
      </c>
      <c r="C78" s="123"/>
      <c r="D78" s="123"/>
      <c r="E78" s="124"/>
      <c r="F78" s="122" t="s">
        <v>82</v>
      </c>
      <c r="G78" s="123"/>
      <c r="H78" s="123"/>
      <c r="I78" s="124"/>
      <c r="J78" s="147" t="s">
        <v>53</v>
      </c>
      <c r="K78" s="148"/>
      <c r="L78" s="148"/>
      <c r="M78" s="148"/>
      <c r="N78" s="148"/>
      <c r="O78" s="149"/>
      <c r="P78" s="122" t="s">
        <v>82</v>
      </c>
      <c r="Q78" s="123"/>
      <c r="R78" s="123"/>
      <c r="S78" s="124"/>
    </row>
    <row r="79" spans="1:19" ht="18" customHeight="1" x14ac:dyDescent="0.15">
      <c r="A79" s="94"/>
      <c r="B79" s="116"/>
      <c r="C79" s="117"/>
      <c r="D79" s="117"/>
      <c r="E79" s="118"/>
      <c r="F79" s="141"/>
      <c r="G79" s="142"/>
      <c r="H79" s="142"/>
      <c r="I79" s="143"/>
      <c r="J79" s="116"/>
      <c r="K79" s="117"/>
      <c r="L79" s="117"/>
      <c r="M79" s="117"/>
      <c r="N79" s="117"/>
      <c r="O79" s="118"/>
      <c r="P79" s="141"/>
      <c r="Q79" s="142"/>
      <c r="R79" s="142"/>
      <c r="S79" s="143"/>
    </row>
    <row r="80" spans="1:19" ht="18" customHeight="1" x14ac:dyDescent="0.15">
      <c r="A80" s="94"/>
      <c r="B80" s="119"/>
      <c r="C80" s="120"/>
      <c r="D80" s="120"/>
      <c r="E80" s="121"/>
      <c r="F80" s="144"/>
      <c r="G80" s="145"/>
      <c r="H80" s="145"/>
      <c r="I80" s="146"/>
      <c r="J80" s="119"/>
      <c r="K80" s="120"/>
      <c r="L80" s="120"/>
      <c r="M80" s="120"/>
      <c r="N80" s="120"/>
      <c r="O80" s="121"/>
      <c r="P80" s="144"/>
      <c r="Q80" s="145"/>
      <c r="R80" s="145"/>
      <c r="S80" s="146"/>
    </row>
    <row r="81" spans="1:19" ht="18" customHeight="1" x14ac:dyDescent="0.15">
      <c r="A81" s="94"/>
      <c r="B81" s="119"/>
      <c r="C81" s="120"/>
      <c r="D81" s="120"/>
      <c r="E81" s="121"/>
      <c r="F81" s="144"/>
      <c r="G81" s="145"/>
      <c r="H81" s="145"/>
      <c r="I81" s="146"/>
      <c r="J81" s="119"/>
      <c r="K81" s="120"/>
      <c r="L81" s="120"/>
      <c r="M81" s="120"/>
      <c r="N81" s="120"/>
      <c r="O81" s="121"/>
      <c r="P81" s="144"/>
      <c r="Q81" s="145"/>
      <c r="R81" s="145"/>
      <c r="S81" s="146"/>
    </row>
    <row r="82" spans="1:19" ht="18" customHeight="1" x14ac:dyDescent="0.15">
      <c r="A82" s="94"/>
      <c r="B82" s="119"/>
      <c r="C82" s="120"/>
      <c r="D82" s="120"/>
      <c r="E82" s="121"/>
      <c r="F82" s="144"/>
      <c r="G82" s="145"/>
      <c r="H82" s="145"/>
      <c r="I82" s="146"/>
      <c r="J82" s="119"/>
      <c r="K82" s="120"/>
      <c r="L82" s="120"/>
      <c r="M82" s="120"/>
      <c r="N82" s="120"/>
      <c r="O82" s="121"/>
      <c r="P82" s="144"/>
      <c r="Q82" s="145"/>
      <c r="R82" s="145"/>
      <c r="S82" s="146"/>
    </row>
    <row r="83" spans="1:19" ht="18" customHeight="1" x14ac:dyDescent="0.15">
      <c r="A83" s="94"/>
      <c r="B83" s="119"/>
      <c r="C83" s="120"/>
      <c r="D83" s="120"/>
      <c r="E83" s="121"/>
      <c r="F83" s="144"/>
      <c r="G83" s="145"/>
      <c r="H83" s="145"/>
      <c r="I83" s="146"/>
      <c r="J83" s="119"/>
      <c r="K83" s="120"/>
      <c r="L83" s="120"/>
      <c r="M83" s="120"/>
      <c r="N83" s="120"/>
      <c r="O83" s="121"/>
      <c r="P83" s="144"/>
      <c r="Q83" s="145"/>
      <c r="R83" s="145"/>
      <c r="S83" s="146"/>
    </row>
    <row r="84" spans="1:19" ht="18" customHeight="1" x14ac:dyDescent="0.15">
      <c r="A84" s="94"/>
      <c r="B84" s="119"/>
      <c r="C84" s="120"/>
      <c r="D84" s="120"/>
      <c r="E84" s="121"/>
      <c r="F84" s="144"/>
      <c r="G84" s="145"/>
      <c r="H84" s="145"/>
      <c r="I84" s="146"/>
      <c r="J84" s="119"/>
      <c r="K84" s="120"/>
      <c r="L84" s="120"/>
      <c r="M84" s="120"/>
      <c r="N84" s="120"/>
      <c r="O84" s="121"/>
      <c r="P84" s="144"/>
      <c r="Q84" s="145"/>
      <c r="R84" s="145"/>
      <c r="S84" s="146"/>
    </row>
    <row r="85" spans="1:19" ht="18" customHeight="1" x14ac:dyDescent="0.15">
      <c r="A85" s="94"/>
      <c r="B85" s="125"/>
      <c r="C85" s="126"/>
      <c r="D85" s="126"/>
      <c r="E85" s="127"/>
      <c r="F85" s="153"/>
      <c r="G85" s="154"/>
      <c r="H85" s="154"/>
      <c r="I85" s="155"/>
      <c r="J85" s="125"/>
      <c r="K85" s="126"/>
      <c r="L85" s="126"/>
      <c r="M85" s="126"/>
      <c r="N85" s="126"/>
      <c r="O85" s="127"/>
      <c r="P85" s="153"/>
      <c r="Q85" s="154"/>
      <c r="R85" s="154"/>
      <c r="S85" s="155"/>
    </row>
    <row r="86" spans="1:19" ht="18" customHeight="1" x14ac:dyDescent="0.15">
      <c r="A86" s="94"/>
      <c r="B86" s="92"/>
      <c r="C86" s="92"/>
      <c r="D86" s="92"/>
      <c r="E86" s="92"/>
      <c r="F86" s="107"/>
      <c r="G86" s="107"/>
      <c r="H86" s="107"/>
      <c r="I86" s="107"/>
      <c r="J86" s="92"/>
      <c r="K86" s="92"/>
      <c r="L86" s="92"/>
      <c r="M86" s="92"/>
      <c r="N86" s="92"/>
      <c r="O86" s="92"/>
      <c r="P86" s="107"/>
      <c r="Q86" s="107"/>
      <c r="R86" s="107"/>
      <c r="S86" s="107"/>
    </row>
    <row r="87" spans="1:19" ht="18.75" customHeight="1" x14ac:dyDescent="0.15">
      <c r="A87" s="88" t="s">
        <v>119</v>
      </c>
    </row>
    <row r="88" spans="1:19" ht="18.75" customHeight="1" x14ac:dyDescent="0.15">
      <c r="B88" s="139" t="s">
        <v>54</v>
      </c>
      <c r="C88" s="140"/>
      <c r="D88" s="123" t="s">
        <v>55</v>
      </c>
      <c r="E88" s="123"/>
      <c r="F88" s="123"/>
      <c r="G88" s="123"/>
      <c r="H88" s="123"/>
      <c r="I88" s="123"/>
      <c r="J88" s="123"/>
      <c r="K88" s="123"/>
      <c r="L88" s="123"/>
      <c r="M88" s="123"/>
      <c r="N88" s="123"/>
      <c r="O88" s="123"/>
      <c r="P88" s="123"/>
      <c r="Q88" s="123"/>
      <c r="R88" s="123"/>
      <c r="S88" s="124"/>
    </row>
    <row r="89" spans="1:19" ht="97.5" customHeight="1" x14ac:dyDescent="0.15">
      <c r="B89" s="129" t="s">
        <v>61</v>
      </c>
      <c r="C89" s="108" t="s">
        <v>56</v>
      </c>
      <c r="D89" s="136" t="s">
        <v>192</v>
      </c>
      <c r="E89" s="137"/>
      <c r="F89" s="137"/>
      <c r="G89" s="137"/>
      <c r="H89" s="137"/>
      <c r="I89" s="137"/>
      <c r="J89" s="137"/>
      <c r="K89" s="137"/>
      <c r="L89" s="137"/>
      <c r="M89" s="137"/>
      <c r="N89" s="137"/>
      <c r="O89" s="137"/>
      <c r="P89" s="137"/>
      <c r="Q89" s="137"/>
      <c r="R89" s="137"/>
      <c r="S89" s="138"/>
    </row>
    <row r="90" spans="1:19" ht="97.5" customHeight="1" x14ac:dyDescent="0.15">
      <c r="B90" s="130"/>
      <c r="C90" s="109" t="s">
        <v>77</v>
      </c>
      <c r="D90" s="156" t="s">
        <v>211</v>
      </c>
      <c r="E90" s="156"/>
      <c r="F90" s="156"/>
      <c r="G90" s="156"/>
      <c r="H90" s="156"/>
      <c r="I90" s="156"/>
      <c r="J90" s="156"/>
      <c r="K90" s="156"/>
      <c r="L90" s="156"/>
      <c r="M90" s="156"/>
      <c r="N90" s="156"/>
      <c r="O90" s="156"/>
      <c r="P90" s="156"/>
      <c r="Q90" s="156"/>
      <c r="R90" s="156"/>
      <c r="S90" s="157"/>
    </row>
    <row r="91" spans="1:19" ht="97.5" customHeight="1" x14ac:dyDescent="0.15">
      <c r="B91" s="129" t="s">
        <v>62</v>
      </c>
      <c r="C91" s="110" t="s">
        <v>71</v>
      </c>
      <c r="D91" s="158" t="s">
        <v>180</v>
      </c>
      <c r="E91" s="159"/>
      <c r="F91" s="159"/>
      <c r="G91" s="159"/>
      <c r="H91" s="159"/>
      <c r="I91" s="159"/>
      <c r="J91" s="159"/>
      <c r="K91" s="159"/>
      <c r="L91" s="159"/>
      <c r="M91" s="159"/>
      <c r="N91" s="159"/>
      <c r="O91" s="159"/>
      <c r="P91" s="159"/>
      <c r="Q91" s="159"/>
      <c r="R91" s="159"/>
      <c r="S91" s="160"/>
    </row>
    <row r="92" spans="1:19" ht="97.5" customHeight="1" x14ac:dyDescent="0.15">
      <c r="B92" s="131"/>
      <c r="C92" s="111" t="s">
        <v>72</v>
      </c>
      <c r="D92" s="163" t="s">
        <v>193</v>
      </c>
      <c r="E92" s="164"/>
      <c r="F92" s="164"/>
      <c r="G92" s="164"/>
      <c r="H92" s="164"/>
      <c r="I92" s="164"/>
      <c r="J92" s="164"/>
      <c r="K92" s="164"/>
      <c r="L92" s="164"/>
      <c r="M92" s="164"/>
      <c r="N92" s="164"/>
      <c r="O92" s="164"/>
      <c r="P92" s="164"/>
      <c r="Q92" s="164"/>
      <c r="R92" s="164"/>
      <c r="S92" s="165"/>
    </row>
    <row r="93" spans="1:19" ht="97.5" customHeight="1" x14ac:dyDescent="0.15">
      <c r="B93" s="129" t="s">
        <v>63</v>
      </c>
      <c r="C93" s="110" t="s">
        <v>73</v>
      </c>
      <c r="D93" s="158" t="s">
        <v>194</v>
      </c>
      <c r="E93" s="159"/>
      <c r="F93" s="159"/>
      <c r="G93" s="159"/>
      <c r="H93" s="159"/>
      <c r="I93" s="159"/>
      <c r="J93" s="159"/>
      <c r="K93" s="159"/>
      <c r="L93" s="159"/>
      <c r="M93" s="159"/>
      <c r="N93" s="159"/>
      <c r="O93" s="159"/>
      <c r="P93" s="159"/>
      <c r="Q93" s="159"/>
      <c r="R93" s="159"/>
      <c r="S93" s="160"/>
    </row>
    <row r="94" spans="1:19" ht="97.5" customHeight="1" x14ac:dyDescent="0.15">
      <c r="B94" s="131"/>
      <c r="C94" s="112" t="s">
        <v>74</v>
      </c>
      <c r="D94" s="161" t="s">
        <v>195</v>
      </c>
      <c r="E94" s="161"/>
      <c r="F94" s="161"/>
      <c r="G94" s="161"/>
      <c r="H94" s="161"/>
      <c r="I94" s="161"/>
      <c r="J94" s="161"/>
      <c r="K94" s="161"/>
      <c r="L94" s="161"/>
      <c r="M94" s="161"/>
      <c r="N94" s="161"/>
      <c r="O94" s="161"/>
      <c r="P94" s="161"/>
      <c r="Q94" s="161"/>
      <c r="R94" s="161"/>
      <c r="S94" s="162"/>
    </row>
    <row r="95" spans="1:19" ht="97.5" customHeight="1" x14ac:dyDescent="0.15">
      <c r="B95" s="129" t="s">
        <v>78</v>
      </c>
      <c r="C95" s="108" t="s">
        <v>58</v>
      </c>
      <c r="D95" s="136" t="s">
        <v>181</v>
      </c>
      <c r="E95" s="137"/>
      <c r="F95" s="137"/>
      <c r="G95" s="137"/>
      <c r="H95" s="137"/>
      <c r="I95" s="137"/>
      <c r="J95" s="137"/>
      <c r="K95" s="137"/>
      <c r="L95" s="137"/>
      <c r="M95" s="137"/>
      <c r="N95" s="137"/>
      <c r="O95" s="137"/>
      <c r="P95" s="137"/>
      <c r="Q95" s="137"/>
      <c r="R95" s="137"/>
      <c r="S95" s="138"/>
    </row>
    <row r="96" spans="1:19" ht="97.5" customHeight="1" x14ac:dyDescent="0.15">
      <c r="B96" s="131"/>
      <c r="C96" s="111" t="s">
        <v>60</v>
      </c>
      <c r="D96" s="163" t="s">
        <v>196</v>
      </c>
      <c r="E96" s="164"/>
      <c r="F96" s="164"/>
      <c r="G96" s="164"/>
      <c r="H96" s="164"/>
      <c r="I96" s="164"/>
      <c r="J96" s="164"/>
      <c r="K96" s="164"/>
      <c r="L96" s="164"/>
      <c r="M96" s="164"/>
      <c r="N96" s="164"/>
      <c r="O96" s="164"/>
      <c r="P96" s="164"/>
      <c r="Q96" s="164"/>
      <c r="R96" s="164"/>
      <c r="S96" s="165"/>
    </row>
    <row r="97" spans="1:19" ht="97.5" customHeight="1" x14ac:dyDescent="0.15">
      <c r="B97" s="129" t="s">
        <v>79</v>
      </c>
      <c r="C97" s="110" t="s">
        <v>57</v>
      </c>
      <c r="D97" s="132" t="s">
        <v>212</v>
      </c>
      <c r="E97" s="117"/>
      <c r="F97" s="117"/>
      <c r="G97" s="117"/>
      <c r="H97" s="117"/>
      <c r="I97" s="117"/>
      <c r="J97" s="117"/>
      <c r="K97" s="117"/>
      <c r="L97" s="117"/>
      <c r="M97" s="117"/>
      <c r="N97" s="117"/>
      <c r="O97" s="117"/>
      <c r="P97" s="117"/>
      <c r="Q97" s="117"/>
      <c r="R97" s="117"/>
      <c r="S97" s="118"/>
    </row>
    <row r="98" spans="1:19" ht="97.5" customHeight="1" x14ac:dyDescent="0.15">
      <c r="B98" s="130"/>
      <c r="C98" s="113" t="s">
        <v>75</v>
      </c>
      <c r="D98" s="166" t="s">
        <v>182</v>
      </c>
      <c r="E98" s="120"/>
      <c r="F98" s="120"/>
      <c r="G98" s="120"/>
      <c r="H98" s="120"/>
      <c r="I98" s="120"/>
      <c r="J98" s="120"/>
      <c r="K98" s="120"/>
      <c r="L98" s="120"/>
      <c r="M98" s="120"/>
      <c r="N98" s="120"/>
      <c r="O98" s="120"/>
      <c r="P98" s="120"/>
      <c r="Q98" s="120"/>
      <c r="R98" s="120"/>
      <c r="S98" s="121"/>
    </row>
    <row r="99" spans="1:19" ht="97.5" customHeight="1" x14ac:dyDescent="0.15">
      <c r="B99" s="131"/>
      <c r="C99" s="112" t="s">
        <v>76</v>
      </c>
      <c r="D99" s="133" t="s">
        <v>183</v>
      </c>
      <c r="E99" s="134"/>
      <c r="F99" s="134"/>
      <c r="G99" s="134"/>
      <c r="H99" s="134"/>
      <c r="I99" s="134"/>
      <c r="J99" s="134"/>
      <c r="K99" s="134"/>
      <c r="L99" s="134"/>
      <c r="M99" s="134"/>
      <c r="N99" s="134"/>
      <c r="O99" s="134"/>
      <c r="P99" s="134"/>
      <c r="Q99" s="134"/>
      <c r="R99" s="134"/>
      <c r="S99" s="135"/>
    </row>
    <row r="100" spans="1:19" ht="6" customHeight="1" x14ac:dyDescent="0.15"/>
    <row r="101" spans="1:19" ht="18.75" customHeight="1" x14ac:dyDescent="0.15">
      <c r="A101" s="88" t="s">
        <v>120</v>
      </c>
    </row>
    <row r="102" spans="1:19" ht="81.75" customHeight="1" x14ac:dyDescent="0.15">
      <c r="B102" s="150" t="s">
        <v>222</v>
      </c>
      <c r="C102" s="151"/>
      <c r="D102" s="151"/>
      <c r="E102" s="151"/>
      <c r="F102" s="151"/>
      <c r="G102" s="151"/>
      <c r="H102" s="151"/>
      <c r="I102" s="151"/>
      <c r="J102" s="151"/>
      <c r="K102" s="151"/>
      <c r="L102" s="151"/>
      <c r="M102" s="151"/>
      <c r="N102" s="151"/>
      <c r="O102" s="151"/>
      <c r="P102" s="151"/>
      <c r="Q102" s="151"/>
      <c r="R102" s="151"/>
      <c r="S102" s="152"/>
    </row>
    <row r="110" spans="1:19" ht="18" customHeight="1" x14ac:dyDescent="0.15"/>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3"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675B8-4097-4693-8209-C70BC682743B}">
  <sheetPr>
    <pageSetUpPr fitToPage="1"/>
  </sheetPr>
  <dimension ref="A1:V110"/>
  <sheetViews>
    <sheetView showZeros="0" view="pageBreakPreview" zoomScaleNormal="100" zoomScaleSheetLayoutView="100" workbookViewId="0">
      <selection activeCell="B13" sqref="B13:S18"/>
    </sheetView>
  </sheetViews>
  <sheetFormatPr defaultColWidth="9" defaultRowHeight="18.75" customHeight="1" x14ac:dyDescent="0.15"/>
  <cols>
    <col min="1" max="1" width="2.5" style="88" customWidth="1"/>
    <col min="2" max="2" width="16.5" style="88" customWidth="1"/>
    <col min="3" max="19" width="5.625" style="88" customWidth="1"/>
    <col min="20" max="20" width="9" style="88"/>
    <col min="21" max="21" width="3.625" style="88" customWidth="1"/>
    <col min="22" max="22" width="48.625" style="88" hidden="1" customWidth="1"/>
    <col min="23" max="16384" width="9" style="88"/>
  </cols>
  <sheetData>
    <row r="1" spans="1:22" ht="18.600000000000001" customHeight="1" x14ac:dyDescent="0.15">
      <c r="R1" s="167" t="s">
        <v>167</v>
      </c>
      <c r="S1" s="167"/>
      <c r="T1" s="89" t="s">
        <v>109</v>
      </c>
    </row>
    <row r="2" spans="1:22" ht="18.75" customHeight="1" x14ac:dyDescent="0.15">
      <c r="B2" s="90" t="s">
        <v>108</v>
      </c>
      <c r="C2" s="122" t="s">
        <v>126</v>
      </c>
      <c r="D2" s="123"/>
      <c r="E2" s="123"/>
      <c r="F2" s="123"/>
      <c r="G2" s="123"/>
      <c r="H2" s="123"/>
      <c r="I2" s="124"/>
      <c r="J2" s="114"/>
      <c r="K2" s="92"/>
      <c r="L2" s="92"/>
      <c r="M2" s="92"/>
      <c r="N2" s="92"/>
      <c r="O2" s="92"/>
      <c r="P2" s="92"/>
      <c r="Q2" s="92"/>
      <c r="R2" s="92"/>
      <c r="S2" s="92"/>
    </row>
    <row r="3" spans="1:22" ht="18.75" customHeight="1" x14ac:dyDescent="0.15">
      <c r="B3" s="90" t="s">
        <v>102</v>
      </c>
      <c r="C3" s="122" t="s">
        <v>127</v>
      </c>
      <c r="D3" s="123"/>
      <c r="E3" s="123"/>
      <c r="F3" s="123"/>
      <c r="G3" s="123"/>
      <c r="H3" s="123"/>
      <c r="I3" s="124"/>
      <c r="J3" s="114"/>
      <c r="K3" s="92"/>
      <c r="L3" s="92"/>
      <c r="M3" s="92"/>
      <c r="N3" s="92"/>
      <c r="O3" s="92"/>
      <c r="P3" s="92"/>
      <c r="Q3" s="92"/>
      <c r="R3" s="92"/>
      <c r="S3" s="92"/>
    </row>
    <row r="4" spans="1:22" ht="15" customHeight="1" x14ac:dyDescent="0.15">
      <c r="K4" s="114"/>
      <c r="L4" s="93"/>
      <c r="M4" s="93"/>
      <c r="N4" s="93"/>
      <c r="O4" s="93"/>
      <c r="P4" s="93"/>
      <c r="Q4" s="93"/>
      <c r="R4" s="93"/>
      <c r="S4" s="93"/>
    </row>
    <row r="5" spans="1:22" ht="18" customHeight="1" x14ac:dyDescent="0.15">
      <c r="A5" s="171" t="s">
        <v>38</v>
      </c>
      <c r="B5" s="171"/>
      <c r="C5" s="171"/>
      <c r="D5" s="171"/>
      <c r="E5" s="171"/>
      <c r="F5" s="171"/>
      <c r="G5" s="171"/>
      <c r="H5" s="171"/>
      <c r="I5" s="171"/>
      <c r="J5" s="171"/>
      <c r="K5" s="171"/>
      <c r="L5" s="171"/>
      <c r="M5" s="171"/>
      <c r="N5" s="171"/>
      <c r="O5" s="171"/>
      <c r="P5" s="171"/>
      <c r="Q5" s="171"/>
      <c r="R5" s="171"/>
      <c r="S5" s="171"/>
    </row>
    <row r="6" spans="1:22" ht="15" customHeight="1" x14ac:dyDescent="0.15">
      <c r="B6" s="94"/>
      <c r="C6" s="94"/>
      <c r="D6" s="94"/>
      <c r="E6" s="94"/>
      <c r="F6" s="94"/>
      <c r="G6" s="94"/>
      <c r="H6" s="94"/>
      <c r="I6" s="94"/>
      <c r="J6" s="94"/>
      <c r="K6" s="94"/>
      <c r="L6" s="94"/>
      <c r="M6" s="94"/>
      <c r="N6" s="94"/>
      <c r="O6" s="94"/>
      <c r="P6" s="94"/>
      <c r="Q6" s="94"/>
      <c r="R6" s="94"/>
      <c r="S6" s="94"/>
    </row>
    <row r="7" spans="1:22" ht="18" customHeight="1" x14ac:dyDescent="0.15">
      <c r="A7" s="88" t="s">
        <v>124</v>
      </c>
      <c r="C7" s="94"/>
      <c r="J7" s="95" t="s">
        <v>107</v>
      </c>
      <c r="K7" s="181" t="s">
        <v>128</v>
      </c>
      <c r="L7" s="182"/>
      <c r="M7" s="182"/>
      <c r="N7" s="182"/>
      <c r="O7" s="182"/>
      <c r="P7" s="182"/>
      <c r="Q7" s="182"/>
      <c r="R7" s="182"/>
      <c r="S7" s="183"/>
    </row>
    <row r="8" spans="1:22" ht="6" customHeight="1" x14ac:dyDescent="0.15">
      <c r="B8" s="94"/>
      <c r="C8" s="94"/>
      <c r="D8" s="94"/>
      <c r="E8" s="94"/>
      <c r="F8" s="94"/>
      <c r="G8" s="94"/>
      <c r="H8" s="94"/>
      <c r="I8" s="94"/>
      <c r="J8" s="94"/>
      <c r="K8" s="96"/>
      <c r="L8" s="94"/>
      <c r="M8" s="94"/>
      <c r="N8" s="94"/>
      <c r="O8" s="94"/>
      <c r="P8" s="94"/>
      <c r="Q8" s="94"/>
      <c r="R8" s="94"/>
      <c r="S8" s="94"/>
    </row>
    <row r="9" spans="1:22" ht="18" customHeight="1" x14ac:dyDescent="0.15">
      <c r="B9" s="190" t="s">
        <v>236</v>
      </c>
      <c r="C9" s="191"/>
      <c r="D9" s="191"/>
      <c r="E9" s="191"/>
      <c r="F9" s="191"/>
      <c r="G9" s="191"/>
      <c r="H9" s="191"/>
      <c r="I9" s="191"/>
      <c r="J9" s="191"/>
      <c r="K9" s="191"/>
      <c r="L9" s="191"/>
      <c r="M9" s="191"/>
      <c r="N9" s="191"/>
      <c r="O9" s="191"/>
      <c r="P9" s="191"/>
      <c r="Q9" s="191"/>
      <c r="R9" s="191"/>
      <c r="S9" s="192"/>
    </row>
    <row r="10" spans="1:22" ht="18" customHeight="1" x14ac:dyDescent="0.15">
      <c r="B10" s="193"/>
      <c r="C10" s="194"/>
      <c r="D10" s="194"/>
      <c r="E10" s="194"/>
      <c r="F10" s="194"/>
      <c r="G10" s="194"/>
      <c r="H10" s="194"/>
      <c r="I10" s="194"/>
      <c r="J10" s="194"/>
      <c r="K10" s="194"/>
      <c r="L10" s="194"/>
      <c r="M10" s="194"/>
      <c r="N10" s="194"/>
      <c r="O10" s="194"/>
      <c r="P10" s="194"/>
      <c r="Q10" s="194"/>
      <c r="R10" s="194"/>
      <c r="S10" s="195"/>
    </row>
    <row r="11" spans="1:22" ht="6" customHeight="1" x14ac:dyDescent="0.15">
      <c r="B11" s="94"/>
      <c r="C11" s="94"/>
      <c r="D11" s="94"/>
      <c r="E11" s="94"/>
      <c r="F11" s="94"/>
      <c r="G11" s="94"/>
      <c r="H11" s="94"/>
      <c r="I11" s="94"/>
      <c r="J11" s="94"/>
      <c r="K11" s="96"/>
      <c r="L11" s="94"/>
      <c r="M11" s="94"/>
      <c r="N11" s="94"/>
      <c r="O11" s="94"/>
      <c r="P11" s="94"/>
      <c r="Q11" s="94"/>
      <c r="R11" s="94"/>
      <c r="S11" s="94"/>
    </row>
    <row r="12" spans="1:22" ht="18" customHeight="1" x14ac:dyDescent="0.15">
      <c r="A12" s="88" t="s">
        <v>111</v>
      </c>
      <c r="B12" s="94"/>
      <c r="C12" s="94"/>
      <c r="D12" s="114"/>
      <c r="E12" s="114"/>
      <c r="F12" s="114"/>
      <c r="G12" s="114"/>
      <c r="H12" s="114"/>
      <c r="I12" s="114"/>
      <c r="J12" s="114"/>
      <c r="K12" s="97"/>
      <c r="L12" s="97"/>
      <c r="M12" s="97"/>
      <c r="N12" s="97"/>
      <c r="O12" s="97"/>
      <c r="P12" s="97"/>
      <c r="Q12" s="97"/>
      <c r="R12" s="97"/>
      <c r="S12" s="97"/>
    </row>
    <row r="13" spans="1:22" ht="18" customHeight="1" x14ac:dyDescent="0.15">
      <c r="B13" s="172" t="s">
        <v>237</v>
      </c>
      <c r="C13" s="173"/>
      <c r="D13" s="173"/>
      <c r="E13" s="173"/>
      <c r="F13" s="173"/>
      <c r="G13" s="173"/>
      <c r="H13" s="173"/>
      <c r="I13" s="173"/>
      <c r="J13" s="173"/>
      <c r="K13" s="173"/>
      <c r="L13" s="173"/>
      <c r="M13" s="173"/>
      <c r="N13" s="173"/>
      <c r="O13" s="173"/>
      <c r="P13" s="173"/>
      <c r="Q13" s="173"/>
      <c r="R13" s="173"/>
      <c r="S13" s="174"/>
      <c r="V13" s="88" t="s">
        <v>103</v>
      </c>
    </row>
    <row r="14" spans="1:22" ht="18" customHeight="1" x14ac:dyDescent="0.15">
      <c r="B14" s="175"/>
      <c r="C14" s="176"/>
      <c r="D14" s="176"/>
      <c r="E14" s="176"/>
      <c r="F14" s="176"/>
      <c r="G14" s="176"/>
      <c r="H14" s="176"/>
      <c r="I14" s="176"/>
      <c r="J14" s="176"/>
      <c r="K14" s="176"/>
      <c r="L14" s="176"/>
      <c r="M14" s="176"/>
      <c r="N14" s="176"/>
      <c r="O14" s="176"/>
      <c r="P14" s="176"/>
      <c r="Q14" s="176"/>
      <c r="R14" s="176"/>
      <c r="S14" s="177"/>
      <c r="V14" s="88" t="s">
        <v>110</v>
      </c>
    </row>
    <row r="15" spans="1:22" ht="18" customHeight="1" x14ac:dyDescent="0.15">
      <c r="B15" s="175"/>
      <c r="C15" s="176"/>
      <c r="D15" s="176"/>
      <c r="E15" s="176"/>
      <c r="F15" s="176"/>
      <c r="G15" s="176"/>
      <c r="H15" s="176"/>
      <c r="I15" s="176"/>
      <c r="J15" s="176"/>
      <c r="K15" s="176"/>
      <c r="L15" s="176"/>
      <c r="M15" s="176"/>
      <c r="N15" s="176"/>
      <c r="O15" s="176"/>
      <c r="P15" s="176"/>
      <c r="Q15" s="176"/>
      <c r="R15" s="176"/>
      <c r="S15" s="177"/>
      <c r="V15" s="88" t="s">
        <v>123</v>
      </c>
    </row>
    <row r="16" spans="1:22" ht="18" customHeight="1" x14ac:dyDescent="0.15">
      <c r="B16" s="175"/>
      <c r="C16" s="176"/>
      <c r="D16" s="176"/>
      <c r="E16" s="176"/>
      <c r="F16" s="176"/>
      <c r="G16" s="176"/>
      <c r="H16" s="176"/>
      <c r="I16" s="176"/>
      <c r="J16" s="176"/>
      <c r="K16" s="176"/>
      <c r="L16" s="176"/>
      <c r="M16" s="176"/>
      <c r="N16" s="176"/>
      <c r="O16" s="176"/>
      <c r="P16" s="176"/>
      <c r="Q16" s="176"/>
      <c r="R16" s="176"/>
      <c r="S16" s="177"/>
      <c r="V16" s="88" t="s">
        <v>125</v>
      </c>
    </row>
    <row r="17" spans="1:19" ht="18" customHeight="1" x14ac:dyDescent="0.15">
      <c r="B17" s="175"/>
      <c r="C17" s="176"/>
      <c r="D17" s="176"/>
      <c r="E17" s="176"/>
      <c r="F17" s="176"/>
      <c r="G17" s="176"/>
      <c r="H17" s="176"/>
      <c r="I17" s="176"/>
      <c r="J17" s="176"/>
      <c r="K17" s="176"/>
      <c r="L17" s="176"/>
      <c r="M17" s="176"/>
      <c r="N17" s="176"/>
      <c r="O17" s="176"/>
      <c r="P17" s="176"/>
      <c r="Q17" s="176"/>
      <c r="R17" s="176"/>
      <c r="S17" s="177"/>
    </row>
    <row r="18" spans="1:19" ht="18" customHeight="1" x14ac:dyDescent="0.15">
      <c r="B18" s="178"/>
      <c r="C18" s="179"/>
      <c r="D18" s="179"/>
      <c r="E18" s="179"/>
      <c r="F18" s="179"/>
      <c r="G18" s="179"/>
      <c r="H18" s="179"/>
      <c r="I18" s="179"/>
      <c r="J18" s="179"/>
      <c r="K18" s="179"/>
      <c r="L18" s="179"/>
      <c r="M18" s="179"/>
      <c r="N18" s="179"/>
      <c r="O18" s="179"/>
      <c r="P18" s="179"/>
      <c r="Q18" s="179"/>
      <c r="R18" s="179"/>
      <c r="S18" s="180"/>
    </row>
    <row r="19" spans="1:19" ht="7.5" customHeight="1" x14ac:dyDescent="0.15">
      <c r="B19" s="94"/>
      <c r="C19" s="94"/>
      <c r="D19" s="94"/>
      <c r="E19" s="94"/>
      <c r="F19" s="94"/>
      <c r="G19" s="94"/>
      <c r="H19" s="94"/>
      <c r="I19" s="94"/>
      <c r="J19" s="94"/>
      <c r="K19" s="94"/>
      <c r="L19" s="94"/>
      <c r="M19" s="94"/>
      <c r="N19" s="94"/>
      <c r="O19" s="94"/>
      <c r="P19" s="94"/>
      <c r="Q19" s="94"/>
      <c r="R19" s="94"/>
      <c r="S19" s="94"/>
    </row>
    <row r="20" spans="1:19" ht="19.899999999999999" customHeight="1" x14ac:dyDescent="0.15">
      <c r="B20" s="88" t="s">
        <v>112</v>
      </c>
      <c r="C20" s="122">
        <v>2</v>
      </c>
      <c r="D20" s="124"/>
      <c r="E20" s="98" t="s">
        <v>95</v>
      </c>
      <c r="G20" s="96"/>
      <c r="H20" s="94"/>
      <c r="I20" s="94"/>
      <c r="J20" s="114" t="s">
        <v>121</v>
      </c>
      <c r="K20" s="168" t="s">
        <v>125</v>
      </c>
      <c r="L20" s="169"/>
      <c r="M20" s="169"/>
      <c r="N20" s="169"/>
      <c r="O20" s="169"/>
      <c r="P20" s="169"/>
      <c r="Q20" s="169"/>
      <c r="R20" s="169"/>
      <c r="S20" s="170"/>
    </row>
    <row r="21" spans="1:19" ht="7.5" customHeight="1" x14ac:dyDescent="0.15">
      <c r="B21" s="94"/>
      <c r="C21" s="94"/>
      <c r="D21" s="94"/>
      <c r="E21" s="94"/>
      <c r="F21" s="94"/>
      <c r="G21" s="94"/>
      <c r="H21" s="94"/>
      <c r="I21" s="94"/>
      <c r="J21" s="94"/>
      <c r="K21" s="94"/>
      <c r="L21" s="94"/>
      <c r="M21" s="94"/>
      <c r="N21" s="94"/>
      <c r="O21" s="94"/>
      <c r="P21" s="94"/>
      <c r="Q21" s="94"/>
      <c r="R21" s="94"/>
      <c r="S21" s="94"/>
    </row>
    <row r="22" spans="1:19" ht="18" customHeight="1" x14ac:dyDescent="0.15">
      <c r="A22" s="128" t="s">
        <v>113</v>
      </c>
      <c r="B22" s="128"/>
      <c r="C22" s="128"/>
      <c r="D22" s="128"/>
      <c r="E22" s="128"/>
      <c r="F22" s="128"/>
      <c r="G22" s="128"/>
      <c r="H22" s="128"/>
      <c r="I22" s="128"/>
      <c r="J22" s="128"/>
      <c r="K22" s="128"/>
      <c r="L22" s="128"/>
      <c r="M22" s="128"/>
      <c r="N22" s="128"/>
      <c r="O22" s="128"/>
      <c r="P22" s="128"/>
      <c r="Q22" s="128"/>
      <c r="R22" s="128"/>
      <c r="S22" s="128"/>
    </row>
    <row r="23" spans="1:19" ht="18" customHeight="1" x14ac:dyDescent="0.15">
      <c r="A23" s="128"/>
      <c r="B23" s="128"/>
      <c r="C23" s="128"/>
      <c r="D23" s="128"/>
      <c r="E23" s="128"/>
      <c r="F23" s="128"/>
      <c r="G23" s="128"/>
      <c r="H23" s="128"/>
      <c r="I23" s="128"/>
      <c r="J23" s="128"/>
      <c r="K23" s="128"/>
      <c r="L23" s="128"/>
      <c r="M23" s="128"/>
      <c r="N23" s="128"/>
      <c r="O23" s="128"/>
      <c r="P23" s="128"/>
      <c r="Q23" s="128"/>
      <c r="R23" s="128"/>
      <c r="S23" s="128"/>
    </row>
    <row r="24" spans="1:19" ht="18" customHeight="1" x14ac:dyDescent="0.15">
      <c r="B24" s="122" t="s">
        <v>53</v>
      </c>
      <c r="C24" s="123"/>
      <c r="D24" s="123"/>
      <c r="E24" s="124"/>
      <c r="F24" s="99" t="s">
        <v>80</v>
      </c>
      <c r="G24" s="100" t="s">
        <v>84</v>
      </c>
      <c r="H24" s="101" t="s">
        <v>56</v>
      </c>
      <c r="I24" s="101" t="s">
        <v>59</v>
      </c>
      <c r="J24" s="122" t="s">
        <v>53</v>
      </c>
      <c r="K24" s="123"/>
      <c r="L24" s="123"/>
      <c r="M24" s="123"/>
      <c r="N24" s="123"/>
      <c r="O24" s="124"/>
      <c r="P24" s="99" t="s">
        <v>80</v>
      </c>
      <c r="Q24" s="100" t="s">
        <v>84</v>
      </c>
      <c r="R24" s="101" t="s">
        <v>56</v>
      </c>
      <c r="S24" s="101" t="s">
        <v>59</v>
      </c>
    </row>
    <row r="25" spans="1:19" ht="18" customHeight="1" x14ac:dyDescent="0.15">
      <c r="B25" s="116" t="s">
        <v>133</v>
      </c>
      <c r="C25" s="117"/>
      <c r="D25" s="117"/>
      <c r="E25" s="118"/>
      <c r="F25" s="102">
        <v>2</v>
      </c>
      <c r="G25" s="102"/>
      <c r="H25" s="102" t="s">
        <v>131</v>
      </c>
      <c r="I25" s="102" t="s">
        <v>131</v>
      </c>
      <c r="J25" s="116"/>
      <c r="K25" s="117"/>
      <c r="L25" s="117"/>
      <c r="M25" s="117"/>
      <c r="N25" s="117"/>
      <c r="O25" s="118"/>
      <c r="P25" s="102"/>
      <c r="Q25" s="102"/>
      <c r="R25" s="102"/>
      <c r="S25" s="102"/>
    </row>
    <row r="26" spans="1:19" ht="18" customHeight="1" x14ac:dyDescent="0.15">
      <c r="B26" s="196" t="s">
        <v>162</v>
      </c>
      <c r="C26" s="197"/>
      <c r="D26" s="197"/>
      <c r="E26" s="198"/>
      <c r="F26" s="115">
        <v>2</v>
      </c>
      <c r="G26" s="115"/>
      <c r="H26" s="115"/>
      <c r="I26" s="115" t="s">
        <v>131</v>
      </c>
      <c r="J26" s="119"/>
      <c r="K26" s="120"/>
      <c r="L26" s="120"/>
      <c r="M26" s="120"/>
      <c r="N26" s="120"/>
      <c r="O26" s="121"/>
      <c r="P26" s="103"/>
      <c r="Q26" s="103"/>
      <c r="R26" s="103"/>
      <c r="S26" s="103"/>
    </row>
    <row r="27" spans="1:19" ht="18" customHeight="1" x14ac:dyDescent="0.15">
      <c r="B27" s="119" t="s">
        <v>160</v>
      </c>
      <c r="C27" s="120"/>
      <c r="D27" s="120"/>
      <c r="E27" s="121"/>
      <c r="F27" s="103">
        <v>2</v>
      </c>
      <c r="G27" s="103"/>
      <c r="H27" s="103" t="s">
        <v>131</v>
      </c>
      <c r="I27" s="103"/>
      <c r="J27" s="119"/>
      <c r="K27" s="120"/>
      <c r="L27" s="120"/>
      <c r="M27" s="120"/>
      <c r="N27" s="120"/>
      <c r="O27" s="121"/>
      <c r="P27" s="103"/>
      <c r="Q27" s="103"/>
      <c r="R27" s="103"/>
      <c r="S27" s="103"/>
    </row>
    <row r="28" spans="1:19" ht="18" customHeight="1" x14ac:dyDescent="0.15">
      <c r="B28" s="119"/>
      <c r="C28" s="120"/>
      <c r="D28" s="120"/>
      <c r="E28" s="121"/>
      <c r="F28" s="103"/>
      <c r="G28" s="103"/>
      <c r="H28" s="103"/>
      <c r="I28" s="103"/>
      <c r="J28" s="119"/>
      <c r="K28" s="120"/>
      <c r="L28" s="120"/>
      <c r="M28" s="120"/>
      <c r="N28" s="120"/>
      <c r="O28" s="121"/>
      <c r="P28" s="103"/>
      <c r="Q28" s="103"/>
      <c r="R28" s="103"/>
      <c r="S28" s="103"/>
    </row>
    <row r="29" spans="1:19" ht="18" customHeight="1" x14ac:dyDescent="0.15">
      <c r="B29" s="119"/>
      <c r="C29" s="120"/>
      <c r="D29" s="120"/>
      <c r="E29" s="121"/>
      <c r="F29" s="103"/>
      <c r="G29" s="103"/>
      <c r="H29" s="103"/>
      <c r="I29" s="103"/>
      <c r="J29" s="119"/>
      <c r="K29" s="120"/>
      <c r="L29" s="120"/>
      <c r="M29" s="120"/>
      <c r="N29" s="120"/>
      <c r="O29" s="121"/>
      <c r="P29" s="103"/>
      <c r="Q29" s="103"/>
      <c r="R29" s="103"/>
      <c r="S29" s="103"/>
    </row>
    <row r="30" spans="1:19" ht="18" customHeight="1" x14ac:dyDescent="0.15">
      <c r="A30" s="94"/>
      <c r="B30" s="119"/>
      <c r="C30" s="120"/>
      <c r="D30" s="120"/>
      <c r="E30" s="121"/>
      <c r="F30" s="103"/>
      <c r="G30" s="103"/>
      <c r="H30" s="103"/>
      <c r="I30" s="103"/>
      <c r="J30" s="119"/>
      <c r="K30" s="120"/>
      <c r="L30" s="120"/>
      <c r="M30" s="120"/>
      <c r="N30" s="120"/>
      <c r="O30" s="121"/>
      <c r="P30" s="103"/>
      <c r="Q30" s="103"/>
      <c r="R30" s="103"/>
      <c r="S30" s="103"/>
    </row>
    <row r="31" spans="1:19" ht="18" customHeight="1" x14ac:dyDescent="0.15">
      <c r="A31" s="94"/>
      <c r="B31" s="125"/>
      <c r="C31" s="126"/>
      <c r="D31" s="126"/>
      <c r="E31" s="127"/>
      <c r="F31" s="104"/>
      <c r="G31" s="104"/>
      <c r="H31" s="105"/>
      <c r="I31" s="105"/>
      <c r="J31" s="125"/>
      <c r="K31" s="126"/>
      <c r="L31" s="126"/>
      <c r="M31" s="126"/>
      <c r="N31" s="126"/>
      <c r="O31" s="127"/>
      <c r="P31" s="104"/>
      <c r="Q31" s="104"/>
      <c r="R31" s="105"/>
      <c r="S31" s="105"/>
    </row>
    <row r="32" spans="1:19" ht="7.5" customHeight="1" x14ac:dyDescent="0.15">
      <c r="A32" s="94"/>
      <c r="B32" s="92"/>
      <c r="C32" s="92"/>
      <c r="D32" s="94"/>
      <c r="E32" s="94"/>
      <c r="F32" s="94"/>
      <c r="G32" s="94"/>
      <c r="H32" s="92"/>
      <c r="I32" s="92"/>
      <c r="J32" s="92"/>
      <c r="K32" s="92"/>
      <c r="L32" s="92"/>
      <c r="M32" s="92"/>
      <c r="N32" s="92"/>
      <c r="O32" s="92"/>
      <c r="P32" s="92"/>
      <c r="Q32" s="92"/>
      <c r="R32" s="92"/>
      <c r="S32" s="94"/>
    </row>
    <row r="33" spans="1:19" ht="18" customHeight="1" x14ac:dyDescent="0.15">
      <c r="A33" s="128" t="s">
        <v>114</v>
      </c>
      <c r="B33" s="128"/>
      <c r="C33" s="128"/>
      <c r="D33" s="128"/>
      <c r="E33" s="128"/>
      <c r="F33" s="128"/>
      <c r="G33" s="128"/>
      <c r="H33" s="128"/>
      <c r="I33" s="128"/>
      <c r="J33" s="128"/>
      <c r="K33" s="128"/>
      <c r="L33" s="128"/>
      <c r="M33" s="128"/>
      <c r="N33" s="128"/>
      <c r="O33" s="128"/>
      <c r="P33" s="128"/>
      <c r="Q33" s="128"/>
      <c r="R33" s="128"/>
      <c r="S33" s="128"/>
    </row>
    <row r="34" spans="1:19" ht="18" customHeight="1" x14ac:dyDescent="0.15">
      <c r="A34" s="128"/>
      <c r="B34" s="128"/>
      <c r="C34" s="128"/>
      <c r="D34" s="128"/>
      <c r="E34" s="128"/>
      <c r="F34" s="128"/>
      <c r="G34" s="128"/>
      <c r="H34" s="128"/>
      <c r="I34" s="128"/>
      <c r="J34" s="128"/>
      <c r="K34" s="128"/>
      <c r="L34" s="128"/>
      <c r="M34" s="128"/>
      <c r="N34" s="128"/>
      <c r="O34" s="128"/>
      <c r="P34" s="128"/>
      <c r="Q34" s="128"/>
      <c r="R34" s="128"/>
      <c r="S34" s="128"/>
    </row>
    <row r="35" spans="1:19" ht="18" customHeight="1" x14ac:dyDescent="0.15">
      <c r="B35" s="122" t="s">
        <v>53</v>
      </c>
      <c r="C35" s="123"/>
      <c r="D35" s="123"/>
      <c r="E35" s="124"/>
      <c r="F35" s="99" t="s">
        <v>80</v>
      </c>
      <c r="G35" s="100" t="s">
        <v>84</v>
      </c>
      <c r="H35" s="101" t="s">
        <v>71</v>
      </c>
      <c r="I35" s="101" t="s">
        <v>72</v>
      </c>
      <c r="J35" s="122" t="s">
        <v>53</v>
      </c>
      <c r="K35" s="123"/>
      <c r="L35" s="123"/>
      <c r="M35" s="123"/>
      <c r="N35" s="123"/>
      <c r="O35" s="124"/>
      <c r="P35" s="99" t="s">
        <v>80</v>
      </c>
      <c r="Q35" s="100" t="s">
        <v>84</v>
      </c>
      <c r="R35" s="101" t="s">
        <v>71</v>
      </c>
      <c r="S35" s="101" t="s">
        <v>72</v>
      </c>
    </row>
    <row r="36" spans="1:19" ht="18" customHeight="1" x14ac:dyDescent="0.15">
      <c r="B36" s="116" t="s">
        <v>133</v>
      </c>
      <c r="C36" s="117"/>
      <c r="D36" s="117"/>
      <c r="E36" s="118"/>
      <c r="F36" s="102">
        <v>2</v>
      </c>
      <c r="G36" s="102"/>
      <c r="H36" s="102" t="s">
        <v>131</v>
      </c>
      <c r="I36" s="102" t="s">
        <v>131</v>
      </c>
      <c r="J36" s="116"/>
      <c r="K36" s="117"/>
      <c r="L36" s="117"/>
      <c r="M36" s="117"/>
      <c r="N36" s="117"/>
      <c r="O36" s="118"/>
      <c r="P36" s="102"/>
      <c r="Q36" s="102"/>
      <c r="R36" s="102"/>
      <c r="S36" s="102"/>
    </row>
    <row r="37" spans="1:19" ht="18" customHeight="1" x14ac:dyDescent="0.15">
      <c r="B37" s="196" t="s">
        <v>161</v>
      </c>
      <c r="C37" s="197"/>
      <c r="D37" s="197"/>
      <c r="E37" s="198"/>
      <c r="F37" s="115">
        <v>2</v>
      </c>
      <c r="G37" s="115"/>
      <c r="H37" s="115" t="s">
        <v>131</v>
      </c>
      <c r="I37" s="115" t="s">
        <v>131</v>
      </c>
      <c r="J37" s="119"/>
      <c r="K37" s="120"/>
      <c r="L37" s="120"/>
      <c r="M37" s="120"/>
      <c r="N37" s="120"/>
      <c r="O37" s="121"/>
      <c r="P37" s="103"/>
      <c r="Q37" s="103"/>
      <c r="R37" s="103"/>
      <c r="S37" s="103"/>
    </row>
    <row r="38" spans="1:19" ht="18" customHeight="1" x14ac:dyDescent="0.15">
      <c r="B38" s="119"/>
      <c r="C38" s="120"/>
      <c r="D38" s="120"/>
      <c r="E38" s="121"/>
      <c r="F38" s="103"/>
      <c r="G38" s="103"/>
      <c r="H38" s="103"/>
      <c r="I38" s="103"/>
      <c r="J38" s="119"/>
      <c r="K38" s="120"/>
      <c r="L38" s="120"/>
      <c r="M38" s="120"/>
      <c r="N38" s="120"/>
      <c r="O38" s="121"/>
      <c r="P38" s="103"/>
      <c r="Q38" s="103"/>
      <c r="R38" s="103"/>
      <c r="S38" s="103"/>
    </row>
    <row r="39" spans="1:19" ht="18" customHeight="1" x14ac:dyDescent="0.15">
      <c r="B39" s="119"/>
      <c r="C39" s="120"/>
      <c r="D39" s="120"/>
      <c r="E39" s="121"/>
      <c r="F39" s="103"/>
      <c r="G39" s="103"/>
      <c r="H39" s="103"/>
      <c r="I39" s="103"/>
      <c r="J39" s="119"/>
      <c r="K39" s="120"/>
      <c r="L39" s="120"/>
      <c r="M39" s="120"/>
      <c r="N39" s="120"/>
      <c r="O39" s="121"/>
      <c r="P39" s="103"/>
      <c r="Q39" s="103"/>
      <c r="R39" s="103"/>
      <c r="S39" s="103"/>
    </row>
    <row r="40" spans="1:19" ht="18" customHeight="1" x14ac:dyDescent="0.15">
      <c r="B40" s="119"/>
      <c r="C40" s="120"/>
      <c r="D40" s="120"/>
      <c r="E40" s="121"/>
      <c r="F40" s="103"/>
      <c r="G40" s="103"/>
      <c r="H40" s="103"/>
      <c r="I40" s="103"/>
      <c r="J40" s="119"/>
      <c r="K40" s="120"/>
      <c r="L40" s="120"/>
      <c r="M40" s="120"/>
      <c r="N40" s="120"/>
      <c r="O40" s="121"/>
      <c r="P40" s="103"/>
      <c r="Q40" s="103"/>
      <c r="R40" s="103"/>
      <c r="S40" s="103"/>
    </row>
    <row r="41" spans="1:19" ht="18" customHeight="1" x14ac:dyDescent="0.15">
      <c r="B41" s="119"/>
      <c r="C41" s="120"/>
      <c r="D41" s="120"/>
      <c r="E41" s="121"/>
      <c r="F41" s="103"/>
      <c r="G41" s="103"/>
      <c r="H41" s="103"/>
      <c r="I41" s="103"/>
      <c r="J41" s="119"/>
      <c r="K41" s="120"/>
      <c r="L41" s="120"/>
      <c r="M41" s="120"/>
      <c r="N41" s="120"/>
      <c r="O41" s="121"/>
      <c r="P41" s="103"/>
      <c r="Q41" s="103"/>
      <c r="R41" s="103"/>
      <c r="S41" s="103"/>
    </row>
    <row r="42" spans="1:19" ht="18" customHeight="1" x14ac:dyDescent="0.15">
      <c r="B42" s="125"/>
      <c r="C42" s="126"/>
      <c r="D42" s="126"/>
      <c r="E42" s="127"/>
      <c r="F42" s="104"/>
      <c r="G42" s="104"/>
      <c r="H42" s="105"/>
      <c r="I42" s="105"/>
      <c r="J42" s="125"/>
      <c r="K42" s="126"/>
      <c r="L42" s="126"/>
      <c r="M42" s="126"/>
      <c r="N42" s="126"/>
      <c r="O42" s="127"/>
      <c r="P42" s="104"/>
      <c r="Q42" s="104"/>
      <c r="R42" s="105"/>
      <c r="S42" s="105"/>
    </row>
    <row r="43" spans="1:19" ht="7.5" customHeight="1" x14ac:dyDescent="0.15">
      <c r="A43" s="94"/>
      <c r="B43" s="92"/>
      <c r="C43" s="92"/>
      <c r="D43" s="94"/>
      <c r="E43" s="94"/>
      <c r="F43" s="94"/>
      <c r="G43" s="94"/>
      <c r="H43" s="92"/>
      <c r="I43" s="92"/>
      <c r="J43" s="92"/>
      <c r="K43" s="92"/>
      <c r="L43" s="92"/>
      <c r="M43" s="92"/>
      <c r="N43" s="92"/>
      <c r="O43" s="92"/>
      <c r="P43" s="92"/>
      <c r="Q43" s="92"/>
      <c r="R43" s="92"/>
      <c r="S43" s="94"/>
    </row>
    <row r="44" spans="1:19" ht="18" customHeight="1" x14ac:dyDescent="0.15">
      <c r="A44" s="128" t="s">
        <v>115</v>
      </c>
      <c r="B44" s="128"/>
      <c r="C44" s="128"/>
      <c r="D44" s="128"/>
      <c r="E44" s="128"/>
      <c r="F44" s="128"/>
      <c r="G44" s="128"/>
      <c r="H44" s="128"/>
      <c r="I44" s="128"/>
      <c r="J44" s="128"/>
      <c r="K44" s="128"/>
      <c r="L44" s="128"/>
      <c r="M44" s="128"/>
      <c r="N44" s="128"/>
      <c r="O44" s="128"/>
      <c r="P44" s="128"/>
      <c r="Q44" s="128"/>
      <c r="R44" s="128"/>
      <c r="S44" s="128"/>
    </row>
    <row r="45" spans="1:19" ht="18" customHeight="1" x14ac:dyDescent="0.15">
      <c r="A45" s="128"/>
      <c r="B45" s="128"/>
      <c r="C45" s="128"/>
      <c r="D45" s="128"/>
      <c r="E45" s="128"/>
      <c r="F45" s="128"/>
      <c r="G45" s="128"/>
      <c r="H45" s="128"/>
      <c r="I45" s="128"/>
      <c r="J45" s="128"/>
      <c r="K45" s="128"/>
      <c r="L45" s="128"/>
      <c r="M45" s="128"/>
      <c r="N45" s="128"/>
      <c r="O45" s="128"/>
      <c r="P45" s="128"/>
      <c r="Q45" s="128"/>
      <c r="R45" s="128"/>
      <c r="S45" s="128"/>
    </row>
    <row r="46" spans="1:19" ht="18" customHeight="1" x14ac:dyDescent="0.15">
      <c r="B46" s="122" t="s">
        <v>53</v>
      </c>
      <c r="C46" s="123"/>
      <c r="D46" s="123"/>
      <c r="E46" s="124"/>
      <c r="F46" s="99" t="s">
        <v>80</v>
      </c>
      <c r="G46" s="100" t="s">
        <v>84</v>
      </c>
      <c r="H46" s="101" t="s">
        <v>73</v>
      </c>
      <c r="I46" s="101" t="s">
        <v>74</v>
      </c>
      <c r="J46" s="122" t="s">
        <v>53</v>
      </c>
      <c r="K46" s="123"/>
      <c r="L46" s="123"/>
      <c r="M46" s="123"/>
      <c r="N46" s="123"/>
      <c r="O46" s="124"/>
      <c r="P46" s="99" t="s">
        <v>80</v>
      </c>
      <c r="Q46" s="100" t="s">
        <v>84</v>
      </c>
      <c r="R46" s="101" t="s">
        <v>73</v>
      </c>
      <c r="S46" s="101" t="s">
        <v>74</v>
      </c>
    </row>
    <row r="47" spans="1:19" ht="18" customHeight="1" x14ac:dyDescent="0.15">
      <c r="A47" s="94"/>
      <c r="B47" s="116" t="s">
        <v>133</v>
      </c>
      <c r="C47" s="117"/>
      <c r="D47" s="117"/>
      <c r="E47" s="118"/>
      <c r="F47" s="102">
        <v>2</v>
      </c>
      <c r="G47" s="102"/>
      <c r="H47" s="102" t="s">
        <v>131</v>
      </c>
      <c r="I47" s="102" t="s">
        <v>131</v>
      </c>
      <c r="J47" s="116"/>
      <c r="K47" s="117"/>
      <c r="L47" s="117"/>
      <c r="M47" s="117"/>
      <c r="N47" s="117"/>
      <c r="O47" s="118"/>
      <c r="P47" s="102"/>
      <c r="Q47" s="102"/>
      <c r="R47" s="102"/>
      <c r="S47" s="102"/>
    </row>
    <row r="48" spans="1:19" ht="18" customHeight="1" x14ac:dyDescent="0.15">
      <c r="A48" s="94"/>
      <c r="B48" s="196" t="s">
        <v>161</v>
      </c>
      <c r="C48" s="197"/>
      <c r="D48" s="197"/>
      <c r="E48" s="198"/>
      <c r="F48" s="115">
        <v>2</v>
      </c>
      <c r="G48" s="115"/>
      <c r="H48" s="115" t="s">
        <v>131</v>
      </c>
      <c r="I48" s="115" t="s">
        <v>131</v>
      </c>
      <c r="J48" s="119"/>
      <c r="K48" s="120"/>
      <c r="L48" s="120"/>
      <c r="M48" s="120"/>
      <c r="N48" s="120"/>
      <c r="O48" s="121"/>
      <c r="P48" s="103"/>
      <c r="Q48" s="103"/>
      <c r="R48" s="103"/>
      <c r="S48" s="103"/>
    </row>
    <row r="49" spans="1:19" ht="18" customHeight="1" x14ac:dyDescent="0.15">
      <c r="A49" s="94"/>
      <c r="B49" s="119"/>
      <c r="C49" s="120"/>
      <c r="D49" s="120"/>
      <c r="E49" s="121"/>
      <c r="F49" s="103"/>
      <c r="G49" s="103"/>
      <c r="H49" s="103"/>
      <c r="I49" s="103"/>
      <c r="J49" s="119"/>
      <c r="K49" s="120"/>
      <c r="L49" s="120"/>
      <c r="M49" s="120"/>
      <c r="N49" s="120"/>
      <c r="O49" s="121"/>
      <c r="P49" s="103"/>
      <c r="Q49" s="103"/>
      <c r="R49" s="103"/>
      <c r="S49" s="103"/>
    </row>
    <row r="50" spans="1:19" ht="18" customHeight="1" x14ac:dyDescent="0.15">
      <c r="A50" s="94"/>
      <c r="B50" s="119"/>
      <c r="C50" s="120"/>
      <c r="D50" s="120"/>
      <c r="E50" s="121"/>
      <c r="F50" s="103"/>
      <c r="G50" s="103"/>
      <c r="H50" s="103"/>
      <c r="I50" s="103"/>
      <c r="J50" s="119"/>
      <c r="K50" s="120"/>
      <c r="L50" s="120"/>
      <c r="M50" s="120"/>
      <c r="N50" s="120"/>
      <c r="O50" s="121"/>
      <c r="P50" s="103"/>
      <c r="Q50" s="103"/>
      <c r="R50" s="103"/>
      <c r="S50" s="103"/>
    </row>
    <row r="51" spans="1:19" ht="18" customHeight="1" x14ac:dyDescent="0.15">
      <c r="A51" s="94"/>
      <c r="B51" s="119"/>
      <c r="C51" s="120"/>
      <c r="D51" s="120"/>
      <c r="E51" s="121"/>
      <c r="F51" s="103"/>
      <c r="G51" s="103"/>
      <c r="H51" s="103"/>
      <c r="I51" s="103"/>
      <c r="J51" s="119"/>
      <c r="K51" s="120"/>
      <c r="L51" s="120"/>
      <c r="M51" s="120"/>
      <c r="N51" s="120"/>
      <c r="O51" s="121"/>
      <c r="P51" s="103"/>
      <c r="Q51" s="103"/>
      <c r="R51" s="103"/>
      <c r="S51" s="103"/>
    </row>
    <row r="52" spans="1:19" ht="18" customHeight="1" x14ac:dyDescent="0.15">
      <c r="A52" s="94"/>
      <c r="B52" s="119"/>
      <c r="C52" s="120"/>
      <c r="D52" s="120"/>
      <c r="E52" s="121"/>
      <c r="F52" s="103"/>
      <c r="G52" s="103"/>
      <c r="H52" s="103"/>
      <c r="I52" s="103"/>
      <c r="J52" s="119"/>
      <c r="K52" s="120"/>
      <c r="L52" s="120"/>
      <c r="M52" s="120"/>
      <c r="N52" s="120"/>
      <c r="O52" s="121"/>
      <c r="P52" s="103"/>
      <c r="Q52" s="103"/>
      <c r="R52" s="103"/>
      <c r="S52" s="103"/>
    </row>
    <row r="53" spans="1:19" ht="18" customHeight="1" x14ac:dyDescent="0.15">
      <c r="A53" s="94"/>
      <c r="B53" s="125"/>
      <c r="C53" s="126"/>
      <c r="D53" s="126"/>
      <c r="E53" s="127"/>
      <c r="F53" s="104"/>
      <c r="G53" s="104"/>
      <c r="H53" s="105"/>
      <c r="I53" s="105"/>
      <c r="J53" s="125"/>
      <c r="K53" s="126"/>
      <c r="L53" s="126"/>
      <c r="M53" s="126"/>
      <c r="N53" s="126"/>
      <c r="O53" s="127"/>
      <c r="P53" s="104"/>
      <c r="Q53" s="104"/>
      <c r="R53" s="105"/>
      <c r="S53" s="105"/>
    </row>
    <row r="54" spans="1:19" ht="7.5" customHeight="1" x14ac:dyDescent="0.15">
      <c r="B54" s="106"/>
      <c r="C54" s="106"/>
      <c r="D54" s="106"/>
      <c r="E54" s="106"/>
      <c r="F54" s="106"/>
      <c r="G54" s="106"/>
      <c r="H54" s="106"/>
      <c r="I54" s="106"/>
      <c r="J54" s="106"/>
      <c r="K54" s="106"/>
      <c r="L54" s="106"/>
      <c r="M54" s="106"/>
      <c r="N54" s="106"/>
      <c r="O54" s="106"/>
      <c r="P54" s="106"/>
      <c r="Q54" s="106"/>
      <c r="R54" s="106"/>
    </row>
    <row r="55" spans="1:19" ht="18" customHeight="1" x14ac:dyDescent="0.15">
      <c r="A55" s="128" t="s">
        <v>116</v>
      </c>
      <c r="B55" s="128"/>
      <c r="C55" s="128"/>
      <c r="D55" s="128"/>
      <c r="E55" s="128"/>
      <c r="F55" s="128"/>
      <c r="G55" s="128"/>
      <c r="H55" s="128"/>
      <c r="I55" s="128"/>
      <c r="J55" s="128"/>
      <c r="K55" s="128"/>
      <c r="L55" s="128"/>
      <c r="M55" s="128"/>
      <c r="N55" s="128"/>
      <c r="O55" s="128"/>
      <c r="P55" s="128"/>
      <c r="Q55" s="128"/>
      <c r="R55" s="128"/>
      <c r="S55" s="128"/>
    </row>
    <row r="56" spans="1:19" ht="18" customHeight="1" x14ac:dyDescent="0.15">
      <c r="A56" s="128"/>
      <c r="B56" s="128"/>
      <c r="C56" s="128"/>
      <c r="D56" s="128"/>
      <c r="E56" s="128"/>
      <c r="F56" s="128"/>
      <c r="G56" s="128"/>
      <c r="H56" s="128"/>
      <c r="I56" s="128"/>
      <c r="J56" s="128"/>
      <c r="K56" s="128"/>
      <c r="L56" s="128"/>
      <c r="M56" s="128"/>
      <c r="N56" s="128"/>
      <c r="O56" s="128"/>
      <c r="P56" s="128"/>
      <c r="Q56" s="128"/>
      <c r="R56" s="128"/>
      <c r="S56" s="128"/>
    </row>
    <row r="57" spans="1:19" ht="18" customHeight="1" x14ac:dyDescent="0.15">
      <c r="B57" s="122" t="s">
        <v>53</v>
      </c>
      <c r="C57" s="123"/>
      <c r="D57" s="123"/>
      <c r="E57" s="124"/>
      <c r="F57" s="99" t="s">
        <v>80</v>
      </c>
      <c r="G57" s="100" t="s">
        <v>84</v>
      </c>
      <c r="H57" s="101" t="s">
        <v>58</v>
      </c>
      <c r="I57" s="101" t="s">
        <v>60</v>
      </c>
      <c r="J57" s="122" t="s">
        <v>53</v>
      </c>
      <c r="K57" s="123"/>
      <c r="L57" s="123"/>
      <c r="M57" s="123"/>
      <c r="N57" s="123"/>
      <c r="O57" s="124"/>
      <c r="P57" s="99" t="s">
        <v>80</v>
      </c>
      <c r="Q57" s="100" t="s">
        <v>84</v>
      </c>
      <c r="R57" s="101" t="s">
        <v>58</v>
      </c>
      <c r="S57" s="101" t="s">
        <v>60</v>
      </c>
    </row>
    <row r="58" spans="1:19" ht="18" customHeight="1" x14ac:dyDescent="0.15">
      <c r="A58" s="94"/>
      <c r="B58" s="116" t="s">
        <v>133</v>
      </c>
      <c r="C58" s="117"/>
      <c r="D58" s="117"/>
      <c r="E58" s="118"/>
      <c r="F58" s="102">
        <v>2</v>
      </c>
      <c r="G58" s="102"/>
      <c r="H58" s="102" t="s">
        <v>131</v>
      </c>
      <c r="I58" s="102" t="s">
        <v>131</v>
      </c>
      <c r="J58" s="116"/>
      <c r="K58" s="117"/>
      <c r="L58" s="117"/>
      <c r="M58" s="117"/>
      <c r="N58" s="117"/>
      <c r="O58" s="118"/>
      <c r="P58" s="102"/>
      <c r="Q58" s="102"/>
      <c r="R58" s="102"/>
      <c r="S58" s="102"/>
    </row>
    <row r="59" spans="1:19" ht="18" customHeight="1" x14ac:dyDescent="0.15">
      <c r="A59" s="94"/>
      <c r="B59" s="196" t="s">
        <v>159</v>
      </c>
      <c r="C59" s="197"/>
      <c r="D59" s="197"/>
      <c r="E59" s="198"/>
      <c r="F59" s="115">
        <v>2</v>
      </c>
      <c r="G59" s="115"/>
      <c r="H59" s="115" t="s">
        <v>131</v>
      </c>
      <c r="I59" s="115" t="s">
        <v>131</v>
      </c>
      <c r="J59" s="119"/>
      <c r="K59" s="120"/>
      <c r="L59" s="120"/>
      <c r="M59" s="120"/>
      <c r="N59" s="120"/>
      <c r="O59" s="121"/>
      <c r="P59" s="103"/>
      <c r="Q59" s="103"/>
      <c r="R59" s="103"/>
      <c r="S59" s="103"/>
    </row>
    <row r="60" spans="1:19" ht="18" customHeight="1" x14ac:dyDescent="0.15">
      <c r="A60" s="94"/>
      <c r="B60" s="119"/>
      <c r="C60" s="120"/>
      <c r="D60" s="120"/>
      <c r="E60" s="121"/>
      <c r="F60" s="103"/>
      <c r="G60" s="103"/>
      <c r="H60" s="103"/>
      <c r="I60" s="103"/>
      <c r="J60" s="119"/>
      <c r="K60" s="120"/>
      <c r="L60" s="120"/>
      <c r="M60" s="120"/>
      <c r="N60" s="120"/>
      <c r="O60" s="121"/>
      <c r="P60" s="103"/>
      <c r="Q60" s="103"/>
      <c r="R60" s="103"/>
      <c r="S60" s="103"/>
    </row>
    <row r="61" spans="1:19" ht="18" customHeight="1" x14ac:dyDescent="0.15">
      <c r="A61" s="94"/>
      <c r="B61" s="119"/>
      <c r="C61" s="120"/>
      <c r="D61" s="120"/>
      <c r="E61" s="121"/>
      <c r="F61" s="103"/>
      <c r="G61" s="103"/>
      <c r="H61" s="103"/>
      <c r="I61" s="103"/>
      <c r="J61" s="119"/>
      <c r="K61" s="120"/>
      <c r="L61" s="120"/>
      <c r="M61" s="120"/>
      <c r="N61" s="120"/>
      <c r="O61" s="121"/>
      <c r="P61" s="103"/>
      <c r="Q61" s="103"/>
      <c r="R61" s="103"/>
      <c r="S61" s="103"/>
    </row>
    <row r="62" spans="1:19" ht="18" customHeight="1" x14ac:dyDescent="0.15">
      <c r="A62" s="94"/>
      <c r="B62" s="119"/>
      <c r="C62" s="120"/>
      <c r="D62" s="120"/>
      <c r="E62" s="121"/>
      <c r="F62" s="103"/>
      <c r="G62" s="103"/>
      <c r="H62" s="103"/>
      <c r="I62" s="103"/>
      <c r="J62" s="119"/>
      <c r="K62" s="120"/>
      <c r="L62" s="120"/>
      <c r="M62" s="120"/>
      <c r="N62" s="120"/>
      <c r="O62" s="121"/>
      <c r="P62" s="103"/>
      <c r="Q62" s="103"/>
      <c r="R62" s="103"/>
      <c r="S62" s="103"/>
    </row>
    <row r="63" spans="1:19" ht="18" customHeight="1" x14ac:dyDescent="0.15">
      <c r="A63" s="94"/>
      <c r="B63" s="119"/>
      <c r="C63" s="120"/>
      <c r="D63" s="120"/>
      <c r="E63" s="121"/>
      <c r="F63" s="103"/>
      <c r="G63" s="103"/>
      <c r="H63" s="103"/>
      <c r="I63" s="103"/>
      <c r="J63" s="119"/>
      <c r="K63" s="120"/>
      <c r="L63" s="120"/>
      <c r="M63" s="120"/>
      <c r="N63" s="120"/>
      <c r="O63" s="121"/>
      <c r="P63" s="103"/>
      <c r="Q63" s="103"/>
      <c r="R63" s="103"/>
      <c r="S63" s="103"/>
    </row>
    <row r="64" spans="1:19" ht="18" customHeight="1" x14ac:dyDescent="0.15">
      <c r="A64" s="94"/>
      <c r="B64" s="125"/>
      <c r="C64" s="126"/>
      <c r="D64" s="126"/>
      <c r="E64" s="127"/>
      <c r="F64" s="104"/>
      <c r="G64" s="104"/>
      <c r="H64" s="105"/>
      <c r="I64" s="105"/>
      <c r="J64" s="125"/>
      <c r="K64" s="126"/>
      <c r="L64" s="126"/>
      <c r="M64" s="126"/>
      <c r="N64" s="126"/>
      <c r="O64" s="127"/>
      <c r="P64" s="104"/>
      <c r="Q64" s="104"/>
      <c r="R64" s="105"/>
      <c r="S64" s="105"/>
    </row>
    <row r="65" spans="1:19" ht="7.5" customHeight="1" x14ac:dyDescent="0.15">
      <c r="B65" s="106"/>
      <c r="C65" s="106"/>
      <c r="D65" s="106"/>
      <c r="E65" s="106"/>
      <c r="F65" s="106"/>
      <c r="G65" s="106"/>
      <c r="H65" s="106"/>
      <c r="I65" s="106"/>
      <c r="J65" s="106"/>
      <c r="K65" s="106"/>
      <c r="L65" s="106"/>
      <c r="M65" s="106"/>
      <c r="N65" s="106"/>
      <c r="O65" s="106"/>
      <c r="P65" s="106"/>
      <c r="Q65" s="106"/>
      <c r="R65" s="106"/>
    </row>
    <row r="66" spans="1:19" ht="18" customHeight="1" x14ac:dyDescent="0.15">
      <c r="A66" s="128" t="s">
        <v>117</v>
      </c>
      <c r="B66" s="128"/>
      <c r="C66" s="128"/>
      <c r="D66" s="128"/>
      <c r="E66" s="128"/>
      <c r="F66" s="128"/>
      <c r="G66" s="128"/>
      <c r="H66" s="128"/>
      <c r="I66" s="128"/>
      <c r="J66" s="128"/>
      <c r="K66" s="128"/>
      <c r="L66" s="128"/>
      <c r="M66" s="128"/>
      <c r="N66" s="128"/>
      <c r="O66" s="128"/>
      <c r="P66" s="128"/>
      <c r="Q66" s="128"/>
      <c r="R66" s="128"/>
      <c r="S66" s="128"/>
    </row>
    <row r="67" spans="1:19" ht="18" customHeight="1" x14ac:dyDescent="0.15">
      <c r="A67" s="128"/>
      <c r="B67" s="128"/>
      <c r="C67" s="128"/>
      <c r="D67" s="128"/>
      <c r="E67" s="128"/>
      <c r="F67" s="128"/>
      <c r="G67" s="128"/>
      <c r="H67" s="128"/>
      <c r="I67" s="128"/>
      <c r="J67" s="128"/>
      <c r="K67" s="128"/>
      <c r="L67" s="128"/>
      <c r="M67" s="128"/>
      <c r="N67" s="128"/>
      <c r="O67" s="128"/>
      <c r="P67" s="128"/>
      <c r="Q67" s="128"/>
      <c r="R67" s="128"/>
      <c r="S67" s="128"/>
    </row>
    <row r="68" spans="1:19" ht="18" customHeight="1" x14ac:dyDescent="0.15">
      <c r="B68" s="122" t="s">
        <v>53</v>
      </c>
      <c r="C68" s="123"/>
      <c r="D68" s="123"/>
      <c r="E68" s="99" t="s">
        <v>80</v>
      </c>
      <c r="F68" s="100" t="s">
        <v>84</v>
      </c>
      <c r="G68" s="101" t="s">
        <v>101</v>
      </c>
      <c r="H68" s="101" t="s">
        <v>75</v>
      </c>
      <c r="I68" s="101" t="s">
        <v>76</v>
      </c>
      <c r="J68" s="122" t="s">
        <v>53</v>
      </c>
      <c r="K68" s="123"/>
      <c r="L68" s="123"/>
      <c r="M68" s="123"/>
      <c r="N68" s="124"/>
      <c r="O68" s="99" t="s">
        <v>80</v>
      </c>
      <c r="P68" s="100" t="s">
        <v>84</v>
      </c>
      <c r="Q68" s="101" t="s">
        <v>101</v>
      </c>
      <c r="R68" s="101" t="s">
        <v>75</v>
      </c>
      <c r="S68" s="101" t="s">
        <v>76</v>
      </c>
    </row>
    <row r="69" spans="1:19" ht="18" customHeight="1" x14ac:dyDescent="0.15">
      <c r="A69" s="94"/>
      <c r="B69" s="116" t="s">
        <v>133</v>
      </c>
      <c r="C69" s="117"/>
      <c r="D69" s="117"/>
      <c r="E69" s="102">
        <v>2</v>
      </c>
      <c r="F69" s="102"/>
      <c r="G69" s="102" t="s">
        <v>131</v>
      </c>
      <c r="H69" s="102" t="s">
        <v>131</v>
      </c>
      <c r="I69" s="102" t="s">
        <v>131</v>
      </c>
      <c r="J69" s="116"/>
      <c r="K69" s="117"/>
      <c r="L69" s="117"/>
      <c r="M69" s="117"/>
      <c r="N69" s="118"/>
      <c r="O69" s="102"/>
      <c r="P69" s="102"/>
      <c r="Q69" s="102"/>
      <c r="R69" s="102"/>
      <c r="S69" s="102"/>
    </row>
    <row r="70" spans="1:19" ht="18" customHeight="1" x14ac:dyDescent="0.15">
      <c r="A70" s="94"/>
      <c r="B70" s="196" t="s">
        <v>162</v>
      </c>
      <c r="C70" s="197"/>
      <c r="D70" s="197"/>
      <c r="E70" s="115">
        <v>2</v>
      </c>
      <c r="F70" s="115"/>
      <c r="G70" s="115" t="s">
        <v>131</v>
      </c>
      <c r="H70" s="115" t="s">
        <v>131</v>
      </c>
      <c r="I70" s="115" t="s">
        <v>131</v>
      </c>
      <c r="J70" s="119"/>
      <c r="K70" s="120"/>
      <c r="L70" s="120"/>
      <c r="M70" s="120"/>
      <c r="N70" s="121"/>
      <c r="O70" s="103"/>
      <c r="P70" s="103"/>
      <c r="Q70" s="103"/>
      <c r="R70" s="103"/>
      <c r="S70" s="103"/>
    </row>
    <row r="71" spans="1:19" ht="18" customHeight="1" x14ac:dyDescent="0.15">
      <c r="A71" s="94"/>
      <c r="B71" s="119"/>
      <c r="C71" s="120"/>
      <c r="D71" s="120"/>
      <c r="E71" s="103"/>
      <c r="F71" s="103"/>
      <c r="G71" s="103"/>
      <c r="H71" s="103"/>
      <c r="I71" s="103"/>
      <c r="J71" s="119"/>
      <c r="K71" s="120"/>
      <c r="L71" s="120"/>
      <c r="M71" s="120"/>
      <c r="N71" s="121"/>
      <c r="O71" s="103"/>
      <c r="P71" s="103"/>
      <c r="Q71" s="103"/>
      <c r="R71" s="103"/>
      <c r="S71" s="103"/>
    </row>
    <row r="72" spans="1:19" ht="18" customHeight="1" x14ac:dyDescent="0.15">
      <c r="A72" s="94"/>
      <c r="B72" s="119"/>
      <c r="C72" s="120"/>
      <c r="D72" s="120"/>
      <c r="E72" s="103"/>
      <c r="F72" s="103"/>
      <c r="G72" s="103"/>
      <c r="H72" s="103"/>
      <c r="I72" s="103"/>
      <c r="J72" s="119"/>
      <c r="K72" s="120"/>
      <c r="L72" s="120"/>
      <c r="M72" s="120"/>
      <c r="N72" s="121"/>
      <c r="O72" s="103"/>
      <c r="P72" s="103"/>
      <c r="Q72" s="103"/>
      <c r="R72" s="103"/>
      <c r="S72" s="103"/>
    </row>
    <row r="73" spans="1:19" ht="18" customHeight="1" x14ac:dyDescent="0.15">
      <c r="A73" s="94"/>
      <c r="B73" s="119"/>
      <c r="C73" s="120"/>
      <c r="D73" s="120"/>
      <c r="E73" s="103"/>
      <c r="F73" s="103"/>
      <c r="G73" s="103"/>
      <c r="H73" s="103"/>
      <c r="I73" s="103"/>
      <c r="J73" s="119"/>
      <c r="K73" s="120"/>
      <c r="L73" s="120"/>
      <c r="M73" s="120"/>
      <c r="N73" s="121"/>
      <c r="O73" s="103"/>
      <c r="P73" s="103"/>
      <c r="Q73" s="103"/>
      <c r="R73" s="103"/>
      <c r="S73" s="103"/>
    </row>
    <row r="74" spans="1:19" ht="18" customHeight="1" x14ac:dyDescent="0.15">
      <c r="A74" s="94"/>
      <c r="B74" s="119"/>
      <c r="C74" s="120"/>
      <c r="D74" s="120"/>
      <c r="E74" s="103"/>
      <c r="F74" s="103"/>
      <c r="G74" s="103"/>
      <c r="H74" s="103"/>
      <c r="I74" s="103"/>
      <c r="J74" s="119"/>
      <c r="K74" s="120"/>
      <c r="L74" s="120"/>
      <c r="M74" s="120"/>
      <c r="N74" s="121"/>
      <c r="O74" s="103"/>
      <c r="P74" s="103"/>
      <c r="Q74" s="103"/>
      <c r="R74" s="103"/>
      <c r="S74" s="103"/>
    </row>
    <row r="75" spans="1:19" ht="18" customHeight="1" x14ac:dyDescent="0.15">
      <c r="A75" s="94"/>
      <c r="B75" s="125"/>
      <c r="C75" s="126"/>
      <c r="D75" s="126"/>
      <c r="E75" s="104"/>
      <c r="F75" s="104"/>
      <c r="G75" s="105"/>
      <c r="H75" s="105"/>
      <c r="I75" s="105"/>
      <c r="J75" s="125"/>
      <c r="K75" s="126"/>
      <c r="L75" s="126"/>
      <c r="M75" s="126"/>
      <c r="N75" s="127"/>
      <c r="O75" s="104"/>
      <c r="P75" s="104"/>
      <c r="Q75" s="105"/>
      <c r="R75" s="105"/>
      <c r="S75" s="105"/>
    </row>
    <row r="76" spans="1:19" ht="7.5" customHeight="1" x14ac:dyDescent="0.15">
      <c r="B76" s="106"/>
      <c r="C76" s="106"/>
      <c r="D76" s="106"/>
      <c r="E76" s="106"/>
      <c r="F76" s="106"/>
      <c r="G76" s="106"/>
      <c r="H76" s="106"/>
      <c r="I76" s="106"/>
      <c r="J76" s="106"/>
      <c r="K76" s="106"/>
      <c r="L76" s="106"/>
      <c r="M76" s="106"/>
      <c r="N76" s="106"/>
      <c r="O76" s="106"/>
      <c r="P76" s="106"/>
      <c r="Q76" s="106"/>
      <c r="R76" s="106"/>
    </row>
    <row r="77" spans="1:19" ht="18" customHeight="1" x14ac:dyDescent="0.15">
      <c r="A77" s="88" t="s">
        <v>118</v>
      </c>
      <c r="H77" s="94"/>
      <c r="I77" s="94"/>
      <c r="J77" s="94"/>
      <c r="K77" s="94"/>
      <c r="L77" s="94"/>
      <c r="M77" s="94"/>
      <c r="N77" s="94"/>
      <c r="O77" s="94"/>
      <c r="P77" s="94"/>
      <c r="Q77" s="94"/>
      <c r="R77" s="94"/>
      <c r="S77" s="94"/>
    </row>
    <row r="78" spans="1:19" ht="18" customHeight="1" x14ac:dyDescent="0.15">
      <c r="B78" s="122" t="s">
        <v>53</v>
      </c>
      <c r="C78" s="123"/>
      <c r="D78" s="123"/>
      <c r="E78" s="124"/>
      <c r="F78" s="122" t="s">
        <v>82</v>
      </c>
      <c r="G78" s="123"/>
      <c r="H78" s="123"/>
      <c r="I78" s="124"/>
      <c r="J78" s="147" t="s">
        <v>53</v>
      </c>
      <c r="K78" s="148"/>
      <c r="L78" s="148"/>
      <c r="M78" s="148"/>
      <c r="N78" s="148"/>
      <c r="O78" s="149"/>
      <c r="P78" s="122" t="s">
        <v>82</v>
      </c>
      <c r="Q78" s="123"/>
      <c r="R78" s="123"/>
      <c r="S78" s="124"/>
    </row>
    <row r="79" spans="1:19" ht="18" customHeight="1" x14ac:dyDescent="0.15">
      <c r="A79" s="94"/>
      <c r="B79" s="116"/>
      <c r="C79" s="117"/>
      <c r="D79" s="117"/>
      <c r="E79" s="118"/>
      <c r="F79" s="141"/>
      <c r="G79" s="142"/>
      <c r="H79" s="142"/>
      <c r="I79" s="143"/>
      <c r="J79" s="116"/>
      <c r="K79" s="117"/>
      <c r="L79" s="117"/>
      <c r="M79" s="117"/>
      <c r="N79" s="117"/>
      <c r="O79" s="118"/>
      <c r="P79" s="141"/>
      <c r="Q79" s="142"/>
      <c r="R79" s="142"/>
      <c r="S79" s="143"/>
    </row>
    <row r="80" spans="1:19" ht="18" customHeight="1" x14ac:dyDescent="0.15">
      <c r="A80" s="94"/>
      <c r="B80" s="119"/>
      <c r="C80" s="120"/>
      <c r="D80" s="120"/>
      <c r="E80" s="121"/>
      <c r="F80" s="144"/>
      <c r="G80" s="145"/>
      <c r="H80" s="145"/>
      <c r="I80" s="146"/>
      <c r="J80" s="119"/>
      <c r="K80" s="120"/>
      <c r="L80" s="120"/>
      <c r="M80" s="120"/>
      <c r="N80" s="120"/>
      <c r="O80" s="121"/>
      <c r="P80" s="144"/>
      <c r="Q80" s="145"/>
      <c r="R80" s="145"/>
      <c r="S80" s="146"/>
    </row>
    <row r="81" spans="1:19" ht="18" customHeight="1" x14ac:dyDescent="0.15">
      <c r="A81" s="94"/>
      <c r="B81" s="119"/>
      <c r="C81" s="120"/>
      <c r="D81" s="120"/>
      <c r="E81" s="121"/>
      <c r="F81" s="144"/>
      <c r="G81" s="145"/>
      <c r="H81" s="145"/>
      <c r="I81" s="146"/>
      <c r="J81" s="119"/>
      <c r="K81" s="120"/>
      <c r="L81" s="120"/>
      <c r="M81" s="120"/>
      <c r="N81" s="120"/>
      <c r="O81" s="121"/>
      <c r="P81" s="144"/>
      <c r="Q81" s="145"/>
      <c r="R81" s="145"/>
      <c r="S81" s="146"/>
    </row>
    <row r="82" spans="1:19" ht="18" customHeight="1" x14ac:dyDescent="0.15">
      <c r="A82" s="94"/>
      <c r="B82" s="119"/>
      <c r="C82" s="120"/>
      <c r="D82" s="120"/>
      <c r="E82" s="121"/>
      <c r="F82" s="144"/>
      <c r="G82" s="145"/>
      <c r="H82" s="145"/>
      <c r="I82" s="146"/>
      <c r="J82" s="119"/>
      <c r="K82" s="120"/>
      <c r="L82" s="120"/>
      <c r="M82" s="120"/>
      <c r="N82" s="120"/>
      <c r="O82" s="121"/>
      <c r="P82" s="144"/>
      <c r="Q82" s="145"/>
      <c r="R82" s="145"/>
      <c r="S82" s="146"/>
    </row>
    <row r="83" spans="1:19" ht="18" customHeight="1" x14ac:dyDescent="0.15">
      <c r="A83" s="94"/>
      <c r="B83" s="119"/>
      <c r="C83" s="120"/>
      <c r="D83" s="120"/>
      <c r="E83" s="121"/>
      <c r="F83" s="144"/>
      <c r="G83" s="145"/>
      <c r="H83" s="145"/>
      <c r="I83" s="146"/>
      <c r="J83" s="119"/>
      <c r="K83" s="120"/>
      <c r="L83" s="120"/>
      <c r="M83" s="120"/>
      <c r="N83" s="120"/>
      <c r="O83" s="121"/>
      <c r="P83" s="144"/>
      <c r="Q83" s="145"/>
      <c r="R83" s="145"/>
      <c r="S83" s="146"/>
    </row>
    <row r="84" spans="1:19" ht="18" customHeight="1" x14ac:dyDescent="0.15">
      <c r="A84" s="94"/>
      <c r="B84" s="119"/>
      <c r="C84" s="120"/>
      <c r="D84" s="120"/>
      <c r="E84" s="121"/>
      <c r="F84" s="144"/>
      <c r="G84" s="145"/>
      <c r="H84" s="145"/>
      <c r="I84" s="146"/>
      <c r="J84" s="119"/>
      <c r="K84" s="120"/>
      <c r="L84" s="120"/>
      <c r="M84" s="120"/>
      <c r="N84" s="120"/>
      <c r="O84" s="121"/>
      <c r="P84" s="144"/>
      <c r="Q84" s="145"/>
      <c r="R84" s="145"/>
      <c r="S84" s="146"/>
    </row>
    <row r="85" spans="1:19" ht="18" customHeight="1" x14ac:dyDescent="0.15">
      <c r="A85" s="94"/>
      <c r="B85" s="125"/>
      <c r="C85" s="126"/>
      <c r="D85" s="126"/>
      <c r="E85" s="127"/>
      <c r="F85" s="153"/>
      <c r="G85" s="154"/>
      <c r="H85" s="154"/>
      <c r="I85" s="155"/>
      <c r="J85" s="125"/>
      <c r="K85" s="126"/>
      <c r="L85" s="126"/>
      <c r="M85" s="126"/>
      <c r="N85" s="126"/>
      <c r="O85" s="127"/>
      <c r="P85" s="153"/>
      <c r="Q85" s="154"/>
      <c r="R85" s="154"/>
      <c r="S85" s="155"/>
    </row>
    <row r="86" spans="1:19" ht="18" customHeight="1" x14ac:dyDescent="0.15">
      <c r="A86" s="94"/>
      <c r="B86" s="92"/>
      <c r="C86" s="92"/>
      <c r="D86" s="92"/>
      <c r="E86" s="92"/>
      <c r="F86" s="107"/>
      <c r="G86" s="107"/>
      <c r="H86" s="107"/>
      <c r="I86" s="107"/>
      <c r="J86" s="92"/>
      <c r="K86" s="92"/>
      <c r="L86" s="92"/>
      <c r="M86" s="92"/>
      <c r="N86" s="92"/>
      <c r="O86" s="92"/>
      <c r="P86" s="107"/>
      <c r="Q86" s="107"/>
      <c r="R86" s="107"/>
      <c r="S86" s="107"/>
    </row>
    <row r="87" spans="1:19" ht="18.75" customHeight="1" x14ac:dyDescent="0.15">
      <c r="A87" s="88" t="s">
        <v>119</v>
      </c>
    </row>
    <row r="88" spans="1:19" ht="18.75" customHeight="1" x14ac:dyDescent="0.15">
      <c r="B88" s="139" t="s">
        <v>54</v>
      </c>
      <c r="C88" s="140"/>
      <c r="D88" s="123" t="s">
        <v>55</v>
      </c>
      <c r="E88" s="123"/>
      <c r="F88" s="123"/>
      <c r="G88" s="123"/>
      <c r="H88" s="123"/>
      <c r="I88" s="123"/>
      <c r="J88" s="123"/>
      <c r="K88" s="123"/>
      <c r="L88" s="123"/>
      <c r="M88" s="123"/>
      <c r="N88" s="123"/>
      <c r="O88" s="123"/>
      <c r="P88" s="123"/>
      <c r="Q88" s="123"/>
      <c r="R88" s="123"/>
      <c r="S88" s="124"/>
    </row>
    <row r="89" spans="1:19" ht="97.5" customHeight="1" x14ac:dyDescent="0.15">
      <c r="B89" s="129" t="s">
        <v>61</v>
      </c>
      <c r="C89" s="108" t="s">
        <v>56</v>
      </c>
      <c r="D89" s="136" t="s">
        <v>238</v>
      </c>
      <c r="E89" s="137"/>
      <c r="F89" s="137"/>
      <c r="G89" s="137"/>
      <c r="H89" s="137"/>
      <c r="I89" s="137"/>
      <c r="J89" s="137"/>
      <c r="K89" s="137"/>
      <c r="L89" s="137"/>
      <c r="M89" s="137"/>
      <c r="N89" s="137"/>
      <c r="O89" s="137"/>
      <c r="P89" s="137"/>
      <c r="Q89" s="137"/>
      <c r="R89" s="137"/>
      <c r="S89" s="138"/>
    </row>
    <row r="90" spans="1:19" ht="97.5" customHeight="1" x14ac:dyDescent="0.15">
      <c r="B90" s="130"/>
      <c r="C90" s="109" t="s">
        <v>77</v>
      </c>
      <c r="D90" s="199" t="s">
        <v>239</v>
      </c>
      <c r="E90" s="156"/>
      <c r="F90" s="156"/>
      <c r="G90" s="156"/>
      <c r="H90" s="156"/>
      <c r="I90" s="156"/>
      <c r="J90" s="156"/>
      <c r="K90" s="156"/>
      <c r="L90" s="156"/>
      <c r="M90" s="156"/>
      <c r="N90" s="156"/>
      <c r="O90" s="156"/>
      <c r="P90" s="156"/>
      <c r="Q90" s="156"/>
      <c r="R90" s="156"/>
      <c r="S90" s="157"/>
    </row>
    <row r="91" spans="1:19" ht="97.5" customHeight="1" x14ac:dyDescent="0.15">
      <c r="B91" s="129" t="s">
        <v>62</v>
      </c>
      <c r="C91" s="110" t="s">
        <v>71</v>
      </c>
      <c r="D91" s="158" t="s">
        <v>240</v>
      </c>
      <c r="E91" s="159"/>
      <c r="F91" s="159"/>
      <c r="G91" s="159"/>
      <c r="H91" s="159"/>
      <c r="I91" s="159"/>
      <c r="J91" s="159"/>
      <c r="K91" s="159"/>
      <c r="L91" s="159"/>
      <c r="M91" s="159"/>
      <c r="N91" s="159"/>
      <c r="O91" s="159"/>
      <c r="P91" s="159"/>
      <c r="Q91" s="159"/>
      <c r="R91" s="159"/>
      <c r="S91" s="160"/>
    </row>
    <row r="92" spans="1:19" ht="97.5" customHeight="1" x14ac:dyDescent="0.15">
      <c r="B92" s="131"/>
      <c r="C92" s="111" t="s">
        <v>72</v>
      </c>
      <c r="D92" s="163" t="s">
        <v>241</v>
      </c>
      <c r="E92" s="164"/>
      <c r="F92" s="164"/>
      <c r="G92" s="164"/>
      <c r="H92" s="164"/>
      <c r="I92" s="164"/>
      <c r="J92" s="164"/>
      <c r="K92" s="164"/>
      <c r="L92" s="164"/>
      <c r="M92" s="164"/>
      <c r="N92" s="164"/>
      <c r="O92" s="164"/>
      <c r="P92" s="164"/>
      <c r="Q92" s="164"/>
      <c r="R92" s="164"/>
      <c r="S92" s="165"/>
    </row>
    <row r="93" spans="1:19" ht="97.5" customHeight="1" x14ac:dyDescent="0.15">
      <c r="B93" s="129" t="s">
        <v>63</v>
      </c>
      <c r="C93" s="110" t="s">
        <v>73</v>
      </c>
      <c r="D93" s="202" t="s">
        <v>242</v>
      </c>
      <c r="E93" s="203"/>
      <c r="F93" s="203"/>
      <c r="G93" s="203"/>
      <c r="H93" s="203"/>
      <c r="I93" s="203"/>
      <c r="J93" s="203"/>
      <c r="K93" s="203"/>
      <c r="L93" s="203"/>
      <c r="M93" s="203"/>
      <c r="N93" s="203"/>
      <c r="O93" s="203"/>
      <c r="P93" s="203"/>
      <c r="Q93" s="203"/>
      <c r="R93" s="203"/>
      <c r="S93" s="204"/>
    </row>
    <row r="94" spans="1:19" ht="97.5" customHeight="1" x14ac:dyDescent="0.15">
      <c r="B94" s="131"/>
      <c r="C94" s="112" t="s">
        <v>74</v>
      </c>
      <c r="D94" s="161" t="s">
        <v>243</v>
      </c>
      <c r="E94" s="161"/>
      <c r="F94" s="161"/>
      <c r="G94" s="161"/>
      <c r="H94" s="161"/>
      <c r="I94" s="161"/>
      <c r="J94" s="161"/>
      <c r="K94" s="161"/>
      <c r="L94" s="161"/>
      <c r="M94" s="161"/>
      <c r="N94" s="161"/>
      <c r="O94" s="161"/>
      <c r="P94" s="161"/>
      <c r="Q94" s="161"/>
      <c r="R94" s="161"/>
      <c r="S94" s="162"/>
    </row>
    <row r="95" spans="1:19" ht="97.5" customHeight="1" x14ac:dyDescent="0.15">
      <c r="B95" s="129" t="s">
        <v>78</v>
      </c>
      <c r="C95" s="108" t="s">
        <v>58</v>
      </c>
      <c r="D95" s="205" t="s">
        <v>244</v>
      </c>
      <c r="E95" s="206"/>
      <c r="F95" s="206"/>
      <c r="G95" s="206"/>
      <c r="H95" s="206"/>
      <c r="I95" s="206"/>
      <c r="J95" s="206"/>
      <c r="K95" s="206"/>
      <c r="L95" s="206"/>
      <c r="M95" s="206"/>
      <c r="N95" s="206"/>
      <c r="O95" s="206"/>
      <c r="P95" s="206"/>
      <c r="Q95" s="206"/>
      <c r="R95" s="206"/>
      <c r="S95" s="207"/>
    </row>
    <row r="96" spans="1:19" ht="97.5" customHeight="1" x14ac:dyDescent="0.15">
      <c r="B96" s="131"/>
      <c r="C96" s="111" t="s">
        <v>60</v>
      </c>
      <c r="D96" s="163" t="s">
        <v>245</v>
      </c>
      <c r="E96" s="163"/>
      <c r="F96" s="163"/>
      <c r="G96" s="163"/>
      <c r="H96" s="163"/>
      <c r="I96" s="163"/>
      <c r="J96" s="163"/>
      <c r="K96" s="163"/>
      <c r="L96" s="163"/>
      <c r="M96" s="163"/>
      <c r="N96" s="163"/>
      <c r="O96" s="163"/>
      <c r="P96" s="163"/>
      <c r="Q96" s="163"/>
      <c r="R96" s="163"/>
      <c r="S96" s="208"/>
    </row>
    <row r="97" spans="1:19" ht="97.5" customHeight="1" x14ac:dyDescent="0.15">
      <c r="B97" s="129" t="s">
        <v>79</v>
      </c>
      <c r="C97" s="110" t="s">
        <v>57</v>
      </c>
      <c r="D97" s="132" t="s">
        <v>246</v>
      </c>
      <c r="E97" s="117"/>
      <c r="F97" s="117"/>
      <c r="G97" s="117"/>
      <c r="H97" s="117"/>
      <c r="I97" s="117"/>
      <c r="J97" s="117"/>
      <c r="K97" s="117"/>
      <c r="L97" s="117"/>
      <c r="M97" s="117"/>
      <c r="N97" s="117"/>
      <c r="O97" s="117"/>
      <c r="P97" s="117"/>
      <c r="Q97" s="117"/>
      <c r="R97" s="117"/>
      <c r="S97" s="118"/>
    </row>
    <row r="98" spans="1:19" ht="97.5" customHeight="1" x14ac:dyDescent="0.15">
      <c r="B98" s="130"/>
      <c r="C98" s="113" t="s">
        <v>75</v>
      </c>
      <c r="D98" s="166" t="s">
        <v>247</v>
      </c>
      <c r="E98" s="120"/>
      <c r="F98" s="120"/>
      <c r="G98" s="120"/>
      <c r="H98" s="120"/>
      <c r="I98" s="120"/>
      <c r="J98" s="120"/>
      <c r="K98" s="120"/>
      <c r="L98" s="120"/>
      <c r="M98" s="120"/>
      <c r="N98" s="120"/>
      <c r="O98" s="120"/>
      <c r="P98" s="120"/>
      <c r="Q98" s="120"/>
      <c r="R98" s="120"/>
      <c r="S98" s="121"/>
    </row>
    <row r="99" spans="1:19" ht="97.5" customHeight="1" x14ac:dyDescent="0.15">
      <c r="B99" s="131"/>
      <c r="C99" s="112" t="s">
        <v>76</v>
      </c>
      <c r="D99" s="133" t="s">
        <v>248</v>
      </c>
      <c r="E99" s="134"/>
      <c r="F99" s="134"/>
      <c r="G99" s="134"/>
      <c r="H99" s="134"/>
      <c r="I99" s="134"/>
      <c r="J99" s="134"/>
      <c r="K99" s="134"/>
      <c r="L99" s="134"/>
      <c r="M99" s="134"/>
      <c r="N99" s="134"/>
      <c r="O99" s="134"/>
      <c r="P99" s="134"/>
      <c r="Q99" s="134"/>
      <c r="R99" s="134"/>
      <c r="S99" s="135"/>
    </row>
    <row r="100" spans="1:19" ht="6" customHeight="1" x14ac:dyDescent="0.15"/>
    <row r="101" spans="1:19" ht="18.75" customHeight="1" x14ac:dyDescent="0.15">
      <c r="A101" s="88" t="s">
        <v>120</v>
      </c>
    </row>
    <row r="102" spans="1:19" ht="81.75" customHeight="1" x14ac:dyDescent="0.15">
      <c r="B102" s="150" t="s">
        <v>179</v>
      </c>
      <c r="C102" s="151"/>
      <c r="D102" s="151"/>
      <c r="E102" s="151"/>
      <c r="F102" s="151"/>
      <c r="G102" s="151"/>
      <c r="H102" s="151"/>
      <c r="I102" s="151"/>
      <c r="J102" s="151"/>
      <c r="K102" s="151"/>
      <c r="L102" s="151"/>
      <c r="M102" s="151"/>
      <c r="N102" s="151"/>
      <c r="O102" s="151"/>
      <c r="P102" s="151"/>
      <c r="Q102" s="151"/>
      <c r="R102" s="151"/>
      <c r="S102" s="152"/>
    </row>
    <row r="103" spans="1:19" ht="18.75" customHeight="1" x14ac:dyDescent="0.15">
      <c r="B103" s="200" t="s">
        <v>219</v>
      </c>
      <c r="C103" s="200"/>
      <c r="D103" s="200"/>
      <c r="E103" s="200"/>
      <c r="F103" s="200"/>
      <c r="G103" s="200"/>
      <c r="H103" s="200"/>
      <c r="I103" s="200"/>
      <c r="J103" s="200"/>
      <c r="K103" s="200"/>
      <c r="L103" s="200"/>
      <c r="M103" s="200"/>
      <c r="N103" s="200"/>
      <c r="O103" s="200"/>
      <c r="P103" s="200"/>
      <c r="Q103" s="200"/>
      <c r="R103" s="200"/>
      <c r="S103" s="200"/>
    </row>
    <row r="104" spans="1:19" ht="18.75" customHeight="1" x14ac:dyDescent="0.15">
      <c r="B104" s="201"/>
      <c r="C104" s="201"/>
      <c r="D104" s="201"/>
      <c r="E104" s="201"/>
      <c r="F104" s="201"/>
      <c r="G104" s="201"/>
      <c r="H104" s="201"/>
      <c r="I104" s="201"/>
      <c r="J104" s="201"/>
      <c r="K104" s="201"/>
      <c r="L104" s="201"/>
      <c r="M104" s="201"/>
      <c r="N104" s="201"/>
      <c r="O104" s="201"/>
      <c r="P104" s="201"/>
      <c r="Q104" s="201"/>
      <c r="R104" s="201"/>
      <c r="S104" s="201"/>
    </row>
    <row r="110" spans="1:19" ht="18" customHeight="1" x14ac:dyDescent="0.15"/>
  </sheetData>
  <mergeCells count="146">
    <mergeCell ref="B103:S104"/>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2" priority="1">
      <formula>$K$7="学部・学科によって、修了要件は相違しない"</formula>
    </cfRule>
  </conditionalFormatting>
  <dataValidations count="5">
    <dataValidation type="list" allowBlank="1" showInputMessage="1" showErrorMessage="1" sqref="K20:S20" xr:uid="{ED74B5F0-4C53-41F8-B515-4D4F46C1ACCF}">
      <formula1>$V$14:$V$16</formula1>
    </dataValidation>
    <dataValidation type="list" allowBlank="1" showInputMessage="1" showErrorMessage="1" sqref="F79:F86 P79:P86 G79:I80 G83:I86 Q83:S86 Q79:S80" xr:uid="{0721D4BA-6F20-4CAD-90A5-EF5D7A404969}">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63E2A829-1902-49DC-9803-7AFE915861F6}">
      <formula1>"学部・学科によって、修了要件は相違する,学部・学科によって、修了要件は相違しない"</formula1>
    </dataValidation>
    <dataValidation type="list" allowBlank="1" showInputMessage="1" showErrorMessage="1" sqref="S32 S43 D32:G32 D43:G43" xr:uid="{9363F1AB-97B8-42BE-8DB6-089158B70C74}">
      <formula1>"全学開講,一部開講"</formula1>
    </dataValidation>
    <dataValidation type="list" allowBlank="1" showInputMessage="1" showErrorMessage="1" sqref="P69:S75 Q25:S31 G25:I31 Q36:S42 G36:I42 Q47:S53 G47:I53 Q58:S64 G58:I64 F69:I75" xr:uid="{9A17D816-0EF0-498C-99D4-F8CEC02D283C}">
      <formula1>"○"</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D2D85-399C-46AB-9EFC-2D5E17FF7B37}">
  <sheetPr>
    <pageSetUpPr fitToPage="1"/>
  </sheetPr>
  <dimension ref="A1:V110"/>
  <sheetViews>
    <sheetView showZeros="0" view="pageBreakPreview" zoomScaleNormal="100" zoomScaleSheetLayoutView="100" workbookViewId="0">
      <selection activeCell="H21" sqref="H21"/>
    </sheetView>
  </sheetViews>
  <sheetFormatPr defaultColWidth="9" defaultRowHeight="18.75" customHeight="1" x14ac:dyDescent="0.15"/>
  <cols>
    <col min="1" max="1" width="2.5" style="88" customWidth="1"/>
    <col min="2" max="2" width="16.5" style="88" customWidth="1"/>
    <col min="3" max="19" width="5.625" style="88" customWidth="1"/>
    <col min="20" max="20" width="9" style="88"/>
    <col min="21" max="21" width="3.625" style="88" customWidth="1"/>
    <col min="22" max="22" width="48.625" style="88" hidden="1" customWidth="1"/>
    <col min="23" max="16384" width="9" style="88"/>
  </cols>
  <sheetData>
    <row r="1" spans="1:22" ht="18.600000000000001" customHeight="1" x14ac:dyDescent="0.15">
      <c r="R1" s="167" t="s">
        <v>223</v>
      </c>
      <c r="S1" s="167"/>
      <c r="T1" s="89" t="s">
        <v>109</v>
      </c>
    </row>
    <row r="2" spans="1:22" ht="18.75" customHeight="1" x14ac:dyDescent="0.15">
      <c r="B2" s="90" t="s">
        <v>108</v>
      </c>
      <c r="C2" s="122" t="s">
        <v>126</v>
      </c>
      <c r="D2" s="123"/>
      <c r="E2" s="123"/>
      <c r="F2" s="123"/>
      <c r="G2" s="123"/>
      <c r="H2" s="123"/>
      <c r="I2" s="124"/>
      <c r="J2" s="114"/>
      <c r="K2" s="92"/>
      <c r="L2" s="92"/>
      <c r="M2" s="92"/>
      <c r="N2" s="92"/>
      <c r="O2" s="92"/>
      <c r="P2" s="92"/>
      <c r="Q2" s="92"/>
      <c r="R2" s="92"/>
      <c r="S2" s="92"/>
    </row>
    <row r="3" spans="1:22" ht="18.75" customHeight="1" x14ac:dyDescent="0.15">
      <c r="B3" s="90" t="s">
        <v>102</v>
      </c>
      <c r="C3" s="122" t="s">
        <v>127</v>
      </c>
      <c r="D3" s="123"/>
      <c r="E3" s="123"/>
      <c r="F3" s="123"/>
      <c r="G3" s="123"/>
      <c r="H3" s="123"/>
      <c r="I3" s="124"/>
      <c r="J3" s="114"/>
      <c r="K3" s="92"/>
      <c r="L3" s="92"/>
      <c r="M3" s="92"/>
      <c r="N3" s="92"/>
      <c r="O3" s="92"/>
      <c r="P3" s="92"/>
      <c r="Q3" s="92"/>
      <c r="R3" s="92"/>
      <c r="S3" s="92"/>
    </row>
    <row r="4" spans="1:22" ht="15" customHeight="1" x14ac:dyDescent="0.15">
      <c r="K4" s="114"/>
      <c r="L4" s="93"/>
      <c r="M4" s="93"/>
      <c r="N4" s="93"/>
      <c r="O4" s="93"/>
      <c r="P4" s="93"/>
      <c r="Q4" s="93"/>
      <c r="R4" s="93"/>
      <c r="S4" s="93"/>
    </row>
    <row r="5" spans="1:22" ht="18" customHeight="1" x14ac:dyDescent="0.15">
      <c r="A5" s="171" t="s">
        <v>38</v>
      </c>
      <c r="B5" s="171"/>
      <c r="C5" s="171"/>
      <c r="D5" s="171"/>
      <c r="E5" s="171"/>
      <c r="F5" s="171"/>
      <c r="G5" s="171"/>
      <c r="H5" s="171"/>
      <c r="I5" s="171"/>
      <c r="J5" s="171"/>
      <c r="K5" s="171"/>
      <c r="L5" s="171"/>
      <c r="M5" s="171"/>
      <c r="N5" s="171"/>
      <c r="O5" s="171"/>
      <c r="P5" s="171"/>
      <c r="Q5" s="171"/>
      <c r="R5" s="171"/>
      <c r="S5" s="171"/>
    </row>
    <row r="6" spans="1:22" ht="15" customHeight="1" x14ac:dyDescent="0.15">
      <c r="B6" s="94"/>
      <c r="C6" s="94"/>
      <c r="D6" s="94"/>
      <c r="E6" s="94"/>
      <c r="F6" s="94"/>
      <c r="G6" s="94"/>
      <c r="H6" s="94"/>
      <c r="I6" s="94"/>
      <c r="J6" s="94"/>
      <c r="K6" s="94"/>
      <c r="L6" s="94"/>
      <c r="M6" s="94"/>
      <c r="N6" s="94"/>
      <c r="O6" s="94"/>
      <c r="P6" s="94"/>
      <c r="Q6" s="94"/>
      <c r="R6" s="94"/>
      <c r="S6" s="94"/>
    </row>
    <row r="7" spans="1:22" ht="18" customHeight="1" x14ac:dyDescent="0.15">
      <c r="A7" s="88" t="s">
        <v>124</v>
      </c>
      <c r="C7" s="94"/>
      <c r="J7" s="95" t="s">
        <v>107</v>
      </c>
      <c r="K7" s="181" t="s">
        <v>128</v>
      </c>
      <c r="L7" s="182"/>
      <c r="M7" s="182"/>
      <c r="N7" s="182"/>
      <c r="O7" s="182"/>
      <c r="P7" s="182"/>
      <c r="Q7" s="182"/>
      <c r="R7" s="182"/>
      <c r="S7" s="183"/>
    </row>
    <row r="8" spans="1:22" ht="6" customHeight="1" x14ac:dyDescent="0.15">
      <c r="B8" s="94"/>
      <c r="C8" s="94"/>
      <c r="D8" s="94"/>
      <c r="E8" s="94"/>
      <c r="F8" s="94"/>
      <c r="G8" s="94"/>
      <c r="H8" s="94"/>
      <c r="I8" s="94"/>
      <c r="J8" s="94"/>
      <c r="K8" s="96"/>
      <c r="L8" s="94"/>
      <c r="M8" s="94"/>
      <c r="N8" s="94"/>
      <c r="O8" s="94"/>
      <c r="P8" s="94"/>
      <c r="Q8" s="94"/>
      <c r="R8" s="94"/>
      <c r="S8" s="94"/>
    </row>
    <row r="9" spans="1:22" ht="18" customHeight="1" x14ac:dyDescent="0.15">
      <c r="B9" s="190" t="s">
        <v>163</v>
      </c>
      <c r="C9" s="191"/>
      <c r="D9" s="191"/>
      <c r="E9" s="191"/>
      <c r="F9" s="191"/>
      <c r="G9" s="191"/>
      <c r="H9" s="191"/>
      <c r="I9" s="191"/>
      <c r="J9" s="191"/>
      <c r="K9" s="191"/>
      <c r="L9" s="191"/>
      <c r="M9" s="191"/>
      <c r="N9" s="191"/>
      <c r="O9" s="191"/>
      <c r="P9" s="191"/>
      <c r="Q9" s="191"/>
      <c r="R9" s="191"/>
      <c r="S9" s="192"/>
    </row>
    <row r="10" spans="1:22" ht="18" customHeight="1" x14ac:dyDescent="0.15">
      <c r="B10" s="193"/>
      <c r="C10" s="194"/>
      <c r="D10" s="194"/>
      <c r="E10" s="194"/>
      <c r="F10" s="194"/>
      <c r="G10" s="194"/>
      <c r="H10" s="194"/>
      <c r="I10" s="194"/>
      <c r="J10" s="194"/>
      <c r="K10" s="194"/>
      <c r="L10" s="194"/>
      <c r="M10" s="194"/>
      <c r="N10" s="194"/>
      <c r="O10" s="194"/>
      <c r="P10" s="194"/>
      <c r="Q10" s="194"/>
      <c r="R10" s="194"/>
      <c r="S10" s="195"/>
    </row>
    <row r="11" spans="1:22" ht="6" customHeight="1" x14ac:dyDescent="0.15">
      <c r="B11" s="94"/>
      <c r="C11" s="94"/>
      <c r="D11" s="94"/>
      <c r="E11" s="94"/>
      <c r="F11" s="94"/>
      <c r="G11" s="94"/>
      <c r="H11" s="94"/>
      <c r="I11" s="94"/>
      <c r="J11" s="94"/>
      <c r="K11" s="96"/>
      <c r="L11" s="94"/>
      <c r="M11" s="94"/>
      <c r="N11" s="94"/>
      <c r="O11" s="94"/>
      <c r="P11" s="94"/>
      <c r="Q11" s="94"/>
      <c r="R11" s="94"/>
      <c r="S11" s="94"/>
    </row>
    <row r="12" spans="1:22" ht="18" customHeight="1" x14ac:dyDescent="0.15">
      <c r="A12" s="88" t="s">
        <v>111</v>
      </c>
      <c r="B12" s="94"/>
      <c r="C12" s="94"/>
      <c r="D12" s="114"/>
      <c r="E12" s="114"/>
      <c r="F12" s="114"/>
      <c r="G12" s="114"/>
      <c r="H12" s="114"/>
      <c r="I12" s="114"/>
      <c r="J12" s="114"/>
      <c r="K12" s="97"/>
      <c r="L12" s="97"/>
      <c r="M12" s="97"/>
      <c r="N12" s="97"/>
      <c r="O12" s="97"/>
      <c r="P12" s="97"/>
      <c r="Q12" s="97"/>
      <c r="R12" s="97"/>
      <c r="S12" s="97"/>
    </row>
    <row r="13" spans="1:22" ht="18" customHeight="1" x14ac:dyDescent="0.15">
      <c r="B13" s="172" t="s">
        <v>224</v>
      </c>
      <c r="C13" s="173"/>
      <c r="D13" s="173"/>
      <c r="E13" s="173"/>
      <c r="F13" s="173"/>
      <c r="G13" s="173"/>
      <c r="H13" s="173"/>
      <c r="I13" s="173"/>
      <c r="J13" s="173"/>
      <c r="K13" s="173"/>
      <c r="L13" s="173"/>
      <c r="M13" s="173"/>
      <c r="N13" s="173"/>
      <c r="O13" s="173"/>
      <c r="P13" s="173"/>
      <c r="Q13" s="173"/>
      <c r="R13" s="173"/>
      <c r="S13" s="174"/>
      <c r="V13" s="88" t="s">
        <v>103</v>
      </c>
    </row>
    <row r="14" spans="1:22" ht="18" customHeight="1" x14ac:dyDescent="0.15">
      <c r="B14" s="175"/>
      <c r="C14" s="176"/>
      <c r="D14" s="176"/>
      <c r="E14" s="176"/>
      <c r="F14" s="176"/>
      <c r="G14" s="176"/>
      <c r="H14" s="176"/>
      <c r="I14" s="176"/>
      <c r="J14" s="176"/>
      <c r="K14" s="176"/>
      <c r="L14" s="176"/>
      <c r="M14" s="176"/>
      <c r="N14" s="176"/>
      <c r="O14" s="176"/>
      <c r="P14" s="176"/>
      <c r="Q14" s="176"/>
      <c r="R14" s="176"/>
      <c r="S14" s="177"/>
      <c r="V14" s="88" t="s">
        <v>110</v>
      </c>
    </row>
    <row r="15" spans="1:22" ht="18" customHeight="1" x14ac:dyDescent="0.15">
      <c r="B15" s="175"/>
      <c r="C15" s="176"/>
      <c r="D15" s="176"/>
      <c r="E15" s="176"/>
      <c r="F15" s="176"/>
      <c r="G15" s="176"/>
      <c r="H15" s="176"/>
      <c r="I15" s="176"/>
      <c r="J15" s="176"/>
      <c r="K15" s="176"/>
      <c r="L15" s="176"/>
      <c r="M15" s="176"/>
      <c r="N15" s="176"/>
      <c r="O15" s="176"/>
      <c r="P15" s="176"/>
      <c r="Q15" s="176"/>
      <c r="R15" s="176"/>
      <c r="S15" s="177"/>
      <c r="V15" s="88" t="s">
        <v>123</v>
      </c>
    </row>
    <row r="16" spans="1:22" ht="18" customHeight="1" x14ac:dyDescent="0.15">
      <c r="B16" s="175"/>
      <c r="C16" s="176"/>
      <c r="D16" s="176"/>
      <c r="E16" s="176"/>
      <c r="F16" s="176"/>
      <c r="G16" s="176"/>
      <c r="H16" s="176"/>
      <c r="I16" s="176"/>
      <c r="J16" s="176"/>
      <c r="K16" s="176"/>
      <c r="L16" s="176"/>
      <c r="M16" s="176"/>
      <c r="N16" s="176"/>
      <c r="O16" s="176"/>
      <c r="P16" s="176"/>
      <c r="Q16" s="176"/>
      <c r="R16" s="176"/>
      <c r="S16" s="177"/>
      <c r="V16" s="88" t="s">
        <v>125</v>
      </c>
    </row>
    <row r="17" spans="1:19" ht="18" customHeight="1" x14ac:dyDescent="0.15">
      <c r="B17" s="175"/>
      <c r="C17" s="176"/>
      <c r="D17" s="176"/>
      <c r="E17" s="176"/>
      <c r="F17" s="176"/>
      <c r="G17" s="176"/>
      <c r="H17" s="176"/>
      <c r="I17" s="176"/>
      <c r="J17" s="176"/>
      <c r="K17" s="176"/>
      <c r="L17" s="176"/>
      <c r="M17" s="176"/>
      <c r="N17" s="176"/>
      <c r="O17" s="176"/>
      <c r="P17" s="176"/>
      <c r="Q17" s="176"/>
      <c r="R17" s="176"/>
      <c r="S17" s="177"/>
    </row>
    <row r="18" spans="1:19" ht="18" customHeight="1" x14ac:dyDescent="0.15">
      <c r="B18" s="178"/>
      <c r="C18" s="179"/>
      <c r="D18" s="179"/>
      <c r="E18" s="179"/>
      <c r="F18" s="179"/>
      <c r="G18" s="179"/>
      <c r="H18" s="179"/>
      <c r="I18" s="179"/>
      <c r="J18" s="179"/>
      <c r="K18" s="179"/>
      <c r="L18" s="179"/>
      <c r="M18" s="179"/>
      <c r="N18" s="179"/>
      <c r="O18" s="179"/>
      <c r="P18" s="179"/>
      <c r="Q18" s="179"/>
      <c r="R18" s="179"/>
      <c r="S18" s="180"/>
    </row>
    <row r="19" spans="1:19" ht="7.5" customHeight="1" x14ac:dyDescent="0.15">
      <c r="B19" s="94"/>
      <c r="C19" s="94"/>
      <c r="D19" s="94"/>
      <c r="E19" s="94"/>
      <c r="F19" s="94"/>
      <c r="G19" s="94"/>
      <c r="H19" s="94"/>
      <c r="I19" s="94"/>
      <c r="J19" s="94"/>
      <c r="K19" s="94"/>
      <c r="L19" s="94"/>
      <c r="M19" s="94"/>
      <c r="N19" s="94"/>
      <c r="O19" s="94"/>
      <c r="P19" s="94"/>
      <c r="Q19" s="94"/>
      <c r="R19" s="94"/>
      <c r="S19" s="94"/>
    </row>
    <row r="20" spans="1:19" ht="19.899999999999999" customHeight="1" x14ac:dyDescent="0.15">
      <c r="B20" s="88" t="s">
        <v>112</v>
      </c>
      <c r="C20" s="122">
        <v>2</v>
      </c>
      <c r="D20" s="124"/>
      <c r="E20" s="98" t="s">
        <v>95</v>
      </c>
      <c r="G20" s="96"/>
      <c r="H20" s="94"/>
      <c r="I20" s="94"/>
      <c r="J20" s="114" t="s">
        <v>121</v>
      </c>
      <c r="K20" s="168" t="s">
        <v>125</v>
      </c>
      <c r="L20" s="169"/>
      <c r="M20" s="169"/>
      <c r="N20" s="169"/>
      <c r="O20" s="169"/>
      <c r="P20" s="169"/>
      <c r="Q20" s="169"/>
      <c r="R20" s="169"/>
      <c r="S20" s="170"/>
    </row>
    <row r="21" spans="1:19" ht="7.5" customHeight="1" x14ac:dyDescent="0.15">
      <c r="B21" s="94"/>
      <c r="C21" s="94"/>
      <c r="D21" s="94"/>
      <c r="E21" s="94"/>
      <c r="F21" s="94"/>
      <c r="G21" s="94"/>
      <c r="H21" s="94"/>
      <c r="I21" s="94"/>
      <c r="J21" s="94"/>
      <c r="K21" s="94"/>
      <c r="L21" s="94"/>
      <c r="M21" s="94"/>
      <c r="N21" s="94"/>
      <c r="O21" s="94"/>
      <c r="P21" s="94"/>
      <c r="Q21" s="94"/>
      <c r="R21" s="94"/>
      <c r="S21" s="94"/>
    </row>
    <row r="22" spans="1:19" ht="18" customHeight="1" x14ac:dyDescent="0.15">
      <c r="A22" s="128" t="s">
        <v>113</v>
      </c>
      <c r="B22" s="128"/>
      <c r="C22" s="128"/>
      <c r="D22" s="128"/>
      <c r="E22" s="128"/>
      <c r="F22" s="128"/>
      <c r="G22" s="128"/>
      <c r="H22" s="128"/>
      <c r="I22" s="128"/>
      <c r="J22" s="128"/>
      <c r="K22" s="128"/>
      <c r="L22" s="128"/>
      <c r="M22" s="128"/>
      <c r="N22" s="128"/>
      <c r="O22" s="128"/>
      <c r="P22" s="128"/>
      <c r="Q22" s="128"/>
      <c r="R22" s="128"/>
      <c r="S22" s="128"/>
    </row>
    <row r="23" spans="1:19" ht="18" customHeight="1" x14ac:dyDescent="0.15">
      <c r="A23" s="128"/>
      <c r="B23" s="128"/>
      <c r="C23" s="128"/>
      <c r="D23" s="128"/>
      <c r="E23" s="128"/>
      <c r="F23" s="128"/>
      <c r="G23" s="128"/>
      <c r="H23" s="128"/>
      <c r="I23" s="128"/>
      <c r="J23" s="128"/>
      <c r="K23" s="128"/>
      <c r="L23" s="128"/>
      <c r="M23" s="128"/>
      <c r="N23" s="128"/>
      <c r="O23" s="128"/>
      <c r="P23" s="128"/>
      <c r="Q23" s="128"/>
      <c r="R23" s="128"/>
      <c r="S23" s="128"/>
    </row>
    <row r="24" spans="1:19" ht="18" customHeight="1" x14ac:dyDescent="0.15">
      <c r="B24" s="122" t="s">
        <v>53</v>
      </c>
      <c r="C24" s="123"/>
      <c r="D24" s="123"/>
      <c r="E24" s="124"/>
      <c r="F24" s="99" t="s">
        <v>80</v>
      </c>
      <c r="G24" s="100" t="s">
        <v>84</v>
      </c>
      <c r="H24" s="101" t="s">
        <v>56</v>
      </c>
      <c r="I24" s="101" t="s">
        <v>59</v>
      </c>
      <c r="J24" s="122" t="s">
        <v>53</v>
      </c>
      <c r="K24" s="123"/>
      <c r="L24" s="123"/>
      <c r="M24" s="123"/>
      <c r="N24" s="123"/>
      <c r="O24" s="124"/>
      <c r="P24" s="99" t="s">
        <v>80</v>
      </c>
      <c r="Q24" s="100" t="s">
        <v>84</v>
      </c>
      <c r="R24" s="101" t="s">
        <v>56</v>
      </c>
      <c r="S24" s="101" t="s">
        <v>59</v>
      </c>
    </row>
    <row r="25" spans="1:19" ht="18" customHeight="1" x14ac:dyDescent="0.15">
      <c r="B25" s="116" t="s">
        <v>165</v>
      </c>
      <c r="C25" s="117"/>
      <c r="D25" s="117"/>
      <c r="E25" s="118"/>
      <c r="F25" s="102">
        <v>2</v>
      </c>
      <c r="G25" s="102"/>
      <c r="H25" s="102" t="s">
        <v>131</v>
      </c>
      <c r="I25" s="102" t="s">
        <v>131</v>
      </c>
      <c r="J25" s="116"/>
      <c r="K25" s="117"/>
      <c r="L25" s="117"/>
      <c r="M25" s="117"/>
      <c r="N25" s="117"/>
      <c r="O25" s="118"/>
      <c r="P25" s="102"/>
      <c r="Q25" s="102"/>
      <c r="R25" s="102"/>
      <c r="S25" s="102"/>
    </row>
    <row r="26" spans="1:19" ht="18" customHeight="1" x14ac:dyDescent="0.15">
      <c r="B26" s="119" t="s">
        <v>221</v>
      </c>
      <c r="C26" s="120"/>
      <c r="D26" s="120"/>
      <c r="E26" s="121"/>
      <c r="F26" s="103">
        <v>2</v>
      </c>
      <c r="G26" s="103"/>
      <c r="H26" s="103" t="s">
        <v>131</v>
      </c>
      <c r="I26" s="103" t="s">
        <v>131</v>
      </c>
      <c r="J26" s="119"/>
      <c r="K26" s="120"/>
      <c r="L26" s="120"/>
      <c r="M26" s="120"/>
      <c r="N26" s="120"/>
      <c r="O26" s="121"/>
      <c r="P26" s="103"/>
      <c r="Q26" s="103"/>
      <c r="R26" s="103"/>
      <c r="S26" s="103"/>
    </row>
    <row r="27" spans="1:19" ht="18" customHeight="1" x14ac:dyDescent="0.15">
      <c r="B27" s="119"/>
      <c r="C27" s="120"/>
      <c r="D27" s="120"/>
      <c r="E27" s="121"/>
      <c r="F27" s="103"/>
      <c r="G27" s="103"/>
      <c r="H27" s="103"/>
      <c r="I27" s="103"/>
      <c r="J27" s="119"/>
      <c r="K27" s="120"/>
      <c r="L27" s="120"/>
      <c r="M27" s="120"/>
      <c r="N27" s="120"/>
      <c r="O27" s="121"/>
      <c r="P27" s="103"/>
      <c r="Q27" s="103"/>
      <c r="R27" s="103"/>
      <c r="S27" s="103"/>
    </row>
    <row r="28" spans="1:19" ht="18" customHeight="1" x14ac:dyDescent="0.15">
      <c r="B28" s="119"/>
      <c r="C28" s="120"/>
      <c r="D28" s="120"/>
      <c r="E28" s="121"/>
      <c r="F28" s="103"/>
      <c r="G28" s="103"/>
      <c r="H28" s="103"/>
      <c r="I28" s="103"/>
      <c r="J28" s="119"/>
      <c r="K28" s="120"/>
      <c r="L28" s="120"/>
      <c r="M28" s="120"/>
      <c r="N28" s="120"/>
      <c r="O28" s="121"/>
      <c r="P28" s="103"/>
      <c r="Q28" s="103"/>
      <c r="R28" s="103"/>
      <c r="S28" s="103"/>
    </row>
    <row r="29" spans="1:19" ht="18" customHeight="1" x14ac:dyDescent="0.15">
      <c r="B29" s="119"/>
      <c r="C29" s="120"/>
      <c r="D29" s="120"/>
      <c r="E29" s="121"/>
      <c r="F29" s="103"/>
      <c r="G29" s="103"/>
      <c r="H29" s="103"/>
      <c r="I29" s="103"/>
      <c r="J29" s="119"/>
      <c r="K29" s="120"/>
      <c r="L29" s="120"/>
      <c r="M29" s="120"/>
      <c r="N29" s="120"/>
      <c r="O29" s="121"/>
      <c r="P29" s="103"/>
      <c r="Q29" s="103"/>
      <c r="R29" s="103"/>
      <c r="S29" s="103"/>
    </row>
    <row r="30" spans="1:19" ht="18" customHeight="1" x14ac:dyDescent="0.15">
      <c r="A30" s="94"/>
      <c r="B30" s="119"/>
      <c r="C30" s="120"/>
      <c r="D30" s="120"/>
      <c r="E30" s="121"/>
      <c r="F30" s="103"/>
      <c r="G30" s="103"/>
      <c r="H30" s="103"/>
      <c r="I30" s="103"/>
      <c r="J30" s="119"/>
      <c r="K30" s="120"/>
      <c r="L30" s="120"/>
      <c r="M30" s="120"/>
      <c r="N30" s="120"/>
      <c r="O30" s="121"/>
      <c r="P30" s="103"/>
      <c r="Q30" s="103"/>
      <c r="R30" s="103"/>
      <c r="S30" s="103"/>
    </row>
    <row r="31" spans="1:19" ht="18" customHeight="1" x14ac:dyDescent="0.15">
      <c r="A31" s="94"/>
      <c r="B31" s="125"/>
      <c r="C31" s="126"/>
      <c r="D31" s="126"/>
      <c r="E31" s="127"/>
      <c r="F31" s="104"/>
      <c r="G31" s="104"/>
      <c r="H31" s="105"/>
      <c r="I31" s="105"/>
      <c r="J31" s="125"/>
      <c r="K31" s="126"/>
      <c r="L31" s="126"/>
      <c r="M31" s="126"/>
      <c r="N31" s="126"/>
      <c r="O31" s="127"/>
      <c r="P31" s="104"/>
      <c r="Q31" s="104"/>
      <c r="R31" s="105"/>
      <c r="S31" s="105"/>
    </row>
    <row r="32" spans="1:19" ht="7.5" customHeight="1" x14ac:dyDescent="0.15">
      <c r="A32" s="94"/>
      <c r="B32" s="92"/>
      <c r="C32" s="92"/>
      <c r="D32" s="94"/>
      <c r="E32" s="94"/>
      <c r="F32" s="94"/>
      <c r="G32" s="94"/>
      <c r="H32" s="92"/>
      <c r="I32" s="92"/>
      <c r="J32" s="92"/>
      <c r="K32" s="92"/>
      <c r="L32" s="92"/>
      <c r="M32" s="92"/>
      <c r="N32" s="92"/>
      <c r="O32" s="92"/>
      <c r="P32" s="92"/>
      <c r="Q32" s="92"/>
      <c r="R32" s="92"/>
      <c r="S32" s="94"/>
    </row>
    <row r="33" spans="1:19" ht="18" customHeight="1" x14ac:dyDescent="0.15">
      <c r="A33" s="128" t="s">
        <v>114</v>
      </c>
      <c r="B33" s="128"/>
      <c r="C33" s="128"/>
      <c r="D33" s="128"/>
      <c r="E33" s="128"/>
      <c r="F33" s="128"/>
      <c r="G33" s="128"/>
      <c r="H33" s="128"/>
      <c r="I33" s="128"/>
      <c r="J33" s="128"/>
      <c r="K33" s="128"/>
      <c r="L33" s="128"/>
      <c r="M33" s="128"/>
      <c r="N33" s="128"/>
      <c r="O33" s="128"/>
      <c r="P33" s="128"/>
      <c r="Q33" s="128"/>
      <c r="R33" s="128"/>
      <c r="S33" s="128"/>
    </row>
    <row r="34" spans="1:19" ht="18" customHeight="1" x14ac:dyDescent="0.15">
      <c r="A34" s="128"/>
      <c r="B34" s="128"/>
      <c r="C34" s="128"/>
      <c r="D34" s="128"/>
      <c r="E34" s="128"/>
      <c r="F34" s="128"/>
      <c r="G34" s="128"/>
      <c r="H34" s="128"/>
      <c r="I34" s="128"/>
      <c r="J34" s="128"/>
      <c r="K34" s="128"/>
      <c r="L34" s="128"/>
      <c r="M34" s="128"/>
      <c r="N34" s="128"/>
      <c r="O34" s="128"/>
      <c r="P34" s="128"/>
      <c r="Q34" s="128"/>
      <c r="R34" s="128"/>
      <c r="S34" s="128"/>
    </row>
    <row r="35" spans="1:19" ht="18" customHeight="1" x14ac:dyDescent="0.15">
      <c r="B35" s="122" t="s">
        <v>53</v>
      </c>
      <c r="C35" s="123"/>
      <c r="D35" s="123"/>
      <c r="E35" s="124"/>
      <c r="F35" s="99" t="s">
        <v>80</v>
      </c>
      <c r="G35" s="100" t="s">
        <v>84</v>
      </c>
      <c r="H35" s="101" t="s">
        <v>71</v>
      </c>
      <c r="I35" s="101" t="s">
        <v>72</v>
      </c>
      <c r="J35" s="122" t="s">
        <v>53</v>
      </c>
      <c r="K35" s="123"/>
      <c r="L35" s="123"/>
      <c r="M35" s="123"/>
      <c r="N35" s="123"/>
      <c r="O35" s="124"/>
      <c r="P35" s="99" t="s">
        <v>80</v>
      </c>
      <c r="Q35" s="100" t="s">
        <v>84</v>
      </c>
      <c r="R35" s="101" t="s">
        <v>71</v>
      </c>
      <c r="S35" s="101" t="s">
        <v>72</v>
      </c>
    </row>
    <row r="36" spans="1:19" ht="18" customHeight="1" x14ac:dyDescent="0.15">
      <c r="B36" s="116" t="s">
        <v>164</v>
      </c>
      <c r="C36" s="117"/>
      <c r="D36" s="117"/>
      <c r="E36" s="118"/>
      <c r="F36" s="102">
        <v>2</v>
      </c>
      <c r="G36" s="102"/>
      <c r="H36" s="102" t="s">
        <v>131</v>
      </c>
      <c r="I36" s="102" t="s">
        <v>131</v>
      </c>
      <c r="J36" s="116"/>
      <c r="K36" s="117"/>
      <c r="L36" s="117"/>
      <c r="M36" s="117"/>
      <c r="N36" s="117"/>
      <c r="O36" s="118"/>
      <c r="P36" s="102"/>
      <c r="Q36" s="102"/>
      <c r="R36" s="102"/>
      <c r="S36" s="102"/>
    </row>
    <row r="37" spans="1:19" ht="18" customHeight="1" x14ac:dyDescent="0.15">
      <c r="B37" s="119" t="s">
        <v>221</v>
      </c>
      <c r="C37" s="120"/>
      <c r="D37" s="120"/>
      <c r="E37" s="121"/>
      <c r="F37" s="103">
        <v>2</v>
      </c>
      <c r="G37" s="103"/>
      <c r="H37" s="103" t="s">
        <v>131</v>
      </c>
      <c r="I37" s="103" t="s">
        <v>131</v>
      </c>
      <c r="J37" s="119"/>
      <c r="K37" s="120"/>
      <c r="L37" s="120"/>
      <c r="M37" s="120"/>
      <c r="N37" s="120"/>
      <c r="O37" s="121"/>
      <c r="P37" s="103"/>
      <c r="Q37" s="103"/>
      <c r="R37" s="103"/>
      <c r="S37" s="103"/>
    </row>
    <row r="38" spans="1:19" ht="18" customHeight="1" x14ac:dyDescent="0.15">
      <c r="B38" s="119"/>
      <c r="C38" s="120"/>
      <c r="D38" s="120"/>
      <c r="E38" s="121"/>
      <c r="F38" s="103"/>
      <c r="G38" s="103"/>
      <c r="H38" s="103"/>
      <c r="I38" s="103"/>
      <c r="J38" s="119"/>
      <c r="K38" s="120"/>
      <c r="L38" s="120"/>
      <c r="M38" s="120"/>
      <c r="N38" s="120"/>
      <c r="O38" s="121"/>
      <c r="P38" s="103"/>
      <c r="Q38" s="103"/>
      <c r="R38" s="103"/>
      <c r="S38" s="103"/>
    </row>
    <row r="39" spans="1:19" ht="18" customHeight="1" x14ac:dyDescent="0.15">
      <c r="B39" s="119"/>
      <c r="C39" s="120"/>
      <c r="D39" s="120"/>
      <c r="E39" s="121"/>
      <c r="F39" s="103"/>
      <c r="G39" s="103"/>
      <c r="H39" s="103"/>
      <c r="I39" s="103"/>
      <c r="J39" s="119"/>
      <c r="K39" s="120"/>
      <c r="L39" s="120"/>
      <c r="M39" s="120"/>
      <c r="N39" s="120"/>
      <c r="O39" s="121"/>
      <c r="P39" s="103"/>
      <c r="Q39" s="103"/>
      <c r="R39" s="103"/>
      <c r="S39" s="103"/>
    </row>
    <row r="40" spans="1:19" ht="18" customHeight="1" x14ac:dyDescent="0.15">
      <c r="B40" s="119"/>
      <c r="C40" s="120"/>
      <c r="D40" s="120"/>
      <c r="E40" s="121"/>
      <c r="F40" s="103"/>
      <c r="G40" s="103"/>
      <c r="H40" s="103"/>
      <c r="I40" s="103"/>
      <c r="J40" s="119"/>
      <c r="K40" s="120"/>
      <c r="L40" s="120"/>
      <c r="M40" s="120"/>
      <c r="N40" s="120"/>
      <c r="O40" s="121"/>
      <c r="P40" s="103"/>
      <c r="Q40" s="103"/>
      <c r="R40" s="103"/>
      <c r="S40" s="103"/>
    </row>
    <row r="41" spans="1:19" ht="18" customHeight="1" x14ac:dyDescent="0.15">
      <c r="B41" s="119"/>
      <c r="C41" s="120"/>
      <c r="D41" s="120"/>
      <c r="E41" s="121"/>
      <c r="F41" s="103"/>
      <c r="G41" s="103"/>
      <c r="H41" s="103"/>
      <c r="I41" s="103"/>
      <c r="J41" s="119"/>
      <c r="K41" s="120"/>
      <c r="L41" s="120"/>
      <c r="M41" s="120"/>
      <c r="N41" s="120"/>
      <c r="O41" s="121"/>
      <c r="P41" s="103"/>
      <c r="Q41" s="103"/>
      <c r="R41" s="103"/>
      <c r="S41" s="103"/>
    </row>
    <row r="42" spans="1:19" ht="18" customHeight="1" x14ac:dyDescent="0.15">
      <c r="B42" s="125"/>
      <c r="C42" s="126"/>
      <c r="D42" s="126"/>
      <c r="E42" s="127"/>
      <c r="F42" s="104"/>
      <c r="G42" s="104"/>
      <c r="H42" s="105"/>
      <c r="I42" s="105"/>
      <c r="J42" s="125"/>
      <c r="K42" s="126"/>
      <c r="L42" s="126"/>
      <c r="M42" s="126"/>
      <c r="N42" s="126"/>
      <c r="O42" s="127"/>
      <c r="P42" s="104"/>
      <c r="Q42" s="104"/>
      <c r="R42" s="105"/>
      <c r="S42" s="105"/>
    </row>
    <row r="43" spans="1:19" ht="7.5" customHeight="1" x14ac:dyDescent="0.15">
      <c r="A43" s="94"/>
      <c r="B43" s="92"/>
      <c r="C43" s="92"/>
      <c r="D43" s="94"/>
      <c r="E43" s="94"/>
      <c r="F43" s="94"/>
      <c r="G43" s="94"/>
      <c r="H43" s="92"/>
      <c r="I43" s="92"/>
      <c r="J43" s="92"/>
      <c r="K43" s="92"/>
      <c r="L43" s="92"/>
      <c r="M43" s="92"/>
      <c r="N43" s="92"/>
      <c r="O43" s="92"/>
      <c r="P43" s="92"/>
      <c r="Q43" s="92"/>
      <c r="R43" s="92"/>
      <c r="S43" s="94"/>
    </row>
    <row r="44" spans="1:19" ht="18" customHeight="1" x14ac:dyDescent="0.15">
      <c r="A44" s="128" t="s">
        <v>115</v>
      </c>
      <c r="B44" s="128"/>
      <c r="C44" s="128"/>
      <c r="D44" s="128"/>
      <c r="E44" s="128"/>
      <c r="F44" s="128"/>
      <c r="G44" s="128"/>
      <c r="H44" s="128"/>
      <c r="I44" s="128"/>
      <c r="J44" s="128"/>
      <c r="K44" s="128"/>
      <c r="L44" s="128"/>
      <c r="M44" s="128"/>
      <c r="N44" s="128"/>
      <c r="O44" s="128"/>
      <c r="P44" s="128"/>
      <c r="Q44" s="128"/>
      <c r="R44" s="128"/>
      <c r="S44" s="128"/>
    </row>
    <row r="45" spans="1:19" ht="18" customHeight="1" x14ac:dyDescent="0.15">
      <c r="A45" s="128"/>
      <c r="B45" s="128"/>
      <c r="C45" s="128"/>
      <c r="D45" s="128"/>
      <c r="E45" s="128"/>
      <c r="F45" s="128"/>
      <c r="G45" s="128"/>
      <c r="H45" s="128"/>
      <c r="I45" s="128"/>
      <c r="J45" s="128"/>
      <c r="K45" s="128"/>
      <c r="L45" s="128"/>
      <c r="M45" s="128"/>
      <c r="N45" s="128"/>
      <c r="O45" s="128"/>
      <c r="P45" s="128"/>
      <c r="Q45" s="128"/>
      <c r="R45" s="128"/>
      <c r="S45" s="128"/>
    </row>
    <row r="46" spans="1:19" ht="18" customHeight="1" x14ac:dyDescent="0.15">
      <c r="B46" s="122" t="s">
        <v>53</v>
      </c>
      <c r="C46" s="123"/>
      <c r="D46" s="123"/>
      <c r="E46" s="124"/>
      <c r="F46" s="99" t="s">
        <v>80</v>
      </c>
      <c r="G46" s="100" t="s">
        <v>84</v>
      </c>
      <c r="H46" s="101" t="s">
        <v>73</v>
      </c>
      <c r="I46" s="101" t="s">
        <v>74</v>
      </c>
      <c r="J46" s="122" t="s">
        <v>53</v>
      </c>
      <c r="K46" s="123"/>
      <c r="L46" s="123"/>
      <c r="M46" s="123"/>
      <c r="N46" s="123"/>
      <c r="O46" s="124"/>
      <c r="P46" s="99" t="s">
        <v>80</v>
      </c>
      <c r="Q46" s="100" t="s">
        <v>84</v>
      </c>
      <c r="R46" s="101" t="s">
        <v>73</v>
      </c>
      <c r="S46" s="101" t="s">
        <v>74</v>
      </c>
    </row>
    <row r="47" spans="1:19" ht="18" customHeight="1" x14ac:dyDescent="0.15">
      <c r="A47" s="94"/>
      <c r="B47" s="116" t="s">
        <v>164</v>
      </c>
      <c r="C47" s="117"/>
      <c r="D47" s="117"/>
      <c r="E47" s="118"/>
      <c r="F47" s="102">
        <v>2</v>
      </c>
      <c r="G47" s="102"/>
      <c r="H47" s="102" t="s">
        <v>131</v>
      </c>
      <c r="I47" s="102" t="s">
        <v>131</v>
      </c>
      <c r="J47" s="116"/>
      <c r="K47" s="117"/>
      <c r="L47" s="117"/>
      <c r="M47" s="117"/>
      <c r="N47" s="117"/>
      <c r="O47" s="118"/>
      <c r="P47" s="102"/>
      <c r="Q47" s="102"/>
      <c r="R47" s="102"/>
      <c r="S47" s="102"/>
    </row>
    <row r="48" spans="1:19" ht="18" customHeight="1" x14ac:dyDescent="0.15">
      <c r="A48" s="94"/>
      <c r="B48" s="119" t="s">
        <v>221</v>
      </c>
      <c r="C48" s="120"/>
      <c r="D48" s="120"/>
      <c r="E48" s="121"/>
      <c r="F48" s="103">
        <v>2</v>
      </c>
      <c r="G48" s="103"/>
      <c r="H48" s="103" t="s">
        <v>131</v>
      </c>
      <c r="I48" s="103" t="s">
        <v>131</v>
      </c>
      <c r="J48" s="119"/>
      <c r="K48" s="120"/>
      <c r="L48" s="120"/>
      <c r="M48" s="120"/>
      <c r="N48" s="120"/>
      <c r="O48" s="121"/>
      <c r="P48" s="103"/>
      <c r="Q48" s="103"/>
      <c r="R48" s="103"/>
      <c r="S48" s="103"/>
    </row>
    <row r="49" spans="1:19" ht="18" customHeight="1" x14ac:dyDescent="0.15">
      <c r="A49" s="94"/>
      <c r="B49" s="119"/>
      <c r="C49" s="120"/>
      <c r="D49" s="120"/>
      <c r="E49" s="121"/>
      <c r="F49" s="103"/>
      <c r="G49" s="103"/>
      <c r="H49" s="103"/>
      <c r="I49" s="103"/>
      <c r="J49" s="119"/>
      <c r="K49" s="120"/>
      <c r="L49" s="120"/>
      <c r="M49" s="120"/>
      <c r="N49" s="120"/>
      <c r="O49" s="121"/>
      <c r="P49" s="103"/>
      <c r="Q49" s="103"/>
      <c r="R49" s="103"/>
      <c r="S49" s="103"/>
    </row>
    <row r="50" spans="1:19" ht="18" customHeight="1" x14ac:dyDescent="0.15">
      <c r="A50" s="94"/>
      <c r="B50" s="119"/>
      <c r="C50" s="120"/>
      <c r="D50" s="120"/>
      <c r="E50" s="121"/>
      <c r="F50" s="103"/>
      <c r="G50" s="103"/>
      <c r="H50" s="103"/>
      <c r="I50" s="103"/>
      <c r="J50" s="119"/>
      <c r="K50" s="120"/>
      <c r="L50" s="120"/>
      <c r="M50" s="120"/>
      <c r="N50" s="120"/>
      <c r="O50" s="121"/>
      <c r="P50" s="103"/>
      <c r="Q50" s="103"/>
      <c r="R50" s="103"/>
      <c r="S50" s="103"/>
    </row>
    <row r="51" spans="1:19" ht="18" customHeight="1" x14ac:dyDescent="0.15">
      <c r="A51" s="94"/>
      <c r="B51" s="119"/>
      <c r="C51" s="120"/>
      <c r="D51" s="120"/>
      <c r="E51" s="121"/>
      <c r="F51" s="103"/>
      <c r="G51" s="103"/>
      <c r="H51" s="103"/>
      <c r="I51" s="103"/>
      <c r="J51" s="119"/>
      <c r="K51" s="120"/>
      <c r="L51" s="120"/>
      <c r="M51" s="120"/>
      <c r="N51" s="120"/>
      <c r="O51" s="121"/>
      <c r="P51" s="103"/>
      <c r="Q51" s="103"/>
      <c r="R51" s="103"/>
      <c r="S51" s="103"/>
    </row>
    <row r="52" spans="1:19" ht="18" customHeight="1" x14ac:dyDescent="0.15">
      <c r="A52" s="94"/>
      <c r="B52" s="119"/>
      <c r="C52" s="120"/>
      <c r="D52" s="120"/>
      <c r="E52" s="121"/>
      <c r="F52" s="103"/>
      <c r="G52" s="103"/>
      <c r="H52" s="103"/>
      <c r="I52" s="103"/>
      <c r="J52" s="119"/>
      <c r="K52" s="120"/>
      <c r="L52" s="120"/>
      <c r="M52" s="120"/>
      <c r="N52" s="120"/>
      <c r="O52" s="121"/>
      <c r="P52" s="103"/>
      <c r="Q52" s="103"/>
      <c r="R52" s="103"/>
      <c r="S52" s="103"/>
    </row>
    <row r="53" spans="1:19" ht="18" customHeight="1" x14ac:dyDescent="0.15">
      <c r="A53" s="94"/>
      <c r="B53" s="125"/>
      <c r="C53" s="126"/>
      <c r="D53" s="126"/>
      <c r="E53" s="127"/>
      <c r="F53" s="104"/>
      <c r="G53" s="104"/>
      <c r="H53" s="105"/>
      <c r="I53" s="105"/>
      <c r="J53" s="125"/>
      <c r="K53" s="126"/>
      <c r="L53" s="126"/>
      <c r="M53" s="126"/>
      <c r="N53" s="126"/>
      <c r="O53" s="127"/>
      <c r="P53" s="104"/>
      <c r="Q53" s="104"/>
      <c r="R53" s="105"/>
      <c r="S53" s="105"/>
    </row>
    <row r="54" spans="1:19" ht="7.5" customHeight="1" x14ac:dyDescent="0.15">
      <c r="B54" s="106"/>
      <c r="C54" s="106"/>
      <c r="D54" s="106"/>
      <c r="E54" s="106"/>
      <c r="F54" s="106"/>
      <c r="G54" s="106"/>
      <c r="H54" s="106"/>
      <c r="I54" s="106"/>
      <c r="J54" s="106"/>
      <c r="K54" s="106"/>
      <c r="L54" s="106"/>
      <c r="M54" s="106"/>
      <c r="N54" s="106"/>
      <c r="O54" s="106"/>
      <c r="P54" s="106"/>
      <c r="Q54" s="106"/>
      <c r="R54" s="106"/>
    </row>
    <row r="55" spans="1:19" ht="18" customHeight="1" x14ac:dyDescent="0.15">
      <c r="A55" s="128" t="s">
        <v>116</v>
      </c>
      <c r="B55" s="128"/>
      <c r="C55" s="128"/>
      <c r="D55" s="128"/>
      <c r="E55" s="128"/>
      <c r="F55" s="128"/>
      <c r="G55" s="128"/>
      <c r="H55" s="128"/>
      <c r="I55" s="128"/>
      <c r="J55" s="128"/>
      <c r="K55" s="128"/>
      <c r="L55" s="128"/>
      <c r="M55" s="128"/>
      <c r="N55" s="128"/>
      <c r="O55" s="128"/>
      <c r="P55" s="128"/>
      <c r="Q55" s="128"/>
      <c r="R55" s="128"/>
      <c r="S55" s="128"/>
    </row>
    <row r="56" spans="1:19" ht="18" customHeight="1" x14ac:dyDescent="0.15">
      <c r="A56" s="128"/>
      <c r="B56" s="128"/>
      <c r="C56" s="128"/>
      <c r="D56" s="128"/>
      <c r="E56" s="128"/>
      <c r="F56" s="128"/>
      <c r="G56" s="128"/>
      <c r="H56" s="128"/>
      <c r="I56" s="128"/>
      <c r="J56" s="128"/>
      <c r="K56" s="128"/>
      <c r="L56" s="128"/>
      <c r="M56" s="128"/>
      <c r="N56" s="128"/>
      <c r="O56" s="128"/>
      <c r="P56" s="128"/>
      <c r="Q56" s="128"/>
      <c r="R56" s="128"/>
      <c r="S56" s="128"/>
    </row>
    <row r="57" spans="1:19" ht="18" customHeight="1" x14ac:dyDescent="0.15">
      <c r="B57" s="122" t="s">
        <v>53</v>
      </c>
      <c r="C57" s="123"/>
      <c r="D57" s="123"/>
      <c r="E57" s="124"/>
      <c r="F57" s="99" t="s">
        <v>80</v>
      </c>
      <c r="G57" s="100" t="s">
        <v>84</v>
      </c>
      <c r="H57" s="101" t="s">
        <v>58</v>
      </c>
      <c r="I57" s="101" t="s">
        <v>60</v>
      </c>
      <c r="J57" s="122" t="s">
        <v>53</v>
      </c>
      <c r="K57" s="123"/>
      <c r="L57" s="123"/>
      <c r="M57" s="123"/>
      <c r="N57" s="123"/>
      <c r="O57" s="124"/>
      <c r="P57" s="99" t="s">
        <v>80</v>
      </c>
      <c r="Q57" s="100" t="s">
        <v>84</v>
      </c>
      <c r="R57" s="101" t="s">
        <v>58</v>
      </c>
      <c r="S57" s="101" t="s">
        <v>60</v>
      </c>
    </row>
    <row r="58" spans="1:19" ht="18" customHeight="1" x14ac:dyDescent="0.15">
      <c r="A58" s="94"/>
      <c r="B58" s="116" t="s">
        <v>165</v>
      </c>
      <c r="C58" s="117"/>
      <c r="D58" s="117"/>
      <c r="E58" s="118"/>
      <c r="F58" s="102">
        <v>2</v>
      </c>
      <c r="G58" s="102"/>
      <c r="H58" s="102" t="s">
        <v>131</v>
      </c>
      <c r="I58" s="102" t="s">
        <v>131</v>
      </c>
      <c r="J58" s="116"/>
      <c r="K58" s="117"/>
      <c r="L58" s="117"/>
      <c r="M58" s="117"/>
      <c r="N58" s="117"/>
      <c r="O58" s="118"/>
      <c r="P58" s="102"/>
      <c r="Q58" s="102"/>
      <c r="R58" s="102"/>
      <c r="S58" s="102"/>
    </row>
    <row r="59" spans="1:19" ht="18" customHeight="1" x14ac:dyDescent="0.15">
      <c r="A59" s="94"/>
      <c r="B59" s="119" t="s">
        <v>221</v>
      </c>
      <c r="C59" s="120"/>
      <c r="D59" s="120"/>
      <c r="E59" s="121"/>
      <c r="F59" s="103">
        <v>2</v>
      </c>
      <c r="G59" s="103"/>
      <c r="H59" s="103" t="s">
        <v>131</v>
      </c>
      <c r="I59" s="103" t="s">
        <v>131</v>
      </c>
      <c r="J59" s="119"/>
      <c r="K59" s="120"/>
      <c r="L59" s="120"/>
      <c r="M59" s="120"/>
      <c r="N59" s="120"/>
      <c r="O59" s="121"/>
      <c r="P59" s="103"/>
      <c r="Q59" s="103"/>
      <c r="R59" s="103"/>
      <c r="S59" s="103"/>
    </row>
    <row r="60" spans="1:19" ht="18" customHeight="1" x14ac:dyDescent="0.15">
      <c r="A60" s="94"/>
      <c r="B60" s="119"/>
      <c r="C60" s="120"/>
      <c r="D60" s="120"/>
      <c r="E60" s="121"/>
      <c r="F60" s="103"/>
      <c r="G60" s="103"/>
      <c r="H60" s="103"/>
      <c r="I60" s="103"/>
      <c r="J60" s="119"/>
      <c r="K60" s="120"/>
      <c r="L60" s="120"/>
      <c r="M60" s="120"/>
      <c r="N60" s="120"/>
      <c r="O60" s="121"/>
      <c r="P60" s="103"/>
      <c r="Q60" s="103"/>
      <c r="R60" s="103"/>
      <c r="S60" s="103"/>
    </row>
    <row r="61" spans="1:19" ht="18" customHeight="1" x14ac:dyDescent="0.15">
      <c r="A61" s="94"/>
      <c r="B61" s="119"/>
      <c r="C61" s="120"/>
      <c r="D61" s="120"/>
      <c r="E61" s="121"/>
      <c r="F61" s="103"/>
      <c r="G61" s="103"/>
      <c r="H61" s="103"/>
      <c r="I61" s="103"/>
      <c r="J61" s="119"/>
      <c r="K61" s="120"/>
      <c r="L61" s="120"/>
      <c r="M61" s="120"/>
      <c r="N61" s="120"/>
      <c r="O61" s="121"/>
      <c r="P61" s="103"/>
      <c r="Q61" s="103"/>
      <c r="R61" s="103"/>
      <c r="S61" s="103"/>
    </row>
    <row r="62" spans="1:19" ht="18" customHeight="1" x14ac:dyDescent="0.15">
      <c r="A62" s="94"/>
      <c r="B62" s="119"/>
      <c r="C62" s="120"/>
      <c r="D62" s="120"/>
      <c r="E62" s="121"/>
      <c r="F62" s="103"/>
      <c r="G62" s="103"/>
      <c r="H62" s="103"/>
      <c r="I62" s="103"/>
      <c r="J62" s="119"/>
      <c r="K62" s="120"/>
      <c r="L62" s="120"/>
      <c r="M62" s="120"/>
      <c r="N62" s="120"/>
      <c r="O62" s="121"/>
      <c r="P62" s="103"/>
      <c r="Q62" s="103"/>
      <c r="R62" s="103"/>
      <c r="S62" s="103"/>
    </row>
    <row r="63" spans="1:19" ht="18" customHeight="1" x14ac:dyDescent="0.15">
      <c r="A63" s="94"/>
      <c r="B63" s="119"/>
      <c r="C63" s="120"/>
      <c r="D63" s="120"/>
      <c r="E63" s="121"/>
      <c r="F63" s="103"/>
      <c r="G63" s="103"/>
      <c r="H63" s="103"/>
      <c r="I63" s="103"/>
      <c r="J63" s="119"/>
      <c r="K63" s="120"/>
      <c r="L63" s="120"/>
      <c r="M63" s="120"/>
      <c r="N63" s="120"/>
      <c r="O63" s="121"/>
      <c r="P63" s="103"/>
      <c r="Q63" s="103"/>
      <c r="R63" s="103"/>
      <c r="S63" s="103"/>
    </row>
    <row r="64" spans="1:19" ht="18" customHeight="1" x14ac:dyDescent="0.15">
      <c r="A64" s="94"/>
      <c r="B64" s="125"/>
      <c r="C64" s="126"/>
      <c r="D64" s="126"/>
      <c r="E64" s="127"/>
      <c r="F64" s="104"/>
      <c r="G64" s="104"/>
      <c r="H64" s="105"/>
      <c r="I64" s="105"/>
      <c r="J64" s="125"/>
      <c r="K64" s="126"/>
      <c r="L64" s="126"/>
      <c r="M64" s="126"/>
      <c r="N64" s="126"/>
      <c r="O64" s="127"/>
      <c r="P64" s="104"/>
      <c r="Q64" s="104"/>
      <c r="R64" s="105"/>
      <c r="S64" s="105"/>
    </row>
    <row r="65" spans="1:19" ht="7.5" customHeight="1" x14ac:dyDescent="0.15">
      <c r="B65" s="106"/>
      <c r="C65" s="106"/>
      <c r="D65" s="106"/>
      <c r="E65" s="106"/>
      <c r="F65" s="106"/>
      <c r="G65" s="106"/>
      <c r="H65" s="106"/>
      <c r="I65" s="106"/>
      <c r="J65" s="106"/>
      <c r="K65" s="106"/>
      <c r="L65" s="106"/>
      <c r="M65" s="106"/>
      <c r="N65" s="106"/>
      <c r="O65" s="106"/>
      <c r="P65" s="106"/>
      <c r="Q65" s="106"/>
      <c r="R65" s="106"/>
    </row>
    <row r="66" spans="1:19" ht="18" customHeight="1" x14ac:dyDescent="0.15">
      <c r="A66" s="128" t="s">
        <v>117</v>
      </c>
      <c r="B66" s="128"/>
      <c r="C66" s="128"/>
      <c r="D66" s="128"/>
      <c r="E66" s="128"/>
      <c r="F66" s="128"/>
      <c r="G66" s="128"/>
      <c r="H66" s="128"/>
      <c r="I66" s="128"/>
      <c r="J66" s="128"/>
      <c r="K66" s="128"/>
      <c r="L66" s="128"/>
      <c r="M66" s="128"/>
      <c r="N66" s="128"/>
      <c r="O66" s="128"/>
      <c r="P66" s="128"/>
      <c r="Q66" s="128"/>
      <c r="R66" s="128"/>
      <c r="S66" s="128"/>
    </row>
    <row r="67" spans="1:19" ht="18" customHeight="1" x14ac:dyDescent="0.15">
      <c r="A67" s="128"/>
      <c r="B67" s="128"/>
      <c r="C67" s="128"/>
      <c r="D67" s="128"/>
      <c r="E67" s="128"/>
      <c r="F67" s="128"/>
      <c r="G67" s="128"/>
      <c r="H67" s="128"/>
      <c r="I67" s="128"/>
      <c r="J67" s="128"/>
      <c r="K67" s="128"/>
      <c r="L67" s="128"/>
      <c r="M67" s="128"/>
      <c r="N67" s="128"/>
      <c r="O67" s="128"/>
      <c r="P67" s="128"/>
      <c r="Q67" s="128"/>
      <c r="R67" s="128"/>
      <c r="S67" s="128"/>
    </row>
    <row r="68" spans="1:19" ht="18" customHeight="1" x14ac:dyDescent="0.15">
      <c r="B68" s="122" t="s">
        <v>53</v>
      </c>
      <c r="C68" s="123"/>
      <c r="D68" s="123"/>
      <c r="E68" s="99" t="s">
        <v>80</v>
      </c>
      <c r="F68" s="100" t="s">
        <v>84</v>
      </c>
      <c r="G68" s="101" t="s">
        <v>101</v>
      </c>
      <c r="H68" s="101" t="s">
        <v>75</v>
      </c>
      <c r="I68" s="101" t="s">
        <v>76</v>
      </c>
      <c r="J68" s="122" t="s">
        <v>53</v>
      </c>
      <c r="K68" s="123"/>
      <c r="L68" s="123"/>
      <c r="M68" s="123"/>
      <c r="N68" s="124"/>
      <c r="O68" s="99" t="s">
        <v>80</v>
      </c>
      <c r="P68" s="100" t="s">
        <v>84</v>
      </c>
      <c r="Q68" s="101" t="s">
        <v>101</v>
      </c>
      <c r="R68" s="101" t="s">
        <v>75</v>
      </c>
      <c r="S68" s="101" t="s">
        <v>76</v>
      </c>
    </row>
    <row r="69" spans="1:19" ht="18" customHeight="1" x14ac:dyDescent="0.15">
      <c r="A69" s="94"/>
      <c r="B69" s="116" t="s">
        <v>165</v>
      </c>
      <c r="C69" s="117"/>
      <c r="D69" s="117"/>
      <c r="E69" s="102">
        <v>2</v>
      </c>
      <c r="F69" s="102"/>
      <c r="G69" s="102" t="s">
        <v>131</v>
      </c>
      <c r="H69" s="102" t="s">
        <v>131</v>
      </c>
      <c r="I69" s="102" t="s">
        <v>131</v>
      </c>
      <c r="J69" s="116"/>
      <c r="K69" s="117"/>
      <c r="L69" s="117"/>
      <c r="M69" s="117"/>
      <c r="N69" s="118"/>
      <c r="O69" s="102"/>
      <c r="P69" s="102"/>
      <c r="Q69" s="102"/>
      <c r="R69" s="102"/>
      <c r="S69" s="102"/>
    </row>
    <row r="70" spans="1:19" ht="18" customHeight="1" x14ac:dyDescent="0.15">
      <c r="A70" s="94"/>
      <c r="B70" s="119" t="s">
        <v>221</v>
      </c>
      <c r="C70" s="120"/>
      <c r="D70" s="120"/>
      <c r="E70" s="103">
        <v>2</v>
      </c>
      <c r="F70" s="103"/>
      <c r="G70" s="103" t="s">
        <v>131</v>
      </c>
      <c r="H70" s="103" t="s">
        <v>131</v>
      </c>
      <c r="I70" s="103" t="s">
        <v>131</v>
      </c>
      <c r="J70" s="119"/>
      <c r="K70" s="120"/>
      <c r="L70" s="120"/>
      <c r="M70" s="120"/>
      <c r="N70" s="121"/>
      <c r="O70" s="103"/>
      <c r="P70" s="103"/>
      <c r="Q70" s="103"/>
      <c r="R70" s="103"/>
      <c r="S70" s="103"/>
    </row>
    <row r="71" spans="1:19" ht="18" customHeight="1" x14ac:dyDescent="0.15">
      <c r="A71" s="94"/>
      <c r="B71" s="119"/>
      <c r="C71" s="120"/>
      <c r="D71" s="120"/>
      <c r="E71" s="103"/>
      <c r="F71" s="103"/>
      <c r="G71" s="103"/>
      <c r="H71" s="103"/>
      <c r="I71" s="103"/>
      <c r="J71" s="119"/>
      <c r="K71" s="120"/>
      <c r="L71" s="120"/>
      <c r="M71" s="120"/>
      <c r="N71" s="121"/>
      <c r="O71" s="103"/>
      <c r="P71" s="103"/>
      <c r="Q71" s="103"/>
      <c r="R71" s="103"/>
      <c r="S71" s="103"/>
    </row>
    <row r="72" spans="1:19" ht="18" customHeight="1" x14ac:dyDescent="0.15">
      <c r="A72" s="94"/>
      <c r="B72" s="119"/>
      <c r="C72" s="120"/>
      <c r="D72" s="120"/>
      <c r="E72" s="103"/>
      <c r="F72" s="103"/>
      <c r="G72" s="103"/>
      <c r="H72" s="103"/>
      <c r="I72" s="103"/>
      <c r="J72" s="119"/>
      <c r="K72" s="120"/>
      <c r="L72" s="120"/>
      <c r="M72" s="120"/>
      <c r="N72" s="121"/>
      <c r="O72" s="103"/>
      <c r="P72" s="103"/>
      <c r="Q72" s="103"/>
      <c r="R72" s="103"/>
      <c r="S72" s="103"/>
    </row>
    <row r="73" spans="1:19" ht="18" customHeight="1" x14ac:dyDescent="0.15">
      <c r="A73" s="94"/>
      <c r="B73" s="119"/>
      <c r="C73" s="120"/>
      <c r="D73" s="120"/>
      <c r="E73" s="103"/>
      <c r="F73" s="103"/>
      <c r="G73" s="103"/>
      <c r="H73" s="103"/>
      <c r="I73" s="103"/>
      <c r="J73" s="119"/>
      <c r="K73" s="120"/>
      <c r="L73" s="120"/>
      <c r="M73" s="120"/>
      <c r="N73" s="121"/>
      <c r="O73" s="103"/>
      <c r="P73" s="103"/>
      <c r="Q73" s="103"/>
      <c r="R73" s="103"/>
      <c r="S73" s="103"/>
    </row>
    <row r="74" spans="1:19" ht="18" customHeight="1" x14ac:dyDescent="0.15">
      <c r="A74" s="94"/>
      <c r="B74" s="119"/>
      <c r="C74" s="120"/>
      <c r="D74" s="120"/>
      <c r="E74" s="103"/>
      <c r="F74" s="103"/>
      <c r="G74" s="103"/>
      <c r="H74" s="103"/>
      <c r="I74" s="103"/>
      <c r="J74" s="119"/>
      <c r="K74" s="120"/>
      <c r="L74" s="120"/>
      <c r="M74" s="120"/>
      <c r="N74" s="121"/>
      <c r="O74" s="103"/>
      <c r="P74" s="103"/>
      <c r="Q74" s="103"/>
      <c r="R74" s="103"/>
      <c r="S74" s="103"/>
    </row>
    <row r="75" spans="1:19" ht="18" customHeight="1" x14ac:dyDescent="0.15">
      <c r="A75" s="94"/>
      <c r="B75" s="125"/>
      <c r="C75" s="126"/>
      <c r="D75" s="126"/>
      <c r="E75" s="104"/>
      <c r="F75" s="104"/>
      <c r="G75" s="105"/>
      <c r="H75" s="105"/>
      <c r="I75" s="105"/>
      <c r="J75" s="125"/>
      <c r="K75" s="126"/>
      <c r="L75" s="126"/>
      <c r="M75" s="126"/>
      <c r="N75" s="127"/>
      <c r="O75" s="104"/>
      <c r="P75" s="104"/>
      <c r="Q75" s="105"/>
      <c r="R75" s="105"/>
      <c r="S75" s="105"/>
    </row>
    <row r="76" spans="1:19" ht="7.5" customHeight="1" x14ac:dyDescent="0.15">
      <c r="B76" s="106"/>
      <c r="C76" s="106"/>
      <c r="D76" s="106"/>
      <c r="E76" s="106"/>
      <c r="F76" s="106"/>
      <c r="G76" s="106"/>
      <c r="H76" s="106"/>
      <c r="I76" s="106"/>
      <c r="J76" s="106"/>
      <c r="K76" s="106"/>
      <c r="L76" s="106"/>
      <c r="M76" s="106"/>
      <c r="N76" s="106"/>
      <c r="O76" s="106"/>
      <c r="P76" s="106"/>
      <c r="Q76" s="106"/>
      <c r="R76" s="106"/>
    </row>
    <row r="77" spans="1:19" ht="18" customHeight="1" x14ac:dyDescent="0.15">
      <c r="A77" s="88" t="s">
        <v>118</v>
      </c>
      <c r="H77" s="94"/>
      <c r="I77" s="94"/>
      <c r="J77" s="94"/>
      <c r="K77" s="94"/>
      <c r="L77" s="94"/>
      <c r="M77" s="94"/>
      <c r="N77" s="94"/>
      <c r="O77" s="94"/>
      <c r="P77" s="94"/>
      <c r="Q77" s="94"/>
      <c r="R77" s="94"/>
      <c r="S77" s="94"/>
    </row>
    <row r="78" spans="1:19" ht="18" customHeight="1" x14ac:dyDescent="0.15">
      <c r="B78" s="122" t="s">
        <v>53</v>
      </c>
      <c r="C78" s="123"/>
      <c r="D78" s="123"/>
      <c r="E78" s="124"/>
      <c r="F78" s="122" t="s">
        <v>82</v>
      </c>
      <c r="G78" s="123"/>
      <c r="H78" s="123"/>
      <c r="I78" s="124"/>
      <c r="J78" s="147" t="s">
        <v>53</v>
      </c>
      <c r="K78" s="148"/>
      <c r="L78" s="148"/>
      <c r="M78" s="148"/>
      <c r="N78" s="148"/>
      <c r="O78" s="149"/>
      <c r="P78" s="122" t="s">
        <v>82</v>
      </c>
      <c r="Q78" s="123"/>
      <c r="R78" s="123"/>
      <c r="S78" s="124"/>
    </row>
    <row r="79" spans="1:19" ht="18" customHeight="1" x14ac:dyDescent="0.15">
      <c r="A79" s="94"/>
      <c r="B79" s="116" t="s">
        <v>184</v>
      </c>
      <c r="C79" s="117"/>
      <c r="D79" s="117"/>
      <c r="E79" s="118"/>
      <c r="F79" s="141" t="s">
        <v>185</v>
      </c>
      <c r="G79" s="142"/>
      <c r="H79" s="142"/>
      <c r="I79" s="143"/>
      <c r="J79" s="116"/>
      <c r="K79" s="117"/>
      <c r="L79" s="117"/>
      <c r="M79" s="117"/>
      <c r="N79" s="117"/>
      <c r="O79" s="118"/>
      <c r="P79" s="141"/>
      <c r="Q79" s="142"/>
      <c r="R79" s="142"/>
      <c r="S79" s="143"/>
    </row>
    <row r="80" spans="1:19" ht="18" customHeight="1" x14ac:dyDescent="0.15">
      <c r="A80" s="94"/>
      <c r="B80" s="119" t="s">
        <v>164</v>
      </c>
      <c r="C80" s="120"/>
      <c r="D80" s="120"/>
      <c r="E80" s="121"/>
      <c r="F80" s="144" t="s">
        <v>177</v>
      </c>
      <c r="G80" s="145"/>
      <c r="H80" s="145"/>
      <c r="I80" s="146"/>
      <c r="J80" s="119"/>
      <c r="K80" s="120"/>
      <c r="L80" s="120"/>
      <c r="M80" s="120"/>
      <c r="N80" s="120"/>
      <c r="O80" s="121"/>
      <c r="P80" s="144"/>
      <c r="Q80" s="145"/>
      <c r="R80" s="145"/>
      <c r="S80" s="146"/>
    </row>
    <row r="81" spans="1:19" ht="18" customHeight="1" x14ac:dyDescent="0.15">
      <c r="A81" s="94"/>
      <c r="B81" s="119" t="s">
        <v>164</v>
      </c>
      <c r="C81" s="120"/>
      <c r="D81" s="120"/>
      <c r="E81" s="121"/>
      <c r="F81" s="144" t="s">
        <v>186</v>
      </c>
      <c r="G81" s="145"/>
      <c r="H81" s="145"/>
      <c r="I81" s="146"/>
      <c r="J81" s="119"/>
      <c r="K81" s="120"/>
      <c r="L81" s="120"/>
      <c r="M81" s="120"/>
      <c r="N81" s="120"/>
      <c r="O81" s="121"/>
      <c r="P81" s="144"/>
      <c r="Q81" s="145"/>
      <c r="R81" s="145"/>
      <c r="S81" s="146"/>
    </row>
    <row r="82" spans="1:19" ht="18" customHeight="1" x14ac:dyDescent="0.15">
      <c r="A82" s="94"/>
      <c r="B82" s="119" t="s">
        <v>164</v>
      </c>
      <c r="C82" s="120"/>
      <c r="D82" s="120"/>
      <c r="E82" s="121"/>
      <c r="F82" s="144" t="s">
        <v>187</v>
      </c>
      <c r="G82" s="145"/>
      <c r="H82" s="145"/>
      <c r="I82" s="146"/>
      <c r="J82" s="119"/>
      <c r="K82" s="120"/>
      <c r="L82" s="120"/>
      <c r="M82" s="120"/>
      <c r="N82" s="120"/>
      <c r="O82" s="121"/>
      <c r="P82" s="144"/>
      <c r="Q82" s="145"/>
      <c r="R82" s="145"/>
      <c r="S82" s="146"/>
    </row>
    <row r="83" spans="1:19" ht="18" customHeight="1" x14ac:dyDescent="0.15">
      <c r="A83" s="94"/>
      <c r="B83" s="119"/>
      <c r="C83" s="120"/>
      <c r="D83" s="120"/>
      <c r="E83" s="121"/>
      <c r="F83" s="144"/>
      <c r="G83" s="145"/>
      <c r="H83" s="145"/>
      <c r="I83" s="146"/>
      <c r="J83" s="119"/>
      <c r="K83" s="120"/>
      <c r="L83" s="120"/>
      <c r="M83" s="120"/>
      <c r="N83" s="120"/>
      <c r="O83" s="121"/>
      <c r="P83" s="144"/>
      <c r="Q83" s="145"/>
      <c r="R83" s="145"/>
      <c r="S83" s="146"/>
    </row>
    <row r="84" spans="1:19" ht="18" customHeight="1" x14ac:dyDescent="0.15">
      <c r="A84" s="94"/>
      <c r="B84" s="119"/>
      <c r="C84" s="120"/>
      <c r="D84" s="120"/>
      <c r="E84" s="121"/>
      <c r="F84" s="144"/>
      <c r="G84" s="145"/>
      <c r="H84" s="145"/>
      <c r="I84" s="146"/>
      <c r="J84" s="119"/>
      <c r="K84" s="120"/>
      <c r="L84" s="120"/>
      <c r="M84" s="120"/>
      <c r="N84" s="120"/>
      <c r="O84" s="121"/>
      <c r="P84" s="144"/>
      <c r="Q84" s="145"/>
      <c r="R84" s="145"/>
      <c r="S84" s="146"/>
    </row>
    <row r="85" spans="1:19" ht="18" customHeight="1" x14ac:dyDescent="0.15">
      <c r="A85" s="94"/>
      <c r="B85" s="125"/>
      <c r="C85" s="126"/>
      <c r="D85" s="126"/>
      <c r="E85" s="127"/>
      <c r="F85" s="153"/>
      <c r="G85" s="154"/>
      <c r="H85" s="154"/>
      <c r="I85" s="155"/>
      <c r="J85" s="125"/>
      <c r="K85" s="126"/>
      <c r="L85" s="126"/>
      <c r="M85" s="126"/>
      <c r="N85" s="126"/>
      <c r="O85" s="127"/>
      <c r="P85" s="153"/>
      <c r="Q85" s="154"/>
      <c r="R85" s="154"/>
      <c r="S85" s="155"/>
    </row>
    <row r="86" spans="1:19" ht="18" customHeight="1" x14ac:dyDescent="0.15">
      <c r="A86" s="94"/>
      <c r="B86" s="92"/>
      <c r="C86" s="92"/>
      <c r="D86" s="92"/>
      <c r="E86" s="92"/>
      <c r="F86" s="107"/>
      <c r="G86" s="107"/>
      <c r="H86" s="107"/>
      <c r="I86" s="107"/>
      <c r="J86" s="92"/>
      <c r="K86" s="92"/>
      <c r="L86" s="92"/>
      <c r="M86" s="92"/>
      <c r="N86" s="92"/>
      <c r="O86" s="92"/>
      <c r="P86" s="107"/>
      <c r="Q86" s="107"/>
      <c r="R86" s="107"/>
      <c r="S86" s="107"/>
    </row>
    <row r="87" spans="1:19" ht="18.75" customHeight="1" x14ac:dyDescent="0.15">
      <c r="A87" s="88" t="s">
        <v>119</v>
      </c>
    </row>
    <row r="88" spans="1:19" ht="18.75" customHeight="1" x14ac:dyDescent="0.15">
      <c r="B88" s="139" t="s">
        <v>54</v>
      </c>
      <c r="C88" s="140"/>
      <c r="D88" s="123" t="s">
        <v>55</v>
      </c>
      <c r="E88" s="123"/>
      <c r="F88" s="123"/>
      <c r="G88" s="123"/>
      <c r="H88" s="123"/>
      <c r="I88" s="123"/>
      <c r="J88" s="123"/>
      <c r="K88" s="123"/>
      <c r="L88" s="123"/>
      <c r="M88" s="123"/>
      <c r="N88" s="123"/>
      <c r="O88" s="123"/>
      <c r="P88" s="123"/>
      <c r="Q88" s="123"/>
      <c r="R88" s="123"/>
      <c r="S88" s="124"/>
    </row>
    <row r="89" spans="1:19" ht="97.5" customHeight="1" x14ac:dyDescent="0.15">
      <c r="B89" s="129" t="s">
        <v>61</v>
      </c>
      <c r="C89" s="108" t="s">
        <v>56</v>
      </c>
      <c r="D89" s="209" t="s">
        <v>225</v>
      </c>
      <c r="E89" s="210"/>
      <c r="F89" s="210"/>
      <c r="G89" s="210"/>
      <c r="H89" s="210"/>
      <c r="I89" s="210"/>
      <c r="J89" s="210"/>
      <c r="K89" s="210"/>
      <c r="L89" s="210"/>
      <c r="M89" s="210"/>
      <c r="N89" s="210"/>
      <c r="O89" s="210"/>
      <c r="P89" s="210"/>
      <c r="Q89" s="210"/>
      <c r="R89" s="210"/>
      <c r="S89" s="211"/>
    </row>
    <row r="90" spans="1:19" ht="97.5" customHeight="1" x14ac:dyDescent="0.15">
      <c r="B90" s="130"/>
      <c r="C90" s="109" t="s">
        <v>77</v>
      </c>
      <c r="D90" s="199" t="s">
        <v>226</v>
      </c>
      <c r="E90" s="199"/>
      <c r="F90" s="199"/>
      <c r="G90" s="199"/>
      <c r="H90" s="199"/>
      <c r="I90" s="199"/>
      <c r="J90" s="199"/>
      <c r="K90" s="199"/>
      <c r="L90" s="199"/>
      <c r="M90" s="199"/>
      <c r="N90" s="199"/>
      <c r="O90" s="199"/>
      <c r="P90" s="199"/>
      <c r="Q90" s="199"/>
      <c r="R90" s="199"/>
      <c r="S90" s="212"/>
    </row>
    <row r="91" spans="1:19" ht="97.5" customHeight="1" x14ac:dyDescent="0.15">
      <c r="B91" s="129" t="s">
        <v>62</v>
      </c>
      <c r="C91" s="110" t="s">
        <v>71</v>
      </c>
      <c r="D91" s="158" t="s">
        <v>227</v>
      </c>
      <c r="E91" s="159"/>
      <c r="F91" s="159"/>
      <c r="G91" s="159"/>
      <c r="H91" s="159"/>
      <c r="I91" s="159"/>
      <c r="J91" s="159"/>
      <c r="K91" s="159"/>
      <c r="L91" s="159"/>
      <c r="M91" s="159"/>
      <c r="N91" s="159"/>
      <c r="O91" s="159"/>
      <c r="P91" s="159"/>
      <c r="Q91" s="159"/>
      <c r="R91" s="159"/>
      <c r="S91" s="160"/>
    </row>
    <row r="92" spans="1:19" ht="97.5" customHeight="1" x14ac:dyDescent="0.15">
      <c r="B92" s="131"/>
      <c r="C92" s="111" t="s">
        <v>72</v>
      </c>
      <c r="D92" s="163" t="s">
        <v>228</v>
      </c>
      <c r="E92" s="164"/>
      <c r="F92" s="164"/>
      <c r="G92" s="164"/>
      <c r="H92" s="164"/>
      <c r="I92" s="164"/>
      <c r="J92" s="164"/>
      <c r="K92" s="164"/>
      <c r="L92" s="164"/>
      <c r="M92" s="164"/>
      <c r="N92" s="164"/>
      <c r="O92" s="164"/>
      <c r="P92" s="164"/>
      <c r="Q92" s="164"/>
      <c r="R92" s="164"/>
      <c r="S92" s="165"/>
    </row>
    <row r="93" spans="1:19" ht="97.5" customHeight="1" x14ac:dyDescent="0.15">
      <c r="B93" s="129" t="s">
        <v>63</v>
      </c>
      <c r="C93" s="110" t="s">
        <v>73</v>
      </c>
      <c r="D93" s="202" t="s">
        <v>229</v>
      </c>
      <c r="E93" s="203"/>
      <c r="F93" s="203"/>
      <c r="G93" s="203"/>
      <c r="H93" s="203"/>
      <c r="I93" s="203"/>
      <c r="J93" s="203"/>
      <c r="K93" s="203"/>
      <c r="L93" s="203"/>
      <c r="M93" s="203"/>
      <c r="N93" s="203"/>
      <c r="O93" s="203"/>
      <c r="P93" s="203"/>
      <c r="Q93" s="203"/>
      <c r="R93" s="203"/>
      <c r="S93" s="204"/>
    </row>
    <row r="94" spans="1:19" ht="97.5" customHeight="1" x14ac:dyDescent="0.15">
      <c r="B94" s="131"/>
      <c r="C94" s="112" t="s">
        <v>74</v>
      </c>
      <c r="D94" s="161" t="s">
        <v>230</v>
      </c>
      <c r="E94" s="161"/>
      <c r="F94" s="161"/>
      <c r="G94" s="161"/>
      <c r="H94" s="161"/>
      <c r="I94" s="161"/>
      <c r="J94" s="161"/>
      <c r="K94" s="161"/>
      <c r="L94" s="161"/>
      <c r="M94" s="161"/>
      <c r="N94" s="161"/>
      <c r="O94" s="161"/>
      <c r="P94" s="161"/>
      <c r="Q94" s="161"/>
      <c r="R94" s="161"/>
      <c r="S94" s="162"/>
    </row>
    <row r="95" spans="1:19" ht="97.5" customHeight="1" x14ac:dyDescent="0.15">
      <c r="B95" s="129" t="s">
        <v>78</v>
      </c>
      <c r="C95" s="108" t="s">
        <v>58</v>
      </c>
      <c r="D95" s="222" t="s">
        <v>231</v>
      </c>
      <c r="E95" s="222"/>
      <c r="F95" s="222"/>
      <c r="G95" s="222"/>
      <c r="H95" s="222"/>
      <c r="I95" s="222"/>
      <c r="J95" s="222"/>
      <c r="K95" s="222"/>
      <c r="L95" s="222"/>
      <c r="M95" s="222"/>
      <c r="N95" s="222"/>
      <c r="O95" s="222"/>
      <c r="P95" s="222"/>
      <c r="Q95" s="222"/>
      <c r="R95" s="222"/>
      <c r="S95" s="223"/>
    </row>
    <row r="96" spans="1:19" ht="97.5" customHeight="1" x14ac:dyDescent="0.15">
      <c r="B96" s="131"/>
      <c r="C96" s="111" t="s">
        <v>60</v>
      </c>
      <c r="D96" s="163" t="s">
        <v>232</v>
      </c>
      <c r="E96" s="164"/>
      <c r="F96" s="164"/>
      <c r="G96" s="164"/>
      <c r="H96" s="164"/>
      <c r="I96" s="164"/>
      <c r="J96" s="164"/>
      <c r="K96" s="164"/>
      <c r="L96" s="164"/>
      <c r="M96" s="164"/>
      <c r="N96" s="164"/>
      <c r="O96" s="164"/>
      <c r="P96" s="164"/>
      <c r="Q96" s="164"/>
      <c r="R96" s="164"/>
      <c r="S96" s="165"/>
    </row>
    <row r="97" spans="1:19" ht="97.5" customHeight="1" x14ac:dyDescent="0.15">
      <c r="B97" s="129" t="s">
        <v>79</v>
      </c>
      <c r="C97" s="110" t="s">
        <v>57</v>
      </c>
      <c r="D97" s="213" t="s">
        <v>233</v>
      </c>
      <c r="E97" s="214"/>
      <c r="F97" s="214"/>
      <c r="G97" s="214"/>
      <c r="H97" s="214"/>
      <c r="I97" s="214"/>
      <c r="J97" s="214"/>
      <c r="K97" s="214"/>
      <c r="L97" s="214"/>
      <c r="M97" s="214"/>
      <c r="N97" s="214"/>
      <c r="O97" s="214"/>
      <c r="P97" s="214"/>
      <c r="Q97" s="214"/>
      <c r="R97" s="214"/>
      <c r="S97" s="215"/>
    </row>
    <row r="98" spans="1:19" ht="97.5" customHeight="1" x14ac:dyDescent="0.15">
      <c r="B98" s="130"/>
      <c r="C98" s="113" t="s">
        <v>75</v>
      </c>
      <c r="D98" s="216" t="s">
        <v>234</v>
      </c>
      <c r="E98" s="217"/>
      <c r="F98" s="217"/>
      <c r="G98" s="217"/>
      <c r="H98" s="217"/>
      <c r="I98" s="217"/>
      <c r="J98" s="217"/>
      <c r="K98" s="217"/>
      <c r="L98" s="217"/>
      <c r="M98" s="217"/>
      <c r="N98" s="217"/>
      <c r="O98" s="217"/>
      <c r="P98" s="217"/>
      <c r="Q98" s="217"/>
      <c r="R98" s="217"/>
      <c r="S98" s="218"/>
    </row>
    <row r="99" spans="1:19" ht="97.5" customHeight="1" x14ac:dyDescent="0.15">
      <c r="B99" s="131"/>
      <c r="C99" s="112" t="s">
        <v>76</v>
      </c>
      <c r="D99" s="219" t="s">
        <v>235</v>
      </c>
      <c r="E99" s="220"/>
      <c r="F99" s="220"/>
      <c r="G99" s="220"/>
      <c r="H99" s="220"/>
      <c r="I99" s="220"/>
      <c r="J99" s="220"/>
      <c r="K99" s="220"/>
      <c r="L99" s="220"/>
      <c r="M99" s="220"/>
      <c r="N99" s="220"/>
      <c r="O99" s="220"/>
      <c r="P99" s="220"/>
      <c r="Q99" s="220"/>
      <c r="R99" s="220"/>
      <c r="S99" s="221"/>
    </row>
    <row r="100" spans="1:19" ht="6" customHeight="1" x14ac:dyDescent="0.15"/>
    <row r="101" spans="1:19" ht="18.75" customHeight="1" x14ac:dyDescent="0.15">
      <c r="A101" s="88" t="s">
        <v>120</v>
      </c>
    </row>
    <row r="102" spans="1:19" ht="81.75" customHeight="1" x14ac:dyDescent="0.15">
      <c r="B102" s="150" t="s">
        <v>201</v>
      </c>
      <c r="C102" s="151"/>
      <c r="D102" s="151"/>
      <c r="E102" s="151"/>
      <c r="F102" s="151"/>
      <c r="G102" s="151"/>
      <c r="H102" s="151"/>
      <c r="I102" s="151"/>
      <c r="J102" s="151"/>
      <c r="K102" s="151"/>
      <c r="L102" s="151"/>
      <c r="M102" s="151"/>
      <c r="N102" s="151"/>
      <c r="O102" s="151"/>
      <c r="P102" s="151"/>
      <c r="Q102" s="151"/>
      <c r="R102" s="151"/>
      <c r="S102" s="152"/>
    </row>
    <row r="110" spans="1:19" ht="18" customHeight="1" x14ac:dyDescent="0.15"/>
  </sheetData>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1" priority="1">
      <formula>$K$7="学部・学科によって、修了要件は相違しない"</formula>
    </cfRule>
  </conditionalFormatting>
  <dataValidations count="5">
    <dataValidation type="list" allowBlank="1" showInputMessage="1" showErrorMessage="1" sqref="K20:S20" xr:uid="{ED2C75CA-8406-4FE4-8E0C-E8B64296CDEE}">
      <formula1>$V$14:$V$16</formula1>
    </dataValidation>
    <dataValidation type="list" allowBlank="1" showInputMessage="1" showErrorMessage="1" sqref="F79:F86 P79:P86 G79:I80 G83:I86 Q83:S86 Q79:S80" xr:uid="{07912491-C208-4A84-A618-4D40ACAF613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3663103C-CA2A-4597-8077-BDF3FFAA36DF}">
      <formula1>"学部・学科によって、修了要件は相違する,学部・学科によって、修了要件は相違しない"</formula1>
    </dataValidation>
    <dataValidation type="list" allowBlank="1" showInputMessage="1" showErrorMessage="1" sqref="S32 S43 D32:G32 D43:G43" xr:uid="{C9389FDF-B52C-4FA5-AB63-14906E0477FE}">
      <formula1>"全学開講,一部開講"</formula1>
    </dataValidation>
    <dataValidation type="list" allowBlank="1" showInputMessage="1" showErrorMessage="1" sqref="G25:I31 Q25:S31 G36:I42 Q36:S42 G47:I53 Q47:S53 G58:I64 Q58:S64 F69:I75 P69:S75" xr:uid="{7D421FE4-8B4F-4BDE-B982-8E5803B1303B}">
      <formula1>"○"</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6ABE5-6D85-44E3-8F37-4951DE560929}">
  <sheetPr>
    <pageSetUpPr fitToPage="1"/>
  </sheetPr>
  <dimension ref="A1:V110"/>
  <sheetViews>
    <sheetView showZeros="0" view="pageBreakPreview" zoomScaleNormal="100" zoomScaleSheetLayoutView="100" workbookViewId="0">
      <selection activeCell="B19" sqref="B19"/>
    </sheetView>
  </sheetViews>
  <sheetFormatPr defaultColWidth="9" defaultRowHeight="18.75" customHeight="1" x14ac:dyDescent="0.15"/>
  <cols>
    <col min="1" max="1" width="2.5" style="85" customWidth="1"/>
    <col min="2" max="2" width="16.5" style="85" customWidth="1"/>
    <col min="3" max="19" width="5.625" style="85" customWidth="1"/>
    <col min="20" max="20" width="9" style="85"/>
    <col min="21" max="21" width="3.625" style="85" customWidth="1"/>
    <col min="22" max="22" width="48.625" style="85" hidden="1" customWidth="1"/>
    <col min="23" max="16384" width="9" style="85"/>
  </cols>
  <sheetData>
    <row r="1" spans="1:22" ht="18.600000000000001" customHeight="1" x14ac:dyDescent="0.15">
      <c r="R1" s="240" t="s">
        <v>166</v>
      </c>
      <c r="S1" s="240"/>
      <c r="T1" s="2" t="s">
        <v>109</v>
      </c>
    </row>
    <row r="2" spans="1:22" ht="18.75" customHeight="1" x14ac:dyDescent="0.15">
      <c r="B2" s="83" t="s">
        <v>108</v>
      </c>
      <c r="C2" s="233" t="s">
        <v>126</v>
      </c>
      <c r="D2" s="239"/>
      <c r="E2" s="239"/>
      <c r="F2" s="239"/>
      <c r="G2" s="239"/>
      <c r="H2" s="239"/>
      <c r="I2" s="234"/>
      <c r="J2" s="82"/>
      <c r="K2" s="6"/>
      <c r="L2" s="6"/>
      <c r="M2" s="6"/>
      <c r="N2" s="6"/>
      <c r="O2" s="6"/>
      <c r="P2" s="6"/>
      <c r="Q2" s="6"/>
      <c r="R2" s="6"/>
      <c r="S2" s="6"/>
    </row>
    <row r="3" spans="1:22" ht="18.75" customHeight="1" x14ac:dyDescent="0.15">
      <c r="B3" s="83" t="s">
        <v>102</v>
      </c>
      <c r="C3" s="233" t="s">
        <v>127</v>
      </c>
      <c r="D3" s="239"/>
      <c r="E3" s="239"/>
      <c r="F3" s="239"/>
      <c r="G3" s="239"/>
      <c r="H3" s="239"/>
      <c r="I3" s="234"/>
      <c r="J3" s="82"/>
      <c r="K3" s="6"/>
      <c r="L3" s="6"/>
      <c r="M3" s="6"/>
      <c r="N3" s="6"/>
      <c r="O3" s="6"/>
      <c r="P3" s="6"/>
      <c r="Q3" s="6"/>
      <c r="R3" s="6"/>
      <c r="S3" s="6"/>
    </row>
    <row r="4" spans="1:22" ht="15" customHeight="1" x14ac:dyDescent="0.15">
      <c r="K4" s="82"/>
      <c r="L4" s="37"/>
      <c r="M4" s="37"/>
      <c r="N4" s="37"/>
      <c r="O4" s="37"/>
      <c r="P4" s="37"/>
      <c r="Q4" s="37"/>
      <c r="R4" s="37"/>
      <c r="S4" s="37"/>
    </row>
    <row r="5" spans="1:22" ht="18" customHeight="1" x14ac:dyDescent="0.15">
      <c r="A5" s="241" t="s">
        <v>38</v>
      </c>
      <c r="B5" s="241"/>
      <c r="C5" s="241"/>
      <c r="D5" s="241"/>
      <c r="E5" s="241"/>
      <c r="F5" s="241"/>
      <c r="G5" s="241"/>
      <c r="H5" s="241"/>
      <c r="I5" s="241"/>
      <c r="J5" s="241"/>
      <c r="K5" s="241"/>
      <c r="L5" s="241"/>
      <c r="M5" s="241"/>
      <c r="N5" s="241"/>
      <c r="O5" s="241"/>
      <c r="P5" s="241"/>
      <c r="Q5" s="241"/>
      <c r="R5" s="241"/>
      <c r="S5" s="241"/>
    </row>
    <row r="6" spans="1:22" ht="15" customHeight="1" x14ac:dyDescent="0.15">
      <c r="B6" s="86"/>
      <c r="C6" s="86"/>
      <c r="D6" s="86"/>
      <c r="E6" s="86"/>
      <c r="F6" s="86"/>
      <c r="G6" s="86"/>
      <c r="H6" s="86"/>
      <c r="I6" s="86"/>
      <c r="J6" s="86"/>
      <c r="K6" s="86"/>
      <c r="L6" s="86"/>
      <c r="M6" s="86"/>
      <c r="N6" s="86"/>
      <c r="O6" s="86"/>
      <c r="P6" s="86"/>
      <c r="Q6" s="86"/>
      <c r="R6" s="86"/>
      <c r="S6" s="86"/>
    </row>
    <row r="7" spans="1:22" ht="18" customHeight="1" x14ac:dyDescent="0.15">
      <c r="A7" s="85" t="s">
        <v>124</v>
      </c>
      <c r="C7" s="86"/>
      <c r="J7" s="38" t="s">
        <v>107</v>
      </c>
      <c r="K7" s="242" t="s">
        <v>128</v>
      </c>
      <c r="L7" s="243"/>
      <c r="M7" s="243"/>
      <c r="N7" s="243"/>
      <c r="O7" s="243"/>
      <c r="P7" s="243"/>
      <c r="Q7" s="243"/>
      <c r="R7" s="243"/>
      <c r="S7" s="244"/>
    </row>
    <row r="8" spans="1:22" ht="6" customHeight="1" x14ac:dyDescent="0.15">
      <c r="B8" s="86"/>
      <c r="C8" s="86"/>
      <c r="D8" s="86"/>
      <c r="E8" s="86"/>
      <c r="F8" s="86"/>
      <c r="G8" s="86"/>
      <c r="H8" s="86"/>
      <c r="I8" s="86"/>
      <c r="J8" s="86"/>
      <c r="K8" s="10"/>
      <c r="L8" s="86"/>
      <c r="M8" s="86"/>
      <c r="N8" s="86"/>
      <c r="O8" s="86"/>
      <c r="P8" s="86"/>
      <c r="Q8" s="86"/>
      <c r="R8" s="86"/>
      <c r="S8" s="86"/>
    </row>
    <row r="9" spans="1:22" ht="18" customHeight="1" x14ac:dyDescent="0.15">
      <c r="B9" s="245" t="s">
        <v>168</v>
      </c>
      <c r="C9" s="246"/>
      <c r="D9" s="246"/>
      <c r="E9" s="246"/>
      <c r="F9" s="246"/>
      <c r="G9" s="246"/>
      <c r="H9" s="246"/>
      <c r="I9" s="246"/>
      <c r="J9" s="246"/>
      <c r="K9" s="246"/>
      <c r="L9" s="246"/>
      <c r="M9" s="246"/>
      <c r="N9" s="246"/>
      <c r="O9" s="246"/>
      <c r="P9" s="246"/>
      <c r="Q9" s="246"/>
      <c r="R9" s="246"/>
      <c r="S9" s="247"/>
    </row>
    <row r="10" spans="1:22" ht="18" customHeight="1" x14ac:dyDescent="0.15">
      <c r="B10" s="248"/>
      <c r="C10" s="249"/>
      <c r="D10" s="249"/>
      <c r="E10" s="249"/>
      <c r="F10" s="249"/>
      <c r="G10" s="249"/>
      <c r="H10" s="249"/>
      <c r="I10" s="249"/>
      <c r="J10" s="249"/>
      <c r="K10" s="249"/>
      <c r="L10" s="249"/>
      <c r="M10" s="249"/>
      <c r="N10" s="249"/>
      <c r="O10" s="249"/>
      <c r="P10" s="249"/>
      <c r="Q10" s="249"/>
      <c r="R10" s="249"/>
      <c r="S10" s="250"/>
    </row>
    <row r="11" spans="1:22" ht="6" customHeight="1" x14ac:dyDescent="0.15">
      <c r="B11" s="86"/>
      <c r="C11" s="86"/>
      <c r="D11" s="86"/>
      <c r="E11" s="86"/>
      <c r="F11" s="86"/>
      <c r="G11" s="86"/>
      <c r="H11" s="86"/>
      <c r="I11" s="86"/>
      <c r="J11" s="86"/>
      <c r="K11" s="10"/>
      <c r="L11" s="86"/>
      <c r="M11" s="86"/>
      <c r="N11" s="86"/>
      <c r="O11" s="86"/>
      <c r="P11" s="86"/>
      <c r="Q11" s="86"/>
      <c r="R11" s="86"/>
      <c r="S11" s="86"/>
    </row>
    <row r="12" spans="1:22" ht="18" customHeight="1" x14ac:dyDescent="0.15">
      <c r="A12" s="85" t="s">
        <v>111</v>
      </c>
      <c r="B12" s="86"/>
      <c r="C12" s="86"/>
      <c r="D12" s="82"/>
      <c r="E12" s="82"/>
      <c r="F12" s="82"/>
      <c r="G12" s="82"/>
      <c r="H12" s="82"/>
      <c r="I12" s="82"/>
      <c r="J12" s="82"/>
      <c r="K12" s="39"/>
      <c r="L12" s="39"/>
      <c r="M12" s="39"/>
      <c r="N12" s="39"/>
      <c r="O12" s="39"/>
      <c r="P12" s="39"/>
      <c r="Q12" s="39"/>
      <c r="R12" s="39"/>
      <c r="S12" s="39"/>
    </row>
    <row r="13" spans="1:22" ht="18" customHeight="1" x14ac:dyDescent="0.15">
      <c r="B13" s="224" t="s">
        <v>249</v>
      </c>
      <c r="C13" s="225"/>
      <c r="D13" s="225"/>
      <c r="E13" s="225"/>
      <c r="F13" s="225"/>
      <c r="G13" s="225"/>
      <c r="H13" s="225"/>
      <c r="I13" s="225"/>
      <c r="J13" s="225"/>
      <c r="K13" s="225"/>
      <c r="L13" s="225"/>
      <c r="M13" s="225"/>
      <c r="N13" s="225"/>
      <c r="O13" s="225"/>
      <c r="P13" s="225"/>
      <c r="Q13" s="225"/>
      <c r="R13" s="225"/>
      <c r="S13" s="226"/>
      <c r="V13" s="85" t="s">
        <v>103</v>
      </c>
    </row>
    <row r="14" spans="1:22" ht="18" customHeight="1" x14ac:dyDescent="0.15">
      <c r="B14" s="227"/>
      <c r="C14" s="228"/>
      <c r="D14" s="228"/>
      <c r="E14" s="228"/>
      <c r="F14" s="228"/>
      <c r="G14" s="228"/>
      <c r="H14" s="228"/>
      <c r="I14" s="228"/>
      <c r="J14" s="228"/>
      <c r="K14" s="228"/>
      <c r="L14" s="228"/>
      <c r="M14" s="228"/>
      <c r="N14" s="228"/>
      <c r="O14" s="228"/>
      <c r="P14" s="228"/>
      <c r="Q14" s="228"/>
      <c r="R14" s="228"/>
      <c r="S14" s="229"/>
      <c r="V14" s="85" t="s">
        <v>110</v>
      </c>
    </row>
    <row r="15" spans="1:22" ht="18" customHeight="1" x14ac:dyDescent="0.15">
      <c r="B15" s="227"/>
      <c r="C15" s="228"/>
      <c r="D15" s="228"/>
      <c r="E15" s="228"/>
      <c r="F15" s="228"/>
      <c r="G15" s="228"/>
      <c r="H15" s="228"/>
      <c r="I15" s="228"/>
      <c r="J15" s="228"/>
      <c r="K15" s="228"/>
      <c r="L15" s="228"/>
      <c r="M15" s="228"/>
      <c r="N15" s="228"/>
      <c r="O15" s="228"/>
      <c r="P15" s="228"/>
      <c r="Q15" s="228"/>
      <c r="R15" s="228"/>
      <c r="S15" s="229"/>
      <c r="V15" s="85" t="s">
        <v>123</v>
      </c>
    </row>
    <row r="16" spans="1:22" ht="18" customHeight="1" x14ac:dyDescent="0.15">
      <c r="B16" s="227"/>
      <c r="C16" s="228"/>
      <c r="D16" s="228"/>
      <c r="E16" s="228"/>
      <c r="F16" s="228"/>
      <c r="G16" s="228"/>
      <c r="H16" s="228"/>
      <c r="I16" s="228"/>
      <c r="J16" s="228"/>
      <c r="K16" s="228"/>
      <c r="L16" s="228"/>
      <c r="M16" s="228"/>
      <c r="N16" s="228"/>
      <c r="O16" s="228"/>
      <c r="P16" s="228"/>
      <c r="Q16" s="228"/>
      <c r="R16" s="228"/>
      <c r="S16" s="229"/>
      <c r="V16" s="85" t="s">
        <v>125</v>
      </c>
    </row>
    <row r="17" spans="1:19" ht="18" customHeight="1" x14ac:dyDescent="0.15">
      <c r="B17" s="227"/>
      <c r="C17" s="228"/>
      <c r="D17" s="228"/>
      <c r="E17" s="228"/>
      <c r="F17" s="228"/>
      <c r="G17" s="228"/>
      <c r="H17" s="228"/>
      <c r="I17" s="228"/>
      <c r="J17" s="228"/>
      <c r="K17" s="228"/>
      <c r="L17" s="228"/>
      <c r="M17" s="228"/>
      <c r="N17" s="228"/>
      <c r="O17" s="228"/>
      <c r="P17" s="228"/>
      <c r="Q17" s="228"/>
      <c r="R17" s="228"/>
      <c r="S17" s="229"/>
    </row>
    <row r="18" spans="1:19" ht="18" customHeight="1" x14ac:dyDescent="0.15">
      <c r="B18" s="230"/>
      <c r="C18" s="231"/>
      <c r="D18" s="231"/>
      <c r="E18" s="231"/>
      <c r="F18" s="231"/>
      <c r="G18" s="231"/>
      <c r="H18" s="231"/>
      <c r="I18" s="231"/>
      <c r="J18" s="231"/>
      <c r="K18" s="231"/>
      <c r="L18" s="231"/>
      <c r="M18" s="231"/>
      <c r="N18" s="231"/>
      <c r="O18" s="231"/>
      <c r="P18" s="231"/>
      <c r="Q18" s="231"/>
      <c r="R18" s="231"/>
      <c r="S18" s="232"/>
    </row>
    <row r="19" spans="1:19" ht="7.5" customHeight="1" x14ac:dyDescent="0.15">
      <c r="B19" s="86"/>
      <c r="C19" s="86"/>
      <c r="D19" s="86"/>
      <c r="E19" s="86"/>
      <c r="F19" s="86"/>
      <c r="G19" s="86"/>
      <c r="H19" s="86"/>
      <c r="I19" s="86"/>
      <c r="J19" s="86"/>
      <c r="K19" s="86"/>
      <c r="L19" s="86"/>
      <c r="M19" s="86"/>
      <c r="N19" s="86"/>
      <c r="O19" s="86"/>
      <c r="P19" s="86"/>
      <c r="Q19" s="86"/>
      <c r="R19" s="86"/>
      <c r="S19" s="86"/>
    </row>
    <row r="20" spans="1:19" ht="19.899999999999999" customHeight="1" x14ac:dyDescent="0.15">
      <c r="B20" s="85" t="s">
        <v>112</v>
      </c>
      <c r="C20" s="233">
        <v>8</v>
      </c>
      <c r="D20" s="234"/>
      <c r="E20" s="40" t="s">
        <v>95</v>
      </c>
      <c r="G20" s="10"/>
      <c r="H20" s="86"/>
      <c r="I20" s="86"/>
      <c r="J20" s="82" t="s">
        <v>121</v>
      </c>
      <c r="K20" s="235" t="s">
        <v>125</v>
      </c>
      <c r="L20" s="236"/>
      <c r="M20" s="236"/>
      <c r="N20" s="236"/>
      <c r="O20" s="236"/>
      <c r="P20" s="236"/>
      <c r="Q20" s="236"/>
      <c r="R20" s="236"/>
      <c r="S20" s="237"/>
    </row>
    <row r="21" spans="1:19" ht="7.5" customHeight="1" x14ac:dyDescent="0.15">
      <c r="B21" s="86"/>
      <c r="C21" s="86"/>
      <c r="D21" s="86"/>
      <c r="E21" s="86"/>
      <c r="F21" s="86"/>
      <c r="G21" s="86"/>
      <c r="H21" s="86"/>
      <c r="I21" s="86"/>
      <c r="J21" s="86"/>
      <c r="K21" s="86"/>
      <c r="L21" s="86"/>
      <c r="M21" s="86"/>
      <c r="N21" s="86"/>
      <c r="O21" s="86"/>
      <c r="P21" s="86"/>
      <c r="Q21" s="86"/>
      <c r="R21" s="86"/>
      <c r="S21" s="86"/>
    </row>
    <row r="22" spans="1:19" ht="18" customHeight="1" x14ac:dyDescent="0.15">
      <c r="A22" s="238" t="s">
        <v>113</v>
      </c>
      <c r="B22" s="238"/>
      <c r="C22" s="238"/>
      <c r="D22" s="238"/>
      <c r="E22" s="238"/>
      <c r="F22" s="238"/>
      <c r="G22" s="238"/>
      <c r="H22" s="238"/>
      <c r="I22" s="238"/>
      <c r="J22" s="238"/>
      <c r="K22" s="238"/>
      <c r="L22" s="238"/>
      <c r="M22" s="238"/>
      <c r="N22" s="238"/>
      <c r="O22" s="238"/>
      <c r="P22" s="238"/>
      <c r="Q22" s="238"/>
      <c r="R22" s="238"/>
      <c r="S22" s="238"/>
    </row>
    <row r="23" spans="1:19" ht="18" customHeight="1" x14ac:dyDescent="0.15">
      <c r="A23" s="238"/>
      <c r="B23" s="238"/>
      <c r="C23" s="238"/>
      <c r="D23" s="238"/>
      <c r="E23" s="238"/>
      <c r="F23" s="238"/>
      <c r="G23" s="238"/>
      <c r="H23" s="238"/>
      <c r="I23" s="238"/>
      <c r="J23" s="238"/>
      <c r="K23" s="238"/>
      <c r="L23" s="238"/>
      <c r="M23" s="238"/>
      <c r="N23" s="238"/>
      <c r="O23" s="238"/>
      <c r="P23" s="238"/>
      <c r="Q23" s="238"/>
      <c r="R23" s="238"/>
      <c r="S23" s="238"/>
    </row>
    <row r="24" spans="1:19" ht="18" customHeight="1" x14ac:dyDescent="0.15">
      <c r="B24" s="233" t="s">
        <v>53</v>
      </c>
      <c r="C24" s="239"/>
      <c r="D24" s="239"/>
      <c r="E24" s="234"/>
      <c r="F24" s="61" t="s">
        <v>80</v>
      </c>
      <c r="G24" s="60" t="s">
        <v>84</v>
      </c>
      <c r="H24" s="22" t="s">
        <v>56</v>
      </c>
      <c r="I24" s="22" t="s">
        <v>59</v>
      </c>
      <c r="J24" s="233" t="s">
        <v>53</v>
      </c>
      <c r="K24" s="239"/>
      <c r="L24" s="239"/>
      <c r="M24" s="239"/>
      <c r="N24" s="239"/>
      <c r="O24" s="234"/>
      <c r="P24" s="61" t="s">
        <v>80</v>
      </c>
      <c r="Q24" s="60" t="s">
        <v>84</v>
      </c>
      <c r="R24" s="22" t="s">
        <v>56</v>
      </c>
      <c r="S24" s="22" t="s">
        <v>59</v>
      </c>
    </row>
    <row r="25" spans="1:19" ht="18" customHeight="1" x14ac:dyDescent="0.15">
      <c r="B25" s="254" t="s">
        <v>171</v>
      </c>
      <c r="C25" s="255"/>
      <c r="D25" s="255"/>
      <c r="E25" s="256"/>
      <c r="F25" s="23">
        <v>4</v>
      </c>
      <c r="G25" s="23" t="s">
        <v>131</v>
      </c>
      <c r="H25" s="23" t="s">
        <v>131</v>
      </c>
      <c r="I25" s="23" t="s">
        <v>131</v>
      </c>
      <c r="J25" s="254"/>
      <c r="K25" s="255"/>
      <c r="L25" s="255"/>
      <c r="M25" s="255"/>
      <c r="N25" s="255"/>
      <c r="O25" s="256"/>
      <c r="P25" s="23"/>
      <c r="Q25" s="23"/>
      <c r="R25" s="23"/>
      <c r="S25" s="23"/>
    </row>
    <row r="26" spans="1:19" ht="18" customHeight="1" x14ac:dyDescent="0.15">
      <c r="B26" s="251"/>
      <c r="C26" s="252"/>
      <c r="D26" s="252"/>
      <c r="E26" s="253"/>
      <c r="F26" s="24"/>
      <c r="G26" s="24"/>
      <c r="H26" s="24"/>
      <c r="I26" s="24"/>
      <c r="J26" s="251"/>
      <c r="K26" s="252"/>
      <c r="L26" s="252"/>
      <c r="M26" s="252"/>
      <c r="N26" s="252"/>
      <c r="O26" s="253"/>
      <c r="P26" s="24"/>
      <c r="Q26" s="24"/>
      <c r="R26" s="24"/>
      <c r="S26" s="24"/>
    </row>
    <row r="27" spans="1:19" ht="18" customHeight="1" x14ac:dyDescent="0.15">
      <c r="B27" s="251"/>
      <c r="C27" s="252"/>
      <c r="D27" s="252"/>
      <c r="E27" s="253"/>
      <c r="F27" s="24"/>
      <c r="G27" s="24"/>
      <c r="H27" s="24"/>
      <c r="I27" s="24"/>
      <c r="J27" s="251"/>
      <c r="K27" s="252"/>
      <c r="L27" s="252"/>
      <c r="M27" s="252"/>
      <c r="N27" s="252"/>
      <c r="O27" s="253"/>
      <c r="P27" s="24"/>
      <c r="Q27" s="24"/>
      <c r="R27" s="24"/>
      <c r="S27" s="24"/>
    </row>
    <row r="28" spans="1:19" ht="18" customHeight="1" x14ac:dyDescent="0.15">
      <c r="B28" s="251"/>
      <c r="C28" s="252"/>
      <c r="D28" s="252"/>
      <c r="E28" s="253"/>
      <c r="F28" s="24"/>
      <c r="G28" s="24"/>
      <c r="H28" s="24"/>
      <c r="I28" s="24"/>
      <c r="J28" s="251"/>
      <c r="K28" s="252"/>
      <c r="L28" s="252"/>
      <c r="M28" s="252"/>
      <c r="N28" s="252"/>
      <c r="O28" s="253"/>
      <c r="P28" s="24"/>
      <c r="Q28" s="24"/>
      <c r="R28" s="24"/>
      <c r="S28" s="24"/>
    </row>
    <row r="29" spans="1:19" ht="18" customHeight="1" x14ac:dyDescent="0.15">
      <c r="B29" s="251"/>
      <c r="C29" s="252"/>
      <c r="D29" s="252"/>
      <c r="E29" s="253"/>
      <c r="F29" s="24"/>
      <c r="G29" s="24"/>
      <c r="H29" s="24"/>
      <c r="I29" s="24"/>
      <c r="J29" s="251"/>
      <c r="K29" s="252"/>
      <c r="L29" s="252"/>
      <c r="M29" s="252"/>
      <c r="N29" s="252"/>
      <c r="O29" s="253"/>
      <c r="P29" s="24"/>
      <c r="Q29" s="24"/>
      <c r="R29" s="24"/>
      <c r="S29" s="24"/>
    </row>
    <row r="30" spans="1:19" ht="18" customHeight="1" x14ac:dyDescent="0.15">
      <c r="A30" s="86"/>
      <c r="B30" s="251"/>
      <c r="C30" s="252"/>
      <c r="D30" s="252"/>
      <c r="E30" s="253"/>
      <c r="F30" s="24"/>
      <c r="G30" s="24"/>
      <c r="H30" s="24"/>
      <c r="I30" s="24"/>
      <c r="J30" s="251"/>
      <c r="K30" s="252"/>
      <c r="L30" s="252"/>
      <c r="M30" s="252"/>
      <c r="N30" s="252"/>
      <c r="O30" s="253"/>
      <c r="P30" s="24"/>
      <c r="Q30" s="24"/>
      <c r="R30" s="24"/>
      <c r="S30" s="24"/>
    </row>
    <row r="31" spans="1:19" ht="18" customHeight="1" x14ac:dyDescent="0.15">
      <c r="A31" s="86"/>
      <c r="B31" s="257"/>
      <c r="C31" s="258"/>
      <c r="D31" s="258"/>
      <c r="E31" s="259"/>
      <c r="F31" s="25"/>
      <c r="G31" s="25"/>
      <c r="H31" s="26"/>
      <c r="I31" s="26"/>
      <c r="J31" s="257"/>
      <c r="K31" s="258"/>
      <c r="L31" s="258"/>
      <c r="M31" s="258"/>
      <c r="N31" s="258"/>
      <c r="O31" s="259"/>
      <c r="P31" s="25"/>
      <c r="Q31" s="25"/>
      <c r="R31" s="26"/>
      <c r="S31" s="26"/>
    </row>
    <row r="32" spans="1:19" ht="7.5" customHeight="1" x14ac:dyDescent="0.15">
      <c r="A32" s="86"/>
      <c r="B32" s="6"/>
      <c r="C32" s="6"/>
      <c r="D32" s="86"/>
      <c r="E32" s="86"/>
      <c r="F32" s="86"/>
      <c r="G32" s="86"/>
      <c r="H32" s="6"/>
      <c r="I32" s="6"/>
      <c r="J32" s="6"/>
      <c r="K32" s="6"/>
      <c r="L32" s="6"/>
      <c r="M32" s="6"/>
      <c r="N32" s="6"/>
      <c r="O32" s="6"/>
      <c r="P32" s="6"/>
      <c r="Q32" s="6"/>
      <c r="R32" s="6"/>
      <c r="S32" s="86"/>
    </row>
    <row r="33" spans="1:19" ht="18" customHeight="1" x14ac:dyDescent="0.15">
      <c r="A33" s="238" t="s">
        <v>114</v>
      </c>
      <c r="B33" s="238"/>
      <c r="C33" s="238"/>
      <c r="D33" s="238"/>
      <c r="E33" s="238"/>
      <c r="F33" s="238"/>
      <c r="G33" s="238"/>
      <c r="H33" s="238"/>
      <c r="I33" s="238"/>
      <c r="J33" s="238"/>
      <c r="K33" s="238"/>
      <c r="L33" s="238"/>
      <c r="M33" s="238"/>
      <c r="N33" s="238"/>
      <c r="O33" s="238"/>
      <c r="P33" s="238"/>
      <c r="Q33" s="238"/>
      <c r="R33" s="238"/>
      <c r="S33" s="238"/>
    </row>
    <row r="34" spans="1:19" ht="18" customHeight="1" x14ac:dyDescent="0.15">
      <c r="A34" s="238"/>
      <c r="B34" s="238"/>
      <c r="C34" s="238"/>
      <c r="D34" s="238"/>
      <c r="E34" s="238"/>
      <c r="F34" s="238"/>
      <c r="G34" s="238"/>
      <c r="H34" s="238"/>
      <c r="I34" s="238"/>
      <c r="J34" s="238"/>
      <c r="K34" s="238"/>
      <c r="L34" s="238"/>
      <c r="M34" s="238"/>
      <c r="N34" s="238"/>
      <c r="O34" s="238"/>
      <c r="P34" s="238"/>
      <c r="Q34" s="238"/>
      <c r="R34" s="238"/>
      <c r="S34" s="238"/>
    </row>
    <row r="35" spans="1:19" ht="18" customHeight="1" x14ac:dyDescent="0.15">
      <c r="B35" s="233" t="s">
        <v>53</v>
      </c>
      <c r="C35" s="239"/>
      <c r="D35" s="239"/>
      <c r="E35" s="234"/>
      <c r="F35" s="61" t="s">
        <v>80</v>
      </c>
      <c r="G35" s="60" t="s">
        <v>84</v>
      </c>
      <c r="H35" s="22" t="s">
        <v>71</v>
      </c>
      <c r="I35" s="22" t="s">
        <v>72</v>
      </c>
      <c r="J35" s="233" t="s">
        <v>53</v>
      </c>
      <c r="K35" s="239"/>
      <c r="L35" s="239"/>
      <c r="M35" s="239"/>
      <c r="N35" s="239"/>
      <c r="O35" s="234"/>
      <c r="P35" s="61" t="s">
        <v>80</v>
      </c>
      <c r="Q35" s="60" t="s">
        <v>84</v>
      </c>
      <c r="R35" s="22" t="s">
        <v>71</v>
      </c>
      <c r="S35" s="22" t="s">
        <v>72</v>
      </c>
    </row>
    <row r="36" spans="1:19" ht="18" customHeight="1" x14ac:dyDescent="0.15">
      <c r="B36" s="254" t="s">
        <v>171</v>
      </c>
      <c r="C36" s="255"/>
      <c r="D36" s="255"/>
      <c r="E36" s="256"/>
      <c r="F36" s="23">
        <v>4</v>
      </c>
      <c r="G36" s="23" t="s">
        <v>131</v>
      </c>
      <c r="H36" s="23" t="s">
        <v>131</v>
      </c>
      <c r="I36" s="23" t="s">
        <v>131</v>
      </c>
      <c r="J36" s="254"/>
      <c r="K36" s="255"/>
      <c r="L36" s="255"/>
      <c r="M36" s="255"/>
      <c r="N36" s="255"/>
      <c r="O36" s="256"/>
      <c r="P36" s="23"/>
      <c r="Q36" s="23"/>
      <c r="R36" s="23"/>
      <c r="S36" s="23"/>
    </row>
    <row r="37" spans="1:19" ht="18" customHeight="1" x14ac:dyDescent="0.15">
      <c r="B37" s="251"/>
      <c r="C37" s="252"/>
      <c r="D37" s="252"/>
      <c r="E37" s="253"/>
      <c r="F37" s="24"/>
      <c r="G37" s="24"/>
      <c r="H37" s="24"/>
      <c r="I37" s="24"/>
      <c r="J37" s="251"/>
      <c r="K37" s="252"/>
      <c r="L37" s="252"/>
      <c r="M37" s="252"/>
      <c r="N37" s="252"/>
      <c r="O37" s="253"/>
      <c r="P37" s="24"/>
      <c r="Q37" s="24"/>
      <c r="R37" s="24"/>
      <c r="S37" s="24"/>
    </row>
    <row r="38" spans="1:19" ht="18" customHeight="1" x14ac:dyDescent="0.15">
      <c r="B38" s="251"/>
      <c r="C38" s="252"/>
      <c r="D38" s="252"/>
      <c r="E38" s="253"/>
      <c r="F38" s="24"/>
      <c r="G38" s="24"/>
      <c r="H38" s="24"/>
      <c r="I38" s="24"/>
      <c r="J38" s="251"/>
      <c r="K38" s="252"/>
      <c r="L38" s="252"/>
      <c r="M38" s="252"/>
      <c r="N38" s="252"/>
      <c r="O38" s="253"/>
      <c r="P38" s="24"/>
      <c r="Q38" s="24"/>
      <c r="R38" s="24"/>
      <c r="S38" s="24"/>
    </row>
    <row r="39" spans="1:19" ht="18" customHeight="1" x14ac:dyDescent="0.15">
      <c r="B39" s="251"/>
      <c r="C39" s="252"/>
      <c r="D39" s="252"/>
      <c r="E39" s="253"/>
      <c r="F39" s="24"/>
      <c r="G39" s="24"/>
      <c r="H39" s="24"/>
      <c r="I39" s="24"/>
      <c r="J39" s="251"/>
      <c r="K39" s="252"/>
      <c r="L39" s="252"/>
      <c r="M39" s="252"/>
      <c r="N39" s="252"/>
      <c r="O39" s="253"/>
      <c r="P39" s="24"/>
      <c r="Q39" s="24"/>
      <c r="R39" s="24"/>
      <c r="S39" s="24"/>
    </row>
    <row r="40" spans="1:19" ht="18" customHeight="1" x14ac:dyDescent="0.15">
      <c r="B40" s="251"/>
      <c r="C40" s="252"/>
      <c r="D40" s="252"/>
      <c r="E40" s="253"/>
      <c r="F40" s="24"/>
      <c r="G40" s="24"/>
      <c r="H40" s="24"/>
      <c r="I40" s="24"/>
      <c r="J40" s="251"/>
      <c r="K40" s="252"/>
      <c r="L40" s="252"/>
      <c r="M40" s="252"/>
      <c r="N40" s="252"/>
      <c r="O40" s="253"/>
      <c r="P40" s="24"/>
      <c r="Q40" s="24"/>
      <c r="R40" s="24"/>
      <c r="S40" s="24"/>
    </row>
    <row r="41" spans="1:19" ht="18" customHeight="1" x14ac:dyDescent="0.15">
      <c r="B41" s="251"/>
      <c r="C41" s="252"/>
      <c r="D41" s="252"/>
      <c r="E41" s="253"/>
      <c r="F41" s="24"/>
      <c r="G41" s="24"/>
      <c r="H41" s="24"/>
      <c r="I41" s="24"/>
      <c r="J41" s="251"/>
      <c r="K41" s="252"/>
      <c r="L41" s="252"/>
      <c r="M41" s="252"/>
      <c r="N41" s="252"/>
      <c r="O41" s="253"/>
      <c r="P41" s="24"/>
      <c r="Q41" s="24"/>
      <c r="R41" s="24"/>
      <c r="S41" s="24"/>
    </row>
    <row r="42" spans="1:19" ht="18" customHeight="1" x14ac:dyDescent="0.15">
      <c r="B42" s="257"/>
      <c r="C42" s="258"/>
      <c r="D42" s="258"/>
      <c r="E42" s="259"/>
      <c r="F42" s="25"/>
      <c r="G42" s="25"/>
      <c r="H42" s="26"/>
      <c r="I42" s="26"/>
      <c r="J42" s="257"/>
      <c r="K42" s="258"/>
      <c r="L42" s="258"/>
      <c r="M42" s="258"/>
      <c r="N42" s="258"/>
      <c r="O42" s="259"/>
      <c r="P42" s="25"/>
      <c r="Q42" s="25"/>
      <c r="R42" s="26"/>
      <c r="S42" s="26"/>
    </row>
    <row r="43" spans="1:19" ht="7.5" customHeight="1" x14ac:dyDescent="0.15">
      <c r="A43" s="86"/>
      <c r="B43" s="6"/>
      <c r="C43" s="6"/>
      <c r="D43" s="86"/>
      <c r="E43" s="86"/>
      <c r="F43" s="86"/>
      <c r="G43" s="86"/>
      <c r="H43" s="6"/>
      <c r="I43" s="6"/>
      <c r="J43" s="6"/>
      <c r="K43" s="6"/>
      <c r="L43" s="6"/>
      <c r="M43" s="6"/>
      <c r="N43" s="6"/>
      <c r="O43" s="6"/>
      <c r="P43" s="6"/>
      <c r="Q43" s="6"/>
      <c r="R43" s="6"/>
      <c r="S43" s="86"/>
    </row>
    <row r="44" spans="1:19" ht="18" customHeight="1" x14ac:dyDescent="0.15">
      <c r="A44" s="238" t="s">
        <v>115</v>
      </c>
      <c r="B44" s="238"/>
      <c r="C44" s="238"/>
      <c r="D44" s="238"/>
      <c r="E44" s="238"/>
      <c r="F44" s="238"/>
      <c r="G44" s="238"/>
      <c r="H44" s="238"/>
      <c r="I44" s="238"/>
      <c r="J44" s="238"/>
      <c r="K44" s="238"/>
      <c r="L44" s="238"/>
      <c r="M44" s="238"/>
      <c r="N44" s="238"/>
      <c r="O44" s="238"/>
      <c r="P44" s="238"/>
      <c r="Q44" s="238"/>
      <c r="R44" s="238"/>
      <c r="S44" s="238"/>
    </row>
    <row r="45" spans="1:19" ht="18" customHeight="1" x14ac:dyDescent="0.15">
      <c r="A45" s="238"/>
      <c r="B45" s="238"/>
      <c r="C45" s="238"/>
      <c r="D45" s="238"/>
      <c r="E45" s="238"/>
      <c r="F45" s="238"/>
      <c r="G45" s="238"/>
      <c r="H45" s="238"/>
      <c r="I45" s="238"/>
      <c r="J45" s="238"/>
      <c r="K45" s="238"/>
      <c r="L45" s="238"/>
      <c r="M45" s="238"/>
      <c r="N45" s="238"/>
      <c r="O45" s="238"/>
      <c r="P45" s="238"/>
      <c r="Q45" s="238"/>
      <c r="R45" s="238"/>
      <c r="S45" s="238"/>
    </row>
    <row r="46" spans="1:19" ht="18" customHeight="1" x14ac:dyDescent="0.15">
      <c r="B46" s="233" t="s">
        <v>53</v>
      </c>
      <c r="C46" s="239"/>
      <c r="D46" s="239"/>
      <c r="E46" s="234"/>
      <c r="F46" s="61" t="s">
        <v>80</v>
      </c>
      <c r="G46" s="60" t="s">
        <v>84</v>
      </c>
      <c r="H46" s="22" t="s">
        <v>73</v>
      </c>
      <c r="I46" s="22" t="s">
        <v>74</v>
      </c>
      <c r="J46" s="233" t="s">
        <v>53</v>
      </c>
      <c r="K46" s="239"/>
      <c r="L46" s="239"/>
      <c r="M46" s="239"/>
      <c r="N46" s="239"/>
      <c r="O46" s="234"/>
      <c r="P46" s="61" t="s">
        <v>80</v>
      </c>
      <c r="Q46" s="60" t="s">
        <v>84</v>
      </c>
      <c r="R46" s="22" t="s">
        <v>73</v>
      </c>
      <c r="S46" s="22" t="s">
        <v>74</v>
      </c>
    </row>
    <row r="47" spans="1:19" ht="18" customHeight="1" x14ac:dyDescent="0.15">
      <c r="A47" s="86"/>
      <c r="B47" s="254" t="s">
        <v>171</v>
      </c>
      <c r="C47" s="255"/>
      <c r="D47" s="255"/>
      <c r="E47" s="256"/>
      <c r="F47" s="23">
        <v>4</v>
      </c>
      <c r="G47" s="23" t="s">
        <v>131</v>
      </c>
      <c r="H47" s="23" t="s">
        <v>131</v>
      </c>
      <c r="I47" s="23" t="s">
        <v>131</v>
      </c>
      <c r="J47" s="254"/>
      <c r="K47" s="255"/>
      <c r="L47" s="255"/>
      <c r="M47" s="255"/>
      <c r="N47" s="255"/>
      <c r="O47" s="256"/>
      <c r="P47" s="23"/>
      <c r="Q47" s="23"/>
      <c r="R47" s="23"/>
      <c r="S47" s="23"/>
    </row>
    <row r="48" spans="1:19" ht="18" customHeight="1" x14ac:dyDescent="0.15">
      <c r="A48" s="86"/>
      <c r="B48" s="251"/>
      <c r="C48" s="252"/>
      <c r="D48" s="252"/>
      <c r="E48" s="253"/>
      <c r="F48" s="24"/>
      <c r="G48" s="24"/>
      <c r="H48" s="24"/>
      <c r="I48" s="24"/>
      <c r="J48" s="251"/>
      <c r="K48" s="252"/>
      <c r="L48" s="252"/>
      <c r="M48" s="252"/>
      <c r="N48" s="252"/>
      <c r="O48" s="253"/>
      <c r="P48" s="24"/>
      <c r="Q48" s="24"/>
      <c r="R48" s="24"/>
      <c r="S48" s="24"/>
    </row>
    <row r="49" spans="1:19" ht="18" customHeight="1" x14ac:dyDescent="0.15">
      <c r="A49" s="86"/>
      <c r="B49" s="251"/>
      <c r="C49" s="252"/>
      <c r="D49" s="252"/>
      <c r="E49" s="253"/>
      <c r="F49" s="24"/>
      <c r="G49" s="24"/>
      <c r="H49" s="24"/>
      <c r="I49" s="24"/>
      <c r="J49" s="251"/>
      <c r="K49" s="252"/>
      <c r="L49" s="252"/>
      <c r="M49" s="252"/>
      <c r="N49" s="252"/>
      <c r="O49" s="253"/>
      <c r="P49" s="24"/>
      <c r="Q49" s="24"/>
      <c r="R49" s="24"/>
      <c r="S49" s="24"/>
    </row>
    <row r="50" spans="1:19" ht="18" customHeight="1" x14ac:dyDescent="0.15">
      <c r="A50" s="86"/>
      <c r="B50" s="251"/>
      <c r="C50" s="252"/>
      <c r="D50" s="252"/>
      <c r="E50" s="253"/>
      <c r="F50" s="24"/>
      <c r="G50" s="24"/>
      <c r="H50" s="24"/>
      <c r="I50" s="24"/>
      <c r="J50" s="251"/>
      <c r="K50" s="252"/>
      <c r="L50" s="252"/>
      <c r="M50" s="252"/>
      <c r="N50" s="252"/>
      <c r="O50" s="253"/>
      <c r="P50" s="24"/>
      <c r="Q50" s="24"/>
      <c r="R50" s="24"/>
      <c r="S50" s="24"/>
    </row>
    <row r="51" spans="1:19" ht="18" customHeight="1" x14ac:dyDescent="0.15">
      <c r="A51" s="86"/>
      <c r="B51" s="251"/>
      <c r="C51" s="252"/>
      <c r="D51" s="252"/>
      <c r="E51" s="253"/>
      <c r="F51" s="24"/>
      <c r="G51" s="24"/>
      <c r="H51" s="24"/>
      <c r="I51" s="24"/>
      <c r="J51" s="251"/>
      <c r="K51" s="252"/>
      <c r="L51" s="252"/>
      <c r="M51" s="252"/>
      <c r="N51" s="252"/>
      <c r="O51" s="253"/>
      <c r="P51" s="24"/>
      <c r="Q51" s="24"/>
      <c r="R51" s="24"/>
      <c r="S51" s="24"/>
    </row>
    <row r="52" spans="1:19" ht="18" customHeight="1" x14ac:dyDescent="0.15">
      <c r="A52" s="86"/>
      <c r="B52" s="251"/>
      <c r="C52" s="252"/>
      <c r="D52" s="252"/>
      <c r="E52" s="253"/>
      <c r="F52" s="24"/>
      <c r="G52" s="24"/>
      <c r="H52" s="24"/>
      <c r="I52" s="24"/>
      <c r="J52" s="251"/>
      <c r="K52" s="252"/>
      <c r="L52" s="252"/>
      <c r="M52" s="252"/>
      <c r="N52" s="252"/>
      <c r="O52" s="253"/>
      <c r="P52" s="24"/>
      <c r="Q52" s="24"/>
      <c r="R52" s="24"/>
      <c r="S52" s="24"/>
    </row>
    <row r="53" spans="1:19" ht="18" customHeight="1" x14ac:dyDescent="0.15">
      <c r="A53" s="86"/>
      <c r="B53" s="257"/>
      <c r="C53" s="258"/>
      <c r="D53" s="258"/>
      <c r="E53" s="259"/>
      <c r="F53" s="25"/>
      <c r="G53" s="25"/>
      <c r="H53" s="26"/>
      <c r="I53" s="26"/>
      <c r="J53" s="257"/>
      <c r="K53" s="258"/>
      <c r="L53" s="258"/>
      <c r="M53" s="258"/>
      <c r="N53" s="258"/>
      <c r="O53" s="259"/>
      <c r="P53" s="25"/>
      <c r="Q53" s="25"/>
      <c r="R53" s="26"/>
      <c r="S53" s="26"/>
    </row>
    <row r="54" spans="1:19" ht="7.5" customHeight="1" x14ac:dyDescent="0.15">
      <c r="B54" s="84"/>
      <c r="C54" s="84"/>
      <c r="D54" s="84"/>
      <c r="E54" s="84"/>
      <c r="F54" s="84"/>
      <c r="G54" s="84"/>
      <c r="H54" s="84"/>
      <c r="I54" s="84"/>
      <c r="J54" s="84"/>
      <c r="K54" s="84"/>
      <c r="L54" s="84"/>
      <c r="M54" s="84"/>
      <c r="N54" s="84"/>
      <c r="O54" s="84"/>
      <c r="P54" s="84"/>
      <c r="Q54" s="84"/>
      <c r="R54" s="84"/>
    </row>
    <row r="55" spans="1:19" ht="18" customHeight="1" x14ac:dyDescent="0.15">
      <c r="A55" s="238" t="s">
        <v>116</v>
      </c>
      <c r="B55" s="238"/>
      <c r="C55" s="238"/>
      <c r="D55" s="238"/>
      <c r="E55" s="238"/>
      <c r="F55" s="238"/>
      <c r="G55" s="238"/>
      <c r="H55" s="238"/>
      <c r="I55" s="238"/>
      <c r="J55" s="238"/>
      <c r="K55" s="238"/>
      <c r="L55" s="238"/>
      <c r="M55" s="238"/>
      <c r="N55" s="238"/>
      <c r="O55" s="238"/>
      <c r="P55" s="238"/>
      <c r="Q55" s="238"/>
      <c r="R55" s="238"/>
      <c r="S55" s="238"/>
    </row>
    <row r="56" spans="1:19" ht="18" customHeight="1" x14ac:dyDescent="0.15">
      <c r="A56" s="238"/>
      <c r="B56" s="238"/>
      <c r="C56" s="238"/>
      <c r="D56" s="238"/>
      <c r="E56" s="238"/>
      <c r="F56" s="238"/>
      <c r="G56" s="238"/>
      <c r="H56" s="238"/>
      <c r="I56" s="238"/>
      <c r="J56" s="238"/>
      <c r="K56" s="238"/>
      <c r="L56" s="238"/>
      <c r="M56" s="238"/>
      <c r="N56" s="238"/>
      <c r="O56" s="238"/>
      <c r="P56" s="238"/>
      <c r="Q56" s="238"/>
      <c r="R56" s="238"/>
      <c r="S56" s="238"/>
    </row>
    <row r="57" spans="1:19" ht="18" customHeight="1" x14ac:dyDescent="0.15">
      <c r="B57" s="233" t="s">
        <v>53</v>
      </c>
      <c r="C57" s="239"/>
      <c r="D57" s="239"/>
      <c r="E57" s="234"/>
      <c r="F57" s="61" t="s">
        <v>80</v>
      </c>
      <c r="G57" s="60" t="s">
        <v>84</v>
      </c>
      <c r="H57" s="22" t="s">
        <v>58</v>
      </c>
      <c r="I57" s="22" t="s">
        <v>60</v>
      </c>
      <c r="J57" s="233" t="s">
        <v>53</v>
      </c>
      <c r="K57" s="239"/>
      <c r="L57" s="239"/>
      <c r="M57" s="239"/>
      <c r="N57" s="239"/>
      <c r="O57" s="234"/>
      <c r="P57" s="61" t="s">
        <v>80</v>
      </c>
      <c r="Q57" s="60" t="s">
        <v>84</v>
      </c>
      <c r="R57" s="22" t="s">
        <v>58</v>
      </c>
      <c r="S57" s="22" t="s">
        <v>60</v>
      </c>
    </row>
    <row r="58" spans="1:19" ht="18" customHeight="1" x14ac:dyDescent="0.15">
      <c r="A58" s="86"/>
      <c r="B58" s="254" t="s">
        <v>171</v>
      </c>
      <c r="C58" s="255"/>
      <c r="D58" s="255"/>
      <c r="E58" s="256"/>
      <c r="F58" s="23">
        <v>4</v>
      </c>
      <c r="G58" s="23" t="s">
        <v>131</v>
      </c>
      <c r="H58" s="23" t="s">
        <v>131</v>
      </c>
      <c r="I58" s="23" t="s">
        <v>131</v>
      </c>
      <c r="J58" s="254"/>
      <c r="K58" s="255"/>
      <c r="L58" s="255"/>
      <c r="M58" s="255"/>
      <c r="N58" s="255"/>
      <c r="O58" s="256"/>
      <c r="P58" s="23"/>
      <c r="Q58" s="23"/>
      <c r="R58" s="23"/>
      <c r="S58" s="23"/>
    </row>
    <row r="59" spans="1:19" ht="18" customHeight="1" x14ac:dyDescent="0.15">
      <c r="A59" s="86"/>
      <c r="B59" s="251"/>
      <c r="C59" s="252"/>
      <c r="D59" s="252"/>
      <c r="E59" s="253"/>
      <c r="F59" s="24"/>
      <c r="G59" s="24"/>
      <c r="H59" s="24"/>
      <c r="I59" s="24"/>
      <c r="J59" s="251"/>
      <c r="K59" s="252"/>
      <c r="L59" s="252"/>
      <c r="M59" s="252"/>
      <c r="N59" s="252"/>
      <c r="O59" s="253"/>
      <c r="P59" s="24"/>
      <c r="Q59" s="24"/>
      <c r="R59" s="24"/>
      <c r="S59" s="24"/>
    </row>
    <row r="60" spans="1:19" ht="18" customHeight="1" x14ac:dyDescent="0.15">
      <c r="A60" s="86"/>
      <c r="B60" s="251"/>
      <c r="C60" s="252"/>
      <c r="D60" s="252"/>
      <c r="E60" s="253"/>
      <c r="F60" s="24"/>
      <c r="G60" s="24"/>
      <c r="H60" s="24"/>
      <c r="I60" s="24"/>
      <c r="J60" s="251"/>
      <c r="K60" s="252"/>
      <c r="L60" s="252"/>
      <c r="M60" s="252"/>
      <c r="N60" s="252"/>
      <c r="O60" s="253"/>
      <c r="P60" s="24"/>
      <c r="Q60" s="24"/>
      <c r="R60" s="24"/>
      <c r="S60" s="24"/>
    </row>
    <row r="61" spans="1:19" ht="18" customHeight="1" x14ac:dyDescent="0.15">
      <c r="A61" s="86"/>
      <c r="B61" s="251"/>
      <c r="C61" s="252"/>
      <c r="D61" s="252"/>
      <c r="E61" s="253"/>
      <c r="F61" s="24"/>
      <c r="G61" s="24"/>
      <c r="H61" s="24"/>
      <c r="I61" s="24"/>
      <c r="J61" s="251"/>
      <c r="K61" s="252"/>
      <c r="L61" s="252"/>
      <c r="M61" s="252"/>
      <c r="N61" s="252"/>
      <c r="O61" s="253"/>
      <c r="P61" s="24"/>
      <c r="Q61" s="24"/>
      <c r="R61" s="24"/>
      <c r="S61" s="24"/>
    </row>
    <row r="62" spans="1:19" ht="18" customHeight="1" x14ac:dyDescent="0.15">
      <c r="A62" s="86"/>
      <c r="B62" s="251"/>
      <c r="C62" s="252"/>
      <c r="D62" s="252"/>
      <c r="E62" s="253"/>
      <c r="F62" s="24"/>
      <c r="G62" s="24"/>
      <c r="H62" s="24"/>
      <c r="I62" s="24"/>
      <c r="J62" s="251"/>
      <c r="K62" s="252"/>
      <c r="L62" s="252"/>
      <c r="M62" s="252"/>
      <c r="N62" s="252"/>
      <c r="O62" s="253"/>
      <c r="P62" s="24"/>
      <c r="Q62" s="24"/>
      <c r="R62" s="24"/>
      <c r="S62" s="24"/>
    </row>
    <row r="63" spans="1:19" ht="18" customHeight="1" x14ac:dyDescent="0.15">
      <c r="A63" s="86"/>
      <c r="B63" s="251"/>
      <c r="C63" s="252"/>
      <c r="D63" s="252"/>
      <c r="E63" s="253"/>
      <c r="F63" s="24"/>
      <c r="G63" s="24"/>
      <c r="H63" s="24"/>
      <c r="I63" s="24"/>
      <c r="J63" s="251"/>
      <c r="K63" s="252"/>
      <c r="L63" s="252"/>
      <c r="M63" s="252"/>
      <c r="N63" s="252"/>
      <c r="O63" s="253"/>
      <c r="P63" s="24"/>
      <c r="Q63" s="24"/>
      <c r="R63" s="24"/>
      <c r="S63" s="24"/>
    </row>
    <row r="64" spans="1:19" ht="18" customHeight="1" x14ac:dyDescent="0.15">
      <c r="A64" s="86"/>
      <c r="B64" s="257"/>
      <c r="C64" s="258"/>
      <c r="D64" s="258"/>
      <c r="E64" s="259"/>
      <c r="F64" s="25"/>
      <c r="G64" s="25"/>
      <c r="H64" s="26"/>
      <c r="I64" s="26"/>
      <c r="J64" s="257"/>
      <c r="K64" s="258"/>
      <c r="L64" s="258"/>
      <c r="M64" s="258"/>
      <c r="N64" s="258"/>
      <c r="O64" s="259"/>
      <c r="P64" s="25"/>
      <c r="Q64" s="25"/>
      <c r="R64" s="26"/>
      <c r="S64" s="26"/>
    </row>
    <row r="65" spans="1:19" ht="7.5" customHeight="1" x14ac:dyDescent="0.15">
      <c r="B65" s="84"/>
      <c r="C65" s="84"/>
      <c r="D65" s="84"/>
      <c r="E65" s="84"/>
      <c r="F65" s="84"/>
      <c r="G65" s="84"/>
      <c r="H65" s="84"/>
      <c r="I65" s="84"/>
      <c r="J65" s="84"/>
      <c r="K65" s="84"/>
      <c r="L65" s="84"/>
      <c r="M65" s="84"/>
      <c r="N65" s="84"/>
      <c r="O65" s="84"/>
      <c r="P65" s="84"/>
      <c r="Q65" s="84"/>
      <c r="R65" s="84"/>
    </row>
    <row r="66" spans="1:19" ht="18" customHeight="1" x14ac:dyDescent="0.15">
      <c r="A66" s="238" t="s">
        <v>117</v>
      </c>
      <c r="B66" s="238"/>
      <c r="C66" s="238"/>
      <c r="D66" s="238"/>
      <c r="E66" s="238"/>
      <c r="F66" s="238"/>
      <c r="G66" s="238"/>
      <c r="H66" s="238"/>
      <c r="I66" s="238"/>
      <c r="J66" s="238"/>
      <c r="K66" s="238"/>
      <c r="L66" s="238"/>
      <c r="M66" s="238"/>
      <c r="N66" s="238"/>
      <c r="O66" s="238"/>
      <c r="P66" s="238"/>
      <c r="Q66" s="238"/>
      <c r="R66" s="238"/>
      <c r="S66" s="238"/>
    </row>
    <row r="67" spans="1:19" ht="18" customHeight="1" x14ac:dyDescent="0.15">
      <c r="A67" s="238"/>
      <c r="B67" s="238"/>
      <c r="C67" s="238"/>
      <c r="D67" s="238"/>
      <c r="E67" s="238"/>
      <c r="F67" s="238"/>
      <c r="G67" s="238"/>
      <c r="H67" s="238"/>
      <c r="I67" s="238"/>
      <c r="J67" s="238"/>
      <c r="K67" s="238"/>
      <c r="L67" s="238"/>
      <c r="M67" s="238"/>
      <c r="N67" s="238"/>
      <c r="O67" s="238"/>
      <c r="P67" s="238"/>
      <c r="Q67" s="238"/>
      <c r="R67" s="238"/>
      <c r="S67" s="238"/>
    </row>
    <row r="68" spans="1:19" ht="18" customHeight="1" x14ac:dyDescent="0.15">
      <c r="B68" s="233" t="s">
        <v>53</v>
      </c>
      <c r="C68" s="239"/>
      <c r="D68" s="239"/>
      <c r="E68" s="61" t="s">
        <v>80</v>
      </c>
      <c r="F68" s="60" t="s">
        <v>84</v>
      </c>
      <c r="G68" s="22" t="s">
        <v>101</v>
      </c>
      <c r="H68" s="22" t="s">
        <v>75</v>
      </c>
      <c r="I68" s="22" t="s">
        <v>76</v>
      </c>
      <c r="J68" s="233" t="s">
        <v>53</v>
      </c>
      <c r="K68" s="239"/>
      <c r="L68" s="239"/>
      <c r="M68" s="239"/>
      <c r="N68" s="234"/>
      <c r="O68" s="61" t="s">
        <v>80</v>
      </c>
      <c r="P68" s="60" t="s">
        <v>84</v>
      </c>
      <c r="Q68" s="22" t="s">
        <v>101</v>
      </c>
      <c r="R68" s="22" t="s">
        <v>75</v>
      </c>
      <c r="S68" s="22" t="s">
        <v>76</v>
      </c>
    </row>
    <row r="69" spans="1:19" ht="18" customHeight="1" x14ac:dyDescent="0.15">
      <c r="A69" s="86"/>
      <c r="B69" s="254" t="s">
        <v>170</v>
      </c>
      <c r="C69" s="255"/>
      <c r="D69" s="255"/>
      <c r="E69" s="23">
        <v>4</v>
      </c>
      <c r="F69" s="23" t="s">
        <v>131</v>
      </c>
      <c r="G69" s="23" t="s">
        <v>131</v>
      </c>
      <c r="H69" s="23" t="s">
        <v>131</v>
      </c>
      <c r="I69" s="23" t="s">
        <v>131</v>
      </c>
      <c r="J69" s="254"/>
      <c r="K69" s="255"/>
      <c r="L69" s="255"/>
      <c r="M69" s="255"/>
      <c r="N69" s="256"/>
      <c r="O69" s="23"/>
      <c r="P69" s="23"/>
      <c r="Q69" s="23"/>
      <c r="R69" s="23"/>
      <c r="S69" s="23"/>
    </row>
    <row r="70" spans="1:19" ht="18" customHeight="1" x14ac:dyDescent="0.15">
      <c r="A70" s="86"/>
      <c r="B70" s="251" t="s">
        <v>172</v>
      </c>
      <c r="C70" s="252"/>
      <c r="D70" s="252"/>
      <c r="E70" s="24">
        <v>4</v>
      </c>
      <c r="F70" s="24" t="s">
        <v>131</v>
      </c>
      <c r="G70" s="24" t="s">
        <v>131</v>
      </c>
      <c r="H70" s="24" t="s">
        <v>131</v>
      </c>
      <c r="I70" s="24"/>
      <c r="J70" s="251"/>
      <c r="K70" s="252"/>
      <c r="L70" s="252"/>
      <c r="M70" s="252"/>
      <c r="N70" s="253"/>
      <c r="O70" s="24"/>
      <c r="P70" s="24"/>
      <c r="Q70" s="24"/>
      <c r="R70" s="24"/>
      <c r="S70" s="24"/>
    </row>
    <row r="71" spans="1:19" ht="18" customHeight="1" x14ac:dyDescent="0.15">
      <c r="A71" s="86"/>
      <c r="B71" s="251"/>
      <c r="C71" s="252"/>
      <c r="D71" s="252"/>
      <c r="E71" s="24"/>
      <c r="F71" s="24"/>
      <c r="G71" s="24"/>
      <c r="H71" s="24"/>
      <c r="I71" s="24"/>
      <c r="J71" s="251"/>
      <c r="K71" s="252"/>
      <c r="L71" s="252"/>
      <c r="M71" s="252"/>
      <c r="N71" s="253"/>
      <c r="O71" s="24"/>
      <c r="P71" s="24"/>
      <c r="Q71" s="24"/>
      <c r="R71" s="24"/>
      <c r="S71" s="24"/>
    </row>
    <row r="72" spans="1:19" ht="18" customHeight="1" x14ac:dyDescent="0.15">
      <c r="A72" s="86"/>
      <c r="B72" s="251"/>
      <c r="C72" s="252"/>
      <c r="D72" s="252"/>
      <c r="E72" s="24"/>
      <c r="F72" s="24"/>
      <c r="G72" s="24"/>
      <c r="H72" s="24"/>
      <c r="I72" s="24"/>
      <c r="J72" s="251"/>
      <c r="K72" s="252"/>
      <c r="L72" s="252"/>
      <c r="M72" s="252"/>
      <c r="N72" s="253"/>
      <c r="O72" s="24"/>
      <c r="P72" s="24"/>
      <c r="Q72" s="24"/>
      <c r="R72" s="24"/>
      <c r="S72" s="24"/>
    </row>
    <row r="73" spans="1:19" ht="18" customHeight="1" x14ac:dyDescent="0.15">
      <c r="A73" s="86"/>
      <c r="B73" s="251"/>
      <c r="C73" s="252"/>
      <c r="D73" s="252"/>
      <c r="E73" s="24"/>
      <c r="F73" s="24"/>
      <c r="G73" s="24"/>
      <c r="H73" s="24"/>
      <c r="I73" s="24"/>
      <c r="J73" s="251"/>
      <c r="K73" s="252"/>
      <c r="L73" s="252"/>
      <c r="M73" s="252"/>
      <c r="N73" s="253"/>
      <c r="O73" s="24"/>
      <c r="P73" s="24"/>
      <c r="Q73" s="24"/>
      <c r="R73" s="24"/>
      <c r="S73" s="24"/>
    </row>
    <row r="74" spans="1:19" ht="18" customHeight="1" x14ac:dyDescent="0.15">
      <c r="A74" s="86"/>
      <c r="B74" s="251"/>
      <c r="C74" s="252"/>
      <c r="D74" s="252"/>
      <c r="E74" s="24"/>
      <c r="F74" s="24"/>
      <c r="G74" s="24"/>
      <c r="H74" s="24"/>
      <c r="I74" s="24"/>
      <c r="J74" s="251"/>
      <c r="K74" s="252"/>
      <c r="L74" s="252"/>
      <c r="M74" s="252"/>
      <c r="N74" s="253"/>
      <c r="O74" s="24"/>
      <c r="P74" s="24"/>
      <c r="Q74" s="24"/>
      <c r="R74" s="24"/>
      <c r="S74" s="24"/>
    </row>
    <row r="75" spans="1:19" ht="18" customHeight="1" x14ac:dyDescent="0.15">
      <c r="A75" s="86"/>
      <c r="B75" s="257"/>
      <c r="C75" s="258"/>
      <c r="D75" s="258"/>
      <c r="E75" s="25"/>
      <c r="F75" s="25"/>
      <c r="G75" s="26"/>
      <c r="H75" s="26"/>
      <c r="I75" s="26"/>
      <c r="J75" s="257"/>
      <c r="K75" s="258"/>
      <c r="L75" s="258"/>
      <c r="M75" s="258"/>
      <c r="N75" s="259"/>
      <c r="O75" s="25"/>
      <c r="P75" s="25"/>
      <c r="Q75" s="26"/>
      <c r="R75" s="26"/>
      <c r="S75" s="26"/>
    </row>
    <row r="76" spans="1:19" ht="7.5" customHeight="1" x14ac:dyDescent="0.15">
      <c r="B76" s="84"/>
      <c r="C76" s="84"/>
      <c r="D76" s="84"/>
      <c r="E76" s="84"/>
      <c r="F76" s="84"/>
      <c r="G76" s="84"/>
      <c r="H76" s="84"/>
      <c r="I76" s="84"/>
      <c r="J76" s="84"/>
      <c r="K76" s="84"/>
      <c r="L76" s="84"/>
      <c r="M76" s="84"/>
      <c r="N76" s="84"/>
      <c r="O76" s="84"/>
      <c r="P76" s="84"/>
      <c r="Q76" s="84"/>
      <c r="R76" s="84"/>
    </row>
    <row r="77" spans="1:19" ht="18" customHeight="1" x14ac:dyDescent="0.15">
      <c r="A77" s="85" t="s">
        <v>118</v>
      </c>
      <c r="H77" s="86"/>
      <c r="I77" s="86"/>
      <c r="J77" s="86"/>
      <c r="K77" s="86"/>
      <c r="L77" s="86"/>
      <c r="M77" s="86"/>
      <c r="N77" s="86"/>
      <c r="O77" s="86"/>
      <c r="P77" s="86"/>
      <c r="Q77" s="86"/>
      <c r="R77" s="86"/>
      <c r="S77" s="86"/>
    </row>
    <row r="78" spans="1:19" ht="18" customHeight="1" x14ac:dyDescent="0.15">
      <c r="B78" s="233" t="s">
        <v>53</v>
      </c>
      <c r="C78" s="239"/>
      <c r="D78" s="239"/>
      <c r="E78" s="234"/>
      <c r="F78" s="233" t="s">
        <v>82</v>
      </c>
      <c r="G78" s="239"/>
      <c r="H78" s="239"/>
      <c r="I78" s="234"/>
      <c r="J78" s="260" t="s">
        <v>53</v>
      </c>
      <c r="K78" s="261"/>
      <c r="L78" s="261"/>
      <c r="M78" s="261"/>
      <c r="N78" s="261"/>
      <c r="O78" s="262"/>
      <c r="P78" s="233" t="s">
        <v>82</v>
      </c>
      <c r="Q78" s="239"/>
      <c r="R78" s="239"/>
      <c r="S78" s="234"/>
    </row>
    <row r="79" spans="1:19" ht="18" customHeight="1" x14ac:dyDescent="0.15">
      <c r="A79" s="86"/>
      <c r="B79" s="254" t="s">
        <v>174</v>
      </c>
      <c r="C79" s="255"/>
      <c r="D79" s="255"/>
      <c r="E79" s="256"/>
      <c r="F79" s="263" t="s">
        <v>173</v>
      </c>
      <c r="G79" s="264"/>
      <c r="H79" s="264"/>
      <c r="I79" s="265"/>
      <c r="J79" s="254"/>
      <c r="K79" s="255"/>
      <c r="L79" s="255"/>
      <c r="M79" s="255"/>
      <c r="N79" s="255"/>
      <c r="O79" s="256"/>
      <c r="P79" s="263"/>
      <c r="Q79" s="264"/>
      <c r="R79" s="264"/>
      <c r="S79" s="265"/>
    </row>
    <row r="80" spans="1:19" ht="18" customHeight="1" x14ac:dyDescent="0.15">
      <c r="A80" s="86"/>
      <c r="B80" s="251" t="s">
        <v>174</v>
      </c>
      <c r="C80" s="252"/>
      <c r="D80" s="252"/>
      <c r="E80" s="253"/>
      <c r="F80" s="266" t="s">
        <v>175</v>
      </c>
      <c r="G80" s="267"/>
      <c r="H80" s="267"/>
      <c r="I80" s="268"/>
      <c r="J80" s="251"/>
      <c r="K80" s="252"/>
      <c r="L80" s="252"/>
      <c r="M80" s="252"/>
      <c r="N80" s="252"/>
      <c r="O80" s="253"/>
      <c r="P80" s="266"/>
      <c r="Q80" s="267"/>
      <c r="R80" s="267"/>
      <c r="S80" s="268"/>
    </row>
    <row r="81" spans="1:19" ht="18" customHeight="1" x14ac:dyDescent="0.15">
      <c r="A81" s="86"/>
      <c r="B81" s="251" t="s">
        <v>169</v>
      </c>
      <c r="C81" s="252"/>
      <c r="D81" s="252"/>
      <c r="E81" s="253"/>
      <c r="F81" s="266" t="s">
        <v>176</v>
      </c>
      <c r="G81" s="267"/>
      <c r="H81" s="267"/>
      <c r="I81" s="268"/>
      <c r="J81" s="251"/>
      <c r="K81" s="252"/>
      <c r="L81" s="252"/>
      <c r="M81" s="252"/>
      <c r="N81" s="252"/>
      <c r="O81" s="253"/>
      <c r="P81" s="266"/>
      <c r="Q81" s="267"/>
      <c r="R81" s="267"/>
      <c r="S81" s="268"/>
    </row>
    <row r="82" spans="1:19" ht="18" customHeight="1" x14ac:dyDescent="0.15">
      <c r="A82" s="86"/>
      <c r="B82" s="251" t="s">
        <v>169</v>
      </c>
      <c r="C82" s="252"/>
      <c r="D82" s="252"/>
      <c r="E82" s="253"/>
      <c r="F82" s="266" t="s">
        <v>177</v>
      </c>
      <c r="G82" s="267"/>
      <c r="H82" s="267"/>
      <c r="I82" s="268"/>
      <c r="J82" s="251"/>
      <c r="K82" s="252"/>
      <c r="L82" s="252"/>
      <c r="M82" s="252"/>
      <c r="N82" s="252"/>
      <c r="O82" s="253"/>
      <c r="P82" s="266"/>
      <c r="Q82" s="267"/>
      <c r="R82" s="267"/>
      <c r="S82" s="268"/>
    </row>
    <row r="83" spans="1:19" ht="18" customHeight="1" x14ac:dyDescent="0.15">
      <c r="A83" s="86"/>
      <c r="B83" s="251"/>
      <c r="C83" s="252"/>
      <c r="D83" s="252"/>
      <c r="E83" s="253"/>
      <c r="F83" s="266"/>
      <c r="G83" s="267"/>
      <c r="H83" s="267"/>
      <c r="I83" s="268"/>
      <c r="J83" s="251"/>
      <c r="K83" s="252"/>
      <c r="L83" s="252"/>
      <c r="M83" s="252"/>
      <c r="N83" s="252"/>
      <c r="O83" s="253"/>
      <c r="P83" s="266"/>
      <c r="Q83" s="267"/>
      <c r="R83" s="267"/>
      <c r="S83" s="268"/>
    </row>
    <row r="84" spans="1:19" ht="18" customHeight="1" x14ac:dyDescent="0.15">
      <c r="A84" s="86"/>
      <c r="B84" s="251"/>
      <c r="C84" s="252"/>
      <c r="D84" s="252"/>
      <c r="E84" s="253"/>
      <c r="F84" s="266"/>
      <c r="G84" s="267"/>
      <c r="H84" s="267"/>
      <c r="I84" s="268"/>
      <c r="J84" s="251"/>
      <c r="K84" s="252"/>
      <c r="L84" s="252"/>
      <c r="M84" s="252"/>
      <c r="N84" s="252"/>
      <c r="O84" s="253"/>
      <c r="P84" s="266"/>
      <c r="Q84" s="267"/>
      <c r="R84" s="267"/>
      <c r="S84" s="268"/>
    </row>
    <row r="85" spans="1:19" ht="18" customHeight="1" x14ac:dyDescent="0.15">
      <c r="A85" s="86"/>
      <c r="B85" s="257"/>
      <c r="C85" s="258"/>
      <c r="D85" s="258"/>
      <c r="E85" s="259"/>
      <c r="F85" s="286"/>
      <c r="G85" s="287"/>
      <c r="H85" s="287"/>
      <c r="I85" s="288"/>
      <c r="J85" s="257"/>
      <c r="K85" s="258"/>
      <c r="L85" s="258"/>
      <c r="M85" s="258"/>
      <c r="N85" s="258"/>
      <c r="O85" s="259"/>
      <c r="P85" s="286"/>
      <c r="Q85" s="287"/>
      <c r="R85" s="287"/>
      <c r="S85" s="288"/>
    </row>
    <row r="86" spans="1:19" ht="18" customHeight="1" x14ac:dyDescent="0.15">
      <c r="A86" s="86"/>
      <c r="B86" s="6"/>
      <c r="C86" s="6"/>
      <c r="D86" s="6"/>
      <c r="E86" s="6"/>
      <c r="F86" s="27"/>
      <c r="G86" s="27"/>
      <c r="H86" s="27"/>
      <c r="I86" s="27"/>
      <c r="J86" s="6"/>
      <c r="K86" s="6"/>
      <c r="L86" s="6"/>
      <c r="M86" s="6"/>
      <c r="N86" s="6"/>
      <c r="O86" s="6"/>
      <c r="P86" s="27"/>
      <c r="Q86" s="27"/>
      <c r="R86" s="27"/>
      <c r="S86" s="27"/>
    </row>
    <row r="87" spans="1:19" ht="18.75" customHeight="1" x14ac:dyDescent="0.15">
      <c r="A87" s="85" t="s">
        <v>119</v>
      </c>
    </row>
    <row r="88" spans="1:19" ht="18.75" customHeight="1" x14ac:dyDescent="0.15">
      <c r="B88" s="269" t="s">
        <v>54</v>
      </c>
      <c r="C88" s="270"/>
      <c r="D88" s="239" t="s">
        <v>55</v>
      </c>
      <c r="E88" s="239"/>
      <c r="F88" s="239"/>
      <c r="G88" s="239"/>
      <c r="H88" s="239"/>
      <c r="I88" s="239"/>
      <c r="J88" s="239"/>
      <c r="K88" s="239"/>
      <c r="L88" s="239"/>
      <c r="M88" s="239"/>
      <c r="N88" s="239"/>
      <c r="O88" s="239"/>
      <c r="P88" s="239"/>
      <c r="Q88" s="239"/>
      <c r="R88" s="239"/>
      <c r="S88" s="234"/>
    </row>
    <row r="89" spans="1:19" ht="97.5" customHeight="1" x14ac:dyDescent="0.15">
      <c r="B89" s="271" t="s">
        <v>61</v>
      </c>
      <c r="C89" s="28" t="s">
        <v>56</v>
      </c>
      <c r="D89" s="273" t="s">
        <v>188</v>
      </c>
      <c r="E89" s="274"/>
      <c r="F89" s="274"/>
      <c r="G89" s="274"/>
      <c r="H89" s="274"/>
      <c r="I89" s="274"/>
      <c r="J89" s="274"/>
      <c r="K89" s="274"/>
      <c r="L89" s="274"/>
      <c r="M89" s="274"/>
      <c r="N89" s="274"/>
      <c r="O89" s="274"/>
      <c r="P89" s="274"/>
      <c r="Q89" s="274"/>
      <c r="R89" s="274"/>
      <c r="S89" s="275"/>
    </row>
    <row r="90" spans="1:19" ht="97.5" customHeight="1" x14ac:dyDescent="0.15">
      <c r="B90" s="272"/>
      <c r="C90" s="29" t="s">
        <v>77</v>
      </c>
      <c r="D90" s="276" t="s">
        <v>189</v>
      </c>
      <c r="E90" s="277"/>
      <c r="F90" s="277"/>
      <c r="G90" s="277"/>
      <c r="H90" s="277"/>
      <c r="I90" s="277"/>
      <c r="J90" s="277"/>
      <c r="K90" s="277"/>
      <c r="L90" s="277"/>
      <c r="M90" s="277"/>
      <c r="N90" s="277"/>
      <c r="O90" s="277"/>
      <c r="P90" s="277"/>
      <c r="Q90" s="277"/>
      <c r="R90" s="277"/>
      <c r="S90" s="278"/>
    </row>
    <row r="91" spans="1:19" ht="97.5" customHeight="1" x14ac:dyDescent="0.15">
      <c r="B91" s="271" t="s">
        <v>62</v>
      </c>
      <c r="C91" s="30" t="s">
        <v>71</v>
      </c>
      <c r="D91" s="280" t="s">
        <v>191</v>
      </c>
      <c r="E91" s="281"/>
      <c r="F91" s="281"/>
      <c r="G91" s="281"/>
      <c r="H91" s="281"/>
      <c r="I91" s="281"/>
      <c r="J91" s="281"/>
      <c r="K91" s="281"/>
      <c r="L91" s="281"/>
      <c r="M91" s="281"/>
      <c r="N91" s="281"/>
      <c r="O91" s="281"/>
      <c r="P91" s="281"/>
      <c r="Q91" s="281"/>
      <c r="R91" s="281"/>
      <c r="S91" s="282"/>
    </row>
    <row r="92" spans="1:19" ht="97.5" customHeight="1" x14ac:dyDescent="0.15">
      <c r="B92" s="279"/>
      <c r="C92" s="31" t="s">
        <v>72</v>
      </c>
      <c r="D92" s="283" t="s">
        <v>190</v>
      </c>
      <c r="E92" s="284"/>
      <c r="F92" s="284"/>
      <c r="G92" s="284"/>
      <c r="H92" s="284"/>
      <c r="I92" s="284"/>
      <c r="J92" s="284"/>
      <c r="K92" s="284"/>
      <c r="L92" s="284"/>
      <c r="M92" s="284"/>
      <c r="N92" s="284"/>
      <c r="O92" s="284"/>
      <c r="P92" s="284"/>
      <c r="Q92" s="284"/>
      <c r="R92" s="284"/>
      <c r="S92" s="285"/>
    </row>
    <row r="93" spans="1:19" ht="97.5" customHeight="1" x14ac:dyDescent="0.15">
      <c r="B93" s="271" t="s">
        <v>63</v>
      </c>
      <c r="C93" s="30" t="s">
        <v>73</v>
      </c>
      <c r="D93" s="280" t="s">
        <v>213</v>
      </c>
      <c r="E93" s="280"/>
      <c r="F93" s="280"/>
      <c r="G93" s="280"/>
      <c r="H93" s="280"/>
      <c r="I93" s="280"/>
      <c r="J93" s="280"/>
      <c r="K93" s="280"/>
      <c r="L93" s="280"/>
      <c r="M93" s="280"/>
      <c r="N93" s="280"/>
      <c r="O93" s="280"/>
      <c r="P93" s="280"/>
      <c r="Q93" s="280"/>
      <c r="R93" s="280"/>
      <c r="S93" s="299"/>
    </row>
    <row r="94" spans="1:19" ht="97.5" customHeight="1" x14ac:dyDescent="0.15">
      <c r="B94" s="279"/>
      <c r="C94" s="32" t="s">
        <v>74</v>
      </c>
      <c r="D94" s="300" t="s">
        <v>202</v>
      </c>
      <c r="E94" s="300"/>
      <c r="F94" s="300"/>
      <c r="G94" s="300"/>
      <c r="H94" s="300"/>
      <c r="I94" s="300"/>
      <c r="J94" s="300"/>
      <c r="K94" s="300"/>
      <c r="L94" s="300"/>
      <c r="M94" s="300"/>
      <c r="N94" s="300"/>
      <c r="O94" s="300"/>
      <c r="P94" s="300"/>
      <c r="Q94" s="300"/>
      <c r="R94" s="300"/>
      <c r="S94" s="301"/>
    </row>
    <row r="95" spans="1:19" ht="97.5" customHeight="1" x14ac:dyDescent="0.15">
      <c r="B95" s="271" t="s">
        <v>78</v>
      </c>
      <c r="C95" s="28" t="s">
        <v>58</v>
      </c>
      <c r="D95" s="273" t="s">
        <v>214</v>
      </c>
      <c r="E95" s="273"/>
      <c r="F95" s="273"/>
      <c r="G95" s="273"/>
      <c r="H95" s="273"/>
      <c r="I95" s="273"/>
      <c r="J95" s="273"/>
      <c r="K95" s="273"/>
      <c r="L95" s="273"/>
      <c r="M95" s="273"/>
      <c r="N95" s="273"/>
      <c r="O95" s="273"/>
      <c r="P95" s="273"/>
      <c r="Q95" s="273"/>
      <c r="R95" s="273"/>
      <c r="S95" s="302"/>
    </row>
    <row r="96" spans="1:19" ht="97.5" customHeight="1" x14ac:dyDescent="0.15">
      <c r="B96" s="279"/>
      <c r="C96" s="31" t="s">
        <v>60</v>
      </c>
      <c r="D96" s="284" t="s">
        <v>178</v>
      </c>
      <c r="E96" s="284"/>
      <c r="F96" s="284"/>
      <c r="G96" s="284"/>
      <c r="H96" s="284"/>
      <c r="I96" s="284"/>
      <c r="J96" s="284"/>
      <c r="K96" s="284"/>
      <c r="L96" s="284"/>
      <c r="M96" s="284"/>
      <c r="N96" s="284"/>
      <c r="O96" s="284"/>
      <c r="P96" s="284"/>
      <c r="Q96" s="284"/>
      <c r="R96" s="284"/>
      <c r="S96" s="285"/>
    </row>
    <row r="97" spans="1:19" ht="97.5" customHeight="1" x14ac:dyDescent="0.15">
      <c r="B97" s="271" t="s">
        <v>79</v>
      </c>
      <c r="C97" s="30" t="s">
        <v>57</v>
      </c>
      <c r="D97" s="289" t="s">
        <v>215</v>
      </c>
      <c r="E97" s="289"/>
      <c r="F97" s="289"/>
      <c r="G97" s="289"/>
      <c r="H97" s="289"/>
      <c r="I97" s="289"/>
      <c r="J97" s="289"/>
      <c r="K97" s="289"/>
      <c r="L97" s="289"/>
      <c r="M97" s="289"/>
      <c r="N97" s="289"/>
      <c r="O97" s="289"/>
      <c r="P97" s="289"/>
      <c r="Q97" s="289"/>
      <c r="R97" s="289"/>
      <c r="S97" s="290"/>
    </row>
    <row r="98" spans="1:19" ht="97.5" customHeight="1" x14ac:dyDescent="0.15">
      <c r="B98" s="272"/>
      <c r="C98" s="33" t="s">
        <v>75</v>
      </c>
      <c r="D98" s="291" t="s">
        <v>216</v>
      </c>
      <c r="E98" s="292"/>
      <c r="F98" s="292"/>
      <c r="G98" s="292"/>
      <c r="H98" s="292"/>
      <c r="I98" s="292"/>
      <c r="J98" s="292"/>
      <c r="K98" s="292"/>
      <c r="L98" s="292"/>
      <c r="M98" s="292"/>
      <c r="N98" s="292"/>
      <c r="O98" s="292"/>
      <c r="P98" s="292"/>
      <c r="Q98" s="292"/>
      <c r="R98" s="292"/>
      <c r="S98" s="293"/>
    </row>
    <row r="99" spans="1:19" ht="97.5" customHeight="1" x14ac:dyDescent="0.15">
      <c r="B99" s="279"/>
      <c r="C99" s="32" t="s">
        <v>76</v>
      </c>
      <c r="D99" s="294" t="s">
        <v>217</v>
      </c>
      <c r="E99" s="294"/>
      <c r="F99" s="294"/>
      <c r="G99" s="294"/>
      <c r="H99" s="294"/>
      <c r="I99" s="294"/>
      <c r="J99" s="294"/>
      <c r="K99" s="294"/>
      <c r="L99" s="294"/>
      <c r="M99" s="294"/>
      <c r="N99" s="294"/>
      <c r="O99" s="294"/>
      <c r="P99" s="294"/>
      <c r="Q99" s="294"/>
      <c r="R99" s="294"/>
      <c r="S99" s="295"/>
    </row>
    <row r="100" spans="1:19" ht="6" customHeight="1" x14ac:dyDescent="0.15"/>
    <row r="101" spans="1:19" ht="18.75" customHeight="1" x14ac:dyDescent="0.15">
      <c r="A101" s="85" t="s">
        <v>120</v>
      </c>
    </row>
    <row r="102" spans="1:19" ht="81.75" customHeight="1" x14ac:dyDescent="0.15">
      <c r="B102" s="296" t="s">
        <v>203</v>
      </c>
      <c r="C102" s="297"/>
      <c r="D102" s="297"/>
      <c r="E102" s="297"/>
      <c r="F102" s="297"/>
      <c r="G102" s="297"/>
      <c r="H102" s="297"/>
      <c r="I102" s="297"/>
      <c r="J102" s="297"/>
      <c r="K102" s="297"/>
      <c r="L102" s="297"/>
      <c r="M102" s="297"/>
      <c r="N102" s="297"/>
      <c r="O102" s="297"/>
      <c r="P102" s="297"/>
      <c r="Q102" s="297"/>
      <c r="R102" s="297"/>
      <c r="S102" s="298"/>
    </row>
    <row r="110" spans="1:19" ht="18" customHeight="1" x14ac:dyDescent="0.15"/>
  </sheetData>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45CB0AD1-90DC-4359-8BFB-ACD13107B71C}">
      <formula1>"○"</formula1>
    </dataValidation>
    <dataValidation type="list" allowBlank="1" showInputMessage="1" showErrorMessage="1" sqref="S32 S43 D32:G32 D43:G43" xr:uid="{9C54F2D1-DC60-40AB-B911-8BD3837F416F}">
      <formula1>"全学開講,一部開講"</formula1>
    </dataValidation>
    <dataValidation type="list" allowBlank="1" showInputMessage="1" showErrorMessage="1" sqref="K7 K12" xr:uid="{0D6C4B71-EE7B-493C-81AF-89C8848F891B}">
      <formula1>"学部・学科によって、修了要件は相違する,学部・学科によって、修了要件は相違しない"</formula1>
    </dataValidation>
    <dataValidation type="list" allowBlank="1" showInputMessage="1" showErrorMessage="1" sqref="F79:F86 P79:P86 G79:I80 G83:I86 Q83:S86 Q79:S80" xr:uid="{614FBF07-D147-431F-9C49-D6F6DCFDE53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FEF15367-ADC3-4826-9D75-469F0CFCEBE6}">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election activeCell="J28" sqref="J28:K28"/>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106</v>
      </c>
    </row>
    <row r="2" spans="1:45" ht="18" customHeight="1" x14ac:dyDescent="0.15">
      <c r="K2" s="35"/>
      <c r="Q2" s="35"/>
      <c r="W2" s="35"/>
      <c r="AC2" s="35"/>
      <c r="AI2" s="35"/>
      <c r="AL2" s="35" t="s">
        <v>108</v>
      </c>
      <c r="AM2" s="306" t="str">
        <f>'様式１-1　プログラムを構成する授業科目'!C2</f>
        <v>立命館大学</v>
      </c>
      <c r="AN2" s="306"/>
      <c r="AO2" s="306"/>
      <c r="AP2" s="306"/>
      <c r="AQ2" s="306"/>
    </row>
    <row r="3" spans="1:45" ht="18" customHeight="1" x14ac:dyDescent="0.15">
      <c r="A3" s="241" t="s">
        <v>47</v>
      </c>
      <c r="B3" s="241"/>
      <c r="C3" s="241"/>
      <c r="D3" s="241"/>
      <c r="E3" s="241"/>
      <c r="F3" s="241"/>
      <c r="G3" s="241"/>
      <c r="H3" s="241"/>
      <c r="I3" s="241"/>
      <c r="J3" s="241"/>
      <c r="K3" s="241"/>
      <c r="L3" s="241"/>
      <c r="M3" s="241"/>
      <c r="N3" s="241"/>
      <c r="O3" s="241"/>
      <c r="P3" s="241"/>
      <c r="Q3" s="241"/>
      <c r="R3" s="241"/>
      <c r="S3" s="241"/>
      <c r="T3" s="241"/>
      <c r="U3" s="241"/>
      <c r="V3" s="241"/>
      <c r="W3" s="241"/>
      <c r="X3" s="241"/>
      <c r="Y3" s="241"/>
      <c r="Z3" s="241"/>
      <c r="AA3" s="241"/>
      <c r="AB3" s="241"/>
      <c r="AC3" s="241"/>
      <c r="AD3" s="241"/>
      <c r="AE3" s="241"/>
      <c r="AF3" s="241"/>
      <c r="AG3" s="241"/>
      <c r="AH3" s="241"/>
      <c r="AI3" s="241"/>
      <c r="AJ3" s="241"/>
      <c r="AK3" s="241"/>
      <c r="AL3" s="241"/>
      <c r="AM3" s="241"/>
      <c r="AN3" s="241"/>
      <c r="AO3" s="241"/>
      <c r="AP3" s="241"/>
      <c r="AQ3" s="241"/>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83</v>
      </c>
      <c r="C5" s="307" t="s">
        <v>197</v>
      </c>
      <c r="D5" s="308"/>
      <c r="E5" s="3" t="s">
        <v>52</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81</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309" t="s">
        <v>44</v>
      </c>
      <c r="C9" s="324" t="s">
        <v>86</v>
      </c>
      <c r="D9" s="312" t="s">
        <v>46</v>
      </c>
      <c r="E9" s="315" t="s">
        <v>39</v>
      </c>
      <c r="F9" s="303" t="s">
        <v>85</v>
      </c>
      <c r="G9" s="303"/>
      <c r="H9" s="303"/>
      <c r="I9" s="303"/>
      <c r="J9" s="303"/>
      <c r="K9" s="303"/>
      <c r="L9" s="303" t="s">
        <v>48</v>
      </c>
      <c r="M9" s="303"/>
      <c r="N9" s="303"/>
      <c r="O9" s="303"/>
      <c r="P9" s="303"/>
      <c r="Q9" s="303"/>
      <c r="R9" s="303" t="s">
        <v>49</v>
      </c>
      <c r="S9" s="303"/>
      <c r="T9" s="303"/>
      <c r="U9" s="303"/>
      <c r="V9" s="303"/>
      <c r="W9" s="303"/>
      <c r="X9" s="303" t="s">
        <v>100</v>
      </c>
      <c r="Y9" s="303"/>
      <c r="Z9" s="303"/>
      <c r="AA9" s="303"/>
      <c r="AB9" s="303"/>
      <c r="AC9" s="303"/>
      <c r="AD9" s="303" t="s">
        <v>50</v>
      </c>
      <c r="AE9" s="303"/>
      <c r="AF9" s="303"/>
      <c r="AG9" s="303"/>
      <c r="AH9" s="303"/>
      <c r="AI9" s="303"/>
      <c r="AJ9" s="303" t="s">
        <v>51</v>
      </c>
      <c r="AK9" s="303"/>
      <c r="AL9" s="303"/>
      <c r="AM9" s="303"/>
      <c r="AN9" s="303"/>
      <c r="AO9" s="303"/>
      <c r="AP9" s="318" t="s">
        <v>34</v>
      </c>
      <c r="AQ9" s="321" t="s">
        <v>31</v>
      </c>
      <c r="AS9" s="2"/>
    </row>
    <row r="10" spans="1:45" ht="16.899999999999999" customHeight="1" x14ac:dyDescent="0.15">
      <c r="B10" s="310"/>
      <c r="C10" s="325"/>
      <c r="D10" s="313"/>
      <c r="E10" s="316"/>
      <c r="F10" s="304" t="s">
        <v>96</v>
      </c>
      <c r="G10" s="305"/>
      <c r="H10" s="305"/>
      <c r="I10" s="304" t="s">
        <v>28</v>
      </c>
      <c r="J10" s="305"/>
      <c r="K10" s="305"/>
      <c r="L10" s="304" t="s">
        <v>96</v>
      </c>
      <c r="M10" s="305"/>
      <c r="N10" s="305"/>
      <c r="O10" s="304" t="s">
        <v>28</v>
      </c>
      <c r="P10" s="305"/>
      <c r="Q10" s="305"/>
      <c r="R10" s="304" t="s">
        <v>96</v>
      </c>
      <c r="S10" s="305"/>
      <c r="T10" s="305"/>
      <c r="U10" s="304" t="s">
        <v>28</v>
      </c>
      <c r="V10" s="305"/>
      <c r="W10" s="305"/>
      <c r="X10" s="304" t="s">
        <v>96</v>
      </c>
      <c r="Y10" s="305"/>
      <c r="Z10" s="305"/>
      <c r="AA10" s="304" t="s">
        <v>28</v>
      </c>
      <c r="AB10" s="305"/>
      <c r="AC10" s="305"/>
      <c r="AD10" s="304" t="s">
        <v>96</v>
      </c>
      <c r="AE10" s="305"/>
      <c r="AF10" s="305"/>
      <c r="AG10" s="304" t="s">
        <v>28</v>
      </c>
      <c r="AH10" s="305"/>
      <c r="AI10" s="305"/>
      <c r="AJ10" s="304" t="s">
        <v>96</v>
      </c>
      <c r="AK10" s="305"/>
      <c r="AL10" s="305"/>
      <c r="AM10" s="304" t="s">
        <v>28</v>
      </c>
      <c r="AN10" s="305"/>
      <c r="AO10" s="305"/>
      <c r="AP10" s="319"/>
      <c r="AQ10" s="322"/>
      <c r="AS10" s="2"/>
    </row>
    <row r="11" spans="1:45" ht="18" customHeight="1" x14ac:dyDescent="0.15">
      <c r="B11" s="311"/>
      <c r="C11" s="326"/>
      <c r="D11" s="314"/>
      <c r="E11" s="317"/>
      <c r="F11" s="17" t="s">
        <v>97</v>
      </c>
      <c r="G11" s="18" t="s">
        <v>98</v>
      </c>
      <c r="H11" s="19" t="s">
        <v>99</v>
      </c>
      <c r="I11" s="17" t="s">
        <v>97</v>
      </c>
      <c r="J11" s="18" t="s">
        <v>98</v>
      </c>
      <c r="K11" s="19" t="s">
        <v>99</v>
      </c>
      <c r="L11" s="17" t="s">
        <v>97</v>
      </c>
      <c r="M11" s="18" t="s">
        <v>98</v>
      </c>
      <c r="N11" s="19" t="s">
        <v>99</v>
      </c>
      <c r="O11" s="17" t="s">
        <v>97</v>
      </c>
      <c r="P11" s="18" t="s">
        <v>98</v>
      </c>
      <c r="Q11" s="19" t="s">
        <v>99</v>
      </c>
      <c r="R11" s="17" t="s">
        <v>97</v>
      </c>
      <c r="S11" s="18" t="s">
        <v>98</v>
      </c>
      <c r="T11" s="19" t="s">
        <v>99</v>
      </c>
      <c r="U11" s="17" t="s">
        <v>97</v>
      </c>
      <c r="V11" s="18" t="s">
        <v>98</v>
      </c>
      <c r="W11" s="19" t="s">
        <v>99</v>
      </c>
      <c r="X11" s="17" t="s">
        <v>97</v>
      </c>
      <c r="Y11" s="18" t="s">
        <v>98</v>
      </c>
      <c r="Z11" s="19" t="s">
        <v>99</v>
      </c>
      <c r="AA11" s="17" t="s">
        <v>97</v>
      </c>
      <c r="AB11" s="18" t="s">
        <v>98</v>
      </c>
      <c r="AC11" s="19" t="s">
        <v>99</v>
      </c>
      <c r="AD11" s="17" t="s">
        <v>97</v>
      </c>
      <c r="AE11" s="18" t="s">
        <v>98</v>
      </c>
      <c r="AF11" s="19" t="s">
        <v>99</v>
      </c>
      <c r="AG11" s="17" t="s">
        <v>97</v>
      </c>
      <c r="AH11" s="18" t="s">
        <v>98</v>
      </c>
      <c r="AI11" s="19" t="s">
        <v>99</v>
      </c>
      <c r="AJ11" s="17" t="s">
        <v>97</v>
      </c>
      <c r="AK11" s="18" t="s">
        <v>98</v>
      </c>
      <c r="AL11" s="19" t="s">
        <v>99</v>
      </c>
      <c r="AM11" s="17" t="s">
        <v>97</v>
      </c>
      <c r="AN11" s="18" t="s">
        <v>98</v>
      </c>
      <c r="AO11" s="19" t="s">
        <v>99</v>
      </c>
      <c r="AP11" s="320"/>
      <c r="AQ11" s="323"/>
      <c r="AS11" s="2"/>
    </row>
    <row r="12" spans="1:45" ht="18" customHeight="1" x14ac:dyDescent="0.15">
      <c r="A12" s="6"/>
      <c r="B12" s="11" t="s">
        <v>134</v>
      </c>
      <c r="C12" s="62">
        <v>3139</v>
      </c>
      <c r="D12" s="63">
        <v>720</v>
      </c>
      <c r="E12" s="64">
        <v>2880</v>
      </c>
      <c r="F12" s="64">
        <f>G12+H12</f>
        <v>77</v>
      </c>
      <c r="G12" s="65">
        <v>52</v>
      </c>
      <c r="H12" s="66">
        <v>25</v>
      </c>
      <c r="I12" s="64">
        <f>J12+K12</f>
        <v>64</v>
      </c>
      <c r="J12" s="65">
        <v>41</v>
      </c>
      <c r="K12" s="66">
        <v>23</v>
      </c>
      <c r="L12" s="64">
        <f>M12+N12</f>
        <v>0</v>
      </c>
      <c r="M12" s="65">
        <v>0</v>
      </c>
      <c r="N12" s="66">
        <v>0</v>
      </c>
      <c r="O12" s="64">
        <f>P12+Q12</f>
        <v>0</v>
      </c>
      <c r="P12" s="65">
        <v>0</v>
      </c>
      <c r="Q12" s="66">
        <v>0</v>
      </c>
      <c r="R12" s="64">
        <f>S12+T12</f>
        <v>0</v>
      </c>
      <c r="S12" s="65">
        <v>0</v>
      </c>
      <c r="T12" s="66">
        <v>0</v>
      </c>
      <c r="U12" s="64">
        <f>V12+W12</f>
        <v>0</v>
      </c>
      <c r="V12" s="65">
        <v>0</v>
      </c>
      <c r="W12" s="66">
        <v>0</v>
      </c>
      <c r="X12" s="64">
        <f>Y12+Z12</f>
        <v>0</v>
      </c>
      <c r="Y12" s="65">
        <v>0</v>
      </c>
      <c r="Z12" s="66">
        <v>0</v>
      </c>
      <c r="AA12" s="64">
        <f>AB12+AC12</f>
        <v>0</v>
      </c>
      <c r="AB12" s="65">
        <v>0</v>
      </c>
      <c r="AC12" s="66">
        <v>0</v>
      </c>
      <c r="AD12" s="64">
        <f>AE12+AF12</f>
        <v>0</v>
      </c>
      <c r="AE12" s="65">
        <v>0</v>
      </c>
      <c r="AF12" s="66">
        <v>0</v>
      </c>
      <c r="AG12" s="64">
        <f>AH12+AI12</f>
        <v>0</v>
      </c>
      <c r="AH12" s="65">
        <v>0</v>
      </c>
      <c r="AI12" s="66">
        <v>0</v>
      </c>
      <c r="AJ12" s="64">
        <f>AK12+AL12</f>
        <v>0</v>
      </c>
      <c r="AK12" s="65">
        <v>0</v>
      </c>
      <c r="AL12" s="66">
        <v>0</v>
      </c>
      <c r="AM12" s="64">
        <f>AN12+AO12</f>
        <v>0</v>
      </c>
      <c r="AN12" s="65">
        <v>0</v>
      </c>
      <c r="AO12" s="66">
        <v>0</v>
      </c>
      <c r="AP12" s="63">
        <f>F12+L12+R12+X12+AD12+AJ12</f>
        <v>77</v>
      </c>
      <c r="AQ12" s="21">
        <f t="shared" ref="AQ12:AQ32" si="0">AP12/E12</f>
        <v>2.673611111111111E-2</v>
      </c>
    </row>
    <row r="13" spans="1:45" ht="18" customHeight="1" x14ac:dyDescent="0.15">
      <c r="A13" s="6"/>
      <c r="B13" s="12" t="s">
        <v>135</v>
      </c>
      <c r="C13" s="67">
        <v>3316</v>
      </c>
      <c r="D13" s="68">
        <v>810</v>
      </c>
      <c r="E13" s="69">
        <v>3240</v>
      </c>
      <c r="F13" s="70">
        <f t="shared" ref="F13:F31" si="1">G13+H13</f>
        <v>197</v>
      </c>
      <c r="G13" s="71">
        <v>134</v>
      </c>
      <c r="H13" s="72">
        <v>63</v>
      </c>
      <c r="I13" s="70">
        <f t="shared" ref="I13:I31" si="2">J13+K13</f>
        <v>168</v>
      </c>
      <c r="J13" s="71">
        <v>112</v>
      </c>
      <c r="K13" s="72">
        <v>56</v>
      </c>
      <c r="L13" s="70">
        <f t="shared" ref="L13:L31" si="3">M13+N13</f>
        <v>0</v>
      </c>
      <c r="M13" s="71">
        <v>0</v>
      </c>
      <c r="N13" s="72">
        <v>0</v>
      </c>
      <c r="O13" s="70">
        <f t="shared" ref="O13:O31" si="4">P13+Q13</f>
        <v>0</v>
      </c>
      <c r="P13" s="71">
        <v>0</v>
      </c>
      <c r="Q13" s="72">
        <v>0</v>
      </c>
      <c r="R13" s="70">
        <f t="shared" ref="R13:R31" si="5">S13+T13</f>
        <v>0</v>
      </c>
      <c r="S13" s="71">
        <v>0</v>
      </c>
      <c r="T13" s="72">
        <v>0</v>
      </c>
      <c r="U13" s="70">
        <f t="shared" ref="U13:U31" si="6">V13+W13</f>
        <v>0</v>
      </c>
      <c r="V13" s="71">
        <v>0</v>
      </c>
      <c r="W13" s="72">
        <v>0</v>
      </c>
      <c r="X13" s="70">
        <f t="shared" ref="X13:X31" si="7">Y13+Z13</f>
        <v>0</v>
      </c>
      <c r="Y13" s="71">
        <v>0</v>
      </c>
      <c r="Z13" s="72">
        <v>0</v>
      </c>
      <c r="AA13" s="70">
        <f t="shared" ref="AA13:AA31" si="8">AB13+AC13</f>
        <v>0</v>
      </c>
      <c r="AB13" s="71">
        <v>0</v>
      </c>
      <c r="AC13" s="72">
        <v>0</v>
      </c>
      <c r="AD13" s="70">
        <f t="shared" ref="AD13:AD31" si="9">AE13+AF13</f>
        <v>0</v>
      </c>
      <c r="AE13" s="71">
        <v>0</v>
      </c>
      <c r="AF13" s="72">
        <v>0</v>
      </c>
      <c r="AG13" s="70">
        <f t="shared" ref="AG13:AG31" si="10">AH13+AI13</f>
        <v>0</v>
      </c>
      <c r="AH13" s="71">
        <v>0</v>
      </c>
      <c r="AI13" s="72">
        <v>0</v>
      </c>
      <c r="AJ13" s="70">
        <f t="shared" ref="AJ13:AJ31" si="11">AK13+AL13</f>
        <v>0</v>
      </c>
      <c r="AK13" s="71">
        <v>0</v>
      </c>
      <c r="AL13" s="72">
        <v>0</v>
      </c>
      <c r="AM13" s="70">
        <f t="shared" ref="AM13:AM31" si="12">AN13+AO13</f>
        <v>0</v>
      </c>
      <c r="AN13" s="71">
        <v>0</v>
      </c>
      <c r="AO13" s="72">
        <v>0</v>
      </c>
      <c r="AP13" s="68">
        <f t="shared" ref="AP13:AP31" si="13">F13+L13+R13+X13+AD13+AJ13</f>
        <v>197</v>
      </c>
      <c r="AQ13" s="20">
        <f t="shared" si="0"/>
        <v>6.0802469135802471E-2</v>
      </c>
    </row>
    <row r="14" spans="1:45" ht="18" customHeight="1" x14ac:dyDescent="0.15">
      <c r="A14" s="6"/>
      <c r="B14" s="12" t="s">
        <v>136</v>
      </c>
      <c r="C14" s="67">
        <v>1454</v>
      </c>
      <c r="D14" s="68">
        <v>360</v>
      </c>
      <c r="E14" s="69">
        <v>1440</v>
      </c>
      <c r="F14" s="70">
        <f t="shared" si="1"/>
        <v>49</v>
      </c>
      <c r="G14" s="71">
        <v>19</v>
      </c>
      <c r="H14" s="72">
        <v>30</v>
      </c>
      <c r="I14" s="70">
        <f t="shared" si="2"/>
        <v>44</v>
      </c>
      <c r="J14" s="71">
        <v>15</v>
      </c>
      <c r="K14" s="72">
        <v>29</v>
      </c>
      <c r="L14" s="70">
        <f t="shared" si="3"/>
        <v>0</v>
      </c>
      <c r="M14" s="71">
        <v>0</v>
      </c>
      <c r="N14" s="72">
        <v>0</v>
      </c>
      <c r="O14" s="70">
        <f t="shared" si="4"/>
        <v>0</v>
      </c>
      <c r="P14" s="71">
        <v>0</v>
      </c>
      <c r="Q14" s="72">
        <v>0</v>
      </c>
      <c r="R14" s="70">
        <f t="shared" si="5"/>
        <v>0</v>
      </c>
      <c r="S14" s="71">
        <v>0</v>
      </c>
      <c r="T14" s="72">
        <v>0</v>
      </c>
      <c r="U14" s="70">
        <f t="shared" si="6"/>
        <v>0</v>
      </c>
      <c r="V14" s="71">
        <v>0</v>
      </c>
      <c r="W14" s="72">
        <v>0</v>
      </c>
      <c r="X14" s="70">
        <f t="shared" si="7"/>
        <v>0</v>
      </c>
      <c r="Y14" s="71">
        <v>0</v>
      </c>
      <c r="Z14" s="72">
        <v>0</v>
      </c>
      <c r="AA14" s="70">
        <f t="shared" si="8"/>
        <v>0</v>
      </c>
      <c r="AB14" s="71">
        <v>0</v>
      </c>
      <c r="AC14" s="72">
        <v>0</v>
      </c>
      <c r="AD14" s="70">
        <f t="shared" si="9"/>
        <v>0</v>
      </c>
      <c r="AE14" s="71">
        <v>0</v>
      </c>
      <c r="AF14" s="72">
        <v>0</v>
      </c>
      <c r="AG14" s="70">
        <f t="shared" si="10"/>
        <v>0</v>
      </c>
      <c r="AH14" s="71">
        <v>0</v>
      </c>
      <c r="AI14" s="72">
        <v>0</v>
      </c>
      <c r="AJ14" s="70">
        <f t="shared" si="11"/>
        <v>0</v>
      </c>
      <c r="AK14" s="71">
        <v>0</v>
      </c>
      <c r="AL14" s="72">
        <v>0</v>
      </c>
      <c r="AM14" s="70">
        <f t="shared" si="12"/>
        <v>0</v>
      </c>
      <c r="AN14" s="71">
        <v>0</v>
      </c>
      <c r="AO14" s="72">
        <v>0</v>
      </c>
      <c r="AP14" s="68">
        <f t="shared" si="13"/>
        <v>49</v>
      </c>
      <c r="AQ14" s="8">
        <f t="shared" si="0"/>
        <v>3.4027777777777775E-2</v>
      </c>
    </row>
    <row r="15" spans="1:45" ht="18" customHeight="1" x14ac:dyDescent="0.15">
      <c r="A15" s="6"/>
      <c r="B15" s="12" t="s">
        <v>137</v>
      </c>
      <c r="C15" s="67">
        <v>4354</v>
      </c>
      <c r="D15" s="68">
        <v>1035</v>
      </c>
      <c r="E15" s="69">
        <v>4085</v>
      </c>
      <c r="F15" s="70">
        <f t="shared" si="1"/>
        <v>81</v>
      </c>
      <c r="G15" s="71">
        <v>52</v>
      </c>
      <c r="H15" s="72">
        <v>29</v>
      </c>
      <c r="I15" s="70">
        <f t="shared" si="2"/>
        <v>62</v>
      </c>
      <c r="J15" s="71">
        <v>39</v>
      </c>
      <c r="K15" s="72">
        <v>23</v>
      </c>
      <c r="L15" s="70">
        <f t="shared" si="3"/>
        <v>0</v>
      </c>
      <c r="M15" s="71">
        <v>0</v>
      </c>
      <c r="N15" s="72">
        <v>0</v>
      </c>
      <c r="O15" s="70">
        <f t="shared" si="4"/>
        <v>0</v>
      </c>
      <c r="P15" s="71">
        <v>0</v>
      </c>
      <c r="Q15" s="72">
        <v>0</v>
      </c>
      <c r="R15" s="70">
        <f t="shared" si="5"/>
        <v>0</v>
      </c>
      <c r="S15" s="71">
        <v>0</v>
      </c>
      <c r="T15" s="72">
        <v>0</v>
      </c>
      <c r="U15" s="70">
        <f t="shared" si="6"/>
        <v>0</v>
      </c>
      <c r="V15" s="71">
        <v>0</v>
      </c>
      <c r="W15" s="72">
        <v>0</v>
      </c>
      <c r="X15" s="70">
        <f t="shared" si="7"/>
        <v>0</v>
      </c>
      <c r="Y15" s="71">
        <v>0</v>
      </c>
      <c r="Z15" s="72">
        <v>0</v>
      </c>
      <c r="AA15" s="70">
        <f t="shared" si="8"/>
        <v>0</v>
      </c>
      <c r="AB15" s="71">
        <v>0</v>
      </c>
      <c r="AC15" s="72">
        <v>0</v>
      </c>
      <c r="AD15" s="70">
        <f t="shared" si="9"/>
        <v>0</v>
      </c>
      <c r="AE15" s="71">
        <v>0</v>
      </c>
      <c r="AF15" s="72">
        <v>0</v>
      </c>
      <c r="AG15" s="70">
        <f t="shared" si="10"/>
        <v>0</v>
      </c>
      <c r="AH15" s="71">
        <v>0</v>
      </c>
      <c r="AI15" s="72">
        <v>0</v>
      </c>
      <c r="AJ15" s="70">
        <f t="shared" si="11"/>
        <v>0</v>
      </c>
      <c r="AK15" s="71">
        <v>0</v>
      </c>
      <c r="AL15" s="72">
        <v>0</v>
      </c>
      <c r="AM15" s="70">
        <f t="shared" si="12"/>
        <v>0</v>
      </c>
      <c r="AN15" s="71">
        <v>0</v>
      </c>
      <c r="AO15" s="72">
        <v>0</v>
      </c>
      <c r="AP15" s="68">
        <f t="shared" si="13"/>
        <v>81</v>
      </c>
      <c r="AQ15" s="8">
        <f t="shared" si="0"/>
        <v>1.9828641370869034E-2</v>
      </c>
    </row>
    <row r="16" spans="1:45" ht="18" customHeight="1" x14ac:dyDescent="0.15">
      <c r="A16" s="6"/>
      <c r="B16" s="12" t="s">
        <v>138</v>
      </c>
      <c r="C16" s="67">
        <v>685</v>
      </c>
      <c r="D16" s="68">
        <v>160</v>
      </c>
      <c r="E16" s="69">
        <v>640</v>
      </c>
      <c r="F16" s="70">
        <f t="shared" si="1"/>
        <v>5</v>
      </c>
      <c r="G16" s="71">
        <v>3</v>
      </c>
      <c r="H16" s="72">
        <v>2</v>
      </c>
      <c r="I16" s="70">
        <f t="shared" si="2"/>
        <v>2</v>
      </c>
      <c r="J16" s="71">
        <v>0</v>
      </c>
      <c r="K16" s="72">
        <v>2</v>
      </c>
      <c r="L16" s="70">
        <f t="shared" si="3"/>
        <v>0</v>
      </c>
      <c r="M16" s="71">
        <v>0</v>
      </c>
      <c r="N16" s="72">
        <v>0</v>
      </c>
      <c r="O16" s="70">
        <f t="shared" si="4"/>
        <v>0</v>
      </c>
      <c r="P16" s="71">
        <v>0</v>
      </c>
      <c r="Q16" s="72">
        <v>0</v>
      </c>
      <c r="R16" s="70">
        <f t="shared" si="5"/>
        <v>0</v>
      </c>
      <c r="S16" s="71">
        <v>0</v>
      </c>
      <c r="T16" s="72">
        <v>0</v>
      </c>
      <c r="U16" s="70">
        <f t="shared" si="6"/>
        <v>0</v>
      </c>
      <c r="V16" s="71">
        <v>0</v>
      </c>
      <c r="W16" s="72">
        <v>0</v>
      </c>
      <c r="X16" s="70">
        <f t="shared" si="7"/>
        <v>0</v>
      </c>
      <c r="Y16" s="71">
        <v>0</v>
      </c>
      <c r="Z16" s="72">
        <v>0</v>
      </c>
      <c r="AA16" s="70">
        <f t="shared" si="8"/>
        <v>0</v>
      </c>
      <c r="AB16" s="71">
        <v>0</v>
      </c>
      <c r="AC16" s="72">
        <v>0</v>
      </c>
      <c r="AD16" s="70">
        <f t="shared" si="9"/>
        <v>0</v>
      </c>
      <c r="AE16" s="71">
        <v>0</v>
      </c>
      <c r="AF16" s="72">
        <v>0</v>
      </c>
      <c r="AG16" s="70">
        <f t="shared" si="10"/>
        <v>0</v>
      </c>
      <c r="AH16" s="71">
        <v>0</v>
      </c>
      <c r="AI16" s="72">
        <v>0</v>
      </c>
      <c r="AJ16" s="70">
        <f t="shared" si="11"/>
        <v>0</v>
      </c>
      <c r="AK16" s="71">
        <v>0</v>
      </c>
      <c r="AL16" s="72">
        <v>0</v>
      </c>
      <c r="AM16" s="70">
        <f t="shared" si="12"/>
        <v>0</v>
      </c>
      <c r="AN16" s="71">
        <v>0</v>
      </c>
      <c r="AO16" s="72">
        <v>0</v>
      </c>
      <c r="AP16" s="68">
        <f t="shared" si="13"/>
        <v>5</v>
      </c>
      <c r="AQ16" s="8">
        <f t="shared" si="0"/>
        <v>7.8125E-3</v>
      </c>
    </row>
    <row r="17" spans="1:43" ht="18" customHeight="1" x14ac:dyDescent="0.15">
      <c r="A17" s="6"/>
      <c r="B17" s="12" t="s">
        <v>139</v>
      </c>
      <c r="C17" s="67">
        <v>3242</v>
      </c>
      <c r="D17" s="68">
        <v>760</v>
      </c>
      <c r="E17" s="69">
        <v>3040</v>
      </c>
      <c r="F17" s="70">
        <f t="shared" si="1"/>
        <v>69</v>
      </c>
      <c r="G17" s="71">
        <v>60</v>
      </c>
      <c r="H17" s="72">
        <v>9</v>
      </c>
      <c r="I17" s="70">
        <f t="shared" si="2"/>
        <v>54</v>
      </c>
      <c r="J17" s="71">
        <v>46</v>
      </c>
      <c r="K17" s="72">
        <v>8</v>
      </c>
      <c r="L17" s="70">
        <f t="shared" si="3"/>
        <v>0</v>
      </c>
      <c r="M17" s="71">
        <v>0</v>
      </c>
      <c r="N17" s="72">
        <v>0</v>
      </c>
      <c r="O17" s="70">
        <f t="shared" si="4"/>
        <v>0</v>
      </c>
      <c r="P17" s="71">
        <v>0</v>
      </c>
      <c r="Q17" s="72">
        <v>0</v>
      </c>
      <c r="R17" s="70">
        <f t="shared" si="5"/>
        <v>0</v>
      </c>
      <c r="S17" s="71">
        <v>0</v>
      </c>
      <c r="T17" s="72">
        <v>0</v>
      </c>
      <c r="U17" s="70">
        <f t="shared" si="6"/>
        <v>0</v>
      </c>
      <c r="V17" s="71">
        <v>0</v>
      </c>
      <c r="W17" s="72">
        <v>0</v>
      </c>
      <c r="X17" s="70">
        <f t="shared" si="7"/>
        <v>0</v>
      </c>
      <c r="Y17" s="71">
        <v>0</v>
      </c>
      <c r="Z17" s="72">
        <v>0</v>
      </c>
      <c r="AA17" s="70">
        <f t="shared" si="8"/>
        <v>0</v>
      </c>
      <c r="AB17" s="71">
        <v>0</v>
      </c>
      <c r="AC17" s="72">
        <v>0</v>
      </c>
      <c r="AD17" s="70">
        <f t="shared" si="9"/>
        <v>0</v>
      </c>
      <c r="AE17" s="71">
        <v>0</v>
      </c>
      <c r="AF17" s="72">
        <v>0</v>
      </c>
      <c r="AG17" s="70">
        <f t="shared" si="10"/>
        <v>0</v>
      </c>
      <c r="AH17" s="71">
        <v>0</v>
      </c>
      <c r="AI17" s="72">
        <v>0</v>
      </c>
      <c r="AJ17" s="70">
        <f t="shared" si="11"/>
        <v>0</v>
      </c>
      <c r="AK17" s="71">
        <v>0</v>
      </c>
      <c r="AL17" s="72">
        <v>0</v>
      </c>
      <c r="AM17" s="70">
        <f t="shared" si="12"/>
        <v>0</v>
      </c>
      <c r="AN17" s="71">
        <v>0</v>
      </c>
      <c r="AO17" s="72">
        <v>0</v>
      </c>
      <c r="AP17" s="68">
        <f t="shared" si="13"/>
        <v>69</v>
      </c>
      <c r="AQ17" s="8">
        <f t="shared" si="0"/>
        <v>2.2697368421052633E-2</v>
      </c>
    </row>
    <row r="18" spans="1:43" ht="18" customHeight="1" x14ac:dyDescent="0.15">
      <c r="A18" s="6"/>
      <c r="B18" s="12" t="s">
        <v>140</v>
      </c>
      <c r="C18" s="67">
        <v>4071</v>
      </c>
      <c r="D18" s="68">
        <v>959</v>
      </c>
      <c r="E18" s="69">
        <v>3928</v>
      </c>
      <c r="F18" s="70">
        <f t="shared" si="1"/>
        <v>258</v>
      </c>
      <c r="G18" s="71">
        <v>238</v>
      </c>
      <c r="H18" s="72">
        <v>20</v>
      </c>
      <c r="I18" s="70">
        <f t="shared" si="2"/>
        <v>222</v>
      </c>
      <c r="J18" s="71">
        <v>206</v>
      </c>
      <c r="K18" s="72">
        <v>16</v>
      </c>
      <c r="L18" s="70">
        <f t="shared" si="3"/>
        <v>0</v>
      </c>
      <c r="M18" s="71">
        <v>0</v>
      </c>
      <c r="N18" s="72">
        <v>0</v>
      </c>
      <c r="O18" s="70">
        <f t="shared" si="4"/>
        <v>0</v>
      </c>
      <c r="P18" s="71">
        <v>0</v>
      </c>
      <c r="Q18" s="72">
        <v>0</v>
      </c>
      <c r="R18" s="70">
        <f t="shared" si="5"/>
        <v>0</v>
      </c>
      <c r="S18" s="71">
        <v>0</v>
      </c>
      <c r="T18" s="72">
        <v>0</v>
      </c>
      <c r="U18" s="70">
        <f t="shared" si="6"/>
        <v>0</v>
      </c>
      <c r="V18" s="71">
        <v>0</v>
      </c>
      <c r="W18" s="72">
        <v>0</v>
      </c>
      <c r="X18" s="70">
        <f t="shared" si="7"/>
        <v>0</v>
      </c>
      <c r="Y18" s="71">
        <v>0</v>
      </c>
      <c r="Z18" s="72">
        <v>0</v>
      </c>
      <c r="AA18" s="70">
        <f t="shared" si="8"/>
        <v>0</v>
      </c>
      <c r="AB18" s="71">
        <v>0</v>
      </c>
      <c r="AC18" s="72">
        <v>0</v>
      </c>
      <c r="AD18" s="70">
        <f t="shared" si="9"/>
        <v>0</v>
      </c>
      <c r="AE18" s="71">
        <v>0</v>
      </c>
      <c r="AF18" s="72">
        <v>0</v>
      </c>
      <c r="AG18" s="70">
        <f t="shared" si="10"/>
        <v>0</v>
      </c>
      <c r="AH18" s="71">
        <v>0</v>
      </c>
      <c r="AI18" s="72">
        <v>0</v>
      </c>
      <c r="AJ18" s="70">
        <f t="shared" si="11"/>
        <v>0</v>
      </c>
      <c r="AK18" s="71">
        <v>0</v>
      </c>
      <c r="AL18" s="72">
        <v>0</v>
      </c>
      <c r="AM18" s="70">
        <f t="shared" si="12"/>
        <v>0</v>
      </c>
      <c r="AN18" s="71">
        <v>0</v>
      </c>
      <c r="AO18" s="72">
        <v>0</v>
      </c>
      <c r="AP18" s="68">
        <f t="shared" si="13"/>
        <v>258</v>
      </c>
      <c r="AQ18" s="8">
        <f t="shared" si="0"/>
        <v>6.5682281059063138E-2</v>
      </c>
    </row>
    <row r="19" spans="1:43" ht="18" customHeight="1" x14ac:dyDescent="0.15">
      <c r="A19" s="6"/>
      <c r="B19" s="12" t="s">
        <v>141</v>
      </c>
      <c r="C19" s="67">
        <v>2019</v>
      </c>
      <c r="D19" s="68">
        <v>475</v>
      </c>
      <c r="E19" s="69">
        <v>1980</v>
      </c>
      <c r="F19" s="70">
        <f t="shared" si="1"/>
        <v>557</v>
      </c>
      <c r="G19" s="71">
        <v>471</v>
      </c>
      <c r="H19" s="72">
        <v>86</v>
      </c>
      <c r="I19" s="70">
        <f t="shared" si="2"/>
        <v>452</v>
      </c>
      <c r="J19" s="71">
        <v>383</v>
      </c>
      <c r="K19" s="72">
        <v>69</v>
      </c>
      <c r="L19" s="70">
        <f t="shared" si="3"/>
        <v>0</v>
      </c>
      <c r="M19" s="71">
        <v>0</v>
      </c>
      <c r="N19" s="72">
        <v>0</v>
      </c>
      <c r="O19" s="70">
        <f t="shared" si="4"/>
        <v>0</v>
      </c>
      <c r="P19" s="71">
        <v>0</v>
      </c>
      <c r="Q19" s="72">
        <v>0</v>
      </c>
      <c r="R19" s="70">
        <f t="shared" si="5"/>
        <v>0</v>
      </c>
      <c r="S19" s="71">
        <v>0</v>
      </c>
      <c r="T19" s="72">
        <v>0</v>
      </c>
      <c r="U19" s="70">
        <f t="shared" si="6"/>
        <v>0</v>
      </c>
      <c r="V19" s="71">
        <v>0</v>
      </c>
      <c r="W19" s="72">
        <v>0</v>
      </c>
      <c r="X19" s="70">
        <f t="shared" si="7"/>
        <v>0</v>
      </c>
      <c r="Y19" s="71">
        <v>0</v>
      </c>
      <c r="Z19" s="72">
        <v>0</v>
      </c>
      <c r="AA19" s="70">
        <f t="shared" si="8"/>
        <v>0</v>
      </c>
      <c r="AB19" s="71">
        <v>0</v>
      </c>
      <c r="AC19" s="72">
        <v>0</v>
      </c>
      <c r="AD19" s="70">
        <f t="shared" si="9"/>
        <v>0</v>
      </c>
      <c r="AE19" s="71">
        <v>0</v>
      </c>
      <c r="AF19" s="72">
        <v>0</v>
      </c>
      <c r="AG19" s="70">
        <f t="shared" si="10"/>
        <v>0</v>
      </c>
      <c r="AH19" s="71">
        <v>0</v>
      </c>
      <c r="AI19" s="72">
        <v>0</v>
      </c>
      <c r="AJ19" s="70">
        <f t="shared" si="11"/>
        <v>0</v>
      </c>
      <c r="AK19" s="71">
        <v>0</v>
      </c>
      <c r="AL19" s="72">
        <v>0</v>
      </c>
      <c r="AM19" s="70">
        <f t="shared" si="12"/>
        <v>0</v>
      </c>
      <c r="AN19" s="71">
        <v>0</v>
      </c>
      <c r="AO19" s="72">
        <v>0</v>
      </c>
      <c r="AP19" s="68">
        <f t="shared" si="13"/>
        <v>557</v>
      </c>
      <c r="AQ19" s="8">
        <f t="shared" si="0"/>
        <v>0.28131313131313129</v>
      </c>
    </row>
    <row r="20" spans="1:43" ht="18" customHeight="1" x14ac:dyDescent="0.15">
      <c r="A20" s="6"/>
      <c r="B20" s="12" t="s">
        <v>142</v>
      </c>
      <c r="C20" s="67">
        <v>1277</v>
      </c>
      <c r="D20" s="68">
        <v>325</v>
      </c>
      <c r="E20" s="69">
        <v>1300</v>
      </c>
      <c r="F20" s="70">
        <f t="shared" si="1"/>
        <v>23</v>
      </c>
      <c r="G20" s="71">
        <v>19</v>
      </c>
      <c r="H20" s="72">
        <v>4</v>
      </c>
      <c r="I20" s="70">
        <f t="shared" si="2"/>
        <v>21</v>
      </c>
      <c r="J20" s="71">
        <v>17</v>
      </c>
      <c r="K20" s="72">
        <v>4</v>
      </c>
      <c r="L20" s="70">
        <f t="shared" si="3"/>
        <v>0</v>
      </c>
      <c r="M20" s="71">
        <v>0</v>
      </c>
      <c r="N20" s="72">
        <v>0</v>
      </c>
      <c r="O20" s="70">
        <f t="shared" si="4"/>
        <v>0</v>
      </c>
      <c r="P20" s="71">
        <v>0</v>
      </c>
      <c r="Q20" s="72">
        <v>0</v>
      </c>
      <c r="R20" s="70">
        <f t="shared" si="5"/>
        <v>0</v>
      </c>
      <c r="S20" s="71">
        <v>0</v>
      </c>
      <c r="T20" s="72">
        <v>0</v>
      </c>
      <c r="U20" s="70">
        <f t="shared" si="6"/>
        <v>0</v>
      </c>
      <c r="V20" s="71">
        <v>0</v>
      </c>
      <c r="W20" s="72">
        <v>0</v>
      </c>
      <c r="X20" s="70">
        <f t="shared" si="7"/>
        <v>0</v>
      </c>
      <c r="Y20" s="71">
        <v>0</v>
      </c>
      <c r="Z20" s="72">
        <v>0</v>
      </c>
      <c r="AA20" s="70">
        <f t="shared" si="8"/>
        <v>0</v>
      </c>
      <c r="AB20" s="71">
        <v>0</v>
      </c>
      <c r="AC20" s="72">
        <v>0</v>
      </c>
      <c r="AD20" s="70">
        <f t="shared" si="9"/>
        <v>0</v>
      </c>
      <c r="AE20" s="71">
        <v>0</v>
      </c>
      <c r="AF20" s="72">
        <v>0</v>
      </c>
      <c r="AG20" s="70">
        <f t="shared" si="10"/>
        <v>0</v>
      </c>
      <c r="AH20" s="71">
        <v>0</v>
      </c>
      <c r="AI20" s="72">
        <v>0</v>
      </c>
      <c r="AJ20" s="70">
        <f t="shared" si="11"/>
        <v>0</v>
      </c>
      <c r="AK20" s="71">
        <v>0</v>
      </c>
      <c r="AL20" s="72">
        <v>0</v>
      </c>
      <c r="AM20" s="70">
        <f t="shared" si="12"/>
        <v>0</v>
      </c>
      <c r="AN20" s="71">
        <v>0</v>
      </c>
      <c r="AO20" s="72">
        <v>0</v>
      </c>
      <c r="AP20" s="68">
        <f t="shared" si="13"/>
        <v>23</v>
      </c>
      <c r="AQ20" s="8">
        <f t="shared" si="0"/>
        <v>1.7692307692307691E-2</v>
      </c>
    </row>
    <row r="21" spans="1:43" ht="18" customHeight="1" x14ac:dyDescent="0.15">
      <c r="A21" s="6"/>
      <c r="B21" s="12" t="s">
        <v>143</v>
      </c>
      <c r="C21" s="67">
        <v>816</v>
      </c>
      <c r="D21" s="68">
        <v>160</v>
      </c>
      <c r="E21" s="69">
        <v>840</v>
      </c>
      <c r="F21" s="70">
        <f t="shared" si="1"/>
        <v>0</v>
      </c>
      <c r="G21" s="71">
        <v>0</v>
      </c>
      <c r="H21" s="72">
        <v>0</v>
      </c>
      <c r="I21" s="70">
        <f t="shared" si="2"/>
        <v>0</v>
      </c>
      <c r="J21" s="71">
        <v>0</v>
      </c>
      <c r="K21" s="72">
        <v>0</v>
      </c>
      <c r="L21" s="70">
        <f t="shared" si="3"/>
        <v>0</v>
      </c>
      <c r="M21" s="71">
        <v>0</v>
      </c>
      <c r="N21" s="72">
        <v>0</v>
      </c>
      <c r="O21" s="70">
        <f t="shared" si="4"/>
        <v>0</v>
      </c>
      <c r="P21" s="71">
        <v>0</v>
      </c>
      <c r="Q21" s="72">
        <v>0</v>
      </c>
      <c r="R21" s="70">
        <f t="shared" si="5"/>
        <v>0</v>
      </c>
      <c r="S21" s="71">
        <v>0</v>
      </c>
      <c r="T21" s="72">
        <v>0</v>
      </c>
      <c r="U21" s="70">
        <f t="shared" si="6"/>
        <v>0</v>
      </c>
      <c r="V21" s="71">
        <v>0</v>
      </c>
      <c r="W21" s="72">
        <v>0</v>
      </c>
      <c r="X21" s="70">
        <f t="shared" si="7"/>
        <v>0</v>
      </c>
      <c r="Y21" s="71">
        <v>0</v>
      </c>
      <c r="Z21" s="72">
        <v>0</v>
      </c>
      <c r="AA21" s="70">
        <f t="shared" si="8"/>
        <v>0</v>
      </c>
      <c r="AB21" s="71">
        <v>0</v>
      </c>
      <c r="AC21" s="72">
        <v>0</v>
      </c>
      <c r="AD21" s="70">
        <f t="shared" si="9"/>
        <v>0</v>
      </c>
      <c r="AE21" s="71">
        <v>0</v>
      </c>
      <c r="AF21" s="72">
        <v>0</v>
      </c>
      <c r="AG21" s="70">
        <f t="shared" si="10"/>
        <v>0</v>
      </c>
      <c r="AH21" s="71">
        <v>0</v>
      </c>
      <c r="AI21" s="72">
        <v>0</v>
      </c>
      <c r="AJ21" s="70">
        <f t="shared" si="11"/>
        <v>0</v>
      </c>
      <c r="AK21" s="71">
        <v>0</v>
      </c>
      <c r="AL21" s="72">
        <v>0</v>
      </c>
      <c r="AM21" s="70">
        <f t="shared" si="12"/>
        <v>0</v>
      </c>
      <c r="AN21" s="71">
        <v>0</v>
      </c>
      <c r="AO21" s="72">
        <v>0</v>
      </c>
      <c r="AP21" s="68">
        <f t="shared" si="13"/>
        <v>0</v>
      </c>
      <c r="AQ21" s="8">
        <f t="shared" si="0"/>
        <v>0</v>
      </c>
    </row>
    <row r="22" spans="1:43" ht="18" customHeight="1" x14ac:dyDescent="0.15">
      <c r="A22" s="6"/>
      <c r="B22" s="12" t="s">
        <v>144</v>
      </c>
      <c r="C22" s="67">
        <v>1030</v>
      </c>
      <c r="D22" s="68">
        <v>235</v>
      </c>
      <c r="E22" s="69">
        <v>940</v>
      </c>
      <c r="F22" s="70">
        <f t="shared" si="1"/>
        <v>17</v>
      </c>
      <c r="G22" s="71">
        <v>12</v>
      </c>
      <c r="H22" s="72">
        <v>5</v>
      </c>
      <c r="I22" s="70">
        <f t="shared" si="2"/>
        <v>13</v>
      </c>
      <c r="J22" s="71">
        <v>9</v>
      </c>
      <c r="K22" s="72">
        <v>4</v>
      </c>
      <c r="L22" s="70">
        <f t="shared" si="3"/>
        <v>0</v>
      </c>
      <c r="M22" s="71">
        <v>0</v>
      </c>
      <c r="N22" s="72">
        <v>0</v>
      </c>
      <c r="O22" s="70">
        <f t="shared" si="4"/>
        <v>0</v>
      </c>
      <c r="P22" s="71">
        <v>0</v>
      </c>
      <c r="Q22" s="72">
        <v>0</v>
      </c>
      <c r="R22" s="70">
        <f t="shared" si="5"/>
        <v>0</v>
      </c>
      <c r="S22" s="71">
        <v>0</v>
      </c>
      <c r="T22" s="72">
        <v>0</v>
      </c>
      <c r="U22" s="70">
        <f t="shared" si="6"/>
        <v>0</v>
      </c>
      <c r="V22" s="71">
        <v>0</v>
      </c>
      <c r="W22" s="72">
        <v>0</v>
      </c>
      <c r="X22" s="70">
        <f t="shared" si="7"/>
        <v>0</v>
      </c>
      <c r="Y22" s="71">
        <v>0</v>
      </c>
      <c r="Z22" s="72">
        <v>0</v>
      </c>
      <c r="AA22" s="70">
        <f t="shared" si="8"/>
        <v>0</v>
      </c>
      <c r="AB22" s="71">
        <v>0</v>
      </c>
      <c r="AC22" s="72">
        <v>0</v>
      </c>
      <c r="AD22" s="70">
        <f t="shared" si="9"/>
        <v>0</v>
      </c>
      <c r="AE22" s="71">
        <v>0</v>
      </c>
      <c r="AF22" s="72">
        <v>0</v>
      </c>
      <c r="AG22" s="70">
        <f t="shared" si="10"/>
        <v>0</v>
      </c>
      <c r="AH22" s="71">
        <v>0</v>
      </c>
      <c r="AI22" s="72">
        <v>0</v>
      </c>
      <c r="AJ22" s="70">
        <f t="shared" si="11"/>
        <v>0</v>
      </c>
      <c r="AK22" s="71">
        <v>0</v>
      </c>
      <c r="AL22" s="72">
        <v>0</v>
      </c>
      <c r="AM22" s="70">
        <f t="shared" si="12"/>
        <v>0</v>
      </c>
      <c r="AN22" s="71">
        <v>0</v>
      </c>
      <c r="AO22" s="72">
        <v>0</v>
      </c>
      <c r="AP22" s="68">
        <f t="shared" si="13"/>
        <v>17</v>
      </c>
      <c r="AQ22" s="8">
        <f t="shared" si="0"/>
        <v>1.8085106382978722E-2</v>
      </c>
    </row>
    <row r="23" spans="1:43" ht="18" customHeight="1" x14ac:dyDescent="0.15">
      <c r="A23" s="6"/>
      <c r="B23" s="12" t="s">
        <v>145</v>
      </c>
      <c r="C23" s="67">
        <v>1261</v>
      </c>
      <c r="D23" s="68">
        <v>320</v>
      </c>
      <c r="E23" s="69">
        <v>1280</v>
      </c>
      <c r="F23" s="70">
        <f t="shared" si="1"/>
        <v>12</v>
      </c>
      <c r="G23" s="71">
        <v>8</v>
      </c>
      <c r="H23" s="72">
        <v>4</v>
      </c>
      <c r="I23" s="70">
        <f t="shared" si="2"/>
        <v>10</v>
      </c>
      <c r="J23" s="71">
        <v>6</v>
      </c>
      <c r="K23" s="72">
        <v>4</v>
      </c>
      <c r="L23" s="70">
        <f t="shared" si="3"/>
        <v>0</v>
      </c>
      <c r="M23" s="71">
        <v>0</v>
      </c>
      <c r="N23" s="72">
        <v>0</v>
      </c>
      <c r="O23" s="70">
        <f t="shared" si="4"/>
        <v>0</v>
      </c>
      <c r="P23" s="71">
        <v>0</v>
      </c>
      <c r="Q23" s="72">
        <v>0</v>
      </c>
      <c r="R23" s="70">
        <f t="shared" si="5"/>
        <v>0</v>
      </c>
      <c r="S23" s="71">
        <v>0</v>
      </c>
      <c r="T23" s="72">
        <v>0</v>
      </c>
      <c r="U23" s="70">
        <f t="shared" si="6"/>
        <v>0</v>
      </c>
      <c r="V23" s="71">
        <v>0</v>
      </c>
      <c r="W23" s="72">
        <v>0</v>
      </c>
      <c r="X23" s="70">
        <f t="shared" si="7"/>
        <v>0</v>
      </c>
      <c r="Y23" s="71">
        <v>0</v>
      </c>
      <c r="Z23" s="72">
        <v>0</v>
      </c>
      <c r="AA23" s="70">
        <f t="shared" si="8"/>
        <v>0</v>
      </c>
      <c r="AB23" s="71">
        <v>0</v>
      </c>
      <c r="AC23" s="72">
        <v>0</v>
      </c>
      <c r="AD23" s="70">
        <f t="shared" si="9"/>
        <v>0</v>
      </c>
      <c r="AE23" s="71">
        <v>0</v>
      </c>
      <c r="AF23" s="72">
        <v>0</v>
      </c>
      <c r="AG23" s="70">
        <f t="shared" si="10"/>
        <v>0</v>
      </c>
      <c r="AH23" s="71">
        <v>0</v>
      </c>
      <c r="AI23" s="72">
        <v>0</v>
      </c>
      <c r="AJ23" s="70">
        <f t="shared" si="11"/>
        <v>0</v>
      </c>
      <c r="AK23" s="71">
        <v>0</v>
      </c>
      <c r="AL23" s="72">
        <v>0</v>
      </c>
      <c r="AM23" s="70">
        <f t="shared" si="12"/>
        <v>0</v>
      </c>
      <c r="AN23" s="71">
        <v>0</v>
      </c>
      <c r="AO23" s="72">
        <v>0</v>
      </c>
      <c r="AP23" s="68">
        <f t="shared" si="13"/>
        <v>12</v>
      </c>
      <c r="AQ23" s="8">
        <f t="shared" si="0"/>
        <v>9.3749999999999997E-3</v>
      </c>
    </row>
    <row r="24" spans="1:43" ht="18" customHeight="1" x14ac:dyDescent="0.15">
      <c r="A24" s="6"/>
      <c r="B24" s="12" t="s">
        <v>146</v>
      </c>
      <c r="C24" s="67">
        <v>3312</v>
      </c>
      <c r="D24" s="68">
        <v>795</v>
      </c>
      <c r="E24" s="69">
        <v>3180</v>
      </c>
      <c r="F24" s="70">
        <f t="shared" si="1"/>
        <v>213</v>
      </c>
      <c r="G24" s="71">
        <v>161</v>
      </c>
      <c r="H24" s="72">
        <v>52</v>
      </c>
      <c r="I24" s="70">
        <f t="shared" si="2"/>
        <v>183</v>
      </c>
      <c r="J24" s="71">
        <v>136</v>
      </c>
      <c r="K24" s="72">
        <v>47</v>
      </c>
      <c r="L24" s="70">
        <f t="shared" si="3"/>
        <v>0</v>
      </c>
      <c r="M24" s="71">
        <v>0</v>
      </c>
      <c r="N24" s="72">
        <v>0</v>
      </c>
      <c r="O24" s="70">
        <f t="shared" si="4"/>
        <v>0</v>
      </c>
      <c r="P24" s="71">
        <v>0</v>
      </c>
      <c r="Q24" s="72">
        <v>0</v>
      </c>
      <c r="R24" s="70">
        <f t="shared" si="5"/>
        <v>0</v>
      </c>
      <c r="S24" s="71">
        <v>0</v>
      </c>
      <c r="T24" s="72">
        <v>0</v>
      </c>
      <c r="U24" s="70">
        <f t="shared" si="6"/>
        <v>0</v>
      </c>
      <c r="V24" s="71">
        <v>0</v>
      </c>
      <c r="W24" s="72">
        <v>0</v>
      </c>
      <c r="X24" s="70">
        <f t="shared" si="7"/>
        <v>0</v>
      </c>
      <c r="Y24" s="71">
        <v>0</v>
      </c>
      <c r="Z24" s="72">
        <v>0</v>
      </c>
      <c r="AA24" s="70">
        <f t="shared" si="8"/>
        <v>0</v>
      </c>
      <c r="AB24" s="71">
        <v>0</v>
      </c>
      <c r="AC24" s="72">
        <v>0</v>
      </c>
      <c r="AD24" s="70">
        <f t="shared" si="9"/>
        <v>0</v>
      </c>
      <c r="AE24" s="71">
        <v>0</v>
      </c>
      <c r="AF24" s="72">
        <v>0</v>
      </c>
      <c r="AG24" s="70">
        <f t="shared" si="10"/>
        <v>0</v>
      </c>
      <c r="AH24" s="71">
        <v>0</v>
      </c>
      <c r="AI24" s="72">
        <v>0</v>
      </c>
      <c r="AJ24" s="70">
        <f t="shared" si="11"/>
        <v>0</v>
      </c>
      <c r="AK24" s="71">
        <v>0</v>
      </c>
      <c r="AL24" s="72">
        <v>0</v>
      </c>
      <c r="AM24" s="70">
        <f t="shared" si="12"/>
        <v>0</v>
      </c>
      <c r="AN24" s="71">
        <v>0</v>
      </c>
      <c r="AO24" s="72">
        <v>0</v>
      </c>
      <c r="AP24" s="68">
        <f t="shared" si="13"/>
        <v>213</v>
      </c>
      <c r="AQ24" s="8">
        <f t="shared" si="0"/>
        <v>6.6981132075471697E-2</v>
      </c>
    </row>
    <row r="25" spans="1:43" ht="18" customHeight="1" x14ac:dyDescent="0.15">
      <c r="A25" s="6"/>
      <c r="B25" s="12" t="s">
        <v>147</v>
      </c>
      <c r="C25" s="67">
        <v>1684</v>
      </c>
      <c r="D25" s="68">
        <v>410</v>
      </c>
      <c r="E25" s="69">
        <v>1640</v>
      </c>
      <c r="F25" s="70">
        <f t="shared" si="1"/>
        <v>38</v>
      </c>
      <c r="G25" s="71">
        <v>29</v>
      </c>
      <c r="H25" s="72">
        <v>9</v>
      </c>
      <c r="I25" s="70">
        <f t="shared" si="2"/>
        <v>34</v>
      </c>
      <c r="J25" s="71">
        <v>26</v>
      </c>
      <c r="K25" s="72">
        <v>8</v>
      </c>
      <c r="L25" s="70">
        <f t="shared" si="3"/>
        <v>0</v>
      </c>
      <c r="M25" s="71">
        <v>0</v>
      </c>
      <c r="N25" s="72">
        <v>0</v>
      </c>
      <c r="O25" s="70">
        <f t="shared" si="4"/>
        <v>0</v>
      </c>
      <c r="P25" s="71">
        <v>0</v>
      </c>
      <c r="Q25" s="72">
        <v>0</v>
      </c>
      <c r="R25" s="70">
        <f t="shared" si="5"/>
        <v>0</v>
      </c>
      <c r="S25" s="71">
        <v>0</v>
      </c>
      <c r="T25" s="72">
        <v>0</v>
      </c>
      <c r="U25" s="70">
        <f t="shared" si="6"/>
        <v>0</v>
      </c>
      <c r="V25" s="71">
        <v>0</v>
      </c>
      <c r="W25" s="72">
        <v>0</v>
      </c>
      <c r="X25" s="70">
        <f t="shared" si="7"/>
        <v>0</v>
      </c>
      <c r="Y25" s="71">
        <v>0</v>
      </c>
      <c r="Z25" s="72">
        <v>0</v>
      </c>
      <c r="AA25" s="70">
        <f t="shared" si="8"/>
        <v>0</v>
      </c>
      <c r="AB25" s="71">
        <v>0</v>
      </c>
      <c r="AC25" s="72">
        <v>0</v>
      </c>
      <c r="AD25" s="70">
        <f t="shared" si="9"/>
        <v>0</v>
      </c>
      <c r="AE25" s="71">
        <v>0</v>
      </c>
      <c r="AF25" s="72">
        <v>0</v>
      </c>
      <c r="AG25" s="70">
        <f t="shared" si="10"/>
        <v>0</v>
      </c>
      <c r="AH25" s="71">
        <v>0</v>
      </c>
      <c r="AI25" s="72">
        <v>0</v>
      </c>
      <c r="AJ25" s="70">
        <f t="shared" si="11"/>
        <v>0</v>
      </c>
      <c r="AK25" s="71">
        <v>0</v>
      </c>
      <c r="AL25" s="72">
        <v>0</v>
      </c>
      <c r="AM25" s="70">
        <f t="shared" si="12"/>
        <v>0</v>
      </c>
      <c r="AN25" s="71">
        <v>0</v>
      </c>
      <c r="AO25" s="72">
        <v>0</v>
      </c>
      <c r="AP25" s="68">
        <f t="shared" si="13"/>
        <v>38</v>
      </c>
      <c r="AQ25" s="8">
        <f t="shared" si="0"/>
        <v>2.3170731707317073E-2</v>
      </c>
    </row>
    <row r="26" spans="1:43" ht="18" customHeight="1" x14ac:dyDescent="0.15">
      <c r="A26" s="6"/>
      <c r="B26" s="12" t="s">
        <v>148</v>
      </c>
      <c r="C26" s="67">
        <v>1156</v>
      </c>
      <c r="D26" s="68">
        <v>280</v>
      </c>
      <c r="E26" s="69">
        <v>1120</v>
      </c>
      <c r="F26" s="70">
        <f t="shared" si="1"/>
        <v>48</v>
      </c>
      <c r="G26" s="71">
        <v>25</v>
      </c>
      <c r="H26" s="72">
        <v>23</v>
      </c>
      <c r="I26" s="70">
        <f t="shared" si="2"/>
        <v>41</v>
      </c>
      <c r="J26" s="71">
        <v>21</v>
      </c>
      <c r="K26" s="72">
        <v>20</v>
      </c>
      <c r="L26" s="70">
        <f t="shared" si="3"/>
        <v>0</v>
      </c>
      <c r="M26" s="71">
        <v>0</v>
      </c>
      <c r="N26" s="72">
        <v>0</v>
      </c>
      <c r="O26" s="70">
        <f t="shared" si="4"/>
        <v>0</v>
      </c>
      <c r="P26" s="71">
        <v>0</v>
      </c>
      <c r="Q26" s="72">
        <v>0</v>
      </c>
      <c r="R26" s="70">
        <f t="shared" si="5"/>
        <v>0</v>
      </c>
      <c r="S26" s="71">
        <v>0</v>
      </c>
      <c r="T26" s="72">
        <v>0</v>
      </c>
      <c r="U26" s="70">
        <f t="shared" si="6"/>
        <v>0</v>
      </c>
      <c r="V26" s="71">
        <v>0</v>
      </c>
      <c r="W26" s="72">
        <v>0</v>
      </c>
      <c r="X26" s="70">
        <f t="shared" si="7"/>
        <v>0</v>
      </c>
      <c r="Y26" s="71">
        <v>0</v>
      </c>
      <c r="Z26" s="72">
        <v>0</v>
      </c>
      <c r="AA26" s="70">
        <f t="shared" si="8"/>
        <v>0</v>
      </c>
      <c r="AB26" s="71">
        <v>0</v>
      </c>
      <c r="AC26" s="72">
        <v>0</v>
      </c>
      <c r="AD26" s="70">
        <f t="shared" si="9"/>
        <v>0</v>
      </c>
      <c r="AE26" s="71">
        <v>0</v>
      </c>
      <c r="AF26" s="72">
        <v>0</v>
      </c>
      <c r="AG26" s="70">
        <f t="shared" si="10"/>
        <v>0</v>
      </c>
      <c r="AH26" s="71">
        <v>0</v>
      </c>
      <c r="AI26" s="72">
        <v>0</v>
      </c>
      <c r="AJ26" s="70">
        <f t="shared" si="11"/>
        <v>0</v>
      </c>
      <c r="AK26" s="71">
        <v>0</v>
      </c>
      <c r="AL26" s="72">
        <v>0</v>
      </c>
      <c r="AM26" s="70">
        <f t="shared" si="12"/>
        <v>0</v>
      </c>
      <c r="AN26" s="71">
        <v>0</v>
      </c>
      <c r="AO26" s="72">
        <v>0</v>
      </c>
      <c r="AP26" s="68">
        <f t="shared" si="13"/>
        <v>48</v>
      </c>
      <c r="AQ26" s="8">
        <f t="shared" si="0"/>
        <v>4.2857142857142858E-2</v>
      </c>
    </row>
    <row r="27" spans="1:43" ht="18" customHeight="1" x14ac:dyDescent="0.15">
      <c r="A27" s="6"/>
      <c r="B27" s="12" t="s">
        <v>149</v>
      </c>
      <c r="C27" s="67">
        <v>278</v>
      </c>
      <c r="D27" s="68">
        <v>100</v>
      </c>
      <c r="E27" s="69">
        <v>400</v>
      </c>
      <c r="F27" s="70">
        <f t="shared" si="1"/>
        <v>69</v>
      </c>
      <c r="G27" s="71">
        <v>37</v>
      </c>
      <c r="H27" s="72">
        <v>32</v>
      </c>
      <c r="I27" s="70">
        <f t="shared" si="2"/>
        <v>1</v>
      </c>
      <c r="J27" s="71">
        <v>0</v>
      </c>
      <c r="K27" s="72">
        <v>1</v>
      </c>
      <c r="L27" s="70">
        <f t="shared" si="3"/>
        <v>0</v>
      </c>
      <c r="M27" s="71">
        <v>0</v>
      </c>
      <c r="N27" s="72">
        <v>0</v>
      </c>
      <c r="O27" s="70">
        <f t="shared" si="4"/>
        <v>0</v>
      </c>
      <c r="P27" s="71">
        <v>0</v>
      </c>
      <c r="Q27" s="72">
        <v>0</v>
      </c>
      <c r="R27" s="70">
        <f t="shared" si="5"/>
        <v>0</v>
      </c>
      <c r="S27" s="71">
        <v>0</v>
      </c>
      <c r="T27" s="72">
        <v>0</v>
      </c>
      <c r="U27" s="70">
        <f t="shared" si="6"/>
        <v>0</v>
      </c>
      <c r="V27" s="71">
        <v>0</v>
      </c>
      <c r="W27" s="72">
        <v>0</v>
      </c>
      <c r="X27" s="70">
        <f t="shared" si="7"/>
        <v>0</v>
      </c>
      <c r="Y27" s="71">
        <v>0</v>
      </c>
      <c r="Z27" s="72">
        <v>0</v>
      </c>
      <c r="AA27" s="70">
        <f t="shared" si="8"/>
        <v>0</v>
      </c>
      <c r="AB27" s="71">
        <v>0</v>
      </c>
      <c r="AC27" s="72">
        <v>0</v>
      </c>
      <c r="AD27" s="70">
        <f t="shared" si="9"/>
        <v>0</v>
      </c>
      <c r="AE27" s="71">
        <v>0</v>
      </c>
      <c r="AF27" s="72">
        <v>0</v>
      </c>
      <c r="AG27" s="70">
        <f t="shared" si="10"/>
        <v>0</v>
      </c>
      <c r="AH27" s="71">
        <v>0</v>
      </c>
      <c r="AI27" s="72">
        <v>0</v>
      </c>
      <c r="AJ27" s="70">
        <f t="shared" si="11"/>
        <v>0</v>
      </c>
      <c r="AK27" s="71">
        <v>0</v>
      </c>
      <c r="AL27" s="72">
        <v>0</v>
      </c>
      <c r="AM27" s="70">
        <f t="shared" si="12"/>
        <v>0</v>
      </c>
      <c r="AN27" s="71">
        <v>0</v>
      </c>
      <c r="AO27" s="72">
        <v>0</v>
      </c>
      <c r="AP27" s="68">
        <f t="shared" si="13"/>
        <v>69</v>
      </c>
      <c r="AQ27" s="8">
        <f t="shared" si="0"/>
        <v>0.17249999999999999</v>
      </c>
    </row>
    <row r="28" spans="1:43" ht="18" customHeight="1" x14ac:dyDescent="0.15">
      <c r="A28" s="6"/>
      <c r="B28" s="12"/>
      <c r="C28" s="67"/>
      <c r="D28" s="68"/>
      <c r="E28" s="69"/>
      <c r="F28" s="70">
        <f t="shared" si="1"/>
        <v>0</v>
      </c>
      <c r="G28" s="71"/>
      <c r="H28" s="72"/>
      <c r="I28" s="70">
        <f t="shared" si="2"/>
        <v>0</v>
      </c>
      <c r="J28" s="71"/>
      <c r="K28" s="72"/>
      <c r="L28" s="70">
        <f t="shared" si="3"/>
        <v>0</v>
      </c>
      <c r="M28" s="71"/>
      <c r="N28" s="72"/>
      <c r="O28" s="70">
        <f t="shared" si="4"/>
        <v>0</v>
      </c>
      <c r="P28" s="71"/>
      <c r="Q28" s="72"/>
      <c r="R28" s="70">
        <f t="shared" si="5"/>
        <v>0</v>
      </c>
      <c r="S28" s="71"/>
      <c r="T28" s="72"/>
      <c r="U28" s="70">
        <f t="shared" si="6"/>
        <v>0</v>
      </c>
      <c r="V28" s="71"/>
      <c r="W28" s="72"/>
      <c r="X28" s="70">
        <f t="shared" si="7"/>
        <v>0</v>
      </c>
      <c r="Y28" s="71"/>
      <c r="Z28" s="72"/>
      <c r="AA28" s="70">
        <f t="shared" si="8"/>
        <v>0</v>
      </c>
      <c r="AB28" s="71"/>
      <c r="AC28" s="72"/>
      <c r="AD28" s="70">
        <f t="shared" si="9"/>
        <v>0</v>
      </c>
      <c r="AE28" s="71"/>
      <c r="AF28" s="72"/>
      <c r="AG28" s="70">
        <f t="shared" si="10"/>
        <v>0</v>
      </c>
      <c r="AH28" s="71"/>
      <c r="AI28" s="72"/>
      <c r="AJ28" s="70">
        <f t="shared" si="11"/>
        <v>0</v>
      </c>
      <c r="AK28" s="71"/>
      <c r="AL28" s="72"/>
      <c r="AM28" s="70">
        <f t="shared" si="12"/>
        <v>0</v>
      </c>
      <c r="AN28" s="71"/>
      <c r="AO28" s="72"/>
      <c r="AP28" s="68">
        <f t="shared" si="13"/>
        <v>0</v>
      </c>
      <c r="AQ28" s="8" t="e">
        <f t="shared" si="0"/>
        <v>#DIV/0!</v>
      </c>
    </row>
    <row r="29" spans="1:43" ht="18" customHeight="1" x14ac:dyDescent="0.15">
      <c r="A29" s="6"/>
      <c r="B29" s="12"/>
      <c r="C29" s="67"/>
      <c r="D29" s="73"/>
      <c r="E29" s="69"/>
      <c r="F29" s="70">
        <f t="shared" si="1"/>
        <v>0</v>
      </c>
      <c r="G29" s="71"/>
      <c r="H29" s="72"/>
      <c r="I29" s="70">
        <f t="shared" si="2"/>
        <v>0</v>
      </c>
      <c r="J29" s="71"/>
      <c r="K29" s="72"/>
      <c r="L29" s="70">
        <f t="shared" si="3"/>
        <v>0</v>
      </c>
      <c r="M29" s="71"/>
      <c r="N29" s="72"/>
      <c r="O29" s="70">
        <f t="shared" si="4"/>
        <v>0</v>
      </c>
      <c r="P29" s="71"/>
      <c r="Q29" s="72"/>
      <c r="R29" s="70">
        <f t="shared" si="5"/>
        <v>0</v>
      </c>
      <c r="S29" s="71"/>
      <c r="T29" s="72"/>
      <c r="U29" s="70">
        <f t="shared" si="6"/>
        <v>0</v>
      </c>
      <c r="V29" s="71"/>
      <c r="W29" s="72"/>
      <c r="X29" s="70">
        <f t="shared" si="7"/>
        <v>0</v>
      </c>
      <c r="Y29" s="71"/>
      <c r="Z29" s="72"/>
      <c r="AA29" s="70">
        <f t="shared" si="8"/>
        <v>0</v>
      </c>
      <c r="AB29" s="71"/>
      <c r="AC29" s="72"/>
      <c r="AD29" s="70">
        <f t="shared" si="9"/>
        <v>0</v>
      </c>
      <c r="AE29" s="71"/>
      <c r="AF29" s="72"/>
      <c r="AG29" s="70">
        <f t="shared" si="10"/>
        <v>0</v>
      </c>
      <c r="AH29" s="71"/>
      <c r="AI29" s="72"/>
      <c r="AJ29" s="70">
        <f t="shared" si="11"/>
        <v>0</v>
      </c>
      <c r="AK29" s="71"/>
      <c r="AL29" s="72"/>
      <c r="AM29" s="70">
        <f t="shared" si="12"/>
        <v>0</v>
      </c>
      <c r="AN29" s="71"/>
      <c r="AO29" s="72"/>
      <c r="AP29" s="73">
        <f t="shared" si="13"/>
        <v>0</v>
      </c>
      <c r="AQ29" s="8" t="e">
        <f t="shared" si="0"/>
        <v>#DIV/0!</v>
      </c>
    </row>
    <row r="30" spans="1:43" ht="18" customHeight="1" x14ac:dyDescent="0.15">
      <c r="A30" s="6"/>
      <c r="B30" s="12"/>
      <c r="C30" s="67"/>
      <c r="D30" s="73"/>
      <c r="E30" s="69"/>
      <c r="F30" s="70">
        <f t="shared" si="1"/>
        <v>0</v>
      </c>
      <c r="G30" s="71"/>
      <c r="H30" s="72"/>
      <c r="I30" s="70">
        <f t="shared" si="2"/>
        <v>0</v>
      </c>
      <c r="J30" s="71"/>
      <c r="K30" s="72"/>
      <c r="L30" s="70">
        <f t="shared" si="3"/>
        <v>0</v>
      </c>
      <c r="M30" s="71"/>
      <c r="N30" s="72"/>
      <c r="O30" s="70">
        <f t="shared" si="4"/>
        <v>0</v>
      </c>
      <c r="P30" s="71"/>
      <c r="Q30" s="72"/>
      <c r="R30" s="70">
        <f t="shared" si="5"/>
        <v>0</v>
      </c>
      <c r="S30" s="71"/>
      <c r="T30" s="72"/>
      <c r="U30" s="70">
        <f t="shared" si="6"/>
        <v>0</v>
      </c>
      <c r="V30" s="71"/>
      <c r="W30" s="72"/>
      <c r="X30" s="70">
        <f t="shared" si="7"/>
        <v>0</v>
      </c>
      <c r="Y30" s="71"/>
      <c r="Z30" s="72"/>
      <c r="AA30" s="70">
        <f t="shared" si="8"/>
        <v>0</v>
      </c>
      <c r="AB30" s="71"/>
      <c r="AC30" s="72"/>
      <c r="AD30" s="70">
        <f t="shared" si="9"/>
        <v>0</v>
      </c>
      <c r="AE30" s="71"/>
      <c r="AF30" s="72"/>
      <c r="AG30" s="70">
        <f t="shared" si="10"/>
        <v>0</v>
      </c>
      <c r="AH30" s="71"/>
      <c r="AI30" s="72"/>
      <c r="AJ30" s="70">
        <f t="shared" si="11"/>
        <v>0</v>
      </c>
      <c r="AK30" s="71"/>
      <c r="AL30" s="72"/>
      <c r="AM30" s="70">
        <f t="shared" si="12"/>
        <v>0</v>
      </c>
      <c r="AN30" s="71"/>
      <c r="AO30" s="72"/>
      <c r="AP30" s="73">
        <f t="shared" si="13"/>
        <v>0</v>
      </c>
      <c r="AQ30" s="8" t="e">
        <f t="shared" si="0"/>
        <v>#DIV/0!</v>
      </c>
    </row>
    <row r="31" spans="1:43" ht="18" customHeight="1" thickBot="1" x14ac:dyDescent="0.2">
      <c r="A31" s="6"/>
      <c r="B31" s="13"/>
      <c r="C31" s="62"/>
      <c r="D31" s="74"/>
      <c r="E31" s="64"/>
      <c r="F31" s="64">
        <f t="shared" si="1"/>
        <v>0</v>
      </c>
      <c r="G31" s="75"/>
      <c r="H31" s="76"/>
      <c r="I31" s="64">
        <f t="shared" si="2"/>
        <v>0</v>
      </c>
      <c r="J31" s="75"/>
      <c r="K31" s="76"/>
      <c r="L31" s="64">
        <f t="shared" si="3"/>
        <v>0</v>
      </c>
      <c r="M31" s="75"/>
      <c r="N31" s="76"/>
      <c r="O31" s="64">
        <f t="shared" si="4"/>
        <v>0</v>
      </c>
      <c r="P31" s="75"/>
      <c r="Q31" s="76"/>
      <c r="R31" s="64">
        <f t="shared" si="5"/>
        <v>0</v>
      </c>
      <c r="S31" s="75"/>
      <c r="T31" s="76"/>
      <c r="U31" s="64">
        <f t="shared" si="6"/>
        <v>0</v>
      </c>
      <c r="V31" s="75"/>
      <c r="W31" s="76"/>
      <c r="X31" s="64">
        <f t="shared" si="7"/>
        <v>0</v>
      </c>
      <c r="Y31" s="75"/>
      <c r="Z31" s="76"/>
      <c r="AA31" s="64">
        <f t="shared" si="8"/>
        <v>0</v>
      </c>
      <c r="AB31" s="75"/>
      <c r="AC31" s="76"/>
      <c r="AD31" s="64">
        <f t="shared" si="9"/>
        <v>0</v>
      </c>
      <c r="AE31" s="75"/>
      <c r="AF31" s="76"/>
      <c r="AG31" s="64">
        <f t="shared" si="10"/>
        <v>0</v>
      </c>
      <c r="AH31" s="75"/>
      <c r="AI31" s="76"/>
      <c r="AJ31" s="64">
        <f t="shared" si="11"/>
        <v>0</v>
      </c>
      <c r="AK31" s="75"/>
      <c r="AL31" s="76"/>
      <c r="AM31" s="64">
        <f t="shared" si="12"/>
        <v>0</v>
      </c>
      <c r="AN31" s="75"/>
      <c r="AO31" s="76"/>
      <c r="AP31" s="74">
        <f t="shared" si="13"/>
        <v>0</v>
      </c>
      <c r="AQ31" s="7" t="e">
        <f t="shared" si="0"/>
        <v>#DIV/0!</v>
      </c>
    </row>
    <row r="32" spans="1:43" ht="18" customHeight="1" thickTop="1" x14ac:dyDescent="0.15">
      <c r="B32" s="14" t="s">
        <v>32</v>
      </c>
      <c r="C32" s="77">
        <f t="shared" ref="C32" si="14">SUM(C12:C31)</f>
        <v>33094</v>
      </c>
      <c r="D32" s="78">
        <f t="shared" ref="D32:AP32" si="15">SUM(D12:D31)</f>
        <v>7904</v>
      </c>
      <c r="E32" s="79">
        <f t="shared" si="15"/>
        <v>31933</v>
      </c>
      <c r="F32" s="79">
        <f t="shared" si="15"/>
        <v>1713</v>
      </c>
      <c r="G32" s="80">
        <f t="shared" si="15"/>
        <v>1320</v>
      </c>
      <c r="H32" s="81">
        <f t="shared" si="15"/>
        <v>393</v>
      </c>
      <c r="I32" s="79">
        <f t="shared" ref="I32:N32" si="16">SUM(I12:I31)</f>
        <v>1371</v>
      </c>
      <c r="J32" s="80">
        <f t="shared" si="16"/>
        <v>1057</v>
      </c>
      <c r="K32" s="81">
        <f t="shared" si="16"/>
        <v>314</v>
      </c>
      <c r="L32" s="79">
        <f t="shared" si="16"/>
        <v>0</v>
      </c>
      <c r="M32" s="80">
        <f t="shared" si="16"/>
        <v>0</v>
      </c>
      <c r="N32" s="81">
        <f t="shared" si="16"/>
        <v>0</v>
      </c>
      <c r="O32" s="79">
        <f t="shared" ref="O32:T32" si="17">SUM(O12:O31)</f>
        <v>0</v>
      </c>
      <c r="P32" s="80">
        <f t="shared" si="17"/>
        <v>0</v>
      </c>
      <c r="Q32" s="81">
        <f t="shared" si="17"/>
        <v>0</v>
      </c>
      <c r="R32" s="79">
        <f t="shared" si="17"/>
        <v>0</v>
      </c>
      <c r="S32" s="80">
        <f t="shared" si="17"/>
        <v>0</v>
      </c>
      <c r="T32" s="81">
        <f t="shared" si="17"/>
        <v>0</v>
      </c>
      <c r="U32" s="79">
        <f t="shared" ref="U32:AI32" si="18">SUM(U12:U31)</f>
        <v>0</v>
      </c>
      <c r="V32" s="80">
        <f t="shared" si="18"/>
        <v>0</v>
      </c>
      <c r="W32" s="81">
        <f t="shared" si="18"/>
        <v>0</v>
      </c>
      <c r="X32" s="79">
        <f t="shared" si="18"/>
        <v>0</v>
      </c>
      <c r="Y32" s="80">
        <f t="shared" si="18"/>
        <v>0</v>
      </c>
      <c r="Z32" s="81">
        <f t="shared" si="18"/>
        <v>0</v>
      </c>
      <c r="AA32" s="79">
        <f t="shared" si="18"/>
        <v>0</v>
      </c>
      <c r="AB32" s="80">
        <f t="shared" si="18"/>
        <v>0</v>
      </c>
      <c r="AC32" s="81">
        <f t="shared" si="18"/>
        <v>0</v>
      </c>
      <c r="AD32" s="79">
        <f t="shared" si="18"/>
        <v>0</v>
      </c>
      <c r="AE32" s="80">
        <f t="shared" si="18"/>
        <v>0</v>
      </c>
      <c r="AF32" s="81">
        <f t="shared" si="18"/>
        <v>0</v>
      </c>
      <c r="AG32" s="79">
        <f t="shared" si="18"/>
        <v>0</v>
      </c>
      <c r="AH32" s="80">
        <f t="shared" si="18"/>
        <v>0</v>
      </c>
      <c r="AI32" s="81">
        <f t="shared" si="18"/>
        <v>0</v>
      </c>
      <c r="AJ32" s="79">
        <f t="shared" ref="AJ32:AO32" si="19">SUM(AJ12:AJ31)</f>
        <v>0</v>
      </c>
      <c r="AK32" s="80">
        <f t="shared" si="19"/>
        <v>0</v>
      </c>
      <c r="AL32" s="81">
        <f t="shared" si="19"/>
        <v>0</v>
      </c>
      <c r="AM32" s="79">
        <f t="shared" si="19"/>
        <v>0</v>
      </c>
      <c r="AN32" s="80">
        <f t="shared" si="19"/>
        <v>0</v>
      </c>
      <c r="AO32" s="81">
        <f t="shared" si="19"/>
        <v>0</v>
      </c>
      <c r="AP32" s="78">
        <f t="shared" si="15"/>
        <v>1713</v>
      </c>
      <c r="AQ32" s="9">
        <f t="shared" si="0"/>
        <v>5.3643566216766352E-2</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B47" sqref="B47"/>
    </sheetView>
  </sheetViews>
  <sheetFormatPr defaultColWidth="11.375" defaultRowHeight="18.75" customHeight="1" x14ac:dyDescent="0.15"/>
  <cols>
    <col min="1" max="1" width="2.75" style="41"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1" t="s">
        <v>64</v>
      </c>
      <c r="I1" s="35" t="s">
        <v>105</v>
      </c>
    </row>
    <row r="2" spans="1:9" ht="18.75" customHeight="1" x14ac:dyDescent="0.15">
      <c r="G2" s="35" t="s">
        <v>108</v>
      </c>
      <c r="H2" s="233" t="str">
        <f>'様式１-1　プログラムを構成する授業科目'!C2</f>
        <v>立命館大学</v>
      </c>
      <c r="I2" s="234"/>
    </row>
    <row r="3" spans="1:9" ht="18.75" customHeight="1" x14ac:dyDescent="0.15">
      <c r="G3" s="35"/>
      <c r="H3" s="10"/>
      <c r="I3" s="10"/>
    </row>
    <row r="4" spans="1:9" ht="18.600000000000001" customHeight="1" x14ac:dyDescent="0.15">
      <c r="A4" s="241" t="s">
        <v>35</v>
      </c>
      <c r="B4" s="241"/>
      <c r="C4" s="241"/>
      <c r="D4" s="241"/>
      <c r="E4" s="241"/>
      <c r="F4" s="241"/>
      <c r="G4" s="241"/>
      <c r="H4" s="241"/>
      <c r="I4" s="241"/>
    </row>
    <row r="5" spans="1:9" ht="13.15" customHeight="1" x14ac:dyDescent="0.15">
      <c r="B5" s="3"/>
      <c r="C5" s="3"/>
      <c r="D5" s="3"/>
      <c r="E5" s="3"/>
      <c r="F5" s="3"/>
      <c r="G5" s="3"/>
      <c r="H5" s="3"/>
      <c r="I5" s="3"/>
    </row>
    <row r="6" spans="1:9" ht="18" customHeight="1" x14ac:dyDescent="0.15">
      <c r="A6" s="1" t="s">
        <v>0</v>
      </c>
      <c r="B6" s="10" t="s">
        <v>90</v>
      </c>
      <c r="C6" s="350" t="s">
        <v>91</v>
      </c>
      <c r="D6" s="350"/>
      <c r="E6" s="87">
        <v>1395</v>
      </c>
      <c r="F6" s="3" t="s">
        <v>1</v>
      </c>
      <c r="G6" s="3" t="s">
        <v>2</v>
      </c>
      <c r="H6" s="87">
        <v>1405</v>
      </c>
      <c r="I6" s="10" t="s">
        <v>1</v>
      </c>
    </row>
    <row r="7" spans="1:9" ht="12" customHeight="1" x14ac:dyDescent="0.15">
      <c r="C7" s="2"/>
      <c r="D7" s="2"/>
      <c r="E7" s="2"/>
      <c r="F7" s="2"/>
      <c r="G7" s="2"/>
      <c r="H7" s="2"/>
      <c r="I7" s="42"/>
    </row>
    <row r="8" spans="1:9" ht="18" customHeight="1" x14ac:dyDescent="0.15">
      <c r="A8" s="1" t="s">
        <v>3</v>
      </c>
      <c r="B8" s="10" t="s">
        <v>92</v>
      </c>
      <c r="E8" s="3"/>
      <c r="F8" s="3"/>
      <c r="G8" s="3"/>
      <c r="H8" s="34">
        <v>17</v>
      </c>
      <c r="I8" s="10" t="s">
        <v>1</v>
      </c>
    </row>
    <row r="9" spans="1:9" ht="9" customHeight="1" x14ac:dyDescent="0.15">
      <c r="B9" s="3"/>
      <c r="C9" s="3"/>
      <c r="D9" s="3"/>
      <c r="E9" s="3"/>
      <c r="F9" s="3"/>
      <c r="G9" s="3"/>
      <c r="H9" s="3"/>
      <c r="I9" s="3"/>
    </row>
    <row r="10" spans="1:9" ht="18" customHeight="1" x14ac:dyDescent="0.15">
      <c r="A10" s="1" t="s">
        <v>4</v>
      </c>
      <c r="B10" s="10" t="s">
        <v>93</v>
      </c>
      <c r="C10" s="3"/>
      <c r="D10" s="3"/>
      <c r="E10" s="3"/>
      <c r="F10" s="3"/>
      <c r="G10" s="3"/>
      <c r="H10" s="3"/>
      <c r="I10" s="3"/>
    </row>
    <row r="11" spans="1:9" ht="18" customHeight="1" x14ac:dyDescent="0.15">
      <c r="B11" s="35" t="s">
        <v>42</v>
      </c>
      <c r="C11" s="345" t="s">
        <v>150</v>
      </c>
      <c r="D11" s="348"/>
      <c r="E11" s="349"/>
      <c r="F11" s="42"/>
      <c r="G11" s="35" t="s">
        <v>10</v>
      </c>
      <c r="H11" s="345" t="s">
        <v>151</v>
      </c>
      <c r="I11" s="349"/>
    </row>
    <row r="12" spans="1:9" ht="10.15" customHeight="1" x14ac:dyDescent="0.15">
      <c r="B12" s="35"/>
      <c r="C12" s="10"/>
      <c r="D12" s="42"/>
      <c r="E12" s="42"/>
      <c r="F12" s="42"/>
      <c r="G12" s="35"/>
      <c r="H12" s="10"/>
      <c r="I12" s="42"/>
    </row>
    <row r="13" spans="1:9" ht="18" customHeight="1" x14ac:dyDescent="0.15">
      <c r="A13" s="1" t="s">
        <v>7</v>
      </c>
      <c r="B13" s="10" t="s">
        <v>87</v>
      </c>
      <c r="C13" s="3"/>
      <c r="D13" s="3"/>
      <c r="E13" s="3"/>
      <c r="F13" s="3"/>
      <c r="G13" s="3"/>
      <c r="H13" s="3"/>
      <c r="I13" s="3"/>
    </row>
    <row r="14" spans="1:9" ht="18" customHeight="1" x14ac:dyDescent="0.15">
      <c r="B14" s="345" t="s">
        <v>152</v>
      </c>
      <c r="C14" s="346"/>
      <c r="D14" s="346"/>
      <c r="E14" s="346"/>
      <c r="F14" s="346"/>
      <c r="G14" s="346"/>
      <c r="H14" s="346"/>
      <c r="I14" s="347"/>
    </row>
    <row r="15" spans="1:9" ht="9" customHeight="1" x14ac:dyDescent="0.15">
      <c r="B15" s="3"/>
      <c r="C15" s="3"/>
      <c r="D15" s="3"/>
      <c r="E15" s="3"/>
      <c r="F15" s="3"/>
      <c r="G15" s="3"/>
      <c r="H15" s="3"/>
      <c r="I15" s="3"/>
    </row>
    <row r="16" spans="1:9" ht="18" customHeight="1" x14ac:dyDescent="0.15">
      <c r="B16" s="35" t="s">
        <v>42</v>
      </c>
      <c r="C16" s="345" t="s">
        <v>150</v>
      </c>
      <c r="D16" s="348"/>
      <c r="E16" s="349"/>
      <c r="F16" s="42"/>
      <c r="G16" s="35" t="s">
        <v>10</v>
      </c>
      <c r="H16" s="345" t="s">
        <v>151</v>
      </c>
      <c r="I16" s="349"/>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337" t="s">
        <v>153</v>
      </c>
      <c r="C19" s="338"/>
      <c r="D19" s="338"/>
      <c r="E19" s="338"/>
      <c r="F19" s="338"/>
      <c r="G19" s="338"/>
      <c r="H19" s="338"/>
      <c r="I19" s="339"/>
    </row>
    <row r="20" spans="1:9" ht="7.5" customHeight="1" x14ac:dyDescent="0.15">
      <c r="B20" s="3"/>
      <c r="C20" s="3"/>
      <c r="D20" s="3"/>
      <c r="E20" s="3"/>
      <c r="F20" s="3"/>
      <c r="G20" s="3"/>
      <c r="H20" s="3"/>
      <c r="I20" s="3"/>
    </row>
    <row r="21" spans="1:9" ht="18.75" customHeight="1" x14ac:dyDescent="0.15">
      <c r="A21" s="1" t="s">
        <v>8</v>
      </c>
      <c r="B21" s="1" t="s">
        <v>24</v>
      </c>
    </row>
    <row r="22" spans="1:9" ht="18.75" customHeight="1" x14ac:dyDescent="0.15">
      <c r="A22" s="15"/>
      <c r="B22" s="327" t="s">
        <v>154</v>
      </c>
      <c r="C22" s="328"/>
      <c r="D22" s="328"/>
      <c r="E22" s="328"/>
      <c r="F22" s="328"/>
      <c r="G22" s="328"/>
      <c r="H22" s="328"/>
      <c r="I22" s="329"/>
    </row>
    <row r="23" spans="1:9" ht="18.75" customHeight="1" x14ac:dyDescent="0.15">
      <c r="A23" s="15"/>
      <c r="B23" s="340"/>
      <c r="C23" s="341"/>
      <c r="D23" s="341"/>
      <c r="E23" s="341"/>
      <c r="F23" s="341"/>
      <c r="G23" s="341"/>
      <c r="H23" s="341"/>
      <c r="I23" s="332"/>
    </row>
    <row r="24" spans="1:9" ht="18.75" customHeight="1" x14ac:dyDescent="0.15">
      <c r="A24" s="15"/>
      <c r="B24" s="340"/>
      <c r="C24" s="341"/>
      <c r="D24" s="341"/>
      <c r="E24" s="341"/>
      <c r="F24" s="341"/>
      <c r="G24" s="341"/>
      <c r="H24" s="341"/>
      <c r="I24" s="332"/>
    </row>
    <row r="25" spans="1:9" ht="18.75" customHeight="1" x14ac:dyDescent="0.15">
      <c r="A25" s="15"/>
      <c r="B25" s="340"/>
      <c r="C25" s="341"/>
      <c r="D25" s="341"/>
      <c r="E25" s="341"/>
      <c r="F25" s="341"/>
      <c r="G25" s="341"/>
      <c r="H25" s="341"/>
      <c r="I25" s="332"/>
    </row>
    <row r="26" spans="1:9" ht="18.75" customHeight="1" x14ac:dyDescent="0.15">
      <c r="A26" s="15"/>
      <c r="B26" s="340"/>
      <c r="C26" s="341"/>
      <c r="D26" s="341"/>
      <c r="E26" s="341"/>
      <c r="F26" s="341"/>
      <c r="G26" s="341"/>
      <c r="H26" s="341"/>
      <c r="I26" s="332"/>
    </row>
    <row r="27" spans="1:9" ht="18.75" customHeight="1" x14ac:dyDescent="0.15">
      <c r="A27" s="15"/>
      <c r="B27" s="340"/>
      <c r="C27" s="341"/>
      <c r="D27" s="341"/>
      <c r="E27" s="341"/>
      <c r="F27" s="341"/>
      <c r="G27" s="341"/>
      <c r="H27" s="341"/>
      <c r="I27" s="332"/>
    </row>
    <row r="28" spans="1:9" ht="18.75" customHeight="1" x14ac:dyDescent="0.15">
      <c r="A28" s="15"/>
      <c r="B28" s="340"/>
      <c r="C28" s="341"/>
      <c r="D28" s="341"/>
      <c r="E28" s="341"/>
      <c r="F28" s="341"/>
      <c r="G28" s="341"/>
      <c r="H28" s="341"/>
      <c r="I28" s="332"/>
    </row>
    <row r="29" spans="1:9" ht="18.75" customHeight="1" x14ac:dyDescent="0.15">
      <c r="A29" s="15"/>
      <c r="B29" s="340"/>
      <c r="C29" s="341"/>
      <c r="D29" s="341"/>
      <c r="E29" s="341"/>
      <c r="F29" s="341"/>
      <c r="G29" s="341"/>
      <c r="H29" s="341"/>
      <c r="I29" s="332"/>
    </row>
    <row r="30" spans="1:9" ht="18.75" customHeight="1" x14ac:dyDescent="0.15">
      <c r="A30" s="15"/>
      <c r="B30" s="330"/>
      <c r="C30" s="331"/>
      <c r="D30" s="331"/>
      <c r="E30" s="331"/>
      <c r="F30" s="331"/>
      <c r="G30" s="331"/>
      <c r="H30" s="331"/>
      <c r="I30" s="332"/>
    </row>
    <row r="31" spans="1:9" ht="18.75" customHeight="1" x14ac:dyDescent="0.15">
      <c r="A31" s="15"/>
      <c r="B31" s="330"/>
      <c r="C31" s="331"/>
      <c r="D31" s="331"/>
      <c r="E31" s="331"/>
      <c r="F31" s="331"/>
      <c r="G31" s="331"/>
      <c r="H31" s="331"/>
      <c r="I31" s="332"/>
    </row>
    <row r="32" spans="1:9" ht="18.75" customHeight="1" x14ac:dyDescent="0.15">
      <c r="A32" s="15"/>
      <c r="B32" s="333"/>
      <c r="C32" s="334"/>
      <c r="D32" s="334"/>
      <c r="E32" s="334"/>
      <c r="F32" s="334"/>
      <c r="G32" s="334"/>
      <c r="H32" s="334"/>
      <c r="I32" s="335"/>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327" t="s">
        <v>218</v>
      </c>
      <c r="C35" s="328"/>
      <c r="D35" s="328"/>
      <c r="E35" s="328"/>
      <c r="F35" s="328"/>
      <c r="G35" s="328"/>
      <c r="H35" s="328"/>
      <c r="I35" s="329"/>
    </row>
    <row r="36" spans="1:9" ht="18.75" customHeight="1" x14ac:dyDescent="0.15">
      <c r="A36" s="15"/>
      <c r="B36" s="330"/>
      <c r="C36" s="331"/>
      <c r="D36" s="331"/>
      <c r="E36" s="331"/>
      <c r="F36" s="331"/>
      <c r="G36" s="331"/>
      <c r="H36" s="331"/>
      <c r="I36" s="332"/>
    </row>
    <row r="37" spans="1:9" ht="18.75" customHeight="1" x14ac:dyDescent="0.15">
      <c r="A37" s="15"/>
      <c r="B37" s="330"/>
      <c r="C37" s="331"/>
      <c r="D37" s="331"/>
      <c r="E37" s="331"/>
      <c r="F37" s="331"/>
      <c r="G37" s="331"/>
      <c r="H37" s="331"/>
      <c r="I37" s="332"/>
    </row>
    <row r="38" spans="1:9" ht="18.75" customHeight="1" x14ac:dyDescent="0.15">
      <c r="A38" s="15"/>
      <c r="B38" s="330"/>
      <c r="C38" s="331"/>
      <c r="D38" s="331"/>
      <c r="E38" s="331"/>
      <c r="F38" s="331"/>
      <c r="G38" s="331"/>
      <c r="H38" s="331"/>
      <c r="I38" s="332"/>
    </row>
    <row r="39" spans="1:9" ht="18.75" customHeight="1" x14ac:dyDescent="0.15">
      <c r="A39" s="15"/>
      <c r="B39" s="330"/>
      <c r="C39" s="331"/>
      <c r="D39" s="331"/>
      <c r="E39" s="331"/>
      <c r="F39" s="331"/>
      <c r="G39" s="331"/>
      <c r="H39" s="331"/>
      <c r="I39" s="332"/>
    </row>
    <row r="40" spans="1:9" ht="18.75" customHeight="1" x14ac:dyDescent="0.15">
      <c r="A40" s="15"/>
      <c r="B40" s="330"/>
      <c r="C40" s="331"/>
      <c r="D40" s="331"/>
      <c r="E40" s="331"/>
      <c r="F40" s="331"/>
      <c r="G40" s="331"/>
      <c r="H40" s="331"/>
      <c r="I40" s="332"/>
    </row>
    <row r="41" spans="1:9" ht="18.75" customHeight="1" x14ac:dyDescent="0.15">
      <c r="A41" s="15"/>
      <c r="B41" s="330"/>
      <c r="C41" s="331"/>
      <c r="D41" s="331"/>
      <c r="E41" s="331"/>
      <c r="F41" s="331"/>
      <c r="G41" s="331"/>
      <c r="H41" s="331"/>
      <c r="I41" s="332"/>
    </row>
    <row r="42" spans="1:9" ht="18.75" customHeight="1" x14ac:dyDescent="0.15">
      <c r="A42" s="15"/>
      <c r="B42" s="330"/>
      <c r="C42" s="331"/>
      <c r="D42" s="331"/>
      <c r="E42" s="331"/>
      <c r="F42" s="331"/>
      <c r="G42" s="331"/>
      <c r="H42" s="331"/>
      <c r="I42" s="332"/>
    </row>
    <row r="43" spans="1:9" ht="18.75" customHeight="1" x14ac:dyDescent="0.15">
      <c r="A43" s="15"/>
      <c r="B43" s="330"/>
      <c r="C43" s="331"/>
      <c r="D43" s="331"/>
      <c r="E43" s="331"/>
      <c r="F43" s="331"/>
      <c r="G43" s="331"/>
      <c r="H43" s="331"/>
      <c r="I43" s="332"/>
    </row>
    <row r="44" spans="1:9" ht="18.75" customHeight="1" x14ac:dyDescent="0.15">
      <c r="A44" s="15"/>
      <c r="B44" s="330"/>
      <c r="C44" s="331"/>
      <c r="D44" s="331"/>
      <c r="E44" s="331"/>
      <c r="F44" s="331"/>
      <c r="G44" s="331"/>
      <c r="H44" s="331"/>
      <c r="I44" s="332"/>
    </row>
    <row r="45" spans="1:9" ht="18.75" customHeight="1" x14ac:dyDescent="0.15">
      <c r="A45" s="15"/>
      <c r="B45" s="330"/>
      <c r="C45" s="331"/>
      <c r="D45" s="331"/>
      <c r="E45" s="331"/>
      <c r="F45" s="331"/>
      <c r="G45" s="331"/>
      <c r="H45" s="331"/>
      <c r="I45" s="332"/>
    </row>
    <row r="46" spans="1:9" ht="18.75" customHeight="1" x14ac:dyDescent="0.15">
      <c r="A46" s="15"/>
      <c r="B46" s="333"/>
      <c r="C46" s="334"/>
      <c r="D46" s="334"/>
      <c r="E46" s="334"/>
      <c r="F46" s="334"/>
      <c r="G46" s="334"/>
      <c r="H46" s="334"/>
      <c r="I46" s="335"/>
    </row>
    <row r="47" spans="1:9" ht="7.5" customHeight="1" x14ac:dyDescent="0.15">
      <c r="A47" s="4"/>
      <c r="B47" s="4"/>
      <c r="C47" s="4"/>
      <c r="D47" s="4"/>
      <c r="E47" s="4"/>
      <c r="F47" s="4"/>
      <c r="G47" s="4"/>
      <c r="H47" s="4"/>
      <c r="I47" s="4"/>
    </row>
    <row r="48" spans="1:9" ht="18.75" customHeight="1" x14ac:dyDescent="0.15">
      <c r="A48" s="1" t="s">
        <v>30</v>
      </c>
      <c r="B48" s="1" t="s">
        <v>122</v>
      </c>
    </row>
    <row r="49" spans="1:15" s="3" customFormat="1" ht="18.75" customHeight="1" x14ac:dyDescent="0.15">
      <c r="B49" s="43" t="s">
        <v>88</v>
      </c>
      <c r="C49" s="368">
        <f>'様式２ 履修者等数の実績'!AQ32</f>
        <v>5.3643566216766352E-2</v>
      </c>
      <c r="D49" s="368"/>
      <c r="E49" s="43" t="s">
        <v>65</v>
      </c>
      <c r="F49" s="368">
        <v>0.1</v>
      </c>
      <c r="G49" s="368"/>
      <c r="H49" s="43" t="s">
        <v>66</v>
      </c>
      <c r="I49" s="44">
        <v>0.16</v>
      </c>
      <c r="J49" s="1"/>
      <c r="M49" s="1"/>
      <c r="N49" s="45"/>
    </row>
    <row r="50" spans="1:15" s="3" customFormat="1" ht="18.75" customHeight="1" x14ac:dyDescent="0.15">
      <c r="B50" s="46" t="s">
        <v>67</v>
      </c>
      <c r="C50" s="351">
        <v>0.21199999999999999</v>
      </c>
      <c r="D50" s="351"/>
      <c r="E50" s="46" t="s">
        <v>89</v>
      </c>
      <c r="F50" s="351">
        <v>0.21</v>
      </c>
      <c r="G50" s="351"/>
      <c r="H50" s="46" t="s">
        <v>68</v>
      </c>
      <c r="I50" s="47">
        <f>'様式２ 履修者等数の実績'!E32</f>
        <v>31933</v>
      </c>
      <c r="J50" s="1"/>
      <c r="M50" s="1"/>
      <c r="N50" s="45"/>
    </row>
    <row r="51" spans="1:15" ht="18.75" customHeight="1" x14ac:dyDescent="0.15">
      <c r="A51" s="1"/>
      <c r="B51" s="342" t="s">
        <v>69</v>
      </c>
      <c r="C51" s="343"/>
      <c r="D51" s="343"/>
      <c r="E51" s="343"/>
      <c r="F51" s="343"/>
      <c r="G51" s="343"/>
      <c r="H51" s="343"/>
      <c r="I51" s="344"/>
      <c r="N51" s="45"/>
      <c r="O51" s="3"/>
    </row>
    <row r="52" spans="1:15" ht="18.75" customHeight="1" x14ac:dyDescent="0.15">
      <c r="A52" s="1"/>
      <c r="B52" s="369" t="s">
        <v>200</v>
      </c>
      <c r="C52" s="370"/>
      <c r="D52" s="370"/>
      <c r="E52" s="370"/>
      <c r="F52" s="370"/>
      <c r="G52" s="370"/>
      <c r="H52" s="370"/>
      <c r="I52" s="371"/>
      <c r="N52" s="45"/>
      <c r="O52" s="3"/>
    </row>
    <row r="53" spans="1:15" ht="18.75" customHeight="1" x14ac:dyDescent="0.15">
      <c r="A53" s="1"/>
      <c r="B53" s="372"/>
      <c r="C53" s="373"/>
      <c r="D53" s="373"/>
      <c r="E53" s="373"/>
      <c r="F53" s="373"/>
      <c r="G53" s="373"/>
      <c r="H53" s="373"/>
      <c r="I53" s="374"/>
      <c r="N53" s="45"/>
      <c r="O53" s="3"/>
    </row>
    <row r="54" spans="1:15" ht="18.75" customHeight="1" x14ac:dyDescent="0.15">
      <c r="A54" s="1"/>
      <c r="B54" s="372"/>
      <c r="C54" s="373"/>
      <c r="D54" s="373"/>
      <c r="E54" s="373"/>
      <c r="F54" s="373"/>
      <c r="G54" s="373"/>
      <c r="H54" s="373"/>
      <c r="I54" s="374"/>
    </row>
    <row r="55" spans="1:15" ht="18.75" customHeight="1" x14ac:dyDescent="0.15">
      <c r="A55" s="1"/>
      <c r="B55" s="372"/>
      <c r="C55" s="373"/>
      <c r="D55" s="373"/>
      <c r="E55" s="373"/>
      <c r="F55" s="373"/>
      <c r="G55" s="373"/>
      <c r="H55" s="373"/>
      <c r="I55" s="374"/>
    </row>
    <row r="56" spans="1:15" ht="18.75" customHeight="1" x14ac:dyDescent="0.15">
      <c r="A56" s="1"/>
      <c r="B56" s="372"/>
      <c r="C56" s="373"/>
      <c r="D56" s="373"/>
      <c r="E56" s="373"/>
      <c r="F56" s="373"/>
      <c r="G56" s="373"/>
      <c r="H56" s="373"/>
      <c r="I56" s="374"/>
    </row>
    <row r="57" spans="1:15" ht="18.75" customHeight="1" x14ac:dyDescent="0.15">
      <c r="A57" s="1"/>
      <c r="B57" s="372"/>
      <c r="C57" s="373"/>
      <c r="D57" s="373"/>
      <c r="E57" s="373"/>
      <c r="F57" s="373"/>
      <c r="G57" s="373"/>
      <c r="H57" s="373"/>
      <c r="I57" s="374"/>
    </row>
    <row r="58" spans="1:15" ht="18.75" customHeight="1" x14ac:dyDescent="0.15">
      <c r="A58" s="1"/>
      <c r="B58" s="372"/>
      <c r="C58" s="373"/>
      <c r="D58" s="373"/>
      <c r="E58" s="373"/>
      <c r="F58" s="373"/>
      <c r="G58" s="373"/>
      <c r="H58" s="373"/>
      <c r="I58" s="374"/>
    </row>
    <row r="59" spans="1:15" ht="18.75" customHeight="1" x14ac:dyDescent="0.15">
      <c r="A59" s="1"/>
      <c r="B59" s="372"/>
      <c r="C59" s="373"/>
      <c r="D59" s="373"/>
      <c r="E59" s="373"/>
      <c r="F59" s="373"/>
      <c r="G59" s="373"/>
      <c r="H59" s="373"/>
      <c r="I59" s="374"/>
    </row>
    <row r="60" spans="1:15" ht="18.75" customHeight="1" x14ac:dyDescent="0.15">
      <c r="A60" s="1"/>
      <c r="B60" s="372"/>
      <c r="C60" s="373"/>
      <c r="D60" s="373"/>
      <c r="E60" s="373"/>
      <c r="F60" s="373"/>
      <c r="G60" s="373"/>
      <c r="H60" s="373"/>
      <c r="I60" s="374"/>
    </row>
    <row r="61" spans="1:15" ht="18.75" customHeight="1" x14ac:dyDescent="0.15">
      <c r="A61" s="1"/>
      <c r="B61" s="372"/>
      <c r="C61" s="373"/>
      <c r="D61" s="373"/>
      <c r="E61" s="373"/>
      <c r="F61" s="373"/>
      <c r="G61" s="373"/>
      <c r="H61" s="373"/>
      <c r="I61" s="374"/>
    </row>
    <row r="62" spans="1:15" ht="18.75" customHeight="1" x14ac:dyDescent="0.15">
      <c r="A62" s="1"/>
      <c r="B62" s="372"/>
      <c r="C62" s="373"/>
      <c r="D62" s="373"/>
      <c r="E62" s="373"/>
      <c r="F62" s="373"/>
      <c r="G62" s="373"/>
      <c r="H62" s="373"/>
      <c r="I62" s="374"/>
    </row>
    <row r="63" spans="1:15" ht="18.75" customHeight="1" x14ac:dyDescent="0.15">
      <c r="A63" s="1"/>
      <c r="B63" s="375"/>
      <c r="C63" s="376"/>
      <c r="D63" s="376"/>
      <c r="E63" s="376"/>
      <c r="F63" s="376"/>
      <c r="G63" s="376"/>
      <c r="H63" s="376"/>
      <c r="I63" s="377"/>
    </row>
    <row r="64" spans="1:15" ht="7.5" customHeight="1" x14ac:dyDescent="0.15">
      <c r="A64" s="15"/>
      <c r="B64" s="15"/>
      <c r="C64" s="15"/>
      <c r="D64" s="15"/>
      <c r="E64" s="15"/>
      <c r="F64" s="15"/>
      <c r="G64" s="15"/>
      <c r="H64" s="15"/>
      <c r="I64" s="15"/>
    </row>
    <row r="65" spans="1:9" ht="18.75" customHeight="1" x14ac:dyDescent="0.15">
      <c r="A65" s="16" t="s">
        <v>33</v>
      </c>
      <c r="B65" s="1" t="s">
        <v>36</v>
      </c>
      <c r="I65" s="16"/>
    </row>
    <row r="66" spans="1:9" ht="18.75" customHeight="1" x14ac:dyDescent="0.15">
      <c r="A66" s="4"/>
      <c r="B66" s="352" t="s">
        <v>205</v>
      </c>
      <c r="C66" s="353"/>
      <c r="D66" s="353"/>
      <c r="E66" s="353"/>
      <c r="F66" s="353"/>
      <c r="G66" s="353"/>
      <c r="H66" s="353"/>
      <c r="I66" s="354"/>
    </row>
    <row r="67" spans="1:9" ht="18.75" customHeight="1" x14ac:dyDescent="0.15">
      <c r="A67" s="4"/>
      <c r="B67" s="355"/>
      <c r="C67" s="356"/>
      <c r="D67" s="356"/>
      <c r="E67" s="356"/>
      <c r="F67" s="356"/>
      <c r="G67" s="356"/>
      <c r="H67" s="356"/>
      <c r="I67" s="357"/>
    </row>
    <row r="68" spans="1:9" ht="18.75" customHeight="1" x14ac:dyDescent="0.15">
      <c r="A68" s="4"/>
      <c r="B68" s="355"/>
      <c r="C68" s="356"/>
      <c r="D68" s="356"/>
      <c r="E68" s="356"/>
      <c r="F68" s="356"/>
      <c r="G68" s="356"/>
      <c r="H68" s="356"/>
      <c r="I68" s="357"/>
    </row>
    <row r="69" spans="1:9" ht="18.75" customHeight="1" x14ac:dyDescent="0.15">
      <c r="A69" s="4"/>
      <c r="B69" s="355"/>
      <c r="C69" s="356"/>
      <c r="D69" s="356"/>
      <c r="E69" s="356"/>
      <c r="F69" s="356"/>
      <c r="G69" s="356"/>
      <c r="H69" s="356"/>
      <c r="I69" s="357"/>
    </row>
    <row r="70" spans="1:9" ht="18.75" customHeight="1" x14ac:dyDescent="0.15">
      <c r="A70" s="4"/>
      <c r="B70" s="355"/>
      <c r="C70" s="356"/>
      <c r="D70" s="356"/>
      <c r="E70" s="356"/>
      <c r="F70" s="356"/>
      <c r="G70" s="356"/>
      <c r="H70" s="356"/>
      <c r="I70" s="357"/>
    </row>
    <row r="71" spans="1:9" ht="18.75" customHeight="1" x14ac:dyDescent="0.15">
      <c r="A71" s="4"/>
      <c r="B71" s="355"/>
      <c r="C71" s="356"/>
      <c r="D71" s="356"/>
      <c r="E71" s="356"/>
      <c r="F71" s="356"/>
      <c r="G71" s="356"/>
      <c r="H71" s="356"/>
      <c r="I71" s="357"/>
    </row>
    <row r="72" spans="1:9" ht="18.75" customHeight="1" x14ac:dyDescent="0.15">
      <c r="A72" s="4"/>
      <c r="B72" s="355"/>
      <c r="C72" s="356"/>
      <c r="D72" s="356"/>
      <c r="E72" s="356"/>
      <c r="F72" s="356"/>
      <c r="G72" s="356"/>
      <c r="H72" s="356"/>
      <c r="I72" s="357"/>
    </row>
    <row r="73" spans="1:9" ht="18.75" customHeight="1" x14ac:dyDescent="0.15">
      <c r="A73" s="4"/>
      <c r="B73" s="355"/>
      <c r="C73" s="356"/>
      <c r="D73" s="356"/>
      <c r="E73" s="356"/>
      <c r="F73" s="356"/>
      <c r="G73" s="356"/>
      <c r="H73" s="356"/>
      <c r="I73" s="357"/>
    </row>
    <row r="74" spans="1:9" ht="18.75" customHeight="1" x14ac:dyDescent="0.15">
      <c r="A74" s="4"/>
      <c r="B74" s="355"/>
      <c r="C74" s="356"/>
      <c r="D74" s="356"/>
      <c r="E74" s="356"/>
      <c r="F74" s="356"/>
      <c r="G74" s="356"/>
      <c r="H74" s="356"/>
      <c r="I74" s="357"/>
    </row>
    <row r="75" spans="1:9" ht="18.75" customHeight="1" x14ac:dyDescent="0.15">
      <c r="A75" s="4"/>
      <c r="B75" s="355"/>
      <c r="C75" s="356"/>
      <c r="D75" s="356"/>
      <c r="E75" s="356"/>
      <c r="F75" s="356"/>
      <c r="G75" s="356"/>
      <c r="H75" s="356"/>
      <c r="I75" s="357"/>
    </row>
    <row r="76" spans="1:9" ht="18.75" customHeight="1" x14ac:dyDescent="0.15">
      <c r="A76" s="4"/>
      <c r="B76" s="355"/>
      <c r="C76" s="356"/>
      <c r="D76" s="356"/>
      <c r="E76" s="356"/>
      <c r="F76" s="356"/>
      <c r="G76" s="356"/>
      <c r="H76" s="356"/>
      <c r="I76" s="357"/>
    </row>
    <row r="77" spans="1:9" ht="18.75" customHeight="1" x14ac:dyDescent="0.15">
      <c r="A77" s="4"/>
      <c r="B77" s="358"/>
      <c r="C77" s="359"/>
      <c r="D77" s="359"/>
      <c r="E77" s="359"/>
      <c r="F77" s="359"/>
      <c r="G77" s="359"/>
      <c r="H77" s="359"/>
      <c r="I77" s="360"/>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352" t="s">
        <v>155</v>
      </c>
      <c r="C80" s="353"/>
      <c r="D80" s="353"/>
      <c r="E80" s="353"/>
      <c r="F80" s="353"/>
      <c r="G80" s="353"/>
      <c r="H80" s="353"/>
      <c r="I80" s="361"/>
    </row>
    <row r="81" spans="1:9" ht="18.75" customHeight="1" x14ac:dyDescent="0.15">
      <c r="A81" s="1"/>
      <c r="B81" s="362"/>
      <c r="C81" s="363"/>
      <c r="D81" s="363"/>
      <c r="E81" s="363"/>
      <c r="F81" s="363"/>
      <c r="G81" s="363"/>
      <c r="H81" s="363"/>
      <c r="I81" s="364"/>
    </row>
    <row r="82" spans="1:9" ht="18.75" customHeight="1" x14ac:dyDescent="0.15">
      <c r="A82" s="1"/>
      <c r="B82" s="362"/>
      <c r="C82" s="363"/>
      <c r="D82" s="363"/>
      <c r="E82" s="363"/>
      <c r="F82" s="363"/>
      <c r="G82" s="363"/>
      <c r="H82" s="363"/>
      <c r="I82" s="364"/>
    </row>
    <row r="83" spans="1:9" ht="18.75" customHeight="1" x14ac:dyDescent="0.15">
      <c r="A83" s="1"/>
      <c r="B83" s="362"/>
      <c r="C83" s="363"/>
      <c r="D83" s="363"/>
      <c r="E83" s="363"/>
      <c r="F83" s="363"/>
      <c r="G83" s="363"/>
      <c r="H83" s="363"/>
      <c r="I83" s="364"/>
    </row>
    <row r="84" spans="1:9" ht="18.75" customHeight="1" x14ac:dyDescent="0.15">
      <c r="A84" s="1"/>
      <c r="B84" s="362"/>
      <c r="C84" s="363"/>
      <c r="D84" s="363"/>
      <c r="E84" s="363"/>
      <c r="F84" s="363"/>
      <c r="G84" s="363"/>
      <c r="H84" s="363"/>
      <c r="I84" s="364"/>
    </row>
    <row r="85" spans="1:9" ht="18.75" customHeight="1" x14ac:dyDescent="0.15">
      <c r="A85" s="1"/>
      <c r="B85" s="362"/>
      <c r="C85" s="363"/>
      <c r="D85" s="363"/>
      <c r="E85" s="363"/>
      <c r="F85" s="363"/>
      <c r="G85" s="363"/>
      <c r="H85" s="363"/>
      <c r="I85" s="364"/>
    </row>
    <row r="86" spans="1:9" ht="18.75" customHeight="1" x14ac:dyDescent="0.15">
      <c r="A86" s="1"/>
      <c r="B86" s="362"/>
      <c r="C86" s="363"/>
      <c r="D86" s="363"/>
      <c r="E86" s="363"/>
      <c r="F86" s="363"/>
      <c r="G86" s="363"/>
      <c r="H86" s="363"/>
      <c r="I86" s="364"/>
    </row>
    <row r="87" spans="1:9" ht="18.75" customHeight="1" x14ac:dyDescent="0.15">
      <c r="A87" s="1"/>
      <c r="B87" s="362"/>
      <c r="C87" s="363"/>
      <c r="D87" s="363"/>
      <c r="E87" s="363"/>
      <c r="F87" s="363"/>
      <c r="G87" s="363"/>
      <c r="H87" s="363"/>
      <c r="I87" s="364"/>
    </row>
    <row r="88" spans="1:9" ht="18.75" customHeight="1" x14ac:dyDescent="0.15">
      <c r="A88" s="1"/>
      <c r="B88" s="362"/>
      <c r="C88" s="363"/>
      <c r="D88" s="363"/>
      <c r="E88" s="363"/>
      <c r="F88" s="363"/>
      <c r="G88" s="363"/>
      <c r="H88" s="363"/>
      <c r="I88" s="364"/>
    </row>
    <row r="89" spans="1:9" ht="18.75" customHeight="1" x14ac:dyDescent="0.15">
      <c r="A89" s="1"/>
      <c r="B89" s="362"/>
      <c r="C89" s="363"/>
      <c r="D89" s="363"/>
      <c r="E89" s="363"/>
      <c r="F89" s="363"/>
      <c r="G89" s="363"/>
      <c r="H89" s="363"/>
      <c r="I89" s="364"/>
    </row>
    <row r="90" spans="1:9" ht="18.75" customHeight="1" x14ac:dyDescent="0.15">
      <c r="A90" s="4"/>
      <c r="B90" s="362"/>
      <c r="C90" s="363"/>
      <c r="D90" s="363"/>
      <c r="E90" s="363"/>
      <c r="F90" s="363"/>
      <c r="G90" s="363"/>
      <c r="H90" s="363"/>
      <c r="I90" s="364"/>
    </row>
    <row r="91" spans="1:9" ht="18.75" customHeight="1" x14ac:dyDescent="0.15">
      <c r="A91" s="4"/>
      <c r="B91" s="365"/>
      <c r="C91" s="366"/>
      <c r="D91" s="366"/>
      <c r="E91" s="366"/>
      <c r="F91" s="366"/>
      <c r="G91" s="366"/>
      <c r="H91" s="366"/>
      <c r="I91" s="367"/>
    </row>
    <row r="92" spans="1:9" ht="7.5" customHeight="1" x14ac:dyDescent="0.15">
      <c r="A92" s="4"/>
      <c r="B92" s="4"/>
      <c r="C92" s="4"/>
      <c r="D92" s="4"/>
      <c r="E92" s="4"/>
      <c r="F92" s="4"/>
      <c r="G92" s="4"/>
      <c r="H92" s="4"/>
      <c r="I92" s="4"/>
    </row>
    <row r="93" spans="1:9" ht="18.75" customHeight="1" x14ac:dyDescent="0.15">
      <c r="A93" s="1" t="s">
        <v>43</v>
      </c>
      <c r="B93" s="1" t="s">
        <v>12</v>
      </c>
    </row>
    <row r="94" spans="1:9" ht="18.75" customHeight="1" x14ac:dyDescent="0.15">
      <c r="A94" s="1"/>
      <c r="B94" s="327" t="s">
        <v>156</v>
      </c>
      <c r="C94" s="328"/>
      <c r="D94" s="328"/>
      <c r="E94" s="328"/>
      <c r="F94" s="328"/>
      <c r="G94" s="328"/>
      <c r="H94" s="328"/>
      <c r="I94" s="329"/>
    </row>
    <row r="95" spans="1:9" ht="18.75" customHeight="1" x14ac:dyDescent="0.15">
      <c r="A95" s="1"/>
      <c r="B95" s="330"/>
      <c r="C95" s="331"/>
      <c r="D95" s="331"/>
      <c r="E95" s="331"/>
      <c r="F95" s="331"/>
      <c r="G95" s="331"/>
      <c r="H95" s="331"/>
      <c r="I95" s="332"/>
    </row>
    <row r="96" spans="1:9" ht="18.75" customHeight="1" x14ac:dyDescent="0.15">
      <c r="A96" s="1"/>
      <c r="B96" s="330"/>
      <c r="C96" s="331"/>
      <c r="D96" s="331"/>
      <c r="E96" s="331"/>
      <c r="F96" s="331"/>
      <c r="G96" s="331"/>
      <c r="H96" s="331"/>
      <c r="I96" s="332"/>
    </row>
    <row r="97" spans="1:9" ht="18.75" customHeight="1" x14ac:dyDescent="0.15">
      <c r="A97" s="1"/>
      <c r="B97" s="330"/>
      <c r="C97" s="331"/>
      <c r="D97" s="331"/>
      <c r="E97" s="331"/>
      <c r="F97" s="331"/>
      <c r="G97" s="331"/>
      <c r="H97" s="331"/>
      <c r="I97" s="332"/>
    </row>
    <row r="98" spans="1:9" ht="18.75" customHeight="1" x14ac:dyDescent="0.15">
      <c r="A98" s="1"/>
      <c r="B98" s="330"/>
      <c r="C98" s="331"/>
      <c r="D98" s="331"/>
      <c r="E98" s="331"/>
      <c r="F98" s="331"/>
      <c r="G98" s="331"/>
      <c r="H98" s="331"/>
      <c r="I98" s="332"/>
    </row>
    <row r="99" spans="1:9" ht="18.75" customHeight="1" x14ac:dyDescent="0.15">
      <c r="A99" s="1"/>
      <c r="B99" s="330"/>
      <c r="C99" s="331"/>
      <c r="D99" s="331"/>
      <c r="E99" s="331"/>
      <c r="F99" s="331"/>
      <c r="G99" s="331"/>
      <c r="H99" s="331"/>
      <c r="I99" s="332"/>
    </row>
    <row r="100" spans="1:9" ht="18.75" customHeight="1" x14ac:dyDescent="0.15">
      <c r="A100" s="1"/>
      <c r="B100" s="330"/>
      <c r="C100" s="331"/>
      <c r="D100" s="331"/>
      <c r="E100" s="331"/>
      <c r="F100" s="331"/>
      <c r="G100" s="331"/>
      <c r="H100" s="331"/>
      <c r="I100" s="332"/>
    </row>
    <row r="101" spans="1:9" ht="18.75" customHeight="1" x14ac:dyDescent="0.15">
      <c r="A101" s="1"/>
      <c r="B101" s="330"/>
      <c r="C101" s="331"/>
      <c r="D101" s="331"/>
      <c r="E101" s="331"/>
      <c r="F101" s="331"/>
      <c r="G101" s="331"/>
      <c r="H101" s="331"/>
      <c r="I101" s="332"/>
    </row>
    <row r="102" spans="1:9" ht="18.75" customHeight="1" x14ac:dyDescent="0.15">
      <c r="A102" s="1"/>
      <c r="B102" s="330"/>
      <c r="C102" s="331"/>
      <c r="D102" s="331"/>
      <c r="E102" s="331"/>
      <c r="F102" s="331"/>
      <c r="G102" s="331"/>
      <c r="H102" s="331"/>
      <c r="I102" s="332"/>
    </row>
    <row r="103" spans="1:9" ht="18.75" customHeight="1" x14ac:dyDescent="0.15">
      <c r="A103" s="1"/>
      <c r="B103" s="330"/>
      <c r="C103" s="331"/>
      <c r="D103" s="331"/>
      <c r="E103" s="331"/>
      <c r="F103" s="331"/>
      <c r="G103" s="331"/>
      <c r="H103" s="331"/>
      <c r="I103" s="332"/>
    </row>
    <row r="104" spans="1:9" ht="18.75" customHeight="1" x14ac:dyDescent="0.15">
      <c r="A104" s="1"/>
      <c r="B104" s="330"/>
      <c r="C104" s="331"/>
      <c r="D104" s="331"/>
      <c r="E104" s="331"/>
      <c r="F104" s="331"/>
      <c r="G104" s="331"/>
      <c r="H104" s="331"/>
      <c r="I104" s="332"/>
    </row>
    <row r="105" spans="1:9" ht="18.75" customHeight="1" x14ac:dyDescent="0.15">
      <c r="A105" s="4"/>
      <c r="B105" s="333"/>
      <c r="C105" s="334"/>
      <c r="D105" s="334"/>
      <c r="E105" s="334"/>
      <c r="F105" s="334"/>
      <c r="G105" s="334"/>
      <c r="H105" s="334"/>
      <c r="I105" s="335"/>
    </row>
    <row r="106" spans="1:9" ht="7.5" customHeight="1" x14ac:dyDescent="0.15">
      <c r="A106" s="4"/>
      <c r="B106" s="4"/>
      <c r="C106" s="4"/>
      <c r="D106" s="4"/>
      <c r="E106" s="4"/>
      <c r="F106" s="4"/>
      <c r="G106" s="4"/>
      <c r="H106" s="4"/>
      <c r="I106" s="4"/>
    </row>
    <row r="107" spans="1:9" ht="18.75" customHeight="1" x14ac:dyDescent="0.15">
      <c r="A107" s="1" t="s">
        <v>29</v>
      </c>
      <c r="B107" s="336" t="s">
        <v>45</v>
      </c>
      <c r="C107" s="336"/>
      <c r="D107" s="336"/>
      <c r="E107" s="336"/>
      <c r="F107" s="336"/>
      <c r="G107" s="336"/>
      <c r="H107" s="336"/>
      <c r="I107" s="336"/>
    </row>
    <row r="108" spans="1:9" ht="18.75" customHeight="1" x14ac:dyDescent="0.15">
      <c r="A108" s="4"/>
      <c r="B108" s="327" t="s">
        <v>204</v>
      </c>
      <c r="C108" s="328"/>
      <c r="D108" s="328"/>
      <c r="E108" s="328"/>
      <c r="F108" s="328"/>
      <c r="G108" s="328"/>
      <c r="H108" s="328"/>
      <c r="I108" s="329"/>
    </row>
    <row r="109" spans="1:9" ht="18.75" customHeight="1" x14ac:dyDescent="0.15">
      <c r="A109" s="4"/>
      <c r="B109" s="330"/>
      <c r="C109" s="331"/>
      <c r="D109" s="331"/>
      <c r="E109" s="331"/>
      <c r="F109" s="331"/>
      <c r="G109" s="331"/>
      <c r="H109" s="331"/>
      <c r="I109" s="332"/>
    </row>
    <row r="110" spans="1:9" ht="18.75" customHeight="1" x14ac:dyDescent="0.15">
      <c r="A110" s="4"/>
      <c r="B110" s="330"/>
      <c r="C110" s="331"/>
      <c r="D110" s="331"/>
      <c r="E110" s="331"/>
      <c r="F110" s="331"/>
      <c r="G110" s="331"/>
      <c r="H110" s="331"/>
      <c r="I110" s="332"/>
    </row>
    <row r="111" spans="1:9" ht="18.75" customHeight="1" x14ac:dyDescent="0.15">
      <c r="A111" s="4"/>
      <c r="B111" s="330"/>
      <c r="C111" s="331"/>
      <c r="D111" s="331"/>
      <c r="E111" s="331"/>
      <c r="F111" s="331"/>
      <c r="G111" s="331"/>
      <c r="H111" s="331"/>
      <c r="I111" s="332"/>
    </row>
    <row r="112" spans="1:9" ht="18.75" customHeight="1" x14ac:dyDescent="0.15">
      <c r="A112" s="4"/>
      <c r="B112" s="330"/>
      <c r="C112" s="331"/>
      <c r="D112" s="331"/>
      <c r="E112" s="331"/>
      <c r="F112" s="331"/>
      <c r="G112" s="331"/>
      <c r="H112" s="331"/>
      <c r="I112" s="332"/>
    </row>
    <row r="113" spans="1:9" ht="18.75" customHeight="1" x14ac:dyDescent="0.15">
      <c r="A113" s="4"/>
      <c r="B113" s="330"/>
      <c r="C113" s="331"/>
      <c r="D113" s="331"/>
      <c r="E113" s="331"/>
      <c r="F113" s="331"/>
      <c r="G113" s="331"/>
      <c r="H113" s="331"/>
      <c r="I113" s="332"/>
    </row>
    <row r="114" spans="1:9" ht="18.75" customHeight="1" x14ac:dyDescent="0.15">
      <c r="A114" s="4"/>
      <c r="B114" s="330"/>
      <c r="C114" s="331"/>
      <c r="D114" s="331"/>
      <c r="E114" s="331"/>
      <c r="F114" s="331"/>
      <c r="G114" s="331"/>
      <c r="H114" s="331"/>
      <c r="I114" s="332"/>
    </row>
    <row r="115" spans="1:9" ht="18.75" customHeight="1" x14ac:dyDescent="0.15">
      <c r="A115" s="4"/>
      <c r="B115" s="330"/>
      <c r="C115" s="331"/>
      <c r="D115" s="331"/>
      <c r="E115" s="331"/>
      <c r="F115" s="331"/>
      <c r="G115" s="331"/>
      <c r="H115" s="331"/>
      <c r="I115" s="332"/>
    </row>
    <row r="116" spans="1:9" ht="18.75" customHeight="1" x14ac:dyDescent="0.15">
      <c r="A116" s="4"/>
      <c r="B116" s="330"/>
      <c r="C116" s="331"/>
      <c r="D116" s="331"/>
      <c r="E116" s="331"/>
      <c r="F116" s="331"/>
      <c r="G116" s="331"/>
      <c r="H116" s="331"/>
      <c r="I116" s="332"/>
    </row>
    <row r="117" spans="1:9" ht="18.75" customHeight="1" x14ac:dyDescent="0.15">
      <c r="A117" s="4"/>
      <c r="B117" s="330"/>
      <c r="C117" s="331"/>
      <c r="D117" s="331"/>
      <c r="E117" s="331"/>
      <c r="F117" s="331"/>
      <c r="G117" s="331"/>
      <c r="H117" s="331"/>
      <c r="I117" s="332"/>
    </row>
    <row r="118" spans="1:9" ht="18.75" customHeight="1" x14ac:dyDescent="0.15">
      <c r="A118" s="4"/>
      <c r="B118" s="330"/>
      <c r="C118" s="331"/>
      <c r="D118" s="331"/>
      <c r="E118" s="331"/>
      <c r="F118" s="331"/>
      <c r="G118" s="331"/>
      <c r="H118" s="331"/>
      <c r="I118" s="332"/>
    </row>
    <row r="119" spans="1:9" ht="18.75" customHeight="1" x14ac:dyDescent="0.15">
      <c r="A119" s="4"/>
      <c r="B119" s="333"/>
      <c r="C119" s="334"/>
      <c r="D119" s="334"/>
      <c r="E119" s="334"/>
      <c r="F119" s="334"/>
      <c r="G119" s="334"/>
      <c r="H119" s="334"/>
      <c r="I119" s="335"/>
    </row>
    <row r="120" spans="1:9" ht="7.5" customHeight="1" x14ac:dyDescent="0.15">
      <c r="A120" s="4"/>
      <c r="B120" s="48"/>
      <c r="C120" s="48"/>
      <c r="D120" s="48"/>
      <c r="E120" s="48"/>
      <c r="F120" s="48"/>
      <c r="G120" s="48"/>
      <c r="H120" s="48"/>
      <c r="I120" s="48"/>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9"/>
      <c r="B134" s="49"/>
      <c r="C134" s="49"/>
      <c r="D134" s="49"/>
      <c r="E134" s="49"/>
      <c r="F134" s="49"/>
      <c r="G134" s="49"/>
      <c r="H134" s="49"/>
      <c r="I134" s="49"/>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B1" zoomScaleNormal="100" zoomScaleSheetLayoutView="100" workbookViewId="0">
      <selection activeCell="E20" sqref="E20:I20"/>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70</v>
      </c>
      <c r="I1" s="35" t="s">
        <v>104</v>
      </c>
    </row>
    <row r="2" spans="1:9" ht="18.75" customHeight="1" x14ac:dyDescent="0.15">
      <c r="H2" s="35" t="s">
        <v>108</v>
      </c>
      <c r="I2" s="34" t="str">
        <f>'様式１-1　プログラムを構成する授業科目'!C2</f>
        <v>立命館大学</v>
      </c>
    </row>
    <row r="3" spans="1:9" ht="18.75" customHeight="1" x14ac:dyDescent="0.15">
      <c r="A3" s="241" t="s">
        <v>27</v>
      </c>
      <c r="B3" s="241"/>
      <c r="C3" s="241"/>
      <c r="D3" s="241"/>
      <c r="E3" s="241"/>
      <c r="F3" s="241"/>
      <c r="G3" s="241"/>
      <c r="H3" s="241"/>
      <c r="I3" s="241"/>
    </row>
    <row r="4" spans="1:9" ht="18.75" customHeight="1" x14ac:dyDescent="0.15">
      <c r="A4" s="5"/>
      <c r="B4" s="5"/>
      <c r="C4" s="5"/>
      <c r="D4" s="5"/>
      <c r="E4" s="5"/>
      <c r="F4" s="5"/>
      <c r="G4" s="5"/>
      <c r="H4" s="5"/>
      <c r="I4" s="5"/>
    </row>
    <row r="5" spans="1:9" ht="18.75" customHeight="1" x14ac:dyDescent="0.15">
      <c r="A5" s="1" t="s">
        <v>0</v>
      </c>
      <c r="B5" s="10" t="s">
        <v>94</v>
      </c>
      <c r="C5" s="5"/>
      <c r="D5" s="5"/>
      <c r="E5" s="5"/>
      <c r="F5" s="5"/>
      <c r="G5" s="5"/>
      <c r="H5" s="5"/>
      <c r="I5" s="5"/>
    </row>
    <row r="6" spans="1:9" ht="26.25" customHeight="1" x14ac:dyDescent="0.15">
      <c r="A6" s="5"/>
      <c r="B6" s="345" t="s">
        <v>152</v>
      </c>
      <c r="C6" s="388"/>
      <c r="D6" s="388"/>
      <c r="E6" s="388"/>
      <c r="F6" s="388"/>
      <c r="G6" s="388"/>
      <c r="H6" s="389"/>
      <c r="I6" s="3"/>
    </row>
    <row r="7" spans="1:9" ht="9" customHeight="1" x14ac:dyDescent="0.15">
      <c r="A7" s="5"/>
      <c r="B7" s="10"/>
      <c r="C7" s="10"/>
      <c r="D7" s="10"/>
      <c r="E7" s="10"/>
      <c r="F7" s="10"/>
      <c r="G7" s="10"/>
      <c r="H7" s="10"/>
      <c r="I7" s="3"/>
    </row>
    <row r="8" spans="1:9" ht="18.75" customHeight="1" x14ac:dyDescent="0.15">
      <c r="A8" s="5"/>
      <c r="B8" s="3"/>
      <c r="C8" s="3"/>
      <c r="D8" s="35" t="s">
        <v>42</v>
      </c>
      <c r="E8" s="36" t="s">
        <v>150</v>
      </c>
      <c r="F8" s="3"/>
      <c r="G8" s="35" t="s">
        <v>10</v>
      </c>
      <c r="H8" s="36" t="s">
        <v>151</v>
      </c>
      <c r="I8" s="3"/>
    </row>
    <row r="9" spans="1:9" ht="7.5" customHeight="1" x14ac:dyDescent="0.15">
      <c r="A9" s="5"/>
      <c r="B9" s="5"/>
      <c r="C9" s="5"/>
      <c r="D9" s="5"/>
      <c r="E9" s="5"/>
      <c r="F9" s="5"/>
      <c r="G9" s="5"/>
      <c r="H9" s="5"/>
      <c r="I9" s="5"/>
    </row>
    <row r="10" spans="1:9" ht="18.75" customHeight="1" x14ac:dyDescent="0.15">
      <c r="A10" s="1" t="s">
        <v>3</v>
      </c>
      <c r="B10" s="1" t="s">
        <v>26</v>
      </c>
      <c r="C10" s="4"/>
      <c r="D10" s="4"/>
      <c r="E10" s="4"/>
      <c r="F10" s="4"/>
      <c r="G10" s="4"/>
      <c r="H10" s="4"/>
      <c r="I10" s="4"/>
    </row>
    <row r="11" spans="1:9" ht="18.75" customHeight="1" x14ac:dyDescent="0.15">
      <c r="B11" s="233" t="s">
        <v>23</v>
      </c>
      <c r="C11" s="239"/>
      <c r="D11" s="234"/>
      <c r="E11" s="239" t="s">
        <v>25</v>
      </c>
      <c r="F11" s="239"/>
      <c r="G11" s="239"/>
      <c r="H11" s="239"/>
      <c r="I11" s="234"/>
    </row>
    <row r="12" spans="1:9" ht="26.25" customHeight="1" x14ac:dyDescent="0.15">
      <c r="B12" s="50" t="s">
        <v>13</v>
      </c>
      <c r="C12" s="57"/>
      <c r="D12" s="51"/>
      <c r="E12" s="58"/>
      <c r="F12" s="58"/>
      <c r="G12" s="58"/>
      <c r="H12" s="58"/>
      <c r="I12" s="51"/>
    </row>
    <row r="13" spans="1:9" ht="210.75" customHeight="1" x14ac:dyDescent="0.15">
      <c r="B13" s="52"/>
      <c r="C13" s="383" t="s">
        <v>14</v>
      </c>
      <c r="D13" s="384"/>
      <c r="E13" s="385" t="s">
        <v>208</v>
      </c>
      <c r="F13" s="386"/>
      <c r="G13" s="386"/>
      <c r="H13" s="386"/>
      <c r="I13" s="387"/>
    </row>
    <row r="14" spans="1:9" ht="210.75" customHeight="1" x14ac:dyDescent="0.15">
      <c r="B14" s="52"/>
      <c r="C14" s="378" t="s">
        <v>15</v>
      </c>
      <c r="D14" s="379"/>
      <c r="E14" s="380" t="s">
        <v>157</v>
      </c>
      <c r="F14" s="381"/>
      <c r="G14" s="381"/>
      <c r="H14" s="381"/>
      <c r="I14" s="382"/>
    </row>
    <row r="15" spans="1:9" ht="210.75" customHeight="1" x14ac:dyDescent="0.15">
      <c r="B15" s="52"/>
      <c r="C15" s="383" t="s">
        <v>16</v>
      </c>
      <c r="D15" s="384"/>
      <c r="E15" s="380" t="s">
        <v>198</v>
      </c>
      <c r="F15" s="381"/>
      <c r="G15" s="381"/>
      <c r="H15" s="381"/>
      <c r="I15" s="382"/>
    </row>
    <row r="16" spans="1:9" ht="210.75" customHeight="1" x14ac:dyDescent="0.15">
      <c r="B16" s="52"/>
      <c r="C16" s="383" t="s">
        <v>17</v>
      </c>
      <c r="D16" s="384"/>
      <c r="E16" s="380" t="s">
        <v>209</v>
      </c>
      <c r="F16" s="381"/>
      <c r="G16" s="381"/>
      <c r="H16" s="381"/>
      <c r="I16" s="382"/>
    </row>
    <row r="17" spans="2:9" ht="210.75" customHeight="1" x14ac:dyDescent="0.15">
      <c r="B17" s="53"/>
      <c r="C17" s="390" t="s">
        <v>18</v>
      </c>
      <c r="D17" s="391"/>
      <c r="E17" s="392" t="s">
        <v>210</v>
      </c>
      <c r="F17" s="393"/>
      <c r="G17" s="393"/>
      <c r="H17" s="393"/>
      <c r="I17" s="394"/>
    </row>
    <row r="18" spans="2:9" ht="24" customHeight="1" x14ac:dyDescent="0.15">
      <c r="B18" s="50" t="s">
        <v>19</v>
      </c>
      <c r="C18" s="54"/>
      <c r="D18" s="55"/>
      <c r="E18" s="56"/>
      <c r="F18" s="56"/>
      <c r="G18" s="56"/>
      <c r="H18" s="56"/>
      <c r="I18" s="59"/>
    </row>
    <row r="19" spans="2:9" ht="218.25" customHeight="1" x14ac:dyDescent="0.15">
      <c r="B19" s="52"/>
      <c r="C19" s="383" t="s">
        <v>20</v>
      </c>
      <c r="D19" s="384"/>
      <c r="E19" s="381" t="s">
        <v>199</v>
      </c>
      <c r="F19" s="381"/>
      <c r="G19" s="381"/>
      <c r="H19" s="381"/>
      <c r="I19" s="382"/>
    </row>
    <row r="20" spans="2:9" ht="218.25" customHeight="1" x14ac:dyDescent="0.15">
      <c r="B20" s="53"/>
      <c r="C20" s="390" t="s">
        <v>21</v>
      </c>
      <c r="D20" s="391"/>
      <c r="E20" s="393" t="s">
        <v>207</v>
      </c>
      <c r="F20" s="393"/>
      <c r="G20" s="393"/>
      <c r="H20" s="393"/>
      <c r="I20" s="394"/>
    </row>
    <row r="21" spans="2:9" ht="218.25" customHeight="1" x14ac:dyDescent="0.15">
      <c r="B21" s="400" t="s">
        <v>22</v>
      </c>
      <c r="C21" s="401"/>
      <c r="D21" s="402"/>
      <c r="E21" s="403" t="s">
        <v>158</v>
      </c>
      <c r="F21" s="403"/>
      <c r="G21" s="403"/>
      <c r="H21" s="403"/>
      <c r="I21" s="404"/>
    </row>
    <row r="22" spans="2:9" ht="218.25" customHeight="1" x14ac:dyDescent="0.15">
      <c r="B22" s="395" t="s">
        <v>37</v>
      </c>
      <c r="C22" s="396"/>
      <c r="D22" s="397"/>
      <c r="E22" s="398" t="s">
        <v>206</v>
      </c>
      <c r="F22" s="398"/>
      <c r="G22" s="398"/>
      <c r="H22" s="398"/>
      <c r="I22" s="399"/>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8</vt:i4>
      </vt:variant>
    </vt:vector>
  </HeadingPairs>
  <TitlesOfParts>
    <vt:vector size="15" baseType="lpstr">
      <vt:lpstr>様式１-1　プログラムを構成する授業科目</vt:lpstr>
      <vt:lpstr>様式１-2　プログラムを構成する授業科目</vt:lpstr>
      <vt:lpstr>様式１-3　プログラムを構成する授業科目</vt:lpstr>
      <vt:lpstr>様式１-4　プログラムを構成する授業科目</vt:lpstr>
      <vt:lpstr>様式２ 履修者等数の実績</vt:lpstr>
      <vt:lpstr>様式３ 教育の質・履修者数を向上させるための体制・計画</vt:lpstr>
      <vt:lpstr>様式４　自己点検・評価</vt:lpstr>
      <vt:lpstr>'様式１-1　プログラムを構成する授業科目'!Print_Area</vt:lpstr>
      <vt:lpstr>'様式１-2　プログラムを構成する授業科目'!Print_Area</vt:lpstr>
      <vt:lpstr>'様式１-3　プログラムを構成する授業科目'!Print_Area</vt:lpstr>
      <vt:lpstr>'様式１-4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今井 悠一朗</cp:lastModifiedBy>
  <cp:lastPrinted>2023-07-18T00:44:19Z</cp:lastPrinted>
  <dcterms:created xsi:type="dcterms:W3CDTF">2011-06-14T05:32:50Z</dcterms:created>
  <dcterms:modified xsi:type="dcterms:W3CDTF">2023-07-18T00:57:54Z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