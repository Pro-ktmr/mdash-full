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W:\大学改革室\※年度継続フォルダ\高等教育研究開発センター\2023年度\4_数理・データサイエンス・AI教育\2.数理・データサイエンス・AI教育認定申請書\提出用書類\01_淑徳大学_リテラシー\"/>
    </mc:Choice>
  </mc:AlternateContent>
  <bookViews>
    <workbookView xWindow="0" yWindow="495" windowWidth="19200" windowHeight="21105" tabRatio="891" firstSheet="2" activeTab="6"/>
  </bookViews>
  <sheets>
    <sheet name="様式１-１　プログラムを構成する授業科目" sheetId="46" r:id="rId1"/>
    <sheet name="様式１-２　プログラムを構成する授業科目" sheetId="45" r:id="rId2"/>
    <sheet name="様式１-３　プログラムを構成する授業科目 " sheetId="44" r:id="rId3"/>
    <sheet name="様式１-４　プログラムを構成する授業科目" sheetId="39" r:id="rId4"/>
    <sheet name="様式２ 履修者等数の実績" sheetId="40" r:id="rId5"/>
    <sheet name="様式３ 教育の質・履修者数を向上させるための体制・計画" sheetId="41" r:id="rId6"/>
    <sheet name="様式４　自己点検・評価" sheetId="42" r:id="rId7"/>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'様式１-３　プログラムを構成する授業科目 '!$V$14:$V$16</definedName>
    <definedName name="_xlnm._FilterDatabase" localSheetId="3" hidden="1">'様式１-４　プログラムを構成する授業科目'!$V$14:$V$16</definedName>
    <definedName name="_xlnm._FilterDatabase" localSheetId="4"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'様式１-３　プログラムを構成する授業科目 '!$A$1:$S$102</definedName>
    <definedName name="_xlnm.Print_Area" localSheetId="3">'様式１-４　プログラムを構成する授業科目'!$A$1:$S$102</definedName>
    <definedName name="_xlnm.Print_Area" localSheetId="4">'様式２ 履修者等数の実績'!$A$1:$AQ$32</definedName>
    <definedName name="_xlnm.Print_Area" localSheetId="5">'様式３ 教育の質・履修者数を向上させるための体制・計画'!$A$1:$I$120</definedName>
    <definedName name="_xlnm.Print_Area" localSheetId="6">'様式４　自己点検・評価'!$A$1:$I$22</definedName>
    <definedName name="_xlnm.Print_Titles" localSheetId="6">'様式４　自己点検・評価'!$11:$11</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40" l="1"/>
  <c r="I13" i="40"/>
  <c r="L15"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G32" i="40"/>
  <c r="H32" i="40"/>
  <c r="F13" i="40"/>
  <c r="AP13" i="40" s="1"/>
  <c r="F14" i="40"/>
  <c r="AP14" i="40" s="1"/>
  <c r="AP15" i="40"/>
  <c r="AP16" i="40"/>
  <c r="AP17" i="40"/>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<sst xmlns="http://schemas.openxmlformats.org/spreadsheetml/2006/main" count="730" uniqueCount="195">
  <si>
    <t>様式１-１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</si>
  <si>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</si>
  <si>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</si>
  <si>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淑徳大学</t>
    <rPh sb="0" eb="4">
      <t>シュクトクダイガク</t>
    </rPh>
    <phoneticPr fontId="1"/>
  </si>
  <si>
    <t>プログラム名</t>
    <rPh sb="5" eb="6">
      <t>メイ</t>
    </rPh>
    <phoneticPr fontId="1"/>
  </si>
  <si>
    <t>数理・データサイエンス・AI教育プログラム</t>
    <rPh sb="0" eb="2">
      <t>スウリ</t>
    </rPh>
    <rPh sb="14" eb="16">
      <t>キョウイク</t>
    </rPh>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</si>
  <si>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</si>
  <si>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</si>
  <si>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</si>
  <si>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学部・学科によって、修了要件は相違する</t>
  </si>
  <si>
    <t>総合福祉学部：社会福祉学科・教育福祉学科・実践心理学科、コミュニティ政策学部：コミュニティ政策学科</t>
    <phoneticPr fontId="1"/>
  </si>
  <si>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</si>
  <si>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</si>
  <si>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</si>
  <si>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</si>
  <si>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</si>
  <si>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</si>
  <si>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</si>
  <si>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</si>
  <si>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</si>
  <si>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</si>
  <si>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</si>
  <si>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</si>
  <si>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</si>
  <si>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</si>
  <si>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情報社会とデータサイエンス</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</si>
  <si>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</si>
  <si>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</si>
  <si>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</si>
  <si>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</si>
  <si>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</si>
  <si>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</si>
  <si>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</si>
  <si>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</si>
  <si>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</si>
  <si>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</si>
  <si>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</si>
  <si>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</si>
  <si>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</si>
  <si>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</si>
  <si>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情報処理法</t>
    <rPh sb="0" eb="2">
      <t>ジョウホウ</t>
    </rPh>
    <rPh sb="2" eb="4">
      <t>ショリ</t>
    </rPh>
    <rPh sb="4" eb="5">
      <t>ホウ</t>
    </rPh>
    <phoneticPr fontId="1"/>
  </si>
  <si>
    <t>情報活用法</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</si>
  <si>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</si>
  <si>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</si>
  <si>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</si>
  <si>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</si>
  <si>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</si>
  <si>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</si>
  <si>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</si>
  <si>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</si>
  <si>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</si>
  <si>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</si>
  <si>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</si>
  <si>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</si>
  <si>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</si>
  <si>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・数理・データサイエンス・AIを学ぶことの必要性を理解することができる。
・社会でどのように活用され、新たな価値を生んでいるのかを理解することができる。
・AIの得意なところ、苦手なところを理解し、人間中心の適切な判断する力を身に付けることができる。
・社会の実データ、実課題を適切に読み解き、判断する力を身に付けることができる。
・デジタル社会において、数理・データサイエンス・AIを日常の生活、仕事等の場で使いこなすことができる。</t>
    <rPh sb="21" eb="24">
      <t>ヒツヨウセイ</t>
    </rPh>
    <phoneticPr fontId="1"/>
  </si>
  <si>
    <t>様式１-２</t>
    <rPh sb="0" eb="2">
      <t>ヨウシキ</t>
    </rPh>
    <phoneticPr fontId="1"/>
  </si>
  <si>
    <t>看護栄養学部：看護学科・栄養学科</t>
    <rPh sb="0" eb="6">
      <t>カンゴエイヨウガクブ</t>
    </rPh>
    <rPh sb="7" eb="11">
      <t>カンゴガッカ</t>
    </rPh>
    <rPh sb="12" eb="14">
      <t>エイヨウ</t>
    </rPh>
    <rPh sb="14" eb="16">
      <t>ガッカ</t>
    </rPh>
    <phoneticPr fontId="1"/>
  </si>
  <si>
    <t>様式１-３</t>
    <rPh sb="0" eb="2">
      <t>ヨウシキ</t>
    </rPh>
    <phoneticPr fontId="1"/>
  </si>
  <si>
    <t>経営学部：経営学科・観光経営学科、教育学部：こども教育学科</t>
    <rPh sb="0" eb="4">
      <t>ケイエイガクブ</t>
    </rPh>
    <rPh sb="5" eb="9">
      <t>ケイエイガッカ</t>
    </rPh>
    <rPh sb="10" eb="16">
      <t>カンコウケイエイガッカ</t>
    </rPh>
    <rPh sb="17" eb="21">
      <t>キョウイクガクブ</t>
    </rPh>
    <rPh sb="25" eb="27">
      <t>キョウイク</t>
    </rPh>
    <rPh sb="27" eb="29">
      <t>ガッカ</t>
    </rPh>
    <phoneticPr fontId="1"/>
  </si>
  <si>
    <t>情報基礎演習</t>
    <phoneticPr fontId="1"/>
  </si>
  <si>
    <t>情報応用演習</t>
    <rPh sb="0" eb="6">
      <t>ジョウホウオウヨウエンシュウ</t>
    </rPh>
    <phoneticPr fontId="1"/>
  </si>
  <si>
    <t>様式１-４</t>
    <rPh sb="0" eb="2">
      <t>ヨウシキ</t>
    </rPh>
    <phoneticPr fontId="1"/>
  </si>
  <si>
    <t>人文学部：歴史学科・表現学科</t>
    <rPh sb="0" eb="4">
      <t>ジンブンガクブ</t>
    </rPh>
    <rPh sb="5" eb="9">
      <t>レキシガッカ</t>
    </rPh>
    <rPh sb="10" eb="14">
      <t>ヒョウゲンガッカ</t>
    </rPh>
    <phoneticPr fontId="1"/>
  </si>
  <si>
    <t>情報管理法</t>
    <phoneticPr fontId="1"/>
  </si>
  <si>
    <t>様式２</t>
    <phoneticPr fontId="1"/>
  </si>
  <si>
    <t>プログラムの履修者数等の実績について</t>
    <phoneticPr fontId="1"/>
  </si>
  <si>
    <t>①プログラム開設年度</t>
    <rPh sb="6" eb="8">
      <t>カイセツ</t>
    </rPh>
    <rPh sb="8" eb="10">
      <t>ネンド</t>
    </rPh>
    <phoneticPr fontId="1"/>
  </si>
  <si>
    <t>令和4</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</si>
  <si>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</si>
  <si>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</si>
  <si>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</si>
  <si>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</si>
  <si>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</si>
  <si>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</si>
  <si>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</si>
  <si>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</si>
  <si>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</si>
  <si>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</si>
  <si>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</si>
  <si>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</si>
  <si>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</si>
  <si>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</si>
  <si>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</si>
  <si>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</si>
  <si>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</si>
  <si>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</si>
  <si>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総合福祉学部</t>
    <rPh sb="0" eb="4">
      <t>ソウゴウフクシ</t>
    </rPh>
    <rPh sb="4" eb="6">
      <t>ガクブ</t>
    </rPh>
    <phoneticPr fontId="1"/>
  </si>
  <si>
    <t>看護栄養学部</t>
    <rPh sb="0" eb="6">
      <t>カンゴエイヨウガクブ</t>
    </rPh>
    <phoneticPr fontId="1"/>
  </si>
  <si>
    <t>経営学部</t>
    <rPh sb="0" eb="4">
      <t>ケイエイガクブ</t>
    </rPh>
    <phoneticPr fontId="1"/>
  </si>
  <si>
    <t>教育学部</t>
    <phoneticPr fontId="1"/>
  </si>
  <si>
    <t>人文学部</t>
    <rPh sb="0" eb="4">
      <t>ジンブンガクブ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</si>
  <si>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</si>
  <si>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</si>
  <si>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</si>
  <si>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</si>
  <si>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</si>
  <si>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</si>
  <si>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</si>
  <si>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</si>
  <si>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</si>
  <si>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</si>
  <si>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</si>
  <si>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</si>
  <si>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</si>
  <si>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</si>
  <si>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下山　昭夫</t>
    <rPh sb="0" eb="2">
      <t>シモヤマ</t>
    </rPh>
    <rPh sb="3" eb="5">
      <t>アキオ</t>
    </rPh>
    <phoneticPr fontId="1"/>
  </si>
  <si>
    <t>（役職名）</t>
    <rPh sb="1" eb="4">
      <t>ヤクショクメイ</t>
    </rPh>
    <phoneticPr fontId="1"/>
  </si>
  <si>
    <t>高等教育研究開発センター長</t>
    <rPh sb="0" eb="6">
      <t>コウトウキョウイクケンキュウ</t>
    </rPh>
    <rPh sb="6" eb="8">
      <t>カイハツ</t>
    </rPh>
    <rPh sb="12" eb="13">
      <t>チョウ</t>
    </rPh>
    <phoneticPr fontId="1"/>
  </si>
  <si>
    <t>④</t>
    <phoneticPr fontId="1"/>
  </si>
  <si>
    <t>淑徳大学高等教育研究開発センター数理・データサイエンス・AI教育部門</t>
    <rPh sb="0" eb="2">
      <t>シュクトク</t>
    </rPh>
    <rPh sb="2" eb="4">
      <t>ダイガク</t>
    </rPh>
    <phoneticPr fontId="1"/>
  </si>
  <si>
    <t>松山恵美子</t>
    <phoneticPr fontId="1"/>
  </si>
  <si>
    <t>数理・データサイエンス・AI教育部門長</t>
    <rPh sb="0" eb="2">
      <t>スウリ</t>
    </rPh>
    <rPh sb="14" eb="16">
      <t>キョウイク</t>
    </rPh>
    <rPh sb="16" eb="19">
      <t>ブモンチョウ</t>
    </rPh>
    <phoneticPr fontId="1"/>
  </si>
  <si>
    <t>⑤</t>
    <phoneticPr fontId="1"/>
  </si>
  <si>
    <t>プログラムを改善・進化させるための体制を定める規則名称</t>
    <phoneticPr fontId="1"/>
  </si>
  <si>
    <t>淑徳大学高等教育研究開発センター規程</t>
    <phoneticPr fontId="1"/>
  </si>
  <si>
    <t>⑥</t>
    <phoneticPr fontId="1"/>
  </si>
  <si>
    <t>体制の目的</t>
    <rPh sb="0" eb="2">
      <t>タイセイ</t>
    </rPh>
    <rPh sb="3" eb="5">
      <t>モクテキ</t>
    </rPh>
    <phoneticPr fontId="1"/>
  </si>
  <si>
    <t>　大学の教育研究の改革・改善に関する事項を取扱い、大学の教育の発展・向上に資することを目的とした淑徳大学高等教育研究開発センター内に、数理・データサイエンス・AI教育部門を令和4年度に設置をした。この部門は、全学共通の数理・データサイエンス・AI教育プログラムの開発及び運営を行うことを目的とし、全ての学部から選出された情報教育あるいは関連分野の科目を担当をする教員及び各キャンパスの教学担当の職員で構成され、教職協働で数理・データサイエンス・AI教育の推進及び向上に取り組んでいる。またプログラムを円滑に運営するため定期的に部門会議を行い、各学部での課題の共有化と解決などプログラムのブラッシュアップに取り組んでいる。</t>
    <rPh sb="1" eb="3">
      <t>ダイガク</t>
    </rPh>
    <rPh sb="4" eb="6">
      <t>キョウイク</t>
    </rPh>
    <rPh sb="6" eb="8">
      <t>ケンキュウ</t>
    </rPh>
    <rPh sb="9" eb="11">
      <t>カイカク</t>
    </rPh>
    <rPh sb="12" eb="14">
      <t>カイゼン</t>
    </rPh>
    <rPh sb="15" eb="16">
      <t>カン</t>
    </rPh>
    <rPh sb="18" eb="20">
      <t>ジコウ</t>
    </rPh>
    <rPh sb="21" eb="23">
      <t>トリアツカ</t>
    </rPh>
    <rPh sb="25" eb="27">
      <t>ダイガク</t>
    </rPh>
    <rPh sb="28" eb="30">
      <t>キョウイク</t>
    </rPh>
    <rPh sb="31" eb="33">
      <t>ハッテン</t>
    </rPh>
    <rPh sb="34" eb="36">
      <t>コウジョウ</t>
    </rPh>
    <rPh sb="37" eb="38">
      <t>シ</t>
    </rPh>
    <rPh sb="43" eb="45">
      <t>モクテキ</t>
    </rPh>
    <rPh sb="48" eb="50">
      <t>シュクトク</t>
    </rPh>
    <rPh sb="50" eb="52">
      <t>ダイガク</t>
    </rPh>
    <rPh sb="52" eb="56">
      <t>コウトウキョウイク</t>
    </rPh>
    <rPh sb="56" eb="58">
      <t>ケンキュウ</t>
    </rPh>
    <rPh sb="58" eb="60">
      <t>カイハツ</t>
    </rPh>
    <rPh sb="64" eb="65">
      <t>ナイ</t>
    </rPh>
    <rPh sb="67" eb="69">
      <t>スウリ</t>
    </rPh>
    <rPh sb="81" eb="83">
      <t>キョウイク</t>
    </rPh>
    <rPh sb="83" eb="85">
      <t>ブモン</t>
    </rPh>
    <rPh sb="86" eb="88">
      <t>レイワ</t>
    </rPh>
    <rPh sb="89" eb="91">
      <t>ネンド</t>
    </rPh>
    <rPh sb="92" eb="94">
      <t>セッチ</t>
    </rPh>
    <rPh sb="100" eb="102">
      <t>ブモン</t>
    </rPh>
    <rPh sb="104" eb="106">
      <t>ゼンガク</t>
    </rPh>
    <rPh sb="106" eb="108">
      <t>キョウツウ</t>
    </rPh>
    <rPh sb="109" eb="111">
      <t>スウリ</t>
    </rPh>
    <rPh sb="123" eb="125">
      <t>キョウイク</t>
    </rPh>
    <rPh sb="131" eb="133">
      <t>カイハツ</t>
    </rPh>
    <rPh sb="133" eb="134">
      <t>オヨ</t>
    </rPh>
    <rPh sb="135" eb="137">
      <t>ウンエイ</t>
    </rPh>
    <rPh sb="138" eb="139">
      <t>オコナ</t>
    </rPh>
    <rPh sb="143" eb="145">
      <t>モクテキ</t>
    </rPh>
    <rPh sb="148" eb="149">
      <t>スベ</t>
    </rPh>
    <rPh sb="151" eb="153">
      <t>ガクブ</t>
    </rPh>
    <rPh sb="155" eb="157">
      <t>センシュツ</t>
    </rPh>
    <rPh sb="160" eb="162">
      <t>ジョウホウ</t>
    </rPh>
    <rPh sb="162" eb="164">
      <t>キョウイク</t>
    </rPh>
    <rPh sb="168" eb="170">
      <t>カンレン</t>
    </rPh>
    <rPh sb="170" eb="172">
      <t>ブンヤ</t>
    </rPh>
    <rPh sb="173" eb="175">
      <t>カモク</t>
    </rPh>
    <rPh sb="176" eb="178">
      <t>タントウ</t>
    </rPh>
    <rPh sb="181" eb="183">
      <t>キョウイン</t>
    </rPh>
    <rPh sb="183" eb="184">
      <t>オヨ</t>
    </rPh>
    <rPh sb="185" eb="186">
      <t>カク</t>
    </rPh>
    <rPh sb="192" eb="194">
      <t>キョウガク</t>
    </rPh>
    <rPh sb="194" eb="196">
      <t>タントウ</t>
    </rPh>
    <rPh sb="197" eb="199">
      <t>ショクイン</t>
    </rPh>
    <rPh sb="200" eb="202">
      <t>コウセイ</t>
    </rPh>
    <rPh sb="205" eb="207">
      <t>キョウショク</t>
    </rPh>
    <rPh sb="207" eb="209">
      <t>キョウドウ</t>
    </rPh>
    <rPh sb="210" eb="212">
      <t>スウリ</t>
    </rPh>
    <rPh sb="224" eb="226">
      <t>キョウイク</t>
    </rPh>
    <rPh sb="227" eb="229">
      <t>スイシン</t>
    </rPh>
    <rPh sb="229" eb="230">
      <t>オヨ</t>
    </rPh>
    <rPh sb="231" eb="233">
      <t>コウジョウ</t>
    </rPh>
    <rPh sb="234" eb="235">
      <t>ト</t>
    </rPh>
    <rPh sb="236" eb="237">
      <t>ク</t>
    </rPh>
    <rPh sb="250" eb="252">
      <t>エンカツ</t>
    </rPh>
    <rPh sb="253" eb="255">
      <t>ウンエイ</t>
    </rPh>
    <rPh sb="259" eb="262">
      <t>テイキテキ</t>
    </rPh>
    <rPh sb="263" eb="265">
      <t>ブモン</t>
    </rPh>
    <rPh sb="265" eb="267">
      <t>カイギ</t>
    </rPh>
    <rPh sb="268" eb="269">
      <t>オコナ</t>
    </rPh>
    <rPh sb="271" eb="272">
      <t>カク</t>
    </rPh>
    <rPh sb="272" eb="274">
      <t>ガクブ</t>
    </rPh>
    <rPh sb="276" eb="278">
      <t>カダイ</t>
    </rPh>
    <rPh sb="279" eb="282">
      <t>キョウユウカ</t>
    </rPh>
    <rPh sb="283" eb="285">
      <t>カイケツ</t>
    </rPh>
    <rPh sb="302" eb="303">
      <t>ト</t>
    </rPh>
    <rPh sb="304" eb="305">
      <t>ク</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</si>
  <si>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</si>
  <si>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</si>
  <si>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</si>
  <si>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</si>
  <si>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</si>
  <si>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</si>
  <si>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</si>
  <si>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</si>
  <si>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</si>
  <si>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</si>
  <si>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</si>
  <si>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r>
      <t>　令和4年度は新入生に対し、オリエンテーションでの案内を実施した。特に教職課程の学生に対しては、履修指導などでプログラムの該当科目を履修するよう指導を実施している。
令和5年度からは全学共通基礎教育科目を見直し、新入生オリエンテーションで学生への周知を実施するほか、数理・データサイエンス・AI教育を大学として進めることを記載したホームページを設置し学内外に広く公表している。本数理・データサイエンス・AI教育プログラムは必修科目2科目と選択科目１科目で構成されている。そのため選択科目である「情報社会とデータサイエンス」については、</t>
    </r>
    <r>
      <rPr>
        <sz val="12"/>
        <rFont val="ＭＳ Ｐゴシック"/>
        <family val="3"/>
        <charset val="128"/>
        <scheme val="minor"/>
      </rPr>
      <t>全学部の履修モデル45モデルのうち、23モデル（開講科目の関係上、履修ができない学科が存在したため）に含め、積極</t>
    </r>
    <r>
      <rPr>
        <sz val="12"/>
        <color theme="1"/>
        <rFont val="ＭＳ Ｐゴシック"/>
        <family val="3"/>
        <charset val="128"/>
        <scheme val="minor"/>
      </rPr>
      <t>的に履修することを促進している。
数理・データサイエンス・AI教育推進については令和5年度から5か年の中期事業計画にKPIとして設定し、大学全体で①数理・データサイエンス・ＡＩ教育認定プログラム修了生　卒業生の50％以上、②・教職課程履修者の履修率100％を掲げている。</t>
    </r>
    <rPh sb="28" eb="30">
      <t>ジッシ</t>
    </rPh>
    <rPh sb="102" eb="104">
      <t>ミナオ</t>
    </rPh>
    <rPh sb="106" eb="109">
      <t>シンニュウセイ</t>
    </rPh>
    <rPh sb="119" eb="121">
      <t>ガクセイ</t>
    </rPh>
    <rPh sb="123" eb="125">
      <t>シュウチ</t>
    </rPh>
    <rPh sb="126" eb="128">
      <t>ジッシ</t>
    </rPh>
    <rPh sb="161" eb="163">
      <t>キサイ</t>
    </rPh>
    <rPh sb="172" eb="174">
      <t>セッチ</t>
    </rPh>
    <rPh sb="188" eb="189">
      <t>ホン</t>
    </rPh>
    <rPh sb="189" eb="191">
      <t>スウリ</t>
    </rPh>
    <rPh sb="203" eb="205">
      <t>キョウイク</t>
    </rPh>
    <rPh sb="211" eb="213">
      <t>ヒッシュウ</t>
    </rPh>
    <rPh sb="213" eb="215">
      <t>カモク</t>
    </rPh>
    <rPh sb="216" eb="218">
      <t>カモク</t>
    </rPh>
    <rPh sb="219" eb="221">
      <t>センタク</t>
    </rPh>
    <rPh sb="221" eb="223">
      <t>カモク</t>
    </rPh>
    <rPh sb="224" eb="226">
      <t>カモク</t>
    </rPh>
    <rPh sb="227" eb="229">
      <t>コウセイ</t>
    </rPh>
    <rPh sb="267" eb="270">
      <t>ゼンガクブ</t>
    </rPh>
    <rPh sb="271" eb="273">
      <t>リシュウ</t>
    </rPh>
    <rPh sb="291" eb="295">
      <t>カイコウカモク</t>
    </rPh>
    <rPh sb="296" eb="299">
      <t>カンケイジョウ</t>
    </rPh>
    <rPh sb="300" eb="302">
      <t>リシュウ</t>
    </rPh>
    <rPh sb="307" eb="309">
      <t>ガッカ</t>
    </rPh>
    <rPh sb="310" eb="312">
      <t>ソンザイ</t>
    </rPh>
    <rPh sb="318" eb="319">
      <t>フク</t>
    </rPh>
    <rPh sb="340" eb="342">
      <t>スウリ</t>
    </rPh>
    <rPh sb="354" eb="356">
      <t>キョウイク</t>
    </rPh>
    <rPh sb="356" eb="358">
      <t>スイシン</t>
    </rPh>
    <rPh sb="363" eb="365">
      <t>レイワ</t>
    </rPh>
    <rPh sb="366" eb="368">
      <t>ネンド</t>
    </rPh>
    <rPh sb="372" eb="373">
      <t>ネン</t>
    </rPh>
    <rPh sb="374" eb="376">
      <t>チュウキ</t>
    </rPh>
    <rPh sb="376" eb="378">
      <t>ジギョウ</t>
    </rPh>
    <rPh sb="378" eb="380">
      <t>ケイカク</t>
    </rPh>
    <rPh sb="387" eb="389">
      <t>セッテイ</t>
    </rPh>
    <rPh sb="391" eb="393">
      <t>ダイガク</t>
    </rPh>
    <rPh sb="393" eb="395">
      <t>ゼンタイ</t>
    </rPh>
    <rPh sb="452" eb="453">
      <t>カカ</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</si>
  <si>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</si>
  <si>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</si>
  <si>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　令和5年度から基盤教育を全学で一新し、数理・データサイエンス・AI教育は全ての学科で共通のプログラムとし、時間割などの配慮を実施、希望する学生は履修できるよう取り組んでいる。
必修科目は全ての学生が履修するが、選択科目は資格科目の履修を優先せざるを得ない一部学科があるため、授業の収録を行い、オンデマンド教材による履修の整備を進めている。
</t>
    <rPh sb="1" eb="3">
      <t>レイワ</t>
    </rPh>
    <rPh sb="4" eb="6">
      <t>ネンド</t>
    </rPh>
    <rPh sb="8" eb="10">
      <t>キバン</t>
    </rPh>
    <rPh sb="10" eb="12">
      <t>キョウイク</t>
    </rPh>
    <rPh sb="13" eb="15">
      <t>ゼンガク</t>
    </rPh>
    <rPh sb="16" eb="18">
      <t>イッシン</t>
    </rPh>
    <rPh sb="20" eb="22">
      <t>スウリ</t>
    </rPh>
    <rPh sb="34" eb="36">
      <t>キョウイク</t>
    </rPh>
    <rPh sb="37" eb="38">
      <t>スベ</t>
    </rPh>
    <rPh sb="40" eb="42">
      <t>ガッカ</t>
    </rPh>
    <rPh sb="43" eb="45">
      <t>キョウツウ</t>
    </rPh>
    <rPh sb="54" eb="57">
      <t>ジカンワリ</t>
    </rPh>
    <rPh sb="60" eb="62">
      <t>ハイリョ</t>
    </rPh>
    <rPh sb="63" eb="65">
      <t>ジッシ</t>
    </rPh>
    <rPh sb="66" eb="68">
      <t>キボウ</t>
    </rPh>
    <rPh sb="70" eb="72">
      <t>ガクセイ</t>
    </rPh>
    <rPh sb="73" eb="75">
      <t>リシュウ</t>
    </rPh>
    <rPh sb="80" eb="81">
      <t>ト</t>
    </rPh>
    <rPh sb="82" eb="83">
      <t>ク</t>
    </rPh>
    <rPh sb="89" eb="91">
      <t>ヒッシュウ</t>
    </rPh>
    <rPh sb="91" eb="93">
      <t>カモク</t>
    </rPh>
    <rPh sb="94" eb="95">
      <t>スベ</t>
    </rPh>
    <rPh sb="97" eb="99">
      <t>ガクセイ</t>
    </rPh>
    <rPh sb="100" eb="102">
      <t>リシュウ</t>
    </rPh>
    <rPh sb="106" eb="108">
      <t>センタク</t>
    </rPh>
    <rPh sb="108" eb="110">
      <t>カモク</t>
    </rPh>
    <rPh sb="138" eb="140">
      <t>ジュギョウ</t>
    </rPh>
    <rPh sb="141" eb="143">
      <t>シュウロク</t>
    </rPh>
    <rPh sb="144" eb="145">
      <t>オコナ</t>
    </rPh>
    <rPh sb="158" eb="160">
      <t>リシュウ</t>
    </rPh>
    <rPh sb="161" eb="163">
      <t>セイビ</t>
    </rPh>
    <rPh sb="164" eb="165">
      <t>スス</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</si>
  <si>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</si>
  <si>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</si>
  <si>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xml:space="preserve">　数理・データサイエンス・AI教育部門で共通の説明資料を作成し、入学後の新入生オリエンテーションで全学部の学生に向けた周知を行っている。また、個別の履修指導などでは数理・データサイエンス・AI教育の科目を配置した履修モデルを活用しながら履修指導を行っている。
　また、令和5年度には大学ホームページに数理・データサイエンス・AI教育プログラムのページを設け、新入生へのオリエンテーションや、プログラム対象となる上級生には教学システムによるメッセージ配信で数理・データサイエンス・AI教育の周知をしている。
</t>
    <rPh sb="1" eb="3">
      <t>スウリ</t>
    </rPh>
    <rPh sb="15" eb="17">
      <t>キョウイク</t>
    </rPh>
    <rPh sb="17" eb="19">
      <t>ブモン</t>
    </rPh>
    <rPh sb="20" eb="22">
      <t>キョウツウ</t>
    </rPh>
    <rPh sb="23" eb="25">
      <t>セツメイ</t>
    </rPh>
    <rPh sb="25" eb="27">
      <t>シリョウ</t>
    </rPh>
    <rPh sb="28" eb="30">
      <t>サクセイ</t>
    </rPh>
    <rPh sb="36" eb="39">
      <t>シンニュウセイ</t>
    </rPh>
    <rPh sb="49" eb="52">
      <t>ゼンガクブ</t>
    </rPh>
    <rPh sb="53" eb="55">
      <t>ガクセイ</t>
    </rPh>
    <rPh sb="56" eb="57">
      <t>ム</t>
    </rPh>
    <rPh sb="59" eb="61">
      <t>シュウチ</t>
    </rPh>
    <rPh sb="62" eb="63">
      <t>オコナ</t>
    </rPh>
    <rPh sb="71" eb="73">
      <t>コベツ</t>
    </rPh>
    <rPh sb="82" eb="84">
      <t>スウリ</t>
    </rPh>
    <rPh sb="96" eb="98">
      <t>キョウイク</t>
    </rPh>
    <rPh sb="99" eb="101">
      <t>カモク</t>
    </rPh>
    <rPh sb="102" eb="104">
      <t>ハイチ</t>
    </rPh>
    <rPh sb="106" eb="108">
      <t>リシュウ</t>
    </rPh>
    <rPh sb="112" eb="114">
      <t>カツヨウ</t>
    </rPh>
    <rPh sb="118" eb="120">
      <t>リシュウ</t>
    </rPh>
    <rPh sb="120" eb="122">
      <t>シドウ</t>
    </rPh>
    <rPh sb="123" eb="124">
      <t>オコナ</t>
    </rPh>
    <rPh sb="134" eb="136">
      <t>レイワ</t>
    </rPh>
    <rPh sb="137" eb="139">
      <t>ネンド</t>
    </rPh>
    <rPh sb="179" eb="182">
      <t>シンニュウセイ</t>
    </rPh>
    <rPh sb="200" eb="202">
      <t>タイショウ</t>
    </rPh>
    <rPh sb="205" eb="208">
      <t>ジョウキュウセイ</t>
    </rPh>
    <rPh sb="227" eb="229">
      <t>スウリ</t>
    </rPh>
    <rPh sb="241" eb="243">
      <t>キョウイク</t>
    </rPh>
    <phoneticPr fontId="1"/>
  </si>
  <si>
    <t>⑪</t>
    <phoneticPr fontId="1"/>
  </si>
  <si>
    <t>できる限り多くの学生が履修・修得できるようなサポート体制</t>
    <rPh sb="26" eb="28">
      <t>タイセイ</t>
    </rPh>
    <phoneticPr fontId="1"/>
  </si>
  <si>
    <t>　数理・データサイエンス・AI教育の理解を深めるうえで、各キャンパスで下記の取組みを行っている。
・情報スキルアップのため、夏休み/春休みのMOS資格講座を実施。
情報スキルアップに関する教育は、基礎的なスキルレベルは「情報リテラシー」「データリテラシー」の授業科目で対応している。それ以上の内容に関しては、マイクロソフト社の認定資格であるMOS（Microsoft Office Specialist）資格の講習会及び資格取得を通じて、学生のスキルレベル向上に取り組んでいる。
・定期的な情報交換を実施する仕組み
情報の授業を担当する兼任講師と情報担当専任教員、担当職員により毎学期に2～3回程度の定期的な情報交換を実施している。
・オープンバッジの導入によるプログラム履修の推進
　本学の設定した数理・データサイエンス・AI教育プログラムを履修し、対象科目すべての単位を修得した学生には、デジタル証明書であるオープンバッジの発行を予定している。</t>
    <rPh sb="326" eb="328">
      <t>ドウニュウ</t>
    </rPh>
    <rPh sb="336" eb="338">
      <t>リシュウ</t>
    </rPh>
    <rPh sb="339" eb="341">
      <t>スイシン</t>
    </rPh>
    <rPh sb="343" eb="345">
      <t>ホンガク</t>
    </rPh>
    <rPh sb="346" eb="348">
      <t>セッテイ</t>
    </rPh>
    <rPh sb="350" eb="352">
      <t>スウリ</t>
    </rPh>
    <rPh sb="364" eb="366">
      <t>キョウイク</t>
    </rPh>
    <rPh sb="372" eb="374">
      <t>リシュウ</t>
    </rPh>
    <rPh sb="376" eb="380">
      <t>タイショウカモク</t>
    </rPh>
    <rPh sb="384" eb="386">
      <t>タンイ</t>
    </rPh>
    <rPh sb="387" eb="389">
      <t>シュウトク</t>
    </rPh>
    <rPh sb="391" eb="393">
      <t>ガクセイ</t>
    </rPh>
    <rPh sb="400" eb="403">
      <t>ショウメイショ</t>
    </rPh>
    <rPh sb="414" eb="416">
      <t>ハッコウ</t>
    </rPh>
    <rPh sb="417" eb="419">
      <t>ヨテイ</t>
    </rPh>
    <phoneticPr fontId="1"/>
  </si>
  <si>
    <t>⑫</t>
    <phoneticPr fontId="1"/>
  </si>
  <si>
    <t>授業時間内外で学習指導、質問を受け付ける具体的な仕組み</t>
    <rPh sb="20" eb="23">
      <t>グタイテキ</t>
    </rPh>
    <phoneticPr fontId="1"/>
  </si>
  <si>
    <t>　本教育プログラムの対象科目履修クラスに、授業内における質問等に対応する役割としてのコーディネーター、または学生アシスタント・TAを配置する体制を整備し、授業時間内において課題に対する質問を受け付ける体制を整えている。また、千葉キャンパスでは情報教室のすぐ近くに専門員が常駐し、授業時間外でも学生の課題や質問に対応している。</t>
    <rPh sb="10" eb="12">
      <t>タイショウ</t>
    </rPh>
    <rPh sb="12" eb="14">
      <t>カモク</t>
    </rPh>
    <rPh sb="112" eb="114">
      <t>チバ</t>
    </rPh>
    <rPh sb="121" eb="123">
      <t>ジョウホウ</t>
    </rPh>
    <rPh sb="123" eb="125">
      <t>キョウシツ</t>
    </rPh>
    <rPh sb="128" eb="129">
      <t>チカ</t>
    </rPh>
    <rPh sb="131" eb="133">
      <t>センモン</t>
    </rPh>
    <rPh sb="133" eb="134">
      <t>イン</t>
    </rPh>
    <rPh sb="135" eb="137">
      <t>ジョウチュウ</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</si>
  <si>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</si>
  <si>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</si>
  <si>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</si>
  <si>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</si>
  <si>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高等教育研究開発センター</t>
    <phoneticPr fontId="1"/>
  </si>
  <si>
    <t>下山昭夫</t>
    <phoneticPr fontId="1"/>
  </si>
  <si>
    <t>高等教育研究開発センター長</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</si>
  <si>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</si>
  <si>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</si>
  <si>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</si>
  <si>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</si>
  <si>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</si>
  <si>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【プログラムの履修状況】
　令和4年度より大学全体で数理・データサイエンス・AI教育を開講し、全ての学部学科でカリキュラム改正及び学則改正を行い必要な科目を配置した。履修情報は高等教育研究開発センターの事務担当がデータを収集し、選択科目である2022年度の「情報社会とデータサイエンス」については233名、必修科目の単位を取得し、数理・データサイエンス・AI教育プログラムを修了したのは202名であった。
【プログラムの習得状況】
　単位取得状況について、「情報社会とデータサイエンス」の受講者のうち合格者の割合は・・90.9％、「情報処理法」・・92.3％、「情報基礎演習」・・95.3％、「情報管理法」・・98.0％、「情報活用法」・・87.7％、「情報応用演習」・・92.7％であり、概ね適切な成績評価と単位認定が行われたと判断できる。
【改善に向けた取組】
　履修状況は教職課程の学生が多く、教職課程での数理・データサイエンス・AI教育の必要性について指導した結果であると考えられる。今後、オープンバッジなどの導入や数理・データサイエンス・AI教育の必要性などをオリエンテーションを通じて、履修者数を増やす取り組みと行う。また単位の修得状況については、高等教育研究開発センターが中心となり、成績分布などの一覧を通じて、検証及び改善を行う。</t>
    <rPh sb="7" eb="9">
      <t>リシュウ</t>
    </rPh>
    <rPh sb="9" eb="11">
      <t>ジョウキョウ</t>
    </rPh>
    <rPh sb="14" eb="16">
      <t>レイワ</t>
    </rPh>
    <rPh sb="17" eb="19">
      <t>ネンド</t>
    </rPh>
    <rPh sb="21" eb="23">
      <t>ダイガク</t>
    </rPh>
    <rPh sb="23" eb="25">
      <t>ゼンタイ</t>
    </rPh>
    <rPh sb="26" eb="28">
      <t>スウリ</t>
    </rPh>
    <rPh sb="40" eb="42">
      <t>キョウイク</t>
    </rPh>
    <rPh sb="43" eb="45">
      <t>カイコウ</t>
    </rPh>
    <rPh sb="47" eb="48">
      <t>スベ</t>
    </rPh>
    <rPh sb="50" eb="52">
      <t>ガクブ</t>
    </rPh>
    <rPh sb="52" eb="54">
      <t>ガッカ</t>
    </rPh>
    <rPh sb="61" eb="63">
      <t>カイセイ</t>
    </rPh>
    <rPh sb="63" eb="64">
      <t>オヨ</t>
    </rPh>
    <rPh sb="65" eb="67">
      <t>ガクソク</t>
    </rPh>
    <rPh sb="67" eb="69">
      <t>カイセイ</t>
    </rPh>
    <rPh sb="70" eb="71">
      <t>オコナ</t>
    </rPh>
    <rPh sb="72" eb="74">
      <t>ヒツヨウ</t>
    </rPh>
    <rPh sb="75" eb="77">
      <t>カモク</t>
    </rPh>
    <rPh sb="78" eb="80">
      <t>ハイチ</t>
    </rPh>
    <rPh sb="83" eb="85">
      <t>リシュウ</t>
    </rPh>
    <rPh sb="85" eb="87">
      <t>ジョウホウ</t>
    </rPh>
    <rPh sb="88" eb="96">
      <t>コウトウキョウイクケンキュウカイハツ</t>
    </rPh>
    <rPh sb="101" eb="103">
      <t>ジム</t>
    </rPh>
    <rPh sb="103" eb="105">
      <t>タントウ</t>
    </rPh>
    <rPh sb="110" eb="112">
      <t>シュウシュウ</t>
    </rPh>
    <rPh sb="114" eb="116">
      <t>センタク</t>
    </rPh>
    <rPh sb="116" eb="118">
      <t>カモク</t>
    </rPh>
    <rPh sb="153" eb="155">
      <t>ヒッシュウ</t>
    </rPh>
    <rPh sb="155" eb="157">
      <t>カモク</t>
    </rPh>
    <rPh sb="158" eb="160">
      <t>タンイ</t>
    </rPh>
    <rPh sb="161" eb="163">
      <t>シュトク</t>
    </rPh>
    <rPh sb="210" eb="212">
      <t>シュウトク</t>
    </rPh>
    <rPh sb="212" eb="214">
      <t>ジョウキョウ</t>
    </rPh>
    <rPh sb="373" eb="375">
      <t>カイゼン</t>
    </rPh>
    <rPh sb="376" eb="377">
      <t>ム</t>
    </rPh>
    <rPh sb="379" eb="381">
      <t>トリクミ</t>
    </rPh>
    <rPh sb="384" eb="386">
      <t>リシュウ</t>
    </rPh>
    <rPh sb="386" eb="388">
      <t>ジョウキョウ</t>
    </rPh>
    <rPh sb="440" eb="441">
      <t>カンガ</t>
    </rPh>
    <rPh sb="446" eb="448">
      <t>コンゴ</t>
    </rPh>
    <rPh sb="459" eb="461">
      <t>ドウニュウ</t>
    </rPh>
    <rPh sb="462" eb="464">
      <t>スウリ</t>
    </rPh>
    <rPh sb="476" eb="478">
      <t>キョウイク</t>
    </rPh>
    <rPh sb="479" eb="482">
      <t>ヒツヨウセイ</t>
    </rPh>
    <rPh sb="495" eb="496">
      <t>ツウ</t>
    </rPh>
    <rPh sb="499" eb="501">
      <t>リシュウ</t>
    </rPh>
    <rPh sb="501" eb="502">
      <t>シャ</t>
    </rPh>
    <rPh sb="502" eb="503">
      <t>スウ</t>
    </rPh>
    <rPh sb="504" eb="505">
      <t>フ</t>
    </rPh>
    <rPh sb="507" eb="508">
      <t>ト</t>
    </rPh>
    <rPh sb="509" eb="510">
      <t>ク</t>
    </rPh>
    <rPh sb="512" eb="513">
      <t>オコナ</t>
    </rPh>
    <rPh sb="517" eb="519">
      <t>タンイ</t>
    </rPh>
    <rPh sb="520" eb="522">
      <t>シュウトク</t>
    </rPh>
    <rPh sb="522" eb="524">
      <t>ジョウキョウ</t>
    </rPh>
    <rPh sb="530" eb="538">
      <t>コウトウキョウイクケンキュウカイハツ</t>
    </rPh>
    <rPh sb="543" eb="545">
      <t>チュウシン</t>
    </rPh>
    <rPh sb="549" eb="551">
      <t>セイセキ</t>
    </rPh>
    <rPh sb="551" eb="553">
      <t>ブンプ</t>
    </rPh>
    <rPh sb="556" eb="558">
      <t>イチラン</t>
    </rPh>
    <rPh sb="559" eb="560">
      <t>ツウ</t>
    </rPh>
    <rPh sb="563" eb="565">
      <t>ケンショウ</t>
    </rPh>
    <rPh sb="565" eb="566">
      <t>オヨ</t>
    </rPh>
    <rPh sb="567" eb="569">
      <t>カイゼン</t>
    </rPh>
    <rPh sb="570" eb="571">
      <t>オコナ</t>
    </rPh>
    <phoneticPr fontId="1"/>
  </si>
  <si>
    <t>学修成果</t>
    <rPh sb="0" eb="2">
      <t>ガクシュウ</t>
    </rPh>
    <rPh sb="2" eb="4">
      <t>セイカ</t>
    </rPh>
    <phoneticPr fontId="1"/>
  </si>
  <si>
    <t>　プログラムに関連する科目全てにおいて、到達目標を明記し、全てのシラバスについて第三者がシラバスチェックを行い、共通のプログラムとなるように取り組んでいる。また受講者を対象に授業アンケートを実施し。分析結果を大学レベル・教育課程レベル・担当教員にフィードバックし、今後の授業運営に反映している。
また11月に高等教育研究開発センターが行う学修行動等に関する調査では、入学した時点と比べての能力や知識の変化についての設問を設定し、「データや情報を収集・分析し、表現する力が増えた」によって、プログラムの学修成果を間接的に図っている。また、データサイエンスの関連科目における授業アンケートの結果（理解度や到達度など）や、授業における実態など、定量的、定性的双方の観点で、高等教育研究開発センターにおける委員会（データサイエンス運営担当者会議）などで共有及び検討し、次年度以降のプログラム運営の改善策を策定して、実行に向けて準備を進めている。</t>
    <rPh sb="20" eb="22">
      <t>トウタツ</t>
    </rPh>
    <rPh sb="22" eb="24">
      <t>モクヒョウ</t>
    </rPh>
    <rPh sb="25" eb="27">
      <t>メイキ</t>
    </rPh>
    <rPh sb="29" eb="30">
      <t>スベ</t>
    </rPh>
    <rPh sb="40" eb="43">
      <t>ダイサンシャ</t>
    </rPh>
    <rPh sb="53" eb="54">
      <t>オコナ</t>
    </rPh>
    <rPh sb="56" eb="58">
      <t>キョウツウ</t>
    </rPh>
    <rPh sb="70" eb="71">
      <t>ト</t>
    </rPh>
    <rPh sb="72" eb="73">
      <t>ク</t>
    </rPh>
    <rPh sb="104" eb="106">
      <t>ダイガク</t>
    </rPh>
    <rPh sb="110" eb="112">
      <t>キョウイク</t>
    </rPh>
    <rPh sb="112" eb="114">
      <t>カテイ</t>
    </rPh>
    <rPh sb="152" eb="153">
      <t>ガツ</t>
    </rPh>
    <rPh sb="154" eb="162">
      <t>コウトウキョウイクケンキュウカイハツ</t>
    </rPh>
    <rPh sb="167" eb="168">
      <t>オコナ</t>
    </rPh>
    <rPh sb="169" eb="171">
      <t>ガクシュウ</t>
    </rPh>
    <rPh sb="171" eb="173">
      <t>コウドウ</t>
    </rPh>
    <rPh sb="173" eb="174">
      <t>トウ</t>
    </rPh>
    <rPh sb="175" eb="176">
      <t>カン</t>
    </rPh>
    <rPh sb="178" eb="180">
      <t>チョウサ</t>
    </rPh>
    <rPh sb="183" eb="185">
      <t>ニュウガク</t>
    </rPh>
    <rPh sb="187" eb="189">
      <t>ジテン</t>
    </rPh>
    <rPh sb="190" eb="191">
      <t>クラ</t>
    </rPh>
    <rPh sb="194" eb="196">
      <t>ノウリョク</t>
    </rPh>
    <rPh sb="197" eb="199">
      <t>チシキ</t>
    </rPh>
    <rPh sb="200" eb="202">
      <t>ヘンカ</t>
    </rPh>
    <rPh sb="207" eb="209">
      <t>セツモン</t>
    </rPh>
    <rPh sb="210" eb="212">
      <t>セッテイ</t>
    </rPh>
    <rPh sb="219" eb="221">
      <t>ジョウホウ</t>
    </rPh>
    <rPh sb="222" eb="224">
      <t>シュウシュウ</t>
    </rPh>
    <rPh sb="225" eb="227">
      <t>ブンセキ</t>
    </rPh>
    <rPh sb="229" eb="231">
      <t>ヒョウゲン</t>
    </rPh>
    <rPh sb="233" eb="234">
      <t>チカラ</t>
    </rPh>
    <rPh sb="235" eb="236">
      <t>フ</t>
    </rPh>
    <rPh sb="250" eb="252">
      <t>ガクシュウ</t>
    </rPh>
    <rPh sb="252" eb="254">
      <t>セイカ</t>
    </rPh>
    <rPh sb="255" eb="258">
      <t>カンセツテキ</t>
    </rPh>
    <rPh sb="259" eb="260">
      <t>ハカ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</si>
  <si>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</si>
  <si>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xml:space="preserve">　数理・データサイエンス・AI教育の対象科目全てに授業アンケートを行い、授業アンケート設問3「あなたは、シラバスに書かれた授業の目的、内容、評価方法等を理解していましたか」の結果として、理解できている、概ね理解できていると回答したのは、それぞれの講義の受講者のうち、「情報社会とデータサイエンス」・・84.0％、「情報処理法」・・93.3％、「情報基礎演習」・・97.5％、「情報管理法」・・95.8％、「情報活用法」・・93.2％、「情報応用演習」・・95.0％であり、学生のほとんどが授業内容について理解できている。
</t>
    <rPh sb="1" eb="3">
      <t>スウリ</t>
    </rPh>
    <rPh sb="15" eb="17">
      <t>キョウイク</t>
    </rPh>
    <rPh sb="18" eb="20">
      <t>タイショウ</t>
    </rPh>
    <rPh sb="20" eb="22">
      <t>カモク</t>
    </rPh>
    <rPh sb="22" eb="23">
      <t>スベ</t>
    </rPh>
    <rPh sb="25" eb="27">
      <t>ジュギョウ</t>
    </rPh>
    <rPh sb="33" eb="34">
      <t>オコナ</t>
    </rPh>
    <rPh sb="43" eb="45">
      <t>セツモン</t>
    </rPh>
    <rPh sb="93" eb="95">
      <t>リカイ</t>
    </rPh>
    <rPh sb="123" eb="125">
      <t>コウギ</t>
    </rPh>
    <rPh sb="126" eb="129">
      <t>ジュコウシャ</t>
    </rPh>
    <rPh sb="236" eb="238">
      <t>ガクセイ</t>
    </rPh>
    <rPh sb="244" eb="248">
      <t>ジュギョウナイヨウ</t>
    </rPh>
    <rPh sb="252" eb="254">
      <t>リカイ</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</si>
  <si>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</si>
  <si>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授業アンケートの授業の成果について設定した設問「あなたは、この授業を受講して、満足していますか」についてそれぞれ受講者のうち、「情報社会とデータサイエンス」・・67.0％、「情報処理法」・・96.5％、「情報基礎演習」・・96.8％、「情報管理法」・・98.4％、「情報活用法」・・88.6％、「情報応用演習」・・96.8％という高い数字が出ており、今後、他学生へ波及することが見込まれている。また、令和5年度に向けて実施された新入生オリエンテーションにて学生、教員向けにプログラムに関する周知をするなど、履修率向上の施策を実施してい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</si>
  <si>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</si>
  <si>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全学的な履修者数・履修率の向上に向けた計画については、これまでの履修状況や単位取得状況、授業アンケートの結果などを考慮し、高等教育研究開発センター（データサイエンス運営担当者会議）を中心に、各学部の状況を踏まえつつ全学的な観点で履修者数、履修率向上に向けた改善計画を立案し推進している。また、次年度よりプログラム修了者にはオープンバッジ（デジタル証明書）を授与することで、データサイエンスに関する学修成果を示すことが可能となり、就職活動などでの活用が見込まれる。
また進捗状況については令和5年度以降は高等教育研究開発センターだけではなく、中期事業計画のKPIとして設定しているため、大学の内部質保証推進委員会などでも進捗状況の確認を実施予定である。</t>
    <rPh sb="235" eb="237">
      <t>シンチョク</t>
    </rPh>
    <rPh sb="237" eb="239">
      <t>ジョウキョウ</t>
    </rPh>
    <rPh sb="244" eb="246">
      <t>レイワ</t>
    </rPh>
    <rPh sb="247" eb="249">
      <t>ネンド</t>
    </rPh>
    <rPh sb="249" eb="251">
      <t>イコウ</t>
    </rPh>
    <rPh sb="252" eb="260">
      <t>コウトウキョウイクケンキュウカイハツ</t>
    </rPh>
    <rPh sb="271" eb="277">
      <t>チュウキジギョウケイカク</t>
    </rPh>
    <rPh sb="284" eb="286">
      <t>セッテイ</t>
    </rPh>
    <rPh sb="293" eb="295">
      <t>ダイガク</t>
    </rPh>
    <rPh sb="296" eb="301">
      <t>ナイブシツホショウ</t>
    </rPh>
    <rPh sb="301" eb="303">
      <t>スイシン</t>
    </rPh>
    <rPh sb="303" eb="306">
      <t>イインカイ</t>
    </rPh>
    <rPh sb="310" eb="312">
      <t>シンチョク</t>
    </rPh>
    <rPh sb="312" eb="314">
      <t>ジョウキョウ</t>
    </rPh>
    <rPh sb="315" eb="317">
      <t>カクニン</t>
    </rPh>
    <rPh sb="318" eb="320">
      <t>ジッシ</t>
    </rPh>
    <rPh sb="320" eb="322">
      <t>ヨテイ</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</si>
  <si>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</si>
  <si>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</si>
  <si>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本プログラムは令和4年度より開始されたものであり、修了者の進路や活躍状況の把握・活用については、今後の課題となっている。本学は卒業生対象調査を卒業1年後に実施しており、本教育プログラムを修了した卒業生の進路先や活躍状況の把握をすることを想定している。また高等教育研究開発センターや学長室が民間企業、公務員団体に対して定期的に半構造インタビューを実施しているため、本教育プログラムを修了した卒業生における採用状況や卒業生の知識や能力評価を把握する仕組みを設ける予定である。</t>
    <rPh sb="1" eb="2">
      <t>ホン</t>
    </rPh>
    <rPh sb="8" eb="10">
      <t>レイワ</t>
    </rPh>
    <rPh sb="11" eb="13">
      <t>ネンド</t>
    </rPh>
    <rPh sb="15" eb="17">
      <t>カイシ</t>
    </rPh>
    <rPh sb="26" eb="29">
      <t>シュウリョウシャ</t>
    </rPh>
    <rPh sb="30" eb="32">
      <t>シンロ</t>
    </rPh>
    <rPh sb="67" eb="69">
      <t>タイショウ</t>
    </rPh>
    <rPh sb="72" eb="74">
      <t>ソツギョウ</t>
    </rPh>
    <rPh sb="76" eb="77">
      <t>アト</t>
    </rPh>
    <rPh sb="119" eb="121">
      <t>ソウテイ</t>
    </rPh>
    <rPh sb="128" eb="136">
      <t>コウトウキョウイクケンキュウカイハツ</t>
    </rPh>
    <rPh sb="141" eb="143">
      <t>ガクチョウ</t>
    </rPh>
    <rPh sb="143" eb="144">
      <t>シツ</t>
    </rPh>
    <rPh sb="159" eb="162">
      <t>テイキテキ</t>
    </rPh>
    <rPh sb="163" eb="164">
      <t>ハン</t>
    </rPh>
    <rPh sb="164" eb="166">
      <t>コウゾウ</t>
    </rPh>
    <rPh sb="207" eb="210">
      <t>ソツギョウセイ</t>
    </rPh>
    <rPh sb="211" eb="213">
      <t>チシキ</t>
    </rPh>
    <rPh sb="214" eb="216">
      <t>ノウリョク</t>
    </rPh>
    <rPh sb="230" eb="232">
      <t>ヨテイ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</si>
  <si>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</si>
  <si>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r>
      <t>　産業界からの視点として、数理・データサイエンス・AI教育等に知見のある外部有識者2名と及び大学の数理・データサイエンス・AI教育部門の教職員で自己点検・評価を実施し、科目の内容・手法に関する以下の意見をいただいた。
・科目のシラバスに学生が追いついておらず、講義の進行に影響が出た。
・講義を受けた学生には、メール、PowerPoint、Excel等の基本動作を扱えない学生が見受けられた。
・Zoom、動画を撮影する課題に対する抵抗感は見られなかった。
・ファイルの保存場所の概念やダブルクリック等、パソコンの基礎動作になれていない場面も見受けられた。
・全体的に学生が受け身であり、質問等にも積極的ではない。</t>
    </r>
    <r>
      <rPr>
        <sz val="12"/>
        <color rgb="FFFF0000"/>
        <rFont val="ＭＳ Ｐゴシック"/>
        <family val="3"/>
        <charset val="128"/>
        <scheme val="minor"/>
      </rPr>
      <t xml:space="preserve">
</t>
    </r>
    <r>
      <rPr>
        <sz val="12"/>
        <color theme="1"/>
        <rFont val="ＭＳ Ｐゴシック"/>
        <family val="3"/>
        <charset val="128"/>
        <scheme val="minor"/>
      </rPr>
      <t xml:space="preserve">
いただいた内容はシラバスの改善等に活用し、今後も産業界など学外有識者から定期的に教育内容および手法等について評価・意見交換し、プログラムの改善等に活用していく予定である。</t>
    </r>
    <rPh sb="1" eb="4">
      <t>サンギョウカイ</t>
    </rPh>
    <rPh sb="7" eb="9">
      <t>シテン</t>
    </rPh>
    <rPh sb="13" eb="15">
      <t>スウリ</t>
    </rPh>
    <rPh sb="27" eb="29">
      <t>キョウイク</t>
    </rPh>
    <rPh sb="29" eb="30">
      <t>トウ</t>
    </rPh>
    <rPh sb="31" eb="33">
      <t>チケン</t>
    </rPh>
    <rPh sb="36" eb="38">
      <t>ガイブ</t>
    </rPh>
    <rPh sb="38" eb="41">
      <t>ユウシキシャ</t>
    </rPh>
    <rPh sb="42" eb="43">
      <t>メイ</t>
    </rPh>
    <rPh sb="44" eb="45">
      <t>オヨ</t>
    </rPh>
    <rPh sb="46" eb="48">
      <t>ダイガク</t>
    </rPh>
    <rPh sb="49" eb="51">
      <t>スウリ</t>
    </rPh>
    <rPh sb="63" eb="65">
      <t>キョウイク</t>
    </rPh>
    <rPh sb="65" eb="67">
      <t>ブモン</t>
    </rPh>
    <rPh sb="68" eb="71">
      <t>キョウショクイン</t>
    </rPh>
    <rPh sb="72" eb="76">
      <t>ジコテンケン</t>
    </rPh>
    <rPh sb="77" eb="79">
      <t>ヒョウカ</t>
    </rPh>
    <rPh sb="80" eb="82">
      <t>ジッシ</t>
    </rPh>
    <rPh sb="84" eb="86">
      <t>カモク</t>
    </rPh>
    <rPh sb="87" eb="89">
      <t>ナイヨウ</t>
    </rPh>
    <rPh sb="90" eb="92">
      <t>シュホウ</t>
    </rPh>
    <rPh sb="93" eb="94">
      <t>カン</t>
    </rPh>
    <rPh sb="96" eb="98">
      <t>イカ</t>
    </rPh>
    <rPh sb="99" eb="101">
      <t>イケン</t>
    </rPh>
    <rPh sb="111" eb="113">
      <t>カモク</t>
    </rPh>
    <rPh sb="119" eb="121">
      <t>ガクセイ</t>
    </rPh>
    <rPh sb="122" eb="123">
      <t>オ</t>
    </rPh>
    <rPh sb="131" eb="133">
      <t>コウギ</t>
    </rPh>
    <rPh sb="134" eb="136">
      <t>シンコウ</t>
    </rPh>
    <rPh sb="137" eb="139">
      <t>エイキョウ</t>
    </rPh>
    <rPh sb="140" eb="141">
      <t>デ</t>
    </rPh>
    <rPh sb="214" eb="215">
      <t>タイ</t>
    </rPh>
    <rPh sb="236" eb="240">
      <t>ホゾンバショ</t>
    </rPh>
    <rPh sb="241" eb="243">
      <t>ガイネン</t>
    </rPh>
    <rPh sb="251" eb="252">
      <t>ナド</t>
    </rPh>
    <rPh sb="258" eb="262">
      <t>キソドウサ</t>
    </rPh>
    <rPh sb="269" eb="271">
      <t>バメン</t>
    </rPh>
    <rPh sb="272" eb="274">
      <t>ミウ</t>
    </rPh>
    <rPh sb="281" eb="284">
      <t>ゼンタイテキ</t>
    </rPh>
    <rPh sb="285" eb="287">
      <t>ガクセイ</t>
    </rPh>
    <rPh sb="288" eb="289">
      <t>ウ</t>
    </rPh>
    <rPh sb="290" eb="291">
      <t>ミ</t>
    </rPh>
    <rPh sb="295" eb="298">
      <t>シツモントウ</t>
    </rPh>
    <rPh sb="300" eb="303">
      <t>セッキョクテキ</t>
    </rPh>
    <rPh sb="315" eb="317">
      <t>ナイヨウ</t>
    </rPh>
    <rPh sb="323" eb="325">
      <t>カイゼン</t>
    </rPh>
    <rPh sb="325" eb="326">
      <t>トウ</t>
    </rPh>
    <rPh sb="327" eb="329">
      <t>カツヨウ</t>
    </rPh>
    <rPh sb="364" eb="366">
      <t>ヒョウカ</t>
    </rPh>
    <rPh sb="369" eb="371">
      <t>コウカン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</si>
  <si>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</si>
  <si>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プログラムの対象科目の1つである「情報社会とデータサイエンス」では、イントロダクションとしてSociety5.0と個人情報に関する内容の講義を実施し、文系学生の理数系科目に対する苦手意識を考慮した講義を展開している。「学ぶことの楽しさ」については、授業アンケート設問16「あなたは、この授業を受講して、満足していますか」にて、「情報社会とデータサイエンス」・・67.0％、「情報処理法」・・96.5％、「情報基礎演習」・・96.8％、「情報管理法」・・98.4％、「情報活用法」・・88.6％、「情報応用演習」・・96.8％という高い数字がでており、受講生に「数理・データサイエンス・AIを『学ぶ楽しさ』『学ぶことの意義』の理解」は十分に得られていると判断でき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</si>
  <si>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</si>
  <si>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本プログラムはまだ開始されたばかりであり、内容・水準の維持・向上に関する改善等は数理・データサイエンス・AI教育部門にて検討を予定している。具体的には、プログラムを進行していく中で問題となる点を数理・データサイエンス・AI教育部門にて収集しながら、科目内容や教育手法の検討・改善につなげて仕組みを構築している。
また数理・データサイエンス・AI教育部門に配属された専任の教員が全ての数理・データサイエンス・AI教育プログラムのコーディネートを行い、一定の質の維持・向上を行う。
また、講義を担当している外部企業の有識者による講義に関する評価を受けることで、外部の視点を取り入れかつ継続的に授業内容を維持・向上させていきたい。</t>
    <rPh sb="1" eb="2">
      <t>ホン</t>
    </rPh>
    <rPh sb="10" eb="12">
      <t>カイシ</t>
    </rPh>
    <rPh sb="22" eb="24">
      <t>ナイヨウ</t>
    </rPh>
    <rPh sb="25" eb="27">
      <t>スイジュン</t>
    </rPh>
    <rPh sb="28" eb="30">
      <t>イジ</t>
    </rPh>
    <rPh sb="31" eb="33">
      <t>コウジョウ</t>
    </rPh>
    <rPh sb="34" eb="35">
      <t>カン</t>
    </rPh>
    <rPh sb="37" eb="40">
      <t>カイゼントウ</t>
    </rPh>
    <rPh sb="57" eb="59">
      <t>ブモン</t>
    </rPh>
    <rPh sb="61" eb="63">
      <t>ケントウ</t>
    </rPh>
    <rPh sb="64" eb="66">
      <t>ヨテイ</t>
    </rPh>
    <rPh sb="71" eb="74">
      <t>グタイテキ</t>
    </rPh>
    <rPh sb="83" eb="85">
      <t>シンコウ</t>
    </rPh>
    <rPh sb="89" eb="90">
      <t>ナカ</t>
    </rPh>
    <rPh sb="91" eb="93">
      <t>モンダイ</t>
    </rPh>
    <rPh sb="96" eb="97">
      <t>テン</t>
    </rPh>
    <rPh sb="118" eb="120">
      <t>シュウシュウ</t>
    </rPh>
    <rPh sb="145" eb="147">
      <t>シク</t>
    </rPh>
    <rPh sb="149" eb="151">
      <t>コウチク</t>
    </rPh>
    <rPh sb="159" eb="161">
      <t>スウリ</t>
    </rPh>
    <rPh sb="173" eb="177">
      <t>キョウイクブモン</t>
    </rPh>
    <rPh sb="178" eb="180">
      <t>ハイゾク</t>
    </rPh>
    <rPh sb="183" eb="185">
      <t>センニン</t>
    </rPh>
    <rPh sb="186" eb="188">
      <t>キョウイン</t>
    </rPh>
    <rPh sb="189" eb="190">
      <t>スベ</t>
    </rPh>
    <rPh sb="192" eb="194">
      <t>スウリ</t>
    </rPh>
    <rPh sb="243" eb="245">
      <t>コウギ</t>
    </rPh>
    <rPh sb="246" eb="248">
      <t>タントウ</t>
    </rPh>
    <rPh sb="257" eb="260">
      <t>ユウシキシャ</t>
    </rPh>
    <rPh sb="263" eb="265">
      <t>コウギ</t>
    </rPh>
    <rPh sb="266" eb="267">
      <t>カン</t>
    </rPh>
    <phoneticPr fontId="1"/>
  </si>
  <si>
    <t xml:space="preserve">以下のパターンから、プログラムを構成する科目の単位を修得すること。
「情報処理法」　+　「情報活用法」　+　「情報社会とデータサイエンス」
</t>
    <rPh sb="0" eb="2">
      <t>イカ</t>
    </rPh>
    <rPh sb="16" eb="18">
      <t>コウセイ</t>
    </rPh>
    <rPh sb="20" eb="22">
      <t>カモク</t>
    </rPh>
    <rPh sb="23" eb="25">
      <t>タンイ</t>
    </rPh>
    <rPh sb="26" eb="28">
      <t>シュウトク</t>
    </rPh>
    <rPh sb="48" eb="50">
      <t>カツヨウ</t>
    </rPh>
    <phoneticPr fontId="1"/>
  </si>
  <si>
    <t>プログラムを改善・進化させるための体制（委員会・組織等）</t>
    <phoneticPr fontId="1"/>
  </si>
  <si>
    <t xml:space="preserve">以下のパターンから、プログラムを構成する科目の単位を修得すること。
「情報基礎演習」　+　「情報応用演習」　+　「情報社会とデータサイエンス」
</t>
    <rPh sb="0" eb="2">
      <t>イカ</t>
    </rPh>
    <rPh sb="16" eb="18">
      <t>コウセイ</t>
    </rPh>
    <rPh sb="20" eb="22">
      <t>カモク</t>
    </rPh>
    <rPh sb="23" eb="25">
      <t>タンイ</t>
    </rPh>
    <rPh sb="26" eb="28">
      <t>シュウトク</t>
    </rPh>
    <rPh sb="38" eb="42">
      <t>キソエンシュウ</t>
    </rPh>
    <rPh sb="49" eb="53">
      <t>オウヨウエンシュウ</t>
    </rPh>
    <phoneticPr fontId="1"/>
  </si>
  <si>
    <t xml:space="preserve">以下のパターンから、プログラムを構成する科目の単位を修得すること。
「情報処理法」　+　「情報管理法」　+　「情報社会とデータサイエンス」
</t>
    <rPh sb="0" eb="2">
      <t>イカ</t>
    </rPh>
    <rPh sb="16" eb="18">
      <t>コウセイ</t>
    </rPh>
    <rPh sb="20" eb="22">
      <t>カモク</t>
    </rPh>
    <rPh sb="23" eb="25">
      <t>タンイ</t>
    </rPh>
    <rPh sb="26" eb="28">
      <t>シュウトク</t>
    </rPh>
    <rPh sb="48" eb="50">
      <t>カンリ</t>
    </rPh>
    <rPh sb="50" eb="51">
      <t>ホウ</t>
    </rPh>
    <phoneticPr fontId="1"/>
  </si>
  <si>
    <t>学部・学科名称</t>
    <rPh sb="0" eb="2">
      <t>ガクブ</t>
    </rPh>
    <rPh sb="3" eb="5">
      <t>ガッカ</t>
    </rPh>
    <rPh sb="5" eb="7">
      <t>メイショウ</t>
    </rPh>
    <phoneticPr fontId="1"/>
  </si>
  <si>
    <t>コミュニティ政策学部</t>
    <rPh sb="6" eb="10">
      <t>セイサクガクブ</t>
    </rPh>
    <phoneticPr fontId="1"/>
  </si>
  <si>
    <t xml:space="preserve">データサイエンス運営部門長・総合福祉学部教授　松山　恵美子
コミュニティ政策学部　　　　　教授　 　　　野田陽子
看護栄養学部　　　　　　　　　准教授　　　阿曽菜美
経営学部　　　　　　　　　　　　教授　   　　齊藤鉄也
人文学部　　　　　　　　　　　　助教　　　　 吉森丹衣子
千葉キャンパス学事部　　　　課長補佐 　佐々木敏人
千葉第二キャンパス事務部　事務員　　　中村　匠
埼玉キャンパス学事部　　　　課長補佐　 岩上達一郎
東京キャンパス学事部　　　　課長　　　　 竹内好映
</t>
    <rPh sb="14" eb="16">
      <t>ソウゴウ</t>
    </rPh>
    <rPh sb="16" eb="18">
      <t>フクシ</t>
    </rPh>
    <rPh sb="18" eb="20">
      <t>ガクブ</t>
    </rPh>
    <rPh sb="20" eb="22">
      <t>キョウジュ</t>
    </rPh>
    <rPh sb="23" eb="25">
      <t>マツヤマ</t>
    </rPh>
    <rPh sb="26" eb="29">
      <t>エミコ</t>
    </rPh>
    <rPh sb="45" eb="47">
      <t>キョウジュ</t>
    </rPh>
    <rPh sb="72" eb="75">
      <t>ジュンキョウジュ</t>
    </rPh>
    <rPh sb="99" eb="101">
      <t>キョウジュ</t>
    </rPh>
    <rPh sb="141" eb="143">
      <t>チバ</t>
    </rPh>
    <rPh sb="161" eb="164">
      <t>ササキ</t>
    </rPh>
    <rPh sb="167" eb="169">
      <t>チバ</t>
    </rPh>
    <rPh sb="169" eb="171">
      <t>ダイニ</t>
    </rPh>
    <rPh sb="176" eb="179">
      <t>ジムブ</t>
    </rPh>
    <rPh sb="180" eb="182">
      <t>ジム</t>
    </rPh>
    <rPh sb="182" eb="183">
      <t>イン</t>
    </rPh>
    <rPh sb="186" eb="188">
      <t>ナカムラ</t>
    </rPh>
    <rPh sb="189" eb="190">
      <t>タクミ</t>
    </rPh>
    <rPh sb="191" eb="193">
      <t>サイタマ</t>
    </rPh>
    <rPh sb="198" eb="200">
      <t>ガクジ</t>
    </rPh>
    <rPh sb="200" eb="201">
      <t>ブ</t>
    </rPh>
    <rPh sb="205" eb="207">
      <t>カチョウ</t>
    </rPh>
    <rPh sb="207" eb="209">
      <t>ホサ</t>
    </rPh>
    <rPh sb="211" eb="213">
      <t>イワガミ</t>
    </rPh>
    <rPh sb="213" eb="216">
      <t>タツイチロウ</t>
    </rPh>
    <rPh sb="217" eb="219">
      <t>トウキョウ</t>
    </rPh>
    <rPh sb="224" eb="226">
      <t>ガクジ</t>
    </rPh>
    <rPh sb="226" eb="227">
      <t>ブ</t>
    </rPh>
    <rPh sb="231" eb="233">
      <t>カチョウ</t>
    </rPh>
    <rPh sb="238" eb="240">
      <t>タケウチ</t>
    </rPh>
    <rPh sb="240" eb="241">
      <t>ス</t>
    </rPh>
    <phoneticPr fontId="1"/>
  </si>
  <si>
    <t>・ビッグデータ、IoT、AI、ロボット「情報社会とデータサイエンス」（１回目、２回目）
・データ量の増加、計算機の処理性能の向上、AIの非連続的進化「情報社会とデータサイエンス」（１回目、2回目）
・第4次産業革命、Society  5.0、データ駆動型社会「情報社会とデータサイエンス」（１回目、２回目）
・複数技術を組み合わせたAIサービス「情報社会とデータサイエンス」（３回目）
・人間の知的活動とAIの関係性「情報社会とデータサイエンス」（１回目、２回目）
・データを起点としたものの見方、人間の知的活動を起点としたものの見方「情報社会とデータサイエンス」（１回目、２回目）</t>
    <rPh sb="40" eb="42">
      <t>カイメ</t>
    </rPh>
    <rPh sb="189" eb="191">
      <t>カイメ</t>
    </rPh>
    <phoneticPr fontId="1"/>
  </si>
  <si>
    <t>・AI等を活用した新しいビジネスモデル「情報社会とデータサイエンス」（４回目）
・AI最新技術の活用例「情報社会とデータサイエンス」（５回目）</t>
    <phoneticPr fontId="1"/>
  </si>
  <si>
    <t>・調査データ、実験データ、人の行動ログデータ、機械の稼働ログデータなど「情報社会とデータサイエンス」（２回目、７回目）
・1次データ、2次データ、データのメタ化「情報社会とデータサイエンス」（２回目、７回目）
・構造化データ、非構造化データ（文章、画像/動画、音声/音楽など）「情報社会とデータサイエンス」（２回目、７回目）
・データ作成（ビッグデータとアノテーション）「情報社会とデータサイエンス」（２回目、７回目）
・データのオープン化（オープンデータ）「情報社会とデータサイエンス」（２回目、７回目）</t>
    <rPh sb="52" eb="54">
      <t>カイメ</t>
    </rPh>
    <rPh sb="56" eb="58">
      <t>カイメ</t>
    </rPh>
    <phoneticPr fontId="1"/>
  </si>
  <si>
    <t>・データ・AI活用領域の広がり(生産、消費、文化活動など)「情報社会とデータサイエンス」（３回目、４回目、５回目、６回目）
・研究開発、調達、製造、物流、販売、マーケティング、サービスなど「情報社会とデータサイエンス」（３回目、４回目、５回目、６回目）
・仮説検証、知識発見、原因究明、計画策定、判断支援、活動代替、新規生成など「情報社会とデータサイエンス」（２回目、５回目）</t>
    <rPh sb="181" eb="183">
      <t>カイメ</t>
    </rPh>
    <rPh sb="185" eb="187">
      <t>カイメ</t>
    </rPh>
    <phoneticPr fontId="1"/>
  </si>
  <si>
    <t>・データ解析：予測、グルーピング、パターン発見、最適化、シミュレーション・データ同化など「情報社会とデータサイエンス」（７回目）
・データ可視化：複合グラフ、2軸グラフ、多次元の可視化、関係性の可視化、地図上の可視化、挙動・軌跡の可視化、リアルタイム可視化など「情報社会とデータサイエンス」（７回目）
・非構造化データ処理：言語処理、画像/動画処理、音声/音楽処理など「情報社会とデータサイエンス」（７回目）
・特化型AIと汎用AI、今のAIで出来ることと出来ないこと、AIとビッグデータ「情報社会とデータサイエンス」（７回目）
・認識技術、ルールベース、自動化技術「情報社会とデータサイエンス」（７回目）</t>
    <phoneticPr fontId="1"/>
  </si>
  <si>
    <t>・データサイエンスのサイクル（課題抽出と定式化、データの取得・管理・加工、
探索的データ解析、データ解析と推論、結果の共有・伝達、課題解決に向けた提案）「情報社会とデータサイエンス」（２回目、５回目）
・流通、製造、金融、サービス、インフラ、公共、ヘルスケア等におけるデータ・AI利活用事例紹介「情報社会とデータサイエンス」（６回目）</t>
    <rPh sb="97" eb="99">
      <t>カイメ</t>
    </rPh>
    <phoneticPr fontId="1"/>
  </si>
  <si>
    <t>・ELSI（Ethical, Legal and Social Issues）「情報社会とデータサイエンス」（８回目）
・個人情報保護、EU一般データ保護規則(GDPR)、忘れられる権利、オプトアウト「情報社会とデータサイエンス」（８回目）
・データ倫理：データのねつ造、改ざん、盗用、プライバシー保護「情報社会とデータサイエンス」（８回目）
・AI社会原則（公平性、説明責任、透明性、人間中心の判断）「情報社会とデータサイエンス」（８回目）
・データバイアス、アルゴリズムバイアス「情報社会とデータサイエンス」（８回目）
・AIサービスの責任論「情報社会とデータサイエンス」（８回目）
・データ・AI活用における負の事例紹介「情報社会とデータサイエンス」（８回目）</t>
    <phoneticPr fontId="1"/>
  </si>
  <si>
    <t>・情報セキュリティ：機密性、完全性、可用性「情報社会とデータサイエンス」（８回目）
・匿名加工情報、暗号化、パスワード、悪意ある情報搾取「情報社会とデータサイエンス」（８回目）
・情報漏洩等によるセキュリティ事故の事例紹介「情報社会とデータサイエンス」（８回目）</t>
    <phoneticPr fontId="1"/>
  </si>
  <si>
    <t>・データの種類「情報基礎演習」（第７回）、「情報応用演習」（第４回）
・データの分布、代表値、データのばらつき、相関と因果「情報応用演習」（第２回、第３回）
・母集団と標本抽出「情報応用演習」（第12回、第１３回、第１４回）
・クロス集計表、分割表、相関係数、散布図「情報活用法」（第12回、第１３回、第１４回）
・統計情報の正しい理解「情報活用法」（第12回、第１３回、第１４回）</t>
    <rPh sb="16" eb="17">
      <t>ダイ</t>
    </rPh>
    <rPh sb="18" eb="19">
      <t>カイ</t>
    </rPh>
    <rPh sb="30" eb="31">
      <t>ダイ</t>
    </rPh>
    <rPh sb="32" eb="33">
      <t>カイ</t>
    </rPh>
    <rPh sb="64" eb="68">
      <t>オウヨウエンシュウ</t>
    </rPh>
    <rPh sb="91" eb="95">
      <t>オウヨウエンシュウ</t>
    </rPh>
    <rPh sb="97" eb="98">
      <t>ダイ</t>
    </rPh>
    <rPh sb="100" eb="101">
      <t>カイ</t>
    </rPh>
    <phoneticPr fontId="1"/>
  </si>
  <si>
    <t>・データの集計「情報基礎演習」（第７回、第８回）、「情報応用演習」（第６回）
・データの並び替え、ランキング「情報応用演習」（第６回）
・データ解析ツール（スプレッドシート）「情報応用演習」（第７回）
・表形式のデータ「情報応用演習」（第１回、第４回）</t>
    <rPh sb="28" eb="32">
      <t>オウヨウエンシュウ</t>
    </rPh>
    <rPh sb="57" eb="61">
      <t>オウヨウエンシュウ</t>
    </rPh>
    <rPh sb="90" eb="94">
      <t>オウヨウエンシュウ</t>
    </rPh>
    <rPh sb="112" eb="116">
      <t>オウヨウエンシュウ</t>
    </rPh>
    <rPh sb="118" eb="119">
      <t>ダイ</t>
    </rPh>
    <rPh sb="120" eb="121">
      <t>カイ</t>
    </rPh>
    <rPh sb="124" eb="125">
      <t>カイ</t>
    </rPh>
    <phoneticPr fontId="1"/>
  </si>
  <si>
    <t>・データの種類「情報処理法」（第６回）、「情報活用法」（第１３回、第１４回）
・データの分布、代表値、データのばらつき、相関と因果「情報活用法」（第１３回、第１４回）
・母集団と標本抽出「情報活用法」（第１３回、第１４回）
・クロス集計表、分割表、相関係数、散布図「情報活用法」（第１３回、第１４回）
・統計情報の正しい理解「情報活用法」（第１３回、第１４回）</t>
    <rPh sb="8" eb="13">
      <t>ジョウホウショリホウ</t>
    </rPh>
    <rPh sb="15" eb="16">
      <t>ダイ</t>
    </rPh>
    <rPh sb="17" eb="18">
      <t>カイ</t>
    </rPh>
    <rPh sb="21" eb="26">
      <t>ジョウホウカツヨウホウ</t>
    </rPh>
    <rPh sb="28" eb="29">
      <t>ダイ</t>
    </rPh>
    <rPh sb="31" eb="32">
      <t>カイ</t>
    </rPh>
    <rPh sb="33" eb="34">
      <t>ダイ</t>
    </rPh>
    <rPh sb="36" eb="37">
      <t>カイ</t>
    </rPh>
    <phoneticPr fontId="1"/>
  </si>
  <si>
    <t>・データ表現「情報活用法」（第３回、第４回、第１３回、第１４回）
・データの図表表現「情報処理法」（第５回、第６回、第11回）、「情報活用法」（第３回、第４回、第１３回、第１４回）
・データの比較「情報活用法」（第６回、第７回、第８回、第９回）
・不適切なグラフ表現「情報活用法」（第３回、第４回）
・優れた可視化事例の紹介「情報活用法」（第３回、第４回）
・データを適切に読み解き、レポートの作成を行う「情報活用法」（第5回）</t>
    <rPh sb="14" eb="15">
      <t>ダイ</t>
    </rPh>
    <rPh sb="16" eb="17">
      <t>カイ</t>
    </rPh>
    <rPh sb="18" eb="19">
      <t>ダイ</t>
    </rPh>
    <rPh sb="20" eb="21">
      <t>カイ</t>
    </rPh>
    <rPh sb="22" eb="23">
      <t>ダイ</t>
    </rPh>
    <rPh sb="25" eb="26">
      <t>カイ</t>
    </rPh>
    <rPh sb="27" eb="28">
      <t>ダイ</t>
    </rPh>
    <rPh sb="30" eb="31">
      <t>カイ</t>
    </rPh>
    <rPh sb="67" eb="69">
      <t>カツヨウ</t>
    </rPh>
    <rPh sb="101" eb="103">
      <t>カツヨウ</t>
    </rPh>
    <rPh sb="114" eb="115">
      <t>ダイ</t>
    </rPh>
    <rPh sb="116" eb="117">
      <t>カイ</t>
    </rPh>
    <rPh sb="118" eb="119">
      <t>ダイ</t>
    </rPh>
    <rPh sb="120" eb="121">
      <t>カイ</t>
    </rPh>
    <rPh sb="136" eb="138">
      <t>カツヨウ</t>
    </rPh>
    <rPh sb="165" eb="167">
      <t>カツヨウ</t>
    </rPh>
    <rPh sb="210" eb="211">
      <t>ダイ</t>
    </rPh>
    <rPh sb="212" eb="213">
      <t>カイ</t>
    </rPh>
    <phoneticPr fontId="1"/>
  </si>
  <si>
    <t>・データの集計「情報処理法」（第６回）、「情報活用法」（第１回、第２回）
・データの並び替え、ランキング「情報活用法」（第１１回、第１２回）
・データ解析ツール（スプレッドシート）「情報活用法」（第１０回）
・表形式のデータ「情報活用法」（第１回）</t>
    <rPh sb="23" eb="25">
      <t>カツヨウ</t>
    </rPh>
    <rPh sb="55" eb="57">
      <t>カツヨウ</t>
    </rPh>
    <rPh sb="93" eb="95">
      <t>カツヨウ</t>
    </rPh>
    <rPh sb="115" eb="117">
      <t>カツヨウ</t>
    </rPh>
    <rPh sb="122" eb="123">
      <t>カイ</t>
    </rPh>
    <phoneticPr fontId="1"/>
  </si>
  <si>
    <t>・データ表現「情報応用演習」（第１１回）
・データの図表表現、「情報基礎演習」（第８回）、「情報応用演習」（第１１回）
・データの比較「情報応用演習」（第９回、第１０回）
・不適切なグラフ表現「情報応用演習」（第１１回）
・優れた可視化事例の紹介「情報応用演習」（第１１回）
・データを適切に読み解き、レポートの作成を行う「情報応用演習」（第１３回、第１４回）</t>
    <rPh sb="9" eb="13">
      <t>オウヨウエンシュウ</t>
    </rPh>
    <rPh sb="15" eb="16">
      <t>ダイ</t>
    </rPh>
    <rPh sb="18" eb="19">
      <t>カイ</t>
    </rPh>
    <rPh sb="48" eb="52">
      <t>オウヨウエンシュウ</t>
    </rPh>
    <rPh sb="70" eb="74">
      <t>オウヨウエンシュウ</t>
    </rPh>
    <rPh sb="76" eb="77">
      <t>ダイ</t>
    </rPh>
    <rPh sb="78" eb="79">
      <t>カイ</t>
    </rPh>
    <rPh sb="80" eb="81">
      <t>ダイ</t>
    </rPh>
    <rPh sb="83" eb="84">
      <t>カイ</t>
    </rPh>
    <rPh sb="99" eb="103">
      <t>オウヨウエンシュウ</t>
    </rPh>
    <rPh sb="126" eb="130">
      <t>オウヨウエンシュウ</t>
    </rPh>
    <rPh sb="170" eb="171">
      <t>ダイ</t>
    </rPh>
    <rPh sb="173" eb="174">
      <t>カイ</t>
    </rPh>
    <rPh sb="175" eb="176">
      <t>ダイ</t>
    </rPh>
    <rPh sb="178" eb="179">
      <t>カイ</t>
    </rPh>
    <phoneticPr fontId="1"/>
  </si>
  <si>
    <t>・データの種類「情報処理法」（第６回）、「情報管理法」（第１３回、第１４回）
・データの分布、代表値、データのばらつき、相関と因果「情報管理法」（第１３回、第１４回）
・母集団と標本抽出「情報管理法」（第１３回、第１４回）
・クロス集計表、分割表、相関係数、散布図「情報管理法」（第１３回、第１４回）
・統計情報の正しい理解「情報管理法」（第１３回、第１４回）</t>
    <rPh sb="8" eb="13">
      <t>ジョウホウショリホウ</t>
    </rPh>
    <rPh sb="15" eb="16">
      <t>ダイ</t>
    </rPh>
    <rPh sb="17" eb="18">
      <t>カイ</t>
    </rPh>
    <rPh sb="28" eb="29">
      <t>ダイ</t>
    </rPh>
    <rPh sb="31" eb="32">
      <t>カイ</t>
    </rPh>
    <rPh sb="33" eb="34">
      <t>ダイ</t>
    </rPh>
    <rPh sb="36" eb="37">
      <t>カイ</t>
    </rPh>
    <rPh sb="68" eb="70">
      <t>カンリ</t>
    </rPh>
    <rPh sb="96" eb="98">
      <t>カンリ</t>
    </rPh>
    <rPh sb="135" eb="137">
      <t>カンリ</t>
    </rPh>
    <rPh sb="165" eb="167">
      <t>カンリ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</si>
</sst>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2"/>
      <color rgb="FFFF0000"/>
      <name val="ＭＳ Ｐゴシック"/>
      <family val="3"/>
      <charset val="128"/>
      <scheme val="minor"/>
    </font>
    <font>
      <sz val="12"/>
      <name val="ＭＳ Ｐゴシック"/>
      <family val="3"/>
      <charset val="128"/>
    </font>
  </fonts>
  <fills count="5">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0" fontId="5" fillId="0" borderId="1" xfId="0" applyFont="1" applyBorder="1" applyAlignment="1">
      <alignment horizontal="center" vertical="center"/>
    </xf>
    <xf numFmtId="0" fontId="12" fillId="0" borderId="0" xfId="0" applyFont="1">
      <alignment vertical="center"/>
    </xf>
    <xf numFmtId="0" fontId="12" fillId="3" borderId="0" xfId="0" applyFont="1" applyFill="1">
      <alignment vertical="center"/>
    </xf>
    <xf numFmtId="0" fontId="12" fillId="4" borderId="0" xfId="0" applyFont="1" applyFill="1">
      <alignment vertical="center"/>
    </xf>
    <xf numFmtId="0" fontId="12" fillId="0" borderId="0" xfId="0" applyFont="1" applyAlignment="1">
      <alignment vertical="center" wrapText="1"/>
    </xf>
    <xf numFmtId="38" fontId="2" fillId="0" borderId="55" xfId="2" applyFont="1" applyFill="1" applyBorder="1" applyAlignment="1">
      <alignment vertical="center" shrinkToFit="1"/>
    </xf>
    <xf numFmtId="9" fontId="2" fillId="0" borderId="1" xfId="0" applyNumberFormat="1"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60"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23" xfId="0" applyFont="1" applyBorder="1" applyAlignment="1">
      <alignment horizontal="left" vertical="center" wrapText="1" shrinkToFit="1"/>
    </xf>
    <xf numFmtId="0" fontId="2" fillId="0" borderId="0" xfId="0" applyFont="1" applyFill="1" applyAlignment="1">
      <alignment horizontal="center" vertical="center"/>
    </xf>
    <xf numFmtId="0" fontId="2" fillId="0" borderId="0" xfId="0" applyFont="1" applyFill="1" applyAlignment="1">
      <alignment horizontal="left" vertical="center"/>
    </xf>
    <xf numFmtId="0" fontId="6" fillId="0" borderId="0" xfId="0" applyFont="1" applyFill="1" applyAlignment="1">
      <alignment horizontal="center" vertical="center"/>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7" fillId="0" borderId="36" xfId="0" applyFont="1" applyBorder="1" applyAlignment="1">
      <alignment vertical="center" wrapText="1"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vertical="center" wrapText="1"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7"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7" xfId="0" applyFont="1" applyBorder="1" applyAlignment="1">
      <alignmen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11" xfId="0" applyFont="1" applyBorder="1" applyAlignment="1">
      <alignment horizontal="left" vertical="center" wrapText="1"/>
    </xf>
    <xf numFmtId="0" fontId="5" fillId="0" borderId="6" xfId="0" applyFont="1" applyBorder="1" applyAlignment="1">
      <alignment horizontal="left" vertical="center" wrapText="1"/>
    </xf>
    <xf numFmtId="0" fontId="5" fillId="0" borderId="12" xfId="0" applyFont="1" applyBorder="1" applyAlignment="1">
      <alignment horizontal="left" vertical="center" wrapText="1"/>
    </xf>
    <xf numFmtId="0" fontId="2" fillId="0" borderId="19" xfId="0" applyFont="1" applyBorder="1" applyAlignment="1">
      <alignment vertical="center" wrapText="1"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5" fillId="0" borderId="8" xfId="0" applyFont="1" applyBorder="1" applyAlignment="1">
      <alignment horizontal="left" vertical="center" wrapText="1" shrinkToFit="1"/>
    </xf>
    <xf numFmtId="0" fontId="5" fillId="0" borderId="8" xfId="0" applyFont="1" applyBorder="1" applyAlignment="1">
      <alignment horizontal="left" vertical="center" shrinkToFit="1"/>
    </xf>
    <xf numFmtId="0" fontId="5" fillId="0" borderId="9" xfId="0" applyFont="1" applyBorder="1" applyAlignment="1">
      <alignment horizontal="left" vertical="center"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pplyAlignme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11" fillId="0" borderId="1" xfId="0" applyFont="1" applyBorder="1" applyAlignment="1">
      <alignment horizontal="center" vertical="center" shrinkToFit="1"/>
    </xf>
    <xf numFmtId="0" fontId="7" fillId="0" borderId="2" xfId="0" applyFont="1" applyBorder="1" applyAlignment="1">
      <alignment horizontal="left" vertical="center"/>
    </xf>
    <xf numFmtId="0" fontId="7"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pplyAlignment="1">
      <alignment vertical="center"/>
    </xf>
    <xf numFmtId="0" fontId="5" fillId="0" borderId="18" xfId="0" applyFont="1" applyBorder="1" applyAlignment="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16" xfId="0" applyFont="1" applyBorder="1" applyAlignment="1">
      <alignment vertical="top" wrapText="1" shrinkToFit="1"/>
    </xf>
    <xf numFmtId="0" fontId="11" fillId="0" borderId="22" xfId="0" applyFont="1" applyBorder="1" applyAlignment="1">
      <alignment vertical="top" wrapText="1" shrinkToFit="1"/>
    </xf>
    <xf numFmtId="0" fontId="11" fillId="0" borderId="21" xfId="0" applyFont="1" applyBorder="1" applyAlignment="1">
      <alignment vertical="top" wrapText="1" shrinkToFit="1"/>
    </xf>
    <xf numFmtId="0" fontId="2" fillId="0" borderId="20" xfId="0" applyFont="1" applyBorder="1" applyAlignment="1">
      <alignment vertical="center" wrapText="1"/>
    </xf>
    <xf numFmtId="0" fontId="2" fillId="0" borderId="2" xfId="0" applyFont="1" applyBorder="1" applyAlignment="1">
      <alignment vertical="top" wrapText="1" shrinkToFit="1"/>
    </xf>
    <xf numFmtId="0" fontId="2" fillId="0" borderId="3" xfId="0" applyFont="1" applyBorder="1" applyAlignment="1">
      <alignment vertical="top" wrapText="1" shrinkToFit="1"/>
    </xf>
    <xf numFmtId="0" fontId="2" fillId="0" borderId="4"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3" fillId="0" borderId="42" xfId="0" applyFont="1" applyBorder="1" applyAlignment="1">
      <alignment vertical="top" wrapText="1" shrinkToFit="1"/>
    </xf>
    <xf numFmtId="0" fontId="11" fillId="0" borderId="42" xfId="0" applyFont="1" applyBorder="1" applyAlignment="1">
      <alignment vertical="top" wrapText="1" shrinkToFit="1"/>
    </xf>
    <xf numFmtId="0" fontId="11" fillId="0" borderId="43" xfId="0" applyFont="1" applyBorder="1" applyAlignment="1">
      <alignment vertical="top" wrapText="1" shrinkToFi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5" fillId="0" borderId="38" xfId="0" applyFont="1" applyBorder="1" applyAlignment="1">
      <alignment horizontal="left" vertical="center" wrapText="1" shrinkToFit="1"/>
    </xf>
    <xf numFmtId="0" fontId="5" fillId="0" borderId="38" xfId="0" applyFont="1" applyBorder="1" applyAlignment="1">
      <alignment horizontal="left" vertical="center" shrinkToFit="1"/>
    </xf>
    <xf numFmtId="0" fontId="5" fillId="0" borderId="39" xfId="0" applyFont="1" applyBorder="1" applyAlignment="1">
      <alignment horizontal="left" vertical="center" shrinkToFit="1"/>
    </xf>
    <xf numFmtId="0" fontId="7" fillId="0" borderId="34" xfId="0" applyFont="1" applyBorder="1" applyAlignment="1">
      <alignment vertical="center" wrapText="1" shrinkToFit="1"/>
    </xf>
    <xf numFmtId="0" fontId="7" fillId="0" borderId="35" xfId="0" applyFont="1" applyBorder="1" applyAlignment="1">
      <alignment vertical="center" wrapText="1" shrinkToFit="1"/>
    </xf>
    <xf numFmtId="0" fontId="7" fillId="0" borderId="36" xfId="0" applyFont="1" applyBorder="1" applyAlignment="1">
      <alignment horizontal="left" vertical="center" wrapText="1" shrinkToFit="1"/>
    </xf>
    <xf numFmtId="0" fontId="7" fillId="0" borderId="36" xfId="0" applyFont="1" applyBorder="1" applyAlignment="1">
      <alignment horizontal="left" vertical="center" shrinkToFit="1"/>
    </xf>
    <xf numFmtId="0" fontId="7" fillId="0" borderId="35" xfId="0" applyFont="1" applyBorder="1" applyAlignment="1">
      <alignment horizontal="left" vertical="center"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5" zoomScale="110" zoomScaleNormal="100" zoomScaleSheetLayoutView="110" workbookViewId="0">
      <selection activeCell="D89" sqref="D89:S9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47" style="1" customWidth="1"/>
    <col min="22" max="22" width="31.625" style="1" customWidth="1"/>
    <col min="23" max="16384" width="9" style="1"/>
  </cols>
  <sheetData>
    <row r="1" spans="1:22" ht="18.600000000000001" customHeight="1" x14ac:dyDescent="0.15">
      <c r="R1" s="155" t="s">
        <v>0</v>
      </c>
      <c r="S1" s="155"/>
      <c r="T1" s="2" t="s">
        <v>1</v>
      </c>
    </row>
    <row r="2" spans="1:22" ht="18.75" customHeight="1" x14ac:dyDescent="0.15">
      <c r="B2" s="33" t="s">
        <v>2</v>
      </c>
      <c r="C2" s="134" t="s">
        <v>3</v>
      </c>
      <c r="D2" s="114"/>
      <c r="E2" s="114"/>
      <c r="F2" s="114"/>
      <c r="G2" s="114"/>
      <c r="H2" s="114"/>
      <c r="I2" s="115"/>
      <c r="J2" s="34"/>
      <c r="K2" s="6"/>
      <c r="L2" s="6"/>
      <c r="M2" s="6"/>
      <c r="N2" s="6"/>
      <c r="O2" s="6"/>
      <c r="P2" s="6"/>
      <c r="Q2" s="6"/>
      <c r="R2" s="6"/>
      <c r="S2" s="6"/>
    </row>
    <row r="3" spans="1:22" ht="18.75" customHeight="1" x14ac:dyDescent="0.15">
      <c r="B3" s="33" t="s">
        <v>4</v>
      </c>
      <c r="C3" s="134" t="s">
        <v>5</v>
      </c>
      <c r="D3" s="114"/>
      <c r="E3" s="114"/>
      <c r="F3" s="114"/>
      <c r="G3" s="114"/>
      <c r="H3" s="114"/>
      <c r="I3" s="115"/>
      <c r="J3" s="34"/>
      <c r="K3" s="6"/>
      <c r="L3" s="6"/>
      <c r="M3" s="6"/>
      <c r="N3" s="6"/>
      <c r="O3" s="6"/>
      <c r="P3" s="6"/>
      <c r="Q3" s="6"/>
      <c r="R3" s="6"/>
      <c r="S3" s="6"/>
    </row>
    <row r="4" spans="1:22" ht="15" customHeight="1" x14ac:dyDescent="0.15">
      <c r="K4" s="34"/>
      <c r="L4" s="35"/>
      <c r="M4" s="35"/>
      <c r="N4" s="35"/>
      <c r="O4" s="35"/>
      <c r="P4" s="35"/>
      <c r="Q4" s="35"/>
      <c r="R4" s="35"/>
      <c r="S4" s="35"/>
    </row>
    <row r="5" spans="1:22" ht="18" customHeight="1" x14ac:dyDescent="0.15">
      <c r="A5" s="156" t="s">
        <v>6</v>
      </c>
      <c r="B5" s="156"/>
      <c r="C5" s="156"/>
      <c r="D5" s="156"/>
      <c r="E5" s="156"/>
      <c r="F5" s="156"/>
      <c r="G5" s="156"/>
      <c r="H5" s="156"/>
      <c r="I5" s="156"/>
      <c r="J5" s="156"/>
      <c r="K5" s="156"/>
      <c r="L5" s="156"/>
      <c r="M5" s="156"/>
      <c r="N5" s="156"/>
      <c r="O5" s="156"/>
      <c r="P5" s="156"/>
      <c r="Q5" s="156"/>
      <c r="R5" s="156"/>
      <c r="S5" s="156"/>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6" t="s">
        <v>8</v>
      </c>
      <c r="K7" s="157" t="s">
        <v>9</v>
      </c>
      <c r="L7" s="158"/>
      <c r="M7" s="158"/>
      <c r="N7" s="158"/>
      <c r="O7" s="158"/>
      <c r="P7" s="158"/>
      <c r="Q7" s="158"/>
      <c r="R7" s="158"/>
      <c r="S7" s="159"/>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0" t="s">
        <v>10</v>
      </c>
      <c r="C9" s="161"/>
      <c r="D9" s="161"/>
      <c r="E9" s="161"/>
      <c r="F9" s="161"/>
      <c r="G9" s="161"/>
      <c r="H9" s="161"/>
      <c r="I9" s="161"/>
      <c r="J9" s="161"/>
      <c r="K9" s="161"/>
      <c r="L9" s="161"/>
      <c r="M9" s="161"/>
      <c r="N9" s="161"/>
      <c r="O9" s="161"/>
      <c r="P9" s="161"/>
      <c r="Q9" s="161"/>
      <c r="R9" s="161"/>
      <c r="S9" s="162"/>
    </row>
    <row r="10" spans="1:22" ht="18" customHeight="1" x14ac:dyDescent="0.15">
      <c r="B10" s="163"/>
      <c r="C10" s="164"/>
      <c r="D10" s="164"/>
      <c r="E10" s="164"/>
      <c r="F10" s="164"/>
      <c r="G10" s="164"/>
      <c r="H10" s="164"/>
      <c r="I10" s="164"/>
      <c r="J10" s="164"/>
      <c r="K10" s="164"/>
      <c r="L10" s="164"/>
      <c r="M10" s="164"/>
      <c r="N10" s="164"/>
      <c r="O10" s="164"/>
      <c r="P10" s="164"/>
      <c r="Q10" s="164"/>
      <c r="R10" s="164"/>
      <c r="S10" s="16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v>
      </c>
      <c r="B12" s="3"/>
      <c r="C12" s="3"/>
      <c r="D12" s="34"/>
      <c r="E12" s="34"/>
      <c r="F12" s="34"/>
      <c r="G12" s="34"/>
      <c r="H12" s="34"/>
      <c r="I12" s="34"/>
      <c r="J12" s="34"/>
      <c r="K12" s="37"/>
      <c r="L12" s="37"/>
      <c r="M12" s="37"/>
      <c r="N12" s="37"/>
      <c r="O12" s="37"/>
      <c r="P12" s="37"/>
      <c r="Q12" s="37"/>
      <c r="R12" s="37"/>
      <c r="S12" s="37"/>
    </row>
    <row r="13" spans="1:22" ht="18" customHeight="1" x14ac:dyDescent="0.15">
      <c r="B13" s="143" t="s">
        <v>173</v>
      </c>
      <c r="C13" s="144"/>
      <c r="D13" s="144"/>
      <c r="E13" s="144"/>
      <c r="F13" s="144"/>
      <c r="G13" s="144"/>
      <c r="H13" s="144"/>
      <c r="I13" s="144"/>
      <c r="J13" s="144"/>
      <c r="K13" s="144"/>
      <c r="L13" s="144"/>
      <c r="M13" s="144"/>
      <c r="N13" s="144"/>
      <c r="O13" s="144"/>
      <c r="P13" s="144"/>
      <c r="Q13" s="144"/>
      <c r="R13" s="144"/>
      <c r="S13" s="145"/>
      <c r="T13" s="82"/>
      <c r="V13" s="1" t="s">
        <v>12</v>
      </c>
    </row>
    <row r="14" spans="1:22" ht="18" customHeight="1" x14ac:dyDescent="0.15">
      <c r="B14" s="146"/>
      <c r="C14" s="147"/>
      <c r="D14" s="147"/>
      <c r="E14" s="147"/>
      <c r="F14" s="147"/>
      <c r="G14" s="147"/>
      <c r="H14" s="147"/>
      <c r="I14" s="147"/>
      <c r="J14" s="147"/>
      <c r="K14" s="147"/>
      <c r="L14" s="147"/>
      <c r="M14" s="147"/>
      <c r="N14" s="147"/>
      <c r="O14" s="147"/>
      <c r="P14" s="147"/>
      <c r="Q14" s="147"/>
      <c r="R14" s="147"/>
      <c r="S14" s="148"/>
      <c r="T14" s="82"/>
      <c r="V14" s="1" t="s">
        <v>13</v>
      </c>
    </row>
    <row r="15" spans="1:22" ht="18" customHeight="1" x14ac:dyDescent="0.15">
      <c r="B15" s="146"/>
      <c r="C15" s="147"/>
      <c r="D15" s="147"/>
      <c r="E15" s="147"/>
      <c r="F15" s="147"/>
      <c r="G15" s="147"/>
      <c r="H15" s="147"/>
      <c r="I15" s="147"/>
      <c r="J15" s="147"/>
      <c r="K15" s="147"/>
      <c r="L15" s="147"/>
      <c r="M15" s="147"/>
      <c r="N15" s="147"/>
      <c r="O15" s="147"/>
      <c r="P15" s="147"/>
      <c r="Q15" s="147"/>
      <c r="R15" s="147"/>
      <c r="S15" s="148"/>
      <c r="T15" s="82"/>
      <c r="V15" s="1" t="s">
        <v>14</v>
      </c>
    </row>
    <row r="16" spans="1:22" ht="18" customHeight="1" x14ac:dyDescent="0.15">
      <c r="B16" s="146"/>
      <c r="C16" s="147"/>
      <c r="D16" s="147"/>
      <c r="E16" s="147"/>
      <c r="F16" s="147"/>
      <c r="G16" s="147"/>
      <c r="H16" s="147"/>
      <c r="I16" s="147"/>
      <c r="J16" s="147"/>
      <c r="K16" s="147"/>
      <c r="L16" s="147"/>
      <c r="M16" s="147"/>
      <c r="N16" s="147"/>
      <c r="O16" s="147"/>
      <c r="P16" s="147"/>
      <c r="Q16" s="147"/>
      <c r="R16" s="147"/>
      <c r="S16" s="148"/>
      <c r="V16" s="1" t="s">
        <v>15</v>
      </c>
    </row>
    <row r="17" spans="1:19" ht="18" customHeight="1" x14ac:dyDescent="0.15">
      <c r="B17" s="146"/>
      <c r="C17" s="147"/>
      <c r="D17" s="147"/>
      <c r="E17" s="147"/>
      <c r="F17" s="147"/>
      <c r="G17" s="147"/>
      <c r="H17" s="147"/>
      <c r="I17" s="147"/>
      <c r="J17" s="147"/>
      <c r="K17" s="147"/>
      <c r="L17" s="147"/>
      <c r="M17" s="147"/>
      <c r="N17" s="147"/>
      <c r="O17" s="147"/>
      <c r="P17" s="147"/>
      <c r="Q17" s="147"/>
      <c r="R17" s="147"/>
      <c r="S17" s="148"/>
    </row>
    <row r="18" spans="1:19" ht="18" customHeight="1" x14ac:dyDescent="0.15">
      <c r="B18" s="149"/>
      <c r="C18" s="150"/>
      <c r="D18" s="150"/>
      <c r="E18" s="150"/>
      <c r="F18" s="150"/>
      <c r="G18" s="150"/>
      <c r="H18" s="150"/>
      <c r="I18" s="150"/>
      <c r="J18" s="150"/>
      <c r="K18" s="150"/>
      <c r="L18" s="150"/>
      <c r="M18" s="150"/>
      <c r="N18" s="150"/>
      <c r="O18" s="150"/>
      <c r="P18" s="150"/>
      <c r="Q18" s="150"/>
      <c r="R18" s="150"/>
      <c r="S18" s="151"/>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16</v>
      </c>
      <c r="C20" s="134">
        <v>5</v>
      </c>
      <c r="D20" s="115"/>
      <c r="E20" s="38" t="s">
        <v>17</v>
      </c>
      <c r="G20" s="10"/>
      <c r="H20" s="3"/>
      <c r="I20" s="3"/>
      <c r="J20" s="34" t="s">
        <v>18</v>
      </c>
      <c r="K20" s="152" t="s">
        <v>15</v>
      </c>
      <c r="L20" s="153"/>
      <c r="M20" s="153"/>
      <c r="N20" s="153"/>
      <c r="O20" s="153"/>
      <c r="P20" s="153"/>
      <c r="Q20" s="153"/>
      <c r="R20" s="153"/>
      <c r="S20" s="15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2" t="s">
        <v>19</v>
      </c>
      <c r="B22" s="142"/>
      <c r="C22" s="142"/>
      <c r="D22" s="142"/>
      <c r="E22" s="142"/>
      <c r="F22" s="142"/>
      <c r="G22" s="142"/>
      <c r="H22" s="142"/>
      <c r="I22" s="142"/>
      <c r="J22" s="142"/>
      <c r="K22" s="142"/>
      <c r="L22" s="142"/>
      <c r="M22" s="142"/>
      <c r="N22" s="142"/>
      <c r="O22" s="142"/>
      <c r="P22" s="142"/>
      <c r="Q22" s="142"/>
      <c r="R22" s="142"/>
      <c r="S22" s="142"/>
    </row>
    <row r="23" spans="1:19" ht="18" customHeight="1" x14ac:dyDescent="0.15">
      <c r="A23" s="142"/>
      <c r="B23" s="142"/>
      <c r="C23" s="142"/>
      <c r="D23" s="142"/>
      <c r="E23" s="142"/>
      <c r="F23" s="142"/>
      <c r="G23" s="142"/>
      <c r="H23" s="142"/>
      <c r="I23" s="142"/>
      <c r="J23" s="142"/>
      <c r="K23" s="142"/>
      <c r="L23" s="142"/>
      <c r="M23" s="142"/>
      <c r="N23" s="142"/>
      <c r="O23" s="142"/>
      <c r="P23" s="142"/>
      <c r="Q23" s="142"/>
      <c r="R23" s="142"/>
      <c r="S23" s="142"/>
    </row>
    <row r="24" spans="1:19" ht="18" customHeight="1" x14ac:dyDescent="0.15">
      <c r="B24" s="134" t="s">
        <v>20</v>
      </c>
      <c r="C24" s="114"/>
      <c r="D24" s="114"/>
      <c r="E24" s="115"/>
      <c r="F24" s="57" t="s">
        <v>21</v>
      </c>
      <c r="G24" s="56" t="s">
        <v>22</v>
      </c>
      <c r="H24" s="21" t="s">
        <v>23</v>
      </c>
      <c r="I24" s="21" t="s">
        <v>24</v>
      </c>
      <c r="J24" s="134" t="s">
        <v>20</v>
      </c>
      <c r="K24" s="114"/>
      <c r="L24" s="114"/>
      <c r="M24" s="114"/>
      <c r="N24" s="114"/>
      <c r="O24" s="115"/>
      <c r="P24" s="57" t="s">
        <v>21</v>
      </c>
      <c r="Q24" s="56" t="s">
        <v>22</v>
      </c>
      <c r="R24" s="21" t="s">
        <v>23</v>
      </c>
      <c r="S24" s="21" t="s">
        <v>24</v>
      </c>
    </row>
    <row r="25" spans="1:19" ht="18" customHeight="1" x14ac:dyDescent="0.15">
      <c r="B25" s="138" t="s">
        <v>25</v>
      </c>
      <c r="C25" s="107"/>
      <c r="D25" s="107"/>
      <c r="E25" s="108"/>
      <c r="F25" s="22">
        <v>1</v>
      </c>
      <c r="G25" s="22" t="s">
        <v>26</v>
      </c>
      <c r="H25" s="22" t="s">
        <v>26</v>
      </c>
      <c r="I25" s="22" t="s">
        <v>26</v>
      </c>
      <c r="J25" s="138"/>
      <c r="K25" s="107"/>
      <c r="L25" s="107"/>
      <c r="M25" s="107"/>
      <c r="N25" s="107"/>
      <c r="O25" s="108"/>
      <c r="P25" s="22"/>
      <c r="Q25" s="22"/>
      <c r="R25" s="22"/>
      <c r="S25" s="22"/>
    </row>
    <row r="26" spans="1:19" ht="18" customHeight="1" x14ac:dyDescent="0.15">
      <c r="B26" s="124"/>
      <c r="C26" s="125"/>
      <c r="D26" s="125"/>
      <c r="E26" s="126"/>
      <c r="F26" s="23"/>
      <c r="G26" s="23"/>
      <c r="H26" s="23"/>
      <c r="I26" s="23"/>
      <c r="J26" s="124"/>
      <c r="K26" s="125"/>
      <c r="L26" s="125"/>
      <c r="M26" s="125"/>
      <c r="N26" s="125"/>
      <c r="O26" s="126"/>
      <c r="P26" s="23"/>
      <c r="Q26" s="23"/>
      <c r="R26" s="23"/>
      <c r="S26" s="23"/>
    </row>
    <row r="27" spans="1:19" ht="18" customHeight="1" x14ac:dyDescent="0.15">
      <c r="B27" s="124"/>
      <c r="C27" s="125"/>
      <c r="D27" s="125"/>
      <c r="E27" s="126"/>
      <c r="F27" s="23"/>
      <c r="G27" s="23"/>
      <c r="H27" s="23"/>
      <c r="I27" s="23"/>
      <c r="J27" s="124"/>
      <c r="K27" s="125"/>
      <c r="L27" s="125"/>
      <c r="M27" s="125"/>
      <c r="N27" s="125"/>
      <c r="O27" s="126"/>
      <c r="P27" s="23"/>
      <c r="Q27" s="23"/>
      <c r="R27" s="23"/>
      <c r="S27" s="23"/>
    </row>
    <row r="28" spans="1:19" ht="18" customHeight="1" x14ac:dyDescent="0.15">
      <c r="B28" s="124"/>
      <c r="C28" s="125"/>
      <c r="D28" s="125"/>
      <c r="E28" s="126"/>
      <c r="F28" s="23"/>
      <c r="G28" s="23"/>
      <c r="H28" s="23"/>
      <c r="I28" s="23"/>
      <c r="J28" s="124"/>
      <c r="K28" s="125"/>
      <c r="L28" s="125"/>
      <c r="M28" s="125"/>
      <c r="N28" s="125"/>
      <c r="O28" s="126"/>
      <c r="P28" s="23"/>
      <c r="Q28" s="23"/>
      <c r="R28" s="23"/>
      <c r="S28" s="23"/>
    </row>
    <row r="29" spans="1:19" ht="18" customHeight="1" x14ac:dyDescent="0.15">
      <c r="B29" s="124"/>
      <c r="C29" s="125"/>
      <c r="D29" s="125"/>
      <c r="E29" s="126"/>
      <c r="F29" s="23"/>
      <c r="G29" s="23"/>
      <c r="H29" s="23"/>
      <c r="I29" s="23"/>
      <c r="J29" s="124"/>
      <c r="K29" s="125"/>
      <c r="L29" s="125"/>
      <c r="M29" s="125"/>
      <c r="N29" s="125"/>
      <c r="O29" s="126"/>
      <c r="P29" s="23"/>
      <c r="Q29" s="23"/>
      <c r="R29" s="23"/>
      <c r="S29" s="23"/>
    </row>
    <row r="30" spans="1:19" ht="18" customHeight="1" x14ac:dyDescent="0.15">
      <c r="A30" s="3"/>
      <c r="B30" s="124"/>
      <c r="C30" s="125"/>
      <c r="D30" s="125"/>
      <c r="E30" s="126"/>
      <c r="F30" s="23"/>
      <c r="G30" s="23"/>
      <c r="H30" s="23"/>
      <c r="I30" s="23"/>
      <c r="J30" s="124"/>
      <c r="K30" s="125"/>
      <c r="L30" s="125"/>
      <c r="M30" s="125"/>
      <c r="N30" s="125"/>
      <c r="O30" s="126"/>
      <c r="P30" s="23"/>
      <c r="Q30" s="23"/>
      <c r="R30" s="23"/>
      <c r="S30" s="23"/>
    </row>
    <row r="31" spans="1:19" ht="18" customHeight="1" x14ac:dyDescent="0.15">
      <c r="A31" s="3"/>
      <c r="B31" s="130"/>
      <c r="C31" s="101"/>
      <c r="D31" s="101"/>
      <c r="E31" s="102"/>
      <c r="F31" s="24"/>
      <c r="G31" s="24"/>
      <c r="H31" s="25"/>
      <c r="I31" s="25"/>
      <c r="J31" s="130"/>
      <c r="K31" s="101"/>
      <c r="L31" s="101"/>
      <c r="M31" s="101"/>
      <c r="N31" s="101"/>
      <c r="O31" s="102"/>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2" t="s">
        <v>27</v>
      </c>
      <c r="B33" s="142"/>
      <c r="C33" s="142"/>
      <c r="D33" s="142"/>
      <c r="E33" s="142"/>
      <c r="F33" s="142"/>
      <c r="G33" s="142"/>
      <c r="H33" s="142"/>
      <c r="I33" s="142"/>
      <c r="J33" s="142"/>
      <c r="K33" s="142"/>
      <c r="L33" s="142"/>
      <c r="M33" s="142"/>
      <c r="N33" s="142"/>
      <c r="O33" s="142"/>
      <c r="P33" s="142"/>
      <c r="Q33" s="142"/>
      <c r="R33" s="142"/>
      <c r="S33" s="142"/>
    </row>
    <row r="34" spans="1:19" ht="18" customHeight="1" x14ac:dyDescent="0.15">
      <c r="A34" s="142"/>
      <c r="B34" s="142"/>
      <c r="C34" s="142"/>
      <c r="D34" s="142"/>
      <c r="E34" s="142"/>
      <c r="F34" s="142"/>
      <c r="G34" s="142"/>
      <c r="H34" s="142"/>
      <c r="I34" s="142"/>
      <c r="J34" s="142"/>
      <c r="K34" s="142"/>
      <c r="L34" s="142"/>
      <c r="M34" s="142"/>
      <c r="N34" s="142"/>
      <c r="O34" s="142"/>
      <c r="P34" s="142"/>
      <c r="Q34" s="142"/>
      <c r="R34" s="142"/>
      <c r="S34" s="142"/>
    </row>
    <row r="35" spans="1:19" ht="18" customHeight="1" x14ac:dyDescent="0.15">
      <c r="B35" s="134" t="s">
        <v>20</v>
      </c>
      <c r="C35" s="114"/>
      <c r="D35" s="114"/>
      <c r="E35" s="115"/>
      <c r="F35" s="57" t="s">
        <v>21</v>
      </c>
      <c r="G35" s="56" t="s">
        <v>22</v>
      </c>
      <c r="H35" s="21" t="s">
        <v>28</v>
      </c>
      <c r="I35" s="21" t="s">
        <v>29</v>
      </c>
      <c r="J35" s="134" t="s">
        <v>20</v>
      </c>
      <c r="K35" s="114"/>
      <c r="L35" s="114"/>
      <c r="M35" s="114"/>
      <c r="N35" s="114"/>
      <c r="O35" s="115"/>
      <c r="P35" s="57" t="s">
        <v>21</v>
      </c>
      <c r="Q35" s="56" t="s">
        <v>22</v>
      </c>
      <c r="R35" s="21" t="s">
        <v>28</v>
      </c>
      <c r="S35" s="21" t="s">
        <v>29</v>
      </c>
    </row>
    <row r="36" spans="1:19" ht="18" customHeight="1" x14ac:dyDescent="0.15">
      <c r="B36" s="138" t="s">
        <v>25</v>
      </c>
      <c r="C36" s="107"/>
      <c r="D36" s="107"/>
      <c r="E36" s="108"/>
      <c r="F36" s="22">
        <v>1</v>
      </c>
      <c r="G36" s="22" t="s">
        <v>26</v>
      </c>
      <c r="H36" s="22" t="s">
        <v>26</v>
      </c>
      <c r="I36" s="22" t="s">
        <v>26</v>
      </c>
      <c r="J36" s="138"/>
      <c r="K36" s="107"/>
      <c r="L36" s="107"/>
      <c r="M36" s="107"/>
      <c r="N36" s="107"/>
      <c r="O36" s="108"/>
      <c r="P36" s="22"/>
      <c r="Q36" s="22"/>
      <c r="R36" s="22"/>
      <c r="S36" s="22"/>
    </row>
    <row r="37" spans="1:19" ht="18" customHeight="1" x14ac:dyDescent="0.15">
      <c r="B37" s="124"/>
      <c r="C37" s="125"/>
      <c r="D37" s="125"/>
      <c r="E37" s="126"/>
      <c r="F37" s="23"/>
      <c r="G37" s="23"/>
      <c r="H37" s="23"/>
      <c r="I37" s="23"/>
      <c r="J37" s="124"/>
      <c r="K37" s="125"/>
      <c r="L37" s="125"/>
      <c r="M37" s="125"/>
      <c r="N37" s="125"/>
      <c r="O37" s="126"/>
      <c r="P37" s="23"/>
      <c r="Q37" s="23"/>
      <c r="R37" s="23"/>
      <c r="S37" s="23"/>
    </row>
    <row r="38" spans="1:19" ht="18" customHeight="1" x14ac:dyDescent="0.15">
      <c r="B38" s="124"/>
      <c r="C38" s="125"/>
      <c r="D38" s="125"/>
      <c r="E38" s="126"/>
      <c r="F38" s="23"/>
      <c r="G38" s="23"/>
      <c r="H38" s="23"/>
      <c r="I38" s="23"/>
      <c r="J38" s="124"/>
      <c r="K38" s="125"/>
      <c r="L38" s="125"/>
      <c r="M38" s="125"/>
      <c r="N38" s="125"/>
      <c r="O38" s="126"/>
      <c r="P38" s="23"/>
      <c r="Q38" s="23"/>
      <c r="R38" s="23"/>
      <c r="S38" s="23"/>
    </row>
    <row r="39" spans="1:19" ht="18" customHeight="1" x14ac:dyDescent="0.15">
      <c r="B39" s="124"/>
      <c r="C39" s="125"/>
      <c r="D39" s="125"/>
      <c r="E39" s="126"/>
      <c r="F39" s="23"/>
      <c r="G39" s="23"/>
      <c r="H39" s="23"/>
      <c r="I39" s="23"/>
      <c r="J39" s="124"/>
      <c r="K39" s="125"/>
      <c r="L39" s="125"/>
      <c r="M39" s="125"/>
      <c r="N39" s="125"/>
      <c r="O39" s="126"/>
      <c r="P39" s="23"/>
      <c r="Q39" s="23"/>
      <c r="R39" s="23"/>
      <c r="S39" s="23"/>
    </row>
    <row r="40" spans="1:19" ht="18" customHeight="1" x14ac:dyDescent="0.15">
      <c r="B40" s="124"/>
      <c r="C40" s="125"/>
      <c r="D40" s="125"/>
      <c r="E40" s="126"/>
      <c r="F40" s="23"/>
      <c r="G40" s="23"/>
      <c r="H40" s="23"/>
      <c r="I40" s="23"/>
      <c r="J40" s="124"/>
      <c r="K40" s="125"/>
      <c r="L40" s="125"/>
      <c r="M40" s="125"/>
      <c r="N40" s="125"/>
      <c r="O40" s="126"/>
      <c r="P40" s="23"/>
      <c r="Q40" s="23"/>
      <c r="R40" s="23"/>
      <c r="S40" s="23"/>
    </row>
    <row r="41" spans="1:19" ht="18" customHeight="1" x14ac:dyDescent="0.15">
      <c r="B41" s="124"/>
      <c r="C41" s="125"/>
      <c r="D41" s="125"/>
      <c r="E41" s="126"/>
      <c r="F41" s="23"/>
      <c r="G41" s="23"/>
      <c r="H41" s="23"/>
      <c r="I41" s="23"/>
      <c r="J41" s="124"/>
      <c r="K41" s="125"/>
      <c r="L41" s="125"/>
      <c r="M41" s="125"/>
      <c r="N41" s="125"/>
      <c r="O41" s="126"/>
      <c r="P41" s="23"/>
      <c r="Q41" s="23"/>
      <c r="R41" s="23"/>
      <c r="S41" s="23"/>
    </row>
    <row r="42" spans="1:19" ht="18" customHeight="1" x14ac:dyDescent="0.15">
      <c r="B42" s="130"/>
      <c r="C42" s="101"/>
      <c r="D42" s="101"/>
      <c r="E42" s="102"/>
      <c r="F42" s="24"/>
      <c r="G42" s="24"/>
      <c r="H42" s="25"/>
      <c r="I42" s="25"/>
      <c r="J42" s="130"/>
      <c r="K42" s="101"/>
      <c r="L42" s="101"/>
      <c r="M42" s="101"/>
      <c r="N42" s="101"/>
      <c r="O42" s="102"/>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2" t="s">
        <v>30</v>
      </c>
      <c r="B44" s="142"/>
      <c r="C44" s="142"/>
      <c r="D44" s="142"/>
      <c r="E44" s="142"/>
      <c r="F44" s="142"/>
      <c r="G44" s="142"/>
      <c r="H44" s="142"/>
      <c r="I44" s="142"/>
      <c r="J44" s="142"/>
      <c r="K44" s="142"/>
      <c r="L44" s="142"/>
      <c r="M44" s="142"/>
      <c r="N44" s="142"/>
      <c r="O44" s="142"/>
      <c r="P44" s="142"/>
      <c r="Q44" s="142"/>
      <c r="R44" s="142"/>
      <c r="S44" s="142"/>
    </row>
    <row r="45" spans="1:19" ht="18" customHeight="1" x14ac:dyDescent="0.15">
      <c r="A45" s="142"/>
      <c r="B45" s="142"/>
      <c r="C45" s="142"/>
      <c r="D45" s="142"/>
      <c r="E45" s="142"/>
      <c r="F45" s="142"/>
      <c r="G45" s="142"/>
      <c r="H45" s="142"/>
      <c r="I45" s="142"/>
      <c r="J45" s="142"/>
      <c r="K45" s="142"/>
      <c r="L45" s="142"/>
      <c r="M45" s="142"/>
      <c r="N45" s="142"/>
      <c r="O45" s="142"/>
      <c r="P45" s="142"/>
      <c r="Q45" s="142"/>
      <c r="R45" s="142"/>
      <c r="S45" s="142"/>
    </row>
    <row r="46" spans="1:19" ht="18" customHeight="1" x14ac:dyDescent="0.15">
      <c r="B46" s="134" t="s">
        <v>20</v>
      </c>
      <c r="C46" s="114"/>
      <c r="D46" s="114"/>
      <c r="E46" s="115"/>
      <c r="F46" s="57" t="s">
        <v>21</v>
      </c>
      <c r="G46" s="56" t="s">
        <v>22</v>
      </c>
      <c r="H46" s="21" t="s">
        <v>31</v>
      </c>
      <c r="I46" s="21" t="s">
        <v>32</v>
      </c>
      <c r="J46" s="134" t="s">
        <v>20</v>
      </c>
      <c r="K46" s="114"/>
      <c r="L46" s="114"/>
      <c r="M46" s="114"/>
      <c r="N46" s="114"/>
      <c r="O46" s="115"/>
      <c r="P46" s="57" t="s">
        <v>21</v>
      </c>
      <c r="Q46" s="56" t="s">
        <v>22</v>
      </c>
      <c r="R46" s="21" t="s">
        <v>31</v>
      </c>
      <c r="S46" s="21" t="s">
        <v>32</v>
      </c>
    </row>
    <row r="47" spans="1:19" ht="18" customHeight="1" x14ac:dyDescent="0.15">
      <c r="A47" s="3"/>
      <c r="B47" s="138" t="s">
        <v>25</v>
      </c>
      <c r="C47" s="107"/>
      <c r="D47" s="107"/>
      <c r="E47" s="108"/>
      <c r="F47" s="22">
        <v>1</v>
      </c>
      <c r="G47" s="22" t="s">
        <v>26</v>
      </c>
      <c r="H47" s="22" t="s">
        <v>26</v>
      </c>
      <c r="I47" s="22" t="s">
        <v>26</v>
      </c>
      <c r="J47" s="138"/>
      <c r="K47" s="107"/>
      <c r="L47" s="107"/>
      <c r="M47" s="107"/>
      <c r="N47" s="107"/>
      <c r="O47" s="108"/>
      <c r="P47" s="22"/>
      <c r="Q47" s="22"/>
      <c r="R47" s="22"/>
      <c r="S47" s="22"/>
    </row>
    <row r="48" spans="1:19" ht="18" customHeight="1" x14ac:dyDescent="0.15">
      <c r="A48" s="3"/>
      <c r="B48" s="124"/>
      <c r="C48" s="125"/>
      <c r="D48" s="125"/>
      <c r="E48" s="126"/>
      <c r="F48" s="23"/>
      <c r="G48" s="23"/>
      <c r="H48" s="23"/>
      <c r="I48" s="23"/>
      <c r="J48" s="124"/>
      <c r="K48" s="125"/>
      <c r="L48" s="125"/>
      <c r="M48" s="125"/>
      <c r="N48" s="125"/>
      <c r="O48" s="126"/>
      <c r="P48" s="23"/>
      <c r="Q48" s="23"/>
      <c r="R48" s="23"/>
      <c r="S48" s="23"/>
    </row>
    <row r="49" spans="1:19" ht="18" customHeight="1" x14ac:dyDescent="0.15">
      <c r="A49" s="3"/>
      <c r="B49" s="124"/>
      <c r="C49" s="125"/>
      <c r="D49" s="125"/>
      <c r="E49" s="126"/>
      <c r="F49" s="23"/>
      <c r="G49" s="23"/>
      <c r="H49" s="23"/>
      <c r="I49" s="23"/>
      <c r="J49" s="124"/>
      <c r="K49" s="125"/>
      <c r="L49" s="125"/>
      <c r="M49" s="125"/>
      <c r="N49" s="125"/>
      <c r="O49" s="126"/>
      <c r="P49" s="23"/>
      <c r="Q49" s="23"/>
      <c r="R49" s="23"/>
      <c r="S49" s="23"/>
    </row>
    <row r="50" spans="1:19" ht="18" customHeight="1" x14ac:dyDescent="0.15">
      <c r="A50" s="3"/>
      <c r="B50" s="124"/>
      <c r="C50" s="125"/>
      <c r="D50" s="125"/>
      <c r="E50" s="126"/>
      <c r="F50" s="23"/>
      <c r="G50" s="23"/>
      <c r="H50" s="23"/>
      <c r="I50" s="23"/>
      <c r="J50" s="124"/>
      <c r="K50" s="125"/>
      <c r="L50" s="125"/>
      <c r="M50" s="125"/>
      <c r="N50" s="125"/>
      <c r="O50" s="126"/>
      <c r="P50" s="23"/>
      <c r="Q50" s="23"/>
      <c r="R50" s="23"/>
      <c r="S50" s="23"/>
    </row>
    <row r="51" spans="1:19" ht="18" customHeight="1" x14ac:dyDescent="0.15">
      <c r="A51" s="3"/>
      <c r="B51" s="124"/>
      <c r="C51" s="125"/>
      <c r="D51" s="125"/>
      <c r="E51" s="126"/>
      <c r="F51" s="23"/>
      <c r="G51" s="23"/>
      <c r="H51" s="23"/>
      <c r="I51" s="23"/>
      <c r="J51" s="124"/>
      <c r="K51" s="125"/>
      <c r="L51" s="125"/>
      <c r="M51" s="125"/>
      <c r="N51" s="125"/>
      <c r="O51" s="126"/>
      <c r="P51" s="23"/>
      <c r="Q51" s="23"/>
      <c r="R51" s="23"/>
      <c r="S51" s="23"/>
    </row>
    <row r="52" spans="1:19" ht="18" customHeight="1" x14ac:dyDescent="0.15">
      <c r="A52" s="3"/>
      <c r="B52" s="124"/>
      <c r="C52" s="125"/>
      <c r="D52" s="125"/>
      <c r="E52" s="126"/>
      <c r="F52" s="23"/>
      <c r="G52" s="23"/>
      <c r="H52" s="23"/>
      <c r="I52" s="23"/>
      <c r="J52" s="124"/>
      <c r="K52" s="125"/>
      <c r="L52" s="125"/>
      <c r="M52" s="125"/>
      <c r="N52" s="125"/>
      <c r="O52" s="126"/>
      <c r="P52" s="23"/>
      <c r="Q52" s="23"/>
      <c r="R52" s="23"/>
      <c r="S52" s="23"/>
    </row>
    <row r="53" spans="1:19" ht="18" customHeight="1" x14ac:dyDescent="0.15">
      <c r="A53" s="3"/>
      <c r="B53" s="130"/>
      <c r="C53" s="101"/>
      <c r="D53" s="101"/>
      <c r="E53" s="102"/>
      <c r="F53" s="24"/>
      <c r="G53" s="24"/>
      <c r="H53" s="25"/>
      <c r="I53" s="25"/>
      <c r="J53" s="130"/>
      <c r="K53" s="101"/>
      <c r="L53" s="101"/>
      <c r="M53" s="101"/>
      <c r="N53" s="101"/>
      <c r="O53" s="102"/>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2" t="s">
        <v>33</v>
      </c>
      <c r="B55" s="142"/>
      <c r="C55" s="142"/>
      <c r="D55" s="142"/>
      <c r="E55" s="142"/>
      <c r="F55" s="142"/>
      <c r="G55" s="142"/>
      <c r="H55" s="142"/>
      <c r="I55" s="142"/>
      <c r="J55" s="142"/>
      <c r="K55" s="142"/>
      <c r="L55" s="142"/>
      <c r="M55" s="142"/>
      <c r="N55" s="142"/>
      <c r="O55" s="142"/>
      <c r="P55" s="142"/>
      <c r="Q55" s="142"/>
      <c r="R55" s="142"/>
      <c r="S55" s="142"/>
    </row>
    <row r="56" spans="1:19" ht="18" customHeight="1" x14ac:dyDescent="0.15">
      <c r="A56" s="142"/>
      <c r="B56" s="142"/>
      <c r="C56" s="142"/>
      <c r="D56" s="142"/>
      <c r="E56" s="142"/>
      <c r="F56" s="142"/>
      <c r="G56" s="142"/>
      <c r="H56" s="142"/>
      <c r="I56" s="142"/>
      <c r="J56" s="142"/>
      <c r="K56" s="142"/>
      <c r="L56" s="142"/>
      <c r="M56" s="142"/>
      <c r="N56" s="142"/>
      <c r="O56" s="142"/>
      <c r="P56" s="142"/>
      <c r="Q56" s="142"/>
      <c r="R56" s="142"/>
      <c r="S56" s="142"/>
    </row>
    <row r="57" spans="1:19" ht="18" customHeight="1" x14ac:dyDescent="0.15">
      <c r="B57" s="134" t="s">
        <v>20</v>
      </c>
      <c r="C57" s="114"/>
      <c r="D57" s="114"/>
      <c r="E57" s="115"/>
      <c r="F57" s="57" t="s">
        <v>21</v>
      </c>
      <c r="G57" s="56" t="s">
        <v>22</v>
      </c>
      <c r="H57" s="21" t="s">
        <v>34</v>
      </c>
      <c r="I57" s="21" t="s">
        <v>35</v>
      </c>
      <c r="J57" s="134" t="s">
        <v>20</v>
      </c>
      <c r="K57" s="114"/>
      <c r="L57" s="114"/>
      <c r="M57" s="114"/>
      <c r="N57" s="114"/>
      <c r="O57" s="115"/>
      <c r="P57" s="57" t="s">
        <v>21</v>
      </c>
      <c r="Q57" s="56" t="s">
        <v>22</v>
      </c>
      <c r="R57" s="21" t="s">
        <v>34</v>
      </c>
      <c r="S57" s="21" t="s">
        <v>35</v>
      </c>
    </row>
    <row r="58" spans="1:19" ht="18" customHeight="1" x14ac:dyDescent="0.15">
      <c r="A58" s="3"/>
      <c r="B58" s="138" t="s">
        <v>25</v>
      </c>
      <c r="C58" s="107"/>
      <c r="D58" s="107"/>
      <c r="E58" s="108"/>
      <c r="F58" s="22">
        <v>1</v>
      </c>
      <c r="G58" s="22" t="s">
        <v>26</v>
      </c>
      <c r="H58" s="22" t="s">
        <v>26</v>
      </c>
      <c r="I58" s="22" t="s">
        <v>26</v>
      </c>
      <c r="J58" s="138"/>
      <c r="K58" s="107"/>
      <c r="L58" s="107"/>
      <c r="M58" s="107"/>
      <c r="N58" s="107"/>
      <c r="O58" s="108"/>
      <c r="P58" s="22"/>
      <c r="Q58" s="22"/>
      <c r="R58" s="22"/>
      <c r="S58" s="22"/>
    </row>
    <row r="59" spans="1:19" ht="18" customHeight="1" x14ac:dyDescent="0.15">
      <c r="A59" s="3"/>
      <c r="B59" s="124"/>
      <c r="C59" s="125"/>
      <c r="D59" s="125"/>
      <c r="E59" s="126"/>
      <c r="F59" s="23"/>
      <c r="G59" s="23"/>
      <c r="H59" s="23"/>
      <c r="I59" s="23"/>
      <c r="J59" s="124"/>
      <c r="K59" s="125"/>
      <c r="L59" s="125"/>
      <c r="M59" s="125"/>
      <c r="N59" s="125"/>
      <c r="O59" s="126"/>
      <c r="P59" s="23"/>
      <c r="Q59" s="23"/>
      <c r="R59" s="23"/>
      <c r="S59" s="23"/>
    </row>
    <row r="60" spans="1:19" ht="18" customHeight="1" x14ac:dyDescent="0.15">
      <c r="A60" s="3"/>
      <c r="B60" s="124"/>
      <c r="C60" s="125"/>
      <c r="D60" s="125"/>
      <c r="E60" s="126"/>
      <c r="F60" s="23"/>
      <c r="G60" s="23"/>
      <c r="H60" s="23"/>
      <c r="I60" s="23"/>
      <c r="J60" s="124"/>
      <c r="K60" s="125"/>
      <c r="L60" s="125"/>
      <c r="M60" s="125"/>
      <c r="N60" s="125"/>
      <c r="O60" s="126"/>
      <c r="P60" s="23"/>
      <c r="Q60" s="23"/>
      <c r="R60" s="23"/>
      <c r="S60" s="23"/>
    </row>
    <row r="61" spans="1:19" ht="18" customHeight="1" x14ac:dyDescent="0.15">
      <c r="A61" s="3"/>
      <c r="B61" s="124"/>
      <c r="C61" s="125"/>
      <c r="D61" s="125"/>
      <c r="E61" s="126"/>
      <c r="F61" s="23"/>
      <c r="G61" s="23"/>
      <c r="H61" s="23"/>
      <c r="I61" s="23"/>
      <c r="J61" s="124"/>
      <c r="K61" s="125"/>
      <c r="L61" s="125"/>
      <c r="M61" s="125"/>
      <c r="N61" s="125"/>
      <c r="O61" s="126"/>
      <c r="P61" s="23"/>
      <c r="Q61" s="23"/>
      <c r="R61" s="23"/>
      <c r="S61" s="23"/>
    </row>
    <row r="62" spans="1:19" ht="18" customHeight="1" x14ac:dyDescent="0.15">
      <c r="A62" s="3"/>
      <c r="B62" s="124"/>
      <c r="C62" s="125"/>
      <c r="D62" s="125"/>
      <c r="E62" s="126"/>
      <c r="F62" s="23"/>
      <c r="G62" s="23"/>
      <c r="H62" s="23"/>
      <c r="I62" s="23"/>
      <c r="J62" s="124"/>
      <c r="K62" s="125"/>
      <c r="L62" s="125"/>
      <c r="M62" s="125"/>
      <c r="N62" s="125"/>
      <c r="O62" s="126"/>
      <c r="P62" s="23"/>
      <c r="Q62" s="23"/>
      <c r="R62" s="23"/>
      <c r="S62" s="23"/>
    </row>
    <row r="63" spans="1:19" ht="18" customHeight="1" x14ac:dyDescent="0.15">
      <c r="A63" s="3"/>
      <c r="B63" s="124"/>
      <c r="C63" s="125"/>
      <c r="D63" s="125"/>
      <c r="E63" s="126"/>
      <c r="F63" s="23"/>
      <c r="G63" s="23"/>
      <c r="H63" s="23"/>
      <c r="I63" s="23"/>
      <c r="J63" s="124"/>
      <c r="K63" s="125"/>
      <c r="L63" s="125"/>
      <c r="M63" s="125"/>
      <c r="N63" s="125"/>
      <c r="O63" s="126"/>
      <c r="P63" s="23"/>
      <c r="Q63" s="23"/>
      <c r="R63" s="23"/>
      <c r="S63" s="23"/>
    </row>
    <row r="64" spans="1:19" ht="18" customHeight="1" x14ac:dyDescent="0.15">
      <c r="A64" s="3"/>
      <c r="B64" s="130"/>
      <c r="C64" s="101"/>
      <c r="D64" s="101"/>
      <c r="E64" s="102"/>
      <c r="F64" s="24"/>
      <c r="G64" s="24"/>
      <c r="H64" s="25"/>
      <c r="I64" s="25"/>
      <c r="J64" s="130"/>
      <c r="K64" s="101"/>
      <c r="L64" s="101"/>
      <c r="M64" s="101"/>
      <c r="N64" s="101"/>
      <c r="O64" s="102"/>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2" t="s">
        <v>36</v>
      </c>
      <c r="B66" s="142"/>
      <c r="C66" s="142"/>
      <c r="D66" s="142"/>
      <c r="E66" s="142"/>
      <c r="F66" s="142"/>
      <c r="G66" s="142"/>
      <c r="H66" s="142"/>
      <c r="I66" s="142"/>
      <c r="J66" s="142"/>
      <c r="K66" s="142"/>
      <c r="L66" s="142"/>
      <c r="M66" s="142"/>
      <c r="N66" s="142"/>
      <c r="O66" s="142"/>
      <c r="P66" s="142"/>
      <c r="Q66" s="142"/>
      <c r="R66" s="142"/>
      <c r="S66" s="142"/>
    </row>
    <row r="67" spans="1:19" ht="18" customHeight="1" x14ac:dyDescent="0.15">
      <c r="A67" s="142"/>
      <c r="B67" s="142"/>
      <c r="C67" s="142"/>
      <c r="D67" s="142"/>
      <c r="E67" s="142"/>
      <c r="F67" s="142"/>
      <c r="G67" s="142"/>
      <c r="H67" s="142"/>
      <c r="I67" s="142"/>
      <c r="J67" s="142"/>
      <c r="K67" s="142"/>
      <c r="L67" s="142"/>
      <c r="M67" s="142"/>
      <c r="N67" s="142"/>
      <c r="O67" s="142"/>
      <c r="P67" s="142"/>
      <c r="Q67" s="142"/>
      <c r="R67" s="142"/>
      <c r="S67" s="142"/>
    </row>
    <row r="68" spans="1:19" ht="18" customHeight="1" x14ac:dyDescent="0.15">
      <c r="B68" s="134" t="s">
        <v>20</v>
      </c>
      <c r="C68" s="114"/>
      <c r="D68" s="114"/>
      <c r="E68" s="57" t="s">
        <v>21</v>
      </c>
      <c r="F68" s="56" t="s">
        <v>22</v>
      </c>
      <c r="G68" s="21" t="s">
        <v>37</v>
      </c>
      <c r="H68" s="21" t="s">
        <v>38</v>
      </c>
      <c r="I68" s="21" t="s">
        <v>39</v>
      </c>
      <c r="J68" s="134" t="s">
        <v>20</v>
      </c>
      <c r="K68" s="114"/>
      <c r="L68" s="114"/>
      <c r="M68" s="114"/>
      <c r="N68" s="115"/>
      <c r="O68" s="57" t="s">
        <v>21</v>
      </c>
      <c r="P68" s="56" t="s">
        <v>22</v>
      </c>
      <c r="Q68" s="21" t="s">
        <v>37</v>
      </c>
      <c r="R68" s="21" t="s">
        <v>38</v>
      </c>
      <c r="S68" s="21" t="s">
        <v>39</v>
      </c>
    </row>
    <row r="69" spans="1:19" ht="18" customHeight="1" x14ac:dyDescent="0.15">
      <c r="A69" s="3"/>
      <c r="B69" s="124" t="s">
        <v>40</v>
      </c>
      <c r="C69" s="125"/>
      <c r="D69" s="125"/>
      <c r="E69" s="91">
        <v>2</v>
      </c>
      <c r="F69" s="22" t="s">
        <v>26</v>
      </c>
      <c r="G69" s="22" t="s">
        <v>26</v>
      </c>
      <c r="H69" s="22" t="s">
        <v>26</v>
      </c>
      <c r="I69" s="22" t="s">
        <v>26</v>
      </c>
      <c r="J69" s="138"/>
      <c r="K69" s="107"/>
      <c r="L69" s="107"/>
      <c r="M69" s="107"/>
      <c r="N69" s="108"/>
      <c r="O69" s="22"/>
      <c r="P69" s="22"/>
      <c r="Q69" s="22"/>
      <c r="R69" s="22"/>
      <c r="S69" s="22"/>
    </row>
    <row r="70" spans="1:19" ht="18" customHeight="1" x14ac:dyDescent="0.15">
      <c r="A70" s="3"/>
      <c r="B70" s="124" t="s">
        <v>41</v>
      </c>
      <c r="C70" s="125"/>
      <c r="D70" s="125"/>
      <c r="E70" s="91">
        <v>2</v>
      </c>
      <c r="F70" s="23" t="s">
        <v>26</v>
      </c>
      <c r="G70" s="23" t="s">
        <v>26</v>
      </c>
      <c r="H70" s="23" t="s">
        <v>26</v>
      </c>
      <c r="I70" s="23" t="s">
        <v>26</v>
      </c>
      <c r="J70" s="124"/>
      <c r="K70" s="125"/>
      <c r="L70" s="125"/>
      <c r="M70" s="125"/>
      <c r="N70" s="126"/>
      <c r="O70" s="23"/>
      <c r="P70" s="23"/>
      <c r="Q70" s="23"/>
      <c r="R70" s="23"/>
      <c r="S70" s="23"/>
    </row>
    <row r="71" spans="1:19" ht="18" customHeight="1" x14ac:dyDescent="0.15">
      <c r="A71" s="3"/>
      <c r="B71" s="124"/>
      <c r="C71" s="125"/>
      <c r="D71" s="125"/>
      <c r="E71" s="91"/>
      <c r="F71" s="23"/>
      <c r="G71" s="23"/>
      <c r="H71" s="23"/>
      <c r="I71" s="23"/>
      <c r="J71" s="124"/>
      <c r="K71" s="125"/>
      <c r="L71" s="125"/>
      <c r="M71" s="125"/>
      <c r="N71" s="126"/>
      <c r="O71" s="23"/>
      <c r="P71" s="23"/>
      <c r="Q71" s="23"/>
      <c r="R71" s="23"/>
      <c r="S71" s="23"/>
    </row>
    <row r="72" spans="1:19" ht="18" customHeight="1" x14ac:dyDescent="0.15">
      <c r="A72" s="3"/>
      <c r="B72" s="124"/>
      <c r="C72" s="125"/>
      <c r="D72" s="125"/>
      <c r="E72" s="23"/>
      <c r="F72" s="23"/>
      <c r="G72" s="23"/>
      <c r="H72" s="23"/>
      <c r="I72" s="23"/>
      <c r="J72" s="124"/>
      <c r="K72" s="125"/>
      <c r="L72" s="125"/>
      <c r="M72" s="125"/>
      <c r="N72" s="126"/>
      <c r="O72" s="23"/>
      <c r="P72" s="23"/>
      <c r="Q72" s="23"/>
      <c r="R72" s="23"/>
      <c r="S72" s="23"/>
    </row>
    <row r="73" spans="1:19" ht="18" customHeight="1" x14ac:dyDescent="0.15">
      <c r="A73" s="3"/>
      <c r="B73" s="124"/>
      <c r="C73" s="125"/>
      <c r="D73" s="125"/>
      <c r="E73" s="23"/>
      <c r="F73" s="23"/>
      <c r="G73" s="23"/>
      <c r="H73" s="23"/>
      <c r="I73" s="23"/>
      <c r="J73" s="124"/>
      <c r="K73" s="125"/>
      <c r="L73" s="125"/>
      <c r="M73" s="125"/>
      <c r="N73" s="126"/>
      <c r="O73" s="23"/>
      <c r="P73" s="23"/>
      <c r="Q73" s="23"/>
      <c r="R73" s="23"/>
      <c r="S73" s="23"/>
    </row>
    <row r="74" spans="1:19" ht="18" customHeight="1" x14ac:dyDescent="0.15">
      <c r="A74" s="3"/>
      <c r="B74" s="124"/>
      <c r="C74" s="125"/>
      <c r="D74" s="125"/>
      <c r="E74" s="23"/>
      <c r="F74" s="23"/>
      <c r="G74" s="23"/>
      <c r="H74" s="23"/>
      <c r="I74" s="23"/>
      <c r="J74" s="124"/>
      <c r="K74" s="125"/>
      <c r="L74" s="125"/>
      <c r="M74" s="125"/>
      <c r="N74" s="126"/>
      <c r="O74" s="23"/>
      <c r="P74" s="23"/>
      <c r="Q74" s="23"/>
      <c r="R74" s="23"/>
      <c r="S74" s="23"/>
    </row>
    <row r="75" spans="1:19" ht="18" customHeight="1" x14ac:dyDescent="0.15">
      <c r="A75" s="3"/>
      <c r="B75" s="130"/>
      <c r="C75" s="101"/>
      <c r="D75" s="101"/>
      <c r="E75" s="24"/>
      <c r="F75" s="24"/>
      <c r="G75" s="25"/>
      <c r="H75" s="25"/>
      <c r="I75" s="25"/>
      <c r="J75" s="130"/>
      <c r="K75" s="101"/>
      <c r="L75" s="101"/>
      <c r="M75" s="101"/>
      <c r="N75" s="102"/>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42</v>
      </c>
      <c r="H77" s="3"/>
      <c r="I77" s="3"/>
      <c r="J77" s="3"/>
      <c r="K77" s="3"/>
      <c r="L77" s="3"/>
      <c r="M77" s="3"/>
      <c r="N77" s="3"/>
      <c r="O77" s="3"/>
      <c r="P77" s="3"/>
      <c r="Q77" s="3"/>
      <c r="R77" s="3"/>
      <c r="S77" s="3"/>
    </row>
    <row r="78" spans="1:19" ht="18" customHeight="1" x14ac:dyDescent="0.15">
      <c r="B78" s="134" t="s">
        <v>20</v>
      </c>
      <c r="C78" s="114"/>
      <c r="D78" s="114"/>
      <c r="E78" s="115"/>
      <c r="F78" s="134" t="s">
        <v>43</v>
      </c>
      <c r="G78" s="114"/>
      <c r="H78" s="114"/>
      <c r="I78" s="115"/>
      <c r="J78" s="135" t="s">
        <v>20</v>
      </c>
      <c r="K78" s="136"/>
      <c r="L78" s="136"/>
      <c r="M78" s="136"/>
      <c r="N78" s="136"/>
      <c r="O78" s="137"/>
      <c r="P78" s="134" t="s">
        <v>43</v>
      </c>
      <c r="Q78" s="114"/>
      <c r="R78" s="114"/>
      <c r="S78" s="115"/>
    </row>
    <row r="79" spans="1:19" ht="18" customHeight="1" x14ac:dyDescent="0.15">
      <c r="A79" s="3"/>
      <c r="B79" s="138"/>
      <c r="C79" s="107"/>
      <c r="D79" s="107"/>
      <c r="E79" s="108"/>
      <c r="F79" s="139"/>
      <c r="G79" s="140"/>
      <c r="H79" s="140"/>
      <c r="I79" s="141"/>
      <c r="J79" s="138"/>
      <c r="K79" s="107"/>
      <c r="L79" s="107"/>
      <c r="M79" s="107"/>
      <c r="N79" s="107"/>
      <c r="O79" s="108"/>
      <c r="P79" s="139"/>
      <c r="Q79" s="140"/>
      <c r="R79" s="140"/>
      <c r="S79" s="141"/>
    </row>
    <row r="80" spans="1:19" ht="18" customHeight="1" x14ac:dyDescent="0.15">
      <c r="A80" s="3"/>
      <c r="B80" s="124"/>
      <c r="C80" s="125"/>
      <c r="D80" s="125"/>
      <c r="E80" s="126"/>
      <c r="F80" s="127"/>
      <c r="G80" s="128"/>
      <c r="H80" s="128"/>
      <c r="I80" s="129"/>
      <c r="J80" s="124"/>
      <c r="K80" s="125"/>
      <c r="L80" s="125"/>
      <c r="M80" s="125"/>
      <c r="N80" s="125"/>
      <c r="O80" s="126"/>
      <c r="P80" s="127"/>
      <c r="Q80" s="128"/>
      <c r="R80" s="128"/>
      <c r="S80" s="129"/>
    </row>
    <row r="81" spans="1:19" ht="18" customHeight="1" x14ac:dyDescent="0.15">
      <c r="A81" s="3"/>
      <c r="B81" s="124"/>
      <c r="C81" s="125"/>
      <c r="D81" s="125"/>
      <c r="E81" s="126"/>
      <c r="F81" s="127"/>
      <c r="G81" s="128"/>
      <c r="H81" s="128"/>
      <c r="I81" s="129"/>
      <c r="J81" s="124"/>
      <c r="K81" s="125"/>
      <c r="L81" s="125"/>
      <c r="M81" s="125"/>
      <c r="N81" s="125"/>
      <c r="O81" s="126"/>
      <c r="P81" s="127"/>
      <c r="Q81" s="128"/>
      <c r="R81" s="128"/>
      <c r="S81" s="129"/>
    </row>
    <row r="82" spans="1:19" ht="18" customHeight="1" x14ac:dyDescent="0.15">
      <c r="A82" s="3"/>
      <c r="B82" s="124"/>
      <c r="C82" s="125"/>
      <c r="D82" s="125"/>
      <c r="E82" s="126"/>
      <c r="F82" s="127"/>
      <c r="G82" s="128"/>
      <c r="H82" s="128"/>
      <c r="I82" s="129"/>
      <c r="J82" s="124"/>
      <c r="K82" s="125"/>
      <c r="L82" s="125"/>
      <c r="M82" s="125"/>
      <c r="N82" s="125"/>
      <c r="O82" s="126"/>
      <c r="P82" s="127"/>
      <c r="Q82" s="128"/>
      <c r="R82" s="128"/>
      <c r="S82" s="129"/>
    </row>
    <row r="83" spans="1:19" ht="18" customHeight="1" x14ac:dyDescent="0.15">
      <c r="A83" s="3"/>
      <c r="B83" s="124"/>
      <c r="C83" s="125"/>
      <c r="D83" s="125"/>
      <c r="E83" s="126"/>
      <c r="F83" s="127"/>
      <c r="G83" s="128"/>
      <c r="H83" s="128"/>
      <c r="I83" s="129"/>
      <c r="J83" s="124"/>
      <c r="K83" s="125"/>
      <c r="L83" s="125"/>
      <c r="M83" s="125"/>
      <c r="N83" s="125"/>
      <c r="O83" s="126"/>
      <c r="P83" s="127"/>
      <c r="Q83" s="128"/>
      <c r="R83" s="128"/>
      <c r="S83" s="129"/>
    </row>
    <row r="84" spans="1:19" ht="18" customHeight="1" x14ac:dyDescent="0.15">
      <c r="A84" s="3"/>
      <c r="B84" s="124"/>
      <c r="C84" s="125"/>
      <c r="D84" s="125"/>
      <c r="E84" s="126"/>
      <c r="F84" s="127"/>
      <c r="G84" s="128"/>
      <c r="H84" s="128"/>
      <c r="I84" s="129"/>
      <c r="J84" s="124"/>
      <c r="K84" s="125"/>
      <c r="L84" s="125"/>
      <c r="M84" s="125"/>
      <c r="N84" s="125"/>
      <c r="O84" s="126"/>
      <c r="P84" s="127"/>
      <c r="Q84" s="128"/>
      <c r="R84" s="128"/>
      <c r="S84" s="129"/>
    </row>
    <row r="85" spans="1:19" ht="18" customHeight="1" x14ac:dyDescent="0.15">
      <c r="A85" s="3"/>
      <c r="B85" s="130"/>
      <c r="C85" s="101"/>
      <c r="D85" s="101"/>
      <c r="E85" s="102"/>
      <c r="F85" s="131"/>
      <c r="G85" s="132"/>
      <c r="H85" s="132"/>
      <c r="I85" s="133"/>
      <c r="J85" s="130"/>
      <c r="K85" s="101"/>
      <c r="L85" s="101"/>
      <c r="M85" s="101"/>
      <c r="N85" s="101"/>
      <c r="O85" s="102"/>
      <c r="P85" s="131"/>
      <c r="Q85" s="132"/>
      <c r="R85" s="132"/>
      <c r="S85" s="133"/>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44</v>
      </c>
    </row>
    <row r="88" spans="1:19" ht="18.75" customHeight="1" x14ac:dyDescent="0.15">
      <c r="B88" s="112" t="s">
        <v>45</v>
      </c>
      <c r="C88" s="113"/>
      <c r="D88" s="114" t="s">
        <v>46</v>
      </c>
      <c r="E88" s="114"/>
      <c r="F88" s="114"/>
      <c r="G88" s="114"/>
      <c r="H88" s="114"/>
      <c r="I88" s="114"/>
      <c r="J88" s="114"/>
      <c r="K88" s="114"/>
      <c r="L88" s="114"/>
      <c r="M88" s="114"/>
      <c r="N88" s="114"/>
      <c r="O88" s="114"/>
      <c r="P88" s="114"/>
      <c r="Q88" s="114"/>
      <c r="R88" s="114"/>
      <c r="S88" s="115"/>
    </row>
    <row r="89" spans="1:19" ht="97.5" customHeight="1" x14ac:dyDescent="0.15">
      <c r="B89" s="97" t="s">
        <v>47</v>
      </c>
      <c r="C89" s="27" t="s">
        <v>23</v>
      </c>
      <c r="D89" s="281" t="s">
        <v>180</v>
      </c>
      <c r="E89" s="282"/>
      <c r="F89" s="282"/>
      <c r="G89" s="282"/>
      <c r="H89" s="282"/>
      <c r="I89" s="282"/>
      <c r="J89" s="282"/>
      <c r="K89" s="282"/>
      <c r="L89" s="282"/>
      <c r="M89" s="282"/>
      <c r="N89" s="282"/>
      <c r="O89" s="282"/>
      <c r="P89" s="282"/>
      <c r="Q89" s="282"/>
      <c r="R89" s="282"/>
      <c r="S89" s="283"/>
    </row>
    <row r="90" spans="1:19" ht="97.5" customHeight="1" x14ac:dyDescent="0.15">
      <c r="B90" s="98"/>
      <c r="C90" s="28" t="s">
        <v>48</v>
      </c>
      <c r="D90" s="119" t="s">
        <v>181</v>
      </c>
      <c r="E90" s="120"/>
      <c r="F90" s="120"/>
      <c r="G90" s="120"/>
      <c r="H90" s="120"/>
      <c r="I90" s="120"/>
      <c r="J90" s="120"/>
      <c r="K90" s="120"/>
      <c r="L90" s="120"/>
      <c r="M90" s="120"/>
      <c r="N90" s="120"/>
      <c r="O90" s="120"/>
      <c r="P90" s="120"/>
      <c r="Q90" s="120"/>
      <c r="R90" s="120"/>
      <c r="S90" s="121"/>
    </row>
    <row r="91" spans="1:19" ht="97.5" customHeight="1" x14ac:dyDescent="0.15">
      <c r="B91" s="97" t="s">
        <v>49</v>
      </c>
      <c r="C91" s="29" t="s">
        <v>28</v>
      </c>
      <c r="D91" s="173" t="s">
        <v>182</v>
      </c>
      <c r="E91" s="174"/>
      <c r="F91" s="174"/>
      <c r="G91" s="174"/>
      <c r="H91" s="174"/>
      <c r="I91" s="174"/>
      <c r="J91" s="174"/>
      <c r="K91" s="174"/>
      <c r="L91" s="174"/>
      <c r="M91" s="174"/>
      <c r="N91" s="174"/>
      <c r="O91" s="174"/>
      <c r="P91" s="174"/>
      <c r="Q91" s="174"/>
      <c r="R91" s="174"/>
      <c r="S91" s="175"/>
    </row>
    <row r="92" spans="1:19" ht="97.5" customHeight="1" x14ac:dyDescent="0.15">
      <c r="B92" s="99"/>
      <c r="C92" s="30" t="s">
        <v>29</v>
      </c>
      <c r="D92" s="284" t="s">
        <v>183</v>
      </c>
      <c r="E92" s="285"/>
      <c r="F92" s="285"/>
      <c r="G92" s="285"/>
      <c r="H92" s="285"/>
      <c r="I92" s="285"/>
      <c r="J92" s="285"/>
      <c r="K92" s="285"/>
      <c r="L92" s="285"/>
      <c r="M92" s="285"/>
      <c r="N92" s="285"/>
      <c r="O92" s="285"/>
      <c r="P92" s="285"/>
      <c r="Q92" s="285"/>
      <c r="R92" s="285"/>
      <c r="S92" s="286"/>
    </row>
    <row r="93" spans="1:19" ht="97.5" customHeight="1" x14ac:dyDescent="0.15">
      <c r="B93" s="97" t="s">
        <v>50</v>
      </c>
      <c r="C93" s="29" t="s">
        <v>31</v>
      </c>
      <c r="D93" s="289" t="s">
        <v>184</v>
      </c>
      <c r="E93" s="290"/>
      <c r="F93" s="290"/>
      <c r="G93" s="290"/>
      <c r="H93" s="290"/>
      <c r="I93" s="290"/>
      <c r="J93" s="290"/>
      <c r="K93" s="290"/>
      <c r="L93" s="290"/>
      <c r="M93" s="290"/>
      <c r="N93" s="290"/>
      <c r="O93" s="290"/>
      <c r="P93" s="290"/>
      <c r="Q93" s="290"/>
      <c r="R93" s="290"/>
      <c r="S93" s="291"/>
    </row>
    <row r="94" spans="1:19" ht="97.5" customHeight="1" x14ac:dyDescent="0.15">
      <c r="B94" s="99"/>
      <c r="C94" s="31" t="s">
        <v>32</v>
      </c>
      <c r="D94" s="106" t="s">
        <v>185</v>
      </c>
      <c r="E94" s="107"/>
      <c r="F94" s="107"/>
      <c r="G94" s="107"/>
      <c r="H94" s="107"/>
      <c r="I94" s="107"/>
      <c r="J94" s="107"/>
      <c r="K94" s="107"/>
      <c r="L94" s="107"/>
      <c r="M94" s="107"/>
      <c r="N94" s="107"/>
      <c r="O94" s="107"/>
      <c r="P94" s="107"/>
      <c r="Q94" s="107"/>
      <c r="R94" s="107"/>
      <c r="S94" s="108"/>
    </row>
    <row r="95" spans="1:19" ht="97.5" customHeight="1" x14ac:dyDescent="0.15">
      <c r="B95" s="97" t="s">
        <v>51</v>
      </c>
      <c r="C95" s="27" t="s">
        <v>34</v>
      </c>
      <c r="D95" s="287" t="s">
        <v>186</v>
      </c>
      <c r="E95" s="100"/>
      <c r="F95" s="100"/>
      <c r="G95" s="100"/>
      <c r="H95" s="100"/>
      <c r="I95" s="100"/>
      <c r="J95" s="100"/>
      <c r="K95" s="100"/>
      <c r="L95" s="100"/>
      <c r="M95" s="100"/>
      <c r="N95" s="100"/>
      <c r="O95" s="100"/>
      <c r="P95" s="100"/>
      <c r="Q95" s="100"/>
      <c r="R95" s="100"/>
      <c r="S95" s="288"/>
    </row>
    <row r="96" spans="1:19" ht="97.5" customHeight="1" x14ac:dyDescent="0.15">
      <c r="B96" s="99"/>
      <c r="C96" s="30" t="s">
        <v>35</v>
      </c>
      <c r="D96" s="109" t="s">
        <v>187</v>
      </c>
      <c r="E96" s="110"/>
      <c r="F96" s="110"/>
      <c r="G96" s="110"/>
      <c r="H96" s="110"/>
      <c r="I96" s="110"/>
      <c r="J96" s="110"/>
      <c r="K96" s="110"/>
      <c r="L96" s="110"/>
      <c r="M96" s="110"/>
      <c r="N96" s="110"/>
      <c r="O96" s="110"/>
      <c r="P96" s="110"/>
      <c r="Q96" s="110"/>
      <c r="R96" s="110"/>
      <c r="S96" s="111"/>
    </row>
    <row r="97" spans="1:21" ht="97.5" customHeight="1" x14ac:dyDescent="0.15">
      <c r="B97" s="97" t="s">
        <v>52</v>
      </c>
      <c r="C97" s="29" t="s">
        <v>53</v>
      </c>
      <c r="D97" s="116" t="s">
        <v>190</v>
      </c>
      <c r="E97" s="117"/>
      <c r="F97" s="117"/>
      <c r="G97" s="117"/>
      <c r="H97" s="117"/>
      <c r="I97" s="117"/>
      <c r="J97" s="117"/>
      <c r="K97" s="117"/>
      <c r="L97" s="117"/>
      <c r="M97" s="117"/>
      <c r="N97" s="117"/>
      <c r="O97" s="117"/>
      <c r="P97" s="117"/>
      <c r="Q97" s="117"/>
      <c r="R97" s="117"/>
      <c r="S97" s="118"/>
    </row>
    <row r="98" spans="1:21" ht="97.5" customHeight="1" x14ac:dyDescent="0.15">
      <c r="B98" s="98"/>
      <c r="C98" s="32" t="s">
        <v>38</v>
      </c>
      <c r="D98" s="284" t="s">
        <v>191</v>
      </c>
      <c r="E98" s="285"/>
      <c r="F98" s="285"/>
      <c r="G98" s="285"/>
      <c r="H98" s="285"/>
      <c r="I98" s="285"/>
      <c r="J98" s="285"/>
      <c r="K98" s="285"/>
      <c r="L98" s="285"/>
      <c r="M98" s="285"/>
      <c r="N98" s="285"/>
      <c r="O98" s="285"/>
      <c r="P98" s="285"/>
      <c r="Q98" s="285"/>
      <c r="R98" s="285"/>
      <c r="S98" s="286"/>
    </row>
    <row r="99" spans="1:21" ht="97.5" customHeight="1" x14ac:dyDescent="0.15">
      <c r="B99" s="99"/>
      <c r="C99" s="31" t="s">
        <v>39</v>
      </c>
      <c r="D99" s="166" t="s">
        <v>192</v>
      </c>
      <c r="E99" s="125"/>
      <c r="F99" s="125"/>
      <c r="G99" s="125"/>
      <c r="H99" s="125"/>
      <c r="I99" s="125"/>
      <c r="J99" s="125"/>
      <c r="K99" s="125"/>
      <c r="L99" s="125"/>
      <c r="M99" s="125"/>
      <c r="N99" s="125"/>
      <c r="O99" s="125"/>
      <c r="P99" s="125"/>
      <c r="Q99" s="125"/>
      <c r="R99" s="125"/>
      <c r="S99" s="126"/>
      <c r="U99" s="16"/>
    </row>
    <row r="100" spans="1:21" ht="6" customHeight="1" x14ac:dyDescent="0.15"/>
    <row r="101" spans="1:21" ht="18.75" customHeight="1" x14ac:dyDescent="0.15">
      <c r="A101" s="1" t="s">
        <v>54</v>
      </c>
      <c r="T101" s="82"/>
    </row>
    <row r="102" spans="1:21" ht="81.75" customHeight="1" x14ac:dyDescent="0.15">
      <c r="B102" s="103" t="s">
        <v>55</v>
      </c>
      <c r="C102" s="104"/>
      <c r="D102" s="104"/>
      <c r="E102" s="104"/>
      <c r="F102" s="104"/>
      <c r="G102" s="104"/>
      <c r="H102" s="104"/>
      <c r="I102" s="104"/>
      <c r="J102" s="104"/>
      <c r="K102" s="104"/>
      <c r="L102" s="104"/>
      <c r="M102" s="104"/>
      <c r="N102" s="104"/>
      <c r="O102" s="104"/>
      <c r="P102" s="104"/>
      <c r="Q102" s="104"/>
      <c r="R102" s="104"/>
      <c r="S102" s="105"/>
    </row>
    <row r="110" spans="1:21"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G47:I53 Q47:S53 G58:I64 Q58:S64 P69:S75 F69:I75">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7" zoomScale="110" zoomScaleNormal="100" zoomScaleSheetLayoutView="110" workbookViewId="0">
      <selection activeCell="X98" sqref="X98"/>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5" t="s">
        <v>56</v>
      </c>
      <c r="S1" s="155"/>
      <c r="T1" s="2" t="s">
        <v>1</v>
      </c>
    </row>
    <row r="2" spans="1:22" ht="18.75" customHeight="1" x14ac:dyDescent="0.15">
      <c r="B2" s="33" t="s">
        <v>2</v>
      </c>
      <c r="C2" s="134" t="s">
        <v>3</v>
      </c>
      <c r="D2" s="114"/>
      <c r="E2" s="114"/>
      <c r="F2" s="114"/>
      <c r="G2" s="114"/>
      <c r="H2" s="114"/>
      <c r="I2" s="115"/>
      <c r="J2" s="34"/>
      <c r="K2" s="6"/>
      <c r="L2" s="6"/>
      <c r="M2" s="6"/>
      <c r="N2" s="6"/>
      <c r="O2" s="6"/>
      <c r="P2" s="6"/>
      <c r="Q2" s="6"/>
      <c r="R2" s="6"/>
      <c r="S2" s="6"/>
    </row>
    <row r="3" spans="1:22" ht="18.75" customHeight="1" x14ac:dyDescent="0.15">
      <c r="B3" s="33" t="s">
        <v>4</v>
      </c>
      <c r="C3" s="134" t="s">
        <v>5</v>
      </c>
      <c r="D3" s="114"/>
      <c r="E3" s="114"/>
      <c r="F3" s="114"/>
      <c r="G3" s="114"/>
      <c r="H3" s="114"/>
      <c r="I3" s="115"/>
      <c r="J3" s="34"/>
      <c r="K3" s="6"/>
      <c r="L3" s="6"/>
      <c r="M3" s="6"/>
      <c r="N3" s="6"/>
      <c r="O3" s="6"/>
      <c r="P3" s="6"/>
      <c r="Q3" s="6"/>
      <c r="R3" s="6"/>
      <c r="S3" s="6"/>
    </row>
    <row r="4" spans="1:22" ht="15" customHeight="1" x14ac:dyDescent="0.15">
      <c r="K4" s="34"/>
      <c r="L4" s="35"/>
      <c r="M4" s="35"/>
      <c r="N4" s="35"/>
      <c r="O4" s="35"/>
      <c r="P4" s="35"/>
      <c r="Q4" s="35"/>
      <c r="R4" s="35"/>
      <c r="S4" s="35"/>
    </row>
    <row r="5" spans="1:22" ht="18" customHeight="1" x14ac:dyDescent="0.15">
      <c r="A5" s="156" t="s">
        <v>6</v>
      </c>
      <c r="B5" s="156"/>
      <c r="C5" s="156"/>
      <c r="D5" s="156"/>
      <c r="E5" s="156"/>
      <c r="F5" s="156"/>
      <c r="G5" s="156"/>
      <c r="H5" s="156"/>
      <c r="I5" s="156"/>
      <c r="J5" s="156"/>
      <c r="K5" s="156"/>
      <c r="L5" s="156"/>
      <c r="M5" s="156"/>
      <c r="N5" s="156"/>
      <c r="O5" s="156"/>
      <c r="P5" s="156"/>
      <c r="Q5" s="156"/>
      <c r="R5" s="156"/>
      <c r="S5" s="156"/>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6" t="s">
        <v>8</v>
      </c>
      <c r="K7" s="157" t="s">
        <v>9</v>
      </c>
      <c r="L7" s="158"/>
      <c r="M7" s="158"/>
      <c r="N7" s="158"/>
      <c r="O7" s="158"/>
      <c r="P7" s="158"/>
      <c r="Q7" s="158"/>
      <c r="R7" s="158"/>
      <c r="S7" s="159"/>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0" t="s">
        <v>57</v>
      </c>
      <c r="C9" s="161"/>
      <c r="D9" s="161"/>
      <c r="E9" s="161"/>
      <c r="F9" s="161"/>
      <c r="G9" s="161"/>
      <c r="H9" s="161"/>
      <c r="I9" s="161"/>
      <c r="J9" s="161"/>
      <c r="K9" s="161"/>
      <c r="L9" s="161"/>
      <c r="M9" s="161"/>
      <c r="N9" s="161"/>
      <c r="O9" s="161"/>
      <c r="P9" s="161"/>
      <c r="Q9" s="161"/>
      <c r="R9" s="161"/>
      <c r="S9" s="162"/>
    </row>
    <row r="10" spans="1:22" ht="18" customHeight="1" x14ac:dyDescent="0.15">
      <c r="B10" s="163"/>
      <c r="C10" s="164"/>
      <c r="D10" s="164"/>
      <c r="E10" s="164"/>
      <c r="F10" s="164"/>
      <c r="G10" s="164"/>
      <c r="H10" s="164"/>
      <c r="I10" s="164"/>
      <c r="J10" s="164"/>
      <c r="K10" s="164"/>
      <c r="L10" s="164"/>
      <c r="M10" s="164"/>
      <c r="N10" s="164"/>
      <c r="O10" s="164"/>
      <c r="P10" s="164"/>
      <c r="Q10" s="164"/>
      <c r="R10" s="164"/>
      <c r="S10" s="16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v>
      </c>
      <c r="B12" s="3"/>
      <c r="C12" s="3"/>
      <c r="D12" s="34"/>
      <c r="E12" s="34"/>
      <c r="F12" s="34"/>
      <c r="G12" s="34"/>
      <c r="H12" s="34"/>
      <c r="I12" s="34"/>
      <c r="J12" s="34"/>
      <c r="K12" s="37"/>
      <c r="L12" s="37"/>
      <c r="M12" s="37"/>
      <c r="N12" s="37"/>
      <c r="O12" s="37"/>
      <c r="P12" s="37"/>
      <c r="Q12" s="37"/>
      <c r="R12" s="37"/>
      <c r="S12" s="37"/>
    </row>
    <row r="13" spans="1:22" ht="18" customHeight="1" x14ac:dyDescent="0.15">
      <c r="B13" s="143" t="s">
        <v>173</v>
      </c>
      <c r="C13" s="144"/>
      <c r="D13" s="144"/>
      <c r="E13" s="144"/>
      <c r="F13" s="144"/>
      <c r="G13" s="144"/>
      <c r="H13" s="144"/>
      <c r="I13" s="144"/>
      <c r="J13" s="144"/>
      <c r="K13" s="144"/>
      <c r="L13" s="144"/>
      <c r="M13" s="144"/>
      <c r="N13" s="144"/>
      <c r="O13" s="144"/>
      <c r="P13" s="144"/>
      <c r="Q13" s="144"/>
      <c r="R13" s="144"/>
      <c r="S13" s="145"/>
      <c r="T13" s="82"/>
      <c r="V13" s="1" t="s">
        <v>12</v>
      </c>
    </row>
    <row r="14" spans="1:22" ht="18" customHeight="1" x14ac:dyDescent="0.15">
      <c r="B14" s="146"/>
      <c r="C14" s="147"/>
      <c r="D14" s="147"/>
      <c r="E14" s="147"/>
      <c r="F14" s="147"/>
      <c r="G14" s="147"/>
      <c r="H14" s="147"/>
      <c r="I14" s="147"/>
      <c r="J14" s="147"/>
      <c r="K14" s="147"/>
      <c r="L14" s="147"/>
      <c r="M14" s="147"/>
      <c r="N14" s="147"/>
      <c r="O14" s="147"/>
      <c r="P14" s="147"/>
      <c r="Q14" s="147"/>
      <c r="R14" s="147"/>
      <c r="S14" s="148"/>
      <c r="V14" s="1" t="s">
        <v>13</v>
      </c>
    </row>
    <row r="15" spans="1:22" ht="18" customHeight="1" x14ac:dyDescent="0.15">
      <c r="B15" s="146"/>
      <c r="C15" s="147"/>
      <c r="D15" s="147"/>
      <c r="E15" s="147"/>
      <c r="F15" s="147"/>
      <c r="G15" s="147"/>
      <c r="H15" s="147"/>
      <c r="I15" s="147"/>
      <c r="J15" s="147"/>
      <c r="K15" s="147"/>
      <c r="L15" s="147"/>
      <c r="M15" s="147"/>
      <c r="N15" s="147"/>
      <c r="O15" s="147"/>
      <c r="P15" s="147"/>
      <c r="Q15" s="147"/>
      <c r="R15" s="147"/>
      <c r="S15" s="148"/>
      <c r="V15" s="1" t="s">
        <v>14</v>
      </c>
    </row>
    <row r="16" spans="1:22" ht="18" customHeight="1" x14ac:dyDescent="0.15">
      <c r="B16" s="146"/>
      <c r="C16" s="147"/>
      <c r="D16" s="147"/>
      <c r="E16" s="147"/>
      <c r="F16" s="147"/>
      <c r="G16" s="147"/>
      <c r="H16" s="147"/>
      <c r="I16" s="147"/>
      <c r="J16" s="147"/>
      <c r="K16" s="147"/>
      <c r="L16" s="147"/>
      <c r="M16" s="147"/>
      <c r="N16" s="147"/>
      <c r="O16" s="147"/>
      <c r="P16" s="147"/>
      <c r="Q16" s="147"/>
      <c r="R16" s="147"/>
      <c r="S16" s="148"/>
      <c r="V16" s="1" t="s">
        <v>15</v>
      </c>
    </row>
    <row r="17" spans="1:19" ht="18" customHeight="1" x14ac:dyDescent="0.15">
      <c r="B17" s="146"/>
      <c r="C17" s="147"/>
      <c r="D17" s="147"/>
      <c r="E17" s="147"/>
      <c r="F17" s="147"/>
      <c r="G17" s="147"/>
      <c r="H17" s="147"/>
      <c r="I17" s="147"/>
      <c r="J17" s="147"/>
      <c r="K17" s="147"/>
      <c r="L17" s="147"/>
      <c r="M17" s="147"/>
      <c r="N17" s="147"/>
      <c r="O17" s="147"/>
      <c r="P17" s="147"/>
      <c r="Q17" s="147"/>
      <c r="R17" s="147"/>
      <c r="S17" s="148"/>
    </row>
    <row r="18" spans="1:19" ht="18" customHeight="1" x14ac:dyDescent="0.15">
      <c r="B18" s="149"/>
      <c r="C18" s="150"/>
      <c r="D18" s="150"/>
      <c r="E18" s="150"/>
      <c r="F18" s="150"/>
      <c r="G18" s="150"/>
      <c r="H18" s="150"/>
      <c r="I18" s="150"/>
      <c r="J18" s="150"/>
      <c r="K18" s="150"/>
      <c r="L18" s="150"/>
      <c r="M18" s="150"/>
      <c r="N18" s="150"/>
      <c r="O18" s="150"/>
      <c r="P18" s="150"/>
      <c r="Q18" s="150"/>
      <c r="R18" s="150"/>
      <c r="S18" s="151"/>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16</v>
      </c>
      <c r="C20" s="134">
        <v>3</v>
      </c>
      <c r="D20" s="115"/>
      <c r="E20" s="38" t="s">
        <v>17</v>
      </c>
      <c r="G20" s="10"/>
      <c r="H20" s="3"/>
      <c r="I20" s="3"/>
      <c r="J20" s="34" t="s">
        <v>18</v>
      </c>
      <c r="K20" s="152" t="s">
        <v>15</v>
      </c>
      <c r="L20" s="153"/>
      <c r="M20" s="153"/>
      <c r="N20" s="153"/>
      <c r="O20" s="153"/>
      <c r="P20" s="153"/>
      <c r="Q20" s="153"/>
      <c r="R20" s="153"/>
      <c r="S20" s="15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2" t="s">
        <v>19</v>
      </c>
      <c r="B22" s="142"/>
      <c r="C22" s="142"/>
      <c r="D22" s="142"/>
      <c r="E22" s="142"/>
      <c r="F22" s="142"/>
      <c r="G22" s="142"/>
      <c r="H22" s="142"/>
      <c r="I22" s="142"/>
      <c r="J22" s="142"/>
      <c r="K22" s="142"/>
      <c r="L22" s="142"/>
      <c r="M22" s="142"/>
      <c r="N22" s="142"/>
      <c r="O22" s="142"/>
      <c r="P22" s="142"/>
      <c r="Q22" s="142"/>
      <c r="R22" s="142"/>
      <c r="S22" s="142"/>
    </row>
    <row r="23" spans="1:19" ht="18" customHeight="1" x14ac:dyDescent="0.15">
      <c r="A23" s="142"/>
      <c r="B23" s="142"/>
      <c r="C23" s="142"/>
      <c r="D23" s="142"/>
      <c r="E23" s="142"/>
      <c r="F23" s="142"/>
      <c r="G23" s="142"/>
      <c r="H23" s="142"/>
      <c r="I23" s="142"/>
      <c r="J23" s="142"/>
      <c r="K23" s="142"/>
      <c r="L23" s="142"/>
      <c r="M23" s="142"/>
      <c r="N23" s="142"/>
      <c r="O23" s="142"/>
      <c r="P23" s="142"/>
      <c r="Q23" s="142"/>
      <c r="R23" s="142"/>
      <c r="S23" s="142"/>
    </row>
    <row r="24" spans="1:19" ht="18" customHeight="1" x14ac:dyDescent="0.15">
      <c r="B24" s="134" t="s">
        <v>20</v>
      </c>
      <c r="C24" s="114"/>
      <c r="D24" s="114"/>
      <c r="E24" s="115"/>
      <c r="F24" s="57" t="s">
        <v>21</v>
      </c>
      <c r="G24" s="56" t="s">
        <v>22</v>
      </c>
      <c r="H24" s="21" t="s">
        <v>23</v>
      </c>
      <c r="I24" s="21" t="s">
        <v>24</v>
      </c>
      <c r="J24" s="134" t="s">
        <v>20</v>
      </c>
      <c r="K24" s="114"/>
      <c r="L24" s="114"/>
      <c r="M24" s="114"/>
      <c r="N24" s="114"/>
      <c r="O24" s="115"/>
      <c r="P24" s="57" t="s">
        <v>21</v>
      </c>
      <c r="Q24" s="56" t="s">
        <v>22</v>
      </c>
      <c r="R24" s="21" t="s">
        <v>23</v>
      </c>
      <c r="S24" s="21" t="s">
        <v>24</v>
      </c>
    </row>
    <row r="25" spans="1:19" ht="18" customHeight="1" x14ac:dyDescent="0.15">
      <c r="B25" s="138" t="s">
        <v>25</v>
      </c>
      <c r="C25" s="107"/>
      <c r="D25" s="107"/>
      <c r="E25" s="108"/>
      <c r="F25" s="22">
        <v>1</v>
      </c>
      <c r="G25" s="22" t="s">
        <v>26</v>
      </c>
      <c r="H25" s="22" t="s">
        <v>26</v>
      </c>
      <c r="I25" s="22" t="s">
        <v>26</v>
      </c>
      <c r="J25" s="138"/>
      <c r="K25" s="107"/>
      <c r="L25" s="107"/>
      <c r="M25" s="107"/>
      <c r="N25" s="107"/>
      <c r="O25" s="108"/>
      <c r="P25" s="22"/>
      <c r="Q25" s="22"/>
      <c r="R25" s="22"/>
      <c r="S25" s="22"/>
    </row>
    <row r="26" spans="1:19" ht="18" customHeight="1" x14ac:dyDescent="0.15">
      <c r="B26" s="124"/>
      <c r="C26" s="125"/>
      <c r="D26" s="125"/>
      <c r="E26" s="126"/>
      <c r="F26" s="23"/>
      <c r="G26" s="23"/>
      <c r="H26" s="23"/>
      <c r="I26" s="23"/>
      <c r="J26" s="124"/>
      <c r="K26" s="125"/>
      <c r="L26" s="125"/>
      <c r="M26" s="125"/>
      <c r="N26" s="125"/>
      <c r="O26" s="126"/>
      <c r="P26" s="23"/>
      <c r="Q26" s="23"/>
      <c r="R26" s="23"/>
      <c r="S26" s="23"/>
    </row>
    <row r="27" spans="1:19" ht="18" customHeight="1" x14ac:dyDescent="0.15">
      <c r="B27" s="124"/>
      <c r="C27" s="125"/>
      <c r="D27" s="125"/>
      <c r="E27" s="126"/>
      <c r="F27" s="23"/>
      <c r="G27" s="23"/>
      <c r="H27" s="23"/>
      <c r="I27" s="23"/>
      <c r="J27" s="124"/>
      <c r="K27" s="125"/>
      <c r="L27" s="125"/>
      <c r="M27" s="125"/>
      <c r="N27" s="125"/>
      <c r="O27" s="126"/>
      <c r="P27" s="23"/>
      <c r="Q27" s="23"/>
      <c r="R27" s="23"/>
      <c r="S27" s="23"/>
    </row>
    <row r="28" spans="1:19" ht="18" customHeight="1" x14ac:dyDescent="0.15">
      <c r="B28" s="124"/>
      <c r="C28" s="125"/>
      <c r="D28" s="125"/>
      <c r="E28" s="126"/>
      <c r="F28" s="23"/>
      <c r="G28" s="23"/>
      <c r="H28" s="23"/>
      <c r="I28" s="23"/>
      <c r="J28" s="124"/>
      <c r="K28" s="125"/>
      <c r="L28" s="125"/>
      <c r="M28" s="125"/>
      <c r="N28" s="125"/>
      <c r="O28" s="126"/>
      <c r="P28" s="23"/>
      <c r="Q28" s="23"/>
      <c r="R28" s="23"/>
      <c r="S28" s="23"/>
    </row>
    <row r="29" spans="1:19" ht="18" customHeight="1" x14ac:dyDescent="0.15">
      <c r="B29" s="124"/>
      <c r="C29" s="125"/>
      <c r="D29" s="125"/>
      <c r="E29" s="126"/>
      <c r="F29" s="23"/>
      <c r="G29" s="23"/>
      <c r="H29" s="23"/>
      <c r="I29" s="23"/>
      <c r="J29" s="124"/>
      <c r="K29" s="125"/>
      <c r="L29" s="125"/>
      <c r="M29" s="125"/>
      <c r="N29" s="125"/>
      <c r="O29" s="126"/>
      <c r="P29" s="23"/>
      <c r="Q29" s="23"/>
      <c r="R29" s="23"/>
      <c r="S29" s="23"/>
    </row>
    <row r="30" spans="1:19" ht="18" customHeight="1" x14ac:dyDescent="0.15">
      <c r="A30" s="3"/>
      <c r="B30" s="124"/>
      <c r="C30" s="125"/>
      <c r="D30" s="125"/>
      <c r="E30" s="126"/>
      <c r="F30" s="23"/>
      <c r="G30" s="23"/>
      <c r="H30" s="23"/>
      <c r="I30" s="23"/>
      <c r="J30" s="124"/>
      <c r="K30" s="125"/>
      <c r="L30" s="125"/>
      <c r="M30" s="125"/>
      <c r="N30" s="125"/>
      <c r="O30" s="126"/>
      <c r="P30" s="23"/>
      <c r="Q30" s="23"/>
      <c r="R30" s="23"/>
      <c r="S30" s="23"/>
    </row>
    <row r="31" spans="1:19" ht="18" customHeight="1" x14ac:dyDescent="0.15">
      <c r="A31" s="3"/>
      <c r="B31" s="130"/>
      <c r="C31" s="101"/>
      <c r="D31" s="101"/>
      <c r="E31" s="102"/>
      <c r="F31" s="24"/>
      <c r="G31" s="24"/>
      <c r="H31" s="25"/>
      <c r="I31" s="25"/>
      <c r="J31" s="130"/>
      <c r="K31" s="101"/>
      <c r="L31" s="101"/>
      <c r="M31" s="101"/>
      <c r="N31" s="101"/>
      <c r="O31" s="102"/>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2" t="s">
        <v>27</v>
      </c>
      <c r="B33" s="142"/>
      <c r="C33" s="142"/>
      <c r="D33" s="142"/>
      <c r="E33" s="142"/>
      <c r="F33" s="142"/>
      <c r="G33" s="142"/>
      <c r="H33" s="142"/>
      <c r="I33" s="142"/>
      <c r="J33" s="142"/>
      <c r="K33" s="142"/>
      <c r="L33" s="142"/>
      <c r="M33" s="142"/>
      <c r="N33" s="142"/>
      <c r="O33" s="142"/>
      <c r="P33" s="142"/>
      <c r="Q33" s="142"/>
      <c r="R33" s="142"/>
      <c r="S33" s="142"/>
    </row>
    <row r="34" spans="1:19" ht="18" customHeight="1" x14ac:dyDescent="0.15">
      <c r="A34" s="142"/>
      <c r="B34" s="142"/>
      <c r="C34" s="142"/>
      <c r="D34" s="142"/>
      <c r="E34" s="142"/>
      <c r="F34" s="142"/>
      <c r="G34" s="142"/>
      <c r="H34" s="142"/>
      <c r="I34" s="142"/>
      <c r="J34" s="142"/>
      <c r="K34" s="142"/>
      <c r="L34" s="142"/>
      <c r="M34" s="142"/>
      <c r="N34" s="142"/>
      <c r="O34" s="142"/>
      <c r="P34" s="142"/>
      <c r="Q34" s="142"/>
      <c r="R34" s="142"/>
      <c r="S34" s="142"/>
    </row>
    <row r="35" spans="1:19" ht="18" customHeight="1" x14ac:dyDescent="0.15">
      <c r="B35" s="134" t="s">
        <v>20</v>
      </c>
      <c r="C35" s="114"/>
      <c r="D35" s="114"/>
      <c r="E35" s="115"/>
      <c r="F35" s="57" t="s">
        <v>21</v>
      </c>
      <c r="G35" s="56" t="s">
        <v>22</v>
      </c>
      <c r="H35" s="21" t="s">
        <v>28</v>
      </c>
      <c r="I35" s="21" t="s">
        <v>29</v>
      </c>
      <c r="J35" s="134" t="s">
        <v>20</v>
      </c>
      <c r="K35" s="114"/>
      <c r="L35" s="114"/>
      <c r="M35" s="114"/>
      <c r="N35" s="114"/>
      <c r="O35" s="115"/>
      <c r="P35" s="57" t="s">
        <v>21</v>
      </c>
      <c r="Q35" s="56" t="s">
        <v>22</v>
      </c>
      <c r="R35" s="21" t="s">
        <v>28</v>
      </c>
      <c r="S35" s="21" t="s">
        <v>29</v>
      </c>
    </row>
    <row r="36" spans="1:19" ht="18" customHeight="1" x14ac:dyDescent="0.15">
      <c r="B36" s="138" t="s">
        <v>25</v>
      </c>
      <c r="C36" s="107"/>
      <c r="D36" s="107"/>
      <c r="E36" s="108"/>
      <c r="F36" s="22">
        <v>1</v>
      </c>
      <c r="G36" s="22" t="s">
        <v>26</v>
      </c>
      <c r="H36" s="22" t="s">
        <v>26</v>
      </c>
      <c r="I36" s="22" t="s">
        <v>26</v>
      </c>
      <c r="J36" s="138"/>
      <c r="K36" s="107"/>
      <c r="L36" s="107"/>
      <c r="M36" s="107"/>
      <c r="N36" s="107"/>
      <c r="O36" s="108"/>
      <c r="P36" s="22"/>
      <c r="Q36" s="22"/>
      <c r="R36" s="22"/>
      <c r="S36" s="22"/>
    </row>
    <row r="37" spans="1:19" ht="18" customHeight="1" x14ac:dyDescent="0.15">
      <c r="B37" s="124"/>
      <c r="C37" s="125"/>
      <c r="D37" s="125"/>
      <c r="E37" s="126"/>
      <c r="F37" s="23"/>
      <c r="G37" s="23"/>
      <c r="H37" s="23"/>
      <c r="I37" s="23"/>
      <c r="J37" s="124"/>
      <c r="K37" s="125"/>
      <c r="L37" s="125"/>
      <c r="M37" s="125"/>
      <c r="N37" s="125"/>
      <c r="O37" s="126"/>
      <c r="P37" s="23"/>
      <c r="Q37" s="23"/>
      <c r="R37" s="23"/>
      <c r="S37" s="23"/>
    </row>
    <row r="38" spans="1:19" ht="18" customHeight="1" x14ac:dyDescent="0.15">
      <c r="B38" s="124"/>
      <c r="C38" s="125"/>
      <c r="D38" s="125"/>
      <c r="E38" s="126"/>
      <c r="F38" s="23"/>
      <c r="G38" s="23"/>
      <c r="H38" s="23"/>
      <c r="I38" s="23"/>
      <c r="J38" s="124"/>
      <c r="K38" s="125"/>
      <c r="L38" s="125"/>
      <c r="M38" s="125"/>
      <c r="N38" s="125"/>
      <c r="O38" s="126"/>
      <c r="P38" s="23"/>
      <c r="Q38" s="23"/>
      <c r="R38" s="23"/>
      <c r="S38" s="23"/>
    </row>
    <row r="39" spans="1:19" ht="18" customHeight="1" x14ac:dyDescent="0.15">
      <c r="B39" s="124"/>
      <c r="C39" s="125"/>
      <c r="D39" s="125"/>
      <c r="E39" s="126"/>
      <c r="F39" s="23"/>
      <c r="G39" s="23"/>
      <c r="H39" s="23"/>
      <c r="I39" s="23"/>
      <c r="J39" s="124"/>
      <c r="K39" s="125"/>
      <c r="L39" s="125"/>
      <c r="M39" s="125"/>
      <c r="N39" s="125"/>
      <c r="O39" s="126"/>
      <c r="P39" s="23"/>
      <c r="Q39" s="23"/>
      <c r="R39" s="23"/>
      <c r="S39" s="23"/>
    </row>
    <row r="40" spans="1:19" ht="18" customHeight="1" x14ac:dyDescent="0.15">
      <c r="B40" s="124"/>
      <c r="C40" s="125"/>
      <c r="D40" s="125"/>
      <c r="E40" s="126"/>
      <c r="F40" s="23"/>
      <c r="G40" s="23"/>
      <c r="H40" s="23"/>
      <c r="I40" s="23"/>
      <c r="J40" s="124"/>
      <c r="K40" s="125"/>
      <c r="L40" s="125"/>
      <c r="M40" s="125"/>
      <c r="N40" s="125"/>
      <c r="O40" s="126"/>
      <c r="P40" s="23"/>
      <c r="Q40" s="23"/>
      <c r="R40" s="23"/>
      <c r="S40" s="23"/>
    </row>
    <row r="41" spans="1:19" ht="18" customHeight="1" x14ac:dyDescent="0.15">
      <c r="B41" s="124"/>
      <c r="C41" s="125"/>
      <c r="D41" s="125"/>
      <c r="E41" s="126"/>
      <c r="F41" s="23"/>
      <c r="G41" s="23"/>
      <c r="H41" s="23"/>
      <c r="I41" s="23"/>
      <c r="J41" s="124"/>
      <c r="K41" s="125"/>
      <c r="L41" s="125"/>
      <c r="M41" s="125"/>
      <c r="N41" s="125"/>
      <c r="O41" s="126"/>
      <c r="P41" s="23"/>
      <c r="Q41" s="23"/>
      <c r="R41" s="23"/>
      <c r="S41" s="23"/>
    </row>
    <row r="42" spans="1:19" ht="18" customHeight="1" x14ac:dyDescent="0.15">
      <c r="B42" s="130"/>
      <c r="C42" s="101"/>
      <c r="D42" s="101"/>
      <c r="E42" s="102"/>
      <c r="F42" s="24"/>
      <c r="G42" s="24"/>
      <c r="H42" s="25"/>
      <c r="I42" s="25"/>
      <c r="J42" s="130"/>
      <c r="K42" s="101"/>
      <c r="L42" s="101"/>
      <c r="M42" s="101"/>
      <c r="N42" s="101"/>
      <c r="O42" s="102"/>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2" t="s">
        <v>30</v>
      </c>
      <c r="B44" s="142"/>
      <c r="C44" s="142"/>
      <c r="D44" s="142"/>
      <c r="E44" s="142"/>
      <c r="F44" s="142"/>
      <c r="G44" s="142"/>
      <c r="H44" s="142"/>
      <c r="I44" s="142"/>
      <c r="J44" s="142"/>
      <c r="K44" s="142"/>
      <c r="L44" s="142"/>
      <c r="M44" s="142"/>
      <c r="N44" s="142"/>
      <c r="O44" s="142"/>
      <c r="P44" s="142"/>
      <c r="Q44" s="142"/>
      <c r="R44" s="142"/>
      <c r="S44" s="142"/>
    </row>
    <row r="45" spans="1:19" ht="18" customHeight="1" x14ac:dyDescent="0.15">
      <c r="A45" s="142"/>
      <c r="B45" s="142"/>
      <c r="C45" s="142"/>
      <c r="D45" s="142"/>
      <c r="E45" s="142"/>
      <c r="F45" s="142"/>
      <c r="G45" s="142"/>
      <c r="H45" s="142"/>
      <c r="I45" s="142"/>
      <c r="J45" s="142"/>
      <c r="K45" s="142"/>
      <c r="L45" s="142"/>
      <c r="M45" s="142"/>
      <c r="N45" s="142"/>
      <c r="O45" s="142"/>
      <c r="P45" s="142"/>
      <c r="Q45" s="142"/>
      <c r="R45" s="142"/>
      <c r="S45" s="142"/>
    </row>
    <row r="46" spans="1:19" ht="18" customHeight="1" x14ac:dyDescent="0.15">
      <c r="B46" s="134" t="s">
        <v>20</v>
      </c>
      <c r="C46" s="114"/>
      <c r="D46" s="114"/>
      <c r="E46" s="115"/>
      <c r="F46" s="57" t="s">
        <v>21</v>
      </c>
      <c r="G46" s="56" t="s">
        <v>22</v>
      </c>
      <c r="H46" s="21" t="s">
        <v>31</v>
      </c>
      <c r="I46" s="21" t="s">
        <v>32</v>
      </c>
      <c r="J46" s="134" t="s">
        <v>20</v>
      </c>
      <c r="K46" s="114"/>
      <c r="L46" s="114"/>
      <c r="M46" s="114"/>
      <c r="N46" s="114"/>
      <c r="O46" s="115"/>
      <c r="P46" s="57" t="s">
        <v>21</v>
      </c>
      <c r="Q46" s="56" t="s">
        <v>22</v>
      </c>
      <c r="R46" s="21" t="s">
        <v>31</v>
      </c>
      <c r="S46" s="21" t="s">
        <v>32</v>
      </c>
    </row>
    <row r="47" spans="1:19" ht="18" customHeight="1" x14ac:dyDescent="0.15">
      <c r="A47" s="3"/>
      <c r="B47" s="138" t="s">
        <v>25</v>
      </c>
      <c r="C47" s="107"/>
      <c r="D47" s="107"/>
      <c r="E47" s="108"/>
      <c r="F47" s="22">
        <v>1</v>
      </c>
      <c r="G47" s="22" t="s">
        <v>26</v>
      </c>
      <c r="H47" s="22" t="s">
        <v>26</v>
      </c>
      <c r="I47" s="22" t="s">
        <v>26</v>
      </c>
      <c r="J47" s="138"/>
      <c r="K47" s="107"/>
      <c r="L47" s="107"/>
      <c r="M47" s="107"/>
      <c r="N47" s="107"/>
      <c r="O47" s="108"/>
      <c r="P47" s="22"/>
      <c r="Q47" s="22"/>
      <c r="R47" s="22"/>
      <c r="S47" s="22"/>
    </row>
    <row r="48" spans="1:19" ht="18" customHeight="1" x14ac:dyDescent="0.15">
      <c r="A48" s="3"/>
      <c r="B48" s="124"/>
      <c r="C48" s="125"/>
      <c r="D48" s="125"/>
      <c r="E48" s="126"/>
      <c r="F48" s="23"/>
      <c r="G48" s="23"/>
      <c r="H48" s="23"/>
      <c r="I48" s="23"/>
      <c r="J48" s="124"/>
      <c r="K48" s="125"/>
      <c r="L48" s="125"/>
      <c r="M48" s="125"/>
      <c r="N48" s="125"/>
      <c r="O48" s="126"/>
      <c r="P48" s="23"/>
      <c r="Q48" s="23"/>
      <c r="R48" s="23"/>
      <c r="S48" s="23"/>
    </row>
    <row r="49" spans="1:19" ht="18" customHeight="1" x14ac:dyDescent="0.15">
      <c r="A49" s="3"/>
      <c r="B49" s="124"/>
      <c r="C49" s="125"/>
      <c r="D49" s="125"/>
      <c r="E49" s="126"/>
      <c r="F49" s="23"/>
      <c r="G49" s="23"/>
      <c r="H49" s="23"/>
      <c r="I49" s="23"/>
      <c r="J49" s="124"/>
      <c r="K49" s="125"/>
      <c r="L49" s="125"/>
      <c r="M49" s="125"/>
      <c r="N49" s="125"/>
      <c r="O49" s="126"/>
      <c r="P49" s="23"/>
      <c r="Q49" s="23"/>
      <c r="R49" s="23"/>
      <c r="S49" s="23"/>
    </row>
    <row r="50" spans="1:19" ht="18" customHeight="1" x14ac:dyDescent="0.15">
      <c r="A50" s="3"/>
      <c r="B50" s="124"/>
      <c r="C50" s="125"/>
      <c r="D50" s="125"/>
      <c r="E50" s="126"/>
      <c r="F50" s="23"/>
      <c r="G50" s="23"/>
      <c r="H50" s="23"/>
      <c r="I50" s="23"/>
      <c r="J50" s="124"/>
      <c r="K50" s="125"/>
      <c r="L50" s="125"/>
      <c r="M50" s="125"/>
      <c r="N50" s="125"/>
      <c r="O50" s="126"/>
      <c r="P50" s="23"/>
      <c r="Q50" s="23"/>
      <c r="R50" s="23"/>
      <c r="S50" s="23"/>
    </row>
    <row r="51" spans="1:19" ht="18" customHeight="1" x14ac:dyDescent="0.15">
      <c r="A51" s="3"/>
      <c r="B51" s="124"/>
      <c r="C51" s="125"/>
      <c r="D51" s="125"/>
      <c r="E51" s="126"/>
      <c r="F51" s="23"/>
      <c r="G51" s="23"/>
      <c r="H51" s="23"/>
      <c r="I51" s="23"/>
      <c r="J51" s="124"/>
      <c r="K51" s="125"/>
      <c r="L51" s="125"/>
      <c r="M51" s="125"/>
      <c r="N51" s="125"/>
      <c r="O51" s="126"/>
      <c r="P51" s="23"/>
      <c r="Q51" s="23"/>
      <c r="R51" s="23"/>
      <c r="S51" s="23"/>
    </row>
    <row r="52" spans="1:19" ht="18" customHeight="1" x14ac:dyDescent="0.15">
      <c r="A52" s="3"/>
      <c r="B52" s="124"/>
      <c r="C52" s="125"/>
      <c r="D52" s="125"/>
      <c r="E52" s="126"/>
      <c r="F52" s="23"/>
      <c r="G52" s="23"/>
      <c r="H52" s="23"/>
      <c r="I52" s="23"/>
      <c r="J52" s="124"/>
      <c r="K52" s="125"/>
      <c r="L52" s="125"/>
      <c r="M52" s="125"/>
      <c r="N52" s="125"/>
      <c r="O52" s="126"/>
      <c r="P52" s="23"/>
      <c r="Q52" s="23"/>
      <c r="R52" s="23"/>
      <c r="S52" s="23"/>
    </row>
    <row r="53" spans="1:19" ht="18" customHeight="1" x14ac:dyDescent="0.15">
      <c r="A53" s="3"/>
      <c r="B53" s="130"/>
      <c r="C53" s="101"/>
      <c r="D53" s="101"/>
      <c r="E53" s="102"/>
      <c r="F53" s="24"/>
      <c r="G53" s="24"/>
      <c r="H53" s="25"/>
      <c r="I53" s="25"/>
      <c r="J53" s="130"/>
      <c r="K53" s="101"/>
      <c r="L53" s="101"/>
      <c r="M53" s="101"/>
      <c r="N53" s="101"/>
      <c r="O53" s="102"/>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2" t="s">
        <v>33</v>
      </c>
      <c r="B55" s="142"/>
      <c r="C55" s="142"/>
      <c r="D55" s="142"/>
      <c r="E55" s="142"/>
      <c r="F55" s="142"/>
      <c r="G55" s="142"/>
      <c r="H55" s="142"/>
      <c r="I55" s="142"/>
      <c r="J55" s="142"/>
      <c r="K55" s="142"/>
      <c r="L55" s="142"/>
      <c r="M55" s="142"/>
      <c r="N55" s="142"/>
      <c r="O55" s="142"/>
      <c r="P55" s="142"/>
      <c r="Q55" s="142"/>
      <c r="R55" s="142"/>
      <c r="S55" s="142"/>
    </row>
    <row r="56" spans="1:19" ht="18" customHeight="1" x14ac:dyDescent="0.15">
      <c r="A56" s="142"/>
      <c r="B56" s="142"/>
      <c r="C56" s="142"/>
      <c r="D56" s="142"/>
      <c r="E56" s="142"/>
      <c r="F56" s="142"/>
      <c r="G56" s="142"/>
      <c r="H56" s="142"/>
      <c r="I56" s="142"/>
      <c r="J56" s="142"/>
      <c r="K56" s="142"/>
      <c r="L56" s="142"/>
      <c r="M56" s="142"/>
      <c r="N56" s="142"/>
      <c r="O56" s="142"/>
      <c r="P56" s="142"/>
      <c r="Q56" s="142"/>
      <c r="R56" s="142"/>
      <c r="S56" s="142"/>
    </row>
    <row r="57" spans="1:19" ht="18" customHeight="1" x14ac:dyDescent="0.15">
      <c r="B57" s="134" t="s">
        <v>20</v>
      </c>
      <c r="C57" s="114"/>
      <c r="D57" s="114"/>
      <c r="E57" s="115"/>
      <c r="F57" s="57" t="s">
        <v>21</v>
      </c>
      <c r="G57" s="56" t="s">
        <v>22</v>
      </c>
      <c r="H57" s="21" t="s">
        <v>34</v>
      </c>
      <c r="I57" s="21" t="s">
        <v>35</v>
      </c>
      <c r="J57" s="134" t="s">
        <v>20</v>
      </c>
      <c r="K57" s="114"/>
      <c r="L57" s="114"/>
      <c r="M57" s="114"/>
      <c r="N57" s="114"/>
      <c r="O57" s="115"/>
      <c r="P57" s="57" t="s">
        <v>21</v>
      </c>
      <c r="Q57" s="56" t="s">
        <v>22</v>
      </c>
      <c r="R57" s="21" t="s">
        <v>34</v>
      </c>
      <c r="S57" s="21" t="s">
        <v>35</v>
      </c>
    </row>
    <row r="58" spans="1:19" ht="18" customHeight="1" x14ac:dyDescent="0.15">
      <c r="A58" s="3"/>
      <c r="B58" s="138" t="s">
        <v>25</v>
      </c>
      <c r="C58" s="107"/>
      <c r="D58" s="107"/>
      <c r="E58" s="108"/>
      <c r="F58" s="22">
        <v>1</v>
      </c>
      <c r="G58" s="22" t="s">
        <v>26</v>
      </c>
      <c r="H58" s="22" t="s">
        <v>26</v>
      </c>
      <c r="I58" s="22" t="s">
        <v>26</v>
      </c>
      <c r="J58" s="138"/>
      <c r="K58" s="107"/>
      <c r="L58" s="107"/>
      <c r="M58" s="107"/>
      <c r="N58" s="107"/>
      <c r="O58" s="108"/>
      <c r="P58" s="22"/>
      <c r="Q58" s="22"/>
      <c r="R58" s="22"/>
      <c r="S58" s="22"/>
    </row>
    <row r="59" spans="1:19" ht="18" customHeight="1" x14ac:dyDescent="0.15">
      <c r="A59" s="3"/>
      <c r="B59" s="124"/>
      <c r="C59" s="125"/>
      <c r="D59" s="125"/>
      <c r="E59" s="126"/>
      <c r="F59" s="23"/>
      <c r="G59" s="23"/>
      <c r="H59" s="23"/>
      <c r="I59" s="23"/>
      <c r="J59" s="124"/>
      <c r="K59" s="125"/>
      <c r="L59" s="125"/>
      <c r="M59" s="125"/>
      <c r="N59" s="125"/>
      <c r="O59" s="126"/>
      <c r="P59" s="23"/>
      <c r="Q59" s="23"/>
      <c r="R59" s="23"/>
      <c r="S59" s="23"/>
    </row>
    <row r="60" spans="1:19" ht="18" customHeight="1" x14ac:dyDescent="0.15">
      <c r="A60" s="3"/>
      <c r="B60" s="124"/>
      <c r="C60" s="125"/>
      <c r="D60" s="125"/>
      <c r="E60" s="126"/>
      <c r="F60" s="23"/>
      <c r="G60" s="23"/>
      <c r="H60" s="23"/>
      <c r="I60" s="23"/>
      <c r="J60" s="124"/>
      <c r="K60" s="125"/>
      <c r="L60" s="125"/>
      <c r="M60" s="125"/>
      <c r="N60" s="125"/>
      <c r="O60" s="126"/>
      <c r="P60" s="23"/>
      <c r="Q60" s="23"/>
      <c r="R60" s="23"/>
      <c r="S60" s="23"/>
    </row>
    <row r="61" spans="1:19" ht="18" customHeight="1" x14ac:dyDescent="0.15">
      <c r="A61" s="3"/>
      <c r="B61" s="124"/>
      <c r="C61" s="125"/>
      <c r="D61" s="125"/>
      <c r="E61" s="126"/>
      <c r="F61" s="23"/>
      <c r="G61" s="23"/>
      <c r="H61" s="23"/>
      <c r="I61" s="23"/>
      <c r="J61" s="124"/>
      <c r="K61" s="125"/>
      <c r="L61" s="125"/>
      <c r="M61" s="125"/>
      <c r="N61" s="125"/>
      <c r="O61" s="126"/>
      <c r="P61" s="23"/>
      <c r="Q61" s="23"/>
      <c r="R61" s="23"/>
      <c r="S61" s="23"/>
    </row>
    <row r="62" spans="1:19" ht="18" customHeight="1" x14ac:dyDescent="0.15">
      <c r="A62" s="3"/>
      <c r="B62" s="124"/>
      <c r="C62" s="125"/>
      <c r="D62" s="125"/>
      <c r="E62" s="126"/>
      <c r="F62" s="23"/>
      <c r="G62" s="23"/>
      <c r="H62" s="23"/>
      <c r="I62" s="23"/>
      <c r="J62" s="124"/>
      <c r="K62" s="125"/>
      <c r="L62" s="125"/>
      <c r="M62" s="125"/>
      <c r="N62" s="125"/>
      <c r="O62" s="126"/>
      <c r="P62" s="23"/>
      <c r="Q62" s="23"/>
      <c r="R62" s="23"/>
      <c r="S62" s="23"/>
    </row>
    <row r="63" spans="1:19" ht="18" customHeight="1" x14ac:dyDescent="0.15">
      <c r="A63" s="3"/>
      <c r="B63" s="124"/>
      <c r="C63" s="125"/>
      <c r="D63" s="125"/>
      <c r="E63" s="126"/>
      <c r="F63" s="23"/>
      <c r="G63" s="23"/>
      <c r="H63" s="23"/>
      <c r="I63" s="23"/>
      <c r="J63" s="124"/>
      <c r="K63" s="125"/>
      <c r="L63" s="125"/>
      <c r="M63" s="125"/>
      <c r="N63" s="125"/>
      <c r="O63" s="126"/>
      <c r="P63" s="23"/>
      <c r="Q63" s="23"/>
      <c r="R63" s="23"/>
      <c r="S63" s="23"/>
    </row>
    <row r="64" spans="1:19" ht="18" customHeight="1" x14ac:dyDescent="0.15">
      <c r="A64" s="3"/>
      <c r="B64" s="130"/>
      <c r="C64" s="101"/>
      <c r="D64" s="101"/>
      <c r="E64" s="102"/>
      <c r="F64" s="24"/>
      <c r="G64" s="24"/>
      <c r="H64" s="25"/>
      <c r="I64" s="25"/>
      <c r="J64" s="130"/>
      <c r="K64" s="101"/>
      <c r="L64" s="101"/>
      <c r="M64" s="101"/>
      <c r="N64" s="101"/>
      <c r="O64" s="102"/>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2" t="s">
        <v>36</v>
      </c>
      <c r="B66" s="142"/>
      <c r="C66" s="142"/>
      <c r="D66" s="142"/>
      <c r="E66" s="142"/>
      <c r="F66" s="142"/>
      <c r="G66" s="142"/>
      <c r="H66" s="142"/>
      <c r="I66" s="142"/>
      <c r="J66" s="142"/>
      <c r="K66" s="142"/>
      <c r="L66" s="142"/>
      <c r="M66" s="142"/>
      <c r="N66" s="142"/>
      <c r="O66" s="142"/>
      <c r="P66" s="142"/>
      <c r="Q66" s="142"/>
      <c r="R66" s="142"/>
      <c r="S66" s="142"/>
    </row>
    <row r="67" spans="1:19" ht="18" customHeight="1" x14ac:dyDescent="0.15">
      <c r="A67" s="142"/>
      <c r="B67" s="142"/>
      <c r="C67" s="142"/>
      <c r="D67" s="142"/>
      <c r="E67" s="142"/>
      <c r="F67" s="142"/>
      <c r="G67" s="142"/>
      <c r="H67" s="142"/>
      <c r="I67" s="142"/>
      <c r="J67" s="142"/>
      <c r="K67" s="142"/>
      <c r="L67" s="142"/>
      <c r="M67" s="142"/>
      <c r="N67" s="142"/>
      <c r="O67" s="142"/>
      <c r="P67" s="142"/>
      <c r="Q67" s="142"/>
      <c r="R67" s="142"/>
      <c r="S67" s="142"/>
    </row>
    <row r="68" spans="1:19" ht="18" customHeight="1" x14ac:dyDescent="0.15">
      <c r="B68" s="134" t="s">
        <v>20</v>
      </c>
      <c r="C68" s="114"/>
      <c r="D68" s="114"/>
      <c r="E68" s="57" t="s">
        <v>21</v>
      </c>
      <c r="F68" s="56" t="s">
        <v>22</v>
      </c>
      <c r="G68" s="21" t="s">
        <v>37</v>
      </c>
      <c r="H68" s="21" t="s">
        <v>38</v>
      </c>
      <c r="I68" s="21" t="s">
        <v>39</v>
      </c>
      <c r="J68" s="134" t="s">
        <v>20</v>
      </c>
      <c r="K68" s="114"/>
      <c r="L68" s="114"/>
      <c r="M68" s="114"/>
      <c r="N68" s="115"/>
      <c r="O68" s="57" t="s">
        <v>21</v>
      </c>
      <c r="P68" s="56" t="s">
        <v>22</v>
      </c>
      <c r="Q68" s="21" t="s">
        <v>37</v>
      </c>
      <c r="R68" s="21" t="s">
        <v>38</v>
      </c>
      <c r="S68" s="21" t="s">
        <v>39</v>
      </c>
    </row>
    <row r="69" spans="1:19" ht="18" customHeight="1" x14ac:dyDescent="0.15">
      <c r="A69" s="3"/>
      <c r="B69" s="124" t="s">
        <v>40</v>
      </c>
      <c r="C69" s="125"/>
      <c r="D69" s="125"/>
      <c r="E69" s="91">
        <v>1</v>
      </c>
      <c r="F69" s="22" t="s">
        <v>26</v>
      </c>
      <c r="G69" s="22" t="s">
        <v>26</v>
      </c>
      <c r="H69" s="22" t="s">
        <v>26</v>
      </c>
      <c r="I69" s="22" t="s">
        <v>26</v>
      </c>
      <c r="J69" s="138"/>
      <c r="K69" s="107"/>
      <c r="L69" s="107"/>
      <c r="M69" s="107"/>
      <c r="N69" s="108"/>
      <c r="O69" s="22"/>
      <c r="P69" s="22"/>
      <c r="Q69" s="22"/>
      <c r="R69" s="22"/>
      <c r="S69" s="22"/>
    </row>
    <row r="70" spans="1:19" ht="18" customHeight="1" x14ac:dyDescent="0.15">
      <c r="A70" s="3"/>
      <c r="B70" s="124" t="s">
        <v>41</v>
      </c>
      <c r="C70" s="125"/>
      <c r="D70" s="125"/>
      <c r="E70" s="91">
        <v>1</v>
      </c>
      <c r="F70" s="23" t="s">
        <v>26</v>
      </c>
      <c r="G70" s="23" t="s">
        <v>26</v>
      </c>
      <c r="H70" s="23" t="s">
        <v>26</v>
      </c>
      <c r="I70" s="23" t="s">
        <v>26</v>
      </c>
      <c r="J70" s="124"/>
      <c r="K70" s="125"/>
      <c r="L70" s="125"/>
      <c r="M70" s="125"/>
      <c r="N70" s="126"/>
      <c r="O70" s="23"/>
      <c r="P70" s="23"/>
      <c r="Q70" s="23"/>
      <c r="R70" s="23"/>
      <c r="S70" s="23"/>
    </row>
    <row r="71" spans="1:19" ht="18" customHeight="1" x14ac:dyDescent="0.15">
      <c r="A71" s="3"/>
      <c r="B71" s="124"/>
      <c r="C71" s="125"/>
      <c r="D71" s="125"/>
      <c r="E71" s="91"/>
      <c r="F71" s="23"/>
      <c r="G71" s="23"/>
      <c r="H71" s="23"/>
      <c r="I71" s="23"/>
      <c r="J71" s="124"/>
      <c r="K71" s="125"/>
      <c r="L71" s="125"/>
      <c r="M71" s="125"/>
      <c r="N71" s="126"/>
      <c r="O71" s="23"/>
      <c r="P71" s="23"/>
      <c r="Q71" s="23"/>
      <c r="R71" s="23"/>
      <c r="S71" s="23"/>
    </row>
    <row r="72" spans="1:19" ht="18" customHeight="1" x14ac:dyDescent="0.15">
      <c r="A72" s="3"/>
      <c r="B72" s="124"/>
      <c r="C72" s="125"/>
      <c r="D72" s="125"/>
      <c r="E72" s="23"/>
      <c r="F72" s="23"/>
      <c r="G72" s="23"/>
      <c r="H72" s="23"/>
      <c r="I72" s="23"/>
      <c r="J72" s="124"/>
      <c r="K72" s="125"/>
      <c r="L72" s="125"/>
      <c r="M72" s="125"/>
      <c r="N72" s="126"/>
      <c r="O72" s="23"/>
      <c r="P72" s="23"/>
      <c r="Q72" s="23"/>
      <c r="R72" s="23"/>
      <c r="S72" s="23"/>
    </row>
    <row r="73" spans="1:19" ht="18" customHeight="1" x14ac:dyDescent="0.15">
      <c r="A73" s="3"/>
      <c r="B73" s="124"/>
      <c r="C73" s="125"/>
      <c r="D73" s="125"/>
      <c r="E73" s="23"/>
      <c r="F73" s="23"/>
      <c r="G73" s="23"/>
      <c r="H73" s="23"/>
      <c r="I73" s="23"/>
      <c r="J73" s="124"/>
      <c r="K73" s="125"/>
      <c r="L73" s="125"/>
      <c r="M73" s="125"/>
      <c r="N73" s="126"/>
      <c r="O73" s="23"/>
      <c r="P73" s="23"/>
      <c r="Q73" s="23"/>
      <c r="R73" s="23"/>
      <c r="S73" s="23"/>
    </row>
    <row r="74" spans="1:19" ht="18" customHeight="1" x14ac:dyDescent="0.15">
      <c r="A74" s="3"/>
      <c r="B74" s="124"/>
      <c r="C74" s="125"/>
      <c r="D74" s="125"/>
      <c r="E74" s="23"/>
      <c r="F74" s="23"/>
      <c r="G74" s="23"/>
      <c r="H74" s="23"/>
      <c r="I74" s="23"/>
      <c r="J74" s="124"/>
      <c r="K74" s="125"/>
      <c r="L74" s="125"/>
      <c r="M74" s="125"/>
      <c r="N74" s="126"/>
      <c r="O74" s="23"/>
      <c r="P74" s="23"/>
      <c r="Q74" s="23"/>
      <c r="R74" s="23"/>
      <c r="S74" s="23"/>
    </row>
    <row r="75" spans="1:19" ht="18" customHeight="1" x14ac:dyDescent="0.15">
      <c r="A75" s="3"/>
      <c r="B75" s="130"/>
      <c r="C75" s="101"/>
      <c r="D75" s="101"/>
      <c r="E75" s="24"/>
      <c r="F75" s="24"/>
      <c r="G75" s="25"/>
      <c r="H75" s="25"/>
      <c r="I75" s="25"/>
      <c r="J75" s="130"/>
      <c r="K75" s="101"/>
      <c r="L75" s="101"/>
      <c r="M75" s="101"/>
      <c r="N75" s="102"/>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42</v>
      </c>
      <c r="H77" s="3"/>
      <c r="I77" s="3"/>
      <c r="J77" s="3"/>
      <c r="K77" s="3"/>
      <c r="L77" s="3"/>
      <c r="M77" s="3"/>
      <c r="N77" s="3"/>
      <c r="O77" s="3"/>
      <c r="P77" s="3"/>
      <c r="Q77" s="3"/>
      <c r="R77" s="3"/>
      <c r="S77" s="3"/>
    </row>
    <row r="78" spans="1:19" ht="18" customHeight="1" x14ac:dyDescent="0.15">
      <c r="B78" s="134" t="s">
        <v>20</v>
      </c>
      <c r="C78" s="114"/>
      <c r="D78" s="114"/>
      <c r="E78" s="115"/>
      <c r="F78" s="134" t="s">
        <v>43</v>
      </c>
      <c r="G78" s="114"/>
      <c r="H78" s="114"/>
      <c r="I78" s="115"/>
      <c r="J78" s="135" t="s">
        <v>20</v>
      </c>
      <c r="K78" s="136"/>
      <c r="L78" s="136"/>
      <c r="M78" s="136"/>
      <c r="N78" s="136"/>
      <c r="O78" s="137"/>
      <c r="P78" s="134" t="s">
        <v>43</v>
      </c>
      <c r="Q78" s="114"/>
      <c r="R78" s="114"/>
      <c r="S78" s="115"/>
    </row>
    <row r="79" spans="1:19" ht="18" customHeight="1" x14ac:dyDescent="0.15">
      <c r="A79" s="3"/>
      <c r="B79" s="138"/>
      <c r="C79" s="107"/>
      <c r="D79" s="107"/>
      <c r="E79" s="108"/>
      <c r="F79" s="139"/>
      <c r="G79" s="140"/>
      <c r="H79" s="140"/>
      <c r="I79" s="141"/>
      <c r="J79" s="138"/>
      <c r="K79" s="107"/>
      <c r="L79" s="107"/>
      <c r="M79" s="107"/>
      <c r="N79" s="107"/>
      <c r="O79" s="108"/>
      <c r="P79" s="139"/>
      <c r="Q79" s="140"/>
      <c r="R79" s="140"/>
      <c r="S79" s="141"/>
    </row>
    <row r="80" spans="1:19" ht="18" customHeight="1" x14ac:dyDescent="0.15">
      <c r="A80" s="3"/>
      <c r="B80" s="124"/>
      <c r="C80" s="125"/>
      <c r="D80" s="125"/>
      <c r="E80" s="126"/>
      <c r="F80" s="127"/>
      <c r="G80" s="128"/>
      <c r="H80" s="128"/>
      <c r="I80" s="129"/>
      <c r="J80" s="124"/>
      <c r="K80" s="125"/>
      <c r="L80" s="125"/>
      <c r="M80" s="125"/>
      <c r="N80" s="125"/>
      <c r="O80" s="126"/>
      <c r="P80" s="127"/>
      <c r="Q80" s="128"/>
      <c r="R80" s="128"/>
      <c r="S80" s="129"/>
    </row>
    <row r="81" spans="1:19" ht="18" customHeight="1" x14ac:dyDescent="0.15">
      <c r="A81" s="3"/>
      <c r="B81" s="124"/>
      <c r="C81" s="125"/>
      <c r="D81" s="125"/>
      <c r="E81" s="126"/>
      <c r="F81" s="127"/>
      <c r="G81" s="128"/>
      <c r="H81" s="128"/>
      <c r="I81" s="129"/>
      <c r="J81" s="124"/>
      <c r="K81" s="125"/>
      <c r="L81" s="125"/>
      <c r="M81" s="125"/>
      <c r="N81" s="125"/>
      <c r="O81" s="126"/>
      <c r="P81" s="127"/>
      <c r="Q81" s="128"/>
      <c r="R81" s="128"/>
      <c r="S81" s="129"/>
    </row>
    <row r="82" spans="1:19" ht="18" customHeight="1" x14ac:dyDescent="0.15">
      <c r="A82" s="3"/>
      <c r="B82" s="124"/>
      <c r="C82" s="125"/>
      <c r="D82" s="125"/>
      <c r="E82" s="126"/>
      <c r="F82" s="127"/>
      <c r="G82" s="128"/>
      <c r="H82" s="128"/>
      <c r="I82" s="129"/>
      <c r="J82" s="124"/>
      <c r="K82" s="125"/>
      <c r="L82" s="125"/>
      <c r="M82" s="125"/>
      <c r="N82" s="125"/>
      <c r="O82" s="126"/>
      <c r="P82" s="127"/>
      <c r="Q82" s="128"/>
      <c r="R82" s="128"/>
      <c r="S82" s="129"/>
    </row>
    <row r="83" spans="1:19" ht="18" customHeight="1" x14ac:dyDescent="0.15">
      <c r="A83" s="3"/>
      <c r="B83" s="124"/>
      <c r="C83" s="125"/>
      <c r="D83" s="125"/>
      <c r="E83" s="126"/>
      <c r="F83" s="127"/>
      <c r="G83" s="128"/>
      <c r="H83" s="128"/>
      <c r="I83" s="129"/>
      <c r="J83" s="124"/>
      <c r="K83" s="125"/>
      <c r="L83" s="125"/>
      <c r="M83" s="125"/>
      <c r="N83" s="125"/>
      <c r="O83" s="126"/>
      <c r="P83" s="127"/>
      <c r="Q83" s="128"/>
      <c r="R83" s="128"/>
      <c r="S83" s="129"/>
    </row>
    <row r="84" spans="1:19" ht="18" customHeight="1" x14ac:dyDescent="0.15">
      <c r="A84" s="3"/>
      <c r="B84" s="124"/>
      <c r="C84" s="125"/>
      <c r="D84" s="125"/>
      <c r="E84" s="126"/>
      <c r="F84" s="127"/>
      <c r="G84" s="128"/>
      <c r="H84" s="128"/>
      <c r="I84" s="129"/>
      <c r="J84" s="124"/>
      <c r="K84" s="125"/>
      <c r="L84" s="125"/>
      <c r="M84" s="125"/>
      <c r="N84" s="125"/>
      <c r="O84" s="126"/>
      <c r="P84" s="127"/>
      <c r="Q84" s="128"/>
      <c r="R84" s="128"/>
      <c r="S84" s="129"/>
    </row>
    <row r="85" spans="1:19" ht="18" customHeight="1" x14ac:dyDescent="0.15">
      <c r="A85" s="3"/>
      <c r="B85" s="130"/>
      <c r="C85" s="101"/>
      <c r="D85" s="101"/>
      <c r="E85" s="102"/>
      <c r="F85" s="131"/>
      <c r="G85" s="132"/>
      <c r="H85" s="132"/>
      <c r="I85" s="133"/>
      <c r="J85" s="130"/>
      <c r="K85" s="101"/>
      <c r="L85" s="101"/>
      <c r="M85" s="101"/>
      <c r="N85" s="101"/>
      <c r="O85" s="102"/>
      <c r="P85" s="131"/>
      <c r="Q85" s="132"/>
      <c r="R85" s="132"/>
      <c r="S85" s="133"/>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44</v>
      </c>
    </row>
    <row r="88" spans="1:19" ht="18.75" customHeight="1" x14ac:dyDescent="0.15">
      <c r="B88" s="112" t="s">
        <v>45</v>
      </c>
      <c r="C88" s="113"/>
      <c r="D88" s="114" t="s">
        <v>46</v>
      </c>
      <c r="E88" s="114"/>
      <c r="F88" s="114"/>
      <c r="G88" s="114"/>
      <c r="H88" s="114"/>
      <c r="I88" s="114"/>
      <c r="J88" s="114"/>
      <c r="K88" s="114"/>
      <c r="L88" s="114"/>
      <c r="M88" s="114"/>
      <c r="N88" s="114"/>
      <c r="O88" s="114"/>
      <c r="P88" s="114"/>
      <c r="Q88" s="114"/>
      <c r="R88" s="114"/>
      <c r="S88" s="115"/>
    </row>
    <row r="89" spans="1:19" ht="97.5" customHeight="1" x14ac:dyDescent="0.15">
      <c r="B89" s="97" t="s">
        <v>47</v>
      </c>
      <c r="C89" s="27" t="s">
        <v>23</v>
      </c>
      <c r="D89" s="281" t="s">
        <v>180</v>
      </c>
      <c r="E89" s="282"/>
      <c r="F89" s="282"/>
      <c r="G89" s="282"/>
      <c r="H89" s="282"/>
      <c r="I89" s="282"/>
      <c r="J89" s="282"/>
      <c r="K89" s="282"/>
      <c r="L89" s="282"/>
      <c r="M89" s="282"/>
      <c r="N89" s="282"/>
      <c r="O89" s="282"/>
      <c r="P89" s="282"/>
      <c r="Q89" s="282"/>
      <c r="R89" s="282"/>
      <c r="S89" s="283"/>
    </row>
    <row r="90" spans="1:19" ht="97.5" customHeight="1" x14ac:dyDescent="0.15">
      <c r="B90" s="98"/>
      <c r="C90" s="28" t="s">
        <v>48</v>
      </c>
      <c r="D90" s="119" t="s">
        <v>181</v>
      </c>
      <c r="E90" s="120"/>
      <c r="F90" s="120"/>
      <c r="G90" s="120"/>
      <c r="H90" s="120"/>
      <c r="I90" s="120"/>
      <c r="J90" s="120"/>
      <c r="K90" s="120"/>
      <c r="L90" s="120"/>
      <c r="M90" s="120"/>
      <c r="N90" s="120"/>
      <c r="O90" s="120"/>
      <c r="P90" s="120"/>
      <c r="Q90" s="120"/>
      <c r="R90" s="120"/>
      <c r="S90" s="121"/>
    </row>
    <row r="91" spans="1:19" ht="97.5" customHeight="1" x14ac:dyDescent="0.15">
      <c r="B91" s="97" t="s">
        <v>49</v>
      </c>
      <c r="C91" s="29" t="s">
        <v>28</v>
      </c>
      <c r="D91" s="173" t="s">
        <v>182</v>
      </c>
      <c r="E91" s="174"/>
      <c r="F91" s="174"/>
      <c r="G91" s="174"/>
      <c r="H91" s="174"/>
      <c r="I91" s="174"/>
      <c r="J91" s="174"/>
      <c r="K91" s="174"/>
      <c r="L91" s="174"/>
      <c r="M91" s="174"/>
      <c r="N91" s="174"/>
      <c r="O91" s="174"/>
      <c r="P91" s="174"/>
      <c r="Q91" s="174"/>
      <c r="R91" s="174"/>
      <c r="S91" s="175"/>
    </row>
    <row r="92" spans="1:19" ht="97.5" customHeight="1" x14ac:dyDescent="0.15">
      <c r="B92" s="99"/>
      <c r="C92" s="30" t="s">
        <v>29</v>
      </c>
      <c r="D92" s="284" t="s">
        <v>183</v>
      </c>
      <c r="E92" s="285"/>
      <c r="F92" s="285"/>
      <c r="G92" s="285"/>
      <c r="H92" s="285"/>
      <c r="I92" s="285"/>
      <c r="J92" s="285"/>
      <c r="K92" s="285"/>
      <c r="L92" s="285"/>
      <c r="M92" s="285"/>
      <c r="N92" s="285"/>
      <c r="O92" s="285"/>
      <c r="P92" s="285"/>
      <c r="Q92" s="285"/>
      <c r="R92" s="285"/>
      <c r="S92" s="286"/>
    </row>
    <row r="93" spans="1:19" ht="97.5" customHeight="1" x14ac:dyDescent="0.15">
      <c r="B93" s="97" t="s">
        <v>50</v>
      </c>
      <c r="C93" s="29" t="s">
        <v>31</v>
      </c>
      <c r="D93" s="289" t="s">
        <v>184</v>
      </c>
      <c r="E93" s="290"/>
      <c r="F93" s="290"/>
      <c r="G93" s="290"/>
      <c r="H93" s="290"/>
      <c r="I93" s="290"/>
      <c r="J93" s="290"/>
      <c r="K93" s="290"/>
      <c r="L93" s="290"/>
      <c r="M93" s="290"/>
      <c r="N93" s="290"/>
      <c r="O93" s="290"/>
      <c r="P93" s="290"/>
      <c r="Q93" s="290"/>
      <c r="R93" s="290"/>
      <c r="S93" s="291"/>
    </row>
    <row r="94" spans="1:19" ht="97.5" customHeight="1" x14ac:dyDescent="0.15">
      <c r="B94" s="99"/>
      <c r="C94" s="31" t="s">
        <v>32</v>
      </c>
      <c r="D94" s="106" t="s">
        <v>185</v>
      </c>
      <c r="E94" s="107"/>
      <c r="F94" s="107"/>
      <c r="G94" s="107"/>
      <c r="H94" s="107"/>
      <c r="I94" s="107"/>
      <c r="J94" s="107"/>
      <c r="K94" s="107"/>
      <c r="L94" s="107"/>
      <c r="M94" s="107"/>
      <c r="N94" s="107"/>
      <c r="O94" s="107"/>
      <c r="P94" s="107"/>
      <c r="Q94" s="107"/>
      <c r="R94" s="107"/>
      <c r="S94" s="108"/>
    </row>
    <row r="95" spans="1:19" ht="97.5" customHeight="1" x14ac:dyDescent="0.15">
      <c r="B95" s="97" t="s">
        <v>51</v>
      </c>
      <c r="C95" s="27" t="s">
        <v>34</v>
      </c>
      <c r="D95" s="287" t="s">
        <v>186</v>
      </c>
      <c r="E95" s="100"/>
      <c r="F95" s="100"/>
      <c r="G95" s="100"/>
      <c r="H95" s="100"/>
      <c r="I95" s="100"/>
      <c r="J95" s="100"/>
      <c r="K95" s="100"/>
      <c r="L95" s="100"/>
      <c r="M95" s="100"/>
      <c r="N95" s="100"/>
      <c r="O95" s="100"/>
      <c r="P95" s="100"/>
      <c r="Q95" s="100"/>
      <c r="R95" s="100"/>
      <c r="S95" s="288"/>
    </row>
    <row r="96" spans="1:19" ht="97.5" customHeight="1" x14ac:dyDescent="0.15">
      <c r="B96" s="99"/>
      <c r="C96" s="30" t="s">
        <v>35</v>
      </c>
      <c r="D96" s="109" t="s">
        <v>187</v>
      </c>
      <c r="E96" s="110"/>
      <c r="F96" s="110"/>
      <c r="G96" s="110"/>
      <c r="H96" s="110"/>
      <c r="I96" s="110"/>
      <c r="J96" s="110"/>
      <c r="K96" s="110"/>
      <c r="L96" s="110"/>
      <c r="M96" s="110"/>
      <c r="N96" s="110"/>
      <c r="O96" s="110"/>
      <c r="P96" s="110"/>
      <c r="Q96" s="110"/>
      <c r="R96" s="110"/>
      <c r="S96" s="111"/>
    </row>
    <row r="97" spans="1:19" ht="97.5" customHeight="1" x14ac:dyDescent="0.15">
      <c r="B97" s="97" t="s">
        <v>52</v>
      </c>
      <c r="C97" s="29" t="s">
        <v>53</v>
      </c>
      <c r="D97" s="116" t="s">
        <v>190</v>
      </c>
      <c r="E97" s="117"/>
      <c r="F97" s="117"/>
      <c r="G97" s="117"/>
      <c r="H97" s="117"/>
      <c r="I97" s="117"/>
      <c r="J97" s="117"/>
      <c r="K97" s="117"/>
      <c r="L97" s="117"/>
      <c r="M97" s="117"/>
      <c r="N97" s="117"/>
      <c r="O97" s="117"/>
      <c r="P97" s="117"/>
      <c r="Q97" s="117"/>
      <c r="R97" s="117"/>
      <c r="S97" s="118"/>
    </row>
    <row r="98" spans="1:19" ht="97.5" customHeight="1" x14ac:dyDescent="0.15">
      <c r="B98" s="98"/>
      <c r="C98" s="32" t="s">
        <v>38</v>
      </c>
      <c r="D98" s="284" t="s">
        <v>191</v>
      </c>
      <c r="E98" s="285"/>
      <c r="F98" s="285"/>
      <c r="G98" s="285"/>
      <c r="H98" s="285"/>
      <c r="I98" s="285"/>
      <c r="J98" s="285"/>
      <c r="K98" s="285"/>
      <c r="L98" s="285"/>
      <c r="M98" s="285"/>
      <c r="N98" s="285"/>
      <c r="O98" s="285"/>
      <c r="P98" s="285"/>
      <c r="Q98" s="285"/>
      <c r="R98" s="285"/>
      <c r="S98" s="286"/>
    </row>
    <row r="99" spans="1:19" ht="97.5" customHeight="1" x14ac:dyDescent="0.15">
      <c r="B99" s="99"/>
      <c r="C99" s="31" t="s">
        <v>39</v>
      </c>
      <c r="D99" s="166" t="s">
        <v>192</v>
      </c>
      <c r="E99" s="125"/>
      <c r="F99" s="125"/>
      <c r="G99" s="125"/>
      <c r="H99" s="125"/>
      <c r="I99" s="125"/>
      <c r="J99" s="125"/>
      <c r="K99" s="125"/>
      <c r="L99" s="125"/>
      <c r="M99" s="125"/>
      <c r="N99" s="125"/>
      <c r="O99" s="125"/>
      <c r="P99" s="125"/>
      <c r="Q99" s="125"/>
      <c r="R99" s="125"/>
      <c r="S99" s="126"/>
    </row>
    <row r="100" spans="1:19" ht="6" customHeight="1" x14ac:dyDescent="0.15"/>
    <row r="101" spans="1:19" ht="18.75" customHeight="1" x14ac:dyDescent="0.15">
      <c r="A101" s="1" t="s">
        <v>54</v>
      </c>
    </row>
    <row r="102" spans="1:19" ht="81.75" customHeight="1" x14ac:dyDescent="0.15">
      <c r="B102" s="103" t="s">
        <v>55</v>
      </c>
      <c r="C102" s="104"/>
      <c r="D102" s="104"/>
      <c r="E102" s="104"/>
      <c r="F102" s="104"/>
      <c r="G102" s="104"/>
      <c r="H102" s="104"/>
      <c r="I102" s="104"/>
      <c r="J102" s="104"/>
      <c r="K102" s="104"/>
      <c r="L102" s="104"/>
      <c r="M102" s="104"/>
      <c r="N102" s="104"/>
      <c r="O102" s="104"/>
      <c r="P102" s="104"/>
      <c r="Q102" s="104"/>
      <c r="R102" s="104"/>
      <c r="S102" s="105"/>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25:I31 Q25:S31 G36:I42 Q36:S42 G47:I53 Q47:S53 G58:I64 Q58:S64 P69:S75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V110"/>
  <sheetViews>
    <sheetView showZeros="0" view="pageBreakPreview" topLeftCell="A97" zoomScale="110" zoomScaleNormal="100" zoomScaleSheetLayoutView="110" workbookViewId="0">
      <selection activeCell="D99" sqref="D99:S9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5" t="s">
        <v>58</v>
      </c>
      <c r="S1" s="155"/>
      <c r="T1" s="2" t="s">
        <v>1</v>
      </c>
    </row>
    <row r="2" spans="1:22" ht="18.75" customHeight="1" x14ac:dyDescent="0.15">
      <c r="B2" s="33" t="s">
        <v>2</v>
      </c>
      <c r="C2" s="134" t="s">
        <v>3</v>
      </c>
      <c r="D2" s="114"/>
      <c r="E2" s="114"/>
      <c r="F2" s="114"/>
      <c r="G2" s="114"/>
      <c r="H2" s="114"/>
      <c r="I2" s="115"/>
      <c r="J2" s="34"/>
      <c r="K2" s="6"/>
      <c r="L2" s="6"/>
      <c r="M2" s="6"/>
      <c r="N2" s="6"/>
      <c r="O2" s="6"/>
      <c r="P2" s="6"/>
      <c r="Q2" s="6"/>
      <c r="R2" s="6"/>
      <c r="S2" s="6"/>
    </row>
    <row r="3" spans="1:22" ht="18.75" customHeight="1" x14ac:dyDescent="0.15">
      <c r="B3" s="33" t="s">
        <v>4</v>
      </c>
      <c r="C3" s="134" t="s">
        <v>5</v>
      </c>
      <c r="D3" s="114"/>
      <c r="E3" s="114"/>
      <c r="F3" s="114"/>
      <c r="G3" s="114"/>
      <c r="H3" s="114"/>
      <c r="I3" s="115"/>
      <c r="J3" s="34"/>
      <c r="K3" s="6"/>
      <c r="L3" s="6"/>
      <c r="M3" s="6"/>
      <c r="N3" s="6"/>
      <c r="O3" s="6"/>
      <c r="P3" s="6"/>
      <c r="Q3" s="6"/>
      <c r="R3" s="6"/>
      <c r="S3" s="6"/>
    </row>
    <row r="4" spans="1:22" ht="15" customHeight="1" x14ac:dyDescent="0.15">
      <c r="K4" s="34"/>
      <c r="L4" s="35"/>
      <c r="M4" s="35"/>
      <c r="N4" s="35"/>
      <c r="O4" s="35"/>
      <c r="P4" s="35"/>
      <c r="Q4" s="35"/>
      <c r="R4" s="35"/>
      <c r="S4" s="35"/>
    </row>
    <row r="5" spans="1:22" ht="18" customHeight="1" x14ac:dyDescent="0.15">
      <c r="A5" s="156" t="s">
        <v>6</v>
      </c>
      <c r="B5" s="156"/>
      <c r="C5" s="156"/>
      <c r="D5" s="156"/>
      <c r="E5" s="156"/>
      <c r="F5" s="156"/>
      <c r="G5" s="156"/>
      <c r="H5" s="156"/>
      <c r="I5" s="156"/>
      <c r="J5" s="156"/>
      <c r="K5" s="156"/>
      <c r="L5" s="156"/>
      <c r="M5" s="156"/>
      <c r="N5" s="156"/>
      <c r="O5" s="156"/>
      <c r="P5" s="156"/>
      <c r="Q5" s="156"/>
      <c r="R5" s="156"/>
      <c r="S5" s="156"/>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6" t="s">
        <v>8</v>
      </c>
      <c r="K7" s="157" t="s">
        <v>9</v>
      </c>
      <c r="L7" s="158"/>
      <c r="M7" s="158"/>
      <c r="N7" s="158"/>
      <c r="O7" s="158"/>
      <c r="P7" s="158"/>
      <c r="Q7" s="158"/>
      <c r="R7" s="158"/>
      <c r="S7" s="159"/>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7" t="s">
        <v>59</v>
      </c>
      <c r="C9" s="168"/>
      <c r="D9" s="168"/>
      <c r="E9" s="168"/>
      <c r="F9" s="168"/>
      <c r="G9" s="168"/>
      <c r="H9" s="168"/>
      <c r="I9" s="168"/>
      <c r="J9" s="168"/>
      <c r="K9" s="168"/>
      <c r="L9" s="168"/>
      <c r="M9" s="168"/>
      <c r="N9" s="168"/>
      <c r="O9" s="168"/>
      <c r="P9" s="168"/>
      <c r="Q9" s="168"/>
      <c r="R9" s="168"/>
      <c r="S9" s="169"/>
    </row>
    <row r="10" spans="1:22" ht="18" customHeight="1" x14ac:dyDescent="0.15">
      <c r="B10" s="170"/>
      <c r="C10" s="171"/>
      <c r="D10" s="171"/>
      <c r="E10" s="171"/>
      <c r="F10" s="171"/>
      <c r="G10" s="171"/>
      <c r="H10" s="171"/>
      <c r="I10" s="171"/>
      <c r="J10" s="171"/>
      <c r="K10" s="171"/>
      <c r="L10" s="171"/>
      <c r="M10" s="171"/>
      <c r="N10" s="171"/>
      <c r="O10" s="171"/>
      <c r="P10" s="171"/>
      <c r="Q10" s="171"/>
      <c r="R10" s="171"/>
      <c r="S10" s="17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v>
      </c>
      <c r="B12" s="3"/>
      <c r="C12" s="3"/>
      <c r="D12" s="34"/>
      <c r="E12" s="34"/>
      <c r="F12" s="34"/>
      <c r="G12" s="34"/>
      <c r="H12" s="34"/>
      <c r="I12" s="34"/>
      <c r="J12" s="34"/>
      <c r="K12" s="37"/>
      <c r="L12" s="37"/>
      <c r="M12" s="37"/>
      <c r="N12" s="37"/>
      <c r="O12" s="37"/>
      <c r="P12" s="37"/>
      <c r="Q12" s="37"/>
      <c r="R12" s="37"/>
      <c r="S12" s="37"/>
    </row>
    <row r="13" spans="1:22" ht="18" customHeight="1" x14ac:dyDescent="0.15">
      <c r="B13" s="143" t="s">
        <v>175</v>
      </c>
      <c r="C13" s="144"/>
      <c r="D13" s="144"/>
      <c r="E13" s="144"/>
      <c r="F13" s="144"/>
      <c r="G13" s="144"/>
      <c r="H13" s="144"/>
      <c r="I13" s="144"/>
      <c r="J13" s="144"/>
      <c r="K13" s="144"/>
      <c r="L13" s="144"/>
      <c r="M13" s="144"/>
      <c r="N13" s="144"/>
      <c r="O13" s="144"/>
      <c r="P13" s="144"/>
      <c r="Q13" s="144"/>
      <c r="R13" s="144"/>
      <c r="S13" s="145"/>
      <c r="T13" s="82"/>
      <c r="V13" s="1" t="s">
        <v>12</v>
      </c>
    </row>
    <row r="14" spans="1:22" ht="18" customHeight="1" x14ac:dyDescent="0.15">
      <c r="B14" s="146"/>
      <c r="C14" s="147"/>
      <c r="D14" s="147"/>
      <c r="E14" s="147"/>
      <c r="F14" s="147"/>
      <c r="G14" s="147"/>
      <c r="H14" s="147"/>
      <c r="I14" s="147"/>
      <c r="J14" s="147"/>
      <c r="K14" s="147"/>
      <c r="L14" s="147"/>
      <c r="M14" s="147"/>
      <c r="N14" s="147"/>
      <c r="O14" s="147"/>
      <c r="P14" s="147"/>
      <c r="Q14" s="147"/>
      <c r="R14" s="147"/>
      <c r="S14" s="148"/>
      <c r="V14" s="1" t="s">
        <v>13</v>
      </c>
    </row>
    <row r="15" spans="1:22" ht="18" customHeight="1" x14ac:dyDescent="0.15">
      <c r="B15" s="146"/>
      <c r="C15" s="147"/>
      <c r="D15" s="147"/>
      <c r="E15" s="147"/>
      <c r="F15" s="147"/>
      <c r="G15" s="147"/>
      <c r="H15" s="147"/>
      <c r="I15" s="147"/>
      <c r="J15" s="147"/>
      <c r="K15" s="147"/>
      <c r="L15" s="147"/>
      <c r="M15" s="147"/>
      <c r="N15" s="147"/>
      <c r="O15" s="147"/>
      <c r="P15" s="147"/>
      <c r="Q15" s="147"/>
      <c r="R15" s="147"/>
      <c r="S15" s="148"/>
      <c r="V15" s="1" t="s">
        <v>14</v>
      </c>
    </row>
    <row r="16" spans="1:22" ht="18" customHeight="1" x14ac:dyDescent="0.15">
      <c r="B16" s="146"/>
      <c r="C16" s="147"/>
      <c r="D16" s="147"/>
      <c r="E16" s="147"/>
      <c r="F16" s="147"/>
      <c r="G16" s="147"/>
      <c r="H16" s="147"/>
      <c r="I16" s="147"/>
      <c r="J16" s="147"/>
      <c r="K16" s="147"/>
      <c r="L16" s="147"/>
      <c r="M16" s="147"/>
      <c r="N16" s="147"/>
      <c r="O16" s="147"/>
      <c r="P16" s="147"/>
      <c r="Q16" s="147"/>
      <c r="R16" s="147"/>
      <c r="S16" s="148"/>
      <c r="V16" s="1" t="s">
        <v>15</v>
      </c>
    </row>
    <row r="17" spans="1:19" ht="18" customHeight="1" x14ac:dyDescent="0.15">
      <c r="B17" s="146"/>
      <c r="C17" s="147"/>
      <c r="D17" s="147"/>
      <c r="E17" s="147"/>
      <c r="F17" s="147"/>
      <c r="G17" s="147"/>
      <c r="H17" s="147"/>
      <c r="I17" s="147"/>
      <c r="J17" s="147"/>
      <c r="K17" s="147"/>
      <c r="L17" s="147"/>
      <c r="M17" s="147"/>
      <c r="N17" s="147"/>
      <c r="O17" s="147"/>
      <c r="P17" s="147"/>
      <c r="Q17" s="147"/>
      <c r="R17" s="147"/>
      <c r="S17" s="148"/>
    </row>
    <row r="18" spans="1:19" ht="18" customHeight="1" x14ac:dyDescent="0.15">
      <c r="B18" s="149"/>
      <c r="C18" s="150"/>
      <c r="D18" s="150"/>
      <c r="E18" s="150"/>
      <c r="F18" s="150"/>
      <c r="G18" s="150"/>
      <c r="H18" s="150"/>
      <c r="I18" s="150"/>
      <c r="J18" s="150"/>
      <c r="K18" s="150"/>
      <c r="L18" s="150"/>
      <c r="M18" s="150"/>
      <c r="N18" s="150"/>
      <c r="O18" s="150"/>
      <c r="P18" s="150"/>
      <c r="Q18" s="150"/>
      <c r="R18" s="150"/>
      <c r="S18" s="151"/>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16</v>
      </c>
      <c r="C20" s="134">
        <v>5</v>
      </c>
      <c r="D20" s="115"/>
      <c r="E20" s="38" t="s">
        <v>17</v>
      </c>
      <c r="G20" s="10"/>
      <c r="H20" s="3"/>
      <c r="I20" s="3"/>
      <c r="J20" s="34" t="s">
        <v>18</v>
      </c>
      <c r="K20" s="152" t="s">
        <v>15</v>
      </c>
      <c r="L20" s="153"/>
      <c r="M20" s="153"/>
      <c r="N20" s="153"/>
      <c r="O20" s="153"/>
      <c r="P20" s="153"/>
      <c r="Q20" s="153"/>
      <c r="R20" s="153"/>
      <c r="S20" s="15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2" t="s">
        <v>19</v>
      </c>
      <c r="B22" s="142"/>
      <c r="C22" s="142"/>
      <c r="D22" s="142"/>
      <c r="E22" s="142"/>
      <c r="F22" s="142"/>
      <c r="G22" s="142"/>
      <c r="H22" s="142"/>
      <c r="I22" s="142"/>
      <c r="J22" s="142"/>
      <c r="K22" s="142"/>
      <c r="L22" s="142"/>
      <c r="M22" s="142"/>
      <c r="N22" s="142"/>
      <c r="O22" s="142"/>
      <c r="P22" s="142"/>
      <c r="Q22" s="142"/>
      <c r="R22" s="142"/>
      <c r="S22" s="142"/>
    </row>
    <row r="23" spans="1:19" ht="18" customHeight="1" x14ac:dyDescent="0.15">
      <c r="A23" s="142"/>
      <c r="B23" s="142"/>
      <c r="C23" s="142"/>
      <c r="D23" s="142"/>
      <c r="E23" s="142"/>
      <c r="F23" s="142"/>
      <c r="G23" s="142"/>
      <c r="H23" s="142"/>
      <c r="I23" s="142"/>
      <c r="J23" s="142"/>
      <c r="K23" s="142"/>
      <c r="L23" s="142"/>
      <c r="M23" s="142"/>
      <c r="N23" s="142"/>
      <c r="O23" s="142"/>
      <c r="P23" s="142"/>
      <c r="Q23" s="142"/>
      <c r="R23" s="142"/>
      <c r="S23" s="142"/>
    </row>
    <row r="24" spans="1:19" ht="18" customHeight="1" x14ac:dyDescent="0.15">
      <c r="B24" s="134" t="s">
        <v>20</v>
      </c>
      <c r="C24" s="114"/>
      <c r="D24" s="114"/>
      <c r="E24" s="115"/>
      <c r="F24" s="57" t="s">
        <v>21</v>
      </c>
      <c r="G24" s="56" t="s">
        <v>22</v>
      </c>
      <c r="H24" s="21" t="s">
        <v>23</v>
      </c>
      <c r="I24" s="21" t="s">
        <v>24</v>
      </c>
      <c r="J24" s="134" t="s">
        <v>20</v>
      </c>
      <c r="K24" s="114"/>
      <c r="L24" s="114"/>
      <c r="M24" s="114"/>
      <c r="N24" s="114"/>
      <c r="O24" s="115"/>
      <c r="P24" s="57" t="s">
        <v>21</v>
      </c>
      <c r="Q24" s="56" t="s">
        <v>22</v>
      </c>
      <c r="R24" s="21" t="s">
        <v>23</v>
      </c>
      <c r="S24" s="21" t="s">
        <v>24</v>
      </c>
    </row>
    <row r="25" spans="1:19" ht="18" customHeight="1" x14ac:dyDescent="0.15">
      <c r="B25" s="138" t="s">
        <v>25</v>
      </c>
      <c r="C25" s="107"/>
      <c r="D25" s="107"/>
      <c r="E25" s="108"/>
      <c r="F25" s="22">
        <v>1</v>
      </c>
      <c r="G25" s="22" t="s">
        <v>26</v>
      </c>
      <c r="H25" s="22" t="s">
        <v>26</v>
      </c>
      <c r="I25" s="22" t="s">
        <v>26</v>
      </c>
      <c r="J25" s="138"/>
      <c r="K25" s="107"/>
      <c r="L25" s="107"/>
      <c r="M25" s="107"/>
      <c r="N25" s="107"/>
      <c r="O25" s="108"/>
      <c r="P25" s="22"/>
      <c r="Q25" s="22"/>
      <c r="R25" s="22"/>
      <c r="S25" s="22"/>
    </row>
    <row r="26" spans="1:19" ht="18" customHeight="1" x14ac:dyDescent="0.15">
      <c r="B26" s="124"/>
      <c r="C26" s="125"/>
      <c r="D26" s="125"/>
      <c r="E26" s="126"/>
      <c r="F26" s="23"/>
      <c r="G26" s="23"/>
      <c r="H26" s="23"/>
      <c r="I26" s="23"/>
      <c r="J26" s="124"/>
      <c r="K26" s="125"/>
      <c r="L26" s="125"/>
      <c r="M26" s="125"/>
      <c r="N26" s="125"/>
      <c r="O26" s="126"/>
      <c r="P26" s="23"/>
      <c r="Q26" s="23"/>
      <c r="R26" s="23"/>
      <c r="S26" s="23"/>
    </row>
    <row r="27" spans="1:19" ht="18" customHeight="1" x14ac:dyDescent="0.15">
      <c r="B27" s="124"/>
      <c r="C27" s="125"/>
      <c r="D27" s="125"/>
      <c r="E27" s="126"/>
      <c r="F27" s="23"/>
      <c r="G27" s="23"/>
      <c r="H27" s="23"/>
      <c r="I27" s="23"/>
      <c r="J27" s="124"/>
      <c r="K27" s="125"/>
      <c r="L27" s="125"/>
      <c r="M27" s="125"/>
      <c r="N27" s="125"/>
      <c r="O27" s="126"/>
      <c r="P27" s="23"/>
      <c r="Q27" s="23"/>
      <c r="R27" s="23"/>
      <c r="S27" s="23"/>
    </row>
    <row r="28" spans="1:19" ht="18" customHeight="1" x14ac:dyDescent="0.15">
      <c r="B28" s="124"/>
      <c r="C28" s="125"/>
      <c r="D28" s="125"/>
      <c r="E28" s="126"/>
      <c r="F28" s="23"/>
      <c r="G28" s="23"/>
      <c r="H28" s="23"/>
      <c r="I28" s="23"/>
      <c r="J28" s="124"/>
      <c r="K28" s="125"/>
      <c r="L28" s="125"/>
      <c r="M28" s="125"/>
      <c r="N28" s="125"/>
      <c r="O28" s="126"/>
      <c r="P28" s="23"/>
      <c r="Q28" s="23"/>
      <c r="R28" s="23"/>
      <c r="S28" s="23"/>
    </row>
    <row r="29" spans="1:19" ht="18" customHeight="1" x14ac:dyDescent="0.15">
      <c r="B29" s="124"/>
      <c r="C29" s="125"/>
      <c r="D29" s="125"/>
      <c r="E29" s="126"/>
      <c r="F29" s="23"/>
      <c r="G29" s="23"/>
      <c r="H29" s="23"/>
      <c r="I29" s="23"/>
      <c r="J29" s="124"/>
      <c r="K29" s="125"/>
      <c r="L29" s="125"/>
      <c r="M29" s="125"/>
      <c r="N29" s="125"/>
      <c r="O29" s="126"/>
      <c r="P29" s="23"/>
      <c r="Q29" s="23"/>
      <c r="R29" s="23"/>
      <c r="S29" s="23"/>
    </row>
    <row r="30" spans="1:19" ht="18" customHeight="1" x14ac:dyDescent="0.15">
      <c r="A30" s="3"/>
      <c r="B30" s="124"/>
      <c r="C30" s="125"/>
      <c r="D30" s="125"/>
      <c r="E30" s="126"/>
      <c r="F30" s="23"/>
      <c r="G30" s="23"/>
      <c r="H30" s="23"/>
      <c r="I30" s="23"/>
      <c r="J30" s="124"/>
      <c r="K30" s="125"/>
      <c r="L30" s="125"/>
      <c r="M30" s="125"/>
      <c r="N30" s="125"/>
      <c r="O30" s="126"/>
      <c r="P30" s="23"/>
      <c r="Q30" s="23"/>
      <c r="R30" s="23"/>
      <c r="S30" s="23"/>
    </row>
    <row r="31" spans="1:19" ht="18" customHeight="1" x14ac:dyDescent="0.15">
      <c r="A31" s="3"/>
      <c r="B31" s="130"/>
      <c r="C31" s="101"/>
      <c r="D31" s="101"/>
      <c r="E31" s="102"/>
      <c r="F31" s="24"/>
      <c r="G31" s="24"/>
      <c r="H31" s="25"/>
      <c r="I31" s="25"/>
      <c r="J31" s="130"/>
      <c r="K31" s="101"/>
      <c r="L31" s="101"/>
      <c r="M31" s="101"/>
      <c r="N31" s="101"/>
      <c r="O31" s="102"/>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2" t="s">
        <v>27</v>
      </c>
      <c r="B33" s="142"/>
      <c r="C33" s="142"/>
      <c r="D33" s="142"/>
      <c r="E33" s="142"/>
      <c r="F33" s="142"/>
      <c r="G33" s="142"/>
      <c r="H33" s="142"/>
      <c r="I33" s="142"/>
      <c r="J33" s="142"/>
      <c r="K33" s="142"/>
      <c r="L33" s="142"/>
      <c r="M33" s="142"/>
      <c r="N33" s="142"/>
      <c r="O33" s="142"/>
      <c r="P33" s="142"/>
      <c r="Q33" s="142"/>
      <c r="R33" s="142"/>
      <c r="S33" s="142"/>
    </row>
    <row r="34" spans="1:19" ht="18" customHeight="1" x14ac:dyDescent="0.15">
      <c r="A34" s="142"/>
      <c r="B34" s="142"/>
      <c r="C34" s="142"/>
      <c r="D34" s="142"/>
      <c r="E34" s="142"/>
      <c r="F34" s="142"/>
      <c r="G34" s="142"/>
      <c r="H34" s="142"/>
      <c r="I34" s="142"/>
      <c r="J34" s="142"/>
      <c r="K34" s="142"/>
      <c r="L34" s="142"/>
      <c r="M34" s="142"/>
      <c r="N34" s="142"/>
      <c r="O34" s="142"/>
      <c r="P34" s="142"/>
      <c r="Q34" s="142"/>
      <c r="R34" s="142"/>
      <c r="S34" s="142"/>
    </row>
    <row r="35" spans="1:19" ht="18" customHeight="1" x14ac:dyDescent="0.15">
      <c r="B35" s="134" t="s">
        <v>20</v>
      </c>
      <c r="C35" s="114"/>
      <c r="D35" s="114"/>
      <c r="E35" s="115"/>
      <c r="F35" s="57" t="s">
        <v>21</v>
      </c>
      <c r="G35" s="56" t="s">
        <v>22</v>
      </c>
      <c r="H35" s="21" t="s">
        <v>28</v>
      </c>
      <c r="I35" s="21" t="s">
        <v>29</v>
      </c>
      <c r="J35" s="134" t="s">
        <v>20</v>
      </c>
      <c r="K35" s="114"/>
      <c r="L35" s="114"/>
      <c r="M35" s="114"/>
      <c r="N35" s="114"/>
      <c r="O35" s="115"/>
      <c r="P35" s="57" t="s">
        <v>21</v>
      </c>
      <c r="Q35" s="56" t="s">
        <v>22</v>
      </c>
      <c r="R35" s="21" t="s">
        <v>28</v>
      </c>
      <c r="S35" s="21" t="s">
        <v>29</v>
      </c>
    </row>
    <row r="36" spans="1:19" ht="18" customHeight="1" x14ac:dyDescent="0.15">
      <c r="B36" s="138" t="s">
        <v>25</v>
      </c>
      <c r="C36" s="107"/>
      <c r="D36" s="107"/>
      <c r="E36" s="108"/>
      <c r="F36" s="22">
        <v>1</v>
      </c>
      <c r="G36" s="22" t="s">
        <v>26</v>
      </c>
      <c r="H36" s="22" t="s">
        <v>26</v>
      </c>
      <c r="I36" s="22" t="s">
        <v>26</v>
      </c>
      <c r="J36" s="138"/>
      <c r="K36" s="107"/>
      <c r="L36" s="107"/>
      <c r="M36" s="107"/>
      <c r="N36" s="107"/>
      <c r="O36" s="108"/>
      <c r="P36" s="22"/>
      <c r="Q36" s="22"/>
      <c r="R36" s="22"/>
      <c r="S36" s="22"/>
    </row>
    <row r="37" spans="1:19" ht="18" customHeight="1" x14ac:dyDescent="0.15">
      <c r="B37" s="124"/>
      <c r="C37" s="125"/>
      <c r="D37" s="125"/>
      <c r="E37" s="126"/>
      <c r="F37" s="23"/>
      <c r="G37" s="23"/>
      <c r="H37" s="23"/>
      <c r="I37" s="23"/>
      <c r="J37" s="124"/>
      <c r="K37" s="125"/>
      <c r="L37" s="125"/>
      <c r="M37" s="125"/>
      <c r="N37" s="125"/>
      <c r="O37" s="126"/>
      <c r="P37" s="23"/>
      <c r="Q37" s="23"/>
      <c r="R37" s="23"/>
      <c r="S37" s="23"/>
    </row>
    <row r="38" spans="1:19" ht="18" customHeight="1" x14ac:dyDescent="0.15">
      <c r="B38" s="124"/>
      <c r="C38" s="125"/>
      <c r="D38" s="125"/>
      <c r="E38" s="126"/>
      <c r="F38" s="23"/>
      <c r="G38" s="23"/>
      <c r="H38" s="23"/>
      <c r="I38" s="23"/>
      <c r="J38" s="124"/>
      <c r="K38" s="125"/>
      <c r="L38" s="125"/>
      <c r="M38" s="125"/>
      <c r="N38" s="125"/>
      <c r="O38" s="126"/>
      <c r="P38" s="23"/>
      <c r="Q38" s="23"/>
      <c r="R38" s="23"/>
      <c r="S38" s="23"/>
    </row>
    <row r="39" spans="1:19" ht="18" customHeight="1" x14ac:dyDescent="0.15">
      <c r="B39" s="124"/>
      <c r="C39" s="125"/>
      <c r="D39" s="125"/>
      <c r="E39" s="126"/>
      <c r="F39" s="23"/>
      <c r="G39" s="23"/>
      <c r="H39" s="23"/>
      <c r="I39" s="23"/>
      <c r="J39" s="124"/>
      <c r="K39" s="125"/>
      <c r="L39" s="125"/>
      <c r="M39" s="125"/>
      <c r="N39" s="125"/>
      <c r="O39" s="126"/>
      <c r="P39" s="23"/>
      <c r="Q39" s="23"/>
      <c r="R39" s="23"/>
      <c r="S39" s="23"/>
    </row>
    <row r="40" spans="1:19" ht="18" customHeight="1" x14ac:dyDescent="0.15">
      <c r="B40" s="124"/>
      <c r="C40" s="125"/>
      <c r="D40" s="125"/>
      <c r="E40" s="126"/>
      <c r="F40" s="23"/>
      <c r="G40" s="23"/>
      <c r="H40" s="23"/>
      <c r="I40" s="23"/>
      <c r="J40" s="124"/>
      <c r="K40" s="125"/>
      <c r="L40" s="125"/>
      <c r="M40" s="125"/>
      <c r="N40" s="125"/>
      <c r="O40" s="126"/>
      <c r="P40" s="23"/>
      <c r="Q40" s="23"/>
      <c r="R40" s="23"/>
      <c r="S40" s="23"/>
    </row>
    <row r="41" spans="1:19" ht="18" customHeight="1" x14ac:dyDescent="0.15">
      <c r="B41" s="124"/>
      <c r="C41" s="125"/>
      <c r="D41" s="125"/>
      <c r="E41" s="126"/>
      <c r="F41" s="23"/>
      <c r="G41" s="23"/>
      <c r="H41" s="23"/>
      <c r="I41" s="23"/>
      <c r="J41" s="124"/>
      <c r="K41" s="125"/>
      <c r="L41" s="125"/>
      <c r="M41" s="125"/>
      <c r="N41" s="125"/>
      <c r="O41" s="126"/>
      <c r="P41" s="23"/>
      <c r="Q41" s="23"/>
      <c r="R41" s="23"/>
      <c r="S41" s="23"/>
    </row>
    <row r="42" spans="1:19" ht="18" customHeight="1" x14ac:dyDescent="0.15">
      <c r="B42" s="130"/>
      <c r="C42" s="101"/>
      <c r="D42" s="101"/>
      <c r="E42" s="102"/>
      <c r="F42" s="24"/>
      <c r="G42" s="24"/>
      <c r="H42" s="25"/>
      <c r="I42" s="25"/>
      <c r="J42" s="130"/>
      <c r="K42" s="101"/>
      <c r="L42" s="101"/>
      <c r="M42" s="101"/>
      <c r="N42" s="101"/>
      <c r="O42" s="102"/>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2" t="s">
        <v>30</v>
      </c>
      <c r="B44" s="142"/>
      <c r="C44" s="142"/>
      <c r="D44" s="142"/>
      <c r="E44" s="142"/>
      <c r="F44" s="142"/>
      <c r="G44" s="142"/>
      <c r="H44" s="142"/>
      <c r="I44" s="142"/>
      <c r="J44" s="142"/>
      <c r="K44" s="142"/>
      <c r="L44" s="142"/>
      <c r="M44" s="142"/>
      <c r="N44" s="142"/>
      <c r="O44" s="142"/>
      <c r="P44" s="142"/>
      <c r="Q44" s="142"/>
      <c r="R44" s="142"/>
      <c r="S44" s="142"/>
    </row>
    <row r="45" spans="1:19" ht="18" customHeight="1" x14ac:dyDescent="0.15">
      <c r="A45" s="142"/>
      <c r="B45" s="142"/>
      <c r="C45" s="142"/>
      <c r="D45" s="142"/>
      <c r="E45" s="142"/>
      <c r="F45" s="142"/>
      <c r="G45" s="142"/>
      <c r="H45" s="142"/>
      <c r="I45" s="142"/>
      <c r="J45" s="142"/>
      <c r="K45" s="142"/>
      <c r="L45" s="142"/>
      <c r="M45" s="142"/>
      <c r="N45" s="142"/>
      <c r="O45" s="142"/>
      <c r="P45" s="142"/>
      <c r="Q45" s="142"/>
      <c r="R45" s="142"/>
      <c r="S45" s="142"/>
    </row>
    <row r="46" spans="1:19" ht="18" customHeight="1" x14ac:dyDescent="0.15">
      <c r="B46" s="134" t="s">
        <v>20</v>
      </c>
      <c r="C46" s="114"/>
      <c r="D46" s="114"/>
      <c r="E46" s="115"/>
      <c r="F46" s="57" t="s">
        <v>21</v>
      </c>
      <c r="G46" s="56" t="s">
        <v>22</v>
      </c>
      <c r="H46" s="21" t="s">
        <v>31</v>
      </c>
      <c r="I46" s="21" t="s">
        <v>32</v>
      </c>
      <c r="J46" s="134" t="s">
        <v>20</v>
      </c>
      <c r="K46" s="114"/>
      <c r="L46" s="114"/>
      <c r="M46" s="114"/>
      <c r="N46" s="114"/>
      <c r="O46" s="115"/>
      <c r="P46" s="57" t="s">
        <v>21</v>
      </c>
      <c r="Q46" s="56" t="s">
        <v>22</v>
      </c>
      <c r="R46" s="21" t="s">
        <v>31</v>
      </c>
      <c r="S46" s="21" t="s">
        <v>32</v>
      </c>
    </row>
    <row r="47" spans="1:19" ht="18" customHeight="1" x14ac:dyDescent="0.15">
      <c r="A47" s="3"/>
      <c r="B47" s="138" t="s">
        <v>25</v>
      </c>
      <c r="C47" s="107"/>
      <c r="D47" s="107"/>
      <c r="E47" s="108"/>
      <c r="F47" s="22">
        <v>1</v>
      </c>
      <c r="G47" s="22" t="s">
        <v>26</v>
      </c>
      <c r="H47" s="22" t="s">
        <v>26</v>
      </c>
      <c r="I47" s="22" t="s">
        <v>26</v>
      </c>
      <c r="J47" s="138"/>
      <c r="K47" s="107"/>
      <c r="L47" s="107"/>
      <c r="M47" s="107"/>
      <c r="N47" s="107"/>
      <c r="O47" s="108"/>
      <c r="P47" s="22"/>
      <c r="Q47" s="22"/>
      <c r="R47" s="22"/>
      <c r="S47" s="22"/>
    </row>
    <row r="48" spans="1:19" ht="18" customHeight="1" x14ac:dyDescent="0.15">
      <c r="A48" s="3"/>
      <c r="B48" s="124"/>
      <c r="C48" s="125"/>
      <c r="D48" s="125"/>
      <c r="E48" s="126"/>
      <c r="F48" s="23"/>
      <c r="G48" s="23"/>
      <c r="H48" s="23"/>
      <c r="I48" s="23"/>
      <c r="J48" s="124"/>
      <c r="K48" s="125"/>
      <c r="L48" s="125"/>
      <c r="M48" s="125"/>
      <c r="N48" s="125"/>
      <c r="O48" s="126"/>
      <c r="P48" s="23"/>
      <c r="Q48" s="23"/>
      <c r="R48" s="23"/>
      <c r="S48" s="23"/>
    </row>
    <row r="49" spans="1:19" ht="18" customHeight="1" x14ac:dyDescent="0.15">
      <c r="A49" s="3"/>
      <c r="B49" s="124"/>
      <c r="C49" s="125"/>
      <c r="D49" s="125"/>
      <c r="E49" s="126"/>
      <c r="F49" s="23"/>
      <c r="G49" s="23"/>
      <c r="H49" s="23"/>
      <c r="I49" s="23"/>
      <c r="J49" s="124"/>
      <c r="K49" s="125"/>
      <c r="L49" s="125"/>
      <c r="M49" s="125"/>
      <c r="N49" s="125"/>
      <c r="O49" s="126"/>
      <c r="P49" s="23"/>
      <c r="Q49" s="23"/>
      <c r="R49" s="23"/>
      <c r="S49" s="23"/>
    </row>
    <row r="50" spans="1:19" ht="18" customHeight="1" x14ac:dyDescent="0.15">
      <c r="A50" s="3"/>
      <c r="B50" s="124"/>
      <c r="C50" s="125"/>
      <c r="D50" s="125"/>
      <c r="E50" s="126"/>
      <c r="F50" s="23"/>
      <c r="G50" s="23"/>
      <c r="H50" s="23"/>
      <c r="I50" s="23"/>
      <c r="J50" s="124"/>
      <c r="K50" s="125"/>
      <c r="L50" s="125"/>
      <c r="M50" s="125"/>
      <c r="N50" s="125"/>
      <c r="O50" s="126"/>
      <c r="P50" s="23"/>
      <c r="Q50" s="23"/>
      <c r="R50" s="23"/>
      <c r="S50" s="23"/>
    </row>
    <row r="51" spans="1:19" ht="18" customHeight="1" x14ac:dyDescent="0.15">
      <c r="A51" s="3"/>
      <c r="B51" s="124"/>
      <c r="C51" s="125"/>
      <c r="D51" s="125"/>
      <c r="E51" s="126"/>
      <c r="F51" s="23"/>
      <c r="G51" s="23"/>
      <c r="H51" s="23"/>
      <c r="I51" s="23"/>
      <c r="J51" s="124"/>
      <c r="K51" s="125"/>
      <c r="L51" s="125"/>
      <c r="M51" s="125"/>
      <c r="N51" s="125"/>
      <c r="O51" s="126"/>
      <c r="P51" s="23"/>
      <c r="Q51" s="23"/>
      <c r="R51" s="23"/>
      <c r="S51" s="23"/>
    </row>
    <row r="52" spans="1:19" ht="18" customHeight="1" x14ac:dyDescent="0.15">
      <c r="A52" s="3"/>
      <c r="B52" s="124"/>
      <c r="C52" s="125"/>
      <c r="D52" s="125"/>
      <c r="E52" s="126"/>
      <c r="F52" s="23"/>
      <c r="G52" s="23"/>
      <c r="H52" s="23"/>
      <c r="I52" s="23"/>
      <c r="J52" s="124"/>
      <c r="K52" s="125"/>
      <c r="L52" s="125"/>
      <c r="M52" s="125"/>
      <c r="N52" s="125"/>
      <c r="O52" s="126"/>
      <c r="P52" s="23"/>
      <c r="Q52" s="23"/>
      <c r="R52" s="23"/>
      <c r="S52" s="23"/>
    </row>
    <row r="53" spans="1:19" ht="18" customHeight="1" x14ac:dyDescent="0.15">
      <c r="A53" s="3"/>
      <c r="B53" s="130"/>
      <c r="C53" s="101"/>
      <c r="D53" s="101"/>
      <c r="E53" s="102"/>
      <c r="F53" s="24"/>
      <c r="G53" s="24"/>
      <c r="H53" s="25"/>
      <c r="I53" s="25"/>
      <c r="J53" s="130"/>
      <c r="K53" s="101"/>
      <c r="L53" s="101"/>
      <c r="M53" s="101"/>
      <c r="N53" s="101"/>
      <c r="O53" s="102"/>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2" t="s">
        <v>33</v>
      </c>
      <c r="B55" s="142"/>
      <c r="C55" s="142"/>
      <c r="D55" s="142"/>
      <c r="E55" s="142"/>
      <c r="F55" s="142"/>
      <c r="G55" s="142"/>
      <c r="H55" s="142"/>
      <c r="I55" s="142"/>
      <c r="J55" s="142"/>
      <c r="K55" s="142"/>
      <c r="L55" s="142"/>
      <c r="M55" s="142"/>
      <c r="N55" s="142"/>
      <c r="O55" s="142"/>
      <c r="P55" s="142"/>
      <c r="Q55" s="142"/>
      <c r="R55" s="142"/>
      <c r="S55" s="142"/>
    </row>
    <row r="56" spans="1:19" ht="18" customHeight="1" x14ac:dyDescent="0.15">
      <c r="A56" s="142"/>
      <c r="B56" s="142"/>
      <c r="C56" s="142"/>
      <c r="D56" s="142"/>
      <c r="E56" s="142"/>
      <c r="F56" s="142"/>
      <c r="G56" s="142"/>
      <c r="H56" s="142"/>
      <c r="I56" s="142"/>
      <c r="J56" s="142"/>
      <c r="K56" s="142"/>
      <c r="L56" s="142"/>
      <c r="M56" s="142"/>
      <c r="N56" s="142"/>
      <c r="O56" s="142"/>
      <c r="P56" s="142"/>
      <c r="Q56" s="142"/>
      <c r="R56" s="142"/>
      <c r="S56" s="142"/>
    </row>
    <row r="57" spans="1:19" ht="18" customHeight="1" x14ac:dyDescent="0.15">
      <c r="B57" s="134" t="s">
        <v>20</v>
      </c>
      <c r="C57" s="114"/>
      <c r="D57" s="114"/>
      <c r="E57" s="115"/>
      <c r="F57" s="57" t="s">
        <v>21</v>
      </c>
      <c r="G57" s="56" t="s">
        <v>22</v>
      </c>
      <c r="H57" s="21" t="s">
        <v>34</v>
      </c>
      <c r="I57" s="21" t="s">
        <v>35</v>
      </c>
      <c r="J57" s="134" t="s">
        <v>20</v>
      </c>
      <c r="K57" s="114"/>
      <c r="L57" s="114"/>
      <c r="M57" s="114"/>
      <c r="N57" s="114"/>
      <c r="O57" s="115"/>
      <c r="P57" s="57" t="s">
        <v>21</v>
      </c>
      <c r="Q57" s="56" t="s">
        <v>22</v>
      </c>
      <c r="R57" s="21" t="s">
        <v>34</v>
      </c>
      <c r="S57" s="21" t="s">
        <v>35</v>
      </c>
    </row>
    <row r="58" spans="1:19" ht="18" customHeight="1" x14ac:dyDescent="0.15">
      <c r="A58" s="3"/>
      <c r="B58" s="138" t="s">
        <v>25</v>
      </c>
      <c r="C58" s="107"/>
      <c r="D58" s="107"/>
      <c r="E58" s="108"/>
      <c r="F58" s="23">
        <v>1</v>
      </c>
      <c r="G58" s="23" t="s">
        <v>26</v>
      </c>
      <c r="H58" s="22" t="s">
        <v>26</v>
      </c>
      <c r="I58" s="22" t="s">
        <v>26</v>
      </c>
      <c r="J58" s="138"/>
      <c r="K58" s="107"/>
      <c r="L58" s="107"/>
      <c r="M58" s="107"/>
      <c r="N58" s="107"/>
      <c r="O58" s="108"/>
      <c r="P58" s="22"/>
      <c r="Q58" s="22"/>
      <c r="R58" s="22"/>
      <c r="S58" s="22"/>
    </row>
    <row r="59" spans="1:19" ht="18" customHeight="1" x14ac:dyDescent="0.15">
      <c r="A59" s="3"/>
      <c r="B59" s="124"/>
      <c r="C59" s="125"/>
      <c r="D59" s="125"/>
      <c r="E59" s="126"/>
      <c r="F59" s="23"/>
      <c r="G59" s="23"/>
      <c r="H59" s="91"/>
      <c r="I59" s="91"/>
      <c r="J59" s="124"/>
      <c r="K59" s="125"/>
      <c r="L59" s="125"/>
      <c r="M59" s="125"/>
      <c r="N59" s="125"/>
      <c r="O59" s="126"/>
      <c r="P59" s="23"/>
      <c r="Q59" s="23"/>
      <c r="R59" s="23"/>
      <c r="S59" s="23"/>
    </row>
    <row r="60" spans="1:19" ht="18" customHeight="1" x14ac:dyDescent="0.15">
      <c r="A60" s="3"/>
      <c r="B60" s="124"/>
      <c r="C60" s="125"/>
      <c r="D60" s="125"/>
      <c r="E60" s="126"/>
      <c r="F60" s="23"/>
      <c r="G60" s="23"/>
      <c r="H60" s="23"/>
      <c r="I60" s="23"/>
      <c r="J60" s="124"/>
      <c r="K60" s="125"/>
      <c r="L60" s="125"/>
      <c r="M60" s="125"/>
      <c r="N60" s="125"/>
      <c r="O60" s="126"/>
      <c r="P60" s="23"/>
      <c r="Q60" s="23"/>
      <c r="R60" s="23"/>
      <c r="S60" s="23"/>
    </row>
    <row r="61" spans="1:19" ht="18" customHeight="1" x14ac:dyDescent="0.15">
      <c r="A61" s="3"/>
      <c r="B61" s="124"/>
      <c r="C61" s="125"/>
      <c r="D61" s="125"/>
      <c r="E61" s="126"/>
      <c r="F61" s="23"/>
      <c r="G61" s="23"/>
      <c r="H61" s="23"/>
      <c r="I61" s="23"/>
      <c r="J61" s="124"/>
      <c r="K61" s="125"/>
      <c r="L61" s="125"/>
      <c r="M61" s="125"/>
      <c r="N61" s="125"/>
      <c r="O61" s="126"/>
      <c r="P61" s="23"/>
      <c r="Q61" s="23"/>
      <c r="R61" s="23"/>
      <c r="S61" s="23"/>
    </row>
    <row r="62" spans="1:19" ht="18" customHeight="1" x14ac:dyDescent="0.15">
      <c r="A62" s="3"/>
      <c r="B62" s="124"/>
      <c r="C62" s="125"/>
      <c r="D62" s="125"/>
      <c r="E62" s="126"/>
      <c r="F62" s="23"/>
      <c r="G62" s="23"/>
      <c r="H62" s="23"/>
      <c r="I62" s="23"/>
      <c r="J62" s="124"/>
      <c r="K62" s="125"/>
      <c r="L62" s="125"/>
      <c r="M62" s="125"/>
      <c r="N62" s="125"/>
      <c r="O62" s="126"/>
      <c r="P62" s="23"/>
      <c r="Q62" s="23"/>
      <c r="R62" s="23"/>
      <c r="S62" s="23"/>
    </row>
    <row r="63" spans="1:19" ht="18" customHeight="1" x14ac:dyDescent="0.15">
      <c r="A63" s="3"/>
      <c r="B63" s="124"/>
      <c r="C63" s="125"/>
      <c r="D63" s="125"/>
      <c r="E63" s="126"/>
      <c r="F63" s="23"/>
      <c r="G63" s="23"/>
      <c r="H63" s="23"/>
      <c r="I63" s="23"/>
      <c r="J63" s="124"/>
      <c r="K63" s="125"/>
      <c r="L63" s="125"/>
      <c r="M63" s="125"/>
      <c r="N63" s="125"/>
      <c r="O63" s="126"/>
      <c r="P63" s="23"/>
      <c r="Q63" s="23"/>
      <c r="R63" s="23"/>
      <c r="S63" s="23"/>
    </row>
    <row r="64" spans="1:19" ht="18" customHeight="1" x14ac:dyDescent="0.15">
      <c r="A64" s="3"/>
      <c r="B64" s="130"/>
      <c r="C64" s="101"/>
      <c r="D64" s="101"/>
      <c r="E64" s="102"/>
      <c r="F64" s="24"/>
      <c r="G64" s="24"/>
      <c r="H64" s="25"/>
      <c r="I64" s="25"/>
      <c r="J64" s="130"/>
      <c r="K64" s="101"/>
      <c r="L64" s="101"/>
      <c r="M64" s="101"/>
      <c r="N64" s="101"/>
      <c r="O64" s="102"/>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2" t="s">
        <v>36</v>
      </c>
      <c r="B66" s="142"/>
      <c r="C66" s="142"/>
      <c r="D66" s="142"/>
      <c r="E66" s="142"/>
      <c r="F66" s="142"/>
      <c r="G66" s="142"/>
      <c r="H66" s="142"/>
      <c r="I66" s="142"/>
      <c r="J66" s="142"/>
      <c r="K66" s="142"/>
      <c r="L66" s="142"/>
      <c r="M66" s="142"/>
      <c r="N66" s="142"/>
      <c r="O66" s="142"/>
      <c r="P66" s="142"/>
      <c r="Q66" s="142"/>
      <c r="R66" s="142"/>
      <c r="S66" s="142"/>
    </row>
    <row r="67" spans="1:19" ht="18" customHeight="1" x14ac:dyDescent="0.15">
      <c r="A67" s="142"/>
      <c r="B67" s="142"/>
      <c r="C67" s="142"/>
      <c r="D67" s="142"/>
      <c r="E67" s="142"/>
      <c r="F67" s="142"/>
      <c r="G67" s="142"/>
      <c r="H67" s="142"/>
      <c r="I67" s="142"/>
      <c r="J67" s="142"/>
      <c r="K67" s="142"/>
      <c r="L67" s="142"/>
      <c r="M67" s="142"/>
      <c r="N67" s="142"/>
      <c r="O67" s="142"/>
      <c r="P67" s="142"/>
      <c r="Q67" s="142"/>
      <c r="R67" s="142"/>
      <c r="S67" s="142"/>
    </row>
    <row r="68" spans="1:19" ht="18" customHeight="1" x14ac:dyDescent="0.15">
      <c r="B68" s="134" t="s">
        <v>20</v>
      </c>
      <c r="C68" s="114"/>
      <c r="D68" s="114"/>
      <c r="E68" s="57" t="s">
        <v>21</v>
      </c>
      <c r="F68" s="56" t="s">
        <v>22</v>
      </c>
      <c r="G68" s="21" t="s">
        <v>37</v>
      </c>
      <c r="H68" s="21" t="s">
        <v>38</v>
      </c>
      <c r="I68" s="21" t="s">
        <v>39</v>
      </c>
      <c r="J68" s="134" t="s">
        <v>20</v>
      </c>
      <c r="K68" s="114"/>
      <c r="L68" s="114"/>
      <c r="M68" s="114"/>
      <c r="N68" s="115"/>
      <c r="O68" s="57" t="s">
        <v>21</v>
      </c>
      <c r="P68" s="56" t="s">
        <v>22</v>
      </c>
      <c r="Q68" s="21" t="s">
        <v>37</v>
      </c>
      <c r="R68" s="21" t="s">
        <v>38</v>
      </c>
      <c r="S68" s="21" t="s">
        <v>39</v>
      </c>
    </row>
    <row r="69" spans="1:19" ht="18" customHeight="1" x14ac:dyDescent="0.15">
      <c r="A69" s="3"/>
      <c r="B69" s="124" t="s">
        <v>60</v>
      </c>
      <c r="C69" s="125"/>
      <c r="D69" s="125"/>
      <c r="E69" s="91">
        <v>2</v>
      </c>
      <c r="F69" s="89" t="s">
        <v>26</v>
      </c>
      <c r="G69" s="22" t="s">
        <v>26</v>
      </c>
      <c r="H69" s="22" t="s">
        <v>26</v>
      </c>
      <c r="I69" s="22" t="s">
        <v>26</v>
      </c>
      <c r="J69" s="138"/>
      <c r="K69" s="107"/>
      <c r="L69" s="107"/>
      <c r="M69" s="107"/>
      <c r="N69" s="108"/>
      <c r="O69" s="22"/>
      <c r="P69" s="22"/>
      <c r="Q69" s="22"/>
      <c r="R69" s="22"/>
      <c r="S69" s="22"/>
    </row>
    <row r="70" spans="1:19" ht="18" customHeight="1" x14ac:dyDescent="0.15">
      <c r="A70" s="3"/>
      <c r="B70" s="124" t="s">
        <v>61</v>
      </c>
      <c r="C70" s="125"/>
      <c r="D70" s="125"/>
      <c r="E70" s="91">
        <v>2</v>
      </c>
      <c r="F70" s="90" t="s">
        <v>26</v>
      </c>
      <c r="G70" s="23" t="s">
        <v>26</v>
      </c>
      <c r="H70" s="23" t="s">
        <v>26</v>
      </c>
      <c r="I70" s="23" t="s">
        <v>26</v>
      </c>
      <c r="J70" s="124"/>
      <c r="K70" s="125"/>
      <c r="L70" s="125"/>
      <c r="M70" s="125"/>
      <c r="N70" s="126"/>
      <c r="O70" s="23"/>
      <c r="P70" s="23"/>
      <c r="Q70" s="23"/>
      <c r="R70" s="23"/>
      <c r="S70" s="23"/>
    </row>
    <row r="71" spans="1:19" ht="18" customHeight="1" x14ac:dyDescent="0.15">
      <c r="A71" s="3"/>
      <c r="B71" s="124"/>
      <c r="C71" s="125"/>
      <c r="D71" s="125"/>
      <c r="E71" s="91"/>
      <c r="F71" s="90"/>
      <c r="G71" s="23"/>
      <c r="H71" s="23"/>
      <c r="I71" s="23"/>
      <c r="J71" s="124"/>
      <c r="K71" s="125"/>
      <c r="L71" s="125"/>
      <c r="M71" s="125"/>
      <c r="N71" s="126"/>
      <c r="O71" s="23"/>
      <c r="P71" s="23"/>
      <c r="Q71" s="23"/>
      <c r="R71" s="23"/>
      <c r="S71" s="23"/>
    </row>
    <row r="72" spans="1:19" ht="18" customHeight="1" x14ac:dyDescent="0.15">
      <c r="A72" s="3"/>
      <c r="B72" s="124"/>
      <c r="C72" s="125"/>
      <c r="D72" s="125"/>
      <c r="E72" s="23"/>
      <c r="F72" s="90"/>
      <c r="G72" s="23"/>
      <c r="H72" s="23"/>
      <c r="I72" s="23"/>
      <c r="J72" s="124"/>
      <c r="K72" s="125"/>
      <c r="L72" s="125"/>
      <c r="M72" s="125"/>
      <c r="N72" s="126"/>
      <c r="O72" s="23"/>
      <c r="P72" s="23"/>
      <c r="Q72" s="23"/>
      <c r="R72" s="23"/>
      <c r="S72" s="23"/>
    </row>
    <row r="73" spans="1:19" ht="18" customHeight="1" x14ac:dyDescent="0.15">
      <c r="A73" s="3"/>
      <c r="B73" s="124"/>
      <c r="C73" s="125"/>
      <c r="D73" s="125"/>
      <c r="E73" s="23"/>
      <c r="F73" s="90"/>
      <c r="G73" s="23"/>
      <c r="H73" s="23"/>
      <c r="I73" s="23"/>
      <c r="J73" s="124"/>
      <c r="K73" s="125"/>
      <c r="L73" s="125"/>
      <c r="M73" s="125"/>
      <c r="N73" s="126"/>
      <c r="O73" s="23"/>
      <c r="P73" s="23"/>
      <c r="Q73" s="23"/>
      <c r="R73" s="23"/>
      <c r="S73" s="23"/>
    </row>
    <row r="74" spans="1:19" ht="18" customHeight="1" x14ac:dyDescent="0.15">
      <c r="A74" s="3"/>
      <c r="B74" s="124"/>
      <c r="C74" s="125"/>
      <c r="D74" s="125"/>
      <c r="E74" s="23"/>
      <c r="F74" s="90"/>
      <c r="G74" s="23"/>
      <c r="H74" s="23"/>
      <c r="I74" s="23"/>
      <c r="J74" s="124"/>
      <c r="K74" s="125"/>
      <c r="L74" s="125"/>
      <c r="M74" s="125"/>
      <c r="N74" s="126"/>
      <c r="O74" s="23"/>
      <c r="P74" s="23"/>
      <c r="Q74" s="23"/>
      <c r="R74" s="23"/>
      <c r="S74" s="23"/>
    </row>
    <row r="75" spans="1:19" ht="18" customHeight="1" x14ac:dyDescent="0.15">
      <c r="A75" s="3"/>
      <c r="B75" s="130"/>
      <c r="C75" s="101"/>
      <c r="D75" s="101"/>
      <c r="E75" s="24"/>
      <c r="F75" s="92"/>
      <c r="G75" s="25"/>
      <c r="H75" s="25"/>
      <c r="I75" s="25"/>
      <c r="J75" s="130"/>
      <c r="K75" s="101"/>
      <c r="L75" s="101"/>
      <c r="M75" s="101"/>
      <c r="N75" s="102"/>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42</v>
      </c>
      <c r="H77" s="3"/>
      <c r="I77" s="3"/>
      <c r="J77" s="3"/>
      <c r="K77" s="3"/>
      <c r="L77" s="3"/>
      <c r="M77" s="3"/>
      <c r="N77" s="3"/>
      <c r="O77" s="3"/>
      <c r="P77" s="3"/>
      <c r="Q77" s="3"/>
      <c r="R77" s="3"/>
      <c r="S77" s="3"/>
    </row>
    <row r="78" spans="1:19" ht="18" customHeight="1" x14ac:dyDescent="0.15">
      <c r="B78" s="134" t="s">
        <v>20</v>
      </c>
      <c r="C78" s="114"/>
      <c r="D78" s="114"/>
      <c r="E78" s="115"/>
      <c r="F78" s="134" t="s">
        <v>43</v>
      </c>
      <c r="G78" s="114"/>
      <c r="H78" s="114"/>
      <c r="I78" s="115"/>
      <c r="J78" s="135" t="s">
        <v>20</v>
      </c>
      <c r="K78" s="136"/>
      <c r="L78" s="136"/>
      <c r="M78" s="136"/>
      <c r="N78" s="136"/>
      <c r="O78" s="137"/>
      <c r="P78" s="134" t="s">
        <v>43</v>
      </c>
      <c r="Q78" s="114"/>
      <c r="R78" s="114"/>
      <c r="S78" s="115"/>
    </row>
    <row r="79" spans="1:19" ht="18" customHeight="1" x14ac:dyDescent="0.15">
      <c r="A79" s="3"/>
      <c r="B79" s="138"/>
      <c r="C79" s="107"/>
      <c r="D79" s="107"/>
      <c r="E79" s="108"/>
      <c r="F79" s="139"/>
      <c r="G79" s="140"/>
      <c r="H79" s="140"/>
      <c r="I79" s="141"/>
      <c r="J79" s="138"/>
      <c r="K79" s="107"/>
      <c r="L79" s="107"/>
      <c r="M79" s="107"/>
      <c r="N79" s="107"/>
      <c r="O79" s="108"/>
      <c r="P79" s="139"/>
      <c r="Q79" s="140"/>
      <c r="R79" s="140"/>
      <c r="S79" s="141"/>
    </row>
    <row r="80" spans="1:19" ht="18" customHeight="1" x14ac:dyDescent="0.15">
      <c r="A80" s="3"/>
      <c r="B80" s="124"/>
      <c r="C80" s="125"/>
      <c r="D80" s="125"/>
      <c r="E80" s="126"/>
      <c r="F80" s="127"/>
      <c r="G80" s="128"/>
      <c r="H80" s="128"/>
      <c r="I80" s="129"/>
      <c r="J80" s="124"/>
      <c r="K80" s="125"/>
      <c r="L80" s="125"/>
      <c r="M80" s="125"/>
      <c r="N80" s="125"/>
      <c r="O80" s="126"/>
      <c r="P80" s="127"/>
      <c r="Q80" s="128"/>
      <c r="R80" s="128"/>
      <c r="S80" s="129"/>
    </row>
    <row r="81" spans="1:19" ht="18" customHeight="1" x14ac:dyDescent="0.15">
      <c r="A81" s="3"/>
      <c r="B81" s="124"/>
      <c r="C81" s="125"/>
      <c r="D81" s="125"/>
      <c r="E81" s="126"/>
      <c r="F81" s="127"/>
      <c r="G81" s="128"/>
      <c r="H81" s="128"/>
      <c r="I81" s="129"/>
      <c r="J81" s="124"/>
      <c r="K81" s="125"/>
      <c r="L81" s="125"/>
      <c r="M81" s="125"/>
      <c r="N81" s="125"/>
      <c r="O81" s="126"/>
      <c r="P81" s="127"/>
      <c r="Q81" s="128"/>
      <c r="R81" s="128"/>
      <c r="S81" s="129"/>
    </row>
    <row r="82" spans="1:19" ht="18" customHeight="1" x14ac:dyDescent="0.15">
      <c r="A82" s="3"/>
      <c r="B82" s="124"/>
      <c r="C82" s="125"/>
      <c r="D82" s="125"/>
      <c r="E82" s="126"/>
      <c r="F82" s="127"/>
      <c r="G82" s="128"/>
      <c r="H82" s="128"/>
      <c r="I82" s="129"/>
      <c r="J82" s="124"/>
      <c r="K82" s="125"/>
      <c r="L82" s="125"/>
      <c r="M82" s="125"/>
      <c r="N82" s="125"/>
      <c r="O82" s="126"/>
      <c r="P82" s="127"/>
      <c r="Q82" s="128"/>
      <c r="R82" s="128"/>
      <c r="S82" s="129"/>
    </row>
    <row r="83" spans="1:19" ht="18" customHeight="1" x14ac:dyDescent="0.15">
      <c r="A83" s="3"/>
      <c r="B83" s="124"/>
      <c r="C83" s="125"/>
      <c r="D83" s="125"/>
      <c r="E83" s="126"/>
      <c r="F83" s="127"/>
      <c r="G83" s="128"/>
      <c r="H83" s="128"/>
      <c r="I83" s="129"/>
      <c r="J83" s="124"/>
      <c r="K83" s="125"/>
      <c r="L83" s="125"/>
      <c r="M83" s="125"/>
      <c r="N83" s="125"/>
      <c r="O83" s="126"/>
      <c r="P83" s="127"/>
      <c r="Q83" s="128"/>
      <c r="R83" s="128"/>
      <c r="S83" s="129"/>
    </row>
    <row r="84" spans="1:19" ht="18" customHeight="1" x14ac:dyDescent="0.15">
      <c r="A84" s="3"/>
      <c r="B84" s="124"/>
      <c r="C84" s="125"/>
      <c r="D84" s="125"/>
      <c r="E84" s="126"/>
      <c r="F84" s="127"/>
      <c r="G84" s="128"/>
      <c r="H84" s="128"/>
      <c r="I84" s="129"/>
      <c r="J84" s="124"/>
      <c r="K84" s="125"/>
      <c r="L84" s="125"/>
      <c r="M84" s="125"/>
      <c r="N84" s="125"/>
      <c r="O84" s="126"/>
      <c r="P84" s="127"/>
      <c r="Q84" s="128"/>
      <c r="R84" s="128"/>
      <c r="S84" s="129"/>
    </row>
    <row r="85" spans="1:19" ht="18" customHeight="1" x14ac:dyDescent="0.15">
      <c r="A85" s="3"/>
      <c r="B85" s="130"/>
      <c r="C85" s="101"/>
      <c r="D85" s="101"/>
      <c r="E85" s="102"/>
      <c r="F85" s="131"/>
      <c r="G85" s="132"/>
      <c r="H85" s="132"/>
      <c r="I85" s="133"/>
      <c r="J85" s="130"/>
      <c r="K85" s="101"/>
      <c r="L85" s="101"/>
      <c r="M85" s="101"/>
      <c r="N85" s="101"/>
      <c r="O85" s="102"/>
      <c r="P85" s="131"/>
      <c r="Q85" s="132"/>
      <c r="R85" s="132"/>
      <c r="S85" s="133"/>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44</v>
      </c>
    </row>
    <row r="88" spans="1:19" ht="18.75" customHeight="1" x14ac:dyDescent="0.15">
      <c r="B88" s="112" t="s">
        <v>45</v>
      </c>
      <c r="C88" s="113"/>
      <c r="D88" s="114" t="s">
        <v>46</v>
      </c>
      <c r="E88" s="114"/>
      <c r="F88" s="114"/>
      <c r="G88" s="114"/>
      <c r="H88" s="114"/>
      <c r="I88" s="114"/>
      <c r="J88" s="114"/>
      <c r="K88" s="114"/>
      <c r="L88" s="114"/>
      <c r="M88" s="114"/>
      <c r="N88" s="114"/>
      <c r="O88" s="114"/>
      <c r="P88" s="114"/>
      <c r="Q88" s="114"/>
      <c r="R88" s="114"/>
      <c r="S88" s="115"/>
    </row>
    <row r="89" spans="1:19" ht="97.5" customHeight="1" x14ac:dyDescent="0.15">
      <c r="B89" s="97" t="s">
        <v>47</v>
      </c>
      <c r="C89" s="27" t="s">
        <v>23</v>
      </c>
      <c r="D89" s="281" t="s">
        <v>180</v>
      </c>
      <c r="E89" s="282"/>
      <c r="F89" s="282"/>
      <c r="G89" s="282"/>
      <c r="H89" s="282"/>
      <c r="I89" s="282"/>
      <c r="J89" s="282"/>
      <c r="K89" s="282"/>
      <c r="L89" s="282"/>
      <c r="M89" s="282"/>
      <c r="N89" s="282"/>
      <c r="O89" s="282"/>
      <c r="P89" s="282"/>
      <c r="Q89" s="282"/>
      <c r="R89" s="282"/>
      <c r="S89" s="283"/>
    </row>
    <row r="90" spans="1:19" ht="97.5" customHeight="1" x14ac:dyDescent="0.15">
      <c r="B90" s="98"/>
      <c r="C90" s="28" t="s">
        <v>48</v>
      </c>
      <c r="D90" s="119" t="s">
        <v>181</v>
      </c>
      <c r="E90" s="120"/>
      <c r="F90" s="120"/>
      <c r="G90" s="120"/>
      <c r="H90" s="120"/>
      <c r="I90" s="120"/>
      <c r="J90" s="120"/>
      <c r="K90" s="120"/>
      <c r="L90" s="120"/>
      <c r="M90" s="120"/>
      <c r="N90" s="120"/>
      <c r="O90" s="120"/>
      <c r="P90" s="120"/>
      <c r="Q90" s="120"/>
      <c r="R90" s="120"/>
      <c r="S90" s="121"/>
    </row>
    <row r="91" spans="1:19" ht="97.5" customHeight="1" x14ac:dyDescent="0.15">
      <c r="B91" s="97" t="s">
        <v>49</v>
      </c>
      <c r="C91" s="29" t="s">
        <v>28</v>
      </c>
      <c r="D91" s="281" t="s">
        <v>182</v>
      </c>
      <c r="E91" s="282"/>
      <c r="F91" s="282"/>
      <c r="G91" s="282"/>
      <c r="H91" s="282"/>
      <c r="I91" s="282"/>
      <c r="J91" s="282"/>
      <c r="K91" s="282"/>
      <c r="L91" s="282"/>
      <c r="M91" s="282"/>
      <c r="N91" s="282"/>
      <c r="O91" s="282"/>
      <c r="P91" s="282"/>
      <c r="Q91" s="282"/>
      <c r="R91" s="282"/>
      <c r="S91" s="283"/>
    </row>
    <row r="92" spans="1:19" ht="97.5" customHeight="1" x14ac:dyDescent="0.15">
      <c r="B92" s="99"/>
      <c r="C92" s="30" t="s">
        <v>29</v>
      </c>
      <c r="D92" s="284" t="s">
        <v>183</v>
      </c>
      <c r="E92" s="285"/>
      <c r="F92" s="285"/>
      <c r="G92" s="285"/>
      <c r="H92" s="285"/>
      <c r="I92" s="285"/>
      <c r="J92" s="285"/>
      <c r="K92" s="285"/>
      <c r="L92" s="285"/>
      <c r="M92" s="285"/>
      <c r="N92" s="285"/>
      <c r="O92" s="285"/>
      <c r="P92" s="285"/>
      <c r="Q92" s="285"/>
      <c r="R92" s="285"/>
      <c r="S92" s="286"/>
    </row>
    <row r="93" spans="1:19" ht="97.5" customHeight="1" x14ac:dyDescent="0.15">
      <c r="B93" s="97" t="s">
        <v>50</v>
      </c>
      <c r="C93" s="29" t="s">
        <v>31</v>
      </c>
      <c r="D93" s="289" t="s">
        <v>184</v>
      </c>
      <c r="E93" s="290"/>
      <c r="F93" s="290"/>
      <c r="G93" s="290"/>
      <c r="H93" s="290"/>
      <c r="I93" s="290"/>
      <c r="J93" s="290"/>
      <c r="K93" s="290"/>
      <c r="L93" s="290"/>
      <c r="M93" s="290"/>
      <c r="N93" s="290"/>
      <c r="O93" s="290"/>
      <c r="P93" s="290"/>
      <c r="Q93" s="290"/>
      <c r="R93" s="290"/>
      <c r="S93" s="291"/>
    </row>
    <row r="94" spans="1:19" ht="97.5" customHeight="1" x14ac:dyDescent="0.15">
      <c r="B94" s="99"/>
      <c r="C94" s="31" t="s">
        <v>32</v>
      </c>
      <c r="D94" s="106" t="s">
        <v>185</v>
      </c>
      <c r="E94" s="107"/>
      <c r="F94" s="107"/>
      <c r="G94" s="107"/>
      <c r="H94" s="107"/>
      <c r="I94" s="107"/>
      <c r="J94" s="107"/>
      <c r="K94" s="107"/>
      <c r="L94" s="107"/>
      <c r="M94" s="107"/>
      <c r="N94" s="107"/>
      <c r="O94" s="107"/>
      <c r="P94" s="107"/>
      <c r="Q94" s="107"/>
      <c r="R94" s="107"/>
      <c r="S94" s="108"/>
    </row>
    <row r="95" spans="1:19" ht="97.5" customHeight="1" x14ac:dyDescent="0.15">
      <c r="B95" s="97" t="s">
        <v>51</v>
      </c>
      <c r="C95" s="27" t="s">
        <v>34</v>
      </c>
      <c r="D95" s="287" t="s">
        <v>186</v>
      </c>
      <c r="E95" s="100"/>
      <c r="F95" s="100"/>
      <c r="G95" s="100"/>
      <c r="H95" s="100"/>
      <c r="I95" s="100"/>
      <c r="J95" s="100"/>
      <c r="K95" s="100"/>
      <c r="L95" s="100"/>
      <c r="M95" s="100"/>
      <c r="N95" s="100"/>
      <c r="O95" s="100"/>
      <c r="P95" s="100"/>
      <c r="Q95" s="100"/>
      <c r="R95" s="100"/>
      <c r="S95" s="288"/>
    </row>
    <row r="96" spans="1:19" ht="97.5" customHeight="1" x14ac:dyDescent="0.15">
      <c r="B96" s="99"/>
      <c r="C96" s="30" t="s">
        <v>35</v>
      </c>
      <c r="D96" s="109" t="s">
        <v>187</v>
      </c>
      <c r="E96" s="110"/>
      <c r="F96" s="110"/>
      <c r="G96" s="110"/>
      <c r="H96" s="110"/>
      <c r="I96" s="110"/>
      <c r="J96" s="110"/>
      <c r="K96" s="110"/>
      <c r="L96" s="110"/>
      <c r="M96" s="110"/>
      <c r="N96" s="110"/>
      <c r="O96" s="110"/>
      <c r="P96" s="110"/>
      <c r="Q96" s="110"/>
      <c r="R96" s="110"/>
      <c r="S96" s="111"/>
    </row>
    <row r="97" spans="1:19" ht="97.5" customHeight="1" x14ac:dyDescent="0.15">
      <c r="B97" s="97" t="s">
        <v>52</v>
      </c>
      <c r="C97" s="29" t="s">
        <v>53</v>
      </c>
      <c r="D97" s="116" t="s">
        <v>188</v>
      </c>
      <c r="E97" s="117"/>
      <c r="F97" s="117"/>
      <c r="G97" s="117"/>
      <c r="H97" s="117"/>
      <c r="I97" s="117"/>
      <c r="J97" s="117"/>
      <c r="K97" s="117"/>
      <c r="L97" s="117"/>
      <c r="M97" s="117"/>
      <c r="N97" s="117"/>
      <c r="O97" s="117"/>
      <c r="P97" s="117"/>
      <c r="Q97" s="117"/>
      <c r="R97" s="117"/>
      <c r="S97" s="118"/>
    </row>
    <row r="98" spans="1:19" ht="97.5" customHeight="1" x14ac:dyDescent="0.15">
      <c r="B98" s="98"/>
      <c r="C98" s="32" t="s">
        <v>38</v>
      </c>
      <c r="D98" s="110" t="s">
        <v>193</v>
      </c>
      <c r="E98" s="122"/>
      <c r="F98" s="122"/>
      <c r="G98" s="122"/>
      <c r="H98" s="122"/>
      <c r="I98" s="122"/>
      <c r="J98" s="122"/>
      <c r="K98" s="122"/>
      <c r="L98" s="122"/>
      <c r="M98" s="122"/>
      <c r="N98" s="122"/>
      <c r="O98" s="122"/>
      <c r="P98" s="122"/>
      <c r="Q98" s="122"/>
      <c r="R98" s="122"/>
      <c r="S98" s="123"/>
    </row>
    <row r="99" spans="1:19" ht="97.5" customHeight="1" x14ac:dyDescent="0.15">
      <c r="B99" s="99"/>
      <c r="C99" s="31" t="s">
        <v>39</v>
      </c>
      <c r="D99" s="166" t="s">
        <v>189</v>
      </c>
      <c r="E99" s="125"/>
      <c r="F99" s="125"/>
      <c r="G99" s="125"/>
      <c r="H99" s="125"/>
      <c r="I99" s="125"/>
      <c r="J99" s="125"/>
      <c r="K99" s="125"/>
      <c r="L99" s="125"/>
      <c r="M99" s="125"/>
      <c r="N99" s="125"/>
      <c r="O99" s="125"/>
      <c r="P99" s="125"/>
      <c r="Q99" s="125"/>
      <c r="R99" s="125"/>
      <c r="S99" s="126"/>
    </row>
    <row r="100" spans="1:19" ht="6" customHeight="1" x14ac:dyDescent="0.15"/>
    <row r="101" spans="1:19" ht="18.75" customHeight="1" x14ac:dyDescent="0.15">
      <c r="A101" s="1" t="s">
        <v>54</v>
      </c>
    </row>
    <row r="102" spans="1:19" ht="81.75" customHeight="1" x14ac:dyDescent="0.15">
      <c r="B102" s="103" t="s">
        <v>55</v>
      </c>
      <c r="C102" s="104"/>
      <c r="D102" s="104"/>
      <c r="E102" s="104"/>
      <c r="F102" s="104"/>
      <c r="G102" s="104"/>
      <c r="H102" s="104"/>
      <c r="I102" s="104"/>
      <c r="J102" s="104"/>
      <c r="K102" s="104"/>
      <c r="L102" s="104"/>
      <c r="M102" s="104"/>
      <c r="N102" s="104"/>
      <c r="O102" s="104"/>
      <c r="P102" s="104"/>
      <c r="Q102" s="104"/>
      <c r="R102" s="104"/>
      <c r="S102" s="105"/>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P69:S75 Q25:S31 G25:I31 Q36:S42 G36:I42 Q47:S53 G47:I53 Q58:S64 F69:I75 G58:I64">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V110"/>
  <sheetViews>
    <sheetView showZeros="0" view="pageBreakPreview" topLeftCell="A99" zoomScale="110" zoomScaleNormal="100" zoomScaleSheetLayoutView="110" workbookViewId="0">
      <selection activeCell="D91" sqref="D91:S91"/>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5" t="s">
        <v>62</v>
      </c>
      <c r="S1" s="155"/>
      <c r="T1" s="2" t="s">
        <v>1</v>
      </c>
    </row>
    <row r="2" spans="1:22" ht="18.75" customHeight="1" x14ac:dyDescent="0.15">
      <c r="B2" s="33" t="s">
        <v>2</v>
      </c>
      <c r="C2" s="134" t="s">
        <v>3</v>
      </c>
      <c r="D2" s="114"/>
      <c r="E2" s="114"/>
      <c r="F2" s="114"/>
      <c r="G2" s="114"/>
      <c r="H2" s="114"/>
      <c r="I2" s="115"/>
      <c r="J2" s="34"/>
      <c r="K2" s="6"/>
      <c r="L2" s="6"/>
      <c r="M2" s="6"/>
      <c r="N2" s="6"/>
      <c r="O2" s="6"/>
      <c r="P2" s="6"/>
      <c r="Q2" s="6"/>
      <c r="R2" s="6"/>
      <c r="S2" s="6"/>
    </row>
    <row r="3" spans="1:22" ht="18.75" customHeight="1" x14ac:dyDescent="0.15">
      <c r="B3" s="33" t="s">
        <v>4</v>
      </c>
      <c r="C3" s="134" t="s">
        <v>5</v>
      </c>
      <c r="D3" s="114"/>
      <c r="E3" s="114"/>
      <c r="F3" s="114"/>
      <c r="G3" s="114"/>
      <c r="H3" s="114"/>
      <c r="I3" s="115"/>
      <c r="J3" s="34"/>
      <c r="K3" s="6"/>
      <c r="L3" s="6"/>
      <c r="M3" s="6"/>
      <c r="N3" s="6"/>
      <c r="O3" s="6"/>
      <c r="P3" s="6"/>
      <c r="Q3" s="6"/>
      <c r="R3" s="6"/>
      <c r="S3" s="6"/>
    </row>
    <row r="4" spans="1:22" ht="15" customHeight="1" x14ac:dyDescent="0.15">
      <c r="K4" s="34"/>
      <c r="L4" s="35"/>
      <c r="M4" s="35"/>
      <c r="N4" s="35"/>
      <c r="O4" s="35"/>
      <c r="P4" s="35"/>
      <c r="Q4" s="35"/>
      <c r="R4" s="35"/>
      <c r="S4" s="35"/>
    </row>
    <row r="5" spans="1:22" ht="18" customHeight="1" x14ac:dyDescent="0.15">
      <c r="A5" s="156" t="s">
        <v>6</v>
      </c>
      <c r="B5" s="156"/>
      <c r="C5" s="156"/>
      <c r="D5" s="156"/>
      <c r="E5" s="156"/>
      <c r="F5" s="156"/>
      <c r="G5" s="156"/>
      <c r="H5" s="156"/>
      <c r="I5" s="156"/>
      <c r="J5" s="156"/>
      <c r="K5" s="156"/>
      <c r="L5" s="156"/>
      <c r="M5" s="156"/>
      <c r="N5" s="156"/>
      <c r="O5" s="156"/>
      <c r="P5" s="156"/>
      <c r="Q5" s="156"/>
      <c r="R5" s="156"/>
      <c r="S5" s="156"/>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6" t="s">
        <v>8</v>
      </c>
      <c r="K7" s="157" t="s">
        <v>9</v>
      </c>
      <c r="L7" s="158"/>
      <c r="M7" s="158"/>
      <c r="N7" s="158"/>
      <c r="O7" s="158"/>
      <c r="P7" s="158"/>
      <c r="Q7" s="158"/>
      <c r="R7" s="158"/>
      <c r="S7" s="159"/>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0" t="s">
        <v>63</v>
      </c>
      <c r="C9" s="161"/>
      <c r="D9" s="161"/>
      <c r="E9" s="161"/>
      <c r="F9" s="161"/>
      <c r="G9" s="161"/>
      <c r="H9" s="161"/>
      <c r="I9" s="161"/>
      <c r="J9" s="161"/>
      <c r="K9" s="161"/>
      <c r="L9" s="161"/>
      <c r="M9" s="161"/>
      <c r="N9" s="161"/>
      <c r="O9" s="161"/>
      <c r="P9" s="161"/>
      <c r="Q9" s="161"/>
      <c r="R9" s="161"/>
      <c r="S9" s="162"/>
    </row>
    <row r="10" spans="1:22" ht="18" customHeight="1" x14ac:dyDescent="0.15">
      <c r="B10" s="163"/>
      <c r="C10" s="164"/>
      <c r="D10" s="164"/>
      <c r="E10" s="164"/>
      <c r="F10" s="164"/>
      <c r="G10" s="164"/>
      <c r="H10" s="164"/>
      <c r="I10" s="164"/>
      <c r="J10" s="164"/>
      <c r="K10" s="164"/>
      <c r="L10" s="164"/>
      <c r="M10" s="164"/>
      <c r="N10" s="164"/>
      <c r="O10" s="164"/>
      <c r="P10" s="164"/>
      <c r="Q10" s="164"/>
      <c r="R10" s="164"/>
      <c r="S10" s="16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v>
      </c>
      <c r="B12" s="3"/>
      <c r="C12" s="3"/>
      <c r="D12" s="34"/>
      <c r="E12" s="34"/>
      <c r="F12" s="34"/>
      <c r="G12" s="34"/>
      <c r="H12" s="34"/>
      <c r="I12" s="34"/>
      <c r="J12" s="34"/>
      <c r="K12" s="37"/>
      <c r="L12" s="37"/>
      <c r="M12" s="37"/>
      <c r="N12" s="37"/>
      <c r="O12" s="37"/>
      <c r="P12" s="37"/>
      <c r="Q12" s="37"/>
      <c r="R12" s="37"/>
      <c r="S12" s="37"/>
    </row>
    <row r="13" spans="1:22" ht="18" customHeight="1" x14ac:dyDescent="0.15">
      <c r="B13" s="143" t="s">
        <v>176</v>
      </c>
      <c r="C13" s="144"/>
      <c r="D13" s="144"/>
      <c r="E13" s="144"/>
      <c r="F13" s="144"/>
      <c r="G13" s="144"/>
      <c r="H13" s="144"/>
      <c r="I13" s="144"/>
      <c r="J13" s="144"/>
      <c r="K13" s="144"/>
      <c r="L13" s="144"/>
      <c r="M13" s="144"/>
      <c r="N13" s="144"/>
      <c r="O13" s="144"/>
      <c r="P13" s="144"/>
      <c r="Q13" s="144"/>
      <c r="R13" s="144"/>
      <c r="S13" s="145"/>
      <c r="T13" s="82"/>
      <c r="V13" s="1" t="s">
        <v>12</v>
      </c>
    </row>
    <row r="14" spans="1:22" ht="18" customHeight="1" x14ac:dyDescent="0.15">
      <c r="B14" s="146"/>
      <c r="C14" s="147"/>
      <c r="D14" s="147"/>
      <c r="E14" s="147"/>
      <c r="F14" s="147"/>
      <c r="G14" s="147"/>
      <c r="H14" s="147"/>
      <c r="I14" s="147"/>
      <c r="J14" s="147"/>
      <c r="K14" s="147"/>
      <c r="L14" s="147"/>
      <c r="M14" s="147"/>
      <c r="N14" s="147"/>
      <c r="O14" s="147"/>
      <c r="P14" s="147"/>
      <c r="Q14" s="147"/>
      <c r="R14" s="147"/>
      <c r="S14" s="148"/>
      <c r="V14" s="1" t="s">
        <v>13</v>
      </c>
    </row>
    <row r="15" spans="1:22" ht="18" customHeight="1" x14ac:dyDescent="0.15">
      <c r="B15" s="146"/>
      <c r="C15" s="147"/>
      <c r="D15" s="147"/>
      <c r="E15" s="147"/>
      <c r="F15" s="147"/>
      <c r="G15" s="147"/>
      <c r="H15" s="147"/>
      <c r="I15" s="147"/>
      <c r="J15" s="147"/>
      <c r="K15" s="147"/>
      <c r="L15" s="147"/>
      <c r="M15" s="147"/>
      <c r="N15" s="147"/>
      <c r="O15" s="147"/>
      <c r="P15" s="147"/>
      <c r="Q15" s="147"/>
      <c r="R15" s="147"/>
      <c r="S15" s="148"/>
      <c r="V15" s="1" t="s">
        <v>14</v>
      </c>
    </row>
    <row r="16" spans="1:22" ht="18" customHeight="1" x14ac:dyDescent="0.15">
      <c r="B16" s="146"/>
      <c r="C16" s="147"/>
      <c r="D16" s="147"/>
      <c r="E16" s="147"/>
      <c r="F16" s="147"/>
      <c r="G16" s="147"/>
      <c r="H16" s="147"/>
      <c r="I16" s="147"/>
      <c r="J16" s="147"/>
      <c r="K16" s="147"/>
      <c r="L16" s="147"/>
      <c r="M16" s="147"/>
      <c r="N16" s="147"/>
      <c r="O16" s="147"/>
      <c r="P16" s="147"/>
      <c r="Q16" s="147"/>
      <c r="R16" s="147"/>
      <c r="S16" s="148"/>
      <c r="V16" s="1" t="s">
        <v>15</v>
      </c>
    </row>
    <row r="17" spans="1:19" ht="18" customHeight="1" x14ac:dyDescent="0.15">
      <c r="B17" s="146"/>
      <c r="C17" s="147"/>
      <c r="D17" s="147"/>
      <c r="E17" s="147"/>
      <c r="F17" s="147"/>
      <c r="G17" s="147"/>
      <c r="H17" s="147"/>
      <c r="I17" s="147"/>
      <c r="J17" s="147"/>
      <c r="K17" s="147"/>
      <c r="L17" s="147"/>
      <c r="M17" s="147"/>
      <c r="N17" s="147"/>
      <c r="O17" s="147"/>
      <c r="P17" s="147"/>
      <c r="Q17" s="147"/>
      <c r="R17" s="147"/>
      <c r="S17" s="148"/>
    </row>
    <row r="18" spans="1:19" ht="18" customHeight="1" x14ac:dyDescent="0.15">
      <c r="B18" s="149"/>
      <c r="C18" s="150"/>
      <c r="D18" s="150"/>
      <c r="E18" s="150"/>
      <c r="F18" s="150"/>
      <c r="G18" s="150"/>
      <c r="H18" s="150"/>
      <c r="I18" s="150"/>
      <c r="J18" s="150"/>
      <c r="K18" s="150"/>
      <c r="L18" s="150"/>
      <c r="M18" s="150"/>
      <c r="N18" s="150"/>
      <c r="O18" s="150"/>
      <c r="P18" s="150"/>
      <c r="Q18" s="150"/>
      <c r="R18" s="150"/>
      <c r="S18" s="151"/>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16</v>
      </c>
      <c r="C20" s="134">
        <v>3</v>
      </c>
      <c r="D20" s="115"/>
      <c r="E20" s="38" t="s">
        <v>17</v>
      </c>
      <c r="G20" s="10"/>
      <c r="H20" s="3"/>
      <c r="I20" s="3"/>
      <c r="J20" s="34" t="s">
        <v>18</v>
      </c>
      <c r="K20" s="152" t="s">
        <v>15</v>
      </c>
      <c r="L20" s="153"/>
      <c r="M20" s="153"/>
      <c r="N20" s="153"/>
      <c r="O20" s="153"/>
      <c r="P20" s="153"/>
      <c r="Q20" s="153"/>
      <c r="R20" s="153"/>
      <c r="S20" s="15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2" t="s">
        <v>19</v>
      </c>
      <c r="B22" s="142"/>
      <c r="C22" s="142"/>
      <c r="D22" s="142"/>
      <c r="E22" s="142"/>
      <c r="F22" s="142"/>
      <c r="G22" s="142"/>
      <c r="H22" s="142"/>
      <c r="I22" s="142"/>
      <c r="J22" s="142"/>
      <c r="K22" s="142"/>
      <c r="L22" s="142"/>
      <c r="M22" s="142"/>
      <c r="N22" s="142"/>
      <c r="O22" s="142"/>
      <c r="P22" s="142"/>
      <c r="Q22" s="142"/>
      <c r="R22" s="142"/>
      <c r="S22" s="142"/>
    </row>
    <row r="23" spans="1:19" ht="18" customHeight="1" x14ac:dyDescent="0.15">
      <c r="A23" s="142"/>
      <c r="B23" s="142"/>
      <c r="C23" s="142"/>
      <c r="D23" s="142"/>
      <c r="E23" s="142"/>
      <c r="F23" s="142"/>
      <c r="G23" s="142"/>
      <c r="H23" s="142"/>
      <c r="I23" s="142"/>
      <c r="J23" s="142"/>
      <c r="K23" s="142"/>
      <c r="L23" s="142"/>
      <c r="M23" s="142"/>
      <c r="N23" s="142"/>
      <c r="O23" s="142"/>
      <c r="P23" s="142"/>
      <c r="Q23" s="142"/>
      <c r="R23" s="142"/>
      <c r="S23" s="142"/>
    </row>
    <row r="24" spans="1:19" ht="18" customHeight="1" x14ac:dyDescent="0.15">
      <c r="B24" s="134" t="s">
        <v>20</v>
      </c>
      <c r="C24" s="114"/>
      <c r="D24" s="114"/>
      <c r="E24" s="115"/>
      <c r="F24" s="57" t="s">
        <v>21</v>
      </c>
      <c r="G24" s="56" t="s">
        <v>22</v>
      </c>
      <c r="H24" s="21" t="s">
        <v>23</v>
      </c>
      <c r="I24" s="21" t="s">
        <v>24</v>
      </c>
      <c r="J24" s="134" t="s">
        <v>20</v>
      </c>
      <c r="K24" s="114"/>
      <c r="L24" s="114"/>
      <c r="M24" s="114"/>
      <c r="N24" s="114"/>
      <c r="O24" s="115"/>
      <c r="P24" s="57" t="s">
        <v>21</v>
      </c>
      <c r="Q24" s="56" t="s">
        <v>22</v>
      </c>
      <c r="R24" s="21" t="s">
        <v>23</v>
      </c>
      <c r="S24" s="21" t="s">
        <v>24</v>
      </c>
    </row>
    <row r="25" spans="1:19" ht="18" customHeight="1" x14ac:dyDescent="0.15">
      <c r="B25" s="138" t="s">
        <v>25</v>
      </c>
      <c r="C25" s="107"/>
      <c r="D25" s="107"/>
      <c r="E25" s="108"/>
      <c r="F25" s="22">
        <v>1</v>
      </c>
      <c r="G25" s="22" t="s">
        <v>26</v>
      </c>
      <c r="H25" s="22" t="s">
        <v>26</v>
      </c>
      <c r="I25" s="22" t="s">
        <v>26</v>
      </c>
      <c r="J25" s="138"/>
      <c r="K25" s="107"/>
      <c r="L25" s="107"/>
      <c r="M25" s="107"/>
      <c r="N25" s="107"/>
      <c r="O25" s="108"/>
      <c r="P25" s="22"/>
      <c r="Q25" s="22"/>
      <c r="R25" s="22"/>
      <c r="S25" s="22"/>
    </row>
    <row r="26" spans="1:19" ht="18" customHeight="1" x14ac:dyDescent="0.15">
      <c r="B26" s="124"/>
      <c r="C26" s="125"/>
      <c r="D26" s="125"/>
      <c r="E26" s="126"/>
      <c r="F26" s="23"/>
      <c r="G26" s="23"/>
      <c r="H26" s="23"/>
      <c r="I26" s="23"/>
      <c r="J26" s="124"/>
      <c r="K26" s="125"/>
      <c r="L26" s="125"/>
      <c r="M26" s="125"/>
      <c r="N26" s="125"/>
      <c r="O26" s="126"/>
      <c r="P26" s="23"/>
      <c r="Q26" s="23"/>
      <c r="R26" s="23"/>
      <c r="S26" s="23"/>
    </row>
    <row r="27" spans="1:19" ht="18" customHeight="1" x14ac:dyDescent="0.15">
      <c r="B27" s="124"/>
      <c r="C27" s="125"/>
      <c r="D27" s="125"/>
      <c r="E27" s="126"/>
      <c r="F27" s="23"/>
      <c r="G27" s="23"/>
      <c r="H27" s="23"/>
      <c r="I27" s="23"/>
      <c r="J27" s="124"/>
      <c r="K27" s="125"/>
      <c r="L27" s="125"/>
      <c r="M27" s="125"/>
      <c r="N27" s="125"/>
      <c r="O27" s="126"/>
      <c r="P27" s="23"/>
      <c r="Q27" s="23"/>
      <c r="R27" s="23"/>
      <c r="S27" s="23"/>
    </row>
    <row r="28" spans="1:19" ht="18" customHeight="1" x14ac:dyDescent="0.15">
      <c r="B28" s="124"/>
      <c r="C28" s="125"/>
      <c r="D28" s="125"/>
      <c r="E28" s="126"/>
      <c r="F28" s="23"/>
      <c r="G28" s="23"/>
      <c r="H28" s="23"/>
      <c r="I28" s="23"/>
      <c r="J28" s="124"/>
      <c r="K28" s="125"/>
      <c r="L28" s="125"/>
      <c r="M28" s="125"/>
      <c r="N28" s="125"/>
      <c r="O28" s="126"/>
      <c r="P28" s="23"/>
      <c r="Q28" s="23"/>
      <c r="R28" s="23"/>
      <c r="S28" s="23"/>
    </row>
    <row r="29" spans="1:19" ht="18" customHeight="1" x14ac:dyDescent="0.15">
      <c r="B29" s="124"/>
      <c r="C29" s="125"/>
      <c r="D29" s="125"/>
      <c r="E29" s="126"/>
      <c r="F29" s="23"/>
      <c r="G29" s="23"/>
      <c r="H29" s="23"/>
      <c r="I29" s="23"/>
      <c r="J29" s="124"/>
      <c r="K29" s="125"/>
      <c r="L29" s="125"/>
      <c r="M29" s="125"/>
      <c r="N29" s="125"/>
      <c r="O29" s="126"/>
      <c r="P29" s="23"/>
      <c r="Q29" s="23"/>
      <c r="R29" s="23"/>
      <c r="S29" s="23"/>
    </row>
    <row r="30" spans="1:19" ht="18" customHeight="1" x14ac:dyDescent="0.15">
      <c r="A30" s="3"/>
      <c r="B30" s="124"/>
      <c r="C30" s="125"/>
      <c r="D30" s="125"/>
      <c r="E30" s="126"/>
      <c r="F30" s="23"/>
      <c r="G30" s="23"/>
      <c r="H30" s="23"/>
      <c r="I30" s="23"/>
      <c r="J30" s="124"/>
      <c r="K30" s="125"/>
      <c r="L30" s="125"/>
      <c r="M30" s="125"/>
      <c r="N30" s="125"/>
      <c r="O30" s="126"/>
      <c r="P30" s="23"/>
      <c r="Q30" s="23"/>
      <c r="R30" s="23"/>
      <c r="S30" s="23"/>
    </row>
    <row r="31" spans="1:19" ht="18" customHeight="1" x14ac:dyDescent="0.15">
      <c r="A31" s="3"/>
      <c r="B31" s="130"/>
      <c r="C31" s="101"/>
      <c r="D31" s="101"/>
      <c r="E31" s="102"/>
      <c r="F31" s="24"/>
      <c r="G31" s="24"/>
      <c r="H31" s="25"/>
      <c r="I31" s="25"/>
      <c r="J31" s="130"/>
      <c r="K31" s="101"/>
      <c r="L31" s="101"/>
      <c r="M31" s="101"/>
      <c r="N31" s="101"/>
      <c r="O31" s="102"/>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2" t="s">
        <v>27</v>
      </c>
      <c r="B33" s="142"/>
      <c r="C33" s="142"/>
      <c r="D33" s="142"/>
      <c r="E33" s="142"/>
      <c r="F33" s="142"/>
      <c r="G33" s="142"/>
      <c r="H33" s="142"/>
      <c r="I33" s="142"/>
      <c r="J33" s="142"/>
      <c r="K33" s="142"/>
      <c r="L33" s="142"/>
      <c r="M33" s="142"/>
      <c r="N33" s="142"/>
      <c r="O33" s="142"/>
      <c r="P33" s="142"/>
      <c r="Q33" s="142"/>
      <c r="R33" s="142"/>
      <c r="S33" s="142"/>
    </row>
    <row r="34" spans="1:19" ht="18" customHeight="1" x14ac:dyDescent="0.15">
      <c r="A34" s="142"/>
      <c r="B34" s="142"/>
      <c r="C34" s="142"/>
      <c r="D34" s="142"/>
      <c r="E34" s="142"/>
      <c r="F34" s="142"/>
      <c r="G34" s="142"/>
      <c r="H34" s="142"/>
      <c r="I34" s="142"/>
      <c r="J34" s="142"/>
      <c r="K34" s="142"/>
      <c r="L34" s="142"/>
      <c r="M34" s="142"/>
      <c r="N34" s="142"/>
      <c r="O34" s="142"/>
      <c r="P34" s="142"/>
      <c r="Q34" s="142"/>
      <c r="R34" s="142"/>
      <c r="S34" s="142"/>
    </row>
    <row r="35" spans="1:19" ht="18" customHeight="1" x14ac:dyDescent="0.15">
      <c r="B35" s="134" t="s">
        <v>20</v>
      </c>
      <c r="C35" s="114"/>
      <c r="D35" s="114"/>
      <c r="E35" s="115"/>
      <c r="F35" s="57" t="s">
        <v>21</v>
      </c>
      <c r="G35" s="56" t="s">
        <v>22</v>
      </c>
      <c r="H35" s="21" t="s">
        <v>28</v>
      </c>
      <c r="I35" s="21" t="s">
        <v>29</v>
      </c>
      <c r="J35" s="134" t="s">
        <v>20</v>
      </c>
      <c r="K35" s="114"/>
      <c r="L35" s="114"/>
      <c r="M35" s="114"/>
      <c r="N35" s="114"/>
      <c r="O35" s="115"/>
      <c r="P35" s="57" t="s">
        <v>21</v>
      </c>
      <c r="Q35" s="56" t="s">
        <v>22</v>
      </c>
      <c r="R35" s="21" t="s">
        <v>28</v>
      </c>
      <c r="S35" s="21" t="s">
        <v>29</v>
      </c>
    </row>
    <row r="36" spans="1:19" ht="18" customHeight="1" x14ac:dyDescent="0.15">
      <c r="B36" s="138" t="s">
        <v>25</v>
      </c>
      <c r="C36" s="107"/>
      <c r="D36" s="107"/>
      <c r="E36" s="108"/>
      <c r="F36" s="22">
        <v>1</v>
      </c>
      <c r="G36" s="22" t="s">
        <v>26</v>
      </c>
      <c r="H36" s="22" t="s">
        <v>26</v>
      </c>
      <c r="I36" s="22" t="s">
        <v>26</v>
      </c>
      <c r="J36" s="138"/>
      <c r="K36" s="107"/>
      <c r="L36" s="107"/>
      <c r="M36" s="107"/>
      <c r="N36" s="107"/>
      <c r="O36" s="108"/>
      <c r="P36" s="22"/>
      <c r="Q36" s="22"/>
      <c r="R36" s="22"/>
      <c r="S36" s="22"/>
    </row>
    <row r="37" spans="1:19" ht="18" customHeight="1" x14ac:dyDescent="0.15">
      <c r="B37" s="124"/>
      <c r="C37" s="125"/>
      <c r="D37" s="125"/>
      <c r="E37" s="126"/>
      <c r="F37" s="23"/>
      <c r="G37" s="23"/>
      <c r="H37" s="23"/>
      <c r="I37" s="23"/>
      <c r="J37" s="124"/>
      <c r="K37" s="125"/>
      <c r="L37" s="125"/>
      <c r="M37" s="125"/>
      <c r="N37" s="125"/>
      <c r="O37" s="126"/>
      <c r="P37" s="23"/>
      <c r="Q37" s="23"/>
      <c r="R37" s="23"/>
      <c r="S37" s="23"/>
    </row>
    <row r="38" spans="1:19" ht="18" customHeight="1" x14ac:dyDescent="0.15">
      <c r="B38" s="124"/>
      <c r="C38" s="125"/>
      <c r="D38" s="125"/>
      <c r="E38" s="126"/>
      <c r="F38" s="23"/>
      <c r="G38" s="23"/>
      <c r="H38" s="23"/>
      <c r="I38" s="23"/>
      <c r="J38" s="124"/>
      <c r="K38" s="125"/>
      <c r="L38" s="125"/>
      <c r="M38" s="125"/>
      <c r="N38" s="125"/>
      <c r="O38" s="126"/>
      <c r="P38" s="23"/>
      <c r="Q38" s="23"/>
      <c r="R38" s="23"/>
      <c r="S38" s="23"/>
    </row>
    <row r="39" spans="1:19" ht="18" customHeight="1" x14ac:dyDescent="0.15">
      <c r="B39" s="124"/>
      <c r="C39" s="125"/>
      <c r="D39" s="125"/>
      <c r="E39" s="126"/>
      <c r="F39" s="23"/>
      <c r="G39" s="23"/>
      <c r="H39" s="23"/>
      <c r="I39" s="23"/>
      <c r="J39" s="124"/>
      <c r="K39" s="125"/>
      <c r="L39" s="125"/>
      <c r="M39" s="125"/>
      <c r="N39" s="125"/>
      <c r="O39" s="126"/>
      <c r="P39" s="23"/>
      <c r="Q39" s="23"/>
      <c r="R39" s="23"/>
      <c r="S39" s="23"/>
    </row>
    <row r="40" spans="1:19" ht="18" customHeight="1" x14ac:dyDescent="0.15">
      <c r="B40" s="124"/>
      <c r="C40" s="125"/>
      <c r="D40" s="125"/>
      <c r="E40" s="126"/>
      <c r="F40" s="23"/>
      <c r="G40" s="23"/>
      <c r="H40" s="23"/>
      <c r="I40" s="23"/>
      <c r="J40" s="124"/>
      <c r="K40" s="125"/>
      <c r="L40" s="125"/>
      <c r="M40" s="125"/>
      <c r="N40" s="125"/>
      <c r="O40" s="126"/>
      <c r="P40" s="23"/>
      <c r="Q40" s="23"/>
      <c r="R40" s="23"/>
      <c r="S40" s="23"/>
    </row>
    <row r="41" spans="1:19" ht="18" customHeight="1" x14ac:dyDescent="0.15">
      <c r="B41" s="124"/>
      <c r="C41" s="125"/>
      <c r="D41" s="125"/>
      <c r="E41" s="126"/>
      <c r="F41" s="23"/>
      <c r="G41" s="23"/>
      <c r="H41" s="23"/>
      <c r="I41" s="23"/>
      <c r="J41" s="124"/>
      <c r="K41" s="125"/>
      <c r="L41" s="125"/>
      <c r="M41" s="125"/>
      <c r="N41" s="125"/>
      <c r="O41" s="126"/>
      <c r="P41" s="23"/>
      <c r="Q41" s="23"/>
      <c r="R41" s="23"/>
      <c r="S41" s="23"/>
    </row>
    <row r="42" spans="1:19" ht="18" customHeight="1" x14ac:dyDescent="0.15">
      <c r="B42" s="130"/>
      <c r="C42" s="101"/>
      <c r="D42" s="101"/>
      <c r="E42" s="102"/>
      <c r="F42" s="24"/>
      <c r="G42" s="24"/>
      <c r="H42" s="25"/>
      <c r="I42" s="25"/>
      <c r="J42" s="130"/>
      <c r="K42" s="101"/>
      <c r="L42" s="101"/>
      <c r="M42" s="101"/>
      <c r="N42" s="101"/>
      <c r="O42" s="102"/>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2" t="s">
        <v>30</v>
      </c>
      <c r="B44" s="142"/>
      <c r="C44" s="142"/>
      <c r="D44" s="142"/>
      <c r="E44" s="142"/>
      <c r="F44" s="142"/>
      <c r="G44" s="142"/>
      <c r="H44" s="142"/>
      <c r="I44" s="142"/>
      <c r="J44" s="142"/>
      <c r="K44" s="142"/>
      <c r="L44" s="142"/>
      <c r="M44" s="142"/>
      <c r="N44" s="142"/>
      <c r="O44" s="142"/>
      <c r="P44" s="142"/>
      <c r="Q44" s="142"/>
      <c r="R44" s="142"/>
      <c r="S44" s="142"/>
    </row>
    <row r="45" spans="1:19" ht="18" customHeight="1" x14ac:dyDescent="0.15">
      <c r="A45" s="142"/>
      <c r="B45" s="142"/>
      <c r="C45" s="142"/>
      <c r="D45" s="142"/>
      <c r="E45" s="142"/>
      <c r="F45" s="142"/>
      <c r="G45" s="142"/>
      <c r="H45" s="142"/>
      <c r="I45" s="142"/>
      <c r="J45" s="142"/>
      <c r="K45" s="142"/>
      <c r="L45" s="142"/>
      <c r="M45" s="142"/>
      <c r="N45" s="142"/>
      <c r="O45" s="142"/>
      <c r="P45" s="142"/>
      <c r="Q45" s="142"/>
      <c r="R45" s="142"/>
      <c r="S45" s="142"/>
    </row>
    <row r="46" spans="1:19" ht="18" customHeight="1" x14ac:dyDescent="0.15">
      <c r="B46" s="134" t="s">
        <v>20</v>
      </c>
      <c r="C46" s="114"/>
      <c r="D46" s="114"/>
      <c r="E46" s="115"/>
      <c r="F46" s="57" t="s">
        <v>21</v>
      </c>
      <c r="G46" s="56" t="s">
        <v>22</v>
      </c>
      <c r="H46" s="21" t="s">
        <v>31</v>
      </c>
      <c r="I46" s="21" t="s">
        <v>32</v>
      </c>
      <c r="J46" s="134" t="s">
        <v>20</v>
      </c>
      <c r="K46" s="114"/>
      <c r="L46" s="114"/>
      <c r="M46" s="114"/>
      <c r="N46" s="114"/>
      <c r="O46" s="115"/>
      <c r="P46" s="57" t="s">
        <v>21</v>
      </c>
      <c r="Q46" s="56" t="s">
        <v>22</v>
      </c>
      <c r="R46" s="21" t="s">
        <v>31</v>
      </c>
      <c r="S46" s="21" t="s">
        <v>32</v>
      </c>
    </row>
    <row r="47" spans="1:19" ht="18" customHeight="1" x14ac:dyDescent="0.15">
      <c r="A47" s="3"/>
      <c r="B47" s="138" t="s">
        <v>25</v>
      </c>
      <c r="C47" s="107"/>
      <c r="D47" s="107"/>
      <c r="E47" s="108"/>
      <c r="F47" s="22">
        <v>1</v>
      </c>
      <c r="G47" s="22" t="s">
        <v>26</v>
      </c>
      <c r="H47" s="22" t="s">
        <v>26</v>
      </c>
      <c r="I47" s="22" t="s">
        <v>26</v>
      </c>
      <c r="J47" s="138"/>
      <c r="K47" s="107"/>
      <c r="L47" s="107"/>
      <c r="M47" s="107"/>
      <c r="N47" s="107"/>
      <c r="O47" s="108"/>
      <c r="P47" s="22"/>
      <c r="Q47" s="22"/>
      <c r="R47" s="22"/>
      <c r="S47" s="22"/>
    </row>
    <row r="48" spans="1:19" ht="18" customHeight="1" x14ac:dyDescent="0.15">
      <c r="A48" s="3"/>
      <c r="B48" s="124"/>
      <c r="C48" s="125"/>
      <c r="D48" s="125"/>
      <c r="E48" s="126"/>
      <c r="F48" s="23"/>
      <c r="G48" s="23"/>
      <c r="H48" s="23"/>
      <c r="I48" s="23"/>
      <c r="J48" s="124"/>
      <c r="K48" s="125"/>
      <c r="L48" s="125"/>
      <c r="M48" s="125"/>
      <c r="N48" s="125"/>
      <c r="O48" s="126"/>
      <c r="P48" s="23"/>
      <c r="Q48" s="23"/>
      <c r="R48" s="23"/>
      <c r="S48" s="23"/>
    </row>
    <row r="49" spans="1:19" ht="18" customHeight="1" x14ac:dyDescent="0.15">
      <c r="A49" s="3"/>
      <c r="B49" s="124"/>
      <c r="C49" s="125"/>
      <c r="D49" s="125"/>
      <c r="E49" s="126"/>
      <c r="F49" s="23"/>
      <c r="G49" s="23"/>
      <c r="H49" s="23"/>
      <c r="I49" s="23"/>
      <c r="J49" s="124"/>
      <c r="K49" s="125"/>
      <c r="L49" s="125"/>
      <c r="M49" s="125"/>
      <c r="N49" s="125"/>
      <c r="O49" s="126"/>
      <c r="P49" s="23"/>
      <c r="Q49" s="23"/>
      <c r="R49" s="23"/>
      <c r="S49" s="23"/>
    </row>
    <row r="50" spans="1:19" ht="18" customHeight="1" x14ac:dyDescent="0.15">
      <c r="A50" s="3"/>
      <c r="B50" s="124"/>
      <c r="C50" s="125"/>
      <c r="D50" s="125"/>
      <c r="E50" s="126"/>
      <c r="F50" s="23"/>
      <c r="G50" s="23"/>
      <c r="H50" s="23"/>
      <c r="I50" s="23"/>
      <c r="J50" s="124"/>
      <c r="K50" s="125"/>
      <c r="L50" s="125"/>
      <c r="M50" s="125"/>
      <c r="N50" s="125"/>
      <c r="O50" s="126"/>
      <c r="P50" s="23"/>
      <c r="Q50" s="23"/>
      <c r="R50" s="23"/>
      <c r="S50" s="23"/>
    </row>
    <row r="51" spans="1:19" ht="18" customHeight="1" x14ac:dyDescent="0.15">
      <c r="A51" s="3"/>
      <c r="B51" s="124"/>
      <c r="C51" s="125"/>
      <c r="D51" s="125"/>
      <c r="E51" s="126"/>
      <c r="F51" s="23"/>
      <c r="G51" s="23"/>
      <c r="H51" s="23"/>
      <c r="I51" s="23"/>
      <c r="J51" s="124"/>
      <c r="K51" s="125"/>
      <c r="L51" s="125"/>
      <c r="M51" s="125"/>
      <c r="N51" s="125"/>
      <c r="O51" s="126"/>
      <c r="P51" s="23"/>
      <c r="Q51" s="23"/>
      <c r="R51" s="23"/>
      <c r="S51" s="23"/>
    </row>
    <row r="52" spans="1:19" ht="18" customHeight="1" x14ac:dyDescent="0.15">
      <c r="A52" s="3"/>
      <c r="B52" s="124"/>
      <c r="C52" s="125"/>
      <c r="D52" s="125"/>
      <c r="E52" s="126"/>
      <c r="F52" s="23"/>
      <c r="G52" s="23"/>
      <c r="H52" s="23"/>
      <c r="I52" s="23"/>
      <c r="J52" s="124"/>
      <c r="K52" s="125"/>
      <c r="L52" s="125"/>
      <c r="M52" s="125"/>
      <c r="N52" s="125"/>
      <c r="O52" s="126"/>
      <c r="P52" s="23"/>
      <c r="Q52" s="23"/>
      <c r="R52" s="23"/>
      <c r="S52" s="23"/>
    </row>
    <row r="53" spans="1:19" ht="18" customHeight="1" x14ac:dyDescent="0.15">
      <c r="A53" s="3"/>
      <c r="B53" s="130"/>
      <c r="C53" s="101"/>
      <c r="D53" s="101"/>
      <c r="E53" s="102"/>
      <c r="F53" s="24"/>
      <c r="G53" s="24"/>
      <c r="H53" s="25"/>
      <c r="I53" s="25"/>
      <c r="J53" s="130"/>
      <c r="K53" s="101"/>
      <c r="L53" s="101"/>
      <c r="M53" s="101"/>
      <c r="N53" s="101"/>
      <c r="O53" s="102"/>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2" t="s">
        <v>33</v>
      </c>
      <c r="B55" s="142"/>
      <c r="C55" s="142"/>
      <c r="D55" s="142"/>
      <c r="E55" s="142"/>
      <c r="F55" s="142"/>
      <c r="G55" s="142"/>
      <c r="H55" s="142"/>
      <c r="I55" s="142"/>
      <c r="J55" s="142"/>
      <c r="K55" s="142"/>
      <c r="L55" s="142"/>
      <c r="M55" s="142"/>
      <c r="N55" s="142"/>
      <c r="O55" s="142"/>
      <c r="P55" s="142"/>
      <c r="Q55" s="142"/>
      <c r="R55" s="142"/>
      <c r="S55" s="142"/>
    </row>
    <row r="56" spans="1:19" ht="18" customHeight="1" x14ac:dyDescent="0.15">
      <c r="A56" s="142"/>
      <c r="B56" s="142"/>
      <c r="C56" s="142"/>
      <c r="D56" s="142"/>
      <c r="E56" s="142"/>
      <c r="F56" s="142"/>
      <c r="G56" s="142"/>
      <c r="H56" s="142"/>
      <c r="I56" s="142"/>
      <c r="J56" s="142"/>
      <c r="K56" s="142"/>
      <c r="L56" s="142"/>
      <c r="M56" s="142"/>
      <c r="N56" s="142"/>
      <c r="O56" s="142"/>
      <c r="P56" s="142"/>
      <c r="Q56" s="142"/>
      <c r="R56" s="142"/>
      <c r="S56" s="142"/>
    </row>
    <row r="57" spans="1:19" ht="18" customHeight="1" x14ac:dyDescent="0.15">
      <c r="B57" s="134" t="s">
        <v>20</v>
      </c>
      <c r="C57" s="114"/>
      <c r="D57" s="114"/>
      <c r="E57" s="115"/>
      <c r="F57" s="57" t="s">
        <v>21</v>
      </c>
      <c r="G57" s="56" t="s">
        <v>22</v>
      </c>
      <c r="H57" s="21" t="s">
        <v>34</v>
      </c>
      <c r="I57" s="21" t="s">
        <v>35</v>
      </c>
      <c r="J57" s="134" t="s">
        <v>20</v>
      </c>
      <c r="K57" s="114"/>
      <c r="L57" s="114"/>
      <c r="M57" s="114"/>
      <c r="N57" s="114"/>
      <c r="O57" s="115"/>
      <c r="P57" s="57" t="s">
        <v>21</v>
      </c>
      <c r="Q57" s="56" t="s">
        <v>22</v>
      </c>
      <c r="R57" s="21" t="s">
        <v>34</v>
      </c>
      <c r="S57" s="21" t="s">
        <v>35</v>
      </c>
    </row>
    <row r="58" spans="1:19" ht="18" customHeight="1" x14ac:dyDescent="0.15">
      <c r="A58" s="3"/>
      <c r="B58" s="138" t="s">
        <v>25</v>
      </c>
      <c r="C58" s="107"/>
      <c r="D58" s="107"/>
      <c r="E58" s="108"/>
      <c r="F58" s="22">
        <v>1</v>
      </c>
      <c r="G58" s="22" t="s">
        <v>26</v>
      </c>
      <c r="H58" s="22" t="s">
        <v>26</v>
      </c>
      <c r="I58" s="22" t="s">
        <v>26</v>
      </c>
      <c r="J58" s="138"/>
      <c r="K58" s="107"/>
      <c r="L58" s="107"/>
      <c r="M58" s="107"/>
      <c r="N58" s="107"/>
      <c r="O58" s="108"/>
      <c r="P58" s="22"/>
      <c r="Q58" s="22"/>
      <c r="R58" s="22"/>
      <c r="S58" s="22"/>
    </row>
    <row r="59" spans="1:19" ht="18" customHeight="1" x14ac:dyDescent="0.15">
      <c r="A59" s="3"/>
      <c r="B59" s="124"/>
      <c r="C59" s="125"/>
      <c r="D59" s="125"/>
      <c r="E59" s="126"/>
      <c r="F59" s="23"/>
      <c r="G59" s="23"/>
      <c r="H59" s="23"/>
      <c r="I59" s="23"/>
      <c r="J59" s="124"/>
      <c r="K59" s="125"/>
      <c r="L59" s="125"/>
      <c r="M59" s="125"/>
      <c r="N59" s="125"/>
      <c r="O59" s="126"/>
      <c r="P59" s="23"/>
      <c r="Q59" s="23"/>
      <c r="R59" s="23"/>
      <c r="S59" s="23"/>
    </row>
    <row r="60" spans="1:19" ht="18" customHeight="1" x14ac:dyDescent="0.15">
      <c r="A60" s="3"/>
      <c r="B60" s="124"/>
      <c r="C60" s="125"/>
      <c r="D60" s="125"/>
      <c r="E60" s="126"/>
      <c r="F60" s="23"/>
      <c r="G60" s="23"/>
      <c r="H60" s="23"/>
      <c r="I60" s="23"/>
      <c r="J60" s="124"/>
      <c r="K60" s="125"/>
      <c r="L60" s="125"/>
      <c r="M60" s="125"/>
      <c r="N60" s="125"/>
      <c r="O60" s="126"/>
      <c r="P60" s="23"/>
      <c r="Q60" s="23"/>
      <c r="R60" s="23"/>
      <c r="S60" s="23"/>
    </row>
    <row r="61" spans="1:19" ht="18" customHeight="1" x14ac:dyDescent="0.15">
      <c r="A61" s="3"/>
      <c r="B61" s="124"/>
      <c r="C61" s="125"/>
      <c r="D61" s="125"/>
      <c r="E61" s="126"/>
      <c r="F61" s="23"/>
      <c r="G61" s="23"/>
      <c r="H61" s="23"/>
      <c r="I61" s="23"/>
      <c r="J61" s="124"/>
      <c r="K61" s="125"/>
      <c r="L61" s="125"/>
      <c r="M61" s="125"/>
      <c r="N61" s="125"/>
      <c r="O61" s="126"/>
      <c r="P61" s="23"/>
      <c r="Q61" s="23"/>
      <c r="R61" s="23"/>
      <c r="S61" s="23"/>
    </row>
    <row r="62" spans="1:19" ht="18" customHeight="1" x14ac:dyDescent="0.15">
      <c r="A62" s="3"/>
      <c r="B62" s="124"/>
      <c r="C62" s="125"/>
      <c r="D62" s="125"/>
      <c r="E62" s="126"/>
      <c r="F62" s="23"/>
      <c r="G62" s="23"/>
      <c r="H62" s="23"/>
      <c r="I62" s="23"/>
      <c r="J62" s="124"/>
      <c r="K62" s="125"/>
      <c r="L62" s="125"/>
      <c r="M62" s="125"/>
      <c r="N62" s="125"/>
      <c r="O62" s="126"/>
      <c r="P62" s="23"/>
      <c r="Q62" s="23"/>
      <c r="R62" s="23"/>
      <c r="S62" s="23"/>
    </row>
    <row r="63" spans="1:19" ht="18" customHeight="1" x14ac:dyDescent="0.15">
      <c r="A63" s="3"/>
      <c r="B63" s="124"/>
      <c r="C63" s="125"/>
      <c r="D63" s="125"/>
      <c r="E63" s="126"/>
      <c r="F63" s="23"/>
      <c r="G63" s="23"/>
      <c r="H63" s="23"/>
      <c r="I63" s="23"/>
      <c r="J63" s="124"/>
      <c r="K63" s="125"/>
      <c r="L63" s="125"/>
      <c r="M63" s="125"/>
      <c r="N63" s="125"/>
      <c r="O63" s="126"/>
      <c r="P63" s="23"/>
      <c r="Q63" s="23"/>
      <c r="R63" s="23"/>
      <c r="S63" s="23"/>
    </row>
    <row r="64" spans="1:19" ht="18" customHeight="1" x14ac:dyDescent="0.15">
      <c r="A64" s="3"/>
      <c r="B64" s="130"/>
      <c r="C64" s="101"/>
      <c r="D64" s="101"/>
      <c r="E64" s="102"/>
      <c r="F64" s="24"/>
      <c r="G64" s="24"/>
      <c r="H64" s="25"/>
      <c r="I64" s="25"/>
      <c r="J64" s="130"/>
      <c r="K64" s="101"/>
      <c r="L64" s="101"/>
      <c r="M64" s="101"/>
      <c r="N64" s="101"/>
      <c r="O64" s="102"/>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2" t="s">
        <v>36</v>
      </c>
      <c r="B66" s="142"/>
      <c r="C66" s="142"/>
      <c r="D66" s="142"/>
      <c r="E66" s="142"/>
      <c r="F66" s="142"/>
      <c r="G66" s="142"/>
      <c r="H66" s="142"/>
      <c r="I66" s="142"/>
      <c r="J66" s="142"/>
      <c r="K66" s="142"/>
      <c r="L66" s="142"/>
      <c r="M66" s="142"/>
      <c r="N66" s="142"/>
      <c r="O66" s="142"/>
      <c r="P66" s="142"/>
      <c r="Q66" s="142"/>
      <c r="R66" s="142"/>
      <c r="S66" s="142"/>
    </row>
    <row r="67" spans="1:19" ht="18" customHeight="1" x14ac:dyDescent="0.15">
      <c r="A67" s="142"/>
      <c r="B67" s="142"/>
      <c r="C67" s="142"/>
      <c r="D67" s="142"/>
      <c r="E67" s="142"/>
      <c r="F67" s="142"/>
      <c r="G67" s="142"/>
      <c r="H67" s="142"/>
      <c r="I67" s="142"/>
      <c r="J67" s="142"/>
      <c r="K67" s="142"/>
      <c r="L67" s="142"/>
      <c r="M67" s="142"/>
      <c r="N67" s="142"/>
      <c r="O67" s="142"/>
      <c r="P67" s="142"/>
      <c r="Q67" s="142"/>
      <c r="R67" s="142"/>
      <c r="S67" s="142"/>
    </row>
    <row r="68" spans="1:19" ht="18" customHeight="1" x14ac:dyDescent="0.15">
      <c r="B68" s="134" t="s">
        <v>20</v>
      </c>
      <c r="C68" s="114"/>
      <c r="D68" s="114"/>
      <c r="E68" s="57" t="s">
        <v>21</v>
      </c>
      <c r="F68" s="56" t="s">
        <v>22</v>
      </c>
      <c r="G68" s="21" t="s">
        <v>37</v>
      </c>
      <c r="H68" s="21" t="s">
        <v>38</v>
      </c>
      <c r="I68" s="21" t="s">
        <v>39</v>
      </c>
      <c r="J68" s="134" t="s">
        <v>20</v>
      </c>
      <c r="K68" s="114"/>
      <c r="L68" s="114"/>
      <c r="M68" s="114"/>
      <c r="N68" s="115"/>
      <c r="O68" s="57" t="s">
        <v>21</v>
      </c>
      <c r="P68" s="56" t="s">
        <v>22</v>
      </c>
      <c r="Q68" s="21" t="s">
        <v>37</v>
      </c>
      <c r="R68" s="21" t="s">
        <v>38</v>
      </c>
      <c r="S68" s="21" t="s">
        <v>39</v>
      </c>
    </row>
    <row r="69" spans="1:19" ht="18" customHeight="1" x14ac:dyDescent="0.15">
      <c r="A69" s="3"/>
      <c r="B69" s="138" t="s">
        <v>40</v>
      </c>
      <c r="C69" s="107"/>
      <c r="D69" s="107"/>
      <c r="E69" s="91">
        <v>1</v>
      </c>
      <c r="F69" s="22" t="s">
        <v>26</v>
      </c>
      <c r="G69" s="22" t="s">
        <v>26</v>
      </c>
      <c r="H69" s="22" t="s">
        <v>26</v>
      </c>
      <c r="I69" s="22" t="s">
        <v>26</v>
      </c>
      <c r="J69" s="138"/>
      <c r="K69" s="107"/>
      <c r="L69" s="107"/>
      <c r="M69" s="107"/>
      <c r="N69" s="108"/>
      <c r="O69" s="22"/>
      <c r="P69" s="22"/>
      <c r="Q69" s="22"/>
      <c r="R69" s="22"/>
      <c r="S69" s="22"/>
    </row>
    <row r="70" spans="1:19" ht="18" customHeight="1" x14ac:dyDescent="0.15">
      <c r="A70" s="3"/>
      <c r="B70" s="124" t="s">
        <v>64</v>
      </c>
      <c r="C70" s="125"/>
      <c r="D70" s="126"/>
      <c r="E70" s="91">
        <v>1</v>
      </c>
      <c r="F70" s="23" t="s">
        <v>26</v>
      </c>
      <c r="G70" s="23" t="s">
        <v>26</v>
      </c>
      <c r="H70" s="23" t="s">
        <v>26</v>
      </c>
      <c r="I70" s="23" t="s">
        <v>26</v>
      </c>
      <c r="J70" s="124"/>
      <c r="K70" s="125"/>
      <c r="L70" s="125"/>
      <c r="M70" s="125"/>
      <c r="N70" s="126"/>
      <c r="O70" s="23"/>
      <c r="P70" s="23"/>
      <c r="Q70" s="23"/>
      <c r="R70" s="23"/>
      <c r="S70" s="23"/>
    </row>
    <row r="71" spans="1:19" ht="18" customHeight="1" x14ac:dyDescent="0.15">
      <c r="A71" s="3"/>
      <c r="B71" s="124"/>
      <c r="C71" s="125"/>
      <c r="D71" s="125"/>
      <c r="E71" s="91"/>
      <c r="F71" s="23"/>
      <c r="G71" s="23"/>
      <c r="H71" s="23"/>
      <c r="I71" s="23"/>
      <c r="J71" s="124"/>
      <c r="K71" s="125"/>
      <c r="L71" s="125"/>
      <c r="M71" s="125"/>
      <c r="N71" s="126"/>
      <c r="O71" s="23"/>
      <c r="P71" s="23"/>
      <c r="Q71" s="23"/>
      <c r="R71" s="23"/>
      <c r="S71" s="23"/>
    </row>
    <row r="72" spans="1:19" ht="18" customHeight="1" x14ac:dyDescent="0.15">
      <c r="A72" s="3"/>
      <c r="B72" s="124"/>
      <c r="C72" s="125"/>
      <c r="D72" s="125"/>
      <c r="E72" s="23"/>
      <c r="F72" s="23"/>
      <c r="G72" s="23"/>
      <c r="H72" s="23"/>
      <c r="I72" s="23"/>
      <c r="J72" s="124"/>
      <c r="K72" s="125"/>
      <c r="L72" s="125"/>
      <c r="M72" s="125"/>
      <c r="N72" s="126"/>
      <c r="O72" s="23"/>
      <c r="P72" s="23"/>
      <c r="Q72" s="23"/>
      <c r="R72" s="23"/>
      <c r="S72" s="23"/>
    </row>
    <row r="73" spans="1:19" ht="18" customHeight="1" x14ac:dyDescent="0.15">
      <c r="A73" s="3"/>
      <c r="B73" s="124"/>
      <c r="C73" s="125"/>
      <c r="D73" s="125"/>
      <c r="E73" s="23"/>
      <c r="F73" s="23"/>
      <c r="G73" s="23"/>
      <c r="H73" s="23"/>
      <c r="I73" s="23"/>
      <c r="J73" s="124"/>
      <c r="K73" s="125"/>
      <c r="L73" s="125"/>
      <c r="M73" s="125"/>
      <c r="N73" s="126"/>
      <c r="O73" s="23"/>
      <c r="P73" s="23"/>
      <c r="Q73" s="23"/>
      <c r="R73" s="23"/>
      <c r="S73" s="23"/>
    </row>
    <row r="74" spans="1:19" ht="18" customHeight="1" x14ac:dyDescent="0.15">
      <c r="A74" s="3"/>
      <c r="B74" s="124"/>
      <c r="C74" s="125"/>
      <c r="D74" s="125"/>
      <c r="E74" s="23"/>
      <c r="F74" s="23"/>
      <c r="G74" s="23"/>
      <c r="H74" s="23"/>
      <c r="I74" s="23"/>
      <c r="J74" s="124"/>
      <c r="K74" s="125"/>
      <c r="L74" s="125"/>
      <c r="M74" s="125"/>
      <c r="N74" s="126"/>
      <c r="O74" s="23"/>
      <c r="P74" s="23"/>
      <c r="Q74" s="23"/>
      <c r="R74" s="23"/>
      <c r="S74" s="23"/>
    </row>
    <row r="75" spans="1:19" ht="18" customHeight="1" x14ac:dyDescent="0.15">
      <c r="A75" s="3"/>
      <c r="B75" s="130"/>
      <c r="C75" s="101"/>
      <c r="D75" s="101"/>
      <c r="E75" s="24"/>
      <c r="F75" s="24"/>
      <c r="G75" s="25"/>
      <c r="H75" s="25"/>
      <c r="I75" s="25"/>
      <c r="J75" s="130"/>
      <c r="K75" s="101"/>
      <c r="L75" s="101"/>
      <c r="M75" s="101"/>
      <c r="N75" s="102"/>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42</v>
      </c>
      <c r="H77" s="3"/>
      <c r="I77" s="3"/>
      <c r="J77" s="3"/>
      <c r="K77" s="3"/>
      <c r="L77" s="3"/>
      <c r="M77" s="3"/>
      <c r="N77" s="3"/>
      <c r="O77" s="3"/>
      <c r="P77" s="3"/>
      <c r="Q77" s="3"/>
      <c r="R77" s="3"/>
      <c r="S77" s="3"/>
    </row>
    <row r="78" spans="1:19" ht="18" customHeight="1" x14ac:dyDescent="0.15">
      <c r="B78" s="134" t="s">
        <v>20</v>
      </c>
      <c r="C78" s="114"/>
      <c r="D78" s="114"/>
      <c r="E78" s="115"/>
      <c r="F78" s="134" t="s">
        <v>43</v>
      </c>
      <c r="G78" s="114"/>
      <c r="H78" s="114"/>
      <c r="I78" s="115"/>
      <c r="J78" s="135" t="s">
        <v>20</v>
      </c>
      <c r="K78" s="136"/>
      <c r="L78" s="136"/>
      <c r="M78" s="136"/>
      <c r="N78" s="136"/>
      <c r="O78" s="137"/>
      <c r="P78" s="134" t="s">
        <v>43</v>
      </c>
      <c r="Q78" s="114"/>
      <c r="R78" s="114"/>
      <c r="S78" s="115"/>
    </row>
    <row r="79" spans="1:19" ht="18" customHeight="1" x14ac:dyDescent="0.15">
      <c r="A79" s="3"/>
      <c r="B79" s="138"/>
      <c r="C79" s="107"/>
      <c r="D79" s="107"/>
      <c r="E79" s="108"/>
      <c r="F79" s="139"/>
      <c r="G79" s="140"/>
      <c r="H79" s="140"/>
      <c r="I79" s="141"/>
      <c r="J79" s="138"/>
      <c r="K79" s="107"/>
      <c r="L79" s="107"/>
      <c r="M79" s="107"/>
      <c r="N79" s="107"/>
      <c r="O79" s="108"/>
      <c r="P79" s="139"/>
      <c r="Q79" s="140"/>
      <c r="R79" s="140"/>
      <c r="S79" s="141"/>
    </row>
    <row r="80" spans="1:19" ht="18" customHeight="1" x14ac:dyDescent="0.15">
      <c r="A80" s="3"/>
      <c r="B80" s="124"/>
      <c r="C80" s="125"/>
      <c r="D80" s="125"/>
      <c r="E80" s="126"/>
      <c r="F80" s="127"/>
      <c r="G80" s="128"/>
      <c r="H80" s="128"/>
      <c r="I80" s="129"/>
      <c r="J80" s="124"/>
      <c r="K80" s="125"/>
      <c r="L80" s="125"/>
      <c r="M80" s="125"/>
      <c r="N80" s="125"/>
      <c r="O80" s="126"/>
      <c r="P80" s="127"/>
      <c r="Q80" s="128"/>
      <c r="R80" s="128"/>
      <c r="S80" s="129"/>
    </row>
    <row r="81" spans="1:19" ht="18" customHeight="1" x14ac:dyDescent="0.15">
      <c r="A81" s="3"/>
      <c r="B81" s="124"/>
      <c r="C81" s="125"/>
      <c r="D81" s="125"/>
      <c r="E81" s="126"/>
      <c r="F81" s="127"/>
      <c r="G81" s="128"/>
      <c r="H81" s="128"/>
      <c r="I81" s="129"/>
      <c r="J81" s="124"/>
      <c r="K81" s="125"/>
      <c r="L81" s="125"/>
      <c r="M81" s="125"/>
      <c r="N81" s="125"/>
      <c r="O81" s="126"/>
      <c r="P81" s="127"/>
      <c r="Q81" s="128"/>
      <c r="R81" s="128"/>
      <c r="S81" s="129"/>
    </row>
    <row r="82" spans="1:19" ht="18" customHeight="1" x14ac:dyDescent="0.15">
      <c r="A82" s="3"/>
      <c r="B82" s="124"/>
      <c r="C82" s="125"/>
      <c r="D82" s="125"/>
      <c r="E82" s="126"/>
      <c r="F82" s="127"/>
      <c r="G82" s="128"/>
      <c r="H82" s="128"/>
      <c r="I82" s="129"/>
      <c r="J82" s="124"/>
      <c r="K82" s="125"/>
      <c r="L82" s="125"/>
      <c r="M82" s="125"/>
      <c r="N82" s="125"/>
      <c r="O82" s="126"/>
      <c r="P82" s="127"/>
      <c r="Q82" s="128"/>
      <c r="R82" s="128"/>
      <c r="S82" s="129"/>
    </row>
    <row r="83" spans="1:19" ht="18" customHeight="1" x14ac:dyDescent="0.15">
      <c r="A83" s="3"/>
      <c r="B83" s="124"/>
      <c r="C83" s="125"/>
      <c r="D83" s="125"/>
      <c r="E83" s="126"/>
      <c r="F83" s="127"/>
      <c r="G83" s="128"/>
      <c r="H83" s="128"/>
      <c r="I83" s="129"/>
      <c r="J83" s="124"/>
      <c r="K83" s="125"/>
      <c r="L83" s="125"/>
      <c r="M83" s="125"/>
      <c r="N83" s="125"/>
      <c r="O83" s="126"/>
      <c r="P83" s="127"/>
      <c r="Q83" s="128"/>
      <c r="R83" s="128"/>
      <c r="S83" s="129"/>
    </row>
    <row r="84" spans="1:19" ht="18" customHeight="1" x14ac:dyDescent="0.15">
      <c r="A84" s="3"/>
      <c r="B84" s="124"/>
      <c r="C84" s="125"/>
      <c r="D84" s="125"/>
      <c r="E84" s="126"/>
      <c r="F84" s="127"/>
      <c r="G84" s="128"/>
      <c r="H84" s="128"/>
      <c r="I84" s="129"/>
      <c r="J84" s="124"/>
      <c r="K84" s="125"/>
      <c r="L84" s="125"/>
      <c r="M84" s="125"/>
      <c r="N84" s="125"/>
      <c r="O84" s="126"/>
      <c r="P84" s="127"/>
      <c r="Q84" s="128"/>
      <c r="R84" s="128"/>
      <c r="S84" s="129"/>
    </row>
    <row r="85" spans="1:19" ht="18" customHeight="1" x14ac:dyDescent="0.15">
      <c r="A85" s="3"/>
      <c r="B85" s="130"/>
      <c r="C85" s="101"/>
      <c r="D85" s="101"/>
      <c r="E85" s="102"/>
      <c r="F85" s="131"/>
      <c r="G85" s="132"/>
      <c r="H85" s="132"/>
      <c r="I85" s="133"/>
      <c r="J85" s="130"/>
      <c r="K85" s="101"/>
      <c r="L85" s="101"/>
      <c r="M85" s="101"/>
      <c r="N85" s="101"/>
      <c r="O85" s="102"/>
      <c r="P85" s="131"/>
      <c r="Q85" s="132"/>
      <c r="R85" s="132"/>
      <c r="S85" s="133"/>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44</v>
      </c>
    </row>
    <row r="88" spans="1:19" ht="18.75" customHeight="1" x14ac:dyDescent="0.15">
      <c r="B88" s="112" t="s">
        <v>45</v>
      </c>
      <c r="C88" s="113"/>
      <c r="D88" s="114" t="s">
        <v>46</v>
      </c>
      <c r="E88" s="114"/>
      <c r="F88" s="114"/>
      <c r="G88" s="114"/>
      <c r="H88" s="114"/>
      <c r="I88" s="114"/>
      <c r="J88" s="114"/>
      <c r="K88" s="114"/>
      <c r="L88" s="114"/>
      <c r="M88" s="114"/>
      <c r="N88" s="114"/>
      <c r="O88" s="114"/>
      <c r="P88" s="114"/>
      <c r="Q88" s="114"/>
      <c r="R88" s="114"/>
      <c r="S88" s="115"/>
    </row>
    <row r="89" spans="1:19" ht="97.5" customHeight="1" x14ac:dyDescent="0.15">
      <c r="B89" s="97" t="s">
        <v>47</v>
      </c>
      <c r="C89" s="27" t="s">
        <v>23</v>
      </c>
      <c r="D89" s="281" t="s">
        <v>180</v>
      </c>
      <c r="E89" s="282"/>
      <c r="F89" s="282"/>
      <c r="G89" s="282"/>
      <c r="H89" s="282"/>
      <c r="I89" s="282"/>
      <c r="J89" s="282"/>
      <c r="K89" s="282"/>
      <c r="L89" s="282"/>
      <c r="M89" s="282"/>
      <c r="N89" s="282"/>
      <c r="O89" s="282"/>
      <c r="P89" s="282"/>
      <c r="Q89" s="282"/>
      <c r="R89" s="282"/>
      <c r="S89" s="283"/>
    </row>
    <row r="90" spans="1:19" ht="97.5" customHeight="1" x14ac:dyDescent="0.15">
      <c r="B90" s="98"/>
      <c r="C90" s="28" t="s">
        <v>48</v>
      </c>
      <c r="D90" s="119" t="s">
        <v>181</v>
      </c>
      <c r="E90" s="120"/>
      <c r="F90" s="120"/>
      <c r="G90" s="120"/>
      <c r="H90" s="120"/>
      <c r="I90" s="120"/>
      <c r="J90" s="120"/>
      <c r="K90" s="120"/>
      <c r="L90" s="120"/>
      <c r="M90" s="120"/>
      <c r="N90" s="120"/>
      <c r="O90" s="120"/>
      <c r="P90" s="120"/>
      <c r="Q90" s="120"/>
      <c r="R90" s="120"/>
      <c r="S90" s="121"/>
    </row>
    <row r="91" spans="1:19" ht="97.5" customHeight="1" x14ac:dyDescent="0.15">
      <c r="B91" s="97" t="s">
        <v>49</v>
      </c>
      <c r="C91" s="29" t="s">
        <v>28</v>
      </c>
      <c r="D91" s="173" t="s">
        <v>182</v>
      </c>
      <c r="E91" s="174"/>
      <c r="F91" s="174"/>
      <c r="G91" s="174"/>
      <c r="H91" s="174"/>
      <c r="I91" s="174"/>
      <c r="J91" s="174"/>
      <c r="K91" s="174"/>
      <c r="L91" s="174"/>
      <c r="M91" s="174"/>
      <c r="N91" s="174"/>
      <c r="O91" s="174"/>
      <c r="P91" s="174"/>
      <c r="Q91" s="174"/>
      <c r="R91" s="174"/>
      <c r="S91" s="175"/>
    </row>
    <row r="92" spans="1:19" ht="97.5" customHeight="1" x14ac:dyDescent="0.15">
      <c r="B92" s="99"/>
      <c r="C92" s="30" t="s">
        <v>29</v>
      </c>
      <c r="D92" s="284" t="s">
        <v>183</v>
      </c>
      <c r="E92" s="285"/>
      <c r="F92" s="285"/>
      <c r="G92" s="285"/>
      <c r="H92" s="285"/>
      <c r="I92" s="285"/>
      <c r="J92" s="285"/>
      <c r="K92" s="285"/>
      <c r="L92" s="285"/>
      <c r="M92" s="285"/>
      <c r="N92" s="285"/>
      <c r="O92" s="285"/>
      <c r="P92" s="285"/>
      <c r="Q92" s="285"/>
      <c r="R92" s="285"/>
      <c r="S92" s="286"/>
    </row>
    <row r="93" spans="1:19" ht="97.5" customHeight="1" x14ac:dyDescent="0.15">
      <c r="B93" s="97" t="s">
        <v>50</v>
      </c>
      <c r="C93" s="29" t="s">
        <v>31</v>
      </c>
      <c r="D93" s="289" t="s">
        <v>184</v>
      </c>
      <c r="E93" s="290"/>
      <c r="F93" s="290"/>
      <c r="G93" s="290"/>
      <c r="H93" s="290"/>
      <c r="I93" s="290"/>
      <c r="J93" s="290"/>
      <c r="K93" s="290"/>
      <c r="L93" s="290"/>
      <c r="M93" s="290"/>
      <c r="N93" s="290"/>
      <c r="O93" s="290"/>
      <c r="P93" s="290"/>
      <c r="Q93" s="290"/>
      <c r="R93" s="290"/>
      <c r="S93" s="291"/>
    </row>
    <row r="94" spans="1:19" ht="97.5" customHeight="1" x14ac:dyDescent="0.15">
      <c r="B94" s="99"/>
      <c r="C94" s="31" t="s">
        <v>32</v>
      </c>
      <c r="D94" s="106" t="s">
        <v>185</v>
      </c>
      <c r="E94" s="107"/>
      <c r="F94" s="107"/>
      <c r="G94" s="107"/>
      <c r="H94" s="107"/>
      <c r="I94" s="107"/>
      <c r="J94" s="107"/>
      <c r="K94" s="107"/>
      <c r="L94" s="107"/>
      <c r="M94" s="107"/>
      <c r="N94" s="107"/>
      <c r="O94" s="107"/>
      <c r="P94" s="107"/>
      <c r="Q94" s="107"/>
      <c r="R94" s="107"/>
      <c r="S94" s="108"/>
    </row>
    <row r="95" spans="1:19" ht="97.5" customHeight="1" x14ac:dyDescent="0.15">
      <c r="B95" s="97" t="s">
        <v>51</v>
      </c>
      <c r="C95" s="27" t="s">
        <v>34</v>
      </c>
      <c r="D95" s="287" t="s">
        <v>186</v>
      </c>
      <c r="E95" s="100"/>
      <c r="F95" s="100"/>
      <c r="G95" s="100"/>
      <c r="H95" s="100"/>
      <c r="I95" s="100"/>
      <c r="J95" s="100"/>
      <c r="K95" s="100"/>
      <c r="L95" s="100"/>
      <c r="M95" s="100"/>
      <c r="N95" s="100"/>
      <c r="O95" s="100"/>
      <c r="P95" s="100"/>
      <c r="Q95" s="100"/>
      <c r="R95" s="100"/>
      <c r="S95" s="288"/>
    </row>
    <row r="96" spans="1:19" ht="97.5" customHeight="1" x14ac:dyDescent="0.15">
      <c r="B96" s="99"/>
      <c r="C96" s="30" t="s">
        <v>35</v>
      </c>
      <c r="D96" s="109" t="s">
        <v>187</v>
      </c>
      <c r="E96" s="110"/>
      <c r="F96" s="110"/>
      <c r="G96" s="110"/>
      <c r="H96" s="110"/>
      <c r="I96" s="110"/>
      <c r="J96" s="110"/>
      <c r="K96" s="110"/>
      <c r="L96" s="110"/>
      <c r="M96" s="110"/>
      <c r="N96" s="110"/>
      <c r="O96" s="110"/>
      <c r="P96" s="110"/>
      <c r="Q96" s="110"/>
      <c r="R96" s="110"/>
      <c r="S96" s="111"/>
    </row>
    <row r="97" spans="1:19" ht="97.5" customHeight="1" x14ac:dyDescent="0.15">
      <c r="B97" s="97" t="s">
        <v>52</v>
      </c>
      <c r="C97" s="29" t="s">
        <v>53</v>
      </c>
      <c r="D97" s="116" t="s">
        <v>194</v>
      </c>
      <c r="E97" s="117"/>
      <c r="F97" s="117"/>
      <c r="G97" s="117"/>
      <c r="H97" s="117"/>
      <c r="I97" s="117"/>
      <c r="J97" s="117"/>
      <c r="K97" s="117"/>
      <c r="L97" s="117"/>
      <c r="M97" s="117"/>
      <c r="N97" s="117"/>
      <c r="O97" s="117"/>
      <c r="P97" s="117"/>
      <c r="Q97" s="117"/>
      <c r="R97" s="117"/>
      <c r="S97" s="118"/>
    </row>
    <row r="98" spans="1:19" ht="97.5" customHeight="1" x14ac:dyDescent="0.15">
      <c r="B98" s="98"/>
      <c r="C98" s="32" t="s">
        <v>38</v>
      </c>
      <c r="D98" s="284" t="s">
        <v>191</v>
      </c>
      <c r="E98" s="285"/>
      <c r="F98" s="285"/>
      <c r="G98" s="285"/>
      <c r="H98" s="285"/>
      <c r="I98" s="285"/>
      <c r="J98" s="285"/>
      <c r="K98" s="285"/>
      <c r="L98" s="285"/>
      <c r="M98" s="285"/>
      <c r="N98" s="285"/>
      <c r="O98" s="285"/>
      <c r="P98" s="285"/>
      <c r="Q98" s="285"/>
      <c r="R98" s="285"/>
      <c r="S98" s="286"/>
    </row>
    <row r="99" spans="1:19" ht="97.5" customHeight="1" x14ac:dyDescent="0.15">
      <c r="B99" s="99"/>
      <c r="C99" s="31" t="s">
        <v>39</v>
      </c>
      <c r="D99" s="166" t="s">
        <v>192</v>
      </c>
      <c r="E99" s="125"/>
      <c r="F99" s="125"/>
      <c r="G99" s="125"/>
      <c r="H99" s="125"/>
      <c r="I99" s="125"/>
      <c r="J99" s="125"/>
      <c r="K99" s="125"/>
      <c r="L99" s="125"/>
      <c r="M99" s="125"/>
      <c r="N99" s="125"/>
      <c r="O99" s="125"/>
      <c r="P99" s="125"/>
      <c r="Q99" s="125"/>
      <c r="R99" s="125"/>
      <c r="S99" s="126"/>
    </row>
    <row r="100" spans="1:19" ht="6" customHeight="1" x14ac:dyDescent="0.15"/>
    <row r="101" spans="1:19" ht="18.75" customHeight="1" x14ac:dyDescent="0.15">
      <c r="A101" s="1" t="s">
        <v>54</v>
      </c>
    </row>
    <row r="102" spans="1:19" ht="81.75" customHeight="1" x14ac:dyDescent="0.15">
      <c r="B102" s="103" t="s">
        <v>55</v>
      </c>
      <c r="C102" s="104"/>
      <c r="D102" s="104"/>
      <c r="E102" s="104"/>
      <c r="F102" s="104"/>
      <c r="G102" s="104"/>
      <c r="H102" s="104"/>
      <c r="I102" s="104"/>
      <c r="J102" s="104"/>
      <c r="K102" s="104"/>
      <c r="L102" s="104"/>
      <c r="M102" s="104"/>
      <c r="N102" s="104"/>
      <c r="O102" s="104"/>
      <c r="P102" s="104"/>
      <c r="Q102" s="104"/>
      <c r="R102" s="104"/>
      <c r="S102" s="105"/>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S32"/>
  <sheetViews>
    <sheetView view="pageBreakPreview" zoomScaleNormal="100" zoomScaleSheetLayoutView="100" workbookViewId="0">
      <selection activeCell="D99" sqref="D99:S99"/>
    </sheetView>
  </sheetViews>
  <sheetFormatPr defaultColWidth="9" defaultRowHeight="18.75" customHeight="1" x14ac:dyDescent="0.15"/>
  <cols>
    <col min="1" max="1" width="2.625" style="1" customWidth="1"/>
    <col min="2" max="2" width="20.625" style="1" customWidth="1"/>
    <col min="3" max="5" width="6.125" style="1" customWidth="1"/>
    <col min="6" max="42" width="4.875" style="1" customWidth="1"/>
    <col min="43" max="43" width="6.625" style="1" customWidth="1"/>
    <col min="44" max="16384" width="9" style="1"/>
  </cols>
  <sheetData>
    <row r="1" spans="1:45" ht="18" customHeight="1" x14ac:dyDescent="0.15">
      <c r="AQ1" s="1" t="s">
        <v>65</v>
      </c>
    </row>
    <row r="2" spans="1:45" ht="18" customHeight="1" x14ac:dyDescent="0.15">
      <c r="K2" s="34"/>
      <c r="Q2" s="34"/>
      <c r="W2" s="34"/>
      <c r="AC2" s="34"/>
      <c r="AI2" s="34"/>
      <c r="AL2" s="34" t="s">
        <v>2</v>
      </c>
      <c r="AM2" s="179" t="str">
        <f>'様式１-４　プログラムを構成する授業科目'!C2</f>
        <v>淑徳大学</v>
      </c>
      <c r="AN2" s="179"/>
      <c r="AO2" s="179"/>
      <c r="AP2" s="179"/>
      <c r="AQ2" s="179"/>
    </row>
    <row r="3" spans="1:45" ht="18" customHeight="1" x14ac:dyDescent="0.15">
      <c r="A3" s="156" t="s">
        <v>66</v>
      </c>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67</v>
      </c>
      <c r="C5" s="180" t="s">
        <v>68</v>
      </c>
      <c r="D5" s="181"/>
      <c r="E5" s="3" t="s">
        <v>69</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70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2" t="s">
        <v>177</v>
      </c>
      <c r="C9" s="197" t="s">
        <v>71</v>
      </c>
      <c r="D9" s="185" t="s">
        <v>72</v>
      </c>
      <c r="E9" s="188" t="s">
        <v>73</v>
      </c>
      <c r="F9" s="176" t="s">
        <v>74</v>
      </c>
      <c r="G9" s="176"/>
      <c r="H9" s="176"/>
      <c r="I9" s="176"/>
      <c r="J9" s="176"/>
      <c r="K9" s="176"/>
      <c r="L9" s="176" t="s">
        <v>75</v>
      </c>
      <c r="M9" s="176"/>
      <c r="N9" s="176"/>
      <c r="O9" s="176"/>
      <c r="P9" s="176"/>
      <c r="Q9" s="176"/>
      <c r="R9" s="176" t="s">
        <v>76</v>
      </c>
      <c r="S9" s="176"/>
      <c r="T9" s="176"/>
      <c r="U9" s="176"/>
      <c r="V9" s="176"/>
      <c r="W9" s="176"/>
      <c r="X9" s="176" t="s">
        <v>77</v>
      </c>
      <c r="Y9" s="176"/>
      <c r="Z9" s="176"/>
      <c r="AA9" s="176"/>
      <c r="AB9" s="176"/>
      <c r="AC9" s="176"/>
      <c r="AD9" s="176" t="s">
        <v>78</v>
      </c>
      <c r="AE9" s="176"/>
      <c r="AF9" s="176"/>
      <c r="AG9" s="176"/>
      <c r="AH9" s="176"/>
      <c r="AI9" s="176"/>
      <c r="AJ9" s="176" t="s">
        <v>79</v>
      </c>
      <c r="AK9" s="176"/>
      <c r="AL9" s="176"/>
      <c r="AM9" s="176"/>
      <c r="AN9" s="176"/>
      <c r="AO9" s="176"/>
      <c r="AP9" s="191" t="s">
        <v>80</v>
      </c>
      <c r="AQ9" s="194" t="s">
        <v>81</v>
      </c>
      <c r="AS9" s="2"/>
    </row>
    <row r="10" spans="1:45" ht="17.100000000000001" customHeight="1" x14ac:dyDescent="0.15">
      <c r="B10" s="183"/>
      <c r="C10" s="198"/>
      <c r="D10" s="186"/>
      <c r="E10" s="189"/>
      <c r="F10" s="177" t="s">
        <v>82</v>
      </c>
      <c r="G10" s="178"/>
      <c r="H10" s="178"/>
      <c r="I10" s="177" t="s">
        <v>83</v>
      </c>
      <c r="J10" s="178"/>
      <c r="K10" s="178"/>
      <c r="L10" s="177" t="s">
        <v>82</v>
      </c>
      <c r="M10" s="178"/>
      <c r="N10" s="178"/>
      <c r="O10" s="177" t="s">
        <v>83</v>
      </c>
      <c r="P10" s="178"/>
      <c r="Q10" s="178"/>
      <c r="R10" s="177" t="s">
        <v>82</v>
      </c>
      <c r="S10" s="178"/>
      <c r="T10" s="178"/>
      <c r="U10" s="177" t="s">
        <v>83</v>
      </c>
      <c r="V10" s="178"/>
      <c r="W10" s="178"/>
      <c r="X10" s="177" t="s">
        <v>82</v>
      </c>
      <c r="Y10" s="178"/>
      <c r="Z10" s="178"/>
      <c r="AA10" s="177" t="s">
        <v>83</v>
      </c>
      <c r="AB10" s="178"/>
      <c r="AC10" s="178"/>
      <c r="AD10" s="177" t="s">
        <v>82</v>
      </c>
      <c r="AE10" s="178"/>
      <c r="AF10" s="178"/>
      <c r="AG10" s="177" t="s">
        <v>83</v>
      </c>
      <c r="AH10" s="178"/>
      <c r="AI10" s="178"/>
      <c r="AJ10" s="177" t="s">
        <v>82</v>
      </c>
      <c r="AK10" s="178"/>
      <c r="AL10" s="178"/>
      <c r="AM10" s="177" t="s">
        <v>83</v>
      </c>
      <c r="AN10" s="178"/>
      <c r="AO10" s="178"/>
      <c r="AP10" s="192"/>
      <c r="AQ10" s="195"/>
      <c r="AS10" s="2"/>
    </row>
    <row r="11" spans="1:45" ht="18" customHeight="1" x14ac:dyDescent="0.15">
      <c r="B11" s="184"/>
      <c r="C11" s="199"/>
      <c r="D11" s="187"/>
      <c r="E11" s="190"/>
      <c r="F11" s="17" t="s">
        <v>84</v>
      </c>
      <c r="G11" s="18" t="s">
        <v>85</v>
      </c>
      <c r="H11" s="19" t="s">
        <v>86</v>
      </c>
      <c r="I11" s="17" t="s">
        <v>84</v>
      </c>
      <c r="J11" s="18" t="s">
        <v>85</v>
      </c>
      <c r="K11" s="19" t="s">
        <v>86</v>
      </c>
      <c r="L11" s="17" t="s">
        <v>84</v>
      </c>
      <c r="M11" s="18" t="s">
        <v>85</v>
      </c>
      <c r="N11" s="19" t="s">
        <v>86</v>
      </c>
      <c r="O11" s="17" t="s">
        <v>84</v>
      </c>
      <c r="P11" s="18" t="s">
        <v>85</v>
      </c>
      <c r="Q11" s="19" t="s">
        <v>86</v>
      </c>
      <c r="R11" s="17" t="s">
        <v>84</v>
      </c>
      <c r="S11" s="18" t="s">
        <v>85</v>
      </c>
      <c r="T11" s="19" t="s">
        <v>86</v>
      </c>
      <c r="U11" s="17" t="s">
        <v>84</v>
      </c>
      <c r="V11" s="18" t="s">
        <v>85</v>
      </c>
      <c r="W11" s="19" t="s">
        <v>86</v>
      </c>
      <c r="X11" s="17" t="s">
        <v>84</v>
      </c>
      <c r="Y11" s="18" t="s">
        <v>85</v>
      </c>
      <c r="Z11" s="19" t="s">
        <v>86</v>
      </c>
      <c r="AA11" s="17" t="s">
        <v>84</v>
      </c>
      <c r="AB11" s="18" t="s">
        <v>85</v>
      </c>
      <c r="AC11" s="19" t="s">
        <v>86</v>
      </c>
      <c r="AD11" s="17" t="s">
        <v>84</v>
      </c>
      <c r="AE11" s="18" t="s">
        <v>85</v>
      </c>
      <c r="AF11" s="19" t="s">
        <v>86</v>
      </c>
      <c r="AG11" s="17" t="s">
        <v>84</v>
      </c>
      <c r="AH11" s="18" t="s">
        <v>85</v>
      </c>
      <c r="AI11" s="19" t="s">
        <v>86</v>
      </c>
      <c r="AJ11" s="17" t="s">
        <v>84</v>
      </c>
      <c r="AK11" s="18" t="s">
        <v>85</v>
      </c>
      <c r="AL11" s="19" t="s">
        <v>86</v>
      </c>
      <c r="AM11" s="17" t="s">
        <v>84</v>
      </c>
      <c r="AN11" s="18" t="s">
        <v>85</v>
      </c>
      <c r="AO11" s="19" t="s">
        <v>86</v>
      </c>
      <c r="AP11" s="193"/>
      <c r="AQ11" s="196"/>
      <c r="AS11" s="2"/>
    </row>
    <row r="12" spans="1:45" ht="18" customHeight="1" x14ac:dyDescent="0.15">
      <c r="A12" s="6"/>
      <c r="B12" s="11" t="s">
        <v>87</v>
      </c>
      <c r="C12" s="58">
        <v>1791</v>
      </c>
      <c r="D12" s="6">
        <v>450</v>
      </c>
      <c r="E12" s="80">
        <v>1800</v>
      </c>
      <c r="F12" s="60">
        <v>182</v>
      </c>
      <c r="G12" s="61">
        <v>66</v>
      </c>
      <c r="H12" s="61">
        <v>116</v>
      </c>
      <c r="I12" s="60">
        <v>160</v>
      </c>
      <c r="J12" s="61">
        <v>53</v>
      </c>
      <c r="K12" s="61">
        <v>107</v>
      </c>
      <c r="L12" s="60">
        <f>M12+N12</f>
        <v>0</v>
      </c>
      <c r="M12" s="61"/>
      <c r="N12" s="62"/>
      <c r="O12" s="60">
        <f>P12+Q12</f>
        <v>0</v>
      </c>
      <c r="P12" s="61"/>
      <c r="Q12" s="62"/>
      <c r="R12" s="60">
        <f>S12+T12</f>
        <v>0</v>
      </c>
      <c r="S12" s="61"/>
      <c r="T12" s="62"/>
      <c r="U12" s="60">
        <f>V12+W12</f>
        <v>0</v>
      </c>
      <c r="V12" s="61"/>
      <c r="W12" s="62"/>
      <c r="X12" s="60">
        <f>Y12+Z12</f>
        <v>0</v>
      </c>
      <c r="Y12" s="61"/>
      <c r="Z12" s="62"/>
      <c r="AA12" s="60">
        <f>AB12+AC12</f>
        <v>0</v>
      </c>
      <c r="AB12" s="61"/>
      <c r="AC12" s="62"/>
      <c r="AD12" s="60">
        <f>AE12+AF12</f>
        <v>0</v>
      </c>
      <c r="AE12" s="61"/>
      <c r="AF12" s="62"/>
      <c r="AG12" s="60">
        <f>AH12+AI12</f>
        <v>0</v>
      </c>
      <c r="AH12" s="61"/>
      <c r="AI12" s="62"/>
      <c r="AJ12" s="60">
        <f>AK12+AL12</f>
        <v>0</v>
      </c>
      <c r="AK12" s="61"/>
      <c r="AL12" s="62"/>
      <c r="AM12" s="60">
        <f>AN12+AO12</f>
        <v>0</v>
      </c>
      <c r="AN12" s="61"/>
      <c r="AO12" s="62"/>
      <c r="AP12" s="59">
        <f>F12+L12+R12+X12+AD12+AJ12</f>
        <v>182</v>
      </c>
      <c r="AQ12" s="20">
        <f t="shared" ref="AQ12:AQ32" si="0">AP12/E12</f>
        <v>0.10111111111111111</v>
      </c>
    </row>
    <row r="13" spans="1:45" ht="18" customHeight="1" x14ac:dyDescent="0.15">
      <c r="A13" s="6"/>
      <c r="B13" s="93" t="s">
        <v>178</v>
      </c>
      <c r="C13" s="63">
        <v>405</v>
      </c>
      <c r="D13" s="79">
        <v>95</v>
      </c>
      <c r="E13" s="78">
        <v>380</v>
      </c>
      <c r="F13" s="66">
        <f t="shared" ref="F13:F31" si="1">G13+H13</f>
        <v>0</v>
      </c>
      <c r="G13" s="86">
        <v>0</v>
      </c>
      <c r="H13" s="86">
        <v>0</v>
      </c>
      <c r="I13" s="66">
        <f t="shared" ref="I13:I14" si="2">J13+K13</f>
        <v>0</v>
      </c>
      <c r="J13" s="86">
        <v>0</v>
      </c>
      <c r="K13" s="86">
        <v>0</v>
      </c>
      <c r="L13" s="66">
        <f t="shared" ref="L13:L31" si="3">M13+N13</f>
        <v>0</v>
      </c>
      <c r="M13" s="67"/>
      <c r="N13" s="68"/>
      <c r="O13" s="66">
        <f t="shared" ref="O13:O31" si="4">P13+Q13</f>
        <v>0</v>
      </c>
      <c r="P13" s="67"/>
      <c r="Q13" s="68"/>
      <c r="R13" s="66">
        <f t="shared" ref="R13:R31" si="5">S13+T13</f>
        <v>0</v>
      </c>
      <c r="S13" s="67"/>
      <c r="T13" s="68"/>
      <c r="U13" s="66">
        <f t="shared" ref="U13:U31" si="6">V13+W13</f>
        <v>0</v>
      </c>
      <c r="V13" s="67"/>
      <c r="W13" s="68"/>
      <c r="X13" s="66">
        <f t="shared" ref="X13:X31" si="7">Y13+Z13</f>
        <v>0</v>
      </c>
      <c r="Y13" s="67"/>
      <c r="Z13" s="68"/>
      <c r="AA13" s="66">
        <f t="shared" ref="AA13:AA31" si="8">AB13+AC13</f>
        <v>0</v>
      </c>
      <c r="AB13" s="67"/>
      <c r="AC13" s="68"/>
      <c r="AD13" s="66">
        <f t="shared" ref="AD13:AD31" si="9">AE13+AF13</f>
        <v>0</v>
      </c>
      <c r="AE13" s="67"/>
      <c r="AF13" s="68"/>
      <c r="AG13" s="66">
        <f t="shared" ref="AG13:AG31" si="10">AH13+AI13</f>
        <v>0</v>
      </c>
      <c r="AH13" s="67"/>
      <c r="AI13" s="68"/>
      <c r="AJ13" s="66">
        <f t="shared" ref="AJ13:AJ31" si="11">AK13+AL13</f>
        <v>0</v>
      </c>
      <c r="AK13" s="67"/>
      <c r="AL13" s="68"/>
      <c r="AM13" s="66">
        <f t="shared" ref="AM13:AM31" si="12">AN13+AO13</f>
        <v>0</v>
      </c>
      <c r="AN13" s="67"/>
      <c r="AO13" s="68"/>
      <c r="AP13" s="64">
        <f t="shared" ref="AP13:AP31" si="13">F13+L13+R13+X13+AD13+AJ13</f>
        <v>0</v>
      </c>
      <c r="AQ13" s="20">
        <f t="shared" si="0"/>
        <v>0</v>
      </c>
    </row>
    <row r="14" spans="1:45" ht="18" customHeight="1" x14ac:dyDescent="0.15">
      <c r="A14" s="6"/>
      <c r="B14" s="12" t="s">
        <v>88</v>
      </c>
      <c r="C14" s="63">
        <v>721</v>
      </c>
      <c r="D14" s="79">
        <v>180</v>
      </c>
      <c r="E14" s="78">
        <v>720</v>
      </c>
      <c r="F14" s="66">
        <f t="shared" si="1"/>
        <v>0</v>
      </c>
      <c r="G14" s="86">
        <v>0</v>
      </c>
      <c r="H14" s="86">
        <v>0</v>
      </c>
      <c r="I14" s="66">
        <f t="shared" si="2"/>
        <v>0</v>
      </c>
      <c r="J14" s="86">
        <v>0</v>
      </c>
      <c r="K14" s="86">
        <v>0</v>
      </c>
      <c r="L14" s="66">
        <f t="shared" si="3"/>
        <v>0</v>
      </c>
      <c r="M14" s="67"/>
      <c r="N14" s="68"/>
      <c r="O14" s="66">
        <f t="shared" si="4"/>
        <v>0</v>
      </c>
      <c r="P14" s="67"/>
      <c r="Q14" s="68"/>
      <c r="R14" s="66">
        <f t="shared" si="5"/>
        <v>0</v>
      </c>
      <c r="S14" s="67"/>
      <c r="T14" s="68"/>
      <c r="U14" s="66">
        <f t="shared" si="6"/>
        <v>0</v>
      </c>
      <c r="V14" s="67"/>
      <c r="W14" s="68"/>
      <c r="X14" s="66">
        <f t="shared" si="7"/>
        <v>0</v>
      </c>
      <c r="Y14" s="67"/>
      <c r="Z14" s="68"/>
      <c r="AA14" s="66">
        <f t="shared" si="8"/>
        <v>0</v>
      </c>
      <c r="AB14" s="67"/>
      <c r="AC14" s="68"/>
      <c r="AD14" s="66">
        <f t="shared" si="9"/>
        <v>0</v>
      </c>
      <c r="AE14" s="67"/>
      <c r="AF14" s="68"/>
      <c r="AG14" s="66">
        <f t="shared" si="10"/>
        <v>0</v>
      </c>
      <c r="AH14" s="67"/>
      <c r="AI14" s="68"/>
      <c r="AJ14" s="66">
        <f t="shared" si="11"/>
        <v>0</v>
      </c>
      <c r="AK14" s="67"/>
      <c r="AL14" s="68"/>
      <c r="AM14" s="66">
        <f t="shared" si="12"/>
        <v>0</v>
      </c>
      <c r="AN14" s="67"/>
      <c r="AO14" s="68"/>
      <c r="AP14" s="64">
        <f t="shared" si="13"/>
        <v>0</v>
      </c>
      <c r="AQ14" s="8">
        <f t="shared" si="0"/>
        <v>0</v>
      </c>
    </row>
    <row r="15" spans="1:45" ht="18" customHeight="1" x14ac:dyDescent="0.15">
      <c r="A15" s="6"/>
      <c r="B15" s="12" t="s">
        <v>89</v>
      </c>
      <c r="C15" s="63">
        <v>758</v>
      </c>
      <c r="D15" s="79">
        <v>200</v>
      </c>
      <c r="E15" s="78">
        <v>800</v>
      </c>
      <c r="F15" s="66">
        <v>16</v>
      </c>
      <c r="G15" s="67">
        <v>8</v>
      </c>
      <c r="H15" s="67">
        <v>8</v>
      </c>
      <c r="I15" s="66">
        <v>16</v>
      </c>
      <c r="J15" s="67">
        <v>8</v>
      </c>
      <c r="K15" s="67">
        <v>8</v>
      </c>
      <c r="L15" s="66">
        <f t="shared" si="3"/>
        <v>0</v>
      </c>
      <c r="M15" s="67"/>
      <c r="N15" s="68"/>
      <c r="O15" s="66">
        <f t="shared" si="4"/>
        <v>0</v>
      </c>
      <c r="P15" s="67"/>
      <c r="Q15" s="68"/>
      <c r="R15" s="66">
        <f t="shared" si="5"/>
        <v>0</v>
      </c>
      <c r="S15" s="67"/>
      <c r="T15" s="68"/>
      <c r="U15" s="66">
        <f t="shared" si="6"/>
        <v>0</v>
      </c>
      <c r="V15" s="67"/>
      <c r="W15" s="68"/>
      <c r="X15" s="66">
        <f t="shared" si="7"/>
        <v>0</v>
      </c>
      <c r="Y15" s="67"/>
      <c r="Z15" s="68"/>
      <c r="AA15" s="66">
        <f t="shared" si="8"/>
        <v>0</v>
      </c>
      <c r="AB15" s="67"/>
      <c r="AC15" s="68"/>
      <c r="AD15" s="66">
        <f t="shared" si="9"/>
        <v>0</v>
      </c>
      <c r="AE15" s="67"/>
      <c r="AF15" s="68"/>
      <c r="AG15" s="66">
        <f t="shared" si="10"/>
        <v>0</v>
      </c>
      <c r="AH15" s="67"/>
      <c r="AI15" s="68"/>
      <c r="AJ15" s="66">
        <f t="shared" si="11"/>
        <v>0</v>
      </c>
      <c r="AK15" s="67"/>
      <c r="AL15" s="68"/>
      <c r="AM15" s="66">
        <f t="shared" si="12"/>
        <v>0</v>
      </c>
      <c r="AN15" s="67"/>
      <c r="AO15" s="68"/>
      <c r="AP15" s="64">
        <f t="shared" si="13"/>
        <v>16</v>
      </c>
      <c r="AQ15" s="8">
        <f t="shared" si="0"/>
        <v>0.02</v>
      </c>
    </row>
    <row r="16" spans="1:45" ht="18" customHeight="1" x14ac:dyDescent="0.15">
      <c r="A16" s="6"/>
      <c r="B16" s="12" t="s">
        <v>90</v>
      </c>
      <c r="C16" s="63">
        <v>508</v>
      </c>
      <c r="D16" s="79">
        <v>150</v>
      </c>
      <c r="E16" s="78">
        <v>500</v>
      </c>
      <c r="F16" s="66">
        <v>4</v>
      </c>
      <c r="G16" s="67">
        <v>3</v>
      </c>
      <c r="H16" s="67">
        <v>1</v>
      </c>
      <c r="I16" s="66">
        <v>4</v>
      </c>
      <c r="J16" s="67">
        <v>3</v>
      </c>
      <c r="K16" s="67">
        <v>1</v>
      </c>
      <c r="L16" s="66">
        <f t="shared" si="3"/>
        <v>0</v>
      </c>
      <c r="M16" s="67"/>
      <c r="N16" s="68"/>
      <c r="O16" s="66">
        <f t="shared" si="4"/>
        <v>0</v>
      </c>
      <c r="P16" s="67"/>
      <c r="Q16" s="68"/>
      <c r="R16" s="66">
        <f t="shared" si="5"/>
        <v>0</v>
      </c>
      <c r="S16" s="67"/>
      <c r="T16" s="68"/>
      <c r="U16" s="66">
        <f t="shared" si="6"/>
        <v>0</v>
      </c>
      <c r="V16" s="67"/>
      <c r="W16" s="68"/>
      <c r="X16" s="66">
        <f t="shared" si="7"/>
        <v>0</v>
      </c>
      <c r="Y16" s="67"/>
      <c r="Z16" s="68"/>
      <c r="AA16" s="66">
        <f t="shared" si="8"/>
        <v>0</v>
      </c>
      <c r="AB16" s="67"/>
      <c r="AC16" s="68"/>
      <c r="AD16" s="66">
        <f t="shared" si="9"/>
        <v>0</v>
      </c>
      <c r="AE16" s="67"/>
      <c r="AF16" s="68"/>
      <c r="AG16" s="66">
        <f t="shared" si="10"/>
        <v>0</v>
      </c>
      <c r="AH16" s="67"/>
      <c r="AI16" s="68"/>
      <c r="AJ16" s="66">
        <f t="shared" si="11"/>
        <v>0</v>
      </c>
      <c r="AK16" s="67"/>
      <c r="AL16" s="68"/>
      <c r="AM16" s="66">
        <f t="shared" si="12"/>
        <v>0</v>
      </c>
      <c r="AN16" s="67"/>
      <c r="AO16" s="68"/>
      <c r="AP16" s="64">
        <f t="shared" si="13"/>
        <v>4</v>
      </c>
      <c r="AQ16" s="8">
        <f t="shared" si="0"/>
        <v>8.0000000000000002E-3</v>
      </c>
    </row>
    <row r="17" spans="1:43" ht="18" customHeight="1" x14ac:dyDescent="0.15">
      <c r="A17" s="6"/>
      <c r="B17" s="12" t="s">
        <v>91</v>
      </c>
      <c r="C17" s="63">
        <v>603</v>
      </c>
      <c r="D17" s="79">
        <v>145</v>
      </c>
      <c r="E17" s="78">
        <v>580</v>
      </c>
      <c r="F17" s="66">
        <v>30</v>
      </c>
      <c r="G17" s="67">
        <v>21</v>
      </c>
      <c r="H17" s="67">
        <v>9</v>
      </c>
      <c r="I17" s="66">
        <v>28</v>
      </c>
      <c r="J17" s="67">
        <v>20</v>
      </c>
      <c r="K17" s="67">
        <v>8</v>
      </c>
      <c r="L17" s="66">
        <f t="shared" si="3"/>
        <v>0</v>
      </c>
      <c r="M17" s="67"/>
      <c r="N17" s="68"/>
      <c r="O17" s="66">
        <f t="shared" si="4"/>
        <v>0</v>
      </c>
      <c r="P17" s="67"/>
      <c r="Q17" s="68"/>
      <c r="R17" s="66">
        <f t="shared" si="5"/>
        <v>0</v>
      </c>
      <c r="S17" s="67"/>
      <c r="T17" s="68"/>
      <c r="U17" s="66">
        <f t="shared" si="6"/>
        <v>0</v>
      </c>
      <c r="V17" s="67"/>
      <c r="W17" s="68"/>
      <c r="X17" s="66">
        <f t="shared" si="7"/>
        <v>0</v>
      </c>
      <c r="Y17" s="67"/>
      <c r="Z17" s="68"/>
      <c r="AA17" s="66">
        <f t="shared" si="8"/>
        <v>0</v>
      </c>
      <c r="AB17" s="67"/>
      <c r="AC17" s="68"/>
      <c r="AD17" s="66">
        <f t="shared" si="9"/>
        <v>0</v>
      </c>
      <c r="AE17" s="67"/>
      <c r="AF17" s="68"/>
      <c r="AG17" s="66">
        <f t="shared" si="10"/>
        <v>0</v>
      </c>
      <c r="AH17" s="67"/>
      <c r="AI17" s="68"/>
      <c r="AJ17" s="66">
        <f t="shared" si="11"/>
        <v>0</v>
      </c>
      <c r="AK17" s="67"/>
      <c r="AL17" s="68"/>
      <c r="AM17" s="66">
        <f t="shared" si="12"/>
        <v>0</v>
      </c>
      <c r="AN17" s="67"/>
      <c r="AO17" s="68"/>
      <c r="AP17" s="64">
        <f t="shared" si="13"/>
        <v>30</v>
      </c>
      <c r="AQ17" s="8">
        <f t="shared" si="0"/>
        <v>5.1724137931034482E-2</v>
      </c>
    </row>
    <row r="18" spans="1:43" ht="18" customHeight="1" x14ac:dyDescent="0.15">
      <c r="A18" s="6"/>
      <c r="B18" s="12"/>
      <c r="C18" s="63"/>
      <c r="D18" s="64"/>
      <c r="E18" s="65"/>
      <c r="F18" s="66">
        <f t="shared" si="1"/>
        <v>0</v>
      </c>
      <c r="G18" s="67"/>
      <c r="H18" s="68"/>
      <c r="I18" s="66">
        <f t="shared" ref="I18:I31" si="14">J18+K18</f>
        <v>0</v>
      </c>
      <c r="J18" s="67"/>
      <c r="K18" s="68"/>
      <c r="L18" s="66">
        <f t="shared" si="3"/>
        <v>0</v>
      </c>
      <c r="M18" s="67"/>
      <c r="N18" s="68"/>
      <c r="O18" s="66">
        <f t="shared" si="4"/>
        <v>0</v>
      </c>
      <c r="P18" s="67"/>
      <c r="Q18" s="68"/>
      <c r="R18" s="66">
        <f t="shared" si="5"/>
        <v>0</v>
      </c>
      <c r="S18" s="67"/>
      <c r="T18" s="68"/>
      <c r="U18" s="66">
        <f t="shared" si="6"/>
        <v>0</v>
      </c>
      <c r="V18" s="67"/>
      <c r="W18" s="68"/>
      <c r="X18" s="66">
        <f t="shared" si="7"/>
        <v>0</v>
      </c>
      <c r="Y18" s="67"/>
      <c r="Z18" s="68"/>
      <c r="AA18" s="66">
        <f t="shared" si="8"/>
        <v>0</v>
      </c>
      <c r="AB18" s="67"/>
      <c r="AC18" s="68"/>
      <c r="AD18" s="66">
        <f t="shared" si="9"/>
        <v>0</v>
      </c>
      <c r="AE18" s="67"/>
      <c r="AF18" s="68"/>
      <c r="AG18" s="66">
        <f t="shared" si="10"/>
        <v>0</v>
      </c>
      <c r="AH18" s="67"/>
      <c r="AI18" s="68"/>
      <c r="AJ18" s="66">
        <f t="shared" si="11"/>
        <v>0</v>
      </c>
      <c r="AK18" s="67"/>
      <c r="AL18" s="68"/>
      <c r="AM18" s="66">
        <f t="shared" si="12"/>
        <v>0</v>
      </c>
      <c r="AN18" s="67"/>
      <c r="AO18" s="68"/>
      <c r="AP18" s="64">
        <f t="shared" si="13"/>
        <v>0</v>
      </c>
      <c r="AQ18" s="8" t="e">
        <f t="shared" si="0"/>
        <v>#DIV/0!</v>
      </c>
    </row>
    <row r="19" spans="1:43" ht="18" customHeight="1" x14ac:dyDescent="0.15">
      <c r="A19" s="6"/>
      <c r="B19" s="12"/>
      <c r="C19" s="63"/>
      <c r="D19" s="64"/>
      <c r="E19" s="65"/>
      <c r="F19" s="66">
        <f t="shared" si="1"/>
        <v>0</v>
      </c>
      <c r="G19" s="67"/>
      <c r="H19" s="68"/>
      <c r="I19" s="66">
        <f t="shared" si="14"/>
        <v>0</v>
      </c>
      <c r="J19" s="67"/>
      <c r="K19" s="68"/>
      <c r="L19" s="66">
        <f t="shared" si="3"/>
        <v>0</v>
      </c>
      <c r="M19" s="67"/>
      <c r="N19" s="68"/>
      <c r="O19" s="66">
        <f t="shared" si="4"/>
        <v>0</v>
      </c>
      <c r="P19" s="67"/>
      <c r="Q19" s="68"/>
      <c r="R19" s="66">
        <f t="shared" si="5"/>
        <v>0</v>
      </c>
      <c r="S19" s="67"/>
      <c r="T19" s="68"/>
      <c r="U19" s="66">
        <f t="shared" si="6"/>
        <v>0</v>
      </c>
      <c r="V19" s="67"/>
      <c r="W19" s="68"/>
      <c r="X19" s="66">
        <f t="shared" si="7"/>
        <v>0</v>
      </c>
      <c r="Y19" s="67"/>
      <c r="Z19" s="68"/>
      <c r="AA19" s="66">
        <f t="shared" si="8"/>
        <v>0</v>
      </c>
      <c r="AB19" s="67"/>
      <c r="AC19" s="68"/>
      <c r="AD19" s="66">
        <f t="shared" si="9"/>
        <v>0</v>
      </c>
      <c r="AE19" s="67"/>
      <c r="AF19" s="68"/>
      <c r="AG19" s="66">
        <f t="shared" si="10"/>
        <v>0</v>
      </c>
      <c r="AH19" s="67"/>
      <c r="AI19" s="68"/>
      <c r="AJ19" s="66">
        <f t="shared" si="11"/>
        <v>0</v>
      </c>
      <c r="AK19" s="67"/>
      <c r="AL19" s="68"/>
      <c r="AM19" s="66">
        <f t="shared" si="12"/>
        <v>0</v>
      </c>
      <c r="AN19" s="67"/>
      <c r="AO19" s="68"/>
      <c r="AP19" s="64">
        <f t="shared" si="13"/>
        <v>0</v>
      </c>
      <c r="AQ19" s="8" t="e">
        <f t="shared" si="0"/>
        <v>#DIV/0!</v>
      </c>
    </row>
    <row r="20" spans="1:43" ht="18" customHeight="1" x14ac:dyDescent="0.15">
      <c r="A20" s="6"/>
      <c r="B20" s="12"/>
      <c r="C20" s="63"/>
      <c r="D20" s="64"/>
      <c r="E20" s="65"/>
      <c r="F20" s="66">
        <f t="shared" si="1"/>
        <v>0</v>
      </c>
      <c r="G20" s="67"/>
      <c r="H20" s="68"/>
      <c r="I20" s="66">
        <f t="shared" si="14"/>
        <v>0</v>
      </c>
      <c r="J20" s="67"/>
      <c r="K20" s="68"/>
      <c r="L20" s="66">
        <f t="shared" si="3"/>
        <v>0</v>
      </c>
      <c r="M20" s="67"/>
      <c r="N20" s="68"/>
      <c r="O20" s="66">
        <f t="shared" si="4"/>
        <v>0</v>
      </c>
      <c r="P20" s="67"/>
      <c r="Q20" s="68"/>
      <c r="R20" s="66">
        <f t="shared" si="5"/>
        <v>0</v>
      </c>
      <c r="S20" s="67"/>
      <c r="T20" s="68"/>
      <c r="U20" s="66">
        <f t="shared" si="6"/>
        <v>0</v>
      </c>
      <c r="V20" s="67"/>
      <c r="W20" s="68"/>
      <c r="X20" s="66">
        <f t="shared" si="7"/>
        <v>0</v>
      </c>
      <c r="Y20" s="67"/>
      <c r="Z20" s="68"/>
      <c r="AA20" s="66">
        <f t="shared" si="8"/>
        <v>0</v>
      </c>
      <c r="AB20" s="67"/>
      <c r="AC20" s="68"/>
      <c r="AD20" s="66">
        <f t="shared" si="9"/>
        <v>0</v>
      </c>
      <c r="AE20" s="67"/>
      <c r="AF20" s="68"/>
      <c r="AG20" s="66">
        <f t="shared" si="10"/>
        <v>0</v>
      </c>
      <c r="AH20" s="67"/>
      <c r="AI20" s="68"/>
      <c r="AJ20" s="66">
        <f t="shared" si="11"/>
        <v>0</v>
      </c>
      <c r="AK20" s="67"/>
      <c r="AL20" s="68"/>
      <c r="AM20" s="66">
        <f t="shared" si="12"/>
        <v>0</v>
      </c>
      <c r="AN20" s="67"/>
      <c r="AO20" s="68"/>
      <c r="AP20" s="64">
        <f t="shared" si="13"/>
        <v>0</v>
      </c>
      <c r="AQ20" s="8" t="e">
        <f t="shared" si="0"/>
        <v>#DIV/0!</v>
      </c>
    </row>
    <row r="21" spans="1:43" ht="18" customHeight="1" x14ac:dyDescent="0.15">
      <c r="A21" s="6"/>
      <c r="B21" s="12"/>
      <c r="C21" s="63"/>
      <c r="D21" s="64"/>
      <c r="E21" s="65"/>
      <c r="F21" s="66">
        <f t="shared" si="1"/>
        <v>0</v>
      </c>
      <c r="G21" s="67"/>
      <c r="H21" s="68"/>
      <c r="I21" s="66">
        <f t="shared" si="14"/>
        <v>0</v>
      </c>
      <c r="J21" s="67"/>
      <c r="K21" s="68"/>
      <c r="L21" s="66">
        <f t="shared" si="3"/>
        <v>0</v>
      </c>
      <c r="M21" s="67"/>
      <c r="N21" s="68"/>
      <c r="O21" s="66">
        <f t="shared" si="4"/>
        <v>0</v>
      </c>
      <c r="P21" s="67"/>
      <c r="Q21" s="68"/>
      <c r="R21" s="66">
        <f t="shared" si="5"/>
        <v>0</v>
      </c>
      <c r="S21" s="67"/>
      <c r="T21" s="68"/>
      <c r="U21" s="66">
        <f t="shared" si="6"/>
        <v>0</v>
      </c>
      <c r="V21" s="67"/>
      <c r="W21" s="68"/>
      <c r="X21" s="66">
        <f t="shared" si="7"/>
        <v>0</v>
      </c>
      <c r="Y21" s="67"/>
      <c r="Z21" s="68"/>
      <c r="AA21" s="66">
        <f t="shared" si="8"/>
        <v>0</v>
      </c>
      <c r="AB21" s="67"/>
      <c r="AC21" s="68"/>
      <c r="AD21" s="66">
        <f t="shared" si="9"/>
        <v>0</v>
      </c>
      <c r="AE21" s="67"/>
      <c r="AF21" s="68"/>
      <c r="AG21" s="66">
        <f t="shared" si="10"/>
        <v>0</v>
      </c>
      <c r="AH21" s="67"/>
      <c r="AI21" s="68"/>
      <c r="AJ21" s="66">
        <f t="shared" si="11"/>
        <v>0</v>
      </c>
      <c r="AK21" s="67"/>
      <c r="AL21" s="68"/>
      <c r="AM21" s="66">
        <f t="shared" si="12"/>
        <v>0</v>
      </c>
      <c r="AN21" s="67"/>
      <c r="AO21" s="68"/>
      <c r="AP21" s="64">
        <f t="shared" si="13"/>
        <v>0</v>
      </c>
      <c r="AQ21" s="8" t="e">
        <f t="shared" si="0"/>
        <v>#DIV/0!</v>
      </c>
    </row>
    <row r="22" spans="1:43" ht="18" customHeight="1" x14ac:dyDescent="0.15">
      <c r="A22" s="6"/>
      <c r="B22" s="12"/>
      <c r="C22" s="63"/>
      <c r="D22" s="64"/>
      <c r="E22" s="65"/>
      <c r="F22" s="66">
        <f t="shared" si="1"/>
        <v>0</v>
      </c>
      <c r="G22" s="67"/>
      <c r="H22" s="68"/>
      <c r="I22" s="66">
        <f t="shared" si="14"/>
        <v>0</v>
      </c>
      <c r="J22" s="67"/>
      <c r="K22" s="68"/>
      <c r="L22" s="66">
        <f t="shared" si="3"/>
        <v>0</v>
      </c>
      <c r="M22" s="67"/>
      <c r="N22" s="68"/>
      <c r="O22" s="66">
        <f t="shared" si="4"/>
        <v>0</v>
      </c>
      <c r="P22" s="67"/>
      <c r="Q22" s="68"/>
      <c r="R22" s="66">
        <f t="shared" si="5"/>
        <v>0</v>
      </c>
      <c r="S22" s="67"/>
      <c r="T22" s="68"/>
      <c r="U22" s="66">
        <f t="shared" si="6"/>
        <v>0</v>
      </c>
      <c r="V22" s="67"/>
      <c r="W22" s="68"/>
      <c r="X22" s="66">
        <f t="shared" si="7"/>
        <v>0</v>
      </c>
      <c r="Y22" s="67"/>
      <c r="Z22" s="68"/>
      <c r="AA22" s="66">
        <f t="shared" si="8"/>
        <v>0</v>
      </c>
      <c r="AB22" s="67"/>
      <c r="AC22" s="68"/>
      <c r="AD22" s="66">
        <f t="shared" si="9"/>
        <v>0</v>
      </c>
      <c r="AE22" s="67"/>
      <c r="AF22" s="68"/>
      <c r="AG22" s="66">
        <f t="shared" si="10"/>
        <v>0</v>
      </c>
      <c r="AH22" s="67"/>
      <c r="AI22" s="68"/>
      <c r="AJ22" s="66">
        <f t="shared" si="11"/>
        <v>0</v>
      </c>
      <c r="AK22" s="67"/>
      <c r="AL22" s="68"/>
      <c r="AM22" s="66">
        <f t="shared" si="12"/>
        <v>0</v>
      </c>
      <c r="AN22" s="67"/>
      <c r="AO22" s="68"/>
      <c r="AP22" s="64">
        <f t="shared" si="13"/>
        <v>0</v>
      </c>
      <c r="AQ22" s="8" t="e">
        <f t="shared" si="0"/>
        <v>#DIV/0!</v>
      </c>
    </row>
    <row r="23" spans="1:43" ht="18" customHeight="1" x14ac:dyDescent="0.15">
      <c r="A23" s="6"/>
      <c r="B23" s="12"/>
      <c r="C23" s="63"/>
      <c r="D23" s="64"/>
      <c r="E23" s="65"/>
      <c r="F23" s="66">
        <f t="shared" si="1"/>
        <v>0</v>
      </c>
      <c r="G23" s="67"/>
      <c r="H23" s="68"/>
      <c r="I23" s="66">
        <f t="shared" si="14"/>
        <v>0</v>
      </c>
      <c r="J23" s="67"/>
      <c r="K23" s="68"/>
      <c r="L23" s="66">
        <f t="shared" si="3"/>
        <v>0</v>
      </c>
      <c r="M23" s="67"/>
      <c r="N23" s="68"/>
      <c r="O23" s="66">
        <f t="shared" si="4"/>
        <v>0</v>
      </c>
      <c r="P23" s="67"/>
      <c r="Q23" s="68"/>
      <c r="R23" s="66">
        <f t="shared" si="5"/>
        <v>0</v>
      </c>
      <c r="S23" s="67"/>
      <c r="T23" s="68"/>
      <c r="U23" s="66">
        <f t="shared" si="6"/>
        <v>0</v>
      </c>
      <c r="V23" s="67"/>
      <c r="W23" s="68"/>
      <c r="X23" s="66">
        <f t="shared" si="7"/>
        <v>0</v>
      </c>
      <c r="Y23" s="67"/>
      <c r="Z23" s="68"/>
      <c r="AA23" s="66">
        <f t="shared" si="8"/>
        <v>0</v>
      </c>
      <c r="AB23" s="67"/>
      <c r="AC23" s="68"/>
      <c r="AD23" s="66">
        <f t="shared" si="9"/>
        <v>0</v>
      </c>
      <c r="AE23" s="67"/>
      <c r="AF23" s="68"/>
      <c r="AG23" s="66">
        <f t="shared" si="10"/>
        <v>0</v>
      </c>
      <c r="AH23" s="67"/>
      <c r="AI23" s="68"/>
      <c r="AJ23" s="66">
        <f t="shared" si="11"/>
        <v>0</v>
      </c>
      <c r="AK23" s="67"/>
      <c r="AL23" s="68"/>
      <c r="AM23" s="66">
        <f t="shared" si="12"/>
        <v>0</v>
      </c>
      <c r="AN23" s="67"/>
      <c r="AO23" s="68"/>
      <c r="AP23" s="64">
        <f t="shared" si="13"/>
        <v>0</v>
      </c>
      <c r="AQ23" s="8" t="e">
        <f t="shared" si="0"/>
        <v>#DIV/0!</v>
      </c>
    </row>
    <row r="24" spans="1:43" ht="18" customHeight="1" x14ac:dyDescent="0.15">
      <c r="A24" s="6"/>
      <c r="B24" s="12"/>
      <c r="C24" s="63"/>
      <c r="D24" s="64"/>
      <c r="E24" s="65"/>
      <c r="F24" s="66">
        <f t="shared" si="1"/>
        <v>0</v>
      </c>
      <c r="G24" s="67"/>
      <c r="H24" s="68"/>
      <c r="I24" s="66">
        <f t="shared" si="14"/>
        <v>0</v>
      </c>
      <c r="J24" s="67"/>
      <c r="K24" s="68"/>
      <c r="L24" s="66">
        <f t="shared" si="3"/>
        <v>0</v>
      </c>
      <c r="M24" s="67"/>
      <c r="N24" s="68"/>
      <c r="O24" s="66">
        <f t="shared" si="4"/>
        <v>0</v>
      </c>
      <c r="P24" s="67"/>
      <c r="Q24" s="68"/>
      <c r="R24" s="66">
        <f t="shared" si="5"/>
        <v>0</v>
      </c>
      <c r="S24" s="67"/>
      <c r="T24" s="68"/>
      <c r="U24" s="66">
        <f t="shared" si="6"/>
        <v>0</v>
      </c>
      <c r="V24" s="67"/>
      <c r="W24" s="68"/>
      <c r="X24" s="66">
        <f t="shared" si="7"/>
        <v>0</v>
      </c>
      <c r="Y24" s="67"/>
      <c r="Z24" s="68"/>
      <c r="AA24" s="66">
        <f t="shared" si="8"/>
        <v>0</v>
      </c>
      <c r="AB24" s="67"/>
      <c r="AC24" s="68"/>
      <c r="AD24" s="66">
        <f t="shared" si="9"/>
        <v>0</v>
      </c>
      <c r="AE24" s="67"/>
      <c r="AF24" s="68"/>
      <c r="AG24" s="66">
        <f t="shared" si="10"/>
        <v>0</v>
      </c>
      <c r="AH24" s="67"/>
      <c r="AI24" s="68"/>
      <c r="AJ24" s="66">
        <f t="shared" si="11"/>
        <v>0</v>
      </c>
      <c r="AK24" s="67"/>
      <c r="AL24" s="68"/>
      <c r="AM24" s="66">
        <f t="shared" si="12"/>
        <v>0</v>
      </c>
      <c r="AN24" s="67"/>
      <c r="AO24" s="68"/>
      <c r="AP24" s="64">
        <f t="shared" si="13"/>
        <v>0</v>
      </c>
      <c r="AQ24" s="8" t="e">
        <f t="shared" si="0"/>
        <v>#DIV/0!</v>
      </c>
    </row>
    <row r="25" spans="1:43" ht="18" customHeight="1" x14ac:dyDescent="0.15">
      <c r="A25" s="6"/>
      <c r="B25" s="12"/>
      <c r="C25" s="63"/>
      <c r="D25" s="64"/>
      <c r="E25" s="65"/>
      <c r="F25" s="66">
        <f t="shared" si="1"/>
        <v>0</v>
      </c>
      <c r="G25" s="67"/>
      <c r="H25" s="68"/>
      <c r="I25" s="66">
        <f t="shared" si="14"/>
        <v>0</v>
      </c>
      <c r="J25" s="67"/>
      <c r="K25" s="68"/>
      <c r="L25" s="66">
        <f t="shared" si="3"/>
        <v>0</v>
      </c>
      <c r="M25" s="67"/>
      <c r="N25" s="68"/>
      <c r="O25" s="66">
        <f t="shared" si="4"/>
        <v>0</v>
      </c>
      <c r="P25" s="67"/>
      <c r="Q25" s="68"/>
      <c r="R25" s="66">
        <f t="shared" si="5"/>
        <v>0</v>
      </c>
      <c r="S25" s="67"/>
      <c r="T25" s="68"/>
      <c r="U25" s="66">
        <f t="shared" si="6"/>
        <v>0</v>
      </c>
      <c r="V25" s="67"/>
      <c r="W25" s="68"/>
      <c r="X25" s="66">
        <f t="shared" si="7"/>
        <v>0</v>
      </c>
      <c r="Y25" s="67"/>
      <c r="Z25" s="68"/>
      <c r="AA25" s="66">
        <f t="shared" si="8"/>
        <v>0</v>
      </c>
      <c r="AB25" s="67"/>
      <c r="AC25" s="68"/>
      <c r="AD25" s="66">
        <f t="shared" si="9"/>
        <v>0</v>
      </c>
      <c r="AE25" s="67"/>
      <c r="AF25" s="68"/>
      <c r="AG25" s="66">
        <f t="shared" si="10"/>
        <v>0</v>
      </c>
      <c r="AH25" s="67"/>
      <c r="AI25" s="68"/>
      <c r="AJ25" s="66">
        <f t="shared" si="11"/>
        <v>0</v>
      </c>
      <c r="AK25" s="67"/>
      <c r="AL25" s="68"/>
      <c r="AM25" s="66">
        <f t="shared" si="12"/>
        <v>0</v>
      </c>
      <c r="AN25" s="67"/>
      <c r="AO25" s="68"/>
      <c r="AP25" s="64">
        <f t="shared" si="13"/>
        <v>0</v>
      </c>
      <c r="AQ25" s="8" t="e">
        <f t="shared" si="0"/>
        <v>#DIV/0!</v>
      </c>
    </row>
    <row r="26" spans="1:43" ht="18" customHeight="1" x14ac:dyDescent="0.15">
      <c r="A26" s="6"/>
      <c r="B26" s="12"/>
      <c r="C26" s="63"/>
      <c r="D26" s="64"/>
      <c r="E26" s="65"/>
      <c r="F26" s="66">
        <f t="shared" si="1"/>
        <v>0</v>
      </c>
      <c r="G26" s="67"/>
      <c r="H26" s="68"/>
      <c r="I26" s="66">
        <f t="shared" si="14"/>
        <v>0</v>
      </c>
      <c r="J26" s="67"/>
      <c r="K26" s="68"/>
      <c r="L26" s="66">
        <f t="shared" si="3"/>
        <v>0</v>
      </c>
      <c r="M26" s="67"/>
      <c r="N26" s="68"/>
      <c r="O26" s="66">
        <f t="shared" si="4"/>
        <v>0</v>
      </c>
      <c r="P26" s="67"/>
      <c r="Q26" s="68"/>
      <c r="R26" s="66">
        <f t="shared" si="5"/>
        <v>0</v>
      </c>
      <c r="S26" s="67"/>
      <c r="T26" s="68"/>
      <c r="U26" s="66">
        <f t="shared" si="6"/>
        <v>0</v>
      </c>
      <c r="V26" s="67"/>
      <c r="W26" s="68"/>
      <c r="X26" s="66">
        <f t="shared" si="7"/>
        <v>0</v>
      </c>
      <c r="Y26" s="67"/>
      <c r="Z26" s="68"/>
      <c r="AA26" s="66">
        <f t="shared" si="8"/>
        <v>0</v>
      </c>
      <c r="AB26" s="67"/>
      <c r="AC26" s="68"/>
      <c r="AD26" s="66">
        <f t="shared" si="9"/>
        <v>0</v>
      </c>
      <c r="AE26" s="67"/>
      <c r="AF26" s="68"/>
      <c r="AG26" s="66">
        <f t="shared" si="10"/>
        <v>0</v>
      </c>
      <c r="AH26" s="67"/>
      <c r="AI26" s="68"/>
      <c r="AJ26" s="66">
        <f t="shared" si="11"/>
        <v>0</v>
      </c>
      <c r="AK26" s="67"/>
      <c r="AL26" s="68"/>
      <c r="AM26" s="66">
        <f t="shared" si="12"/>
        <v>0</v>
      </c>
      <c r="AN26" s="67"/>
      <c r="AO26" s="68"/>
      <c r="AP26" s="64">
        <f t="shared" si="13"/>
        <v>0</v>
      </c>
      <c r="AQ26" s="8" t="e">
        <f t="shared" si="0"/>
        <v>#DIV/0!</v>
      </c>
    </row>
    <row r="27" spans="1:43" ht="18" customHeight="1" x14ac:dyDescent="0.15">
      <c r="A27" s="6"/>
      <c r="B27" s="12"/>
      <c r="C27" s="63"/>
      <c r="D27" s="64"/>
      <c r="E27" s="65"/>
      <c r="F27" s="66">
        <f t="shared" si="1"/>
        <v>0</v>
      </c>
      <c r="G27" s="67"/>
      <c r="H27" s="68"/>
      <c r="I27" s="66">
        <f t="shared" si="14"/>
        <v>0</v>
      </c>
      <c r="J27" s="67"/>
      <c r="K27" s="68"/>
      <c r="L27" s="66">
        <f t="shared" si="3"/>
        <v>0</v>
      </c>
      <c r="M27" s="67"/>
      <c r="N27" s="68"/>
      <c r="O27" s="66">
        <f t="shared" si="4"/>
        <v>0</v>
      </c>
      <c r="P27" s="67"/>
      <c r="Q27" s="68"/>
      <c r="R27" s="66">
        <f t="shared" si="5"/>
        <v>0</v>
      </c>
      <c r="S27" s="67"/>
      <c r="T27" s="68"/>
      <c r="U27" s="66">
        <f t="shared" si="6"/>
        <v>0</v>
      </c>
      <c r="V27" s="67"/>
      <c r="W27" s="68"/>
      <c r="X27" s="66">
        <f t="shared" si="7"/>
        <v>0</v>
      </c>
      <c r="Y27" s="67"/>
      <c r="Z27" s="68"/>
      <c r="AA27" s="66">
        <f t="shared" si="8"/>
        <v>0</v>
      </c>
      <c r="AB27" s="67"/>
      <c r="AC27" s="68"/>
      <c r="AD27" s="66">
        <f t="shared" si="9"/>
        <v>0</v>
      </c>
      <c r="AE27" s="67"/>
      <c r="AF27" s="68"/>
      <c r="AG27" s="66">
        <f t="shared" si="10"/>
        <v>0</v>
      </c>
      <c r="AH27" s="67"/>
      <c r="AI27" s="68"/>
      <c r="AJ27" s="66">
        <f t="shared" si="11"/>
        <v>0</v>
      </c>
      <c r="AK27" s="67"/>
      <c r="AL27" s="68"/>
      <c r="AM27" s="66">
        <f t="shared" si="12"/>
        <v>0</v>
      </c>
      <c r="AN27" s="67"/>
      <c r="AO27" s="68"/>
      <c r="AP27" s="64">
        <f t="shared" si="13"/>
        <v>0</v>
      </c>
      <c r="AQ27" s="8" t="e">
        <f t="shared" si="0"/>
        <v>#DIV/0!</v>
      </c>
    </row>
    <row r="28" spans="1:43" ht="18" customHeight="1" x14ac:dyDescent="0.15">
      <c r="A28" s="6"/>
      <c r="B28" s="12"/>
      <c r="C28" s="63"/>
      <c r="D28" s="64"/>
      <c r="E28" s="65"/>
      <c r="F28" s="66">
        <f t="shared" si="1"/>
        <v>0</v>
      </c>
      <c r="G28" s="67"/>
      <c r="H28" s="68"/>
      <c r="I28" s="66">
        <f t="shared" si="14"/>
        <v>0</v>
      </c>
      <c r="J28" s="67"/>
      <c r="K28" s="68"/>
      <c r="L28" s="66">
        <f t="shared" si="3"/>
        <v>0</v>
      </c>
      <c r="M28" s="67"/>
      <c r="N28" s="68"/>
      <c r="O28" s="66">
        <f t="shared" si="4"/>
        <v>0</v>
      </c>
      <c r="P28" s="67"/>
      <c r="Q28" s="68"/>
      <c r="R28" s="66">
        <f t="shared" si="5"/>
        <v>0</v>
      </c>
      <c r="S28" s="67"/>
      <c r="T28" s="68"/>
      <c r="U28" s="66">
        <f t="shared" si="6"/>
        <v>0</v>
      </c>
      <c r="V28" s="67"/>
      <c r="W28" s="68"/>
      <c r="X28" s="66">
        <f t="shared" si="7"/>
        <v>0</v>
      </c>
      <c r="Y28" s="67"/>
      <c r="Z28" s="68"/>
      <c r="AA28" s="66">
        <f t="shared" si="8"/>
        <v>0</v>
      </c>
      <c r="AB28" s="67"/>
      <c r="AC28" s="68"/>
      <c r="AD28" s="66">
        <f t="shared" si="9"/>
        <v>0</v>
      </c>
      <c r="AE28" s="67"/>
      <c r="AF28" s="68"/>
      <c r="AG28" s="66">
        <f t="shared" si="10"/>
        <v>0</v>
      </c>
      <c r="AH28" s="67"/>
      <c r="AI28" s="68"/>
      <c r="AJ28" s="66">
        <f t="shared" si="11"/>
        <v>0</v>
      </c>
      <c r="AK28" s="67"/>
      <c r="AL28" s="68"/>
      <c r="AM28" s="66">
        <f t="shared" si="12"/>
        <v>0</v>
      </c>
      <c r="AN28" s="67"/>
      <c r="AO28" s="68"/>
      <c r="AP28" s="64">
        <f t="shared" si="13"/>
        <v>0</v>
      </c>
      <c r="AQ28" s="8" t="e">
        <f t="shared" si="0"/>
        <v>#DIV/0!</v>
      </c>
    </row>
    <row r="29" spans="1:43" ht="18" customHeight="1" x14ac:dyDescent="0.15">
      <c r="A29" s="6"/>
      <c r="B29" s="12"/>
      <c r="C29" s="63"/>
      <c r="D29" s="69"/>
      <c r="E29" s="65"/>
      <c r="F29" s="66">
        <f t="shared" si="1"/>
        <v>0</v>
      </c>
      <c r="G29" s="67"/>
      <c r="H29" s="68"/>
      <c r="I29" s="66">
        <f t="shared" si="14"/>
        <v>0</v>
      </c>
      <c r="J29" s="67"/>
      <c r="K29" s="68"/>
      <c r="L29" s="66">
        <f t="shared" si="3"/>
        <v>0</v>
      </c>
      <c r="M29" s="67"/>
      <c r="N29" s="68"/>
      <c r="O29" s="66">
        <f t="shared" si="4"/>
        <v>0</v>
      </c>
      <c r="P29" s="67"/>
      <c r="Q29" s="68"/>
      <c r="R29" s="66">
        <f t="shared" si="5"/>
        <v>0</v>
      </c>
      <c r="S29" s="67"/>
      <c r="T29" s="68"/>
      <c r="U29" s="66">
        <f t="shared" si="6"/>
        <v>0</v>
      </c>
      <c r="V29" s="67"/>
      <c r="W29" s="68"/>
      <c r="X29" s="66">
        <f t="shared" si="7"/>
        <v>0</v>
      </c>
      <c r="Y29" s="67"/>
      <c r="Z29" s="68"/>
      <c r="AA29" s="66">
        <f t="shared" si="8"/>
        <v>0</v>
      </c>
      <c r="AB29" s="67"/>
      <c r="AC29" s="68"/>
      <c r="AD29" s="66">
        <f t="shared" si="9"/>
        <v>0</v>
      </c>
      <c r="AE29" s="67"/>
      <c r="AF29" s="68"/>
      <c r="AG29" s="66">
        <f t="shared" si="10"/>
        <v>0</v>
      </c>
      <c r="AH29" s="67"/>
      <c r="AI29" s="68"/>
      <c r="AJ29" s="66">
        <f t="shared" si="11"/>
        <v>0</v>
      </c>
      <c r="AK29" s="67"/>
      <c r="AL29" s="68"/>
      <c r="AM29" s="66">
        <f t="shared" si="12"/>
        <v>0</v>
      </c>
      <c r="AN29" s="67"/>
      <c r="AO29" s="68"/>
      <c r="AP29" s="69">
        <f t="shared" si="13"/>
        <v>0</v>
      </c>
      <c r="AQ29" s="8" t="e">
        <f t="shared" si="0"/>
        <v>#DIV/0!</v>
      </c>
    </row>
    <row r="30" spans="1:43" ht="18" customHeight="1" x14ac:dyDescent="0.15">
      <c r="A30" s="6"/>
      <c r="B30" s="12"/>
      <c r="C30" s="63"/>
      <c r="D30" s="69"/>
      <c r="E30" s="65"/>
      <c r="F30" s="66">
        <f t="shared" si="1"/>
        <v>0</v>
      </c>
      <c r="G30" s="67"/>
      <c r="H30" s="68"/>
      <c r="I30" s="66">
        <f t="shared" si="14"/>
        <v>0</v>
      </c>
      <c r="J30" s="67"/>
      <c r="K30" s="68"/>
      <c r="L30" s="66">
        <f t="shared" si="3"/>
        <v>0</v>
      </c>
      <c r="M30" s="67"/>
      <c r="N30" s="68"/>
      <c r="O30" s="66">
        <f t="shared" si="4"/>
        <v>0</v>
      </c>
      <c r="P30" s="67"/>
      <c r="Q30" s="68"/>
      <c r="R30" s="66">
        <f t="shared" si="5"/>
        <v>0</v>
      </c>
      <c r="S30" s="67"/>
      <c r="T30" s="68"/>
      <c r="U30" s="66">
        <f t="shared" si="6"/>
        <v>0</v>
      </c>
      <c r="V30" s="67"/>
      <c r="W30" s="68"/>
      <c r="X30" s="66">
        <f t="shared" si="7"/>
        <v>0</v>
      </c>
      <c r="Y30" s="67"/>
      <c r="Z30" s="68"/>
      <c r="AA30" s="66">
        <f t="shared" si="8"/>
        <v>0</v>
      </c>
      <c r="AB30" s="67"/>
      <c r="AC30" s="68"/>
      <c r="AD30" s="66">
        <f t="shared" si="9"/>
        <v>0</v>
      </c>
      <c r="AE30" s="67"/>
      <c r="AF30" s="68"/>
      <c r="AG30" s="66">
        <f t="shared" si="10"/>
        <v>0</v>
      </c>
      <c r="AH30" s="67"/>
      <c r="AI30" s="68"/>
      <c r="AJ30" s="66">
        <f t="shared" si="11"/>
        <v>0</v>
      </c>
      <c r="AK30" s="67"/>
      <c r="AL30" s="68"/>
      <c r="AM30" s="66">
        <f t="shared" si="12"/>
        <v>0</v>
      </c>
      <c r="AN30" s="67"/>
      <c r="AO30" s="68"/>
      <c r="AP30" s="69">
        <f t="shared" si="13"/>
        <v>0</v>
      </c>
      <c r="AQ30" s="8" t="e">
        <f t="shared" si="0"/>
        <v>#DIV/0!</v>
      </c>
    </row>
    <row r="31" spans="1:43" ht="18" customHeight="1" thickBot="1" x14ac:dyDescent="0.2">
      <c r="A31" s="6"/>
      <c r="B31" s="13"/>
      <c r="C31" s="58"/>
      <c r="D31" s="70"/>
      <c r="E31" s="60"/>
      <c r="F31" s="60">
        <f t="shared" si="1"/>
        <v>0</v>
      </c>
      <c r="G31" s="71"/>
      <c r="H31" s="72"/>
      <c r="I31" s="60">
        <f t="shared" si="14"/>
        <v>0</v>
      </c>
      <c r="J31" s="71"/>
      <c r="K31" s="72"/>
      <c r="L31" s="60">
        <f t="shared" si="3"/>
        <v>0</v>
      </c>
      <c r="M31" s="71"/>
      <c r="N31" s="72"/>
      <c r="O31" s="60">
        <f t="shared" si="4"/>
        <v>0</v>
      </c>
      <c r="P31" s="71"/>
      <c r="Q31" s="72"/>
      <c r="R31" s="60">
        <f t="shared" si="5"/>
        <v>0</v>
      </c>
      <c r="S31" s="71"/>
      <c r="T31" s="72"/>
      <c r="U31" s="60">
        <f t="shared" si="6"/>
        <v>0</v>
      </c>
      <c r="V31" s="71"/>
      <c r="W31" s="72"/>
      <c r="X31" s="60">
        <f t="shared" si="7"/>
        <v>0</v>
      </c>
      <c r="Y31" s="71"/>
      <c r="Z31" s="72"/>
      <c r="AA31" s="60">
        <f t="shared" si="8"/>
        <v>0</v>
      </c>
      <c r="AB31" s="71"/>
      <c r="AC31" s="72"/>
      <c r="AD31" s="60">
        <f t="shared" si="9"/>
        <v>0</v>
      </c>
      <c r="AE31" s="71"/>
      <c r="AF31" s="72"/>
      <c r="AG31" s="60">
        <f t="shared" si="10"/>
        <v>0</v>
      </c>
      <c r="AH31" s="71"/>
      <c r="AI31" s="72"/>
      <c r="AJ31" s="60">
        <f t="shared" si="11"/>
        <v>0</v>
      </c>
      <c r="AK31" s="71"/>
      <c r="AL31" s="72"/>
      <c r="AM31" s="60">
        <f t="shared" si="12"/>
        <v>0</v>
      </c>
      <c r="AN31" s="71"/>
      <c r="AO31" s="72"/>
      <c r="AP31" s="70">
        <f t="shared" si="13"/>
        <v>0</v>
      </c>
      <c r="AQ31" s="7" t="e">
        <f t="shared" si="0"/>
        <v>#DIV/0!</v>
      </c>
    </row>
    <row r="32" spans="1:43" ht="18" customHeight="1" thickTop="1" x14ac:dyDescent="0.15">
      <c r="B32" s="14" t="s">
        <v>92</v>
      </c>
      <c r="C32" s="73">
        <f t="shared" ref="C32" si="15">SUM(C12:C31)</f>
        <v>4786</v>
      </c>
      <c r="D32" s="74">
        <f t="shared" ref="D32:AP32" si="16">SUM(D12:D31)</f>
        <v>1220</v>
      </c>
      <c r="E32" s="75">
        <f t="shared" si="16"/>
        <v>4780</v>
      </c>
      <c r="F32" s="75">
        <f t="shared" si="16"/>
        <v>232</v>
      </c>
      <c r="G32" s="76">
        <f t="shared" si="16"/>
        <v>98</v>
      </c>
      <c r="H32" s="77">
        <f t="shared" si="16"/>
        <v>134</v>
      </c>
      <c r="I32" s="75">
        <f t="shared" ref="I32:N32" si="17">SUM(I12:I31)</f>
        <v>208</v>
      </c>
      <c r="J32" s="76">
        <f t="shared" si="17"/>
        <v>84</v>
      </c>
      <c r="K32" s="77">
        <f t="shared" si="17"/>
        <v>124</v>
      </c>
      <c r="L32" s="75">
        <f t="shared" si="17"/>
        <v>0</v>
      </c>
      <c r="M32" s="76">
        <f t="shared" si="17"/>
        <v>0</v>
      </c>
      <c r="N32" s="77">
        <f t="shared" si="17"/>
        <v>0</v>
      </c>
      <c r="O32" s="75">
        <f t="shared" ref="O32:T32" si="18">SUM(O12:O31)</f>
        <v>0</v>
      </c>
      <c r="P32" s="76">
        <f t="shared" si="18"/>
        <v>0</v>
      </c>
      <c r="Q32" s="77">
        <f t="shared" si="18"/>
        <v>0</v>
      </c>
      <c r="R32" s="75">
        <f t="shared" si="18"/>
        <v>0</v>
      </c>
      <c r="S32" s="76">
        <f t="shared" si="18"/>
        <v>0</v>
      </c>
      <c r="T32" s="77">
        <f t="shared" si="18"/>
        <v>0</v>
      </c>
      <c r="U32" s="75">
        <f t="shared" ref="U32:AI32" si="19">SUM(U12:U31)</f>
        <v>0</v>
      </c>
      <c r="V32" s="76">
        <f t="shared" si="19"/>
        <v>0</v>
      </c>
      <c r="W32" s="77">
        <f t="shared" si="19"/>
        <v>0</v>
      </c>
      <c r="X32" s="75">
        <f t="shared" si="19"/>
        <v>0</v>
      </c>
      <c r="Y32" s="76">
        <f t="shared" si="19"/>
        <v>0</v>
      </c>
      <c r="Z32" s="77">
        <f t="shared" si="19"/>
        <v>0</v>
      </c>
      <c r="AA32" s="75">
        <f t="shared" si="19"/>
        <v>0</v>
      </c>
      <c r="AB32" s="76">
        <f t="shared" si="19"/>
        <v>0</v>
      </c>
      <c r="AC32" s="77">
        <f t="shared" si="19"/>
        <v>0</v>
      </c>
      <c r="AD32" s="75">
        <f t="shared" si="19"/>
        <v>0</v>
      </c>
      <c r="AE32" s="76">
        <f t="shared" si="19"/>
        <v>0</v>
      </c>
      <c r="AF32" s="77">
        <f t="shared" si="19"/>
        <v>0</v>
      </c>
      <c r="AG32" s="75">
        <f t="shared" si="19"/>
        <v>0</v>
      </c>
      <c r="AH32" s="76">
        <f t="shared" si="19"/>
        <v>0</v>
      </c>
      <c r="AI32" s="77">
        <f t="shared" si="19"/>
        <v>0</v>
      </c>
      <c r="AJ32" s="75">
        <f t="shared" ref="AJ32:AO32" si="20">SUM(AJ12:AJ31)</f>
        <v>0</v>
      </c>
      <c r="AK32" s="76">
        <f t="shared" si="20"/>
        <v>0</v>
      </c>
      <c r="AL32" s="77">
        <f t="shared" si="20"/>
        <v>0</v>
      </c>
      <c r="AM32" s="75">
        <f t="shared" si="20"/>
        <v>0</v>
      </c>
      <c r="AN32" s="76">
        <f t="shared" si="20"/>
        <v>0</v>
      </c>
      <c r="AO32" s="77">
        <f t="shared" si="20"/>
        <v>0</v>
      </c>
      <c r="AP32" s="74">
        <f t="shared" si="16"/>
        <v>232</v>
      </c>
      <c r="AQ32" s="9">
        <f t="shared" si="0"/>
        <v>4.8535564853556486E-2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O134"/>
  <sheetViews>
    <sheetView showZeros="0" view="pageBreakPreview" topLeftCell="A61" zoomScaleNormal="100" zoomScaleSheetLayoutView="100" workbookViewId="0">
      <selection activeCell="B94" sqref="B94:S105"/>
    </sheetView>
  </sheetViews>
  <sheetFormatPr defaultColWidth="11.375" defaultRowHeight="18.75" customHeight="1" x14ac:dyDescent="0.15"/>
  <cols>
    <col min="1" max="1" width="2.625" style="39"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10" ht="18.75" customHeight="1" x14ac:dyDescent="0.15">
      <c r="A1" s="39" t="s">
        <v>93</v>
      </c>
      <c r="I1" s="34" t="s">
        <v>94</v>
      </c>
    </row>
    <row r="2" spans="1:10" ht="18.75" customHeight="1" x14ac:dyDescent="0.15">
      <c r="G2" s="34" t="s">
        <v>2</v>
      </c>
      <c r="H2" s="134" t="str">
        <f>'様式１-４　プログラムを構成する授業科目'!C2</f>
        <v>淑徳大学</v>
      </c>
      <c r="I2" s="115"/>
    </row>
    <row r="3" spans="1:10" ht="18.75" customHeight="1" x14ac:dyDescent="0.15">
      <c r="G3" s="34"/>
      <c r="H3" s="10"/>
      <c r="I3" s="10"/>
    </row>
    <row r="4" spans="1:10" ht="18.600000000000001" customHeight="1" x14ac:dyDescent="0.15">
      <c r="A4" s="156" t="s">
        <v>95</v>
      </c>
      <c r="B4" s="156"/>
      <c r="C4" s="156"/>
      <c r="D4" s="156"/>
      <c r="E4" s="156"/>
      <c r="F4" s="156"/>
      <c r="G4" s="156"/>
      <c r="H4" s="156"/>
      <c r="I4" s="156"/>
    </row>
    <row r="5" spans="1:10" ht="13.35" customHeight="1" x14ac:dyDescent="0.15">
      <c r="B5" s="3"/>
      <c r="C5" s="3"/>
      <c r="D5" s="3"/>
      <c r="E5" s="3"/>
      <c r="F5" s="3"/>
      <c r="G5" s="3"/>
      <c r="H5" s="3"/>
      <c r="I5" s="3"/>
    </row>
    <row r="6" spans="1:10" ht="18" customHeight="1" x14ac:dyDescent="0.15">
      <c r="A6" s="1" t="s">
        <v>96</v>
      </c>
      <c r="B6" s="10" t="s">
        <v>97</v>
      </c>
      <c r="C6" s="223" t="s">
        <v>98</v>
      </c>
      <c r="D6" s="223"/>
      <c r="E6" s="33">
        <v>160</v>
      </c>
      <c r="F6" s="3" t="s">
        <v>99</v>
      </c>
      <c r="G6" s="3" t="s">
        <v>100</v>
      </c>
      <c r="H6" s="33">
        <v>290</v>
      </c>
      <c r="I6" s="10" t="s">
        <v>99</v>
      </c>
      <c r="J6" s="83"/>
    </row>
    <row r="7" spans="1:10" ht="12" customHeight="1" x14ac:dyDescent="0.15">
      <c r="C7" s="2"/>
      <c r="D7" s="2"/>
      <c r="E7" s="2"/>
      <c r="F7" s="2"/>
      <c r="G7" s="2"/>
      <c r="H7" s="2"/>
      <c r="I7" s="40"/>
    </row>
    <row r="8" spans="1:10" ht="18" customHeight="1" x14ac:dyDescent="0.15">
      <c r="A8" s="1" t="s">
        <v>101</v>
      </c>
      <c r="B8" s="10" t="s">
        <v>102</v>
      </c>
      <c r="E8" s="3"/>
      <c r="F8" s="3"/>
      <c r="G8" s="3"/>
      <c r="H8" s="33">
        <v>18</v>
      </c>
      <c r="I8" s="10" t="s">
        <v>99</v>
      </c>
    </row>
    <row r="9" spans="1:10" ht="9" customHeight="1" x14ac:dyDescent="0.15">
      <c r="B9" s="94"/>
      <c r="C9" s="3"/>
      <c r="D9" s="3"/>
      <c r="E9" s="3"/>
      <c r="F9" s="3"/>
      <c r="G9" s="3"/>
      <c r="H9" s="3"/>
      <c r="I9" s="3"/>
    </row>
    <row r="10" spans="1:10" ht="18" customHeight="1" x14ac:dyDescent="0.15">
      <c r="A10" s="1" t="s">
        <v>103</v>
      </c>
      <c r="B10" s="10" t="s">
        <v>104</v>
      </c>
      <c r="C10" s="3"/>
      <c r="D10" s="3"/>
      <c r="E10" s="3"/>
      <c r="F10" s="3"/>
      <c r="G10" s="3"/>
      <c r="H10" s="3"/>
      <c r="I10" s="3"/>
    </row>
    <row r="11" spans="1:10" ht="18" customHeight="1" x14ac:dyDescent="0.15">
      <c r="B11" s="34" t="s">
        <v>105</v>
      </c>
      <c r="C11" s="220" t="s">
        <v>106</v>
      </c>
      <c r="D11" s="220"/>
      <c r="E11" s="220"/>
      <c r="F11" s="40"/>
      <c r="G11" s="34" t="s">
        <v>107</v>
      </c>
      <c r="H11" s="221" t="s">
        <v>108</v>
      </c>
      <c r="I11" s="222"/>
      <c r="J11" s="83"/>
    </row>
    <row r="12" spans="1:10" ht="10.35" customHeight="1" x14ac:dyDescent="0.15">
      <c r="B12" s="34"/>
      <c r="C12" s="10"/>
      <c r="D12" s="40"/>
      <c r="E12" s="40"/>
      <c r="F12" s="40"/>
      <c r="G12" s="34"/>
      <c r="H12" s="10"/>
      <c r="I12" s="40"/>
    </row>
    <row r="13" spans="1:10" ht="18" customHeight="1" x14ac:dyDescent="0.15">
      <c r="A13" s="1" t="s">
        <v>109</v>
      </c>
      <c r="B13" s="95" t="s">
        <v>174</v>
      </c>
      <c r="C13" s="3"/>
      <c r="D13" s="3"/>
      <c r="E13" s="3"/>
      <c r="F13" s="3"/>
      <c r="G13" s="3"/>
      <c r="H13" s="3"/>
      <c r="I13" s="3"/>
    </row>
    <row r="14" spans="1:10" ht="18" customHeight="1" x14ac:dyDescent="0.15">
      <c r="B14" s="134" t="s">
        <v>110</v>
      </c>
      <c r="C14" s="158"/>
      <c r="D14" s="158"/>
      <c r="E14" s="158"/>
      <c r="F14" s="158"/>
      <c r="G14" s="158"/>
      <c r="H14" s="158"/>
      <c r="I14" s="159"/>
    </row>
    <row r="15" spans="1:10" ht="9" customHeight="1" x14ac:dyDescent="0.15">
      <c r="B15" s="3"/>
      <c r="C15" s="3"/>
      <c r="D15" s="3"/>
      <c r="E15" s="3"/>
      <c r="F15" s="3"/>
      <c r="G15" s="3"/>
      <c r="H15" s="3"/>
      <c r="I15" s="3"/>
    </row>
    <row r="16" spans="1:10" ht="18" customHeight="1" x14ac:dyDescent="0.15">
      <c r="B16" s="34" t="s">
        <v>105</v>
      </c>
      <c r="C16" s="134" t="s">
        <v>111</v>
      </c>
      <c r="D16" s="158"/>
      <c r="E16" s="159"/>
      <c r="F16" s="40"/>
      <c r="G16" s="34" t="s">
        <v>107</v>
      </c>
      <c r="H16" s="218" t="s">
        <v>112</v>
      </c>
      <c r="I16" s="219"/>
    </row>
    <row r="17" spans="1:9" ht="18" customHeight="1" x14ac:dyDescent="0.15">
      <c r="B17" s="3"/>
      <c r="C17" s="3"/>
      <c r="D17" s="3"/>
      <c r="E17" s="3"/>
      <c r="F17" s="3"/>
      <c r="G17" s="3"/>
      <c r="H17" s="3"/>
      <c r="I17" s="3"/>
    </row>
    <row r="18" spans="1:9" ht="18.75" customHeight="1" x14ac:dyDescent="0.15">
      <c r="A18" s="1" t="s">
        <v>113</v>
      </c>
      <c r="B18" s="1" t="s">
        <v>114</v>
      </c>
      <c r="I18" s="3"/>
    </row>
    <row r="19" spans="1:9" ht="18.75" customHeight="1" x14ac:dyDescent="0.15">
      <c r="A19" s="1"/>
      <c r="B19" s="210" t="s">
        <v>115</v>
      </c>
      <c r="C19" s="211"/>
      <c r="D19" s="211"/>
      <c r="E19" s="211"/>
      <c r="F19" s="211"/>
      <c r="G19" s="211"/>
      <c r="H19" s="211"/>
      <c r="I19" s="212"/>
    </row>
    <row r="20" spans="1:9" ht="7.5" customHeight="1" x14ac:dyDescent="0.15">
      <c r="B20" s="3"/>
      <c r="C20" s="3"/>
      <c r="D20" s="3"/>
      <c r="E20" s="3"/>
      <c r="F20" s="3"/>
      <c r="G20" s="3"/>
      <c r="H20" s="3"/>
      <c r="I20" s="3"/>
    </row>
    <row r="21" spans="1:9" ht="18.75" customHeight="1" x14ac:dyDescent="0.15">
      <c r="A21" s="1" t="s">
        <v>116</v>
      </c>
      <c r="B21" s="1" t="s">
        <v>117</v>
      </c>
    </row>
    <row r="22" spans="1:9" ht="18.75" customHeight="1" x14ac:dyDescent="0.15">
      <c r="A22" s="15"/>
      <c r="B22" s="200" t="s">
        <v>118</v>
      </c>
      <c r="C22" s="201"/>
      <c r="D22" s="201"/>
      <c r="E22" s="201"/>
      <c r="F22" s="201"/>
      <c r="G22" s="201"/>
      <c r="H22" s="201"/>
      <c r="I22" s="202"/>
    </row>
    <row r="23" spans="1:9" ht="18.75" customHeight="1" x14ac:dyDescent="0.15">
      <c r="A23" s="15"/>
      <c r="B23" s="213"/>
      <c r="C23" s="214"/>
      <c r="D23" s="214"/>
      <c r="E23" s="214"/>
      <c r="F23" s="214"/>
      <c r="G23" s="214"/>
      <c r="H23" s="214"/>
      <c r="I23" s="205"/>
    </row>
    <row r="24" spans="1:9" ht="18.75" customHeight="1" x14ac:dyDescent="0.15">
      <c r="A24" s="15"/>
      <c r="B24" s="213"/>
      <c r="C24" s="214"/>
      <c r="D24" s="214"/>
      <c r="E24" s="214"/>
      <c r="F24" s="214"/>
      <c r="G24" s="214"/>
      <c r="H24" s="214"/>
      <c r="I24" s="205"/>
    </row>
    <row r="25" spans="1:9" ht="18.75" customHeight="1" x14ac:dyDescent="0.15">
      <c r="A25" s="15"/>
      <c r="B25" s="213"/>
      <c r="C25" s="214"/>
      <c r="D25" s="214"/>
      <c r="E25" s="214"/>
      <c r="F25" s="214"/>
      <c r="G25" s="214"/>
      <c r="H25" s="214"/>
      <c r="I25" s="205"/>
    </row>
    <row r="26" spans="1:9" ht="18.75" customHeight="1" x14ac:dyDescent="0.15">
      <c r="A26" s="15"/>
      <c r="B26" s="213"/>
      <c r="C26" s="214"/>
      <c r="D26" s="214"/>
      <c r="E26" s="214"/>
      <c r="F26" s="214"/>
      <c r="G26" s="214"/>
      <c r="H26" s="214"/>
      <c r="I26" s="205"/>
    </row>
    <row r="27" spans="1:9" ht="18.75" customHeight="1" x14ac:dyDescent="0.15">
      <c r="A27" s="15"/>
      <c r="B27" s="213"/>
      <c r="C27" s="214"/>
      <c r="D27" s="214"/>
      <c r="E27" s="214"/>
      <c r="F27" s="214"/>
      <c r="G27" s="214"/>
      <c r="H27" s="214"/>
      <c r="I27" s="205"/>
    </row>
    <row r="28" spans="1:9" ht="18.75" customHeight="1" x14ac:dyDescent="0.15">
      <c r="A28" s="15"/>
      <c r="B28" s="213"/>
      <c r="C28" s="214"/>
      <c r="D28" s="214"/>
      <c r="E28" s="214"/>
      <c r="F28" s="214"/>
      <c r="G28" s="214"/>
      <c r="H28" s="214"/>
      <c r="I28" s="205"/>
    </row>
    <row r="29" spans="1:9" ht="18.75" customHeight="1" x14ac:dyDescent="0.15">
      <c r="A29" s="15"/>
      <c r="B29" s="213"/>
      <c r="C29" s="214"/>
      <c r="D29" s="214"/>
      <c r="E29" s="214"/>
      <c r="F29" s="214"/>
      <c r="G29" s="214"/>
      <c r="H29" s="214"/>
      <c r="I29" s="205"/>
    </row>
    <row r="30" spans="1:9" ht="18.75" customHeight="1" x14ac:dyDescent="0.15">
      <c r="A30" s="15"/>
      <c r="B30" s="203"/>
      <c r="C30" s="204"/>
      <c r="D30" s="204"/>
      <c r="E30" s="204"/>
      <c r="F30" s="204"/>
      <c r="G30" s="204"/>
      <c r="H30" s="204"/>
      <c r="I30" s="205"/>
    </row>
    <row r="31" spans="1:9" ht="18.75" customHeight="1" x14ac:dyDescent="0.15">
      <c r="A31" s="15"/>
      <c r="B31" s="203"/>
      <c r="C31" s="204"/>
      <c r="D31" s="204"/>
      <c r="E31" s="204"/>
      <c r="F31" s="204"/>
      <c r="G31" s="204"/>
      <c r="H31" s="204"/>
      <c r="I31" s="205"/>
    </row>
    <row r="32" spans="1:9" ht="18.75" customHeight="1" x14ac:dyDescent="0.15">
      <c r="A32" s="15"/>
      <c r="B32" s="206"/>
      <c r="C32" s="207"/>
      <c r="D32" s="207"/>
      <c r="E32" s="207"/>
      <c r="F32" s="207"/>
      <c r="G32" s="207"/>
      <c r="H32" s="207"/>
      <c r="I32" s="208"/>
    </row>
    <row r="33" spans="1:10" ht="7.5" customHeight="1" x14ac:dyDescent="0.15">
      <c r="A33" s="15"/>
      <c r="B33" s="15"/>
      <c r="C33" s="15"/>
      <c r="D33" s="15"/>
      <c r="E33" s="15"/>
      <c r="F33" s="15"/>
      <c r="G33" s="15"/>
      <c r="H33" s="15"/>
      <c r="I33" s="15"/>
    </row>
    <row r="34" spans="1:10" ht="18.75" customHeight="1" x14ac:dyDescent="0.15">
      <c r="A34" s="16" t="s">
        <v>119</v>
      </c>
      <c r="B34" s="16" t="s">
        <v>120</v>
      </c>
      <c r="C34" s="10"/>
      <c r="D34" s="16"/>
      <c r="E34" s="16"/>
      <c r="F34" s="16"/>
      <c r="G34" s="16"/>
      <c r="H34" s="16"/>
      <c r="I34" s="16"/>
    </row>
    <row r="35" spans="1:10" ht="18.75" customHeight="1" x14ac:dyDescent="0.15">
      <c r="A35" s="15"/>
      <c r="B35" s="200" t="s">
        <v>179</v>
      </c>
      <c r="C35" s="201"/>
      <c r="D35" s="201"/>
      <c r="E35" s="201"/>
      <c r="F35" s="201"/>
      <c r="G35" s="201"/>
      <c r="H35" s="201"/>
      <c r="I35" s="202"/>
      <c r="J35" s="82"/>
    </row>
    <row r="36" spans="1:10" ht="18.75" customHeight="1" x14ac:dyDescent="0.15">
      <c r="A36" s="15"/>
      <c r="B36" s="203"/>
      <c r="C36" s="204"/>
      <c r="D36" s="204"/>
      <c r="E36" s="204"/>
      <c r="F36" s="204"/>
      <c r="G36" s="204"/>
      <c r="H36" s="204"/>
      <c r="I36" s="205"/>
      <c r="J36" s="82"/>
    </row>
    <row r="37" spans="1:10" ht="18.75" customHeight="1" x14ac:dyDescent="0.15">
      <c r="A37" s="15"/>
      <c r="B37" s="203"/>
      <c r="C37" s="204"/>
      <c r="D37" s="204"/>
      <c r="E37" s="204"/>
      <c r="F37" s="204"/>
      <c r="G37" s="204"/>
      <c r="H37" s="204"/>
      <c r="I37" s="205"/>
    </row>
    <row r="38" spans="1:10" ht="18.75" customHeight="1" x14ac:dyDescent="0.15">
      <c r="A38" s="15"/>
      <c r="B38" s="203"/>
      <c r="C38" s="204"/>
      <c r="D38" s="204"/>
      <c r="E38" s="204"/>
      <c r="F38" s="204"/>
      <c r="G38" s="204"/>
      <c r="H38" s="204"/>
      <c r="I38" s="205"/>
    </row>
    <row r="39" spans="1:10" ht="18.75" customHeight="1" x14ac:dyDescent="0.15">
      <c r="A39" s="15"/>
      <c r="B39" s="203"/>
      <c r="C39" s="204"/>
      <c r="D39" s="204"/>
      <c r="E39" s="204"/>
      <c r="F39" s="204"/>
      <c r="G39" s="204"/>
      <c r="H39" s="204"/>
      <c r="I39" s="205"/>
    </row>
    <row r="40" spans="1:10" ht="18.75" customHeight="1" x14ac:dyDescent="0.15">
      <c r="A40" s="15"/>
      <c r="B40" s="203"/>
      <c r="C40" s="204"/>
      <c r="D40" s="204"/>
      <c r="E40" s="204"/>
      <c r="F40" s="204"/>
      <c r="G40" s="204"/>
      <c r="H40" s="204"/>
      <c r="I40" s="205"/>
    </row>
    <row r="41" spans="1:10" ht="18.75" customHeight="1" x14ac:dyDescent="0.15">
      <c r="A41" s="15"/>
      <c r="B41" s="203"/>
      <c r="C41" s="204"/>
      <c r="D41" s="204"/>
      <c r="E41" s="204"/>
      <c r="F41" s="204"/>
      <c r="G41" s="204"/>
      <c r="H41" s="204"/>
      <c r="I41" s="205"/>
    </row>
    <row r="42" spans="1:10" ht="18.75" customHeight="1" x14ac:dyDescent="0.15">
      <c r="A42" s="15"/>
      <c r="B42" s="203"/>
      <c r="C42" s="204"/>
      <c r="D42" s="204"/>
      <c r="E42" s="204"/>
      <c r="F42" s="204"/>
      <c r="G42" s="204"/>
      <c r="H42" s="204"/>
      <c r="I42" s="205"/>
    </row>
    <row r="43" spans="1:10" ht="18.75" customHeight="1" x14ac:dyDescent="0.15">
      <c r="A43" s="15"/>
      <c r="B43" s="203"/>
      <c r="C43" s="204"/>
      <c r="D43" s="204"/>
      <c r="E43" s="204"/>
      <c r="F43" s="204"/>
      <c r="G43" s="204"/>
      <c r="H43" s="204"/>
      <c r="I43" s="205"/>
    </row>
    <row r="44" spans="1:10" ht="18.75" customHeight="1" x14ac:dyDescent="0.15">
      <c r="A44" s="15"/>
      <c r="B44" s="203"/>
      <c r="C44" s="204"/>
      <c r="D44" s="204"/>
      <c r="E44" s="204"/>
      <c r="F44" s="204"/>
      <c r="G44" s="204"/>
      <c r="H44" s="204"/>
      <c r="I44" s="205"/>
    </row>
    <row r="45" spans="1:10" ht="18.75" customHeight="1" x14ac:dyDescent="0.15">
      <c r="A45" s="15"/>
      <c r="B45" s="203"/>
      <c r="C45" s="204"/>
      <c r="D45" s="204"/>
      <c r="E45" s="204"/>
      <c r="F45" s="204"/>
      <c r="G45" s="204"/>
      <c r="H45" s="204"/>
      <c r="I45" s="205"/>
    </row>
    <row r="46" spans="1:10" ht="18.75" customHeight="1" x14ac:dyDescent="0.15">
      <c r="A46" s="15"/>
      <c r="B46" s="206"/>
      <c r="C46" s="207"/>
      <c r="D46" s="207"/>
      <c r="E46" s="207"/>
      <c r="F46" s="207"/>
      <c r="G46" s="207"/>
      <c r="H46" s="207"/>
      <c r="I46" s="208"/>
    </row>
    <row r="47" spans="1:10" ht="7.5" customHeight="1" x14ac:dyDescent="0.15">
      <c r="A47" s="4"/>
      <c r="B47" s="4"/>
      <c r="C47" s="4"/>
      <c r="D47" s="4"/>
      <c r="E47" s="4"/>
      <c r="F47" s="4"/>
      <c r="G47" s="4"/>
      <c r="H47" s="4"/>
      <c r="I47" s="4"/>
    </row>
    <row r="48" spans="1:10" ht="18.75" customHeight="1" x14ac:dyDescent="0.15">
      <c r="A48" s="1" t="s">
        <v>121</v>
      </c>
      <c r="B48" s="1" t="s">
        <v>122</v>
      </c>
    </row>
    <row r="49" spans="1:15" s="3" customFormat="1" ht="18.75" customHeight="1" x14ac:dyDescent="0.15">
      <c r="B49" s="41" t="s">
        <v>123</v>
      </c>
      <c r="C49" s="241">
        <f>'様式２ 履修者等数の実績'!AQ32</f>
        <v>4.8535564853556486E-2</v>
      </c>
      <c r="D49" s="241"/>
      <c r="E49" s="41" t="s">
        <v>124</v>
      </c>
      <c r="F49" s="241">
        <v>0.2</v>
      </c>
      <c r="G49" s="241"/>
      <c r="H49" s="41" t="s">
        <v>125</v>
      </c>
      <c r="I49" s="87">
        <v>0.3</v>
      </c>
      <c r="J49" s="82"/>
      <c r="M49" s="1"/>
      <c r="N49" s="42"/>
    </row>
    <row r="50" spans="1:15" s="3" customFormat="1" ht="18.75" customHeight="1" x14ac:dyDescent="0.15">
      <c r="B50" s="43" t="s">
        <v>126</v>
      </c>
      <c r="C50" s="224">
        <v>0.4</v>
      </c>
      <c r="D50" s="224"/>
      <c r="E50" s="43" t="s">
        <v>127</v>
      </c>
      <c r="F50" s="224">
        <v>0.5</v>
      </c>
      <c r="G50" s="224"/>
      <c r="H50" s="43" t="s">
        <v>128</v>
      </c>
      <c r="I50" s="88">
        <f>'様式２ 履修者等数の実績'!E32</f>
        <v>4780</v>
      </c>
      <c r="J50" s="1"/>
      <c r="M50" s="1"/>
      <c r="N50" s="42"/>
    </row>
    <row r="51" spans="1:15" ht="18.75" customHeight="1" x14ac:dyDescent="0.15">
      <c r="A51" s="1"/>
      <c r="B51" s="215" t="s">
        <v>129</v>
      </c>
      <c r="C51" s="216"/>
      <c r="D51" s="216"/>
      <c r="E51" s="216"/>
      <c r="F51" s="216"/>
      <c r="G51" s="216"/>
      <c r="H51" s="216"/>
      <c r="I51" s="217"/>
      <c r="N51" s="42"/>
      <c r="O51" s="3"/>
    </row>
    <row r="52" spans="1:15" ht="18.75" customHeight="1" x14ac:dyDescent="0.15">
      <c r="A52" s="1"/>
      <c r="B52" s="242" t="s">
        <v>130</v>
      </c>
      <c r="C52" s="243"/>
      <c r="D52" s="243"/>
      <c r="E52" s="243"/>
      <c r="F52" s="243"/>
      <c r="G52" s="243"/>
      <c r="H52" s="243"/>
      <c r="I52" s="244"/>
      <c r="N52" s="42"/>
      <c r="O52" s="3"/>
    </row>
    <row r="53" spans="1:15" ht="18.75" customHeight="1" x14ac:dyDescent="0.15">
      <c r="A53" s="1"/>
      <c r="B53" s="245"/>
      <c r="C53" s="246"/>
      <c r="D53" s="246"/>
      <c r="E53" s="246"/>
      <c r="F53" s="246"/>
      <c r="G53" s="246"/>
      <c r="H53" s="246"/>
      <c r="I53" s="247"/>
      <c r="N53" s="42"/>
      <c r="O53" s="3"/>
    </row>
    <row r="54" spans="1:15" ht="18.75" customHeight="1" x14ac:dyDescent="0.15">
      <c r="A54" s="1"/>
      <c r="B54" s="245"/>
      <c r="C54" s="246"/>
      <c r="D54" s="246"/>
      <c r="E54" s="246"/>
      <c r="F54" s="246"/>
      <c r="G54" s="246"/>
      <c r="H54" s="246"/>
      <c r="I54" s="247"/>
    </row>
    <row r="55" spans="1:15" ht="18.75" customHeight="1" x14ac:dyDescent="0.15">
      <c r="A55" s="1"/>
      <c r="B55" s="245"/>
      <c r="C55" s="246"/>
      <c r="D55" s="246"/>
      <c r="E55" s="246"/>
      <c r="F55" s="246"/>
      <c r="G55" s="246"/>
      <c r="H55" s="246"/>
      <c r="I55" s="247"/>
    </row>
    <row r="56" spans="1:15" ht="18.75" customHeight="1" x14ac:dyDescent="0.15">
      <c r="A56" s="1"/>
      <c r="B56" s="245"/>
      <c r="C56" s="246"/>
      <c r="D56" s="246"/>
      <c r="E56" s="246"/>
      <c r="F56" s="246"/>
      <c r="G56" s="246"/>
      <c r="H56" s="246"/>
      <c r="I56" s="247"/>
    </row>
    <row r="57" spans="1:15" ht="18.75" customHeight="1" x14ac:dyDescent="0.15">
      <c r="A57" s="1"/>
      <c r="B57" s="245"/>
      <c r="C57" s="246"/>
      <c r="D57" s="246"/>
      <c r="E57" s="246"/>
      <c r="F57" s="246"/>
      <c r="G57" s="246"/>
      <c r="H57" s="246"/>
      <c r="I57" s="247"/>
    </row>
    <row r="58" spans="1:15" ht="18.75" customHeight="1" x14ac:dyDescent="0.15">
      <c r="A58" s="1"/>
      <c r="B58" s="245"/>
      <c r="C58" s="246"/>
      <c r="D58" s="246"/>
      <c r="E58" s="246"/>
      <c r="F58" s="246"/>
      <c r="G58" s="246"/>
      <c r="H58" s="246"/>
      <c r="I58" s="247"/>
    </row>
    <row r="59" spans="1:15" ht="18.75" customHeight="1" x14ac:dyDescent="0.15">
      <c r="A59" s="1"/>
      <c r="B59" s="245"/>
      <c r="C59" s="246"/>
      <c r="D59" s="246"/>
      <c r="E59" s="246"/>
      <c r="F59" s="246"/>
      <c r="G59" s="246"/>
      <c r="H59" s="246"/>
      <c r="I59" s="247"/>
    </row>
    <row r="60" spans="1:15" ht="18.75" customHeight="1" x14ac:dyDescent="0.15">
      <c r="A60" s="1"/>
      <c r="B60" s="245"/>
      <c r="C60" s="246"/>
      <c r="D60" s="246"/>
      <c r="E60" s="246"/>
      <c r="F60" s="246"/>
      <c r="G60" s="246"/>
      <c r="H60" s="246"/>
      <c r="I60" s="247"/>
    </row>
    <row r="61" spans="1:15" ht="18.75" customHeight="1" x14ac:dyDescent="0.15">
      <c r="A61" s="1"/>
      <c r="B61" s="245"/>
      <c r="C61" s="246"/>
      <c r="D61" s="246"/>
      <c r="E61" s="246"/>
      <c r="F61" s="246"/>
      <c r="G61" s="246"/>
      <c r="H61" s="246"/>
      <c r="I61" s="247"/>
    </row>
    <row r="62" spans="1:15" ht="18.75" customHeight="1" x14ac:dyDescent="0.15">
      <c r="A62" s="1"/>
      <c r="B62" s="245"/>
      <c r="C62" s="246"/>
      <c r="D62" s="246"/>
      <c r="E62" s="246"/>
      <c r="F62" s="246"/>
      <c r="G62" s="246"/>
      <c r="H62" s="246"/>
      <c r="I62" s="247"/>
    </row>
    <row r="63" spans="1:15" ht="18.75" customHeight="1" x14ac:dyDescent="0.15">
      <c r="A63" s="1"/>
      <c r="B63" s="248"/>
      <c r="C63" s="249"/>
      <c r="D63" s="249"/>
      <c r="E63" s="249"/>
      <c r="F63" s="249"/>
      <c r="G63" s="249"/>
      <c r="H63" s="249"/>
      <c r="I63" s="250"/>
    </row>
    <row r="64" spans="1:15" ht="7.5" customHeight="1" x14ac:dyDescent="0.15">
      <c r="A64" s="15"/>
      <c r="B64" s="15"/>
      <c r="C64" s="15"/>
      <c r="D64" s="15"/>
      <c r="E64" s="15"/>
      <c r="F64" s="15"/>
      <c r="G64" s="15"/>
      <c r="H64" s="15"/>
      <c r="I64" s="15"/>
    </row>
    <row r="65" spans="1:9" ht="18.75" customHeight="1" x14ac:dyDescent="0.15">
      <c r="A65" s="16" t="s">
        <v>131</v>
      </c>
      <c r="B65" s="1" t="s">
        <v>132</v>
      </c>
      <c r="I65" s="16"/>
    </row>
    <row r="66" spans="1:9" ht="18.75" customHeight="1" x14ac:dyDescent="0.15">
      <c r="A66" s="4"/>
      <c r="B66" s="225" t="s">
        <v>133</v>
      </c>
      <c r="C66" s="226"/>
      <c r="D66" s="226"/>
      <c r="E66" s="226"/>
      <c r="F66" s="226"/>
      <c r="G66" s="226"/>
      <c r="H66" s="226"/>
      <c r="I66" s="227"/>
    </row>
    <row r="67" spans="1:9" ht="18.75" customHeight="1" x14ac:dyDescent="0.15">
      <c r="A67" s="4"/>
      <c r="B67" s="228"/>
      <c r="C67" s="229"/>
      <c r="D67" s="229"/>
      <c r="E67" s="229"/>
      <c r="F67" s="229"/>
      <c r="G67" s="229"/>
      <c r="H67" s="229"/>
      <c r="I67" s="230"/>
    </row>
    <row r="68" spans="1:9" ht="18.75" customHeight="1" x14ac:dyDescent="0.15">
      <c r="A68" s="4"/>
      <c r="B68" s="228"/>
      <c r="C68" s="229"/>
      <c r="D68" s="229"/>
      <c r="E68" s="229"/>
      <c r="F68" s="229"/>
      <c r="G68" s="229"/>
      <c r="H68" s="229"/>
      <c r="I68" s="230"/>
    </row>
    <row r="69" spans="1:9" ht="18.75" customHeight="1" x14ac:dyDescent="0.15">
      <c r="A69" s="4"/>
      <c r="B69" s="228"/>
      <c r="C69" s="229"/>
      <c r="D69" s="229"/>
      <c r="E69" s="229"/>
      <c r="F69" s="229"/>
      <c r="G69" s="229"/>
      <c r="H69" s="229"/>
      <c r="I69" s="230"/>
    </row>
    <row r="70" spans="1:9" ht="18.75" customHeight="1" x14ac:dyDescent="0.15">
      <c r="A70" s="4"/>
      <c r="B70" s="228"/>
      <c r="C70" s="229"/>
      <c r="D70" s="229"/>
      <c r="E70" s="229"/>
      <c r="F70" s="229"/>
      <c r="G70" s="229"/>
      <c r="H70" s="229"/>
      <c r="I70" s="230"/>
    </row>
    <row r="71" spans="1:9" ht="18.75" customHeight="1" x14ac:dyDescent="0.15">
      <c r="A71" s="4"/>
      <c r="B71" s="228"/>
      <c r="C71" s="229"/>
      <c r="D71" s="229"/>
      <c r="E71" s="229"/>
      <c r="F71" s="229"/>
      <c r="G71" s="229"/>
      <c r="H71" s="229"/>
      <c r="I71" s="230"/>
    </row>
    <row r="72" spans="1:9" ht="18.75" customHeight="1" x14ac:dyDescent="0.15">
      <c r="A72" s="4"/>
      <c r="B72" s="228"/>
      <c r="C72" s="229"/>
      <c r="D72" s="229"/>
      <c r="E72" s="229"/>
      <c r="F72" s="229"/>
      <c r="G72" s="229"/>
      <c r="H72" s="229"/>
      <c r="I72" s="230"/>
    </row>
    <row r="73" spans="1:9" ht="18.75" customHeight="1" x14ac:dyDescent="0.15">
      <c r="A73" s="4"/>
      <c r="B73" s="228"/>
      <c r="C73" s="229"/>
      <c r="D73" s="229"/>
      <c r="E73" s="229"/>
      <c r="F73" s="229"/>
      <c r="G73" s="229"/>
      <c r="H73" s="229"/>
      <c r="I73" s="230"/>
    </row>
    <row r="74" spans="1:9" ht="18.75" customHeight="1" x14ac:dyDescent="0.15">
      <c r="A74" s="4"/>
      <c r="B74" s="228"/>
      <c r="C74" s="229"/>
      <c r="D74" s="229"/>
      <c r="E74" s="229"/>
      <c r="F74" s="229"/>
      <c r="G74" s="229"/>
      <c r="H74" s="229"/>
      <c r="I74" s="230"/>
    </row>
    <row r="75" spans="1:9" ht="18.75" customHeight="1" x14ac:dyDescent="0.15">
      <c r="A75" s="4"/>
      <c r="B75" s="228"/>
      <c r="C75" s="229"/>
      <c r="D75" s="229"/>
      <c r="E75" s="229"/>
      <c r="F75" s="229"/>
      <c r="G75" s="229"/>
      <c r="H75" s="229"/>
      <c r="I75" s="230"/>
    </row>
    <row r="76" spans="1:9" ht="18.75" customHeight="1" x14ac:dyDescent="0.15">
      <c r="A76" s="4"/>
      <c r="B76" s="228"/>
      <c r="C76" s="229"/>
      <c r="D76" s="229"/>
      <c r="E76" s="229"/>
      <c r="F76" s="229"/>
      <c r="G76" s="229"/>
      <c r="H76" s="229"/>
      <c r="I76" s="230"/>
    </row>
    <row r="77" spans="1:9" ht="18.75" customHeight="1" x14ac:dyDescent="0.15">
      <c r="A77" s="4"/>
      <c r="B77" s="231"/>
      <c r="C77" s="232"/>
      <c r="D77" s="232"/>
      <c r="E77" s="232"/>
      <c r="F77" s="232"/>
      <c r="G77" s="232"/>
      <c r="H77" s="232"/>
      <c r="I77" s="233"/>
    </row>
    <row r="78" spans="1:9" ht="7.5" customHeight="1" x14ac:dyDescent="0.15">
      <c r="A78" s="4"/>
      <c r="B78" s="4"/>
      <c r="C78" s="4"/>
      <c r="D78" s="4"/>
      <c r="E78" s="4"/>
      <c r="F78" s="4"/>
      <c r="G78" s="4"/>
      <c r="H78" s="4"/>
      <c r="I78" s="4"/>
    </row>
    <row r="79" spans="1:9" ht="18.75" customHeight="1" x14ac:dyDescent="0.15">
      <c r="A79" s="1" t="s">
        <v>134</v>
      </c>
      <c r="B79" s="1" t="s">
        <v>135</v>
      </c>
    </row>
    <row r="80" spans="1:9" ht="18.75" customHeight="1" x14ac:dyDescent="0.15">
      <c r="A80" s="1"/>
      <c r="B80" s="225" t="s">
        <v>136</v>
      </c>
      <c r="C80" s="226"/>
      <c r="D80" s="226"/>
      <c r="E80" s="226"/>
      <c r="F80" s="226"/>
      <c r="G80" s="226"/>
      <c r="H80" s="226"/>
      <c r="I80" s="234"/>
    </row>
    <row r="81" spans="1:10" ht="18.75" customHeight="1" x14ac:dyDescent="0.15">
      <c r="A81" s="1"/>
      <c r="B81" s="235"/>
      <c r="C81" s="236"/>
      <c r="D81" s="236"/>
      <c r="E81" s="236"/>
      <c r="F81" s="236"/>
      <c r="G81" s="236"/>
      <c r="H81" s="236"/>
      <c r="I81" s="237"/>
    </row>
    <row r="82" spans="1:10" ht="18.75" customHeight="1" x14ac:dyDescent="0.15">
      <c r="A82" s="1"/>
      <c r="B82" s="235"/>
      <c r="C82" s="236"/>
      <c r="D82" s="236"/>
      <c r="E82" s="236"/>
      <c r="F82" s="236"/>
      <c r="G82" s="236"/>
      <c r="H82" s="236"/>
      <c r="I82" s="237"/>
    </row>
    <row r="83" spans="1:10" ht="18.75" customHeight="1" x14ac:dyDescent="0.15">
      <c r="A83" s="1"/>
      <c r="B83" s="235"/>
      <c r="C83" s="236"/>
      <c r="D83" s="236"/>
      <c r="E83" s="236"/>
      <c r="F83" s="236"/>
      <c r="G83" s="236"/>
      <c r="H83" s="236"/>
      <c r="I83" s="237"/>
    </row>
    <row r="84" spans="1:10" ht="18.75" customHeight="1" x14ac:dyDescent="0.15">
      <c r="A84" s="1"/>
      <c r="B84" s="235"/>
      <c r="C84" s="236"/>
      <c r="D84" s="236"/>
      <c r="E84" s="236"/>
      <c r="F84" s="236"/>
      <c r="G84" s="236"/>
      <c r="H84" s="236"/>
      <c r="I84" s="237"/>
    </row>
    <row r="85" spans="1:10" ht="18.75" customHeight="1" x14ac:dyDescent="0.15">
      <c r="A85" s="1"/>
      <c r="B85" s="235"/>
      <c r="C85" s="236"/>
      <c r="D85" s="236"/>
      <c r="E85" s="236"/>
      <c r="F85" s="236"/>
      <c r="G85" s="236"/>
      <c r="H85" s="236"/>
      <c r="I85" s="237"/>
    </row>
    <row r="86" spans="1:10" ht="18.75" customHeight="1" x14ac:dyDescent="0.15">
      <c r="A86" s="1"/>
      <c r="B86" s="235"/>
      <c r="C86" s="236"/>
      <c r="D86" s="236"/>
      <c r="E86" s="236"/>
      <c r="F86" s="236"/>
      <c r="G86" s="236"/>
      <c r="H86" s="236"/>
      <c r="I86" s="237"/>
    </row>
    <row r="87" spans="1:10" ht="18.75" customHeight="1" x14ac:dyDescent="0.15">
      <c r="A87" s="1"/>
      <c r="B87" s="235"/>
      <c r="C87" s="236"/>
      <c r="D87" s="236"/>
      <c r="E87" s="236"/>
      <c r="F87" s="236"/>
      <c r="G87" s="236"/>
      <c r="H87" s="236"/>
      <c r="I87" s="237"/>
    </row>
    <row r="88" spans="1:10" ht="18.75" customHeight="1" x14ac:dyDescent="0.15">
      <c r="A88" s="1"/>
      <c r="B88" s="235"/>
      <c r="C88" s="236"/>
      <c r="D88" s="236"/>
      <c r="E88" s="236"/>
      <c r="F88" s="236"/>
      <c r="G88" s="236"/>
      <c r="H88" s="236"/>
      <c r="I88" s="237"/>
    </row>
    <row r="89" spans="1:10" ht="18.75" customHeight="1" x14ac:dyDescent="0.15">
      <c r="A89" s="1"/>
      <c r="B89" s="235"/>
      <c r="C89" s="236"/>
      <c r="D89" s="236"/>
      <c r="E89" s="236"/>
      <c r="F89" s="236"/>
      <c r="G89" s="236"/>
      <c r="H89" s="236"/>
      <c r="I89" s="237"/>
    </row>
    <row r="90" spans="1:10" ht="18.75" customHeight="1" x14ac:dyDescent="0.15">
      <c r="A90" s="4"/>
      <c r="B90" s="235"/>
      <c r="C90" s="236"/>
      <c r="D90" s="236"/>
      <c r="E90" s="236"/>
      <c r="F90" s="236"/>
      <c r="G90" s="236"/>
      <c r="H90" s="236"/>
      <c r="I90" s="237"/>
    </row>
    <row r="91" spans="1:10" ht="18.75" customHeight="1" x14ac:dyDescent="0.15">
      <c r="A91" s="4"/>
      <c r="B91" s="238"/>
      <c r="C91" s="239"/>
      <c r="D91" s="239"/>
      <c r="E91" s="239"/>
      <c r="F91" s="239"/>
      <c r="G91" s="239"/>
      <c r="H91" s="239"/>
      <c r="I91" s="240"/>
    </row>
    <row r="92" spans="1:10" ht="7.5" customHeight="1" x14ac:dyDescent="0.15">
      <c r="A92" s="4"/>
      <c r="B92" s="4"/>
      <c r="C92" s="4"/>
      <c r="D92" s="4"/>
      <c r="E92" s="4"/>
      <c r="F92" s="4"/>
      <c r="G92" s="4"/>
      <c r="H92" s="4"/>
      <c r="I92" s="4"/>
    </row>
    <row r="93" spans="1:10" ht="18.75" customHeight="1" x14ac:dyDescent="0.15">
      <c r="A93" s="1" t="s">
        <v>137</v>
      </c>
      <c r="B93" s="1" t="s">
        <v>138</v>
      </c>
    </row>
    <row r="94" spans="1:10" ht="18.75" customHeight="1" x14ac:dyDescent="0.15">
      <c r="A94" s="1"/>
      <c r="B94" s="200" t="s">
        <v>139</v>
      </c>
      <c r="C94" s="201"/>
      <c r="D94" s="201"/>
      <c r="E94" s="201"/>
      <c r="F94" s="201"/>
      <c r="G94" s="201"/>
      <c r="H94" s="201"/>
      <c r="I94" s="202"/>
      <c r="J94" s="83"/>
    </row>
    <row r="95" spans="1:10" ht="18.75" customHeight="1" x14ac:dyDescent="0.15">
      <c r="A95" s="1"/>
      <c r="B95" s="203"/>
      <c r="C95" s="204"/>
      <c r="D95" s="204"/>
      <c r="E95" s="204"/>
      <c r="F95" s="204"/>
      <c r="G95" s="204"/>
      <c r="H95" s="204"/>
      <c r="I95" s="205"/>
    </row>
    <row r="96" spans="1:10" ht="18.75" customHeight="1" x14ac:dyDescent="0.15">
      <c r="A96" s="1"/>
      <c r="B96" s="203"/>
      <c r="C96" s="204"/>
      <c r="D96" s="204"/>
      <c r="E96" s="204"/>
      <c r="F96" s="204"/>
      <c r="G96" s="204"/>
      <c r="H96" s="204"/>
      <c r="I96" s="205"/>
    </row>
    <row r="97" spans="1:9" ht="18.75" customHeight="1" x14ac:dyDescent="0.15">
      <c r="A97" s="1"/>
      <c r="B97" s="203"/>
      <c r="C97" s="204"/>
      <c r="D97" s="204"/>
      <c r="E97" s="204"/>
      <c r="F97" s="204"/>
      <c r="G97" s="204"/>
      <c r="H97" s="204"/>
      <c r="I97" s="205"/>
    </row>
    <row r="98" spans="1:9" ht="18.75" customHeight="1" x14ac:dyDescent="0.15">
      <c r="A98" s="1"/>
      <c r="B98" s="203"/>
      <c r="C98" s="204"/>
      <c r="D98" s="204"/>
      <c r="E98" s="204"/>
      <c r="F98" s="204"/>
      <c r="G98" s="204"/>
      <c r="H98" s="204"/>
      <c r="I98" s="205"/>
    </row>
    <row r="99" spans="1:9" ht="18.75" customHeight="1" x14ac:dyDescent="0.15">
      <c r="A99" s="1"/>
      <c r="B99" s="203"/>
      <c r="C99" s="204"/>
      <c r="D99" s="204"/>
      <c r="E99" s="204"/>
      <c r="F99" s="204"/>
      <c r="G99" s="204"/>
      <c r="H99" s="204"/>
      <c r="I99" s="205"/>
    </row>
    <row r="100" spans="1:9" ht="18.75" customHeight="1" x14ac:dyDescent="0.15">
      <c r="A100" s="1"/>
      <c r="B100" s="203"/>
      <c r="C100" s="204"/>
      <c r="D100" s="204"/>
      <c r="E100" s="204"/>
      <c r="F100" s="204"/>
      <c r="G100" s="204"/>
      <c r="H100" s="204"/>
      <c r="I100" s="205"/>
    </row>
    <row r="101" spans="1:9" ht="18.75" customHeight="1" x14ac:dyDescent="0.15">
      <c r="A101" s="1"/>
      <c r="B101" s="203"/>
      <c r="C101" s="204"/>
      <c r="D101" s="204"/>
      <c r="E101" s="204"/>
      <c r="F101" s="204"/>
      <c r="G101" s="204"/>
      <c r="H101" s="204"/>
      <c r="I101" s="205"/>
    </row>
    <row r="102" spans="1:9" ht="18.75" customHeight="1" x14ac:dyDescent="0.15">
      <c r="A102" s="1"/>
      <c r="B102" s="203"/>
      <c r="C102" s="204"/>
      <c r="D102" s="204"/>
      <c r="E102" s="204"/>
      <c r="F102" s="204"/>
      <c r="G102" s="204"/>
      <c r="H102" s="204"/>
      <c r="I102" s="205"/>
    </row>
    <row r="103" spans="1:9" ht="18.75" customHeight="1" x14ac:dyDescent="0.15">
      <c r="A103" s="1"/>
      <c r="B103" s="203"/>
      <c r="C103" s="204"/>
      <c r="D103" s="204"/>
      <c r="E103" s="204"/>
      <c r="F103" s="204"/>
      <c r="G103" s="204"/>
      <c r="H103" s="204"/>
      <c r="I103" s="205"/>
    </row>
    <row r="104" spans="1:9" ht="18.75" customHeight="1" x14ac:dyDescent="0.15">
      <c r="A104" s="1"/>
      <c r="B104" s="203"/>
      <c r="C104" s="204"/>
      <c r="D104" s="204"/>
      <c r="E104" s="204"/>
      <c r="F104" s="204"/>
      <c r="G104" s="204"/>
      <c r="H104" s="204"/>
      <c r="I104" s="205"/>
    </row>
    <row r="105" spans="1:9" ht="18.75" customHeight="1" x14ac:dyDescent="0.15">
      <c r="A105" s="4"/>
      <c r="B105" s="206"/>
      <c r="C105" s="207"/>
      <c r="D105" s="207"/>
      <c r="E105" s="207"/>
      <c r="F105" s="207"/>
      <c r="G105" s="207"/>
      <c r="H105" s="207"/>
      <c r="I105" s="208"/>
    </row>
    <row r="106" spans="1:9" ht="7.5" customHeight="1" x14ac:dyDescent="0.15">
      <c r="A106" s="4"/>
      <c r="B106" s="4"/>
      <c r="C106" s="4"/>
      <c r="D106" s="4"/>
      <c r="E106" s="4"/>
      <c r="F106" s="4"/>
      <c r="G106" s="4"/>
      <c r="H106" s="4"/>
      <c r="I106" s="4"/>
    </row>
    <row r="107" spans="1:9" ht="18.75" customHeight="1" x14ac:dyDescent="0.15">
      <c r="A107" s="1" t="s">
        <v>140</v>
      </c>
      <c r="B107" s="209" t="s">
        <v>141</v>
      </c>
      <c r="C107" s="209"/>
      <c r="D107" s="209"/>
      <c r="E107" s="209"/>
      <c r="F107" s="209"/>
      <c r="G107" s="209"/>
      <c r="H107" s="209"/>
      <c r="I107" s="209"/>
    </row>
    <row r="108" spans="1:9" ht="18.75" customHeight="1" x14ac:dyDescent="0.15">
      <c r="A108" s="4"/>
      <c r="B108" s="200" t="s">
        <v>142</v>
      </c>
      <c r="C108" s="201"/>
      <c r="D108" s="201"/>
      <c r="E108" s="201"/>
      <c r="F108" s="201"/>
      <c r="G108" s="201"/>
      <c r="H108" s="201"/>
      <c r="I108" s="202"/>
    </row>
    <row r="109" spans="1:9" ht="18.75" customHeight="1" x14ac:dyDescent="0.15">
      <c r="A109" s="4"/>
      <c r="B109" s="203"/>
      <c r="C109" s="204"/>
      <c r="D109" s="204"/>
      <c r="E109" s="204"/>
      <c r="F109" s="204"/>
      <c r="G109" s="204"/>
      <c r="H109" s="204"/>
      <c r="I109" s="205"/>
    </row>
    <row r="110" spans="1:9" ht="18.75" customHeight="1" x14ac:dyDescent="0.15">
      <c r="A110" s="4"/>
      <c r="B110" s="203"/>
      <c r="C110" s="204"/>
      <c r="D110" s="204"/>
      <c r="E110" s="204"/>
      <c r="F110" s="204"/>
      <c r="G110" s="204"/>
      <c r="H110" s="204"/>
      <c r="I110" s="205"/>
    </row>
    <row r="111" spans="1:9" ht="18.75" customHeight="1" x14ac:dyDescent="0.15">
      <c r="A111" s="4"/>
      <c r="B111" s="203"/>
      <c r="C111" s="204"/>
      <c r="D111" s="204"/>
      <c r="E111" s="204"/>
      <c r="F111" s="204"/>
      <c r="G111" s="204"/>
      <c r="H111" s="204"/>
      <c r="I111" s="205"/>
    </row>
    <row r="112" spans="1:9" ht="18.75" customHeight="1" x14ac:dyDescent="0.15">
      <c r="A112" s="4"/>
      <c r="B112" s="203"/>
      <c r="C112" s="204"/>
      <c r="D112" s="204"/>
      <c r="E112" s="204"/>
      <c r="F112" s="204"/>
      <c r="G112" s="204"/>
      <c r="H112" s="204"/>
      <c r="I112" s="205"/>
    </row>
    <row r="113" spans="1:9" ht="18.75" customHeight="1" x14ac:dyDescent="0.15">
      <c r="A113" s="4"/>
      <c r="B113" s="203"/>
      <c r="C113" s="204"/>
      <c r="D113" s="204"/>
      <c r="E113" s="204"/>
      <c r="F113" s="204"/>
      <c r="G113" s="204"/>
      <c r="H113" s="204"/>
      <c r="I113" s="205"/>
    </row>
    <row r="114" spans="1:9" ht="18.75" customHeight="1" x14ac:dyDescent="0.15">
      <c r="A114" s="4"/>
      <c r="B114" s="203"/>
      <c r="C114" s="204"/>
      <c r="D114" s="204"/>
      <c r="E114" s="204"/>
      <c r="F114" s="204"/>
      <c r="G114" s="204"/>
      <c r="H114" s="204"/>
      <c r="I114" s="205"/>
    </row>
    <row r="115" spans="1:9" ht="18.75" customHeight="1" x14ac:dyDescent="0.15">
      <c r="A115" s="4"/>
      <c r="B115" s="203"/>
      <c r="C115" s="204"/>
      <c r="D115" s="204"/>
      <c r="E115" s="204"/>
      <c r="F115" s="204"/>
      <c r="G115" s="204"/>
      <c r="H115" s="204"/>
      <c r="I115" s="205"/>
    </row>
    <row r="116" spans="1:9" ht="18.75" customHeight="1" x14ac:dyDescent="0.15">
      <c r="A116" s="4"/>
      <c r="B116" s="203"/>
      <c r="C116" s="204"/>
      <c r="D116" s="204"/>
      <c r="E116" s="204"/>
      <c r="F116" s="204"/>
      <c r="G116" s="204"/>
      <c r="H116" s="204"/>
      <c r="I116" s="205"/>
    </row>
    <row r="117" spans="1:9" ht="18.75" customHeight="1" x14ac:dyDescent="0.15">
      <c r="A117" s="4"/>
      <c r="B117" s="203"/>
      <c r="C117" s="204"/>
      <c r="D117" s="204"/>
      <c r="E117" s="204"/>
      <c r="F117" s="204"/>
      <c r="G117" s="204"/>
      <c r="H117" s="204"/>
      <c r="I117" s="205"/>
    </row>
    <row r="118" spans="1:9" ht="18.75" customHeight="1" x14ac:dyDescent="0.15">
      <c r="A118" s="4"/>
      <c r="B118" s="203"/>
      <c r="C118" s="204"/>
      <c r="D118" s="204"/>
      <c r="E118" s="204"/>
      <c r="F118" s="204"/>
      <c r="G118" s="204"/>
      <c r="H118" s="204"/>
      <c r="I118" s="205"/>
    </row>
    <row r="119" spans="1:9" ht="18.75" customHeight="1" x14ac:dyDescent="0.15">
      <c r="A119" s="4"/>
      <c r="B119" s="206"/>
      <c r="C119" s="207"/>
      <c r="D119" s="207"/>
      <c r="E119" s="207"/>
      <c r="F119" s="207"/>
      <c r="G119" s="207"/>
      <c r="H119" s="207"/>
      <c r="I119" s="208"/>
    </row>
    <row r="120" spans="1:9" ht="7.5" customHeight="1" x14ac:dyDescent="0.15">
      <c r="A120" s="4"/>
      <c r="B120" s="44"/>
      <c r="C120" s="44"/>
      <c r="D120" s="44"/>
      <c r="E120" s="44"/>
      <c r="F120" s="44"/>
      <c r="G120" s="44"/>
      <c r="H120" s="44"/>
      <c r="I120" s="44"/>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5"/>
      <c r="B134" s="45"/>
      <c r="C134" s="45"/>
      <c r="D134" s="45"/>
      <c r="E134" s="45"/>
      <c r="F134" s="45"/>
      <c r="G134" s="45"/>
      <c r="H134" s="45"/>
      <c r="I134" s="45"/>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30"/>
  <sheetViews>
    <sheetView showZeros="0" tabSelected="1" view="pageBreakPreview" zoomScaleNormal="100" zoomScaleSheetLayoutView="100" workbookViewId="0">
      <selection activeCell="D99" sqref="D99:S99"/>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66.5" style="1" customWidth="1"/>
    <col min="11" max="16384" width="11.375" style="1"/>
  </cols>
  <sheetData>
    <row r="1" spans="1:10" ht="18.75" customHeight="1" x14ac:dyDescent="0.15">
      <c r="A1" s="1" t="s">
        <v>143</v>
      </c>
      <c r="I1" s="34" t="s">
        <v>144</v>
      </c>
    </row>
    <row r="2" spans="1:10" ht="18.75" customHeight="1" x14ac:dyDescent="0.15">
      <c r="H2" s="34" t="s">
        <v>2</v>
      </c>
      <c r="I2" s="33" t="str">
        <f>'様式１-４　プログラムを構成する授業科目'!C2</f>
        <v>淑徳大学</v>
      </c>
    </row>
    <row r="3" spans="1:10" ht="18.75" customHeight="1" x14ac:dyDescent="0.15">
      <c r="A3" s="156" t="s">
        <v>145</v>
      </c>
      <c r="B3" s="156"/>
      <c r="C3" s="156"/>
      <c r="D3" s="156"/>
      <c r="E3" s="156"/>
      <c r="F3" s="156"/>
      <c r="G3" s="156"/>
      <c r="H3" s="156"/>
      <c r="I3" s="156"/>
    </row>
    <row r="4" spans="1:10" ht="18.75" customHeight="1" x14ac:dyDescent="0.15">
      <c r="A4" s="5"/>
      <c r="B4" s="5"/>
      <c r="C4" s="5"/>
      <c r="D4" s="5"/>
      <c r="E4" s="5"/>
      <c r="F4" s="5"/>
      <c r="G4" s="5"/>
      <c r="H4" s="5"/>
      <c r="I4" s="5"/>
    </row>
    <row r="5" spans="1:10" ht="18.75" customHeight="1" x14ac:dyDescent="0.15">
      <c r="A5" s="1" t="s">
        <v>96</v>
      </c>
      <c r="B5" s="10" t="s">
        <v>146</v>
      </c>
      <c r="C5" s="5"/>
      <c r="D5" s="5"/>
      <c r="E5" s="5"/>
      <c r="F5" s="5"/>
      <c r="G5" s="5"/>
      <c r="H5" s="5"/>
      <c r="I5" s="5"/>
    </row>
    <row r="6" spans="1:10" ht="26.25" customHeight="1" x14ac:dyDescent="0.15">
      <c r="A6" s="5"/>
      <c r="B6" s="134" t="s">
        <v>147</v>
      </c>
      <c r="C6" s="114"/>
      <c r="D6" s="114"/>
      <c r="E6" s="114"/>
      <c r="F6" s="114"/>
      <c r="G6" s="114"/>
      <c r="H6" s="115"/>
      <c r="I6" s="3"/>
    </row>
    <row r="7" spans="1:10" ht="9" customHeight="1" x14ac:dyDescent="0.15">
      <c r="A7" s="5"/>
      <c r="B7" s="10"/>
      <c r="C7" s="10"/>
      <c r="D7" s="10"/>
      <c r="E7" s="10"/>
      <c r="F7" s="10"/>
      <c r="G7" s="10"/>
      <c r="H7" s="10"/>
      <c r="I7" s="3"/>
    </row>
    <row r="8" spans="1:10" ht="18.75" customHeight="1" x14ac:dyDescent="0.15">
      <c r="A8" s="5"/>
      <c r="B8" s="3"/>
      <c r="C8" s="3"/>
      <c r="D8" s="34" t="s">
        <v>105</v>
      </c>
      <c r="E8" s="33" t="s">
        <v>148</v>
      </c>
      <c r="F8" s="3"/>
      <c r="G8" s="34" t="s">
        <v>107</v>
      </c>
      <c r="H8" s="81" t="s">
        <v>149</v>
      </c>
      <c r="I8" s="3"/>
    </row>
    <row r="9" spans="1:10" ht="6.95" customHeight="1" x14ac:dyDescent="0.15">
      <c r="A9" s="5"/>
      <c r="B9" s="96"/>
      <c r="C9" s="5"/>
      <c r="D9" s="5"/>
      <c r="E9" s="5"/>
      <c r="F9" s="5"/>
      <c r="G9" s="5"/>
      <c r="H9" s="5"/>
      <c r="I9" s="5"/>
    </row>
    <row r="10" spans="1:10" ht="18.75" customHeight="1" x14ac:dyDescent="0.15">
      <c r="A10" s="1" t="s">
        <v>101</v>
      </c>
      <c r="B10" s="1" t="s">
        <v>150</v>
      </c>
      <c r="C10" s="4"/>
      <c r="D10" s="4"/>
      <c r="E10" s="4"/>
      <c r="F10" s="4"/>
      <c r="G10" s="4"/>
      <c r="H10" s="4"/>
      <c r="I10" s="4"/>
      <c r="J10" s="82"/>
    </row>
    <row r="11" spans="1:10" ht="18.75" customHeight="1" x14ac:dyDescent="0.15">
      <c r="B11" s="134" t="s">
        <v>151</v>
      </c>
      <c r="C11" s="114"/>
      <c r="D11" s="115"/>
      <c r="E11" s="114" t="s">
        <v>152</v>
      </c>
      <c r="F11" s="114"/>
      <c r="G11" s="114"/>
      <c r="H11" s="114"/>
      <c r="I11" s="115"/>
    </row>
    <row r="12" spans="1:10" ht="26.25" customHeight="1" x14ac:dyDescent="0.15">
      <c r="B12" s="46" t="s">
        <v>153</v>
      </c>
      <c r="C12" s="53"/>
      <c r="D12" s="47"/>
      <c r="E12" s="54"/>
      <c r="F12" s="54"/>
      <c r="G12" s="54"/>
      <c r="H12" s="54"/>
      <c r="I12" s="47"/>
    </row>
    <row r="13" spans="1:10" ht="210.75" customHeight="1" x14ac:dyDescent="0.15">
      <c r="B13" s="48"/>
      <c r="C13" s="256" t="s">
        <v>154</v>
      </c>
      <c r="D13" s="257"/>
      <c r="E13" s="253" t="s">
        <v>155</v>
      </c>
      <c r="F13" s="254"/>
      <c r="G13" s="254"/>
      <c r="H13" s="254"/>
      <c r="I13" s="255"/>
      <c r="J13" s="16"/>
    </row>
    <row r="14" spans="1:10" ht="210.75" customHeight="1" x14ac:dyDescent="0.15">
      <c r="B14" s="48"/>
      <c r="C14" s="251" t="s">
        <v>156</v>
      </c>
      <c r="D14" s="252"/>
      <c r="E14" s="253" t="s">
        <v>157</v>
      </c>
      <c r="F14" s="254"/>
      <c r="G14" s="254"/>
      <c r="H14" s="254"/>
      <c r="I14" s="255"/>
    </row>
    <row r="15" spans="1:10" ht="210.75" customHeight="1" x14ac:dyDescent="0.15">
      <c r="B15" s="48"/>
      <c r="C15" s="256" t="s">
        <v>158</v>
      </c>
      <c r="D15" s="257"/>
      <c r="E15" s="258" t="s">
        <v>159</v>
      </c>
      <c r="F15" s="259"/>
      <c r="G15" s="259"/>
      <c r="H15" s="259"/>
      <c r="I15" s="260"/>
      <c r="J15" s="85"/>
    </row>
    <row r="16" spans="1:10" ht="210.75" customHeight="1" x14ac:dyDescent="0.15">
      <c r="B16" s="48"/>
      <c r="C16" s="256" t="s">
        <v>160</v>
      </c>
      <c r="D16" s="261"/>
      <c r="E16" s="262" t="s">
        <v>161</v>
      </c>
      <c r="F16" s="263"/>
      <c r="G16" s="263"/>
      <c r="H16" s="263"/>
      <c r="I16" s="264"/>
      <c r="J16" s="84"/>
    </row>
    <row r="17" spans="2:9" ht="210.75" customHeight="1" x14ac:dyDescent="0.15">
      <c r="B17" s="49"/>
      <c r="C17" s="265" t="s">
        <v>162</v>
      </c>
      <c r="D17" s="266"/>
      <c r="E17" s="267" t="s">
        <v>163</v>
      </c>
      <c r="F17" s="268"/>
      <c r="G17" s="268"/>
      <c r="H17" s="268"/>
      <c r="I17" s="269"/>
    </row>
    <row r="18" spans="2:9" ht="24" customHeight="1" x14ac:dyDescent="0.15">
      <c r="B18" s="46" t="s">
        <v>164</v>
      </c>
      <c r="C18" s="50"/>
      <c r="D18" s="51"/>
      <c r="E18" s="52"/>
      <c r="F18" s="52"/>
      <c r="G18" s="52"/>
      <c r="H18" s="52"/>
      <c r="I18" s="55"/>
    </row>
    <row r="19" spans="2:9" ht="218.25" customHeight="1" x14ac:dyDescent="0.15">
      <c r="B19" s="48"/>
      <c r="C19" s="256" t="s">
        <v>165</v>
      </c>
      <c r="D19" s="257"/>
      <c r="E19" s="254" t="s">
        <v>166</v>
      </c>
      <c r="F19" s="254"/>
      <c r="G19" s="254"/>
      <c r="H19" s="254"/>
      <c r="I19" s="255"/>
    </row>
    <row r="20" spans="2:9" ht="218.25" customHeight="1" x14ac:dyDescent="0.15">
      <c r="B20" s="49"/>
      <c r="C20" s="265" t="s">
        <v>167</v>
      </c>
      <c r="D20" s="266"/>
      <c r="E20" s="273" t="s">
        <v>168</v>
      </c>
      <c r="F20" s="273"/>
      <c r="G20" s="273"/>
      <c r="H20" s="273"/>
      <c r="I20" s="274"/>
    </row>
    <row r="21" spans="2:9" ht="218.25" customHeight="1" x14ac:dyDescent="0.15">
      <c r="B21" s="275" t="s">
        <v>169</v>
      </c>
      <c r="C21" s="276"/>
      <c r="D21" s="277"/>
      <c r="E21" s="278" t="s">
        <v>170</v>
      </c>
      <c r="F21" s="279"/>
      <c r="G21" s="279"/>
      <c r="H21" s="279"/>
      <c r="I21" s="280"/>
    </row>
    <row r="22" spans="2:9" ht="218.25" customHeight="1" x14ac:dyDescent="0.15">
      <c r="B22" s="270" t="s">
        <v>171</v>
      </c>
      <c r="C22" s="271"/>
      <c r="D22" s="272"/>
      <c r="E22" s="268" t="s">
        <v>172</v>
      </c>
      <c r="F22" s="268"/>
      <c r="G22" s="268"/>
      <c r="H22" s="268"/>
      <c r="I22" s="26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18"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1E4324D7E07554D9ECAF89AE694FDDB" ma:contentTypeVersion="2" ma:contentTypeDescription="新しいドキュメントを作成します。" ma:contentTypeScope="" ma:versionID="d01e55bc60cee0466269f0aa592d999a">
  <xsd:schema xmlns:xsd="http://www.w3.org/2001/XMLSchema" xmlns:xs="http://www.w3.org/2001/XMLSchema" xmlns:p="http://schemas.microsoft.com/office/2006/metadata/properties" xmlns:ns2="e5b69bcb-71fa-4441-ad87-a01edbf591ac" targetNamespace="http://schemas.microsoft.com/office/2006/metadata/properties" ma:root="true" ma:fieldsID="e34f35d50509e478b87be28c64d51a61" ns2:_="">
    <xsd:import namespace="e5b69bcb-71fa-4441-ad87-a01edbf591ac"/>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69bcb-71fa-4441-ad87-a01edbf591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D69626-60B5-4B54-8F18-917C660B58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b69bcb-71fa-4441-ad87-a01edbf591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DB565F-9093-4AF1-85DC-7CC39784D7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様式１-１　プログラムを構成する授業科目</vt:lpstr>
      <vt:lpstr>様式１-２　プログラムを構成する授業科目</vt:lpstr>
      <vt:lpstr>様式１-３　プログラムを構成する授業科目 </vt:lpstr>
      <vt:lpstr>様式１-４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'様式１-３　プログラムを構成する授業科目 '!Print_Area</vt:lpstr>
      <vt:lpstr>'様式１-４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setup</cp:lastModifiedBy>
  <cp:revision/>
  <cp:lastPrinted>2023-05-12T23:55:43Z</cp:lastPrinted>
  <dcterms:created xsi:type="dcterms:W3CDTF">2011-06-14T05:32:50Z</dcterms:created>
  <dcterms:modified xsi:type="dcterms:W3CDTF">2023-07-11T07:44:35Z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