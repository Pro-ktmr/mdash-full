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harumoto\Desktop\"/>
    </mc:Choice>
  </mc:AlternateContent>
  <bookViews>
    <workbookView xWindow="-108" yWindow="-108" windowWidth="23256" windowHeight="12576"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40" l="1"/>
  <c r="I12" i="40"/>
  <c r="F13" i="40"/>
  <c r="I13" i="40"/>
  <c r="F14" i="40"/>
  <c r="I14"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G32" i="40"/>
  <c r="H32" i="40"/>
  <c r="AP13" i="40"/>
  <c r="AP14" i="40"/>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<sst xmlns="http://schemas.openxmlformats.org/spreadsheetml/2006/main" count="296" uniqueCount="172">
  <si>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</si>
  <si>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</si>
  <si>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</si>
  <si>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</si>
  <si>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</si>
  <si>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</si>
  <si>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</si>
  <si>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</si>
  <si>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</si>
  <si>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</si>
  <si>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</si>
  <si>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</si>
  <si>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</si>
  <si>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</si>
  <si>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</si>
  <si>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</si>
  <si>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</si>
  <si>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</si>
  <si>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</si>
  <si>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</si>
  <si>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</si>
  <si>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</si>
  <si>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</si>
  <si>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</si>
  <si>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</si>
  <si>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</si>
  <si>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</si>
  <si>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</si>
  <si>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</si>
  <si>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</si>
  <si>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</si>
  <si>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</si>
  <si>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</si>
  <si>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</si>
  <si>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</si>
  <si>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</si>
  <si>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</si>
  <si>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</si>
  <si>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</si>
  <si>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</si>
  <si>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</si>
  <si>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</si>
  <si>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</si>
  <si>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</si>
  <si>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</si>
  <si>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</si>
  <si>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</si>
  <si>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</si>
  <si>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</si>
  <si>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</si>
  <si>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</si>
  <si>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</si>
  <si>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</si>
  <si>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</si>
  <si>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</si>
  <si>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</si>
  <si>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</si>
  <si>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</si>
  <si>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</si>
  <si>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</si>
  <si>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</si>
  <si>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</si>
  <si>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</si>
  <si>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</si>
  <si>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</si>
  <si>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</si>
  <si>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</si>
  <si>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</si>
  <si>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</si>
  <si>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</si>
  <si>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</si>
  <si>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</si>
  <si>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</si>
  <si>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</si>
  <si>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</si>
  <si>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</si>
  <si>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</si>
  <si>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</si>
  <si>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</si>
  <si>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</si>
  <si>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</si>
  <si>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</si>
  <si>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</si>
  <si>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</si>
  <si>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</si>
  <si>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</si>
  <si>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</si>
  <si>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</si>
  <si>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</si>
  <si>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</si>
  <si>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</si>
  <si>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</si>
  <si>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</si>
  <si>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</si>
  <si>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</si>
  <si>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</si>
  <si>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</si>
  <si>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</si>
  <si>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</si>
  <si>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</si>
  <si>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</si>
  <si>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</si>
  <si>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</si>
  <si>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</si>
  <si>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</si>
  <si>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</si>
  <si>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</si>
  <si>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</si>
  <si>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</si>
  <si>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</si>
  <si>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</si>
  <si>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</si>
  <si>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</si>
  <si>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</si>
  <si>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</si>
  <si>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</si>
  <si>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</si>
  <si>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</si>
  <si>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</si>
  <si>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</si>
  <si>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</si>
  <si>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</si>
  <si>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</si>
  <si>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</si>
  <si>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</si>
  <si>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</si>
  <si>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</si>
  <si>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</si>
  <si>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数理・データサイエンス・AIリテラシー</t>
    <phoneticPr fontId="1"/>
  </si>
  <si>
    <t>○</t>
  </si>
  <si>
    <t>令和４</t>
    <rPh sb="0" eb="2">
      <t>レイワ</t>
    </rPh>
    <phoneticPr fontId="1"/>
  </si>
  <si>
    <t>金沢星稜大学総合情報センター</t>
    <rPh sb="0" eb="6">
      <t>カナザワセイリョウダイガク</t>
    </rPh>
    <rPh sb="6" eb="8">
      <t>ソウゴウ</t>
    </rPh>
    <rPh sb="8" eb="10">
      <t>ジョウホウ</t>
    </rPh>
    <phoneticPr fontId="1"/>
  </si>
  <si>
    <t>佐々木　康成</t>
    <rPh sb="0" eb="3">
      <t>ササキ</t>
    </rPh>
    <rPh sb="4" eb="6">
      <t>ヤスナリ</t>
    </rPh>
    <phoneticPr fontId="1"/>
  </si>
  <si>
    <t>総合情報センター長</t>
    <rPh sb="0" eb="2">
      <t>ソウゴウ</t>
    </rPh>
    <rPh sb="2" eb="4">
      <t>ジョウホウ</t>
    </rPh>
    <rPh sb="8" eb="9">
      <t>チョウ</t>
    </rPh>
    <phoneticPr fontId="1"/>
  </si>
  <si>
    <t>金沢星稜大学総合情報センター規程</t>
    <rPh sb="0" eb="4">
      <t>カナザワセイリョウ</t>
    </rPh>
    <rPh sb="4" eb="6">
      <t>ダイガク</t>
    </rPh>
    <rPh sb="6" eb="8">
      <t>ソウゴウ</t>
    </rPh>
    <rPh sb="8" eb="10">
      <t>ジョウホウ</t>
    </rPh>
    <rPh sb="14" eb="16">
      <t>キテイ</t>
    </rPh>
    <phoneticPr fontId="1"/>
  </si>
  <si>
    <t xml:space="preserve">情報教育、情報戦略、情報設備について企画・立案するとともに、必要な支援等を行うことにより、数理・データサイエンス・AI教育の全学的な推進はもとより、情報技術を活用した研究、教育活性化の推進に寄与することを目的とする。　
</t>
    <rPh sb="62" eb="65">
      <t>ゼンガクテキ</t>
    </rPh>
    <phoneticPr fontId="1"/>
  </si>
  <si>
    <t>本学は産学地域連携の機能強化を図っている（「金沢星稜大学産学地域連携ポリシー」の策定予定）。地域連携センターを中心として本教育プログラムによって 得られた知的リソース（シーズ）と地域・自治体、企業等の課題（ニーズ）を効果的にマッチングさせた産学地域連携活動を積極的に推進する。これにより、産業界からのDX化推進の意見や要望を本教育プログラムに取り入れながら、双方に価値を生み出す「価値共創」を目指していけるであろう。</t>
    <phoneticPr fontId="1"/>
  </si>
  <si>
    <t xml:space="preserve">学修支援システム（LMS）にて「授業評価アンケート」の結果を公開し、閲覧可能としている。既修得者の受講結果を参照できるため、後輩等他の学生への推奨度を把握することができる。
2022年度の学生への授業評価アンケートの結果からは、「受講当初、データリテラシーの難易度が高いと感じたが、オンデマンド授業によって振り返り動画を何度も見ることでより理解度は深まった。今後もオンデマンド授業での開講を望むという声が多数あがった。」などのコメントによって、後輩等他の学生への推奨度が高いと考えられる。
</t>
    <phoneticPr fontId="1"/>
  </si>
  <si>
    <t>本教育プログラムは令和4（2022）年度に開講し、現在までのところ、本教育プログラム修了者は在学中である。今後の取組みとして、キャリアセンターと連携しながら本教育プログラム修了者に対して、学修内容をどのように活用し、どのように社会で役立てているか等、個別にヒアリング調査を実施し、その結果を今後のプログラム内容の改善に役立てる予定である。令和5（2023）年度には、本教育プログラムの単位取得者にオープンバッジによる学習成果証明を発行することも検討中である。</t>
    <rPh sb="18" eb="20">
      <t>ネンド</t>
    </rPh>
    <rPh sb="178" eb="180">
      <t>ネンド</t>
    </rPh>
    <phoneticPr fontId="1"/>
  </si>
  <si>
    <t>本教育プログラムを受講する学生は、学修支援システム（LMS）を活用し専用のオンデマンド受講システムと併用して資料を視聴している。１回の授業は複数回のステップに区切られ、それぞれのステップでディスカッションとディベートを行うためのテキストフォーラムが準備されているので、ステップごとの学習状況を把握するとともに個別の質問を受け付けこれに対応できるようになっている。またいくつかの課題はグループワークとしても課されるので、授業時間内外を問わず学生間のディスカッションを促し、これに対する教員からの適切なグループ指導も可能な仕組みになっている。</t>
    <phoneticPr fontId="1"/>
  </si>
  <si>
    <t xml:space="preserve">本教育プログラムでは、リテラシーレベルのモデルカリキュラムの範囲を網羅した学習教材を用いるだけでなく、担当教員2名が学生目線で教材の内容をふりかえる「ふりかえり動画」を副教材として視聴させ、学生自身のふりかえりや深化を促している。また、本学では令和3（2021）年度入学生からデジタル技術を活用してAI導入などの大きな社会変化にも対応できる人材の育成を目指し、「e生活文具（iPad）」として全員にタブレットを貸与している。学内の情報演習室で使用できるコンピュータ環境も充実しており、個別に所持するiPadの活用とあわせて、授業水準の維持と学修方法の最適化を図っている。
</t>
    <rPh sb="122" eb="124">
      <t>レイワ</t>
    </rPh>
    <phoneticPr fontId="1"/>
  </si>
  <si>
    <t>数理・データサイエンス・AIリテラシープログラム</t>
    <phoneticPr fontId="1"/>
  </si>
  <si>
    <t>総合情報センター長　　教養教育部　教授　佐々木 康成
経済学部　　　　　　准教授　張　淼
経済学部　　　　　　講師　　 牧野　耀
人間科学部　　　　 助教     天野 佐知子
人文学部　　　　　　准教授  リンチ ギャビン
教養教育部　　　　 講師　　二口　聡
総合情報センター  講師　  山本 輝太郎
短期大学部　　　　 教授　　谷畠　範恭
情報システム部　　部長　　田辺　栄</t>
    <rPh sb="0" eb="2">
      <t>ソウゴウ</t>
    </rPh>
    <rPh sb="2" eb="4">
      <t>ジョウホウ</t>
    </rPh>
    <rPh sb="8" eb="9">
      <t>チョウ</t>
    </rPh>
    <rPh sb="11" eb="13">
      <t>キョウヨウ</t>
    </rPh>
    <rPh sb="13" eb="15">
      <t>キョウイク</t>
    </rPh>
    <rPh sb="15" eb="16">
      <t>ブ</t>
    </rPh>
    <rPh sb="17" eb="19">
      <t>キョウジュ</t>
    </rPh>
    <rPh sb="20" eb="23">
      <t>ササキ</t>
    </rPh>
    <rPh sb="24" eb="26">
      <t>ヤスナリ</t>
    </rPh>
    <rPh sb="27" eb="29">
      <t>ケイザイ</t>
    </rPh>
    <rPh sb="29" eb="31">
      <t>ガクブ</t>
    </rPh>
    <rPh sb="37" eb="40">
      <t>ジュンキョウジュ</t>
    </rPh>
    <rPh sb="41" eb="42">
      <t>チョウ</t>
    </rPh>
    <rPh sb="43" eb="44">
      <t>ビョウ</t>
    </rPh>
    <rPh sb="45" eb="47">
      <t>ケイザイ</t>
    </rPh>
    <rPh sb="47" eb="49">
      <t>ガクブ</t>
    </rPh>
    <rPh sb="55" eb="57">
      <t>コウシ</t>
    </rPh>
    <rPh sb="60" eb="62">
      <t>マキノ</t>
    </rPh>
    <rPh sb="65" eb="67">
      <t>ニンゲン</t>
    </rPh>
    <rPh sb="67" eb="69">
      <t>カガク</t>
    </rPh>
    <rPh sb="69" eb="70">
      <t>ブ</t>
    </rPh>
    <rPh sb="75" eb="77">
      <t>ジョキョウ</t>
    </rPh>
    <rPh sb="82" eb="84">
      <t>アマノ</t>
    </rPh>
    <rPh sb="85" eb="88">
      <t>サチコ</t>
    </rPh>
    <rPh sb="89" eb="91">
      <t>ジンブン</t>
    </rPh>
    <rPh sb="91" eb="93">
      <t>ガクブ</t>
    </rPh>
    <rPh sb="99" eb="102">
      <t>ジュンキョウジュ</t>
    </rPh>
    <rPh sb="113" eb="115">
      <t>キョウヨウ</t>
    </rPh>
    <rPh sb="115" eb="117">
      <t>キョウイク</t>
    </rPh>
    <rPh sb="117" eb="118">
      <t>ブ</t>
    </rPh>
    <rPh sb="123" eb="125">
      <t>コウシ</t>
    </rPh>
    <rPh sb="127" eb="129">
      <t>フタクチ</t>
    </rPh>
    <rPh sb="130" eb="131">
      <t>サトシ</t>
    </rPh>
    <rPh sb="132" eb="134">
      <t>ソウゴウ</t>
    </rPh>
    <rPh sb="134" eb="136">
      <t>ジョウホウ</t>
    </rPh>
    <rPh sb="142" eb="144">
      <t>コウシ</t>
    </rPh>
    <rPh sb="147" eb="149">
      <t>ヤマモト</t>
    </rPh>
    <rPh sb="150" eb="153">
      <t>キタロウ</t>
    </rPh>
    <rPh sb="154" eb="156">
      <t>タンキ</t>
    </rPh>
    <rPh sb="156" eb="158">
      <t>ダイガク</t>
    </rPh>
    <rPh sb="158" eb="159">
      <t>ブ</t>
    </rPh>
    <rPh sb="164" eb="166">
      <t>キョウジュ</t>
    </rPh>
    <rPh sb="168" eb="170">
      <t>タニハタ</t>
    </rPh>
    <rPh sb="174" eb="176">
      <t>ジョウホウ</t>
    </rPh>
    <rPh sb="180" eb="181">
      <t>ブ</t>
    </rPh>
    <rPh sb="183" eb="185">
      <t>ブチョウ</t>
    </rPh>
    <rPh sb="187" eb="189">
      <t>タナベ</t>
    </rPh>
    <rPh sb="190" eb="191">
      <t>サカエ</t>
    </rPh>
    <phoneticPr fontId="1"/>
  </si>
  <si>
    <t>本教育プログラムは、オンデマンド型授業で実施している。この履修形態のメリットは、開講時期の期間内であれば自分のペースで何度でも反復して学習することができることであるが、また同時に、教員のサポートとして個々の学生の学修状況に合わせた個別指導が行き渡りやすいことがあげられる。本学では同プログラムの担当として3名の教員を割り当て、学修進度の把握だけではなく個別の状況にも対応して指導・サポートができる体制をとっている。</t>
    <phoneticPr fontId="1"/>
  </si>
  <si>
    <t>本教育プログラムは、現代社会を取り巻く様々な問題を数理科学の知識を使って解き明かし、解決していくための手法や考え方を身につけることを目標としている。身の回りの小さな問題から社会問題まで、その背後にあるデータを捉えて科学的・論理的に解析することで従来見えなかった社会現象を捉える力を身につけることで、学ぶ楽しさや学ぶことの意義を理解させようとしている。同時にこれらのデータを素早く扱うために必要となるAI(Artificial Intelligence)の活用手法や、それを支える周辺技術についても学ぶことで、その後の応用可能性も見通しながら学修を継続していける工夫を行っている。</t>
    <phoneticPr fontId="1"/>
  </si>
  <si>
    <t>金沢星稜大学女子短期大学部</t>
    <rPh sb="0" eb="6">
      <t>カナザワセイリョウダイガク</t>
    </rPh>
    <rPh sb="6" eb="12">
      <t>ジョシタンキダイガク</t>
    </rPh>
    <rPh sb="12" eb="13">
      <t>ブ</t>
    </rPh>
    <phoneticPr fontId="1"/>
  </si>
  <si>
    <t>経営実務科</t>
    <rPh sb="0" eb="2">
      <t>ケイエイ</t>
    </rPh>
    <rPh sb="2" eb="4">
      <t>ジツム</t>
    </rPh>
    <rPh sb="4" eb="5">
      <t>カ</t>
    </rPh>
    <phoneticPr fontId="1"/>
  </si>
  <si>
    <t>谷畠　範恭</t>
    <rPh sb="0" eb="1">
      <t>タニ</t>
    </rPh>
    <rPh sb="1" eb="2">
      <t>ハタ</t>
    </rPh>
    <rPh sb="3" eb="4">
      <t>ハン</t>
    </rPh>
    <rPh sb="4" eb="5">
      <t>ヤスシ</t>
    </rPh>
    <phoneticPr fontId="1"/>
  </si>
  <si>
    <t>学科長</t>
    <rPh sb="0" eb="2">
      <t>ガッカ</t>
    </rPh>
    <rPh sb="2" eb="3">
      <t>チョウ</t>
    </rPh>
    <phoneticPr fontId="1"/>
  </si>
  <si>
    <t>大久保 英哲</t>
    <phoneticPr fontId="1"/>
  </si>
  <si>
    <t>本学は令和4（2022）年度より各授業科目のレベルから科目群のレベルまでをとおして「何が学べるか、どのような力が身につくのか」を学生に明示する方針をとっている。本教育プログラム（「数理・データサイエンス・AIリテラシー」）は教養科目群に位置づけられ、「データサイエンス教育科目」として独自な位置を占めると同時に基礎科目「ＩＣＴ活用実習」、専門科目「情報技術」、「情報化社会論」等と有機的な連関があることを学生に示している。また、ガイダンスではそれぞれの専門科目群と本教育プログラムがどのような学問的な繋がりがあるのかを学生に示しながら適切な履修指導が行える体制をとっている。</t>
    <rPh sb="12" eb="14">
      <t>ネンド</t>
    </rPh>
    <rPh sb="112" eb="114">
      <t>キョウヨウ</t>
    </rPh>
    <rPh sb="155" eb="157">
      <t>キソ</t>
    </rPh>
    <rPh sb="157" eb="159">
      <t>カモク</t>
    </rPh>
    <rPh sb="163" eb="165">
      <t>カツヨウ</t>
    </rPh>
    <rPh sb="165" eb="167">
      <t>ジッシュウ</t>
    </rPh>
    <rPh sb="169" eb="171">
      <t>センモン</t>
    </rPh>
    <rPh sb="171" eb="173">
      <t>カモク</t>
    </rPh>
    <rPh sb="174" eb="176">
      <t>ジョウホウ</t>
    </rPh>
    <rPh sb="176" eb="178">
      <t>ギジュツ</t>
    </rPh>
    <rPh sb="181" eb="184">
      <t>ジョウホウカ</t>
    </rPh>
    <rPh sb="184" eb="186">
      <t>シャカイ</t>
    </rPh>
    <rPh sb="186" eb="187">
      <t>ロン</t>
    </rPh>
    <rPh sb="188" eb="189">
      <t>トウ</t>
    </rPh>
    <phoneticPr fontId="1"/>
  </si>
  <si>
    <t>毎年4月に実施している新入生研修にて本教育プログラムが文部科学省「数理・データサイエンスAI教育プログラム認定制度（リテラシーレベル）」の認定を予定していること、今後のデジタル社会において、数理・データサイエンス・AIを日常生活や仕事の場等で使いこなすために基礎的な素養を主体的に身に付けることを目的としていることを文書で示し、2年間の履修計画の中に位置づける意義の明確化に努めている。また、前年度履修済の先輩学生からの感想や学修成果を発表させる取り組みも履修ガイダンスにて行っている。</t>
    <phoneticPr fontId="1"/>
  </si>
  <si>
    <t>本教育プログラムは全学部を対象とした完全オンデマンド形式の授業で開講しており、各学部のカリキュラムや時間割には依存せずに履修が可能である。履修対象となる1年次には特に新入時の履修ガイダンスで科目の説明を行い履修者増に努めている。学期ごとに履修者数、履修率を調査・分析し、その向上のための継続的な取り組みを行っている。</t>
    <rPh sb="143" eb="146">
      <t>ケイゾクテキ</t>
    </rPh>
    <phoneticPr fontId="1"/>
  </si>
  <si>
    <t>委員長・学長</t>
    <rPh sb="0" eb="3">
      <t>イインチョウ</t>
    </rPh>
    <rPh sb="4" eb="6">
      <t>ガクチョウ</t>
    </rPh>
    <phoneticPr fontId="1"/>
  </si>
  <si>
    <t>○AI・データサイエンスの必要性を説明できる。
○社会で活用されているデータ・AI活用の事例を例示できる。
○どのような思考方法でデータを扱うか説明できる。
○データ・AIを扱う上での留意事項を説明できる。</t>
    <phoneticPr fontId="1"/>
  </si>
  <si>
    <t>本教育プログラムは、令和4年度の入学生から履修可能としている。そのため、履修者対象者は基本的に年次ごとの逐次増加を見込んでいるが、これに加え履修モデルを整備し、本教育プログラムを体系的に組み込むことで、さらなる履修者の増加を図る予定である。また、令和7年度以降に「数理・データサイエンス・ＡＩ教育プログラム認定制度（リテラシーレベル）プラス」の申請を予定し、これに向けての履修者増を図る。年次ごとの履修者数の見込みは次のとおりとする。（（　）内は履修率。）
令和5年度：60人（20％）
令和6年度：105人（35％）
令和7年度：165人（55％）
令和8年度：225人（75％）
本学は入学時に情報ガイダンスを実施しており、本学の目指す「新しい時代の学びスタイル」について周知している。本教育プログラムについても、そうした対面的なガイダンスを活用し、同時に、LMSの連絡システムにて、履修を促す取り組みを行っていく。</t>
    <phoneticPr fontId="1"/>
  </si>
  <si>
    <t>教養科目の「数理・データサイエンス・AIリテラシー」の単位を2単位取得すること。</t>
    <rPh sb="0" eb="2">
      <t>キョウヨウ</t>
    </rPh>
    <rPh sb="2" eb="4">
      <t>カモク</t>
    </rPh>
    <rPh sb="31" eb="33">
      <t>タンイ</t>
    </rPh>
    <phoneticPr fontId="1"/>
  </si>
  <si>
    <t>金沢星稜大学女子短期大学部自己点検・評価委員会</t>
    <rPh sb="0" eb="6">
      <t>カナザワセイリョウダイガク</t>
    </rPh>
    <rPh sb="6" eb="8">
      <t>ジョシ</t>
    </rPh>
    <rPh sb="8" eb="10">
      <t>タンキ</t>
    </rPh>
    <rPh sb="10" eb="12">
      <t>ダイガク</t>
    </rPh>
    <rPh sb="12" eb="13">
      <t>ブ</t>
    </rPh>
    <phoneticPr fontId="1"/>
  </si>
  <si>
    <t xml:space="preserve">自己点検・評価委員会にて実施している授業評価アンケートの項目にて「数理・データサイエンス・AIリテラシー」科目の理解についての学生評価と総合的な満足度について調査し、その回答を分析することによって学生の理解度を把握している。
2022年度の学生への授業評価アンケートの結果からは、本教育プログラムの理解度はやや難しいという回答もあったが、7割以上の学生から「ほぼ理解できた」という回答を得る結果となり、自由記述からも、「オンデマンド授業で開講したこともあり、自分の好きなタイミングで受講することができ時間を有効活用して学ぶことができた」や「小テストが授業内容に沿った問題で理解を深めることができた」などのコメントも寄せられており、学生の満足度も高いことが窺える。
</t>
    <phoneticPr fontId="1"/>
  </si>
  <si>
    <t>開講科目の履修登録状況および修得状況は、教務課に登録されている情報によって把握することができる。「数理・データサイエンス・AIリテラシー」科目についても、同様に教務課での把握を行うとともに、総合情報センターにおいても履修状況と単位修得状況を把握している。当科目はオンデマンド形式で開講されており、専用学習システム、本学LMS、動画配信システム、学務システムを活用しており、これらのシステム上で、履修者ごとに講義内容の進捗状況や課題やレポートに対する回答状況などの学習履歴を包括的に確認することが可能となっている。各授業クラス担当者はこれらの学習履歴を把握・分析し、課題の提出状況や小テストの成績を基に全受講者の学修状況の管理を行っている。また、これらの学修状況に関わる全体的な分析結果は、自己点検・評価委員会に報告され、プログラムの修得状況も含め、本学の数理・データサイエンス・AI教育を推進していくための課題の析出、改善に向けた審議を行っている。</t>
    <phoneticPr fontId="1"/>
  </si>
  <si>
    <t>本学が導入している学修支援システム（LMS）および専用学習システムにおいて、本教育プログラムを構成する教材内の課題は自動採点され提出状況が確認することができる。開講科目の全15回の授業を7つのフェーズに区切り、学習内容と学習期間の目標を示すことで、オンデマンド形式においても受講者が円滑な学修を進めることができるようにしている。フェーズ毎に出される課題については、総評をフィードバックするとともに、受講者間でピアレビューを行い相互評価に資するように工夫している。受講後は授業評価アンケート調査を実施し、ポートフォリオから得られるデータを分析し学修成果の把握を行っている。そして、これらの結果は、総合情報センターの運営委員会に報告されるとともに、自己点検・評価委員会にて学修成果のさらなる向上に向けた施策の検討を行っている。</t>
    <rPh sb="279" eb="280">
      <t>オコナ</t>
    </rPh>
    <rPh sb="346" eb="347">
      <t>ム</t>
    </rPh>
    <phoneticPr fontId="1"/>
  </si>
  <si>
    <t>・ビッグデータ、IoT、AI、ロボット「数理・データサイエンス・AIリテラシー」（第2回）
・第4次産業革命、Society 5.0、データ駆動型社会「数理・データサイエンス・AIリテラシー」（第2回）</t>
    <phoneticPr fontId="1"/>
  </si>
  <si>
    <t xml:space="preserve">・AI等を活用した新しいビジネスモデル(シェアリングエコノミー、商品のレコメンデーションなど)「数理・データサイエンス・AIリテラシー」（第8回）
・AI最新技術の活用例（深層生成モデル、敵対的生成ネットワーク、強化学習、転移学習など）「数理・データサイエンス・AIリテラシー」（第8回）
</t>
    <phoneticPr fontId="1"/>
  </si>
  <si>
    <t>・調査データ、実験データ、人の行動ログデータ、機械の稼働ログデータなど「数理・データサイエンス・AIリテラシー」（第3回）
・1次データ、2次データ、データのメタ化「数理・データサイエンス・AIリテラシー」（第3回）
・構造化データ、非構造化データ（文章、画像/動画、音声/音楽など）「数理・データサイエンス・AIリテラシー」（第3回）
・データのオープン化（オープンデータ）「数理・データサイエンス・AIリテラシー」（第3回）</t>
    <phoneticPr fontId="1"/>
  </si>
  <si>
    <t>・データ・AI活用領域の広がり(生産、消費、文化活動など)「数理・データサイエンス・AIリテラシー」（第4回）
・研究開発、調達、製造、物流、販売、マーケティング、サービスなど「数理・データサイエンス・AIリテラシー」（第4回）</t>
    <phoneticPr fontId="1"/>
  </si>
  <si>
    <t>・データ解析：予測、グルーピング、パターン発見、最適化、シミュレーション・データ同化など「数理・データサイエンス・AIリテラシー」（第5回）
・データ可視化：複合グラフ、2軸グラフ、多次元の可視化、関係性の可視化、地図上の可視化、
挙動・軌跡の可視化、リアルタイム可視化など「数理・データサイエンス・AIリテラシー」（第5回）
・特化型AIと汎用AI、今のAIで出来ることと出来ないこと、AIとビッグデータ「数理・データサイエンス・AIリテラシー」（第5回）
・認識技術、ルールベース、自動化技術「数理・データサイエンス・AIリテラシー」（第5回）</t>
    <phoneticPr fontId="1"/>
  </si>
  <si>
    <t>・流通、製造、金融、サービス、インフラ、公共、ヘルスケア等におけるデータ・AI利活用事例紹介「数理・データサイエンス・AIリテラシー」（第7回）</t>
    <phoneticPr fontId="1"/>
  </si>
  <si>
    <t xml:space="preserve">・ELSI（Ethical, Legal and Social Issues）「数理・データサイエンス・AIリテラシー」（第13回）
・データ倫理：データのねつ造、改ざん、盗用、プライバシー保護「数理・データサイエンス・AIリテラシー」（第13回）
・個人情報保護、EU一般データ保護規則(GDPR)、忘れられる権利、オプトアウト「数理・データサイエンス・AIリテラシー」（第13回）
・データバイアス、アルゴリズムバイアス「数理・データサイエンス・AIリテラシー」（第14回）
・AI社会原則（公平性、説明責任、透明性、人間中心の判断）「数理・データサイエンス・AIリテラシー」（第14回）
</t>
    <phoneticPr fontId="1"/>
  </si>
  <si>
    <t>・情報セキュリティ：機密性、完全性、可用性「数理・データサイエンス・AIリテラシー」（第15回）
・匿名加工情報、暗号化、パスワード、悪意ある情報搾取「数理・データサイエンス・AIリテラシー」（第15回）
・情報漏洩等によるセキュリティ事故の事例紹介「数理・データサイエンス・AIリテラシー」（第15回）</t>
    <phoneticPr fontId="1"/>
  </si>
  <si>
    <t>・データの種類（量的変数、質的変数）「数理・データサイエンス・AIリテラシー」（第9回）
・データの分布(ヒストグラム)と代表値（平均値、中央値、最頻値）「数理・データサイエンス・AIリテラシー」（第9回）
・代表値の性質の違い（実社会では平均値＝最頻値でないことが多い）「数理・データサイエンス・AIリテラシー」（第9回）
・データのばらつき（分散、標準偏差、偏差値）「数理・データサイエンス・AIリテラシー」（第9回）
・観測データに含まれる誤差の扱い「数理・データサイエンス・AIリテラシー」（第9回）
・相関と因果（相関係数、擬似相関、交絡）「数理・データサイエンス・AIリテラシー」（第10回）
・母集団と標本抽出（国勢調査、アンケート調査、全数調査、単純無作為抽出、層別抽出、多段抽出）「数理・データサイエンス・AIリテラシー」（第10回）
・統計情報の正しい理解（誇張表現に惑わされない）「数理・データサイエンス・AIリテラシー」（第10回）</t>
    <phoneticPr fontId="1"/>
  </si>
  <si>
    <t>・データ表現（棒グラフ、折線グラフ、散布図、ヒートマップ）「数理・データサイエンス・AIリテラシー」（第11回）
・データの図表表現（チャート化）「数理・データサイエンス・AIリテラシー」（第11回）
・データの比較（条件をそろえた比較、処理の前後での比較、A/Bテスト)「数理・データサイエンス・AIリテラシー」（第11回）
・不適切なグラフ表現（チャートジャンク、不必要な視覚的要素）「数理・データサイエンス・AIリテラシー」（第11回）
・優れた可視化事例の紹介（可視化することによって新たな気づきがあった事例など）「数理・データサイエンス・AIリテラシー」（第11回）</t>
    <phoneticPr fontId="1"/>
  </si>
  <si>
    <t xml:space="preserve">・データの集計（和、平均）「数理・データサイエンス・AIリテラシー」（第12回）
・データ解析ツール（スプレッドシート）「数理・データサイエンス・AIリテラシー」（第12回）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</si>
</sst>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dotted">
        <color auto="1"/>
      </left>
      <right style="hair">
        <color auto="1"/>
      </right>
      <top style="thin">
        <color auto="1"/>
      </top>
      <bottom style="hair">
        <color auto="1"/>
      </bottom>
      <diagonal/>
    </border>
    <border>
      <left style="dotted">
        <color auto="1"/>
      </left>
      <right style="hair">
        <color auto="1"/>
      </right>
      <top style="hair">
        <color auto="1"/>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62" xfId="2" applyFont="1" applyBorder="1" applyAlignment="1">
      <alignment vertical="center" shrinkToFit="1"/>
    </xf>
    <xf numFmtId="0" fontId="11" fillId="0" borderId="14" xfId="0" applyFont="1" applyFill="1" applyBorder="1" applyAlignment="1">
      <alignment horizontal="left" vertical="center" shrinkToFit="1"/>
    </xf>
    <xf numFmtId="38" fontId="11" fillId="0" borderId="50" xfId="2" applyFont="1" applyFill="1" applyBorder="1" applyAlignment="1">
      <alignment vertical="center" shrinkToFit="1"/>
    </xf>
    <xf numFmtId="38" fontId="11" fillId="0" borderId="0" xfId="2" applyFont="1" applyFill="1" applyAlignment="1">
      <alignment vertical="center" shrinkToFit="1"/>
    </xf>
    <xf numFmtId="38" fontId="11" fillId="0" borderId="5" xfId="2" applyFont="1" applyFill="1" applyBorder="1" applyAlignment="1">
      <alignment vertical="center" shrinkToFit="1"/>
    </xf>
    <xf numFmtId="38" fontId="11" fillId="0" borderId="57" xfId="2" applyFont="1" applyFill="1" applyBorder="1" applyAlignment="1">
      <alignment vertical="center" shrinkToFit="1"/>
    </xf>
    <xf numFmtId="38" fontId="11" fillId="0" borderId="55" xfId="2" applyFont="1" applyFill="1" applyBorder="1" applyAlignment="1">
      <alignment vertical="center" shrinkToFit="1"/>
    </xf>
    <xf numFmtId="38" fontId="11" fillId="0" borderId="32" xfId="2" applyFont="1" applyFill="1" applyBorder="1" applyAlignment="1">
      <alignment vertical="center" shrinkToFit="1"/>
    </xf>
    <xf numFmtId="38" fontId="11" fillId="0" borderId="61" xfId="2" applyFont="1" applyFill="1" applyBorder="1" applyAlignment="1">
      <alignment vertical="center" shrinkToFit="1"/>
    </xf>
    <xf numFmtId="38" fontId="11" fillId="0" borderId="44" xfId="2" applyFont="1" applyFill="1" applyBorder="1" applyAlignment="1">
      <alignment vertical="center" shrinkToFit="1"/>
    </xf>
    <xf numFmtId="0" fontId="11" fillId="0" borderId="1" xfId="0" applyFont="1" applyFill="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9" fontId="11" fillId="0" borderId="1" xfId="0" applyNumberFormat="1" applyFont="1" applyBorder="1" applyAlignment="1">
      <alignment horizontal="center"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7"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11" fillId="0" borderId="9" xfId="0" applyFont="1" applyBorder="1" applyAlignment="1">
      <alignment vertical="top"/>
    </xf>
    <xf numFmtId="0" fontId="11" fillId="0" borderId="5" xfId="0" applyFont="1" applyBorder="1" applyAlignment="1">
      <alignment vertical="top"/>
    </xf>
    <xf numFmtId="0" fontId="11" fillId="0" borderId="0" xfId="0" applyFont="1" applyAlignment="1">
      <alignment vertical="top"/>
    </xf>
    <xf numFmtId="0" fontId="11" fillId="0" borderId="10" xfId="0" applyFont="1" applyBorder="1" applyAlignment="1">
      <alignment vertical="top"/>
    </xf>
    <xf numFmtId="0" fontId="11" fillId="0" borderId="11" xfId="0" applyFont="1" applyBorder="1" applyAlignment="1">
      <alignment vertical="top"/>
    </xf>
    <xf numFmtId="0" fontId="11" fillId="0" borderId="6" xfId="0" applyFont="1" applyBorder="1" applyAlignment="1">
      <alignment vertical="top"/>
    </xf>
    <xf numFmtId="0" fontId="11"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11" fillId="0" borderId="1" xfId="0" applyNumberFormat="1" applyFont="1" applyBorder="1" applyAlignment="1">
      <alignment horizontal="center" vertical="center" shrinkToFit="1"/>
    </xf>
    <xf numFmtId="9" fontId="11" fillId="0" borderId="1" xfId="0" applyNumberFormat="1" applyFont="1" applyBorder="1" applyAlignment="1">
      <alignment horizontal="center" vertical="center" wrapText="1"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Fill="1" applyBorder="1" applyAlignment="1">
      <alignment vertical="center" shrinkToFit="1"/>
    </xf>
    <xf numFmtId="0" fontId="2" fillId="0" borderId="3" xfId="0" applyFont="1" applyFill="1" applyBorder="1" applyAlignment="1">
      <alignment vertical="center" shrinkToFit="1"/>
    </xf>
    <xf numFmtId="0" fontId="2" fillId="0" borderId="4" xfId="0" applyFont="1" applyFill="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1" fillId="0" borderId="2"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11" fillId="0" borderId="3" xfId="0" applyFont="1" applyBorder="1" applyAlignment="1">
      <alignment horizontal="left" vertical="center"/>
    </xf>
    <xf numFmtId="0" fontId="11"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110" zoomScaleNormal="100" zoomScaleSheetLayoutView="110" workbookViewId="0">
      <selection activeCell="D95" sqref="D95:S95"/>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12" t="s">
        <v>12</v>
      </c>
      <c r="S1" s="112"/>
      <c r="T1" s="2" t="s">
        <v>110</v>
      </c>
    </row>
    <row r="2" spans="1:22" ht="18.75" customHeight="1" x14ac:dyDescent="0.2">
      <c r="B2" s="33" t="s">
        <v>109</v>
      </c>
      <c r="C2" s="116" t="s">
        <v>145</v>
      </c>
      <c r="D2" s="117"/>
      <c r="E2" s="117"/>
      <c r="F2" s="117"/>
      <c r="G2" s="117"/>
      <c r="H2" s="117"/>
      <c r="I2" s="118"/>
      <c r="J2" s="34"/>
      <c r="K2" s="6"/>
      <c r="L2" s="6"/>
      <c r="M2" s="6"/>
      <c r="N2" s="6"/>
      <c r="O2" s="6"/>
      <c r="P2" s="6"/>
      <c r="Q2" s="6"/>
      <c r="R2" s="6"/>
      <c r="S2" s="6"/>
    </row>
    <row r="3" spans="1:22" ht="18.75" customHeight="1" x14ac:dyDescent="0.2">
      <c r="B3" s="33" t="s">
        <v>103</v>
      </c>
      <c r="C3" s="119" t="s">
        <v>141</v>
      </c>
      <c r="D3" s="120"/>
      <c r="E3" s="120"/>
      <c r="F3" s="120"/>
      <c r="G3" s="120"/>
      <c r="H3" s="120"/>
      <c r="I3" s="121"/>
      <c r="J3" s="34"/>
      <c r="K3" s="6"/>
      <c r="L3" s="6"/>
      <c r="M3" s="6"/>
      <c r="N3" s="6"/>
      <c r="O3" s="6"/>
      <c r="P3" s="6"/>
      <c r="Q3" s="6"/>
      <c r="R3" s="6"/>
      <c r="S3" s="6"/>
    </row>
    <row r="4" spans="1:22" ht="15" customHeight="1" x14ac:dyDescent="0.2">
      <c r="K4" s="34"/>
      <c r="L4" s="35"/>
      <c r="M4" s="35"/>
      <c r="N4" s="35"/>
      <c r="O4" s="35"/>
      <c r="P4" s="35"/>
      <c r="Q4" s="35"/>
      <c r="R4" s="35"/>
      <c r="S4" s="35"/>
    </row>
    <row r="5" spans="1:22" ht="18" customHeight="1" x14ac:dyDescent="0.2">
      <c r="A5" s="122" t="s">
        <v>39</v>
      </c>
      <c r="B5" s="122"/>
      <c r="C5" s="122"/>
      <c r="D5" s="122"/>
      <c r="E5" s="122"/>
      <c r="F5" s="122"/>
      <c r="G5" s="122"/>
      <c r="H5" s="122"/>
      <c r="I5" s="122"/>
      <c r="J5" s="122"/>
      <c r="K5" s="122"/>
      <c r="L5" s="122"/>
      <c r="M5" s="122"/>
      <c r="N5" s="122"/>
      <c r="O5" s="122"/>
      <c r="P5" s="122"/>
      <c r="Q5" s="122"/>
      <c r="R5" s="122"/>
      <c r="S5" s="122"/>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6" t="s">
        <v>108</v>
      </c>
      <c r="K7" s="132" t="s">
        <v>127</v>
      </c>
      <c r="L7" s="133"/>
      <c r="M7" s="133"/>
      <c r="N7" s="133"/>
      <c r="O7" s="133"/>
      <c r="P7" s="133"/>
      <c r="Q7" s="133"/>
      <c r="R7" s="133"/>
      <c r="S7" s="134"/>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93"/>
      <c r="C9" s="94"/>
      <c r="D9" s="94"/>
      <c r="E9" s="94"/>
      <c r="F9" s="94"/>
      <c r="G9" s="94"/>
      <c r="H9" s="94"/>
      <c r="I9" s="94"/>
      <c r="J9" s="94"/>
      <c r="K9" s="94"/>
      <c r="L9" s="94"/>
      <c r="M9" s="94"/>
      <c r="N9" s="94"/>
      <c r="O9" s="94"/>
      <c r="P9" s="94"/>
      <c r="Q9" s="94"/>
      <c r="R9" s="94"/>
      <c r="S9" s="95"/>
    </row>
    <row r="10" spans="1:22" ht="18" customHeight="1" x14ac:dyDescent="0.2">
      <c r="B10" s="96"/>
      <c r="C10" s="97"/>
      <c r="D10" s="97"/>
      <c r="E10" s="97"/>
      <c r="F10" s="97"/>
      <c r="G10" s="97"/>
      <c r="H10" s="97"/>
      <c r="I10" s="97"/>
      <c r="J10" s="97"/>
      <c r="K10" s="97"/>
      <c r="L10" s="97"/>
      <c r="M10" s="97"/>
      <c r="N10" s="97"/>
      <c r="O10" s="97"/>
      <c r="P10" s="97"/>
      <c r="Q10" s="97"/>
      <c r="R10" s="97"/>
      <c r="S10" s="98"/>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4"/>
      <c r="E12" s="34"/>
      <c r="F12" s="34"/>
      <c r="G12" s="34"/>
      <c r="H12" s="34"/>
      <c r="I12" s="34"/>
      <c r="J12" s="34"/>
      <c r="K12" s="37"/>
      <c r="L12" s="37"/>
      <c r="M12" s="37"/>
      <c r="N12" s="37"/>
      <c r="O12" s="37"/>
      <c r="P12" s="37"/>
      <c r="Q12" s="37"/>
      <c r="R12" s="37"/>
      <c r="S12" s="37"/>
    </row>
    <row r="13" spans="1:22" ht="18" customHeight="1" x14ac:dyDescent="0.2">
      <c r="B13" s="123" t="s">
        <v>156</v>
      </c>
      <c r="C13" s="124"/>
      <c r="D13" s="124"/>
      <c r="E13" s="124"/>
      <c r="F13" s="124"/>
      <c r="G13" s="124"/>
      <c r="H13" s="124"/>
      <c r="I13" s="124"/>
      <c r="J13" s="124"/>
      <c r="K13" s="124"/>
      <c r="L13" s="124"/>
      <c r="M13" s="124"/>
      <c r="N13" s="124"/>
      <c r="O13" s="124"/>
      <c r="P13" s="124"/>
      <c r="Q13" s="124"/>
      <c r="R13" s="124"/>
      <c r="S13" s="125"/>
      <c r="V13" s="1" t="s">
        <v>104</v>
      </c>
    </row>
    <row r="14" spans="1:22" ht="18" customHeight="1" x14ac:dyDescent="0.2">
      <c r="B14" s="126"/>
      <c r="C14" s="127"/>
      <c r="D14" s="127"/>
      <c r="E14" s="127"/>
      <c r="F14" s="127"/>
      <c r="G14" s="127"/>
      <c r="H14" s="127"/>
      <c r="I14" s="127"/>
      <c r="J14" s="127"/>
      <c r="K14" s="127"/>
      <c r="L14" s="127"/>
      <c r="M14" s="127"/>
      <c r="N14" s="127"/>
      <c r="O14" s="127"/>
      <c r="P14" s="127"/>
      <c r="Q14" s="127"/>
      <c r="R14" s="127"/>
      <c r="S14" s="128"/>
      <c r="V14" s="1" t="s">
        <v>111</v>
      </c>
    </row>
    <row r="15" spans="1:22" ht="18" customHeight="1" x14ac:dyDescent="0.2">
      <c r="B15" s="126"/>
      <c r="C15" s="127"/>
      <c r="D15" s="127"/>
      <c r="E15" s="127"/>
      <c r="F15" s="127"/>
      <c r="G15" s="127"/>
      <c r="H15" s="127"/>
      <c r="I15" s="127"/>
      <c r="J15" s="127"/>
      <c r="K15" s="127"/>
      <c r="L15" s="127"/>
      <c r="M15" s="127"/>
      <c r="N15" s="127"/>
      <c r="O15" s="127"/>
      <c r="P15" s="127"/>
      <c r="Q15" s="127"/>
      <c r="R15" s="127"/>
      <c r="S15" s="128"/>
      <c r="V15" s="1" t="s">
        <v>124</v>
      </c>
    </row>
    <row r="16" spans="1:22" ht="18" customHeight="1" x14ac:dyDescent="0.2">
      <c r="B16" s="126"/>
      <c r="C16" s="127"/>
      <c r="D16" s="127"/>
      <c r="E16" s="127"/>
      <c r="F16" s="127"/>
      <c r="G16" s="127"/>
      <c r="H16" s="127"/>
      <c r="I16" s="127"/>
      <c r="J16" s="127"/>
      <c r="K16" s="127"/>
      <c r="L16" s="127"/>
      <c r="M16" s="127"/>
      <c r="N16" s="127"/>
      <c r="O16" s="127"/>
      <c r="P16" s="127"/>
      <c r="Q16" s="127"/>
      <c r="R16" s="127"/>
      <c r="S16" s="128"/>
      <c r="V16" s="1" t="s">
        <v>126</v>
      </c>
    </row>
    <row r="17" spans="1:19" ht="18" customHeight="1" x14ac:dyDescent="0.2">
      <c r="B17" s="126"/>
      <c r="C17" s="127"/>
      <c r="D17" s="127"/>
      <c r="E17" s="127"/>
      <c r="F17" s="127"/>
      <c r="G17" s="127"/>
      <c r="H17" s="127"/>
      <c r="I17" s="127"/>
      <c r="J17" s="127"/>
      <c r="K17" s="127"/>
      <c r="L17" s="127"/>
      <c r="M17" s="127"/>
      <c r="N17" s="127"/>
      <c r="O17" s="127"/>
      <c r="P17" s="127"/>
      <c r="Q17" s="127"/>
      <c r="R17" s="127"/>
      <c r="S17" s="128"/>
    </row>
    <row r="18" spans="1:19" ht="18" customHeight="1" x14ac:dyDescent="0.2">
      <c r="B18" s="129"/>
      <c r="C18" s="130"/>
      <c r="D18" s="130"/>
      <c r="E18" s="130"/>
      <c r="F18" s="130"/>
      <c r="G18" s="130"/>
      <c r="H18" s="130"/>
      <c r="I18" s="130"/>
      <c r="J18" s="130"/>
      <c r="K18" s="130"/>
      <c r="L18" s="130"/>
      <c r="M18" s="130"/>
      <c r="N18" s="130"/>
      <c r="O18" s="130"/>
      <c r="P18" s="130"/>
      <c r="Q18" s="130"/>
      <c r="R18" s="130"/>
      <c r="S18" s="131"/>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113</v>
      </c>
      <c r="C20" s="105">
        <v>2</v>
      </c>
      <c r="D20" s="107"/>
      <c r="E20" s="38" t="s">
        <v>96</v>
      </c>
      <c r="G20" s="10"/>
      <c r="H20" s="3"/>
      <c r="I20" s="3"/>
      <c r="J20" s="34" t="s">
        <v>122</v>
      </c>
      <c r="K20" s="113" t="s">
        <v>126</v>
      </c>
      <c r="L20" s="114"/>
      <c r="M20" s="114"/>
      <c r="N20" s="114"/>
      <c r="O20" s="114"/>
      <c r="P20" s="114"/>
      <c r="Q20" s="114"/>
      <c r="R20" s="114"/>
      <c r="S20" s="115"/>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108" t="s">
        <v>114</v>
      </c>
      <c r="B22" s="108"/>
      <c r="C22" s="108"/>
      <c r="D22" s="108"/>
      <c r="E22" s="108"/>
      <c r="F22" s="108"/>
      <c r="G22" s="108"/>
      <c r="H22" s="108"/>
      <c r="I22" s="108"/>
      <c r="J22" s="108"/>
      <c r="K22" s="108"/>
      <c r="L22" s="108"/>
      <c r="M22" s="108"/>
      <c r="N22" s="108"/>
      <c r="O22" s="108"/>
      <c r="P22" s="108"/>
      <c r="Q22" s="108"/>
      <c r="R22" s="108"/>
      <c r="S22" s="108"/>
    </row>
    <row r="23" spans="1:19" ht="18" customHeight="1" x14ac:dyDescent="0.2">
      <c r="A23" s="108"/>
      <c r="B23" s="108"/>
      <c r="C23" s="108"/>
      <c r="D23" s="108"/>
      <c r="E23" s="108"/>
      <c r="F23" s="108"/>
      <c r="G23" s="108"/>
      <c r="H23" s="108"/>
      <c r="I23" s="108"/>
      <c r="J23" s="108"/>
      <c r="K23" s="108"/>
      <c r="L23" s="108"/>
      <c r="M23" s="108"/>
      <c r="N23" s="108"/>
      <c r="O23" s="108"/>
      <c r="P23" s="108"/>
      <c r="Q23" s="108"/>
      <c r="R23" s="108"/>
      <c r="S23" s="108"/>
    </row>
    <row r="24" spans="1:19" ht="18" customHeight="1" x14ac:dyDescent="0.2">
      <c r="B24" s="105" t="s">
        <v>54</v>
      </c>
      <c r="C24" s="106"/>
      <c r="D24" s="106"/>
      <c r="E24" s="107"/>
      <c r="F24" s="58" t="s">
        <v>81</v>
      </c>
      <c r="G24" s="57" t="s">
        <v>85</v>
      </c>
      <c r="H24" s="21" t="s">
        <v>57</v>
      </c>
      <c r="I24" s="21" t="s">
        <v>60</v>
      </c>
      <c r="J24" s="105" t="s">
        <v>54</v>
      </c>
      <c r="K24" s="106"/>
      <c r="L24" s="106"/>
      <c r="M24" s="106"/>
      <c r="N24" s="106"/>
      <c r="O24" s="107"/>
      <c r="P24" s="58" t="s">
        <v>81</v>
      </c>
      <c r="Q24" s="57" t="s">
        <v>85</v>
      </c>
      <c r="R24" s="21" t="s">
        <v>57</v>
      </c>
      <c r="S24" s="21" t="s">
        <v>60</v>
      </c>
    </row>
    <row r="25" spans="1:19" ht="18" customHeight="1" x14ac:dyDescent="0.2">
      <c r="B25" s="109" t="s">
        <v>128</v>
      </c>
      <c r="C25" s="110"/>
      <c r="D25" s="110"/>
      <c r="E25" s="111"/>
      <c r="F25" s="22">
        <v>2</v>
      </c>
      <c r="G25" s="22" t="s">
        <v>129</v>
      </c>
      <c r="H25" s="22" t="s">
        <v>129</v>
      </c>
      <c r="I25" s="22" t="s">
        <v>129</v>
      </c>
      <c r="J25" s="109"/>
      <c r="K25" s="110"/>
      <c r="L25" s="110"/>
      <c r="M25" s="110"/>
      <c r="N25" s="110"/>
      <c r="O25" s="111"/>
      <c r="P25" s="22"/>
      <c r="Q25" s="22"/>
      <c r="R25" s="22"/>
      <c r="S25" s="22"/>
    </row>
    <row r="26" spans="1:19" ht="18" customHeight="1" x14ac:dyDescent="0.2">
      <c r="B26" s="99"/>
      <c r="C26" s="100"/>
      <c r="D26" s="100"/>
      <c r="E26" s="101"/>
      <c r="F26" s="23"/>
      <c r="G26" s="23"/>
      <c r="H26" s="23"/>
      <c r="I26" s="23"/>
      <c r="J26" s="99"/>
      <c r="K26" s="100"/>
      <c r="L26" s="100"/>
      <c r="M26" s="100"/>
      <c r="N26" s="100"/>
      <c r="O26" s="101"/>
      <c r="P26" s="23"/>
      <c r="Q26" s="23"/>
      <c r="R26" s="23"/>
      <c r="S26" s="23"/>
    </row>
    <row r="27" spans="1:19" ht="18" customHeight="1" x14ac:dyDescent="0.2">
      <c r="B27" s="99"/>
      <c r="C27" s="100"/>
      <c r="D27" s="100"/>
      <c r="E27" s="101"/>
      <c r="F27" s="23"/>
      <c r="G27" s="23"/>
      <c r="H27" s="23"/>
      <c r="I27" s="23"/>
      <c r="J27" s="99"/>
      <c r="K27" s="100"/>
      <c r="L27" s="100"/>
      <c r="M27" s="100"/>
      <c r="N27" s="100"/>
      <c r="O27" s="101"/>
      <c r="P27" s="23"/>
      <c r="Q27" s="23"/>
      <c r="R27" s="23"/>
      <c r="S27" s="23"/>
    </row>
    <row r="28" spans="1:19" ht="18" customHeight="1" x14ac:dyDescent="0.2">
      <c r="B28" s="99"/>
      <c r="C28" s="100"/>
      <c r="D28" s="100"/>
      <c r="E28" s="101"/>
      <c r="F28" s="23"/>
      <c r="G28" s="23"/>
      <c r="H28" s="23"/>
      <c r="I28" s="23"/>
      <c r="J28" s="99"/>
      <c r="K28" s="100"/>
      <c r="L28" s="100"/>
      <c r="M28" s="100"/>
      <c r="N28" s="100"/>
      <c r="O28" s="101"/>
      <c r="P28" s="23"/>
      <c r="Q28" s="23"/>
      <c r="R28" s="23"/>
      <c r="S28" s="23"/>
    </row>
    <row r="29" spans="1:19" ht="18" customHeight="1" x14ac:dyDescent="0.2">
      <c r="B29" s="99"/>
      <c r="C29" s="100"/>
      <c r="D29" s="100"/>
      <c r="E29" s="101"/>
      <c r="F29" s="23"/>
      <c r="G29" s="23"/>
      <c r="H29" s="23"/>
      <c r="I29" s="23"/>
      <c r="J29" s="99"/>
      <c r="K29" s="100"/>
      <c r="L29" s="100"/>
      <c r="M29" s="100"/>
      <c r="N29" s="100"/>
      <c r="O29" s="101"/>
      <c r="P29" s="23"/>
      <c r="Q29" s="23"/>
      <c r="R29" s="23"/>
      <c r="S29" s="23"/>
    </row>
    <row r="30" spans="1:19" ht="18" customHeight="1" x14ac:dyDescent="0.2">
      <c r="A30" s="3"/>
      <c r="B30" s="99"/>
      <c r="C30" s="100"/>
      <c r="D30" s="100"/>
      <c r="E30" s="101"/>
      <c r="F30" s="23"/>
      <c r="G30" s="23"/>
      <c r="H30" s="23"/>
      <c r="I30" s="23"/>
      <c r="J30" s="99"/>
      <c r="K30" s="100"/>
      <c r="L30" s="100"/>
      <c r="M30" s="100"/>
      <c r="N30" s="100"/>
      <c r="O30" s="101"/>
      <c r="P30" s="23"/>
      <c r="Q30" s="23"/>
      <c r="R30" s="23"/>
      <c r="S30" s="23"/>
    </row>
    <row r="31" spans="1:19" ht="18" customHeight="1" x14ac:dyDescent="0.2">
      <c r="A31" s="3"/>
      <c r="B31" s="102"/>
      <c r="C31" s="103"/>
      <c r="D31" s="103"/>
      <c r="E31" s="104"/>
      <c r="F31" s="24"/>
      <c r="G31" s="24"/>
      <c r="H31" s="25"/>
      <c r="I31" s="25"/>
      <c r="J31" s="102"/>
      <c r="K31" s="103"/>
      <c r="L31" s="103"/>
      <c r="M31" s="103"/>
      <c r="N31" s="103"/>
      <c r="O31" s="104"/>
      <c r="P31" s="24"/>
      <c r="Q31" s="24"/>
      <c r="R31" s="25"/>
      <c r="S31" s="25"/>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108" t="s">
        <v>115</v>
      </c>
      <c r="B33" s="108"/>
      <c r="C33" s="108"/>
      <c r="D33" s="108"/>
      <c r="E33" s="108"/>
      <c r="F33" s="108"/>
      <c r="G33" s="108"/>
      <c r="H33" s="108"/>
      <c r="I33" s="108"/>
      <c r="J33" s="108"/>
      <c r="K33" s="108"/>
      <c r="L33" s="108"/>
      <c r="M33" s="108"/>
      <c r="N33" s="108"/>
      <c r="O33" s="108"/>
      <c r="P33" s="108"/>
      <c r="Q33" s="108"/>
      <c r="R33" s="108"/>
      <c r="S33" s="108"/>
    </row>
    <row r="34" spans="1:19" ht="18" customHeight="1" x14ac:dyDescent="0.2">
      <c r="A34" s="108"/>
      <c r="B34" s="108"/>
      <c r="C34" s="108"/>
      <c r="D34" s="108"/>
      <c r="E34" s="108"/>
      <c r="F34" s="108"/>
      <c r="G34" s="108"/>
      <c r="H34" s="108"/>
      <c r="I34" s="108"/>
      <c r="J34" s="108"/>
      <c r="K34" s="108"/>
      <c r="L34" s="108"/>
      <c r="M34" s="108"/>
      <c r="N34" s="108"/>
      <c r="O34" s="108"/>
      <c r="P34" s="108"/>
      <c r="Q34" s="108"/>
      <c r="R34" s="108"/>
      <c r="S34" s="108"/>
    </row>
    <row r="35" spans="1:19" ht="18" customHeight="1" x14ac:dyDescent="0.2">
      <c r="B35" s="105" t="s">
        <v>54</v>
      </c>
      <c r="C35" s="106"/>
      <c r="D35" s="106"/>
      <c r="E35" s="107"/>
      <c r="F35" s="58" t="s">
        <v>81</v>
      </c>
      <c r="G35" s="57" t="s">
        <v>85</v>
      </c>
      <c r="H35" s="21" t="s">
        <v>72</v>
      </c>
      <c r="I35" s="21" t="s">
        <v>73</v>
      </c>
      <c r="J35" s="105" t="s">
        <v>54</v>
      </c>
      <c r="K35" s="106"/>
      <c r="L35" s="106"/>
      <c r="M35" s="106"/>
      <c r="N35" s="106"/>
      <c r="O35" s="107"/>
      <c r="P35" s="58" t="s">
        <v>81</v>
      </c>
      <c r="Q35" s="57" t="s">
        <v>85</v>
      </c>
      <c r="R35" s="21" t="s">
        <v>72</v>
      </c>
      <c r="S35" s="21" t="s">
        <v>73</v>
      </c>
    </row>
    <row r="36" spans="1:19" ht="18" customHeight="1" x14ac:dyDescent="0.2">
      <c r="B36" s="109" t="s">
        <v>128</v>
      </c>
      <c r="C36" s="110"/>
      <c r="D36" s="110"/>
      <c r="E36" s="111"/>
      <c r="F36" s="22">
        <v>2</v>
      </c>
      <c r="G36" s="22" t="s">
        <v>129</v>
      </c>
      <c r="H36" s="22" t="s">
        <v>129</v>
      </c>
      <c r="I36" s="22" t="s">
        <v>129</v>
      </c>
      <c r="J36" s="109"/>
      <c r="K36" s="110"/>
      <c r="L36" s="110"/>
      <c r="M36" s="110"/>
      <c r="N36" s="110"/>
      <c r="O36" s="111"/>
      <c r="P36" s="22"/>
      <c r="Q36" s="22"/>
      <c r="R36" s="22"/>
      <c r="S36" s="22"/>
    </row>
    <row r="37" spans="1:19" ht="18" customHeight="1" x14ac:dyDescent="0.2">
      <c r="B37" s="99"/>
      <c r="C37" s="100"/>
      <c r="D37" s="100"/>
      <c r="E37" s="101"/>
      <c r="F37" s="23"/>
      <c r="G37" s="23"/>
      <c r="H37" s="23"/>
      <c r="I37" s="23"/>
      <c r="J37" s="99"/>
      <c r="K37" s="100"/>
      <c r="L37" s="100"/>
      <c r="M37" s="100"/>
      <c r="N37" s="100"/>
      <c r="O37" s="101"/>
      <c r="P37" s="23"/>
      <c r="Q37" s="23"/>
      <c r="R37" s="23"/>
      <c r="S37" s="23"/>
    </row>
    <row r="38" spans="1:19" ht="18" customHeight="1" x14ac:dyDescent="0.2">
      <c r="B38" s="99"/>
      <c r="C38" s="100"/>
      <c r="D38" s="100"/>
      <c r="E38" s="101"/>
      <c r="F38" s="23"/>
      <c r="G38" s="23"/>
      <c r="H38" s="23"/>
      <c r="I38" s="23"/>
      <c r="J38" s="99"/>
      <c r="K38" s="100"/>
      <c r="L38" s="100"/>
      <c r="M38" s="100"/>
      <c r="N38" s="100"/>
      <c r="O38" s="101"/>
      <c r="P38" s="23"/>
      <c r="Q38" s="23"/>
      <c r="R38" s="23"/>
      <c r="S38" s="23"/>
    </row>
    <row r="39" spans="1:19" ht="18" customHeight="1" x14ac:dyDescent="0.2">
      <c r="B39" s="99"/>
      <c r="C39" s="100"/>
      <c r="D39" s="100"/>
      <c r="E39" s="101"/>
      <c r="F39" s="23"/>
      <c r="G39" s="23"/>
      <c r="H39" s="23"/>
      <c r="I39" s="23"/>
      <c r="J39" s="99"/>
      <c r="K39" s="100"/>
      <c r="L39" s="100"/>
      <c r="M39" s="100"/>
      <c r="N39" s="100"/>
      <c r="O39" s="101"/>
      <c r="P39" s="23"/>
      <c r="Q39" s="23"/>
      <c r="R39" s="23"/>
      <c r="S39" s="23"/>
    </row>
    <row r="40" spans="1:19" ht="18" customHeight="1" x14ac:dyDescent="0.2">
      <c r="B40" s="99"/>
      <c r="C40" s="100"/>
      <c r="D40" s="100"/>
      <c r="E40" s="101"/>
      <c r="F40" s="23"/>
      <c r="G40" s="23"/>
      <c r="H40" s="23"/>
      <c r="I40" s="23"/>
      <c r="J40" s="99"/>
      <c r="K40" s="100"/>
      <c r="L40" s="100"/>
      <c r="M40" s="100"/>
      <c r="N40" s="100"/>
      <c r="O40" s="101"/>
      <c r="P40" s="23"/>
      <c r="Q40" s="23"/>
      <c r="R40" s="23"/>
      <c r="S40" s="23"/>
    </row>
    <row r="41" spans="1:19" ht="18" customHeight="1" x14ac:dyDescent="0.2">
      <c r="B41" s="99"/>
      <c r="C41" s="100"/>
      <c r="D41" s="100"/>
      <c r="E41" s="101"/>
      <c r="F41" s="23"/>
      <c r="G41" s="23"/>
      <c r="H41" s="23"/>
      <c r="I41" s="23"/>
      <c r="J41" s="99"/>
      <c r="K41" s="100"/>
      <c r="L41" s="100"/>
      <c r="M41" s="100"/>
      <c r="N41" s="100"/>
      <c r="O41" s="101"/>
      <c r="P41" s="23"/>
      <c r="Q41" s="23"/>
      <c r="R41" s="23"/>
      <c r="S41" s="23"/>
    </row>
    <row r="42" spans="1:19" ht="18" customHeight="1" x14ac:dyDescent="0.2">
      <c r="B42" s="102"/>
      <c r="C42" s="103"/>
      <c r="D42" s="103"/>
      <c r="E42" s="104"/>
      <c r="F42" s="24"/>
      <c r="G42" s="24"/>
      <c r="H42" s="25"/>
      <c r="I42" s="25"/>
      <c r="J42" s="102"/>
      <c r="K42" s="103"/>
      <c r="L42" s="103"/>
      <c r="M42" s="103"/>
      <c r="N42" s="103"/>
      <c r="O42" s="104"/>
      <c r="P42" s="24"/>
      <c r="Q42" s="24"/>
      <c r="R42" s="25"/>
      <c r="S42" s="25"/>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108" t="s">
        <v>116</v>
      </c>
      <c r="B44" s="108"/>
      <c r="C44" s="108"/>
      <c r="D44" s="108"/>
      <c r="E44" s="108"/>
      <c r="F44" s="108"/>
      <c r="G44" s="108"/>
      <c r="H44" s="108"/>
      <c r="I44" s="108"/>
      <c r="J44" s="108"/>
      <c r="K44" s="108"/>
      <c r="L44" s="108"/>
      <c r="M44" s="108"/>
      <c r="N44" s="108"/>
      <c r="O44" s="108"/>
      <c r="P44" s="108"/>
      <c r="Q44" s="108"/>
      <c r="R44" s="108"/>
      <c r="S44" s="108"/>
    </row>
    <row r="45" spans="1:19" ht="18" customHeight="1" x14ac:dyDescent="0.2">
      <c r="A45" s="108"/>
      <c r="B45" s="108"/>
      <c r="C45" s="108"/>
      <c r="D45" s="108"/>
      <c r="E45" s="108"/>
      <c r="F45" s="108"/>
      <c r="G45" s="108"/>
      <c r="H45" s="108"/>
      <c r="I45" s="108"/>
      <c r="J45" s="108"/>
      <c r="K45" s="108"/>
      <c r="L45" s="108"/>
      <c r="M45" s="108"/>
      <c r="N45" s="108"/>
      <c r="O45" s="108"/>
      <c r="P45" s="108"/>
      <c r="Q45" s="108"/>
      <c r="R45" s="108"/>
      <c r="S45" s="108"/>
    </row>
    <row r="46" spans="1:19" ht="18" customHeight="1" x14ac:dyDescent="0.2">
      <c r="B46" s="105" t="s">
        <v>54</v>
      </c>
      <c r="C46" s="106"/>
      <c r="D46" s="106"/>
      <c r="E46" s="107"/>
      <c r="F46" s="58" t="s">
        <v>81</v>
      </c>
      <c r="G46" s="57" t="s">
        <v>85</v>
      </c>
      <c r="H46" s="21" t="s">
        <v>74</v>
      </c>
      <c r="I46" s="21" t="s">
        <v>75</v>
      </c>
      <c r="J46" s="105" t="s">
        <v>54</v>
      </c>
      <c r="K46" s="106"/>
      <c r="L46" s="106"/>
      <c r="M46" s="106"/>
      <c r="N46" s="106"/>
      <c r="O46" s="107"/>
      <c r="P46" s="58" t="s">
        <v>81</v>
      </c>
      <c r="Q46" s="57" t="s">
        <v>85</v>
      </c>
      <c r="R46" s="21" t="s">
        <v>74</v>
      </c>
      <c r="S46" s="21" t="s">
        <v>75</v>
      </c>
    </row>
    <row r="47" spans="1:19" ht="18" customHeight="1" x14ac:dyDescent="0.2">
      <c r="A47" s="3"/>
      <c r="B47" s="109" t="s">
        <v>128</v>
      </c>
      <c r="C47" s="110"/>
      <c r="D47" s="110"/>
      <c r="E47" s="111"/>
      <c r="F47" s="22">
        <v>2</v>
      </c>
      <c r="G47" s="22" t="s">
        <v>129</v>
      </c>
      <c r="H47" s="22" t="s">
        <v>129</v>
      </c>
      <c r="I47" s="22" t="s">
        <v>129</v>
      </c>
      <c r="J47" s="109"/>
      <c r="K47" s="110"/>
      <c r="L47" s="110"/>
      <c r="M47" s="110"/>
      <c r="N47" s="110"/>
      <c r="O47" s="111"/>
      <c r="P47" s="22"/>
      <c r="Q47" s="22"/>
      <c r="R47" s="22"/>
      <c r="S47" s="22"/>
    </row>
    <row r="48" spans="1:19" ht="18" customHeight="1" x14ac:dyDescent="0.2">
      <c r="A48" s="3"/>
      <c r="B48" s="99"/>
      <c r="C48" s="100"/>
      <c r="D48" s="100"/>
      <c r="E48" s="101"/>
      <c r="F48" s="23"/>
      <c r="G48" s="23"/>
      <c r="H48" s="23"/>
      <c r="I48" s="23"/>
      <c r="J48" s="99"/>
      <c r="K48" s="100"/>
      <c r="L48" s="100"/>
      <c r="M48" s="100"/>
      <c r="N48" s="100"/>
      <c r="O48" s="101"/>
      <c r="P48" s="23"/>
      <c r="Q48" s="23"/>
      <c r="R48" s="23"/>
      <c r="S48" s="23"/>
    </row>
    <row r="49" spans="1:19" ht="18" customHeight="1" x14ac:dyDescent="0.2">
      <c r="A49" s="3"/>
      <c r="B49" s="99"/>
      <c r="C49" s="100"/>
      <c r="D49" s="100"/>
      <c r="E49" s="101"/>
      <c r="F49" s="23"/>
      <c r="G49" s="23"/>
      <c r="H49" s="23"/>
      <c r="I49" s="23"/>
      <c r="J49" s="99"/>
      <c r="K49" s="100"/>
      <c r="L49" s="100"/>
      <c r="M49" s="100"/>
      <c r="N49" s="100"/>
      <c r="O49" s="101"/>
      <c r="P49" s="23"/>
      <c r="Q49" s="23"/>
      <c r="R49" s="23"/>
      <c r="S49" s="23"/>
    </row>
    <row r="50" spans="1:19" ht="18" customHeight="1" x14ac:dyDescent="0.2">
      <c r="A50" s="3"/>
      <c r="B50" s="99"/>
      <c r="C50" s="100"/>
      <c r="D50" s="100"/>
      <c r="E50" s="101"/>
      <c r="F50" s="23"/>
      <c r="G50" s="23"/>
      <c r="H50" s="23"/>
      <c r="I50" s="23"/>
      <c r="J50" s="99"/>
      <c r="K50" s="100"/>
      <c r="L50" s="100"/>
      <c r="M50" s="100"/>
      <c r="N50" s="100"/>
      <c r="O50" s="101"/>
      <c r="P50" s="23"/>
      <c r="Q50" s="23"/>
      <c r="R50" s="23"/>
      <c r="S50" s="23"/>
    </row>
    <row r="51" spans="1:19" ht="18" customHeight="1" x14ac:dyDescent="0.2">
      <c r="A51" s="3"/>
      <c r="B51" s="99"/>
      <c r="C51" s="100"/>
      <c r="D51" s="100"/>
      <c r="E51" s="101"/>
      <c r="F51" s="23"/>
      <c r="G51" s="23"/>
      <c r="H51" s="23"/>
      <c r="I51" s="23"/>
      <c r="J51" s="99"/>
      <c r="K51" s="100"/>
      <c r="L51" s="100"/>
      <c r="M51" s="100"/>
      <c r="N51" s="100"/>
      <c r="O51" s="101"/>
      <c r="P51" s="23"/>
      <c r="Q51" s="23"/>
      <c r="R51" s="23"/>
      <c r="S51" s="23"/>
    </row>
    <row r="52" spans="1:19" ht="18" customHeight="1" x14ac:dyDescent="0.2">
      <c r="A52" s="3"/>
      <c r="B52" s="99"/>
      <c r="C52" s="100"/>
      <c r="D52" s="100"/>
      <c r="E52" s="101"/>
      <c r="F52" s="23"/>
      <c r="G52" s="23"/>
      <c r="H52" s="23"/>
      <c r="I52" s="23"/>
      <c r="J52" s="99"/>
      <c r="K52" s="100"/>
      <c r="L52" s="100"/>
      <c r="M52" s="100"/>
      <c r="N52" s="100"/>
      <c r="O52" s="101"/>
      <c r="P52" s="23"/>
      <c r="Q52" s="23"/>
      <c r="R52" s="23"/>
      <c r="S52" s="23"/>
    </row>
    <row r="53" spans="1:19" ht="18" customHeight="1" x14ac:dyDescent="0.2">
      <c r="A53" s="3"/>
      <c r="B53" s="102"/>
      <c r="C53" s="103"/>
      <c r="D53" s="103"/>
      <c r="E53" s="104"/>
      <c r="F53" s="24"/>
      <c r="G53" s="24"/>
      <c r="H53" s="25"/>
      <c r="I53" s="25"/>
      <c r="J53" s="102"/>
      <c r="K53" s="103"/>
      <c r="L53" s="103"/>
      <c r="M53" s="103"/>
      <c r="N53" s="103"/>
      <c r="O53" s="104"/>
      <c r="P53" s="24"/>
      <c r="Q53" s="24"/>
      <c r="R53" s="25"/>
      <c r="S53" s="25"/>
    </row>
    <row r="54" spans="1:19" ht="7.5" customHeight="1" x14ac:dyDescent="0.2">
      <c r="B54" s="14"/>
      <c r="C54" s="14"/>
      <c r="D54" s="14"/>
      <c r="E54" s="14"/>
      <c r="F54" s="14"/>
      <c r="G54" s="14"/>
      <c r="H54" s="14"/>
      <c r="I54" s="14"/>
      <c r="J54" s="14"/>
      <c r="K54" s="14"/>
      <c r="L54" s="14"/>
      <c r="M54" s="14"/>
      <c r="N54" s="14"/>
      <c r="O54" s="14"/>
      <c r="P54" s="14"/>
      <c r="Q54" s="14"/>
      <c r="R54" s="14"/>
    </row>
    <row r="55" spans="1:19" ht="18" customHeight="1" x14ac:dyDescent="0.2">
      <c r="A55" s="108" t="s">
        <v>117</v>
      </c>
      <c r="B55" s="108"/>
      <c r="C55" s="108"/>
      <c r="D55" s="108"/>
      <c r="E55" s="108"/>
      <c r="F55" s="108"/>
      <c r="G55" s="108"/>
      <c r="H55" s="108"/>
      <c r="I55" s="108"/>
      <c r="J55" s="108"/>
      <c r="K55" s="108"/>
      <c r="L55" s="108"/>
      <c r="M55" s="108"/>
      <c r="N55" s="108"/>
      <c r="O55" s="108"/>
      <c r="P55" s="108"/>
      <c r="Q55" s="108"/>
      <c r="R55" s="108"/>
      <c r="S55" s="108"/>
    </row>
    <row r="56" spans="1:19" ht="18" customHeight="1" x14ac:dyDescent="0.2">
      <c r="A56" s="108"/>
      <c r="B56" s="108"/>
      <c r="C56" s="108"/>
      <c r="D56" s="108"/>
      <c r="E56" s="108"/>
      <c r="F56" s="108"/>
      <c r="G56" s="108"/>
      <c r="H56" s="108"/>
      <c r="I56" s="108"/>
      <c r="J56" s="108"/>
      <c r="K56" s="108"/>
      <c r="L56" s="108"/>
      <c r="M56" s="108"/>
      <c r="N56" s="108"/>
      <c r="O56" s="108"/>
      <c r="P56" s="108"/>
      <c r="Q56" s="108"/>
      <c r="R56" s="108"/>
      <c r="S56" s="108"/>
    </row>
    <row r="57" spans="1:19" ht="18" customHeight="1" x14ac:dyDescent="0.2">
      <c r="B57" s="105" t="s">
        <v>54</v>
      </c>
      <c r="C57" s="106"/>
      <c r="D57" s="106"/>
      <c r="E57" s="107"/>
      <c r="F57" s="58" t="s">
        <v>81</v>
      </c>
      <c r="G57" s="57" t="s">
        <v>85</v>
      </c>
      <c r="H57" s="21" t="s">
        <v>59</v>
      </c>
      <c r="I57" s="21" t="s">
        <v>61</v>
      </c>
      <c r="J57" s="105" t="s">
        <v>54</v>
      </c>
      <c r="K57" s="106"/>
      <c r="L57" s="106"/>
      <c r="M57" s="106"/>
      <c r="N57" s="106"/>
      <c r="O57" s="107"/>
      <c r="P57" s="58" t="s">
        <v>81</v>
      </c>
      <c r="Q57" s="57" t="s">
        <v>85</v>
      </c>
      <c r="R57" s="21" t="s">
        <v>59</v>
      </c>
      <c r="S57" s="21" t="s">
        <v>61</v>
      </c>
    </row>
    <row r="58" spans="1:19" ht="18" customHeight="1" x14ac:dyDescent="0.2">
      <c r="A58" s="3"/>
      <c r="B58" s="109" t="s">
        <v>128</v>
      </c>
      <c r="C58" s="110"/>
      <c r="D58" s="110"/>
      <c r="E58" s="111"/>
      <c r="F58" s="22">
        <v>2</v>
      </c>
      <c r="G58" s="22" t="s">
        <v>129</v>
      </c>
      <c r="H58" s="22" t="s">
        <v>129</v>
      </c>
      <c r="I58" s="22" t="s">
        <v>129</v>
      </c>
      <c r="J58" s="109"/>
      <c r="K58" s="110"/>
      <c r="L58" s="110"/>
      <c r="M58" s="110"/>
      <c r="N58" s="110"/>
      <c r="O58" s="111"/>
      <c r="P58" s="22"/>
      <c r="Q58" s="22"/>
      <c r="R58" s="22"/>
      <c r="S58" s="22"/>
    </row>
    <row r="59" spans="1:19" ht="18" customHeight="1" x14ac:dyDescent="0.2">
      <c r="A59" s="3"/>
      <c r="B59" s="99"/>
      <c r="C59" s="100"/>
      <c r="D59" s="100"/>
      <c r="E59" s="101"/>
      <c r="F59" s="23"/>
      <c r="G59" s="23"/>
      <c r="H59" s="23"/>
      <c r="I59" s="23"/>
      <c r="J59" s="99"/>
      <c r="K59" s="100"/>
      <c r="L59" s="100"/>
      <c r="M59" s="100"/>
      <c r="N59" s="100"/>
      <c r="O59" s="101"/>
      <c r="P59" s="23"/>
      <c r="Q59" s="23"/>
      <c r="R59" s="23"/>
      <c r="S59" s="23"/>
    </row>
    <row r="60" spans="1:19" ht="18" customHeight="1" x14ac:dyDescent="0.2">
      <c r="A60" s="3"/>
      <c r="B60" s="99"/>
      <c r="C60" s="100"/>
      <c r="D60" s="100"/>
      <c r="E60" s="101"/>
      <c r="F60" s="23"/>
      <c r="G60" s="23"/>
      <c r="H60" s="23"/>
      <c r="I60" s="23"/>
      <c r="J60" s="99"/>
      <c r="K60" s="100"/>
      <c r="L60" s="100"/>
      <c r="M60" s="100"/>
      <c r="N60" s="100"/>
      <c r="O60" s="101"/>
      <c r="P60" s="23"/>
      <c r="Q60" s="23"/>
      <c r="R60" s="23"/>
      <c r="S60" s="23"/>
    </row>
    <row r="61" spans="1:19" ht="18" customHeight="1" x14ac:dyDescent="0.2">
      <c r="A61" s="3"/>
      <c r="B61" s="99"/>
      <c r="C61" s="100"/>
      <c r="D61" s="100"/>
      <c r="E61" s="101"/>
      <c r="F61" s="23"/>
      <c r="G61" s="23"/>
      <c r="H61" s="23"/>
      <c r="I61" s="23"/>
      <c r="J61" s="99"/>
      <c r="K61" s="100"/>
      <c r="L61" s="100"/>
      <c r="M61" s="100"/>
      <c r="N61" s="100"/>
      <c r="O61" s="101"/>
      <c r="P61" s="23"/>
      <c r="Q61" s="23"/>
      <c r="R61" s="23"/>
      <c r="S61" s="23"/>
    </row>
    <row r="62" spans="1:19" ht="18" customHeight="1" x14ac:dyDescent="0.2">
      <c r="A62" s="3"/>
      <c r="B62" s="99"/>
      <c r="C62" s="100"/>
      <c r="D62" s="100"/>
      <c r="E62" s="101"/>
      <c r="F62" s="23"/>
      <c r="G62" s="23"/>
      <c r="H62" s="23"/>
      <c r="I62" s="23"/>
      <c r="J62" s="99"/>
      <c r="K62" s="100"/>
      <c r="L62" s="100"/>
      <c r="M62" s="100"/>
      <c r="N62" s="100"/>
      <c r="O62" s="101"/>
      <c r="P62" s="23"/>
      <c r="Q62" s="23"/>
      <c r="R62" s="23"/>
      <c r="S62" s="23"/>
    </row>
    <row r="63" spans="1:19" ht="18" customHeight="1" x14ac:dyDescent="0.2">
      <c r="A63" s="3"/>
      <c r="B63" s="99"/>
      <c r="C63" s="100"/>
      <c r="D63" s="100"/>
      <c r="E63" s="101"/>
      <c r="F63" s="23"/>
      <c r="G63" s="23"/>
      <c r="H63" s="23"/>
      <c r="I63" s="23"/>
      <c r="J63" s="99"/>
      <c r="K63" s="100"/>
      <c r="L63" s="100"/>
      <c r="M63" s="100"/>
      <c r="N63" s="100"/>
      <c r="O63" s="101"/>
      <c r="P63" s="23"/>
      <c r="Q63" s="23"/>
      <c r="R63" s="23"/>
      <c r="S63" s="23"/>
    </row>
    <row r="64" spans="1:19" ht="18" customHeight="1" x14ac:dyDescent="0.2">
      <c r="A64" s="3"/>
      <c r="B64" s="102"/>
      <c r="C64" s="103"/>
      <c r="D64" s="103"/>
      <c r="E64" s="104"/>
      <c r="F64" s="24"/>
      <c r="G64" s="24"/>
      <c r="H64" s="25"/>
      <c r="I64" s="25"/>
      <c r="J64" s="102"/>
      <c r="K64" s="103"/>
      <c r="L64" s="103"/>
      <c r="M64" s="103"/>
      <c r="N64" s="103"/>
      <c r="O64" s="104"/>
      <c r="P64" s="24"/>
      <c r="Q64" s="24"/>
      <c r="R64" s="25"/>
      <c r="S64" s="25"/>
    </row>
    <row r="65" spans="1:19" ht="7.5" customHeight="1" x14ac:dyDescent="0.2">
      <c r="B65" s="14"/>
      <c r="C65" s="14"/>
      <c r="D65" s="14"/>
      <c r="E65" s="14"/>
      <c r="F65" s="14"/>
      <c r="G65" s="14"/>
      <c r="H65" s="14"/>
      <c r="I65" s="14"/>
      <c r="J65" s="14"/>
      <c r="K65" s="14"/>
      <c r="L65" s="14"/>
      <c r="M65" s="14"/>
      <c r="N65" s="14"/>
      <c r="O65" s="14"/>
      <c r="P65" s="14"/>
      <c r="Q65" s="14"/>
      <c r="R65" s="14"/>
    </row>
    <row r="66" spans="1:19" ht="18" customHeight="1" x14ac:dyDescent="0.2">
      <c r="A66" s="108" t="s">
        <v>118</v>
      </c>
      <c r="B66" s="108"/>
      <c r="C66" s="108"/>
      <c r="D66" s="108"/>
      <c r="E66" s="108"/>
      <c r="F66" s="108"/>
      <c r="G66" s="108"/>
      <c r="H66" s="108"/>
      <c r="I66" s="108"/>
      <c r="J66" s="108"/>
      <c r="K66" s="108"/>
      <c r="L66" s="108"/>
      <c r="M66" s="108"/>
      <c r="N66" s="108"/>
      <c r="O66" s="108"/>
      <c r="P66" s="108"/>
      <c r="Q66" s="108"/>
      <c r="R66" s="108"/>
      <c r="S66" s="108"/>
    </row>
    <row r="67" spans="1:19" ht="18" customHeight="1" x14ac:dyDescent="0.2">
      <c r="A67" s="108"/>
      <c r="B67" s="108"/>
      <c r="C67" s="108"/>
      <c r="D67" s="108"/>
      <c r="E67" s="108"/>
      <c r="F67" s="108"/>
      <c r="G67" s="108"/>
      <c r="H67" s="108"/>
      <c r="I67" s="108"/>
      <c r="J67" s="108"/>
      <c r="K67" s="108"/>
      <c r="L67" s="108"/>
      <c r="M67" s="108"/>
      <c r="N67" s="108"/>
      <c r="O67" s="108"/>
      <c r="P67" s="108"/>
      <c r="Q67" s="108"/>
      <c r="R67" s="108"/>
      <c r="S67" s="108"/>
    </row>
    <row r="68" spans="1:19" ht="18" customHeight="1" x14ac:dyDescent="0.2">
      <c r="B68" s="105" t="s">
        <v>54</v>
      </c>
      <c r="C68" s="106"/>
      <c r="D68" s="106"/>
      <c r="E68" s="58" t="s">
        <v>81</v>
      </c>
      <c r="F68" s="57" t="s">
        <v>85</v>
      </c>
      <c r="G68" s="21" t="s">
        <v>102</v>
      </c>
      <c r="H68" s="21" t="s">
        <v>76</v>
      </c>
      <c r="I68" s="21" t="s">
        <v>77</v>
      </c>
      <c r="J68" s="105" t="s">
        <v>54</v>
      </c>
      <c r="K68" s="106"/>
      <c r="L68" s="106"/>
      <c r="M68" s="106"/>
      <c r="N68" s="107"/>
      <c r="O68" s="58" t="s">
        <v>81</v>
      </c>
      <c r="P68" s="57" t="s">
        <v>85</v>
      </c>
      <c r="Q68" s="21" t="s">
        <v>102</v>
      </c>
      <c r="R68" s="21" t="s">
        <v>76</v>
      </c>
      <c r="S68" s="21" t="s">
        <v>77</v>
      </c>
    </row>
    <row r="69" spans="1:19" ht="18" customHeight="1" x14ac:dyDescent="0.2">
      <c r="A69" s="3"/>
      <c r="B69" s="109" t="s">
        <v>128</v>
      </c>
      <c r="C69" s="110"/>
      <c r="D69" s="110"/>
      <c r="E69" s="22">
        <v>2</v>
      </c>
      <c r="F69" s="22" t="s">
        <v>129</v>
      </c>
      <c r="G69" s="22" t="s">
        <v>129</v>
      </c>
      <c r="H69" s="22" t="s">
        <v>129</v>
      </c>
      <c r="I69" s="22" t="s">
        <v>129</v>
      </c>
      <c r="J69" s="109"/>
      <c r="K69" s="110"/>
      <c r="L69" s="110"/>
      <c r="M69" s="110"/>
      <c r="N69" s="111"/>
      <c r="O69" s="22"/>
      <c r="P69" s="22"/>
      <c r="Q69" s="22"/>
      <c r="R69" s="22"/>
      <c r="S69" s="22"/>
    </row>
    <row r="70" spans="1:19" ht="18" customHeight="1" x14ac:dyDescent="0.2">
      <c r="A70" s="3"/>
      <c r="B70" s="99"/>
      <c r="C70" s="100"/>
      <c r="D70" s="100"/>
      <c r="E70" s="23"/>
      <c r="F70" s="23"/>
      <c r="G70" s="23"/>
      <c r="H70" s="23"/>
      <c r="I70" s="23"/>
      <c r="J70" s="99"/>
      <c r="K70" s="100"/>
      <c r="L70" s="100"/>
      <c r="M70" s="100"/>
      <c r="N70" s="101"/>
      <c r="O70" s="23"/>
      <c r="P70" s="23"/>
      <c r="Q70" s="23"/>
      <c r="R70" s="23"/>
      <c r="S70" s="23"/>
    </row>
    <row r="71" spans="1:19" ht="18" customHeight="1" x14ac:dyDescent="0.2">
      <c r="A71" s="3"/>
      <c r="B71" s="99"/>
      <c r="C71" s="100"/>
      <c r="D71" s="100"/>
      <c r="E71" s="23"/>
      <c r="F71" s="23"/>
      <c r="G71" s="23"/>
      <c r="H71" s="23"/>
      <c r="I71" s="23"/>
      <c r="J71" s="99"/>
      <c r="K71" s="100"/>
      <c r="L71" s="100"/>
      <c r="M71" s="100"/>
      <c r="N71" s="101"/>
      <c r="O71" s="23"/>
      <c r="P71" s="23"/>
      <c r="Q71" s="23"/>
      <c r="R71" s="23"/>
      <c r="S71" s="23"/>
    </row>
    <row r="72" spans="1:19" ht="18" customHeight="1" x14ac:dyDescent="0.2">
      <c r="A72" s="3"/>
      <c r="B72" s="99"/>
      <c r="C72" s="100"/>
      <c r="D72" s="100"/>
      <c r="E72" s="23"/>
      <c r="F72" s="23"/>
      <c r="G72" s="23"/>
      <c r="H72" s="23"/>
      <c r="I72" s="23"/>
      <c r="J72" s="99"/>
      <c r="K72" s="100"/>
      <c r="L72" s="100"/>
      <c r="M72" s="100"/>
      <c r="N72" s="101"/>
      <c r="O72" s="23"/>
      <c r="P72" s="23"/>
      <c r="Q72" s="23"/>
      <c r="R72" s="23"/>
      <c r="S72" s="23"/>
    </row>
    <row r="73" spans="1:19" ht="18" customHeight="1" x14ac:dyDescent="0.2">
      <c r="A73" s="3"/>
      <c r="B73" s="99"/>
      <c r="C73" s="100"/>
      <c r="D73" s="100"/>
      <c r="E73" s="23"/>
      <c r="F73" s="23"/>
      <c r="G73" s="23"/>
      <c r="H73" s="23"/>
      <c r="I73" s="23"/>
      <c r="J73" s="99"/>
      <c r="K73" s="100"/>
      <c r="L73" s="100"/>
      <c r="M73" s="100"/>
      <c r="N73" s="101"/>
      <c r="O73" s="23"/>
      <c r="P73" s="23"/>
      <c r="Q73" s="23"/>
      <c r="R73" s="23"/>
      <c r="S73" s="23"/>
    </row>
    <row r="74" spans="1:19" ht="18" customHeight="1" x14ac:dyDescent="0.2">
      <c r="A74" s="3"/>
      <c r="B74" s="99"/>
      <c r="C74" s="100"/>
      <c r="D74" s="100"/>
      <c r="E74" s="23"/>
      <c r="F74" s="23"/>
      <c r="G74" s="23"/>
      <c r="H74" s="23"/>
      <c r="I74" s="23"/>
      <c r="J74" s="99"/>
      <c r="K74" s="100"/>
      <c r="L74" s="100"/>
      <c r="M74" s="100"/>
      <c r="N74" s="101"/>
      <c r="O74" s="23"/>
      <c r="P74" s="23"/>
      <c r="Q74" s="23"/>
      <c r="R74" s="23"/>
      <c r="S74" s="23"/>
    </row>
    <row r="75" spans="1:19" ht="18" customHeight="1" x14ac:dyDescent="0.2">
      <c r="A75" s="3"/>
      <c r="B75" s="102"/>
      <c r="C75" s="103"/>
      <c r="D75" s="103"/>
      <c r="E75" s="24"/>
      <c r="F75" s="24"/>
      <c r="G75" s="25"/>
      <c r="H75" s="25"/>
      <c r="I75" s="25"/>
      <c r="J75" s="102"/>
      <c r="K75" s="103"/>
      <c r="L75" s="103"/>
      <c r="M75" s="103"/>
      <c r="N75" s="104"/>
      <c r="O75" s="24"/>
      <c r="P75" s="24"/>
      <c r="Q75" s="25"/>
      <c r="R75" s="25"/>
      <c r="S75" s="25"/>
    </row>
    <row r="76" spans="1:19" ht="7.5" customHeight="1" x14ac:dyDescent="0.2">
      <c r="B76" s="14"/>
      <c r="C76" s="14"/>
      <c r="D76" s="14"/>
      <c r="E76" s="14"/>
      <c r="F76" s="14"/>
      <c r="G76" s="14"/>
      <c r="H76" s="14"/>
      <c r="I76" s="14"/>
      <c r="J76" s="14"/>
      <c r="K76" s="14"/>
      <c r="L76" s="14"/>
      <c r="M76" s="14"/>
      <c r="N76" s="14"/>
      <c r="O76" s="14"/>
      <c r="P76" s="14"/>
      <c r="Q76" s="14"/>
      <c r="R76" s="14"/>
    </row>
    <row r="77" spans="1:19" ht="18" customHeight="1" x14ac:dyDescent="0.2">
      <c r="A77" s="1" t="s">
        <v>119</v>
      </c>
      <c r="H77" s="3"/>
      <c r="I77" s="3"/>
      <c r="J77" s="3"/>
      <c r="K77" s="3"/>
      <c r="L77" s="3"/>
      <c r="M77" s="3"/>
      <c r="N77" s="3"/>
      <c r="O77" s="3"/>
      <c r="P77" s="3"/>
      <c r="Q77" s="3"/>
      <c r="R77" s="3"/>
      <c r="S77" s="3"/>
    </row>
    <row r="78" spans="1:19" ht="18" customHeight="1" x14ac:dyDescent="0.2">
      <c r="B78" s="105" t="s">
        <v>54</v>
      </c>
      <c r="C78" s="106"/>
      <c r="D78" s="106"/>
      <c r="E78" s="107"/>
      <c r="F78" s="105" t="s">
        <v>83</v>
      </c>
      <c r="G78" s="106"/>
      <c r="H78" s="106"/>
      <c r="I78" s="107"/>
      <c r="J78" s="157" t="s">
        <v>54</v>
      </c>
      <c r="K78" s="158"/>
      <c r="L78" s="158"/>
      <c r="M78" s="158"/>
      <c r="N78" s="158"/>
      <c r="O78" s="159"/>
      <c r="P78" s="105" t="s">
        <v>83</v>
      </c>
      <c r="Q78" s="106"/>
      <c r="R78" s="106"/>
      <c r="S78" s="107"/>
    </row>
    <row r="79" spans="1:19" ht="18" customHeight="1" x14ac:dyDescent="0.2">
      <c r="A79" s="3"/>
      <c r="B79" s="109"/>
      <c r="C79" s="110"/>
      <c r="D79" s="110"/>
      <c r="E79" s="111"/>
      <c r="F79" s="172"/>
      <c r="G79" s="173"/>
      <c r="H79" s="173"/>
      <c r="I79" s="174"/>
      <c r="J79" s="109"/>
      <c r="K79" s="110"/>
      <c r="L79" s="110"/>
      <c r="M79" s="110"/>
      <c r="N79" s="110"/>
      <c r="O79" s="111"/>
      <c r="P79" s="172"/>
      <c r="Q79" s="173"/>
      <c r="R79" s="173"/>
      <c r="S79" s="174"/>
    </row>
    <row r="80" spans="1:19" ht="18" customHeight="1" x14ac:dyDescent="0.2">
      <c r="A80" s="3"/>
      <c r="B80" s="99"/>
      <c r="C80" s="100"/>
      <c r="D80" s="100"/>
      <c r="E80" s="101"/>
      <c r="F80" s="141"/>
      <c r="G80" s="142"/>
      <c r="H80" s="142"/>
      <c r="I80" s="143"/>
      <c r="J80" s="99"/>
      <c r="K80" s="100"/>
      <c r="L80" s="100"/>
      <c r="M80" s="100"/>
      <c r="N80" s="100"/>
      <c r="O80" s="101"/>
      <c r="P80" s="141"/>
      <c r="Q80" s="142"/>
      <c r="R80" s="142"/>
      <c r="S80" s="143"/>
    </row>
    <row r="81" spans="1:19" ht="18" customHeight="1" x14ac:dyDescent="0.2">
      <c r="A81" s="3"/>
      <c r="B81" s="99"/>
      <c r="C81" s="100"/>
      <c r="D81" s="100"/>
      <c r="E81" s="101"/>
      <c r="F81" s="141"/>
      <c r="G81" s="142"/>
      <c r="H81" s="142"/>
      <c r="I81" s="143"/>
      <c r="J81" s="99"/>
      <c r="K81" s="100"/>
      <c r="L81" s="100"/>
      <c r="M81" s="100"/>
      <c r="N81" s="100"/>
      <c r="O81" s="101"/>
      <c r="P81" s="141"/>
      <c r="Q81" s="142"/>
      <c r="R81" s="142"/>
      <c r="S81" s="143"/>
    </row>
    <row r="82" spans="1:19" ht="18" customHeight="1" x14ac:dyDescent="0.2">
      <c r="A82" s="3"/>
      <c r="B82" s="99"/>
      <c r="C82" s="100"/>
      <c r="D82" s="100"/>
      <c r="E82" s="101"/>
      <c r="F82" s="141"/>
      <c r="G82" s="142"/>
      <c r="H82" s="142"/>
      <c r="I82" s="143"/>
      <c r="J82" s="99"/>
      <c r="K82" s="100"/>
      <c r="L82" s="100"/>
      <c r="M82" s="100"/>
      <c r="N82" s="100"/>
      <c r="O82" s="101"/>
      <c r="P82" s="141"/>
      <c r="Q82" s="142"/>
      <c r="R82" s="142"/>
      <c r="S82" s="143"/>
    </row>
    <row r="83" spans="1:19" ht="18" customHeight="1" x14ac:dyDescent="0.2">
      <c r="A83" s="3"/>
      <c r="B83" s="99"/>
      <c r="C83" s="100"/>
      <c r="D83" s="100"/>
      <c r="E83" s="101"/>
      <c r="F83" s="141"/>
      <c r="G83" s="142"/>
      <c r="H83" s="142"/>
      <c r="I83" s="143"/>
      <c r="J83" s="99"/>
      <c r="K83" s="100"/>
      <c r="L83" s="100"/>
      <c r="M83" s="100"/>
      <c r="N83" s="100"/>
      <c r="O83" s="101"/>
      <c r="P83" s="141"/>
      <c r="Q83" s="142"/>
      <c r="R83" s="142"/>
      <c r="S83" s="143"/>
    </row>
    <row r="84" spans="1:19" ht="18" customHeight="1" x14ac:dyDescent="0.2">
      <c r="A84" s="3"/>
      <c r="B84" s="99"/>
      <c r="C84" s="100"/>
      <c r="D84" s="100"/>
      <c r="E84" s="101"/>
      <c r="F84" s="141"/>
      <c r="G84" s="142"/>
      <c r="H84" s="142"/>
      <c r="I84" s="143"/>
      <c r="J84" s="99"/>
      <c r="K84" s="100"/>
      <c r="L84" s="100"/>
      <c r="M84" s="100"/>
      <c r="N84" s="100"/>
      <c r="O84" s="101"/>
      <c r="P84" s="141"/>
      <c r="Q84" s="142"/>
      <c r="R84" s="142"/>
      <c r="S84" s="143"/>
    </row>
    <row r="85" spans="1:19" ht="18" customHeight="1" x14ac:dyDescent="0.2">
      <c r="A85" s="3"/>
      <c r="B85" s="102"/>
      <c r="C85" s="103"/>
      <c r="D85" s="103"/>
      <c r="E85" s="104"/>
      <c r="F85" s="138"/>
      <c r="G85" s="139"/>
      <c r="H85" s="139"/>
      <c r="I85" s="140"/>
      <c r="J85" s="102"/>
      <c r="K85" s="103"/>
      <c r="L85" s="103"/>
      <c r="M85" s="103"/>
      <c r="N85" s="103"/>
      <c r="O85" s="104"/>
      <c r="P85" s="138"/>
      <c r="Q85" s="139"/>
      <c r="R85" s="139"/>
      <c r="S85" s="140"/>
    </row>
    <row r="86" spans="1:19" ht="18" customHeight="1" x14ac:dyDescent="0.2">
      <c r="A86" s="3"/>
      <c r="B86" s="6"/>
      <c r="C86" s="6"/>
      <c r="D86" s="6"/>
      <c r="E86" s="6"/>
      <c r="F86" s="26"/>
      <c r="G86" s="26"/>
      <c r="H86" s="26"/>
      <c r="I86" s="26"/>
      <c r="J86" s="6"/>
      <c r="K86" s="6"/>
      <c r="L86" s="6"/>
      <c r="M86" s="6"/>
      <c r="N86" s="6"/>
      <c r="O86" s="6"/>
      <c r="P86" s="26"/>
      <c r="Q86" s="26"/>
      <c r="R86" s="26"/>
      <c r="S86" s="26"/>
    </row>
    <row r="87" spans="1:19" ht="18.75" customHeight="1" x14ac:dyDescent="0.2">
      <c r="A87" s="1" t="s">
        <v>120</v>
      </c>
    </row>
    <row r="88" spans="1:19" ht="18.75" customHeight="1" x14ac:dyDescent="0.2">
      <c r="B88" s="170" t="s">
        <v>55</v>
      </c>
      <c r="C88" s="171"/>
      <c r="D88" s="106" t="s">
        <v>56</v>
      </c>
      <c r="E88" s="106"/>
      <c r="F88" s="106"/>
      <c r="G88" s="106"/>
      <c r="H88" s="106"/>
      <c r="I88" s="106"/>
      <c r="J88" s="106"/>
      <c r="K88" s="106"/>
      <c r="L88" s="106"/>
      <c r="M88" s="106"/>
      <c r="N88" s="106"/>
      <c r="O88" s="106"/>
      <c r="P88" s="106"/>
      <c r="Q88" s="106"/>
      <c r="R88" s="106"/>
      <c r="S88" s="107"/>
    </row>
    <row r="89" spans="1:19" ht="97.5" customHeight="1" x14ac:dyDescent="0.2">
      <c r="B89" s="160" t="s">
        <v>62</v>
      </c>
      <c r="C89" s="27" t="s">
        <v>57</v>
      </c>
      <c r="D89" s="167" t="s">
        <v>161</v>
      </c>
      <c r="E89" s="168"/>
      <c r="F89" s="168"/>
      <c r="G89" s="168"/>
      <c r="H89" s="168"/>
      <c r="I89" s="168"/>
      <c r="J89" s="168"/>
      <c r="K89" s="168"/>
      <c r="L89" s="168"/>
      <c r="M89" s="168"/>
      <c r="N89" s="168"/>
      <c r="O89" s="168"/>
      <c r="P89" s="168"/>
      <c r="Q89" s="168"/>
      <c r="R89" s="168"/>
      <c r="S89" s="169"/>
    </row>
    <row r="90" spans="1:19" ht="97.5" customHeight="1" x14ac:dyDescent="0.2">
      <c r="B90" s="162"/>
      <c r="C90" s="28" t="s">
        <v>78</v>
      </c>
      <c r="D90" s="144" t="s">
        <v>162</v>
      </c>
      <c r="E90" s="145"/>
      <c r="F90" s="145"/>
      <c r="G90" s="145"/>
      <c r="H90" s="145"/>
      <c r="I90" s="145"/>
      <c r="J90" s="145"/>
      <c r="K90" s="145"/>
      <c r="L90" s="145"/>
      <c r="M90" s="145"/>
      <c r="N90" s="145"/>
      <c r="O90" s="145"/>
      <c r="P90" s="145"/>
      <c r="Q90" s="145"/>
      <c r="R90" s="145"/>
      <c r="S90" s="146"/>
    </row>
    <row r="91" spans="1:19" ht="97.5" customHeight="1" x14ac:dyDescent="0.2">
      <c r="B91" s="160" t="s">
        <v>63</v>
      </c>
      <c r="C91" s="29" t="s">
        <v>72</v>
      </c>
      <c r="D91" s="147" t="s">
        <v>163</v>
      </c>
      <c r="E91" s="148"/>
      <c r="F91" s="148"/>
      <c r="G91" s="148"/>
      <c r="H91" s="148"/>
      <c r="I91" s="148"/>
      <c r="J91" s="148"/>
      <c r="K91" s="148"/>
      <c r="L91" s="148"/>
      <c r="M91" s="148"/>
      <c r="N91" s="148"/>
      <c r="O91" s="148"/>
      <c r="P91" s="148"/>
      <c r="Q91" s="148"/>
      <c r="R91" s="148"/>
      <c r="S91" s="149"/>
    </row>
    <row r="92" spans="1:19" ht="97.5" customHeight="1" x14ac:dyDescent="0.2">
      <c r="B92" s="161"/>
      <c r="C92" s="30" t="s">
        <v>73</v>
      </c>
      <c r="D92" s="153" t="s">
        <v>164</v>
      </c>
      <c r="E92" s="154"/>
      <c r="F92" s="154"/>
      <c r="G92" s="154"/>
      <c r="H92" s="154"/>
      <c r="I92" s="154"/>
      <c r="J92" s="154"/>
      <c r="K92" s="154"/>
      <c r="L92" s="154"/>
      <c r="M92" s="154"/>
      <c r="N92" s="154"/>
      <c r="O92" s="154"/>
      <c r="P92" s="154"/>
      <c r="Q92" s="154"/>
      <c r="R92" s="154"/>
      <c r="S92" s="155"/>
    </row>
    <row r="93" spans="1:19" ht="105" customHeight="1" x14ac:dyDescent="0.2">
      <c r="B93" s="160" t="s">
        <v>64</v>
      </c>
      <c r="C93" s="29" t="s">
        <v>74</v>
      </c>
      <c r="D93" s="147" t="s">
        <v>165</v>
      </c>
      <c r="E93" s="148"/>
      <c r="F93" s="148"/>
      <c r="G93" s="148"/>
      <c r="H93" s="148"/>
      <c r="I93" s="148"/>
      <c r="J93" s="148"/>
      <c r="K93" s="148"/>
      <c r="L93" s="148"/>
      <c r="M93" s="148"/>
      <c r="N93" s="148"/>
      <c r="O93" s="148"/>
      <c r="P93" s="148"/>
      <c r="Q93" s="148"/>
      <c r="R93" s="148"/>
      <c r="S93" s="149"/>
    </row>
    <row r="94" spans="1:19" ht="97.5" customHeight="1" x14ac:dyDescent="0.2">
      <c r="B94" s="161"/>
      <c r="C94" s="31" t="s">
        <v>75</v>
      </c>
      <c r="D94" s="150" t="s">
        <v>166</v>
      </c>
      <c r="E94" s="151"/>
      <c r="F94" s="151"/>
      <c r="G94" s="151"/>
      <c r="H94" s="151"/>
      <c r="I94" s="151"/>
      <c r="J94" s="151"/>
      <c r="K94" s="151"/>
      <c r="L94" s="151"/>
      <c r="M94" s="151"/>
      <c r="N94" s="151"/>
      <c r="O94" s="151"/>
      <c r="P94" s="151"/>
      <c r="Q94" s="151"/>
      <c r="R94" s="151"/>
      <c r="S94" s="152"/>
    </row>
    <row r="95" spans="1:19" ht="134.4" customHeight="1" x14ac:dyDescent="0.2">
      <c r="B95" s="160" t="s">
        <v>79</v>
      </c>
      <c r="C95" s="27" t="s">
        <v>59</v>
      </c>
      <c r="D95" s="167" t="s">
        <v>167</v>
      </c>
      <c r="E95" s="168"/>
      <c r="F95" s="168"/>
      <c r="G95" s="168"/>
      <c r="H95" s="168"/>
      <c r="I95" s="168"/>
      <c r="J95" s="168"/>
      <c r="K95" s="168"/>
      <c r="L95" s="168"/>
      <c r="M95" s="168"/>
      <c r="N95" s="168"/>
      <c r="O95" s="168"/>
      <c r="P95" s="168"/>
      <c r="Q95" s="168"/>
      <c r="R95" s="168"/>
      <c r="S95" s="169"/>
    </row>
    <row r="96" spans="1:19" ht="97.5" customHeight="1" x14ac:dyDescent="0.2">
      <c r="B96" s="161"/>
      <c r="C96" s="30" t="s">
        <v>61</v>
      </c>
      <c r="D96" s="153" t="s">
        <v>168</v>
      </c>
      <c r="E96" s="154"/>
      <c r="F96" s="154"/>
      <c r="G96" s="154"/>
      <c r="H96" s="154"/>
      <c r="I96" s="154"/>
      <c r="J96" s="154"/>
      <c r="K96" s="154"/>
      <c r="L96" s="154"/>
      <c r="M96" s="154"/>
      <c r="N96" s="154"/>
      <c r="O96" s="154"/>
      <c r="P96" s="154"/>
      <c r="Q96" s="154"/>
      <c r="R96" s="154"/>
      <c r="S96" s="155"/>
    </row>
    <row r="97" spans="1:19" ht="179.4" customHeight="1" x14ac:dyDescent="0.2">
      <c r="B97" s="160" t="s">
        <v>80</v>
      </c>
      <c r="C97" s="29" t="s">
        <v>58</v>
      </c>
      <c r="D97" s="163" t="s">
        <v>169</v>
      </c>
      <c r="E97" s="110"/>
      <c r="F97" s="110"/>
      <c r="G97" s="110"/>
      <c r="H97" s="110"/>
      <c r="I97" s="110"/>
      <c r="J97" s="110"/>
      <c r="K97" s="110"/>
      <c r="L97" s="110"/>
      <c r="M97" s="110"/>
      <c r="N97" s="110"/>
      <c r="O97" s="110"/>
      <c r="P97" s="110"/>
      <c r="Q97" s="110"/>
      <c r="R97" s="110"/>
      <c r="S97" s="111"/>
    </row>
    <row r="98" spans="1:19" ht="138" customHeight="1" x14ac:dyDescent="0.2">
      <c r="B98" s="162"/>
      <c r="C98" s="32" t="s">
        <v>76</v>
      </c>
      <c r="D98" s="156" t="s">
        <v>170</v>
      </c>
      <c r="E98" s="100"/>
      <c r="F98" s="100"/>
      <c r="G98" s="100"/>
      <c r="H98" s="100"/>
      <c r="I98" s="100"/>
      <c r="J98" s="100"/>
      <c r="K98" s="100"/>
      <c r="L98" s="100"/>
      <c r="M98" s="100"/>
      <c r="N98" s="100"/>
      <c r="O98" s="100"/>
      <c r="P98" s="100"/>
      <c r="Q98" s="100"/>
      <c r="R98" s="100"/>
      <c r="S98" s="101"/>
    </row>
    <row r="99" spans="1:19" ht="97.5" customHeight="1" x14ac:dyDescent="0.2">
      <c r="B99" s="161"/>
      <c r="C99" s="31" t="s">
        <v>77</v>
      </c>
      <c r="D99" s="164" t="s">
        <v>171</v>
      </c>
      <c r="E99" s="165"/>
      <c r="F99" s="165"/>
      <c r="G99" s="165"/>
      <c r="H99" s="165"/>
      <c r="I99" s="165"/>
      <c r="J99" s="165"/>
      <c r="K99" s="165"/>
      <c r="L99" s="165"/>
      <c r="M99" s="165"/>
      <c r="N99" s="165"/>
      <c r="O99" s="165"/>
      <c r="P99" s="165"/>
      <c r="Q99" s="165"/>
      <c r="R99" s="165"/>
      <c r="S99" s="166"/>
    </row>
    <row r="100" spans="1:19" ht="6" customHeight="1" x14ac:dyDescent="0.2"/>
    <row r="101" spans="1:19" ht="18.75" customHeight="1" x14ac:dyDescent="0.2">
      <c r="A101" s="1" t="s">
        <v>121</v>
      </c>
    </row>
    <row r="102" spans="1:19" ht="81.75" customHeight="1" x14ac:dyDescent="0.2">
      <c r="B102" s="135" t="s">
        <v>154</v>
      </c>
      <c r="C102" s="136"/>
      <c r="D102" s="136"/>
      <c r="E102" s="136"/>
      <c r="F102" s="136"/>
      <c r="G102" s="136"/>
      <c r="H102" s="136"/>
      <c r="I102" s="136"/>
      <c r="J102" s="136"/>
      <c r="K102" s="136"/>
      <c r="L102" s="136"/>
      <c r="M102" s="136"/>
      <c r="N102" s="136"/>
      <c r="O102" s="136"/>
      <c r="P102" s="136"/>
      <c r="Q102" s="136"/>
      <c r="R102" s="136"/>
      <c r="S102" s="137"/>
    </row>
    <row r="110" spans="1:19" ht="18" customHeight="1" x14ac:dyDescent="0.2"/>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119" zoomScaleNormal="100" zoomScaleSheetLayoutView="100" workbookViewId="0">
      <selection activeCell="A7" sqref="A7"/>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34"/>
      <c r="Q2" s="34"/>
      <c r="W2" s="34"/>
      <c r="AC2" s="34"/>
      <c r="AI2" s="34"/>
      <c r="AL2" s="34" t="s">
        <v>109</v>
      </c>
      <c r="AM2" s="178" t="str">
        <f>'様式１　プログラムを構成する授業科目'!C2</f>
        <v>金沢星稜大学女子短期大学部</v>
      </c>
      <c r="AN2" s="178"/>
      <c r="AO2" s="178"/>
      <c r="AP2" s="178"/>
      <c r="AQ2" s="178"/>
    </row>
    <row r="3" spans="1:45" ht="18" customHeight="1" x14ac:dyDescent="0.2">
      <c r="A3" s="122" t="s">
        <v>48</v>
      </c>
      <c r="B3" s="122"/>
      <c r="C3" s="122"/>
      <c r="D3" s="122"/>
      <c r="E3" s="122"/>
      <c r="F3" s="122"/>
      <c r="G3" s="122"/>
      <c r="H3" s="122"/>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19" t="s">
        <v>130</v>
      </c>
      <c r="D5" s="121"/>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79" t="s">
        <v>45</v>
      </c>
      <c r="C9" s="194" t="s">
        <v>87</v>
      </c>
      <c r="D9" s="182" t="s">
        <v>47</v>
      </c>
      <c r="E9" s="185" t="s">
        <v>40</v>
      </c>
      <c r="F9" s="177" t="s">
        <v>86</v>
      </c>
      <c r="G9" s="177"/>
      <c r="H9" s="177"/>
      <c r="I9" s="177"/>
      <c r="J9" s="177"/>
      <c r="K9" s="177"/>
      <c r="L9" s="177" t="s">
        <v>49</v>
      </c>
      <c r="M9" s="177"/>
      <c r="N9" s="177"/>
      <c r="O9" s="177"/>
      <c r="P9" s="177"/>
      <c r="Q9" s="177"/>
      <c r="R9" s="177" t="s">
        <v>50</v>
      </c>
      <c r="S9" s="177"/>
      <c r="T9" s="177"/>
      <c r="U9" s="177"/>
      <c r="V9" s="177"/>
      <c r="W9" s="177"/>
      <c r="X9" s="177" t="s">
        <v>101</v>
      </c>
      <c r="Y9" s="177"/>
      <c r="Z9" s="177"/>
      <c r="AA9" s="177"/>
      <c r="AB9" s="177"/>
      <c r="AC9" s="177"/>
      <c r="AD9" s="177" t="s">
        <v>51</v>
      </c>
      <c r="AE9" s="177"/>
      <c r="AF9" s="177"/>
      <c r="AG9" s="177"/>
      <c r="AH9" s="177"/>
      <c r="AI9" s="177"/>
      <c r="AJ9" s="177" t="s">
        <v>52</v>
      </c>
      <c r="AK9" s="177"/>
      <c r="AL9" s="177"/>
      <c r="AM9" s="177"/>
      <c r="AN9" s="177"/>
      <c r="AO9" s="177"/>
      <c r="AP9" s="188" t="s">
        <v>35</v>
      </c>
      <c r="AQ9" s="191" t="s">
        <v>32</v>
      </c>
      <c r="AS9" s="2"/>
    </row>
    <row r="10" spans="1:45" ht="16.95" customHeight="1" x14ac:dyDescent="0.2">
      <c r="B10" s="180"/>
      <c r="C10" s="195"/>
      <c r="D10" s="183"/>
      <c r="E10" s="186"/>
      <c r="F10" s="175" t="s">
        <v>97</v>
      </c>
      <c r="G10" s="176"/>
      <c r="H10" s="176"/>
      <c r="I10" s="175" t="s">
        <v>29</v>
      </c>
      <c r="J10" s="176"/>
      <c r="K10" s="176"/>
      <c r="L10" s="175" t="s">
        <v>97</v>
      </c>
      <c r="M10" s="176"/>
      <c r="N10" s="176"/>
      <c r="O10" s="175" t="s">
        <v>29</v>
      </c>
      <c r="P10" s="176"/>
      <c r="Q10" s="176"/>
      <c r="R10" s="175" t="s">
        <v>97</v>
      </c>
      <c r="S10" s="176"/>
      <c r="T10" s="176"/>
      <c r="U10" s="175" t="s">
        <v>29</v>
      </c>
      <c r="V10" s="176"/>
      <c r="W10" s="176"/>
      <c r="X10" s="175" t="s">
        <v>97</v>
      </c>
      <c r="Y10" s="176"/>
      <c r="Z10" s="176"/>
      <c r="AA10" s="175" t="s">
        <v>29</v>
      </c>
      <c r="AB10" s="176"/>
      <c r="AC10" s="176"/>
      <c r="AD10" s="175" t="s">
        <v>97</v>
      </c>
      <c r="AE10" s="176"/>
      <c r="AF10" s="176"/>
      <c r="AG10" s="175" t="s">
        <v>29</v>
      </c>
      <c r="AH10" s="176"/>
      <c r="AI10" s="176"/>
      <c r="AJ10" s="175" t="s">
        <v>97</v>
      </c>
      <c r="AK10" s="176"/>
      <c r="AL10" s="176"/>
      <c r="AM10" s="175" t="s">
        <v>29</v>
      </c>
      <c r="AN10" s="176"/>
      <c r="AO10" s="176"/>
      <c r="AP10" s="189"/>
      <c r="AQ10" s="192"/>
      <c r="AS10" s="2"/>
    </row>
    <row r="11" spans="1:45" ht="18" customHeight="1" x14ac:dyDescent="0.2">
      <c r="B11" s="181"/>
      <c r="C11" s="196"/>
      <c r="D11" s="184"/>
      <c r="E11" s="187"/>
      <c r="F11" s="16" t="s">
        <v>98</v>
      </c>
      <c r="G11" s="17" t="s">
        <v>99</v>
      </c>
      <c r="H11" s="18" t="s">
        <v>100</v>
      </c>
      <c r="I11" s="16" t="s">
        <v>98</v>
      </c>
      <c r="J11" s="17" t="s">
        <v>99</v>
      </c>
      <c r="K11" s="18" t="s">
        <v>100</v>
      </c>
      <c r="L11" s="16" t="s">
        <v>98</v>
      </c>
      <c r="M11" s="17" t="s">
        <v>99</v>
      </c>
      <c r="N11" s="18" t="s">
        <v>100</v>
      </c>
      <c r="O11" s="16" t="s">
        <v>98</v>
      </c>
      <c r="P11" s="17" t="s">
        <v>99</v>
      </c>
      <c r="Q11" s="18" t="s">
        <v>100</v>
      </c>
      <c r="R11" s="16" t="s">
        <v>98</v>
      </c>
      <c r="S11" s="17" t="s">
        <v>99</v>
      </c>
      <c r="T11" s="18" t="s">
        <v>100</v>
      </c>
      <c r="U11" s="16" t="s">
        <v>98</v>
      </c>
      <c r="V11" s="17" t="s">
        <v>99</v>
      </c>
      <c r="W11" s="18" t="s">
        <v>100</v>
      </c>
      <c r="X11" s="16" t="s">
        <v>98</v>
      </c>
      <c r="Y11" s="17" t="s">
        <v>99</v>
      </c>
      <c r="Z11" s="18" t="s">
        <v>100</v>
      </c>
      <c r="AA11" s="16" t="s">
        <v>98</v>
      </c>
      <c r="AB11" s="17" t="s">
        <v>99</v>
      </c>
      <c r="AC11" s="18" t="s">
        <v>100</v>
      </c>
      <c r="AD11" s="16" t="s">
        <v>98</v>
      </c>
      <c r="AE11" s="17" t="s">
        <v>99</v>
      </c>
      <c r="AF11" s="18" t="s">
        <v>100</v>
      </c>
      <c r="AG11" s="16" t="s">
        <v>98</v>
      </c>
      <c r="AH11" s="17" t="s">
        <v>99</v>
      </c>
      <c r="AI11" s="18" t="s">
        <v>100</v>
      </c>
      <c r="AJ11" s="16" t="s">
        <v>98</v>
      </c>
      <c r="AK11" s="17" t="s">
        <v>99</v>
      </c>
      <c r="AL11" s="18" t="s">
        <v>100</v>
      </c>
      <c r="AM11" s="16" t="s">
        <v>98</v>
      </c>
      <c r="AN11" s="17" t="s">
        <v>99</v>
      </c>
      <c r="AO11" s="18" t="s">
        <v>100</v>
      </c>
      <c r="AP11" s="190"/>
      <c r="AQ11" s="193"/>
      <c r="AS11" s="2"/>
    </row>
    <row r="12" spans="1:45" ht="18" customHeight="1" x14ac:dyDescent="0.2">
      <c r="A12" s="6"/>
      <c r="B12" s="80" t="s">
        <v>146</v>
      </c>
      <c r="C12" s="81">
        <v>259</v>
      </c>
      <c r="D12" s="82">
        <v>150</v>
      </c>
      <c r="E12" s="83">
        <v>300</v>
      </c>
      <c r="F12" s="84">
        <f t="shared" ref="F12:F14" si="0">G12+H12</f>
        <v>16</v>
      </c>
      <c r="G12" s="85">
        <v>0</v>
      </c>
      <c r="H12" s="86">
        <v>16</v>
      </c>
      <c r="I12" s="84">
        <f t="shared" ref="I12:I14" si="1">J12+K12</f>
        <v>12</v>
      </c>
      <c r="J12" s="87">
        <v>0</v>
      </c>
      <c r="K12" s="88">
        <v>12</v>
      </c>
      <c r="L12" s="61">
        <f>M12+N12</f>
        <v>0</v>
      </c>
      <c r="M12" s="62"/>
      <c r="N12" s="63"/>
      <c r="O12" s="61">
        <f>P12+Q12</f>
        <v>0</v>
      </c>
      <c r="P12" s="62"/>
      <c r="Q12" s="63"/>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16</v>
      </c>
      <c r="AQ12" s="20">
        <f t="shared" ref="AQ12:AQ32" si="2">AP12/E12</f>
        <v>5.3333333333333337E-2</v>
      </c>
    </row>
    <row r="13" spans="1:45" ht="18" customHeight="1" x14ac:dyDescent="0.2">
      <c r="A13" s="6"/>
      <c r="B13" s="11"/>
      <c r="C13" s="64"/>
      <c r="D13" s="65"/>
      <c r="E13" s="66"/>
      <c r="F13" s="67">
        <f t="shared" si="0"/>
        <v>0</v>
      </c>
      <c r="G13" s="68"/>
      <c r="H13" s="69"/>
      <c r="I13" s="67">
        <f t="shared" si="1"/>
        <v>0</v>
      </c>
      <c r="J13" s="79"/>
      <c r="K13" s="69"/>
      <c r="L13" s="67">
        <f t="shared" ref="L13:L31" si="3">M13+N13</f>
        <v>0</v>
      </c>
      <c r="M13" s="68"/>
      <c r="N13" s="69"/>
      <c r="O13" s="67">
        <f t="shared" ref="O13:O31" si="4">P13+Q13</f>
        <v>0</v>
      </c>
      <c r="P13" s="68"/>
      <c r="Q13" s="69"/>
      <c r="R13" s="67">
        <f t="shared" ref="R13:R31" si="5">S13+T13</f>
        <v>0</v>
      </c>
      <c r="S13" s="68"/>
      <c r="T13" s="69"/>
      <c r="U13" s="67">
        <f t="shared" ref="U13:U31" si="6">V13+W13</f>
        <v>0</v>
      </c>
      <c r="V13" s="68"/>
      <c r="W13" s="69"/>
      <c r="X13" s="67">
        <f t="shared" ref="X13:X31" si="7">Y13+Z13</f>
        <v>0</v>
      </c>
      <c r="Y13" s="68"/>
      <c r="Z13" s="69"/>
      <c r="AA13" s="67">
        <f t="shared" ref="AA13:AA31" si="8">AB13+AC13</f>
        <v>0</v>
      </c>
      <c r="AB13" s="68"/>
      <c r="AC13" s="69"/>
      <c r="AD13" s="67">
        <f t="shared" ref="AD13:AD31" si="9">AE13+AF13</f>
        <v>0</v>
      </c>
      <c r="AE13" s="68"/>
      <c r="AF13" s="69"/>
      <c r="AG13" s="67">
        <f t="shared" ref="AG13:AG31" si="10">AH13+AI13</f>
        <v>0</v>
      </c>
      <c r="AH13" s="68"/>
      <c r="AI13" s="69"/>
      <c r="AJ13" s="67">
        <f t="shared" ref="AJ13:AJ31" si="11">AK13+AL13</f>
        <v>0</v>
      </c>
      <c r="AK13" s="68"/>
      <c r="AL13" s="69"/>
      <c r="AM13" s="67">
        <f t="shared" ref="AM13:AM31" si="12">AN13+AO13</f>
        <v>0</v>
      </c>
      <c r="AN13" s="68"/>
      <c r="AO13" s="69"/>
      <c r="AP13" s="65">
        <f t="shared" ref="AP13:AP31" si="13">F13+L13+R13+X13+AD13+AJ13</f>
        <v>0</v>
      </c>
      <c r="AQ13" s="19" t="e">
        <f t="shared" si="2"/>
        <v>#DIV/0!</v>
      </c>
    </row>
    <row r="14" spans="1:45" ht="18" customHeight="1" x14ac:dyDescent="0.2">
      <c r="A14" s="6"/>
      <c r="B14" s="11"/>
      <c r="C14" s="64"/>
      <c r="D14" s="65"/>
      <c r="E14" s="66"/>
      <c r="F14" s="67">
        <f t="shared" si="0"/>
        <v>0</v>
      </c>
      <c r="G14" s="68"/>
      <c r="H14" s="69"/>
      <c r="I14" s="67">
        <f t="shared" si="1"/>
        <v>0</v>
      </c>
      <c r="J14" s="79"/>
      <c r="K14" s="69"/>
      <c r="L14" s="67">
        <f t="shared" si="3"/>
        <v>0</v>
      </c>
      <c r="M14" s="68"/>
      <c r="N14" s="69"/>
      <c r="O14" s="67">
        <f t="shared" si="4"/>
        <v>0</v>
      </c>
      <c r="P14" s="68"/>
      <c r="Q14" s="69"/>
      <c r="R14" s="67">
        <f t="shared" si="5"/>
        <v>0</v>
      </c>
      <c r="S14" s="68"/>
      <c r="T14" s="69"/>
      <c r="U14" s="67">
        <f t="shared" si="6"/>
        <v>0</v>
      </c>
      <c r="V14" s="68"/>
      <c r="W14" s="69"/>
      <c r="X14" s="67">
        <f t="shared" si="7"/>
        <v>0</v>
      </c>
      <c r="Y14" s="68"/>
      <c r="Z14" s="69"/>
      <c r="AA14" s="67">
        <f t="shared" si="8"/>
        <v>0</v>
      </c>
      <c r="AB14" s="68"/>
      <c r="AC14" s="69"/>
      <c r="AD14" s="67">
        <f t="shared" si="9"/>
        <v>0</v>
      </c>
      <c r="AE14" s="68"/>
      <c r="AF14" s="69"/>
      <c r="AG14" s="67">
        <f t="shared" si="10"/>
        <v>0</v>
      </c>
      <c r="AH14" s="68"/>
      <c r="AI14" s="69"/>
      <c r="AJ14" s="67">
        <f t="shared" si="11"/>
        <v>0</v>
      </c>
      <c r="AK14" s="68"/>
      <c r="AL14" s="69"/>
      <c r="AM14" s="67">
        <f t="shared" si="12"/>
        <v>0</v>
      </c>
      <c r="AN14" s="68"/>
      <c r="AO14" s="69"/>
      <c r="AP14" s="65">
        <f t="shared" si="13"/>
        <v>0</v>
      </c>
      <c r="AQ14" s="8" t="e">
        <f t="shared" si="2"/>
        <v>#DIV/0!</v>
      </c>
    </row>
    <row r="15" spans="1:45" ht="18" customHeight="1" x14ac:dyDescent="0.2">
      <c r="A15" s="6"/>
      <c r="B15" s="11"/>
      <c r="C15" s="64"/>
      <c r="D15" s="65"/>
      <c r="E15" s="66"/>
      <c r="F15" s="67">
        <f t="shared" ref="F15:F31" si="14">G15+H15</f>
        <v>0</v>
      </c>
      <c r="G15" s="68"/>
      <c r="H15" s="69"/>
      <c r="I15" s="67">
        <f t="shared" ref="I15:I31" si="15">J15+K15</f>
        <v>0</v>
      </c>
      <c r="J15" s="68"/>
      <c r="K15" s="69"/>
      <c r="L15" s="67">
        <f t="shared" si="3"/>
        <v>0</v>
      </c>
      <c r="M15" s="68"/>
      <c r="N15" s="69"/>
      <c r="O15" s="67">
        <f t="shared" si="4"/>
        <v>0</v>
      </c>
      <c r="P15" s="68"/>
      <c r="Q15" s="69"/>
      <c r="R15" s="67">
        <f t="shared" si="5"/>
        <v>0</v>
      </c>
      <c r="S15" s="68"/>
      <c r="T15" s="69"/>
      <c r="U15" s="67">
        <f t="shared" si="6"/>
        <v>0</v>
      </c>
      <c r="V15" s="68"/>
      <c r="W15" s="69"/>
      <c r="X15" s="67">
        <f t="shared" si="7"/>
        <v>0</v>
      </c>
      <c r="Y15" s="68"/>
      <c r="Z15" s="69"/>
      <c r="AA15" s="67">
        <f t="shared" si="8"/>
        <v>0</v>
      </c>
      <c r="AB15" s="68"/>
      <c r="AC15" s="69"/>
      <c r="AD15" s="67">
        <f t="shared" si="9"/>
        <v>0</v>
      </c>
      <c r="AE15" s="68"/>
      <c r="AF15" s="69"/>
      <c r="AG15" s="67">
        <f t="shared" si="10"/>
        <v>0</v>
      </c>
      <c r="AH15" s="68"/>
      <c r="AI15" s="69"/>
      <c r="AJ15" s="67">
        <f t="shared" si="11"/>
        <v>0</v>
      </c>
      <c r="AK15" s="68"/>
      <c r="AL15" s="69"/>
      <c r="AM15" s="67">
        <f t="shared" si="12"/>
        <v>0</v>
      </c>
      <c r="AN15" s="68"/>
      <c r="AO15" s="69"/>
      <c r="AP15" s="65">
        <f t="shared" si="13"/>
        <v>0</v>
      </c>
      <c r="AQ15" s="8" t="e">
        <f t="shared" si="2"/>
        <v>#DIV/0!</v>
      </c>
    </row>
    <row r="16" spans="1:45" ht="18" customHeight="1" x14ac:dyDescent="0.2">
      <c r="A16" s="6"/>
      <c r="B16" s="11"/>
      <c r="C16" s="64"/>
      <c r="D16" s="65"/>
      <c r="E16" s="66"/>
      <c r="F16" s="67">
        <f t="shared" si="14"/>
        <v>0</v>
      </c>
      <c r="G16" s="68"/>
      <c r="H16" s="69"/>
      <c r="I16" s="67">
        <f t="shared" si="15"/>
        <v>0</v>
      </c>
      <c r="J16" s="68"/>
      <c r="K16" s="69"/>
      <c r="L16" s="67">
        <f t="shared" si="3"/>
        <v>0</v>
      </c>
      <c r="M16" s="68"/>
      <c r="N16" s="69"/>
      <c r="O16" s="67">
        <f t="shared" si="4"/>
        <v>0</v>
      </c>
      <c r="P16" s="68"/>
      <c r="Q16" s="69"/>
      <c r="R16" s="67">
        <f t="shared" si="5"/>
        <v>0</v>
      </c>
      <c r="S16" s="68"/>
      <c r="T16" s="69"/>
      <c r="U16" s="67">
        <f t="shared" si="6"/>
        <v>0</v>
      </c>
      <c r="V16" s="68"/>
      <c r="W16" s="69"/>
      <c r="X16" s="67">
        <f t="shared" si="7"/>
        <v>0</v>
      </c>
      <c r="Y16" s="68"/>
      <c r="Z16" s="69"/>
      <c r="AA16" s="67">
        <f t="shared" si="8"/>
        <v>0</v>
      </c>
      <c r="AB16" s="68"/>
      <c r="AC16" s="69"/>
      <c r="AD16" s="67">
        <f t="shared" si="9"/>
        <v>0</v>
      </c>
      <c r="AE16" s="68"/>
      <c r="AF16" s="69"/>
      <c r="AG16" s="67">
        <f t="shared" si="10"/>
        <v>0</v>
      </c>
      <c r="AH16" s="68"/>
      <c r="AI16" s="69"/>
      <c r="AJ16" s="67">
        <f t="shared" si="11"/>
        <v>0</v>
      </c>
      <c r="AK16" s="68"/>
      <c r="AL16" s="69"/>
      <c r="AM16" s="67">
        <f t="shared" si="12"/>
        <v>0</v>
      </c>
      <c r="AN16" s="68"/>
      <c r="AO16" s="69"/>
      <c r="AP16" s="65">
        <f t="shared" si="13"/>
        <v>0</v>
      </c>
      <c r="AQ16" s="8" t="e">
        <f t="shared" si="2"/>
        <v>#DIV/0!</v>
      </c>
    </row>
    <row r="17" spans="1:43" ht="18" customHeight="1" x14ac:dyDescent="0.2">
      <c r="A17" s="6"/>
      <c r="B17" s="11"/>
      <c r="C17" s="64"/>
      <c r="D17" s="65"/>
      <c r="E17" s="66"/>
      <c r="F17" s="67">
        <f t="shared" si="14"/>
        <v>0</v>
      </c>
      <c r="G17" s="68"/>
      <c r="H17" s="69"/>
      <c r="I17" s="67">
        <f t="shared" si="15"/>
        <v>0</v>
      </c>
      <c r="J17" s="68"/>
      <c r="K17" s="69"/>
      <c r="L17" s="67">
        <f t="shared" si="3"/>
        <v>0</v>
      </c>
      <c r="M17" s="68"/>
      <c r="N17" s="69"/>
      <c r="O17" s="67">
        <f t="shared" si="4"/>
        <v>0</v>
      </c>
      <c r="P17" s="68"/>
      <c r="Q17" s="69"/>
      <c r="R17" s="67">
        <f t="shared" si="5"/>
        <v>0</v>
      </c>
      <c r="S17" s="68"/>
      <c r="T17" s="69"/>
      <c r="U17" s="67">
        <f t="shared" si="6"/>
        <v>0</v>
      </c>
      <c r="V17" s="68"/>
      <c r="W17" s="69"/>
      <c r="X17" s="67">
        <f t="shared" si="7"/>
        <v>0</v>
      </c>
      <c r="Y17" s="68"/>
      <c r="Z17" s="69"/>
      <c r="AA17" s="67">
        <f t="shared" si="8"/>
        <v>0</v>
      </c>
      <c r="AB17" s="68"/>
      <c r="AC17" s="69"/>
      <c r="AD17" s="67">
        <f t="shared" si="9"/>
        <v>0</v>
      </c>
      <c r="AE17" s="68"/>
      <c r="AF17" s="69"/>
      <c r="AG17" s="67">
        <f t="shared" si="10"/>
        <v>0</v>
      </c>
      <c r="AH17" s="68"/>
      <c r="AI17" s="69"/>
      <c r="AJ17" s="67">
        <f t="shared" si="11"/>
        <v>0</v>
      </c>
      <c r="AK17" s="68"/>
      <c r="AL17" s="69"/>
      <c r="AM17" s="67">
        <f t="shared" si="12"/>
        <v>0</v>
      </c>
      <c r="AN17" s="68"/>
      <c r="AO17" s="69"/>
      <c r="AP17" s="65">
        <f t="shared" si="13"/>
        <v>0</v>
      </c>
      <c r="AQ17" s="8" t="e">
        <f t="shared" si="2"/>
        <v>#DIV/0!</v>
      </c>
    </row>
    <row r="18" spans="1:43" ht="18" customHeight="1" x14ac:dyDescent="0.2">
      <c r="A18" s="6"/>
      <c r="B18" s="11"/>
      <c r="C18" s="64"/>
      <c r="D18" s="65"/>
      <c r="E18" s="66"/>
      <c r="F18" s="67">
        <f t="shared" si="14"/>
        <v>0</v>
      </c>
      <c r="G18" s="68"/>
      <c r="H18" s="69"/>
      <c r="I18" s="67">
        <f t="shared" si="15"/>
        <v>0</v>
      </c>
      <c r="J18" s="68"/>
      <c r="K18" s="69"/>
      <c r="L18" s="67">
        <f t="shared" si="3"/>
        <v>0</v>
      </c>
      <c r="M18" s="68"/>
      <c r="N18" s="69"/>
      <c r="O18" s="67">
        <f t="shared" si="4"/>
        <v>0</v>
      </c>
      <c r="P18" s="68"/>
      <c r="Q18" s="69"/>
      <c r="R18" s="67">
        <f t="shared" si="5"/>
        <v>0</v>
      </c>
      <c r="S18" s="68"/>
      <c r="T18" s="69"/>
      <c r="U18" s="67">
        <f t="shared" si="6"/>
        <v>0</v>
      </c>
      <c r="V18" s="68"/>
      <c r="W18" s="69"/>
      <c r="X18" s="67">
        <f t="shared" si="7"/>
        <v>0</v>
      </c>
      <c r="Y18" s="68"/>
      <c r="Z18" s="69"/>
      <c r="AA18" s="67">
        <f t="shared" si="8"/>
        <v>0</v>
      </c>
      <c r="AB18" s="68"/>
      <c r="AC18" s="69"/>
      <c r="AD18" s="67">
        <f t="shared" si="9"/>
        <v>0</v>
      </c>
      <c r="AE18" s="68"/>
      <c r="AF18" s="69"/>
      <c r="AG18" s="67">
        <f t="shared" si="10"/>
        <v>0</v>
      </c>
      <c r="AH18" s="68"/>
      <c r="AI18" s="69"/>
      <c r="AJ18" s="67">
        <f t="shared" si="11"/>
        <v>0</v>
      </c>
      <c r="AK18" s="68"/>
      <c r="AL18" s="69"/>
      <c r="AM18" s="67">
        <f t="shared" si="12"/>
        <v>0</v>
      </c>
      <c r="AN18" s="68"/>
      <c r="AO18" s="69"/>
      <c r="AP18" s="65">
        <f t="shared" si="13"/>
        <v>0</v>
      </c>
      <c r="AQ18" s="8" t="e">
        <f t="shared" si="2"/>
        <v>#DIV/0!</v>
      </c>
    </row>
    <row r="19" spans="1:43" ht="18" customHeight="1" x14ac:dyDescent="0.2">
      <c r="A19" s="6"/>
      <c r="B19" s="11"/>
      <c r="C19" s="64"/>
      <c r="D19" s="65"/>
      <c r="E19" s="66"/>
      <c r="F19" s="67">
        <f t="shared" si="14"/>
        <v>0</v>
      </c>
      <c r="G19" s="68"/>
      <c r="H19" s="69"/>
      <c r="I19" s="67">
        <f t="shared" si="15"/>
        <v>0</v>
      </c>
      <c r="J19" s="68"/>
      <c r="K19" s="69"/>
      <c r="L19" s="67">
        <f t="shared" si="3"/>
        <v>0</v>
      </c>
      <c r="M19" s="68"/>
      <c r="N19" s="69"/>
      <c r="O19" s="67">
        <f t="shared" si="4"/>
        <v>0</v>
      </c>
      <c r="P19" s="68"/>
      <c r="Q19" s="69"/>
      <c r="R19" s="67">
        <f t="shared" si="5"/>
        <v>0</v>
      </c>
      <c r="S19" s="68"/>
      <c r="T19" s="69"/>
      <c r="U19" s="67">
        <f t="shared" si="6"/>
        <v>0</v>
      </c>
      <c r="V19" s="68"/>
      <c r="W19" s="69"/>
      <c r="X19" s="67">
        <f t="shared" si="7"/>
        <v>0</v>
      </c>
      <c r="Y19" s="68"/>
      <c r="Z19" s="69"/>
      <c r="AA19" s="67">
        <f t="shared" si="8"/>
        <v>0</v>
      </c>
      <c r="AB19" s="68"/>
      <c r="AC19" s="69"/>
      <c r="AD19" s="67">
        <f t="shared" si="9"/>
        <v>0</v>
      </c>
      <c r="AE19" s="68"/>
      <c r="AF19" s="69"/>
      <c r="AG19" s="67">
        <f t="shared" si="10"/>
        <v>0</v>
      </c>
      <c r="AH19" s="68"/>
      <c r="AI19" s="69"/>
      <c r="AJ19" s="67">
        <f t="shared" si="11"/>
        <v>0</v>
      </c>
      <c r="AK19" s="68"/>
      <c r="AL19" s="69"/>
      <c r="AM19" s="67">
        <f t="shared" si="12"/>
        <v>0</v>
      </c>
      <c r="AN19" s="68"/>
      <c r="AO19" s="69"/>
      <c r="AP19" s="65">
        <f t="shared" si="13"/>
        <v>0</v>
      </c>
      <c r="AQ19" s="8" t="e">
        <f t="shared" si="2"/>
        <v>#DIV/0!</v>
      </c>
    </row>
    <row r="20" spans="1:43" ht="18" customHeight="1" x14ac:dyDescent="0.2">
      <c r="A20" s="6"/>
      <c r="B20" s="11"/>
      <c r="C20" s="64"/>
      <c r="D20" s="65"/>
      <c r="E20" s="66"/>
      <c r="F20" s="67">
        <f t="shared" si="14"/>
        <v>0</v>
      </c>
      <c r="G20" s="68"/>
      <c r="H20" s="69"/>
      <c r="I20" s="67">
        <f t="shared" si="15"/>
        <v>0</v>
      </c>
      <c r="J20" s="68"/>
      <c r="K20" s="69"/>
      <c r="L20" s="67">
        <f t="shared" si="3"/>
        <v>0</v>
      </c>
      <c r="M20" s="68"/>
      <c r="N20" s="69"/>
      <c r="O20" s="67">
        <f t="shared" si="4"/>
        <v>0</v>
      </c>
      <c r="P20" s="68"/>
      <c r="Q20" s="69"/>
      <c r="R20" s="67">
        <f t="shared" si="5"/>
        <v>0</v>
      </c>
      <c r="S20" s="68"/>
      <c r="T20" s="69"/>
      <c r="U20" s="67">
        <f t="shared" si="6"/>
        <v>0</v>
      </c>
      <c r="V20" s="68"/>
      <c r="W20" s="69"/>
      <c r="X20" s="67">
        <f t="shared" si="7"/>
        <v>0</v>
      </c>
      <c r="Y20" s="68"/>
      <c r="Z20" s="69"/>
      <c r="AA20" s="67">
        <f t="shared" si="8"/>
        <v>0</v>
      </c>
      <c r="AB20" s="68"/>
      <c r="AC20" s="69"/>
      <c r="AD20" s="67">
        <f t="shared" si="9"/>
        <v>0</v>
      </c>
      <c r="AE20" s="68"/>
      <c r="AF20" s="69"/>
      <c r="AG20" s="67">
        <f t="shared" si="10"/>
        <v>0</v>
      </c>
      <c r="AH20" s="68"/>
      <c r="AI20" s="69"/>
      <c r="AJ20" s="67">
        <f t="shared" si="11"/>
        <v>0</v>
      </c>
      <c r="AK20" s="68"/>
      <c r="AL20" s="69"/>
      <c r="AM20" s="67">
        <f t="shared" si="12"/>
        <v>0</v>
      </c>
      <c r="AN20" s="68"/>
      <c r="AO20" s="69"/>
      <c r="AP20" s="65">
        <f t="shared" si="13"/>
        <v>0</v>
      </c>
      <c r="AQ20" s="8" t="e">
        <f t="shared" si="2"/>
        <v>#DIV/0!</v>
      </c>
    </row>
    <row r="21" spans="1:43" ht="18" customHeight="1" x14ac:dyDescent="0.2">
      <c r="A21" s="6"/>
      <c r="B21" s="11"/>
      <c r="C21" s="64"/>
      <c r="D21" s="65"/>
      <c r="E21" s="66"/>
      <c r="F21" s="67">
        <f t="shared" si="14"/>
        <v>0</v>
      </c>
      <c r="G21" s="68"/>
      <c r="H21" s="69"/>
      <c r="I21" s="67">
        <f t="shared" si="15"/>
        <v>0</v>
      </c>
      <c r="J21" s="68"/>
      <c r="K21" s="69"/>
      <c r="L21" s="67">
        <f t="shared" si="3"/>
        <v>0</v>
      </c>
      <c r="M21" s="68"/>
      <c r="N21" s="69"/>
      <c r="O21" s="67">
        <f t="shared" si="4"/>
        <v>0</v>
      </c>
      <c r="P21" s="68"/>
      <c r="Q21" s="69"/>
      <c r="R21" s="67">
        <f t="shared" si="5"/>
        <v>0</v>
      </c>
      <c r="S21" s="68"/>
      <c r="T21" s="69"/>
      <c r="U21" s="67">
        <f t="shared" si="6"/>
        <v>0</v>
      </c>
      <c r="V21" s="68"/>
      <c r="W21" s="69"/>
      <c r="X21" s="67">
        <f t="shared" si="7"/>
        <v>0</v>
      </c>
      <c r="Y21" s="68"/>
      <c r="Z21" s="69"/>
      <c r="AA21" s="67">
        <f t="shared" si="8"/>
        <v>0</v>
      </c>
      <c r="AB21" s="68"/>
      <c r="AC21" s="69"/>
      <c r="AD21" s="67">
        <f t="shared" si="9"/>
        <v>0</v>
      </c>
      <c r="AE21" s="68"/>
      <c r="AF21" s="69"/>
      <c r="AG21" s="67">
        <f t="shared" si="10"/>
        <v>0</v>
      </c>
      <c r="AH21" s="68"/>
      <c r="AI21" s="69"/>
      <c r="AJ21" s="67">
        <f t="shared" si="11"/>
        <v>0</v>
      </c>
      <c r="AK21" s="68"/>
      <c r="AL21" s="69"/>
      <c r="AM21" s="67">
        <f t="shared" si="12"/>
        <v>0</v>
      </c>
      <c r="AN21" s="68"/>
      <c r="AO21" s="69"/>
      <c r="AP21" s="65">
        <f t="shared" si="13"/>
        <v>0</v>
      </c>
      <c r="AQ21" s="8" t="e">
        <f t="shared" si="2"/>
        <v>#DIV/0!</v>
      </c>
    </row>
    <row r="22" spans="1:43" ht="18" customHeight="1" x14ac:dyDescent="0.2">
      <c r="A22" s="6"/>
      <c r="B22" s="11"/>
      <c r="C22" s="64"/>
      <c r="D22" s="65"/>
      <c r="E22" s="66"/>
      <c r="F22" s="67">
        <f t="shared" si="14"/>
        <v>0</v>
      </c>
      <c r="G22" s="68"/>
      <c r="H22" s="69"/>
      <c r="I22" s="67">
        <f t="shared" si="15"/>
        <v>0</v>
      </c>
      <c r="J22" s="68"/>
      <c r="K22" s="69"/>
      <c r="L22" s="67">
        <f t="shared" si="3"/>
        <v>0</v>
      </c>
      <c r="M22" s="68"/>
      <c r="N22" s="69"/>
      <c r="O22" s="67">
        <f t="shared" si="4"/>
        <v>0</v>
      </c>
      <c r="P22" s="68"/>
      <c r="Q22" s="69"/>
      <c r="R22" s="67">
        <f t="shared" si="5"/>
        <v>0</v>
      </c>
      <c r="S22" s="68"/>
      <c r="T22" s="69"/>
      <c r="U22" s="67">
        <f t="shared" si="6"/>
        <v>0</v>
      </c>
      <c r="V22" s="68"/>
      <c r="W22" s="69"/>
      <c r="X22" s="67">
        <f t="shared" si="7"/>
        <v>0</v>
      </c>
      <c r="Y22" s="68"/>
      <c r="Z22" s="69"/>
      <c r="AA22" s="67">
        <f t="shared" si="8"/>
        <v>0</v>
      </c>
      <c r="AB22" s="68"/>
      <c r="AC22" s="69"/>
      <c r="AD22" s="67">
        <f t="shared" si="9"/>
        <v>0</v>
      </c>
      <c r="AE22" s="68"/>
      <c r="AF22" s="69"/>
      <c r="AG22" s="67">
        <f t="shared" si="10"/>
        <v>0</v>
      </c>
      <c r="AH22" s="68"/>
      <c r="AI22" s="69"/>
      <c r="AJ22" s="67">
        <f t="shared" si="11"/>
        <v>0</v>
      </c>
      <c r="AK22" s="68"/>
      <c r="AL22" s="69"/>
      <c r="AM22" s="67">
        <f t="shared" si="12"/>
        <v>0</v>
      </c>
      <c r="AN22" s="68"/>
      <c r="AO22" s="69"/>
      <c r="AP22" s="65">
        <f t="shared" si="13"/>
        <v>0</v>
      </c>
      <c r="AQ22" s="8" t="e">
        <f t="shared" si="2"/>
        <v>#DIV/0!</v>
      </c>
    </row>
    <row r="23" spans="1:43" ht="18" customHeight="1" x14ac:dyDescent="0.2">
      <c r="A23" s="6"/>
      <c r="B23" s="11"/>
      <c r="C23" s="64"/>
      <c r="D23" s="65"/>
      <c r="E23" s="66"/>
      <c r="F23" s="67">
        <f t="shared" si="14"/>
        <v>0</v>
      </c>
      <c r="G23" s="68"/>
      <c r="H23" s="69"/>
      <c r="I23" s="67">
        <f t="shared" si="15"/>
        <v>0</v>
      </c>
      <c r="J23" s="68"/>
      <c r="K23" s="69"/>
      <c r="L23" s="67">
        <f t="shared" si="3"/>
        <v>0</v>
      </c>
      <c r="M23" s="68"/>
      <c r="N23" s="69"/>
      <c r="O23" s="67">
        <f t="shared" si="4"/>
        <v>0</v>
      </c>
      <c r="P23" s="68"/>
      <c r="Q23" s="69"/>
      <c r="R23" s="67">
        <f t="shared" si="5"/>
        <v>0</v>
      </c>
      <c r="S23" s="68"/>
      <c r="T23" s="69"/>
      <c r="U23" s="67">
        <f t="shared" si="6"/>
        <v>0</v>
      </c>
      <c r="V23" s="68"/>
      <c r="W23" s="69"/>
      <c r="X23" s="67">
        <f t="shared" si="7"/>
        <v>0</v>
      </c>
      <c r="Y23" s="68"/>
      <c r="Z23" s="69"/>
      <c r="AA23" s="67">
        <f t="shared" si="8"/>
        <v>0</v>
      </c>
      <c r="AB23" s="68"/>
      <c r="AC23" s="69"/>
      <c r="AD23" s="67">
        <f t="shared" si="9"/>
        <v>0</v>
      </c>
      <c r="AE23" s="68"/>
      <c r="AF23" s="69"/>
      <c r="AG23" s="67">
        <f t="shared" si="10"/>
        <v>0</v>
      </c>
      <c r="AH23" s="68"/>
      <c r="AI23" s="69"/>
      <c r="AJ23" s="67">
        <f t="shared" si="11"/>
        <v>0</v>
      </c>
      <c r="AK23" s="68"/>
      <c r="AL23" s="69"/>
      <c r="AM23" s="67">
        <f t="shared" si="12"/>
        <v>0</v>
      </c>
      <c r="AN23" s="68"/>
      <c r="AO23" s="69"/>
      <c r="AP23" s="65">
        <f t="shared" si="13"/>
        <v>0</v>
      </c>
      <c r="AQ23" s="8" t="e">
        <f t="shared" si="2"/>
        <v>#DIV/0!</v>
      </c>
    </row>
    <row r="24" spans="1:43" ht="18" customHeight="1" x14ac:dyDescent="0.2">
      <c r="A24" s="6"/>
      <c r="B24" s="11"/>
      <c r="C24" s="64"/>
      <c r="D24" s="65"/>
      <c r="E24" s="66"/>
      <c r="F24" s="67">
        <f t="shared" si="14"/>
        <v>0</v>
      </c>
      <c r="G24" s="68"/>
      <c r="H24" s="69"/>
      <c r="I24" s="67">
        <f t="shared" si="15"/>
        <v>0</v>
      </c>
      <c r="J24" s="68"/>
      <c r="K24" s="69"/>
      <c r="L24" s="67">
        <f t="shared" si="3"/>
        <v>0</v>
      </c>
      <c r="M24" s="68"/>
      <c r="N24" s="69"/>
      <c r="O24" s="67">
        <f t="shared" si="4"/>
        <v>0</v>
      </c>
      <c r="P24" s="68"/>
      <c r="Q24" s="69"/>
      <c r="R24" s="67">
        <f t="shared" si="5"/>
        <v>0</v>
      </c>
      <c r="S24" s="68"/>
      <c r="T24" s="69"/>
      <c r="U24" s="67">
        <f t="shared" si="6"/>
        <v>0</v>
      </c>
      <c r="V24" s="68"/>
      <c r="W24" s="69"/>
      <c r="X24" s="67">
        <f t="shared" si="7"/>
        <v>0</v>
      </c>
      <c r="Y24" s="68"/>
      <c r="Z24" s="69"/>
      <c r="AA24" s="67">
        <f t="shared" si="8"/>
        <v>0</v>
      </c>
      <c r="AB24" s="68"/>
      <c r="AC24" s="69"/>
      <c r="AD24" s="67">
        <f t="shared" si="9"/>
        <v>0</v>
      </c>
      <c r="AE24" s="68"/>
      <c r="AF24" s="69"/>
      <c r="AG24" s="67">
        <f t="shared" si="10"/>
        <v>0</v>
      </c>
      <c r="AH24" s="68"/>
      <c r="AI24" s="69"/>
      <c r="AJ24" s="67">
        <f t="shared" si="11"/>
        <v>0</v>
      </c>
      <c r="AK24" s="68"/>
      <c r="AL24" s="69"/>
      <c r="AM24" s="67">
        <f t="shared" si="12"/>
        <v>0</v>
      </c>
      <c r="AN24" s="68"/>
      <c r="AO24" s="69"/>
      <c r="AP24" s="65">
        <f t="shared" si="13"/>
        <v>0</v>
      </c>
      <c r="AQ24" s="8" t="e">
        <f t="shared" si="2"/>
        <v>#DIV/0!</v>
      </c>
    </row>
    <row r="25" spans="1:43" ht="18" customHeight="1" x14ac:dyDescent="0.2">
      <c r="A25" s="6"/>
      <c r="B25" s="11"/>
      <c r="C25" s="64"/>
      <c r="D25" s="65"/>
      <c r="E25" s="66"/>
      <c r="F25" s="67">
        <f t="shared" si="14"/>
        <v>0</v>
      </c>
      <c r="G25" s="68"/>
      <c r="H25" s="69"/>
      <c r="I25" s="67">
        <f t="shared" si="15"/>
        <v>0</v>
      </c>
      <c r="J25" s="68"/>
      <c r="K25" s="69"/>
      <c r="L25" s="67">
        <f t="shared" si="3"/>
        <v>0</v>
      </c>
      <c r="M25" s="68"/>
      <c r="N25" s="69"/>
      <c r="O25" s="67">
        <f t="shared" si="4"/>
        <v>0</v>
      </c>
      <c r="P25" s="68"/>
      <c r="Q25" s="69"/>
      <c r="R25" s="67">
        <f t="shared" si="5"/>
        <v>0</v>
      </c>
      <c r="S25" s="68"/>
      <c r="T25" s="69"/>
      <c r="U25" s="67">
        <f t="shared" si="6"/>
        <v>0</v>
      </c>
      <c r="V25" s="68"/>
      <c r="W25" s="69"/>
      <c r="X25" s="67">
        <f t="shared" si="7"/>
        <v>0</v>
      </c>
      <c r="Y25" s="68"/>
      <c r="Z25" s="69"/>
      <c r="AA25" s="67">
        <f t="shared" si="8"/>
        <v>0</v>
      </c>
      <c r="AB25" s="68"/>
      <c r="AC25" s="69"/>
      <c r="AD25" s="67">
        <f t="shared" si="9"/>
        <v>0</v>
      </c>
      <c r="AE25" s="68"/>
      <c r="AF25" s="69"/>
      <c r="AG25" s="67">
        <f t="shared" si="10"/>
        <v>0</v>
      </c>
      <c r="AH25" s="68"/>
      <c r="AI25" s="69"/>
      <c r="AJ25" s="67">
        <f t="shared" si="11"/>
        <v>0</v>
      </c>
      <c r="AK25" s="68"/>
      <c r="AL25" s="69"/>
      <c r="AM25" s="67">
        <f t="shared" si="12"/>
        <v>0</v>
      </c>
      <c r="AN25" s="68"/>
      <c r="AO25" s="69"/>
      <c r="AP25" s="65">
        <f t="shared" si="13"/>
        <v>0</v>
      </c>
      <c r="AQ25" s="8" t="e">
        <f t="shared" si="2"/>
        <v>#DIV/0!</v>
      </c>
    </row>
    <row r="26" spans="1:43" ht="18" customHeight="1" x14ac:dyDescent="0.2">
      <c r="A26" s="6"/>
      <c r="B26" s="11"/>
      <c r="C26" s="64"/>
      <c r="D26" s="65"/>
      <c r="E26" s="66"/>
      <c r="F26" s="67">
        <f t="shared" si="14"/>
        <v>0</v>
      </c>
      <c r="G26" s="68"/>
      <c r="H26" s="69"/>
      <c r="I26" s="67">
        <f t="shared" si="15"/>
        <v>0</v>
      </c>
      <c r="J26" s="68"/>
      <c r="K26" s="69"/>
      <c r="L26" s="67">
        <f t="shared" si="3"/>
        <v>0</v>
      </c>
      <c r="M26" s="68"/>
      <c r="N26" s="69"/>
      <c r="O26" s="67">
        <f t="shared" si="4"/>
        <v>0</v>
      </c>
      <c r="P26" s="68"/>
      <c r="Q26" s="69"/>
      <c r="R26" s="67">
        <f t="shared" si="5"/>
        <v>0</v>
      </c>
      <c r="S26" s="68"/>
      <c r="T26" s="69"/>
      <c r="U26" s="67">
        <f t="shared" si="6"/>
        <v>0</v>
      </c>
      <c r="V26" s="68"/>
      <c r="W26" s="69"/>
      <c r="X26" s="67">
        <f t="shared" si="7"/>
        <v>0</v>
      </c>
      <c r="Y26" s="68"/>
      <c r="Z26" s="69"/>
      <c r="AA26" s="67">
        <f t="shared" si="8"/>
        <v>0</v>
      </c>
      <c r="AB26" s="68"/>
      <c r="AC26" s="69"/>
      <c r="AD26" s="67">
        <f t="shared" si="9"/>
        <v>0</v>
      </c>
      <c r="AE26" s="68"/>
      <c r="AF26" s="69"/>
      <c r="AG26" s="67">
        <f t="shared" si="10"/>
        <v>0</v>
      </c>
      <c r="AH26" s="68"/>
      <c r="AI26" s="69"/>
      <c r="AJ26" s="67">
        <f t="shared" si="11"/>
        <v>0</v>
      </c>
      <c r="AK26" s="68"/>
      <c r="AL26" s="69"/>
      <c r="AM26" s="67">
        <f t="shared" si="12"/>
        <v>0</v>
      </c>
      <c r="AN26" s="68"/>
      <c r="AO26" s="69"/>
      <c r="AP26" s="65">
        <f t="shared" si="13"/>
        <v>0</v>
      </c>
      <c r="AQ26" s="8" t="e">
        <f t="shared" si="2"/>
        <v>#DIV/0!</v>
      </c>
    </row>
    <row r="27" spans="1:43" ht="18" customHeight="1" x14ac:dyDescent="0.2">
      <c r="A27" s="6"/>
      <c r="B27" s="11"/>
      <c r="C27" s="64"/>
      <c r="D27" s="65"/>
      <c r="E27" s="66"/>
      <c r="F27" s="67">
        <f t="shared" si="14"/>
        <v>0</v>
      </c>
      <c r="G27" s="68"/>
      <c r="H27" s="69"/>
      <c r="I27" s="67">
        <f t="shared" si="15"/>
        <v>0</v>
      </c>
      <c r="J27" s="68"/>
      <c r="K27" s="69"/>
      <c r="L27" s="67">
        <f t="shared" si="3"/>
        <v>0</v>
      </c>
      <c r="M27" s="68"/>
      <c r="N27" s="69"/>
      <c r="O27" s="67">
        <f t="shared" si="4"/>
        <v>0</v>
      </c>
      <c r="P27" s="68"/>
      <c r="Q27" s="69"/>
      <c r="R27" s="67">
        <f t="shared" si="5"/>
        <v>0</v>
      </c>
      <c r="S27" s="68"/>
      <c r="T27" s="69"/>
      <c r="U27" s="67">
        <f t="shared" si="6"/>
        <v>0</v>
      </c>
      <c r="V27" s="68"/>
      <c r="W27" s="69"/>
      <c r="X27" s="67">
        <f t="shared" si="7"/>
        <v>0</v>
      </c>
      <c r="Y27" s="68"/>
      <c r="Z27" s="69"/>
      <c r="AA27" s="67">
        <f t="shared" si="8"/>
        <v>0</v>
      </c>
      <c r="AB27" s="68"/>
      <c r="AC27" s="69"/>
      <c r="AD27" s="67">
        <f t="shared" si="9"/>
        <v>0</v>
      </c>
      <c r="AE27" s="68"/>
      <c r="AF27" s="69"/>
      <c r="AG27" s="67">
        <f t="shared" si="10"/>
        <v>0</v>
      </c>
      <c r="AH27" s="68"/>
      <c r="AI27" s="69"/>
      <c r="AJ27" s="67">
        <f t="shared" si="11"/>
        <v>0</v>
      </c>
      <c r="AK27" s="68"/>
      <c r="AL27" s="69"/>
      <c r="AM27" s="67">
        <f t="shared" si="12"/>
        <v>0</v>
      </c>
      <c r="AN27" s="68"/>
      <c r="AO27" s="69"/>
      <c r="AP27" s="65">
        <f t="shared" si="13"/>
        <v>0</v>
      </c>
      <c r="AQ27" s="8" t="e">
        <f t="shared" si="2"/>
        <v>#DIV/0!</v>
      </c>
    </row>
    <row r="28" spans="1:43" ht="18" customHeight="1" x14ac:dyDescent="0.2">
      <c r="A28" s="6"/>
      <c r="B28" s="11"/>
      <c r="C28" s="64"/>
      <c r="D28" s="65"/>
      <c r="E28" s="66"/>
      <c r="F28" s="67">
        <f t="shared" si="14"/>
        <v>0</v>
      </c>
      <c r="G28" s="68"/>
      <c r="H28" s="69"/>
      <c r="I28" s="67">
        <f t="shared" si="15"/>
        <v>0</v>
      </c>
      <c r="J28" s="68"/>
      <c r="K28" s="69"/>
      <c r="L28" s="67">
        <f t="shared" si="3"/>
        <v>0</v>
      </c>
      <c r="M28" s="68"/>
      <c r="N28" s="69"/>
      <c r="O28" s="67">
        <f t="shared" si="4"/>
        <v>0</v>
      </c>
      <c r="P28" s="68"/>
      <c r="Q28" s="69"/>
      <c r="R28" s="67">
        <f t="shared" si="5"/>
        <v>0</v>
      </c>
      <c r="S28" s="68"/>
      <c r="T28" s="69"/>
      <c r="U28" s="67">
        <f t="shared" si="6"/>
        <v>0</v>
      </c>
      <c r="V28" s="68"/>
      <c r="W28" s="69"/>
      <c r="X28" s="67">
        <f t="shared" si="7"/>
        <v>0</v>
      </c>
      <c r="Y28" s="68"/>
      <c r="Z28" s="69"/>
      <c r="AA28" s="67">
        <f t="shared" si="8"/>
        <v>0</v>
      </c>
      <c r="AB28" s="68"/>
      <c r="AC28" s="69"/>
      <c r="AD28" s="67">
        <f t="shared" si="9"/>
        <v>0</v>
      </c>
      <c r="AE28" s="68"/>
      <c r="AF28" s="69"/>
      <c r="AG28" s="67">
        <f t="shared" si="10"/>
        <v>0</v>
      </c>
      <c r="AH28" s="68"/>
      <c r="AI28" s="69"/>
      <c r="AJ28" s="67">
        <f t="shared" si="11"/>
        <v>0</v>
      </c>
      <c r="AK28" s="68"/>
      <c r="AL28" s="69"/>
      <c r="AM28" s="67">
        <f t="shared" si="12"/>
        <v>0</v>
      </c>
      <c r="AN28" s="68"/>
      <c r="AO28" s="69"/>
      <c r="AP28" s="65">
        <f t="shared" si="13"/>
        <v>0</v>
      </c>
      <c r="AQ28" s="8" t="e">
        <f t="shared" si="2"/>
        <v>#DIV/0!</v>
      </c>
    </row>
    <row r="29" spans="1:43" ht="18" customHeight="1" x14ac:dyDescent="0.2">
      <c r="A29" s="6"/>
      <c r="B29" s="11"/>
      <c r="C29" s="64"/>
      <c r="D29" s="70"/>
      <c r="E29" s="66"/>
      <c r="F29" s="67">
        <f t="shared" si="14"/>
        <v>0</v>
      </c>
      <c r="G29" s="68"/>
      <c r="H29" s="69"/>
      <c r="I29" s="67">
        <f t="shared" si="15"/>
        <v>0</v>
      </c>
      <c r="J29" s="68"/>
      <c r="K29" s="69"/>
      <c r="L29" s="67">
        <f t="shared" si="3"/>
        <v>0</v>
      </c>
      <c r="M29" s="68"/>
      <c r="N29" s="69"/>
      <c r="O29" s="67">
        <f t="shared" si="4"/>
        <v>0</v>
      </c>
      <c r="P29" s="68"/>
      <c r="Q29" s="69"/>
      <c r="R29" s="67">
        <f t="shared" si="5"/>
        <v>0</v>
      </c>
      <c r="S29" s="68"/>
      <c r="T29" s="69"/>
      <c r="U29" s="67">
        <f t="shared" si="6"/>
        <v>0</v>
      </c>
      <c r="V29" s="68"/>
      <c r="W29" s="69"/>
      <c r="X29" s="67">
        <f t="shared" si="7"/>
        <v>0</v>
      </c>
      <c r="Y29" s="68"/>
      <c r="Z29" s="69"/>
      <c r="AA29" s="67">
        <f t="shared" si="8"/>
        <v>0</v>
      </c>
      <c r="AB29" s="68"/>
      <c r="AC29" s="69"/>
      <c r="AD29" s="67">
        <f t="shared" si="9"/>
        <v>0</v>
      </c>
      <c r="AE29" s="68"/>
      <c r="AF29" s="69"/>
      <c r="AG29" s="67">
        <f t="shared" si="10"/>
        <v>0</v>
      </c>
      <c r="AH29" s="68"/>
      <c r="AI29" s="69"/>
      <c r="AJ29" s="67">
        <f t="shared" si="11"/>
        <v>0</v>
      </c>
      <c r="AK29" s="68"/>
      <c r="AL29" s="69"/>
      <c r="AM29" s="67">
        <f t="shared" si="12"/>
        <v>0</v>
      </c>
      <c r="AN29" s="68"/>
      <c r="AO29" s="69"/>
      <c r="AP29" s="70">
        <f t="shared" si="13"/>
        <v>0</v>
      </c>
      <c r="AQ29" s="8" t="e">
        <f t="shared" si="2"/>
        <v>#DIV/0!</v>
      </c>
    </row>
    <row r="30" spans="1:43" ht="18" customHeight="1" x14ac:dyDescent="0.2">
      <c r="A30" s="6"/>
      <c r="B30" s="11"/>
      <c r="C30" s="64"/>
      <c r="D30" s="70"/>
      <c r="E30" s="66"/>
      <c r="F30" s="67">
        <f t="shared" si="14"/>
        <v>0</v>
      </c>
      <c r="G30" s="68"/>
      <c r="H30" s="69"/>
      <c r="I30" s="67">
        <f t="shared" si="15"/>
        <v>0</v>
      </c>
      <c r="J30" s="68"/>
      <c r="K30" s="69"/>
      <c r="L30" s="67">
        <f t="shared" si="3"/>
        <v>0</v>
      </c>
      <c r="M30" s="68"/>
      <c r="N30" s="69"/>
      <c r="O30" s="67">
        <f t="shared" si="4"/>
        <v>0</v>
      </c>
      <c r="P30" s="68"/>
      <c r="Q30" s="69"/>
      <c r="R30" s="67">
        <f t="shared" si="5"/>
        <v>0</v>
      </c>
      <c r="S30" s="68"/>
      <c r="T30" s="69"/>
      <c r="U30" s="67">
        <f t="shared" si="6"/>
        <v>0</v>
      </c>
      <c r="V30" s="68"/>
      <c r="W30" s="69"/>
      <c r="X30" s="67">
        <f t="shared" si="7"/>
        <v>0</v>
      </c>
      <c r="Y30" s="68"/>
      <c r="Z30" s="69"/>
      <c r="AA30" s="67">
        <f t="shared" si="8"/>
        <v>0</v>
      </c>
      <c r="AB30" s="68"/>
      <c r="AC30" s="69"/>
      <c r="AD30" s="67">
        <f t="shared" si="9"/>
        <v>0</v>
      </c>
      <c r="AE30" s="68"/>
      <c r="AF30" s="69"/>
      <c r="AG30" s="67">
        <f t="shared" si="10"/>
        <v>0</v>
      </c>
      <c r="AH30" s="68"/>
      <c r="AI30" s="69"/>
      <c r="AJ30" s="67">
        <f t="shared" si="11"/>
        <v>0</v>
      </c>
      <c r="AK30" s="68"/>
      <c r="AL30" s="69"/>
      <c r="AM30" s="67">
        <f t="shared" si="12"/>
        <v>0</v>
      </c>
      <c r="AN30" s="68"/>
      <c r="AO30" s="69"/>
      <c r="AP30" s="70">
        <f t="shared" si="13"/>
        <v>0</v>
      </c>
      <c r="AQ30" s="8" t="e">
        <f t="shared" si="2"/>
        <v>#DIV/0!</v>
      </c>
    </row>
    <row r="31" spans="1:43" ht="18" customHeight="1" thickBot="1" x14ac:dyDescent="0.25">
      <c r="A31" s="6"/>
      <c r="B31" s="12"/>
      <c r="C31" s="59"/>
      <c r="D31" s="71"/>
      <c r="E31" s="61"/>
      <c r="F31" s="61">
        <f t="shared" si="14"/>
        <v>0</v>
      </c>
      <c r="G31" s="72"/>
      <c r="H31" s="73"/>
      <c r="I31" s="61">
        <f t="shared" si="15"/>
        <v>0</v>
      </c>
      <c r="J31" s="72"/>
      <c r="K31" s="73"/>
      <c r="L31" s="61">
        <f t="shared" si="3"/>
        <v>0</v>
      </c>
      <c r="M31" s="72"/>
      <c r="N31" s="73"/>
      <c r="O31" s="61">
        <f t="shared" si="4"/>
        <v>0</v>
      </c>
      <c r="P31" s="72"/>
      <c r="Q31" s="73"/>
      <c r="R31" s="61">
        <f t="shared" si="5"/>
        <v>0</v>
      </c>
      <c r="S31" s="72"/>
      <c r="T31" s="73"/>
      <c r="U31" s="61">
        <f t="shared" si="6"/>
        <v>0</v>
      </c>
      <c r="V31" s="72"/>
      <c r="W31" s="73"/>
      <c r="X31" s="61">
        <f t="shared" si="7"/>
        <v>0</v>
      </c>
      <c r="Y31" s="72"/>
      <c r="Z31" s="73"/>
      <c r="AA31" s="61">
        <f t="shared" si="8"/>
        <v>0</v>
      </c>
      <c r="AB31" s="72"/>
      <c r="AC31" s="73"/>
      <c r="AD31" s="61">
        <f t="shared" si="9"/>
        <v>0</v>
      </c>
      <c r="AE31" s="72"/>
      <c r="AF31" s="73"/>
      <c r="AG31" s="61">
        <f t="shared" si="10"/>
        <v>0</v>
      </c>
      <c r="AH31" s="72"/>
      <c r="AI31" s="73"/>
      <c r="AJ31" s="61">
        <f t="shared" si="11"/>
        <v>0</v>
      </c>
      <c r="AK31" s="72"/>
      <c r="AL31" s="73"/>
      <c r="AM31" s="61">
        <f t="shared" si="12"/>
        <v>0</v>
      </c>
      <c r="AN31" s="72"/>
      <c r="AO31" s="73"/>
      <c r="AP31" s="71">
        <f t="shared" si="13"/>
        <v>0</v>
      </c>
      <c r="AQ31" s="7" t="e">
        <f t="shared" si="2"/>
        <v>#DIV/0!</v>
      </c>
    </row>
    <row r="32" spans="1:43" ht="18" customHeight="1" thickTop="1" x14ac:dyDescent="0.2">
      <c r="B32" s="13" t="s">
        <v>33</v>
      </c>
      <c r="C32" s="74">
        <f t="shared" ref="C32" si="16">SUM(C12:C31)</f>
        <v>259</v>
      </c>
      <c r="D32" s="75">
        <f t="shared" ref="D32:AP32" si="17">SUM(D12:D31)</f>
        <v>150</v>
      </c>
      <c r="E32" s="76">
        <f t="shared" si="17"/>
        <v>300</v>
      </c>
      <c r="F32" s="76">
        <f t="shared" si="17"/>
        <v>16</v>
      </c>
      <c r="G32" s="77">
        <f t="shared" si="17"/>
        <v>0</v>
      </c>
      <c r="H32" s="78">
        <f t="shared" si="17"/>
        <v>16</v>
      </c>
      <c r="I32" s="76">
        <f t="shared" ref="I32:N32" si="18">SUM(I12:I31)</f>
        <v>12</v>
      </c>
      <c r="J32" s="77">
        <f t="shared" si="18"/>
        <v>0</v>
      </c>
      <c r="K32" s="78">
        <f t="shared" si="18"/>
        <v>12</v>
      </c>
      <c r="L32" s="76">
        <f t="shared" si="18"/>
        <v>0</v>
      </c>
      <c r="M32" s="77">
        <f t="shared" si="18"/>
        <v>0</v>
      </c>
      <c r="N32" s="78">
        <f t="shared" si="18"/>
        <v>0</v>
      </c>
      <c r="O32" s="76">
        <f t="shared" ref="O32:T32" si="19">SUM(O12:O31)</f>
        <v>0</v>
      </c>
      <c r="P32" s="77">
        <f t="shared" si="19"/>
        <v>0</v>
      </c>
      <c r="Q32" s="78">
        <f t="shared" si="19"/>
        <v>0</v>
      </c>
      <c r="R32" s="76">
        <f t="shared" si="19"/>
        <v>0</v>
      </c>
      <c r="S32" s="77">
        <f t="shared" si="19"/>
        <v>0</v>
      </c>
      <c r="T32" s="78">
        <f t="shared" si="19"/>
        <v>0</v>
      </c>
      <c r="U32" s="76">
        <f t="shared" ref="U32:AI32" si="20">SUM(U12:U31)</f>
        <v>0</v>
      </c>
      <c r="V32" s="77">
        <f t="shared" si="20"/>
        <v>0</v>
      </c>
      <c r="W32" s="78">
        <f t="shared" si="20"/>
        <v>0</v>
      </c>
      <c r="X32" s="76">
        <f t="shared" si="20"/>
        <v>0</v>
      </c>
      <c r="Y32" s="77">
        <f t="shared" si="20"/>
        <v>0</v>
      </c>
      <c r="Z32" s="78">
        <f t="shared" si="20"/>
        <v>0</v>
      </c>
      <c r="AA32" s="76">
        <f t="shared" si="20"/>
        <v>0</v>
      </c>
      <c r="AB32" s="77">
        <f t="shared" si="20"/>
        <v>0</v>
      </c>
      <c r="AC32" s="78">
        <f t="shared" si="20"/>
        <v>0</v>
      </c>
      <c r="AD32" s="76">
        <f t="shared" si="20"/>
        <v>0</v>
      </c>
      <c r="AE32" s="77">
        <f t="shared" si="20"/>
        <v>0</v>
      </c>
      <c r="AF32" s="78">
        <f t="shared" si="20"/>
        <v>0</v>
      </c>
      <c r="AG32" s="76">
        <f t="shared" si="20"/>
        <v>0</v>
      </c>
      <c r="AH32" s="77">
        <f t="shared" si="20"/>
        <v>0</v>
      </c>
      <c r="AI32" s="78">
        <f t="shared" si="20"/>
        <v>0</v>
      </c>
      <c r="AJ32" s="76">
        <f t="shared" ref="AJ32:AO32" si="21">SUM(AJ12:AJ31)</f>
        <v>0</v>
      </c>
      <c r="AK32" s="77">
        <f t="shared" si="21"/>
        <v>0</v>
      </c>
      <c r="AL32" s="78">
        <f t="shared" si="21"/>
        <v>0</v>
      </c>
      <c r="AM32" s="76">
        <f t="shared" si="21"/>
        <v>0</v>
      </c>
      <c r="AN32" s="77">
        <f t="shared" si="21"/>
        <v>0</v>
      </c>
      <c r="AO32" s="78">
        <f t="shared" si="21"/>
        <v>0</v>
      </c>
      <c r="AP32" s="75">
        <f t="shared" si="17"/>
        <v>16</v>
      </c>
      <c r="AQ32" s="9">
        <f t="shared" si="2"/>
        <v>5.3333333333333337E-2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H16" sqref="H16:I16"/>
    </sheetView>
  </sheetViews>
  <sheetFormatPr defaultColWidth="11.33203125" defaultRowHeight="18.75" customHeight="1" x14ac:dyDescent="0.2"/>
  <cols>
    <col min="1" max="1" width="2.77734375" style="39"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9" t="s">
        <v>65</v>
      </c>
      <c r="I1" s="34" t="s">
        <v>106</v>
      </c>
    </row>
    <row r="2" spans="1:9" ht="18.75" customHeight="1" x14ac:dyDescent="0.2">
      <c r="G2" s="34" t="s">
        <v>109</v>
      </c>
      <c r="H2" s="132" t="str">
        <f>'様式１　プログラムを構成する授業科目'!C2</f>
        <v>金沢星稜大学女子短期大学部</v>
      </c>
      <c r="I2" s="134"/>
    </row>
    <row r="3" spans="1:9" ht="18.75" customHeight="1" x14ac:dyDescent="0.2">
      <c r="G3" s="34"/>
      <c r="H3" s="10"/>
      <c r="I3" s="10"/>
    </row>
    <row r="4" spans="1:9" ht="18.600000000000001" customHeight="1" x14ac:dyDescent="0.2">
      <c r="A4" s="122" t="s">
        <v>36</v>
      </c>
      <c r="B4" s="122"/>
      <c r="C4" s="122"/>
      <c r="D4" s="122"/>
      <c r="E4" s="122"/>
      <c r="F4" s="122"/>
      <c r="G4" s="122"/>
      <c r="H4" s="122"/>
      <c r="I4" s="122"/>
    </row>
    <row r="5" spans="1:9" ht="13.2" customHeight="1" x14ac:dyDescent="0.2">
      <c r="B5" s="3"/>
      <c r="C5" s="3"/>
      <c r="D5" s="3"/>
      <c r="E5" s="3"/>
      <c r="F5" s="3"/>
      <c r="G5" s="3"/>
      <c r="H5" s="3"/>
      <c r="I5" s="3"/>
    </row>
    <row r="6" spans="1:9" ht="18" customHeight="1" x14ac:dyDescent="0.2">
      <c r="A6" s="1" t="s">
        <v>0</v>
      </c>
      <c r="B6" s="10" t="s">
        <v>91</v>
      </c>
      <c r="C6" s="251" t="s">
        <v>92</v>
      </c>
      <c r="D6" s="251"/>
      <c r="E6" s="89">
        <v>10</v>
      </c>
      <c r="F6" s="3" t="s">
        <v>1</v>
      </c>
      <c r="G6" s="3" t="s">
        <v>2</v>
      </c>
      <c r="H6" s="89">
        <v>21</v>
      </c>
      <c r="I6" s="10" t="s">
        <v>1</v>
      </c>
    </row>
    <row r="7" spans="1:9" ht="12" customHeight="1" x14ac:dyDescent="0.2">
      <c r="C7" s="2"/>
      <c r="D7" s="2"/>
      <c r="E7" s="2"/>
      <c r="F7" s="2"/>
      <c r="G7" s="2"/>
      <c r="H7" s="2"/>
      <c r="I7" s="40"/>
    </row>
    <row r="8" spans="1:9" ht="18" customHeight="1" x14ac:dyDescent="0.2">
      <c r="A8" s="1" t="s">
        <v>3</v>
      </c>
      <c r="B8" s="10" t="s">
        <v>93</v>
      </c>
      <c r="E8" s="3"/>
      <c r="F8" s="3"/>
      <c r="G8" s="3"/>
      <c r="H8" s="91">
        <v>1</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4" t="s">
        <v>43</v>
      </c>
      <c r="C11" s="248" t="s">
        <v>147</v>
      </c>
      <c r="D11" s="249"/>
      <c r="E11" s="250"/>
      <c r="F11" s="40"/>
      <c r="G11" s="34" t="s">
        <v>10</v>
      </c>
      <c r="H11" s="248" t="s">
        <v>148</v>
      </c>
      <c r="I11" s="250"/>
    </row>
    <row r="12" spans="1:9" ht="10.199999999999999" customHeight="1" x14ac:dyDescent="0.2">
      <c r="B12" s="34"/>
      <c r="C12" s="10"/>
      <c r="D12" s="40"/>
      <c r="E12" s="40"/>
      <c r="F12" s="40"/>
      <c r="G12" s="34"/>
      <c r="H12" s="10"/>
      <c r="I12" s="40"/>
    </row>
    <row r="13" spans="1:9" ht="18" customHeight="1" x14ac:dyDescent="0.2">
      <c r="A13" s="1" t="s">
        <v>7</v>
      </c>
      <c r="B13" s="10" t="s">
        <v>88</v>
      </c>
      <c r="C13" s="3"/>
      <c r="D13" s="3"/>
      <c r="E13" s="3"/>
      <c r="F13" s="3"/>
      <c r="G13" s="3"/>
      <c r="H13" s="3"/>
      <c r="I13" s="3"/>
    </row>
    <row r="14" spans="1:9" ht="18" customHeight="1" x14ac:dyDescent="0.2">
      <c r="B14" s="243" t="s">
        <v>131</v>
      </c>
      <c r="C14" s="244"/>
      <c r="D14" s="244"/>
      <c r="E14" s="244"/>
      <c r="F14" s="244"/>
      <c r="G14" s="244"/>
      <c r="H14" s="244"/>
      <c r="I14" s="245"/>
    </row>
    <row r="15" spans="1:9" ht="9" customHeight="1" x14ac:dyDescent="0.2">
      <c r="B15" s="3"/>
      <c r="C15" s="3"/>
      <c r="D15" s="3"/>
      <c r="E15" s="3"/>
      <c r="F15" s="3"/>
      <c r="G15" s="3"/>
      <c r="H15" s="3"/>
      <c r="I15" s="3"/>
    </row>
    <row r="16" spans="1:9" ht="18" customHeight="1" x14ac:dyDescent="0.2">
      <c r="B16" s="34" t="s">
        <v>43</v>
      </c>
      <c r="C16" s="243" t="s">
        <v>132</v>
      </c>
      <c r="D16" s="246"/>
      <c r="E16" s="247"/>
      <c r="F16" s="40"/>
      <c r="G16" s="34" t="s">
        <v>10</v>
      </c>
      <c r="H16" s="243" t="s">
        <v>133</v>
      </c>
      <c r="I16" s="247"/>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35" t="s">
        <v>134</v>
      </c>
      <c r="C19" s="236"/>
      <c r="D19" s="236"/>
      <c r="E19" s="236"/>
      <c r="F19" s="236"/>
      <c r="G19" s="236"/>
      <c r="H19" s="236"/>
      <c r="I19" s="237"/>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225" t="s">
        <v>135</v>
      </c>
      <c r="C22" s="226"/>
      <c r="D22" s="226"/>
      <c r="E22" s="226"/>
      <c r="F22" s="226"/>
      <c r="G22" s="226"/>
      <c r="H22" s="226"/>
      <c r="I22" s="227"/>
    </row>
    <row r="23" spans="1:9" ht="18.75" customHeight="1" x14ac:dyDescent="0.2">
      <c r="A23" s="14"/>
      <c r="B23" s="238"/>
      <c r="C23" s="239"/>
      <c r="D23" s="239"/>
      <c r="E23" s="239"/>
      <c r="F23" s="239"/>
      <c r="G23" s="239"/>
      <c r="H23" s="239"/>
      <c r="I23" s="230"/>
    </row>
    <row r="24" spans="1:9" ht="18.75" customHeight="1" x14ac:dyDescent="0.2">
      <c r="A24" s="14"/>
      <c r="B24" s="238"/>
      <c r="C24" s="239"/>
      <c r="D24" s="239"/>
      <c r="E24" s="239"/>
      <c r="F24" s="239"/>
      <c r="G24" s="239"/>
      <c r="H24" s="239"/>
      <c r="I24" s="230"/>
    </row>
    <row r="25" spans="1:9" ht="18.75" customHeight="1" x14ac:dyDescent="0.2">
      <c r="A25" s="14"/>
      <c r="B25" s="238"/>
      <c r="C25" s="239"/>
      <c r="D25" s="239"/>
      <c r="E25" s="239"/>
      <c r="F25" s="239"/>
      <c r="G25" s="239"/>
      <c r="H25" s="239"/>
      <c r="I25" s="230"/>
    </row>
    <row r="26" spans="1:9" ht="18.75" customHeight="1" x14ac:dyDescent="0.2">
      <c r="A26" s="14"/>
      <c r="B26" s="238"/>
      <c r="C26" s="239"/>
      <c r="D26" s="239"/>
      <c r="E26" s="239"/>
      <c r="F26" s="239"/>
      <c r="G26" s="239"/>
      <c r="H26" s="239"/>
      <c r="I26" s="230"/>
    </row>
    <row r="27" spans="1:9" ht="18.75" customHeight="1" x14ac:dyDescent="0.2">
      <c r="A27" s="14"/>
      <c r="B27" s="238"/>
      <c r="C27" s="239"/>
      <c r="D27" s="239"/>
      <c r="E27" s="239"/>
      <c r="F27" s="239"/>
      <c r="G27" s="239"/>
      <c r="H27" s="239"/>
      <c r="I27" s="230"/>
    </row>
    <row r="28" spans="1:9" ht="18.75" customHeight="1" x14ac:dyDescent="0.2">
      <c r="A28" s="14"/>
      <c r="B28" s="238"/>
      <c r="C28" s="239"/>
      <c r="D28" s="239"/>
      <c r="E28" s="239"/>
      <c r="F28" s="239"/>
      <c r="G28" s="239"/>
      <c r="H28" s="239"/>
      <c r="I28" s="230"/>
    </row>
    <row r="29" spans="1:9" ht="18.75" customHeight="1" x14ac:dyDescent="0.2">
      <c r="A29" s="14"/>
      <c r="B29" s="238"/>
      <c r="C29" s="239"/>
      <c r="D29" s="239"/>
      <c r="E29" s="239"/>
      <c r="F29" s="239"/>
      <c r="G29" s="239"/>
      <c r="H29" s="239"/>
      <c r="I29" s="230"/>
    </row>
    <row r="30" spans="1:9" ht="18.75" customHeight="1" x14ac:dyDescent="0.2">
      <c r="A30" s="14"/>
      <c r="B30" s="228"/>
      <c r="C30" s="229"/>
      <c r="D30" s="229"/>
      <c r="E30" s="229"/>
      <c r="F30" s="229"/>
      <c r="G30" s="229"/>
      <c r="H30" s="229"/>
      <c r="I30" s="230"/>
    </row>
    <row r="31" spans="1:9" ht="18.75" customHeight="1" x14ac:dyDescent="0.2">
      <c r="A31" s="14"/>
      <c r="B31" s="228"/>
      <c r="C31" s="229"/>
      <c r="D31" s="229"/>
      <c r="E31" s="229"/>
      <c r="F31" s="229"/>
      <c r="G31" s="229"/>
      <c r="H31" s="229"/>
      <c r="I31" s="230"/>
    </row>
    <row r="32" spans="1:9" ht="18.75" customHeight="1" x14ac:dyDescent="0.2">
      <c r="A32" s="14"/>
      <c r="B32" s="231"/>
      <c r="C32" s="232"/>
      <c r="D32" s="232"/>
      <c r="E32" s="232"/>
      <c r="F32" s="232"/>
      <c r="G32" s="232"/>
      <c r="H32" s="232"/>
      <c r="I32" s="233"/>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25" t="s">
        <v>142</v>
      </c>
      <c r="C35" s="226"/>
      <c r="D35" s="226"/>
      <c r="E35" s="226"/>
      <c r="F35" s="226"/>
      <c r="G35" s="226"/>
      <c r="H35" s="226"/>
      <c r="I35" s="227"/>
    </row>
    <row r="36" spans="1:9" ht="18.75" customHeight="1" x14ac:dyDescent="0.2">
      <c r="A36" s="14"/>
      <c r="B36" s="228"/>
      <c r="C36" s="229"/>
      <c r="D36" s="229"/>
      <c r="E36" s="229"/>
      <c r="F36" s="229"/>
      <c r="G36" s="229"/>
      <c r="H36" s="229"/>
      <c r="I36" s="230"/>
    </row>
    <row r="37" spans="1:9" ht="18.75" customHeight="1" x14ac:dyDescent="0.2">
      <c r="A37" s="14"/>
      <c r="B37" s="228"/>
      <c r="C37" s="229"/>
      <c r="D37" s="229"/>
      <c r="E37" s="229"/>
      <c r="F37" s="229"/>
      <c r="G37" s="229"/>
      <c r="H37" s="229"/>
      <c r="I37" s="230"/>
    </row>
    <row r="38" spans="1:9" ht="18.75" customHeight="1" x14ac:dyDescent="0.2">
      <c r="A38" s="14"/>
      <c r="B38" s="228"/>
      <c r="C38" s="229"/>
      <c r="D38" s="229"/>
      <c r="E38" s="229"/>
      <c r="F38" s="229"/>
      <c r="G38" s="229"/>
      <c r="H38" s="229"/>
      <c r="I38" s="230"/>
    </row>
    <row r="39" spans="1:9" ht="18.75" customHeight="1" x14ac:dyDescent="0.2">
      <c r="A39" s="14"/>
      <c r="B39" s="228"/>
      <c r="C39" s="229"/>
      <c r="D39" s="229"/>
      <c r="E39" s="229"/>
      <c r="F39" s="229"/>
      <c r="G39" s="229"/>
      <c r="H39" s="229"/>
      <c r="I39" s="230"/>
    </row>
    <row r="40" spans="1:9" ht="18.75" customHeight="1" x14ac:dyDescent="0.2">
      <c r="A40" s="14"/>
      <c r="B40" s="228"/>
      <c r="C40" s="229"/>
      <c r="D40" s="229"/>
      <c r="E40" s="229"/>
      <c r="F40" s="229"/>
      <c r="G40" s="229"/>
      <c r="H40" s="229"/>
      <c r="I40" s="230"/>
    </row>
    <row r="41" spans="1:9" ht="18.75" customHeight="1" x14ac:dyDescent="0.2">
      <c r="A41" s="14"/>
      <c r="B41" s="228"/>
      <c r="C41" s="229"/>
      <c r="D41" s="229"/>
      <c r="E41" s="229"/>
      <c r="F41" s="229"/>
      <c r="G41" s="229"/>
      <c r="H41" s="229"/>
      <c r="I41" s="230"/>
    </row>
    <row r="42" spans="1:9" ht="18.75" customHeight="1" x14ac:dyDescent="0.2">
      <c r="A42" s="14"/>
      <c r="B42" s="228"/>
      <c r="C42" s="229"/>
      <c r="D42" s="229"/>
      <c r="E42" s="229"/>
      <c r="F42" s="229"/>
      <c r="G42" s="229"/>
      <c r="H42" s="229"/>
      <c r="I42" s="230"/>
    </row>
    <row r="43" spans="1:9" ht="18.75" customHeight="1" x14ac:dyDescent="0.2">
      <c r="A43" s="14"/>
      <c r="B43" s="228"/>
      <c r="C43" s="229"/>
      <c r="D43" s="229"/>
      <c r="E43" s="229"/>
      <c r="F43" s="229"/>
      <c r="G43" s="229"/>
      <c r="H43" s="229"/>
      <c r="I43" s="230"/>
    </row>
    <row r="44" spans="1:9" ht="18.75" customHeight="1" x14ac:dyDescent="0.2">
      <c r="A44" s="14"/>
      <c r="B44" s="228"/>
      <c r="C44" s="229"/>
      <c r="D44" s="229"/>
      <c r="E44" s="229"/>
      <c r="F44" s="229"/>
      <c r="G44" s="229"/>
      <c r="H44" s="229"/>
      <c r="I44" s="230"/>
    </row>
    <row r="45" spans="1:9" ht="18.75" customHeight="1" x14ac:dyDescent="0.2">
      <c r="A45" s="14"/>
      <c r="B45" s="228"/>
      <c r="C45" s="229"/>
      <c r="D45" s="229"/>
      <c r="E45" s="229"/>
      <c r="F45" s="229"/>
      <c r="G45" s="229"/>
      <c r="H45" s="229"/>
      <c r="I45" s="230"/>
    </row>
    <row r="46" spans="1:9" ht="18.75" customHeight="1" x14ac:dyDescent="0.2">
      <c r="A46" s="14"/>
      <c r="B46" s="231"/>
      <c r="C46" s="232"/>
      <c r="D46" s="232"/>
      <c r="E46" s="232"/>
      <c r="F46" s="232"/>
      <c r="G46" s="232"/>
      <c r="H46" s="232"/>
      <c r="I46" s="233"/>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41" t="s">
        <v>89</v>
      </c>
      <c r="C49" s="213">
        <f>'様式２ 履修者等数の実績'!AQ32</f>
        <v>5.3333333333333337E-2</v>
      </c>
      <c r="D49" s="213"/>
      <c r="E49" s="41" t="s">
        <v>66</v>
      </c>
      <c r="F49" s="215">
        <v>0.2</v>
      </c>
      <c r="G49" s="215"/>
      <c r="H49" s="41" t="s">
        <v>67</v>
      </c>
      <c r="I49" s="92">
        <v>0.35</v>
      </c>
      <c r="J49" s="1"/>
      <c r="M49" s="1"/>
      <c r="N49" s="42"/>
    </row>
    <row r="50" spans="1:15" s="3" customFormat="1" ht="18.75" customHeight="1" x14ac:dyDescent="0.2">
      <c r="B50" s="43" t="s">
        <v>68</v>
      </c>
      <c r="C50" s="214">
        <v>0.55000000000000004</v>
      </c>
      <c r="D50" s="214"/>
      <c r="E50" s="43" t="s">
        <v>90</v>
      </c>
      <c r="F50" s="214">
        <v>0.75</v>
      </c>
      <c r="G50" s="214"/>
      <c r="H50" s="43" t="s">
        <v>69</v>
      </c>
      <c r="I50" s="44">
        <f>'様式２ 履修者等数の実績'!E32</f>
        <v>300</v>
      </c>
      <c r="J50" s="1"/>
      <c r="M50" s="1"/>
      <c r="N50" s="42"/>
    </row>
    <row r="51" spans="1:15" ht="18.75" customHeight="1" x14ac:dyDescent="0.2">
      <c r="A51" s="1"/>
      <c r="B51" s="240" t="s">
        <v>70</v>
      </c>
      <c r="C51" s="241"/>
      <c r="D51" s="241"/>
      <c r="E51" s="241"/>
      <c r="F51" s="241"/>
      <c r="G51" s="241"/>
      <c r="H51" s="241"/>
      <c r="I51" s="242"/>
      <c r="N51" s="42"/>
      <c r="O51" s="3"/>
    </row>
    <row r="52" spans="1:15" ht="18.75" customHeight="1" x14ac:dyDescent="0.2">
      <c r="A52" s="1"/>
      <c r="B52" s="216" t="s">
        <v>155</v>
      </c>
      <c r="C52" s="217"/>
      <c r="D52" s="217"/>
      <c r="E52" s="217"/>
      <c r="F52" s="217"/>
      <c r="G52" s="217"/>
      <c r="H52" s="217"/>
      <c r="I52" s="218"/>
      <c r="N52" s="42"/>
      <c r="O52" s="3"/>
    </row>
    <row r="53" spans="1:15" ht="18.75" customHeight="1" x14ac:dyDescent="0.2">
      <c r="A53" s="1"/>
      <c r="B53" s="219"/>
      <c r="C53" s="220"/>
      <c r="D53" s="220"/>
      <c r="E53" s="220"/>
      <c r="F53" s="220"/>
      <c r="G53" s="220"/>
      <c r="H53" s="220"/>
      <c r="I53" s="221"/>
      <c r="N53" s="42"/>
      <c r="O53" s="3"/>
    </row>
    <row r="54" spans="1:15" ht="18.75" customHeight="1" x14ac:dyDescent="0.2">
      <c r="A54" s="1"/>
      <c r="B54" s="219"/>
      <c r="C54" s="220"/>
      <c r="D54" s="220"/>
      <c r="E54" s="220"/>
      <c r="F54" s="220"/>
      <c r="G54" s="220"/>
      <c r="H54" s="220"/>
      <c r="I54" s="221"/>
    </row>
    <row r="55" spans="1:15" ht="18.75" customHeight="1" x14ac:dyDescent="0.2">
      <c r="A55" s="1"/>
      <c r="B55" s="219"/>
      <c r="C55" s="220"/>
      <c r="D55" s="220"/>
      <c r="E55" s="220"/>
      <c r="F55" s="220"/>
      <c r="G55" s="220"/>
      <c r="H55" s="220"/>
      <c r="I55" s="221"/>
    </row>
    <row r="56" spans="1:15" ht="18.75" customHeight="1" x14ac:dyDescent="0.2">
      <c r="A56" s="1"/>
      <c r="B56" s="219"/>
      <c r="C56" s="220"/>
      <c r="D56" s="220"/>
      <c r="E56" s="220"/>
      <c r="F56" s="220"/>
      <c r="G56" s="220"/>
      <c r="H56" s="220"/>
      <c r="I56" s="221"/>
    </row>
    <row r="57" spans="1:15" ht="18.75" customHeight="1" x14ac:dyDescent="0.2">
      <c r="A57" s="1"/>
      <c r="B57" s="219"/>
      <c r="C57" s="220"/>
      <c r="D57" s="220"/>
      <c r="E57" s="220"/>
      <c r="F57" s="220"/>
      <c r="G57" s="220"/>
      <c r="H57" s="220"/>
      <c r="I57" s="221"/>
    </row>
    <row r="58" spans="1:15" ht="18.75" customHeight="1" x14ac:dyDescent="0.2">
      <c r="A58" s="1"/>
      <c r="B58" s="219"/>
      <c r="C58" s="220"/>
      <c r="D58" s="220"/>
      <c r="E58" s="220"/>
      <c r="F58" s="220"/>
      <c r="G58" s="220"/>
      <c r="H58" s="220"/>
      <c r="I58" s="221"/>
    </row>
    <row r="59" spans="1:15" ht="18.75" customHeight="1" x14ac:dyDescent="0.2">
      <c r="A59" s="1"/>
      <c r="B59" s="219"/>
      <c r="C59" s="220"/>
      <c r="D59" s="220"/>
      <c r="E59" s="220"/>
      <c r="F59" s="220"/>
      <c r="G59" s="220"/>
      <c r="H59" s="220"/>
      <c r="I59" s="221"/>
    </row>
    <row r="60" spans="1:15" ht="18.75" customHeight="1" x14ac:dyDescent="0.2">
      <c r="A60" s="1"/>
      <c r="B60" s="219"/>
      <c r="C60" s="220"/>
      <c r="D60" s="220"/>
      <c r="E60" s="220"/>
      <c r="F60" s="220"/>
      <c r="G60" s="220"/>
      <c r="H60" s="220"/>
      <c r="I60" s="221"/>
    </row>
    <row r="61" spans="1:15" ht="18.75" customHeight="1" x14ac:dyDescent="0.2">
      <c r="A61" s="1"/>
      <c r="B61" s="219"/>
      <c r="C61" s="220"/>
      <c r="D61" s="220"/>
      <c r="E61" s="220"/>
      <c r="F61" s="220"/>
      <c r="G61" s="220"/>
      <c r="H61" s="220"/>
      <c r="I61" s="221"/>
    </row>
    <row r="62" spans="1:15" ht="18.75" customHeight="1" x14ac:dyDescent="0.2">
      <c r="A62" s="1"/>
      <c r="B62" s="219"/>
      <c r="C62" s="220"/>
      <c r="D62" s="220"/>
      <c r="E62" s="220"/>
      <c r="F62" s="220"/>
      <c r="G62" s="220"/>
      <c r="H62" s="220"/>
      <c r="I62" s="221"/>
    </row>
    <row r="63" spans="1:15" ht="18.75" customHeight="1" x14ac:dyDescent="0.2">
      <c r="A63" s="1"/>
      <c r="B63" s="222"/>
      <c r="C63" s="223"/>
      <c r="D63" s="223"/>
      <c r="E63" s="223"/>
      <c r="F63" s="223"/>
      <c r="G63" s="223"/>
      <c r="H63" s="223"/>
      <c r="I63" s="224"/>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97" t="s">
        <v>150</v>
      </c>
      <c r="C66" s="198"/>
      <c r="D66" s="198"/>
      <c r="E66" s="198"/>
      <c r="F66" s="198"/>
      <c r="G66" s="198"/>
      <c r="H66" s="198"/>
      <c r="I66" s="199"/>
    </row>
    <row r="67" spans="1:9" ht="18.75" customHeight="1" x14ac:dyDescent="0.2">
      <c r="A67" s="4"/>
      <c r="B67" s="200"/>
      <c r="C67" s="201"/>
      <c r="D67" s="201"/>
      <c r="E67" s="201"/>
      <c r="F67" s="201"/>
      <c r="G67" s="201"/>
      <c r="H67" s="201"/>
      <c r="I67" s="202"/>
    </row>
    <row r="68" spans="1:9" ht="18.75" customHeight="1" x14ac:dyDescent="0.2">
      <c r="A68" s="4"/>
      <c r="B68" s="200"/>
      <c r="C68" s="201"/>
      <c r="D68" s="201"/>
      <c r="E68" s="201"/>
      <c r="F68" s="201"/>
      <c r="G68" s="201"/>
      <c r="H68" s="201"/>
      <c r="I68" s="202"/>
    </row>
    <row r="69" spans="1:9" ht="18.75" customHeight="1" x14ac:dyDescent="0.2">
      <c r="A69" s="4"/>
      <c r="B69" s="200"/>
      <c r="C69" s="201"/>
      <c r="D69" s="201"/>
      <c r="E69" s="201"/>
      <c r="F69" s="201"/>
      <c r="G69" s="201"/>
      <c r="H69" s="201"/>
      <c r="I69" s="202"/>
    </row>
    <row r="70" spans="1:9" ht="18.75" customHeight="1" x14ac:dyDescent="0.2">
      <c r="A70" s="4"/>
      <c r="B70" s="200"/>
      <c r="C70" s="201"/>
      <c r="D70" s="201"/>
      <c r="E70" s="201"/>
      <c r="F70" s="201"/>
      <c r="G70" s="201"/>
      <c r="H70" s="201"/>
      <c r="I70" s="202"/>
    </row>
    <row r="71" spans="1:9" ht="18.75" customHeight="1" x14ac:dyDescent="0.2">
      <c r="A71" s="4"/>
      <c r="B71" s="200"/>
      <c r="C71" s="201"/>
      <c r="D71" s="201"/>
      <c r="E71" s="201"/>
      <c r="F71" s="201"/>
      <c r="G71" s="201"/>
      <c r="H71" s="201"/>
      <c r="I71" s="202"/>
    </row>
    <row r="72" spans="1:9" ht="18.75" customHeight="1" x14ac:dyDescent="0.2">
      <c r="A72" s="4"/>
      <c r="B72" s="200"/>
      <c r="C72" s="201"/>
      <c r="D72" s="201"/>
      <c r="E72" s="201"/>
      <c r="F72" s="201"/>
      <c r="G72" s="201"/>
      <c r="H72" s="201"/>
      <c r="I72" s="202"/>
    </row>
    <row r="73" spans="1:9" ht="18.75" customHeight="1" x14ac:dyDescent="0.2">
      <c r="A73" s="4"/>
      <c r="B73" s="200"/>
      <c r="C73" s="201"/>
      <c r="D73" s="201"/>
      <c r="E73" s="201"/>
      <c r="F73" s="201"/>
      <c r="G73" s="201"/>
      <c r="H73" s="201"/>
      <c r="I73" s="202"/>
    </row>
    <row r="74" spans="1:9" ht="18.75" customHeight="1" x14ac:dyDescent="0.2">
      <c r="A74" s="4"/>
      <c r="B74" s="200"/>
      <c r="C74" s="201"/>
      <c r="D74" s="201"/>
      <c r="E74" s="201"/>
      <c r="F74" s="201"/>
      <c r="G74" s="201"/>
      <c r="H74" s="201"/>
      <c r="I74" s="202"/>
    </row>
    <row r="75" spans="1:9" ht="18.75" customHeight="1" x14ac:dyDescent="0.2">
      <c r="A75" s="4"/>
      <c r="B75" s="200"/>
      <c r="C75" s="201"/>
      <c r="D75" s="201"/>
      <c r="E75" s="201"/>
      <c r="F75" s="201"/>
      <c r="G75" s="201"/>
      <c r="H75" s="201"/>
      <c r="I75" s="202"/>
    </row>
    <row r="76" spans="1:9" ht="18.75" customHeight="1" x14ac:dyDescent="0.2">
      <c r="A76" s="4"/>
      <c r="B76" s="200"/>
      <c r="C76" s="201"/>
      <c r="D76" s="201"/>
      <c r="E76" s="201"/>
      <c r="F76" s="201"/>
      <c r="G76" s="201"/>
      <c r="H76" s="201"/>
      <c r="I76" s="202"/>
    </row>
    <row r="77" spans="1:9" ht="18.75" customHeight="1" x14ac:dyDescent="0.2">
      <c r="A77" s="4"/>
      <c r="B77" s="203"/>
      <c r="C77" s="204"/>
      <c r="D77" s="204"/>
      <c r="E77" s="204"/>
      <c r="F77" s="204"/>
      <c r="G77" s="204"/>
      <c r="H77" s="204"/>
      <c r="I77" s="205"/>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197" t="s">
        <v>151</v>
      </c>
      <c r="C80" s="198"/>
      <c r="D80" s="198"/>
      <c r="E80" s="198"/>
      <c r="F80" s="198"/>
      <c r="G80" s="198"/>
      <c r="H80" s="198"/>
      <c r="I80" s="206"/>
    </row>
    <row r="81" spans="1:9" ht="18.75" customHeight="1" x14ac:dyDescent="0.2">
      <c r="A81" s="1"/>
      <c r="B81" s="207"/>
      <c r="C81" s="208"/>
      <c r="D81" s="208"/>
      <c r="E81" s="208"/>
      <c r="F81" s="208"/>
      <c r="G81" s="208"/>
      <c r="H81" s="208"/>
      <c r="I81" s="209"/>
    </row>
    <row r="82" spans="1:9" ht="18.75" customHeight="1" x14ac:dyDescent="0.2">
      <c r="A82" s="1"/>
      <c r="B82" s="207"/>
      <c r="C82" s="208"/>
      <c r="D82" s="208"/>
      <c r="E82" s="208"/>
      <c r="F82" s="208"/>
      <c r="G82" s="208"/>
      <c r="H82" s="208"/>
      <c r="I82" s="209"/>
    </row>
    <row r="83" spans="1:9" ht="18.75" customHeight="1" x14ac:dyDescent="0.2">
      <c r="A83" s="1"/>
      <c r="B83" s="207"/>
      <c r="C83" s="208"/>
      <c r="D83" s="208"/>
      <c r="E83" s="208"/>
      <c r="F83" s="208"/>
      <c r="G83" s="208"/>
      <c r="H83" s="208"/>
      <c r="I83" s="209"/>
    </row>
    <row r="84" spans="1:9" ht="18.75" customHeight="1" x14ac:dyDescent="0.2">
      <c r="A84" s="1"/>
      <c r="B84" s="207"/>
      <c r="C84" s="208"/>
      <c r="D84" s="208"/>
      <c r="E84" s="208"/>
      <c r="F84" s="208"/>
      <c r="G84" s="208"/>
      <c r="H84" s="208"/>
      <c r="I84" s="209"/>
    </row>
    <row r="85" spans="1:9" ht="18.75" customHeight="1" x14ac:dyDescent="0.2">
      <c r="A85" s="1"/>
      <c r="B85" s="207"/>
      <c r="C85" s="208"/>
      <c r="D85" s="208"/>
      <c r="E85" s="208"/>
      <c r="F85" s="208"/>
      <c r="G85" s="208"/>
      <c r="H85" s="208"/>
      <c r="I85" s="209"/>
    </row>
    <row r="86" spans="1:9" ht="18.75" customHeight="1" x14ac:dyDescent="0.2">
      <c r="A86" s="1"/>
      <c r="B86" s="207"/>
      <c r="C86" s="208"/>
      <c r="D86" s="208"/>
      <c r="E86" s="208"/>
      <c r="F86" s="208"/>
      <c r="G86" s="208"/>
      <c r="H86" s="208"/>
      <c r="I86" s="209"/>
    </row>
    <row r="87" spans="1:9" ht="18.75" customHeight="1" x14ac:dyDescent="0.2">
      <c r="A87" s="1"/>
      <c r="B87" s="207"/>
      <c r="C87" s="208"/>
      <c r="D87" s="208"/>
      <c r="E87" s="208"/>
      <c r="F87" s="208"/>
      <c r="G87" s="208"/>
      <c r="H87" s="208"/>
      <c r="I87" s="209"/>
    </row>
    <row r="88" spans="1:9" ht="18.75" customHeight="1" x14ac:dyDescent="0.2">
      <c r="A88" s="1"/>
      <c r="B88" s="207"/>
      <c r="C88" s="208"/>
      <c r="D88" s="208"/>
      <c r="E88" s="208"/>
      <c r="F88" s="208"/>
      <c r="G88" s="208"/>
      <c r="H88" s="208"/>
      <c r="I88" s="209"/>
    </row>
    <row r="89" spans="1:9" ht="18.75" customHeight="1" x14ac:dyDescent="0.2">
      <c r="A89" s="1"/>
      <c r="B89" s="207"/>
      <c r="C89" s="208"/>
      <c r="D89" s="208"/>
      <c r="E89" s="208"/>
      <c r="F89" s="208"/>
      <c r="G89" s="208"/>
      <c r="H89" s="208"/>
      <c r="I89" s="209"/>
    </row>
    <row r="90" spans="1:9" ht="18.75" customHeight="1" x14ac:dyDescent="0.2">
      <c r="A90" s="4"/>
      <c r="B90" s="207"/>
      <c r="C90" s="208"/>
      <c r="D90" s="208"/>
      <c r="E90" s="208"/>
      <c r="F90" s="208"/>
      <c r="G90" s="208"/>
      <c r="H90" s="208"/>
      <c r="I90" s="209"/>
    </row>
    <row r="91" spans="1:9" ht="18.75" customHeight="1" x14ac:dyDescent="0.2">
      <c r="A91" s="4"/>
      <c r="B91" s="210"/>
      <c r="C91" s="211"/>
      <c r="D91" s="211"/>
      <c r="E91" s="211"/>
      <c r="F91" s="211"/>
      <c r="G91" s="211"/>
      <c r="H91" s="211"/>
      <c r="I91" s="212"/>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225" t="s">
        <v>143</v>
      </c>
      <c r="C94" s="226"/>
      <c r="D94" s="226"/>
      <c r="E94" s="226"/>
      <c r="F94" s="226"/>
      <c r="G94" s="226"/>
      <c r="H94" s="226"/>
      <c r="I94" s="227"/>
    </row>
    <row r="95" spans="1:9" ht="18.75" customHeight="1" x14ac:dyDescent="0.2">
      <c r="A95" s="1"/>
      <c r="B95" s="228"/>
      <c r="C95" s="229"/>
      <c r="D95" s="229"/>
      <c r="E95" s="229"/>
      <c r="F95" s="229"/>
      <c r="G95" s="229"/>
      <c r="H95" s="229"/>
      <c r="I95" s="230"/>
    </row>
    <row r="96" spans="1:9" ht="18.75" customHeight="1" x14ac:dyDescent="0.2">
      <c r="A96" s="1"/>
      <c r="B96" s="228"/>
      <c r="C96" s="229"/>
      <c r="D96" s="229"/>
      <c r="E96" s="229"/>
      <c r="F96" s="229"/>
      <c r="G96" s="229"/>
      <c r="H96" s="229"/>
      <c r="I96" s="230"/>
    </row>
    <row r="97" spans="1:9" ht="18.75" customHeight="1" x14ac:dyDescent="0.2">
      <c r="A97" s="1"/>
      <c r="B97" s="228"/>
      <c r="C97" s="229"/>
      <c r="D97" s="229"/>
      <c r="E97" s="229"/>
      <c r="F97" s="229"/>
      <c r="G97" s="229"/>
      <c r="H97" s="229"/>
      <c r="I97" s="230"/>
    </row>
    <row r="98" spans="1:9" ht="18.75" customHeight="1" x14ac:dyDescent="0.2">
      <c r="A98" s="1"/>
      <c r="B98" s="228"/>
      <c r="C98" s="229"/>
      <c r="D98" s="229"/>
      <c r="E98" s="229"/>
      <c r="F98" s="229"/>
      <c r="G98" s="229"/>
      <c r="H98" s="229"/>
      <c r="I98" s="230"/>
    </row>
    <row r="99" spans="1:9" ht="18.75" customHeight="1" x14ac:dyDescent="0.2">
      <c r="A99" s="1"/>
      <c r="B99" s="228"/>
      <c r="C99" s="229"/>
      <c r="D99" s="229"/>
      <c r="E99" s="229"/>
      <c r="F99" s="229"/>
      <c r="G99" s="229"/>
      <c r="H99" s="229"/>
      <c r="I99" s="230"/>
    </row>
    <row r="100" spans="1:9" ht="18.75" customHeight="1" x14ac:dyDescent="0.2">
      <c r="A100" s="1"/>
      <c r="B100" s="228"/>
      <c r="C100" s="229"/>
      <c r="D100" s="229"/>
      <c r="E100" s="229"/>
      <c r="F100" s="229"/>
      <c r="G100" s="229"/>
      <c r="H100" s="229"/>
      <c r="I100" s="230"/>
    </row>
    <row r="101" spans="1:9" ht="18.75" customHeight="1" x14ac:dyDescent="0.2">
      <c r="A101" s="1"/>
      <c r="B101" s="228"/>
      <c r="C101" s="229"/>
      <c r="D101" s="229"/>
      <c r="E101" s="229"/>
      <c r="F101" s="229"/>
      <c r="G101" s="229"/>
      <c r="H101" s="229"/>
      <c r="I101" s="230"/>
    </row>
    <row r="102" spans="1:9" ht="18.75" customHeight="1" x14ac:dyDescent="0.2">
      <c r="A102" s="1"/>
      <c r="B102" s="228"/>
      <c r="C102" s="229"/>
      <c r="D102" s="229"/>
      <c r="E102" s="229"/>
      <c r="F102" s="229"/>
      <c r="G102" s="229"/>
      <c r="H102" s="229"/>
      <c r="I102" s="230"/>
    </row>
    <row r="103" spans="1:9" ht="18.75" customHeight="1" x14ac:dyDescent="0.2">
      <c r="A103" s="1"/>
      <c r="B103" s="228"/>
      <c r="C103" s="229"/>
      <c r="D103" s="229"/>
      <c r="E103" s="229"/>
      <c r="F103" s="229"/>
      <c r="G103" s="229"/>
      <c r="H103" s="229"/>
      <c r="I103" s="230"/>
    </row>
    <row r="104" spans="1:9" ht="18.75" customHeight="1" x14ac:dyDescent="0.2">
      <c r="A104" s="1"/>
      <c r="B104" s="228"/>
      <c r="C104" s="229"/>
      <c r="D104" s="229"/>
      <c r="E104" s="229"/>
      <c r="F104" s="229"/>
      <c r="G104" s="229"/>
      <c r="H104" s="229"/>
      <c r="I104" s="230"/>
    </row>
    <row r="105" spans="1:9" ht="18.75" customHeight="1" x14ac:dyDescent="0.2">
      <c r="A105" s="4"/>
      <c r="B105" s="231"/>
      <c r="C105" s="232"/>
      <c r="D105" s="232"/>
      <c r="E105" s="232"/>
      <c r="F105" s="232"/>
      <c r="G105" s="232"/>
      <c r="H105" s="232"/>
      <c r="I105" s="233"/>
    </row>
    <row r="106" spans="1:9" ht="7.5" customHeight="1" x14ac:dyDescent="0.2">
      <c r="A106" s="4"/>
      <c r="B106" s="4"/>
      <c r="C106" s="4"/>
      <c r="D106" s="4"/>
      <c r="E106" s="4"/>
      <c r="F106" s="4"/>
      <c r="G106" s="4"/>
      <c r="H106" s="4"/>
      <c r="I106" s="4"/>
    </row>
    <row r="107" spans="1:9" ht="18.75" customHeight="1" x14ac:dyDescent="0.2">
      <c r="A107" s="1" t="s">
        <v>30</v>
      </c>
      <c r="B107" s="234" t="s">
        <v>46</v>
      </c>
      <c r="C107" s="234"/>
      <c r="D107" s="234"/>
      <c r="E107" s="234"/>
      <c r="F107" s="234"/>
      <c r="G107" s="234"/>
      <c r="H107" s="234"/>
      <c r="I107" s="234"/>
    </row>
    <row r="108" spans="1:9" ht="18.75" customHeight="1" x14ac:dyDescent="0.2">
      <c r="A108" s="4"/>
      <c r="B108" s="225" t="s">
        <v>139</v>
      </c>
      <c r="C108" s="226"/>
      <c r="D108" s="226"/>
      <c r="E108" s="226"/>
      <c r="F108" s="226"/>
      <c r="G108" s="226"/>
      <c r="H108" s="226"/>
      <c r="I108" s="227"/>
    </row>
    <row r="109" spans="1:9" ht="18.75" customHeight="1" x14ac:dyDescent="0.2">
      <c r="A109" s="4"/>
      <c r="B109" s="228"/>
      <c r="C109" s="229"/>
      <c r="D109" s="229"/>
      <c r="E109" s="229"/>
      <c r="F109" s="229"/>
      <c r="G109" s="229"/>
      <c r="H109" s="229"/>
      <c r="I109" s="230"/>
    </row>
    <row r="110" spans="1:9" ht="18.75" customHeight="1" x14ac:dyDescent="0.2">
      <c r="A110" s="4"/>
      <c r="B110" s="228"/>
      <c r="C110" s="229"/>
      <c r="D110" s="229"/>
      <c r="E110" s="229"/>
      <c r="F110" s="229"/>
      <c r="G110" s="229"/>
      <c r="H110" s="229"/>
      <c r="I110" s="230"/>
    </row>
    <row r="111" spans="1:9" ht="18.75" customHeight="1" x14ac:dyDescent="0.2">
      <c r="A111" s="4"/>
      <c r="B111" s="228"/>
      <c r="C111" s="229"/>
      <c r="D111" s="229"/>
      <c r="E111" s="229"/>
      <c r="F111" s="229"/>
      <c r="G111" s="229"/>
      <c r="H111" s="229"/>
      <c r="I111" s="230"/>
    </row>
    <row r="112" spans="1:9" ht="18.75" customHeight="1" x14ac:dyDescent="0.2">
      <c r="A112" s="4"/>
      <c r="B112" s="228"/>
      <c r="C112" s="229"/>
      <c r="D112" s="229"/>
      <c r="E112" s="229"/>
      <c r="F112" s="229"/>
      <c r="G112" s="229"/>
      <c r="H112" s="229"/>
      <c r="I112" s="230"/>
    </row>
    <row r="113" spans="1:9" ht="18.75" customHeight="1" x14ac:dyDescent="0.2">
      <c r="A113" s="4"/>
      <c r="B113" s="228"/>
      <c r="C113" s="229"/>
      <c r="D113" s="229"/>
      <c r="E113" s="229"/>
      <c r="F113" s="229"/>
      <c r="G113" s="229"/>
      <c r="H113" s="229"/>
      <c r="I113" s="230"/>
    </row>
    <row r="114" spans="1:9" ht="18.75" customHeight="1" x14ac:dyDescent="0.2">
      <c r="A114" s="4"/>
      <c r="B114" s="228"/>
      <c r="C114" s="229"/>
      <c r="D114" s="229"/>
      <c r="E114" s="229"/>
      <c r="F114" s="229"/>
      <c r="G114" s="229"/>
      <c r="H114" s="229"/>
      <c r="I114" s="230"/>
    </row>
    <row r="115" spans="1:9" ht="18.75" customHeight="1" x14ac:dyDescent="0.2">
      <c r="A115" s="4"/>
      <c r="B115" s="228"/>
      <c r="C115" s="229"/>
      <c r="D115" s="229"/>
      <c r="E115" s="229"/>
      <c r="F115" s="229"/>
      <c r="G115" s="229"/>
      <c r="H115" s="229"/>
      <c r="I115" s="230"/>
    </row>
    <row r="116" spans="1:9" ht="18.75" customHeight="1" x14ac:dyDescent="0.2">
      <c r="A116" s="4"/>
      <c r="B116" s="228"/>
      <c r="C116" s="229"/>
      <c r="D116" s="229"/>
      <c r="E116" s="229"/>
      <c r="F116" s="229"/>
      <c r="G116" s="229"/>
      <c r="H116" s="229"/>
      <c r="I116" s="230"/>
    </row>
    <row r="117" spans="1:9" ht="18.75" customHeight="1" x14ac:dyDescent="0.2">
      <c r="A117" s="4"/>
      <c r="B117" s="228"/>
      <c r="C117" s="229"/>
      <c r="D117" s="229"/>
      <c r="E117" s="229"/>
      <c r="F117" s="229"/>
      <c r="G117" s="229"/>
      <c r="H117" s="229"/>
      <c r="I117" s="230"/>
    </row>
    <row r="118" spans="1:9" ht="18.75" customHeight="1" x14ac:dyDescent="0.2">
      <c r="A118" s="4"/>
      <c r="B118" s="228"/>
      <c r="C118" s="229"/>
      <c r="D118" s="229"/>
      <c r="E118" s="229"/>
      <c r="F118" s="229"/>
      <c r="G118" s="229"/>
      <c r="H118" s="229"/>
      <c r="I118" s="230"/>
    </row>
    <row r="119" spans="1:9" ht="18.75" customHeight="1" x14ac:dyDescent="0.2">
      <c r="A119" s="4"/>
      <c r="B119" s="231"/>
      <c r="C119" s="232"/>
      <c r="D119" s="232"/>
      <c r="E119" s="232"/>
      <c r="F119" s="232"/>
      <c r="G119" s="232"/>
      <c r="H119" s="232"/>
      <c r="I119" s="233"/>
    </row>
    <row r="120" spans="1:9" ht="7.5" customHeight="1" x14ac:dyDescent="0.2">
      <c r="A120" s="4"/>
      <c r="B120" s="45"/>
      <c r="C120" s="45"/>
      <c r="D120" s="45"/>
      <c r="E120" s="45"/>
      <c r="F120" s="45"/>
      <c r="G120" s="45"/>
      <c r="H120" s="45"/>
      <c r="I120" s="45"/>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6"/>
      <c r="B134" s="46"/>
      <c r="C134" s="46"/>
      <c r="D134" s="46"/>
      <c r="E134" s="46"/>
      <c r="F134" s="46"/>
      <c r="G134" s="46"/>
      <c r="H134" s="46"/>
      <c r="I134" s="46"/>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E20" sqref="E20:I20"/>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71</v>
      </c>
      <c r="I1" s="34" t="s">
        <v>105</v>
      </c>
    </row>
    <row r="2" spans="1:9" ht="18.75" customHeight="1" x14ac:dyDescent="0.2">
      <c r="H2" s="34" t="s">
        <v>109</v>
      </c>
      <c r="I2" s="33" t="str">
        <f>'様式１　プログラムを構成する授業科目'!C2</f>
        <v>金沢星稜大学女子短期大学部</v>
      </c>
    </row>
    <row r="3" spans="1:9" ht="18.75" customHeight="1" x14ac:dyDescent="0.2">
      <c r="A3" s="122" t="s">
        <v>28</v>
      </c>
      <c r="B3" s="122"/>
      <c r="C3" s="122"/>
      <c r="D3" s="122"/>
      <c r="E3" s="122"/>
      <c r="F3" s="122"/>
      <c r="G3" s="122"/>
      <c r="H3" s="122"/>
      <c r="I3" s="122"/>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48" t="s">
        <v>157</v>
      </c>
      <c r="C6" s="277"/>
      <c r="D6" s="277"/>
      <c r="E6" s="277"/>
      <c r="F6" s="277"/>
      <c r="G6" s="277"/>
      <c r="H6" s="278"/>
      <c r="I6" s="3"/>
    </row>
    <row r="7" spans="1:9" ht="9" customHeight="1" x14ac:dyDescent="0.2">
      <c r="A7" s="5"/>
      <c r="B7" s="10"/>
      <c r="C7" s="10"/>
      <c r="D7" s="10"/>
      <c r="E7" s="10"/>
      <c r="F7" s="10"/>
      <c r="G7" s="10"/>
      <c r="H7" s="10"/>
      <c r="I7" s="3"/>
    </row>
    <row r="8" spans="1:9" ht="18.75" customHeight="1" x14ac:dyDescent="0.2">
      <c r="A8" s="5"/>
      <c r="B8" s="3"/>
      <c r="C8" s="3"/>
      <c r="D8" s="34" t="s">
        <v>43</v>
      </c>
      <c r="E8" s="90" t="s">
        <v>149</v>
      </c>
      <c r="F8" s="3"/>
      <c r="G8" s="34" t="s">
        <v>10</v>
      </c>
      <c r="H8" s="90" t="s">
        <v>153</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05" t="s">
        <v>24</v>
      </c>
      <c r="C11" s="106"/>
      <c r="D11" s="107"/>
      <c r="E11" s="106" t="s">
        <v>26</v>
      </c>
      <c r="F11" s="106"/>
      <c r="G11" s="106"/>
      <c r="H11" s="106"/>
      <c r="I11" s="107"/>
    </row>
    <row r="12" spans="1:9" ht="26.25" customHeight="1" x14ac:dyDescent="0.2">
      <c r="B12" s="47" t="s">
        <v>14</v>
      </c>
      <c r="C12" s="54"/>
      <c r="D12" s="48"/>
      <c r="E12" s="55"/>
      <c r="F12" s="55"/>
      <c r="G12" s="55"/>
      <c r="H12" s="55"/>
      <c r="I12" s="48"/>
    </row>
    <row r="13" spans="1:9" ht="210.75" customHeight="1" x14ac:dyDescent="0.2">
      <c r="B13" s="49"/>
      <c r="C13" s="257" t="s">
        <v>15</v>
      </c>
      <c r="D13" s="258"/>
      <c r="E13" s="270" t="s">
        <v>159</v>
      </c>
      <c r="F13" s="271"/>
      <c r="G13" s="271"/>
      <c r="H13" s="271"/>
      <c r="I13" s="272"/>
    </row>
    <row r="14" spans="1:9" ht="210.75" customHeight="1" x14ac:dyDescent="0.2">
      <c r="B14" s="49"/>
      <c r="C14" s="275" t="s">
        <v>16</v>
      </c>
      <c r="D14" s="276"/>
      <c r="E14" s="270" t="s">
        <v>160</v>
      </c>
      <c r="F14" s="271"/>
      <c r="G14" s="271"/>
      <c r="H14" s="271"/>
      <c r="I14" s="272"/>
    </row>
    <row r="15" spans="1:9" ht="210.75" customHeight="1" x14ac:dyDescent="0.2">
      <c r="B15" s="49"/>
      <c r="C15" s="257" t="s">
        <v>17</v>
      </c>
      <c r="D15" s="258"/>
      <c r="E15" s="270" t="s">
        <v>158</v>
      </c>
      <c r="F15" s="271"/>
      <c r="G15" s="271"/>
      <c r="H15" s="271"/>
      <c r="I15" s="272"/>
    </row>
    <row r="16" spans="1:9" ht="210.75" customHeight="1" x14ac:dyDescent="0.2">
      <c r="B16" s="49"/>
      <c r="C16" s="257" t="s">
        <v>18</v>
      </c>
      <c r="D16" s="258"/>
      <c r="E16" s="273" t="s">
        <v>137</v>
      </c>
      <c r="F16" s="259"/>
      <c r="G16" s="259"/>
      <c r="H16" s="259"/>
      <c r="I16" s="260"/>
    </row>
    <row r="17" spans="2:9" ht="210.75" customHeight="1" x14ac:dyDescent="0.2">
      <c r="B17" s="50"/>
      <c r="C17" s="261" t="s">
        <v>19</v>
      </c>
      <c r="D17" s="262"/>
      <c r="E17" s="274" t="s">
        <v>152</v>
      </c>
      <c r="F17" s="263"/>
      <c r="G17" s="263"/>
      <c r="H17" s="263"/>
      <c r="I17" s="264"/>
    </row>
    <row r="18" spans="2:9" ht="24" customHeight="1" x14ac:dyDescent="0.2">
      <c r="B18" s="47" t="s">
        <v>20</v>
      </c>
      <c r="C18" s="51"/>
      <c r="D18" s="52"/>
      <c r="E18" s="53"/>
      <c r="F18" s="53"/>
      <c r="G18" s="53"/>
      <c r="H18" s="53"/>
      <c r="I18" s="56"/>
    </row>
    <row r="19" spans="2:9" ht="218.25" customHeight="1" x14ac:dyDescent="0.2">
      <c r="B19" s="49"/>
      <c r="C19" s="257" t="s">
        <v>21</v>
      </c>
      <c r="D19" s="258"/>
      <c r="E19" s="259" t="s">
        <v>138</v>
      </c>
      <c r="F19" s="259"/>
      <c r="G19" s="259"/>
      <c r="H19" s="259"/>
      <c r="I19" s="260"/>
    </row>
    <row r="20" spans="2:9" ht="218.25" customHeight="1" x14ac:dyDescent="0.2">
      <c r="B20" s="50"/>
      <c r="C20" s="261" t="s">
        <v>22</v>
      </c>
      <c r="D20" s="262"/>
      <c r="E20" s="263" t="s">
        <v>136</v>
      </c>
      <c r="F20" s="263"/>
      <c r="G20" s="263"/>
      <c r="H20" s="263"/>
      <c r="I20" s="264"/>
    </row>
    <row r="21" spans="2:9" ht="218.25" customHeight="1" x14ac:dyDescent="0.2">
      <c r="B21" s="265" t="s">
        <v>23</v>
      </c>
      <c r="C21" s="266"/>
      <c r="D21" s="267"/>
      <c r="E21" s="268" t="s">
        <v>144</v>
      </c>
      <c r="F21" s="268"/>
      <c r="G21" s="268"/>
      <c r="H21" s="268"/>
      <c r="I21" s="269"/>
    </row>
    <row r="22" spans="2:9" ht="218.25" customHeight="1" x14ac:dyDescent="0.2">
      <c r="B22" s="252" t="s">
        <v>38</v>
      </c>
      <c r="C22" s="253"/>
      <c r="D22" s="254"/>
      <c r="E22" s="255" t="s">
        <v>140</v>
      </c>
      <c r="F22" s="255"/>
      <c r="G22" s="255"/>
      <c r="H22" s="255"/>
      <c r="I22" s="256"/>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seiryo</cp:lastModifiedBy>
  <cp:lastPrinted>2023-04-24T07:41:56Z</cp:lastPrinted>
  <dcterms:created xsi:type="dcterms:W3CDTF">2011-06-14T05:32:50Z</dcterms:created>
  <dcterms:modified xsi:type="dcterms:W3CDTF">2023-07-05T11:28:33Z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