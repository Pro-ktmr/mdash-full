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workbookPr defaultThemeVersion="124226"/>
  <mc:AlternateContent xmlns:mc="http://schemas.openxmlformats.org/markup-compatibility/2006">
    <mc:Choice Requires="x15">
      <x15ac:absPath xmlns:x15ac="http://schemas.microsoft.com/office/spreadsheetml/2010/11/ac" url="D:\★マイドキュメント(豊田)\数理・データサイエンス・AI教育プログラム\R5\提出書類\7月20日再提出\01 福山平成大学 リテラシー\"/>
    </mc:Choice>
  </mc:AlternateContent>
  <xr:revisionPtr revIDLastSave="0" documentId="13_ncr:1_{D012052C-46E3-4336-822B-00560153A8D5}" xr6:coauthVersionLast="47" xr6:coauthVersionMax="47" xr10:uidLastSave="{00000000-0000-0000-0000-000000000000}"/>
  <bookViews>
    <workbookView xWindow="-120" yWindow="-120" windowWidth="29040" windowHeight="17520" tabRatio="885" activeTab="2" xr2:uid="{00000000-000D-0000-FFFF-FFFF00000000}"/>
  </bookViews>
  <sheets>
    <sheet name="様式１ー１　プログラムを構成する授業科目" sheetId="39" r:id="rId1"/>
    <sheet name="様式１ー２　プログラムを構成する授業科目" sheetId="43" r:id="rId2"/>
    <sheet name="様式１ー３　プログラムを構成する授業科目" sheetId="46" r:id="rId3"/>
    <sheet name="様式２ 履修者等数の実績" sheetId="40" r:id="rId4"/>
    <sheet name="様式３ 教育の質・履修者数を向上させるための体制・計画" sheetId="41" r:id="rId5"/>
    <sheet name="様式４　自己点検・評価" sheetId="42" r:id="rId6"/>
  </sheets>
  <definedNames>
    <definedName name="_xlnm._FilterDatabase" localSheetId="0" hidden="1">'様式１ー１　プログラムを構成する授業科目'!$V$14:$V$16</definedName>
    <definedName name="_xlnm._FilterDatabase" localSheetId="1" hidden="1">'様式１ー２　プログラムを構成する授業科目'!$V$14:$V$16</definedName>
    <definedName name="_xlnm._FilterDatabase" localSheetId="2" hidden="1">'様式１ー３　プログラムを構成する授業科目'!$V$14:$V$16</definedName>
    <definedName name="_xlnm._FilterDatabase" localSheetId="3" hidden="1">'様式２ 履修者等数の実績'!#REF!</definedName>
    <definedName name="_xlnm.Print_Area" localSheetId="0">'様式１ー１　プログラムを構成する授業科目'!$A$1:$S$102</definedName>
    <definedName name="_xlnm.Print_Area" localSheetId="1">'様式１ー２　プログラムを構成する授業科目'!$A$1:$S$103</definedName>
    <definedName name="_xlnm.Print_Area" localSheetId="2">'様式１ー３　プログラムを構成する授業科目'!$A$1:$S$102</definedName>
    <definedName name="_xlnm.Print_Area" localSheetId="3">'様式２ 履修者等数の実績'!$A$1:$AX$56</definedName>
    <definedName name="_xlnm.Print_Area" localSheetId="4">'様式３ 教育の質・履修者数を向上させるための体制・計画'!$A$1:$I$120</definedName>
    <definedName name="_xlnm.Print_Area" localSheetId="5">'様式４　自己点検・評価'!$A$1:$I$22</definedName>
    <definedName name="_xlnm.Print_Titles" localSheetId="5">'様式４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2" i="40" l="1"/>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AP12" i="40"/>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<sst xmlns="http://schemas.openxmlformats.org/spreadsheetml/2006/main" count="778" uniqueCount="228">
  <si>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</si>
  <si>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</si>
  <si>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</si>
  <si>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</si>
  <si>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</si>
  <si>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</si>
  <si>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</si>
  <si>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</si>
  <si>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</si>
  <si>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</si>
  <si>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</si>
  <si>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</si>
  <si>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</si>
  <si>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</si>
  <si>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</si>
  <si>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</si>
  <si>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</si>
  <si>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</si>
  <si>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</si>
  <si>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</si>
  <si>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</si>
  <si>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</si>
  <si>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</si>
  <si>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</si>
  <si>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</si>
  <si>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</si>
  <si>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</si>
  <si>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</si>
  <si>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</si>
  <si>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</si>
  <si>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</si>
  <si>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</si>
  <si>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</si>
  <si>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</si>
  <si>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</si>
  <si>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</si>
  <si>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</si>
  <si>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</si>
  <si>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</si>
  <si>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</si>
  <si>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</si>
  <si>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</si>
  <si>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</si>
  <si>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</si>
  <si>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</si>
  <si>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</si>
  <si>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</si>
  <si>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</si>
  <si>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</si>
  <si>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</si>
  <si>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</si>
  <si>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</si>
  <si>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</si>
  <si>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</si>
  <si>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</si>
  <si>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</si>
  <si>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</si>
  <si>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</si>
  <si>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</si>
  <si>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</si>
  <si>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</si>
  <si>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</si>
  <si>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</si>
  <si>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</si>
  <si>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</si>
  <si>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</si>
  <si>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</si>
  <si>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</si>
  <si>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</si>
  <si>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</si>
  <si>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</si>
  <si>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</si>
  <si>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</si>
  <si>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</si>
  <si>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</si>
  <si>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</si>
  <si>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</si>
  <si>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</si>
  <si>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</si>
  <si>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</si>
  <si>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</si>
  <si>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</si>
  <si>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</si>
  <si>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</si>
  <si>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</si>
  <si>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</si>
  <si>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</si>
  <si>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</si>
  <si>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</si>
  <si>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</si>
  <si>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</si>
  <si>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</si>
  <si>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</si>
  <si>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</si>
  <si>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</si>
  <si>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</si>
  <si>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</si>
  <si>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</si>
  <si>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</si>
  <si>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</si>
  <si>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</si>
  <si>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</si>
  <si>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</si>
  <si>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</si>
  <si>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</si>
  <si>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</si>
  <si>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</si>
  <si>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</si>
  <si>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</si>
  <si>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</si>
  <si>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</si>
  <si>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</si>
  <si>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</si>
  <si>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</si>
  <si>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</si>
  <si>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</si>
  <si>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</si>
  <si>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</si>
  <si>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</si>
  <si>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</si>
  <si>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</si>
  <si>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</si>
  <si>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</si>
  <si>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</si>
  <si>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</si>
  <si>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</si>
  <si>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福山平成大学</t>
    <rPh sb="0" eb="6">
      <t>フクヤ</t>
    </rPh>
    <phoneticPr fontId="1"/>
  </si>
  <si>
    <t>学部・学科によって、修了要件は相違する</t>
  </si>
  <si>
    <t>経営学部経営学科</t>
    <rPh sb="0" eb="4">
      <t>ケイエイ</t>
    </rPh>
    <rPh sb="4" eb="8">
      <t>ケイエイ</t>
    </rPh>
    <phoneticPr fontId="1"/>
  </si>
  <si>
    <t>「数理・データサイエンス・AI教育プログラム（リテラシーレベル）」は、次の（１）及び（２）の要件を満たしていることを修了要件とする。なお、修了要件を満たした者を「数理・データサイエンス・AI教育プグラム（リテラシーレベル）」の修了者として大学が認定する。（１）一般教育科目である「データサイエンス入門」「情報リテラシーA」「情報リテラシーB」の単位及び学科専門科目である「ICT入門」の単位を取得していること。（２）一般教育科目である「人工知能概論」、「データサイエンス応用」、「プログラミング入門A」、「プログラミング入門B」、「データ科学のための数理統計」、「データリテラシー」のうち、いずれか１科目の単位を取得していること。</t>
    <rPh sb="35" eb="36">
      <t>ツギ</t>
    </rPh>
    <rPh sb="40" eb="41">
      <t>オヨビ</t>
    </rPh>
    <rPh sb="46" eb="48">
      <t>ヨウケn</t>
    </rPh>
    <rPh sb="49" eb="50">
      <t>ミタ</t>
    </rPh>
    <rPh sb="130" eb="136">
      <t>イッパn</t>
    </rPh>
    <rPh sb="152" eb="154">
      <t>ジョウホウ</t>
    </rPh>
    <rPh sb="162" eb="164">
      <t>ジョウホウリテル</t>
    </rPh>
    <rPh sb="172" eb="174">
      <t>タンイヰ</t>
    </rPh>
    <rPh sb="174" eb="175">
      <t>オヨビ</t>
    </rPh>
    <rPh sb="176" eb="182">
      <t>ガッカス</t>
    </rPh>
    <rPh sb="189" eb="191">
      <t>ニュウモn</t>
    </rPh>
    <rPh sb="193" eb="195">
      <t>タンイ</t>
    </rPh>
    <rPh sb="196" eb="198">
      <t>シュトク</t>
    </rPh>
    <rPh sb="208" eb="214">
      <t>イッパn</t>
    </rPh>
    <rPh sb="218" eb="220">
      <t>ジンコウ</t>
    </rPh>
    <rPh sb="220" eb="222">
      <t>チノウ</t>
    </rPh>
    <rPh sb="222" eb="224">
      <t>ガイロn</t>
    </rPh>
    <rPh sb="235" eb="237">
      <t>オウヨウ</t>
    </rPh>
    <rPh sb="247" eb="249">
      <t>ニュウモn</t>
    </rPh>
    <rPh sb="260" eb="262">
      <t>ニュウモn</t>
    </rPh>
    <rPh sb="275" eb="279">
      <t>スウリ</t>
    </rPh>
    <rPh sb="303" eb="305">
      <t>タンイ</t>
    </rPh>
    <rPh sb="306" eb="308">
      <t>シュトク</t>
    </rPh>
    <phoneticPr fontId="1"/>
  </si>
  <si>
    <t>データサイエンス入門</t>
    <rPh sb="8" eb="10">
      <t>ニュウモン</t>
    </rPh>
    <phoneticPr fontId="1"/>
  </si>
  <si>
    <t>ICT入門</t>
    <rPh sb="3" eb="5">
      <t>ニュウモン</t>
    </rPh>
    <phoneticPr fontId="1"/>
  </si>
  <si>
    <t>保健統計論Ⅰ</t>
    <rPh sb="0" eb="5">
      <t>ホケントウケイロン</t>
    </rPh>
    <phoneticPr fontId="1"/>
  </si>
  <si>
    <t>○</t>
  </si>
  <si>
    <t>データリテラシ―</t>
    <phoneticPr fontId="1"/>
  </si>
  <si>
    <t>データサイエンス応用</t>
    <rPh sb="8" eb="10">
      <t>オウヨウ</t>
    </rPh>
    <phoneticPr fontId="1"/>
  </si>
  <si>
    <t>人工知能概論</t>
    <rPh sb="0" eb="4">
      <t>ジンコウチノウ</t>
    </rPh>
    <rPh sb="4" eb="6">
      <t>ガイロン</t>
    </rPh>
    <phoneticPr fontId="1"/>
  </si>
  <si>
    <t>情報リテラシーA</t>
    <rPh sb="0" eb="2">
      <t>ジョウホウ</t>
    </rPh>
    <phoneticPr fontId="1"/>
  </si>
  <si>
    <t>プログラミング入門A</t>
    <rPh sb="7" eb="9">
      <t>ニュウモン</t>
    </rPh>
    <phoneticPr fontId="1"/>
  </si>
  <si>
    <t>プログラミング入門B</t>
    <rPh sb="7" eb="9">
      <t>ニュウモン</t>
    </rPh>
    <phoneticPr fontId="1"/>
  </si>
  <si>
    <t>情報リテラシーB</t>
    <rPh sb="0" eb="2">
      <t>ジョウホウ</t>
    </rPh>
    <phoneticPr fontId="1"/>
  </si>
  <si>
    <t>社会福祉調査の基礎</t>
    <rPh sb="0" eb="6">
      <t>シャカイフクシチョウサ</t>
    </rPh>
    <rPh sb="7" eb="9">
      <t>キソ</t>
    </rPh>
    <phoneticPr fontId="1"/>
  </si>
  <si>
    <t>保健統計論Ⅰ</t>
    <rPh sb="0" eb="6">
      <t>ホケントウケイロンイチ</t>
    </rPh>
    <phoneticPr fontId="1"/>
  </si>
  <si>
    <t>保険統計論Ⅱ</t>
    <rPh sb="0" eb="5">
      <t>ホケントウケイロン</t>
    </rPh>
    <phoneticPr fontId="1"/>
  </si>
  <si>
    <t>数理・データサイエンス・AI教育プログラム　　（リテラシーレベル）</t>
    <rPh sb="0" eb="2">
      <t>スウ</t>
    </rPh>
    <rPh sb="14" eb="16">
      <t>キョウイク</t>
    </rPh>
    <phoneticPr fontId="1"/>
  </si>
  <si>
    <t>看護学部看護学科</t>
    <rPh sb="0" eb="4">
      <t>カンゴ</t>
    </rPh>
    <rPh sb="4" eb="8">
      <t>カンゴカ</t>
    </rPh>
    <phoneticPr fontId="1"/>
  </si>
  <si>
    <t>古賀　一博</t>
    <rPh sb="0" eb="2">
      <t>コガ</t>
    </rPh>
    <rPh sb="3" eb="5">
      <t>カズヒロ</t>
    </rPh>
    <phoneticPr fontId="1"/>
  </si>
  <si>
    <t>大学教育センター長</t>
    <rPh sb="0" eb="4">
      <t>ダイガク</t>
    </rPh>
    <phoneticPr fontId="1"/>
  </si>
  <si>
    <t>福山平成大学大学教育センター規則、数理・データサイエンス・AI教育部門運営細則</t>
    <phoneticPr fontId="1"/>
  </si>
  <si>
    <t>令和４</t>
    <rPh sb="0" eb="2">
      <t>レイワ</t>
    </rPh>
    <phoneticPr fontId="1"/>
  </si>
  <si>
    <t>基礎数学A</t>
    <rPh sb="0" eb="4">
      <t>キソス</t>
    </rPh>
    <phoneticPr fontId="1"/>
  </si>
  <si>
    <t>基礎数学B</t>
    <rPh sb="0" eb="1">
      <t>キソス</t>
    </rPh>
    <phoneticPr fontId="1"/>
  </si>
  <si>
    <t>統計</t>
    <rPh sb="0" eb="2">
      <t>トウケイ</t>
    </rPh>
    <phoneticPr fontId="1"/>
  </si>
  <si>
    <t>統計分析</t>
    <rPh sb="0" eb="4">
      <t>トウケイ</t>
    </rPh>
    <phoneticPr fontId="1"/>
  </si>
  <si>
    <t>経営学部</t>
    <rPh sb="0" eb="4">
      <t>ケイエイ</t>
    </rPh>
    <phoneticPr fontId="1"/>
  </si>
  <si>
    <t>福祉健康学部</t>
    <rPh sb="0" eb="6">
      <t>フクセィ</t>
    </rPh>
    <phoneticPr fontId="1"/>
  </si>
  <si>
    <t>看護学部</t>
    <rPh sb="0" eb="4">
      <t>カンゴ</t>
    </rPh>
    <phoneticPr fontId="1"/>
  </si>
  <si>
    <t>様式１-1</t>
    <rPh sb="0" eb="2">
      <t>ヨウシキ</t>
    </rPh>
    <phoneticPr fontId="1"/>
  </si>
  <si>
    <t>様式１-2</t>
    <rPh sb="0" eb="2">
      <t>ヨウシキ</t>
    </rPh>
    <phoneticPr fontId="1"/>
  </si>
  <si>
    <t>4-1統計および数理基礎</t>
  </si>
  <si>
    <t>4‐6画像解析</t>
  </si>
  <si>
    <t>１．授業時間内外での学習指導や質問の受け付け等、学生の学修サポートを常設された情報基盤センターをはじめとする担当教職員が行っており、学内のLMSや授業内容に関する学習支援、履修支援を行っている。
２．授業の履修は、全科目でLMSによっても管理されている。授業についての質問や相談は、授業時間外であっても、LMS上で行うことが可能である。LMS上でのコミュニケーションについては授業担当教員が行う他に、教員と学生間の情報共有やオンラインでのディスカッション等にも利用している。
３．全学的に実施している授業評価アンケート調査についても、学生の質問や意見を受け付け、全ての教員からフィードバックを行う体制を整備している。</t>
    <rPh sb="281" eb="282">
      <t xml:space="preserve">ゼン </t>
    </rPh>
    <phoneticPr fontId="1"/>
  </si>
  <si>
    <t>大学教育センター運営委員会、同センター数理・データサイエンス・AI教育部門</t>
    <rPh sb="0" eb="4">
      <t>ダイガク</t>
    </rPh>
    <rPh sb="8" eb="13">
      <t>ウンエイ</t>
    </rPh>
    <rPh sb="14" eb="15">
      <t>ドウセn</t>
    </rPh>
    <phoneticPr fontId="1"/>
  </si>
  <si>
    <t>データ科学のための数理統計</t>
    <phoneticPr fontId="1"/>
  </si>
  <si>
    <t>データ科学のための数理統計</t>
    <rPh sb="3" eb="5">
      <t>カガク</t>
    </rPh>
    <rPh sb="9" eb="11">
      <t>スウリ</t>
    </rPh>
    <rPh sb="11" eb="13">
      <t>スウチトウケイ</t>
    </rPh>
    <phoneticPr fontId="1"/>
  </si>
  <si>
    <t>データ科学のための数理統計</t>
    <rPh sb="3" eb="5">
      <t>カガク</t>
    </rPh>
    <rPh sb="9" eb="11">
      <t>スウリ</t>
    </rPh>
    <rPh sb="11" eb="13">
      <t>トウケイ</t>
    </rPh>
    <phoneticPr fontId="1"/>
  </si>
  <si>
    <t>①データサイエンスやビックデータ、検索エンジン、SNS、第4次産業革命、AI発達の歴史、人間の思考とAIとの違い「データサイエンス入門」（1回目～3回目）　／　②Society5.0「ICT入門」（14回目）</t>
    <rPh sb="70" eb="72">
      <t>カイメ</t>
    </rPh>
    <rPh sb="74" eb="75">
      <t>カイ</t>
    </rPh>
    <rPh sb="75" eb="76">
      <t>メ</t>
    </rPh>
    <rPh sb="101" eb="103">
      <t>カイメ</t>
    </rPh>
    <phoneticPr fontId="1"/>
  </si>
  <si>
    <t>①AI等を活用した新しいビジネスモデル（シェアリングエコノミー、レコメンデーション、サーベイランス）、AI最新技術の活用例(深層ニューラルネットワーク)「データサイエンス入門」（14、15回目）</t>
  </si>
  <si>
    <t>①AI等を活用した新しいビジネスモデル（シェアリングエコノミー、レコメンデーション、サーベイランス）、AI最新技術の活用例(深層ニューラルネットワーク)「データサイエンス入門」（14、15回目）</t>
    <rPh sb="3" eb="4">
      <t>ナド</t>
    </rPh>
    <rPh sb="5" eb="7">
      <t>カツヨウ</t>
    </rPh>
    <rPh sb="9" eb="10">
      <t>アタラ</t>
    </rPh>
    <rPh sb="53" eb="55">
      <t>サイシン</t>
    </rPh>
    <rPh sb="55" eb="57">
      <t>ギジュツ</t>
    </rPh>
    <rPh sb="58" eb="61">
      <t>カツヨウレイ</t>
    </rPh>
    <rPh sb="94" eb="96">
      <t>カイメ</t>
    </rPh>
    <phoneticPr fontId="1"/>
  </si>
  <si>
    <t>①事業活動で活用されるデータ・AIの活用例や、活用目的に合わせたデータ・AIの活用例「データサイエンス入門」（6回目）　／　②データ活用領域の広がり(データリテラシーを学ぶ意義、データ活用力の重要性)「データリテラシー」（1、2回目）　／　③社会でのビックデータの活用領域・活用事例「ICT入門」（13回目）　④重回帰分析の活用領域「データ科学のための数理統計」(10回目)</t>
    <rPh sb="56" eb="58">
      <t>カイメ</t>
    </rPh>
    <rPh sb="71" eb="72">
      <t>ヒロ</t>
    </rPh>
    <rPh sb="84" eb="85">
      <t>マナブ</t>
    </rPh>
    <rPh sb="86" eb="88">
      <t>イギ</t>
    </rPh>
    <rPh sb="92" eb="94">
      <t>カツヨウ</t>
    </rPh>
    <rPh sb="94" eb="95">
      <t>リョク</t>
    </rPh>
    <rPh sb="96" eb="99">
      <t>ジュウヨウセイ</t>
    </rPh>
    <rPh sb="114" eb="116">
      <t>カイメ</t>
    </rPh>
    <rPh sb="151" eb="153">
      <t>カイメ</t>
    </rPh>
    <rPh sb="156" eb="161">
      <t>ジュウカイキブンセキ</t>
    </rPh>
    <rPh sb="162" eb="166">
      <t>カツヨウリョウイキ</t>
    </rPh>
    <rPh sb="184" eb="186">
      <t>カイメ</t>
    </rPh>
    <phoneticPr fontId="1"/>
  </si>
  <si>
    <t>①データの解析（グルーピング、クラスタリング、予測・発見の方法、関連話題）、データの可視化、パターン認識技術、AIの特徴「データサイエンス入門」（7回目～11回目）</t>
  </si>
  <si>
    <t>①データの解析（グルーピング、クラスタリング、予測・発見の方法、関連話題）、データの可視化、パターン認識技術、AIの特徴「データサイエンス入門」（7回目～11回目）</t>
    <rPh sb="74" eb="76">
      <t>カイメ</t>
    </rPh>
    <rPh sb="79" eb="81">
      <t>カイメ</t>
    </rPh>
    <phoneticPr fontId="1"/>
  </si>
  <si>
    <t>①「データサイエンス入門」（データサイエンス・AIの仕組みを理解することができる。）　／　②「データサイエンス応用」（データの種類や、データ・AI利活用における留意事項を理解することができる。）　／　③「人工知能概論」（人工知能や画像解析の仕組みを理解することができる。）　／　④「情報リテラシーA」（情報モラルや情報セキュリティについて必要な知識を身につけることができる。）　／　⑤「情報リテラシーB」（実データを用いたデータの読み方・説明法・扱い方に必要な知識を身につけることができる。）　／　⑥「プログラミング入門A」、⑦「プログラミング入門B」（プログラムを作成するために収集したデータ利活用に必要な知識・留意事項を身につけることができる。）　／　⑧「データリテラシー」（物事を数値化して捉え、得られたデータから適切な結論を導き出すとともに、データを処理する考え方、データ・AIを扱う上での留意事項について説明することができる。）　／　⑨「ICT入門」（ICT技術の基礎的事柄や活用例、その役割について説明することができる。）　／　⑩「データ科学のための数理統計」（PCを使った統計処理がどのようなものか理解し、基本的な分析処理をすることができる。）</t>
  </si>
  <si>
    <t>①データサイエンスやビックデータ、検索エンジン、SNS、第4次産業革命、AI発達の歴史、人間の思考とAIとの違い「データサイエンス入門」（1回目～3回目）</t>
  </si>
  <si>
    <t>①事業活動で活用されるデータ・AIの活用例や、活用目的に合わせたデータ・AIの活用例「データサイエンス入門」（6回目）　／　②データ活用領域の広がり(データリテラシーを学ぶ意義、データ活用力の重要性)「データリテラシー」（1、2回目）　／　③重回帰分析の活用領域「データ科学のための数理統計」(10回目)</t>
  </si>
  <si>
    <t>①データの解析（グルーピング、クラスタリング、予測・発見の方法、関連話題）、データの可視化、パターン認識技術、AIの特徴「データサイエンス入門」（7回目～11回目）　／　②データ利活用のための技術（調査計画書・質問紙の作成や、調査の手順）「社会福祉調査の基礎」（4、7、11回目）</t>
    <rPh sb="89" eb="92">
      <t>リカツヨウ</t>
    </rPh>
    <rPh sb="96" eb="98">
      <t>ギジュツ</t>
    </rPh>
    <rPh sb="137" eb="139">
      <t>カイメ</t>
    </rPh>
    <phoneticPr fontId="1"/>
  </si>
  <si>
    <t>①データサイエンスのサイクル（データ分析による意思決定、データ分析・自動化の実際）、データ・AI利活用事例（情報技術の自動化により生まれた価値、組織的考慮点）「データサイエンス入門」（12、13回目）　／　②社会福祉調査における量的調査や質的調査で収集するデータの利活用事例「社会福祉調査の基礎」（1、5、6、10回目）</t>
    <rPh sb="157" eb="159">
      <t>カイメ</t>
    </rPh>
    <phoneticPr fontId="1"/>
  </si>
  <si>
    <t>①データサイエンスのサイクル（データ分析による意思決定、データ分析・自動化の実際）、データ・AI利活用事例紹介（情報技術の自動化により生まれた価値、組織的考慮点）「データサイエンス入門」（12、13回目）</t>
  </si>
  <si>
    <t>①データサイエンスやビックデータ、検索エンジン、SNS、第4次産業革命、AI発達の歴史、人間の思考とAIとの違い「データサイエンス入門」（1回目～3回目）　／　②データを起点としたものの見方「保健統計論Ⅰ」（1回目）</t>
    <rPh sb="105" eb="107">
      <t>カイメ</t>
    </rPh>
    <phoneticPr fontId="1"/>
  </si>
  <si>
    <t>①「データサイエンス入門」（データサイエンス・AIの仕組みを理解することができる。）　／　②「データサイエンス応用」（データの種類や、データ・AI利活用における留意事項を理解することができる。）　／　③「人工知能概論」（人工知能や画像解析の仕組みを理解することができる。）　／　④「情報リテラシーA」（情報モラルや情報セキュリティについて必要な知識を身につけることができる。）　／　⑤「情報リテラシーB」（実データを用いたデータの読み方・説明法・扱い方に必要な知識を身につけることができる。）　／　⑥「プログラミング入門A」、⑦「プログラミング入門B」（プログラムを作成するために収集したデータ利活用に必要な知識・留意事項を身につけることができる。）　／　⑧「データリテラシー」（物事を数値化して捉え、得られたデータから適切な結論を導き出すとともに、データを処理する考え方、データ・AIを扱う上での留意事項について説明することができる。）　／　⑨「保健統計論Ⅰ」（保健統計学の理論と手法を理解することができる。）　／　⑩「保健統計論Ⅱ」（基本的な統計用語の意味が理解でき、PCを使ってき本的な統計や検定ができる。）　／　⑪「データ科学のための数理統計」（PCを使った統計処理がどのようなものか理解し、基本的な分析処理をすることができる。）</t>
    <rPh sb="428" eb="429">
      <t>ロン</t>
    </rPh>
    <phoneticPr fontId="1"/>
  </si>
  <si>
    <t>大学教育センターは、福山平成大学教育システムおよび福山平成大学における共通教育に関する種々の業務を行う組織で、全学的な視点から大学教育に関する調査、 研究、 企画、 調整、 研修等を行うことにより大学全体の教育改革を主導している。その運営委員会は、本学の大学教育センターの運営全般の企画、審議を担う全学レベルの委員会であり、本学の 「数理・データサイエンス・AI教育プログラム」の改善・進化も担っている。また、大学教育センター内に数理・データサイエンス・AI教育部門が設置され、運営委員会の主導の下で同プログラムの改善・進化のための具体的な諸業務が遂行されている。</t>
    <rPh sb="205" eb="206">
      <t xml:space="preserve">ドウ </t>
    </rPh>
    <rPh sb="212" eb="214">
      <t>カイゼn</t>
    </rPh>
    <rPh sb="236" eb="252">
      <t>ダイガク</t>
    </rPh>
    <rPh sb="258" eb="260">
      <t>スウリ</t>
    </rPh>
    <rPh sb="270" eb="271">
      <t xml:space="preserve">ショ </t>
    </rPh>
    <rPh sb="271" eb="276">
      <t>キョウイク</t>
    </rPh>
    <phoneticPr fontId="1"/>
  </si>
  <si>
    <t>①データサイエンスのサイクル（データ分析による意思決定、データ分析・自動化の実際）、データ・AI利活用事例（情報技術の自動化により生まれた価値、組織的考慮点）「データサイエンス入門」（12、13回目）　／　②製造業や小売業などのデータ活用事例「ICT入門」（13回目)</t>
    <rPh sb="48" eb="51">
      <t>リカツヨウ</t>
    </rPh>
    <rPh sb="51" eb="53">
      <t>ジレイ</t>
    </rPh>
    <rPh sb="97" eb="99">
      <t>カイメ</t>
    </rPh>
    <rPh sb="104" eb="107">
      <t>セイゾウギョウ</t>
    </rPh>
    <rPh sb="108" eb="111">
      <t>コウリギョウ</t>
    </rPh>
    <rPh sb="117" eb="119">
      <t>カツヨウ</t>
    </rPh>
    <rPh sb="119" eb="121">
      <t>ジレイ</t>
    </rPh>
    <rPh sb="125" eb="127">
      <t>ニュウモn</t>
    </rPh>
    <rPh sb="131" eb="133">
      <t>カイメ</t>
    </rPh>
    <phoneticPr fontId="1"/>
  </si>
  <si>
    <t>①ELSIや一般データ保護規則、十分性認定、AI倫理、AI脅威論、ブラックボックス化、アカウンタビリティ、トラスト、AI社会原則（公平性、透明性）、データの悪用・目的外利用・フラッシュクラッシュ「データサイエンス応用」（9回目～13回目）　／　②AI社会原則(人間中心の判断)「人工知能概論」（15回目）　／　③データ活用にあたって必要な個人情報や倫理「情報リテラシーA」（2回目）　／　④データ倫理(プログラムを作成するために収集したデータの扱い)「プログラミング入門A」（12回目～15回目）　／　⑤データ倫理(プログラムを作成するために収集したデータの扱い)「プログラミング入門B」（14、15回目）　／　⑥データ倫理(ネットワーク上で収集したデータやアンケートデータ、分析データの扱い)「データリテラシー」（2～4回目、15回目）　／　⑦データ倫理や認証「ICT入門」（10、11回目）　／　⑧情報倫理「データ科学のための数理統計」（1回目）</t>
    <rPh sb="60" eb="62">
      <t>シャカイ</t>
    </rPh>
    <rPh sb="62" eb="64">
      <t>ゲンソク</t>
    </rPh>
    <rPh sb="111" eb="113">
      <t>カイメ</t>
    </rPh>
    <rPh sb="116" eb="118">
      <t>カイメ</t>
    </rPh>
    <rPh sb="125" eb="129">
      <t>シャカイゲンソク</t>
    </rPh>
    <rPh sb="149" eb="151">
      <t>カイメ</t>
    </rPh>
    <rPh sb="188" eb="190">
      <t>カイメ</t>
    </rPh>
    <rPh sb="198" eb="200">
      <t>リンリ</t>
    </rPh>
    <rPh sb="222" eb="223">
      <t>アツカ</t>
    </rPh>
    <rPh sb="226" eb="228">
      <t>カイメ</t>
    </rPh>
    <rPh sb="231" eb="233">
      <t>カイメ</t>
    </rPh>
    <rPh sb="255" eb="257">
      <t>リンリ</t>
    </rPh>
    <rPh sb="279" eb="280">
      <t>アツカ</t>
    </rPh>
    <rPh sb="286" eb="288">
      <t>カイメ</t>
    </rPh>
    <rPh sb="310" eb="312">
      <t>リンリ</t>
    </rPh>
    <rPh sb="344" eb="345">
      <t>アツカ</t>
    </rPh>
    <rPh sb="347" eb="349">
      <t>カイメ</t>
    </rPh>
    <rPh sb="352" eb="354">
      <t>カイメ</t>
    </rPh>
    <rPh sb="380" eb="382">
      <t>カイメ</t>
    </rPh>
    <rPh sb="408" eb="410">
      <t>カイメ</t>
    </rPh>
    <rPh sb="415" eb="417">
      <t>スウリ</t>
    </rPh>
    <phoneticPr fontId="1"/>
  </si>
  <si>
    <t>①データの種類、データの分布・代表値、代表値の性質の違い、データのばらつき、観測データに含まれる誤差の扱い、打ち切りや脱落を含むデータ、層別の必要なデータ、相関、因果性、母集団、標本抽出、クロス集計表、相関係数行列、散布図行列、統計情報の正しい理解「データサイエンス応用」（1回目～5回目）　／　②観測データに含まれる誤差の扱い「人工知能概論」（4回目）　／　③統計情報の正しい理解（実データを用いたデータの読み方）「情報リテラシーB」（15回目）　／　④統計情報の正しい理解（プログラムを作成するために収集したデータの読み方）「プログラミング入門A」（12、13、15回目）　／　⑤統計情報の正しい理解（プログラムを作成するために収集したデータの読み方）「プログラミング入門B」（13～15回目）　／　⑥データの種類（量的変数や質的変数、異なる変数）、代表値の性質の違い、データの分布（度数分布とヒストグラム）、データのばらつき・誤差・外れ値 、統計情報の正しい理解（偶然への客観的評価、アイデア評価のため収集したデータや、ネットワーク上で収集したデータ・アンケートデータ、人事評価データ・満足度調査データ・経済データの読み方）「データリテラシー」（3～15回目）　／　⑦統計情報の正しい理解（質的データの検定や量的データの検定、相関係数の検定、回帰分析、実験計画法に関するデータの読み方）「データ科学のための数理統計」（2回目、4回目～9回目）</t>
    <rPh sb="138" eb="140">
      <t>カイメ</t>
    </rPh>
    <rPh sb="142" eb="144">
      <t>カイメ</t>
    </rPh>
    <rPh sb="162" eb="163">
      <t>アツカ</t>
    </rPh>
    <rPh sb="174" eb="176">
      <t>カイメ</t>
    </rPh>
    <rPh sb="181" eb="185">
      <t>トウケイジョウホウ</t>
    </rPh>
    <rPh sb="186" eb="187">
      <t>タダ</t>
    </rPh>
    <rPh sb="189" eb="191">
      <t>リカイ</t>
    </rPh>
    <rPh sb="221" eb="223">
      <t>カイメ</t>
    </rPh>
    <rPh sb="228" eb="232">
      <t>トウケイジョウホウ</t>
    </rPh>
    <rPh sb="233" eb="234">
      <t>タダ</t>
    </rPh>
    <rPh sb="236" eb="238">
      <t>リカイ</t>
    </rPh>
    <rPh sb="285" eb="287">
      <t>カイメ</t>
    </rPh>
    <rPh sb="292" eb="296">
      <t>トウケイジョウホウ</t>
    </rPh>
    <rPh sb="297" eb="298">
      <t>タダ</t>
    </rPh>
    <rPh sb="300" eb="302">
      <t>リカイ</t>
    </rPh>
    <rPh sb="346" eb="348">
      <t>カイメ</t>
    </rPh>
    <rPh sb="357" eb="359">
      <t>シュルイ</t>
    </rPh>
    <rPh sb="391" eb="393">
      <t>ブンプ</t>
    </rPh>
    <rPh sb="424" eb="428">
      <t>トウケイジョウホウ</t>
    </rPh>
    <rPh sb="429" eb="430">
      <t>タダ</t>
    </rPh>
    <rPh sb="432" eb="434">
      <t>リカイ</t>
    </rPh>
    <rPh sb="530" eb="532">
      <t>カイメ</t>
    </rPh>
    <rPh sb="537" eb="541">
      <t>トウケイジョウホウ</t>
    </rPh>
    <rPh sb="542" eb="543">
      <t>タダ</t>
    </rPh>
    <rPh sb="545" eb="547">
      <t>リカイ</t>
    </rPh>
    <rPh sb="606" eb="608">
      <t>スウリ</t>
    </rPh>
    <rPh sb="613" eb="615">
      <t>カイメ</t>
    </rPh>
    <rPh sb="617" eb="619">
      <t>カイメ</t>
    </rPh>
    <rPh sb="621" eb="623">
      <t>カイメ</t>
    </rPh>
    <phoneticPr fontId="1"/>
  </si>
  <si>
    <t>①データの表現、データの図解表現、データの比較、不適切なグラフ表現、優れた可視化事例「データサイエンス応用」（6、7回目）　／　②データ表現「人工知能概論」（6回目）　／　③優れた可視化事例（実データを用いたデータの説明）「情報リテラシーB」（15回目）　／　④優れた可視化事例（プログラムを作成するために収集したデータの説明）「プログラミング入門A」（12、13、15回目）　／　⑤優れた可視化事例（プログラムを作成するために収集したデータの説明）「プログラミング入門B」（13～15回目）　／　⑥データ表現（散布図、回帰線、グラフによる可視化）、優れた可視化事例（アイデア評価のため収集したデータ、ネットワーク上で収集したデータ・アンケートデータ、人事評価データ・満足度調査データ・経済データの説明）「データリテラシー」（3～15回目）　／　⑦優れた可視化事例（質的データの検定や量的データの検定、相関係数の検定、回帰分析、実験計画法、重回帰分析、判別分析・パーセプトロン、主成分分析・因子分析、クラスター分析・k平均法、ロジスティクス回帰分析に関するデータの説明）「データ科学のための数理統計」（2回目、4回目～14回目）</t>
    <rPh sb="495" eb="497">
      <t>スウリ</t>
    </rPh>
    <phoneticPr fontId="1"/>
  </si>
  <si>
    <t>①表形式のデータ、データ解析ツール、SSDSEデータの扱い「データサイエンス応用」（8回目）　／　②表形式のデータ「人工知能概論」（7回目）　／　③表形式のデータ（実データを用いたデータの扱い）「情報リテラシーB」（15回目）　／　④表形式のデータ（プログラムを作成するために収集したデータの扱い）「プログラミング入門A」（12、13、15回目）　／　⑤表形式のデータ（プログラムを作成するために収集したデータの扱い）「プログラミング入門B」（13～15回目）　／　⑥データの集計（Excelでのデータ分析）、表形式のデータ（アイデア評価のため収集したデータ、ネットワーク上で収集したデータ・アンケートデータ、人事評価データ・満足度調査データ・経済データの扱い）「データリテラシー」（3～15回目）　／　⑦表形式のデータ（質的データの検定や量的データの検定、相関係数の検定、回帰分析、実験計画法、重回帰分析、判別分析・パーセプトロン、主成分分析・因子分析、クラスター分析・k平均法、ロジスティクス回帰分析に関するデータの扱い）、データの集計「データ科学のための数理統計」（2回目、4回目～14回目）</t>
    <rPh sb="43" eb="45">
      <t>カイメ</t>
    </rPh>
    <rPh sb="67" eb="69">
      <t>カイメ</t>
    </rPh>
    <rPh sb="74" eb="77">
      <t>ヒョウケイシキ</t>
    </rPh>
    <rPh sb="110" eb="112">
      <t>カイメ</t>
    </rPh>
    <rPh sb="117" eb="120">
      <t>ヒョウケイシキ</t>
    </rPh>
    <rPh sb="170" eb="172">
      <t>カイメ</t>
    </rPh>
    <rPh sb="177" eb="180">
      <t>ヒョウケイシキ</t>
    </rPh>
    <rPh sb="227" eb="229">
      <t>カイメ</t>
    </rPh>
    <rPh sb="238" eb="240">
      <t>シュウケイ</t>
    </rPh>
    <rPh sb="255" eb="258">
      <t>ヒョウケイシキ</t>
    </rPh>
    <rPh sb="346" eb="348">
      <t>カイメ</t>
    </rPh>
    <rPh sb="353" eb="356">
      <t>ヒョウケイシキ</t>
    </rPh>
    <rPh sb="468" eb="470">
      <t>シュウケイ</t>
    </rPh>
    <rPh sb="480" eb="482">
      <t>スウリ</t>
    </rPh>
    <rPh sb="487" eb="489">
      <t>カイメ</t>
    </rPh>
    <rPh sb="491" eb="493">
      <t>カイメ</t>
    </rPh>
    <rPh sb="496" eb="498">
      <t>カイメ</t>
    </rPh>
    <phoneticPr fontId="1"/>
  </si>
  <si>
    <t>①ELSIや一般データ保護規則、十分性認定、AI倫理、AI脅威論、ブラックボックス化、アカウンタビリティ、トラスト、AI社会原則（公平性、透明性）、データの悪用・目的外利用・フラッシュクラッシュ「データサイエンス応用」（9回目～13回目）　／　②AI社会原則(人間中心の判断)「人工知能概論」（15回目）　／　③データ活用にあたって必要な個人情報や倫理「情報リテラシーA」（2回目）　／　④データ倫理(プログラムを作成するために収集したデータの扱い)「プログラミング入門A」（12回目～15回目）　／　⑤データ倫理(プログラムを作成するために収集したデータの扱い)「プログラミング入門B」（14、15回目）　／　⑥データ倫理(ネットワーク上で収集したデータやアンケートデータ、分析データの扱い)「データリテラシー」（2～4回目、15回目）　／　⑦情報倫理「データ科学のための数理統計」（1回目）　／　⑧統計調査条例や社会福祉調査における倫理、個人情報保護「社会福祉調査の基礎」（2、3回目）</t>
    <rPh sb="387" eb="389">
      <t>スウリ</t>
    </rPh>
    <rPh sb="442" eb="444">
      <t>カイメ</t>
    </rPh>
    <phoneticPr fontId="1"/>
  </si>
  <si>
    <t>①データの種類、データの分布・代表値、代表値の性質の違い、データのばらつき、観測データに含まれる誤差の扱い、打ち切りや脱落を含むデータ、層別の必要なデータ、相関、因果性、母集団、標本抽出、クロス集計表、相関係数行列、散布図行列、統計情報の正しい理解「データサイエンス応用」（1回目～5回目）　／　②観測データに含まれる誤差の扱い「人工知能概論」（4回目）　／　③統計情報の正しい理解（実データを用いたデータの読み方）「情報リテラシーB」（15回目）　／　④統計情報の正しい理解（プログラムを作成するために収集したデータの読み方）「プログラミング入門A」（12、13、15回目）　／　⑤統計情報の正しい理解（プログラムを作成するために収集したデータの読み方）「プログラミング入門B」（13～15回目）　／　⑥データの種類（量的変数や質的変数、異なる変数）、代表値の性質の違い、データの分布（度数分布とヒストグラム）、データのばらつき・誤差・外れ値 、統計情報の正しい理解（偶然への客観的評価、アイデア評価のため収集したデータや、ネットワーク上で収集したデータ・アンケートデータ、人事評価データ・満足度調査データ・経済データの読み方）「データリテラシー」（3～15回目）　／　⑦統計情報の正しい理解（質的データの検定や量的データの検定、相関係数の検定、回帰分析、実験計画法に関するデータの読み方）「データ科学のための数理統計」（2回目、4回目～9回目）　／　⑧統計情報の正しい理解（量的調査や質的調査、インタビュー調査で収集するデータの読み方）「社会福祉調査の基礎」（8、9、12、15回目）</t>
    <rPh sb="606" eb="608">
      <t>スウリ</t>
    </rPh>
    <rPh sb="628" eb="632">
      <t>トウケイジョウホウ</t>
    </rPh>
    <rPh sb="633" eb="634">
      <t>タダ</t>
    </rPh>
    <rPh sb="636" eb="638">
      <t>リカイ</t>
    </rPh>
    <rPh sb="691" eb="693">
      <t>カイメ</t>
    </rPh>
    <phoneticPr fontId="1"/>
  </si>
  <si>
    <t>①データの表現、データの図解表現、データの比較、不適切なグラフ表現、優れた可視化事例「データサイエンス応用」（6、7回目）　／　②データ表現「人工知能概論」（6回目）　／　③優れた可視化事例（実データを用いたデータの説明）「情報リテラシーB」（15回目）　／　④優れた可視化事例（プログラムを作成するために収集したデータの説明）「プログラミング入門A」（12、13、15回目）　／　⑤優れた可視化事例（プログラムを作成するために収集したデータの説明）「プログラミング入門B」（13～15回目）　／　⑥データ表現（散布図、回帰線、グラフによる可視化）、優れた可視化事例（アイデア評価のため収集したデータ、ネットワーク上で収集したデータ・アンケートデータ、人事評価データ・満足度調査データ・経済データの説明）「データリテラシー」（3～15回目）　／　⑦優れた可視化事例（質的データの検定や量的データの検定、相関係数の検定、回帰分析、実験計画法、重回帰分析、判別分析・パーセプトロン、主成分分析・因子分析、クラスター分析・k平均法、ロジスティクス回帰分析に関するデータの説明）「データ科学のための数理統計」（2回目、4回目～14回目）　／　⑧優れた可視化事例（量的調査や質的調査、インタビュー調査で収集するデータの説明）「社会福祉調査の基礎」（8、9、15回目）</t>
    <rPh sb="40" eb="42">
      <t>ジレイ</t>
    </rPh>
    <rPh sb="87" eb="88">
      <t>スグ</t>
    </rPh>
    <rPh sb="90" eb="95">
      <t>カシカジレイ</t>
    </rPh>
    <rPh sb="131" eb="132">
      <t>スグ</t>
    </rPh>
    <rPh sb="134" eb="139">
      <t>カシカジレイ</t>
    </rPh>
    <rPh sb="192" eb="193">
      <t>スグ</t>
    </rPh>
    <rPh sb="195" eb="200">
      <t>カシカジレイ</t>
    </rPh>
    <rPh sb="253" eb="255">
      <t>ヒョウゲン</t>
    </rPh>
    <rPh sb="275" eb="276">
      <t>スグ</t>
    </rPh>
    <rPh sb="278" eb="283">
      <t>カシカジレイ</t>
    </rPh>
    <rPh sb="374" eb="375">
      <t>スグ</t>
    </rPh>
    <rPh sb="377" eb="382">
      <t>カシカジレイ</t>
    </rPh>
    <rPh sb="495" eb="497">
      <t>スウリ</t>
    </rPh>
    <rPh sb="518" eb="519">
      <t>スグ</t>
    </rPh>
    <rPh sb="521" eb="526">
      <t>カシカジレイ</t>
    </rPh>
    <rPh sb="575" eb="577">
      <t>カイメ</t>
    </rPh>
    <phoneticPr fontId="1"/>
  </si>
  <si>
    <t>①表形式のデータ、データ解析ツール、SSDSEデータの扱い「データサイエンス応用」（8回目）　／　②表形式のデータ「人工知能概論」（7回目）　／　③表形式のデータ（実データを用いたデータの扱い）「情報リテラシーB」（15回目）　／　④表形式のデータ（プログラムを作成するために収集したデータの扱い）「プログラミング入門A」（12、13、15回目）　／　⑤表形式のデータ（プログラムを作成するために収集したデータの扱い）「プログラミング入門B」（13～15回目）　／　⑥データの集計（Excelでのデータ分析）、表形式のデータ（アイデア評価のため収集したデータ、ネットワーク上で収集したデータ・アンケートデータ、人事評価データ・満足度調査データ・経済データの扱い）「データリテラシー」（3～15回目）　／　⑦表形式のデータ（質的データの検定や量的データの検定、相関係数の検定、回帰分析、実験計画法、重回帰分析、判別分析・パーセプトロン、主成分分析・因子分析、クラスター分析・k平均法、ロジスティクス回帰分析に関するデータの扱い）、データの集計「データ科学のための数理統計」（2回目、4回目～14回目）　／　⑧表形式のデータ（質的調査やインタビュー調査で収集するデータの扱い）「社会福祉調査の基礎」（11、15回目）</t>
    <rPh sb="480" eb="482">
      <t>スウリ</t>
    </rPh>
    <rPh sb="503" eb="506">
      <t>ヒョウケイシキ</t>
    </rPh>
    <rPh sb="553" eb="555">
      <t>カイメ</t>
    </rPh>
    <phoneticPr fontId="1"/>
  </si>
  <si>
    <t>①ELSIや一般データ保護規則、十分性認定、AI倫理、AI脅威論、ブラックボックス化、アカウンタビリティ、トラスト、AI社会原則（公平性、透明性）、データの悪用・目的外利用・フラッシュクラッシュ「データサイエンス応用」（9回目～13回目）　／　②AI社会原則(人間中心の判断)「人工知能概論」（15回目）　／　③データ活用にあたって必要な個人情報や倫理「情報リテラシーA」（2回目）　／　④データ倫理(プログラムを作成するために収集したデータの扱い)「プログラミング入門A」（12回目～15回目）　／　⑤データ倫理(プログラムを作成するために収集したデータの扱い)「プログラミング入門B」（14、15回目）　／　⑥データ倫理(ネットワーク上で収集したデータやアンケートデータ、分析データの扱い)「データリテラシー」（2～4回目、15回目）　／　⑦情報倫理「データ科学のための数理統計」（1回目）</t>
    <rPh sb="387" eb="389">
      <t>スウリ</t>
    </rPh>
    <phoneticPr fontId="1"/>
  </si>
  <si>
    <t>①データの種類、データの分布・代表値、代表値の性質の違い、データのばらつき、観測データに含まれる誤差の扱い、打ち切りや脱落を含むデータ、層別の必要なデータ、相関、因果性、母集団、標本抽出、クロス集計表、相関係数行列、散布図行列、統計情報の正しい理解「データサイエンス応用」（1回目～5回目）　／　②観測データに含まれる誤差の扱い「人工知能概論」（4回目）　／　③統計情報の正しい理解（実データを用いたデータの読み方）「情報リテラシーB」（15回目）　／　④統計情報の正しい理解（プログラムを作成するために収集したデータの読み方）「プログラミング入門A」（12、13、15回目）　／　⑤統計情報の正しい理解（プログラムを作成するために収集したデータの読み方）「プログラミング入門B」（13～15回目）　／　⑥データの種類（量的変数や質的変数、異なる変数）、代表値の性質の違い、データの分布（度数分布とヒストグラム）、データのばらつき・誤差・外れ値 、統計情報の正しい理解（偶然への客観的評価、アイデア評価のため収集したデータや、ネットワーク上で収集したデータ・アンケートデータ、人事評価データ・満足度調査データ・経済データの読み方）「データリテラシー」（3～15回目）　／　⑦統計情報の正しい理解（質的データの検定や量的データの検定、相関係数の検定、回帰分析、実験計画法に関するデータの読み方）「データ科学のための数理統計」（2回目、4回目～9回目）　／　⑧統計情報の正しい理解（生命表などのデータの読み方）「保健統計論Ⅰ」（3回目）　／　⑨統計情報の正しい理解（相関係数や回帰分析、確率分布、様々な検定に関するデータの読み方）、データの種類（量的データ・質的データ）「保健統計論Ⅱ」（1回目～8回目）</t>
    <rPh sb="606" eb="608">
      <t>スウリ</t>
    </rPh>
    <rPh sb="628" eb="632">
      <t>トウケイジョウホウ</t>
    </rPh>
    <rPh sb="633" eb="634">
      <t>タダ</t>
    </rPh>
    <rPh sb="636" eb="638">
      <t>リカイ</t>
    </rPh>
    <rPh sb="663" eb="665">
      <t>カイメ</t>
    </rPh>
    <rPh sb="670" eb="674">
      <t>トウケイジョウホウ</t>
    </rPh>
    <rPh sb="675" eb="676">
      <t>タダ</t>
    </rPh>
    <rPh sb="678" eb="680">
      <t>リカイ</t>
    </rPh>
    <rPh sb="718" eb="720">
      <t>シュルイ</t>
    </rPh>
    <rPh sb="743" eb="745">
      <t>カイメ</t>
    </rPh>
    <rPh sb="747" eb="749">
      <t>カイメ</t>
    </rPh>
    <phoneticPr fontId="1"/>
  </si>
  <si>
    <t>①データの表現、データの図解表現、データの比較、不適切なグラフ表現、優れた可視化事例「データサイエンス応用」（6、7回目）　／　②データ表現「人工知能概論」（6回目）　／　③優れた可視化事例（実データを用いたデータの説明）「情報リテラシーB」（15回目）　／　④優れた可視化事例（プログラムを作成するために収集したデータの説明）「プログラミング入門A」（12、13、15回目）　／　⑤優れた可視化事例（プログラムを作成するために収集したデータの説明）「プログラミング入門B」（13～15回目）　／　⑥データ表現（散布図、回帰線、グラフによる可視化）、優れた可視化事例（アイデア評価のため収集したデータ、ネットワーク上で収集したデータ・アンケートデータ、人事評価データ・満足度調査データ・経済データの説明）「データリテラシー」（3～15回目）　／　⑦優れた可視化事例（質的データの検定や量的データの検定、相関係数の検定、回帰分析、実験計画法、重回帰分析、判別分析・パーセプトロン、主成分分析・因子分析、クラスター分析・k平均法、ロジスティクス回帰分析に関するデータの説明）「データ科学のための数理統計」（2回目、4回目～14回目）　／　⑧優れた可視化事例（患者調査など保健統計調査のデータの説明）「保健統計論Ⅰ」（4回目）　／　⑨優れた可視化事例（相関係数や回帰分析、確率分布、様々な検定に関するデータの説明）「保健統計論Ⅱ」（1回目～8回目）</t>
    <rPh sb="495" eb="497">
      <t>スウリ</t>
    </rPh>
    <rPh sb="518" eb="519">
      <t>スグ</t>
    </rPh>
    <rPh sb="521" eb="526">
      <t>カシカジレイ</t>
    </rPh>
    <rPh sb="557" eb="559">
      <t>カイメ</t>
    </rPh>
    <rPh sb="564" eb="565">
      <t>スグ</t>
    </rPh>
    <rPh sb="567" eb="572">
      <t>カシカジレイ</t>
    </rPh>
    <rPh sb="614" eb="616">
      <t>カイメ</t>
    </rPh>
    <rPh sb="618" eb="620">
      <t>カイメ</t>
    </rPh>
    <phoneticPr fontId="1"/>
  </si>
  <si>
    <t>①表形式のデータ、データ解析ツール、SSDSEデータの扱い「データサイエンス応用」（8回目）　／　②表形式のデータ「人工知能概論」（7回目）　／　③表形式のデータ（実データを用いたデータの扱い）「情報リテラシーB」（15回目）　／　④表形式のデータ（プログラムを作成するために収集したデータの扱い）「プログラミング入門A」（12、13、15回目）　／　⑤表形式のデータ（プログラムを作成するために収集したデータの扱い）「プログラミング入門B」（13～15回目）　／　⑥データの集計（Excelでのデータ分析）、表形式のデータ（アイデア評価のため収集したデータ、ネットワーク上で収集したデータ・アンケートデータ、人事評価データ・満足度調査データ・経済データの扱い）「データリテラシー」（3～15回目）　／　⑦表形式のデータ（質的データの検定や量的データの検定、相関係数の検定、回帰分析、実験計画法、重回帰分析、判別分析・パーセプトロン、主成分分析・因子分析、クラスター分析・k平均法、ロジスティクス回帰分析に関するデータの扱い）、データの集計「データ科学のための数理統計」（2回目、4回目～14回目）　／　⑧表形式のデータ（医療保険情報などのデータの扱い）「保健統計論Ⅰ」（6～8回目）　／　⑨表形式のデータ（相関係数や回帰分析、確率分布、様々な検定に関するデータの扱い）、データの集計「保健統計論Ⅱ」（1回目～8回目）</t>
    <rPh sb="480" eb="482">
      <t>スウリ</t>
    </rPh>
    <rPh sb="503" eb="506">
      <t>ヒョウケイシキ</t>
    </rPh>
    <rPh sb="539" eb="541">
      <t>カイメ</t>
    </rPh>
    <rPh sb="546" eb="549">
      <t>ヒョウケイシキ</t>
    </rPh>
    <rPh sb="602" eb="604">
      <t>カイメ</t>
    </rPh>
    <rPh sb="606" eb="608">
      <t>カイメ</t>
    </rPh>
    <phoneticPr fontId="1"/>
  </si>
  <si>
    <t>「数理・データサイエンス・AI教育プログラム（リテラシーレベル）」は、次の（１）及び（２）の要件を満たしていることを修了要件とする。なお、修了要件を満たした者を「数理・データサイエンス・AI教育プグラム（リテラシーレベル）」の修了者として大学が認定する。（１）一般教育科目である「データサイエンス入門」「情報リテラシーA」「情報リテラシーB」の単位及び学科専門科目である「保健統計論Ⅰ」と「保健統計論Ⅱ」の単位を取得していること。（２）一般教育科目である「人工知能概論」、「データサイエンス応用」、「プログラミング入門A」、「プログラミング入門B」、「データ科学のための数理統計」、「データリテラシー」のうち、いずれか１科目の単位を取得していること。</t>
    <rPh sb="35" eb="36">
      <t>ツギ</t>
    </rPh>
    <rPh sb="40" eb="41">
      <t>オヨビ</t>
    </rPh>
    <rPh sb="46" eb="48">
      <t>ヨウケn</t>
    </rPh>
    <rPh sb="49" eb="50">
      <t>ミタ</t>
    </rPh>
    <rPh sb="130" eb="136">
      <t>イッパn</t>
    </rPh>
    <rPh sb="152" eb="154">
      <t>ジョウホウ</t>
    </rPh>
    <rPh sb="162" eb="164">
      <t>ジョウホウリテル</t>
    </rPh>
    <rPh sb="172" eb="174">
      <t>タンイヰ</t>
    </rPh>
    <rPh sb="174" eb="175">
      <t>オヨビ</t>
    </rPh>
    <rPh sb="176" eb="182">
      <t>ガッカス</t>
    </rPh>
    <rPh sb="188" eb="190">
      <t>タンイ</t>
    </rPh>
    <rPh sb="191" eb="193">
      <t>シュトク</t>
    </rPh>
    <rPh sb="203" eb="209">
      <t>イッパn</t>
    </rPh>
    <rPh sb="213" eb="215">
      <t>ジンコウ</t>
    </rPh>
    <rPh sb="215" eb="217">
      <t>チノウ</t>
    </rPh>
    <rPh sb="217" eb="219">
      <t>ガイロn</t>
    </rPh>
    <rPh sb="230" eb="232">
      <t>オウヨウ</t>
    </rPh>
    <rPh sb="242" eb="244">
      <t>ニュウモn</t>
    </rPh>
    <rPh sb="255" eb="257">
      <t>ニュウモn</t>
    </rPh>
    <rPh sb="270" eb="274">
      <t>スウリ</t>
    </rPh>
    <rPh sb="298" eb="300">
      <t>タンイ</t>
    </rPh>
    <rPh sb="301" eb="303">
      <t>シュトク</t>
    </rPh>
    <phoneticPr fontId="1"/>
  </si>
  <si>
    <r>
      <t>１．本学のWEBサイトに専用のページを開設し、学生が情報を受け取りやすい環境を整備している。</t>
    </r>
    <r>
      <rPr>
        <sz val="12"/>
        <color theme="1"/>
        <rFont val="ＭＳ Ｐゴシック"/>
        <family val="2"/>
        <charset val="128"/>
      </rPr>
      <t>本プログラムのカリキュラム・ツリーを作成し、学生便覧上に掲載</t>
    </r>
    <r>
      <rPr>
        <sz val="12"/>
        <color theme="1"/>
        <rFont val="ＭＳ Ｐゴシック"/>
        <family val="3"/>
        <charset val="128"/>
        <scheme val="minor"/>
      </rPr>
      <t>することにより、全学生が履修計画を立てやすいようにしている。本学は平成29年度から全入学者に通学におけるノートパソコン必携化を実施しているが、そのことと併せて、本学志願者に入学前からの本プログラムの学習準備を促している。
２．本プログラムの修了証を発行する体制を整え、履修意欲の向上を図っている。
３．学生に分かりやすいオンラインのシラバスを作成し、公開している。
４．学生全員に迅速な通知ができるオンラインの掲示板システムを運用している。
５．運営委員会において、全学科の学科長に本プログラムの内容を説明している。全学教授会等を通じて本プログラムの実施を説明し、教員間の相互理解を計り、教職員が学生に適切な履修指導を行えるようにしている。</t>
    </r>
    <rPh sb="68" eb="72">
      <t>ガクセイ</t>
    </rPh>
    <rPh sb="72" eb="73">
      <t>ゼ</t>
    </rPh>
    <rPh sb="74" eb="76">
      <t>ケイサイブ</t>
    </rPh>
    <rPh sb="266" eb="268">
      <t>ジンソ</t>
    </rPh>
    <rPh sb="391" eb="392">
      <t xml:space="preserve">ジ </t>
    </rPh>
    <rPh sb="394" eb="396">
      <t xml:space="preserve">ジ </t>
    </rPh>
    <phoneticPr fontId="1"/>
  </si>
  <si>
    <t>令和4年度の点検・評価の対象科目ごとの履修者数、修了者数、収容定員に対する履修率は次の通りである。
1. 情報リテラシーA（収容定員1360名）：【履修者数】275名　【修了者数】273名　【履修率】20％
2. 情報リテラシーB（収容定員　同上）：【履修者数】275名　【修了者数】272名　【履修率】20％
3. データサイエンス入門（収容定員　同上）：【履修者数】275名　【修了者数】271名　【履修率】20％
4. ICT入門（収容定員200名）：【履修者数】36名　【修了者数】36名　【履修率】18％
履修率に関しては大学収容定員を分母としており、プログラム開講から2年目となる令和5年度にはさらに上昇する見込みである。</t>
    <phoneticPr fontId="1"/>
  </si>
  <si>
    <t>本学の数理・データサイエンス・AI教育プログラムに関しては、履修状況のデータから令和４年度（1年目）の取り組みは順調に行われていると言える。また、授業評価アンケートの結果から、1年目に実施された4つの科目の評価は概ね好評であり、本学での教育プログラムは「学生目線」からも順調に実施されていると判断できる。
さらに、本プログラムに関わっては、令和5年度より新たに一般教育科目で6科目が開講されるほか、経営学科を除く4学科においても学科専門科目が開講される。令和４年度から先行実施された4つの科目の結果を踏まえつつ、令和5年度以降、本プログラム全体の円滑で効果的な実施に鋭意取り組みたい。</t>
    <phoneticPr fontId="1"/>
  </si>
  <si>
    <t>令和４年度から本プログラムに関する内容を全学必修化し、教育内容の充実を図っている。ICTやデータサイエンス等の基礎はもとより、各学科の専門性に応じた基礎を、演習をしながら学ぶことができる内容としている。また、パソコンに不慣れな初年次はICT教室を活用し、基本操作の演習を行い、円滑に開始できるよう工夫している。加えて、SA制度を積極的に活用し、学生一人ひとりに寄り添ったきめ細かい履修支援を行なっている。さらに、授業後には学生による授業評価アンケートを実施し、結果に対して授業担当者がフィードバックを行い、より「分かりやすい」授業体制を整えている。</t>
    <phoneticPr fontId="1"/>
  </si>
  <si>
    <t>本学FD推進委員会では授業評価アンケートを実施し、その結果を基に学生の学習動機や学修成果を把握し、FD活動に活用している。
令和4年度の授業評価アンケートでは、以下の項目について、「よくあてはまる」から「全くあてはまらない」までの5段階で回答を得た。
1.　学習到達目標や注意事項などの説明・指導の適切性
2. 教員の説明・指導のわかりやすさ
3. 授業の有意義さ
本プログラム科目に関する結果は、全科目でいずれの項目についても「よくあてはまる」「ややあてはまる」の合計が70％を上回った。よって、開設全科目で数理・データサイエンス・AI教育に関する適切な講義が実施され、学生の内容の理解度も高いことがわかる。</t>
    <phoneticPr fontId="1"/>
  </si>
  <si>
    <t>本教育プログラムは令和４年度より開始され、まだ修了者が出ていないため、修了者の進路、活躍状況、企業等での評価を得るまでには至っていない。しかし、毎年、就職課および就職委員会において、全学生の就職・進路状況調査を実施しており、本プログラムを修了した卒業生の進路先、活躍状況の把握は可能である。今後はこれらの就職・進路状況調査を活用し、本プログラム修了者の進路や活躍状況、企業等の評価の分析に役立てたい。</t>
    <rPh sb="9" eb="11">
      <t>レイワ</t>
    </rPh>
    <rPh sb="39" eb="41">
      <t>レイワ</t>
    </rPh>
    <rPh sb="166" eb="167">
      <t xml:space="preserve">ホン </t>
    </rPh>
    <rPh sb="176" eb="178">
      <t>シンロヤ</t>
    </rPh>
    <rPh sb="179" eb="183">
      <t>カツヤク</t>
    </rPh>
    <rPh sb="184" eb="186">
      <t>キギョウ</t>
    </rPh>
    <rPh sb="186" eb="187">
      <t>トウ</t>
    </rPh>
    <rPh sb="188" eb="190">
      <t>ヒョウカ</t>
    </rPh>
    <rPh sb="198" eb="199">
      <t>レイワ</t>
    </rPh>
    <phoneticPr fontId="1"/>
  </si>
  <si>
    <t>１．学習の途中でICT機器の活用が必要となるが、学生がICT機器の活用について相談できる教職員常駐の情報基盤センターを常設している。それによりICT機器の活用を促進し、全学生が不安なく学修できるように支援できる体制を構築している。また、SA制度を活用して、初学者へ個別丁寧な履修支援を行なっている。
２．教育の下支えとなる ICT機器・設備としては、平成29年度より全入学者にノートパソコンの必携化を実施しており、BYODの学習環境を達成していると共に、学内に余すところなく張り巡らされたWi-Fi環境を通じて、学生はいつでも持参したノートパソコン等をLMSや学内外のネットワークにアクセスできるようになっている。
３．本学では、LMSを運用し、全学生がいつでも授業資料を閲覧できる環境を構築している。
４．LMSと連動したオンデマンドのビデオ教材を積極的に作成し運用している。</t>
    <rPh sb="120" eb="122">
      <t>セイド</t>
    </rPh>
    <rPh sb="123" eb="125">
      <t>カツヨウ</t>
    </rPh>
    <rPh sb="128" eb="131">
      <t>ショガク</t>
    </rPh>
    <rPh sb="132" eb="136">
      <t>コベテゥ</t>
    </rPh>
    <rPh sb="137" eb="141">
      <t>リシュウ</t>
    </rPh>
    <rPh sb="142" eb="143">
      <t>オコナッテ</t>
    </rPh>
    <phoneticPr fontId="1"/>
  </si>
  <si>
    <t>本プログラムの目標を達成するために、次の各事項を行っている。
１．本プログラムを構成する科目のうち「データサイエンス入門」「情報リテラシーA」「情報リテラシーB」を１年次の全学必修としている。また2年次以降についても選択必修として多数の発展的な応用科目を展開している。
２．大学教育センターにおいて、全学生によるオンラインでの授業評価アンケートを実施し、授業担当教員による年２回の自己点検と学生へのフィードバック等により、教育の質向上を常に行っている。
３．授業内容としては、１年次の「データサイエンス入門」「情報リテラシーA」「情報リテラシーB」を初学者であっても十分に内容を理解できるように設計している。
４．令和４年度入学生より、本プログラムのカリキュラムを適用し、本プログラムを構成する教育内容の充実を図るとともに、２年次以降の学生に対しては本学における多様な学部の特性や資格免許への必要性等を鑑みたプログラム科目（専門教育科目）が準備されている。</t>
    <rPh sb="0" eb="1">
      <t>ホn</t>
    </rPh>
    <rPh sb="20" eb="23">
      <t>カクジ</t>
    </rPh>
    <rPh sb="355" eb="356">
      <t>ハカル</t>
    </rPh>
    <rPh sb="371" eb="372">
      <t>タイセィ</t>
    </rPh>
    <rPh sb="409" eb="411">
      <t>カモク</t>
    </rPh>
    <rPh sb="412" eb="418">
      <t>センモn</t>
    </rPh>
    <phoneticPr fontId="1"/>
  </si>
  <si>
    <t>川久保　和雄</t>
    <phoneticPr fontId="1"/>
  </si>
  <si>
    <t>大学教育センター運営委員会、同センター数理・データサイエンス・AI教育部門</t>
    <phoneticPr fontId="1"/>
  </si>
  <si>
    <t>運営委員会副委員長、数理・データサイエンス・AI教育部門長</t>
    <rPh sb="2" eb="4">
      <t>ウンエイ</t>
    </rPh>
    <rPh sb="4" eb="5">
      <t>カイ</t>
    </rPh>
    <rPh sb="5" eb="9">
      <t>フクイ</t>
    </rPh>
    <phoneticPr fontId="1"/>
  </si>
  <si>
    <t>運営委員会副委員長、数理・データサイエンス・AI教育部門長</t>
    <rPh sb="0" eb="5">
      <t>ウンエイ</t>
    </rPh>
    <rPh sb="5" eb="9">
      <t>フクイ</t>
    </rPh>
    <phoneticPr fontId="1"/>
  </si>
  <si>
    <t>開講1年目であるため、本学数理・データサイエンス・AI教育プログラムの最終的かつ総括的な学修成果は、現時点ではまだ確定しておらず、直接的には評価されていない。しかしながら、令和４年度段階の同プログラムにおいては、高い学生満足度が確認されると共に（下記学生授業評価アンケートによる）、令和4年度開設科目における修了者率は上記のように極めて高い。したがって、一定の学修成果が上がっているものと推認される。</t>
    <rPh sb="11" eb="13">
      <t>ホンガク</t>
    </rPh>
    <rPh sb="35" eb="38">
      <t>サイシュウ</t>
    </rPh>
    <rPh sb="40" eb="43">
      <t>ソウカ</t>
    </rPh>
    <rPh sb="57" eb="59">
      <t>カクテイ</t>
    </rPh>
    <rPh sb="65" eb="68">
      <t>チョクセツテク</t>
    </rPh>
    <rPh sb="91" eb="93">
      <t>ダn</t>
    </rPh>
    <rPh sb="94" eb="95">
      <t xml:space="preserve">ドウ </t>
    </rPh>
    <rPh sb="106" eb="107">
      <t>タカイ</t>
    </rPh>
    <rPh sb="108" eb="113">
      <t>ガクセイマn</t>
    </rPh>
    <rPh sb="114" eb="116">
      <t>KAKUNIN</t>
    </rPh>
    <rPh sb="123" eb="125">
      <t xml:space="preserve">カキ </t>
    </rPh>
    <rPh sb="125" eb="127">
      <t>ガクセイ</t>
    </rPh>
    <rPh sb="127" eb="131">
      <t>ジュギョウ</t>
    </rPh>
    <rPh sb="141" eb="146">
      <t xml:space="preserve">レイワ </t>
    </rPh>
    <rPh sb="146" eb="150">
      <t>カイセテゥ</t>
    </rPh>
    <rPh sb="154" eb="157">
      <t>シュウリョウ</t>
    </rPh>
    <rPh sb="157" eb="158">
      <t>リテゥ</t>
    </rPh>
    <rPh sb="159" eb="161">
      <t>ジョウキ</t>
    </rPh>
    <rPh sb="165" eb="166">
      <t>キワメ</t>
    </rPh>
    <rPh sb="177" eb="179">
      <t>イッテイ</t>
    </rPh>
    <rPh sb="180" eb="182">
      <t>ガクシュウ</t>
    </rPh>
    <rPh sb="182" eb="184">
      <t xml:space="preserve">セイカ </t>
    </rPh>
    <rPh sb="185" eb="186">
      <t>アガッテ</t>
    </rPh>
    <rPh sb="194" eb="196">
      <t>スイニ</t>
    </rPh>
    <phoneticPr fontId="1"/>
  </si>
  <si>
    <t>本学の数理・データサイエンス・AI教育プログラムに関して、履修者が他の学生にプログラムへの参加を推奨するようなことがあったかについては、それを立証する直接的なデータはなく、現時点では明らかでない。しかし、先述の授業評価アンケートの結果は、先輩学生がこれから履修をする学生や履修を検討している後輩学生に対して、当該プログラムへの参加を推奨する可能性を示唆するデータとしては、十分に活用し得るものであり、令和5年度以降の学生履修指導においても有効に活用したい。</t>
    <rPh sb="71" eb="73">
      <t>リッショウ</t>
    </rPh>
    <rPh sb="75" eb="78">
      <t>チョク</t>
    </rPh>
    <rPh sb="86" eb="89">
      <t>ゲンジテn</t>
    </rPh>
    <rPh sb="119" eb="123">
      <t>SENNPA</t>
    </rPh>
    <rPh sb="145" eb="147">
      <t>コウハイ</t>
    </rPh>
    <rPh sb="154" eb="156">
      <t>トウガイ</t>
    </rPh>
    <rPh sb="170" eb="173">
      <t>カノウ</t>
    </rPh>
    <rPh sb="174" eb="176">
      <t>シサ</t>
    </rPh>
    <rPh sb="186" eb="188">
      <t>ジュウブn</t>
    </rPh>
    <rPh sb="189" eb="191">
      <t>カテゥ</t>
    </rPh>
    <rPh sb="192" eb="193">
      <t>エル</t>
    </rPh>
    <rPh sb="200" eb="207">
      <t>レイワ</t>
    </rPh>
    <rPh sb="208" eb="214">
      <t>ガクセイ</t>
    </rPh>
    <rPh sb="219" eb="221">
      <t>ユウコウ</t>
    </rPh>
    <rPh sb="222" eb="224">
      <t>カツヨウ</t>
    </rPh>
    <phoneticPr fontId="1"/>
  </si>
  <si>
    <t>３学部５学科ある本学では、すべての学部・学科の学生が初年次の科目を履修した段階で、数理・データサイエンス・AI教育プログラム（リテラシーレベル）で学ぶべき内容・要素のすべてを一旦は網羅できるようになっている。更に、２年次以降では学部・学科の特性に合わせた内容の深化が図られ、専門分野での技術の活用についての具体例や手法等、学生の興味・関心に応じた内容を学ぶことができるようなプログラムになっている。授業後には、学生の満足度に関するアンケートを実施し授業評価を行っており、高い評価を得ている。</t>
    <phoneticPr fontId="1"/>
  </si>
  <si>
    <r>
      <t xml:space="preserve">１．学部・学科に関係なく学生全員が受講可能なカリキュラムとなっている。
</t>
    </r>
    <r>
      <rPr>
        <sz val="12"/>
        <rFont val="ＭＳ Ｐゴシック"/>
        <family val="2"/>
        <charset val="128"/>
      </rPr>
      <t>２．令和４年度より大学教育センターに数理・データサイエンス・AI教育部門を新設し、運営委員会の主導の下で同部門が以下の具体的な業務を担っている。</t>
    </r>
    <r>
      <rPr>
        <sz val="12"/>
        <color theme="1"/>
        <rFont val="ＭＳ Ｐゴシック"/>
        <family val="3"/>
        <charset val="128"/>
        <scheme val="minor"/>
      </rPr>
      <t xml:space="preserve">
１）学生全員の受講を前提としたカリキュラムならびにシラバスの点検と改善・充実を組織的・継続的に行っている。
２）部門メンバーに全学部学科の教員が参画することにより、各学部学科の特性やニーズに応じつつも、全学生に共通の教育内容を検討し、その改善・進化を持続的に行っている。
３．受講可能人数については、令和４年度からの入学者全員が本プログラムを履修する体制を整えている。100名を超えるような極端な大人数講義にならないよう、履修者を時間割ごとにクラス分けし、それに即した教室や担当教員の割り当てを行い、学生全員にプログラムで企図している教育水準を維持したカリキュラムを提供している。</t>
    </r>
    <rPh sb="73" eb="75">
      <t>シンセテゥ</t>
    </rPh>
    <rPh sb="83" eb="85">
      <t>シュドウ</t>
    </rPh>
    <rPh sb="86" eb="87">
      <t>シタ</t>
    </rPh>
    <rPh sb="88" eb="91">
      <t>ドウブモn</t>
    </rPh>
    <rPh sb="92" eb="94">
      <t>イカノ</t>
    </rPh>
    <rPh sb="95" eb="98">
      <t>グタイ</t>
    </rPh>
    <rPh sb="99" eb="101">
      <t xml:space="preserve">ギョウム </t>
    </rPh>
    <rPh sb="102" eb="103">
      <t>ニナッテ</t>
    </rPh>
    <rPh sb="145" eb="148">
      <t>ガクセイ</t>
    </rPh>
    <rPh sb="149" eb="155">
      <t>ジュコウ</t>
    </rPh>
    <rPh sb="156" eb="157">
      <t>ゼンテイ</t>
    </rPh>
    <rPh sb="165" eb="167">
      <t>ブモn</t>
    </rPh>
    <rPh sb="181" eb="183">
      <t>サンカ</t>
    </rPh>
    <rPh sb="210" eb="211">
      <t>スベテ</t>
    </rPh>
    <rPh sb="211" eb="213">
      <t>ガクセイ</t>
    </rPh>
    <rPh sb="214" eb="216">
      <t>キョウツウ</t>
    </rPh>
    <rPh sb="222" eb="224">
      <t>ケントウ</t>
    </rPh>
    <rPh sb="234" eb="237">
      <t>ジゾク</t>
    </rPh>
    <rPh sb="270" eb="272">
      <t>ゼンイn</t>
    </rPh>
    <rPh sb="359" eb="363">
      <t>ガクセイ</t>
    </rPh>
    <rPh sb="370" eb="372">
      <t xml:space="preserve">キト </t>
    </rPh>
    <rPh sb="376" eb="380">
      <t>キョウイク</t>
    </rPh>
    <rPh sb="381" eb="383">
      <t>イジ</t>
    </rPh>
    <rPh sb="392" eb="394">
      <t>テイキョウ</t>
    </rPh>
    <phoneticPr fontId="1"/>
  </si>
  <si>
    <t>本プログラムを統括する大学教育センターは、自己点検評価、学外の産業界有識者による点検、第三者評価を受審する体制をとっている。また、同センター内の数理・データサイエンス・AI教育部門では、当該分野の実務経験豊かな教員を部門メンバーとして参画させることにより、産業界からの視点に配慮した意見集約を可能としている。また、本プログラムを大学 WEB ページで周知することにより、企業等への幅広い認知を促進し、産業界からの視点を含めた意見を集約する体制を整えている。今後も、本プログラムの内容及び手法について幅広い意見を収集し、社会や時代にあったプログラムの改善を持続的に展開したい。</t>
    <rPh sb="31" eb="34">
      <t>サンギョウ</t>
    </rPh>
    <rPh sb="117" eb="119">
      <t>サンカクサセ</t>
    </rPh>
    <phoneticPr fontId="1"/>
  </si>
  <si>
    <t>①データサイエンスにおけるセキュリティ・プライバシーや、データサイエンスと情報セキュリティ、データサイエンスとプライバシー「データサイエンス応用」（14、15回目)　／　②情報セキュリティ「人工知能概論」（11回目）　／　③情報モラルや情報セキュリティ「情報リテラシーA」（2回目）　／　④情報セキュリティ（プログラムを作成するために収集したデータの保護）「プログラミング入門A」（12回目～15回目）　／　⑤情報セキュリティ（プログラムを作成するために収集したデータの保護）「プログラミング入門B」（14、15回目）　／　⑥ネットワーク上で収集したデータやアンケートデータ、分析データの保護「データリテラシー」（2～4回目、15回目）　／　⑦情報セキュリティや暗号化「ICT入門」（10、11回目）／　⑧データを守る上での留意事項「データ科学のための数理統計」（1回目）</t>
    <rPh sb="79" eb="81">
      <t>カイメ</t>
    </rPh>
    <rPh sb="105" eb="107">
      <t>カイメ</t>
    </rPh>
    <rPh sb="138" eb="140">
      <t>カイメ</t>
    </rPh>
    <rPh sb="145" eb="147">
      <t>ジョウホウ</t>
    </rPh>
    <rPh sb="175" eb="177">
      <t>ホゴ</t>
    </rPh>
    <rPh sb="193" eb="195">
      <t>カイメ</t>
    </rPh>
    <rPh sb="198" eb="200">
      <t>カイメ</t>
    </rPh>
    <rPh sb="205" eb="207">
      <t>ジョウホウ</t>
    </rPh>
    <rPh sb="235" eb="237">
      <t>ホゴ</t>
    </rPh>
    <rPh sb="256" eb="258">
      <t>カイメ</t>
    </rPh>
    <rPh sb="294" eb="296">
      <t>ホゴ</t>
    </rPh>
    <rPh sb="347" eb="349">
      <t>カイメ</t>
    </rPh>
    <rPh sb="357" eb="358">
      <t>マモルウ</t>
    </rPh>
    <rPh sb="362" eb="364">
      <t>リュウイ</t>
    </rPh>
    <rPh sb="364" eb="366">
      <t>ジコウ</t>
    </rPh>
    <phoneticPr fontId="1"/>
  </si>
  <si>
    <t>①データサイエンスにおけるセキュリティ・プライバシーや、データサイエンスと情報セキュリティ、データサイエンスとプライバシー「データサイエンス応用」（14、15回目)　／　②情報セキュリティ「人工知能概論」（11回目）　／　③情報モラルや情報セキュリティ「情報リテラシーA」（2回目）　／　④情報セキュリティ（プログラムを作成するために収集したデータの保護）「プログラミング入門A」（12回目～15回目）　／　⑤情報セキュリティ（プログラムを作成するために収集したデータの保護）「プログラミング入門B」（14、15回目）　／　⑥ネットワーク上で収集したデータやアンケートデータ、分析データの保護「データリテラシー」（2～4回目、15回目）　／　⑦情報セキュリティ（量的調査や質的調査、インタビュー調査で収集したデータの保護）「社会福祉調査の基礎」（2、3、5、6、10、13、14回目）／　⑧データを守る上での留意事項「データ科学のための数理統計」（1回目）</t>
    <rPh sb="322" eb="324">
      <t>ジョウホウ</t>
    </rPh>
    <rPh sb="358" eb="360">
      <t>ホゴ</t>
    </rPh>
    <rPh sb="389" eb="391">
      <t>カイメ</t>
    </rPh>
    <phoneticPr fontId="1"/>
  </si>
  <si>
    <t>①データサイエンスにおけるセキュリティ・プライバシーや、データサイエンスと情報セキュリティ、データサイエンスとプライバシー「データサイエンス応用」（14、15回目)　／　②情報セキュリティ「人工知能概論」（11回目）　／　③情報モラルや情報セキュリティ「情報リテラシーA」（2回目）　／　④情報セキュリティ（プログラムを作成するために収集したデータの保護）「プログラミング入門A」（12回目～15回目）　／　⑤情報セキュリティ（プログラムを作成するために収集したデータの保護）「プログラミング入門B」（14、15回目）　／　⑥ネットワーク上で収集したデータやアンケートデータ、分析データの保護「データリテラシー」（2～4回目、15回目）／　⑦データを守る上での留意事項「データ科学のための数理統計」（1回目）</t>
    <phoneticPr fontId="1"/>
  </si>
  <si>
    <t>①データの種類・所有者や、構造化データと非構造化データの違い、自動翻訳の仕組み「データサイエンス入門」（4、5回目）　／　②人事評価データや満足度調査データ、経済データ「データリテラシー」（2回目、11～15回目）　／③調査データ「データ科学のための数理統計」(1回目)</t>
    <rPh sb="55" eb="57">
      <t>カイメ</t>
    </rPh>
    <rPh sb="96" eb="98">
      <t>カイメ</t>
    </rPh>
    <rPh sb="104" eb="106">
      <t>カイメ</t>
    </rPh>
    <rPh sb="110" eb="112">
      <t>チョウサ</t>
    </rPh>
    <rPh sb="119" eb="121">
      <t>カガク</t>
    </rPh>
    <rPh sb="125" eb="127">
      <t>スウリ</t>
    </rPh>
    <rPh sb="127" eb="129">
      <t>トウケイ</t>
    </rPh>
    <rPh sb="132" eb="134">
      <t>カイメ</t>
    </rPh>
    <phoneticPr fontId="1"/>
  </si>
  <si>
    <t>①データの種類・所有者や、構造化データと非構造化データの違い、自動翻訳の仕組み「データサイエンス入門」（4、5回目）　／　②人事評価データや満足度調査データ、経済データ「データリテラシー」（2回目、11～15回目）　／　③調査データ「データ科学のための数理統計」(1回目)</t>
    <phoneticPr fontId="1"/>
  </si>
  <si>
    <t>①データの種類・所有者や、構造化データと非構造化データの違い、自動翻訳の仕組み「データサイエンス入門」（4、5回目）　／　②人事評価データや満足度調査データ、経済データ「データリテラシー」（2回目、11～15回目）　／　③調査データ「データ科学のための数理統計」(1回目)　／　④人口統計や保健統計調査などでのデータ「保健統計論Ⅰ」（2、5回目）</t>
    <phoneticPr fontId="1"/>
  </si>
  <si>
    <t>○大学教育センター運営委員会  　　　　　　　　　　　　　　　　　　　　　　　　　　　　　　　　　　　　　　　　　　　　　委員長(大学教育センター長) 川久保　和雄
 運営委員　　　　　　　　　　　　　　　　　　　　　　　　　　　　　　　　　　　　　　　　　　　　　　　　　　　　　　　　　　（運営委員会副委員長、大学教育センター数理・データサイエンス・AI教育部門長）古賀　一博
（大学教育センター初年次教育部門長・IR部門長）上村　崇　　　　　　　　　　　　　　　　　　　　　　　　　　（大学教育センター学修支援部門長・情報基盤センター運営委員会委員長）佐藤　真司　　　　　　　　　　　（経営学部経営学科長）江口　圭一　　　　　　　　　　　　　　　　　　　　　　　　　　　　　　　　　　　　　　　　　　（福祉健康学部福祉学科長）岡部　真智子　　　　　　　　　　　　　　　　　　　　　　　　　　　　　　　　　　　　　　（福祉健康学部こども学科長）三藤　恭弘　　　　　　　　　　　　　　　　　　　　　　　　　　　　　　　　　　　　　　　（福祉健康学部スポーツ健康科学科長・学生委員長）石橋　勇　　　　　　　　　　　　　　　　　　　　　　　　　　　　　　　　　（看護学部看護学科長）岡　和子　　　　　　　　　　　　　　　　　　　　　　　　　　　　　　　　　　　　　　　　　　　（大学教育センター）尾崎　誠　　　　　　　　　　　　　　　　　　　　　　　　　　　　　　　　　　　　　　　　　　　　　（教務委員長）中原　大介　　　　　　　　　</t>
    <rPh sb="78" eb="80">
      <t>ウンエイ</t>
    </rPh>
    <rPh sb="82" eb="87">
      <t>キョウイク</t>
    </rPh>
    <rPh sb="147" eb="152">
      <t>ウンエイ</t>
    </rPh>
    <rPh sb="152" eb="156">
      <t>フクイインチョウ</t>
    </rPh>
    <rPh sb="159" eb="161">
      <t>コガ</t>
    </rPh>
    <rPh sb="162" eb="164">
      <t>カズヒロ</t>
    </rPh>
    <rPh sb="165" eb="169">
      <t>ダイガクク</t>
    </rPh>
    <rPh sb="173" eb="175">
      <t>ショネn</t>
    </rPh>
    <rPh sb="175" eb="176">
      <t>ツギ</t>
    </rPh>
    <rPh sb="176" eb="181">
      <t>キョウ</t>
    </rPh>
    <rPh sb="185" eb="187">
      <t>コガ</t>
    </rPh>
    <rPh sb="188" eb="190">
      <t>カズヒロ</t>
    </rPh>
    <rPh sb="214" eb="218">
      <t>ダイガク</t>
    </rPh>
    <rPh sb="222" eb="226">
      <t>ガク</t>
    </rPh>
    <rPh sb="226" eb="229">
      <t>ブモn</t>
    </rPh>
    <rPh sb="230" eb="234">
      <t>ジョウホウ</t>
    </rPh>
    <rPh sb="238" eb="243">
      <t>ウンエイ</t>
    </rPh>
    <rPh sb="243" eb="246">
      <t>イインチョウ</t>
    </rPh>
    <rPh sb="247" eb="249">
      <t>サトウ</t>
    </rPh>
    <rPh sb="250" eb="252">
      <t xml:space="preserve">シンジ </t>
    </rPh>
    <rPh sb="264" eb="273">
      <t>ケイエイ</t>
    </rPh>
    <rPh sb="274" eb="276">
      <t>ホリコセィ</t>
    </rPh>
    <rPh sb="277" eb="278">
      <t>マサ</t>
    </rPh>
    <rPh sb="278" eb="279">
      <t>１</t>
    </rPh>
    <rPh sb="306" eb="308">
      <t>エグチ</t>
    </rPh>
    <rPh sb="309" eb="311">
      <t>ケイイ</t>
    </rPh>
    <rPh sb="334" eb="336">
      <t>オカベ</t>
    </rPh>
    <rPh sb="337" eb="340">
      <t xml:space="preserve">マチコ </t>
    </rPh>
    <rPh sb="379" eb="385">
      <t>フクセィ</t>
    </rPh>
    <rPh sb="388" eb="391">
      <t>ガッカ</t>
    </rPh>
    <rPh sb="392" eb="394">
      <t>ミトウ</t>
    </rPh>
    <rPh sb="395" eb="396">
      <t>キョウスケ</t>
    </rPh>
    <rPh sb="437" eb="443">
      <t>フクセィ</t>
    </rPh>
    <rPh sb="451" eb="453">
      <t xml:space="preserve">カ </t>
    </rPh>
    <rPh sb="454" eb="459">
      <t>ガクセイ</t>
    </rPh>
    <rPh sb="460" eb="462">
      <t>イシバセィ</t>
    </rPh>
    <rPh sb="463" eb="464">
      <t>イサム</t>
    </rPh>
    <rPh sb="498" eb="507">
      <t>カンゴ</t>
    </rPh>
    <rPh sb="508" eb="510">
      <t>タムラ</t>
    </rPh>
    <rPh sb="511" eb="513">
      <t>ヨシコ</t>
    </rPh>
    <rPh sb="540" eb="541">
      <t xml:space="preserve">オカ </t>
    </rPh>
    <rPh sb="542" eb="544">
      <t>カズコ</t>
    </rPh>
    <rPh sb="588" eb="592">
      <t>ダイガク</t>
    </rPh>
    <rPh sb="597" eb="599">
      <t>オザキ</t>
    </rPh>
    <rPh sb="600" eb="601">
      <t>マコト</t>
    </rPh>
    <rPh sb="615" eb="619">
      <t>キョウ</t>
    </rPh>
    <rPh sb="619" eb="620">
      <t>チョウ</t>
    </rPh>
    <rPh sb="621" eb="626">
      <t>ナカ</t>
    </rPh>
    <phoneticPr fontId="1"/>
  </si>
  <si>
    <t>（就職委員長）入澤　雅典
（事務局長・学務部長）吉留　義史
○数理・データサイエンス・AI教育部門
部門長　古賀　一博
部門委員
（数理・データサイエンス・AI教育科目担当教員）川久保　和雄
（数理・データサイエンス・AI教育科目担当教員）青木　麟太郎
（数理・データサイエンス・AI教育科目担当教員）細川　光浩
（数理・データサイエンス・AI教育科目担当教員）福井　正康
（数理・データサイエンス・AI教育科目担当教員、経営学部経営学科）佐藤　真司
（数理・データサイエンス・AI教育科目担当教員）尾崎　誠
（教務委員長）中原　大介
（一般教育委員長）渡辺　清美
（福祉健康学部福祉学科）杉本　浩章
（福祉健康学部こども学科）田中　宏和
（福祉健康学部健康スポーツ科学科）河野　洋
（看護学部看護学科）平川　幹子
（事務局長・学務部長）吉留　義史　
（教務課長）池本　大作　　　　　　　　　　　　　　　　　　　　</t>
    <phoneticPr fontId="1"/>
  </si>
  <si>
    <t>ＩＣＴ活用の理論と実践</t>
    <rPh sb="3" eb="5">
      <t>カツヨウ</t>
    </rPh>
    <rPh sb="6" eb="8">
      <t>リロン</t>
    </rPh>
    <rPh sb="9" eb="11">
      <t>ジッセン</t>
    </rPh>
    <phoneticPr fontId="1"/>
  </si>
  <si>
    <t>ＩＣＴ活用の理論と実践</t>
    <phoneticPr fontId="1"/>
  </si>
  <si>
    <t>健康スポーツ情報処理演習</t>
    <rPh sb="0" eb="2">
      <t>ケンコウ</t>
    </rPh>
    <rPh sb="6" eb="12">
      <t>ジョウホウショリエンシュウ</t>
    </rPh>
    <phoneticPr fontId="1"/>
  </si>
  <si>
    <t>身体運動解析学演習</t>
    <rPh sb="0" eb="9">
      <t>シンタイウンドウカイセキガクエンシュウ</t>
    </rPh>
    <phoneticPr fontId="1"/>
  </si>
  <si>
    <r>
      <t xml:space="preserve">【福祉健康学部共通のプログラムの学修成果】
①「データサイエンス入門」（データサイエンス・AIの仕組みを理解することができる。）　／　②「データサイエンス応用」（データの種類や、データ・AI利活用における留意事項を理解することができる。）　／　③「人工知能概論」（人工知能や画像解析の仕組みを理解することができる。）　／　④「情報リテラシーA」（情報モラルや情報セキュリティについて必要な知識を身につけることができる。）　／　⑤「情報リテラシーB」（実データを用いたデータの読み方・説明法・扱い方に必要な知識を身につけることができる。）　／　⑥「プログラミング入門A」、⑦「プログラミング入門B」（プログラムを作成するために収集したデータ利活用に必要な知識・留意事項を身につけることができる。）　／　⑧「データリテラシー」（物事を数値化して捉え、得られたデータから適切な結論を導き出すとともに、データを処理する考え方、データ・AIを扱う上での留意事項について説明することができる。）　／　⑨「データ科学のための数理統計」（PCを使った統計処理がどのようなものか理解し、基本的な分析処理をすることができる。）
【福祉学科のプログラムの学修成果】
「社会福祉調査の基礎」（社会調査の意義や統計的手法の概要、社会調査における倫理的配慮、個人情報の保護について理解することができる。）
【こども学科のプログラムの学修成果】
「ICT活用の理論と実践」（ICTを教育現場で利用することについて説明することができる。）
</t>
    </r>
    <r>
      <rPr>
        <sz val="12"/>
        <color rgb="FFFF0000"/>
        <rFont val="ＭＳ Ｐゴシック"/>
        <family val="3"/>
        <charset val="128"/>
        <scheme val="minor"/>
      </rPr>
      <t xml:space="preserve">
</t>
    </r>
    <r>
      <rPr>
        <sz val="12"/>
        <color theme="1"/>
        <rFont val="ＭＳ Ｐゴシック"/>
        <family val="3"/>
        <charset val="128"/>
        <scheme val="minor"/>
      </rPr>
      <t>【健康スポーツ科学科のプログラムの学修成果】
「健康スポーツ情報処理演習」（実データを用いたデータの読み方・説明法・扱い方に必要な知識を身につけることができる。）</t>
    </r>
    <rPh sb="517" eb="521">
      <t>ガクシュウセイカ</t>
    </rPh>
    <rPh sb="595" eb="597">
      <t>ガッカ</t>
    </rPh>
    <rPh sb="604" eb="608">
      <t>ガクシュウセイカ</t>
    </rPh>
    <rPh sb="658" eb="660">
      <t>ケンコウ</t>
    </rPh>
    <rPh sb="664" eb="667">
      <t>カガッカ</t>
    </rPh>
    <rPh sb="674" eb="678">
      <t>ガクシュウセイカ</t>
    </rPh>
    <phoneticPr fontId="1"/>
  </si>
  <si>
    <t>「数理・データサイエンス・AI教育プログラム（リテラシーレベル）」は、次の（１）及び（２）の要件を満たしていることを修了要件とする。なお、修了要件を満たした者を「数理・データサイエンス・AI教育プグラム（リテラシーレベル）」の修了者として大学が認定する。（１）一般教育科目である「データサイエンス入門」「情報リテラシーA」「情報リテラシーB」の単位及び福祉学科では学科専門科目である「社会福祉調査の基礎」、こども学科では学科専門科目である「ＩＣＴ活用の理論と実践」、健康スポーツ科学科では学科専門科目である「健康スポーツ情報処理演習」の単位を取得していること。（２）一般教育科目である「人工知能概論」、「データサイエンス応用」、「プログラミング入門A」、「プログラミング入門B」、「データ科学のための数理統計」、「データリテラシー」のうち、いずれか１科目の単位を取得していること。</t>
    <rPh sb="35" eb="36">
      <t>ツギ</t>
    </rPh>
    <rPh sb="40" eb="41">
      <t>オヨビ</t>
    </rPh>
    <rPh sb="46" eb="48">
      <t>ヨウケn</t>
    </rPh>
    <rPh sb="49" eb="50">
      <t>ミタ</t>
    </rPh>
    <rPh sb="130" eb="136">
      <t>イッパn</t>
    </rPh>
    <rPh sb="152" eb="154">
      <t>ジョウホウ</t>
    </rPh>
    <rPh sb="162" eb="164">
      <t>ジョウホウリテル</t>
    </rPh>
    <rPh sb="172" eb="174">
      <t>タンイヰ</t>
    </rPh>
    <rPh sb="174" eb="175">
      <t>オヨビ</t>
    </rPh>
    <rPh sb="176" eb="180">
      <t>フクシガッカ</t>
    </rPh>
    <rPh sb="182" eb="188">
      <t>ガッカス</t>
    </rPh>
    <rPh sb="192" eb="198">
      <t>シャカイ</t>
    </rPh>
    <rPh sb="199" eb="201">
      <t>キソ</t>
    </rPh>
    <rPh sb="206" eb="208">
      <t>ガッカ</t>
    </rPh>
    <rPh sb="210" eb="212">
      <t>ガッカ</t>
    </rPh>
    <rPh sb="212" eb="216">
      <t>センモンカモク</t>
    </rPh>
    <rPh sb="223" eb="225">
      <t>カツヨウ</t>
    </rPh>
    <rPh sb="226" eb="228">
      <t>リロン</t>
    </rPh>
    <rPh sb="229" eb="231">
      <t>ジッセン</t>
    </rPh>
    <rPh sb="233" eb="235">
      <t>ケンコウ</t>
    </rPh>
    <rPh sb="239" eb="242">
      <t>カガッカ</t>
    </rPh>
    <rPh sb="244" eb="246">
      <t>ガッカ</t>
    </rPh>
    <rPh sb="246" eb="248">
      <t>センモン</t>
    </rPh>
    <rPh sb="248" eb="250">
      <t>カモク</t>
    </rPh>
    <rPh sb="254" eb="256">
      <t>ケンコウ</t>
    </rPh>
    <rPh sb="260" eb="266">
      <t>ジョウホウショリエンシュウ</t>
    </rPh>
    <rPh sb="268" eb="270">
      <t>タンイ</t>
    </rPh>
    <rPh sb="271" eb="273">
      <t>シュトク</t>
    </rPh>
    <rPh sb="283" eb="289">
      <t>イッパn</t>
    </rPh>
    <rPh sb="293" eb="295">
      <t>ジンコウ</t>
    </rPh>
    <rPh sb="295" eb="297">
      <t>チノウ</t>
    </rPh>
    <rPh sb="297" eb="299">
      <t>ガイロn</t>
    </rPh>
    <rPh sb="310" eb="312">
      <t>オウヨウ</t>
    </rPh>
    <rPh sb="322" eb="324">
      <t>ニュウモn</t>
    </rPh>
    <rPh sb="335" eb="337">
      <t>ニュウモn</t>
    </rPh>
    <rPh sb="350" eb="354">
      <t>スウリ</t>
    </rPh>
    <rPh sb="378" eb="380">
      <t>タンイ</t>
    </rPh>
    <rPh sb="381" eb="383">
      <t>シュトク</t>
    </rPh>
    <phoneticPr fontId="1"/>
  </si>
  <si>
    <t>福祉健康学部福祉学科
福祉健康学部こども学科
福祉健康学部健康スポーツ科学科</t>
    <rPh sb="0" eb="6">
      <t>フクシケンコウガクブ</t>
    </rPh>
    <rPh sb="6" eb="8">
      <t>フクシ</t>
    </rPh>
    <rPh sb="8" eb="10">
      <t>ガッカ</t>
    </rPh>
    <rPh sb="11" eb="17">
      <t>フクシケンコウガクブ</t>
    </rPh>
    <rPh sb="20" eb="22">
      <t>ガッカ</t>
    </rPh>
    <rPh sb="23" eb="29">
      <t>フクシケンコウガクブ</t>
    </rPh>
    <rPh sb="29" eb="31">
      <t>ケンコウ</t>
    </rPh>
    <rPh sb="35" eb="38">
      <t>カガッカ</t>
    </rPh>
    <phoneticPr fontId="1"/>
  </si>
  <si>
    <t>様式１-3</t>
    <rPh sb="0" eb="2">
      <t>ヨウシキ</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</si>
</sst>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name val="ＭＳ Ｐゴシック"/>
      <family val="2"/>
      <charset val="128"/>
    </font>
    <font>
      <sz val="12"/>
      <color theme="1"/>
      <name val="ＭＳ Ｐゴシック"/>
      <family val="2"/>
      <charset val="128"/>
    </font>
    <font>
      <sz val="12"/>
      <color rgb="FFFF000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6">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2" fillId="0" borderId="1" xfId="0" applyFont="1" applyBorder="1" applyAlignment="1">
      <alignment horizontal="left" vertical="center"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7" xfId="0" applyFont="1" applyBorder="1">
      <alignment vertical="center"/>
    </xf>
    <xf numFmtId="0" fontId="2" fillId="0" borderId="11" xfId="0" applyFont="1" applyBorder="1">
      <alignment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vertical="center" wrapTex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22" xfId="0" applyFont="1" applyBorder="1" applyAlignment="1">
      <alignment horizontal="left" vertical="center" wrapText="1" shrinkToFit="1"/>
    </xf>
    <xf numFmtId="0" fontId="2" fillId="0" borderId="21" xfId="0" applyFont="1" applyBorder="1" applyAlignment="1">
      <alignment horizontal="left" vertical="center" wrapText="1" shrinkToFit="1"/>
    </xf>
    <xf numFmtId="0" fontId="2" fillId="0" borderId="36" xfId="0" applyFont="1" applyBorder="1" applyAlignment="1">
      <alignment horizontal="left" vertical="center" wrapText="1" shrinkToFit="1"/>
    </xf>
    <xf numFmtId="0" fontId="2" fillId="0" borderId="35" xfId="0" applyFont="1" applyBorder="1" applyAlignment="1">
      <alignment horizontal="left" vertical="center" wrapText="1" shrinkToFit="1"/>
    </xf>
    <xf numFmtId="0" fontId="2" fillId="0" borderId="6" xfId="0" applyFont="1" applyBorder="1" applyAlignment="1">
      <alignment horizontal="left" vertical="center" wrapText="1" shrinkToFit="1"/>
    </xf>
    <xf numFmtId="0" fontId="2" fillId="0" borderId="12" xfId="0" applyFont="1" applyBorder="1" applyAlignment="1">
      <alignment horizontal="left" vertical="center" wrapText="1" shrinkToFit="1"/>
    </xf>
    <xf numFmtId="0" fontId="2" fillId="0" borderId="38" xfId="0" applyFont="1" applyBorder="1" applyAlignment="1">
      <alignment horizontal="left" vertical="center" wrapText="1" shrinkToFit="1"/>
    </xf>
    <xf numFmtId="0" fontId="2" fillId="0" borderId="39" xfId="0" applyFont="1" applyBorder="1" applyAlignment="1">
      <alignment horizontal="left" vertical="center" wrapText="1" shrinkToFit="1"/>
    </xf>
    <xf numFmtId="0" fontId="2" fillId="0" borderId="19" xfId="0" applyFont="1" applyBorder="1" applyAlignment="1">
      <alignment vertical="center" wrapText="1" shrinkToFit="1"/>
    </xf>
    <xf numFmtId="0" fontId="2" fillId="0" borderId="20" xfId="0" applyFont="1" applyBorder="1" applyAlignment="1">
      <alignment vertical="center" wrapText="1" shrinkToFit="1"/>
    </xf>
    <xf numFmtId="0" fontId="2" fillId="0" borderId="18" xfId="0" applyFont="1" applyBorder="1" applyAlignment="1">
      <alignment vertical="center" wrapText="1" shrinkToFit="1"/>
    </xf>
    <xf numFmtId="0" fontId="3" fillId="0" borderId="45" xfId="0" applyFont="1" applyBorder="1" applyAlignment="1">
      <alignment vertical="center" wrapText="1"/>
    </xf>
    <xf numFmtId="0" fontId="3" fillId="0" borderId="46" xfId="0" applyFont="1" applyBorder="1" applyAlignment="1">
      <alignment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31" xfId="0" applyFont="1" applyBorder="1" applyAlignment="1">
      <alignment vertical="center" wrapText="1"/>
    </xf>
    <xf numFmtId="0" fontId="2" fillId="0" borderId="36" xfId="0" applyFont="1" applyBorder="1" applyAlignment="1">
      <alignment vertical="center" wrapText="1" shrinkToFit="1"/>
    </xf>
    <xf numFmtId="0" fontId="2" fillId="0" borderId="35" xfId="0" applyFont="1" applyBorder="1" applyAlignment="1">
      <alignment vertical="center" wrapText="1" shrinkToFit="1"/>
    </xf>
    <xf numFmtId="0" fontId="2" fillId="0" borderId="6" xfId="0" applyFont="1" applyBorder="1" applyAlignment="1">
      <alignment vertical="center" wrapText="1" shrinkToFit="1"/>
    </xf>
    <xf numFmtId="0" fontId="2" fillId="0" borderId="12" xfId="0" applyFont="1" applyBorder="1" applyAlignment="1">
      <alignment vertical="center" wrapText="1" shrinkToFit="1"/>
    </xf>
    <xf numFmtId="0" fontId="2" fillId="0" borderId="8" xfId="0" applyFont="1" applyBorder="1" applyAlignment="1">
      <alignment horizontal="left" vertical="center" wrapText="1" shrinkToFit="1"/>
    </xf>
    <xf numFmtId="0" fontId="2" fillId="0" borderId="9" xfId="0" applyFont="1" applyBorder="1" applyAlignment="1">
      <alignment horizontal="left" vertical="center" wrapText="1"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0" xfId="0" applyFont="1" applyAlignment="1">
      <alignment horizontal="left" vertical="top" shrinkToFit="1"/>
    </xf>
    <xf numFmtId="0" fontId="2" fillId="0" borderId="10" xfId="0" applyFont="1" applyBorder="1" applyAlignment="1">
      <alignment horizontal="left" vertical="top"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3" xfId="0" applyFont="1" applyBorder="1" applyAlignment="1">
      <alignment horizontal="center"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xf numFmtId="0" fontId="2" fillId="0" borderId="19" xfId="0" applyFont="1" applyBorder="1" applyAlignment="1">
      <alignment vertical="top" wrapText="1" shrinkToFit="1"/>
    </xf>
    <xf numFmtId="0" fontId="11" fillId="0" borderId="19" xfId="0" applyFont="1" applyBorder="1" applyAlignment="1">
      <alignment vertical="top" wrapText="1" shrinkToFit="1"/>
    </xf>
    <xf numFmtId="0" fontId="2" fillId="0" borderId="37"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cellXfs>
  <cellStyles count="3">
    <cellStyle name="パーセント" xfId="1" builtinId="5"/>
    <cellStyle name="桁区切り" xfId="2" builtinId="6"/>
    <cellStyle name="標準" xfId="0" builtinId="0"/>
  </cellStyles>
  <dxfs count="3">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10"/>
  <sheetViews>
    <sheetView showZeros="0" view="pageBreakPreview" zoomScale="150" zoomScaleNormal="100" zoomScaleSheetLayoutView="150" workbookViewId="0">
      <selection activeCell="E71" sqref="E71"/>
    </sheetView>
  </sheetViews>
  <sheetFormatPr defaultColWidth="9" defaultRowHeight="18.75" customHeight="1" x14ac:dyDescent="0.15"/>
  <cols>
    <col min="1" max="1" width="3.87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06" t="s">
        <v>157</v>
      </c>
      <c r="S1" s="106"/>
      <c r="T1" s="2" t="s">
        <v>109</v>
      </c>
    </row>
    <row r="2" spans="1:22" ht="18.75" customHeight="1" x14ac:dyDescent="0.15">
      <c r="B2" s="34" t="s">
        <v>108</v>
      </c>
      <c r="C2" s="99" t="s">
        <v>126</v>
      </c>
      <c r="D2" s="100"/>
      <c r="E2" s="100"/>
      <c r="F2" s="100"/>
      <c r="G2" s="100"/>
      <c r="H2" s="100"/>
      <c r="I2" s="101"/>
      <c r="J2" s="35"/>
      <c r="K2" s="6"/>
      <c r="L2" s="6"/>
      <c r="M2" s="6"/>
      <c r="N2" s="6"/>
      <c r="O2" s="6"/>
      <c r="P2" s="6"/>
      <c r="Q2" s="6"/>
      <c r="R2" s="6"/>
      <c r="S2" s="6"/>
    </row>
    <row r="3" spans="1:22" ht="29.1" customHeight="1" x14ac:dyDescent="0.15">
      <c r="B3" s="34" t="s">
        <v>102</v>
      </c>
      <c r="C3" s="110" t="s">
        <v>144</v>
      </c>
      <c r="D3" s="111"/>
      <c r="E3" s="111"/>
      <c r="F3" s="111"/>
      <c r="G3" s="111"/>
      <c r="H3" s="111"/>
      <c r="I3" s="112"/>
      <c r="J3" s="35"/>
      <c r="K3" s="6"/>
      <c r="L3" s="6"/>
      <c r="M3" s="6"/>
      <c r="N3" s="6"/>
      <c r="O3" s="6"/>
      <c r="P3" s="6"/>
      <c r="Q3" s="6"/>
      <c r="R3" s="6"/>
      <c r="S3" s="6"/>
    </row>
    <row r="4" spans="1:22" ht="15" customHeight="1" x14ac:dyDescent="0.15">
      <c r="K4" s="35"/>
      <c r="L4" s="36"/>
      <c r="M4" s="36"/>
      <c r="N4" s="36"/>
      <c r="O4" s="36"/>
      <c r="P4" s="36"/>
      <c r="Q4" s="36"/>
      <c r="R4" s="36"/>
      <c r="S4" s="36"/>
    </row>
    <row r="5" spans="1:22" ht="18" customHeight="1" x14ac:dyDescent="0.15">
      <c r="A5" s="113" t="s">
        <v>38</v>
      </c>
      <c r="B5" s="113"/>
      <c r="C5" s="113"/>
      <c r="D5" s="113"/>
      <c r="E5" s="113"/>
      <c r="F5" s="113"/>
      <c r="G5" s="113"/>
      <c r="H5" s="113"/>
      <c r="I5" s="113"/>
      <c r="J5" s="113"/>
      <c r="K5" s="113"/>
      <c r="L5" s="113"/>
      <c r="M5" s="113"/>
      <c r="N5" s="113"/>
      <c r="O5" s="113"/>
      <c r="P5" s="113"/>
      <c r="Q5" s="113"/>
      <c r="R5" s="113"/>
      <c r="S5" s="113"/>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124</v>
      </c>
      <c r="C7" s="3"/>
      <c r="J7" s="37" t="s">
        <v>107</v>
      </c>
      <c r="K7" s="123" t="s">
        <v>127</v>
      </c>
      <c r="L7" s="124"/>
      <c r="M7" s="124"/>
      <c r="N7" s="124"/>
      <c r="O7" s="124"/>
      <c r="P7" s="124"/>
      <c r="Q7" s="124"/>
      <c r="R7" s="124"/>
      <c r="S7" s="125"/>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87" t="s">
        <v>128</v>
      </c>
      <c r="C9" s="88"/>
      <c r="D9" s="88"/>
      <c r="E9" s="88"/>
      <c r="F9" s="88"/>
      <c r="G9" s="88"/>
      <c r="H9" s="88"/>
      <c r="I9" s="88"/>
      <c r="J9" s="88"/>
      <c r="K9" s="88"/>
      <c r="L9" s="88"/>
      <c r="M9" s="88"/>
      <c r="N9" s="88"/>
      <c r="O9" s="88"/>
      <c r="P9" s="88"/>
      <c r="Q9" s="88"/>
      <c r="R9" s="88"/>
      <c r="S9" s="89"/>
    </row>
    <row r="10" spans="1:22" ht="18" customHeight="1" x14ac:dyDescent="0.15">
      <c r="B10" s="90"/>
      <c r="C10" s="91"/>
      <c r="D10" s="91"/>
      <c r="E10" s="91"/>
      <c r="F10" s="91"/>
      <c r="G10" s="91"/>
      <c r="H10" s="91"/>
      <c r="I10" s="91"/>
      <c r="J10" s="91"/>
      <c r="K10" s="91"/>
      <c r="L10" s="91"/>
      <c r="M10" s="91"/>
      <c r="N10" s="91"/>
      <c r="O10" s="91"/>
      <c r="P10" s="91"/>
      <c r="Q10" s="91"/>
      <c r="R10" s="91"/>
      <c r="S10" s="92"/>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111</v>
      </c>
      <c r="B12" s="3"/>
      <c r="C12" s="3"/>
      <c r="D12" s="35"/>
      <c r="E12" s="35"/>
      <c r="F12" s="35"/>
      <c r="G12" s="35"/>
      <c r="H12" s="35"/>
      <c r="I12" s="35"/>
      <c r="J12" s="35"/>
      <c r="K12" s="38"/>
      <c r="L12" s="38"/>
      <c r="M12" s="38"/>
      <c r="N12" s="38"/>
      <c r="O12" s="38"/>
      <c r="P12" s="38"/>
      <c r="Q12" s="38"/>
      <c r="R12" s="38"/>
      <c r="S12" s="38"/>
    </row>
    <row r="13" spans="1:22" ht="18" customHeight="1" x14ac:dyDescent="0.15">
      <c r="B13" s="114" t="s">
        <v>129</v>
      </c>
      <c r="C13" s="115"/>
      <c r="D13" s="115"/>
      <c r="E13" s="115"/>
      <c r="F13" s="115"/>
      <c r="G13" s="115"/>
      <c r="H13" s="115"/>
      <c r="I13" s="115"/>
      <c r="J13" s="115"/>
      <c r="K13" s="115"/>
      <c r="L13" s="115"/>
      <c r="M13" s="115"/>
      <c r="N13" s="115"/>
      <c r="O13" s="115"/>
      <c r="P13" s="115"/>
      <c r="Q13" s="115"/>
      <c r="R13" s="115"/>
      <c r="S13" s="116"/>
      <c r="V13" s="1" t="s">
        <v>103</v>
      </c>
    </row>
    <row r="14" spans="1:22" ht="18" customHeight="1" x14ac:dyDescent="0.15">
      <c r="B14" s="117"/>
      <c r="C14" s="118"/>
      <c r="D14" s="118"/>
      <c r="E14" s="118"/>
      <c r="F14" s="118"/>
      <c r="G14" s="118"/>
      <c r="H14" s="118"/>
      <c r="I14" s="118"/>
      <c r="J14" s="118"/>
      <c r="K14" s="118"/>
      <c r="L14" s="118"/>
      <c r="M14" s="118"/>
      <c r="N14" s="118"/>
      <c r="O14" s="118"/>
      <c r="P14" s="118"/>
      <c r="Q14" s="118"/>
      <c r="R14" s="118"/>
      <c r="S14" s="119"/>
      <c r="V14" s="1" t="s">
        <v>110</v>
      </c>
    </row>
    <row r="15" spans="1:22" ht="18" customHeight="1" x14ac:dyDescent="0.15">
      <c r="B15" s="117"/>
      <c r="C15" s="118"/>
      <c r="D15" s="118"/>
      <c r="E15" s="118"/>
      <c r="F15" s="118"/>
      <c r="G15" s="118"/>
      <c r="H15" s="118"/>
      <c r="I15" s="118"/>
      <c r="J15" s="118"/>
      <c r="K15" s="118"/>
      <c r="L15" s="118"/>
      <c r="M15" s="118"/>
      <c r="N15" s="118"/>
      <c r="O15" s="118"/>
      <c r="P15" s="118"/>
      <c r="Q15" s="118"/>
      <c r="R15" s="118"/>
      <c r="S15" s="119"/>
      <c r="V15" s="1" t="s">
        <v>123</v>
      </c>
    </row>
    <row r="16" spans="1:22" ht="18" customHeight="1" x14ac:dyDescent="0.15">
      <c r="B16" s="117"/>
      <c r="C16" s="118"/>
      <c r="D16" s="118"/>
      <c r="E16" s="118"/>
      <c r="F16" s="118"/>
      <c r="G16" s="118"/>
      <c r="H16" s="118"/>
      <c r="I16" s="118"/>
      <c r="J16" s="118"/>
      <c r="K16" s="118"/>
      <c r="L16" s="118"/>
      <c r="M16" s="118"/>
      <c r="N16" s="118"/>
      <c r="O16" s="118"/>
      <c r="P16" s="118"/>
      <c r="Q16" s="118"/>
      <c r="R16" s="118"/>
      <c r="S16" s="119"/>
      <c r="V16" s="1" t="s">
        <v>125</v>
      </c>
    </row>
    <row r="17" spans="1:19" ht="18" customHeight="1" x14ac:dyDescent="0.15">
      <c r="B17" s="117"/>
      <c r="C17" s="118"/>
      <c r="D17" s="118"/>
      <c r="E17" s="118"/>
      <c r="F17" s="118"/>
      <c r="G17" s="118"/>
      <c r="H17" s="118"/>
      <c r="I17" s="118"/>
      <c r="J17" s="118"/>
      <c r="K17" s="118"/>
      <c r="L17" s="118"/>
      <c r="M17" s="118"/>
      <c r="N17" s="118"/>
      <c r="O17" s="118"/>
      <c r="P17" s="118"/>
      <c r="Q17" s="118"/>
      <c r="R17" s="118"/>
      <c r="S17" s="119"/>
    </row>
    <row r="18" spans="1:19" ht="18" customHeight="1" x14ac:dyDescent="0.15">
      <c r="B18" s="120"/>
      <c r="C18" s="121"/>
      <c r="D18" s="121"/>
      <c r="E18" s="121"/>
      <c r="F18" s="121"/>
      <c r="G18" s="121"/>
      <c r="H18" s="121"/>
      <c r="I18" s="121"/>
      <c r="J18" s="121"/>
      <c r="K18" s="121"/>
      <c r="L18" s="121"/>
      <c r="M18" s="121"/>
      <c r="N18" s="121"/>
      <c r="O18" s="121"/>
      <c r="P18" s="121"/>
      <c r="Q18" s="121"/>
      <c r="R18" s="121"/>
      <c r="S18" s="122"/>
    </row>
    <row r="19" spans="1:19" ht="7.5" customHeight="1" x14ac:dyDescent="0.15">
      <c r="B19" s="3"/>
      <c r="C19" s="3"/>
      <c r="D19" s="3"/>
      <c r="E19" s="3"/>
      <c r="F19" s="3"/>
      <c r="G19" s="3"/>
      <c r="H19" s="3"/>
      <c r="I19" s="3"/>
      <c r="J19" s="3"/>
      <c r="K19" s="3"/>
      <c r="L19" s="3"/>
      <c r="M19" s="3"/>
      <c r="N19" s="3"/>
      <c r="O19" s="3"/>
      <c r="P19" s="3"/>
      <c r="Q19" s="3"/>
      <c r="R19" s="3"/>
      <c r="S19" s="3"/>
    </row>
    <row r="20" spans="1:19" ht="20.100000000000001" customHeight="1" x14ac:dyDescent="0.15">
      <c r="B20" s="1" t="s">
        <v>112</v>
      </c>
      <c r="C20" s="99">
        <v>8</v>
      </c>
      <c r="D20" s="101"/>
      <c r="E20" s="39" t="s">
        <v>95</v>
      </c>
      <c r="G20" s="10"/>
      <c r="H20" s="3"/>
      <c r="I20" s="3"/>
      <c r="J20" s="35" t="s">
        <v>121</v>
      </c>
      <c r="K20" s="107" t="s">
        <v>110</v>
      </c>
      <c r="L20" s="108"/>
      <c r="M20" s="108"/>
      <c r="N20" s="108"/>
      <c r="O20" s="108"/>
      <c r="P20" s="108"/>
      <c r="Q20" s="108"/>
      <c r="R20" s="108"/>
      <c r="S20" s="109"/>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102" t="s">
        <v>113</v>
      </c>
      <c r="B22" s="102"/>
      <c r="C22" s="102"/>
      <c r="D22" s="102"/>
      <c r="E22" s="102"/>
      <c r="F22" s="102"/>
      <c r="G22" s="102"/>
      <c r="H22" s="102"/>
      <c r="I22" s="102"/>
      <c r="J22" s="102"/>
      <c r="K22" s="102"/>
      <c r="L22" s="102"/>
      <c r="M22" s="102"/>
      <c r="N22" s="102"/>
      <c r="O22" s="102"/>
      <c r="P22" s="102"/>
      <c r="Q22" s="102"/>
      <c r="R22" s="102"/>
      <c r="S22" s="102"/>
    </row>
    <row r="23" spans="1:19" ht="18" customHeight="1" x14ac:dyDescent="0.15">
      <c r="A23" s="102"/>
      <c r="B23" s="102"/>
      <c r="C23" s="102"/>
      <c r="D23" s="102"/>
      <c r="E23" s="102"/>
      <c r="F23" s="102"/>
      <c r="G23" s="102"/>
      <c r="H23" s="102"/>
      <c r="I23" s="102"/>
      <c r="J23" s="102"/>
      <c r="K23" s="102"/>
      <c r="L23" s="102"/>
      <c r="M23" s="102"/>
      <c r="N23" s="102"/>
      <c r="O23" s="102"/>
      <c r="P23" s="102"/>
      <c r="Q23" s="102"/>
      <c r="R23" s="102"/>
      <c r="S23" s="102"/>
    </row>
    <row r="24" spans="1:19" ht="18" customHeight="1" x14ac:dyDescent="0.15">
      <c r="B24" s="99" t="s">
        <v>53</v>
      </c>
      <c r="C24" s="100"/>
      <c r="D24" s="100"/>
      <c r="E24" s="101"/>
      <c r="F24" s="60" t="s">
        <v>80</v>
      </c>
      <c r="G24" s="59" t="s">
        <v>84</v>
      </c>
      <c r="H24" s="22" t="s">
        <v>56</v>
      </c>
      <c r="I24" s="22" t="s">
        <v>59</v>
      </c>
      <c r="J24" s="99" t="s">
        <v>53</v>
      </c>
      <c r="K24" s="100"/>
      <c r="L24" s="100"/>
      <c r="M24" s="100"/>
      <c r="N24" s="100"/>
      <c r="O24" s="101"/>
      <c r="P24" s="60" t="s">
        <v>80</v>
      </c>
      <c r="Q24" s="59" t="s">
        <v>84</v>
      </c>
      <c r="R24" s="22" t="s">
        <v>56</v>
      </c>
      <c r="S24" s="22" t="s">
        <v>59</v>
      </c>
    </row>
    <row r="25" spans="1:19" ht="18" customHeight="1" x14ac:dyDescent="0.15">
      <c r="B25" s="103" t="s">
        <v>130</v>
      </c>
      <c r="C25" s="104"/>
      <c r="D25" s="104"/>
      <c r="E25" s="105"/>
      <c r="F25" s="23">
        <v>2</v>
      </c>
      <c r="G25" s="23" t="s">
        <v>133</v>
      </c>
      <c r="H25" s="23" t="s">
        <v>133</v>
      </c>
      <c r="I25" s="23" t="s">
        <v>133</v>
      </c>
      <c r="J25" s="103"/>
      <c r="K25" s="104"/>
      <c r="L25" s="104"/>
      <c r="M25" s="104"/>
      <c r="N25" s="104"/>
      <c r="O25" s="105"/>
      <c r="P25" s="23"/>
      <c r="Q25" s="23"/>
      <c r="R25" s="23"/>
      <c r="S25" s="23"/>
    </row>
    <row r="26" spans="1:19" ht="18" customHeight="1" x14ac:dyDescent="0.15">
      <c r="B26" s="93" t="s">
        <v>131</v>
      </c>
      <c r="C26" s="94"/>
      <c r="D26" s="94"/>
      <c r="E26" s="95"/>
      <c r="F26" s="24">
        <v>2</v>
      </c>
      <c r="G26" s="24" t="s">
        <v>133</v>
      </c>
      <c r="H26" s="24" t="s">
        <v>133</v>
      </c>
      <c r="I26" s="24"/>
      <c r="J26" s="93"/>
      <c r="K26" s="94"/>
      <c r="L26" s="94"/>
      <c r="M26" s="94"/>
      <c r="N26" s="94"/>
      <c r="O26" s="95"/>
      <c r="P26" s="24"/>
      <c r="Q26" s="24"/>
      <c r="R26" s="24"/>
      <c r="S26" s="24"/>
    </row>
    <row r="27" spans="1:19" ht="18" customHeight="1" x14ac:dyDescent="0.15">
      <c r="B27" s="93"/>
      <c r="C27" s="94"/>
      <c r="D27" s="94"/>
      <c r="E27" s="95"/>
      <c r="F27" s="24"/>
      <c r="G27" s="24"/>
      <c r="H27" s="24"/>
      <c r="I27" s="24"/>
      <c r="J27" s="93"/>
      <c r="K27" s="94"/>
      <c r="L27" s="94"/>
      <c r="M27" s="94"/>
      <c r="N27" s="94"/>
      <c r="O27" s="95"/>
      <c r="P27" s="24"/>
      <c r="Q27" s="24"/>
      <c r="R27" s="24"/>
      <c r="S27" s="24"/>
    </row>
    <row r="28" spans="1:19" ht="18" customHeight="1" x14ac:dyDescent="0.15">
      <c r="B28" s="93"/>
      <c r="C28" s="94"/>
      <c r="D28" s="94"/>
      <c r="E28" s="95"/>
      <c r="F28" s="24"/>
      <c r="G28" s="24"/>
      <c r="H28" s="24"/>
      <c r="I28" s="24"/>
      <c r="J28" s="93"/>
      <c r="K28" s="94"/>
      <c r="L28" s="94"/>
      <c r="M28" s="94"/>
      <c r="N28" s="94"/>
      <c r="O28" s="95"/>
      <c r="P28" s="24"/>
      <c r="Q28" s="24"/>
      <c r="R28" s="24"/>
      <c r="S28" s="24"/>
    </row>
    <row r="29" spans="1:19" ht="18" customHeight="1" x14ac:dyDescent="0.15">
      <c r="B29" s="93"/>
      <c r="C29" s="94"/>
      <c r="D29" s="94"/>
      <c r="E29" s="95"/>
      <c r="F29" s="24"/>
      <c r="G29" s="24"/>
      <c r="H29" s="24"/>
      <c r="I29" s="24"/>
      <c r="J29" s="93"/>
      <c r="K29" s="94"/>
      <c r="L29" s="94"/>
      <c r="M29" s="94"/>
      <c r="N29" s="94"/>
      <c r="O29" s="95"/>
      <c r="P29" s="24"/>
      <c r="Q29" s="24"/>
      <c r="R29" s="24"/>
      <c r="S29" s="24"/>
    </row>
    <row r="30" spans="1:19" ht="18" customHeight="1" x14ac:dyDescent="0.15">
      <c r="A30" s="3"/>
      <c r="B30" s="93"/>
      <c r="C30" s="94"/>
      <c r="D30" s="94"/>
      <c r="E30" s="95"/>
      <c r="F30" s="24"/>
      <c r="G30" s="24"/>
      <c r="H30" s="24"/>
      <c r="I30" s="24"/>
      <c r="J30" s="93"/>
      <c r="K30" s="94"/>
      <c r="L30" s="94"/>
      <c r="M30" s="94"/>
      <c r="N30" s="94"/>
      <c r="O30" s="95"/>
      <c r="P30" s="24"/>
      <c r="Q30" s="24"/>
      <c r="R30" s="24"/>
      <c r="S30" s="24"/>
    </row>
    <row r="31" spans="1:19" ht="18" customHeight="1" x14ac:dyDescent="0.15">
      <c r="A31" s="3"/>
      <c r="B31" s="96"/>
      <c r="C31" s="97"/>
      <c r="D31" s="97"/>
      <c r="E31" s="98"/>
      <c r="F31" s="25"/>
      <c r="G31" s="25"/>
      <c r="H31" s="26"/>
      <c r="I31" s="26"/>
      <c r="J31" s="96"/>
      <c r="K31" s="97"/>
      <c r="L31" s="97"/>
      <c r="M31" s="97"/>
      <c r="N31" s="97"/>
      <c r="O31" s="98"/>
      <c r="P31" s="25"/>
      <c r="Q31" s="25"/>
      <c r="R31" s="26"/>
      <c r="S31" s="26"/>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102" t="s">
        <v>114</v>
      </c>
      <c r="B33" s="102"/>
      <c r="C33" s="102"/>
      <c r="D33" s="102"/>
      <c r="E33" s="102"/>
      <c r="F33" s="102"/>
      <c r="G33" s="102"/>
      <c r="H33" s="102"/>
      <c r="I33" s="102"/>
      <c r="J33" s="102"/>
      <c r="K33" s="102"/>
      <c r="L33" s="102"/>
      <c r="M33" s="102"/>
      <c r="N33" s="102"/>
      <c r="O33" s="102"/>
      <c r="P33" s="102"/>
      <c r="Q33" s="102"/>
      <c r="R33" s="102"/>
      <c r="S33" s="102"/>
    </row>
    <row r="34" spans="1:19" ht="18" customHeight="1" x14ac:dyDescent="0.15">
      <c r="A34" s="102"/>
      <c r="B34" s="102"/>
      <c r="C34" s="102"/>
      <c r="D34" s="102"/>
      <c r="E34" s="102"/>
      <c r="F34" s="102"/>
      <c r="G34" s="102"/>
      <c r="H34" s="102"/>
      <c r="I34" s="102"/>
      <c r="J34" s="102"/>
      <c r="K34" s="102"/>
      <c r="L34" s="102"/>
      <c r="M34" s="102"/>
      <c r="N34" s="102"/>
      <c r="O34" s="102"/>
      <c r="P34" s="102"/>
      <c r="Q34" s="102"/>
      <c r="R34" s="102"/>
      <c r="S34" s="102"/>
    </row>
    <row r="35" spans="1:19" ht="18" customHeight="1" x14ac:dyDescent="0.15">
      <c r="B35" s="99" t="s">
        <v>53</v>
      </c>
      <c r="C35" s="100"/>
      <c r="D35" s="100"/>
      <c r="E35" s="101"/>
      <c r="F35" s="60" t="s">
        <v>80</v>
      </c>
      <c r="G35" s="59" t="s">
        <v>84</v>
      </c>
      <c r="H35" s="22" t="s">
        <v>71</v>
      </c>
      <c r="I35" s="22" t="s">
        <v>72</v>
      </c>
      <c r="J35" s="99" t="s">
        <v>53</v>
      </c>
      <c r="K35" s="100"/>
      <c r="L35" s="100"/>
      <c r="M35" s="100"/>
      <c r="N35" s="100"/>
      <c r="O35" s="101"/>
      <c r="P35" s="60" t="s">
        <v>80</v>
      </c>
      <c r="Q35" s="59" t="s">
        <v>84</v>
      </c>
      <c r="R35" s="22" t="s">
        <v>71</v>
      </c>
      <c r="S35" s="22" t="s">
        <v>72</v>
      </c>
    </row>
    <row r="36" spans="1:19" ht="18" customHeight="1" x14ac:dyDescent="0.15">
      <c r="B36" s="103" t="s">
        <v>130</v>
      </c>
      <c r="C36" s="104"/>
      <c r="D36" s="104"/>
      <c r="E36" s="105"/>
      <c r="F36" s="23">
        <v>2</v>
      </c>
      <c r="G36" s="23" t="s">
        <v>133</v>
      </c>
      <c r="H36" s="23" t="s">
        <v>133</v>
      </c>
      <c r="I36" s="23" t="s">
        <v>133</v>
      </c>
      <c r="J36" s="103"/>
      <c r="K36" s="104"/>
      <c r="L36" s="104"/>
      <c r="M36" s="104"/>
      <c r="N36" s="104"/>
      <c r="O36" s="105"/>
      <c r="P36" s="23"/>
      <c r="Q36" s="23"/>
      <c r="R36" s="23"/>
      <c r="S36" s="23"/>
    </row>
    <row r="37" spans="1:19" ht="18" customHeight="1" x14ac:dyDescent="0.15">
      <c r="B37" s="93" t="s">
        <v>134</v>
      </c>
      <c r="C37" s="94"/>
      <c r="D37" s="94"/>
      <c r="E37" s="95"/>
      <c r="F37" s="24">
        <v>2</v>
      </c>
      <c r="G37" s="24"/>
      <c r="H37" s="24" t="s">
        <v>133</v>
      </c>
      <c r="I37" s="24" t="s">
        <v>133</v>
      </c>
      <c r="J37" s="93"/>
      <c r="K37" s="94"/>
      <c r="L37" s="94"/>
      <c r="M37" s="94"/>
      <c r="N37" s="94"/>
      <c r="O37" s="95"/>
      <c r="P37" s="24"/>
      <c r="Q37" s="24"/>
      <c r="R37" s="24"/>
      <c r="S37" s="24"/>
    </row>
    <row r="38" spans="1:19" ht="18" customHeight="1" x14ac:dyDescent="0.15">
      <c r="B38" s="93" t="s">
        <v>131</v>
      </c>
      <c r="C38" s="94"/>
      <c r="D38" s="94"/>
      <c r="E38" s="95"/>
      <c r="F38" s="24">
        <v>2</v>
      </c>
      <c r="G38" s="24" t="s">
        <v>133</v>
      </c>
      <c r="H38" s="24"/>
      <c r="I38" s="24" t="s">
        <v>133</v>
      </c>
      <c r="J38" s="93"/>
      <c r="K38" s="94"/>
      <c r="L38" s="94"/>
      <c r="M38" s="94"/>
      <c r="N38" s="94"/>
      <c r="O38" s="95"/>
      <c r="P38" s="24"/>
      <c r="Q38" s="24"/>
      <c r="R38" s="24"/>
      <c r="S38" s="24"/>
    </row>
    <row r="39" spans="1:19" ht="18" customHeight="1" x14ac:dyDescent="0.15">
      <c r="B39" s="93" t="s">
        <v>163</v>
      </c>
      <c r="C39" s="94"/>
      <c r="D39" s="94"/>
      <c r="E39" s="95"/>
      <c r="F39" s="24">
        <v>2</v>
      </c>
      <c r="G39" s="24"/>
      <c r="H39" s="24" t="s">
        <v>133</v>
      </c>
      <c r="I39" s="24" t="s">
        <v>133</v>
      </c>
      <c r="J39" s="93"/>
      <c r="K39" s="94"/>
      <c r="L39" s="94"/>
      <c r="M39" s="94"/>
      <c r="N39" s="94"/>
      <c r="O39" s="95"/>
      <c r="P39" s="24"/>
      <c r="Q39" s="24"/>
      <c r="R39" s="24"/>
      <c r="S39" s="24"/>
    </row>
    <row r="40" spans="1:19" ht="18" customHeight="1" x14ac:dyDescent="0.15">
      <c r="B40" s="93"/>
      <c r="C40" s="94"/>
      <c r="D40" s="94"/>
      <c r="E40" s="95"/>
      <c r="F40" s="24"/>
      <c r="G40" s="24"/>
      <c r="H40" s="24"/>
      <c r="I40" s="24"/>
      <c r="J40" s="93"/>
      <c r="K40" s="94"/>
      <c r="L40" s="94"/>
      <c r="M40" s="94"/>
      <c r="N40" s="94"/>
      <c r="O40" s="95"/>
      <c r="P40" s="24"/>
      <c r="Q40" s="24"/>
      <c r="R40" s="24"/>
      <c r="S40" s="24"/>
    </row>
    <row r="41" spans="1:19" ht="18" customHeight="1" x14ac:dyDescent="0.15">
      <c r="B41" s="93"/>
      <c r="C41" s="94"/>
      <c r="D41" s="94"/>
      <c r="E41" s="95"/>
      <c r="F41" s="24"/>
      <c r="G41" s="24"/>
      <c r="H41" s="24"/>
      <c r="I41" s="24"/>
      <c r="J41" s="93"/>
      <c r="K41" s="94"/>
      <c r="L41" s="94"/>
      <c r="M41" s="94"/>
      <c r="N41" s="94"/>
      <c r="O41" s="95"/>
      <c r="P41" s="24"/>
      <c r="Q41" s="24"/>
      <c r="R41" s="24"/>
      <c r="S41" s="24"/>
    </row>
    <row r="42" spans="1:19" ht="18" customHeight="1" x14ac:dyDescent="0.15">
      <c r="B42" s="96"/>
      <c r="C42" s="97"/>
      <c r="D42" s="97"/>
      <c r="E42" s="98"/>
      <c r="F42" s="25"/>
      <c r="G42" s="25"/>
      <c r="H42" s="26"/>
      <c r="I42" s="26"/>
      <c r="J42" s="96"/>
      <c r="K42" s="97"/>
      <c r="L42" s="97"/>
      <c r="M42" s="97"/>
      <c r="N42" s="97"/>
      <c r="O42" s="98"/>
      <c r="P42" s="25"/>
      <c r="Q42" s="25"/>
      <c r="R42" s="26"/>
      <c r="S42" s="26"/>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102" t="s">
        <v>115</v>
      </c>
      <c r="B44" s="102"/>
      <c r="C44" s="102"/>
      <c r="D44" s="102"/>
      <c r="E44" s="102"/>
      <c r="F44" s="102"/>
      <c r="G44" s="102"/>
      <c r="H44" s="102"/>
      <c r="I44" s="102"/>
      <c r="J44" s="102"/>
      <c r="K44" s="102"/>
      <c r="L44" s="102"/>
      <c r="M44" s="102"/>
      <c r="N44" s="102"/>
      <c r="O44" s="102"/>
      <c r="P44" s="102"/>
      <c r="Q44" s="102"/>
      <c r="R44" s="102"/>
      <c r="S44" s="102"/>
    </row>
    <row r="45" spans="1:19" ht="18" customHeight="1" x14ac:dyDescent="0.15">
      <c r="A45" s="102"/>
      <c r="B45" s="102"/>
      <c r="C45" s="102"/>
      <c r="D45" s="102"/>
      <c r="E45" s="102"/>
      <c r="F45" s="102"/>
      <c r="G45" s="102"/>
      <c r="H45" s="102"/>
      <c r="I45" s="102"/>
      <c r="J45" s="102"/>
      <c r="K45" s="102"/>
      <c r="L45" s="102"/>
      <c r="M45" s="102"/>
      <c r="N45" s="102"/>
      <c r="O45" s="102"/>
      <c r="P45" s="102"/>
      <c r="Q45" s="102"/>
      <c r="R45" s="102"/>
      <c r="S45" s="102"/>
    </row>
    <row r="46" spans="1:19" ht="18" customHeight="1" x14ac:dyDescent="0.15">
      <c r="B46" s="99" t="s">
        <v>53</v>
      </c>
      <c r="C46" s="100"/>
      <c r="D46" s="100"/>
      <c r="E46" s="101"/>
      <c r="F46" s="60" t="s">
        <v>80</v>
      </c>
      <c r="G46" s="59" t="s">
        <v>84</v>
      </c>
      <c r="H46" s="22" t="s">
        <v>73</v>
      </c>
      <c r="I46" s="22" t="s">
        <v>74</v>
      </c>
      <c r="J46" s="99" t="s">
        <v>53</v>
      </c>
      <c r="K46" s="100"/>
      <c r="L46" s="100"/>
      <c r="M46" s="100"/>
      <c r="N46" s="100"/>
      <c r="O46" s="101"/>
      <c r="P46" s="60" t="s">
        <v>80</v>
      </c>
      <c r="Q46" s="59" t="s">
        <v>84</v>
      </c>
      <c r="R46" s="22" t="s">
        <v>73</v>
      </c>
      <c r="S46" s="22" t="s">
        <v>74</v>
      </c>
    </row>
    <row r="47" spans="1:19" ht="18" customHeight="1" x14ac:dyDescent="0.15">
      <c r="A47" s="3"/>
      <c r="B47" s="103" t="s">
        <v>130</v>
      </c>
      <c r="C47" s="104"/>
      <c r="D47" s="104"/>
      <c r="E47" s="105"/>
      <c r="F47" s="23">
        <v>2</v>
      </c>
      <c r="G47" s="23" t="s">
        <v>133</v>
      </c>
      <c r="H47" s="23" t="s">
        <v>133</v>
      </c>
      <c r="I47" s="23" t="s">
        <v>133</v>
      </c>
      <c r="J47" s="103"/>
      <c r="K47" s="104"/>
      <c r="L47" s="104"/>
      <c r="M47" s="104"/>
      <c r="N47" s="104"/>
      <c r="O47" s="105"/>
      <c r="P47" s="23"/>
      <c r="Q47" s="23"/>
      <c r="R47" s="23"/>
      <c r="S47" s="23"/>
    </row>
    <row r="48" spans="1:19" ht="18" customHeight="1" x14ac:dyDescent="0.15">
      <c r="A48" s="3"/>
      <c r="B48" s="93" t="s">
        <v>131</v>
      </c>
      <c r="C48" s="94"/>
      <c r="D48" s="94"/>
      <c r="E48" s="95"/>
      <c r="F48" s="24">
        <v>2</v>
      </c>
      <c r="G48" s="24" t="s">
        <v>133</v>
      </c>
      <c r="H48" s="24"/>
      <c r="I48" s="24" t="s">
        <v>133</v>
      </c>
      <c r="J48" s="93"/>
      <c r="K48" s="94"/>
      <c r="L48" s="94"/>
      <c r="M48" s="94"/>
      <c r="N48" s="94"/>
      <c r="O48" s="95"/>
      <c r="P48" s="24"/>
      <c r="Q48" s="24"/>
      <c r="R48" s="24"/>
      <c r="S48" s="24"/>
    </row>
    <row r="49" spans="1:19" ht="18" customHeight="1" x14ac:dyDescent="0.15">
      <c r="A49" s="3"/>
      <c r="B49" s="93"/>
      <c r="C49" s="94"/>
      <c r="D49" s="94"/>
      <c r="E49" s="95"/>
      <c r="F49" s="24"/>
      <c r="G49" s="24"/>
      <c r="H49" s="24"/>
      <c r="I49" s="24"/>
      <c r="J49" s="93"/>
      <c r="K49" s="94"/>
      <c r="L49" s="94"/>
      <c r="M49" s="94"/>
      <c r="N49" s="94"/>
      <c r="O49" s="95"/>
      <c r="P49" s="24"/>
      <c r="Q49" s="24"/>
      <c r="R49" s="24"/>
      <c r="S49" s="24"/>
    </row>
    <row r="50" spans="1:19" ht="18" customHeight="1" x14ac:dyDescent="0.15">
      <c r="A50" s="3"/>
      <c r="B50" s="93"/>
      <c r="C50" s="94"/>
      <c r="D50" s="94"/>
      <c r="E50" s="95"/>
      <c r="F50" s="24"/>
      <c r="G50" s="24"/>
      <c r="H50" s="24"/>
      <c r="I50" s="24"/>
      <c r="J50" s="93"/>
      <c r="K50" s="94"/>
      <c r="L50" s="94"/>
      <c r="M50" s="94"/>
      <c r="N50" s="94"/>
      <c r="O50" s="95"/>
      <c r="P50" s="24"/>
      <c r="Q50" s="24"/>
      <c r="R50" s="24"/>
      <c r="S50" s="24"/>
    </row>
    <row r="51" spans="1:19" ht="18" customHeight="1" x14ac:dyDescent="0.15">
      <c r="A51" s="3"/>
      <c r="B51" s="93"/>
      <c r="C51" s="94"/>
      <c r="D51" s="94"/>
      <c r="E51" s="95"/>
      <c r="F51" s="24"/>
      <c r="G51" s="24"/>
      <c r="H51" s="24"/>
      <c r="I51" s="24"/>
      <c r="J51" s="93"/>
      <c r="K51" s="94"/>
      <c r="L51" s="94"/>
      <c r="M51" s="94"/>
      <c r="N51" s="94"/>
      <c r="O51" s="95"/>
      <c r="P51" s="24"/>
      <c r="Q51" s="24"/>
      <c r="R51" s="24"/>
      <c r="S51" s="24"/>
    </row>
    <row r="52" spans="1:19" ht="18" customHeight="1" x14ac:dyDescent="0.15">
      <c r="A52" s="3"/>
      <c r="B52" s="93"/>
      <c r="C52" s="94"/>
      <c r="D52" s="94"/>
      <c r="E52" s="95"/>
      <c r="F52" s="24"/>
      <c r="G52" s="24"/>
      <c r="H52" s="24"/>
      <c r="I52" s="24"/>
      <c r="J52" s="93"/>
      <c r="K52" s="94"/>
      <c r="L52" s="94"/>
      <c r="M52" s="94"/>
      <c r="N52" s="94"/>
      <c r="O52" s="95"/>
      <c r="P52" s="24"/>
      <c r="Q52" s="24"/>
      <c r="R52" s="24"/>
      <c r="S52" s="24"/>
    </row>
    <row r="53" spans="1:19" ht="18" customHeight="1" x14ac:dyDescent="0.15">
      <c r="A53" s="3"/>
      <c r="B53" s="96"/>
      <c r="C53" s="97"/>
      <c r="D53" s="97"/>
      <c r="E53" s="98"/>
      <c r="F53" s="25"/>
      <c r="G53" s="25"/>
      <c r="H53" s="26"/>
      <c r="I53" s="26"/>
      <c r="J53" s="96"/>
      <c r="K53" s="97"/>
      <c r="L53" s="97"/>
      <c r="M53" s="97"/>
      <c r="N53" s="97"/>
      <c r="O53" s="98"/>
      <c r="P53" s="25"/>
      <c r="Q53" s="25"/>
      <c r="R53" s="26"/>
      <c r="S53" s="26"/>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102" t="s">
        <v>116</v>
      </c>
      <c r="B55" s="102"/>
      <c r="C55" s="102"/>
      <c r="D55" s="102"/>
      <c r="E55" s="102"/>
      <c r="F55" s="102"/>
      <c r="G55" s="102"/>
      <c r="H55" s="102"/>
      <c r="I55" s="102"/>
      <c r="J55" s="102"/>
      <c r="K55" s="102"/>
      <c r="L55" s="102"/>
      <c r="M55" s="102"/>
      <c r="N55" s="102"/>
      <c r="O55" s="102"/>
      <c r="P55" s="102"/>
      <c r="Q55" s="102"/>
      <c r="R55" s="102"/>
      <c r="S55" s="102"/>
    </row>
    <row r="56" spans="1:19" ht="18" customHeight="1" x14ac:dyDescent="0.15">
      <c r="A56" s="102"/>
      <c r="B56" s="102"/>
      <c r="C56" s="102"/>
      <c r="D56" s="102"/>
      <c r="E56" s="102"/>
      <c r="F56" s="102"/>
      <c r="G56" s="102"/>
      <c r="H56" s="102"/>
      <c r="I56" s="102"/>
      <c r="J56" s="102"/>
      <c r="K56" s="102"/>
      <c r="L56" s="102"/>
      <c r="M56" s="102"/>
      <c r="N56" s="102"/>
      <c r="O56" s="102"/>
      <c r="P56" s="102"/>
      <c r="Q56" s="102"/>
      <c r="R56" s="102"/>
      <c r="S56" s="102"/>
    </row>
    <row r="57" spans="1:19" ht="18" customHeight="1" x14ac:dyDescent="0.15">
      <c r="B57" s="99" t="s">
        <v>53</v>
      </c>
      <c r="C57" s="100"/>
      <c r="D57" s="100"/>
      <c r="E57" s="101"/>
      <c r="F57" s="60" t="s">
        <v>80</v>
      </c>
      <c r="G57" s="59" t="s">
        <v>84</v>
      </c>
      <c r="H57" s="22" t="s">
        <v>58</v>
      </c>
      <c r="I57" s="22" t="s">
        <v>60</v>
      </c>
      <c r="J57" s="99" t="s">
        <v>53</v>
      </c>
      <c r="K57" s="100"/>
      <c r="L57" s="100"/>
      <c r="M57" s="100"/>
      <c r="N57" s="100"/>
      <c r="O57" s="101"/>
      <c r="P57" s="60" t="s">
        <v>80</v>
      </c>
      <c r="Q57" s="59" t="s">
        <v>84</v>
      </c>
      <c r="R57" s="22" t="s">
        <v>58</v>
      </c>
      <c r="S57" s="22" t="s">
        <v>60</v>
      </c>
    </row>
    <row r="58" spans="1:19" ht="18" customHeight="1" x14ac:dyDescent="0.15">
      <c r="A58" s="3"/>
      <c r="B58" s="103" t="s">
        <v>135</v>
      </c>
      <c r="C58" s="104"/>
      <c r="D58" s="104"/>
      <c r="E58" s="105"/>
      <c r="F58" s="23">
        <v>2</v>
      </c>
      <c r="G58" s="23"/>
      <c r="H58" s="23" t="s">
        <v>133</v>
      </c>
      <c r="I58" s="23" t="s">
        <v>133</v>
      </c>
      <c r="J58" s="103" t="s">
        <v>164</v>
      </c>
      <c r="K58" s="104"/>
      <c r="L58" s="104"/>
      <c r="M58" s="104"/>
      <c r="N58" s="104"/>
      <c r="O58" s="105"/>
      <c r="P58" s="23">
        <v>2</v>
      </c>
      <c r="Q58" s="23"/>
      <c r="R58" s="23" t="s">
        <v>133</v>
      </c>
      <c r="S58" s="23" t="s">
        <v>133</v>
      </c>
    </row>
    <row r="59" spans="1:19" ht="18" customHeight="1" x14ac:dyDescent="0.15">
      <c r="A59" s="3"/>
      <c r="B59" s="93" t="s">
        <v>136</v>
      </c>
      <c r="C59" s="94"/>
      <c r="D59" s="94"/>
      <c r="E59" s="95"/>
      <c r="F59" s="24">
        <v>2</v>
      </c>
      <c r="G59" s="24"/>
      <c r="H59" s="24" t="s">
        <v>133</v>
      </c>
      <c r="I59" s="24" t="s">
        <v>133</v>
      </c>
      <c r="J59" s="93"/>
      <c r="K59" s="94"/>
      <c r="L59" s="94"/>
      <c r="M59" s="94"/>
      <c r="N59" s="94"/>
      <c r="O59" s="95"/>
      <c r="P59" s="24"/>
      <c r="Q59" s="24"/>
      <c r="R59" s="24"/>
      <c r="S59" s="24"/>
    </row>
    <row r="60" spans="1:19" ht="18" customHeight="1" x14ac:dyDescent="0.15">
      <c r="A60" s="3"/>
      <c r="B60" s="93" t="s">
        <v>137</v>
      </c>
      <c r="C60" s="94"/>
      <c r="D60" s="94"/>
      <c r="E60" s="95"/>
      <c r="F60" s="24">
        <v>1</v>
      </c>
      <c r="G60" s="24" t="s">
        <v>133</v>
      </c>
      <c r="H60" s="24" t="s">
        <v>133</v>
      </c>
      <c r="I60" s="24" t="s">
        <v>133</v>
      </c>
      <c r="J60" s="93"/>
      <c r="K60" s="94"/>
      <c r="L60" s="94"/>
      <c r="M60" s="94"/>
      <c r="N60" s="94"/>
      <c r="O60" s="95"/>
      <c r="P60" s="24"/>
      <c r="Q60" s="24"/>
      <c r="R60" s="24"/>
      <c r="S60" s="24"/>
    </row>
    <row r="61" spans="1:19" ht="18" customHeight="1" x14ac:dyDescent="0.15">
      <c r="A61" s="3"/>
      <c r="B61" s="93" t="s">
        <v>138</v>
      </c>
      <c r="C61" s="94"/>
      <c r="D61" s="94"/>
      <c r="E61" s="95"/>
      <c r="F61" s="24">
        <v>2</v>
      </c>
      <c r="G61" s="24"/>
      <c r="H61" s="24" t="s">
        <v>133</v>
      </c>
      <c r="I61" s="24" t="s">
        <v>133</v>
      </c>
      <c r="J61" s="93"/>
      <c r="K61" s="94"/>
      <c r="L61" s="94"/>
      <c r="M61" s="94"/>
      <c r="N61" s="94"/>
      <c r="O61" s="95"/>
      <c r="P61" s="24"/>
      <c r="Q61" s="24"/>
      <c r="R61" s="24"/>
      <c r="S61" s="24"/>
    </row>
    <row r="62" spans="1:19" ht="18" customHeight="1" x14ac:dyDescent="0.15">
      <c r="A62" s="3"/>
      <c r="B62" s="93" t="s">
        <v>139</v>
      </c>
      <c r="C62" s="94"/>
      <c r="D62" s="94"/>
      <c r="E62" s="95"/>
      <c r="F62" s="24">
        <v>2</v>
      </c>
      <c r="G62" s="24"/>
      <c r="H62" s="24" t="s">
        <v>133</v>
      </c>
      <c r="I62" s="24" t="s">
        <v>133</v>
      </c>
      <c r="J62" s="93"/>
      <c r="K62" s="94"/>
      <c r="L62" s="94"/>
      <c r="M62" s="94"/>
      <c r="N62" s="94"/>
      <c r="O62" s="95"/>
      <c r="P62" s="24"/>
      <c r="Q62" s="24"/>
      <c r="R62" s="24"/>
      <c r="S62" s="24"/>
    </row>
    <row r="63" spans="1:19" ht="18" customHeight="1" x14ac:dyDescent="0.15">
      <c r="A63" s="3"/>
      <c r="B63" s="93" t="s">
        <v>134</v>
      </c>
      <c r="C63" s="94"/>
      <c r="D63" s="94"/>
      <c r="E63" s="95"/>
      <c r="F63" s="24">
        <v>2</v>
      </c>
      <c r="G63" s="24"/>
      <c r="H63" s="24" t="s">
        <v>133</v>
      </c>
      <c r="I63" s="24" t="s">
        <v>133</v>
      </c>
      <c r="J63" s="93"/>
      <c r="K63" s="94"/>
      <c r="L63" s="94"/>
      <c r="M63" s="94"/>
      <c r="N63" s="94"/>
      <c r="O63" s="95"/>
      <c r="P63" s="24"/>
      <c r="Q63" s="24"/>
      <c r="R63" s="24"/>
      <c r="S63" s="24"/>
    </row>
    <row r="64" spans="1:19" ht="18" customHeight="1" x14ac:dyDescent="0.15">
      <c r="A64" s="3"/>
      <c r="B64" s="96" t="s">
        <v>131</v>
      </c>
      <c r="C64" s="97"/>
      <c r="D64" s="97"/>
      <c r="E64" s="98"/>
      <c r="F64" s="25">
        <v>2</v>
      </c>
      <c r="G64" s="25" t="s">
        <v>133</v>
      </c>
      <c r="H64" s="26" t="s">
        <v>133</v>
      </c>
      <c r="I64" s="26" t="s">
        <v>133</v>
      </c>
      <c r="J64" s="96"/>
      <c r="K64" s="97"/>
      <c r="L64" s="97"/>
      <c r="M64" s="97"/>
      <c r="N64" s="97"/>
      <c r="O64" s="98"/>
      <c r="P64" s="25"/>
      <c r="Q64" s="25"/>
      <c r="R64" s="26"/>
      <c r="S64" s="26"/>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102" t="s">
        <v>117</v>
      </c>
      <c r="B66" s="102"/>
      <c r="C66" s="102"/>
      <c r="D66" s="102"/>
      <c r="E66" s="102"/>
      <c r="F66" s="102"/>
      <c r="G66" s="102"/>
      <c r="H66" s="102"/>
      <c r="I66" s="102"/>
      <c r="J66" s="102"/>
      <c r="K66" s="102"/>
      <c r="L66" s="102"/>
      <c r="M66" s="102"/>
      <c r="N66" s="102"/>
      <c r="O66" s="102"/>
      <c r="P66" s="102"/>
      <c r="Q66" s="102"/>
      <c r="R66" s="102"/>
      <c r="S66" s="102"/>
    </row>
    <row r="67" spans="1:19" ht="18" customHeight="1" x14ac:dyDescent="0.15">
      <c r="A67" s="102"/>
      <c r="B67" s="102"/>
      <c r="C67" s="102"/>
      <c r="D67" s="102"/>
      <c r="E67" s="102"/>
      <c r="F67" s="102"/>
      <c r="G67" s="102"/>
      <c r="H67" s="102"/>
      <c r="I67" s="102"/>
      <c r="J67" s="102"/>
      <c r="K67" s="102"/>
      <c r="L67" s="102"/>
      <c r="M67" s="102"/>
      <c r="N67" s="102"/>
      <c r="O67" s="102"/>
      <c r="P67" s="102"/>
      <c r="Q67" s="102"/>
      <c r="R67" s="102"/>
      <c r="S67" s="102"/>
    </row>
    <row r="68" spans="1:19" ht="18" customHeight="1" x14ac:dyDescent="0.15">
      <c r="B68" s="99" t="s">
        <v>53</v>
      </c>
      <c r="C68" s="100"/>
      <c r="D68" s="100"/>
      <c r="E68" s="60" t="s">
        <v>80</v>
      </c>
      <c r="F68" s="59" t="s">
        <v>84</v>
      </c>
      <c r="G68" s="22" t="s">
        <v>101</v>
      </c>
      <c r="H68" s="22" t="s">
        <v>75</v>
      </c>
      <c r="I68" s="22" t="s">
        <v>76</v>
      </c>
      <c r="J68" s="99" t="s">
        <v>53</v>
      </c>
      <c r="K68" s="100"/>
      <c r="L68" s="100"/>
      <c r="M68" s="100"/>
      <c r="N68" s="101"/>
      <c r="O68" s="60" t="s">
        <v>80</v>
      </c>
      <c r="P68" s="59" t="s">
        <v>84</v>
      </c>
      <c r="Q68" s="22" t="s">
        <v>101</v>
      </c>
      <c r="R68" s="22" t="s">
        <v>75</v>
      </c>
      <c r="S68" s="22" t="s">
        <v>76</v>
      </c>
    </row>
    <row r="69" spans="1:19" ht="18" customHeight="1" x14ac:dyDescent="0.15">
      <c r="A69" s="3"/>
      <c r="B69" s="103" t="s">
        <v>135</v>
      </c>
      <c r="C69" s="104"/>
      <c r="D69" s="104"/>
      <c r="E69" s="23">
        <v>2</v>
      </c>
      <c r="F69" s="23"/>
      <c r="G69" s="23" t="s">
        <v>133</v>
      </c>
      <c r="H69" s="23" t="s">
        <v>133</v>
      </c>
      <c r="I69" s="23" t="s">
        <v>133</v>
      </c>
      <c r="J69" s="103"/>
      <c r="K69" s="104"/>
      <c r="L69" s="104"/>
      <c r="M69" s="104"/>
      <c r="N69" s="105"/>
      <c r="O69" s="23"/>
      <c r="P69" s="23"/>
      <c r="Q69" s="23"/>
      <c r="R69" s="23"/>
      <c r="S69" s="23"/>
    </row>
    <row r="70" spans="1:19" ht="18" customHeight="1" x14ac:dyDescent="0.15">
      <c r="A70" s="3"/>
      <c r="B70" s="93" t="s">
        <v>136</v>
      </c>
      <c r="C70" s="94"/>
      <c r="D70" s="94"/>
      <c r="E70" s="24">
        <v>2</v>
      </c>
      <c r="F70" s="24"/>
      <c r="G70" s="24" t="s">
        <v>133</v>
      </c>
      <c r="H70" s="24" t="s">
        <v>133</v>
      </c>
      <c r="I70" s="24" t="s">
        <v>133</v>
      </c>
      <c r="J70" s="93"/>
      <c r="K70" s="94"/>
      <c r="L70" s="94"/>
      <c r="M70" s="94"/>
      <c r="N70" s="95"/>
      <c r="O70" s="24"/>
      <c r="P70" s="24"/>
      <c r="Q70" s="24"/>
      <c r="R70" s="24"/>
      <c r="S70" s="24"/>
    </row>
    <row r="71" spans="1:19" ht="18" customHeight="1" x14ac:dyDescent="0.15">
      <c r="A71" s="3"/>
      <c r="B71" s="93" t="s">
        <v>140</v>
      </c>
      <c r="C71" s="94"/>
      <c r="D71" s="94"/>
      <c r="E71" s="24">
        <v>1</v>
      </c>
      <c r="F71" s="24" t="s">
        <v>133</v>
      </c>
      <c r="G71" s="24" t="s">
        <v>133</v>
      </c>
      <c r="H71" s="24" t="s">
        <v>133</v>
      </c>
      <c r="I71" s="24" t="s">
        <v>133</v>
      </c>
      <c r="J71" s="93"/>
      <c r="K71" s="94"/>
      <c r="L71" s="94"/>
      <c r="M71" s="94"/>
      <c r="N71" s="95"/>
      <c r="O71" s="24"/>
      <c r="P71" s="24"/>
      <c r="Q71" s="24"/>
      <c r="R71" s="24"/>
      <c r="S71" s="24"/>
    </row>
    <row r="72" spans="1:19" ht="18" customHeight="1" x14ac:dyDescent="0.15">
      <c r="A72" s="3"/>
      <c r="B72" s="93" t="s">
        <v>138</v>
      </c>
      <c r="C72" s="94"/>
      <c r="D72" s="94"/>
      <c r="E72" s="24">
        <v>2</v>
      </c>
      <c r="F72" s="24"/>
      <c r="G72" s="24" t="s">
        <v>133</v>
      </c>
      <c r="H72" s="24" t="s">
        <v>133</v>
      </c>
      <c r="I72" s="24" t="s">
        <v>133</v>
      </c>
      <c r="J72" s="93"/>
      <c r="K72" s="94"/>
      <c r="L72" s="94"/>
      <c r="M72" s="94"/>
      <c r="N72" s="95"/>
      <c r="O72" s="24"/>
      <c r="P72" s="24"/>
      <c r="Q72" s="24"/>
      <c r="R72" s="24"/>
      <c r="S72" s="24"/>
    </row>
    <row r="73" spans="1:19" ht="18" customHeight="1" x14ac:dyDescent="0.15">
      <c r="A73" s="3"/>
      <c r="B73" s="93" t="s">
        <v>139</v>
      </c>
      <c r="C73" s="94"/>
      <c r="D73" s="94"/>
      <c r="E73" s="24">
        <v>2</v>
      </c>
      <c r="F73" s="24"/>
      <c r="G73" s="24" t="s">
        <v>133</v>
      </c>
      <c r="H73" s="24" t="s">
        <v>133</v>
      </c>
      <c r="I73" s="24" t="s">
        <v>133</v>
      </c>
      <c r="J73" s="93"/>
      <c r="K73" s="94"/>
      <c r="L73" s="94"/>
      <c r="M73" s="94"/>
      <c r="N73" s="95"/>
      <c r="O73" s="24"/>
      <c r="P73" s="24"/>
      <c r="Q73" s="24"/>
      <c r="R73" s="24"/>
      <c r="S73" s="24"/>
    </row>
    <row r="74" spans="1:19" ht="18" customHeight="1" x14ac:dyDescent="0.15">
      <c r="A74" s="3"/>
      <c r="B74" s="93" t="s">
        <v>134</v>
      </c>
      <c r="C74" s="94"/>
      <c r="D74" s="94"/>
      <c r="E74" s="24">
        <v>2</v>
      </c>
      <c r="F74" s="24"/>
      <c r="G74" s="24" t="s">
        <v>133</v>
      </c>
      <c r="H74" s="24" t="s">
        <v>133</v>
      </c>
      <c r="I74" s="24" t="s">
        <v>133</v>
      </c>
      <c r="J74" s="93"/>
      <c r="K74" s="94"/>
      <c r="L74" s="94"/>
      <c r="M74" s="94"/>
      <c r="N74" s="95"/>
      <c r="O74" s="24"/>
      <c r="P74" s="24"/>
      <c r="Q74" s="24"/>
      <c r="R74" s="24"/>
      <c r="S74" s="24"/>
    </row>
    <row r="75" spans="1:19" ht="18" customHeight="1" x14ac:dyDescent="0.15">
      <c r="A75" s="3"/>
      <c r="B75" s="96" t="s">
        <v>165</v>
      </c>
      <c r="C75" s="97"/>
      <c r="D75" s="97"/>
      <c r="E75" s="25">
        <v>2</v>
      </c>
      <c r="F75" s="25"/>
      <c r="G75" s="26" t="s">
        <v>133</v>
      </c>
      <c r="H75" s="26" t="s">
        <v>133</v>
      </c>
      <c r="I75" s="26" t="s">
        <v>133</v>
      </c>
      <c r="J75" s="96"/>
      <c r="K75" s="97"/>
      <c r="L75" s="97"/>
      <c r="M75" s="97"/>
      <c r="N75" s="98"/>
      <c r="O75" s="25"/>
      <c r="P75" s="25"/>
      <c r="Q75" s="26"/>
      <c r="R75" s="26"/>
      <c r="S75" s="26"/>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118</v>
      </c>
      <c r="H77" s="3"/>
      <c r="I77" s="3"/>
      <c r="J77" s="3"/>
      <c r="K77" s="3"/>
      <c r="L77" s="3"/>
      <c r="M77" s="3"/>
      <c r="N77" s="3"/>
      <c r="O77" s="3"/>
      <c r="P77" s="3"/>
      <c r="Q77" s="3"/>
      <c r="R77" s="3"/>
      <c r="S77" s="3"/>
    </row>
    <row r="78" spans="1:19" ht="18" customHeight="1" x14ac:dyDescent="0.15">
      <c r="B78" s="99" t="s">
        <v>53</v>
      </c>
      <c r="C78" s="100"/>
      <c r="D78" s="100"/>
      <c r="E78" s="101"/>
      <c r="F78" s="99" t="s">
        <v>82</v>
      </c>
      <c r="G78" s="100"/>
      <c r="H78" s="100"/>
      <c r="I78" s="101"/>
      <c r="J78" s="148" t="s">
        <v>53</v>
      </c>
      <c r="K78" s="149"/>
      <c r="L78" s="149"/>
      <c r="M78" s="149"/>
      <c r="N78" s="149"/>
      <c r="O78" s="150"/>
      <c r="P78" s="99" t="s">
        <v>82</v>
      </c>
      <c r="Q78" s="100"/>
      <c r="R78" s="100"/>
      <c r="S78" s="101"/>
    </row>
    <row r="79" spans="1:19" ht="18" customHeight="1" x14ac:dyDescent="0.15">
      <c r="A79" s="3"/>
      <c r="B79" s="103" t="s">
        <v>150</v>
      </c>
      <c r="C79" s="104"/>
      <c r="D79" s="104"/>
      <c r="E79" s="105"/>
      <c r="F79" s="160" t="s">
        <v>159</v>
      </c>
      <c r="G79" s="161"/>
      <c r="H79" s="161"/>
      <c r="I79" s="162"/>
      <c r="J79" s="103"/>
      <c r="K79" s="104"/>
      <c r="L79" s="104"/>
      <c r="M79" s="104"/>
      <c r="N79" s="104"/>
      <c r="O79" s="105"/>
      <c r="P79" s="160"/>
      <c r="Q79" s="161"/>
      <c r="R79" s="161"/>
      <c r="S79" s="162"/>
    </row>
    <row r="80" spans="1:19" ht="18" customHeight="1" x14ac:dyDescent="0.15">
      <c r="A80" s="3"/>
      <c r="B80" s="93" t="s">
        <v>151</v>
      </c>
      <c r="C80" s="94"/>
      <c r="D80" s="94"/>
      <c r="E80" s="95"/>
      <c r="F80" s="132" t="s">
        <v>159</v>
      </c>
      <c r="G80" s="133"/>
      <c r="H80" s="133"/>
      <c r="I80" s="134"/>
      <c r="J80" s="93"/>
      <c r="K80" s="94"/>
      <c r="L80" s="94"/>
      <c r="M80" s="94"/>
      <c r="N80" s="94"/>
      <c r="O80" s="95"/>
      <c r="P80" s="132"/>
      <c r="Q80" s="133"/>
      <c r="R80" s="133"/>
      <c r="S80" s="134"/>
    </row>
    <row r="81" spans="1:19" ht="18" customHeight="1" x14ac:dyDescent="0.15">
      <c r="A81" s="3"/>
      <c r="B81" s="93" t="s">
        <v>152</v>
      </c>
      <c r="C81" s="94"/>
      <c r="D81" s="94"/>
      <c r="E81" s="95"/>
      <c r="F81" s="132" t="s">
        <v>159</v>
      </c>
      <c r="G81" s="133"/>
      <c r="H81" s="133"/>
      <c r="I81" s="134"/>
      <c r="J81" s="93"/>
      <c r="K81" s="94"/>
      <c r="L81" s="94"/>
      <c r="M81" s="94"/>
      <c r="N81" s="94"/>
      <c r="O81" s="95"/>
      <c r="P81" s="132"/>
      <c r="Q81" s="133"/>
      <c r="R81" s="133"/>
      <c r="S81" s="134"/>
    </row>
    <row r="82" spans="1:19" ht="18" customHeight="1" x14ac:dyDescent="0.15">
      <c r="A82" s="3"/>
      <c r="B82" s="93" t="s">
        <v>153</v>
      </c>
      <c r="C82" s="94"/>
      <c r="D82" s="94"/>
      <c r="E82" s="95"/>
      <c r="F82" s="132" t="s">
        <v>159</v>
      </c>
      <c r="G82" s="133"/>
      <c r="H82" s="133"/>
      <c r="I82" s="134"/>
      <c r="J82" s="93"/>
      <c r="K82" s="94"/>
      <c r="L82" s="94"/>
      <c r="M82" s="94"/>
      <c r="N82" s="94"/>
      <c r="O82" s="95"/>
      <c r="P82" s="132"/>
      <c r="Q82" s="133"/>
      <c r="R82" s="133"/>
      <c r="S82" s="134"/>
    </row>
    <row r="83" spans="1:19" ht="18" customHeight="1" x14ac:dyDescent="0.15">
      <c r="A83" s="3"/>
      <c r="B83" s="93"/>
      <c r="C83" s="94"/>
      <c r="D83" s="94"/>
      <c r="E83" s="95"/>
      <c r="F83" s="132"/>
      <c r="G83" s="133"/>
      <c r="H83" s="133"/>
      <c r="I83" s="134"/>
      <c r="J83" s="93"/>
      <c r="K83" s="94"/>
      <c r="L83" s="94"/>
      <c r="M83" s="94"/>
      <c r="N83" s="94"/>
      <c r="O83" s="95"/>
      <c r="P83" s="132"/>
      <c r="Q83" s="133"/>
      <c r="R83" s="133"/>
      <c r="S83" s="134"/>
    </row>
    <row r="84" spans="1:19" ht="18" customHeight="1" x14ac:dyDescent="0.15">
      <c r="A84" s="3"/>
      <c r="B84" s="93"/>
      <c r="C84" s="94"/>
      <c r="D84" s="94"/>
      <c r="E84" s="95"/>
      <c r="F84" s="132"/>
      <c r="G84" s="133"/>
      <c r="H84" s="133"/>
      <c r="I84" s="134"/>
      <c r="J84" s="93"/>
      <c r="K84" s="94"/>
      <c r="L84" s="94"/>
      <c r="M84" s="94"/>
      <c r="N84" s="94"/>
      <c r="O84" s="95"/>
      <c r="P84" s="132"/>
      <c r="Q84" s="133"/>
      <c r="R84" s="133"/>
      <c r="S84" s="134"/>
    </row>
    <row r="85" spans="1:19" ht="18" customHeight="1" x14ac:dyDescent="0.15">
      <c r="A85" s="3"/>
      <c r="B85" s="96"/>
      <c r="C85" s="97"/>
      <c r="D85" s="97"/>
      <c r="E85" s="98"/>
      <c r="F85" s="129"/>
      <c r="G85" s="130"/>
      <c r="H85" s="130"/>
      <c r="I85" s="131"/>
      <c r="J85" s="96"/>
      <c r="K85" s="97"/>
      <c r="L85" s="97"/>
      <c r="M85" s="97"/>
      <c r="N85" s="97"/>
      <c r="O85" s="98"/>
      <c r="P85" s="129"/>
      <c r="Q85" s="130"/>
      <c r="R85" s="130"/>
      <c r="S85" s="131"/>
    </row>
    <row r="86" spans="1:19" ht="18" customHeight="1" x14ac:dyDescent="0.15">
      <c r="A86" s="3"/>
      <c r="B86" s="6"/>
      <c r="C86" s="6"/>
      <c r="D86" s="6"/>
      <c r="E86" s="6"/>
      <c r="F86" s="27"/>
      <c r="G86" s="27"/>
      <c r="H86" s="27"/>
      <c r="I86" s="27"/>
      <c r="J86" s="6"/>
      <c r="K86" s="6"/>
      <c r="L86" s="6"/>
      <c r="M86" s="6"/>
      <c r="N86" s="6"/>
      <c r="O86" s="6"/>
      <c r="P86" s="27"/>
      <c r="Q86" s="27"/>
      <c r="R86" s="27"/>
      <c r="S86" s="27"/>
    </row>
    <row r="87" spans="1:19" ht="18.75" customHeight="1" x14ac:dyDescent="0.15">
      <c r="A87" s="1" t="s">
        <v>119</v>
      </c>
    </row>
    <row r="88" spans="1:19" ht="18.75" customHeight="1" x14ac:dyDescent="0.15">
      <c r="B88" s="158" t="s">
        <v>54</v>
      </c>
      <c r="C88" s="159"/>
      <c r="D88" s="100" t="s">
        <v>55</v>
      </c>
      <c r="E88" s="100"/>
      <c r="F88" s="100"/>
      <c r="G88" s="100"/>
      <c r="H88" s="100"/>
      <c r="I88" s="100"/>
      <c r="J88" s="100"/>
      <c r="K88" s="100"/>
      <c r="L88" s="100"/>
      <c r="M88" s="100"/>
      <c r="N88" s="100"/>
      <c r="O88" s="100"/>
      <c r="P88" s="100"/>
      <c r="Q88" s="100"/>
      <c r="R88" s="100"/>
      <c r="S88" s="101"/>
    </row>
    <row r="89" spans="1:19" ht="97.5" customHeight="1" x14ac:dyDescent="0.15">
      <c r="B89" s="146" t="s">
        <v>61</v>
      </c>
      <c r="C89" s="28" t="s">
        <v>56</v>
      </c>
      <c r="D89" s="156" t="s">
        <v>166</v>
      </c>
      <c r="E89" s="156"/>
      <c r="F89" s="156"/>
      <c r="G89" s="156"/>
      <c r="H89" s="156"/>
      <c r="I89" s="156"/>
      <c r="J89" s="156"/>
      <c r="K89" s="156"/>
      <c r="L89" s="156"/>
      <c r="M89" s="156"/>
      <c r="N89" s="156"/>
      <c r="O89" s="156"/>
      <c r="P89" s="156"/>
      <c r="Q89" s="156"/>
      <c r="R89" s="156"/>
      <c r="S89" s="157"/>
    </row>
    <row r="90" spans="1:19" ht="97.5" customHeight="1" x14ac:dyDescent="0.15">
      <c r="B90" s="151"/>
      <c r="C90" s="29" t="s">
        <v>77</v>
      </c>
      <c r="D90" s="135" t="s">
        <v>168</v>
      </c>
      <c r="E90" s="135"/>
      <c r="F90" s="135"/>
      <c r="G90" s="135"/>
      <c r="H90" s="135"/>
      <c r="I90" s="135"/>
      <c r="J90" s="135"/>
      <c r="K90" s="135"/>
      <c r="L90" s="135"/>
      <c r="M90" s="135"/>
      <c r="N90" s="135"/>
      <c r="O90" s="135"/>
      <c r="P90" s="135"/>
      <c r="Q90" s="135"/>
      <c r="R90" s="135"/>
      <c r="S90" s="136"/>
    </row>
    <row r="91" spans="1:19" ht="97.5" customHeight="1" x14ac:dyDescent="0.15">
      <c r="B91" s="146" t="s">
        <v>62</v>
      </c>
      <c r="C91" s="30" t="s">
        <v>71</v>
      </c>
      <c r="D91" s="137" t="s">
        <v>215</v>
      </c>
      <c r="E91" s="137"/>
      <c r="F91" s="137"/>
      <c r="G91" s="137"/>
      <c r="H91" s="137"/>
      <c r="I91" s="137"/>
      <c r="J91" s="137"/>
      <c r="K91" s="137"/>
      <c r="L91" s="137"/>
      <c r="M91" s="137"/>
      <c r="N91" s="137"/>
      <c r="O91" s="137"/>
      <c r="P91" s="137"/>
      <c r="Q91" s="137"/>
      <c r="R91" s="137"/>
      <c r="S91" s="138"/>
    </row>
    <row r="92" spans="1:19" ht="97.5" customHeight="1" x14ac:dyDescent="0.15">
      <c r="B92" s="147"/>
      <c r="C92" s="31" t="s">
        <v>72</v>
      </c>
      <c r="D92" s="141" t="s">
        <v>169</v>
      </c>
      <c r="E92" s="141"/>
      <c r="F92" s="141"/>
      <c r="G92" s="141"/>
      <c r="H92" s="141"/>
      <c r="I92" s="141"/>
      <c r="J92" s="141"/>
      <c r="K92" s="141"/>
      <c r="L92" s="141"/>
      <c r="M92" s="141"/>
      <c r="N92" s="141"/>
      <c r="O92" s="141"/>
      <c r="P92" s="141"/>
      <c r="Q92" s="141"/>
      <c r="R92" s="141"/>
      <c r="S92" s="142"/>
    </row>
    <row r="93" spans="1:19" ht="97.5" customHeight="1" x14ac:dyDescent="0.15">
      <c r="B93" s="146" t="s">
        <v>63</v>
      </c>
      <c r="C93" s="30" t="s">
        <v>73</v>
      </c>
      <c r="D93" s="137" t="s">
        <v>171</v>
      </c>
      <c r="E93" s="137"/>
      <c r="F93" s="137"/>
      <c r="G93" s="137"/>
      <c r="H93" s="137"/>
      <c r="I93" s="137"/>
      <c r="J93" s="137"/>
      <c r="K93" s="137"/>
      <c r="L93" s="137"/>
      <c r="M93" s="137"/>
      <c r="N93" s="137"/>
      <c r="O93" s="137"/>
      <c r="P93" s="137"/>
      <c r="Q93" s="137"/>
      <c r="R93" s="137"/>
      <c r="S93" s="138"/>
    </row>
    <row r="94" spans="1:19" ht="97.5" customHeight="1" x14ac:dyDescent="0.15">
      <c r="B94" s="147"/>
      <c r="C94" s="32" t="s">
        <v>74</v>
      </c>
      <c r="D94" s="139" t="s">
        <v>181</v>
      </c>
      <c r="E94" s="139"/>
      <c r="F94" s="139"/>
      <c r="G94" s="139"/>
      <c r="H94" s="139"/>
      <c r="I94" s="139"/>
      <c r="J94" s="139"/>
      <c r="K94" s="139"/>
      <c r="L94" s="139"/>
      <c r="M94" s="139"/>
      <c r="N94" s="139"/>
      <c r="O94" s="139"/>
      <c r="P94" s="139"/>
      <c r="Q94" s="139"/>
      <c r="R94" s="139"/>
      <c r="S94" s="140"/>
    </row>
    <row r="95" spans="1:19" ht="179.1" customHeight="1" x14ac:dyDescent="0.15">
      <c r="B95" s="146" t="s">
        <v>78</v>
      </c>
      <c r="C95" s="28" t="s">
        <v>58</v>
      </c>
      <c r="D95" s="156" t="s">
        <v>182</v>
      </c>
      <c r="E95" s="156"/>
      <c r="F95" s="156"/>
      <c r="G95" s="156"/>
      <c r="H95" s="156"/>
      <c r="I95" s="156"/>
      <c r="J95" s="156"/>
      <c r="K95" s="156"/>
      <c r="L95" s="156"/>
      <c r="M95" s="156"/>
      <c r="N95" s="156"/>
      <c r="O95" s="156"/>
      <c r="P95" s="156"/>
      <c r="Q95" s="156"/>
      <c r="R95" s="156"/>
      <c r="S95" s="157"/>
    </row>
    <row r="96" spans="1:19" ht="164.1" customHeight="1" x14ac:dyDescent="0.15">
      <c r="B96" s="147"/>
      <c r="C96" s="31" t="s">
        <v>60</v>
      </c>
      <c r="D96" s="141" t="s">
        <v>212</v>
      </c>
      <c r="E96" s="141"/>
      <c r="F96" s="141"/>
      <c r="G96" s="141"/>
      <c r="H96" s="141"/>
      <c r="I96" s="141"/>
      <c r="J96" s="141"/>
      <c r="K96" s="141"/>
      <c r="L96" s="141"/>
      <c r="M96" s="141"/>
      <c r="N96" s="141"/>
      <c r="O96" s="141"/>
      <c r="P96" s="141"/>
      <c r="Q96" s="141"/>
      <c r="R96" s="141"/>
      <c r="S96" s="142"/>
    </row>
    <row r="97" spans="1:19" ht="240" customHeight="1" x14ac:dyDescent="0.15">
      <c r="B97" s="146" t="s">
        <v>79</v>
      </c>
      <c r="C97" s="30" t="s">
        <v>57</v>
      </c>
      <c r="D97" s="152" t="s">
        <v>183</v>
      </c>
      <c r="E97" s="152"/>
      <c r="F97" s="152"/>
      <c r="G97" s="152"/>
      <c r="H97" s="152"/>
      <c r="I97" s="152"/>
      <c r="J97" s="152"/>
      <c r="K97" s="152"/>
      <c r="L97" s="152"/>
      <c r="M97" s="152"/>
      <c r="N97" s="152"/>
      <c r="O97" s="152"/>
      <c r="P97" s="152"/>
      <c r="Q97" s="152"/>
      <c r="R97" s="152"/>
      <c r="S97" s="153"/>
    </row>
    <row r="98" spans="1:19" ht="227.1" customHeight="1" x14ac:dyDescent="0.15">
      <c r="B98" s="151"/>
      <c r="C98" s="33" t="s">
        <v>75</v>
      </c>
      <c r="D98" s="143" t="s">
        <v>184</v>
      </c>
      <c r="E98" s="144"/>
      <c r="F98" s="144"/>
      <c r="G98" s="144"/>
      <c r="H98" s="144"/>
      <c r="I98" s="144"/>
      <c r="J98" s="144"/>
      <c r="K98" s="144"/>
      <c r="L98" s="144"/>
      <c r="M98" s="144"/>
      <c r="N98" s="144"/>
      <c r="O98" s="144"/>
      <c r="P98" s="144"/>
      <c r="Q98" s="144"/>
      <c r="R98" s="144"/>
      <c r="S98" s="145"/>
    </row>
    <row r="99" spans="1:19" ht="212.1" customHeight="1" x14ac:dyDescent="0.15">
      <c r="B99" s="147"/>
      <c r="C99" s="32" t="s">
        <v>76</v>
      </c>
      <c r="D99" s="154" t="s">
        <v>185</v>
      </c>
      <c r="E99" s="154"/>
      <c r="F99" s="154"/>
      <c r="G99" s="154"/>
      <c r="H99" s="154"/>
      <c r="I99" s="154"/>
      <c r="J99" s="154"/>
      <c r="K99" s="154"/>
      <c r="L99" s="154"/>
      <c r="M99" s="154"/>
      <c r="N99" s="154"/>
      <c r="O99" s="154"/>
      <c r="P99" s="154"/>
      <c r="Q99" s="154"/>
      <c r="R99" s="154"/>
      <c r="S99" s="155"/>
    </row>
    <row r="100" spans="1:19" ht="6" customHeight="1" x14ac:dyDescent="0.15"/>
    <row r="101" spans="1:19" ht="18.75" customHeight="1" x14ac:dyDescent="0.15">
      <c r="A101" s="1" t="s">
        <v>120</v>
      </c>
    </row>
    <row r="102" spans="1:19" ht="224.1" customHeight="1" x14ac:dyDescent="0.15">
      <c r="B102" s="126" t="s">
        <v>172</v>
      </c>
      <c r="C102" s="127"/>
      <c r="D102" s="127"/>
      <c r="E102" s="127"/>
      <c r="F102" s="127"/>
      <c r="G102" s="127"/>
      <c r="H102" s="127"/>
      <c r="I102" s="127"/>
      <c r="J102" s="127"/>
      <c r="K102" s="127"/>
      <c r="L102" s="127"/>
      <c r="M102" s="127"/>
      <c r="N102" s="127"/>
      <c r="O102" s="127"/>
      <c r="P102" s="127"/>
      <c r="Q102" s="127"/>
      <c r="R102" s="127"/>
      <c r="S102" s="128"/>
    </row>
    <row r="110" spans="1:19" ht="18" customHeight="1" x14ac:dyDescent="0.15"/>
  </sheetData>
  <mergeCells count="145">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89:B90"/>
    <mergeCell ref="J69:N69"/>
    <mergeCell ref="J70:N70"/>
    <mergeCell ref="J71:N71"/>
    <mergeCell ref="B82:E82"/>
    <mergeCell ref="F81:I81"/>
    <mergeCell ref="F82:I82"/>
    <mergeCell ref="J81:O81"/>
    <mergeCell ref="J82:O82"/>
    <mergeCell ref="B73:D73"/>
    <mergeCell ref="B74:D74"/>
    <mergeCell ref="B75:D75"/>
    <mergeCell ref="J72:N72"/>
    <mergeCell ref="B84:E84"/>
    <mergeCell ref="B60:E60"/>
    <mergeCell ref="B61:E61"/>
    <mergeCell ref="B62:E62"/>
    <mergeCell ref="B63:E63"/>
    <mergeCell ref="B64:E64"/>
    <mergeCell ref="J46:O46"/>
    <mergeCell ref="F78:I78"/>
    <mergeCell ref="J78:O78"/>
    <mergeCell ref="B69:D69"/>
    <mergeCell ref="B70:D70"/>
    <mergeCell ref="J53:O5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5:E85"/>
    <mergeCell ref="F84:I84"/>
    <mergeCell ref="J84:O84"/>
    <mergeCell ref="P84:S84"/>
    <mergeCell ref="D96:S96"/>
    <mergeCell ref="F85:I85"/>
    <mergeCell ref="D98:S98"/>
    <mergeCell ref="B93:B94"/>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2"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9:F86 P79:P86 G79:I80 G83:I86 Q83:S86 Q79:S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47819-46E2-44C4-8AED-60021543DCE6}">
  <sheetPr>
    <pageSetUpPr fitToPage="1"/>
  </sheetPr>
  <dimension ref="A1:V110"/>
  <sheetViews>
    <sheetView showZeros="0" view="pageBreakPreview" zoomScale="150" zoomScaleNormal="100" zoomScaleSheetLayoutView="150" workbookViewId="0">
      <selection activeCell="B9" sqref="B9:S10"/>
    </sheetView>
  </sheetViews>
  <sheetFormatPr defaultColWidth="9" defaultRowHeight="18.75" customHeight="1" x14ac:dyDescent="0.15"/>
  <cols>
    <col min="1" max="1" width="3.87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06" t="s">
        <v>158</v>
      </c>
      <c r="S1" s="106"/>
      <c r="T1" s="2" t="s">
        <v>109</v>
      </c>
    </row>
    <row r="2" spans="1:22" ht="18.75" customHeight="1" x14ac:dyDescent="0.15">
      <c r="B2" s="34" t="s">
        <v>108</v>
      </c>
      <c r="C2" s="99" t="s">
        <v>126</v>
      </c>
      <c r="D2" s="100"/>
      <c r="E2" s="100"/>
      <c r="F2" s="100"/>
      <c r="G2" s="100"/>
      <c r="H2" s="100"/>
      <c r="I2" s="101"/>
      <c r="J2" s="35"/>
      <c r="K2" s="6"/>
      <c r="L2" s="6"/>
      <c r="M2" s="6"/>
      <c r="N2" s="6"/>
      <c r="O2" s="6"/>
      <c r="P2" s="6"/>
      <c r="Q2" s="6"/>
      <c r="R2" s="6"/>
      <c r="S2" s="6"/>
    </row>
    <row r="3" spans="1:22" ht="29.1" customHeight="1" x14ac:dyDescent="0.15">
      <c r="B3" s="34" t="s">
        <v>102</v>
      </c>
      <c r="C3" s="110" t="s">
        <v>144</v>
      </c>
      <c r="D3" s="111"/>
      <c r="E3" s="111"/>
      <c r="F3" s="111"/>
      <c r="G3" s="111"/>
      <c r="H3" s="111"/>
      <c r="I3" s="112"/>
      <c r="J3" s="35"/>
      <c r="K3" s="6"/>
      <c r="L3" s="6"/>
      <c r="M3" s="6"/>
      <c r="N3" s="6"/>
      <c r="O3" s="6"/>
      <c r="P3" s="6"/>
      <c r="Q3" s="6"/>
      <c r="R3" s="6"/>
      <c r="S3" s="6"/>
    </row>
    <row r="4" spans="1:22" ht="15" customHeight="1" x14ac:dyDescent="0.15">
      <c r="K4" s="35"/>
      <c r="L4" s="36"/>
      <c r="M4" s="36"/>
      <c r="N4" s="36"/>
      <c r="O4" s="36"/>
      <c r="P4" s="36"/>
      <c r="Q4" s="36"/>
      <c r="R4" s="36"/>
      <c r="S4" s="36"/>
    </row>
    <row r="5" spans="1:22" ht="18" customHeight="1" x14ac:dyDescent="0.15">
      <c r="A5" s="113" t="s">
        <v>38</v>
      </c>
      <c r="B5" s="113"/>
      <c r="C5" s="113"/>
      <c r="D5" s="113"/>
      <c r="E5" s="113"/>
      <c r="F5" s="113"/>
      <c r="G5" s="113"/>
      <c r="H5" s="113"/>
      <c r="I5" s="113"/>
      <c r="J5" s="113"/>
      <c r="K5" s="113"/>
      <c r="L5" s="113"/>
      <c r="M5" s="113"/>
      <c r="N5" s="113"/>
      <c r="O5" s="113"/>
      <c r="P5" s="113"/>
      <c r="Q5" s="113"/>
      <c r="R5" s="113"/>
      <c r="S5" s="113"/>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124</v>
      </c>
      <c r="C7" s="3"/>
      <c r="J7" s="37" t="s">
        <v>107</v>
      </c>
      <c r="K7" s="123" t="s">
        <v>127</v>
      </c>
      <c r="L7" s="124"/>
      <c r="M7" s="124"/>
      <c r="N7" s="124"/>
      <c r="O7" s="124"/>
      <c r="P7" s="124"/>
      <c r="Q7" s="124"/>
      <c r="R7" s="124"/>
      <c r="S7" s="125"/>
    </row>
    <row r="8" spans="1:22" ht="6" customHeight="1" x14ac:dyDescent="0.15">
      <c r="B8" s="3"/>
      <c r="C8" s="3"/>
      <c r="D8" s="3"/>
      <c r="E8" s="3"/>
      <c r="F8" s="3"/>
      <c r="G8" s="3"/>
      <c r="H8" s="3"/>
      <c r="I8" s="3"/>
      <c r="J8" s="3"/>
      <c r="K8" s="10"/>
      <c r="L8" s="3"/>
      <c r="M8" s="3"/>
      <c r="N8" s="3"/>
      <c r="O8" s="3"/>
      <c r="P8" s="3"/>
      <c r="Q8" s="3"/>
      <c r="R8" s="3"/>
      <c r="S8" s="3"/>
    </row>
    <row r="9" spans="1:22" ht="22.5" customHeight="1" x14ac:dyDescent="0.15">
      <c r="B9" s="87" t="s">
        <v>226</v>
      </c>
      <c r="C9" s="88"/>
      <c r="D9" s="88"/>
      <c r="E9" s="88"/>
      <c r="F9" s="88"/>
      <c r="G9" s="88"/>
      <c r="H9" s="88"/>
      <c r="I9" s="88"/>
      <c r="J9" s="88"/>
      <c r="K9" s="88"/>
      <c r="L9" s="88"/>
      <c r="M9" s="88"/>
      <c r="N9" s="88"/>
      <c r="O9" s="88"/>
      <c r="P9" s="88"/>
      <c r="Q9" s="88"/>
      <c r="R9" s="88"/>
      <c r="S9" s="89"/>
    </row>
    <row r="10" spans="1:22" ht="22.5" customHeight="1" x14ac:dyDescent="0.15">
      <c r="B10" s="90"/>
      <c r="C10" s="91"/>
      <c r="D10" s="91"/>
      <c r="E10" s="91"/>
      <c r="F10" s="91"/>
      <c r="G10" s="91"/>
      <c r="H10" s="91"/>
      <c r="I10" s="91"/>
      <c r="J10" s="91"/>
      <c r="K10" s="91"/>
      <c r="L10" s="91"/>
      <c r="M10" s="91"/>
      <c r="N10" s="91"/>
      <c r="O10" s="91"/>
      <c r="P10" s="91"/>
      <c r="Q10" s="91"/>
      <c r="R10" s="91"/>
      <c r="S10" s="92"/>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111</v>
      </c>
      <c r="B12" s="3"/>
      <c r="C12" s="3"/>
      <c r="D12" s="35"/>
      <c r="E12" s="35"/>
      <c r="F12" s="35"/>
      <c r="G12" s="35"/>
      <c r="H12" s="35"/>
      <c r="I12" s="35"/>
      <c r="J12" s="35"/>
      <c r="K12" s="38"/>
      <c r="L12" s="38"/>
      <c r="M12" s="38"/>
      <c r="N12" s="38"/>
      <c r="O12" s="38"/>
      <c r="P12" s="38"/>
      <c r="Q12" s="38"/>
      <c r="R12" s="38"/>
      <c r="S12" s="38"/>
    </row>
    <row r="13" spans="1:22" ht="18" customHeight="1" x14ac:dyDescent="0.15">
      <c r="B13" s="114" t="s">
        <v>225</v>
      </c>
      <c r="C13" s="115"/>
      <c r="D13" s="115"/>
      <c r="E13" s="115"/>
      <c r="F13" s="115"/>
      <c r="G13" s="115"/>
      <c r="H13" s="115"/>
      <c r="I13" s="115"/>
      <c r="J13" s="115"/>
      <c r="K13" s="115"/>
      <c r="L13" s="115"/>
      <c r="M13" s="115"/>
      <c r="N13" s="115"/>
      <c r="O13" s="115"/>
      <c r="P13" s="115"/>
      <c r="Q13" s="115"/>
      <c r="R13" s="115"/>
      <c r="S13" s="116"/>
      <c r="V13" s="1" t="s">
        <v>103</v>
      </c>
    </row>
    <row r="14" spans="1:22" ht="18" customHeight="1" x14ac:dyDescent="0.15">
      <c r="B14" s="117"/>
      <c r="C14" s="118"/>
      <c r="D14" s="118"/>
      <c r="E14" s="118"/>
      <c r="F14" s="118"/>
      <c r="G14" s="118"/>
      <c r="H14" s="118"/>
      <c r="I14" s="118"/>
      <c r="J14" s="118"/>
      <c r="K14" s="118"/>
      <c r="L14" s="118"/>
      <c r="M14" s="118"/>
      <c r="N14" s="118"/>
      <c r="O14" s="118"/>
      <c r="P14" s="118"/>
      <c r="Q14" s="118"/>
      <c r="R14" s="118"/>
      <c r="S14" s="119"/>
      <c r="V14" s="1" t="s">
        <v>110</v>
      </c>
    </row>
    <row r="15" spans="1:22" ht="18" customHeight="1" x14ac:dyDescent="0.15">
      <c r="B15" s="117"/>
      <c r="C15" s="118"/>
      <c r="D15" s="118"/>
      <c r="E15" s="118"/>
      <c r="F15" s="118"/>
      <c r="G15" s="118"/>
      <c r="H15" s="118"/>
      <c r="I15" s="118"/>
      <c r="J15" s="118"/>
      <c r="K15" s="118"/>
      <c r="L15" s="118"/>
      <c r="M15" s="118"/>
      <c r="N15" s="118"/>
      <c r="O15" s="118"/>
      <c r="P15" s="118"/>
      <c r="Q15" s="118"/>
      <c r="R15" s="118"/>
      <c r="S15" s="119"/>
      <c r="V15" s="1" t="s">
        <v>123</v>
      </c>
    </row>
    <row r="16" spans="1:22" ht="18" customHeight="1" x14ac:dyDescent="0.15">
      <c r="B16" s="117"/>
      <c r="C16" s="118"/>
      <c r="D16" s="118"/>
      <c r="E16" s="118"/>
      <c r="F16" s="118"/>
      <c r="G16" s="118"/>
      <c r="H16" s="118"/>
      <c r="I16" s="118"/>
      <c r="J16" s="118"/>
      <c r="K16" s="118"/>
      <c r="L16" s="118"/>
      <c r="M16" s="118"/>
      <c r="N16" s="118"/>
      <c r="O16" s="118"/>
      <c r="P16" s="118"/>
      <c r="Q16" s="118"/>
      <c r="R16" s="118"/>
      <c r="S16" s="119"/>
      <c r="V16" s="1" t="s">
        <v>125</v>
      </c>
    </row>
    <row r="17" spans="1:19" ht="18" customHeight="1" x14ac:dyDescent="0.15">
      <c r="B17" s="117"/>
      <c r="C17" s="118"/>
      <c r="D17" s="118"/>
      <c r="E17" s="118"/>
      <c r="F17" s="118"/>
      <c r="G17" s="118"/>
      <c r="H17" s="118"/>
      <c r="I17" s="118"/>
      <c r="J17" s="118"/>
      <c r="K17" s="118"/>
      <c r="L17" s="118"/>
      <c r="M17" s="118"/>
      <c r="N17" s="118"/>
      <c r="O17" s="118"/>
      <c r="P17" s="118"/>
      <c r="Q17" s="118"/>
      <c r="R17" s="118"/>
      <c r="S17" s="119"/>
    </row>
    <row r="18" spans="1:19" ht="18" customHeight="1" x14ac:dyDescent="0.15">
      <c r="B18" s="120"/>
      <c r="C18" s="121"/>
      <c r="D18" s="121"/>
      <c r="E18" s="121"/>
      <c r="F18" s="121"/>
      <c r="G18" s="121"/>
      <c r="H18" s="121"/>
      <c r="I18" s="121"/>
      <c r="J18" s="121"/>
      <c r="K18" s="121"/>
      <c r="L18" s="121"/>
      <c r="M18" s="121"/>
      <c r="N18" s="121"/>
      <c r="O18" s="121"/>
      <c r="P18" s="121"/>
      <c r="Q18" s="121"/>
      <c r="R18" s="121"/>
      <c r="S18" s="122"/>
    </row>
    <row r="19" spans="1:19" ht="7.5" customHeight="1" x14ac:dyDescent="0.15">
      <c r="B19" s="3"/>
      <c r="C19" s="3"/>
      <c r="D19" s="3"/>
      <c r="E19" s="3"/>
      <c r="F19" s="3"/>
      <c r="G19" s="3"/>
      <c r="H19" s="3"/>
      <c r="I19" s="3"/>
      <c r="J19" s="3"/>
      <c r="K19" s="3"/>
      <c r="L19" s="3"/>
      <c r="M19" s="3"/>
      <c r="N19" s="3"/>
      <c r="O19" s="3"/>
      <c r="P19" s="3"/>
      <c r="Q19" s="3"/>
      <c r="R19" s="3"/>
      <c r="S19" s="3"/>
    </row>
    <row r="20" spans="1:19" ht="20.100000000000001" customHeight="1" x14ac:dyDescent="0.15">
      <c r="B20" s="1" t="s">
        <v>112</v>
      </c>
      <c r="C20" s="99">
        <v>8</v>
      </c>
      <c r="D20" s="101"/>
      <c r="E20" s="39" t="s">
        <v>95</v>
      </c>
      <c r="G20" s="10"/>
      <c r="H20" s="3"/>
      <c r="I20" s="3"/>
      <c r="J20" s="35" t="s">
        <v>121</v>
      </c>
      <c r="K20" s="107" t="s">
        <v>110</v>
      </c>
      <c r="L20" s="108"/>
      <c r="M20" s="108"/>
      <c r="N20" s="108"/>
      <c r="O20" s="108"/>
      <c r="P20" s="108"/>
      <c r="Q20" s="108"/>
      <c r="R20" s="108"/>
      <c r="S20" s="109"/>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102" t="s">
        <v>113</v>
      </c>
      <c r="B22" s="102"/>
      <c r="C22" s="102"/>
      <c r="D22" s="102"/>
      <c r="E22" s="102"/>
      <c r="F22" s="102"/>
      <c r="G22" s="102"/>
      <c r="H22" s="102"/>
      <c r="I22" s="102"/>
      <c r="J22" s="102"/>
      <c r="K22" s="102"/>
      <c r="L22" s="102"/>
      <c r="M22" s="102"/>
      <c r="N22" s="102"/>
      <c r="O22" s="102"/>
      <c r="P22" s="102"/>
      <c r="Q22" s="102"/>
      <c r="R22" s="102"/>
      <c r="S22" s="102"/>
    </row>
    <row r="23" spans="1:19" ht="18" customHeight="1" x14ac:dyDescent="0.15">
      <c r="A23" s="102"/>
      <c r="B23" s="102"/>
      <c r="C23" s="102"/>
      <c r="D23" s="102"/>
      <c r="E23" s="102"/>
      <c r="F23" s="102"/>
      <c r="G23" s="102"/>
      <c r="H23" s="102"/>
      <c r="I23" s="102"/>
      <c r="J23" s="102"/>
      <c r="K23" s="102"/>
      <c r="L23" s="102"/>
      <c r="M23" s="102"/>
      <c r="N23" s="102"/>
      <c r="O23" s="102"/>
      <c r="P23" s="102"/>
      <c r="Q23" s="102"/>
      <c r="R23" s="102"/>
      <c r="S23" s="102"/>
    </row>
    <row r="24" spans="1:19" ht="18" customHeight="1" x14ac:dyDescent="0.15">
      <c r="B24" s="99" t="s">
        <v>53</v>
      </c>
      <c r="C24" s="100"/>
      <c r="D24" s="100"/>
      <c r="E24" s="101"/>
      <c r="F24" s="60" t="s">
        <v>80</v>
      </c>
      <c r="G24" s="59" t="s">
        <v>84</v>
      </c>
      <c r="H24" s="22" t="s">
        <v>56</v>
      </c>
      <c r="I24" s="22" t="s">
        <v>59</v>
      </c>
      <c r="J24" s="99" t="s">
        <v>53</v>
      </c>
      <c r="K24" s="100"/>
      <c r="L24" s="100"/>
      <c r="M24" s="100"/>
      <c r="N24" s="100"/>
      <c r="O24" s="101"/>
      <c r="P24" s="60" t="s">
        <v>80</v>
      </c>
      <c r="Q24" s="59" t="s">
        <v>84</v>
      </c>
      <c r="R24" s="22" t="s">
        <v>56</v>
      </c>
      <c r="S24" s="22" t="s">
        <v>59</v>
      </c>
    </row>
    <row r="25" spans="1:19" ht="18" customHeight="1" x14ac:dyDescent="0.15">
      <c r="B25" s="103" t="s">
        <v>130</v>
      </c>
      <c r="C25" s="104"/>
      <c r="D25" s="104"/>
      <c r="E25" s="105"/>
      <c r="F25" s="23">
        <v>2</v>
      </c>
      <c r="G25" s="23" t="s">
        <v>133</v>
      </c>
      <c r="H25" s="23" t="s">
        <v>133</v>
      </c>
      <c r="I25" s="23" t="s">
        <v>133</v>
      </c>
      <c r="J25" s="103"/>
      <c r="K25" s="104"/>
      <c r="L25" s="104"/>
      <c r="M25" s="104"/>
      <c r="N25" s="104"/>
      <c r="O25" s="105"/>
      <c r="P25" s="23"/>
      <c r="Q25" s="23"/>
      <c r="R25" s="23"/>
      <c r="S25" s="23"/>
    </row>
    <row r="26" spans="1:19" ht="18" customHeight="1" x14ac:dyDescent="0.15">
      <c r="B26" s="93" t="s">
        <v>220</v>
      </c>
      <c r="C26" s="94"/>
      <c r="D26" s="94"/>
      <c r="E26" s="95"/>
      <c r="F26" s="24">
        <v>2</v>
      </c>
      <c r="G26" s="24"/>
      <c r="H26" s="24" t="s">
        <v>133</v>
      </c>
      <c r="I26" s="24" t="s">
        <v>133</v>
      </c>
      <c r="J26" s="93"/>
      <c r="K26" s="94"/>
      <c r="L26" s="94"/>
      <c r="M26" s="94"/>
      <c r="N26" s="94"/>
      <c r="O26" s="95"/>
      <c r="P26" s="24"/>
      <c r="Q26" s="24"/>
      <c r="R26" s="24"/>
      <c r="S26" s="24"/>
    </row>
    <row r="27" spans="1:19" ht="18" customHeight="1" x14ac:dyDescent="0.15">
      <c r="B27" s="93"/>
      <c r="C27" s="94"/>
      <c r="D27" s="94"/>
      <c r="E27" s="95"/>
      <c r="F27" s="24"/>
      <c r="G27" s="24"/>
      <c r="H27" s="24"/>
      <c r="I27" s="24"/>
      <c r="J27" s="93"/>
      <c r="K27" s="94"/>
      <c r="L27" s="94"/>
      <c r="M27" s="94"/>
      <c r="N27" s="94"/>
      <c r="O27" s="95"/>
      <c r="P27" s="24"/>
      <c r="Q27" s="24"/>
      <c r="R27" s="24"/>
      <c r="S27" s="24"/>
    </row>
    <row r="28" spans="1:19" ht="18" customHeight="1" x14ac:dyDescent="0.15">
      <c r="B28" s="93"/>
      <c r="C28" s="94"/>
      <c r="D28" s="94"/>
      <c r="E28" s="95"/>
      <c r="F28" s="24"/>
      <c r="G28" s="24"/>
      <c r="H28" s="24"/>
      <c r="I28" s="24"/>
      <c r="J28" s="93"/>
      <c r="K28" s="94"/>
      <c r="L28" s="94"/>
      <c r="M28" s="94"/>
      <c r="N28" s="94"/>
      <c r="O28" s="95"/>
      <c r="P28" s="24"/>
      <c r="Q28" s="24"/>
      <c r="R28" s="24"/>
      <c r="S28" s="24"/>
    </row>
    <row r="29" spans="1:19" ht="18" customHeight="1" x14ac:dyDescent="0.15">
      <c r="B29" s="93"/>
      <c r="C29" s="94"/>
      <c r="D29" s="94"/>
      <c r="E29" s="95"/>
      <c r="F29" s="24"/>
      <c r="G29" s="24"/>
      <c r="H29" s="24"/>
      <c r="I29" s="24"/>
      <c r="J29" s="93"/>
      <c r="K29" s="94"/>
      <c r="L29" s="94"/>
      <c r="M29" s="94"/>
      <c r="N29" s="94"/>
      <c r="O29" s="95"/>
      <c r="P29" s="24"/>
      <c r="Q29" s="24"/>
      <c r="R29" s="24"/>
      <c r="S29" s="24"/>
    </row>
    <row r="30" spans="1:19" ht="18" customHeight="1" x14ac:dyDescent="0.15">
      <c r="A30" s="3"/>
      <c r="B30" s="93"/>
      <c r="C30" s="94"/>
      <c r="D30" s="94"/>
      <c r="E30" s="95"/>
      <c r="F30" s="24"/>
      <c r="G30" s="24"/>
      <c r="H30" s="24"/>
      <c r="I30" s="24"/>
      <c r="J30" s="93"/>
      <c r="K30" s="94"/>
      <c r="L30" s="94"/>
      <c r="M30" s="94"/>
      <c r="N30" s="94"/>
      <c r="O30" s="95"/>
      <c r="P30" s="24"/>
      <c r="Q30" s="24"/>
      <c r="R30" s="24"/>
      <c r="S30" s="24"/>
    </row>
    <row r="31" spans="1:19" ht="18" customHeight="1" x14ac:dyDescent="0.15">
      <c r="A31" s="3"/>
      <c r="B31" s="96"/>
      <c r="C31" s="97"/>
      <c r="D31" s="97"/>
      <c r="E31" s="98"/>
      <c r="F31" s="25"/>
      <c r="G31" s="25"/>
      <c r="H31" s="26"/>
      <c r="I31" s="26"/>
      <c r="J31" s="96"/>
      <c r="K31" s="97"/>
      <c r="L31" s="97"/>
      <c r="M31" s="97"/>
      <c r="N31" s="97"/>
      <c r="O31" s="98"/>
      <c r="P31" s="25"/>
      <c r="Q31" s="25"/>
      <c r="R31" s="26"/>
      <c r="S31" s="26"/>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102" t="s">
        <v>114</v>
      </c>
      <c r="B33" s="102"/>
      <c r="C33" s="102"/>
      <c r="D33" s="102"/>
      <c r="E33" s="102"/>
      <c r="F33" s="102"/>
      <c r="G33" s="102"/>
      <c r="H33" s="102"/>
      <c r="I33" s="102"/>
      <c r="J33" s="102"/>
      <c r="K33" s="102"/>
      <c r="L33" s="102"/>
      <c r="M33" s="102"/>
      <c r="N33" s="102"/>
      <c r="O33" s="102"/>
      <c r="P33" s="102"/>
      <c r="Q33" s="102"/>
      <c r="R33" s="102"/>
      <c r="S33" s="102"/>
    </row>
    <row r="34" spans="1:19" ht="18" customHeight="1" x14ac:dyDescent="0.15">
      <c r="A34" s="102"/>
      <c r="B34" s="102"/>
      <c r="C34" s="102"/>
      <c r="D34" s="102"/>
      <c r="E34" s="102"/>
      <c r="F34" s="102"/>
      <c r="G34" s="102"/>
      <c r="H34" s="102"/>
      <c r="I34" s="102"/>
      <c r="J34" s="102"/>
      <c r="K34" s="102"/>
      <c r="L34" s="102"/>
      <c r="M34" s="102"/>
      <c r="N34" s="102"/>
      <c r="O34" s="102"/>
      <c r="P34" s="102"/>
      <c r="Q34" s="102"/>
      <c r="R34" s="102"/>
      <c r="S34" s="102"/>
    </row>
    <row r="35" spans="1:19" ht="18" customHeight="1" x14ac:dyDescent="0.15">
      <c r="B35" s="99" t="s">
        <v>53</v>
      </c>
      <c r="C35" s="100"/>
      <c r="D35" s="100"/>
      <c r="E35" s="101"/>
      <c r="F35" s="60" t="s">
        <v>80</v>
      </c>
      <c r="G35" s="59" t="s">
        <v>84</v>
      </c>
      <c r="H35" s="22" t="s">
        <v>71</v>
      </c>
      <c r="I35" s="22" t="s">
        <v>72</v>
      </c>
      <c r="J35" s="99" t="s">
        <v>53</v>
      </c>
      <c r="K35" s="100"/>
      <c r="L35" s="100"/>
      <c r="M35" s="100"/>
      <c r="N35" s="100"/>
      <c r="O35" s="101"/>
      <c r="P35" s="60" t="s">
        <v>80</v>
      </c>
      <c r="Q35" s="59" t="s">
        <v>84</v>
      </c>
      <c r="R35" s="22" t="s">
        <v>71</v>
      </c>
      <c r="S35" s="22" t="s">
        <v>72</v>
      </c>
    </row>
    <row r="36" spans="1:19" ht="18" customHeight="1" x14ac:dyDescent="0.15">
      <c r="B36" s="103" t="s">
        <v>130</v>
      </c>
      <c r="C36" s="104"/>
      <c r="D36" s="104"/>
      <c r="E36" s="105"/>
      <c r="F36" s="23">
        <v>2</v>
      </c>
      <c r="G36" s="23" t="s">
        <v>133</v>
      </c>
      <c r="H36" s="23" t="s">
        <v>133</v>
      </c>
      <c r="I36" s="23" t="s">
        <v>133</v>
      </c>
      <c r="J36" s="103"/>
      <c r="K36" s="104"/>
      <c r="L36" s="104"/>
      <c r="M36" s="104"/>
      <c r="N36" s="104"/>
      <c r="O36" s="105"/>
      <c r="P36" s="23"/>
      <c r="Q36" s="23"/>
      <c r="R36" s="23"/>
      <c r="S36" s="23"/>
    </row>
    <row r="37" spans="1:19" ht="18" customHeight="1" x14ac:dyDescent="0.15">
      <c r="B37" s="93" t="s">
        <v>134</v>
      </c>
      <c r="C37" s="94"/>
      <c r="D37" s="94"/>
      <c r="E37" s="95"/>
      <c r="F37" s="24">
        <v>2</v>
      </c>
      <c r="G37" s="24"/>
      <c r="H37" s="24" t="s">
        <v>133</v>
      </c>
      <c r="I37" s="24" t="s">
        <v>133</v>
      </c>
      <c r="J37" s="93"/>
      <c r="K37" s="94"/>
      <c r="L37" s="94"/>
      <c r="M37" s="94"/>
      <c r="N37" s="94"/>
      <c r="O37" s="95"/>
      <c r="P37" s="24"/>
      <c r="Q37" s="24"/>
      <c r="R37" s="24"/>
      <c r="S37" s="24"/>
    </row>
    <row r="38" spans="1:19" ht="18" customHeight="1" x14ac:dyDescent="0.15">
      <c r="B38" s="93" t="s">
        <v>163</v>
      </c>
      <c r="C38" s="94"/>
      <c r="D38" s="94"/>
      <c r="E38" s="95"/>
      <c r="F38" s="24">
        <v>2</v>
      </c>
      <c r="G38" s="24"/>
      <c r="H38" s="24" t="s">
        <v>133</v>
      </c>
      <c r="I38" s="24" t="s">
        <v>133</v>
      </c>
      <c r="J38" s="93"/>
      <c r="K38" s="94"/>
      <c r="L38" s="94"/>
      <c r="M38" s="94"/>
      <c r="N38" s="94"/>
      <c r="O38" s="95"/>
      <c r="P38" s="24"/>
      <c r="Q38" s="24"/>
      <c r="R38" s="24"/>
      <c r="S38" s="24"/>
    </row>
    <row r="39" spans="1:19" ht="18" customHeight="1" x14ac:dyDescent="0.15">
      <c r="B39" s="93"/>
      <c r="C39" s="94"/>
      <c r="D39" s="94"/>
      <c r="E39" s="95"/>
      <c r="F39" s="24"/>
      <c r="G39" s="24"/>
      <c r="H39" s="24"/>
      <c r="I39" s="24"/>
      <c r="J39" s="93"/>
      <c r="K39" s="94"/>
      <c r="L39" s="94"/>
      <c r="M39" s="94"/>
      <c r="N39" s="94"/>
      <c r="O39" s="95"/>
      <c r="P39" s="24"/>
      <c r="Q39" s="24"/>
      <c r="R39" s="24"/>
      <c r="S39" s="24"/>
    </row>
    <row r="40" spans="1:19" ht="18" customHeight="1" x14ac:dyDescent="0.15">
      <c r="B40" s="93"/>
      <c r="C40" s="94"/>
      <c r="D40" s="94"/>
      <c r="E40" s="95"/>
      <c r="F40" s="24"/>
      <c r="G40" s="24"/>
      <c r="H40" s="24"/>
      <c r="I40" s="24"/>
      <c r="J40" s="93"/>
      <c r="K40" s="94"/>
      <c r="L40" s="94"/>
      <c r="M40" s="94"/>
      <c r="N40" s="94"/>
      <c r="O40" s="95"/>
      <c r="P40" s="24"/>
      <c r="Q40" s="24"/>
      <c r="R40" s="24"/>
      <c r="S40" s="24"/>
    </row>
    <row r="41" spans="1:19" ht="18" customHeight="1" x14ac:dyDescent="0.15">
      <c r="B41" s="93"/>
      <c r="C41" s="94"/>
      <c r="D41" s="94"/>
      <c r="E41" s="95"/>
      <c r="F41" s="24"/>
      <c r="G41" s="24"/>
      <c r="H41" s="24"/>
      <c r="I41" s="24"/>
      <c r="J41" s="93"/>
      <c r="K41" s="94"/>
      <c r="L41" s="94"/>
      <c r="M41" s="94"/>
      <c r="N41" s="94"/>
      <c r="O41" s="95"/>
      <c r="P41" s="24"/>
      <c r="Q41" s="24"/>
      <c r="R41" s="24"/>
      <c r="S41" s="24"/>
    </row>
    <row r="42" spans="1:19" ht="18" customHeight="1" x14ac:dyDescent="0.15">
      <c r="B42" s="96"/>
      <c r="C42" s="97"/>
      <c r="D42" s="97"/>
      <c r="E42" s="98"/>
      <c r="F42" s="25"/>
      <c r="G42" s="25"/>
      <c r="H42" s="26"/>
      <c r="I42" s="26"/>
      <c r="J42" s="96"/>
      <c r="K42" s="97"/>
      <c r="L42" s="97"/>
      <c r="M42" s="97"/>
      <c r="N42" s="97"/>
      <c r="O42" s="98"/>
      <c r="P42" s="25"/>
      <c r="Q42" s="25"/>
      <c r="R42" s="26"/>
      <c r="S42" s="26"/>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102" t="s">
        <v>115</v>
      </c>
      <c r="B44" s="102"/>
      <c r="C44" s="102"/>
      <c r="D44" s="102"/>
      <c r="E44" s="102"/>
      <c r="F44" s="102"/>
      <c r="G44" s="102"/>
      <c r="H44" s="102"/>
      <c r="I44" s="102"/>
      <c r="J44" s="102"/>
      <c r="K44" s="102"/>
      <c r="L44" s="102"/>
      <c r="M44" s="102"/>
      <c r="N44" s="102"/>
      <c r="O44" s="102"/>
      <c r="P44" s="102"/>
      <c r="Q44" s="102"/>
      <c r="R44" s="102"/>
      <c r="S44" s="102"/>
    </row>
    <row r="45" spans="1:19" ht="18" customHeight="1" x14ac:dyDescent="0.15">
      <c r="A45" s="102"/>
      <c r="B45" s="102"/>
      <c r="C45" s="102"/>
      <c r="D45" s="102"/>
      <c r="E45" s="102"/>
      <c r="F45" s="102"/>
      <c r="G45" s="102"/>
      <c r="H45" s="102"/>
      <c r="I45" s="102"/>
      <c r="J45" s="102"/>
      <c r="K45" s="102"/>
      <c r="L45" s="102"/>
      <c r="M45" s="102"/>
      <c r="N45" s="102"/>
      <c r="O45" s="102"/>
      <c r="P45" s="102"/>
      <c r="Q45" s="102"/>
      <c r="R45" s="102"/>
      <c r="S45" s="102"/>
    </row>
    <row r="46" spans="1:19" ht="18" customHeight="1" x14ac:dyDescent="0.15">
      <c r="B46" s="99" t="s">
        <v>53</v>
      </c>
      <c r="C46" s="100"/>
      <c r="D46" s="100"/>
      <c r="E46" s="101"/>
      <c r="F46" s="60" t="s">
        <v>80</v>
      </c>
      <c r="G46" s="59" t="s">
        <v>84</v>
      </c>
      <c r="H46" s="22" t="s">
        <v>73</v>
      </c>
      <c r="I46" s="22" t="s">
        <v>74</v>
      </c>
      <c r="J46" s="99" t="s">
        <v>53</v>
      </c>
      <c r="K46" s="100"/>
      <c r="L46" s="100"/>
      <c r="M46" s="100"/>
      <c r="N46" s="100"/>
      <c r="O46" s="101"/>
      <c r="P46" s="60" t="s">
        <v>80</v>
      </c>
      <c r="Q46" s="59" t="s">
        <v>84</v>
      </c>
      <c r="R46" s="22" t="s">
        <v>73</v>
      </c>
      <c r="S46" s="22" t="s">
        <v>74</v>
      </c>
    </row>
    <row r="47" spans="1:19" ht="18" customHeight="1" x14ac:dyDescent="0.15">
      <c r="A47" s="3"/>
      <c r="B47" s="103" t="s">
        <v>130</v>
      </c>
      <c r="C47" s="104"/>
      <c r="D47" s="104"/>
      <c r="E47" s="105"/>
      <c r="F47" s="23">
        <v>2</v>
      </c>
      <c r="G47" s="23" t="s">
        <v>133</v>
      </c>
      <c r="H47" s="23" t="s">
        <v>133</v>
      </c>
      <c r="I47" s="23" t="s">
        <v>133</v>
      </c>
      <c r="J47" s="103"/>
      <c r="K47" s="104"/>
      <c r="L47" s="104"/>
      <c r="M47" s="104"/>
      <c r="N47" s="104"/>
      <c r="O47" s="105"/>
      <c r="P47" s="23"/>
      <c r="Q47" s="23"/>
      <c r="R47" s="23"/>
      <c r="S47" s="23"/>
    </row>
    <row r="48" spans="1:19" ht="18" customHeight="1" x14ac:dyDescent="0.15">
      <c r="A48" s="3"/>
      <c r="B48" s="93" t="s">
        <v>141</v>
      </c>
      <c r="C48" s="94"/>
      <c r="D48" s="94"/>
      <c r="E48" s="95"/>
      <c r="F48" s="24">
        <v>2</v>
      </c>
      <c r="G48" s="24"/>
      <c r="H48" s="24" t="s">
        <v>133</v>
      </c>
      <c r="I48" s="24" t="s">
        <v>133</v>
      </c>
      <c r="J48" s="93"/>
      <c r="K48" s="94"/>
      <c r="L48" s="94"/>
      <c r="M48" s="94"/>
      <c r="N48" s="94"/>
      <c r="O48" s="95"/>
      <c r="P48" s="24"/>
      <c r="Q48" s="24"/>
      <c r="R48" s="24"/>
      <c r="S48" s="24"/>
    </row>
    <row r="49" spans="1:19" ht="18" customHeight="1" x14ac:dyDescent="0.15">
      <c r="A49" s="3"/>
      <c r="B49" s="93" t="s">
        <v>221</v>
      </c>
      <c r="C49" s="94"/>
      <c r="D49" s="94"/>
      <c r="E49" s="95"/>
      <c r="F49" s="24">
        <v>2</v>
      </c>
      <c r="G49" s="24"/>
      <c r="H49" s="24" t="s">
        <v>133</v>
      </c>
      <c r="I49" s="24" t="s">
        <v>133</v>
      </c>
      <c r="J49" s="93"/>
      <c r="K49" s="94"/>
      <c r="L49" s="94"/>
      <c r="M49" s="94"/>
      <c r="N49" s="94"/>
      <c r="O49" s="95"/>
      <c r="P49" s="24"/>
      <c r="Q49" s="24"/>
      <c r="R49" s="24"/>
      <c r="S49" s="24"/>
    </row>
    <row r="50" spans="1:19" ht="18" customHeight="1" x14ac:dyDescent="0.15">
      <c r="A50" s="3"/>
      <c r="B50" s="93"/>
      <c r="C50" s="94"/>
      <c r="D50" s="94"/>
      <c r="E50" s="95"/>
      <c r="F50" s="24"/>
      <c r="G50" s="24"/>
      <c r="H50" s="24"/>
      <c r="I50" s="24"/>
      <c r="J50" s="93"/>
      <c r="K50" s="94"/>
      <c r="L50" s="94"/>
      <c r="M50" s="94"/>
      <c r="N50" s="94"/>
      <c r="O50" s="95"/>
      <c r="P50" s="24"/>
      <c r="Q50" s="24"/>
      <c r="R50" s="24"/>
      <c r="S50" s="24"/>
    </row>
    <row r="51" spans="1:19" ht="18" customHeight="1" x14ac:dyDescent="0.15">
      <c r="A51" s="3"/>
      <c r="B51" s="93"/>
      <c r="C51" s="94"/>
      <c r="D51" s="94"/>
      <c r="E51" s="95"/>
      <c r="F51" s="24"/>
      <c r="G51" s="24"/>
      <c r="H51" s="24"/>
      <c r="I51" s="24"/>
      <c r="J51" s="93"/>
      <c r="K51" s="94"/>
      <c r="L51" s="94"/>
      <c r="M51" s="94"/>
      <c r="N51" s="94"/>
      <c r="O51" s="95"/>
      <c r="P51" s="24"/>
      <c r="Q51" s="24"/>
      <c r="R51" s="24"/>
      <c r="S51" s="24"/>
    </row>
    <row r="52" spans="1:19" ht="18" customHeight="1" x14ac:dyDescent="0.15">
      <c r="A52" s="3"/>
      <c r="B52" s="93"/>
      <c r="C52" s="94"/>
      <c r="D52" s="94"/>
      <c r="E52" s="95"/>
      <c r="F52" s="24"/>
      <c r="G52" s="24"/>
      <c r="H52" s="24"/>
      <c r="I52" s="24"/>
      <c r="J52" s="93"/>
      <c r="K52" s="94"/>
      <c r="L52" s="94"/>
      <c r="M52" s="94"/>
      <c r="N52" s="94"/>
      <c r="O52" s="95"/>
      <c r="P52" s="24"/>
      <c r="Q52" s="24"/>
      <c r="R52" s="24"/>
      <c r="S52" s="24"/>
    </row>
    <row r="53" spans="1:19" ht="18" customHeight="1" x14ac:dyDescent="0.15">
      <c r="A53" s="3"/>
      <c r="B53" s="96"/>
      <c r="C53" s="97"/>
      <c r="D53" s="97"/>
      <c r="E53" s="98"/>
      <c r="F53" s="25"/>
      <c r="G53" s="25"/>
      <c r="H53" s="26"/>
      <c r="I53" s="26"/>
      <c r="J53" s="96"/>
      <c r="K53" s="97"/>
      <c r="L53" s="97"/>
      <c r="M53" s="97"/>
      <c r="N53" s="97"/>
      <c r="O53" s="98"/>
      <c r="P53" s="25"/>
      <c r="Q53" s="25"/>
      <c r="R53" s="26"/>
      <c r="S53" s="26"/>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102" t="s">
        <v>116</v>
      </c>
      <c r="B55" s="102"/>
      <c r="C55" s="102"/>
      <c r="D55" s="102"/>
      <c r="E55" s="102"/>
      <c r="F55" s="102"/>
      <c r="G55" s="102"/>
      <c r="H55" s="102"/>
      <c r="I55" s="102"/>
      <c r="J55" s="102"/>
      <c r="K55" s="102"/>
      <c r="L55" s="102"/>
      <c r="M55" s="102"/>
      <c r="N55" s="102"/>
      <c r="O55" s="102"/>
      <c r="P55" s="102"/>
      <c r="Q55" s="102"/>
      <c r="R55" s="102"/>
      <c r="S55" s="102"/>
    </row>
    <row r="56" spans="1:19" ht="18" customHeight="1" x14ac:dyDescent="0.15">
      <c r="A56" s="102"/>
      <c r="B56" s="102"/>
      <c r="C56" s="102"/>
      <c r="D56" s="102"/>
      <c r="E56" s="102"/>
      <c r="F56" s="102"/>
      <c r="G56" s="102"/>
      <c r="H56" s="102"/>
      <c r="I56" s="102"/>
      <c r="J56" s="102"/>
      <c r="K56" s="102"/>
      <c r="L56" s="102"/>
      <c r="M56" s="102"/>
      <c r="N56" s="102"/>
      <c r="O56" s="102"/>
      <c r="P56" s="102"/>
      <c r="Q56" s="102"/>
      <c r="R56" s="102"/>
      <c r="S56" s="102"/>
    </row>
    <row r="57" spans="1:19" ht="18" customHeight="1" x14ac:dyDescent="0.15">
      <c r="B57" s="99" t="s">
        <v>53</v>
      </c>
      <c r="C57" s="100"/>
      <c r="D57" s="100"/>
      <c r="E57" s="101"/>
      <c r="F57" s="60" t="s">
        <v>80</v>
      </c>
      <c r="G57" s="59" t="s">
        <v>84</v>
      </c>
      <c r="H57" s="22" t="s">
        <v>58</v>
      </c>
      <c r="I57" s="22" t="s">
        <v>60</v>
      </c>
      <c r="J57" s="99" t="s">
        <v>53</v>
      </c>
      <c r="K57" s="100"/>
      <c r="L57" s="100"/>
      <c r="M57" s="100"/>
      <c r="N57" s="100"/>
      <c r="O57" s="101"/>
      <c r="P57" s="60" t="s">
        <v>80</v>
      </c>
      <c r="Q57" s="59" t="s">
        <v>84</v>
      </c>
      <c r="R57" s="22" t="s">
        <v>58</v>
      </c>
      <c r="S57" s="22" t="s">
        <v>60</v>
      </c>
    </row>
    <row r="58" spans="1:19" ht="18" customHeight="1" x14ac:dyDescent="0.15">
      <c r="A58" s="3"/>
      <c r="B58" s="103" t="s">
        <v>135</v>
      </c>
      <c r="C58" s="104"/>
      <c r="D58" s="104"/>
      <c r="E58" s="105"/>
      <c r="F58" s="23">
        <v>2</v>
      </c>
      <c r="G58" s="23"/>
      <c r="H58" s="23" t="s">
        <v>133</v>
      </c>
      <c r="I58" s="23" t="s">
        <v>133</v>
      </c>
      <c r="J58" s="103" t="s">
        <v>141</v>
      </c>
      <c r="K58" s="104"/>
      <c r="L58" s="104"/>
      <c r="M58" s="104"/>
      <c r="N58" s="104"/>
      <c r="O58" s="105"/>
      <c r="P58" s="23">
        <v>2</v>
      </c>
      <c r="Q58" s="23"/>
      <c r="R58" s="23" t="s">
        <v>133</v>
      </c>
      <c r="S58" s="23" t="s">
        <v>133</v>
      </c>
    </row>
    <row r="59" spans="1:19" ht="18" customHeight="1" x14ac:dyDescent="0.15">
      <c r="A59" s="3"/>
      <c r="B59" s="93" t="s">
        <v>136</v>
      </c>
      <c r="C59" s="94"/>
      <c r="D59" s="94"/>
      <c r="E59" s="95"/>
      <c r="F59" s="24">
        <v>2</v>
      </c>
      <c r="G59" s="24"/>
      <c r="H59" s="24" t="s">
        <v>133</v>
      </c>
      <c r="I59" s="24" t="s">
        <v>133</v>
      </c>
      <c r="J59" s="93" t="s">
        <v>221</v>
      </c>
      <c r="K59" s="94"/>
      <c r="L59" s="94"/>
      <c r="M59" s="94"/>
      <c r="N59" s="94"/>
      <c r="O59" s="95"/>
      <c r="P59" s="24">
        <v>2</v>
      </c>
      <c r="Q59" s="24"/>
      <c r="R59" s="24" t="s">
        <v>133</v>
      </c>
      <c r="S59" s="24" t="s">
        <v>133</v>
      </c>
    </row>
    <row r="60" spans="1:19" ht="18" customHeight="1" x14ac:dyDescent="0.15">
      <c r="A60" s="3"/>
      <c r="B60" s="93" t="s">
        <v>137</v>
      </c>
      <c r="C60" s="94"/>
      <c r="D60" s="94"/>
      <c r="E60" s="95"/>
      <c r="F60" s="24">
        <v>1</v>
      </c>
      <c r="G60" s="24" t="s">
        <v>133</v>
      </c>
      <c r="H60" s="24" t="s">
        <v>133</v>
      </c>
      <c r="I60" s="24" t="s">
        <v>133</v>
      </c>
      <c r="J60" s="93"/>
      <c r="K60" s="94"/>
      <c r="L60" s="94"/>
      <c r="M60" s="94"/>
      <c r="N60" s="94"/>
      <c r="O60" s="95"/>
      <c r="P60" s="24"/>
      <c r="Q60" s="24"/>
      <c r="R60" s="24"/>
      <c r="S60" s="24"/>
    </row>
    <row r="61" spans="1:19" ht="18" customHeight="1" x14ac:dyDescent="0.15">
      <c r="A61" s="3"/>
      <c r="B61" s="93" t="s">
        <v>138</v>
      </c>
      <c r="C61" s="94"/>
      <c r="D61" s="94"/>
      <c r="E61" s="95"/>
      <c r="F61" s="24">
        <v>2</v>
      </c>
      <c r="G61" s="24"/>
      <c r="H61" s="24" t="s">
        <v>133</v>
      </c>
      <c r="I61" s="24" t="s">
        <v>133</v>
      </c>
      <c r="J61" s="93"/>
      <c r="K61" s="94"/>
      <c r="L61" s="94"/>
      <c r="M61" s="94"/>
      <c r="N61" s="94"/>
      <c r="O61" s="95"/>
      <c r="P61" s="24"/>
      <c r="Q61" s="24"/>
      <c r="R61" s="24"/>
      <c r="S61" s="24"/>
    </row>
    <row r="62" spans="1:19" ht="18" customHeight="1" x14ac:dyDescent="0.15">
      <c r="A62" s="3"/>
      <c r="B62" s="93" t="s">
        <v>139</v>
      </c>
      <c r="C62" s="94"/>
      <c r="D62" s="94"/>
      <c r="E62" s="95"/>
      <c r="F62" s="24">
        <v>2</v>
      </c>
      <c r="G62" s="24"/>
      <c r="H62" s="24" t="s">
        <v>133</v>
      </c>
      <c r="I62" s="24" t="s">
        <v>133</v>
      </c>
      <c r="J62" s="93"/>
      <c r="K62" s="94"/>
      <c r="L62" s="94"/>
      <c r="M62" s="94"/>
      <c r="N62" s="94"/>
      <c r="O62" s="95"/>
      <c r="P62" s="24"/>
      <c r="Q62" s="24"/>
      <c r="R62" s="24"/>
      <c r="S62" s="24"/>
    </row>
    <row r="63" spans="1:19" ht="18" customHeight="1" x14ac:dyDescent="0.15">
      <c r="A63" s="3"/>
      <c r="B63" s="93" t="s">
        <v>134</v>
      </c>
      <c r="C63" s="94"/>
      <c r="D63" s="94"/>
      <c r="E63" s="95"/>
      <c r="F63" s="24">
        <v>2</v>
      </c>
      <c r="G63" s="24"/>
      <c r="H63" s="24" t="s">
        <v>133</v>
      </c>
      <c r="I63" s="24" t="s">
        <v>133</v>
      </c>
      <c r="J63" s="93"/>
      <c r="K63" s="94"/>
      <c r="L63" s="94"/>
      <c r="M63" s="94"/>
      <c r="N63" s="94"/>
      <c r="O63" s="95"/>
      <c r="P63" s="24"/>
      <c r="Q63" s="24"/>
      <c r="R63" s="24"/>
      <c r="S63" s="24"/>
    </row>
    <row r="64" spans="1:19" ht="18" customHeight="1" x14ac:dyDescent="0.15">
      <c r="A64" s="3"/>
      <c r="B64" s="96" t="s">
        <v>165</v>
      </c>
      <c r="C64" s="97"/>
      <c r="D64" s="97"/>
      <c r="E64" s="98"/>
      <c r="F64" s="25">
        <v>2</v>
      </c>
      <c r="G64" s="25"/>
      <c r="H64" s="26" t="s">
        <v>133</v>
      </c>
      <c r="I64" s="26" t="s">
        <v>133</v>
      </c>
      <c r="J64" s="96"/>
      <c r="K64" s="97"/>
      <c r="L64" s="97"/>
      <c r="M64" s="97"/>
      <c r="N64" s="97"/>
      <c r="O64" s="98"/>
      <c r="P64" s="25"/>
      <c r="Q64" s="25"/>
      <c r="R64" s="26"/>
      <c r="S64" s="26"/>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102" t="s">
        <v>117</v>
      </c>
      <c r="B66" s="102"/>
      <c r="C66" s="102"/>
      <c r="D66" s="102"/>
      <c r="E66" s="102"/>
      <c r="F66" s="102"/>
      <c r="G66" s="102"/>
      <c r="H66" s="102"/>
      <c r="I66" s="102"/>
      <c r="J66" s="102"/>
      <c r="K66" s="102"/>
      <c r="L66" s="102"/>
      <c r="M66" s="102"/>
      <c r="N66" s="102"/>
      <c r="O66" s="102"/>
      <c r="P66" s="102"/>
      <c r="Q66" s="102"/>
      <c r="R66" s="102"/>
      <c r="S66" s="102"/>
    </row>
    <row r="67" spans="1:19" ht="18" customHeight="1" x14ac:dyDescent="0.15">
      <c r="A67" s="102"/>
      <c r="B67" s="102"/>
      <c r="C67" s="102"/>
      <c r="D67" s="102"/>
      <c r="E67" s="102"/>
      <c r="F67" s="102"/>
      <c r="G67" s="102"/>
      <c r="H67" s="102"/>
      <c r="I67" s="102"/>
      <c r="J67" s="102"/>
      <c r="K67" s="102"/>
      <c r="L67" s="102"/>
      <c r="M67" s="102"/>
      <c r="N67" s="102"/>
      <c r="O67" s="102"/>
      <c r="P67" s="102"/>
      <c r="Q67" s="102"/>
      <c r="R67" s="102"/>
      <c r="S67" s="102"/>
    </row>
    <row r="68" spans="1:19" ht="18" customHeight="1" x14ac:dyDescent="0.15">
      <c r="B68" s="99" t="s">
        <v>53</v>
      </c>
      <c r="C68" s="100"/>
      <c r="D68" s="100"/>
      <c r="E68" s="60" t="s">
        <v>80</v>
      </c>
      <c r="F68" s="59" t="s">
        <v>84</v>
      </c>
      <c r="G68" s="22" t="s">
        <v>101</v>
      </c>
      <c r="H68" s="22" t="s">
        <v>75</v>
      </c>
      <c r="I68" s="22" t="s">
        <v>76</v>
      </c>
      <c r="J68" s="99" t="s">
        <v>53</v>
      </c>
      <c r="K68" s="100"/>
      <c r="L68" s="100"/>
      <c r="M68" s="100"/>
      <c r="N68" s="101"/>
      <c r="O68" s="60" t="s">
        <v>80</v>
      </c>
      <c r="P68" s="59" t="s">
        <v>84</v>
      </c>
      <c r="Q68" s="22" t="s">
        <v>101</v>
      </c>
      <c r="R68" s="22" t="s">
        <v>75</v>
      </c>
      <c r="S68" s="22" t="s">
        <v>76</v>
      </c>
    </row>
    <row r="69" spans="1:19" ht="18" customHeight="1" x14ac:dyDescent="0.15">
      <c r="A69" s="3"/>
      <c r="B69" s="103" t="s">
        <v>135</v>
      </c>
      <c r="C69" s="104"/>
      <c r="D69" s="104"/>
      <c r="E69" s="23">
        <v>2</v>
      </c>
      <c r="F69" s="23"/>
      <c r="G69" s="23" t="s">
        <v>133</v>
      </c>
      <c r="H69" s="23" t="s">
        <v>133</v>
      </c>
      <c r="I69" s="23" t="s">
        <v>133</v>
      </c>
      <c r="J69" s="103" t="s">
        <v>141</v>
      </c>
      <c r="K69" s="104"/>
      <c r="L69" s="104"/>
      <c r="M69" s="104"/>
      <c r="N69" s="105"/>
      <c r="O69" s="23">
        <v>2</v>
      </c>
      <c r="P69" s="23"/>
      <c r="Q69" s="23" t="s">
        <v>133</v>
      </c>
      <c r="R69" s="23" t="s">
        <v>133</v>
      </c>
      <c r="S69" s="23" t="s">
        <v>133</v>
      </c>
    </row>
    <row r="70" spans="1:19" ht="18" customHeight="1" x14ac:dyDescent="0.15">
      <c r="A70" s="3"/>
      <c r="B70" s="93" t="s">
        <v>136</v>
      </c>
      <c r="C70" s="94"/>
      <c r="D70" s="94"/>
      <c r="E70" s="24">
        <v>2</v>
      </c>
      <c r="F70" s="24"/>
      <c r="G70" s="24" t="s">
        <v>133</v>
      </c>
      <c r="H70" s="24" t="s">
        <v>133</v>
      </c>
      <c r="I70" s="24" t="s">
        <v>133</v>
      </c>
      <c r="J70" s="93" t="s">
        <v>222</v>
      </c>
      <c r="K70" s="94"/>
      <c r="L70" s="94"/>
      <c r="M70" s="94"/>
      <c r="N70" s="95"/>
      <c r="O70" s="24">
        <v>2</v>
      </c>
      <c r="P70" s="24"/>
      <c r="Q70" s="24" t="s">
        <v>133</v>
      </c>
      <c r="R70" s="24" t="s">
        <v>133</v>
      </c>
      <c r="S70" s="24" t="s">
        <v>133</v>
      </c>
    </row>
    <row r="71" spans="1:19" ht="18" customHeight="1" x14ac:dyDescent="0.15">
      <c r="A71" s="3"/>
      <c r="B71" s="93" t="s">
        <v>140</v>
      </c>
      <c r="C71" s="94"/>
      <c r="D71" s="94"/>
      <c r="E71" s="24">
        <v>1</v>
      </c>
      <c r="F71" s="24" t="s">
        <v>133</v>
      </c>
      <c r="G71" s="24" t="s">
        <v>133</v>
      </c>
      <c r="H71" s="24" t="s">
        <v>133</v>
      </c>
      <c r="I71" s="24" t="s">
        <v>133</v>
      </c>
      <c r="J71" s="93"/>
      <c r="K71" s="94"/>
      <c r="L71" s="94"/>
      <c r="M71" s="94"/>
      <c r="N71" s="95"/>
      <c r="O71" s="24"/>
      <c r="P71" s="24"/>
      <c r="Q71" s="24"/>
      <c r="R71" s="24"/>
      <c r="S71" s="24"/>
    </row>
    <row r="72" spans="1:19" ht="18" customHeight="1" x14ac:dyDescent="0.15">
      <c r="A72" s="3"/>
      <c r="B72" s="93" t="s">
        <v>138</v>
      </c>
      <c r="C72" s="94"/>
      <c r="D72" s="94"/>
      <c r="E72" s="24">
        <v>2</v>
      </c>
      <c r="F72" s="24"/>
      <c r="G72" s="24" t="s">
        <v>133</v>
      </c>
      <c r="H72" s="24" t="s">
        <v>133</v>
      </c>
      <c r="I72" s="24" t="s">
        <v>133</v>
      </c>
      <c r="J72" s="93"/>
      <c r="K72" s="94"/>
      <c r="L72" s="94"/>
      <c r="M72" s="94"/>
      <c r="N72" s="95"/>
      <c r="O72" s="24"/>
      <c r="P72" s="24"/>
      <c r="Q72" s="24"/>
      <c r="R72" s="24"/>
      <c r="S72" s="24"/>
    </row>
    <row r="73" spans="1:19" ht="18" customHeight="1" x14ac:dyDescent="0.15">
      <c r="A73" s="3"/>
      <c r="B73" s="93" t="s">
        <v>139</v>
      </c>
      <c r="C73" s="94"/>
      <c r="D73" s="94"/>
      <c r="E73" s="24">
        <v>2</v>
      </c>
      <c r="F73" s="24"/>
      <c r="G73" s="24" t="s">
        <v>133</v>
      </c>
      <c r="H73" s="24" t="s">
        <v>133</v>
      </c>
      <c r="I73" s="24" t="s">
        <v>133</v>
      </c>
      <c r="J73" s="93"/>
      <c r="K73" s="94"/>
      <c r="L73" s="94"/>
      <c r="M73" s="94"/>
      <c r="N73" s="95"/>
      <c r="O73" s="24"/>
      <c r="P73" s="24"/>
      <c r="Q73" s="24"/>
      <c r="R73" s="24"/>
      <c r="S73" s="24"/>
    </row>
    <row r="74" spans="1:19" ht="18" customHeight="1" x14ac:dyDescent="0.15">
      <c r="A74" s="3"/>
      <c r="B74" s="93" t="s">
        <v>134</v>
      </c>
      <c r="C74" s="94"/>
      <c r="D74" s="94"/>
      <c r="E74" s="24">
        <v>2</v>
      </c>
      <c r="F74" s="24"/>
      <c r="G74" s="24" t="s">
        <v>133</v>
      </c>
      <c r="H74" s="24" t="s">
        <v>133</v>
      </c>
      <c r="I74" s="24" t="s">
        <v>133</v>
      </c>
      <c r="J74" s="93"/>
      <c r="K74" s="94"/>
      <c r="L74" s="94"/>
      <c r="M74" s="94"/>
      <c r="N74" s="95"/>
      <c r="O74" s="24"/>
      <c r="P74" s="24"/>
      <c r="Q74" s="24"/>
      <c r="R74" s="24"/>
      <c r="S74" s="24"/>
    </row>
    <row r="75" spans="1:19" ht="18" customHeight="1" x14ac:dyDescent="0.15">
      <c r="A75" s="3"/>
      <c r="B75" s="96" t="s">
        <v>165</v>
      </c>
      <c r="C75" s="97"/>
      <c r="D75" s="97"/>
      <c r="E75" s="25">
        <v>2</v>
      </c>
      <c r="F75" s="25"/>
      <c r="G75" s="26" t="s">
        <v>133</v>
      </c>
      <c r="H75" s="26" t="s">
        <v>133</v>
      </c>
      <c r="I75" s="26" t="s">
        <v>133</v>
      </c>
      <c r="J75" s="96"/>
      <c r="K75" s="97"/>
      <c r="L75" s="97"/>
      <c r="M75" s="97"/>
      <c r="N75" s="98"/>
      <c r="O75" s="25"/>
      <c r="P75" s="25"/>
      <c r="Q75" s="26"/>
      <c r="R75" s="26"/>
      <c r="S75" s="26"/>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118</v>
      </c>
      <c r="H77" s="3"/>
      <c r="I77" s="3"/>
      <c r="J77" s="3"/>
      <c r="K77" s="3"/>
      <c r="L77" s="3"/>
      <c r="M77" s="3"/>
      <c r="N77" s="3"/>
      <c r="O77" s="3"/>
      <c r="P77" s="3"/>
      <c r="Q77" s="3"/>
      <c r="R77" s="3"/>
      <c r="S77" s="3"/>
    </row>
    <row r="78" spans="1:19" ht="18" customHeight="1" x14ac:dyDescent="0.15">
      <c r="B78" s="99" t="s">
        <v>53</v>
      </c>
      <c r="C78" s="100"/>
      <c r="D78" s="100"/>
      <c r="E78" s="101"/>
      <c r="F78" s="99" t="s">
        <v>82</v>
      </c>
      <c r="G78" s="100"/>
      <c r="H78" s="100"/>
      <c r="I78" s="101"/>
      <c r="J78" s="148" t="s">
        <v>53</v>
      </c>
      <c r="K78" s="149"/>
      <c r="L78" s="149"/>
      <c r="M78" s="149"/>
      <c r="N78" s="149"/>
      <c r="O78" s="150"/>
      <c r="P78" s="99" t="s">
        <v>82</v>
      </c>
      <c r="Q78" s="100"/>
      <c r="R78" s="100"/>
      <c r="S78" s="101"/>
    </row>
    <row r="79" spans="1:19" ht="18" customHeight="1" x14ac:dyDescent="0.15">
      <c r="A79" s="3"/>
      <c r="B79" s="103" t="s">
        <v>223</v>
      </c>
      <c r="C79" s="104"/>
      <c r="D79" s="104"/>
      <c r="E79" s="105"/>
      <c r="F79" s="160" t="s">
        <v>160</v>
      </c>
      <c r="G79" s="161"/>
      <c r="H79" s="161"/>
      <c r="I79" s="162"/>
      <c r="J79" s="103"/>
      <c r="K79" s="104"/>
      <c r="L79" s="104"/>
      <c r="M79" s="104"/>
      <c r="N79" s="104"/>
      <c r="O79" s="105"/>
      <c r="P79" s="160"/>
      <c r="Q79" s="161"/>
      <c r="R79" s="161"/>
      <c r="S79" s="162"/>
    </row>
    <row r="80" spans="1:19" ht="18" customHeight="1" x14ac:dyDescent="0.15">
      <c r="A80" s="3"/>
      <c r="B80" s="93"/>
      <c r="C80" s="94"/>
      <c r="D80" s="94"/>
      <c r="E80" s="95"/>
      <c r="F80" s="132"/>
      <c r="G80" s="133"/>
      <c r="H80" s="133"/>
      <c r="I80" s="134"/>
      <c r="J80" s="93"/>
      <c r="K80" s="94"/>
      <c r="L80" s="94"/>
      <c r="M80" s="94"/>
      <c r="N80" s="94"/>
      <c r="O80" s="95"/>
      <c r="P80" s="132"/>
      <c r="Q80" s="133"/>
      <c r="R80" s="133"/>
      <c r="S80" s="134"/>
    </row>
    <row r="81" spans="1:19" ht="18" customHeight="1" x14ac:dyDescent="0.15">
      <c r="A81" s="3"/>
      <c r="B81" s="93"/>
      <c r="C81" s="94"/>
      <c r="D81" s="94"/>
      <c r="E81" s="95"/>
      <c r="F81" s="132"/>
      <c r="G81" s="133"/>
      <c r="H81" s="133"/>
      <c r="I81" s="134"/>
      <c r="J81" s="93"/>
      <c r="K81" s="94"/>
      <c r="L81" s="94"/>
      <c r="M81" s="94"/>
      <c r="N81" s="94"/>
      <c r="O81" s="95"/>
      <c r="P81" s="132"/>
      <c r="Q81" s="133"/>
      <c r="R81" s="133"/>
      <c r="S81" s="134"/>
    </row>
    <row r="82" spans="1:19" ht="18" customHeight="1" x14ac:dyDescent="0.15">
      <c r="A82" s="3"/>
      <c r="B82" s="93"/>
      <c r="C82" s="94"/>
      <c r="D82" s="94"/>
      <c r="E82" s="95"/>
      <c r="F82" s="132"/>
      <c r="G82" s="133"/>
      <c r="H82" s="133"/>
      <c r="I82" s="134"/>
      <c r="J82" s="93"/>
      <c r="K82" s="94"/>
      <c r="L82" s="94"/>
      <c r="M82" s="94"/>
      <c r="N82" s="94"/>
      <c r="O82" s="95"/>
      <c r="P82" s="132"/>
      <c r="Q82" s="133"/>
      <c r="R82" s="133"/>
      <c r="S82" s="134"/>
    </row>
    <row r="83" spans="1:19" ht="18" customHeight="1" x14ac:dyDescent="0.15">
      <c r="A83" s="3"/>
      <c r="B83" s="93"/>
      <c r="C83" s="94"/>
      <c r="D83" s="94"/>
      <c r="E83" s="95"/>
      <c r="F83" s="132"/>
      <c r="G83" s="133"/>
      <c r="H83" s="133"/>
      <c r="I83" s="134"/>
      <c r="J83" s="93"/>
      <c r="K83" s="94"/>
      <c r="L83" s="94"/>
      <c r="M83" s="94"/>
      <c r="N83" s="94"/>
      <c r="O83" s="95"/>
      <c r="P83" s="132"/>
      <c r="Q83" s="133"/>
      <c r="R83" s="133"/>
      <c r="S83" s="134"/>
    </row>
    <row r="84" spans="1:19" ht="18" customHeight="1" x14ac:dyDescent="0.15">
      <c r="A84" s="3"/>
      <c r="B84" s="93"/>
      <c r="C84" s="94"/>
      <c r="D84" s="94"/>
      <c r="E84" s="95"/>
      <c r="F84" s="132"/>
      <c r="G84" s="133"/>
      <c r="H84" s="133"/>
      <c r="I84" s="134"/>
      <c r="J84" s="93"/>
      <c r="K84" s="94"/>
      <c r="L84" s="94"/>
      <c r="M84" s="94"/>
      <c r="N84" s="94"/>
      <c r="O84" s="95"/>
      <c r="P84" s="132"/>
      <c r="Q84" s="133"/>
      <c r="R84" s="133"/>
      <c r="S84" s="134"/>
    </row>
    <row r="85" spans="1:19" ht="18" customHeight="1" x14ac:dyDescent="0.15">
      <c r="A85" s="3"/>
      <c r="B85" s="96"/>
      <c r="C85" s="97"/>
      <c r="D85" s="97"/>
      <c r="E85" s="98"/>
      <c r="F85" s="129"/>
      <c r="G85" s="130"/>
      <c r="H85" s="130"/>
      <c r="I85" s="131"/>
      <c r="J85" s="96"/>
      <c r="K85" s="97"/>
      <c r="L85" s="97"/>
      <c r="M85" s="97"/>
      <c r="N85" s="97"/>
      <c r="O85" s="98"/>
      <c r="P85" s="129"/>
      <c r="Q85" s="130"/>
      <c r="R85" s="130"/>
      <c r="S85" s="131"/>
    </row>
    <row r="86" spans="1:19" ht="18" customHeight="1" x14ac:dyDescent="0.15">
      <c r="A86" s="3"/>
      <c r="B86" s="6"/>
      <c r="C86" s="6"/>
      <c r="D86" s="6"/>
      <c r="E86" s="6"/>
      <c r="F86" s="27"/>
      <c r="G86" s="27"/>
      <c r="H86" s="27"/>
      <c r="I86" s="27"/>
      <c r="J86" s="6"/>
      <c r="K86" s="6"/>
      <c r="L86" s="6"/>
      <c r="M86" s="6"/>
      <c r="N86" s="6"/>
      <c r="O86" s="6"/>
      <c r="P86" s="27"/>
      <c r="Q86" s="27"/>
      <c r="R86" s="27"/>
      <c r="S86" s="27"/>
    </row>
    <row r="87" spans="1:19" ht="18.75" customHeight="1" x14ac:dyDescent="0.15">
      <c r="A87" s="1" t="s">
        <v>119</v>
      </c>
    </row>
    <row r="88" spans="1:19" ht="18.75" customHeight="1" x14ac:dyDescent="0.15">
      <c r="B88" s="158" t="s">
        <v>54</v>
      </c>
      <c r="C88" s="159"/>
      <c r="D88" s="100" t="s">
        <v>55</v>
      </c>
      <c r="E88" s="100"/>
      <c r="F88" s="100"/>
      <c r="G88" s="100"/>
      <c r="H88" s="100"/>
      <c r="I88" s="100"/>
      <c r="J88" s="100"/>
      <c r="K88" s="100"/>
      <c r="L88" s="100"/>
      <c r="M88" s="100"/>
      <c r="N88" s="100"/>
      <c r="O88" s="100"/>
      <c r="P88" s="100"/>
      <c r="Q88" s="100"/>
      <c r="R88" s="100"/>
      <c r="S88" s="101"/>
    </row>
    <row r="89" spans="1:19" ht="97.5" customHeight="1" x14ac:dyDescent="0.15">
      <c r="B89" s="146" t="s">
        <v>61</v>
      </c>
      <c r="C89" s="28" t="s">
        <v>56</v>
      </c>
      <c r="D89" s="156" t="s">
        <v>173</v>
      </c>
      <c r="E89" s="156"/>
      <c r="F89" s="156"/>
      <c r="G89" s="156"/>
      <c r="H89" s="156"/>
      <c r="I89" s="156"/>
      <c r="J89" s="156"/>
      <c r="K89" s="156"/>
      <c r="L89" s="156"/>
      <c r="M89" s="156"/>
      <c r="N89" s="156"/>
      <c r="O89" s="156"/>
      <c r="P89" s="156"/>
      <c r="Q89" s="156"/>
      <c r="R89" s="156"/>
      <c r="S89" s="157"/>
    </row>
    <row r="90" spans="1:19" ht="97.5" customHeight="1" x14ac:dyDescent="0.15">
      <c r="B90" s="151"/>
      <c r="C90" s="29" t="s">
        <v>77</v>
      </c>
      <c r="D90" s="135" t="s">
        <v>167</v>
      </c>
      <c r="E90" s="135"/>
      <c r="F90" s="135"/>
      <c r="G90" s="135"/>
      <c r="H90" s="135"/>
      <c r="I90" s="135"/>
      <c r="J90" s="135"/>
      <c r="K90" s="135"/>
      <c r="L90" s="135"/>
      <c r="M90" s="135"/>
      <c r="N90" s="135"/>
      <c r="O90" s="135"/>
      <c r="P90" s="135"/>
      <c r="Q90" s="135"/>
      <c r="R90" s="135"/>
      <c r="S90" s="136"/>
    </row>
    <row r="91" spans="1:19" ht="97.5" customHeight="1" x14ac:dyDescent="0.15">
      <c r="B91" s="146" t="s">
        <v>62</v>
      </c>
      <c r="C91" s="30" t="s">
        <v>71</v>
      </c>
      <c r="D91" s="137" t="s">
        <v>216</v>
      </c>
      <c r="E91" s="137"/>
      <c r="F91" s="137"/>
      <c r="G91" s="137"/>
      <c r="H91" s="137"/>
      <c r="I91" s="137"/>
      <c r="J91" s="137"/>
      <c r="K91" s="137"/>
      <c r="L91" s="137"/>
      <c r="M91" s="137"/>
      <c r="N91" s="137"/>
      <c r="O91" s="137"/>
      <c r="P91" s="137"/>
      <c r="Q91" s="137"/>
      <c r="R91" s="137"/>
      <c r="S91" s="138"/>
    </row>
    <row r="92" spans="1:19" ht="97.5" customHeight="1" x14ac:dyDescent="0.15">
      <c r="B92" s="147"/>
      <c r="C92" s="31" t="s">
        <v>72</v>
      </c>
      <c r="D92" s="141" t="s">
        <v>174</v>
      </c>
      <c r="E92" s="141"/>
      <c r="F92" s="141"/>
      <c r="G92" s="141"/>
      <c r="H92" s="141"/>
      <c r="I92" s="141"/>
      <c r="J92" s="141"/>
      <c r="K92" s="141"/>
      <c r="L92" s="141"/>
      <c r="M92" s="141"/>
      <c r="N92" s="141"/>
      <c r="O92" s="141"/>
      <c r="P92" s="141"/>
      <c r="Q92" s="141"/>
      <c r="R92" s="141"/>
      <c r="S92" s="142"/>
    </row>
    <row r="93" spans="1:19" ht="97.5" customHeight="1" x14ac:dyDescent="0.15">
      <c r="B93" s="146" t="s">
        <v>63</v>
      </c>
      <c r="C93" s="30" t="s">
        <v>73</v>
      </c>
      <c r="D93" s="137" t="s">
        <v>175</v>
      </c>
      <c r="E93" s="137"/>
      <c r="F93" s="137"/>
      <c r="G93" s="137"/>
      <c r="H93" s="137"/>
      <c r="I93" s="137"/>
      <c r="J93" s="137"/>
      <c r="K93" s="137"/>
      <c r="L93" s="137"/>
      <c r="M93" s="137"/>
      <c r="N93" s="137"/>
      <c r="O93" s="137"/>
      <c r="P93" s="137"/>
      <c r="Q93" s="137"/>
      <c r="R93" s="137"/>
      <c r="S93" s="138"/>
    </row>
    <row r="94" spans="1:19" ht="97.5" customHeight="1" x14ac:dyDescent="0.15">
      <c r="B94" s="147"/>
      <c r="C94" s="32" t="s">
        <v>74</v>
      </c>
      <c r="D94" s="139" t="s">
        <v>176</v>
      </c>
      <c r="E94" s="139"/>
      <c r="F94" s="139"/>
      <c r="G94" s="139"/>
      <c r="H94" s="139"/>
      <c r="I94" s="139"/>
      <c r="J94" s="139"/>
      <c r="K94" s="139"/>
      <c r="L94" s="139"/>
      <c r="M94" s="139"/>
      <c r="N94" s="139"/>
      <c r="O94" s="139"/>
      <c r="P94" s="139"/>
      <c r="Q94" s="139"/>
      <c r="R94" s="139"/>
      <c r="S94" s="140"/>
    </row>
    <row r="95" spans="1:19" ht="179.1" customHeight="1" x14ac:dyDescent="0.15">
      <c r="B95" s="146" t="s">
        <v>78</v>
      </c>
      <c r="C95" s="28" t="s">
        <v>58</v>
      </c>
      <c r="D95" s="156" t="s">
        <v>186</v>
      </c>
      <c r="E95" s="156"/>
      <c r="F95" s="156"/>
      <c r="G95" s="156"/>
      <c r="H95" s="156"/>
      <c r="I95" s="156"/>
      <c r="J95" s="156"/>
      <c r="K95" s="156"/>
      <c r="L95" s="156"/>
      <c r="M95" s="156"/>
      <c r="N95" s="156"/>
      <c r="O95" s="156"/>
      <c r="P95" s="156"/>
      <c r="Q95" s="156"/>
      <c r="R95" s="156"/>
      <c r="S95" s="157"/>
    </row>
    <row r="96" spans="1:19" ht="164.1" customHeight="1" x14ac:dyDescent="0.15">
      <c r="B96" s="147"/>
      <c r="C96" s="31" t="s">
        <v>60</v>
      </c>
      <c r="D96" s="141" t="s">
        <v>213</v>
      </c>
      <c r="E96" s="141"/>
      <c r="F96" s="141"/>
      <c r="G96" s="141"/>
      <c r="H96" s="141"/>
      <c r="I96" s="141"/>
      <c r="J96" s="141"/>
      <c r="K96" s="141"/>
      <c r="L96" s="141"/>
      <c r="M96" s="141"/>
      <c r="N96" s="141"/>
      <c r="O96" s="141"/>
      <c r="P96" s="141"/>
      <c r="Q96" s="141"/>
      <c r="R96" s="141"/>
      <c r="S96" s="142"/>
    </row>
    <row r="97" spans="1:19" ht="240" customHeight="1" x14ac:dyDescent="0.15">
      <c r="B97" s="146" t="s">
        <v>79</v>
      </c>
      <c r="C97" s="30" t="s">
        <v>57</v>
      </c>
      <c r="D97" s="152" t="s">
        <v>187</v>
      </c>
      <c r="E97" s="152"/>
      <c r="F97" s="152"/>
      <c r="G97" s="152"/>
      <c r="H97" s="152"/>
      <c r="I97" s="152"/>
      <c r="J97" s="152"/>
      <c r="K97" s="152"/>
      <c r="L97" s="152"/>
      <c r="M97" s="152"/>
      <c r="N97" s="152"/>
      <c r="O97" s="152"/>
      <c r="P97" s="152"/>
      <c r="Q97" s="152"/>
      <c r="R97" s="152"/>
      <c r="S97" s="153"/>
    </row>
    <row r="98" spans="1:19" ht="227.1" customHeight="1" x14ac:dyDescent="0.15">
      <c r="B98" s="151"/>
      <c r="C98" s="33" t="s">
        <v>75</v>
      </c>
      <c r="D98" s="143" t="s">
        <v>188</v>
      </c>
      <c r="E98" s="144"/>
      <c r="F98" s="144"/>
      <c r="G98" s="144"/>
      <c r="H98" s="144"/>
      <c r="I98" s="144"/>
      <c r="J98" s="144"/>
      <c r="K98" s="144"/>
      <c r="L98" s="144"/>
      <c r="M98" s="144"/>
      <c r="N98" s="144"/>
      <c r="O98" s="144"/>
      <c r="P98" s="144"/>
      <c r="Q98" s="144"/>
      <c r="R98" s="144"/>
      <c r="S98" s="145"/>
    </row>
    <row r="99" spans="1:19" ht="212.1" customHeight="1" x14ac:dyDescent="0.15">
      <c r="B99" s="147"/>
      <c r="C99" s="32" t="s">
        <v>76</v>
      </c>
      <c r="D99" s="154" t="s">
        <v>189</v>
      </c>
      <c r="E99" s="154"/>
      <c r="F99" s="154"/>
      <c r="G99" s="154"/>
      <c r="H99" s="154"/>
      <c r="I99" s="154"/>
      <c r="J99" s="154"/>
      <c r="K99" s="154"/>
      <c r="L99" s="154"/>
      <c r="M99" s="154"/>
      <c r="N99" s="154"/>
      <c r="O99" s="154"/>
      <c r="P99" s="154"/>
      <c r="Q99" s="154"/>
      <c r="R99" s="154"/>
      <c r="S99" s="155"/>
    </row>
    <row r="100" spans="1:19" ht="6" customHeight="1" x14ac:dyDescent="0.15"/>
    <row r="101" spans="1:19" ht="18.75" customHeight="1" x14ac:dyDescent="0.15">
      <c r="A101" s="1" t="s">
        <v>120</v>
      </c>
    </row>
    <row r="102" spans="1:19" ht="165.75" customHeight="1" x14ac:dyDescent="0.15">
      <c r="A102" s="85"/>
      <c r="B102" s="156" t="s">
        <v>224</v>
      </c>
      <c r="C102" s="156"/>
      <c r="D102" s="156"/>
      <c r="E102" s="156"/>
      <c r="F102" s="156"/>
      <c r="G102" s="156"/>
      <c r="H102" s="156"/>
      <c r="I102" s="156"/>
      <c r="J102" s="156"/>
      <c r="K102" s="156"/>
      <c r="L102" s="156"/>
      <c r="M102" s="156"/>
      <c r="N102" s="156"/>
      <c r="O102" s="156"/>
      <c r="P102" s="156"/>
      <c r="Q102" s="156"/>
      <c r="R102" s="156"/>
      <c r="S102" s="157"/>
    </row>
    <row r="103" spans="1:19" ht="165.75" customHeight="1" x14ac:dyDescent="0.15">
      <c r="A103" s="86"/>
      <c r="B103" s="139"/>
      <c r="C103" s="139"/>
      <c r="D103" s="139"/>
      <c r="E103" s="139"/>
      <c r="F103" s="139"/>
      <c r="G103" s="139"/>
      <c r="H103" s="139"/>
      <c r="I103" s="139"/>
      <c r="J103" s="139"/>
      <c r="K103" s="139"/>
      <c r="L103" s="139"/>
      <c r="M103" s="139"/>
      <c r="N103" s="139"/>
      <c r="O103" s="139"/>
      <c r="P103" s="139"/>
      <c r="Q103" s="139"/>
      <c r="R103" s="139"/>
      <c r="S103" s="140"/>
    </row>
    <row r="110" spans="1:19" ht="18" customHeight="1" x14ac:dyDescent="0.15"/>
  </sheetData>
  <mergeCells count="145">
    <mergeCell ref="B102:S103"/>
    <mergeCell ref="R1:S1"/>
    <mergeCell ref="A5:S5"/>
    <mergeCell ref="K7:S7"/>
    <mergeCell ref="B25:E25"/>
    <mergeCell ref="J25:O25"/>
    <mergeCell ref="B26:E26"/>
    <mergeCell ref="J26:O26"/>
    <mergeCell ref="B27:E27"/>
    <mergeCell ref="J27:O27"/>
    <mergeCell ref="C20:D20"/>
    <mergeCell ref="K20:S20"/>
    <mergeCell ref="A22:S23"/>
    <mergeCell ref="B24:E24"/>
    <mergeCell ref="J24:O24"/>
    <mergeCell ref="B31:E31"/>
    <mergeCell ref="J31:O31"/>
    <mergeCell ref="A33:S34"/>
    <mergeCell ref="B35:E35"/>
    <mergeCell ref="J35:O35"/>
    <mergeCell ref="B36:E36"/>
    <mergeCell ref="J36:O36"/>
    <mergeCell ref="B28:E28"/>
    <mergeCell ref="J28:O28"/>
    <mergeCell ref="B29:E29"/>
    <mergeCell ref="J29:O29"/>
    <mergeCell ref="B30:E30"/>
    <mergeCell ref="J30:O30"/>
    <mergeCell ref="B40:E40"/>
    <mergeCell ref="J40:O40"/>
    <mergeCell ref="B41:E41"/>
    <mergeCell ref="J41:O41"/>
    <mergeCell ref="B42:E42"/>
    <mergeCell ref="J42:O42"/>
    <mergeCell ref="B37:E37"/>
    <mergeCell ref="J37:O37"/>
    <mergeCell ref="B38:E38"/>
    <mergeCell ref="J38:O38"/>
    <mergeCell ref="B39:E39"/>
    <mergeCell ref="J39:O39"/>
    <mergeCell ref="B49:E49"/>
    <mergeCell ref="J49:O49"/>
    <mergeCell ref="B50:E50"/>
    <mergeCell ref="J50:O50"/>
    <mergeCell ref="B51:E51"/>
    <mergeCell ref="J51:O51"/>
    <mergeCell ref="A44:S45"/>
    <mergeCell ref="B46:E46"/>
    <mergeCell ref="J46:O46"/>
    <mergeCell ref="B47:E47"/>
    <mergeCell ref="J47:O47"/>
    <mergeCell ref="B48:E48"/>
    <mergeCell ref="J48:O48"/>
    <mergeCell ref="B58:E58"/>
    <mergeCell ref="J58:O58"/>
    <mergeCell ref="B59:E59"/>
    <mergeCell ref="J59:O59"/>
    <mergeCell ref="B60:E60"/>
    <mergeCell ref="J60:O60"/>
    <mergeCell ref="B52:E52"/>
    <mergeCell ref="J52:O52"/>
    <mergeCell ref="B53:E53"/>
    <mergeCell ref="J53:O53"/>
    <mergeCell ref="A55:S56"/>
    <mergeCell ref="B57:E57"/>
    <mergeCell ref="J57:O57"/>
    <mergeCell ref="B64:E64"/>
    <mergeCell ref="J64:O64"/>
    <mergeCell ref="A66:S67"/>
    <mergeCell ref="B68:D68"/>
    <mergeCell ref="J68:N68"/>
    <mergeCell ref="B69:D69"/>
    <mergeCell ref="J69:N69"/>
    <mergeCell ref="B61:E61"/>
    <mergeCell ref="J61:O61"/>
    <mergeCell ref="B62:E62"/>
    <mergeCell ref="J62:O62"/>
    <mergeCell ref="B63:E63"/>
    <mergeCell ref="J63:O63"/>
    <mergeCell ref="B73:D73"/>
    <mergeCell ref="J73:N73"/>
    <mergeCell ref="B74:D74"/>
    <mergeCell ref="J74:N74"/>
    <mergeCell ref="B75:D75"/>
    <mergeCell ref="J75:N75"/>
    <mergeCell ref="B70:D70"/>
    <mergeCell ref="J70:N70"/>
    <mergeCell ref="B71:D71"/>
    <mergeCell ref="J71:N71"/>
    <mergeCell ref="B72:D72"/>
    <mergeCell ref="J72:N72"/>
    <mergeCell ref="B80:E80"/>
    <mergeCell ref="F80:I80"/>
    <mergeCell ref="J80:O80"/>
    <mergeCell ref="P80:S80"/>
    <mergeCell ref="B81:E81"/>
    <mergeCell ref="F81:I81"/>
    <mergeCell ref="J81:O81"/>
    <mergeCell ref="P81:S81"/>
    <mergeCell ref="B78:E78"/>
    <mergeCell ref="F78:I78"/>
    <mergeCell ref="J78:O78"/>
    <mergeCell ref="P78:S78"/>
    <mergeCell ref="B79:E79"/>
    <mergeCell ref="F79:I79"/>
    <mergeCell ref="J79:O79"/>
    <mergeCell ref="P79:S79"/>
    <mergeCell ref="J84:O84"/>
    <mergeCell ref="P84:S84"/>
    <mergeCell ref="B85:E85"/>
    <mergeCell ref="F85:I85"/>
    <mergeCell ref="J85:O85"/>
    <mergeCell ref="P85:S85"/>
    <mergeCell ref="B82:E82"/>
    <mergeCell ref="F82:I82"/>
    <mergeCell ref="J82:O82"/>
    <mergeCell ref="P82:S82"/>
    <mergeCell ref="B83:E83"/>
    <mergeCell ref="F83:I83"/>
    <mergeCell ref="J83:O83"/>
    <mergeCell ref="P83:S83"/>
    <mergeCell ref="B97:B99"/>
    <mergeCell ref="D97:S97"/>
    <mergeCell ref="D98:S98"/>
    <mergeCell ref="D99:S99"/>
    <mergeCell ref="C2:I2"/>
    <mergeCell ref="C3:I3"/>
    <mergeCell ref="B9:S10"/>
    <mergeCell ref="B13:S18"/>
    <mergeCell ref="B93:B94"/>
    <mergeCell ref="D93:S93"/>
    <mergeCell ref="D94:S94"/>
    <mergeCell ref="B95:B96"/>
    <mergeCell ref="D95:S95"/>
    <mergeCell ref="D96:S96"/>
    <mergeCell ref="B88:C88"/>
    <mergeCell ref="D88:S88"/>
    <mergeCell ref="B89:B90"/>
    <mergeCell ref="D89:S89"/>
    <mergeCell ref="D90:S90"/>
    <mergeCell ref="B91:B92"/>
    <mergeCell ref="D91:S91"/>
    <mergeCell ref="D92:S92"/>
    <mergeCell ref="B84:E84"/>
    <mergeCell ref="F84:I84"/>
  </mergeCells>
  <phoneticPr fontId="1"/>
  <conditionalFormatting sqref="B9:S10">
    <cfRule type="expression" dxfId="1" priority="1">
      <formula>$K$7="学部・学科によって、修了要件は相違しない"</formula>
    </cfRule>
  </conditionalFormatting>
  <dataValidations count="5">
    <dataValidation type="list" allowBlank="1" showInputMessage="1" showErrorMessage="1" sqref="K20:S20" xr:uid="{220107AA-617D-460B-87D2-819E5D31A898}">
      <formula1>$V$14:$V$16</formula1>
    </dataValidation>
    <dataValidation type="list" allowBlank="1" showInputMessage="1" showErrorMessage="1" sqref="F79:F86 P79:P86 G79:I80 G83:I86 Q83:S86 Q79:S80" xr:uid="{A6D1221F-D535-4627-B2B0-311B7E613F01}">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xr:uid="{6C208D33-38B0-4AC3-9C66-8E22A6D41FC4}">
      <formula1>"学部・学科によって、修了要件は相違する,学部・学科によって、修了要件は相違しない"</formula1>
    </dataValidation>
    <dataValidation type="list" allowBlank="1" showInputMessage="1" showErrorMessage="1" sqref="S32 S43 D32:G32 D43:G43" xr:uid="{A2363B11-09EB-4753-B857-3315AD552E28}">
      <formula1>"全学開講,一部開講"</formula1>
    </dataValidation>
    <dataValidation type="list" allowBlank="1" showInputMessage="1" showErrorMessage="1" sqref="P69:S75 Q25:S31 G25:I31 Q36:S42 G36:I42 Q47:S53 G47:I53 Q58:S64 G58:I64 F69:I75" xr:uid="{1BA8A55D-5040-4F4B-90AF-D0C8B8BB4840}">
      <formula1>"○"</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F1ECF-CF8D-46F5-98D5-3A4989AE1D7C}">
  <sheetPr>
    <pageSetUpPr fitToPage="1"/>
  </sheetPr>
  <dimension ref="A1:V110"/>
  <sheetViews>
    <sheetView showZeros="0" tabSelected="1" view="pageBreakPreview" zoomScale="150" zoomScaleNormal="100" zoomScaleSheetLayoutView="150" workbookViewId="0">
      <selection activeCell="R1" sqref="R1:S1"/>
    </sheetView>
  </sheetViews>
  <sheetFormatPr defaultColWidth="9" defaultRowHeight="18.75" customHeight="1" x14ac:dyDescent="0.15"/>
  <cols>
    <col min="1" max="1" width="3.87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06" t="s">
        <v>227</v>
      </c>
      <c r="S1" s="106"/>
      <c r="T1" s="2" t="s">
        <v>109</v>
      </c>
    </row>
    <row r="2" spans="1:22" ht="18.75" customHeight="1" x14ac:dyDescent="0.15">
      <c r="B2" s="34" t="s">
        <v>108</v>
      </c>
      <c r="C2" s="99" t="s">
        <v>126</v>
      </c>
      <c r="D2" s="100"/>
      <c r="E2" s="100"/>
      <c r="F2" s="100"/>
      <c r="G2" s="100"/>
      <c r="H2" s="100"/>
      <c r="I2" s="101"/>
      <c r="J2" s="35"/>
      <c r="K2" s="6"/>
      <c r="L2" s="6"/>
      <c r="M2" s="6"/>
      <c r="N2" s="6"/>
      <c r="O2" s="6"/>
      <c r="P2" s="6"/>
      <c r="Q2" s="6"/>
      <c r="R2" s="6"/>
      <c r="S2" s="6"/>
    </row>
    <row r="3" spans="1:22" ht="33.6" customHeight="1" x14ac:dyDescent="0.15">
      <c r="B3" s="34" t="s">
        <v>102</v>
      </c>
      <c r="C3" s="110" t="s">
        <v>144</v>
      </c>
      <c r="D3" s="111"/>
      <c r="E3" s="111"/>
      <c r="F3" s="111"/>
      <c r="G3" s="111"/>
      <c r="H3" s="111"/>
      <c r="I3" s="112"/>
      <c r="J3" s="35"/>
      <c r="K3" s="6"/>
      <c r="L3" s="6"/>
      <c r="M3" s="6"/>
      <c r="N3" s="6"/>
      <c r="O3" s="6"/>
      <c r="P3" s="6"/>
      <c r="Q3" s="6"/>
      <c r="R3" s="6"/>
      <c r="S3" s="6"/>
    </row>
    <row r="4" spans="1:22" ht="15" customHeight="1" x14ac:dyDescent="0.15">
      <c r="K4" s="35"/>
      <c r="L4" s="36"/>
      <c r="M4" s="36"/>
      <c r="N4" s="36"/>
      <c r="O4" s="36"/>
      <c r="P4" s="36"/>
      <c r="Q4" s="36"/>
      <c r="R4" s="36"/>
      <c r="S4" s="36"/>
    </row>
    <row r="5" spans="1:22" ht="18" customHeight="1" x14ac:dyDescent="0.15">
      <c r="A5" s="113" t="s">
        <v>38</v>
      </c>
      <c r="B5" s="113"/>
      <c r="C5" s="113"/>
      <c r="D5" s="113"/>
      <c r="E5" s="113"/>
      <c r="F5" s="113"/>
      <c r="G5" s="113"/>
      <c r="H5" s="113"/>
      <c r="I5" s="113"/>
      <c r="J5" s="113"/>
      <c r="K5" s="113"/>
      <c r="L5" s="113"/>
      <c r="M5" s="113"/>
      <c r="N5" s="113"/>
      <c r="O5" s="113"/>
      <c r="P5" s="113"/>
      <c r="Q5" s="113"/>
      <c r="R5" s="113"/>
      <c r="S5" s="113"/>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124</v>
      </c>
      <c r="C7" s="3"/>
      <c r="J7" s="37" t="s">
        <v>107</v>
      </c>
      <c r="K7" s="123" t="s">
        <v>127</v>
      </c>
      <c r="L7" s="124"/>
      <c r="M7" s="124"/>
      <c r="N7" s="124"/>
      <c r="O7" s="124"/>
      <c r="P7" s="124"/>
      <c r="Q7" s="124"/>
      <c r="R7" s="124"/>
      <c r="S7" s="125"/>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87" t="s">
        <v>145</v>
      </c>
      <c r="C9" s="88"/>
      <c r="D9" s="88"/>
      <c r="E9" s="88"/>
      <c r="F9" s="88"/>
      <c r="G9" s="88"/>
      <c r="H9" s="88"/>
      <c r="I9" s="88"/>
      <c r="J9" s="88"/>
      <c r="K9" s="88"/>
      <c r="L9" s="88"/>
      <c r="M9" s="88"/>
      <c r="N9" s="88"/>
      <c r="O9" s="88"/>
      <c r="P9" s="88"/>
      <c r="Q9" s="88"/>
      <c r="R9" s="88"/>
      <c r="S9" s="89"/>
    </row>
    <row r="10" spans="1:22" ht="18" customHeight="1" x14ac:dyDescent="0.15">
      <c r="B10" s="90"/>
      <c r="C10" s="91"/>
      <c r="D10" s="91"/>
      <c r="E10" s="91"/>
      <c r="F10" s="91"/>
      <c r="G10" s="91"/>
      <c r="H10" s="91"/>
      <c r="I10" s="91"/>
      <c r="J10" s="91"/>
      <c r="K10" s="91"/>
      <c r="L10" s="91"/>
      <c r="M10" s="91"/>
      <c r="N10" s="91"/>
      <c r="O10" s="91"/>
      <c r="P10" s="91"/>
      <c r="Q10" s="91"/>
      <c r="R10" s="91"/>
      <c r="S10" s="92"/>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111</v>
      </c>
      <c r="B12" s="3"/>
      <c r="C12" s="3"/>
      <c r="D12" s="35"/>
      <c r="E12" s="35"/>
      <c r="F12" s="35"/>
      <c r="G12" s="35"/>
      <c r="H12" s="35"/>
      <c r="I12" s="35"/>
      <c r="J12" s="35"/>
      <c r="K12" s="38"/>
      <c r="L12" s="38"/>
      <c r="M12" s="38"/>
      <c r="N12" s="38"/>
      <c r="O12" s="38"/>
      <c r="P12" s="38"/>
      <c r="Q12" s="38"/>
      <c r="R12" s="38"/>
      <c r="S12" s="38"/>
    </row>
    <row r="13" spans="1:22" ht="18" customHeight="1" x14ac:dyDescent="0.15">
      <c r="B13" s="114" t="s">
        <v>194</v>
      </c>
      <c r="C13" s="115"/>
      <c r="D13" s="115"/>
      <c r="E13" s="115"/>
      <c r="F13" s="115"/>
      <c r="G13" s="115"/>
      <c r="H13" s="115"/>
      <c r="I13" s="115"/>
      <c r="J13" s="115"/>
      <c r="K13" s="115"/>
      <c r="L13" s="115"/>
      <c r="M13" s="115"/>
      <c r="N13" s="115"/>
      <c r="O13" s="115"/>
      <c r="P13" s="115"/>
      <c r="Q13" s="115"/>
      <c r="R13" s="115"/>
      <c r="S13" s="116"/>
      <c r="V13" s="1" t="s">
        <v>103</v>
      </c>
    </row>
    <row r="14" spans="1:22" ht="18" customHeight="1" x14ac:dyDescent="0.15">
      <c r="B14" s="117"/>
      <c r="C14" s="118"/>
      <c r="D14" s="118"/>
      <c r="E14" s="118"/>
      <c r="F14" s="118"/>
      <c r="G14" s="118"/>
      <c r="H14" s="118"/>
      <c r="I14" s="118"/>
      <c r="J14" s="118"/>
      <c r="K14" s="118"/>
      <c r="L14" s="118"/>
      <c r="M14" s="118"/>
      <c r="N14" s="118"/>
      <c r="O14" s="118"/>
      <c r="P14" s="118"/>
      <c r="Q14" s="118"/>
      <c r="R14" s="118"/>
      <c r="S14" s="119"/>
      <c r="V14" s="1" t="s">
        <v>110</v>
      </c>
    </row>
    <row r="15" spans="1:22" ht="18" customHeight="1" x14ac:dyDescent="0.15">
      <c r="B15" s="117"/>
      <c r="C15" s="118"/>
      <c r="D15" s="118"/>
      <c r="E15" s="118"/>
      <c r="F15" s="118"/>
      <c r="G15" s="118"/>
      <c r="H15" s="118"/>
      <c r="I15" s="118"/>
      <c r="J15" s="118"/>
      <c r="K15" s="118"/>
      <c r="L15" s="118"/>
      <c r="M15" s="118"/>
      <c r="N15" s="118"/>
      <c r="O15" s="118"/>
      <c r="P15" s="118"/>
      <c r="Q15" s="118"/>
      <c r="R15" s="118"/>
      <c r="S15" s="119"/>
      <c r="V15" s="1" t="s">
        <v>123</v>
      </c>
    </row>
    <row r="16" spans="1:22" ht="18" customHeight="1" x14ac:dyDescent="0.15">
      <c r="B16" s="117"/>
      <c r="C16" s="118"/>
      <c r="D16" s="118"/>
      <c r="E16" s="118"/>
      <c r="F16" s="118"/>
      <c r="G16" s="118"/>
      <c r="H16" s="118"/>
      <c r="I16" s="118"/>
      <c r="J16" s="118"/>
      <c r="K16" s="118"/>
      <c r="L16" s="118"/>
      <c r="M16" s="118"/>
      <c r="N16" s="118"/>
      <c r="O16" s="118"/>
      <c r="P16" s="118"/>
      <c r="Q16" s="118"/>
      <c r="R16" s="118"/>
      <c r="S16" s="119"/>
      <c r="V16" s="1" t="s">
        <v>125</v>
      </c>
    </row>
    <row r="17" spans="1:19" ht="18" customHeight="1" x14ac:dyDescent="0.15">
      <c r="B17" s="117"/>
      <c r="C17" s="118"/>
      <c r="D17" s="118"/>
      <c r="E17" s="118"/>
      <c r="F17" s="118"/>
      <c r="G17" s="118"/>
      <c r="H17" s="118"/>
      <c r="I17" s="118"/>
      <c r="J17" s="118"/>
      <c r="K17" s="118"/>
      <c r="L17" s="118"/>
      <c r="M17" s="118"/>
      <c r="N17" s="118"/>
      <c r="O17" s="118"/>
      <c r="P17" s="118"/>
      <c r="Q17" s="118"/>
      <c r="R17" s="118"/>
      <c r="S17" s="119"/>
    </row>
    <row r="18" spans="1:19" ht="18" customHeight="1" x14ac:dyDescent="0.15">
      <c r="B18" s="120"/>
      <c r="C18" s="121"/>
      <c r="D18" s="121"/>
      <c r="E18" s="121"/>
      <c r="F18" s="121"/>
      <c r="G18" s="121"/>
      <c r="H18" s="121"/>
      <c r="I18" s="121"/>
      <c r="J18" s="121"/>
      <c r="K18" s="121"/>
      <c r="L18" s="121"/>
      <c r="M18" s="121"/>
      <c r="N18" s="121"/>
      <c r="O18" s="121"/>
      <c r="P18" s="121"/>
      <c r="Q18" s="121"/>
      <c r="R18" s="121"/>
      <c r="S18" s="122"/>
    </row>
    <row r="19" spans="1:19" ht="7.5" customHeight="1" x14ac:dyDescent="0.15">
      <c r="B19" s="3"/>
      <c r="C19" s="3"/>
      <c r="D19" s="3"/>
      <c r="E19" s="3"/>
      <c r="F19" s="3"/>
      <c r="G19" s="3"/>
      <c r="H19" s="3"/>
      <c r="I19" s="3"/>
      <c r="J19" s="3"/>
      <c r="K19" s="3"/>
      <c r="L19" s="3"/>
      <c r="M19" s="3"/>
      <c r="N19" s="3"/>
      <c r="O19" s="3"/>
      <c r="P19" s="3"/>
      <c r="Q19" s="3"/>
      <c r="R19" s="3"/>
      <c r="S19" s="3"/>
    </row>
    <row r="20" spans="1:19" ht="20.100000000000001" customHeight="1" x14ac:dyDescent="0.15">
      <c r="B20" s="1" t="s">
        <v>112</v>
      </c>
      <c r="C20" s="99">
        <v>8</v>
      </c>
      <c r="D20" s="101"/>
      <c r="E20" s="39" t="s">
        <v>95</v>
      </c>
      <c r="G20" s="10"/>
      <c r="H20" s="3"/>
      <c r="I20" s="3"/>
      <c r="J20" s="35" t="s">
        <v>121</v>
      </c>
      <c r="K20" s="107" t="s">
        <v>110</v>
      </c>
      <c r="L20" s="108"/>
      <c r="M20" s="108"/>
      <c r="N20" s="108"/>
      <c r="O20" s="108"/>
      <c r="P20" s="108"/>
      <c r="Q20" s="108"/>
      <c r="R20" s="108"/>
      <c r="S20" s="109"/>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102" t="s">
        <v>113</v>
      </c>
      <c r="B22" s="102"/>
      <c r="C22" s="102"/>
      <c r="D22" s="102"/>
      <c r="E22" s="102"/>
      <c r="F22" s="102"/>
      <c r="G22" s="102"/>
      <c r="H22" s="102"/>
      <c r="I22" s="102"/>
      <c r="J22" s="102"/>
      <c r="K22" s="102"/>
      <c r="L22" s="102"/>
      <c r="M22" s="102"/>
      <c r="N22" s="102"/>
      <c r="O22" s="102"/>
      <c r="P22" s="102"/>
      <c r="Q22" s="102"/>
      <c r="R22" s="102"/>
      <c r="S22" s="102"/>
    </row>
    <row r="23" spans="1:19" ht="18" customHeight="1" x14ac:dyDescent="0.15">
      <c r="A23" s="102"/>
      <c r="B23" s="102"/>
      <c r="C23" s="102"/>
      <c r="D23" s="102"/>
      <c r="E23" s="102"/>
      <c r="F23" s="102"/>
      <c r="G23" s="102"/>
      <c r="H23" s="102"/>
      <c r="I23" s="102"/>
      <c r="J23" s="102"/>
      <c r="K23" s="102"/>
      <c r="L23" s="102"/>
      <c r="M23" s="102"/>
      <c r="N23" s="102"/>
      <c r="O23" s="102"/>
      <c r="P23" s="102"/>
      <c r="Q23" s="102"/>
      <c r="R23" s="102"/>
      <c r="S23" s="102"/>
    </row>
    <row r="24" spans="1:19" ht="18" customHeight="1" x14ac:dyDescent="0.15">
      <c r="B24" s="99" t="s">
        <v>53</v>
      </c>
      <c r="C24" s="100"/>
      <c r="D24" s="100"/>
      <c r="E24" s="101"/>
      <c r="F24" s="60" t="s">
        <v>80</v>
      </c>
      <c r="G24" s="59" t="s">
        <v>84</v>
      </c>
      <c r="H24" s="22" t="s">
        <v>56</v>
      </c>
      <c r="I24" s="22" t="s">
        <v>59</v>
      </c>
      <c r="J24" s="99" t="s">
        <v>53</v>
      </c>
      <c r="K24" s="100"/>
      <c r="L24" s="100"/>
      <c r="M24" s="100"/>
      <c r="N24" s="100"/>
      <c r="O24" s="101"/>
      <c r="P24" s="60" t="s">
        <v>80</v>
      </c>
      <c r="Q24" s="59" t="s">
        <v>84</v>
      </c>
      <c r="R24" s="22" t="s">
        <v>56</v>
      </c>
      <c r="S24" s="22" t="s">
        <v>59</v>
      </c>
    </row>
    <row r="25" spans="1:19" ht="18" customHeight="1" x14ac:dyDescent="0.15">
      <c r="B25" s="103" t="s">
        <v>130</v>
      </c>
      <c r="C25" s="104"/>
      <c r="D25" s="104"/>
      <c r="E25" s="105"/>
      <c r="F25" s="23">
        <v>2</v>
      </c>
      <c r="G25" s="23" t="s">
        <v>133</v>
      </c>
      <c r="H25" s="23" t="s">
        <v>133</v>
      </c>
      <c r="I25" s="23" t="s">
        <v>133</v>
      </c>
      <c r="J25" s="103"/>
      <c r="K25" s="104"/>
      <c r="L25" s="104"/>
      <c r="M25" s="104"/>
      <c r="N25" s="104"/>
      <c r="O25" s="105"/>
      <c r="P25" s="23"/>
      <c r="Q25" s="23"/>
      <c r="R25" s="23"/>
      <c r="S25" s="23"/>
    </row>
    <row r="26" spans="1:19" ht="18" customHeight="1" x14ac:dyDescent="0.15">
      <c r="B26" s="93" t="s">
        <v>132</v>
      </c>
      <c r="C26" s="94"/>
      <c r="D26" s="94"/>
      <c r="E26" s="95"/>
      <c r="F26" s="24">
        <v>1</v>
      </c>
      <c r="G26" s="24" t="s">
        <v>133</v>
      </c>
      <c r="H26" s="24" t="s">
        <v>133</v>
      </c>
      <c r="I26" s="24"/>
      <c r="J26" s="93"/>
      <c r="K26" s="94"/>
      <c r="L26" s="94"/>
      <c r="M26" s="94"/>
      <c r="N26" s="94"/>
      <c r="O26" s="95"/>
      <c r="P26" s="24"/>
      <c r="Q26" s="24"/>
      <c r="R26" s="24"/>
      <c r="S26" s="24"/>
    </row>
    <row r="27" spans="1:19" ht="18" customHeight="1" x14ac:dyDescent="0.15">
      <c r="B27" s="93"/>
      <c r="C27" s="94"/>
      <c r="D27" s="94"/>
      <c r="E27" s="95"/>
      <c r="F27" s="24"/>
      <c r="G27" s="24"/>
      <c r="H27" s="24"/>
      <c r="I27" s="24"/>
      <c r="J27" s="93"/>
      <c r="K27" s="94"/>
      <c r="L27" s="94"/>
      <c r="M27" s="94"/>
      <c r="N27" s="94"/>
      <c r="O27" s="95"/>
      <c r="P27" s="24"/>
      <c r="Q27" s="24"/>
      <c r="R27" s="24"/>
      <c r="S27" s="24"/>
    </row>
    <row r="28" spans="1:19" ht="18" customHeight="1" x14ac:dyDescent="0.15">
      <c r="B28" s="93"/>
      <c r="C28" s="94"/>
      <c r="D28" s="94"/>
      <c r="E28" s="95"/>
      <c r="F28" s="24"/>
      <c r="G28" s="24"/>
      <c r="H28" s="24"/>
      <c r="I28" s="24"/>
      <c r="J28" s="93"/>
      <c r="K28" s="94"/>
      <c r="L28" s="94"/>
      <c r="M28" s="94"/>
      <c r="N28" s="94"/>
      <c r="O28" s="95"/>
      <c r="P28" s="24"/>
      <c r="Q28" s="24"/>
      <c r="R28" s="24"/>
      <c r="S28" s="24"/>
    </row>
    <row r="29" spans="1:19" ht="18" customHeight="1" x14ac:dyDescent="0.15">
      <c r="B29" s="93"/>
      <c r="C29" s="94"/>
      <c r="D29" s="94"/>
      <c r="E29" s="95"/>
      <c r="F29" s="24"/>
      <c r="G29" s="24"/>
      <c r="H29" s="24"/>
      <c r="I29" s="24"/>
      <c r="J29" s="93"/>
      <c r="K29" s="94"/>
      <c r="L29" s="94"/>
      <c r="M29" s="94"/>
      <c r="N29" s="94"/>
      <c r="O29" s="95"/>
      <c r="P29" s="24"/>
      <c r="Q29" s="24"/>
      <c r="R29" s="24"/>
      <c r="S29" s="24"/>
    </row>
    <row r="30" spans="1:19" ht="18" customHeight="1" x14ac:dyDescent="0.15">
      <c r="A30" s="3"/>
      <c r="B30" s="93"/>
      <c r="C30" s="94"/>
      <c r="D30" s="94"/>
      <c r="E30" s="95"/>
      <c r="F30" s="24"/>
      <c r="G30" s="24"/>
      <c r="H30" s="24"/>
      <c r="I30" s="24"/>
      <c r="J30" s="93"/>
      <c r="K30" s="94"/>
      <c r="L30" s="94"/>
      <c r="M30" s="94"/>
      <c r="N30" s="94"/>
      <c r="O30" s="95"/>
      <c r="P30" s="24"/>
      <c r="Q30" s="24"/>
      <c r="R30" s="24"/>
      <c r="S30" s="24"/>
    </row>
    <row r="31" spans="1:19" ht="18" customHeight="1" x14ac:dyDescent="0.15">
      <c r="A31" s="3"/>
      <c r="B31" s="96"/>
      <c r="C31" s="97"/>
      <c r="D31" s="97"/>
      <c r="E31" s="98"/>
      <c r="F31" s="25"/>
      <c r="G31" s="25"/>
      <c r="H31" s="26"/>
      <c r="I31" s="26"/>
      <c r="J31" s="96"/>
      <c r="K31" s="97"/>
      <c r="L31" s="97"/>
      <c r="M31" s="97"/>
      <c r="N31" s="97"/>
      <c r="O31" s="98"/>
      <c r="P31" s="25"/>
      <c r="Q31" s="25"/>
      <c r="R31" s="26"/>
      <c r="S31" s="26"/>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102" t="s">
        <v>114</v>
      </c>
      <c r="B33" s="102"/>
      <c r="C33" s="102"/>
      <c r="D33" s="102"/>
      <c r="E33" s="102"/>
      <c r="F33" s="102"/>
      <c r="G33" s="102"/>
      <c r="H33" s="102"/>
      <c r="I33" s="102"/>
      <c r="J33" s="102"/>
      <c r="K33" s="102"/>
      <c r="L33" s="102"/>
      <c r="M33" s="102"/>
      <c r="N33" s="102"/>
      <c r="O33" s="102"/>
      <c r="P33" s="102"/>
      <c r="Q33" s="102"/>
      <c r="R33" s="102"/>
      <c r="S33" s="102"/>
    </row>
    <row r="34" spans="1:19" ht="18" customHeight="1" x14ac:dyDescent="0.15">
      <c r="A34" s="102"/>
      <c r="B34" s="102"/>
      <c r="C34" s="102"/>
      <c r="D34" s="102"/>
      <c r="E34" s="102"/>
      <c r="F34" s="102"/>
      <c r="G34" s="102"/>
      <c r="H34" s="102"/>
      <c r="I34" s="102"/>
      <c r="J34" s="102"/>
      <c r="K34" s="102"/>
      <c r="L34" s="102"/>
      <c r="M34" s="102"/>
      <c r="N34" s="102"/>
      <c r="O34" s="102"/>
      <c r="P34" s="102"/>
      <c r="Q34" s="102"/>
      <c r="R34" s="102"/>
      <c r="S34" s="102"/>
    </row>
    <row r="35" spans="1:19" ht="18" customHeight="1" x14ac:dyDescent="0.15">
      <c r="B35" s="99" t="s">
        <v>53</v>
      </c>
      <c r="C35" s="100"/>
      <c r="D35" s="100"/>
      <c r="E35" s="101"/>
      <c r="F35" s="60" t="s">
        <v>80</v>
      </c>
      <c r="G35" s="59" t="s">
        <v>84</v>
      </c>
      <c r="H35" s="22" t="s">
        <v>71</v>
      </c>
      <c r="I35" s="22" t="s">
        <v>72</v>
      </c>
      <c r="J35" s="99" t="s">
        <v>53</v>
      </c>
      <c r="K35" s="100"/>
      <c r="L35" s="100"/>
      <c r="M35" s="100"/>
      <c r="N35" s="100"/>
      <c r="O35" s="101"/>
      <c r="P35" s="60" t="s">
        <v>80</v>
      </c>
      <c r="Q35" s="59" t="s">
        <v>84</v>
      </c>
      <c r="R35" s="22" t="s">
        <v>71</v>
      </c>
      <c r="S35" s="22" t="s">
        <v>72</v>
      </c>
    </row>
    <row r="36" spans="1:19" ht="18" customHeight="1" x14ac:dyDescent="0.15">
      <c r="B36" s="103" t="s">
        <v>130</v>
      </c>
      <c r="C36" s="104"/>
      <c r="D36" s="104"/>
      <c r="E36" s="105"/>
      <c r="F36" s="23">
        <v>2</v>
      </c>
      <c r="G36" s="23" t="s">
        <v>133</v>
      </c>
      <c r="H36" s="23" t="s">
        <v>133</v>
      </c>
      <c r="I36" s="23" t="s">
        <v>133</v>
      </c>
      <c r="J36" s="103"/>
      <c r="K36" s="104"/>
      <c r="L36" s="104"/>
      <c r="M36" s="104"/>
      <c r="N36" s="104"/>
      <c r="O36" s="105"/>
      <c r="P36" s="23"/>
      <c r="Q36" s="23"/>
      <c r="R36" s="23"/>
      <c r="S36" s="23"/>
    </row>
    <row r="37" spans="1:19" ht="18" customHeight="1" x14ac:dyDescent="0.15">
      <c r="B37" s="93" t="s">
        <v>134</v>
      </c>
      <c r="C37" s="94"/>
      <c r="D37" s="94"/>
      <c r="E37" s="95"/>
      <c r="F37" s="24">
        <v>2</v>
      </c>
      <c r="G37" s="24"/>
      <c r="H37" s="24" t="s">
        <v>133</v>
      </c>
      <c r="I37" s="24" t="s">
        <v>133</v>
      </c>
      <c r="J37" s="93"/>
      <c r="K37" s="94"/>
      <c r="L37" s="94"/>
      <c r="M37" s="94"/>
      <c r="N37" s="94"/>
      <c r="O37" s="95"/>
      <c r="P37" s="24"/>
      <c r="Q37" s="24"/>
      <c r="R37" s="24"/>
      <c r="S37" s="24"/>
    </row>
    <row r="38" spans="1:19" ht="18" customHeight="1" x14ac:dyDescent="0.15">
      <c r="B38" s="93" t="s">
        <v>163</v>
      </c>
      <c r="C38" s="94"/>
      <c r="D38" s="94"/>
      <c r="E38" s="95"/>
      <c r="F38" s="24">
        <v>2</v>
      </c>
      <c r="G38" s="24"/>
      <c r="H38" s="24" t="s">
        <v>133</v>
      </c>
      <c r="I38" s="24" t="s">
        <v>133</v>
      </c>
      <c r="J38" s="93"/>
      <c r="K38" s="94"/>
      <c r="L38" s="94"/>
      <c r="M38" s="94"/>
      <c r="N38" s="94"/>
      <c r="O38" s="95"/>
      <c r="P38" s="24"/>
      <c r="Q38" s="24"/>
      <c r="R38" s="24"/>
      <c r="S38" s="24"/>
    </row>
    <row r="39" spans="1:19" ht="18" customHeight="1" x14ac:dyDescent="0.15">
      <c r="B39" s="93" t="s">
        <v>142</v>
      </c>
      <c r="C39" s="94"/>
      <c r="D39" s="94"/>
      <c r="E39" s="95"/>
      <c r="F39" s="24">
        <v>1</v>
      </c>
      <c r="G39" s="24" t="s">
        <v>133</v>
      </c>
      <c r="H39" s="24" t="s">
        <v>133</v>
      </c>
      <c r="I39" s="24"/>
      <c r="J39" s="93"/>
      <c r="K39" s="94"/>
      <c r="L39" s="94"/>
      <c r="M39" s="94"/>
      <c r="N39" s="94"/>
      <c r="O39" s="95"/>
      <c r="P39" s="24"/>
      <c r="Q39" s="24"/>
      <c r="R39" s="24"/>
      <c r="S39" s="24"/>
    </row>
    <row r="40" spans="1:19" ht="18" customHeight="1" x14ac:dyDescent="0.15">
      <c r="B40" s="93"/>
      <c r="C40" s="94"/>
      <c r="D40" s="94"/>
      <c r="E40" s="95"/>
      <c r="F40" s="24"/>
      <c r="G40" s="24"/>
      <c r="H40" s="24"/>
      <c r="I40" s="24"/>
      <c r="J40" s="93"/>
      <c r="K40" s="94"/>
      <c r="L40" s="94"/>
      <c r="M40" s="94"/>
      <c r="N40" s="94"/>
      <c r="O40" s="95"/>
      <c r="P40" s="24"/>
      <c r="Q40" s="24"/>
      <c r="R40" s="24"/>
      <c r="S40" s="24"/>
    </row>
    <row r="41" spans="1:19" ht="18" customHeight="1" x14ac:dyDescent="0.15">
      <c r="B41" s="93"/>
      <c r="C41" s="94"/>
      <c r="D41" s="94"/>
      <c r="E41" s="95"/>
      <c r="F41" s="24"/>
      <c r="G41" s="24"/>
      <c r="H41" s="24"/>
      <c r="I41" s="24"/>
      <c r="J41" s="93"/>
      <c r="K41" s="94"/>
      <c r="L41" s="94"/>
      <c r="M41" s="94"/>
      <c r="N41" s="94"/>
      <c r="O41" s="95"/>
      <c r="P41" s="24"/>
      <c r="Q41" s="24"/>
      <c r="R41" s="24"/>
      <c r="S41" s="24"/>
    </row>
    <row r="42" spans="1:19" ht="18" customHeight="1" x14ac:dyDescent="0.15">
      <c r="B42" s="96"/>
      <c r="C42" s="97"/>
      <c r="D42" s="97"/>
      <c r="E42" s="98"/>
      <c r="F42" s="25"/>
      <c r="G42" s="25"/>
      <c r="H42" s="26"/>
      <c r="I42" s="26"/>
      <c r="J42" s="96"/>
      <c r="K42" s="97"/>
      <c r="L42" s="97"/>
      <c r="M42" s="97"/>
      <c r="N42" s="97"/>
      <c r="O42" s="98"/>
      <c r="P42" s="25"/>
      <c r="Q42" s="25"/>
      <c r="R42" s="26"/>
      <c r="S42" s="26"/>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102" t="s">
        <v>115</v>
      </c>
      <c r="B44" s="102"/>
      <c r="C44" s="102"/>
      <c r="D44" s="102"/>
      <c r="E44" s="102"/>
      <c r="F44" s="102"/>
      <c r="G44" s="102"/>
      <c r="H44" s="102"/>
      <c r="I44" s="102"/>
      <c r="J44" s="102"/>
      <c r="K44" s="102"/>
      <c r="L44" s="102"/>
      <c r="M44" s="102"/>
      <c r="N44" s="102"/>
      <c r="O44" s="102"/>
      <c r="P44" s="102"/>
      <c r="Q44" s="102"/>
      <c r="R44" s="102"/>
      <c r="S44" s="102"/>
    </row>
    <row r="45" spans="1:19" ht="18" customHeight="1" x14ac:dyDescent="0.15">
      <c r="A45" s="102"/>
      <c r="B45" s="102"/>
      <c r="C45" s="102"/>
      <c r="D45" s="102"/>
      <c r="E45" s="102"/>
      <c r="F45" s="102"/>
      <c r="G45" s="102"/>
      <c r="H45" s="102"/>
      <c r="I45" s="102"/>
      <c r="J45" s="102"/>
      <c r="K45" s="102"/>
      <c r="L45" s="102"/>
      <c r="M45" s="102"/>
      <c r="N45" s="102"/>
      <c r="O45" s="102"/>
      <c r="P45" s="102"/>
      <c r="Q45" s="102"/>
      <c r="R45" s="102"/>
      <c r="S45" s="102"/>
    </row>
    <row r="46" spans="1:19" ht="18" customHeight="1" x14ac:dyDescent="0.15">
      <c r="B46" s="99" t="s">
        <v>53</v>
      </c>
      <c r="C46" s="100"/>
      <c r="D46" s="100"/>
      <c r="E46" s="101"/>
      <c r="F46" s="60" t="s">
        <v>80</v>
      </c>
      <c r="G46" s="59" t="s">
        <v>84</v>
      </c>
      <c r="H46" s="22" t="s">
        <v>73</v>
      </c>
      <c r="I46" s="22" t="s">
        <v>74</v>
      </c>
      <c r="J46" s="99" t="s">
        <v>53</v>
      </c>
      <c r="K46" s="100"/>
      <c r="L46" s="100"/>
      <c r="M46" s="100"/>
      <c r="N46" s="100"/>
      <c r="O46" s="101"/>
      <c r="P46" s="60" t="s">
        <v>80</v>
      </c>
      <c r="Q46" s="59" t="s">
        <v>84</v>
      </c>
      <c r="R46" s="22" t="s">
        <v>73</v>
      </c>
      <c r="S46" s="22" t="s">
        <v>74</v>
      </c>
    </row>
    <row r="47" spans="1:19" ht="18" customHeight="1" x14ac:dyDescent="0.15">
      <c r="A47" s="3"/>
      <c r="B47" s="103" t="s">
        <v>130</v>
      </c>
      <c r="C47" s="104"/>
      <c r="D47" s="104"/>
      <c r="E47" s="105"/>
      <c r="F47" s="23">
        <v>2</v>
      </c>
      <c r="G47" s="23" t="s">
        <v>133</v>
      </c>
      <c r="H47" s="23" t="s">
        <v>133</v>
      </c>
      <c r="I47" s="23" t="s">
        <v>133</v>
      </c>
      <c r="J47" s="103"/>
      <c r="K47" s="104"/>
      <c r="L47" s="104"/>
      <c r="M47" s="104"/>
      <c r="N47" s="104"/>
      <c r="O47" s="105"/>
      <c r="P47" s="23"/>
      <c r="Q47" s="23"/>
      <c r="R47" s="23"/>
      <c r="S47" s="23"/>
    </row>
    <row r="48" spans="1:19" ht="18" customHeight="1" x14ac:dyDescent="0.15">
      <c r="A48" s="3"/>
      <c r="B48" s="93"/>
      <c r="C48" s="94"/>
      <c r="D48" s="94"/>
      <c r="E48" s="95"/>
      <c r="F48" s="24"/>
      <c r="G48" s="24"/>
      <c r="H48" s="24"/>
      <c r="I48" s="24"/>
      <c r="J48" s="93"/>
      <c r="K48" s="94"/>
      <c r="L48" s="94"/>
      <c r="M48" s="94"/>
      <c r="N48" s="94"/>
      <c r="O48" s="95"/>
      <c r="P48" s="24"/>
      <c r="Q48" s="24"/>
      <c r="R48" s="24"/>
      <c r="S48" s="24"/>
    </row>
    <row r="49" spans="1:19" ht="18" customHeight="1" x14ac:dyDescent="0.15">
      <c r="A49" s="3"/>
      <c r="B49" s="93"/>
      <c r="C49" s="94"/>
      <c r="D49" s="94"/>
      <c r="E49" s="95"/>
      <c r="F49" s="24"/>
      <c r="G49" s="24"/>
      <c r="H49" s="24"/>
      <c r="I49" s="24"/>
      <c r="J49" s="93"/>
      <c r="K49" s="94"/>
      <c r="L49" s="94"/>
      <c r="M49" s="94"/>
      <c r="N49" s="94"/>
      <c r="O49" s="95"/>
      <c r="P49" s="24"/>
      <c r="Q49" s="24"/>
      <c r="R49" s="24"/>
      <c r="S49" s="24"/>
    </row>
    <row r="50" spans="1:19" ht="18" customHeight="1" x14ac:dyDescent="0.15">
      <c r="A50" s="3"/>
      <c r="B50" s="93"/>
      <c r="C50" s="94"/>
      <c r="D50" s="94"/>
      <c r="E50" s="95"/>
      <c r="F50" s="24"/>
      <c r="G50" s="24"/>
      <c r="H50" s="24"/>
      <c r="I50" s="24"/>
      <c r="J50" s="93"/>
      <c r="K50" s="94"/>
      <c r="L50" s="94"/>
      <c r="M50" s="94"/>
      <c r="N50" s="94"/>
      <c r="O50" s="95"/>
      <c r="P50" s="24"/>
      <c r="Q50" s="24"/>
      <c r="R50" s="24"/>
      <c r="S50" s="24"/>
    </row>
    <row r="51" spans="1:19" ht="18" customHeight="1" x14ac:dyDescent="0.15">
      <c r="A51" s="3"/>
      <c r="B51" s="93"/>
      <c r="C51" s="94"/>
      <c r="D51" s="94"/>
      <c r="E51" s="95"/>
      <c r="F51" s="24"/>
      <c r="G51" s="24"/>
      <c r="H51" s="24"/>
      <c r="I51" s="24"/>
      <c r="J51" s="93"/>
      <c r="K51" s="94"/>
      <c r="L51" s="94"/>
      <c r="M51" s="94"/>
      <c r="N51" s="94"/>
      <c r="O51" s="95"/>
      <c r="P51" s="24"/>
      <c r="Q51" s="24"/>
      <c r="R51" s="24"/>
      <c r="S51" s="24"/>
    </row>
    <row r="52" spans="1:19" ht="18" customHeight="1" x14ac:dyDescent="0.15">
      <c r="A52" s="3"/>
      <c r="B52" s="93"/>
      <c r="C52" s="94"/>
      <c r="D52" s="94"/>
      <c r="E52" s="95"/>
      <c r="F52" s="24"/>
      <c r="G52" s="24"/>
      <c r="H52" s="24"/>
      <c r="I52" s="24"/>
      <c r="J52" s="93"/>
      <c r="K52" s="94"/>
      <c r="L52" s="94"/>
      <c r="M52" s="94"/>
      <c r="N52" s="94"/>
      <c r="O52" s="95"/>
      <c r="P52" s="24"/>
      <c r="Q52" s="24"/>
      <c r="R52" s="24"/>
      <c r="S52" s="24"/>
    </row>
    <row r="53" spans="1:19" ht="18" customHeight="1" x14ac:dyDescent="0.15">
      <c r="A53" s="3"/>
      <c r="B53" s="96"/>
      <c r="C53" s="97"/>
      <c r="D53" s="97"/>
      <c r="E53" s="98"/>
      <c r="F53" s="25"/>
      <c r="G53" s="25"/>
      <c r="H53" s="26"/>
      <c r="I53" s="26"/>
      <c r="J53" s="96"/>
      <c r="K53" s="97"/>
      <c r="L53" s="97"/>
      <c r="M53" s="97"/>
      <c r="N53" s="97"/>
      <c r="O53" s="98"/>
      <c r="P53" s="25"/>
      <c r="Q53" s="25"/>
      <c r="R53" s="26"/>
      <c r="S53" s="26"/>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102" t="s">
        <v>116</v>
      </c>
      <c r="B55" s="102"/>
      <c r="C55" s="102"/>
      <c r="D55" s="102"/>
      <c r="E55" s="102"/>
      <c r="F55" s="102"/>
      <c r="G55" s="102"/>
      <c r="H55" s="102"/>
      <c r="I55" s="102"/>
      <c r="J55" s="102"/>
      <c r="K55" s="102"/>
      <c r="L55" s="102"/>
      <c r="M55" s="102"/>
      <c r="N55" s="102"/>
      <c r="O55" s="102"/>
      <c r="P55" s="102"/>
      <c r="Q55" s="102"/>
      <c r="R55" s="102"/>
      <c r="S55" s="102"/>
    </row>
    <row r="56" spans="1:19" ht="18" customHeight="1" x14ac:dyDescent="0.15">
      <c r="A56" s="102"/>
      <c r="B56" s="102"/>
      <c r="C56" s="102"/>
      <c r="D56" s="102"/>
      <c r="E56" s="102"/>
      <c r="F56" s="102"/>
      <c r="G56" s="102"/>
      <c r="H56" s="102"/>
      <c r="I56" s="102"/>
      <c r="J56" s="102"/>
      <c r="K56" s="102"/>
      <c r="L56" s="102"/>
      <c r="M56" s="102"/>
      <c r="N56" s="102"/>
      <c r="O56" s="102"/>
      <c r="P56" s="102"/>
      <c r="Q56" s="102"/>
      <c r="R56" s="102"/>
      <c r="S56" s="102"/>
    </row>
    <row r="57" spans="1:19" ht="18" customHeight="1" x14ac:dyDescent="0.15">
      <c r="B57" s="99" t="s">
        <v>53</v>
      </c>
      <c r="C57" s="100"/>
      <c r="D57" s="100"/>
      <c r="E57" s="101"/>
      <c r="F57" s="60" t="s">
        <v>80</v>
      </c>
      <c r="G57" s="59" t="s">
        <v>84</v>
      </c>
      <c r="H57" s="22" t="s">
        <v>58</v>
      </c>
      <c r="I57" s="22" t="s">
        <v>60</v>
      </c>
      <c r="J57" s="99" t="s">
        <v>53</v>
      </c>
      <c r="K57" s="100"/>
      <c r="L57" s="100"/>
      <c r="M57" s="100"/>
      <c r="N57" s="100"/>
      <c r="O57" s="101"/>
      <c r="P57" s="60" t="s">
        <v>80</v>
      </c>
      <c r="Q57" s="59" t="s">
        <v>84</v>
      </c>
      <c r="R57" s="22" t="s">
        <v>58</v>
      </c>
      <c r="S57" s="22" t="s">
        <v>60</v>
      </c>
    </row>
    <row r="58" spans="1:19" ht="18" customHeight="1" x14ac:dyDescent="0.15">
      <c r="A58" s="3"/>
      <c r="B58" s="103" t="s">
        <v>135</v>
      </c>
      <c r="C58" s="104"/>
      <c r="D58" s="104"/>
      <c r="E58" s="105"/>
      <c r="F58" s="23">
        <v>2</v>
      </c>
      <c r="G58" s="23"/>
      <c r="H58" s="23" t="s">
        <v>133</v>
      </c>
      <c r="I58" s="23" t="s">
        <v>133</v>
      </c>
      <c r="J58" s="103"/>
      <c r="K58" s="104"/>
      <c r="L58" s="104"/>
      <c r="M58" s="104"/>
      <c r="N58" s="104"/>
      <c r="O58" s="105"/>
      <c r="P58" s="23"/>
      <c r="Q58" s="23"/>
      <c r="R58" s="23"/>
      <c r="S58" s="23"/>
    </row>
    <row r="59" spans="1:19" ht="18" customHeight="1" x14ac:dyDescent="0.15">
      <c r="A59" s="3"/>
      <c r="B59" s="93" t="s">
        <v>136</v>
      </c>
      <c r="C59" s="94"/>
      <c r="D59" s="94"/>
      <c r="E59" s="95"/>
      <c r="F59" s="24">
        <v>2</v>
      </c>
      <c r="G59" s="24"/>
      <c r="H59" s="24" t="s">
        <v>133</v>
      </c>
      <c r="I59" s="24" t="s">
        <v>133</v>
      </c>
      <c r="J59" s="93"/>
      <c r="K59" s="94"/>
      <c r="L59" s="94"/>
      <c r="M59" s="94"/>
      <c r="N59" s="94"/>
      <c r="O59" s="95"/>
      <c r="P59" s="24"/>
      <c r="Q59" s="24"/>
      <c r="R59" s="24"/>
      <c r="S59" s="24"/>
    </row>
    <row r="60" spans="1:19" ht="18" customHeight="1" x14ac:dyDescent="0.15">
      <c r="A60" s="3"/>
      <c r="B60" s="93" t="s">
        <v>137</v>
      </c>
      <c r="C60" s="94"/>
      <c r="D60" s="94"/>
      <c r="E60" s="95"/>
      <c r="F60" s="24">
        <v>1</v>
      </c>
      <c r="G60" s="24" t="s">
        <v>133</v>
      </c>
      <c r="H60" s="24" t="s">
        <v>133</v>
      </c>
      <c r="I60" s="24" t="s">
        <v>133</v>
      </c>
      <c r="J60" s="93"/>
      <c r="K60" s="94"/>
      <c r="L60" s="94"/>
      <c r="M60" s="94"/>
      <c r="N60" s="94"/>
      <c r="O60" s="95"/>
      <c r="P60" s="24"/>
      <c r="Q60" s="24"/>
      <c r="R60" s="24"/>
      <c r="S60" s="24"/>
    </row>
    <row r="61" spans="1:19" ht="18" customHeight="1" x14ac:dyDescent="0.15">
      <c r="A61" s="3"/>
      <c r="B61" s="93" t="s">
        <v>138</v>
      </c>
      <c r="C61" s="94"/>
      <c r="D61" s="94"/>
      <c r="E61" s="95"/>
      <c r="F61" s="24">
        <v>2</v>
      </c>
      <c r="G61" s="24"/>
      <c r="H61" s="24" t="s">
        <v>133</v>
      </c>
      <c r="I61" s="24" t="s">
        <v>133</v>
      </c>
      <c r="J61" s="93"/>
      <c r="K61" s="94"/>
      <c r="L61" s="94"/>
      <c r="M61" s="94"/>
      <c r="N61" s="94"/>
      <c r="O61" s="95"/>
      <c r="P61" s="24"/>
      <c r="Q61" s="24"/>
      <c r="R61" s="24"/>
      <c r="S61" s="24"/>
    </row>
    <row r="62" spans="1:19" ht="18" customHeight="1" x14ac:dyDescent="0.15">
      <c r="A62" s="3"/>
      <c r="B62" s="93" t="s">
        <v>139</v>
      </c>
      <c r="C62" s="94"/>
      <c r="D62" s="94"/>
      <c r="E62" s="95"/>
      <c r="F62" s="24">
        <v>2</v>
      </c>
      <c r="G62" s="24"/>
      <c r="H62" s="24" t="s">
        <v>133</v>
      </c>
      <c r="I62" s="24" t="s">
        <v>133</v>
      </c>
      <c r="J62" s="93"/>
      <c r="K62" s="94"/>
      <c r="L62" s="94"/>
      <c r="M62" s="94"/>
      <c r="N62" s="94"/>
      <c r="O62" s="95"/>
      <c r="P62" s="24"/>
      <c r="Q62" s="24"/>
      <c r="R62" s="24"/>
      <c r="S62" s="24"/>
    </row>
    <row r="63" spans="1:19" ht="18" customHeight="1" x14ac:dyDescent="0.15">
      <c r="A63" s="3"/>
      <c r="B63" s="93" t="s">
        <v>134</v>
      </c>
      <c r="C63" s="94"/>
      <c r="D63" s="94"/>
      <c r="E63" s="95"/>
      <c r="F63" s="24">
        <v>2</v>
      </c>
      <c r="G63" s="24"/>
      <c r="H63" s="24" t="s">
        <v>133</v>
      </c>
      <c r="I63" s="24" t="s">
        <v>133</v>
      </c>
      <c r="J63" s="93"/>
      <c r="K63" s="94"/>
      <c r="L63" s="94"/>
      <c r="M63" s="94"/>
      <c r="N63" s="94"/>
      <c r="O63" s="95"/>
      <c r="P63" s="24"/>
      <c r="Q63" s="24"/>
      <c r="R63" s="24"/>
      <c r="S63" s="24"/>
    </row>
    <row r="64" spans="1:19" ht="18" customHeight="1" x14ac:dyDescent="0.15">
      <c r="A64" s="3"/>
      <c r="B64" s="96" t="s">
        <v>165</v>
      </c>
      <c r="C64" s="97"/>
      <c r="D64" s="97"/>
      <c r="E64" s="98"/>
      <c r="F64" s="25">
        <v>2</v>
      </c>
      <c r="G64" s="25"/>
      <c r="H64" s="26" t="s">
        <v>133</v>
      </c>
      <c r="I64" s="26" t="s">
        <v>133</v>
      </c>
      <c r="J64" s="96"/>
      <c r="K64" s="97"/>
      <c r="L64" s="97"/>
      <c r="M64" s="97"/>
      <c r="N64" s="97"/>
      <c r="O64" s="98"/>
      <c r="P64" s="25"/>
      <c r="Q64" s="25"/>
      <c r="R64" s="26"/>
      <c r="S64" s="26"/>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102" t="s">
        <v>117</v>
      </c>
      <c r="B66" s="102"/>
      <c r="C66" s="102"/>
      <c r="D66" s="102"/>
      <c r="E66" s="102"/>
      <c r="F66" s="102"/>
      <c r="G66" s="102"/>
      <c r="H66" s="102"/>
      <c r="I66" s="102"/>
      <c r="J66" s="102"/>
      <c r="K66" s="102"/>
      <c r="L66" s="102"/>
      <c r="M66" s="102"/>
      <c r="N66" s="102"/>
      <c r="O66" s="102"/>
      <c r="P66" s="102"/>
      <c r="Q66" s="102"/>
      <c r="R66" s="102"/>
      <c r="S66" s="102"/>
    </row>
    <row r="67" spans="1:19" ht="18" customHeight="1" x14ac:dyDescent="0.15">
      <c r="A67" s="102"/>
      <c r="B67" s="102"/>
      <c r="C67" s="102"/>
      <c r="D67" s="102"/>
      <c r="E67" s="102"/>
      <c r="F67" s="102"/>
      <c r="G67" s="102"/>
      <c r="H67" s="102"/>
      <c r="I67" s="102"/>
      <c r="J67" s="102"/>
      <c r="K67" s="102"/>
      <c r="L67" s="102"/>
      <c r="M67" s="102"/>
      <c r="N67" s="102"/>
      <c r="O67" s="102"/>
      <c r="P67" s="102"/>
      <c r="Q67" s="102"/>
      <c r="R67" s="102"/>
      <c r="S67" s="102"/>
    </row>
    <row r="68" spans="1:19" ht="18" customHeight="1" x14ac:dyDescent="0.15">
      <c r="B68" s="99" t="s">
        <v>53</v>
      </c>
      <c r="C68" s="100"/>
      <c r="D68" s="100"/>
      <c r="E68" s="60" t="s">
        <v>80</v>
      </c>
      <c r="F68" s="59" t="s">
        <v>84</v>
      </c>
      <c r="G68" s="22" t="s">
        <v>101</v>
      </c>
      <c r="H68" s="22" t="s">
        <v>75</v>
      </c>
      <c r="I68" s="22" t="s">
        <v>76</v>
      </c>
      <c r="J68" s="99" t="s">
        <v>53</v>
      </c>
      <c r="K68" s="100"/>
      <c r="L68" s="100"/>
      <c r="M68" s="100"/>
      <c r="N68" s="101"/>
      <c r="O68" s="60" t="s">
        <v>80</v>
      </c>
      <c r="P68" s="59" t="s">
        <v>84</v>
      </c>
      <c r="Q68" s="22" t="s">
        <v>101</v>
      </c>
      <c r="R68" s="22" t="s">
        <v>75</v>
      </c>
      <c r="S68" s="22" t="s">
        <v>76</v>
      </c>
    </row>
    <row r="69" spans="1:19" ht="18" customHeight="1" x14ac:dyDescent="0.15">
      <c r="A69" s="3"/>
      <c r="B69" s="103" t="s">
        <v>135</v>
      </c>
      <c r="C69" s="104"/>
      <c r="D69" s="104"/>
      <c r="E69" s="23">
        <v>2</v>
      </c>
      <c r="F69" s="23"/>
      <c r="G69" s="23" t="s">
        <v>133</v>
      </c>
      <c r="H69" s="23" t="s">
        <v>133</v>
      </c>
      <c r="I69" s="23" t="s">
        <v>133</v>
      </c>
      <c r="J69" s="103" t="s">
        <v>142</v>
      </c>
      <c r="K69" s="104"/>
      <c r="L69" s="104"/>
      <c r="M69" s="104"/>
      <c r="N69" s="105"/>
      <c r="O69" s="23">
        <v>1</v>
      </c>
      <c r="P69" s="23" t="s">
        <v>133</v>
      </c>
      <c r="Q69" s="23" t="s">
        <v>133</v>
      </c>
      <c r="R69" s="23" t="s">
        <v>133</v>
      </c>
      <c r="S69" s="23" t="s">
        <v>133</v>
      </c>
    </row>
    <row r="70" spans="1:19" ht="18" customHeight="1" x14ac:dyDescent="0.15">
      <c r="A70" s="3"/>
      <c r="B70" s="93" t="s">
        <v>136</v>
      </c>
      <c r="C70" s="94"/>
      <c r="D70" s="94"/>
      <c r="E70" s="24">
        <v>2</v>
      </c>
      <c r="F70" s="24"/>
      <c r="G70" s="24" t="s">
        <v>133</v>
      </c>
      <c r="H70" s="24" t="s">
        <v>133</v>
      </c>
      <c r="I70" s="24" t="s">
        <v>133</v>
      </c>
      <c r="J70" s="93" t="s">
        <v>143</v>
      </c>
      <c r="K70" s="94"/>
      <c r="L70" s="94"/>
      <c r="M70" s="94"/>
      <c r="N70" s="95"/>
      <c r="O70" s="24">
        <v>1</v>
      </c>
      <c r="P70" s="24" t="s">
        <v>133</v>
      </c>
      <c r="Q70" s="24" t="s">
        <v>133</v>
      </c>
      <c r="R70" s="24" t="s">
        <v>133</v>
      </c>
      <c r="S70" s="24" t="s">
        <v>133</v>
      </c>
    </row>
    <row r="71" spans="1:19" ht="18" customHeight="1" x14ac:dyDescent="0.15">
      <c r="A71" s="3"/>
      <c r="B71" s="93" t="s">
        <v>140</v>
      </c>
      <c r="C71" s="94"/>
      <c r="D71" s="94"/>
      <c r="E71" s="24">
        <v>1</v>
      </c>
      <c r="F71" s="24" t="s">
        <v>133</v>
      </c>
      <c r="G71" s="24" t="s">
        <v>133</v>
      </c>
      <c r="H71" s="24" t="s">
        <v>133</v>
      </c>
      <c r="I71" s="24" t="s">
        <v>133</v>
      </c>
      <c r="J71" s="93"/>
      <c r="K71" s="94"/>
      <c r="L71" s="94"/>
      <c r="M71" s="94"/>
      <c r="N71" s="95"/>
      <c r="O71" s="24"/>
      <c r="P71" s="24"/>
      <c r="Q71" s="24"/>
      <c r="R71" s="24"/>
      <c r="S71" s="24"/>
    </row>
    <row r="72" spans="1:19" ht="18" customHeight="1" x14ac:dyDescent="0.15">
      <c r="A72" s="3"/>
      <c r="B72" s="93" t="s">
        <v>138</v>
      </c>
      <c r="C72" s="94"/>
      <c r="D72" s="94"/>
      <c r="E72" s="24">
        <v>2</v>
      </c>
      <c r="F72" s="24"/>
      <c r="G72" s="24" t="s">
        <v>133</v>
      </c>
      <c r="H72" s="24" t="s">
        <v>133</v>
      </c>
      <c r="I72" s="24" t="s">
        <v>133</v>
      </c>
      <c r="J72" s="93"/>
      <c r="K72" s="94"/>
      <c r="L72" s="94"/>
      <c r="M72" s="94"/>
      <c r="N72" s="95"/>
      <c r="O72" s="24"/>
      <c r="P72" s="24"/>
      <c r="Q72" s="24"/>
      <c r="R72" s="24"/>
      <c r="S72" s="24"/>
    </row>
    <row r="73" spans="1:19" ht="18" customHeight="1" x14ac:dyDescent="0.15">
      <c r="A73" s="3"/>
      <c r="B73" s="93" t="s">
        <v>139</v>
      </c>
      <c r="C73" s="94"/>
      <c r="D73" s="94"/>
      <c r="E73" s="24">
        <v>2</v>
      </c>
      <c r="F73" s="24"/>
      <c r="G73" s="24" t="s">
        <v>133</v>
      </c>
      <c r="H73" s="24" t="s">
        <v>133</v>
      </c>
      <c r="I73" s="24" t="s">
        <v>133</v>
      </c>
      <c r="J73" s="93"/>
      <c r="K73" s="94"/>
      <c r="L73" s="94"/>
      <c r="M73" s="94"/>
      <c r="N73" s="95"/>
      <c r="O73" s="24"/>
      <c r="P73" s="24"/>
      <c r="Q73" s="24"/>
      <c r="R73" s="24"/>
      <c r="S73" s="24"/>
    </row>
    <row r="74" spans="1:19" ht="18" customHeight="1" x14ac:dyDescent="0.15">
      <c r="A74" s="3"/>
      <c r="B74" s="93" t="s">
        <v>134</v>
      </c>
      <c r="C74" s="94"/>
      <c r="D74" s="94"/>
      <c r="E74" s="24">
        <v>2</v>
      </c>
      <c r="F74" s="24"/>
      <c r="G74" s="24" t="s">
        <v>133</v>
      </c>
      <c r="H74" s="24" t="s">
        <v>133</v>
      </c>
      <c r="I74" s="24" t="s">
        <v>133</v>
      </c>
      <c r="J74" s="93"/>
      <c r="K74" s="94"/>
      <c r="L74" s="94"/>
      <c r="M74" s="94"/>
      <c r="N74" s="95"/>
      <c r="O74" s="24"/>
      <c r="P74" s="24"/>
      <c r="Q74" s="24"/>
      <c r="R74" s="24"/>
      <c r="S74" s="24"/>
    </row>
    <row r="75" spans="1:19" ht="18" customHeight="1" x14ac:dyDescent="0.15">
      <c r="A75" s="3"/>
      <c r="B75" s="96" t="s">
        <v>165</v>
      </c>
      <c r="C75" s="97"/>
      <c r="D75" s="97"/>
      <c r="E75" s="25">
        <v>2</v>
      </c>
      <c r="F75" s="25"/>
      <c r="G75" s="26" t="s">
        <v>133</v>
      </c>
      <c r="H75" s="26" t="s">
        <v>133</v>
      </c>
      <c r="I75" s="26" t="s">
        <v>133</v>
      </c>
      <c r="J75" s="96"/>
      <c r="K75" s="97"/>
      <c r="L75" s="97"/>
      <c r="M75" s="97"/>
      <c r="N75" s="98"/>
      <c r="O75" s="25"/>
      <c r="P75" s="25"/>
      <c r="Q75" s="26"/>
      <c r="R75" s="26"/>
      <c r="S75" s="26"/>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118</v>
      </c>
      <c r="H77" s="3"/>
      <c r="I77" s="3"/>
      <c r="J77" s="3"/>
      <c r="K77" s="3"/>
      <c r="L77" s="3"/>
      <c r="M77" s="3"/>
      <c r="N77" s="3"/>
      <c r="O77" s="3"/>
      <c r="P77" s="3"/>
      <c r="Q77" s="3"/>
      <c r="R77" s="3"/>
      <c r="S77" s="3"/>
    </row>
    <row r="78" spans="1:19" ht="18" customHeight="1" x14ac:dyDescent="0.15">
      <c r="B78" s="99" t="s">
        <v>53</v>
      </c>
      <c r="C78" s="100"/>
      <c r="D78" s="100"/>
      <c r="E78" s="101"/>
      <c r="F78" s="99" t="s">
        <v>82</v>
      </c>
      <c r="G78" s="100"/>
      <c r="H78" s="100"/>
      <c r="I78" s="101"/>
      <c r="J78" s="148" t="s">
        <v>53</v>
      </c>
      <c r="K78" s="149"/>
      <c r="L78" s="149"/>
      <c r="M78" s="149"/>
      <c r="N78" s="149"/>
      <c r="O78" s="150"/>
      <c r="P78" s="99" t="s">
        <v>82</v>
      </c>
      <c r="Q78" s="100"/>
      <c r="R78" s="100"/>
      <c r="S78" s="101"/>
    </row>
    <row r="79" spans="1:19" ht="18" customHeight="1" x14ac:dyDescent="0.15">
      <c r="A79" s="3"/>
      <c r="B79" s="103"/>
      <c r="C79" s="104"/>
      <c r="D79" s="104"/>
      <c r="E79" s="105"/>
      <c r="F79" s="160"/>
      <c r="G79" s="161"/>
      <c r="H79" s="161"/>
      <c r="I79" s="162"/>
      <c r="J79" s="103"/>
      <c r="K79" s="104"/>
      <c r="L79" s="104"/>
      <c r="M79" s="104"/>
      <c r="N79" s="104"/>
      <c r="O79" s="105"/>
      <c r="P79" s="160"/>
      <c r="Q79" s="161"/>
      <c r="R79" s="161"/>
      <c r="S79" s="162"/>
    </row>
    <row r="80" spans="1:19" ht="18" customHeight="1" x14ac:dyDescent="0.15">
      <c r="A80" s="3"/>
      <c r="B80" s="93"/>
      <c r="C80" s="94"/>
      <c r="D80" s="94"/>
      <c r="E80" s="95"/>
      <c r="F80" s="132"/>
      <c r="G80" s="133"/>
      <c r="H80" s="133"/>
      <c r="I80" s="134"/>
      <c r="J80" s="93"/>
      <c r="K80" s="94"/>
      <c r="L80" s="94"/>
      <c r="M80" s="94"/>
      <c r="N80" s="94"/>
      <c r="O80" s="95"/>
      <c r="P80" s="132"/>
      <c r="Q80" s="133"/>
      <c r="R80" s="133"/>
      <c r="S80" s="134"/>
    </row>
    <row r="81" spans="1:19" ht="18" customHeight="1" x14ac:dyDescent="0.15">
      <c r="A81" s="3"/>
      <c r="B81" s="93"/>
      <c r="C81" s="94"/>
      <c r="D81" s="94"/>
      <c r="E81" s="95"/>
      <c r="F81" s="132"/>
      <c r="G81" s="133"/>
      <c r="H81" s="133"/>
      <c r="I81" s="134"/>
      <c r="J81" s="93"/>
      <c r="K81" s="94"/>
      <c r="L81" s="94"/>
      <c r="M81" s="94"/>
      <c r="N81" s="94"/>
      <c r="O81" s="95"/>
      <c r="P81" s="132"/>
      <c r="Q81" s="133"/>
      <c r="R81" s="133"/>
      <c r="S81" s="134"/>
    </row>
    <row r="82" spans="1:19" ht="18" customHeight="1" x14ac:dyDescent="0.15">
      <c r="A82" s="3"/>
      <c r="B82" s="93"/>
      <c r="C82" s="94"/>
      <c r="D82" s="94"/>
      <c r="E82" s="95"/>
      <c r="F82" s="132"/>
      <c r="G82" s="133"/>
      <c r="H82" s="133"/>
      <c r="I82" s="134"/>
      <c r="J82" s="93"/>
      <c r="K82" s="94"/>
      <c r="L82" s="94"/>
      <c r="M82" s="94"/>
      <c r="N82" s="94"/>
      <c r="O82" s="95"/>
      <c r="P82" s="132"/>
      <c r="Q82" s="133"/>
      <c r="R82" s="133"/>
      <c r="S82" s="134"/>
    </row>
    <row r="83" spans="1:19" ht="18" customHeight="1" x14ac:dyDescent="0.15">
      <c r="A83" s="3"/>
      <c r="B83" s="93"/>
      <c r="C83" s="94"/>
      <c r="D83" s="94"/>
      <c r="E83" s="95"/>
      <c r="F83" s="132"/>
      <c r="G83" s="133"/>
      <c r="H83" s="133"/>
      <c r="I83" s="134"/>
      <c r="J83" s="93"/>
      <c r="K83" s="94"/>
      <c r="L83" s="94"/>
      <c r="M83" s="94"/>
      <c r="N83" s="94"/>
      <c r="O83" s="95"/>
      <c r="P83" s="132"/>
      <c r="Q83" s="133"/>
      <c r="R83" s="133"/>
      <c r="S83" s="134"/>
    </row>
    <row r="84" spans="1:19" ht="18" customHeight="1" x14ac:dyDescent="0.15">
      <c r="A84" s="3"/>
      <c r="B84" s="93"/>
      <c r="C84" s="94"/>
      <c r="D84" s="94"/>
      <c r="E84" s="95"/>
      <c r="F84" s="132"/>
      <c r="G84" s="133"/>
      <c r="H84" s="133"/>
      <c r="I84" s="134"/>
      <c r="J84" s="93"/>
      <c r="K84" s="94"/>
      <c r="L84" s="94"/>
      <c r="M84" s="94"/>
      <c r="N84" s="94"/>
      <c r="O84" s="95"/>
      <c r="P84" s="132"/>
      <c r="Q84" s="133"/>
      <c r="R84" s="133"/>
      <c r="S84" s="134"/>
    </row>
    <row r="85" spans="1:19" ht="18" customHeight="1" x14ac:dyDescent="0.15">
      <c r="A85" s="3"/>
      <c r="B85" s="96"/>
      <c r="C85" s="97"/>
      <c r="D85" s="97"/>
      <c r="E85" s="98"/>
      <c r="F85" s="129"/>
      <c r="G85" s="130"/>
      <c r="H85" s="130"/>
      <c r="I85" s="131"/>
      <c r="J85" s="96"/>
      <c r="K85" s="97"/>
      <c r="L85" s="97"/>
      <c r="M85" s="97"/>
      <c r="N85" s="97"/>
      <c r="O85" s="98"/>
      <c r="P85" s="129"/>
      <c r="Q85" s="130"/>
      <c r="R85" s="130"/>
      <c r="S85" s="131"/>
    </row>
    <row r="86" spans="1:19" ht="18" customHeight="1" x14ac:dyDescent="0.15">
      <c r="A86" s="3"/>
      <c r="B86" s="6"/>
      <c r="C86" s="6"/>
      <c r="D86" s="6"/>
      <c r="E86" s="6"/>
      <c r="F86" s="27"/>
      <c r="G86" s="27"/>
      <c r="H86" s="27"/>
      <c r="I86" s="27"/>
      <c r="J86" s="6"/>
      <c r="K86" s="6"/>
      <c r="L86" s="6"/>
      <c r="M86" s="6"/>
      <c r="N86" s="6"/>
      <c r="O86" s="6"/>
      <c r="P86" s="27"/>
      <c r="Q86" s="27"/>
      <c r="R86" s="27"/>
      <c r="S86" s="27"/>
    </row>
    <row r="87" spans="1:19" ht="18.75" customHeight="1" x14ac:dyDescent="0.15">
      <c r="A87" s="1" t="s">
        <v>119</v>
      </c>
    </row>
    <row r="88" spans="1:19" ht="18.75" customHeight="1" x14ac:dyDescent="0.15">
      <c r="B88" s="158" t="s">
        <v>54</v>
      </c>
      <c r="C88" s="159"/>
      <c r="D88" s="100" t="s">
        <v>55</v>
      </c>
      <c r="E88" s="100"/>
      <c r="F88" s="100"/>
      <c r="G88" s="100"/>
      <c r="H88" s="100"/>
      <c r="I88" s="100"/>
      <c r="J88" s="100"/>
      <c r="K88" s="100"/>
      <c r="L88" s="100"/>
      <c r="M88" s="100"/>
      <c r="N88" s="100"/>
      <c r="O88" s="100"/>
      <c r="P88" s="100"/>
      <c r="Q88" s="100"/>
      <c r="R88" s="100"/>
      <c r="S88" s="101"/>
    </row>
    <row r="89" spans="1:19" ht="97.5" customHeight="1" x14ac:dyDescent="0.15">
      <c r="B89" s="146" t="s">
        <v>61</v>
      </c>
      <c r="C89" s="28" t="s">
        <v>56</v>
      </c>
      <c r="D89" s="156" t="s">
        <v>178</v>
      </c>
      <c r="E89" s="156"/>
      <c r="F89" s="156"/>
      <c r="G89" s="156"/>
      <c r="H89" s="156"/>
      <c r="I89" s="156"/>
      <c r="J89" s="156"/>
      <c r="K89" s="156"/>
      <c r="L89" s="156"/>
      <c r="M89" s="156"/>
      <c r="N89" s="156"/>
      <c r="O89" s="156"/>
      <c r="P89" s="156"/>
      <c r="Q89" s="156"/>
      <c r="R89" s="156"/>
      <c r="S89" s="157"/>
    </row>
    <row r="90" spans="1:19" ht="97.5" customHeight="1" x14ac:dyDescent="0.15">
      <c r="B90" s="151"/>
      <c r="C90" s="29" t="s">
        <v>77</v>
      </c>
      <c r="D90" s="135" t="s">
        <v>167</v>
      </c>
      <c r="E90" s="135"/>
      <c r="F90" s="135"/>
      <c r="G90" s="135"/>
      <c r="H90" s="135"/>
      <c r="I90" s="135"/>
      <c r="J90" s="135"/>
      <c r="K90" s="135"/>
      <c r="L90" s="135"/>
      <c r="M90" s="135"/>
      <c r="N90" s="135"/>
      <c r="O90" s="135"/>
      <c r="P90" s="135"/>
      <c r="Q90" s="135"/>
      <c r="R90" s="135"/>
      <c r="S90" s="136"/>
    </row>
    <row r="91" spans="1:19" ht="97.5" customHeight="1" x14ac:dyDescent="0.15">
      <c r="B91" s="146" t="s">
        <v>62</v>
      </c>
      <c r="C91" s="30" t="s">
        <v>71</v>
      </c>
      <c r="D91" s="137" t="s">
        <v>217</v>
      </c>
      <c r="E91" s="137"/>
      <c r="F91" s="137"/>
      <c r="G91" s="137"/>
      <c r="H91" s="137"/>
      <c r="I91" s="137"/>
      <c r="J91" s="137"/>
      <c r="K91" s="137"/>
      <c r="L91" s="137"/>
      <c r="M91" s="137"/>
      <c r="N91" s="137"/>
      <c r="O91" s="137"/>
      <c r="P91" s="137"/>
      <c r="Q91" s="137"/>
      <c r="R91" s="137"/>
      <c r="S91" s="138"/>
    </row>
    <row r="92" spans="1:19" ht="97.5" customHeight="1" x14ac:dyDescent="0.15">
      <c r="B92" s="147"/>
      <c r="C92" s="31" t="s">
        <v>72</v>
      </c>
      <c r="D92" s="141" t="s">
        <v>174</v>
      </c>
      <c r="E92" s="141"/>
      <c r="F92" s="141"/>
      <c r="G92" s="141"/>
      <c r="H92" s="141"/>
      <c r="I92" s="141"/>
      <c r="J92" s="141"/>
      <c r="K92" s="141"/>
      <c r="L92" s="141"/>
      <c r="M92" s="141"/>
      <c r="N92" s="141"/>
      <c r="O92" s="141"/>
      <c r="P92" s="141"/>
      <c r="Q92" s="141"/>
      <c r="R92" s="141"/>
      <c r="S92" s="142"/>
    </row>
    <row r="93" spans="1:19" ht="97.5" customHeight="1" x14ac:dyDescent="0.15">
      <c r="B93" s="146" t="s">
        <v>63</v>
      </c>
      <c r="C93" s="30" t="s">
        <v>73</v>
      </c>
      <c r="D93" s="137" t="s">
        <v>170</v>
      </c>
      <c r="E93" s="137"/>
      <c r="F93" s="137"/>
      <c r="G93" s="137"/>
      <c r="H93" s="137"/>
      <c r="I93" s="137"/>
      <c r="J93" s="137"/>
      <c r="K93" s="137"/>
      <c r="L93" s="137"/>
      <c r="M93" s="137"/>
      <c r="N93" s="137"/>
      <c r="O93" s="137"/>
      <c r="P93" s="137"/>
      <c r="Q93" s="137"/>
      <c r="R93" s="137"/>
      <c r="S93" s="138"/>
    </row>
    <row r="94" spans="1:19" ht="97.5" customHeight="1" x14ac:dyDescent="0.15">
      <c r="B94" s="147"/>
      <c r="C94" s="32" t="s">
        <v>74</v>
      </c>
      <c r="D94" s="139" t="s">
        <v>177</v>
      </c>
      <c r="E94" s="139"/>
      <c r="F94" s="139"/>
      <c r="G94" s="139"/>
      <c r="H94" s="139"/>
      <c r="I94" s="139"/>
      <c r="J94" s="139"/>
      <c r="K94" s="139"/>
      <c r="L94" s="139"/>
      <c r="M94" s="139"/>
      <c r="N94" s="139"/>
      <c r="O94" s="139"/>
      <c r="P94" s="139"/>
      <c r="Q94" s="139"/>
      <c r="R94" s="139"/>
      <c r="S94" s="140"/>
    </row>
    <row r="95" spans="1:19" ht="179.1" customHeight="1" x14ac:dyDescent="0.15">
      <c r="B95" s="146" t="s">
        <v>78</v>
      </c>
      <c r="C95" s="28" t="s">
        <v>58</v>
      </c>
      <c r="D95" s="156" t="s">
        <v>190</v>
      </c>
      <c r="E95" s="156"/>
      <c r="F95" s="156"/>
      <c r="G95" s="156"/>
      <c r="H95" s="156"/>
      <c r="I95" s="156"/>
      <c r="J95" s="156"/>
      <c r="K95" s="156"/>
      <c r="L95" s="156"/>
      <c r="M95" s="156"/>
      <c r="N95" s="156"/>
      <c r="O95" s="156"/>
      <c r="P95" s="156"/>
      <c r="Q95" s="156"/>
      <c r="R95" s="156"/>
      <c r="S95" s="157"/>
    </row>
    <row r="96" spans="1:19" ht="164.1" customHeight="1" x14ac:dyDescent="0.15">
      <c r="B96" s="147"/>
      <c r="C96" s="31" t="s">
        <v>60</v>
      </c>
      <c r="D96" s="141" t="s">
        <v>214</v>
      </c>
      <c r="E96" s="141"/>
      <c r="F96" s="141"/>
      <c r="G96" s="141"/>
      <c r="H96" s="141"/>
      <c r="I96" s="141"/>
      <c r="J96" s="141"/>
      <c r="K96" s="141"/>
      <c r="L96" s="141"/>
      <c r="M96" s="141"/>
      <c r="N96" s="141"/>
      <c r="O96" s="141"/>
      <c r="P96" s="141"/>
      <c r="Q96" s="141"/>
      <c r="R96" s="141"/>
      <c r="S96" s="142"/>
    </row>
    <row r="97" spans="1:19" ht="280.5" customHeight="1" x14ac:dyDescent="0.15">
      <c r="B97" s="146" t="s">
        <v>79</v>
      </c>
      <c r="C97" s="30" t="s">
        <v>57</v>
      </c>
      <c r="D97" s="152" t="s">
        <v>191</v>
      </c>
      <c r="E97" s="152"/>
      <c r="F97" s="152"/>
      <c r="G97" s="152"/>
      <c r="H97" s="152"/>
      <c r="I97" s="152"/>
      <c r="J97" s="152"/>
      <c r="K97" s="152"/>
      <c r="L97" s="152"/>
      <c r="M97" s="152"/>
      <c r="N97" s="152"/>
      <c r="O97" s="152"/>
      <c r="P97" s="152"/>
      <c r="Q97" s="152"/>
      <c r="R97" s="152"/>
      <c r="S97" s="153"/>
    </row>
    <row r="98" spans="1:19" ht="227.1" customHeight="1" x14ac:dyDescent="0.15">
      <c r="B98" s="151"/>
      <c r="C98" s="33" t="s">
        <v>75</v>
      </c>
      <c r="D98" s="143" t="s">
        <v>192</v>
      </c>
      <c r="E98" s="144"/>
      <c r="F98" s="144"/>
      <c r="G98" s="144"/>
      <c r="H98" s="144"/>
      <c r="I98" s="144"/>
      <c r="J98" s="144"/>
      <c r="K98" s="144"/>
      <c r="L98" s="144"/>
      <c r="M98" s="144"/>
      <c r="N98" s="144"/>
      <c r="O98" s="144"/>
      <c r="P98" s="144"/>
      <c r="Q98" s="144"/>
      <c r="R98" s="144"/>
      <c r="S98" s="145"/>
    </row>
    <row r="99" spans="1:19" ht="212.1" customHeight="1" x14ac:dyDescent="0.15">
      <c r="B99" s="147"/>
      <c r="C99" s="32" t="s">
        <v>76</v>
      </c>
      <c r="D99" s="154" t="s">
        <v>193</v>
      </c>
      <c r="E99" s="154"/>
      <c r="F99" s="154"/>
      <c r="G99" s="154"/>
      <c r="H99" s="154"/>
      <c r="I99" s="154"/>
      <c r="J99" s="154"/>
      <c r="K99" s="154"/>
      <c r="L99" s="154"/>
      <c r="M99" s="154"/>
      <c r="N99" s="154"/>
      <c r="O99" s="154"/>
      <c r="P99" s="154"/>
      <c r="Q99" s="154"/>
      <c r="R99" s="154"/>
      <c r="S99" s="155"/>
    </row>
    <row r="100" spans="1:19" ht="6" customHeight="1" x14ac:dyDescent="0.15"/>
    <row r="101" spans="1:19" ht="18.75" customHeight="1" x14ac:dyDescent="0.15">
      <c r="A101" s="1" t="s">
        <v>120</v>
      </c>
    </row>
    <row r="102" spans="1:19" ht="224.1" customHeight="1" x14ac:dyDescent="0.15">
      <c r="B102" s="126" t="s">
        <v>179</v>
      </c>
      <c r="C102" s="127"/>
      <c r="D102" s="127"/>
      <c r="E102" s="127"/>
      <c r="F102" s="127"/>
      <c r="G102" s="127"/>
      <c r="H102" s="127"/>
      <c r="I102" s="127"/>
      <c r="J102" s="127"/>
      <c r="K102" s="127"/>
      <c r="L102" s="127"/>
      <c r="M102" s="127"/>
      <c r="N102" s="127"/>
      <c r="O102" s="127"/>
      <c r="P102" s="127"/>
      <c r="Q102" s="127"/>
      <c r="R102" s="127"/>
      <c r="S102" s="128"/>
    </row>
    <row r="110" spans="1:19" ht="18" customHeight="1" x14ac:dyDescent="0.15"/>
  </sheetData>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P69:S75 Q25:S31 G25:I31 Q36:S42 F69:I75 Q47:S53 G47:I53 Q58:S64 G58:I64 G36:I42" xr:uid="{10766998-7FE9-4A3F-A681-0A2ADA922E46}">
      <formula1>"○"</formula1>
    </dataValidation>
    <dataValidation type="list" allowBlank="1" showInputMessage="1" showErrorMessage="1" sqref="S32 S43 D32:G32 D43:G43" xr:uid="{F3BEB39C-E1FA-41C2-80D5-A9E3492BF711}">
      <formula1>"全学開講,一部開講"</formula1>
    </dataValidation>
    <dataValidation type="list" allowBlank="1" showInputMessage="1" showErrorMessage="1" sqref="K7 K12" xr:uid="{EA732CB4-17E7-4CBE-95FF-6467326FD0C5}">
      <formula1>"学部・学科によって、修了要件は相違する,学部・学科によって、修了要件は相違しない"</formula1>
    </dataValidation>
    <dataValidation type="list" allowBlank="1" showInputMessage="1" showErrorMessage="1" sqref="F79:F86 P79:P86 G79:I80 G83:I86 Q83:S86 Q79:S80" xr:uid="{081B36AA-DCCC-49A8-A0E3-1DD3ED32D6BE}">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3762387A-F8F9-44C0-8EE2-6B3D5421B3BE}">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topLeftCell="A12" zoomScale="150" zoomScaleNormal="100" zoomScaleSheetLayoutView="150" workbookViewId="0">
      <selection activeCell="F22" sqref="F22"/>
    </sheetView>
  </sheetViews>
  <sheetFormatPr defaultColWidth="9" defaultRowHeight="18.75" customHeight="1" x14ac:dyDescent="0.15"/>
  <cols>
    <col min="1" max="1" width="2.875" style="1" customWidth="1"/>
    <col min="2" max="2" width="20.875" style="1" customWidth="1"/>
    <col min="3" max="5" width="6.125" style="1" customWidth="1"/>
    <col min="6" max="42" width="4.875" style="1" customWidth="1"/>
    <col min="43" max="43" width="6.625" style="1" customWidth="1"/>
    <col min="44" max="16384" width="9" style="1"/>
  </cols>
  <sheetData>
    <row r="1" spans="1:45" ht="18" customHeight="1" x14ac:dyDescent="0.15">
      <c r="AQ1" s="1" t="s">
        <v>106</v>
      </c>
    </row>
    <row r="2" spans="1:45" ht="18" customHeight="1" x14ac:dyDescent="0.15">
      <c r="K2" s="35"/>
      <c r="Q2" s="35"/>
      <c r="W2" s="35"/>
      <c r="AC2" s="35"/>
      <c r="AI2" s="35"/>
      <c r="AL2" s="35" t="s">
        <v>108</v>
      </c>
      <c r="AM2" s="166" t="str">
        <f>'様式１ー１　プログラムを構成する授業科目'!C2</f>
        <v>福山平成大学</v>
      </c>
      <c r="AN2" s="166"/>
      <c r="AO2" s="166"/>
      <c r="AP2" s="166"/>
      <c r="AQ2" s="166"/>
    </row>
    <row r="3" spans="1:45" ht="18" customHeight="1" x14ac:dyDescent="0.15">
      <c r="A3" s="113" t="s">
        <v>47</v>
      </c>
      <c r="B3" s="113"/>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c r="AO3" s="113"/>
      <c r="AP3" s="113"/>
      <c r="AQ3" s="113"/>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83</v>
      </c>
      <c r="C5" s="167" t="s">
        <v>149</v>
      </c>
      <c r="D5" s="168"/>
      <c r="E5" s="3" t="s">
        <v>52</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81</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69" t="s">
        <v>44</v>
      </c>
      <c r="C9" s="184" t="s">
        <v>86</v>
      </c>
      <c r="D9" s="172" t="s">
        <v>46</v>
      </c>
      <c r="E9" s="175" t="s">
        <v>39</v>
      </c>
      <c r="F9" s="165" t="s">
        <v>85</v>
      </c>
      <c r="G9" s="165"/>
      <c r="H9" s="165"/>
      <c r="I9" s="165"/>
      <c r="J9" s="165"/>
      <c r="K9" s="165"/>
      <c r="L9" s="165" t="s">
        <v>48</v>
      </c>
      <c r="M9" s="165"/>
      <c r="N9" s="165"/>
      <c r="O9" s="165"/>
      <c r="P9" s="165"/>
      <c r="Q9" s="165"/>
      <c r="R9" s="165" t="s">
        <v>49</v>
      </c>
      <c r="S9" s="165"/>
      <c r="T9" s="165"/>
      <c r="U9" s="165"/>
      <c r="V9" s="165"/>
      <c r="W9" s="165"/>
      <c r="X9" s="165" t="s">
        <v>100</v>
      </c>
      <c r="Y9" s="165"/>
      <c r="Z9" s="165"/>
      <c r="AA9" s="165"/>
      <c r="AB9" s="165"/>
      <c r="AC9" s="165"/>
      <c r="AD9" s="165" t="s">
        <v>50</v>
      </c>
      <c r="AE9" s="165"/>
      <c r="AF9" s="165"/>
      <c r="AG9" s="165"/>
      <c r="AH9" s="165"/>
      <c r="AI9" s="165"/>
      <c r="AJ9" s="165" t="s">
        <v>51</v>
      </c>
      <c r="AK9" s="165"/>
      <c r="AL9" s="165"/>
      <c r="AM9" s="165"/>
      <c r="AN9" s="165"/>
      <c r="AO9" s="165"/>
      <c r="AP9" s="178" t="s">
        <v>34</v>
      </c>
      <c r="AQ9" s="181" t="s">
        <v>31</v>
      </c>
      <c r="AS9" s="2"/>
    </row>
    <row r="10" spans="1:45" ht="17.100000000000001" customHeight="1" x14ac:dyDescent="0.15">
      <c r="B10" s="170"/>
      <c r="C10" s="185"/>
      <c r="D10" s="173"/>
      <c r="E10" s="176"/>
      <c r="F10" s="163" t="s">
        <v>96</v>
      </c>
      <c r="G10" s="164"/>
      <c r="H10" s="164"/>
      <c r="I10" s="163" t="s">
        <v>28</v>
      </c>
      <c r="J10" s="164"/>
      <c r="K10" s="164"/>
      <c r="L10" s="163" t="s">
        <v>96</v>
      </c>
      <c r="M10" s="164"/>
      <c r="N10" s="164"/>
      <c r="O10" s="163" t="s">
        <v>28</v>
      </c>
      <c r="P10" s="164"/>
      <c r="Q10" s="164"/>
      <c r="R10" s="163" t="s">
        <v>96</v>
      </c>
      <c r="S10" s="164"/>
      <c r="T10" s="164"/>
      <c r="U10" s="163" t="s">
        <v>28</v>
      </c>
      <c r="V10" s="164"/>
      <c r="W10" s="164"/>
      <c r="X10" s="163" t="s">
        <v>96</v>
      </c>
      <c r="Y10" s="164"/>
      <c r="Z10" s="164"/>
      <c r="AA10" s="163" t="s">
        <v>28</v>
      </c>
      <c r="AB10" s="164"/>
      <c r="AC10" s="164"/>
      <c r="AD10" s="163" t="s">
        <v>96</v>
      </c>
      <c r="AE10" s="164"/>
      <c r="AF10" s="164"/>
      <c r="AG10" s="163" t="s">
        <v>28</v>
      </c>
      <c r="AH10" s="164"/>
      <c r="AI10" s="164"/>
      <c r="AJ10" s="163" t="s">
        <v>96</v>
      </c>
      <c r="AK10" s="164"/>
      <c r="AL10" s="164"/>
      <c r="AM10" s="163" t="s">
        <v>28</v>
      </c>
      <c r="AN10" s="164"/>
      <c r="AO10" s="164"/>
      <c r="AP10" s="179"/>
      <c r="AQ10" s="182"/>
      <c r="AS10" s="2"/>
    </row>
    <row r="11" spans="1:45" ht="18" customHeight="1" x14ac:dyDescent="0.15">
      <c r="B11" s="171"/>
      <c r="C11" s="186"/>
      <c r="D11" s="174"/>
      <c r="E11" s="177"/>
      <c r="F11" s="17" t="s">
        <v>97</v>
      </c>
      <c r="G11" s="18" t="s">
        <v>98</v>
      </c>
      <c r="H11" s="19" t="s">
        <v>99</v>
      </c>
      <c r="I11" s="17" t="s">
        <v>97</v>
      </c>
      <c r="J11" s="18" t="s">
        <v>98</v>
      </c>
      <c r="K11" s="19" t="s">
        <v>99</v>
      </c>
      <c r="L11" s="17" t="s">
        <v>97</v>
      </c>
      <c r="M11" s="18" t="s">
        <v>98</v>
      </c>
      <c r="N11" s="19" t="s">
        <v>99</v>
      </c>
      <c r="O11" s="17" t="s">
        <v>97</v>
      </c>
      <c r="P11" s="18" t="s">
        <v>98</v>
      </c>
      <c r="Q11" s="19" t="s">
        <v>99</v>
      </c>
      <c r="R11" s="17" t="s">
        <v>97</v>
      </c>
      <c r="S11" s="18" t="s">
        <v>98</v>
      </c>
      <c r="T11" s="19" t="s">
        <v>99</v>
      </c>
      <c r="U11" s="17" t="s">
        <v>97</v>
      </c>
      <c r="V11" s="18" t="s">
        <v>98</v>
      </c>
      <c r="W11" s="19" t="s">
        <v>99</v>
      </c>
      <c r="X11" s="17" t="s">
        <v>97</v>
      </c>
      <c r="Y11" s="18" t="s">
        <v>98</v>
      </c>
      <c r="Z11" s="19" t="s">
        <v>99</v>
      </c>
      <c r="AA11" s="17" t="s">
        <v>97</v>
      </c>
      <c r="AB11" s="18" t="s">
        <v>98</v>
      </c>
      <c r="AC11" s="19" t="s">
        <v>99</v>
      </c>
      <c r="AD11" s="17" t="s">
        <v>97</v>
      </c>
      <c r="AE11" s="18" t="s">
        <v>98</v>
      </c>
      <c r="AF11" s="19" t="s">
        <v>99</v>
      </c>
      <c r="AG11" s="17" t="s">
        <v>97</v>
      </c>
      <c r="AH11" s="18" t="s">
        <v>98</v>
      </c>
      <c r="AI11" s="19" t="s">
        <v>99</v>
      </c>
      <c r="AJ11" s="17" t="s">
        <v>97</v>
      </c>
      <c r="AK11" s="18" t="s">
        <v>98</v>
      </c>
      <c r="AL11" s="19" t="s">
        <v>99</v>
      </c>
      <c r="AM11" s="17" t="s">
        <v>97</v>
      </c>
      <c r="AN11" s="18" t="s">
        <v>98</v>
      </c>
      <c r="AO11" s="19" t="s">
        <v>99</v>
      </c>
      <c r="AP11" s="180"/>
      <c r="AQ11" s="183"/>
      <c r="AS11" s="2"/>
    </row>
    <row r="12" spans="1:45" ht="18" customHeight="1" x14ac:dyDescent="0.15">
      <c r="A12" s="6"/>
      <c r="B12" s="11" t="s">
        <v>154</v>
      </c>
      <c r="C12" s="61">
        <v>179</v>
      </c>
      <c r="D12" s="62">
        <v>50</v>
      </c>
      <c r="E12" s="63">
        <v>200</v>
      </c>
      <c r="F12" s="63">
        <f>G12+H12</f>
        <v>36</v>
      </c>
      <c r="G12" s="64">
        <v>23</v>
      </c>
      <c r="H12" s="65">
        <v>13</v>
      </c>
      <c r="I12" s="63">
        <f>J12+K12</f>
        <v>0</v>
      </c>
      <c r="J12" s="64">
        <v>0</v>
      </c>
      <c r="K12" s="65">
        <v>0</v>
      </c>
      <c r="L12" s="63">
        <f>M12+N12</f>
        <v>0</v>
      </c>
      <c r="M12" s="64"/>
      <c r="N12" s="65"/>
      <c r="O12" s="63">
        <f>P12+Q12</f>
        <v>0</v>
      </c>
      <c r="P12" s="64"/>
      <c r="Q12" s="65"/>
      <c r="R12" s="63">
        <f>S12+T12</f>
        <v>0</v>
      </c>
      <c r="S12" s="64"/>
      <c r="T12" s="65"/>
      <c r="U12" s="63">
        <f>V12+W12</f>
        <v>0</v>
      </c>
      <c r="V12" s="64"/>
      <c r="W12" s="65"/>
      <c r="X12" s="63">
        <f>Y12+Z12</f>
        <v>0</v>
      </c>
      <c r="Y12" s="64"/>
      <c r="Z12" s="65"/>
      <c r="AA12" s="63">
        <f>AB12+AC12</f>
        <v>0</v>
      </c>
      <c r="AB12" s="64"/>
      <c r="AC12" s="65"/>
      <c r="AD12" s="63">
        <f>AE12+AF12</f>
        <v>0</v>
      </c>
      <c r="AE12" s="64"/>
      <c r="AF12" s="65"/>
      <c r="AG12" s="63">
        <f>AH12+AI12</f>
        <v>0</v>
      </c>
      <c r="AH12" s="64"/>
      <c r="AI12" s="65"/>
      <c r="AJ12" s="63">
        <f>AK12+AL12</f>
        <v>0</v>
      </c>
      <c r="AK12" s="64"/>
      <c r="AL12" s="65"/>
      <c r="AM12" s="63">
        <f>AN12+AO12</f>
        <v>0</v>
      </c>
      <c r="AN12" s="64"/>
      <c r="AO12" s="65"/>
      <c r="AP12" s="62">
        <f>F12+L12+R12+X12+AD12+AJ12</f>
        <v>36</v>
      </c>
      <c r="AQ12" s="21">
        <f t="shared" ref="AQ12:AQ32" si="0">AP12/E12</f>
        <v>0.18</v>
      </c>
    </row>
    <row r="13" spans="1:45" ht="18" customHeight="1" x14ac:dyDescent="0.15">
      <c r="A13" s="6"/>
      <c r="B13" s="12" t="s">
        <v>155</v>
      </c>
      <c r="C13" s="66">
        <v>643</v>
      </c>
      <c r="D13" s="67">
        <v>210</v>
      </c>
      <c r="E13" s="68">
        <v>840</v>
      </c>
      <c r="F13" s="69">
        <f t="shared" ref="F13:F31" si="1">G13+H13</f>
        <v>161</v>
      </c>
      <c r="G13" s="70">
        <v>92</v>
      </c>
      <c r="H13" s="71">
        <v>69</v>
      </c>
      <c r="I13" s="69">
        <f t="shared" ref="I13:I31" si="2">J13+K13</f>
        <v>0</v>
      </c>
      <c r="J13" s="70">
        <v>0</v>
      </c>
      <c r="K13" s="71">
        <v>0</v>
      </c>
      <c r="L13" s="69">
        <f t="shared" ref="L13:L31" si="3">M13+N13</f>
        <v>0</v>
      </c>
      <c r="M13" s="70"/>
      <c r="N13" s="71"/>
      <c r="O13" s="69">
        <f t="shared" ref="O13:O31" si="4">P13+Q13</f>
        <v>0</v>
      </c>
      <c r="P13" s="70"/>
      <c r="Q13" s="71"/>
      <c r="R13" s="69">
        <f t="shared" ref="R13:R31" si="5">S13+T13</f>
        <v>0</v>
      </c>
      <c r="S13" s="70"/>
      <c r="T13" s="71"/>
      <c r="U13" s="69">
        <f t="shared" ref="U13:U31" si="6">V13+W13</f>
        <v>0</v>
      </c>
      <c r="V13" s="70"/>
      <c r="W13" s="71"/>
      <c r="X13" s="69">
        <f t="shared" ref="X13:X31" si="7">Y13+Z13</f>
        <v>0</v>
      </c>
      <c r="Y13" s="70"/>
      <c r="Z13" s="71"/>
      <c r="AA13" s="69">
        <f t="shared" ref="AA13:AA31" si="8">AB13+AC13</f>
        <v>0</v>
      </c>
      <c r="AB13" s="70"/>
      <c r="AC13" s="71"/>
      <c r="AD13" s="69">
        <f t="shared" ref="AD13:AD31" si="9">AE13+AF13</f>
        <v>0</v>
      </c>
      <c r="AE13" s="70"/>
      <c r="AF13" s="71"/>
      <c r="AG13" s="69">
        <f t="shared" ref="AG13:AG31" si="10">AH13+AI13</f>
        <v>0</v>
      </c>
      <c r="AH13" s="70"/>
      <c r="AI13" s="71"/>
      <c r="AJ13" s="69">
        <f t="shared" ref="AJ13:AJ31" si="11">AK13+AL13</f>
        <v>0</v>
      </c>
      <c r="AK13" s="70"/>
      <c r="AL13" s="71"/>
      <c r="AM13" s="69">
        <f t="shared" ref="AM13:AM31" si="12">AN13+AO13</f>
        <v>0</v>
      </c>
      <c r="AN13" s="70"/>
      <c r="AO13" s="71"/>
      <c r="AP13" s="67">
        <f t="shared" ref="AP13:AP31" si="13">F13+L13+R13+X13+AD13+AJ13</f>
        <v>161</v>
      </c>
      <c r="AQ13" s="20">
        <f t="shared" si="0"/>
        <v>0.19166666666666668</v>
      </c>
    </row>
    <row r="14" spans="1:45" ht="18" customHeight="1" x14ac:dyDescent="0.15">
      <c r="A14" s="6"/>
      <c r="B14" s="12" t="s">
        <v>156</v>
      </c>
      <c r="C14" s="66">
        <v>322</v>
      </c>
      <c r="D14" s="67">
        <v>80</v>
      </c>
      <c r="E14" s="68">
        <v>320</v>
      </c>
      <c r="F14" s="69">
        <f t="shared" si="1"/>
        <v>78</v>
      </c>
      <c r="G14" s="70">
        <v>9</v>
      </c>
      <c r="H14" s="71">
        <v>69</v>
      </c>
      <c r="I14" s="69">
        <f t="shared" si="2"/>
        <v>0</v>
      </c>
      <c r="J14" s="70">
        <v>0</v>
      </c>
      <c r="K14" s="71">
        <v>0</v>
      </c>
      <c r="L14" s="69">
        <f t="shared" si="3"/>
        <v>0</v>
      </c>
      <c r="M14" s="70"/>
      <c r="N14" s="71"/>
      <c r="O14" s="69">
        <f t="shared" si="4"/>
        <v>0</v>
      </c>
      <c r="P14" s="70"/>
      <c r="Q14" s="71"/>
      <c r="R14" s="69">
        <f t="shared" si="5"/>
        <v>0</v>
      </c>
      <c r="S14" s="70"/>
      <c r="T14" s="71"/>
      <c r="U14" s="69">
        <f t="shared" si="6"/>
        <v>0</v>
      </c>
      <c r="V14" s="70"/>
      <c r="W14" s="71"/>
      <c r="X14" s="69">
        <f t="shared" si="7"/>
        <v>0</v>
      </c>
      <c r="Y14" s="70"/>
      <c r="Z14" s="71"/>
      <c r="AA14" s="69">
        <f t="shared" si="8"/>
        <v>0</v>
      </c>
      <c r="AB14" s="70"/>
      <c r="AC14" s="71"/>
      <c r="AD14" s="69">
        <f t="shared" si="9"/>
        <v>0</v>
      </c>
      <c r="AE14" s="70"/>
      <c r="AF14" s="71"/>
      <c r="AG14" s="69">
        <f t="shared" si="10"/>
        <v>0</v>
      </c>
      <c r="AH14" s="70"/>
      <c r="AI14" s="71"/>
      <c r="AJ14" s="69">
        <f t="shared" si="11"/>
        <v>0</v>
      </c>
      <c r="AK14" s="70"/>
      <c r="AL14" s="71"/>
      <c r="AM14" s="69">
        <f t="shared" si="12"/>
        <v>0</v>
      </c>
      <c r="AN14" s="70"/>
      <c r="AO14" s="71"/>
      <c r="AP14" s="67">
        <f t="shared" si="13"/>
        <v>78</v>
      </c>
      <c r="AQ14" s="8">
        <f t="shared" si="0"/>
        <v>0.24374999999999999</v>
      </c>
    </row>
    <row r="15" spans="1:45" ht="18" customHeight="1" x14ac:dyDescent="0.15">
      <c r="A15" s="6"/>
      <c r="B15" s="12"/>
      <c r="C15" s="66"/>
      <c r="D15" s="67"/>
      <c r="E15" s="68"/>
      <c r="F15" s="69">
        <f t="shared" si="1"/>
        <v>0</v>
      </c>
      <c r="G15" s="70"/>
      <c r="H15" s="71"/>
      <c r="I15" s="69">
        <f t="shared" si="2"/>
        <v>0</v>
      </c>
      <c r="J15" s="70"/>
      <c r="K15" s="71"/>
      <c r="L15" s="69">
        <f t="shared" si="3"/>
        <v>0</v>
      </c>
      <c r="M15" s="70"/>
      <c r="N15" s="71"/>
      <c r="O15" s="69">
        <f t="shared" si="4"/>
        <v>0</v>
      </c>
      <c r="P15" s="70"/>
      <c r="Q15" s="71"/>
      <c r="R15" s="69">
        <f t="shared" si="5"/>
        <v>0</v>
      </c>
      <c r="S15" s="70"/>
      <c r="T15" s="71"/>
      <c r="U15" s="69">
        <f t="shared" si="6"/>
        <v>0</v>
      </c>
      <c r="V15" s="70"/>
      <c r="W15" s="71"/>
      <c r="X15" s="69">
        <f t="shared" si="7"/>
        <v>0</v>
      </c>
      <c r="Y15" s="70"/>
      <c r="Z15" s="71"/>
      <c r="AA15" s="69">
        <f t="shared" si="8"/>
        <v>0</v>
      </c>
      <c r="AB15" s="70"/>
      <c r="AC15" s="71"/>
      <c r="AD15" s="69">
        <f t="shared" si="9"/>
        <v>0</v>
      </c>
      <c r="AE15" s="70"/>
      <c r="AF15" s="71"/>
      <c r="AG15" s="69">
        <f t="shared" si="10"/>
        <v>0</v>
      </c>
      <c r="AH15" s="70"/>
      <c r="AI15" s="71"/>
      <c r="AJ15" s="69">
        <f t="shared" si="11"/>
        <v>0</v>
      </c>
      <c r="AK15" s="70"/>
      <c r="AL15" s="71"/>
      <c r="AM15" s="69">
        <f t="shared" si="12"/>
        <v>0</v>
      </c>
      <c r="AN15" s="70"/>
      <c r="AO15" s="71"/>
      <c r="AP15" s="67">
        <f t="shared" si="13"/>
        <v>0</v>
      </c>
      <c r="AQ15" s="8" t="e">
        <f t="shared" si="0"/>
        <v>#DIV/0!</v>
      </c>
    </row>
    <row r="16" spans="1:45" ht="18" customHeight="1" x14ac:dyDescent="0.15">
      <c r="A16" s="6"/>
      <c r="B16" s="12"/>
      <c r="C16" s="66"/>
      <c r="D16" s="67"/>
      <c r="E16" s="68"/>
      <c r="F16" s="69">
        <f t="shared" si="1"/>
        <v>0</v>
      </c>
      <c r="G16" s="70"/>
      <c r="H16" s="71"/>
      <c r="I16" s="69">
        <f t="shared" si="2"/>
        <v>0</v>
      </c>
      <c r="J16" s="70"/>
      <c r="K16" s="71"/>
      <c r="L16" s="69">
        <f t="shared" si="3"/>
        <v>0</v>
      </c>
      <c r="M16" s="70"/>
      <c r="N16" s="71"/>
      <c r="O16" s="69">
        <f t="shared" si="4"/>
        <v>0</v>
      </c>
      <c r="P16" s="70"/>
      <c r="Q16" s="71"/>
      <c r="R16" s="69">
        <f t="shared" si="5"/>
        <v>0</v>
      </c>
      <c r="S16" s="70"/>
      <c r="T16" s="71"/>
      <c r="U16" s="69">
        <f t="shared" si="6"/>
        <v>0</v>
      </c>
      <c r="V16" s="70"/>
      <c r="W16" s="71"/>
      <c r="X16" s="69">
        <f t="shared" si="7"/>
        <v>0</v>
      </c>
      <c r="Y16" s="70"/>
      <c r="Z16" s="71"/>
      <c r="AA16" s="69">
        <f t="shared" si="8"/>
        <v>0</v>
      </c>
      <c r="AB16" s="70"/>
      <c r="AC16" s="71"/>
      <c r="AD16" s="69">
        <f t="shared" si="9"/>
        <v>0</v>
      </c>
      <c r="AE16" s="70"/>
      <c r="AF16" s="71"/>
      <c r="AG16" s="69">
        <f t="shared" si="10"/>
        <v>0</v>
      </c>
      <c r="AH16" s="70"/>
      <c r="AI16" s="71"/>
      <c r="AJ16" s="69">
        <f t="shared" si="11"/>
        <v>0</v>
      </c>
      <c r="AK16" s="70"/>
      <c r="AL16" s="71"/>
      <c r="AM16" s="69">
        <f t="shared" si="12"/>
        <v>0</v>
      </c>
      <c r="AN16" s="70"/>
      <c r="AO16" s="71"/>
      <c r="AP16" s="67">
        <f t="shared" si="13"/>
        <v>0</v>
      </c>
      <c r="AQ16" s="8" t="e">
        <f t="shared" si="0"/>
        <v>#DIV/0!</v>
      </c>
    </row>
    <row r="17" spans="1:43" ht="18" customHeight="1" x14ac:dyDescent="0.15">
      <c r="A17" s="6"/>
      <c r="B17" s="12"/>
      <c r="C17" s="66"/>
      <c r="D17" s="67"/>
      <c r="E17" s="68"/>
      <c r="F17" s="69">
        <f t="shared" si="1"/>
        <v>0</v>
      </c>
      <c r="G17" s="70"/>
      <c r="H17" s="71"/>
      <c r="I17" s="69">
        <f t="shared" si="2"/>
        <v>0</v>
      </c>
      <c r="J17" s="70"/>
      <c r="K17" s="71"/>
      <c r="L17" s="69">
        <f t="shared" si="3"/>
        <v>0</v>
      </c>
      <c r="M17" s="70"/>
      <c r="N17" s="71"/>
      <c r="O17" s="69">
        <f t="shared" si="4"/>
        <v>0</v>
      </c>
      <c r="P17" s="70"/>
      <c r="Q17" s="71"/>
      <c r="R17" s="69">
        <f t="shared" si="5"/>
        <v>0</v>
      </c>
      <c r="S17" s="70"/>
      <c r="T17" s="71"/>
      <c r="U17" s="69">
        <f t="shared" si="6"/>
        <v>0</v>
      </c>
      <c r="V17" s="70"/>
      <c r="W17" s="71"/>
      <c r="X17" s="69">
        <f t="shared" si="7"/>
        <v>0</v>
      </c>
      <c r="Y17" s="70"/>
      <c r="Z17" s="71"/>
      <c r="AA17" s="69">
        <f t="shared" si="8"/>
        <v>0</v>
      </c>
      <c r="AB17" s="70"/>
      <c r="AC17" s="71"/>
      <c r="AD17" s="69">
        <f t="shared" si="9"/>
        <v>0</v>
      </c>
      <c r="AE17" s="70"/>
      <c r="AF17" s="71"/>
      <c r="AG17" s="69">
        <f t="shared" si="10"/>
        <v>0</v>
      </c>
      <c r="AH17" s="70"/>
      <c r="AI17" s="71"/>
      <c r="AJ17" s="69">
        <f t="shared" si="11"/>
        <v>0</v>
      </c>
      <c r="AK17" s="70"/>
      <c r="AL17" s="71"/>
      <c r="AM17" s="69">
        <f t="shared" si="12"/>
        <v>0</v>
      </c>
      <c r="AN17" s="70"/>
      <c r="AO17" s="71"/>
      <c r="AP17" s="67">
        <f t="shared" si="13"/>
        <v>0</v>
      </c>
      <c r="AQ17" s="8" t="e">
        <f t="shared" si="0"/>
        <v>#DIV/0!</v>
      </c>
    </row>
    <row r="18" spans="1:43" ht="18" customHeight="1" x14ac:dyDescent="0.15">
      <c r="A18" s="6"/>
      <c r="B18" s="12"/>
      <c r="C18" s="66"/>
      <c r="D18" s="67"/>
      <c r="E18" s="68"/>
      <c r="F18" s="69">
        <f t="shared" si="1"/>
        <v>0</v>
      </c>
      <c r="G18" s="70"/>
      <c r="H18" s="71"/>
      <c r="I18" s="69">
        <f t="shared" si="2"/>
        <v>0</v>
      </c>
      <c r="J18" s="70"/>
      <c r="K18" s="71"/>
      <c r="L18" s="69">
        <f t="shared" si="3"/>
        <v>0</v>
      </c>
      <c r="M18" s="70"/>
      <c r="N18" s="71"/>
      <c r="O18" s="69">
        <f t="shared" si="4"/>
        <v>0</v>
      </c>
      <c r="P18" s="70"/>
      <c r="Q18" s="71"/>
      <c r="R18" s="69">
        <f t="shared" si="5"/>
        <v>0</v>
      </c>
      <c r="S18" s="70"/>
      <c r="T18" s="71"/>
      <c r="U18" s="69">
        <f t="shared" si="6"/>
        <v>0</v>
      </c>
      <c r="V18" s="70"/>
      <c r="W18" s="71"/>
      <c r="X18" s="69">
        <f t="shared" si="7"/>
        <v>0</v>
      </c>
      <c r="Y18" s="70"/>
      <c r="Z18" s="71"/>
      <c r="AA18" s="69">
        <f t="shared" si="8"/>
        <v>0</v>
      </c>
      <c r="AB18" s="70"/>
      <c r="AC18" s="71"/>
      <c r="AD18" s="69">
        <f t="shared" si="9"/>
        <v>0</v>
      </c>
      <c r="AE18" s="70"/>
      <c r="AF18" s="71"/>
      <c r="AG18" s="69">
        <f t="shared" si="10"/>
        <v>0</v>
      </c>
      <c r="AH18" s="70"/>
      <c r="AI18" s="71"/>
      <c r="AJ18" s="69">
        <f t="shared" si="11"/>
        <v>0</v>
      </c>
      <c r="AK18" s="70"/>
      <c r="AL18" s="71"/>
      <c r="AM18" s="69">
        <f t="shared" si="12"/>
        <v>0</v>
      </c>
      <c r="AN18" s="70"/>
      <c r="AO18" s="71"/>
      <c r="AP18" s="67">
        <f t="shared" si="13"/>
        <v>0</v>
      </c>
      <c r="AQ18" s="8" t="e">
        <f t="shared" si="0"/>
        <v>#DIV/0!</v>
      </c>
    </row>
    <row r="19" spans="1:43" ht="18" customHeight="1" x14ac:dyDescent="0.15">
      <c r="A19" s="6"/>
      <c r="B19" s="12"/>
      <c r="C19" s="66"/>
      <c r="D19" s="67"/>
      <c r="E19" s="68"/>
      <c r="F19" s="69">
        <f t="shared" si="1"/>
        <v>0</v>
      </c>
      <c r="G19" s="70"/>
      <c r="H19" s="71"/>
      <c r="I19" s="69">
        <f t="shared" si="2"/>
        <v>0</v>
      </c>
      <c r="J19" s="70"/>
      <c r="K19" s="71"/>
      <c r="L19" s="69">
        <f t="shared" si="3"/>
        <v>0</v>
      </c>
      <c r="M19" s="70"/>
      <c r="N19" s="71"/>
      <c r="O19" s="69">
        <f t="shared" si="4"/>
        <v>0</v>
      </c>
      <c r="P19" s="70"/>
      <c r="Q19" s="71"/>
      <c r="R19" s="69">
        <f t="shared" si="5"/>
        <v>0</v>
      </c>
      <c r="S19" s="70"/>
      <c r="T19" s="71"/>
      <c r="U19" s="69">
        <f t="shared" si="6"/>
        <v>0</v>
      </c>
      <c r="V19" s="70"/>
      <c r="W19" s="71"/>
      <c r="X19" s="69">
        <f t="shared" si="7"/>
        <v>0</v>
      </c>
      <c r="Y19" s="70"/>
      <c r="Z19" s="71"/>
      <c r="AA19" s="69">
        <f t="shared" si="8"/>
        <v>0</v>
      </c>
      <c r="AB19" s="70"/>
      <c r="AC19" s="71"/>
      <c r="AD19" s="69">
        <f t="shared" si="9"/>
        <v>0</v>
      </c>
      <c r="AE19" s="70"/>
      <c r="AF19" s="71"/>
      <c r="AG19" s="69">
        <f t="shared" si="10"/>
        <v>0</v>
      </c>
      <c r="AH19" s="70"/>
      <c r="AI19" s="71"/>
      <c r="AJ19" s="69">
        <f t="shared" si="11"/>
        <v>0</v>
      </c>
      <c r="AK19" s="70"/>
      <c r="AL19" s="71"/>
      <c r="AM19" s="69">
        <f t="shared" si="12"/>
        <v>0</v>
      </c>
      <c r="AN19" s="70"/>
      <c r="AO19" s="71"/>
      <c r="AP19" s="67">
        <f t="shared" si="13"/>
        <v>0</v>
      </c>
      <c r="AQ19" s="8" t="e">
        <f t="shared" si="0"/>
        <v>#DIV/0!</v>
      </c>
    </row>
    <row r="20" spans="1:43" ht="18" customHeight="1" x14ac:dyDescent="0.15">
      <c r="A20" s="6"/>
      <c r="B20" s="12"/>
      <c r="C20" s="66"/>
      <c r="D20" s="67"/>
      <c r="E20" s="68"/>
      <c r="F20" s="69">
        <f t="shared" si="1"/>
        <v>0</v>
      </c>
      <c r="G20" s="70"/>
      <c r="H20" s="71"/>
      <c r="I20" s="69">
        <f t="shared" si="2"/>
        <v>0</v>
      </c>
      <c r="J20" s="70"/>
      <c r="K20" s="71"/>
      <c r="L20" s="69">
        <f t="shared" si="3"/>
        <v>0</v>
      </c>
      <c r="M20" s="70"/>
      <c r="N20" s="71"/>
      <c r="O20" s="69">
        <f t="shared" si="4"/>
        <v>0</v>
      </c>
      <c r="P20" s="70"/>
      <c r="Q20" s="71"/>
      <c r="R20" s="69">
        <f t="shared" si="5"/>
        <v>0</v>
      </c>
      <c r="S20" s="70"/>
      <c r="T20" s="71"/>
      <c r="U20" s="69">
        <f t="shared" si="6"/>
        <v>0</v>
      </c>
      <c r="V20" s="70"/>
      <c r="W20" s="71"/>
      <c r="X20" s="69">
        <f t="shared" si="7"/>
        <v>0</v>
      </c>
      <c r="Y20" s="70"/>
      <c r="Z20" s="71"/>
      <c r="AA20" s="69">
        <f t="shared" si="8"/>
        <v>0</v>
      </c>
      <c r="AB20" s="70"/>
      <c r="AC20" s="71"/>
      <c r="AD20" s="69">
        <f t="shared" si="9"/>
        <v>0</v>
      </c>
      <c r="AE20" s="70"/>
      <c r="AF20" s="71"/>
      <c r="AG20" s="69">
        <f t="shared" si="10"/>
        <v>0</v>
      </c>
      <c r="AH20" s="70"/>
      <c r="AI20" s="71"/>
      <c r="AJ20" s="69">
        <f t="shared" si="11"/>
        <v>0</v>
      </c>
      <c r="AK20" s="70"/>
      <c r="AL20" s="71"/>
      <c r="AM20" s="69">
        <f t="shared" si="12"/>
        <v>0</v>
      </c>
      <c r="AN20" s="70"/>
      <c r="AO20" s="71"/>
      <c r="AP20" s="67">
        <f t="shared" si="13"/>
        <v>0</v>
      </c>
      <c r="AQ20" s="8" t="e">
        <f t="shared" si="0"/>
        <v>#DIV/0!</v>
      </c>
    </row>
    <row r="21" spans="1:43" ht="18" customHeight="1" x14ac:dyDescent="0.15">
      <c r="A21" s="6"/>
      <c r="B21" s="12"/>
      <c r="C21" s="66"/>
      <c r="D21" s="67"/>
      <c r="E21" s="68"/>
      <c r="F21" s="69">
        <f t="shared" si="1"/>
        <v>0</v>
      </c>
      <c r="G21" s="70"/>
      <c r="H21" s="71"/>
      <c r="I21" s="69">
        <f t="shared" si="2"/>
        <v>0</v>
      </c>
      <c r="J21" s="70"/>
      <c r="K21" s="71"/>
      <c r="L21" s="69">
        <f t="shared" si="3"/>
        <v>0</v>
      </c>
      <c r="M21" s="70"/>
      <c r="N21" s="71"/>
      <c r="O21" s="69">
        <f t="shared" si="4"/>
        <v>0</v>
      </c>
      <c r="P21" s="70"/>
      <c r="Q21" s="71"/>
      <c r="R21" s="69">
        <f t="shared" si="5"/>
        <v>0</v>
      </c>
      <c r="S21" s="70"/>
      <c r="T21" s="71"/>
      <c r="U21" s="69">
        <f t="shared" si="6"/>
        <v>0</v>
      </c>
      <c r="V21" s="70"/>
      <c r="W21" s="71"/>
      <c r="X21" s="69">
        <f t="shared" si="7"/>
        <v>0</v>
      </c>
      <c r="Y21" s="70"/>
      <c r="Z21" s="71"/>
      <c r="AA21" s="69">
        <f t="shared" si="8"/>
        <v>0</v>
      </c>
      <c r="AB21" s="70"/>
      <c r="AC21" s="71"/>
      <c r="AD21" s="69">
        <f t="shared" si="9"/>
        <v>0</v>
      </c>
      <c r="AE21" s="70"/>
      <c r="AF21" s="71"/>
      <c r="AG21" s="69">
        <f t="shared" si="10"/>
        <v>0</v>
      </c>
      <c r="AH21" s="70"/>
      <c r="AI21" s="71"/>
      <c r="AJ21" s="69">
        <f t="shared" si="11"/>
        <v>0</v>
      </c>
      <c r="AK21" s="70"/>
      <c r="AL21" s="71"/>
      <c r="AM21" s="69">
        <f t="shared" si="12"/>
        <v>0</v>
      </c>
      <c r="AN21" s="70"/>
      <c r="AO21" s="71"/>
      <c r="AP21" s="67">
        <f t="shared" si="13"/>
        <v>0</v>
      </c>
      <c r="AQ21" s="8" t="e">
        <f t="shared" si="0"/>
        <v>#DIV/0!</v>
      </c>
    </row>
    <row r="22" spans="1:43" ht="18" customHeight="1" x14ac:dyDescent="0.15">
      <c r="A22" s="6"/>
      <c r="B22" s="12"/>
      <c r="C22" s="66"/>
      <c r="D22" s="67"/>
      <c r="E22" s="68"/>
      <c r="F22" s="69">
        <f t="shared" si="1"/>
        <v>0</v>
      </c>
      <c r="G22" s="70"/>
      <c r="H22" s="71"/>
      <c r="I22" s="69">
        <f t="shared" si="2"/>
        <v>0</v>
      </c>
      <c r="J22" s="70"/>
      <c r="K22" s="71"/>
      <c r="L22" s="69">
        <f t="shared" si="3"/>
        <v>0</v>
      </c>
      <c r="M22" s="70"/>
      <c r="N22" s="71"/>
      <c r="O22" s="69">
        <f t="shared" si="4"/>
        <v>0</v>
      </c>
      <c r="P22" s="70"/>
      <c r="Q22" s="71"/>
      <c r="R22" s="69">
        <f t="shared" si="5"/>
        <v>0</v>
      </c>
      <c r="S22" s="70"/>
      <c r="T22" s="71"/>
      <c r="U22" s="69">
        <f t="shared" si="6"/>
        <v>0</v>
      </c>
      <c r="V22" s="70"/>
      <c r="W22" s="71"/>
      <c r="X22" s="69">
        <f t="shared" si="7"/>
        <v>0</v>
      </c>
      <c r="Y22" s="70"/>
      <c r="Z22" s="71"/>
      <c r="AA22" s="69">
        <f t="shared" si="8"/>
        <v>0</v>
      </c>
      <c r="AB22" s="70"/>
      <c r="AC22" s="71"/>
      <c r="AD22" s="69">
        <f t="shared" si="9"/>
        <v>0</v>
      </c>
      <c r="AE22" s="70"/>
      <c r="AF22" s="71"/>
      <c r="AG22" s="69">
        <f t="shared" si="10"/>
        <v>0</v>
      </c>
      <c r="AH22" s="70"/>
      <c r="AI22" s="71"/>
      <c r="AJ22" s="69">
        <f t="shared" si="11"/>
        <v>0</v>
      </c>
      <c r="AK22" s="70"/>
      <c r="AL22" s="71"/>
      <c r="AM22" s="69">
        <f t="shared" si="12"/>
        <v>0</v>
      </c>
      <c r="AN22" s="70"/>
      <c r="AO22" s="71"/>
      <c r="AP22" s="67">
        <f t="shared" si="13"/>
        <v>0</v>
      </c>
      <c r="AQ22" s="8" t="e">
        <f t="shared" si="0"/>
        <v>#DIV/0!</v>
      </c>
    </row>
    <row r="23" spans="1:43" ht="18" customHeight="1" x14ac:dyDescent="0.15">
      <c r="A23" s="6"/>
      <c r="B23" s="12"/>
      <c r="C23" s="66"/>
      <c r="D23" s="67"/>
      <c r="E23" s="68"/>
      <c r="F23" s="69">
        <f t="shared" si="1"/>
        <v>0</v>
      </c>
      <c r="G23" s="70"/>
      <c r="H23" s="71"/>
      <c r="I23" s="69">
        <f t="shared" si="2"/>
        <v>0</v>
      </c>
      <c r="J23" s="70"/>
      <c r="K23" s="71"/>
      <c r="L23" s="69">
        <f t="shared" si="3"/>
        <v>0</v>
      </c>
      <c r="M23" s="70"/>
      <c r="N23" s="71"/>
      <c r="O23" s="69">
        <f t="shared" si="4"/>
        <v>0</v>
      </c>
      <c r="P23" s="70"/>
      <c r="Q23" s="71"/>
      <c r="R23" s="69">
        <f t="shared" si="5"/>
        <v>0</v>
      </c>
      <c r="S23" s="70"/>
      <c r="T23" s="71"/>
      <c r="U23" s="69">
        <f t="shared" si="6"/>
        <v>0</v>
      </c>
      <c r="V23" s="70"/>
      <c r="W23" s="71"/>
      <c r="X23" s="69">
        <f t="shared" si="7"/>
        <v>0</v>
      </c>
      <c r="Y23" s="70"/>
      <c r="Z23" s="71"/>
      <c r="AA23" s="69">
        <f t="shared" si="8"/>
        <v>0</v>
      </c>
      <c r="AB23" s="70"/>
      <c r="AC23" s="71"/>
      <c r="AD23" s="69">
        <f t="shared" si="9"/>
        <v>0</v>
      </c>
      <c r="AE23" s="70"/>
      <c r="AF23" s="71"/>
      <c r="AG23" s="69">
        <f t="shared" si="10"/>
        <v>0</v>
      </c>
      <c r="AH23" s="70"/>
      <c r="AI23" s="71"/>
      <c r="AJ23" s="69">
        <f t="shared" si="11"/>
        <v>0</v>
      </c>
      <c r="AK23" s="70"/>
      <c r="AL23" s="71"/>
      <c r="AM23" s="69">
        <f t="shared" si="12"/>
        <v>0</v>
      </c>
      <c r="AN23" s="70"/>
      <c r="AO23" s="71"/>
      <c r="AP23" s="67">
        <f t="shared" si="13"/>
        <v>0</v>
      </c>
      <c r="AQ23" s="8" t="e">
        <f t="shared" si="0"/>
        <v>#DIV/0!</v>
      </c>
    </row>
    <row r="24" spans="1:43" ht="18" customHeight="1" x14ac:dyDescent="0.15">
      <c r="A24" s="6"/>
      <c r="B24" s="12"/>
      <c r="C24" s="66"/>
      <c r="D24" s="67"/>
      <c r="E24" s="68"/>
      <c r="F24" s="69">
        <f t="shared" si="1"/>
        <v>0</v>
      </c>
      <c r="G24" s="70"/>
      <c r="H24" s="71"/>
      <c r="I24" s="69">
        <f t="shared" si="2"/>
        <v>0</v>
      </c>
      <c r="J24" s="70"/>
      <c r="K24" s="71"/>
      <c r="L24" s="69">
        <f t="shared" si="3"/>
        <v>0</v>
      </c>
      <c r="M24" s="70"/>
      <c r="N24" s="71"/>
      <c r="O24" s="69">
        <f t="shared" si="4"/>
        <v>0</v>
      </c>
      <c r="P24" s="70"/>
      <c r="Q24" s="71"/>
      <c r="R24" s="69">
        <f t="shared" si="5"/>
        <v>0</v>
      </c>
      <c r="S24" s="70"/>
      <c r="T24" s="71"/>
      <c r="U24" s="69">
        <f t="shared" si="6"/>
        <v>0</v>
      </c>
      <c r="V24" s="70"/>
      <c r="W24" s="71"/>
      <c r="X24" s="69">
        <f t="shared" si="7"/>
        <v>0</v>
      </c>
      <c r="Y24" s="70"/>
      <c r="Z24" s="71"/>
      <c r="AA24" s="69">
        <f t="shared" si="8"/>
        <v>0</v>
      </c>
      <c r="AB24" s="70"/>
      <c r="AC24" s="71"/>
      <c r="AD24" s="69">
        <f t="shared" si="9"/>
        <v>0</v>
      </c>
      <c r="AE24" s="70"/>
      <c r="AF24" s="71"/>
      <c r="AG24" s="69">
        <f t="shared" si="10"/>
        <v>0</v>
      </c>
      <c r="AH24" s="70"/>
      <c r="AI24" s="71"/>
      <c r="AJ24" s="69">
        <f t="shared" si="11"/>
        <v>0</v>
      </c>
      <c r="AK24" s="70"/>
      <c r="AL24" s="71"/>
      <c r="AM24" s="69">
        <f t="shared" si="12"/>
        <v>0</v>
      </c>
      <c r="AN24" s="70"/>
      <c r="AO24" s="71"/>
      <c r="AP24" s="67">
        <f t="shared" si="13"/>
        <v>0</v>
      </c>
      <c r="AQ24" s="8" t="e">
        <f t="shared" si="0"/>
        <v>#DIV/0!</v>
      </c>
    </row>
    <row r="25" spans="1:43" ht="18" customHeight="1" x14ac:dyDescent="0.15">
      <c r="A25" s="6"/>
      <c r="B25" s="12"/>
      <c r="C25" s="66"/>
      <c r="D25" s="67"/>
      <c r="E25" s="68"/>
      <c r="F25" s="69">
        <f t="shared" si="1"/>
        <v>0</v>
      </c>
      <c r="G25" s="70"/>
      <c r="H25" s="71"/>
      <c r="I25" s="69">
        <f t="shared" si="2"/>
        <v>0</v>
      </c>
      <c r="J25" s="70"/>
      <c r="K25" s="71"/>
      <c r="L25" s="69">
        <f t="shared" si="3"/>
        <v>0</v>
      </c>
      <c r="M25" s="70"/>
      <c r="N25" s="71"/>
      <c r="O25" s="69">
        <f t="shared" si="4"/>
        <v>0</v>
      </c>
      <c r="P25" s="70"/>
      <c r="Q25" s="71"/>
      <c r="R25" s="69">
        <f t="shared" si="5"/>
        <v>0</v>
      </c>
      <c r="S25" s="70"/>
      <c r="T25" s="71"/>
      <c r="U25" s="69">
        <f t="shared" si="6"/>
        <v>0</v>
      </c>
      <c r="V25" s="70"/>
      <c r="W25" s="71"/>
      <c r="X25" s="69">
        <f t="shared" si="7"/>
        <v>0</v>
      </c>
      <c r="Y25" s="70"/>
      <c r="Z25" s="71"/>
      <c r="AA25" s="69">
        <f t="shared" si="8"/>
        <v>0</v>
      </c>
      <c r="AB25" s="70"/>
      <c r="AC25" s="71"/>
      <c r="AD25" s="69">
        <f t="shared" si="9"/>
        <v>0</v>
      </c>
      <c r="AE25" s="70"/>
      <c r="AF25" s="71"/>
      <c r="AG25" s="69">
        <f t="shared" si="10"/>
        <v>0</v>
      </c>
      <c r="AH25" s="70"/>
      <c r="AI25" s="71"/>
      <c r="AJ25" s="69">
        <f t="shared" si="11"/>
        <v>0</v>
      </c>
      <c r="AK25" s="70"/>
      <c r="AL25" s="71"/>
      <c r="AM25" s="69">
        <f t="shared" si="12"/>
        <v>0</v>
      </c>
      <c r="AN25" s="70"/>
      <c r="AO25" s="71"/>
      <c r="AP25" s="67">
        <f t="shared" si="13"/>
        <v>0</v>
      </c>
      <c r="AQ25" s="8" t="e">
        <f t="shared" si="0"/>
        <v>#DIV/0!</v>
      </c>
    </row>
    <row r="26" spans="1:43" ht="18" customHeight="1" x14ac:dyDescent="0.15">
      <c r="A26" s="6"/>
      <c r="B26" s="12"/>
      <c r="C26" s="66"/>
      <c r="D26" s="67"/>
      <c r="E26" s="68"/>
      <c r="F26" s="69">
        <f t="shared" si="1"/>
        <v>0</v>
      </c>
      <c r="G26" s="70"/>
      <c r="H26" s="71"/>
      <c r="I26" s="69">
        <f t="shared" si="2"/>
        <v>0</v>
      </c>
      <c r="J26" s="70"/>
      <c r="K26" s="71"/>
      <c r="L26" s="69">
        <f t="shared" si="3"/>
        <v>0</v>
      </c>
      <c r="M26" s="70"/>
      <c r="N26" s="71"/>
      <c r="O26" s="69">
        <f t="shared" si="4"/>
        <v>0</v>
      </c>
      <c r="P26" s="70"/>
      <c r="Q26" s="71"/>
      <c r="R26" s="69">
        <f t="shared" si="5"/>
        <v>0</v>
      </c>
      <c r="S26" s="70"/>
      <c r="T26" s="71"/>
      <c r="U26" s="69">
        <f t="shared" si="6"/>
        <v>0</v>
      </c>
      <c r="V26" s="70"/>
      <c r="W26" s="71"/>
      <c r="X26" s="69">
        <f t="shared" si="7"/>
        <v>0</v>
      </c>
      <c r="Y26" s="70"/>
      <c r="Z26" s="71"/>
      <c r="AA26" s="69">
        <f t="shared" si="8"/>
        <v>0</v>
      </c>
      <c r="AB26" s="70"/>
      <c r="AC26" s="71"/>
      <c r="AD26" s="69">
        <f t="shared" si="9"/>
        <v>0</v>
      </c>
      <c r="AE26" s="70"/>
      <c r="AF26" s="71"/>
      <c r="AG26" s="69">
        <f t="shared" si="10"/>
        <v>0</v>
      </c>
      <c r="AH26" s="70"/>
      <c r="AI26" s="71"/>
      <c r="AJ26" s="69">
        <f t="shared" si="11"/>
        <v>0</v>
      </c>
      <c r="AK26" s="70"/>
      <c r="AL26" s="71"/>
      <c r="AM26" s="69">
        <f t="shared" si="12"/>
        <v>0</v>
      </c>
      <c r="AN26" s="70"/>
      <c r="AO26" s="71"/>
      <c r="AP26" s="67">
        <f t="shared" si="13"/>
        <v>0</v>
      </c>
      <c r="AQ26" s="8" t="e">
        <f t="shared" si="0"/>
        <v>#DIV/0!</v>
      </c>
    </row>
    <row r="27" spans="1:43" ht="18" customHeight="1" x14ac:dyDescent="0.15">
      <c r="A27" s="6"/>
      <c r="B27" s="12"/>
      <c r="C27" s="66"/>
      <c r="D27" s="67"/>
      <c r="E27" s="68"/>
      <c r="F27" s="69">
        <f t="shared" si="1"/>
        <v>0</v>
      </c>
      <c r="G27" s="70"/>
      <c r="H27" s="71"/>
      <c r="I27" s="69">
        <f t="shared" si="2"/>
        <v>0</v>
      </c>
      <c r="J27" s="70"/>
      <c r="K27" s="71"/>
      <c r="L27" s="69">
        <f t="shared" si="3"/>
        <v>0</v>
      </c>
      <c r="M27" s="70"/>
      <c r="N27" s="71"/>
      <c r="O27" s="69">
        <f t="shared" si="4"/>
        <v>0</v>
      </c>
      <c r="P27" s="70"/>
      <c r="Q27" s="71"/>
      <c r="R27" s="69">
        <f t="shared" si="5"/>
        <v>0</v>
      </c>
      <c r="S27" s="70"/>
      <c r="T27" s="71"/>
      <c r="U27" s="69">
        <f t="shared" si="6"/>
        <v>0</v>
      </c>
      <c r="V27" s="70"/>
      <c r="W27" s="71"/>
      <c r="X27" s="69">
        <f t="shared" si="7"/>
        <v>0</v>
      </c>
      <c r="Y27" s="70"/>
      <c r="Z27" s="71"/>
      <c r="AA27" s="69">
        <f t="shared" si="8"/>
        <v>0</v>
      </c>
      <c r="AB27" s="70"/>
      <c r="AC27" s="71"/>
      <c r="AD27" s="69">
        <f t="shared" si="9"/>
        <v>0</v>
      </c>
      <c r="AE27" s="70"/>
      <c r="AF27" s="71"/>
      <c r="AG27" s="69">
        <f t="shared" si="10"/>
        <v>0</v>
      </c>
      <c r="AH27" s="70"/>
      <c r="AI27" s="71"/>
      <c r="AJ27" s="69">
        <f t="shared" si="11"/>
        <v>0</v>
      </c>
      <c r="AK27" s="70"/>
      <c r="AL27" s="71"/>
      <c r="AM27" s="69">
        <f t="shared" si="12"/>
        <v>0</v>
      </c>
      <c r="AN27" s="70"/>
      <c r="AO27" s="71"/>
      <c r="AP27" s="67">
        <f t="shared" si="13"/>
        <v>0</v>
      </c>
      <c r="AQ27" s="8" t="e">
        <f t="shared" si="0"/>
        <v>#DIV/0!</v>
      </c>
    </row>
    <row r="28" spans="1:43" ht="18" customHeight="1" x14ac:dyDescent="0.15">
      <c r="A28" s="6"/>
      <c r="B28" s="12"/>
      <c r="C28" s="66"/>
      <c r="D28" s="67"/>
      <c r="E28" s="68"/>
      <c r="F28" s="69">
        <f t="shared" si="1"/>
        <v>0</v>
      </c>
      <c r="G28" s="70"/>
      <c r="H28" s="71"/>
      <c r="I28" s="69">
        <f t="shared" si="2"/>
        <v>0</v>
      </c>
      <c r="J28" s="70"/>
      <c r="K28" s="71"/>
      <c r="L28" s="69">
        <f t="shared" si="3"/>
        <v>0</v>
      </c>
      <c r="M28" s="70"/>
      <c r="N28" s="71"/>
      <c r="O28" s="69">
        <f t="shared" si="4"/>
        <v>0</v>
      </c>
      <c r="P28" s="70"/>
      <c r="Q28" s="71"/>
      <c r="R28" s="69">
        <f t="shared" si="5"/>
        <v>0</v>
      </c>
      <c r="S28" s="70"/>
      <c r="T28" s="71"/>
      <c r="U28" s="69">
        <f t="shared" si="6"/>
        <v>0</v>
      </c>
      <c r="V28" s="70"/>
      <c r="W28" s="71"/>
      <c r="X28" s="69">
        <f t="shared" si="7"/>
        <v>0</v>
      </c>
      <c r="Y28" s="70"/>
      <c r="Z28" s="71"/>
      <c r="AA28" s="69">
        <f t="shared" si="8"/>
        <v>0</v>
      </c>
      <c r="AB28" s="70"/>
      <c r="AC28" s="71"/>
      <c r="AD28" s="69">
        <f t="shared" si="9"/>
        <v>0</v>
      </c>
      <c r="AE28" s="70"/>
      <c r="AF28" s="71"/>
      <c r="AG28" s="69">
        <f t="shared" si="10"/>
        <v>0</v>
      </c>
      <c r="AH28" s="70"/>
      <c r="AI28" s="71"/>
      <c r="AJ28" s="69">
        <f t="shared" si="11"/>
        <v>0</v>
      </c>
      <c r="AK28" s="70"/>
      <c r="AL28" s="71"/>
      <c r="AM28" s="69">
        <f t="shared" si="12"/>
        <v>0</v>
      </c>
      <c r="AN28" s="70"/>
      <c r="AO28" s="71"/>
      <c r="AP28" s="67">
        <f t="shared" si="13"/>
        <v>0</v>
      </c>
      <c r="AQ28" s="8" t="e">
        <f t="shared" si="0"/>
        <v>#DIV/0!</v>
      </c>
    </row>
    <row r="29" spans="1:43" ht="18" customHeight="1" x14ac:dyDescent="0.15">
      <c r="A29" s="6"/>
      <c r="B29" s="12"/>
      <c r="C29" s="66"/>
      <c r="D29" s="72"/>
      <c r="E29" s="68"/>
      <c r="F29" s="69">
        <f t="shared" si="1"/>
        <v>0</v>
      </c>
      <c r="G29" s="70"/>
      <c r="H29" s="71"/>
      <c r="I29" s="69">
        <f t="shared" si="2"/>
        <v>0</v>
      </c>
      <c r="J29" s="70"/>
      <c r="K29" s="71"/>
      <c r="L29" s="69">
        <f t="shared" si="3"/>
        <v>0</v>
      </c>
      <c r="M29" s="70"/>
      <c r="N29" s="71"/>
      <c r="O29" s="69">
        <f t="shared" si="4"/>
        <v>0</v>
      </c>
      <c r="P29" s="70"/>
      <c r="Q29" s="71"/>
      <c r="R29" s="69">
        <f t="shared" si="5"/>
        <v>0</v>
      </c>
      <c r="S29" s="70"/>
      <c r="T29" s="71"/>
      <c r="U29" s="69">
        <f t="shared" si="6"/>
        <v>0</v>
      </c>
      <c r="V29" s="70"/>
      <c r="W29" s="71"/>
      <c r="X29" s="69">
        <f t="shared" si="7"/>
        <v>0</v>
      </c>
      <c r="Y29" s="70"/>
      <c r="Z29" s="71"/>
      <c r="AA29" s="69">
        <f t="shared" si="8"/>
        <v>0</v>
      </c>
      <c r="AB29" s="70"/>
      <c r="AC29" s="71"/>
      <c r="AD29" s="69">
        <f t="shared" si="9"/>
        <v>0</v>
      </c>
      <c r="AE29" s="70"/>
      <c r="AF29" s="71"/>
      <c r="AG29" s="69">
        <f t="shared" si="10"/>
        <v>0</v>
      </c>
      <c r="AH29" s="70"/>
      <c r="AI29" s="71"/>
      <c r="AJ29" s="69">
        <f t="shared" si="11"/>
        <v>0</v>
      </c>
      <c r="AK29" s="70"/>
      <c r="AL29" s="71"/>
      <c r="AM29" s="69">
        <f t="shared" si="12"/>
        <v>0</v>
      </c>
      <c r="AN29" s="70"/>
      <c r="AO29" s="71"/>
      <c r="AP29" s="72">
        <f t="shared" si="13"/>
        <v>0</v>
      </c>
      <c r="AQ29" s="8" t="e">
        <f t="shared" si="0"/>
        <v>#DIV/0!</v>
      </c>
    </row>
    <row r="30" spans="1:43" ht="18" customHeight="1" x14ac:dyDescent="0.15">
      <c r="A30" s="6"/>
      <c r="B30" s="12"/>
      <c r="C30" s="66"/>
      <c r="D30" s="72"/>
      <c r="E30" s="68"/>
      <c r="F30" s="69">
        <f t="shared" si="1"/>
        <v>0</v>
      </c>
      <c r="G30" s="70"/>
      <c r="H30" s="71"/>
      <c r="I30" s="69">
        <f t="shared" si="2"/>
        <v>0</v>
      </c>
      <c r="J30" s="70"/>
      <c r="K30" s="71"/>
      <c r="L30" s="69">
        <f t="shared" si="3"/>
        <v>0</v>
      </c>
      <c r="M30" s="70"/>
      <c r="N30" s="71"/>
      <c r="O30" s="69">
        <f t="shared" si="4"/>
        <v>0</v>
      </c>
      <c r="P30" s="70"/>
      <c r="Q30" s="71"/>
      <c r="R30" s="69">
        <f t="shared" si="5"/>
        <v>0</v>
      </c>
      <c r="S30" s="70"/>
      <c r="T30" s="71"/>
      <c r="U30" s="69">
        <f t="shared" si="6"/>
        <v>0</v>
      </c>
      <c r="V30" s="70"/>
      <c r="W30" s="71"/>
      <c r="X30" s="69">
        <f t="shared" si="7"/>
        <v>0</v>
      </c>
      <c r="Y30" s="70"/>
      <c r="Z30" s="71"/>
      <c r="AA30" s="69">
        <f t="shared" si="8"/>
        <v>0</v>
      </c>
      <c r="AB30" s="70"/>
      <c r="AC30" s="71"/>
      <c r="AD30" s="69">
        <f t="shared" si="9"/>
        <v>0</v>
      </c>
      <c r="AE30" s="70"/>
      <c r="AF30" s="71"/>
      <c r="AG30" s="69">
        <f t="shared" si="10"/>
        <v>0</v>
      </c>
      <c r="AH30" s="70"/>
      <c r="AI30" s="71"/>
      <c r="AJ30" s="69">
        <f t="shared" si="11"/>
        <v>0</v>
      </c>
      <c r="AK30" s="70"/>
      <c r="AL30" s="71"/>
      <c r="AM30" s="69">
        <f t="shared" si="12"/>
        <v>0</v>
      </c>
      <c r="AN30" s="70"/>
      <c r="AO30" s="71"/>
      <c r="AP30" s="72">
        <f t="shared" si="13"/>
        <v>0</v>
      </c>
      <c r="AQ30" s="8" t="e">
        <f t="shared" si="0"/>
        <v>#DIV/0!</v>
      </c>
    </row>
    <row r="31" spans="1:43" ht="18" customHeight="1" thickBot="1" x14ac:dyDescent="0.2">
      <c r="A31" s="6"/>
      <c r="B31" s="13"/>
      <c r="C31" s="61"/>
      <c r="D31" s="73"/>
      <c r="E31" s="63"/>
      <c r="F31" s="63">
        <f t="shared" si="1"/>
        <v>0</v>
      </c>
      <c r="G31" s="74"/>
      <c r="H31" s="75"/>
      <c r="I31" s="63">
        <f t="shared" si="2"/>
        <v>0</v>
      </c>
      <c r="J31" s="74"/>
      <c r="K31" s="75"/>
      <c r="L31" s="63">
        <f t="shared" si="3"/>
        <v>0</v>
      </c>
      <c r="M31" s="74"/>
      <c r="N31" s="75"/>
      <c r="O31" s="63">
        <f t="shared" si="4"/>
        <v>0</v>
      </c>
      <c r="P31" s="74"/>
      <c r="Q31" s="75"/>
      <c r="R31" s="63">
        <f t="shared" si="5"/>
        <v>0</v>
      </c>
      <c r="S31" s="74"/>
      <c r="T31" s="75"/>
      <c r="U31" s="63">
        <f t="shared" si="6"/>
        <v>0</v>
      </c>
      <c r="V31" s="74"/>
      <c r="W31" s="75"/>
      <c r="X31" s="63">
        <f t="shared" si="7"/>
        <v>0</v>
      </c>
      <c r="Y31" s="74"/>
      <c r="Z31" s="75"/>
      <c r="AA31" s="63">
        <f t="shared" si="8"/>
        <v>0</v>
      </c>
      <c r="AB31" s="74"/>
      <c r="AC31" s="75"/>
      <c r="AD31" s="63">
        <f t="shared" si="9"/>
        <v>0</v>
      </c>
      <c r="AE31" s="74"/>
      <c r="AF31" s="75"/>
      <c r="AG31" s="63">
        <f t="shared" si="10"/>
        <v>0</v>
      </c>
      <c r="AH31" s="74"/>
      <c r="AI31" s="75"/>
      <c r="AJ31" s="63">
        <f t="shared" si="11"/>
        <v>0</v>
      </c>
      <c r="AK31" s="74"/>
      <c r="AL31" s="75"/>
      <c r="AM31" s="63">
        <f t="shared" si="12"/>
        <v>0</v>
      </c>
      <c r="AN31" s="74"/>
      <c r="AO31" s="75"/>
      <c r="AP31" s="73">
        <f t="shared" si="13"/>
        <v>0</v>
      </c>
      <c r="AQ31" s="7" t="e">
        <f t="shared" si="0"/>
        <v>#DIV/0!</v>
      </c>
    </row>
    <row r="32" spans="1:43" ht="18" customHeight="1" thickTop="1" x14ac:dyDescent="0.15">
      <c r="B32" s="14" t="s">
        <v>32</v>
      </c>
      <c r="C32" s="76">
        <f t="shared" ref="C32" si="14">SUM(C12:C31)</f>
        <v>1144</v>
      </c>
      <c r="D32" s="77">
        <f t="shared" ref="D32:AP32" si="15">SUM(D12:D31)</f>
        <v>340</v>
      </c>
      <c r="E32" s="78">
        <f t="shared" si="15"/>
        <v>1360</v>
      </c>
      <c r="F32" s="78">
        <f t="shared" si="15"/>
        <v>275</v>
      </c>
      <c r="G32" s="79">
        <f t="shared" si="15"/>
        <v>124</v>
      </c>
      <c r="H32" s="80">
        <f t="shared" si="15"/>
        <v>151</v>
      </c>
      <c r="I32" s="78">
        <f t="shared" ref="I32:N32" si="16">SUM(I12:I31)</f>
        <v>0</v>
      </c>
      <c r="J32" s="79">
        <f t="shared" si="16"/>
        <v>0</v>
      </c>
      <c r="K32" s="80">
        <f t="shared" si="16"/>
        <v>0</v>
      </c>
      <c r="L32" s="78">
        <f t="shared" si="16"/>
        <v>0</v>
      </c>
      <c r="M32" s="79">
        <f t="shared" si="16"/>
        <v>0</v>
      </c>
      <c r="N32" s="80">
        <f t="shared" si="16"/>
        <v>0</v>
      </c>
      <c r="O32" s="78">
        <f t="shared" ref="O32:T32" si="17">SUM(O12:O31)</f>
        <v>0</v>
      </c>
      <c r="P32" s="79">
        <f t="shared" si="17"/>
        <v>0</v>
      </c>
      <c r="Q32" s="80">
        <f t="shared" si="17"/>
        <v>0</v>
      </c>
      <c r="R32" s="78">
        <f t="shared" si="17"/>
        <v>0</v>
      </c>
      <c r="S32" s="79">
        <f t="shared" si="17"/>
        <v>0</v>
      </c>
      <c r="T32" s="80">
        <f t="shared" si="17"/>
        <v>0</v>
      </c>
      <c r="U32" s="78">
        <f t="shared" ref="U32:AI32" si="18">SUM(U12:U31)</f>
        <v>0</v>
      </c>
      <c r="V32" s="79">
        <f t="shared" si="18"/>
        <v>0</v>
      </c>
      <c r="W32" s="80">
        <f t="shared" si="18"/>
        <v>0</v>
      </c>
      <c r="X32" s="78">
        <f t="shared" si="18"/>
        <v>0</v>
      </c>
      <c r="Y32" s="79">
        <f t="shared" si="18"/>
        <v>0</v>
      </c>
      <c r="Z32" s="80">
        <f t="shared" si="18"/>
        <v>0</v>
      </c>
      <c r="AA32" s="78">
        <f t="shared" si="18"/>
        <v>0</v>
      </c>
      <c r="AB32" s="79">
        <f t="shared" si="18"/>
        <v>0</v>
      </c>
      <c r="AC32" s="80">
        <f t="shared" si="18"/>
        <v>0</v>
      </c>
      <c r="AD32" s="78">
        <f t="shared" si="18"/>
        <v>0</v>
      </c>
      <c r="AE32" s="79">
        <f t="shared" si="18"/>
        <v>0</v>
      </c>
      <c r="AF32" s="80">
        <f t="shared" si="18"/>
        <v>0</v>
      </c>
      <c r="AG32" s="78">
        <f t="shared" si="18"/>
        <v>0</v>
      </c>
      <c r="AH32" s="79">
        <f t="shared" si="18"/>
        <v>0</v>
      </c>
      <c r="AI32" s="80">
        <f t="shared" si="18"/>
        <v>0</v>
      </c>
      <c r="AJ32" s="78">
        <f t="shared" ref="AJ32:AO32" si="19">SUM(AJ12:AJ31)</f>
        <v>0</v>
      </c>
      <c r="AK32" s="79">
        <f t="shared" si="19"/>
        <v>0</v>
      </c>
      <c r="AL32" s="80">
        <f t="shared" si="19"/>
        <v>0</v>
      </c>
      <c r="AM32" s="78">
        <f t="shared" si="19"/>
        <v>0</v>
      </c>
      <c r="AN32" s="79">
        <f t="shared" si="19"/>
        <v>0</v>
      </c>
      <c r="AO32" s="80">
        <f t="shared" si="19"/>
        <v>0</v>
      </c>
      <c r="AP32" s="77">
        <f t="shared" si="15"/>
        <v>275</v>
      </c>
      <c r="AQ32" s="9">
        <f t="shared" si="0"/>
        <v>0.20220588235294118</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45" orientation="landscape" r:id="rId1"/>
  <headerFooter>
    <oddHeader>&amp;C数理・データサイエンス・AI教育プログラム認定制度【リテラシーレベル】</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topLeftCell="A104" zoomScale="150" zoomScaleNormal="100" zoomScaleSheetLayoutView="150" workbookViewId="0">
      <selection activeCell="K45" sqref="K45"/>
    </sheetView>
  </sheetViews>
  <sheetFormatPr defaultColWidth="11.375" defaultRowHeight="18.75" customHeight="1" x14ac:dyDescent="0.15"/>
  <cols>
    <col min="1" max="1" width="2.875" style="40" customWidth="1"/>
    <col min="2" max="2" width="16.625" style="1" customWidth="1"/>
    <col min="3" max="3" width="8.875" style="1" customWidth="1"/>
    <col min="4" max="4" width="2.1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40" t="s">
        <v>64</v>
      </c>
      <c r="I1" s="35" t="s">
        <v>105</v>
      </c>
    </row>
    <row r="2" spans="1:9" ht="18.75" customHeight="1" x14ac:dyDescent="0.15">
      <c r="G2" s="35" t="s">
        <v>108</v>
      </c>
      <c r="H2" s="99" t="str">
        <f>'様式１ー１　プログラムを構成する授業科目'!C2</f>
        <v>福山平成大学</v>
      </c>
      <c r="I2" s="101"/>
    </row>
    <row r="3" spans="1:9" ht="18.75" customHeight="1" x14ac:dyDescent="0.15">
      <c r="G3" s="35"/>
      <c r="H3" s="10"/>
      <c r="I3" s="10"/>
    </row>
    <row r="4" spans="1:9" ht="18.600000000000001" customHeight="1" x14ac:dyDescent="0.15">
      <c r="A4" s="113" t="s">
        <v>35</v>
      </c>
      <c r="B4" s="113"/>
      <c r="C4" s="113"/>
      <c r="D4" s="113"/>
      <c r="E4" s="113"/>
      <c r="F4" s="113"/>
      <c r="G4" s="113"/>
      <c r="H4" s="113"/>
      <c r="I4" s="113"/>
    </row>
    <row r="5" spans="1:9" ht="13.35" customHeight="1" x14ac:dyDescent="0.15">
      <c r="B5" s="3"/>
      <c r="C5" s="3"/>
      <c r="D5" s="3"/>
      <c r="E5" s="3"/>
      <c r="F5" s="3"/>
      <c r="G5" s="3"/>
      <c r="H5" s="3"/>
      <c r="I5" s="3"/>
    </row>
    <row r="6" spans="1:9" ht="18" customHeight="1" x14ac:dyDescent="0.15">
      <c r="A6" s="1" t="s">
        <v>0</v>
      </c>
      <c r="B6" s="10" t="s">
        <v>90</v>
      </c>
      <c r="C6" s="232" t="s">
        <v>91</v>
      </c>
      <c r="D6" s="232"/>
      <c r="E6" s="34">
        <v>84</v>
      </c>
      <c r="F6" s="3" t="s">
        <v>1</v>
      </c>
      <c r="G6" s="3" t="s">
        <v>2</v>
      </c>
      <c r="H6" s="34">
        <v>79</v>
      </c>
      <c r="I6" s="10" t="s">
        <v>1</v>
      </c>
    </row>
    <row r="7" spans="1:9" ht="12" customHeight="1" x14ac:dyDescent="0.15">
      <c r="C7" s="2"/>
      <c r="D7" s="2"/>
      <c r="E7" s="2"/>
      <c r="F7" s="2"/>
      <c r="G7" s="2"/>
      <c r="H7" s="2"/>
      <c r="I7" s="41"/>
    </row>
    <row r="8" spans="1:9" ht="18" customHeight="1" x14ac:dyDescent="0.15">
      <c r="A8" s="1" t="s">
        <v>3</v>
      </c>
      <c r="B8" s="10" t="s">
        <v>92</v>
      </c>
      <c r="E8" s="3"/>
      <c r="F8" s="3"/>
      <c r="G8" s="3"/>
      <c r="H8" s="34">
        <v>8</v>
      </c>
      <c r="I8" s="10" t="s">
        <v>1</v>
      </c>
    </row>
    <row r="9" spans="1:9" ht="9" customHeight="1" x14ac:dyDescent="0.15">
      <c r="B9" s="3"/>
      <c r="C9" s="3"/>
      <c r="D9" s="3"/>
      <c r="E9" s="3"/>
      <c r="F9" s="3"/>
      <c r="G9" s="3"/>
      <c r="H9" s="3"/>
      <c r="I9" s="3"/>
    </row>
    <row r="10" spans="1:9" ht="18" customHeight="1" x14ac:dyDescent="0.15">
      <c r="A10" s="1" t="s">
        <v>4</v>
      </c>
      <c r="B10" s="10" t="s">
        <v>93</v>
      </c>
      <c r="C10" s="3"/>
      <c r="D10" s="3"/>
      <c r="E10" s="3"/>
      <c r="F10" s="3"/>
      <c r="G10" s="3"/>
      <c r="H10" s="3"/>
      <c r="I10" s="3"/>
    </row>
    <row r="11" spans="1:9" ht="18" customHeight="1" x14ac:dyDescent="0.15">
      <c r="B11" s="35" t="s">
        <v>42</v>
      </c>
      <c r="C11" s="99" t="s">
        <v>203</v>
      </c>
      <c r="D11" s="124"/>
      <c r="E11" s="125"/>
      <c r="F11" s="41"/>
      <c r="G11" s="35" t="s">
        <v>10</v>
      </c>
      <c r="H11" s="99" t="s">
        <v>147</v>
      </c>
      <c r="I11" s="125"/>
    </row>
    <row r="12" spans="1:9" ht="10.35" customHeight="1" x14ac:dyDescent="0.15">
      <c r="B12" s="35"/>
      <c r="C12" s="10"/>
      <c r="D12" s="41"/>
      <c r="E12" s="41"/>
      <c r="F12" s="41"/>
      <c r="G12" s="35"/>
      <c r="H12" s="10"/>
      <c r="I12" s="41"/>
    </row>
    <row r="13" spans="1:9" ht="18" customHeight="1" x14ac:dyDescent="0.15">
      <c r="A13" s="1" t="s">
        <v>7</v>
      </c>
      <c r="B13" s="10" t="s">
        <v>87</v>
      </c>
      <c r="C13" s="3"/>
      <c r="D13" s="3"/>
      <c r="E13" s="3"/>
      <c r="F13" s="3"/>
      <c r="G13" s="3"/>
      <c r="H13" s="3"/>
      <c r="I13" s="3"/>
    </row>
    <row r="14" spans="1:9" ht="18" customHeight="1" x14ac:dyDescent="0.15">
      <c r="B14" s="99" t="s">
        <v>162</v>
      </c>
      <c r="C14" s="124"/>
      <c r="D14" s="124"/>
      <c r="E14" s="124"/>
      <c r="F14" s="124"/>
      <c r="G14" s="124"/>
      <c r="H14" s="124"/>
      <c r="I14" s="125"/>
    </row>
    <row r="15" spans="1:9" ht="9" customHeight="1" x14ac:dyDescent="0.15">
      <c r="B15" s="3"/>
      <c r="C15" s="3"/>
      <c r="D15" s="3"/>
      <c r="E15" s="3"/>
      <c r="F15" s="3"/>
      <c r="G15" s="3"/>
      <c r="H15" s="3"/>
      <c r="I15" s="3"/>
    </row>
    <row r="16" spans="1:9" ht="18" customHeight="1" x14ac:dyDescent="0.15">
      <c r="B16" s="35" t="s">
        <v>42</v>
      </c>
      <c r="C16" s="99" t="s">
        <v>146</v>
      </c>
      <c r="D16" s="124"/>
      <c r="E16" s="125"/>
      <c r="F16" s="41"/>
      <c r="G16" s="35" t="s">
        <v>10</v>
      </c>
      <c r="H16" s="167" t="s">
        <v>206</v>
      </c>
      <c r="I16" s="109"/>
    </row>
    <row r="17" spans="1:9" ht="18" customHeight="1" x14ac:dyDescent="0.15">
      <c r="B17" s="3"/>
      <c r="C17" s="3"/>
      <c r="D17" s="3"/>
      <c r="E17" s="3"/>
      <c r="F17" s="3"/>
      <c r="G17" s="3"/>
      <c r="H17" s="3"/>
      <c r="I17" s="3"/>
    </row>
    <row r="18" spans="1:9" ht="18.75" customHeight="1" x14ac:dyDescent="0.15">
      <c r="A18" s="1" t="s">
        <v>5</v>
      </c>
      <c r="B18" s="1" t="s">
        <v>41</v>
      </c>
      <c r="I18" s="3"/>
    </row>
    <row r="19" spans="1:9" ht="18.75" customHeight="1" x14ac:dyDescent="0.15">
      <c r="A19" s="1"/>
      <c r="B19" s="167" t="s">
        <v>148</v>
      </c>
      <c r="C19" s="226"/>
      <c r="D19" s="226"/>
      <c r="E19" s="226"/>
      <c r="F19" s="226"/>
      <c r="G19" s="226"/>
      <c r="H19" s="226"/>
      <c r="I19" s="168"/>
    </row>
    <row r="20" spans="1:9" ht="7.5" customHeight="1" x14ac:dyDescent="0.15">
      <c r="B20" s="3"/>
      <c r="C20" s="3"/>
      <c r="D20" s="3"/>
      <c r="E20" s="3"/>
      <c r="F20" s="3"/>
      <c r="G20" s="3"/>
      <c r="H20" s="3"/>
      <c r="I20" s="3"/>
    </row>
    <row r="21" spans="1:9" ht="18.75" customHeight="1" x14ac:dyDescent="0.15">
      <c r="A21" s="1" t="s">
        <v>8</v>
      </c>
      <c r="B21" s="1" t="s">
        <v>24</v>
      </c>
    </row>
    <row r="22" spans="1:9" ht="18.75" customHeight="1" x14ac:dyDescent="0.15">
      <c r="A22" s="15"/>
      <c r="B22" s="216" t="s">
        <v>180</v>
      </c>
      <c r="C22" s="217"/>
      <c r="D22" s="217"/>
      <c r="E22" s="217"/>
      <c r="F22" s="217"/>
      <c r="G22" s="217"/>
      <c r="H22" s="217"/>
      <c r="I22" s="218"/>
    </row>
    <row r="23" spans="1:9" ht="18.75" customHeight="1" x14ac:dyDescent="0.15">
      <c r="A23" s="15"/>
      <c r="B23" s="227"/>
      <c r="C23" s="228"/>
      <c r="D23" s="228"/>
      <c r="E23" s="228"/>
      <c r="F23" s="228"/>
      <c r="G23" s="228"/>
      <c r="H23" s="228"/>
      <c r="I23" s="221"/>
    </row>
    <row r="24" spans="1:9" ht="8.1" customHeight="1" x14ac:dyDescent="0.15">
      <c r="A24" s="15"/>
      <c r="B24" s="227"/>
      <c r="C24" s="228"/>
      <c r="D24" s="228"/>
      <c r="E24" s="228"/>
      <c r="F24" s="228"/>
      <c r="G24" s="228"/>
      <c r="H24" s="228"/>
      <c r="I24" s="221"/>
    </row>
    <row r="25" spans="1:9" ht="18.75" hidden="1" customHeight="1" x14ac:dyDescent="0.15">
      <c r="A25" s="15"/>
      <c r="B25" s="227"/>
      <c r="C25" s="228"/>
      <c r="D25" s="228"/>
      <c r="E25" s="228"/>
      <c r="F25" s="228"/>
      <c r="G25" s="228"/>
      <c r="H25" s="228"/>
      <c r="I25" s="221"/>
    </row>
    <row r="26" spans="1:9" ht="18.75" hidden="1" customHeight="1" x14ac:dyDescent="0.15">
      <c r="A26" s="15"/>
      <c r="B26" s="227"/>
      <c r="C26" s="228"/>
      <c r="D26" s="228"/>
      <c r="E26" s="228"/>
      <c r="F26" s="228"/>
      <c r="G26" s="228"/>
      <c r="H26" s="228"/>
      <c r="I26" s="221"/>
    </row>
    <row r="27" spans="1:9" ht="12" hidden="1" customHeight="1" x14ac:dyDescent="0.15">
      <c r="A27" s="15"/>
      <c r="B27" s="227"/>
      <c r="C27" s="228"/>
      <c r="D27" s="228"/>
      <c r="E27" s="228"/>
      <c r="F27" s="228"/>
      <c r="G27" s="228"/>
      <c r="H27" s="228"/>
      <c r="I27" s="221"/>
    </row>
    <row r="28" spans="1:9" ht="0.95" hidden="1" customHeight="1" x14ac:dyDescent="0.15">
      <c r="A28" s="15"/>
      <c r="B28" s="227"/>
      <c r="C28" s="228"/>
      <c r="D28" s="228"/>
      <c r="E28" s="228"/>
      <c r="F28" s="228"/>
      <c r="G28" s="228"/>
      <c r="H28" s="228"/>
      <c r="I28" s="221"/>
    </row>
    <row r="29" spans="1:9" ht="0.95" hidden="1" customHeight="1" x14ac:dyDescent="0.15">
      <c r="A29" s="15"/>
      <c r="B29" s="227"/>
      <c r="C29" s="228"/>
      <c r="D29" s="228"/>
      <c r="E29" s="228"/>
      <c r="F29" s="228"/>
      <c r="G29" s="228"/>
      <c r="H29" s="228"/>
      <c r="I29" s="221"/>
    </row>
    <row r="30" spans="1:9" ht="0.95" hidden="1" customHeight="1" x14ac:dyDescent="0.15">
      <c r="A30" s="15"/>
      <c r="B30" s="219"/>
      <c r="C30" s="220"/>
      <c r="D30" s="220"/>
      <c r="E30" s="220"/>
      <c r="F30" s="220"/>
      <c r="G30" s="220"/>
      <c r="H30" s="220"/>
      <c r="I30" s="221"/>
    </row>
    <row r="31" spans="1:9" ht="0.95" hidden="1" customHeight="1" x14ac:dyDescent="0.15">
      <c r="A31" s="15"/>
      <c r="B31" s="219"/>
      <c r="C31" s="220"/>
      <c r="D31" s="220"/>
      <c r="E31" s="220"/>
      <c r="F31" s="220"/>
      <c r="G31" s="220"/>
      <c r="H31" s="220"/>
      <c r="I31" s="221"/>
    </row>
    <row r="32" spans="1:9" ht="69.95" customHeight="1" x14ac:dyDescent="0.15">
      <c r="A32" s="15"/>
      <c r="B32" s="222"/>
      <c r="C32" s="223"/>
      <c r="D32" s="223"/>
      <c r="E32" s="223"/>
      <c r="F32" s="223"/>
      <c r="G32" s="223"/>
      <c r="H32" s="223"/>
      <c r="I32" s="224"/>
    </row>
    <row r="33" spans="1:9" ht="7.5" customHeight="1" x14ac:dyDescent="0.15">
      <c r="A33" s="15"/>
      <c r="B33" s="15"/>
      <c r="C33" s="15"/>
      <c r="D33" s="15"/>
      <c r="E33" s="15"/>
      <c r="F33" s="15"/>
      <c r="G33" s="15"/>
      <c r="H33" s="15"/>
      <c r="I33" s="15"/>
    </row>
    <row r="34" spans="1:9" ht="18.75" customHeight="1" x14ac:dyDescent="0.15">
      <c r="A34" s="16" t="s">
        <v>6</v>
      </c>
      <c r="B34" s="16" t="s">
        <v>9</v>
      </c>
      <c r="C34" s="10"/>
      <c r="D34" s="16"/>
      <c r="E34" s="16"/>
      <c r="F34" s="16"/>
      <c r="G34" s="16"/>
      <c r="H34" s="16"/>
      <c r="I34" s="16"/>
    </row>
    <row r="35" spans="1:9" ht="18.75" customHeight="1" x14ac:dyDescent="0.15">
      <c r="A35" s="15"/>
      <c r="B35" s="114" t="s">
        <v>218</v>
      </c>
      <c r="C35" s="115"/>
      <c r="D35" s="115"/>
      <c r="E35" s="115"/>
      <c r="F35" s="115"/>
      <c r="G35" s="115"/>
      <c r="H35" s="115"/>
      <c r="I35" s="116"/>
    </row>
    <row r="36" spans="1:9" ht="18.75" customHeight="1" x14ac:dyDescent="0.15">
      <c r="A36" s="15"/>
      <c r="B36" s="117"/>
      <c r="C36" s="118"/>
      <c r="D36" s="118"/>
      <c r="E36" s="118"/>
      <c r="F36" s="118"/>
      <c r="G36" s="118"/>
      <c r="H36" s="118"/>
      <c r="I36" s="119"/>
    </row>
    <row r="37" spans="1:9" ht="18.75" customHeight="1" x14ac:dyDescent="0.15">
      <c r="A37" s="15"/>
      <c r="B37" s="117"/>
      <c r="C37" s="118"/>
      <c r="D37" s="118"/>
      <c r="E37" s="118"/>
      <c r="F37" s="118"/>
      <c r="G37" s="118"/>
      <c r="H37" s="118"/>
      <c r="I37" s="119"/>
    </row>
    <row r="38" spans="1:9" ht="18.75" customHeight="1" x14ac:dyDescent="0.15">
      <c r="A38" s="15"/>
      <c r="B38" s="117"/>
      <c r="C38" s="118"/>
      <c r="D38" s="118"/>
      <c r="E38" s="118"/>
      <c r="F38" s="118"/>
      <c r="G38" s="118"/>
      <c r="H38" s="118"/>
      <c r="I38" s="119"/>
    </row>
    <row r="39" spans="1:9" ht="18.75" customHeight="1" x14ac:dyDescent="0.15">
      <c r="A39" s="15"/>
      <c r="B39" s="117"/>
      <c r="C39" s="118"/>
      <c r="D39" s="118"/>
      <c r="E39" s="118"/>
      <c r="F39" s="118"/>
      <c r="G39" s="118"/>
      <c r="H39" s="118"/>
      <c r="I39" s="119"/>
    </row>
    <row r="40" spans="1:9" ht="18.75" customHeight="1" x14ac:dyDescent="0.15">
      <c r="A40" s="15"/>
      <c r="B40" s="117"/>
      <c r="C40" s="118"/>
      <c r="D40" s="118"/>
      <c r="E40" s="118"/>
      <c r="F40" s="118"/>
      <c r="G40" s="118"/>
      <c r="H40" s="118"/>
      <c r="I40" s="119"/>
    </row>
    <row r="41" spans="1:9" ht="18.75" customHeight="1" x14ac:dyDescent="0.15">
      <c r="A41" s="15"/>
      <c r="B41" s="117"/>
      <c r="C41" s="118"/>
      <c r="D41" s="118"/>
      <c r="E41" s="118"/>
      <c r="F41" s="118"/>
      <c r="G41" s="118"/>
      <c r="H41" s="118"/>
      <c r="I41" s="119"/>
    </row>
    <row r="42" spans="1:9" ht="18.75" customHeight="1" x14ac:dyDescent="0.15">
      <c r="A42" s="15"/>
      <c r="B42" s="117"/>
      <c r="C42" s="118"/>
      <c r="D42" s="118"/>
      <c r="E42" s="118"/>
      <c r="F42" s="118"/>
      <c r="G42" s="118"/>
      <c r="H42" s="118"/>
      <c r="I42" s="119"/>
    </row>
    <row r="43" spans="1:9" ht="18.75" customHeight="1" x14ac:dyDescent="0.15">
      <c r="A43" s="15"/>
      <c r="B43" s="117"/>
      <c r="C43" s="118"/>
      <c r="D43" s="118"/>
      <c r="E43" s="118"/>
      <c r="F43" s="118"/>
      <c r="G43" s="118"/>
      <c r="H43" s="118"/>
      <c r="I43" s="119"/>
    </row>
    <row r="44" spans="1:9" ht="23.25" customHeight="1" x14ac:dyDescent="0.15">
      <c r="A44" s="15"/>
      <c r="B44" s="117"/>
      <c r="C44" s="118"/>
      <c r="D44" s="118"/>
      <c r="E44" s="118"/>
      <c r="F44" s="118"/>
      <c r="G44" s="118"/>
      <c r="H44" s="118"/>
      <c r="I44" s="119"/>
    </row>
    <row r="45" spans="1:9" ht="279.75" customHeight="1" x14ac:dyDescent="0.15">
      <c r="A45" s="15"/>
      <c r="B45" s="117" t="s">
        <v>219</v>
      </c>
      <c r="C45" s="187"/>
      <c r="D45" s="187"/>
      <c r="E45" s="187"/>
      <c r="F45" s="187"/>
      <c r="G45" s="187"/>
      <c r="H45" s="187"/>
      <c r="I45" s="188"/>
    </row>
    <row r="46" spans="1:9" ht="3.95" customHeight="1" x14ac:dyDescent="0.15">
      <c r="A46" s="15"/>
      <c r="B46" s="82"/>
      <c r="C46" s="83"/>
      <c r="D46" s="83"/>
      <c r="E46" s="83"/>
      <c r="F46" s="83"/>
      <c r="G46" s="83"/>
      <c r="H46" s="83"/>
      <c r="I46" s="84"/>
    </row>
    <row r="47" spans="1:9" ht="7.5" customHeight="1" x14ac:dyDescent="0.15">
      <c r="A47" s="4"/>
      <c r="B47" s="4"/>
      <c r="C47" s="4"/>
      <c r="D47" s="4"/>
      <c r="E47" s="4"/>
      <c r="F47" s="4"/>
      <c r="G47" s="4"/>
      <c r="H47" s="4"/>
      <c r="I47" s="4"/>
    </row>
    <row r="48" spans="1:9" ht="18.75" customHeight="1" x14ac:dyDescent="0.15">
      <c r="A48" s="1" t="s">
        <v>30</v>
      </c>
      <c r="B48" s="1" t="s">
        <v>122</v>
      </c>
    </row>
    <row r="49" spans="1:15" s="3" customFormat="1" ht="18.75" customHeight="1" x14ac:dyDescent="0.15">
      <c r="B49" s="42" t="s">
        <v>88</v>
      </c>
      <c r="C49" s="205">
        <f>'様式２ 履修者等数の実績'!AQ32</f>
        <v>0.20220588235294118</v>
      </c>
      <c r="D49" s="205"/>
      <c r="E49" s="42" t="s">
        <v>65</v>
      </c>
      <c r="F49" s="205">
        <v>0.5</v>
      </c>
      <c r="G49" s="205"/>
      <c r="H49" s="42" t="s">
        <v>66</v>
      </c>
      <c r="I49" s="43">
        <v>0.75</v>
      </c>
      <c r="J49" s="1"/>
      <c r="M49" s="1"/>
      <c r="N49" s="44"/>
    </row>
    <row r="50" spans="1:15" s="3" customFormat="1" ht="18.75" customHeight="1" x14ac:dyDescent="0.15">
      <c r="B50" s="45" t="s">
        <v>67</v>
      </c>
      <c r="C50" s="206">
        <v>1</v>
      </c>
      <c r="D50" s="206"/>
      <c r="E50" s="45" t="s">
        <v>89</v>
      </c>
      <c r="F50" s="206">
        <v>1</v>
      </c>
      <c r="G50" s="206"/>
      <c r="H50" s="45" t="s">
        <v>68</v>
      </c>
      <c r="I50" s="46">
        <f>'様式２ 履修者等数の実績'!E32</f>
        <v>1360</v>
      </c>
      <c r="J50" s="1"/>
      <c r="M50" s="1"/>
      <c r="N50" s="44"/>
    </row>
    <row r="51" spans="1:15" ht="18.75" customHeight="1" x14ac:dyDescent="0.15">
      <c r="A51" s="1"/>
      <c r="B51" s="229" t="s">
        <v>69</v>
      </c>
      <c r="C51" s="230"/>
      <c r="D51" s="230"/>
      <c r="E51" s="230"/>
      <c r="F51" s="230"/>
      <c r="G51" s="230"/>
      <c r="H51" s="230"/>
      <c r="I51" s="231"/>
      <c r="N51" s="44"/>
      <c r="O51" s="3"/>
    </row>
    <row r="52" spans="1:15" ht="18.75" customHeight="1" x14ac:dyDescent="0.15">
      <c r="A52" s="1"/>
      <c r="B52" s="207" t="s">
        <v>202</v>
      </c>
      <c r="C52" s="208"/>
      <c r="D52" s="208"/>
      <c r="E52" s="208"/>
      <c r="F52" s="208"/>
      <c r="G52" s="208"/>
      <c r="H52" s="208"/>
      <c r="I52" s="209"/>
      <c r="N52" s="44"/>
      <c r="O52" s="3"/>
    </row>
    <row r="53" spans="1:15" ht="18.75" customHeight="1" x14ac:dyDescent="0.15">
      <c r="A53" s="1"/>
      <c r="B53" s="210"/>
      <c r="C53" s="211"/>
      <c r="D53" s="211"/>
      <c r="E53" s="211"/>
      <c r="F53" s="211"/>
      <c r="G53" s="211"/>
      <c r="H53" s="211"/>
      <c r="I53" s="212"/>
      <c r="N53" s="44"/>
      <c r="O53" s="3"/>
    </row>
    <row r="54" spans="1:15" ht="18.75" customHeight="1" x14ac:dyDescent="0.15">
      <c r="A54" s="1"/>
      <c r="B54" s="210"/>
      <c r="C54" s="211"/>
      <c r="D54" s="211"/>
      <c r="E54" s="211"/>
      <c r="F54" s="211"/>
      <c r="G54" s="211"/>
      <c r="H54" s="211"/>
      <c r="I54" s="212"/>
    </row>
    <row r="55" spans="1:15" ht="18.75" customHeight="1" x14ac:dyDescent="0.15">
      <c r="A55" s="1"/>
      <c r="B55" s="210"/>
      <c r="C55" s="211"/>
      <c r="D55" s="211"/>
      <c r="E55" s="211"/>
      <c r="F55" s="211"/>
      <c r="G55" s="211"/>
      <c r="H55" s="211"/>
      <c r="I55" s="212"/>
    </row>
    <row r="56" spans="1:15" ht="18.75" customHeight="1" x14ac:dyDescent="0.15">
      <c r="A56" s="1"/>
      <c r="B56" s="210"/>
      <c r="C56" s="211"/>
      <c r="D56" s="211"/>
      <c r="E56" s="211"/>
      <c r="F56" s="211"/>
      <c r="G56" s="211"/>
      <c r="H56" s="211"/>
      <c r="I56" s="212"/>
    </row>
    <row r="57" spans="1:15" ht="18.75" customHeight="1" x14ac:dyDescent="0.15">
      <c r="A57" s="1"/>
      <c r="B57" s="210"/>
      <c r="C57" s="211"/>
      <c r="D57" s="211"/>
      <c r="E57" s="211"/>
      <c r="F57" s="211"/>
      <c r="G57" s="211"/>
      <c r="H57" s="211"/>
      <c r="I57" s="212"/>
    </row>
    <row r="58" spans="1:15" ht="18.75" customHeight="1" x14ac:dyDescent="0.15">
      <c r="A58" s="1"/>
      <c r="B58" s="210"/>
      <c r="C58" s="211"/>
      <c r="D58" s="211"/>
      <c r="E58" s="211"/>
      <c r="F58" s="211"/>
      <c r="G58" s="211"/>
      <c r="H58" s="211"/>
      <c r="I58" s="212"/>
    </row>
    <row r="59" spans="1:15" ht="18.75" customHeight="1" x14ac:dyDescent="0.15">
      <c r="A59" s="1"/>
      <c r="B59" s="210"/>
      <c r="C59" s="211"/>
      <c r="D59" s="211"/>
      <c r="E59" s="211"/>
      <c r="F59" s="211"/>
      <c r="G59" s="211"/>
      <c r="H59" s="211"/>
      <c r="I59" s="212"/>
    </row>
    <row r="60" spans="1:15" ht="18.75" customHeight="1" x14ac:dyDescent="0.15">
      <c r="A60" s="1"/>
      <c r="B60" s="210"/>
      <c r="C60" s="211"/>
      <c r="D60" s="211"/>
      <c r="E60" s="211"/>
      <c r="F60" s="211"/>
      <c r="G60" s="211"/>
      <c r="H60" s="211"/>
      <c r="I60" s="212"/>
    </row>
    <row r="61" spans="1:15" ht="18.75" customHeight="1" x14ac:dyDescent="0.15">
      <c r="A61" s="1"/>
      <c r="B61" s="210"/>
      <c r="C61" s="211"/>
      <c r="D61" s="211"/>
      <c r="E61" s="211"/>
      <c r="F61" s="211"/>
      <c r="G61" s="211"/>
      <c r="H61" s="211"/>
      <c r="I61" s="212"/>
    </row>
    <row r="62" spans="1:15" ht="18.75" customHeight="1" x14ac:dyDescent="0.15">
      <c r="A62" s="1"/>
      <c r="B62" s="210"/>
      <c r="C62" s="211"/>
      <c r="D62" s="211"/>
      <c r="E62" s="211"/>
      <c r="F62" s="211"/>
      <c r="G62" s="211"/>
      <c r="H62" s="211"/>
      <c r="I62" s="212"/>
    </row>
    <row r="63" spans="1:15" ht="18.75" customHeight="1" x14ac:dyDescent="0.15">
      <c r="A63" s="1"/>
      <c r="B63" s="213"/>
      <c r="C63" s="214"/>
      <c r="D63" s="214"/>
      <c r="E63" s="214"/>
      <c r="F63" s="214"/>
      <c r="G63" s="214"/>
      <c r="H63" s="214"/>
      <c r="I63" s="215"/>
    </row>
    <row r="64" spans="1:15" ht="7.5" customHeight="1" x14ac:dyDescent="0.15">
      <c r="A64" s="15"/>
      <c r="B64" s="15"/>
      <c r="C64" s="15"/>
      <c r="D64" s="15"/>
      <c r="E64" s="15"/>
      <c r="F64" s="15"/>
      <c r="G64" s="15"/>
      <c r="H64" s="15"/>
      <c r="I64" s="15"/>
    </row>
    <row r="65" spans="1:9" ht="18.75" customHeight="1" x14ac:dyDescent="0.15">
      <c r="A65" s="16" t="s">
        <v>33</v>
      </c>
      <c r="B65" s="1" t="s">
        <v>36</v>
      </c>
      <c r="I65" s="16"/>
    </row>
    <row r="66" spans="1:9" ht="18.75" customHeight="1" x14ac:dyDescent="0.15">
      <c r="A66" s="4"/>
      <c r="B66" s="189" t="s">
        <v>210</v>
      </c>
      <c r="C66" s="190"/>
      <c r="D66" s="190"/>
      <c r="E66" s="190"/>
      <c r="F66" s="190"/>
      <c r="G66" s="190"/>
      <c r="H66" s="190"/>
      <c r="I66" s="191"/>
    </row>
    <row r="67" spans="1:9" ht="18.75" customHeight="1" x14ac:dyDescent="0.15">
      <c r="A67" s="4"/>
      <c r="B67" s="192"/>
      <c r="C67" s="193"/>
      <c r="D67" s="193"/>
      <c r="E67" s="193"/>
      <c r="F67" s="193"/>
      <c r="G67" s="193"/>
      <c r="H67" s="193"/>
      <c r="I67" s="194"/>
    </row>
    <row r="68" spans="1:9" ht="18.75" customHeight="1" x14ac:dyDescent="0.15">
      <c r="A68" s="4"/>
      <c r="B68" s="192"/>
      <c r="C68" s="193"/>
      <c r="D68" s="193"/>
      <c r="E68" s="193"/>
      <c r="F68" s="193"/>
      <c r="G68" s="193"/>
      <c r="H68" s="193"/>
      <c r="I68" s="194"/>
    </row>
    <row r="69" spans="1:9" ht="18.75" customHeight="1" x14ac:dyDescent="0.15">
      <c r="A69" s="4"/>
      <c r="B69" s="192"/>
      <c r="C69" s="193"/>
      <c r="D69" s="193"/>
      <c r="E69" s="193"/>
      <c r="F69" s="193"/>
      <c r="G69" s="193"/>
      <c r="H69" s="193"/>
      <c r="I69" s="194"/>
    </row>
    <row r="70" spans="1:9" ht="18.75" customHeight="1" x14ac:dyDescent="0.15">
      <c r="A70" s="4"/>
      <c r="B70" s="192"/>
      <c r="C70" s="193"/>
      <c r="D70" s="193"/>
      <c r="E70" s="193"/>
      <c r="F70" s="193"/>
      <c r="G70" s="193"/>
      <c r="H70" s="193"/>
      <c r="I70" s="194"/>
    </row>
    <row r="71" spans="1:9" ht="18.75" customHeight="1" x14ac:dyDescent="0.15">
      <c r="A71" s="4"/>
      <c r="B71" s="192"/>
      <c r="C71" s="193"/>
      <c r="D71" s="193"/>
      <c r="E71" s="193"/>
      <c r="F71" s="193"/>
      <c r="G71" s="193"/>
      <c r="H71" s="193"/>
      <c r="I71" s="194"/>
    </row>
    <row r="72" spans="1:9" ht="18.75" customHeight="1" x14ac:dyDescent="0.15">
      <c r="A72" s="4"/>
      <c r="B72" s="192"/>
      <c r="C72" s="193"/>
      <c r="D72" s="193"/>
      <c r="E72" s="193"/>
      <c r="F72" s="193"/>
      <c r="G72" s="193"/>
      <c r="H72" s="193"/>
      <c r="I72" s="194"/>
    </row>
    <row r="73" spans="1:9" ht="18.75" customHeight="1" x14ac:dyDescent="0.15">
      <c r="A73" s="4"/>
      <c r="B73" s="192"/>
      <c r="C73" s="193"/>
      <c r="D73" s="193"/>
      <c r="E73" s="193"/>
      <c r="F73" s="193"/>
      <c r="G73" s="193"/>
      <c r="H73" s="193"/>
      <c r="I73" s="194"/>
    </row>
    <row r="74" spans="1:9" ht="18.75" customHeight="1" x14ac:dyDescent="0.15">
      <c r="A74" s="4"/>
      <c r="B74" s="192"/>
      <c r="C74" s="193"/>
      <c r="D74" s="193"/>
      <c r="E74" s="193"/>
      <c r="F74" s="193"/>
      <c r="G74" s="193"/>
      <c r="H74" s="193"/>
      <c r="I74" s="194"/>
    </row>
    <row r="75" spans="1:9" ht="18.75" customHeight="1" x14ac:dyDescent="0.15">
      <c r="A75" s="4"/>
      <c r="B75" s="192"/>
      <c r="C75" s="193"/>
      <c r="D75" s="193"/>
      <c r="E75" s="193"/>
      <c r="F75" s="193"/>
      <c r="G75" s="193"/>
      <c r="H75" s="193"/>
      <c r="I75" s="194"/>
    </row>
    <row r="76" spans="1:9" ht="18.75" customHeight="1" x14ac:dyDescent="0.15">
      <c r="A76" s="4"/>
      <c r="B76" s="192"/>
      <c r="C76" s="193"/>
      <c r="D76" s="193"/>
      <c r="E76" s="193"/>
      <c r="F76" s="193"/>
      <c r="G76" s="193"/>
      <c r="H76" s="193"/>
      <c r="I76" s="194"/>
    </row>
    <row r="77" spans="1:9" ht="18.75" customHeight="1" x14ac:dyDescent="0.15">
      <c r="A77" s="4"/>
      <c r="B77" s="195"/>
      <c r="C77" s="196"/>
      <c r="D77" s="196"/>
      <c r="E77" s="196"/>
      <c r="F77" s="196"/>
      <c r="G77" s="196"/>
      <c r="H77" s="196"/>
      <c r="I77" s="197"/>
    </row>
    <row r="78" spans="1:9" ht="7.5" customHeight="1" x14ac:dyDescent="0.15">
      <c r="A78" s="4"/>
      <c r="B78" s="4"/>
      <c r="C78" s="4"/>
      <c r="D78" s="4"/>
      <c r="E78" s="4"/>
      <c r="F78" s="4"/>
      <c r="G78" s="4"/>
      <c r="H78" s="4"/>
      <c r="I78" s="4"/>
    </row>
    <row r="79" spans="1:9" ht="18.75" customHeight="1" x14ac:dyDescent="0.15">
      <c r="A79" s="1" t="s">
        <v>11</v>
      </c>
      <c r="B79" s="1" t="s">
        <v>40</v>
      </c>
    </row>
    <row r="80" spans="1:9" ht="18.75" customHeight="1" x14ac:dyDescent="0.15">
      <c r="A80" s="1"/>
      <c r="B80" s="189" t="s">
        <v>195</v>
      </c>
      <c r="C80" s="190"/>
      <c r="D80" s="190"/>
      <c r="E80" s="190"/>
      <c r="F80" s="190"/>
      <c r="G80" s="190"/>
      <c r="H80" s="190"/>
      <c r="I80" s="198"/>
    </row>
    <row r="81" spans="1:9" ht="18.75" customHeight="1" x14ac:dyDescent="0.15">
      <c r="A81" s="1"/>
      <c r="B81" s="199"/>
      <c r="C81" s="200"/>
      <c r="D81" s="200"/>
      <c r="E81" s="200"/>
      <c r="F81" s="200"/>
      <c r="G81" s="200"/>
      <c r="H81" s="200"/>
      <c r="I81" s="201"/>
    </row>
    <row r="82" spans="1:9" ht="18.75" customHeight="1" x14ac:dyDescent="0.15">
      <c r="A82" s="1"/>
      <c r="B82" s="199"/>
      <c r="C82" s="200"/>
      <c r="D82" s="200"/>
      <c r="E82" s="200"/>
      <c r="F82" s="200"/>
      <c r="G82" s="200"/>
      <c r="H82" s="200"/>
      <c r="I82" s="201"/>
    </row>
    <row r="83" spans="1:9" ht="18.75" customHeight="1" x14ac:dyDescent="0.15">
      <c r="A83" s="1"/>
      <c r="B83" s="199"/>
      <c r="C83" s="200"/>
      <c r="D83" s="200"/>
      <c r="E83" s="200"/>
      <c r="F83" s="200"/>
      <c r="G83" s="200"/>
      <c r="H83" s="200"/>
      <c r="I83" s="201"/>
    </row>
    <row r="84" spans="1:9" ht="18.75" customHeight="1" x14ac:dyDescent="0.15">
      <c r="A84" s="1"/>
      <c r="B84" s="199"/>
      <c r="C84" s="200"/>
      <c r="D84" s="200"/>
      <c r="E84" s="200"/>
      <c r="F84" s="200"/>
      <c r="G84" s="200"/>
      <c r="H84" s="200"/>
      <c r="I84" s="201"/>
    </row>
    <row r="85" spans="1:9" ht="18.75" customHeight="1" x14ac:dyDescent="0.15">
      <c r="A85" s="1"/>
      <c r="B85" s="199"/>
      <c r="C85" s="200"/>
      <c r="D85" s="200"/>
      <c r="E85" s="200"/>
      <c r="F85" s="200"/>
      <c r="G85" s="200"/>
      <c r="H85" s="200"/>
      <c r="I85" s="201"/>
    </row>
    <row r="86" spans="1:9" ht="18.75" customHeight="1" x14ac:dyDescent="0.15">
      <c r="A86" s="1"/>
      <c r="B86" s="199"/>
      <c r="C86" s="200"/>
      <c r="D86" s="200"/>
      <c r="E86" s="200"/>
      <c r="F86" s="200"/>
      <c r="G86" s="200"/>
      <c r="H86" s="200"/>
      <c r="I86" s="201"/>
    </row>
    <row r="87" spans="1:9" ht="18.75" customHeight="1" x14ac:dyDescent="0.15">
      <c r="A87" s="1"/>
      <c r="B87" s="199"/>
      <c r="C87" s="200"/>
      <c r="D87" s="200"/>
      <c r="E87" s="200"/>
      <c r="F87" s="200"/>
      <c r="G87" s="200"/>
      <c r="H87" s="200"/>
      <c r="I87" s="201"/>
    </row>
    <row r="88" spans="1:9" ht="18.75" customHeight="1" x14ac:dyDescent="0.15">
      <c r="A88" s="1"/>
      <c r="B88" s="199"/>
      <c r="C88" s="200"/>
      <c r="D88" s="200"/>
      <c r="E88" s="200"/>
      <c r="F88" s="200"/>
      <c r="G88" s="200"/>
      <c r="H88" s="200"/>
      <c r="I88" s="201"/>
    </row>
    <row r="89" spans="1:9" ht="18.75" customHeight="1" x14ac:dyDescent="0.15">
      <c r="A89" s="1"/>
      <c r="B89" s="199"/>
      <c r="C89" s="200"/>
      <c r="D89" s="200"/>
      <c r="E89" s="200"/>
      <c r="F89" s="200"/>
      <c r="G89" s="200"/>
      <c r="H89" s="200"/>
      <c r="I89" s="201"/>
    </row>
    <row r="90" spans="1:9" ht="18.75" customHeight="1" x14ac:dyDescent="0.15">
      <c r="A90" s="4"/>
      <c r="B90" s="199"/>
      <c r="C90" s="200"/>
      <c r="D90" s="200"/>
      <c r="E90" s="200"/>
      <c r="F90" s="200"/>
      <c r="G90" s="200"/>
      <c r="H90" s="200"/>
      <c r="I90" s="201"/>
    </row>
    <row r="91" spans="1:9" ht="18.75" customHeight="1" x14ac:dyDescent="0.15">
      <c r="A91" s="4"/>
      <c r="B91" s="202"/>
      <c r="C91" s="203"/>
      <c r="D91" s="203"/>
      <c r="E91" s="203"/>
      <c r="F91" s="203"/>
      <c r="G91" s="203"/>
      <c r="H91" s="203"/>
      <c r="I91" s="204"/>
    </row>
    <row r="92" spans="1:9" ht="7.5" customHeight="1" x14ac:dyDescent="0.15">
      <c r="A92" s="4"/>
      <c r="B92" s="4"/>
      <c r="C92" s="4"/>
      <c r="D92" s="4"/>
      <c r="E92" s="4"/>
      <c r="F92" s="4"/>
      <c r="G92" s="4"/>
      <c r="H92" s="4"/>
      <c r="I92" s="4"/>
    </row>
    <row r="93" spans="1:9" ht="18.75" customHeight="1" x14ac:dyDescent="0.15">
      <c r="A93" s="1" t="s">
        <v>43</v>
      </c>
      <c r="B93" s="1" t="s">
        <v>12</v>
      </c>
    </row>
    <row r="94" spans="1:9" ht="18.75" customHeight="1" x14ac:dyDescent="0.15">
      <c r="A94" s="1"/>
      <c r="B94" s="216" t="s">
        <v>201</v>
      </c>
      <c r="C94" s="217"/>
      <c r="D94" s="217"/>
      <c r="E94" s="217"/>
      <c r="F94" s="217"/>
      <c r="G94" s="217"/>
      <c r="H94" s="217"/>
      <c r="I94" s="218"/>
    </row>
    <row r="95" spans="1:9" ht="18.75" customHeight="1" x14ac:dyDescent="0.15">
      <c r="A95" s="1"/>
      <c r="B95" s="219"/>
      <c r="C95" s="220"/>
      <c r="D95" s="220"/>
      <c r="E95" s="220"/>
      <c r="F95" s="220"/>
      <c r="G95" s="220"/>
      <c r="H95" s="220"/>
      <c r="I95" s="221"/>
    </row>
    <row r="96" spans="1:9" ht="18.75" customHeight="1" x14ac:dyDescent="0.15">
      <c r="A96" s="1"/>
      <c r="B96" s="219"/>
      <c r="C96" s="220"/>
      <c r="D96" s="220"/>
      <c r="E96" s="220"/>
      <c r="F96" s="220"/>
      <c r="G96" s="220"/>
      <c r="H96" s="220"/>
      <c r="I96" s="221"/>
    </row>
    <row r="97" spans="1:9" ht="18.75" customHeight="1" x14ac:dyDescent="0.15">
      <c r="A97" s="1"/>
      <c r="B97" s="219"/>
      <c r="C97" s="220"/>
      <c r="D97" s="220"/>
      <c r="E97" s="220"/>
      <c r="F97" s="220"/>
      <c r="G97" s="220"/>
      <c r="H97" s="220"/>
      <c r="I97" s="221"/>
    </row>
    <row r="98" spans="1:9" ht="18.75" customHeight="1" x14ac:dyDescent="0.15">
      <c r="A98" s="1"/>
      <c r="B98" s="219"/>
      <c r="C98" s="220"/>
      <c r="D98" s="220"/>
      <c r="E98" s="220"/>
      <c r="F98" s="220"/>
      <c r="G98" s="220"/>
      <c r="H98" s="220"/>
      <c r="I98" s="221"/>
    </row>
    <row r="99" spans="1:9" ht="18.75" customHeight="1" x14ac:dyDescent="0.15">
      <c r="A99" s="1"/>
      <c r="B99" s="219"/>
      <c r="C99" s="220"/>
      <c r="D99" s="220"/>
      <c r="E99" s="220"/>
      <c r="F99" s="220"/>
      <c r="G99" s="220"/>
      <c r="H99" s="220"/>
      <c r="I99" s="221"/>
    </row>
    <row r="100" spans="1:9" ht="18.75" customHeight="1" x14ac:dyDescent="0.15">
      <c r="A100" s="1"/>
      <c r="B100" s="219"/>
      <c r="C100" s="220"/>
      <c r="D100" s="220"/>
      <c r="E100" s="220"/>
      <c r="F100" s="220"/>
      <c r="G100" s="220"/>
      <c r="H100" s="220"/>
      <c r="I100" s="221"/>
    </row>
    <row r="101" spans="1:9" ht="18.75" customHeight="1" x14ac:dyDescent="0.15">
      <c r="A101" s="1"/>
      <c r="B101" s="219"/>
      <c r="C101" s="220"/>
      <c r="D101" s="220"/>
      <c r="E101" s="220"/>
      <c r="F101" s="220"/>
      <c r="G101" s="220"/>
      <c r="H101" s="220"/>
      <c r="I101" s="221"/>
    </row>
    <row r="102" spans="1:9" ht="18.75" customHeight="1" x14ac:dyDescent="0.15">
      <c r="A102" s="1"/>
      <c r="B102" s="219"/>
      <c r="C102" s="220"/>
      <c r="D102" s="220"/>
      <c r="E102" s="220"/>
      <c r="F102" s="220"/>
      <c r="G102" s="220"/>
      <c r="H102" s="220"/>
      <c r="I102" s="221"/>
    </row>
    <row r="103" spans="1:9" ht="18.75" customHeight="1" x14ac:dyDescent="0.15">
      <c r="A103" s="1"/>
      <c r="B103" s="219"/>
      <c r="C103" s="220"/>
      <c r="D103" s="220"/>
      <c r="E103" s="220"/>
      <c r="F103" s="220"/>
      <c r="G103" s="220"/>
      <c r="H103" s="220"/>
      <c r="I103" s="221"/>
    </row>
    <row r="104" spans="1:9" ht="18.75" customHeight="1" x14ac:dyDescent="0.15">
      <c r="A104" s="1"/>
      <c r="B104" s="219"/>
      <c r="C104" s="220"/>
      <c r="D104" s="220"/>
      <c r="E104" s="220"/>
      <c r="F104" s="220"/>
      <c r="G104" s="220"/>
      <c r="H104" s="220"/>
      <c r="I104" s="221"/>
    </row>
    <row r="105" spans="1:9" ht="18.75" customHeight="1" x14ac:dyDescent="0.15">
      <c r="A105" s="4"/>
      <c r="B105" s="222"/>
      <c r="C105" s="223"/>
      <c r="D105" s="223"/>
      <c r="E105" s="223"/>
      <c r="F105" s="223"/>
      <c r="G105" s="223"/>
      <c r="H105" s="223"/>
      <c r="I105" s="224"/>
    </row>
    <row r="106" spans="1:9" ht="7.5" customHeight="1" x14ac:dyDescent="0.15">
      <c r="A106" s="4"/>
      <c r="B106" s="4"/>
      <c r="C106" s="4"/>
      <c r="D106" s="4"/>
      <c r="E106" s="4"/>
      <c r="F106" s="4"/>
      <c r="G106" s="4"/>
      <c r="H106" s="4"/>
      <c r="I106" s="4"/>
    </row>
    <row r="107" spans="1:9" ht="18.75" customHeight="1" x14ac:dyDescent="0.15">
      <c r="A107" s="1" t="s">
        <v>29</v>
      </c>
      <c r="B107" s="225" t="s">
        <v>45</v>
      </c>
      <c r="C107" s="225"/>
      <c r="D107" s="225"/>
      <c r="E107" s="225"/>
      <c r="F107" s="225"/>
      <c r="G107" s="225"/>
      <c r="H107" s="225"/>
      <c r="I107" s="225"/>
    </row>
    <row r="108" spans="1:9" ht="18.75" customHeight="1" x14ac:dyDescent="0.15">
      <c r="A108" s="4"/>
      <c r="B108" s="216" t="s">
        <v>161</v>
      </c>
      <c r="C108" s="217"/>
      <c r="D108" s="217"/>
      <c r="E108" s="217"/>
      <c r="F108" s="217"/>
      <c r="G108" s="217"/>
      <c r="H108" s="217"/>
      <c r="I108" s="218"/>
    </row>
    <row r="109" spans="1:9" ht="18.75" customHeight="1" x14ac:dyDescent="0.15">
      <c r="A109" s="4"/>
      <c r="B109" s="219"/>
      <c r="C109" s="220"/>
      <c r="D109" s="220"/>
      <c r="E109" s="220"/>
      <c r="F109" s="220"/>
      <c r="G109" s="220"/>
      <c r="H109" s="220"/>
      <c r="I109" s="221"/>
    </row>
    <row r="110" spans="1:9" ht="18.75" customHeight="1" x14ac:dyDescent="0.15">
      <c r="A110" s="4"/>
      <c r="B110" s="219"/>
      <c r="C110" s="220"/>
      <c r="D110" s="220"/>
      <c r="E110" s="220"/>
      <c r="F110" s="220"/>
      <c r="G110" s="220"/>
      <c r="H110" s="220"/>
      <c r="I110" s="221"/>
    </row>
    <row r="111" spans="1:9" ht="18.75" customHeight="1" x14ac:dyDescent="0.15">
      <c r="A111" s="4"/>
      <c r="B111" s="219"/>
      <c r="C111" s="220"/>
      <c r="D111" s="220"/>
      <c r="E111" s="220"/>
      <c r="F111" s="220"/>
      <c r="G111" s="220"/>
      <c r="H111" s="220"/>
      <c r="I111" s="221"/>
    </row>
    <row r="112" spans="1:9" ht="18.75" customHeight="1" x14ac:dyDescent="0.15">
      <c r="A112" s="4"/>
      <c r="B112" s="219"/>
      <c r="C112" s="220"/>
      <c r="D112" s="220"/>
      <c r="E112" s="220"/>
      <c r="F112" s="220"/>
      <c r="G112" s="220"/>
      <c r="H112" s="220"/>
      <c r="I112" s="221"/>
    </row>
    <row r="113" spans="1:9" ht="18.75" customHeight="1" x14ac:dyDescent="0.15">
      <c r="A113" s="4"/>
      <c r="B113" s="219"/>
      <c r="C113" s="220"/>
      <c r="D113" s="220"/>
      <c r="E113" s="220"/>
      <c r="F113" s="220"/>
      <c r="G113" s="220"/>
      <c r="H113" s="220"/>
      <c r="I113" s="221"/>
    </row>
    <row r="114" spans="1:9" ht="18.75" customHeight="1" x14ac:dyDescent="0.15">
      <c r="A114" s="4"/>
      <c r="B114" s="219"/>
      <c r="C114" s="220"/>
      <c r="D114" s="220"/>
      <c r="E114" s="220"/>
      <c r="F114" s="220"/>
      <c r="G114" s="220"/>
      <c r="H114" s="220"/>
      <c r="I114" s="221"/>
    </row>
    <row r="115" spans="1:9" ht="18.75" customHeight="1" x14ac:dyDescent="0.15">
      <c r="A115" s="4"/>
      <c r="B115" s="219"/>
      <c r="C115" s="220"/>
      <c r="D115" s="220"/>
      <c r="E115" s="220"/>
      <c r="F115" s="220"/>
      <c r="G115" s="220"/>
      <c r="H115" s="220"/>
      <c r="I115" s="221"/>
    </row>
    <row r="116" spans="1:9" ht="18.75" customHeight="1" x14ac:dyDescent="0.15">
      <c r="A116" s="4"/>
      <c r="B116" s="219"/>
      <c r="C116" s="220"/>
      <c r="D116" s="220"/>
      <c r="E116" s="220"/>
      <c r="F116" s="220"/>
      <c r="G116" s="220"/>
      <c r="H116" s="220"/>
      <c r="I116" s="221"/>
    </row>
    <row r="117" spans="1:9" ht="18.75" customHeight="1" x14ac:dyDescent="0.15">
      <c r="A117" s="4"/>
      <c r="B117" s="219"/>
      <c r="C117" s="220"/>
      <c r="D117" s="220"/>
      <c r="E117" s="220"/>
      <c r="F117" s="220"/>
      <c r="G117" s="220"/>
      <c r="H117" s="220"/>
      <c r="I117" s="221"/>
    </row>
    <row r="118" spans="1:9" ht="18.75" customHeight="1" x14ac:dyDescent="0.15">
      <c r="A118" s="4"/>
      <c r="B118" s="219"/>
      <c r="C118" s="220"/>
      <c r="D118" s="220"/>
      <c r="E118" s="220"/>
      <c r="F118" s="220"/>
      <c r="G118" s="220"/>
      <c r="H118" s="220"/>
      <c r="I118" s="221"/>
    </row>
    <row r="119" spans="1:9" ht="18.75" customHeight="1" x14ac:dyDescent="0.15">
      <c r="A119" s="4"/>
      <c r="B119" s="222"/>
      <c r="C119" s="223"/>
      <c r="D119" s="223"/>
      <c r="E119" s="223"/>
      <c r="F119" s="223"/>
      <c r="G119" s="223"/>
      <c r="H119" s="223"/>
      <c r="I119" s="224"/>
    </row>
    <row r="120" spans="1:9" ht="7.5" customHeight="1" x14ac:dyDescent="0.15">
      <c r="A120" s="4"/>
      <c r="B120" s="47"/>
      <c r="C120" s="47"/>
      <c r="D120" s="47"/>
      <c r="E120" s="47"/>
      <c r="F120" s="47"/>
      <c r="G120" s="47"/>
      <c r="H120" s="47"/>
      <c r="I120" s="47"/>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8"/>
      <c r="B134" s="48"/>
      <c r="C134" s="48"/>
      <c r="D134" s="48"/>
      <c r="E134" s="48"/>
      <c r="F134" s="48"/>
      <c r="G134" s="48"/>
      <c r="H134" s="48"/>
      <c r="I134" s="48"/>
    </row>
  </sheetData>
  <mergeCells count="23">
    <mergeCell ref="B94:I105"/>
    <mergeCell ref="B107:I107"/>
    <mergeCell ref="B108:I119"/>
    <mergeCell ref="H2:I2"/>
    <mergeCell ref="A4:I4"/>
    <mergeCell ref="B19:I19"/>
    <mergeCell ref="B22:I32"/>
    <mergeCell ref="B51:I51"/>
    <mergeCell ref="B14:I14"/>
    <mergeCell ref="C16:E16"/>
    <mergeCell ref="H16:I16"/>
    <mergeCell ref="C11:E11"/>
    <mergeCell ref="H11:I11"/>
    <mergeCell ref="C6:D6"/>
    <mergeCell ref="F50:G50"/>
    <mergeCell ref="B35:I44"/>
    <mergeCell ref="B45:I45"/>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150" zoomScaleNormal="100" zoomScaleSheetLayoutView="150" workbookViewId="0">
      <selection activeCell="E20" sqref="E20:I20"/>
    </sheetView>
  </sheetViews>
  <sheetFormatPr defaultColWidth="11.375" defaultRowHeight="22.5" customHeight="1" x14ac:dyDescent="0.15"/>
  <cols>
    <col min="1" max="3" width="2.875" style="1" customWidth="1"/>
    <col min="4" max="4" width="22.125" style="1" customWidth="1"/>
    <col min="5" max="5" width="30.875" style="1" customWidth="1"/>
    <col min="6" max="7" width="7.875" style="1" customWidth="1"/>
    <col min="8" max="9" width="30.875" style="1" customWidth="1"/>
    <col min="10" max="10" width="4.125" style="1" customWidth="1"/>
    <col min="11" max="16384" width="11.375" style="1"/>
  </cols>
  <sheetData>
    <row r="1" spans="1:9" ht="18.75" customHeight="1" x14ac:dyDescent="0.15">
      <c r="A1" s="1" t="s">
        <v>70</v>
      </c>
      <c r="I1" s="35" t="s">
        <v>104</v>
      </c>
    </row>
    <row r="2" spans="1:9" ht="18.75" customHeight="1" x14ac:dyDescent="0.15">
      <c r="H2" s="35" t="s">
        <v>108</v>
      </c>
      <c r="I2" s="34" t="str">
        <f>'様式１ー１　プログラムを構成する授業科目'!C2</f>
        <v>福山平成大学</v>
      </c>
    </row>
    <row r="3" spans="1:9" ht="18.75" customHeight="1" x14ac:dyDescent="0.15">
      <c r="A3" s="113" t="s">
        <v>27</v>
      </c>
      <c r="B3" s="113"/>
      <c r="C3" s="113"/>
      <c r="D3" s="113"/>
      <c r="E3" s="113"/>
      <c r="F3" s="113"/>
      <c r="G3" s="113"/>
      <c r="H3" s="113"/>
      <c r="I3" s="113"/>
    </row>
    <row r="4" spans="1:9" ht="18.75" customHeight="1" x14ac:dyDescent="0.15">
      <c r="A4" s="5"/>
      <c r="B4" s="5"/>
      <c r="C4" s="5"/>
      <c r="D4" s="5"/>
      <c r="E4" s="5"/>
      <c r="F4" s="5"/>
      <c r="G4" s="5"/>
      <c r="H4" s="5"/>
      <c r="I4" s="5"/>
    </row>
    <row r="5" spans="1:9" ht="18.75" customHeight="1" x14ac:dyDescent="0.15">
      <c r="A5" s="1" t="s">
        <v>0</v>
      </c>
      <c r="B5" s="10" t="s">
        <v>94</v>
      </c>
      <c r="C5" s="5"/>
      <c r="D5" s="5"/>
      <c r="E5" s="5"/>
      <c r="F5" s="5"/>
      <c r="G5" s="5"/>
      <c r="H5" s="5"/>
      <c r="I5" s="5"/>
    </row>
    <row r="6" spans="1:9" ht="26.25" customHeight="1" x14ac:dyDescent="0.15">
      <c r="A6" s="5"/>
      <c r="B6" s="99" t="s">
        <v>204</v>
      </c>
      <c r="C6" s="100"/>
      <c r="D6" s="100"/>
      <c r="E6" s="100"/>
      <c r="F6" s="100"/>
      <c r="G6" s="100"/>
      <c r="H6" s="101"/>
      <c r="I6" s="3"/>
    </row>
    <row r="7" spans="1:9" ht="9" customHeight="1" x14ac:dyDescent="0.15">
      <c r="A7" s="5"/>
      <c r="B7" s="10"/>
      <c r="C7" s="10"/>
      <c r="D7" s="10"/>
      <c r="E7" s="10"/>
      <c r="F7" s="10"/>
      <c r="G7" s="10"/>
      <c r="H7" s="10"/>
      <c r="I7" s="3"/>
    </row>
    <row r="8" spans="1:9" ht="18.75" customHeight="1" x14ac:dyDescent="0.15">
      <c r="A8" s="5"/>
      <c r="B8" s="3"/>
      <c r="C8" s="3"/>
      <c r="D8" s="35" t="s">
        <v>42</v>
      </c>
      <c r="E8" s="34" t="s">
        <v>146</v>
      </c>
      <c r="F8" s="3"/>
      <c r="G8" s="35" t="s">
        <v>10</v>
      </c>
      <c r="H8" s="81" t="s">
        <v>205</v>
      </c>
      <c r="I8" s="3"/>
    </row>
    <row r="9" spans="1:9" ht="7.5" customHeight="1" x14ac:dyDescent="0.15">
      <c r="A9" s="5"/>
      <c r="B9" s="5"/>
      <c r="C9" s="5"/>
      <c r="D9" s="5"/>
      <c r="E9" s="5"/>
      <c r="F9" s="5"/>
      <c r="G9" s="5"/>
      <c r="H9" s="5"/>
      <c r="I9" s="5"/>
    </row>
    <row r="10" spans="1:9" ht="18.75" customHeight="1" x14ac:dyDescent="0.15">
      <c r="A10" s="1" t="s">
        <v>3</v>
      </c>
      <c r="B10" s="1" t="s">
        <v>26</v>
      </c>
      <c r="C10" s="4"/>
      <c r="D10" s="4"/>
      <c r="E10" s="4"/>
      <c r="F10" s="4"/>
      <c r="G10" s="4"/>
      <c r="H10" s="4"/>
      <c r="I10" s="4"/>
    </row>
    <row r="11" spans="1:9" ht="18.75" customHeight="1" x14ac:dyDescent="0.15">
      <c r="B11" s="99" t="s">
        <v>23</v>
      </c>
      <c r="C11" s="100"/>
      <c r="D11" s="101"/>
      <c r="E11" s="100" t="s">
        <v>25</v>
      </c>
      <c r="F11" s="100"/>
      <c r="G11" s="100"/>
      <c r="H11" s="100"/>
      <c r="I11" s="101"/>
    </row>
    <row r="12" spans="1:9" ht="26.25" customHeight="1" x14ac:dyDescent="0.15">
      <c r="B12" s="49" t="s">
        <v>13</v>
      </c>
      <c r="C12" s="56"/>
      <c r="D12" s="50"/>
      <c r="E12" s="57"/>
      <c r="F12" s="57"/>
      <c r="G12" s="57"/>
      <c r="H12" s="57"/>
      <c r="I12" s="50"/>
    </row>
    <row r="13" spans="1:9" ht="144" customHeight="1" x14ac:dyDescent="0.15">
      <c r="B13" s="51"/>
      <c r="C13" s="238" t="s">
        <v>14</v>
      </c>
      <c r="D13" s="239"/>
      <c r="E13" s="251" t="s">
        <v>196</v>
      </c>
      <c r="F13" s="240"/>
      <c r="G13" s="240"/>
      <c r="H13" s="240"/>
      <c r="I13" s="241"/>
    </row>
    <row r="14" spans="1:9" ht="105" customHeight="1" x14ac:dyDescent="0.15">
      <c r="B14" s="51"/>
      <c r="C14" s="254" t="s">
        <v>15</v>
      </c>
      <c r="D14" s="255"/>
      <c r="E14" s="252" t="s">
        <v>207</v>
      </c>
      <c r="F14" s="240"/>
      <c r="G14" s="240"/>
      <c r="H14" s="240"/>
      <c r="I14" s="241"/>
    </row>
    <row r="15" spans="1:9" ht="198" customHeight="1" x14ac:dyDescent="0.15">
      <c r="B15" s="51"/>
      <c r="C15" s="238" t="s">
        <v>16</v>
      </c>
      <c r="D15" s="239"/>
      <c r="E15" s="251" t="s">
        <v>199</v>
      </c>
      <c r="F15" s="240"/>
      <c r="G15" s="240"/>
      <c r="H15" s="240"/>
      <c r="I15" s="241"/>
    </row>
    <row r="16" spans="1:9" ht="101.1" customHeight="1" x14ac:dyDescent="0.15">
      <c r="B16" s="51"/>
      <c r="C16" s="238" t="s">
        <v>17</v>
      </c>
      <c r="D16" s="239"/>
      <c r="E16" s="252" t="s">
        <v>208</v>
      </c>
      <c r="F16" s="240"/>
      <c r="G16" s="240"/>
      <c r="H16" s="240"/>
      <c r="I16" s="241"/>
    </row>
    <row r="17" spans="2:9" ht="114" customHeight="1" x14ac:dyDescent="0.15">
      <c r="B17" s="52"/>
      <c r="C17" s="242" t="s">
        <v>18</v>
      </c>
      <c r="D17" s="243"/>
      <c r="E17" s="253" t="s">
        <v>197</v>
      </c>
      <c r="F17" s="244"/>
      <c r="G17" s="244"/>
      <c r="H17" s="244"/>
      <c r="I17" s="245"/>
    </row>
    <row r="18" spans="2:9" ht="24" customHeight="1" x14ac:dyDescent="0.15">
      <c r="B18" s="49" t="s">
        <v>19</v>
      </c>
      <c r="C18" s="53"/>
      <c r="D18" s="54"/>
      <c r="E18" s="55"/>
      <c r="F18" s="55"/>
      <c r="G18" s="55"/>
      <c r="H18" s="55"/>
      <c r="I18" s="58"/>
    </row>
    <row r="19" spans="2:9" ht="218.25" customHeight="1" x14ac:dyDescent="0.15">
      <c r="B19" s="51"/>
      <c r="C19" s="238" t="s">
        <v>20</v>
      </c>
      <c r="D19" s="239"/>
      <c r="E19" s="240" t="s">
        <v>200</v>
      </c>
      <c r="F19" s="240"/>
      <c r="G19" s="240"/>
      <c r="H19" s="240"/>
      <c r="I19" s="241"/>
    </row>
    <row r="20" spans="2:9" ht="129.94999999999999" customHeight="1" x14ac:dyDescent="0.15">
      <c r="B20" s="52"/>
      <c r="C20" s="242" t="s">
        <v>21</v>
      </c>
      <c r="D20" s="243"/>
      <c r="E20" s="244" t="s">
        <v>211</v>
      </c>
      <c r="F20" s="244"/>
      <c r="G20" s="244"/>
      <c r="H20" s="244"/>
      <c r="I20" s="245"/>
    </row>
    <row r="21" spans="2:9" ht="125.1" customHeight="1" x14ac:dyDescent="0.15">
      <c r="B21" s="246" t="s">
        <v>22</v>
      </c>
      <c r="C21" s="247"/>
      <c r="D21" s="248"/>
      <c r="E21" s="249" t="s">
        <v>209</v>
      </c>
      <c r="F21" s="249"/>
      <c r="G21" s="249"/>
      <c r="H21" s="249"/>
      <c r="I21" s="250"/>
    </row>
    <row r="22" spans="2:9" ht="218.25" customHeight="1" x14ac:dyDescent="0.15">
      <c r="B22" s="233" t="s">
        <v>37</v>
      </c>
      <c r="C22" s="234"/>
      <c r="D22" s="235"/>
      <c r="E22" s="236" t="s">
        <v>198</v>
      </c>
      <c r="F22" s="236"/>
      <c r="G22" s="236"/>
      <c r="H22" s="236"/>
      <c r="I22" s="237"/>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7</vt:i4>
      </vt:variant>
    </vt:vector>
  </HeadingPairs>
  <TitlesOfParts>
    <vt:vector size="13" baseType="lpstr">
      <vt:lpstr>様式１ー１　プログラムを構成する授業科目</vt:lpstr>
      <vt:lpstr>様式１ー２　プログラムを構成する授業科目</vt:lpstr>
      <vt:lpstr>様式１ー３　プログラムを構成する授業科目</vt:lpstr>
      <vt:lpstr>様式２ 履修者等数の実績</vt:lpstr>
      <vt:lpstr>様式３ 教育の質・履修者数を向上させるための体制・計画</vt:lpstr>
      <vt:lpstr>様式４　自己点検・評価</vt:lpstr>
      <vt:lpstr>'様式１ー１　プログラムを構成する授業科目'!Print_Area</vt:lpstr>
      <vt:lpstr>'様式１ー２　プログラムを構成する授業科目'!Print_Area</vt:lpstr>
      <vt:lpstr>'様式１ー３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toyota</cp:lastModifiedBy>
  <cp:lastPrinted>2023-07-14T02:07:42Z</cp:lastPrinted>
  <dcterms:created xsi:type="dcterms:W3CDTF">2011-06-14T05:32:50Z</dcterms:created>
  <dcterms:modified xsi:type="dcterms:W3CDTF">2023-07-14T02:12:10Z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