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G:\ﾄﾞｷｭﾒﾝﾄ\企画部\研究・教育企画室\文科省届出\数理・データサイエンス・AI教育プログラム 認定制度\大阪女学院大学\01_大阪女学院大学_リテラシー\"/>
    </mc:Choice>
  </mc:AlternateContent>
  <xr:revisionPtr revIDLastSave="0" documentId="13_ncr:1_{11616A02-1FF8-4EB6-91D4-407C7627949D}" xr6:coauthVersionLast="36" xr6:coauthVersionMax="47" xr10:uidLastSave="{00000000-0000-0000-0000-000000000000}"/>
  <bookViews>
    <workbookView xWindow="0" yWindow="0" windowWidth="26520" windowHeight="1270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1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<sst xmlns="http://schemas.openxmlformats.org/spreadsheetml/2006/main" count="297" uniqueCount="168">
  <si>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</si>
  <si>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</si>
  <si>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</si>
  <si>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</si>
  <si>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</si>
  <si>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</si>
  <si>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</si>
  <si>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</si>
  <si>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</si>
  <si>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</si>
  <si>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</si>
  <si>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</si>
  <si>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</si>
  <si>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</si>
  <si>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</si>
  <si>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</si>
  <si>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</si>
  <si>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</si>
  <si>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</si>
  <si>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</si>
  <si>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</si>
  <si>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</si>
  <si>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</si>
  <si>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</si>
  <si>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</si>
  <si>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</si>
  <si>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</si>
  <si>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</si>
  <si>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</si>
  <si>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</si>
  <si>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</si>
  <si>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</si>
  <si>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</si>
  <si>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</si>
  <si>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</si>
  <si>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</si>
  <si>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</si>
  <si>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</si>
  <si>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</si>
  <si>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</si>
  <si>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</si>
  <si>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</si>
  <si>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</si>
  <si>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</si>
  <si>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</si>
  <si>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</si>
  <si>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</si>
  <si>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</si>
  <si>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</si>
  <si>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</si>
  <si>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</si>
  <si>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</si>
  <si>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</si>
  <si>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</si>
  <si>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</si>
  <si>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</si>
  <si>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</si>
  <si>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</si>
  <si>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</si>
  <si>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</si>
  <si>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</si>
  <si>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</si>
  <si>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</si>
  <si>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</si>
  <si>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</si>
  <si>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</si>
  <si>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</si>
  <si>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</si>
  <si>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</si>
  <si>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</si>
  <si>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</si>
  <si>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</si>
  <si>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</si>
  <si>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</si>
  <si>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</si>
  <si>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</si>
  <si>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</si>
  <si>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</si>
  <si>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</si>
  <si>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</si>
  <si>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</si>
  <si>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</si>
  <si>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</si>
  <si>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</si>
  <si>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</si>
  <si>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</si>
  <si>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</si>
  <si>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</si>
  <si>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</si>
  <si>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</si>
  <si>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</si>
  <si>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</si>
  <si>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</si>
  <si>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</si>
  <si>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</si>
  <si>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</si>
  <si>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</si>
  <si>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</si>
  <si>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</si>
  <si>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</si>
  <si>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</si>
  <si>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</si>
  <si>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</si>
  <si>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</si>
  <si>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</si>
  <si>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</si>
  <si>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</si>
  <si>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</si>
  <si>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</si>
  <si>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</si>
  <si>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</si>
  <si>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</si>
  <si>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</si>
  <si>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</si>
  <si>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</si>
  <si>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</si>
  <si>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</si>
  <si>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</si>
  <si>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</si>
  <si>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</si>
  <si>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</si>
  <si>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</si>
  <si>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</si>
  <si>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</si>
  <si>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</si>
  <si>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</si>
  <si>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</si>
  <si>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大阪女学院大学</t>
    <rPh sb="0" eb="2">
      <t>オオサカ</t>
    </rPh>
    <rPh sb="2" eb="5">
      <t>ジョガクイン</t>
    </rPh>
    <rPh sb="5" eb="7">
      <t>ダイガク</t>
    </rPh>
    <phoneticPr fontId="1"/>
  </si>
  <si>
    <t>国際・英語学部　国際・英語学科</t>
    <rPh sb="0" eb="2">
      <t>コクサイ</t>
    </rPh>
    <rPh sb="3" eb="6">
      <t>エイゴガク</t>
    </rPh>
    <rPh sb="6" eb="7">
      <t>ブ</t>
    </rPh>
    <rPh sb="8" eb="10">
      <t>コクサイ</t>
    </rPh>
    <rPh sb="11" eb="13">
      <t>エイゴ</t>
    </rPh>
    <rPh sb="13" eb="15">
      <t>ガッカ</t>
    </rPh>
    <phoneticPr fontId="1"/>
  </si>
  <si>
    <t>学部・学科によって、修了要件は相違しない</t>
  </si>
  <si>
    <t>AI・データサイエンスの基礎</t>
    <phoneticPr fontId="1"/>
  </si>
  <si>
    <t>○</t>
  </si>
  <si>
    <t>令和4</t>
    <rPh sb="0" eb="2">
      <t>レイワ</t>
    </rPh>
    <phoneticPr fontId="1"/>
  </si>
  <si>
    <t>加藤映子</t>
    <rPh sb="0" eb="2">
      <t>カトウ</t>
    </rPh>
    <rPh sb="2" eb="4">
      <t>エイコ</t>
    </rPh>
    <phoneticPr fontId="1"/>
  </si>
  <si>
    <t>学修成果を高める取り組みとして、学生に全15回の授業の確認テストでの満点取得と、第9～12回の授業ではエクセルを利用したデータ・実課題（学術データ等を含む）を用いた演習（「データを読む」「データを説明する」「データを扱う」の操作処理とその成果物の提出）への取組みを求めた。</t>
    <rPh sb="128" eb="130">
      <t>トリク</t>
    </rPh>
    <rPh sb="132" eb="133">
      <t>モト</t>
    </rPh>
    <phoneticPr fontId="1"/>
  </si>
  <si>
    <t>本科目を学ぶ学生が動機をより一層明確にできるよう、アンケートの設問「この授業を受けて良かった点」 として学生が記述した回答を次年度履修者に案内する。</t>
    <rPh sb="31" eb="33">
      <t>セツモン</t>
    </rPh>
    <phoneticPr fontId="1"/>
  </si>
  <si>
    <t>授業アンケートの結果及び意見を参考に、学生の「分かりやすさ」の視点から授業の内容と実施方法を継続的に改善することを検討する。</t>
    <phoneticPr fontId="1"/>
  </si>
  <si>
    <t>本科目の学習開始時に、学生に身近なサービスや製品等の具体例を活用して説明した。また、第8回の授業では、授業担当者とは異なる本学教職員が、実社会の医療現場におけるAIの開発と活用事例である弘前大学医学部の取組「AIによる日本語の方言の標準語への翻訳」を紹介した。
くわえて、1年次全学生必修科目「総合キャンパスプログラム演習」においてテクノロジーライターが「デジタル社会の問題を考える授業」を行うことにより、学生の数理・データサイエンス・AIを「学ぶことの意義（動機付け）」や「学ぶ楽しさ」の理解が深まるように努めている。</t>
    <phoneticPr fontId="1"/>
  </si>
  <si>
    <t>本学の卒業生が就職した企業等を対象としてアンケート調査を実施している。このアンケートに設問を加える形で、本学卒業生に対する情報リテラシー及び数量的スキルの修得状況を調査し、本科目の改善に活用する。</t>
    <phoneticPr fontId="1"/>
  </si>
  <si>
    <t>Wilmina AI Data Science Literacy Program</t>
    <phoneticPr fontId="1"/>
  </si>
  <si>
    <t>「Wilmina AI Data Science Literacy Program」を構成する共通教育科目　全学生必修科目の「AI・データサイエンスの基礎」の2単位を修得すること。</t>
    <rPh sb="43" eb="45">
      <t>コウセイ</t>
    </rPh>
    <phoneticPr fontId="1"/>
  </si>
  <si>
    <t>1.AI・データサイエンスの必要性を説明できる。
2.社会で活用されているデータ・AI活用の事例を例示できる。
3.どのような思考方法で数理・データサイエンスを扱うか説明できる。
4.データ・AIを扱う上での留意事項を説明できる。
5.代表的な数理・データサイエンスの技術とその利点・欠点を概説できる。</t>
    <rPh sb="30" eb="32">
      <t>カツヨウ</t>
    </rPh>
    <rPh sb="43" eb="45">
      <t>カツヨウ</t>
    </rPh>
    <rPh sb="99" eb="100">
      <t>アツカ</t>
    </rPh>
    <rPh sb="101" eb="102">
      <t>ウエ</t>
    </rPh>
    <rPh sb="104" eb="106">
      <t>リュウイ</t>
    </rPh>
    <rPh sb="106" eb="108">
      <t>ジコウ</t>
    </rPh>
    <rPh sb="109" eb="111">
      <t>セツメイ</t>
    </rPh>
    <phoneticPr fontId="1"/>
  </si>
  <si>
    <t>学長・カリキュラムセンター長</t>
    <rPh sb="0" eb="2">
      <t>ガクチョウ</t>
    </rPh>
    <rPh sb="13" eb="14">
      <t>チョウ</t>
    </rPh>
    <phoneticPr fontId="1"/>
  </si>
  <si>
    <t>カリキュラムセンター</t>
    <phoneticPr fontId="1"/>
  </si>
  <si>
    <t>令和4（2022）年度以降に入学した全学生が受講できるように、本プログラムを構成する授業科目「AI・データサイエンスの基礎」は全学生必修科目としている。
また、令和3（2021）年度以前に入学した学生でも希望する者は本プログラムを構成する授業科目「AI・データサイエンスの基礎」を受講することができる。</t>
    <rPh sb="42" eb="44">
      <t>ジュギョウ</t>
    </rPh>
    <rPh sb="59" eb="61">
      <t>キソ</t>
    </rPh>
    <rPh sb="63" eb="64">
      <t>ゼン</t>
    </rPh>
    <rPh sb="80" eb="82">
      <t>レイワ</t>
    </rPh>
    <rPh sb="89" eb="91">
      <t>ネンド</t>
    </rPh>
    <rPh sb="91" eb="93">
      <t>イゼン</t>
    </rPh>
    <rPh sb="94" eb="96">
      <t>ニュウガク</t>
    </rPh>
    <rPh sb="98" eb="100">
      <t>ガクセイ</t>
    </rPh>
    <rPh sb="102" eb="104">
      <t>キボウ</t>
    </rPh>
    <rPh sb="106" eb="107">
      <t>モノ</t>
    </rPh>
    <rPh sb="108" eb="109">
      <t>ホン</t>
    </rPh>
    <rPh sb="115" eb="117">
      <t>コウセイ</t>
    </rPh>
    <rPh sb="140" eb="142">
      <t>ジュコウ</t>
    </rPh>
    <phoneticPr fontId="1"/>
  </si>
  <si>
    <t>全学生が受講できるように、本プログラムを構成する授業科目「AI・データサイエンスの基礎」は全学生必修科目としている。また、履修漏れを防ぐために、1年次には教務システムに該当科目が自動登録される仕組みとしている。くわえて他の全学生必修科目において学修へのフォローアップとしてアナウンスを行っている。</t>
    <rPh sb="24" eb="26">
      <t>ジュギョウ</t>
    </rPh>
    <rPh sb="41" eb="43">
      <t>キソ</t>
    </rPh>
    <rPh sb="109" eb="110">
      <t>タ</t>
    </rPh>
    <rPh sb="111" eb="112">
      <t>ゼン</t>
    </rPh>
    <rPh sb="112" eb="114">
      <t>ガクセイ</t>
    </rPh>
    <rPh sb="114" eb="116">
      <t>ヒッシュウ</t>
    </rPh>
    <rPh sb="116" eb="118">
      <t>カモク</t>
    </rPh>
    <rPh sb="122" eb="124">
      <t>ガクシュウ</t>
    </rPh>
    <rPh sb="142" eb="143">
      <t>オコナ</t>
    </rPh>
    <phoneticPr fontId="1"/>
  </si>
  <si>
    <t>全学生が受講できるように、本プログラムを構成する授業科目「AI・データサイエンスの基礎」はe-learningサイト上で運用されており、いつでもどこからでも講義を視聴できる環境を構築している。
授業担当者は実データ・実課題（学術データ等を含む）を用いた演習のサポートを教室でも行っている。</t>
    <rPh sb="24" eb="26">
      <t>ジュギョウ</t>
    </rPh>
    <rPh sb="58" eb="59">
      <t>ジョウ</t>
    </rPh>
    <rPh sb="138" eb="139">
      <t>オコナ</t>
    </rPh>
    <phoneticPr fontId="1"/>
  </si>
  <si>
    <t>学長・カリキュラムセンター長</t>
    <phoneticPr fontId="1"/>
  </si>
  <si>
    <t>入学者数に対する本科目の履修率は1年次全学生必修科目であるため、令和7（2025）年度に100％となる。</t>
    <rPh sb="32" eb="34">
      <t>レイワ</t>
    </rPh>
    <phoneticPr fontId="1"/>
  </si>
  <si>
    <t>履修者は、e-learningサイトやEメールを利用して授業担当者に質問や問い合わせをすることができる。
また、対面での質問等を希望する場合は、事務局教務・学生課を利用することができる。くわえて、実データ・実課題を用いた演習に不安を抱える履修者は教室において授業担当者によるサポートを受けることができる。</t>
    <rPh sb="62" eb="63">
      <t>ナド</t>
    </rPh>
    <rPh sb="64" eb="66">
      <t>キボウ</t>
    </rPh>
    <rPh sb="68" eb="70">
      <t>バアイ</t>
    </rPh>
    <rPh sb="82" eb="84">
      <t>リヨウ</t>
    </rPh>
    <rPh sb="119" eb="121">
      <t>リシュウ</t>
    </rPh>
    <rPh sb="121" eb="122">
      <t>シャ</t>
    </rPh>
    <phoneticPr fontId="1"/>
  </si>
  <si>
    <t>大阪女学院大学内部質保証推進規程及び、大阪女学院大学内部質保証実施要領</t>
    <rPh sb="0" eb="2">
      <t>オオサカ</t>
    </rPh>
    <rPh sb="2" eb="5">
      <t>ジョガクイン</t>
    </rPh>
    <rPh sb="5" eb="7">
      <t>ダイガク</t>
    </rPh>
    <rPh sb="7" eb="9">
      <t>ナイブ</t>
    </rPh>
    <rPh sb="9" eb="10">
      <t>シツ</t>
    </rPh>
    <rPh sb="10" eb="12">
      <t>ホショウ</t>
    </rPh>
    <rPh sb="12" eb="14">
      <t>スイシン</t>
    </rPh>
    <rPh sb="14" eb="16">
      <t>キテイ</t>
    </rPh>
    <rPh sb="16" eb="17">
      <t>オヨ</t>
    </rPh>
    <rPh sb="19" eb="21">
      <t>オオサカ</t>
    </rPh>
    <rPh sb="21" eb="24">
      <t>ジョガクイン</t>
    </rPh>
    <rPh sb="24" eb="26">
      <t>ダイガク</t>
    </rPh>
    <rPh sb="26" eb="28">
      <t>ナイブ</t>
    </rPh>
    <rPh sb="28" eb="29">
      <t>シツ</t>
    </rPh>
    <rPh sb="29" eb="31">
      <t>ホショウ</t>
    </rPh>
    <rPh sb="31" eb="33">
      <t>ジッシ</t>
    </rPh>
    <rPh sb="33" eb="35">
      <t>ヨウリョウ</t>
    </rPh>
    <phoneticPr fontId="1"/>
  </si>
  <si>
    <t>カリキュラムセンターは、大阪女学院大学内部質保証推進規程及び、大阪女学院大学内部質保証実施要領に基づき、教育課程の内部質保証を行う責任担当組織である。
また、同センターは、教育課程を構成する授業実施を円滑に行うとともに、教育課程について自己点検・評価し、改善の取組を行うことを目的としている。
本プログラムを構成する授業科目「AI・データサイエンスの基礎」が教育課程の共通教育科目群に配置されているため、同センターが本プログラム及び構成する授業科目の自己点検・評価と改善の取組を担う。</t>
    <rPh sb="43" eb="45">
      <t>ジッシ</t>
    </rPh>
    <rPh sb="63" eb="64">
      <t>オコナ</t>
    </rPh>
    <rPh sb="79" eb="80">
      <t>ドウ</t>
    </rPh>
    <rPh sb="86" eb="88">
      <t>キョウイク</t>
    </rPh>
    <rPh sb="88" eb="90">
      <t>カテイ</t>
    </rPh>
    <rPh sb="91" eb="93">
      <t>コウセイ</t>
    </rPh>
    <rPh sb="95" eb="97">
      <t>ジュギョウ</t>
    </rPh>
    <rPh sb="97" eb="99">
      <t>ジッシ</t>
    </rPh>
    <rPh sb="100" eb="102">
      <t>エンカツ</t>
    </rPh>
    <rPh sb="103" eb="104">
      <t>オコナ</t>
    </rPh>
    <rPh sb="110" eb="112">
      <t>キョウイク</t>
    </rPh>
    <rPh sb="112" eb="114">
      <t>カテイ</t>
    </rPh>
    <rPh sb="118" eb="120">
      <t>ジコ</t>
    </rPh>
    <rPh sb="120" eb="122">
      <t>テンケン</t>
    </rPh>
    <rPh sb="123" eb="125">
      <t>ヒョウカ</t>
    </rPh>
    <rPh sb="127" eb="129">
      <t>カイゼン</t>
    </rPh>
    <rPh sb="130" eb="132">
      <t>トリクミ</t>
    </rPh>
    <rPh sb="133" eb="134">
      <t>オコナ</t>
    </rPh>
    <rPh sb="138" eb="140">
      <t>モクテキ</t>
    </rPh>
    <rPh sb="147" eb="148">
      <t>ホン</t>
    </rPh>
    <rPh sb="154" eb="156">
      <t>コウセイ</t>
    </rPh>
    <rPh sb="158" eb="160">
      <t>ジュギョウ</t>
    </rPh>
    <rPh sb="160" eb="162">
      <t>カモク</t>
    </rPh>
    <rPh sb="179" eb="181">
      <t>キョウイク</t>
    </rPh>
    <rPh sb="181" eb="183">
      <t>カテイ</t>
    </rPh>
    <rPh sb="184" eb="186">
      <t>キョウツウ</t>
    </rPh>
    <rPh sb="186" eb="188">
      <t>キョウイク</t>
    </rPh>
    <rPh sb="188" eb="190">
      <t>カモク</t>
    </rPh>
    <rPh sb="190" eb="191">
      <t>グン</t>
    </rPh>
    <rPh sb="192" eb="194">
      <t>ハイチ</t>
    </rPh>
    <rPh sb="202" eb="203">
      <t>ドウ</t>
    </rPh>
    <rPh sb="208" eb="209">
      <t>ホン</t>
    </rPh>
    <rPh sb="214" eb="215">
      <t>オヨ</t>
    </rPh>
    <rPh sb="216" eb="218">
      <t>コウセイ</t>
    </rPh>
    <rPh sb="220" eb="222">
      <t>ジュギョウ</t>
    </rPh>
    <rPh sb="222" eb="224">
      <t>カモク</t>
    </rPh>
    <rPh sb="225" eb="227">
      <t>ジコ</t>
    </rPh>
    <rPh sb="227" eb="229">
      <t>テンケン</t>
    </rPh>
    <rPh sb="230" eb="232">
      <t>ヒョウカ</t>
    </rPh>
    <rPh sb="233" eb="235">
      <t>カイゼン</t>
    </rPh>
    <rPh sb="236" eb="238">
      <t>トリク</t>
    </rPh>
    <rPh sb="239" eb="240">
      <t>ニナ</t>
    </rPh>
    <phoneticPr fontId="1"/>
  </si>
  <si>
    <t>本プログラムを構築する授業科目「AI・データサイエンスの基礎」は令和4（2022）年度以降入学生の全学生必修科目であるため、令和5（2023）年度以降も履修者数・履修率は向上する。
なお、令和4年度の実績算出にあたり、令和3（2021）年度以前入学生で本人の希望により本科目を令和4（2022）年度に履修した学生数は含んでいない。</t>
    <rPh sb="11" eb="13">
      <t>ジュギョウ</t>
    </rPh>
    <rPh sb="28" eb="30">
      <t>キソ</t>
    </rPh>
    <rPh sb="32" eb="34">
      <t>レイワ</t>
    </rPh>
    <rPh sb="41" eb="43">
      <t>ネンド</t>
    </rPh>
    <rPh sb="43" eb="45">
      <t>イコウ</t>
    </rPh>
    <rPh sb="45" eb="47">
      <t>ニュウガク</t>
    </rPh>
    <rPh sb="47" eb="48">
      <t>セイ</t>
    </rPh>
    <rPh sb="62" eb="64">
      <t>レイワ</t>
    </rPh>
    <rPh sb="71" eb="73">
      <t>ネンド</t>
    </rPh>
    <rPh sb="73" eb="75">
      <t>イコウ</t>
    </rPh>
    <rPh sb="76" eb="78">
      <t>リシュウ</t>
    </rPh>
    <rPh sb="78" eb="79">
      <t>シャ</t>
    </rPh>
    <rPh sb="79" eb="80">
      <t>スウ</t>
    </rPh>
    <rPh sb="81" eb="83">
      <t>リシュウ</t>
    </rPh>
    <rPh sb="83" eb="84">
      <t>リツ</t>
    </rPh>
    <rPh sb="85" eb="87">
      <t>コウジョウ</t>
    </rPh>
    <rPh sb="109" eb="111">
      <t>レイワ</t>
    </rPh>
    <rPh sb="118" eb="120">
      <t>ネンド</t>
    </rPh>
    <rPh sb="120" eb="122">
      <t>イゼン</t>
    </rPh>
    <rPh sb="122" eb="124">
      <t>ニュウガク</t>
    </rPh>
    <rPh sb="124" eb="125">
      <t>セイ</t>
    </rPh>
    <rPh sb="126" eb="128">
      <t>ホンニン</t>
    </rPh>
    <rPh sb="129" eb="131">
      <t>キボウ</t>
    </rPh>
    <rPh sb="134" eb="135">
      <t>ホン</t>
    </rPh>
    <rPh sb="135" eb="137">
      <t>カモク</t>
    </rPh>
    <rPh sb="138" eb="140">
      <t>レイワ</t>
    </rPh>
    <rPh sb="147" eb="149">
      <t>ネンド</t>
    </rPh>
    <rPh sb="150" eb="152">
      <t>リシュウ</t>
    </rPh>
    <rPh sb="154" eb="156">
      <t>ガクセイ</t>
    </rPh>
    <rPh sb="156" eb="157">
      <t>スウ</t>
    </rPh>
    <rPh sb="158" eb="159">
      <t>フク</t>
    </rPh>
    <phoneticPr fontId="1"/>
  </si>
  <si>
    <t xml:space="preserve">大阪女学院大学では、数理・データサイエンス・AI教育プログラム認定制度の目的を踏まえ、AI・データサイエンス教育は次世代を担う学生には不可欠であると考え、Wilmina AI Data Science Literacy Programの取組をはじめ、本プログロムを構成する唯一の授業科目「AI・データサイエンス基礎（以下、「本科目」という。）」を国際・英語学部の全学生必修科目として開講した。
開講にあたっては、学習効果を向上させるため、学期末の課題提出や定期試験受験が集中する時期を避け、5月末から12月末にかけて学習スケジュールを設定し、学生に対して対面授業ではなく、e-learningサイト上で学習に取り組むことを説明した。
履修者（令和4（2022）年度入学生者）82名のうち70名が本授業科目のすべての学習に取り組み単位を修得した。
</t>
    <rPh sb="0" eb="2">
      <t>ジュギョウ</t>
    </rPh>
    <rPh sb="2" eb="4">
      <t>カモク</t>
    </rPh>
    <rPh sb="16" eb="18">
      <t>キソ</t>
    </rPh>
    <rPh sb="21" eb="24">
      <t>ゼンガクテキ</t>
    </rPh>
    <rPh sb="25" eb="27">
      <t>ジッシ</t>
    </rPh>
    <rPh sb="30" eb="32">
      <t>ジュギョウ</t>
    </rPh>
    <rPh sb="38" eb="40">
      <t>ジッシ</t>
    </rPh>
    <rPh sb="42" eb="44">
      <t>セツモン</t>
    </rPh>
    <rPh sb="47" eb="49">
      <t>ジュギョウ</t>
    </rPh>
    <rPh sb="50" eb="51">
      <t>ウ</t>
    </rPh>
    <rPh sb="54" eb="55">
      <t>ミ</t>
    </rPh>
    <rPh sb="60" eb="61">
      <t>オモ</t>
    </rPh>
    <rPh sb="65" eb="66">
      <t>オシ</t>
    </rPh>
    <rPh sb="74" eb="75">
      <t>モウ</t>
    </rPh>
    <rPh sb="77" eb="79">
      <t>イカ</t>
    </rPh>
    <rPh sb="83" eb="85">
      <t>ナイヨウ</t>
    </rPh>
    <rPh sb="174" eb="176">
      <t>リカイ</t>
    </rPh>
    <rPh sb="176" eb="177">
      <t>ド</t>
    </rPh>
    <rPh sb="178" eb="180">
      <t>カクニン</t>
    </rPh>
    <rPh sb="184" eb="186">
      <t>ケッカ</t>
    </rPh>
    <rPh sb="265" eb="266">
      <t>ミ</t>
    </rPh>
    <rPh sb="271" eb="273">
      <t>カイトウ</t>
    </rPh>
    <rPh sb="275" eb="277">
      <t>ガクセイ</t>
    </rPh>
    <rPh sb="278" eb="280">
      <t>ワリアイ</t>
    </rPh>
    <rPh sb="287" eb="289">
      <t>テイド</t>
    </rPh>
    <rPh sb="311" eb="312">
      <t>ミ</t>
    </rPh>
    <rPh sb="317" eb="319">
      <t>カイトウ</t>
    </rPh>
    <rPh sb="321" eb="323">
      <t>レイワ</t>
    </rPh>
    <rPh sb="325" eb="327">
      <t>ガクセイ</t>
    </rPh>
    <rPh sb="335" eb="337">
      <t>テイド</t>
    </rPh>
    <phoneticPr fontId="1"/>
  </si>
  <si>
    <t xml:space="preserve">本科目においても全学的に実施している授業アンケートを行い、設問「この授業を受けて、身につけたと思うことを教えてください」を設け、以下の5つの内容（「1.データサイエンスの概念の理解」「2.データサイエンスの事例の理解」、「3.データの扱い方」「4.データ分析手法」「5.データ・AIを扱う上での留意事項の理解」）についての理解度を確認した。
結果、「1.データサイエンスの概念の理解」.「2.データサイエンスの事例の理解」「4.データ分析手法」「5.データ・AIを扱う上での留意事項の理解」について、身についたと回答した学生の割合は20～30％程度であったが、「3.データの扱い方」について、身についたと回答した学生の割合は60％程度となった。
</t>
    <rPh sb="0" eb="1">
      <t>ホン</t>
    </rPh>
    <rPh sb="1" eb="3">
      <t>カモク</t>
    </rPh>
    <rPh sb="8" eb="11">
      <t>ゼンガクテキ</t>
    </rPh>
    <rPh sb="12" eb="14">
      <t>ジッシ</t>
    </rPh>
    <rPh sb="18" eb="20">
      <t>ジュギョウ</t>
    </rPh>
    <rPh sb="26" eb="27">
      <t>オコナ</t>
    </rPh>
    <rPh sb="29" eb="31">
      <t>セツモン</t>
    </rPh>
    <rPh sb="34" eb="36">
      <t>ジュギョウ</t>
    </rPh>
    <rPh sb="37" eb="38">
      <t>ウ</t>
    </rPh>
    <rPh sb="41" eb="42">
      <t>ミ</t>
    </rPh>
    <rPh sb="47" eb="48">
      <t>オモ</t>
    </rPh>
    <rPh sb="52" eb="53">
      <t>オシ</t>
    </rPh>
    <rPh sb="61" eb="62">
      <t>モウ</t>
    </rPh>
    <rPh sb="64" eb="66">
      <t>イカ</t>
    </rPh>
    <rPh sb="70" eb="72">
      <t>ナイヨウ</t>
    </rPh>
    <rPh sb="161" eb="163">
      <t>リカイ</t>
    </rPh>
    <rPh sb="163" eb="164">
      <t>ド</t>
    </rPh>
    <rPh sb="165" eb="167">
      <t>カクニン</t>
    </rPh>
    <rPh sb="171" eb="173">
      <t>ケッカ</t>
    </rPh>
    <rPh sb="250" eb="251">
      <t>ミ</t>
    </rPh>
    <rPh sb="256" eb="258">
      <t>カイトウ</t>
    </rPh>
    <rPh sb="260" eb="262">
      <t>ガクセイ</t>
    </rPh>
    <rPh sb="263" eb="265">
      <t>ワリアイ</t>
    </rPh>
    <rPh sb="272" eb="274">
      <t>テイド</t>
    </rPh>
    <rPh sb="296" eb="297">
      <t>ミ</t>
    </rPh>
    <rPh sb="302" eb="304">
      <t>カイトウ</t>
    </rPh>
    <rPh sb="306" eb="308">
      <t>ガクセイ</t>
    </rPh>
    <rPh sb="309" eb="311">
      <t>ワリアイ</t>
    </rPh>
    <rPh sb="315" eb="317">
      <t>テイド</t>
    </rPh>
    <phoneticPr fontId="1"/>
  </si>
  <si>
    <t>令和4（2022）年度末で、本科目を修得した卒業生はいない。令和8（2026）年度以降の卒業生調査において、本科目を修得した卒業生の進路先や活躍状況の把握が可能である。</t>
    <rPh sb="0" eb="2">
      <t>レイワ</t>
    </rPh>
    <rPh sb="18" eb="20">
      <t>シュウトク</t>
    </rPh>
    <rPh sb="30" eb="32">
      <t>レイワ</t>
    </rPh>
    <phoneticPr fontId="1"/>
  </si>
  <si>
    <r>
      <rPr>
        <sz val="10"/>
        <color theme="1"/>
        <rFont val="ＭＳ Ｐゴシック"/>
        <family val="3"/>
        <charset val="128"/>
        <scheme val="minor"/>
      </rPr>
      <t xml:space="preserve">カリキュラムセンターは、学長が指名する以下の教員：21名　職員：11名によって構成される。【R4（2022）年度実績】
</t>
    </r>
    <r>
      <rPr>
        <sz val="9"/>
        <color theme="1"/>
        <rFont val="ＭＳ Ｐゴシック"/>
        <family val="3"/>
        <charset val="128"/>
        <scheme val="minor"/>
      </rPr>
      <t xml:space="preserve">
【教員：21名】
大学国際・英語学部教授　加藤映子（大学・短期大学学長　カリキュラムセンター責任者）
短大英語科教授　関根聴、短大英語科教授　R.D.Miller、短期大学英語科教授　仲川浩世
短大英語科専任講師　I.M.Custance、短大英語科専任講師　金姫淑
大学国際・英語学部教授　崔大龍、大学国際・英語学部教授　中西美和
大学国際・英語学部教授　B.D.Teaman、大学国際・英語学部教授　松尾徹、大学国際・英語学部教授　樋川和子
大学国際・英語学部教授　大塚朝美、大学国際・英語学部教授　T.A.Swenson、大学国際・英語学部教授　山本淳子
大学国際・英語学部教授　奥本京子、大学国際・英語学部教授　高橋宗瑠
大学国際・英語学部准教授　箱根かおり、大学国際・英語学部准教授　朴賢淑
大学国際・英語学部准教授　A.Wong、大学国際・英語学部専任講師　B.Matte、大学国際・英語学部専任講師　八杉裕美子
【職員：11名】
大学短期大学事務局長　浅田晋太郎、大学短期大学事務局次長　徐明寛、大学短期大学事務局研究・教育企画室　金美玲
大学短期大学事務局ラーニングソリューションセンター　橋本誠一
大学短期大学事務局教務・学生課　田中礼子、葛西崇文、若井恵美、中西和代、谷垣歩実、三吉玲子、初馬由美子</t>
    </r>
    <r>
      <rPr>
        <sz val="10"/>
        <color theme="1"/>
        <rFont val="ＭＳ Ｐゴシック"/>
        <family val="3"/>
        <charset val="128"/>
        <scheme val="minor"/>
      </rPr>
      <t xml:space="preserve">
</t>
    </r>
    <r>
      <rPr>
        <sz val="12"/>
        <color theme="1"/>
        <rFont val="ＭＳ Ｐゴシック"/>
        <family val="3"/>
        <charset val="128"/>
        <scheme val="minor"/>
      </rPr>
      <t xml:space="preserve">
</t>
    </r>
    <rPh sb="62" eb="64">
      <t>キョウイン</t>
    </rPh>
    <rPh sb="67" eb="68">
      <t>メイ</t>
    </rPh>
    <rPh sb="475" eb="477">
      <t>ショクイン</t>
    </rPh>
    <rPh sb="480" eb="481">
      <t>メイ</t>
    </rPh>
    <phoneticPr fontId="1"/>
  </si>
  <si>
    <t>「AI・データサイエンスの基礎」（2回目）
テーマ：日本企業の国際競争力低下　市場の大きな変化　デジタル技術の発展　デジタル社会の提言
視点：①ビッグデータ、IoT、AI、ロボット　②データ量の増加、計算機の処理性能の向上、AIの非連続的進化
③第4次産業革命、Society 5.0、データ駆動型社会　④複数技術を組み合わせたAIサービス
⑤人間の知的活動とAIの関係性　⑥データを起点としたものの見方、人間の知的活動を起点としたものの見方</t>
    <rPh sb="68" eb="70">
      <t>シテン</t>
    </rPh>
    <phoneticPr fontId="1"/>
  </si>
  <si>
    <t>「AI・データサイエンスの基礎」（3回目）
テーマ：統計データ・人の行動ログデータ　機械の稼働ログデータ　データの分類　オープンデータ
視点：①調査データ、実験データ、人の行動ログデータ、機械の稼働ログデータなど
②1次データ、2次データ、データのメタ化
③構造化データ、非構造化データ（文章、画像/動画、音声/音楽など）
④データ作成（ビッグデータとアノテーション）　⑤データのオープン化（オープンデータ）</t>
    <phoneticPr fontId="1"/>
  </si>
  <si>
    <t>「AI・データサイエンスの基礎」（4回目）
テーマ：AIの定義　AIの歴史　業種別のAI活用領域　人間に近づくAI
視点：①データ・AI活用領域の広がり(生産、消費、文化活動など)
②研究開発、調達、製造、物流、販売、マーケティング、サービスなど
③仮説検証、知識発見、原因究明、計画策定、判断支援、活動代替、新規生成など</t>
    <rPh sb="58" eb="60">
      <t>シテン</t>
    </rPh>
    <phoneticPr fontId="1"/>
  </si>
  <si>
    <t>「AI・データサイエンスの基礎」（5回目）
テーマ：データ・AI利活用技術の枠組み　データ認識技術　AI技術　AIの課題　AIの難問・AIが社会にもたらす影響
視点：①データ解析：予測、グルーピング、パターン発見、最適化、シミュレーション・データ同化など
②データ可視化：複合グラフ、2軸グラフ、多次元の可視化、関係性の可視化、地図上の可視化、挙動・軌跡の可視化、リアルタイム可視化など　③非構造化データ処理：言語処理、画像/動画処理、音声/音楽処理など
④特化型AIと汎用AI、今のAIで出来ることと出来ないこと、AIとビッグデータ
⑤認識技術、ルールベース、自動化技術</t>
    <rPh sb="80" eb="82">
      <t>シテン</t>
    </rPh>
    <phoneticPr fontId="1"/>
  </si>
  <si>
    <t>「AI・データサイエンスの基礎」（6・7回目）
テーマ：データの定義　データ活用のモデル　データ分析のアプローチ　データ分析においてより大きな価値を生む領域　製造業・小売業・サービス業・公共インフラ業のデータ・AI活用　データ・AI活用による新しいビジネス領域
視点：①データサイエンスのサイクル（課題抽出と定式化、データの取得・管理・加工、探索的データ解析、データ解析と推論、結果の共有・伝達、課題解決に向けた提案）
②流通、製造、金融、サービス、インフラ、公共、ヘルスケア等におけるデータ・AI利活用事例紹介</t>
    <rPh sb="131" eb="133">
      <t>シテン</t>
    </rPh>
    <phoneticPr fontId="1"/>
  </si>
  <si>
    <t>「AI・データサイエンスの基礎」（8回目）
テーマ：データ・AIを活用した新しいビジネス　データAIに関連した新技術　新ビジネスがなぜ小さな企業から生まれやすいのか
視点：①AI等を活用した新しいビジネスモデル(シェアリングエコノミー、商品のレコメンデーションなど)
②AI最新技術の活用例（深層生成モデル、敵対的生成ネットワーク、強化学習、転移学習など）</t>
    <rPh sb="83" eb="85">
      <t>シテン</t>
    </rPh>
    <phoneticPr fontId="1"/>
  </si>
  <si>
    <t>「AI・データサイエンスの基礎」（13・14回目）
テーマ：「ELSI」とは何か　データに関する不正行為　個人情報の保護　個人情報は誰が管理すべきか　
バイアスとは　データ収集におけるバイアス　データ・AIを扱う上でのバイアス　AIの正しい活用に向けて
視点：①ELSI（Ethical, Legal and Social Issues）
②個人情報保護、EU一般データ保護規則(GDPR)、忘れられる権利、オプトアウト
③データ倫理：データのねつ造、改ざん、盗用、プライバシー保護
④AI社会原則（公平性、説明責任、透明性、人間中心の判断）
⑤データバイアス、アルゴリズムバイアス　⑥AIサービスの責任論　⑦データ・AI活用における負の事例紹介</t>
    <rPh sb="127" eb="129">
      <t>シテン</t>
    </rPh>
    <phoneticPr fontId="1"/>
  </si>
  <si>
    <t>「AI・データサイエンスの基礎」（15回目）
テーマ：情報セキュリティ　従業員等による内部不正　コンピュータウイルスへの感染　サイバー攻撃
情報セキュリティ脅威事例　セキュリティ技術
視点：①情報セキュリティ：機密性、完全性、可用性　②匿名加工情報、暗号化、パスワード、悪意ある情報搾取
③情報漏洩等によるセキュリティ事故の事例紹介</t>
    <rPh sb="92" eb="94">
      <t>シテン</t>
    </rPh>
    <phoneticPr fontId="1"/>
  </si>
  <si>
    <t>「AI・データサイエンスの基礎」（9・10回目）
テーマ：データの種類　データの代表値（計算的代表値、位置的代表値）　データのばらつき　データのチェック　相関と因果　母集団と抽出　統計情報の正しい理解　演習（相乗平均、調和平均、データの代表値、データのばらつき、相関関係、アンスコムの例）
視点：①データの種類（量的変数、質的変数）　②データの分布(ヒストグラム)と代表値（平均値、中央値、最頻値）
③代表値の性質の違い（実社会では平均値＝最頻値でないことが多い）　④データのばらつき（分散、標準偏差、偏差値）　
⑤観測データに含まれる誤差の扱い　⑥打ち切りや脱落を含むデータ、層別の必要なデータ　⑦相関と因果（相関係数、擬似相関、交絡）　⑧母集団と標本抽出（国勢調査、アンケート調査、全数調査、単純無作為抽出、層別抽出、多段抽出）
⑨クロス集計表、分割表、相関係数行列、散布図行列　⑩統計情報の正しい理解（誇張表現に惑わされない）</t>
    <rPh sb="145" eb="147">
      <t>シテン</t>
    </rPh>
    <phoneticPr fontId="1"/>
  </si>
  <si>
    <t>「AI・データサイエンスの基礎」（11回目）
テーマ：グラフをつくる　データを比較するためのグラフ　時間の推移を見せるためのグラフ
データ相互の関係を示すためのグラフ　データの偏りを示すためのグラフ　データの比較　適切なグラフ表現　優れたデータ可視化事例　演習（グラフ作成）
視点：①データ表現（棒グラフ、折線グラフ、散布図、ヒートマップ）　②データの図表表現（チャート化）
③データの比較（条件をそろえた比較、処理の前後での比較、A/Bテスト)
④不適切なグラフ表現（チャートジャンク、不必要な視覚的要素）
⑤優れた可視化事例の紹介（可視化することによって新たな気づきがあった事例など）</t>
    <rPh sb="138" eb="140">
      <t>シテン</t>
    </rPh>
    <phoneticPr fontId="1"/>
  </si>
  <si>
    <t>「AI・データサイエンスの基礎」（12回目）
テーマ：演習（売り上げを予測する、顧客層を分析する、顧客満足度を把握する、顧客不満の要因を探る）
視点：①データの集計（和、平均）　②データの並び替え、ランキング　③データ解析ツール（スプレッドシート）
④表形式のデータ（csv）</t>
    <rPh sb="72" eb="74">
      <t>シテン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</si>
</sst>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Border="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3"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7" fillId="0" borderId="22" xfId="0" applyFont="1" applyBorder="1" applyAlignment="1">
      <alignment horizontal="left" vertical="center" wrapText="1" shrinkToFit="1"/>
    </xf>
    <xf numFmtId="0" fontId="7" fillId="0" borderId="22" xfId="0" applyFont="1" applyBorder="1" applyAlignment="1">
      <alignment horizontal="left" vertical="center" shrinkToFit="1"/>
    </xf>
    <xf numFmtId="0" fontId="7" fillId="0" borderId="21" xfId="0" applyFont="1" applyBorder="1" applyAlignment="1">
      <alignment horizontal="left" vertical="center" shrinkToFit="1"/>
    </xf>
    <xf numFmtId="0" fontId="7" fillId="0" borderId="36" xfId="0" applyFont="1" applyBorder="1" applyAlignment="1">
      <alignment horizontal="left" vertical="center" wrapText="1" shrinkToFit="1"/>
    </xf>
    <xf numFmtId="0" fontId="7" fillId="0" borderId="36" xfId="0" applyFont="1" applyBorder="1" applyAlignment="1">
      <alignment horizontal="left" vertical="center" shrinkToFit="1"/>
    </xf>
    <xf numFmtId="0" fontId="7" fillId="0" borderId="35" xfId="0" applyFont="1" applyBorder="1" applyAlignment="1">
      <alignment horizontal="left" vertical="center" shrinkToFit="1"/>
    </xf>
    <xf numFmtId="0" fontId="7" fillId="0" borderId="38" xfId="0" applyFont="1" applyBorder="1" applyAlignment="1">
      <alignment horizontal="left" vertical="center" wrapText="1" shrinkToFit="1"/>
    </xf>
    <xf numFmtId="0" fontId="7" fillId="0" borderId="38"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3" fillId="0" borderId="36" xfId="0" applyFont="1" applyBorder="1" applyAlignment="1">
      <alignment vertical="center" wrapText="1"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19" xfId="0" applyFont="1" applyBorder="1" applyAlignment="1">
      <alignment vertical="center" wrapText="1"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7" fillId="0" borderId="6" xfId="0" applyFont="1" applyBorder="1" applyAlignment="1">
      <alignment vertical="center" wrapText="1" shrinkToFit="1"/>
    </xf>
    <xf numFmtId="0" fontId="7" fillId="0" borderId="6" xfId="0" applyFont="1" applyBorder="1" applyAlignment="1">
      <alignment vertical="center" shrinkToFit="1"/>
    </xf>
    <xf numFmtId="0" fontId="7" fillId="0" borderId="12" xfId="0"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D99" sqref="D99:S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0" t="s">
        <v>12</v>
      </c>
      <c r="S1" s="120"/>
      <c r="T1" s="2" t="s">
        <v>110</v>
      </c>
    </row>
    <row r="2" spans="1:22" ht="18.75" customHeight="1" x14ac:dyDescent="0.15">
      <c r="B2" s="34" t="s">
        <v>109</v>
      </c>
      <c r="C2" s="93" t="s">
        <v>127</v>
      </c>
      <c r="D2" s="94"/>
      <c r="E2" s="94"/>
      <c r="F2" s="94"/>
      <c r="G2" s="94"/>
      <c r="H2" s="94"/>
      <c r="I2" s="95"/>
      <c r="J2" s="35"/>
      <c r="K2" s="6"/>
      <c r="L2" s="6"/>
      <c r="M2" s="6"/>
      <c r="N2" s="6"/>
      <c r="O2" s="6"/>
      <c r="P2" s="6"/>
      <c r="Q2" s="6"/>
      <c r="R2" s="6"/>
      <c r="S2" s="6"/>
    </row>
    <row r="3" spans="1:22" ht="18.75" customHeight="1" x14ac:dyDescent="0.15">
      <c r="B3" s="34" t="s">
        <v>103</v>
      </c>
      <c r="C3" s="93" t="s">
        <v>139</v>
      </c>
      <c r="D3" s="94"/>
      <c r="E3" s="94"/>
      <c r="F3" s="94"/>
      <c r="G3" s="94"/>
      <c r="H3" s="94"/>
      <c r="I3" s="95"/>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24" t="s">
        <v>39</v>
      </c>
      <c r="B5" s="124"/>
      <c r="C5" s="124"/>
      <c r="D5" s="124"/>
      <c r="E5" s="124"/>
      <c r="F5" s="124"/>
      <c r="G5" s="124"/>
      <c r="H5" s="124"/>
      <c r="I5" s="124"/>
      <c r="J5" s="124"/>
      <c r="K5" s="124"/>
      <c r="L5" s="124"/>
      <c r="M5" s="124"/>
      <c r="N5" s="124"/>
      <c r="O5" s="124"/>
      <c r="P5" s="124"/>
      <c r="Q5" s="124"/>
      <c r="R5" s="124"/>
      <c r="S5" s="124"/>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34" t="s">
        <v>129</v>
      </c>
      <c r="L7" s="135"/>
      <c r="M7" s="135"/>
      <c r="N7" s="135"/>
      <c r="O7" s="135"/>
      <c r="P7" s="135"/>
      <c r="Q7" s="135"/>
      <c r="R7" s="135"/>
      <c r="S7" s="13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37" t="s">
        <v>128</v>
      </c>
      <c r="C9" s="138"/>
      <c r="D9" s="138"/>
      <c r="E9" s="138"/>
      <c r="F9" s="138"/>
      <c r="G9" s="138"/>
      <c r="H9" s="138"/>
      <c r="I9" s="138"/>
      <c r="J9" s="138"/>
      <c r="K9" s="138"/>
      <c r="L9" s="138"/>
      <c r="M9" s="138"/>
      <c r="N9" s="138"/>
      <c r="O9" s="138"/>
      <c r="P9" s="138"/>
      <c r="Q9" s="138"/>
      <c r="R9" s="138"/>
      <c r="S9" s="139"/>
    </row>
    <row r="10" spans="1:22" ht="18" customHeight="1" x14ac:dyDescent="0.15">
      <c r="B10" s="140"/>
      <c r="C10" s="141"/>
      <c r="D10" s="141"/>
      <c r="E10" s="141"/>
      <c r="F10" s="141"/>
      <c r="G10" s="141"/>
      <c r="H10" s="141"/>
      <c r="I10" s="141"/>
      <c r="J10" s="141"/>
      <c r="K10" s="141"/>
      <c r="L10" s="141"/>
      <c r="M10" s="141"/>
      <c r="N10" s="141"/>
      <c r="O10" s="141"/>
      <c r="P10" s="141"/>
      <c r="Q10" s="141"/>
      <c r="R10" s="141"/>
      <c r="S10" s="14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25" t="s">
        <v>140</v>
      </c>
      <c r="C13" s="126"/>
      <c r="D13" s="126"/>
      <c r="E13" s="126"/>
      <c r="F13" s="126"/>
      <c r="G13" s="126"/>
      <c r="H13" s="126"/>
      <c r="I13" s="126"/>
      <c r="J13" s="126"/>
      <c r="K13" s="126"/>
      <c r="L13" s="126"/>
      <c r="M13" s="126"/>
      <c r="N13" s="126"/>
      <c r="O13" s="126"/>
      <c r="P13" s="126"/>
      <c r="Q13" s="126"/>
      <c r="R13" s="126"/>
      <c r="S13" s="127"/>
      <c r="V13" s="1" t="s">
        <v>104</v>
      </c>
    </row>
    <row r="14" spans="1:22" ht="18" customHeight="1" x14ac:dyDescent="0.15">
      <c r="B14" s="128"/>
      <c r="C14" s="129"/>
      <c r="D14" s="129"/>
      <c r="E14" s="129"/>
      <c r="F14" s="129"/>
      <c r="G14" s="129"/>
      <c r="H14" s="129"/>
      <c r="I14" s="129"/>
      <c r="J14" s="129"/>
      <c r="K14" s="129"/>
      <c r="L14" s="129"/>
      <c r="M14" s="129"/>
      <c r="N14" s="129"/>
      <c r="O14" s="129"/>
      <c r="P14" s="129"/>
      <c r="Q14" s="129"/>
      <c r="R14" s="129"/>
      <c r="S14" s="130"/>
      <c r="V14" s="1" t="s">
        <v>111</v>
      </c>
    </row>
    <row r="15" spans="1:22" ht="18" customHeight="1" x14ac:dyDescent="0.15">
      <c r="B15" s="128"/>
      <c r="C15" s="129"/>
      <c r="D15" s="129"/>
      <c r="E15" s="129"/>
      <c r="F15" s="129"/>
      <c r="G15" s="129"/>
      <c r="H15" s="129"/>
      <c r="I15" s="129"/>
      <c r="J15" s="129"/>
      <c r="K15" s="129"/>
      <c r="L15" s="129"/>
      <c r="M15" s="129"/>
      <c r="N15" s="129"/>
      <c r="O15" s="129"/>
      <c r="P15" s="129"/>
      <c r="Q15" s="129"/>
      <c r="R15" s="129"/>
      <c r="S15" s="130"/>
      <c r="V15" s="1" t="s">
        <v>124</v>
      </c>
    </row>
    <row r="16" spans="1:22" ht="18" customHeight="1" x14ac:dyDescent="0.15">
      <c r="B16" s="128"/>
      <c r="C16" s="129"/>
      <c r="D16" s="129"/>
      <c r="E16" s="129"/>
      <c r="F16" s="129"/>
      <c r="G16" s="129"/>
      <c r="H16" s="129"/>
      <c r="I16" s="129"/>
      <c r="J16" s="129"/>
      <c r="K16" s="129"/>
      <c r="L16" s="129"/>
      <c r="M16" s="129"/>
      <c r="N16" s="129"/>
      <c r="O16" s="129"/>
      <c r="P16" s="129"/>
      <c r="Q16" s="129"/>
      <c r="R16" s="129"/>
      <c r="S16" s="130"/>
      <c r="V16" s="1" t="s">
        <v>126</v>
      </c>
    </row>
    <row r="17" spans="1:19" ht="18" customHeight="1" x14ac:dyDescent="0.15">
      <c r="B17" s="128"/>
      <c r="C17" s="129"/>
      <c r="D17" s="129"/>
      <c r="E17" s="129"/>
      <c r="F17" s="129"/>
      <c r="G17" s="129"/>
      <c r="H17" s="129"/>
      <c r="I17" s="129"/>
      <c r="J17" s="129"/>
      <c r="K17" s="129"/>
      <c r="L17" s="129"/>
      <c r="M17" s="129"/>
      <c r="N17" s="129"/>
      <c r="O17" s="129"/>
      <c r="P17" s="129"/>
      <c r="Q17" s="129"/>
      <c r="R17" s="129"/>
      <c r="S17" s="130"/>
    </row>
    <row r="18" spans="1:19" ht="18" customHeight="1" x14ac:dyDescent="0.15">
      <c r="B18" s="131"/>
      <c r="C18" s="132"/>
      <c r="D18" s="132"/>
      <c r="E18" s="132"/>
      <c r="F18" s="132"/>
      <c r="G18" s="132"/>
      <c r="H18" s="132"/>
      <c r="I18" s="132"/>
      <c r="J18" s="132"/>
      <c r="K18" s="132"/>
      <c r="L18" s="132"/>
      <c r="M18" s="132"/>
      <c r="N18" s="132"/>
      <c r="O18" s="132"/>
      <c r="P18" s="132"/>
      <c r="Q18" s="132"/>
      <c r="R18" s="132"/>
      <c r="S18" s="13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3">
        <v>2</v>
      </c>
      <c r="D20" s="95"/>
      <c r="E20" s="40" t="s">
        <v>96</v>
      </c>
      <c r="G20" s="10"/>
      <c r="H20" s="3"/>
      <c r="I20" s="3"/>
      <c r="J20" s="35" t="s">
        <v>122</v>
      </c>
      <c r="K20" s="121" t="s">
        <v>111</v>
      </c>
      <c r="L20" s="122"/>
      <c r="M20" s="122"/>
      <c r="N20" s="122"/>
      <c r="O20" s="122"/>
      <c r="P20" s="122"/>
      <c r="Q20" s="122"/>
      <c r="R20" s="122"/>
      <c r="S20" s="12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9" t="s">
        <v>114</v>
      </c>
      <c r="B22" s="99"/>
      <c r="C22" s="99"/>
      <c r="D22" s="99"/>
      <c r="E22" s="99"/>
      <c r="F22" s="99"/>
      <c r="G22" s="99"/>
      <c r="H22" s="99"/>
      <c r="I22" s="99"/>
      <c r="J22" s="99"/>
      <c r="K22" s="99"/>
      <c r="L22" s="99"/>
      <c r="M22" s="99"/>
      <c r="N22" s="99"/>
      <c r="O22" s="99"/>
      <c r="P22" s="99"/>
      <c r="Q22" s="99"/>
      <c r="R22" s="99"/>
      <c r="S22" s="99"/>
    </row>
    <row r="23" spans="1:19" ht="18" customHeight="1" x14ac:dyDescent="0.15">
      <c r="A23" s="99"/>
      <c r="B23" s="99"/>
      <c r="C23" s="99"/>
      <c r="D23" s="99"/>
      <c r="E23" s="99"/>
      <c r="F23" s="99"/>
      <c r="G23" s="99"/>
      <c r="H23" s="99"/>
      <c r="I23" s="99"/>
      <c r="J23" s="99"/>
      <c r="K23" s="99"/>
      <c r="L23" s="99"/>
      <c r="M23" s="99"/>
      <c r="N23" s="99"/>
      <c r="O23" s="99"/>
      <c r="P23" s="99"/>
      <c r="Q23" s="99"/>
      <c r="R23" s="99"/>
      <c r="S23" s="99"/>
    </row>
    <row r="24" spans="1:19" ht="18" customHeight="1" x14ac:dyDescent="0.15">
      <c r="B24" s="93" t="s">
        <v>54</v>
      </c>
      <c r="C24" s="94"/>
      <c r="D24" s="94"/>
      <c r="E24" s="95"/>
      <c r="F24" s="61" t="s">
        <v>81</v>
      </c>
      <c r="G24" s="60" t="s">
        <v>85</v>
      </c>
      <c r="H24" s="22" t="s">
        <v>57</v>
      </c>
      <c r="I24" s="22" t="s">
        <v>60</v>
      </c>
      <c r="J24" s="93" t="s">
        <v>54</v>
      </c>
      <c r="K24" s="94"/>
      <c r="L24" s="94"/>
      <c r="M24" s="94"/>
      <c r="N24" s="94"/>
      <c r="O24" s="95"/>
      <c r="P24" s="61" t="s">
        <v>81</v>
      </c>
      <c r="Q24" s="60" t="s">
        <v>85</v>
      </c>
      <c r="R24" s="22" t="s">
        <v>57</v>
      </c>
      <c r="S24" s="22" t="s">
        <v>60</v>
      </c>
    </row>
    <row r="25" spans="1:19" ht="18" customHeight="1" x14ac:dyDescent="0.15">
      <c r="B25" s="87" t="s">
        <v>130</v>
      </c>
      <c r="C25" s="88"/>
      <c r="D25" s="88"/>
      <c r="E25" s="89"/>
      <c r="F25" s="23">
        <v>2</v>
      </c>
      <c r="G25" s="23" t="s">
        <v>131</v>
      </c>
      <c r="H25" s="23" t="s">
        <v>131</v>
      </c>
      <c r="I25" s="23" t="s">
        <v>131</v>
      </c>
      <c r="J25" s="87"/>
      <c r="K25" s="88"/>
      <c r="L25" s="88"/>
      <c r="M25" s="88"/>
      <c r="N25" s="88"/>
      <c r="O25" s="89"/>
      <c r="P25" s="23"/>
      <c r="Q25" s="23"/>
      <c r="R25" s="23"/>
      <c r="S25" s="23"/>
    </row>
    <row r="26" spans="1:19" ht="18" customHeight="1" x14ac:dyDescent="0.15">
      <c r="B26" s="90"/>
      <c r="C26" s="91"/>
      <c r="D26" s="91"/>
      <c r="E26" s="92"/>
      <c r="F26" s="24"/>
      <c r="G26" s="24"/>
      <c r="H26" s="24"/>
      <c r="I26" s="24"/>
      <c r="J26" s="90"/>
      <c r="K26" s="91"/>
      <c r="L26" s="91"/>
      <c r="M26" s="91"/>
      <c r="N26" s="91"/>
      <c r="O26" s="92"/>
      <c r="P26" s="24"/>
      <c r="Q26" s="24"/>
      <c r="R26" s="24"/>
      <c r="S26" s="24"/>
    </row>
    <row r="27" spans="1:19" ht="18" customHeight="1" x14ac:dyDescent="0.15">
      <c r="B27" s="90"/>
      <c r="C27" s="91"/>
      <c r="D27" s="91"/>
      <c r="E27" s="92"/>
      <c r="F27" s="24"/>
      <c r="G27" s="24"/>
      <c r="H27" s="24"/>
      <c r="I27" s="24"/>
      <c r="J27" s="90"/>
      <c r="K27" s="91"/>
      <c r="L27" s="91"/>
      <c r="M27" s="91"/>
      <c r="N27" s="91"/>
      <c r="O27" s="92"/>
      <c r="P27" s="24"/>
      <c r="Q27" s="24"/>
      <c r="R27" s="24"/>
      <c r="S27" s="24"/>
    </row>
    <row r="28" spans="1:19" ht="18" customHeight="1" x14ac:dyDescent="0.15">
      <c r="B28" s="90"/>
      <c r="C28" s="91"/>
      <c r="D28" s="91"/>
      <c r="E28" s="92"/>
      <c r="F28" s="24"/>
      <c r="G28" s="24"/>
      <c r="H28" s="24"/>
      <c r="I28" s="24"/>
      <c r="J28" s="90"/>
      <c r="K28" s="91"/>
      <c r="L28" s="91"/>
      <c r="M28" s="91"/>
      <c r="N28" s="91"/>
      <c r="O28" s="92"/>
      <c r="P28" s="24"/>
      <c r="Q28" s="24"/>
      <c r="R28" s="24"/>
      <c r="S28" s="24"/>
    </row>
    <row r="29" spans="1:19" ht="18" customHeight="1" x14ac:dyDescent="0.15">
      <c r="B29" s="90"/>
      <c r="C29" s="91"/>
      <c r="D29" s="91"/>
      <c r="E29" s="92"/>
      <c r="F29" s="24"/>
      <c r="G29" s="24"/>
      <c r="H29" s="24"/>
      <c r="I29" s="24"/>
      <c r="J29" s="90"/>
      <c r="K29" s="91"/>
      <c r="L29" s="91"/>
      <c r="M29" s="91"/>
      <c r="N29" s="91"/>
      <c r="O29" s="92"/>
      <c r="P29" s="24"/>
      <c r="Q29" s="24"/>
      <c r="R29" s="24"/>
      <c r="S29" s="24"/>
    </row>
    <row r="30" spans="1:19" ht="18" customHeight="1" x14ac:dyDescent="0.15">
      <c r="A30" s="3"/>
      <c r="B30" s="90"/>
      <c r="C30" s="91"/>
      <c r="D30" s="91"/>
      <c r="E30" s="92"/>
      <c r="F30" s="24"/>
      <c r="G30" s="24"/>
      <c r="H30" s="24"/>
      <c r="I30" s="24"/>
      <c r="J30" s="90"/>
      <c r="K30" s="91"/>
      <c r="L30" s="91"/>
      <c r="M30" s="91"/>
      <c r="N30" s="91"/>
      <c r="O30" s="92"/>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9" t="s">
        <v>115</v>
      </c>
      <c r="B33" s="99"/>
      <c r="C33" s="99"/>
      <c r="D33" s="99"/>
      <c r="E33" s="99"/>
      <c r="F33" s="99"/>
      <c r="G33" s="99"/>
      <c r="H33" s="99"/>
      <c r="I33" s="99"/>
      <c r="J33" s="99"/>
      <c r="K33" s="99"/>
      <c r="L33" s="99"/>
      <c r="M33" s="99"/>
      <c r="N33" s="99"/>
      <c r="O33" s="99"/>
      <c r="P33" s="99"/>
      <c r="Q33" s="99"/>
      <c r="R33" s="99"/>
      <c r="S33" s="99"/>
    </row>
    <row r="34" spans="1:19" ht="18" customHeight="1" x14ac:dyDescent="0.15">
      <c r="A34" s="99"/>
      <c r="B34" s="99"/>
      <c r="C34" s="99"/>
      <c r="D34" s="99"/>
      <c r="E34" s="99"/>
      <c r="F34" s="99"/>
      <c r="G34" s="99"/>
      <c r="H34" s="99"/>
      <c r="I34" s="99"/>
      <c r="J34" s="99"/>
      <c r="K34" s="99"/>
      <c r="L34" s="99"/>
      <c r="M34" s="99"/>
      <c r="N34" s="99"/>
      <c r="O34" s="99"/>
      <c r="P34" s="99"/>
      <c r="Q34" s="99"/>
      <c r="R34" s="99"/>
      <c r="S34" s="99"/>
    </row>
    <row r="35" spans="1:19" ht="18" customHeight="1" x14ac:dyDescent="0.15">
      <c r="B35" s="93" t="s">
        <v>54</v>
      </c>
      <c r="C35" s="94"/>
      <c r="D35" s="94"/>
      <c r="E35" s="95"/>
      <c r="F35" s="61" t="s">
        <v>81</v>
      </c>
      <c r="G35" s="60" t="s">
        <v>85</v>
      </c>
      <c r="H35" s="22" t="s">
        <v>72</v>
      </c>
      <c r="I35" s="22" t="s">
        <v>73</v>
      </c>
      <c r="J35" s="93" t="s">
        <v>54</v>
      </c>
      <c r="K35" s="94"/>
      <c r="L35" s="94"/>
      <c r="M35" s="94"/>
      <c r="N35" s="94"/>
      <c r="O35" s="95"/>
      <c r="P35" s="61" t="s">
        <v>81</v>
      </c>
      <c r="Q35" s="60" t="s">
        <v>85</v>
      </c>
      <c r="R35" s="22" t="s">
        <v>72</v>
      </c>
      <c r="S35" s="22" t="s">
        <v>73</v>
      </c>
    </row>
    <row r="36" spans="1:19" ht="18" customHeight="1" x14ac:dyDescent="0.15">
      <c r="B36" s="87" t="s">
        <v>130</v>
      </c>
      <c r="C36" s="88"/>
      <c r="D36" s="88"/>
      <c r="E36" s="89"/>
      <c r="F36" s="23">
        <v>2</v>
      </c>
      <c r="G36" s="23" t="s">
        <v>131</v>
      </c>
      <c r="H36" s="23" t="s">
        <v>131</v>
      </c>
      <c r="I36" s="23" t="s">
        <v>131</v>
      </c>
      <c r="J36" s="87"/>
      <c r="K36" s="88"/>
      <c r="L36" s="88"/>
      <c r="M36" s="88"/>
      <c r="N36" s="88"/>
      <c r="O36" s="89"/>
      <c r="P36" s="23"/>
      <c r="Q36" s="23"/>
      <c r="R36" s="23"/>
      <c r="S36" s="23"/>
    </row>
    <row r="37" spans="1:19" ht="18" customHeight="1" x14ac:dyDescent="0.15">
      <c r="B37" s="90"/>
      <c r="C37" s="91"/>
      <c r="D37" s="91"/>
      <c r="E37" s="92"/>
      <c r="F37" s="24"/>
      <c r="G37" s="24"/>
      <c r="H37" s="24"/>
      <c r="I37" s="24"/>
      <c r="J37" s="90"/>
      <c r="K37" s="91"/>
      <c r="L37" s="91"/>
      <c r="M37" s="91"/>
      <c r="N37" s="91"/>
      <c r="O37" s="92"/>
      <c r="P37" s="24"/>
      <c r="Q37" s="24"/>
      <c r="R37" s="24"/>
      <c r="S37" s="24"/>
    </row>
    <row r="38" spans="1:19" ht="18" customHeight="1" x14ac:dyDescent="0.15">
      <c r="B38" s="90"/>
      <c r="C38" s="91"/>
      <c r="D38" s="91"/>
      <c r="E38" s="92"/>
      <c r="F38" s="24"/>
      <c r="G38" s="24"/>
      <c r="H38" s="24"/>
      <c r="I38" s="24"/>
      <c r="J38" s="90"/>
      <c r="K38" s="91"/>
      <c r="L38" s="91"/>
      <c r="M38" s="91"/>
      <c r="N38" s="91"/>
      <c r="O38" s="92"/>
      <c r="P38" s="24"/>
      <c r="Q38" s="24"/>
      <c r="R38" s="24"/>
      <c r="S38" s="24"/>
    </row>
    <row r="39" spans="1:19" ht="18" customHeight="1" x14ac:dyDescent="0.15">
      <c r="B39" s="90"/>
      <c r="C39" s="91"/>
      <c r="D39" s="91"/>
      <c r="E39" s="92"/>
      <c r="F39" s="24"/>
      <c r="G39" s="24"/>
      <c r="H39" s="24"/>
      <c r="I39" s="24"/>
      <c r="J39" s="90"/>
      <c r="K39" s="91"/>
      <c r="L39" s="91"/>
      <c r="M39" s="91"/>
      <c r="N39" s="91"/>
      <c r="O39" s="92"/>
      <c r="P39" s="24"/>
      <c r="Q39" s="24"/>
      <c r="R39" s="24"/>
      <c r="S39" s="24"/>
    </row>
    <row r="40" spans="1:19" ht="18" customHeight="1" x14ac:dyDescent="0.15">
      <c r="B40" s="90"/>
      <c r="C40" s="91"/>
      <c r="D40" s="91"/>
      <c r="E40" s="92"/>
      <c r="F40" s="24"/>
      <c r="G40" s="24"/>
      <c r="H40" s="24"/>
      <c r="I40" s="24"/>
      <c r="J40" s="90"/>
      <c r="K40" s="91"/>
      <c r="L40" s="91"/>
      <c r="M40" s="91"/>
      <c r="N40" s="91"/>
      <c r="O40" s="92"/>
      <c r="P40" s="24"/>
      <c r="Q40" s="24"/>
      <c r="R40" s="24"/>
      <c r="S40" s="24"/>
    </row>
    <row r="41" spans="1:19" ht="18" customHeight="1" x14ac:dyDescent="0.15">
      <c r="B41" s="90"/>
      <c r="C41" s="91"/>
      <c r="D41" s="91"/>
      <c r="E41" s="92"/>
      <c r="F41" s="24"/>
      <c r="G41" s="24"/>
      <c r="H41" s="24"/>
      <c r="I41" s="24"/>
      <c r="J41" s="90"/>
      <c r="K41" s="91"/>
      <c r="L41" s="91"/>
      <c r="M41" s="91"/>
      <c r="N41" s="91"/>
      <c r="O41" s="92"/>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9" t="s">
        <v>116</v>
      </c>
      <c r="B44" s="99"/>
      <c r="C44" s="99"/>
      <c r="D44" s="99"/>
      <c r="E44" s="99"/>
      <c r="F44" s="99"/>
      <c r="G44" s="99"/>
      <c r="H44" s="99"/>
      <c r="I44" s="99"/>
      <c r="J44" s="99"/>
      <c r="K44" s="99"/>
      <c r="L44" s="99"/>
      <c r="M44" s="99"/>
      <c r="N44" s="99"/>
      <c r="O44" s="99"/>
      <c r="P44" s="99"/>
      <c r="Q44" s="99"/>
      <c r="R44" s="99"/>
      <c r="S44" s="99"/>
    </row>
    <row r="45" spans="1:19" ht="18" customHeight="1" x14ac:dyDescent="0.15">
      <c r="A45" s="99"/>
      <c r="B45" s="99"/>
      <c r="C45" s="99"/>
      <c r="D45" s="99"/>
      <c r="E45" s="99"/>
      <c r="F45" s="99"/>
      <c r="G45" s="99"/>
      <c r="H45" s="99"/>
      <c r="I45" s="99"/>
      <c r="J45" s="99"/>
      <c r="K45" s="99"/>
      <c r="L45" s="99"/>
      <c r="M45" s="99"/>
      <c r="N45" s="99"/>
      <c r="O45" s="99"/>
      <c r="P45" s="99"/>
      <c r="Q45" s="99"/>
      <c r="R45" s="99"/>
      <c r="S45" s="99"/>
    </row>
    <row r="46" spans="1:19" ht="18" customHeight="1" x14ac:dyDescent="0.15">
      <c r="B46" s="93" t="s">
        <v>54</v>
      </c>
      <c r="C46" s="94"/>
      <c r="D46" s="94"/>
      <c r="E46" s="95"/>
      <c r="F46" s="61" t="s">
        <v>81</v>
      </c>
      <c r="G46" s="60" t="s">
        <v>85</v>
      </c>
      <c r="H46" s="22" t="s">
        <v>74</v>
      </c>
      <c r="I46" s="22" t="s">
        <v>75</v>
      </c>
      <c r="J46" s="93" t="s">
        <v>54</v>
      </c>
      <c r="K46" s="94"/>
      <c r="L46" s="94"/>
      <c r="M46" s="94"/>
      <c r="N46" s="94"/>
      <c r="O46" s="95"/>
      <c r="P46" s="61" t="s">
        <v>81</v>
      </c>
      <c r="Q46" s="60" t="s">
        <v>85</v>
      </c>
      <c r="R46" s="22" t="s">
        <v>74</v>
      </c>
      <c r="S46" s="22" t="s">
        <v>75</v>
      </c>
    </row>
    <row r="47" spans="1:19" ht="18" customHeight="1" x14ac:dyDescent="0.15">
      <c r="A47" s="3"/>
      <c r="B47" s="87" t="s">
        <v>130</v>
      </c>
      <c r="C47" s="88"/>
      <c r="D47" s="88"/>
      <c r="E47" s="89"/>
      <c r="F47" s="23">
        <v>2</v>
      </c>
      <c r="G47" s="23" t="s">
        <v>131</v>
      </c>
      <c r="H47" s="23" t="s">
        <v>131</v>
      </c>
      <c r="I47" s="23" t="s">
        <v>131</v>
      </c>
      <c r="J47" s="87"/>
      <c r="K47" s="88"/>
      <c r="L47" s="88"/>
      <c r="M47" s="88"/>
      <c r="N47" s="88"/>
      <c r="O47" s="89"/>
      <c r="P47" s="23"/>
      <c r="Q47" s="23"/>
      <c r="R47" s="23"/>
      <c r="S47" s="23"/>
    </row>
    <row r="48" spans="1:19" ht="18" customHeight="1" x14ac:dyDescent="0.15">
      <c r="A48" s="3"/>
      <c r="B48" s="90"/>
      <c r="C48" s="91"/>
      <c r="D48" s="91"/>
      <c r="E48" s="92"/>
      <c r="F48" s="24"/>
      <c r="G48" s="24"/>
      <c r="H48" s="24"/>
      <c r="I48" s="24"/>
      <c r="J48" s="90"/>
      <c r="K48" s="91"/>
      <c r="L48" s="91"/>
      <c r="M48" s="91"/>
      <c r="N48" s="91"/>
      <c r="O48" s="92"/>
      <c r="P48" s="24"/>
      <c r="Q48" s="24"/>
      <c r="R48" s="24"/>
      <c r="S48" s="24"/>
    </row>
    <row r="49" spans="1:19" ht="18" customHeight="1" x14ac:dyDescent="0.15">
      <c r="A49" s="3"/>
      <c r="B49" s="90"/>
      <c r="C49" s="91"/>
      <c r="D49" s="91"/>
      <c r="E49" s="92"/>
      <c r="F49" s="24"/>
      <c r="G49" s="24"/>
      <c r="H49" s="24"/>
      <c r="I49" s="24"/>
      <c r="J49" s="90"/>
      <c r="K49" s="91"/>
      <c r="L49" s="91"/>
      <c r="M49" s="91"/>
      <c r="N49" s="91"/>
      <c r="O49" s="92"/>
      <c r="P49" s="24"/>
      <c r="Q49" s="24"/>
      <c r="R49" s="24"/>
      <c r="S49" s="24"/>
    </row>
    <row r="50" spans="1:19" ht="18" customHeight="1" x14ac:dyDescent="0.15">
      <c r="A50" s="3"/>
      <c r="B50" s="90"/>
      <c r="C50" s="91"/>
      <c r="D50" s="91"/>
      <c r="E50" s="92"/>
      <c r="F50" s="24"/>
      <c r="G50" s="24"/>
      <c r="H50" s="24"/>
      <c r="I50" s="24"/>
      <c r="J50" s="90"/>
      <c r="K50" s="91"/>
      <c r="L50" s="91"/>
      <c r="M50" s="91"/>
      <c r="N50" s="91"/>
      <c r="O50" s="92"/>
      <c r="P50" s="24"/>
      <c r="Q50" s="24"/>
      <c r="R50" s="24"/>
      <c r="S50" s="24"/>
    </row>
    <row r="51" spans="1:19" ht="18" customHeight="1" x14ac:dyDescent="0.15">
      <c r="A51" s="3"/>
      <c r="B51" s="90"/>
      <c r="C51" s="91"/>
      <c r="D51" s="91"/>
      <c r="E51" s="92"/>
      <c r="F51" s="24"/>
      <c r="G51" s="24"/>
      <c r="H51" s="24"/>
      <c r="I51" s="24"/>
      <c r="J51" s="90"/>
      <c r="K51" s="91"/>
      <c r="L51" s="91"/>
      <c r="M51" s="91"/>
      <c r="N51" s="91"/>
      <c r="O51" s="92"/>
      <c r="P51" s="24"/>
      <c r="Q51" s="24"/>
      <c r="R51" s="24"/>
      <c r="S51" s="24"/>
    </row>
    <row r="52" spans="1:19" ht="18" customHeight="1" x14ac:dyDescent="0.15">
      <c r="A52" s="3"/>
      <c r="B52" s="90"/>
      <c r="C52" s="91"/>
      <c r="D52" s="91"/>
      <c r="E52" s="92"/>
      <c r="F52" s="24"/>
      <c r="G52" s="24"/>
      <c r="H52" s="24"/>
      <c r="I52" s="24"/>
      <c r="J52" s="90"/>
      <c r="K52" s="91"/>
      <c r="L52" s="91"/>
      <c r="M52" s="91"/>
      <c r="N52" s="91"/>
      <c r="O52" s="92"/>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9" t="s">
        <v>117</v>
      </c>
      <c r="B55" s="99"/>
      <c r="C55" s="99"/>
      <c r="D55" s="99"/>
      <c r="E55" s="99"/>
      <c r="F55" s="99"/>
      <c r="G55" s="99"/>
      <c r="H55" s="99"/>
      <c r="I55" s="99"/>
      <c r="J55" s="99"/>
      <c r="K55" s="99"/>
      <c r="L55" s="99"/>
      <c r="M55" s="99"/>
      <c r="N55" s="99"/>
      <c r="O55" s="99"/>
      <c r="P55" s="99"/>
      <c r="Q55" s="99"/>
      <c r="R55" s="99"/>
      <c r="S55" s="99"/>
    </row>
    <row r="56" spans="1:19" ht="18" customHeight="1" x14ac:dyDescent="0.15">
      <c r="A56" s="99"/>
      <c r="B56" s="99"/>
      <c r="C56" s="99"/>
      <c r="D56" s="99"/>
      <c r="E56" s="99"/>
      <c r="F56" s="99"/>
      <c r="G56" s="99"/>
      <c r="H56" s="99"/>
      <c r="I56" s="99"/>
      <c r="J56" s="99"/>
      <c r="K56" s="99"/>
      <c r="L56" s="99"/>
      <c r="M56" s="99"/>
      <c r="N56" s="99"/>
      <c r="O56" s="99"/>
      <c r="P56" s="99"/>
      <c r="Q56" s="99"/>
      <c r="R56" s="99"/>
      <c r="S56" s="99"/>
    </row>
    <row r="57" spans="1:19" ht="18" customHeight="1" x14ac:dyDescent="0.15">
      <c r="B57" s="93" t="s">
        <v>54</v>
      </c>
      <c r="C57" s="94"/>
      <c r="D57" s="94"/>
      <c r="E57" s="95"/>
      <c r="F57" s="61" t="s">
        <v>81</v>
      </c>
      <c r="G57" s="60" t="s">
        <v>85</v>
      </c>
      <c r="H57" s="22" t="s">
        <v>59</v>
      </c>
      <c r="I57" s="22" t="s">
        <v>61</v>
      </c>
      <c r="J57" s="93" t="s">
        <v>54</v>
      </c>
      <c r="K57" s="94"/>
      <c r="L57" s="94"/>
      <c r="M57" s="94"/>
      <c r="N57" s="94"/>
      <c r="O57" s="95"/>
      <c r="P57" s="61" t="s">
        <v>81</v>
      </c>
      <c r="Q57" s="60" t="s">
        <v>85</v>
      </c>
      <c r="R57" s="22" t="s">
        <v>59</v>
      </c>
      <c r="S57" s="22" t="s">
        <v>61</v>
      </c>
    </row>
    <row r="58" spans="1:19" ht="18" customHeight="1" x14ac:dyDescent="0.15">
      <c r="A58" s="3"/>
      <c r="B58" s="87" t="s">
        <v>130</v>
      </c>
      <c r="C58" s="88"/>
      <c r="D58" s="88"/>
      <c r="E58" s="89"/>
      <c r="F58" s="23">
        <v>2</v>
      </c>
      <c r="G58" s="23" t="s">
        <v>131</v>
      </c>
      <c r="H58" s="23" t="s">
        <v>131</v>
      </c>
      <c r="I58" s="23" t="s">
        <v>131</v>
      </c>
      <c r="J58" s="87"/>
      <c r="K58" s="88"/>
      <c r="L58" s="88"/>
      <c r="M58" s="88"/>
      <c r="N58" s="88"/>
      <c r="O58" s="89"/>
      <c r="P58" s="23"/>
      <c r="Q58" s="23"/>
      <c r="R58" s="23"/>
      <c r="S58" s="23"/>
    </row>
    <row r="59" spans="1:19" ht="18" customHeight="1" x14ac:dyDescent="0.15">
      <c r="A59" s="3"/>
      <c r="B59" s="90"/>
      <c r="C59" s="91"/>
      <c r="D59" s="91"/>
      <c r="E59" s="92"/>
      <c r="F59" s="24"/>
      <c r="G59" s="24"/>
      <c r="H59" s="24"/>
      <c r="I59" s="24"/>
      <c r="J59" s="90"/>
      <c r="K59" s="91"/>
      <c r="L59" s="91"/>
      <c r="M59" s="91"/>
      <c r="N59" s="91"/>
      <c r="O59" s="92"/>
      <c r="P59" s="24"/>
      <c r="Q59" s="24"/>
      <c r="R59" s="24"/>
      <c r="S59" s="24"/>
    </row>
    <row r="60" spans="1:19" ht="18" customHeight="1" x14ac:dyDescent="0.15">
      <c r="A60" s="3"/>
      <c r="B60" s="90"/>
      <c r="C60" s="91"/>
      <c r="D60" s="91"/>
      <c r="E60" s="92"/>
      <c r="F60" s="24"/>
      <c r="G60" s="24"/>
      <c r="H60" s="24"/>
      <c r="I60" s="24"/>
      <c r="J60" s="90"/>
      <c r="K60" s="91"/>
      <c r="L60" s="91"/>
      <c r="M60" s="91"/>
      <c r="N60" s="91"/>
      <c r="O60" s="92"/>
      <c r="P60" s="24"/>
      <c r="Q60" s="24"/>
      <c r="R60" s="24"/>
      <c r="S60" s="24"/>
    </row>
    <row r="61" spans="1:19" ht="18" customHeight="1" x14ac:dyDescent="0.15">
      <c r="A61" s="3"/>
      <c r="B61" s="90"/>
      <c r="C61" s="91"/>
      <c r="D61" s="91"/>
      <c r="E61" s="92"/>
      <c r="F61" s="24"/>
      <c r="G61" s="24"/>
      <c r="H61" s="24"/>
      <c r="I61" s="24"/>
      <c r="J61" s="90"/>
      <c r="K61" s="91"/>
      <c r="L61" s="91"/>
      <c r="M61" s="91"/>
      <c r="N61" s="91"/>
      <c r="O61" s="92"/>
      <c r="P61" s="24"/>
      <c r="Q61" s="24"/>
      <c r="R61" s="24"/>
      <c r="S61" s="24"/>
    </row>
    <row r="62" spans="1:19" ht="18" customHeight="1" x14ac:dyDescent="0.15">
      <c r="A62" s="3"/>
      <c r="B62" s="90"/>
      <c r="C62" s="91"/>
      <c r="D62" s="91"/>
      <c r="E62" s="92"/>
      <c r="F62" s="24"/>
      <c r="G62" s="24"/>
      <c r="H62" s="24"/>
      <c r="I62" s="24"/>
      <c r="J62" s="90"/>
      <c r="K62" s="91"/>
      <c r="L62" s="91"/>
      <c r="M62" s="91"/>
      <c r="N62" s="91"/>
      <c r="O62" s="92"/>
      <c r="P62" s="24"/>
      <c r="Q62" s="24"/>
      <c r="R62" s="24"/>
      <c r="S62" s="24"/>
    </row>
    <row r="63" spans="1:19" ht="18" customHeight="1" x14ac:dyDescent="0.15">
      <c r="A63" s="3"/>
      <c r="B63" s="90"/>
      <c r="C63" s="91"/>
      <c r="D63" s="91"/>
      <c r="E63" s="92"/>
      <c r="F63" s="24"/>
      <c r="G63" s="24"/>
      <c r="H63" s="24"/>
      <c r="I63" s="24"/>
      <c r="J63" s="90"/>
      <c r="K63" s="91"/>
      <c r="L63" s="91"/>
      <c r="M63" s="91"/>
      <c r="N63" s="91"/>
      <c r="O63" s="92"/>
      <c r="P63" s="24"/>
      <c r="Q63" s="24"/>
      <c r="R63" s="24"/>
      <c r="S63" s="24"/>
    </row>
    <row r="64" spans="1:19" ht="18" customHeight="1" x14ac:dyDescent="0.15">
      <c r="A64" s="3"/>
      <c r="B64" s="96"/>
      <c r="C64" s="97"/>
      <c r="D64" s="97"/>
      <c r="E64" s="98"/>
      <c r="F64" s="25"/>
      <c r="G64" s="25"/>
      <c r="H64" s="26"/>
      <c r="I64" s="26"/>
      <c r="J64" s="96"/>
      <c r="K64" s="97"/>
      <c r="L64" s="97"/>
      <c r="M64" s="97"/>
      <c r="N64" s="97"/>
      <c r="O64" s="98"/>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9" t="s">
        <v>118</v>
      </c>
      <c r="B66" s="99"/>
      <c r="C66" s="99"/>
      <c r="D66" s="99"/>
      <c r="E66" s="99"/>
      <c r="F66" s="99"/>
      <c r="G66" s="99"/>
      <c r="H66" s="99"/>
      <c r="I66" s="99"/>
      <c r="J66" s="99"/>
      <c r="K66" s="99"/>
      <c r="L66" s="99"/>
      <c r="M66" s="99"/>
      <c r="N66" s="99"/>
      <c r="O66" s="99"/>
      <c r="P66" s="99"/>
      <c r="Q66" s="99"/>
      <c r="R66" s="99"/>
      <c r="S66" s="99"/>
    </row>
    <row r="67" spans="1:19" ht="18" customHeight="1" x14ac:dyDescent="0.15">
      <c r="A67" s="99"/>
      <c r="B67" s="99"/>
      <c r="C67" s="99"/>
      <c r="D67" s="99"/>
      <c r="E67" s="99"/>
      <c r="F67" s="99"/>
      <c r="G67" s="99"/>
      <c r="H67" s="99"/>
      <c r="I67" s="99"/>
      <c r="J67" s="99"/>
      <c r="K67" s="99"/>
      <c r="L67" s="99"/>
      <c r="M67" s="99"/>
      <c r="N67" s="99"/>
      <c r="O67" s="99"/>
      <c r="P67" s="99"/>
      <c r="Q67" s="99"/>
      <c r="R67" s="99"/>
      <c r="S67" s="99"/>
    </row>
    <row r="68" spans="1:19" ht="18" customHeight="1" x14ac:dyDescent="0.15">
      <c r="B68" s="93" t="s">
        <v>54</v>
      </c>
      <c r="C68" s="94"/>
      <c r="D68" s="94"/>
      <c r="E68" s="61" t="s">
        <v>81</v>
      </c>
      <c r="F68" s="60" t="s">
        <v>85</v>
      </c>
      <c r="G68" s="22" t="s">
        <v>102</v>
      </c>
      <c r="H68" s="22" t="s">
        <v>76</v>
      </c>
      <c r="I68" s="22" t="s">
        <v>77</v>
      </c>
      <c r="J68" s="93" t="s">
        <v>54</v>
      </c>
      <c r="K68" s="94"/>
      <c r="L68" s="94"/>
      <c r="M68" s="94"/>
      <c r="N68" s="95"/>
      <c r="O68" s="61" t="s">
        <v>81</v>
      </c>
      <c r="P68" s="60" t="s">
        <v>85</v>
      </c>
      <c r="Q68" s="22" t="s">
        <v>102</v>
      </c>
      <c r="R68" s="22" t="s">
        <v>76</v>
      </c>
      <c r="S68" s="22" t="s">
        <v>77</v>
      </c>
    </row>
    <row r="69" spans="1:19" ht="18" customHeight="1" x14ac:dyDescent="0.15">
      <c r="A69" s="3"/>
      <c r="B69" s="87" t="s">
        <v>130</v>
      </c>
      <c r="C69" s="88"/>
      <c r="D69" s="88"/>
      <c r="E69" s="23">
        <v>2</v>
      </c>
      <c r="F69" s="23" t="s">
        <v>131</v>
      </c>
      <c r="G69" s="23" t="s">
        <v>131</v>
      </c>
      <c r="H69" s="23" t="s">
        <v>131</v>
      </c>
      <c r="I69" s="23" t="s">
        <v>131</v>
      </c>
      <c r="J69" s="87"/>
      <c r="K69" s="88"/>
      <c r="L69" s="88"/>
      <c r="M69" s="88"/>
      <c r="N69" s="89"/>
      <c r="O69" s="23"/>
      <c r="P69" s="23"/>
      <c r="Q69" s="23"/>
      <c r="R69" s="23"/>
      <c r="S69" s="23"/>
    </row>
    <row r="70" spans="1:19" ht="18" customHeight="1" x14ac:dyDescent="0.15">
      <c r="A70" s="3"/>
      <c r="B70" s="90"/>
      <c r="C70" s="91"/>
      <c r="D70" s="91"/>
      <c r="E70" s="24"/>
      <c r="F70" s="24"/>
      <c r="G70" s="24"/>
      <c r="H70" s="24"/>
      <c r="I70" s="24"/>
      <c r="J70" s="90"/>
      <c r="K70" s="91"/>
      <c r="L70" s="91"/>
      <c r="M70" s="91"/>
      <c r="N70" s="92"/>
      <c r="O70" s="24"/>
      <c r="P70" s="24"/>
      <c r="Q70" s="24"/>
      <c r="R70" s="24"/>
      <c r="S70" s="24"/>
    </row>
    <row r="71" spans="1:19" ht="18" customHeight="1" x14ac:dyDescent="0.15">
      <c r="A71" s="3"/>
      <c r="B71" s="90"/>
      <c r="C71" s="91"/>
      <c r="D71" s="91"/>
      <c r="E71" s="24"/>
      <c r="F71" s="24"/>
      <c r="G71" s="24"/>
      <c r="H71" s="24"/>
      <c r="I71" s="24"/>
      <c r="J71" s="90"/>
      <c r="K71" s="91"/>
      <c r="L71" s="91"/>
      <c r="M71" s="91"/>
      <c r="N71" s="92"/>
      <c r="O71" s="24"/>
      <c r="P71" s="24"/>
      <c r="Q71" s="24"/>
      <c r="R71" s="24"/>
      <c r="S71" s="24"/>
    </row>
    <row r="72" spans="1:19" ht="18" customHeight="1" x14ac:dyDescent="0.15">
      <c r="A72" s="3"/>
      <c r="B72" s="90"/>
      <c r="C72" s="91"/>
      <c r="D72" s="91"/>
      <c r="E72" s="24"/>
      <c r="F72" s="24"/>
      <c r="G72" s="24"/>
      <c r="H72" s="24"/>
      <c r="I72" s="24"/>
      <c r="J72" s="90"/>
      <c r="K72" s="91"/>
      <c r="L72" s="91"/>
      <c r="M72" s="91"/>
      <c r="N72" s="92"/>
      <c r="O72" s="24"/>
      <c r="P72" s="24"/>
      <c r="Q72" s="24"/>
      <c r="R72" s="24"/>
      <c r="S72" s="24"/>
    </row>
    <row r="73" spans="1:19" ht="18" customHeight="1" x14ac:dyDescent="0.15">
      <c r="A73" s="3"/>
      <c r="B73" s="90"/>
      <c r="C73" s="91"/>
      <c r="D73" s="91"/>
      <c r="E73" s="24"/>
      <c r="F73" s="24"/>
      <c r="G73" s="24"/>
      <c r="H73" s="24"/>
      <c r="I73" s="24"/>
      <c r="J73" s="90"/>
      <c r="K73" s="91"/>
      <c r="L73" s="91"/>
      <c r="M73" s="91"/>
      <c r="N73" s="92"/>
      <c r="O73" s="24"/>
      <c r="P73" s="24"/>
      <c r="Q73" s="24"/>
      <c r="R73" s="24"/>
      <c r="S73" s="24"/>
    </row>
    <row r="74" spans="1:19" ht="18" customHeight="1" x14ac:dyDescent="0.15">
      <c r="A74" s="3"/>
      <c r="B74" s="90"/>
      <c r="C74" s="91"/>
      <c r="D74" s="91"/>
      <c r="E74" s="24"/>
      <c r="F74" s="24"/>
      <c r="G74" s="24"/>
      <c r="H74" s="24"/>
      <c r="I74" s="24"/>
      <c r="J74" s="90"/>
      <c r="K74" s="91"/>
      <c r="L74" s="91"/>
      <c r="M74" s="91"/>
      <c r="N74" s="92"/>
      <c r="O74" s="24"/>
      <c r="P74" s="24"/>
      <c r="Q74" s="24"/>
      <c r="R74" s="24"/>
      <c r="S74" s="24"/>
    </row>
    <row r="75" spans="1:19" ht="18" customHeight="1" x14ac:dyDescent="0.15">
      <c r="A75" s="3"/>
      <c r="B75" s="96"/>
      <c r="C75" s="97"/>
      <c r="D75" s="97"/>
      <c r="E75" s="25"/>
      <c r="F75" s="25"/>
      <c r="G75" s="26"/>
      <c r="H75" s="26"/>
      <c r="I75" s="26"/>
      <c r="J75" s="96"/>
      <c r="K75" s="97"/>
      <c r="L75" s="97"/>
      <c r="M75" s="97"/>
      <c r="N75" s="98"/>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3" t="s">
        <v>54</v>
      </c>
      <c r="C78" s="94"/>
      <c r="D78" s="94"/>
      <c r="E78" s="95"/>
      <c r="F78" s="93" t="s">
        <v>83</v>
      </c>
      <c r="G78" s="94"/>
      <c r="H78" s="94"/>
      <c r="I78" s="95"/>
      <c r="J78" s="111" t="s">
        <v>54</v>
      </c>
      <c r="K78" s="112"/>
      <c r="L78" s="112"/>
      <c r="M78" s="112"/>
      <c r="N78" s="112"/>
      <c r="O78" s="113"/>
      <c r="P78" s="93" t="s">
        <v>83</v>
      </c>
      <c r="Q78" s="94"/>
      <c r="R78" s="94"/>
      <c r="S78" s="95"/>
    </row>
    <row r="79" spans="1:19" ht="18" customHeight="1" x14ac:dyDescent="0.15">
      <c r="A79" s="3"/>
      <c r="B79" s="87"/>
      <c r="C79" s="88"/>
      <c r="D79" s="88"/>
      <c r="E79" s="89"/>
      <c r="F79" s="105"/>
      <c r="G79" s="106"/>
      <c r="H79" s="106"/>
      <c r="I79" s="107"/>
      <c r="J79" s="87"/>
      <c r="K79" s="88"/>
      <c r="L79" s="88"/>
      <c r="M79" s="88"/>
      <c r="N79" s="88"/>
      <c r="O79" s="89"/>
      <c r="P79" s="105"/>
      <c r="Q79" s="106"/>
      <c r="R79" s="106"/>
      <c r="S79" s="107"/>
    </row>
    <row r="80" spans="1:19" ht="18" customHeight="1" x14ac:dyDescent="0.15">
      <c r="A80" s="3"/>
      <c r="B80" s="90"/>
      <c r="C80" s="91"/>
      <c r="D80" s="91"/>
      <c r="E80" s="92"/>
      <c r="F80" s="108"/>
      <c r="G80" s="109"/>
      <c r="H80" s="109"/>
      <c r="I80" s="110"/>
      <c r="J80" s="90"/>
      <c r="K80" s="91"/>
      <c r="L80" s="91"/>
      <c r="M80" s="91"/>
      <c r="N80" s="91"/>
      <c r="O80" s="92"/>
      <c r="P80" s="108"/>
      <c r="Q80" s="109"/>
      <c r="R80" s="109"/>
      <c r="S80" s="110"/>
    </row>
    <row r="81" spans="1:19" ht="18" customHeight="1" x14ac:dyDescent="0.15">
      <c r="A81" s="3"/>
      <c r="B81" s="90"/>
      <c r="C81" s="91"/>
      <c r="D81" s="91"/>
      <c r="E81" s="92"/>
      <c r="F81" s="108"/>
      <c r="G81" s="109"/>
      <c r="H81" s="109"/>
      <c r="I81" s="110"/>
      <c r="J81" s="90"/>
      <c r="K81" s="91"/>
      <c r="L81" s="91"/>
      <c r="M81" s="91"/>
      <c r="N81" s="91"/>
      <c r="O81" s="92"/>
      <c r="P81" s="108"/>
      <c r="Q81" s="109"/>
      <c r="R81" s="109"/>
      <c r="S81" s="110"/>
    </row>
    <row r="82" spans="1:19" ht="18" customHeight="1" x14ac:dyDescent="0.15">
      <c r="A82" s="3"/>
      <c r="B82" s="90"/>
      <c r="C82" s="91"/>
      <c r="D82" s="91"/>
      <c r="E82" s="92"/>
      <c r="F82" s="108"/>
      <c r="G82" s="109"/>
      <c r="H82" s="109"/>
      <c r="I82" s="110"/>
      <c r="J82" s="90"/>
      <c r="K82" s="91"/>
      <c r="L82" s="91"/>
      <c r="M82" s="91"/>
      <c r="N82" s="91"/>
      <c r="O82" s="92"/>
      <c r="P82" s="108"/>
      <c r="Q82" s="109"/>
      <c r="R82" s="109"/>
      <c r="S82" s="110"/>
    </row>
    <row r="83" spans="1:19" ht="18" customHeight="1" x14ac:dyDescent="0.15">
      <c r="A83" s="3"/>
      <c r="B83" s="90"/>
      <c r="C83" s="91"/>
      <c r="D83" s="91"/>
      <c r="E83" s="92"/>
      <c r="F83" s="108"/>
      <c r="G83" s="109"/>
      <c r="H83" s="109"/>
      <c r="I83" s="110"/>
      <c r="J83" s="90"/>
      <c r="K83" s="91"/>
      <c r="L83" s="91"/>
      <c r="M83" s="91"/>
      <c r="N83" s="91"/>
      <c r="O83" s="92"/>
      <c r="P83" s="108"/>
      <c r="Q83" s="109"/>
      <c r="R83" s="109"/>
      <c r="S83" s="110"/>
    </row>
    <row r="84" spans="1:19" ht="18" customHeight="1" x14ac:dyDescent="0.15">
      <c r="A84" s="3"/>
      <c r="B84" s="90"/>
      <c r="C84" s="91"/>
      <c r="D84" s="91"/>
      <c r="E84" s="92"/>
      <c r="F84" s="108"/>
      <c r="G84" s="109"/>
      <c r="H84" s="109"/>
      <c r="I84" s="110"/>
      <c r="J84" s="90"/>
      <c r="K84" s="91"/>
      <c r="L84" s="91"/>
      <c r="M84" s="91"/>
      <c r="N84" s="91"/>
      <c r="O84" s="92"/>
      <c r="P84" s="108"/>
      <c r="Q84" s="109"/>
      <c r="R84" s="109"/>
      <c r="S84" s="110"/>
    </row>
    <row r="85" spans="1:19" ht="18" customHeight="1" x14ac:dyDescent="0.15">
      <c r="A85" s="3"/>
      <c r="B85" s="96"/>
      <c r="C85" s="97"/>
      <c r="D85" s="97"/>
      <c r="E85" s="98"/>
      <c r="F85" s="117"/>
      <c r="G85" s="118"/>
      <c r="H85" s="118"/>
      <c r="I85" s="119"/>
      <c r="J85" s="96"/>
      <c r="K85" s="97"/>
      <c r="L85" s="97"/>
      <c r="M85" s="97"/>
      <c r="N85" s="97"/>
      <c r="O85" s="98"/>
      <c r="P85" s="117"/>
      <c r="Q85" s="118"/>
      <c r="R85" s="118"/>
      <c r="S85" s="119"/>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3" t="s">
        <v>55</v>
      </c>
      <c r="C88" s="104"/>
      <c r="D88" s="94" t="s">
        <v>56</v>
      </c>
      <c r="E88" s="94"/>
      <c r="F88" s="94"/>
      <c r="G88" s="94"/>
      <c r="H88" s="94"/>
      <c r="I88" s="94"/>
      <c r="J88" s="94"/>
      <c r="K88" s="94"/>
      <c r="L88" s="94"/>
      <c r="M88" s="94"/>
      <c r="N88" s="94"/>
      <c r="O88" s="94"/>
      <c r="P88" s="94"/>
      <c r="Q88" s="94"/>
      <c r="R88" s="94"/>
      <c r="S88" s="95"/>
    </row>
    <row r="89" spans="1:19" ht="97.5" customHeight="1" x14ac:dyDescent="0.15">
      <c r="B89" s="100" t="s">
        <v>62</v>
      </c>
      <c r="C89" s="28" t="s">
        <v>57</v>
      </c>
      <c r="D89" s="241" t="s">
        <v>157</v>
      </c>
      <c r="E89" s="242"/>
      <c r="F89" s="242"/>
      <c r="G89" s="242"/>
      <c r="H89" s="242"/>
      <c r="I89" s="242"/>
      <c r="J89" s="242"/>
      <c r="K89" s="242"/>
      <c r="L89" s="242"/>
      <c r="M89" s="242"/>
      <c r="N89" s="242"/>
      <c r="O89" s="242"/>
      <c r="P89" s="242"/>
      <c r="Q89" s="242"/>
      <c r="R89" s="242"/>
      <c r="S89" s="243"/>
    </row>
    <row r="90" spans="1:19" ht="97.5" customHeight="1" x14ac:dyDescent="0.15">
      <c r="B90" s="101"/>
      <c r="C90" s="29" t="s">
        <v>78</v>
      </c>
      <c r="D90" s="247" t="s">
        <v>162</v>
      </c>
      <c r="E90" s="248"/>
      <c r="F90" s="248"/>
      <c r="G90" s="248"/>
      <c r="H90" s="248"/>
      <c r="I90" s="248"/>
      <c r="J90" s="248"/>
      <c r="K90" s="248"/>
      <c r="L90" s="248"/>
      <c r="M90" s="248"/>
      <c r="N90" s="248"/>
      <c r="O90" s="248"/>
      <c r="P90" s="248"/>
      <c r="Q90" s="248"/>
      <c r="R90" s="248"/>
      <c r="S90" s="249"/>
    </row>
    <row r="91" spans="1:19" ht="97.5" customHeight="1" x14ac:dyDescent="0.15">
      <c r="B91" s="100" t="s">
        <v>63</v>
      </c>
      <c r="C91" s="30" t="s">
        <v>72</v>
      </c>
      <c r="D91" s="250" t="s">
        <v>158</v>
      </c>
      <c r="E91" s="251"/>
      <c r="F91" s="251"/>
      <c r="G91" s="251"/>
      <c r="H91" s="251"/>
      <c r="I91" s="251"/>
      <c r="J91" s="251"/>
      <c r="K91" s="251"/>
      <c r="L91" s="251"/>
      <c r="M91" s="251"/>
      <c r="N91" s="251"/>
      <c r="O91" s="251"/>
      <c r="P91" s="251"/>
      <c r="Q91" s="251"/>
      <c r="R91" s="251"/>
      <c r="S91" s="252"/>
    </row>
    <row r="92" spans="1:19" ht="97.5" customHeight="1" x14ac:dyDescent="0.15">
      <c r="B92" s="102"/>
      <c r="C92" s="31" t="s">
        <v>73</v>
      </c>
      <c r="D92" s="253" t="s">
        <v>159</v>
      </c>
      <c r="E92" s="254"/>
      <c r="F92" s="254"/>
      <c r="G92" s="254"/>
      <c r="H92" s="254"/>
      <c r="I92" s="254"/>
      <c r="J92" s="254"/>
      <c r="K92" s="254"/>
      <c r="L92" s="254"/>
      <c r="M92" s="254"/>
      <c r="N92" s="254"/>
      <c r="O92" s="254"/>
      <c r="P92" s="254"/>
      <c r="Q92" s="254"/>
      <c r="R92" s="254"/>
      <c r="S92" s="255"/>
    </row>
    <row r="93" spans="1:19" ht="97.5" customHeight="1" x14ac:dyDescent="0.15">
      <c r="B93" s="100" t="s">
        <v>64</v>
      </c>
      <c r="C93" s="30" t="s">
        <v>74</v>
      </c>
      <c r="D93" s="250" t="s">
        <v>160</v>
      </c>
      <c r="E93" s="251"/>
      <c r="F93" s="251"/>
      <c r="G93" s="251"/>
      <c r="H93" s="251"/>
      <c r="I93" s="251"/>
      <c r="J93" s="251"/>
      <c r="K93" s="251"/>
      <c r="L93" s="251"/>
      <c r="M93" s="251"/>
      <c r="N93" s="251"/>
      <c r="O93" s="251"/>
      <c r="P93" s="251"/>
      <c r="Q93" s="251"/>
      <c r="R93" s="251"/>
      <c r="S93" s="252"/>
    </row>
    <row r="94" spans="1:19" ht="97.5" customHeight="1" x14ac:dyDescent="0.15">
      <c r="B94" s="102"/>
      <c r="C94" s="32" t="s">
        <v>75</v>
      </c>
      <c r="D94" s="256" t="s">
        <v>161</v>
      </c>
      <c r="E94" s="257"/>
      <c r="F94" s="257"/>
      <c r="G94" s="257"/>
      <c r="H94" s="257"/>
      <c r="I94" s="257"/>
      <c r="J94" s="257"/>
      <c r="K94" s="257"/>
      <c r="L94" s="257"/>
      <c r="M94" s="257"/>
      <c r="N94" s="257"/>
      <c r="O94" s="257"/>
      <c r="P94" s="257"/>
      <c r="Q94" s="257"/>
      <c r="R94" s="257"/>
      <c r="S94" s="258"/>
    </row>
    <row r="95" spans="1:19" ht="97.5" customHeight="1" x14ac:dyDescent="0.15">
      <c r="B95" s="100" t="s">
        <v>79</v>
      </c>
      <c r="C95" s="28" t="s">
        <v>59</v>
      </c>
      <c r="D95" s="244" t="s">
        <v>163</v>
      </c>
      <c r="E95" s="245"/>
      <c r="F95" s="245"/>
      <c r="G95" s="245"/>
      <c r="H95" s="245"/>
      <c r="I95" s="245"/>
      <c r="J95" s="245"/>
      <c r="K95" s="245"/>
      <c r="L95" s="245"/>
      <c r="M95" s="245"/>
      <c r="N95" s="245"/>
      <c r="O95" s="245"/>
      <c r="P95" s="245"/>
      <c r="Q95" s="245"/>
      <c r="R95" s="245"/>
      <c r="S95" s="246"/>
    </row>
    <row r="96" spans="1:19" ht="97.5" customHeight="1" x14ac:dyDescent="0.15">
      <c r="B96" s="102"/>
      <c r="C96" s="31" t="s">
        <v>61</v>
      </c>
      <c r="D96" s="253" t="s">
        <v>164</v>
      </c>
      <c r="E96" s="254"/>
      <c r="F96" s="254"/>
      <c r="G96" s="254"/>
      <c r="H96" s="254"/>
      <c r="I96" s="254"/>
      <c r="J96" s="254"/>
      <c r="K96" s="254"/>
      <c r="L96" s="254"/>
      <c r="M96" s="254"/>
      <c r="N96" s="254"/>
      <c r="O96" s="254"/>
      <c r="P96" s="254"/>
      <c r="Q96" s="254"/>
      <c r="R96" s="254"/>
      <c r="S96" s="255"/>
    </row>
    <row r="97" spans="1:19" ht="97.5" customHeight="1" x14ac:dyDescent="0.15">
      <c r="B97" s="100" t="s">
        <v>80</v>
      </c>
      <c r="C97" s="30" t="s">
        <v>58</v>
      </c>
      <c r="D97" s="259" t="s">
        <v>165</v>
      </c>
      <c r="E97" s="260"/>
      <c r="F97" s="260"/>
      <c r="G97" s="260"/>
      <c r="H97" s="260"/>
      <c r="I97" s="260"/>
      <c r="J97" s="260"/>
      <c r="K97" s="260"/>
      <c r="L97" s="260"/>
      <c r="M97" s="260"/>
      <c r="N97" s="260"/>
      <c r="O97" s="260"/>
      <c r="P97" s="260"/>
      <c r="Q97" s="260"/>
      <c r="R97" s="260"/>
      <c r="S97" s="261"/>
    </row>
    <row r="98" spans="1:19" ht="97.5" customHeight="1" x14ac:dyDescent="0.15">
      <c r="B98" s="101"/>
      <c r="C98" s="33" t="s">
        <v>76</v>
      </c>
      <c r="D98" s="262" t="s">
        <v>166</v>
      </c>
      <c r="E98" s="263"/>
      <c r="F98" s="263"/>
      <c r="G98" s="263"/>
      <c r="H98" s="263"/>
      <c r="I98" s="263"/>
      <c r="J98" s="263"/>
      <c r="K98" s="263"/>
      <c r="L98" s="263"/>
      <c r="M98" s="263"/>
      <c r="N98" s="263"/>
      <c r="O98" s="263"/>
      <c r="P98" s="263"/>
      <c r="Q98" s="263"/>
      <c r="R98" s="263"/>
      <c r="S98" s="264"/>
    </row>
    <row r="99" spans="1:19" ht="97.5" customHeight="1" x14ac:dyDescent="0.15">
      <c r="B99" s="102"/>
      <c r="C99" s="32" t="s">
        <v>77</v>
      </c>
      <c r="D99" s="265" t="s">
        <v>167</v>
      </c>
      <c r="E99" s="266"/>
      <c r="F99" s="266"/>
      <c r="G99" s="266"/>
      <c r="H99" s="266"/>
      <c r="I99" s="266"/>
      <c r="J99" s="266"/>
      <c r="K99" s="266"/>
      <c r="L99" s="266"/>
      <c r="M99" s="266"/>
      <c r="N99" s="266"/>
      <c r="O99" s="266"/>
      <c r="P99" s="266"/>
      <c r="Q99" s="266"/>
      <c r="R99" s="266"/>
      <c r="S99" s="267"/>
    </row>
    <row r="100" spans="1:19" ht="6" customHeight="1" x14ac:dyDescent="0.15"/>
    <row r="101" spans="1:19" ht="18.75" customHeight="1" x14ac:dyDescent="0.15">
      <c r="A101" s="1" t="s">
        <v>121</v>
      </c>
    </row>
    <row r="102" spans="1:19" ht="81.75" customHeight="1" x14ac:dyDescent="0.15">
      <c r="B102" s="114" t="s">
        <v>141</v>
      </c>
      <c r="C102" s="115"/>
      <c r="D102" s="115"/>
      <c r="E102" s="115"/>
      <c r="F102" s="115"/>
      <c r="G102" s="115"/>
      <c r="H102" s="115"/>
      <c r="I102" s="115"/>
      <c r="J102" s="115"/>
      <c r="K102" s="115"/>
      <c r="L102" s="115"/>
      <c r="M102" s="115"/>
      <c r="N102" s="115"/>
      <c r="O102" s="115"/>
      <c r="P102" s="115"/>
      <c r="Q102" s="115"/>
      <c r="R102" s="115"/>
      <c r="S102" s="116"/>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85" zoomScaleNormal="100" zoomScaleSheetLayoutView="85" workbookViewId="0">
      <selection activeCell="I13" sqref="I1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46" t="str">
        <f>'様式１　プログラムを構成する授業科目'!C2</f>
        <v>大阪女学院大学</v>
      </c>
      <c r="AN2" s="146"/>
      <c r="AO2" s="146"/>
      <c r="AP2" s="146"/>
      <c r="AQ2" s="146"/>
    </row>
    <row r="3" spans="1:45" ht="18" customHeight="1" x14ac:dyDescent="0.15">
      <c r="A3" s="124" t="s">
        <v>48</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7" t="s">
        <v>132</v>
      </c>
      <c r="D5" s="14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49" t="s">
        <v>45</v>
      </c>
      <c r="C9" s="164" t="s">
        <v>87</v>
      </c>
      <c r="D9" s="152" t="s">
        <v>47</v>
      </c>
      <c r="E9" s="155" t="s">
        <v>40</v>
      </c>
      <c r="F9" s="143" t="s">
        <v>86</v>
      </c>
      <c r="G9" s="143"/>
      <c r="H9" s="143"/>
      <c r="I9" s="143"/>
      <c r="J9" s="143"/>
      <c r="K9" s="143"/>
      <c r="L9" s="143" t="s">
        <v>49</v>
      </c>
      <c r="M9" s="143"/>
      <c r="N9" s="143"/>
      <c r="O9" s="143"/>
      <c r="P9" s="143"/>
      <c r="Q9" s="143"/>
      <c r="R9" s="143" t="s">
        <v>50</v>
      </c>
      <c r="S9" s="143"/>
      <c r="T9" s="143"/>
      <c r="U9" s="143"/>
      <c r="V9" s="143"/>
      <c r="W9" s="143"/>
      <c r="X9" s="143" t="s">
        <v>101</v>
      </c>
      <c r="Y9" s="143"/>
      <c r="Z9" s="143"/>
      <c r="AA9" s="143"/>
      <c r="AB9" s="143"/>
      <c r="AC9" s="143"/>
      <c r="AD9" s="143" t="s">
        <v>51</v>
      </c>
      <c r="AE9" s="143"/>
      <c r="AF9" s="143"/>
      <c r="AG9" s="143"/>
      <c r="AH9" s="143"/>
      <c r="AI9" s="143"/>
      <c r="AJ9" s="143" t="s">
        <v>52</v>
      </c>
      <c r="AK9" s="143"/>
      <c r="AL9" s="143"/>
      <c r="AM9" s="143"/>
      <c r="AN9" s="143"/>
      <c r="AO9" s="143"/>
      <c r="AP9" s="158" t="s">
        <v>35</v>
      </c>
      <c r="AQ9" s="161" t="s">
        <v>32</v>
      </c>
      <c r="AS9" s="2"/>
    </row>
    <row r="10" spans="1:45" ht="16.899999999999999" customHeight="1" x14ac:dyDescent="0.15">
      <c r="B10" s="150"/>
      <c r="C10" s="165"/>
      <c r="D10" s="153"/>
      <c r="E10" s="156"/>
      <c r="F10" s="144" t="s">
        <v>97</v>
      </c>
      <c r="G10" s="145"/>
      <c r="H10" s="145"/>
      <c r="I10" s="144" t="s">
        <v>29</v>
      </c>
      <c r="J10" s="145"/>
      <c r="K10" s="145"/>
      <c r="L10" s="144" t="s">
        <v>97</v>
      </c>
      <c r="M10" s="145"/>
      <c r="N10" s="145"/>
      <c r="O10" s="144" t="s">
        <v>29</v>
      </c>
      <c r="P10" s="145"/>
      <c r="Q10" s="145"/>
      <c r="R10" s="144" t="s">
        <v>97</v>
      </c>
      <c r="S10" s="145"/>
      <c r="T10" s="145"/>
      <c r="U10" s="144" t="s">
        <v>29</v>
      </c>
      <c r="V10" s="145"/>
      <c r="W10" s="145"/>
      <c r="X10" s="144" t="s">
        <v>97</v>
      </c>
      <c r="Y10" s="145"/>
      <c r="Z10" s="145"/>
      <c r="AA10" s="144" t="s">
        <v>29</v>
      </c>
      <c r="AB10" s="145"/>
      <c r="AC10" s="145"/>
      <c r="AD10" s="144" t="s">
        <v>97</v>
      </c>
      <c r="AE10" s="145"/>
      <c r="AF10" s="145"/>
      <c r="AG10" s="144" t="s">
        <v>29</v>
      </c>
      <c r="AH10" s="145"/>
      <c r="AI10" s="145"/>
      <c r="AJ10" s="144" t="s">
        <v>97</v>
      </c>
      <c r="AK10" s="145"/>
      <c r="AL10" s="145"/>
      <c r="AM10" s="144" t="s">
        <v>29</v>
      </c>
      <c r="AN10" s="145"/>
      <c r="AO10" s="145"/>
      <c r="AP10" s="159"/>
      <c r="AQ10" s="162"/>
      <c r="AS10" s="2"/>
    </row>
    <row r="11" spans="1:45" ht="18" customHeight="1" x14ac:dyDescent="0.15">
      <c r="B11" s="151"/>
      <c r="C11" s="166"/>
      <c r="D11" s="154"/>
      <c r="E11" s="157"/>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60"/>
      <c r="AQ11" s="163"/>
      <c r="AS11" s="2"/>
    </row>
    <row r="12" spans="1:45" ht="18" customHeight="1" x14ac:dyDescent="0.15">
      <c r="A12" s="6"/>
      <c r="B12" s="11" t="s">
        <v>128</v>
      </c>
      <c r="C12" s="62">
        <v>514</v>
      </c>
      <c r="D12" s="63">
        <v>150</v>
      </c>
      <c r="E12" s="64">
        <v>636</v>
      </c>
      <c r="F12" s="64">
        <f>G12+H12</f>
        <v>82</v>
      </c>
      <c r="G12" s="65">
        <v>0</v>
      </c>
      <c r="H12" s="66">
        <v>82</v>
      </c>
      <c r="I12" s="64">
        <f>J12+K12</f>
        <v>70</v>
      </c>
      <c r="J12" s="65">
        <v>0</v>
      </c>
      <c r="K12" s="66">
        <v>70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82</v>
      </c>
      <c r="AQ12" s="21">
        <f t="shared" ref="AQ12:AQ32" si="0">AP12/E12</f>
        <v>0.12893081761006289</v>
      </c>
    </row>
    <row r="13" spans="1:45" ht="18" customHeight="1" x14ac:dyDescent="0.15">
      <c r="A13" s="6"/>
      <c r="B13" s="12"/>
      <c r="C13" s="67"/>
      <c r="D13" s="68"/>
      <c r="E13" s="69"/>
      <c r="F13" s="70">
        <f t="shared" ref="F13:F31" si="1">G13+H13</f>
        <v>0</v>
      </c>
      <c r="G13" s="71"/>
      <c r="H13" s="72"/>
      <c r="I13" s="70">
        <f t="shared" ref="I13:I31" si="2">J13+K13</f>
        <v>0</v>
      </c>
      <c r="J13" s="71"/>
      <c r="K13" s="72"/>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t="e">
        <f t="shared" si="0"/>
        <v>#DIV/0!</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514</v>
      </c>
      <c r="D32" s="78">
        <f t="shared" ref="D32:AP32" si="15">SUM(D12:D31)</f>
        <v>150</v>
      </c>
      <c r="E32" s="79">
        <f t="shared" si="15"/>
        <v>636</v>
      </c>
      <c r="F32" s="79">
        <f t="shared" si="15"/>
        <v>82</v>
      </c>
      <c r="G32" s="80">
        <f t="shared" si="15"/>
        <v>0</v>
      </c>
      <c r="H32" s="81">
        <f t="shared" si="15"/>
        <v>82</v>
      </c>
      <c r="I32" s="79">
        <f t="shared" ref="I32:N32" si="16">SUM(I12:I31)</f>
        <v>70</v>
      </c>
      <c r="J32" s="80">
        <f t="shared" si="16"/>
        <v>0</v>
      </c>
      <c r="K32" s="81">
        <f t="shared" si="16"/>
        <v>70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82</v>
      </c>
      <c r="AQ32" s="9">
        <f t="shared" si="0"/>
        <v>0.12893081761006289</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H11" sqref="H11:I11"/>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3" t="str">
        <f>'様式１　プログラムを構成する授業科目'!C2</f>
        <v>大阪女学院大学</v>
      </c>
      <c r="I2" s="95"/>
    </row>
    <row r="3" spans="1:9" ht="18.75" customHeight="1" x14ac:dyDescent="0.15">
      <c r="G3" s="35"/>
      <c r="H3" s="10"/>
      <c r="I3" s="10"/>
    </row>
    <row r="4" spans="1:9" ht="18.600000000000001" customHeight="1" x14ac:dyDescent="0.15">
      <c r="A4" s="124" t="s">
        <v>36</v>
      </c>
      <c r="B4" s="124"/>
      <c r="C4" s="124"/>
      <c r="D4" s="124"/>
      <c r="E4" s="124"/>
      <c r="F4" s="124"/>
      <c r="G4" s="124"/>
      <c r="H4" s="124"/>
      <c r="I4" s="124"/>
    </row>
    <row r="5" spans="1:9" ht="13.15" customHeight="1" x14ac:dyDescent="0.15">
      <c r="B5" s="3"/>
      <c r="C5" s="3"/>
      <c r="D5" s="3"/>
      <c r="E5" s="3"/>
      <c r="F5" s="3"/>
      <c r="G5" s="3"/>
      <c r="H5" s="3"/>
      <c r="I5" s="3"/>
    </row>
    <row r="6" spans="1:9" ht="18" customHeight="1" x14ac:dyDescent="0.15">
      <c r="A6" s="1" t="s">
        <v>0</v>
      </c>
      <c r="B6" s="10" t="s">
        <v>91</v>
      </c>
      <c r="C6" s="193" t="s">
        <v>92</v>
      </c>
      <c r="D6" s="193"/>
      <c r="E6" s="34">
        <v>35</v>
      </c>
      <c r="F6" s="3" t="s">
        <v>1</v>
      </c>
      <c r="G6" s="3" t="s">
        <v>2</v>
      </c>
      <c r="H6" s="34">
        <v>60</v>
      </c>
      <c r="I6" s="10" t="s">
        <v>1</v>
      </c>
    </row>
    <row r="7" spans="1:9" ht="12" customHeight="1" x14ac:dyDescent="0.15">
      <c r="C7" s="2"/>
      <c r="D7" s="2"/>
      <c r="E7" s="2"/>
      <c r="F7" s="2"/>
      <c r="G7" s="2"/>
      <c r="H7" s="2"/>
      <c r="I7" s="42"/>
    </row>
    <row r="8" spans="1:9" ht="18" customHeight="1" x14ac:dyDescent="0.15">
      <c r="A8" s="1" t="s">
        <v>3</v>
      </c>
      <c r="B8" s="10" t="s">
        <v>93</v>
      </c>
      <c r="E8" s="3"/>
      <c r="F8" s="3"/>
      <c r="G8" s="3"/>
      <c r="H8" s="34">
        <v>1</v>
      </c>
      <c r="I8" s="10" t="s">
        <v>1</v>
      </c>
    </row>
    <row r="9" spans="1:9" ht="9" customHeight="1" x14ac:dyDescent="0.15">
      <c r="B9" s="3"/>
      <c r="C9" s="3"/>
      <c r="D9" s="3"/>
      <c r="E9" s="3"/>
      <c r="F9" s="3"/>
      <c r="G9" s="3"/>
      <c r="H9" s="3"/>
      <c r="I9" s="3"/>
    </row>
    <row r="10" spans="1:9" ht="18" customHeight="1" x14ac:dyDescent="0.15">
      <c r="A10" s="85" t="s">
        <v>4</v>
      </c>
      <c r="B10" s="10" t="s">
        <v>94</v>
      </c>
      <c r="C10" s="86"/>
      <c r="D10" s="86"/>
      <c r="E10" s="86"/>
      <c r="F10" s="86"/>
      <c r="G10" s="86"/>
      <c r="H10" s="86"/>
      <c r="I10" s="86"/>
    </row>
    <row r="11" spans="1:9" ht="18" customHeight="1" x14ac:dyDescent="0.15">
      <c r="B11" s="83" t="s">
        <v>43</v>
      </c>
      <c r="C11" s="190" t="s">
        <v>133</v>
      </c>
      <c r="D11" s="191"/>
      <c r="E11" s="192"/>
      <c r="F11" s="42"/>
      <c r="G11" s="83" t="s">
        <v>10</v>
      </c>
      <c r="H11" s="190" t="s">
        <v>142</v>
      </c>
      <c r="I11" s="192"/>
    </row>
    <row r="12" spans="1:9" ht="10.15" customHeight="1" x14ac:dyDescent="0.15">
      <c r="B12" s="83"/>
      <c r="C12" s="10"/>
      <c r="D12" s="42"/>
      <c r="E12" s="42"/>
      <c r="F12" s="42"/>
      <c r="G12" s="83"/>
      <c r="H12" s="10"/>
      <c r="I12" s="42"/>
    </row>
    <row r="13" spans="1:9" ht="18" customHeight="1" x14ac:dyDescent="0.15">
      <c r="A13" s="85" t="s">
        <v>7</v>
      </c>
      <c r="B13" s="10" t="s">
        <v>88</v>
      </c>
      <c r="C13" s="86"/>
      <c r="D13" s="86"/>
      <c r="E13" s="86"/>
      <c r="F13" s="86"/>
      <c r="G13" s="86"/>
      <c r="H13" s="86"/>
      <c r="I13" s="86"/>
    </row>
    <row r="14" spans="1:9" ht="18" customHeight="1" x14ac:dyDescent="0.15">
      <c r="B14" s="190" t="s">
        <v>143</v>
      </c>
      <c r="C14" s="191"/>
      <c r="D14" s="191"/>
      <c r="E14" s="191"/>
      <c r="F14" s="191"/>
      <c r="G14" s="191"/>
      <c r="H14" s="191"/>
      <c r="I14" s="192"/>
    </row>
    <row r="15" spans="1:9" ht="9" customHeight="1" x14ac:dyDescent="0.15">
      <c r="B15" s="86"/>
      <c r="C15" s="86"/>
      <c r="D15" s="86"/>
      <c r="E15" s="86"/>
      <c r="F15" s="86"/>
      <c r="G15" s="86"/>
      <c r="H15" s="86"/>
      <c r="I15" s="86"/>
    </row>
    <row r="16" spans="1:9" ht="18" customHeight="1" x14ac:dyDescent="0.15">
      <c r="B16" s="83" t="s">
        <v>43</v>
      </c>
      <c r="C16" s="190" t="s">
        <v>133</v>
      </c>
      <c r="D16" s="191"/>
      <c r="E16" s="192"/>
      <c r="F16" s="42"/>
      <c r="G16" s="83" t="s">
        <v>10</v>
      </c>
      <c r="H16" s="190" t="s">
        <v>142</v>
      </c>
      <c r="I16" s="192"/>
    </row>
    <row r="17" spans="1:9" ht="18" customHeight="1" x14ac:dyDescent="0.15">
      <c r="B17" s="86"/>
      <c r="C17" s="86"/>
      <c r="D17" s="86"/>
      <c r="E17" s="86"/>
      <c r="F17" s="86"/>
      <c r="G17" s="86"/>
      <c r="H17" s="86"/>
      <c r="I17" s="86"/>
    </row>
    <row r="18" spans="1:9" ht="18.75" customHeight="1" x14ac:dyDescent="0.15">
      <c r="A18" s="85" t="s">
        <v>5</v>
      </c>
      <c r="B18" s="85" t="s">
        <v>42</v>
      </c>
      <c r="C18" s="85"/>
      <c r="D18" s="85"/>
      <c r="E18" s="85"/>
      <c r="F18" s="85"/>
      <c r="G18" s="85"/>
      <c r="H18" s="85"/>
      <c r="I18" s="86"/>
    </row>
    <row r="19" spans="1:9" ht="18.75" customHeight="1" x14ac:dyDescent="0.15">
      <c r="A19" s="85"/>
      <c r="B19" s="177" t="s">
        <v>150</v>
      </c>
      <c r="C19" s="178"/>
      <c r="D19" s="178"/>
      <c r="E19" s="178"/>
      <c r="F19" s="178"/>
      <c r="G19" s="178"/>
      <c r="H19" s="178"/>
      <c r="I19" s="179"/>
    </row>
    <row r="20" spans="1:9" ht="7.5" customHeight="1" x14ac:dyDescent="0.15">
      <c r="B20" s="86"/>
      <c r="C20" s="86"/>
      <c r="D20" s="86"/>
      <c r="E20" s="86"/>
      <c r="F20" s="86"/>
      <c r="G20" s="86"/>
      <c r="H20" s="86"/>
      <c r="I20" s="86"/>
    </row>
    <row r="21" spans="1:9" ht="18.75" customHeight="1" x14ac:dyDescent="0.15">
      <c r="A21" s="85" t="s">
        <v>8</v>
      </c>
      <c r="B21" s="85" t="s">
        <v>25</v>
      </c>
      <c r="C21" s="85"/>
      <c r="D21" s="85"/>
      <c r="E21" s="85"/>
      <c r="F21" s="85"/>
      <c r="G21" s="85"/>
      <c r="H21" s="85"/>
      <c r="I21" s="85"/>
    </row>
    <row r="22" spans="1:9" ht="18.75" customHeight="1" x14ac:dyDescent="0.15">
      <c r="A22" s="84"/>
      <c r="B22" s="167" t="s">
        <v>151</v>
      </c>
      <c r="C22" s="168"/>
      <c r="D22" s="168"/>
      <c r="E22" s="168"/>
      <c r="F22" s="168"/>
      <c r="G22" s="168"/>
      <c r="H22" s="168"/>
      <c r="I22" s="180"/>
    </row>
    <row r="23" spans="1:9" ht="18.75" customHeight="1" x14ac:dyDescent="0.15">
      <c r="A23" s="84"/>
      <c r="B23" s="181"/>
      <c r="C23" s="182"/>
      <c r="D23" s="182"/>
      <c r="E23" s="182"/>
      <c r="F23" s="182"/>
      <c r="G23" s="182"/>
      <c r="H23" s="182"/>
      <c r="I23" s="183"/>
    </row>
    <row r="24" spans="1:9" ht="18.75" customHeight="1" x14ac:dyDescent="0.15">
      <c r="A24" s="84"/>
      <c r="B24" s="181"/>
      <c r="C24" s="182"/>
      <c r="D24" s="182"/>
      <c r="E24" s="182"/>
      <c r="F24" s="182"/>
      <c r="G24" s="182"/>
      <c r="H24" s="182"/>
      <c r="I24" s="183"/>
    </row>
    <row r="25" spans="1:9" ht="18.75" customHeight="1" x14ac:dyDescent="0.15">
      <c r="A25" s="84"/>
      <c r="B25" s="181"/>
      <c r="C25" s="182"/>
      <c r="D25" s="182"/>
      <c r="E25" s="182"/>
      <c r="F25" s="182"/>
      <c r="G25" s="182"/>
      <c r="H25" s="182"/>
      <c r="I25" s="183"/>
    </row>
    <row r="26" spans="1:9" ht="18.75" customHeight="1" x14ac:dyDescent="0.15">
      <c r="A26" s="84"/>
      <c r="B26" s="181"/>
      <c r="C26" s="182"/>
      <c r="D26" s="182"/>
      <c r="E26" s="182"/>
      <c r="F26" s="182"/>
      <c r="G26" s="182"/>
      <c r="H26" s="182"/>
      <c r="I26" s="183"/>
    </row>
    <row r="27" spans="1:9" ht="18.75" customHeight="1" x14ac:dyDescent="0.15">
      <c r="A27" s="84"/>
      <c r="B27" s="181"/>
      <c r="C27" s="182"/>
      <c r="D27" s="182"/>
      <c r="E27" s="182"/>
      <c r="F27" s="182"/>
      <c r="G27" s="182"/>
      <c r="H27" s="182"/>
      <c r="I27" s="183"/>
    </row>
    <row r="28" spans="1:9" ht="18.75" customHeight="1" x14ac:dyDescent="0.15">
      <c r="A28" s="84"/>
      <c r="B28" s="181"/>
      <c r="C28" s="182"/>
      <c r="D28" s="182"/>
      <c r="E28" s="182"/>
      <c r="F28" s="182"/>
      <c r="G28" s="182"/>
      <c r="H28" s="182"/>
      <c r="I28" s="183"/>
    </row>
    <row r="29" spans="1:9" ht="18.75" customHeight="1" x14ac:dyDescent="0.15">
      <c r="A29" s="84"/>
      <c r="B29" s="181"/>
      <c r="C29" s="182"/>
      <c r="D29" s="182"/>
      <c r="E29" s="182"/>
      <c r="F29" s="182"/>
      <c r="G29" s="182"/>
      <c r="H29" s="182"/>
      <c r="I29" s="183"/>
    </row>
    <row r="30" spans="1:9" ht="18.75" customHeight="1" x14ac:dyDescent="0.15">
      <c r="A30" s="84"/>
      <c r="B30" s="181"/>
      <c r="C30" s="182"/>
      <c r="D30" s="182"/>
      <c r="E30" s="182"/>
      <c r="F30" s="182"/>
      <c r="G30" s="182"/>
      <c r="H30" s="182"/>
      <c r="I30" s="183"/>
    </row>
    <row r="31" spans="1:9" ht="18.75" customHeight="1" x14ac:dyDescent="0.15">
      <c r="A31" s="84"/>
      <c r="B31" s="181"/>
      <c r="C31" s="182"/>
      <c r="D31" s="182"/>
      <c r="E31" s="182"/>
      <c r="F31" s="182"/>
      <c r="G31" s="182"/>
      <c r="H31" s="182"/>
      <c r="I31" s="183"/>
    </row>
    <row r="32" spans="1:9" ht="18.75" customHeight="1" x14ac:dyDescent="0.15">
      <c r="A32" s="84"/>
      <c r="B32" s="184"/>
      <c r="C32" s="185"/>
      <c r="D32" s="185"/>
      <c r="E32" s="185"/>
      <c r="F32" s="185"/>
      <c r="G32" s="185"/>
      <c r="H32" s="185"/>
      <c r="I32" s="186"/>
    </row>
    <row r="33" spans="1:9" ht="7.5" customHeight="1" x14ac:dyDescent="0.15">
      <c r="A33" s="84"/>
      <c r="B33" s="84"/>
      <c r="C33" s="84"/>
      <c r="D33" s="84"/>
      <c r="E33" s="84"/>
      <c r="F33" s="84"/>
      <c r="G33" s="84"/>
      <c r="H33" s="84"/>
      <c r="I33" s="84"/>
    </row>
    <row r="34" spans="1:9" ht="18.75" customHeight="1" x14ac:dyDescent="0.15">
      <c r="A34" s="82" t="s">
        <v>6</v>
      </c>
      <c r="B34" s="82" t="s">
        <v>9</v>
      </c>
      <c r="C34" s="10"/>
      <c r="D34" s="82"/>
      <c r="E34" s="82"/>
      <c r="F34" s="82"/>
      <c r="G34" s="82"/>
      <c r="H34" s="82"/>
      <c r="I34" s="82"/>
    </row>
    <row r="35" spans="1:9" ht="18.75" customHeight="1" x14ac:dyDescent="0.15">
      <c r="A35" s="84"/>
      <c r="B35" s="167" t="s">
        <v>156</v>
      </c>
      <c r="C35" s="168"/>
      <c r="D35" s="168"/>
      <c r="E35" s="168"/>
      <c r="F35" s="168"/>
      <c r="G35" s="168"/>
      <c r="H35" s="168"/>
      <c r="I35" s="180"/>
    </row>
    <row r="36" spans="1:9" ht="18.75" customHeight="1" x14ac:dyDescent="0.15">
      <c r="A36" s="84"/>
      <c r="B36" s="181"/>
      <c r="C36" s="182"/>
      <c r="D36" s="182"/>
      <c r="E36" s="182"/>
      <c r="F36" s="182"/>
      <c r="G36" s="182"/>
      <c r="H36" s="182"/>
      <c r="I36" s="183"/>
    </row>
    <row r="37" spans="1:9" ht="18.75" customHeight="1" x14ac:dyDescent="0.15">
      <c r="A37" s="84"/>
      <c r="B37" s="181"/>
      <c r="C37" s="182"/>
      <c r="D37" s="182"/>
      <c r="E37" s="182"/>
      <c r="F37" s="182"/>
      <c r="G37" s="182"/>
      <c r="H37" s="182"/>
      <c r="I37" s="183"/>
    </row>
    <row r="38" spans="1:9" ht="18.75" customHeight="1" x14ac:dyDescent="0.15">
      <c r="A38" s="84"/>
      <c r="B38" s="181"/>
      <c r="C38" s="182"/>
      <c r="D38" s="182"/>
      <c r="E38" s="182"/>
      <c r="F38" s="182"/>
      <c r="G38" s="182"/>
      <c r="H38" s="182"/>
      <c r="I38" s="183"/>
    </row>
    <row r="39" spans="1:9" ht="18.75" customHeight="1" x14ac:dyDescent="0.15">
      <c r="A39" s="84"/>
      <c r="B39" s="181"/>
      <c r="C39" s="182"/>
      <c r="D39" s="182"/>
      <c r="E39" s="182"/>
      <c r="F39" s="182"/>
      <c r="G39" s="182"/>
      <c r="H39" s="182"/>
      <c r="I39" s="183"/>
    </row>
    <row r="40" spans="1:9" ht="18.75" customHeight="1" x14ac:dyDescent="0.15">
      <c r="A40" s="84"/>
      <c r="B40" s="181"/>
      <c r="C40" s="182"/>
      <c r="D40" s="182"/>
      <c r="E40" s="182"/>
      <c r="F40" s="182"/>
      <c r="G40" s="182"/>
      <c r="H40" s="182"/>
      <c r="I40" s="183"/>
    </row>
    <row r="41" spans="1:9" ht="18.75" customHeight="1" x14ac:dyDescent="0.15">
      <c r="A41" s="84"/>
      <c r="B41" s="181"/>
      <c r="C41" s="182"/>
      <c r="D41" s="182"/>
      <c r="E41" s="182"/>
      <c r="F41" s="182"/>
      <c r="G41" s="182"/>
      <c r="H41" s="182"/>
      <c r="I41" s="183"/>
    </row>
    <row r="42" spans="1:9" ht="18.75" customHeight="1" x14ac:dyDescent="0.15">
      <c r="A42" s="84"/>
      <c r="B42" s="181"/>
      <c r="C42" s="182"/>
      <c r="D42" s="182"/>
      <c r="E42" s="182"/>
      <c r="F42" s="182"/>
      <c r="G42" s="182"/>
      <c r="H42" s="182"/>
      <c r="I42" s="183"/>
    </row>
    <row r="43" spans="1:9" ht="18.75" customHeight="1" x14ac:dyDescent="0.15">
      <c r="A43" s="84"/>
      <c r="B43" s="181"/>
      <c r="C43" s="182"/>
      <c r="D43" s="182"/>
      <c r="E43" s="182"/>
      <c r="F43" s="182"/>
      <c r="G43" s="182"/>
      <c r="H43" s="182"/>
      <c r="I43" s="183"/>
    </row>
    <row r="44" spans="1:9" ht="18.75" customHeight="1" x14ac:dyDescent="0.15">
      <c r="A44" s="84"/>
      <c r="B44" s="181"/>
      <c r="C44" s="182"/>
      <c r="D44" s="182"/>
      <c r="E44" s="182"/>
      <c r="F44" s="182"/>
      <c r="G44" s="182"/>
      <c r="H44" s="182"/>
      <c r="I44" s="183"/>
    </row>
    <row r="45" spans="1:9" ht="18.75" customHeight="1" x14ac:dyDescent="0.15">
      <c r="A45" s="84"/>
      <c r="B45" s="181"/>
      <c r="C45" s="182"/>
      <c r="D45" s="182"/>
      <c r="E45" s="182"/>
      <c r="F45" s="182"/>
      <c r="G45" s="182"/>
      <c r="H45" s="182"/>
      <c r="I45" s="183"/>
    </row>
    <row r="46" spans="1:9" ht="18.75" customHeight="1" x14ac:dyDescent="0.15">
      <c r="A46" s="84"/>
      <c r="B46" s="184"/>
      <c r="C46" s="185"/>
      <c r="D46" s="185"/>
      <c r="E46" s="185"/>
      <c r="F46" s="185"/>
      <c r="G46" s="185"/>
      <c r="H46" s="185"/>
      <c r="I46" s="18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11">
        <f>'様式２ 履修者等数の実績'!AQ32</f>
        <v>0.12893081761006289</v>
      </c>
      <c r="D49" s="211"/>
      <c r="E49" s="43" t="s">
        <v>66</v>
      </c>
      <c r="F49" s="211">
        <v>0.36399999999999999</v>
      </c>
      <c r="G49" s="211"/>
      <c r="H49" s="43" t="s">
        <v>67</v>
      </c>
      <c r="I49" s="44">
        <v>0.628</v>
      </c>
      <c r="J49" s="1"/>
      <c r="M49" s="1"/>
      <c r="N49" s="45"/>
    </row>
    <row r="50" spans="1:15" s="3" customFormat="1" ht="18.75" customHeight="1" x14ac:dyDescent="0.15">
      <c r="B50" s="46" t="s">
        <v>68</v>
      </c>
      <c r="C50" s="194">
        <v>0.89300000000000002</v>
      </c>
      <c r="D50" s="194"/>
      <c r="E50" s="46" t="s">
        <v>90</v>
      </c>
      <c r="F50" s="194">
        <v>1</v>
      </c>
      <c r="G50" s="194"/>
      <c r="H50" s="46" t="s">
        <v>69</v>
      </c>
      <c r="I50" s="47">
        <f>'様式２ 履修者等数の実績'!E32</f>
        <v>636</v>
      </c>
      <c r="J50" s="1"/>
      <c r="M50" s="1"/>
      <c r="N50" s="45"/>
    </row>
    <row r="51" spans="1:15" ht="18.75" customHeight="1" x14ac:dyDescent="0.15">
      <c r="A51" s="1"/>
      <c r="B51" s="187" t="s">
        <v>70</v>
      </c>
      <c r="C51" s="188"/>
      <c r="D51" s="188"/>
      <c r="E51" s="188"/>
      <c r="F51" s="188"/>
      <c r="G51" s="188"/>
      <c r="H51" s="188"/>
      <c r="I51" s="189"/>
      <c r="N51" s="45"/>
      <c r="O51" s="3"/>
    </row>
    <row r="52" spans="1:15" ht="18.75" customHeight="1" x14ac:dyDescent="0.15">
      <c r="A52" s="1"/>
      <c r="B52" s="212" t="s">
        <v>152</v>
      </c>
      <c r="C52" s="213"/>
      <c r="D52" s="213"/>
      <c r="E52" s="213"/>
      <c r="F52" s="213"/>
      <c r="G52" s="213"/>
      <c r="H52" s="213"/>
      <c r="I52" s="214"/>
      <c r="N52" s="45"/>
      <c r="O52" s="3"/>
    </row>
    <row r="53" spans="1:15" ht="18.75" customHeight="1" x14ac:dyDescent="0.15">
      <c r="A53" s="1"/>
      <c r="B53" s="215"/>
      <c r="C53" s="216"/>
      <c r="D53" s="216"/>
      <c r="E53" s="216"/>
      <c r="F53" s="216"/>
      <c r="G53" s="216"/>
      <c r="H53" s="216"/>
      <c r="I53" s="217"/>
      <c r="N53" s="45"/>
      <c r="O53" s="3"/>
    </row>
    <row r="54" spans="1:15" ht="18.75" customHeight="1" x14ac:dyDescent="0.15">
      <c r="A54" s="1"/>
      <c r="B54" s="215"/>
      <c r="C54" s="216"/>
      <c r="D54" s="216"/>
      <c r="E54" s="216"/>
      <c r="F54" s="216"/>
      <c r="G54" s="216"/>
      <c r="H54" s="216"/>
      <c r="I54" s="217"/>
    </row>
    <row r="55" spans="1:15" ht="18.75" customHeight="1" x14ac:dyDescent="0.15">
      <c r="A55" s="1"/>
      <c r="B55" s="215"/>
      <c r="C55" s="216"/>
      <c r="D55" s="216"/>
      <c r="E55" s="216"/>
      <c r="F55" s="216"/>
      <c r="G55" s="216"/>
      <c r="H55" s="216"/>
      <c r="I55" s="217"/>
    </row>
    <row r="56" spans="1:15" ht="18.75" customHeight="1" x14ac:dyDescent="0.15">
      <c r="A56" s="1"/>
      <c r="B56" s="215"/>
      <c r="C56" s="216"/>
      <c r="D56" s="216"/>
      <c r="E56" s="216"/>
      <c r="F56" s="216"/>
      <c r="G56" s="216"/>
      <c r="H56" s="216"/>
      <c r="I56" s="217"/>
    </row>
    <row r="57" spans="1:15" ht="18.75" customHeight="1" x14ac:dyDescent="0.15">
      <c r="A57" s="1"/>
      <c r="B57" s="215"/>
      <c r="C57" s="216"/>
      <c r="D57" s="216"/>
      <c r="E57" s="216"/>
      <c r="F57" s="216"/>
      <c r="G57" s="216"/>
      <c r="H57" s="216"/>
      <c r="I57" s="217"/>
    </row>
    <row r="58" spans="1:15" ht="18.75" customHeight="1" x14ac:dyDescent="0.15">
      <c r="A58" s="1"/>
      <c r="B58" s="215"/>
      <c r="C58" s="216"/>
      <c r="D58" s="216"/>
      <c r="E58" s="216"/>
      <c r="F58" s="216"/>
      <c r="G58" s="216"/>
      <c r="H58" s="216"/>
      <c r="I58" s="217"/>
    </row>
    <row r="59" spans="1:15" ht="18.75" customHeight="1" x14ac:dyDescent="0.15">
      <c r="A59" s="1"/>
      <c r="B59" s="215"/>
      <c r="C59" s="216"/>
      <c r="D59" s="216"/>
      <c r="E59" s="216"/>
      <c r="F59" s="216"/>
      <c r="G59" s="216"/>
      <c r="H59" s="216"/>
      <c r="I59" s="217"/>
    </row>
    <row r="60" spans="1:15" ht="18.75" customHeight="1" x14ac:dyDescent="0.15">
      <c r="A60" s="1"/>
      <c r="B60" s="215"/>
      <c r="C60" s="216"/>
      <c r="D60" s="216"/>
      <c r="E60" s="216"/>
      <c r="F60" s="216"/>
      <c r="G60" s="216"/>
      <c r="H60" s="216"/>
      <c r="I60" s="217"/>
    </row>
    <row r="61" spans="1:15" ht="18.75" customHeight="1" x14ac:dyDescent="0.15">
      <c r="A61" s="1"/>
      <c r="B61" s="215"/>
      <c r="C61" s="216"/>
      <c r="D61" s="216"/>
      <c r="E61" s="216"/>
      <c r="F61" s="216"/>
      <c r="G61" s="216"/>
      <c r="H61" s="216"/>
      <c r="I61" s="217"/>
    </row>
    <row r="62" spans="1:15" ht="18.75" customHeight="1" x14ac:dyDescent="0.15">
      <c r="A62" s="1"/>
      <c r="B62" s="215"/>
      <c r="C62" s="216"/>
      <c r="D62" s="216"/>
      <c r="E62" s="216"/>
      <c r="F62" s="216"/>
      <c r="G62" s="216"/>
      <c r="H62" s="216"/>
      <c r="I62" s="217"/>
    </row>
    <row r="63" spans="1:15" ht="18.75" customHeight="1" x14ac:dyDescent="0.15">
      <c r="A63" s="1"/>
      <c r="B63" s="218"/>
      <c r="C63" s="219"/>
      <c r="D63" s="219"/>
      <c r="E63" s="219"/>
      <c r="F63" s="219"/>
      <c r="G63" s="219"/>
      <c r="H63" s="219"/>
      <c r="I63" s="220"/>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95" t="s">
        <v>144</v>
      </c>
      <c r="C66" s="196"/>
      <c r="D66" s="196"/>
      <c r="E66" s="196"/>
      <c r="F66" s="196"/>
      <c r="G66" s="196"/>
      <c r="H66" s="196"/>
      <c r="I66" s="197"/>
    </row>
    <row r="67" spans="1:9" ht="18.75" customHeight="1" x14ac:dyDescent="0.15">
      <c r="A67" s="4"/>
      <c r="B67" s="198"/>
      <c r="C67" s="199"/>
      <c r="D67" s="199"/>
      <c r="E67" s="199"/>
      <c r="F67" s="199"/>
      <c r="G67" s="199"/>
      <c r="H67" s="199"/>
      <c r="I67" s="200"/>
    </row>
    <row r="68" spans="1:9" ht="18.75" customHeight="1" x14ac:dyDescent="0.15">
      <c r="A68" s="4"/>
      <c r="B68" s="198"/>
      <c r="C68" s="199"/>
      <c r="D68" s="199"/>
      <c r="E68" s="199"/>
      <c r="F68" s="199"/>
      <c r="G68" s="199"/>
      <c r="H68" s="199"/>
      <c r="I68" s="200"/>
    </row>
    <row r="69" spans="1:9" ht="18.75" customHeight="1" x14ac:dyDescent="0.15">
      <c r="A69" s="4"/>
      <c r="B69" s="198"/>
      <c r="C69" s="199"/>
      <c r="D69" s="199"/>
      <c r="E69" s="199"/>
      <c r="F69" s="199"/>
      <c r="G69" s="199"/>
      <c r="H69" s="199"/>
      <c r="I69" s="200"/>
    </row>
    <row r="70" spans="1:9" ht="18.75" customHeight="1" x14ac:dyDescent="0.15">
      <c r="A70" s="4"/>
      <c r="B70" s="198"/>
      <c r="C70" s="199"/>
      <c r="D70" s="199"/>
      <c r="E70" s="199"/>
      <c r="F70" s="199"/>
      <c r="G70" s="199"/>
      <c r="H70" s="199"/>
      <c r="I70" s="200"/>
    </row>
    <row r="71" spans="1:9" ht="18.75" customHeight="1" x14ac:dyDescent="0.15">
      <c r="A71" s="4"/>
      <c r="B71" s="198"/>
      <c r="C71" s="199"/>
      <c r="D71" s="199"/>
      <c r="E71" s="199"/>
      <c r="F71" s="199"/>
      <c r="G71" s="199"/>
      <c r="H71" s="199"/>
      <c r="I71" s="200"/>
    </row>
    <row r="72" spans="1:9" ht="18.75" customHeight="1" x14ac:dyDescent="0.15">
      <c r="A72" s="4"/>
      <c r="B72" s="198"/>
      <c r="C72" s="199"/>
      <c r="D72" s="199"/>
      <c r="E72" s="199"/>
      <c r="F72" s="199"/>
      <c r="G72" s="199"/>
      <c r="H72" s="199"/>
      <c r="I72" s="200"/>
    </row>
    <row r="73" spans="1:9" ht="18.75" customHeight="1" x14ac:dyDescent="0.15">
      <c r="A73" s="4"/>
      <c r="B73" s="198"/>
      <c r="C73" s="199"/>
      <c r="D73" s="199"/>
      <c r="E73" s="199"/>
      <c r="F73" s="199"/>
      <c r="G73" s="199"/>
      <c r="H73" s="199"/>
      <c r="I73" s="200"/>
    </row>
    <row r="74" spans="1:9" ht="18.75" customHeight="1" x14ac:dyDescent="0.15">
      <c r="A74" s="4"/>
      <c r="B74" s="198"/>
      <c r="C74" s="199"/>
      <c r="D74" s="199"/>
      <c r="E74" s="199"/>
      <c r="F74" s="199"/>
      <c r="G74" s="199"/>
      <c r="H74" s="199"/>
      <c r="I74" s="200"/>
    </row>
    <row r="75" spans="1:9" ht="18.75" customHeight="1" x14ac:dyDescent="0.15">
      <c r="A75" s="4"/>
      <c r="B75" s="198"/>
      <c r="C75" s="199"/>
      <c r="D75" s="199"/>
      <c r="E75" s="199"/>
      <c r="F75" s="199"/>
      <c r="G75" s="199"/>
      <c r="H75" s="199"/>
      <c r="I75" s="200"/>
    </row>
    <row r="76" spans="1:9" ht="18.75" customHeight="1" x14ac:dyDescent="0.15">
      <c r="A76" s="4"/>
      <c r="B76" s="198"/>
      <c r="C76" s="199"/>
      <c r="D76" s="199"/>
      <c r="E76" s="199"/>
      <c r="F76" s="199"/>
      <c r="G76" s="199"/>
      <c r="H76" s="199"/>
      <c r="I76" s="200"/>
    </row>
    <row r="77" spans="1:9" ht="18.75" customHeight="1" x14ac:dyDescent="0.15">
      <c r="A77" s="4"/>
      <c r="B77" s="201"/>
      <c r="C77" s="202"/>
      <c r="D77" s="202"/>
      <c r="E77" s="202"/>
      <c r="F77" s="202"/>
      <c r="G77" s="202"/>
      <c r="H77" s="202"/>
      <c r="I77" s="203"/>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5" t="s">
        <v>145</v>
      </c>
      <c r="C80" s="196"/>
      <c r="D80" s="196"/>
      <c r="E80" s="196"/>
      <c r="F80" s="196"/>
      <c r="G80" s="196"/>
      <c r="H80" s="196"/>
      <c r="I80" s="204"/>
    </row>
    <row r="81" spans="1:9" ht="18.75" customHeight="1" x14ac:dyDescent="0.15">
      <c r="A81" s="1"/>
      <c r="B81" s="205"/>
      <c r="C81" s="206"/>
      <c r="D81" s="206"/>
      <c r="E81" s="206"/>
      <c r="F81" s="206"/>
      <c r="G81" s="206"/>
      <c r="H81" s="206"/>
      <c r="I81" s="207"/>
    </row>
    <row r="82" spans="1:9" ht="18.75" customHeight="1" x14ac:dyDescent="0.15">
      <c r="A82" s="1"/>
      <c r="B82" s="205"/>
      <c r="C82" s="206"/>
      <c r="D82" s="206"/>
      <c r="E82" s="206"/>
      <c r="F82" s="206"/>
      <c r="G82" s="206"/>
      <c r="H82" s="206"/>
      <c r="I82" s="207"/>
    </row>
    <row r="83" spans="1:9" ht="18.75" customHeight="1" x14ac:dyDescent="0.15">
      <c r="A83" s="1"/>
      <c r="B83" s="205"/>
      <c r="C83" s="206"/>
      <c r="D83" s="206"/>
      <c r="E83" s="206"/>
      <c r="F83" s="206"/>
      <c r="G83" s="206"/>
      <c r="H83" s="206"/>
      <c r="I83" s="207"/>
    </row>
    <row r="84" spans="1:9" ht="18.75" customHeight="1" x14ac:dyDescent="0.15">
      <c r="A84" s="1"/>
      <c r="B84" s="205"/>
      <c r="C84" s="206"/>
      <c r="D84" s="206"/>
      <c r="E84" s="206"/>
      <c r="F84" s="206"/>
      <c r="G84" s="206"/>
      <c r="H84" s="206"/>
      <c r="I84" s="207"/>
    </row>
    <row r="85" spans="1:9" ht="18.75" customHeight="1" x14ac:dyDescent="0.15">
      <c r="A85" s="1"/>
      <c r="B85" s="205"/>
      <c r="C85" s="206"/>
      <c r="D85" s="206"/>
      <c r="E85" s="206"/>
      <c r="F85" s="206"/>
      <c r="G85" s="206"/>
      <c r="H85" s="206"/>
      <c r="I85" s="207"/>
    </row>
    <row r="86" spans="1:9" ht="18.75" customHeight="1" x14ac:dyDescent="0.15">
      <c r="A86" s="1"/>
      <c r="B86" s="205"/>
      <c r="C86" s="206"/>
      <c r="D86" s="206"/>
      <c r="E86" s="206"/>
      <c r="F86" s="206"/>
      <c r="G86" s="206"/>
      <c r="H86" s="206"/>
      <c r="I86" s="207"/>
    </row>
    <row r="87" spans="1:9" ht="18.75" customHeight="1" x14ac:dyDescent="0.15">
      <c r="A87" s="1"/>
      <c r="B87" s="205"/>
      <c r="C87" s="206"/>
      <c r="D87" s="206"/>
      <c r="E87" s="206"/>
      <c r="F87" s="206"/>
      <c r="G87" s="206"/>
      <c r="H87" s="206"/>
      <c r="I87" s="207"/>
    </row>
    <row r="88" spans="1:9" ht="18.75" customHeight="1" x14ac:dyDescent="0.15">
      <c r="A88" s="1"/>
      <c r="B88" s="205"/>
      <c r="C88" s="206"/>
      <c r="D88" s="206"/>
      <c r="E88" s="206"/>
      <c r="F88" s="206"/>
      <c r="G88" s="206"/>
      <c r="H88" s="206"/>
      <c r="I88" s="207"/>
    </row>
    <row r="89" spans="1:9" ht="18.75" customHeight="1" x14ac:dyDescent="0.15">
      <c r="A89" s="1"/>
      <c r="B89" s="205"/>
      <c r="C89" s="206"/>
      <c r="D89" s="206"/>
      <c r="E89" s="206"/>
      <c r="F89" s="206"/>
      <c r="G89" s="206"/>
      <c r="H89" s="206"/>
      <c r="I89" s="207"/>
    </row>
    <row r="90" spans="1:9" ht="18.75" customHeight="1" x14ac:dyDescent="0.15">
      <c r="A90" s="4"/>
      <c r="B90" s="205"/>
      <c r="C90" s="206"/>
      <c r="D90" s="206"/>
      <c r="E90" s="206"/>
      <c r="F90" s="206"/>
      <c r="G90" s="206"/>
      <c r="H90" s="206"/>
      <c r="I90" s="207"/>
    </row>
    <row r="91" spans="1:9" ht="18.75" customHeight="1" x14ac:dyDescent="0.15">
      <c r="A91" s="4"/>
      <c r="B91" s="208"/>
      <c r="C91" s="209"/>
      <c r="D91" s="209"/>
      <c r="E91" s="209"/>
      <c r="F91" s="209"/>
      <c r="G91" s="209"/>
      <c r="H91" s="209"/>
      <c r="I91" s="210"/>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67" t="s">
        <v>146</v>
      </c>
      <c r="C94" s="168"/>
      <c r="D94" s="168"/>
      <c r="E94" s="168"/>
      <c r="F94" s="168"/>
      <c r="G94" s="168"/>
      <c r="H94" s="168"/>
      <c r="I94" s="169"/>
    </row>
    <row r="95" spans="1:9" ht="18.75" customHeight="1" x14ac:dyDescent="0.15">
      <c r="A95" s="1"/>
      <c r="B95" s="170"/>
      <c r="C95" s="171"/>
      <c r="D95" s="171"/>
      <c r="E95" s="171"/>
      <c r="F95" s="171"/>
      <c r="G95" s="171"/>
      <c r="H95" s="171"/>
      <c r="I95" s="172"/>
    </row>
    <row r="96" spans="1:9" ht="18.75" customHeight="1" x14ac:dyDescent="0.15">
      <c r="A96" s="1"/>
      <c r="B96" s="170"/>
      <c r="C96" s="171"/>
      <c r="D96" s="171"/>
      <c r="E96" s="171"/>
      <c r="F96" s="171"/>
      <c r="G96" s="171"/>
      <c r="H96" s="171"/>
      <c r="I96" s="172"/>
    </row>
    <row r="97" spans="1:9" ht="18.75" customHeight="1" x14ac:dyDescent="0.15">
      <c r="A97" s="1"/>
      <c r="B97" s="170"/>
      <c r="C97" s="171"/>
      <c r="D97" s="171"/>
      <c r="E97" s="171"/>
      <c r="F97" s="171"/>
      <c r="G97" s="171"/>
      <c r="H97" s="171"/>
      <c r="I97" s="172"/>
    </row>
    <row r="98" spans="1:9" ht="18.75" customHeight="1" x14ac:dyDescent="0.15">
      <c r="A98" s="1"/>
      <c r="B98" s="170"/>
      <c r="C98" s="171"/>
      <c r="D98" s="171"/>
      <c r="E98" s="171"/>
      <c r="F98" s="171"/>
      <c r="G98" s="171"/>
      <c r="H98" s="171"/>
      <c r="I98" s="172"/>
    </row>
    <row r="99" spans="1:9" ht="18.75" customHeight="1" x14ac:dyDescent="0.15">
      <c r="A99" s="1"/>
      <c r="B99" s="170"/>
      <c r="C99" s="171"/>
      <c r="D99" s="171"/>
      <c r="E99" s="171"/>
      <c r="F99" s="171"/>
      <c r="G99" s="171"/>
      <c r="H99" s="171"/>
      <c r="I99" s="172"/>
    </row>
    <row r="100" spans="1:9" ht="18.75" customHeight="1" x14ac:dyDescent="0.15">
      <c r="A100" s="1"/>
      <c r="B100" s="170"/>
      <c r="C100" s="171"/>
      <c r="D100" s="171"/>
      <c r="E100" s="171"/>
      <c r="F100" s="171"/>
      <c r="G100" s="171"/>
      <c r="H100" s="171"/>
      <c r="I100" s="172"/>
    </row>
    <row r="101" spans="1:9" ht="18.75" customHeight="1" x14ac:dyDescent="0.15">
      <c r="A101" s="1"/>
      <c r="B101" s="170"/>
      <c r="C101" s="171"/>
      <c r="D101" s="171"/>
      <c r="E101" s="171"/>
      <c r="F101" s="171"/>
      <c r="G101" s="171"/>
      <c r="H101" s="171"/>
      <c r="I101" s="172"/>
    </row>
    <row r="102" spans="1:9" ht="18.75" customHeight="1" x14ac:dyDescent="0.15">
      <c r="A102" s="1"/>
      <c r="B102" s="170"/>
      <c r="C102" s="171"/>
      <c r="D102" s="171"/>
      <c r="E102" s="171"/>
      <c r="F102" s="171"/>
      <c r="G102" s="171"/>
      <c r="H102" s="171"/>
      <c r="I102" s="172"/>
    </row>
    <row r="103" spans="1:9" ht="18.75" customHeight="1" x14ac:dyDescent="0.15">
      <c r="A103" s="1"/>
      <c r="B103" s="170"/>
      <c r="C103" s="171"/>
      <c r="D103" s="171"/>
      <c r="E103" s="171"/>
      <c r="F103" s="171"/>
      <c r="G103" s="171"/>
      <c r="H103" s="171"/>
      <c r="I103" s="172"/>
    </row>
    <row r="104" spans="1:9" ht="18.75" customHeight="1" x14ac:dyDescent="0.15">
      <c r="A104" s="1"/>
      <c r="B104" s="170"/>
      <c r="C104" s="171"/>
      <c r="D104" s="171"/>
      <c r="E104" s="171"/>
      <c r="F104" s="171"/>
      <c r="G104" s="171"/>
      <c r="H104" s="171"/>
      <c r="I104" s="172"/>
    </row>
    <row r="105" spans="1:9" ht="18.75" customHeight="1" x14ac:dyDescent="0.15">
      <c r="A105" s="4"/>
      <c r="B105" s="173"/>
      <c r="C105" s="174"/>
      <c r="D105" s="174"/>
      <c r="E105" s="174"/>
      <c r="F105" s="174"/>
      <c r="G105" s="174"/>
      <c r="H105" s="174"/>
      <c r="I105" s="175"/>
    </row>
    <row r="106" spans="1:9" ht="7.5" customHeight="1" x14ac:dyDescent="0.15">
      <c r="A106" s="4"/>
      <c r="B106" s="4"/>
      <c r="C106" s="4"/>
      <c r="D106" s="4"/>
      <c r="E106" s="4"/>
      <c r="F106" s="4"/>
      <c r="G106" s="4"/>
      <c r="H106" s="4"/>
      <c r="I106" s="4"/>
    </row>
    <row r="107" spans="1:9" ht="18.75" customHeight="1" x14ac:dyDescent="0.15">
      <c r="A107" s="1" t="s">
        <v>30</v>
      </c>
      <c r="B107" s="176" t="s">
        <v>46</v>
      </c>
      <c r="C107" s="176"/>
      <c r="D107" s="176"/>
      <c r="E107" s="176"/>
      <c r="F107" s="176"/>
      <c r="G107" s="176"/>
      <c r="H107" s="176"/>
      <c r="I107" s="176"/>
    </row>
    <row r="108" spans="1:9" ht="18.75" customHeight="1" x14ac:dyDescent="0.15">
      <c r="A108" s="4"/>
      <c r="B108" s="167" t="s">
        <v>149</v>
      </c>
      <c r="C108" s="168"/>
      <c r="D108" s="168"/>
      <c r="E108" s="168"/>
      <c r="F108" s="168"/>
      <c r="G108" s="168"/>
      <c r="H108" s="168"/>
      <c r="I108" s="169"/>
    </row>
    <row r="109" spans="1:9" ht="18.75" customHeight="1" x14ac:dyDescent="0.15">
      <c r="A109" s="4"/>
      <c r="B109" s="170"/>
      <c r="C109" s="171"/>
      <c r="D109" s="171"/>
      <c r="E109" s="171"/>
      <c r="F109" s="171"/>
      <c r="G109" s="171"/>
      <c r="H109" s="171"/>
      <c r="I109" s="172"/>
    </row>
    <row r="110" spans="1:9" ht="18.75" customHeight="1" x14ac:dyDescent="0.15">
      <c r="A110" s="4"/>
      <c r="B110" s="170"/>
      <c r="C110" s="171"/>
      <c r="D110" s="171"/>
      <c r="E110" s="171"/>
      <c r="F110" s="171"/>
      <c r="G110" s="171"/>
      <c r="H110" s="171"/>
      <c r="I110" s="172"/>
    </row>
    <row r="111" spans="1:9" ht="18.75" customHeight="1" x14ac:dyDescent="0.15">
      <c r="A111" s="4"/>
      <c r="B111" s="170"/>
      <c r="C111" s="171"/>
      <c r="D111" s="171"/>
      <c r="E111" s="171"/>
      <c r="F111" s="171"/>
      <c r="G111" s="171"/>
      <c r="H111" s="171"/>
      <c r="I111" s="172"/>
    </row>
    <row r="112" spans="1:9" ht="18.75" customHeight="1" x14ac:dyDescent="0.15">
      <c r="A112" s="4"/>
      <c r="B112" s="170"/>
      <c r="C112" s="171"/>
      <c r="D112" s="171"/>
      <c r="E112" s="171"/>
      <c r="F112" s="171"/>
      <c r="G112" s="171"/>
      <c r="H112" s="171"/>
      <c r="I112" s="172"/>
    </row>
    <row r="113" spans="1:9" ht="18.75" customHeight="1" x14ac:dyDescent="0.15">
      <c r="A113" s="4"/>
      <c r="B113" s="170"/>
      <c r="C113" s="171"/>
      <c r="D113" s="171"/>
      <c r="E113" s="171"/>
      <c r="F113" s="171"/>
      <c r="G113" s="171"/>
      <c r="H113" s="171"/>
      <c r="I113" s="172"/>
    </row>
    <row r="114" spans="1:9" ht="18.75" customHeight="1" x14ac:dyDescent="0.15">
      <c r="A114" s="4"/>
      <c r="B114" s="170"/>
      <c r="C114" s="171"/>
      <c r="D114" s="171"/>
      <c r="E114" s="171"/>
      <c r="F114" s="171"/>
      <c r="G114" s="171"/>
      <c r="H114" s="171"/>
      <c r="I114" s="172"/>
    </row>
    <row r="115" spans="1:9" ht="18.75" customHeight="1" x14ac:dyDescent="0.15">
      <c r="A115" s="4"/>
      <c r="B115" s="170"/>
      <c r="C115" s="171"/>
      <c r="D115" s="171"/>
      <c r="E115" s="171"/>
      <c r="F115" s="171"/>
      <c r="G115" s="171"/>
      <c r="H115" s="171"/>
      <c r="I115" s="172"/>
    </row>
    <row r="116" spans="1:9" ht="18.75" customHeight="1" x14ac:dyDescent="0.15">
      <c r="A116" s="4"/>
      <c r="B116" s="170"/>
      <c r="C116" s="171"/>
      <c r="D116" s="171"/>
      <c r="E116" s="171"/>
      <c r="F116" s="171"/>
      <c r="G116" s="171"/>
      <c r="H116" s="171"/>
      <c r="I116" s="172"/>
    </row>
    <row r="117" spans="1:9" ht="18.75" customHeight="1" x14ac:dyDescent="0.15">
      <c r="A117" s="4"/>
      <c r="B117" s="170"/>
      <c r="C117" s="171"/>
      <c r="D117" s="171"/>
      <c r="E117" s="171"/>
      <c r="F117" s="171"/>
      <c r="G117" s="171"/>
      <c r="H117" s="171"/>
      <c r="I117" s="172"/>
    </row>
    <row r="118" spans="1:9" ht="18.75" customHeight="1" x14ac:dyDescent="0.15">
      <c r="A118" s="4"/>
      <c r="B118" s="170"/>
      <c r="C118" s="171"/>
      <c r="D118" s="171"/>
      <c r="E118" s="171"/>
      <c r="F118" s="171"/>
      <c r="G118" s="171"/>
      <c r="H118" s="171"/>
      <c r="I118" s="172"/>
    </row>
    <row r="119" spans="1:9" ht="18.75" customHeight="1" x14ac:dyDescent="0.15">
      <c r="A119" s="4"/>
      <c r="B119" s="173"/>
      <c r="C119" s="174"/>
      <c r="D119" s="174"/>
      <c r="E119" s="174"/>
      <c r="F119" s="174"/>
      <c r="G119" s="174"/>
      <c r="H119" s="174"/>
      <c r="I119" s="175"/>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5" zoomScaleNormal="100" zoomScaleSheetLayoutView="85" workbookViewId="0">
      <selection activeCell="E1" sqref="E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大阪女学院大学</v>
      </c>
    </row>
    <row r="3" spans="1:9" ht="18.75" customHeight="1" x14ac:dyDescent="0.15">
      <c r="A3" s="124" t="s">
        <v>28</v>
      </c>
      <c r="B3" s="124"/>
      <c r="C3" s="124"/>
      <c r="D3" s="124"/>
      <c r="E3" s="124"/>
      <c r="F3" s="124"/>
      <c r="G3" s="124"/>
      <c r="H3" s="124"/>
      <c r="I3" s="124"/>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190" t="s">
        <v>143</v>
      </c>
      <c r="C6" s="191"/>
      <c r="D6" s="191"/>
      <c r="E6" s="191"/>
      <c r="F6" s="191"/>
      <c r="G6" s="191"/>
      <c r="H6" s="192"/>
      <c r="I6" s="3"/>
    </row>
    <row r="7" spans="1:9" ht="9" customHeight="1" x14ac:dyDescent="0.15">
      <c r="A7" s="5"/>
      <c r="B7" s="10"/>
      <c r="C7" s="10"/>
      <c r="D7" s="10"/>
      <c r="E7" s="10"/>
      <c r="F7" s="10"/>
      <c r="G7" s="10"/>
      <c r="H7" s="10"/>
      <c r="I7" s="3"/>
    </row>
    <row r="8" spans="1:9" ht="18.75" customHeight="1" x14ac:dyDescent="0.15">
      <c r="A8" s="5"/>
      <c r="B8" s="3"/>
      <c r="C8" s="3"/>
      <c r="D8" s="35" t="s">
        <v>43</v>
      </c>
      <c r="E8" s="36" t="s">
        <v>133</v>
      </c>
      <c r="F8" s="3"/>
      <c r="G8" s="35" t="s">
        <v>10</v>
      </c>
      <c r="H8" s="36" t="s">
        <v>147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3" t="s">
        <v>24</v>
      </c>
      <c r="C11" s="94"/>
      <c r="D11" s="95"/>
      <c r="E11" s="94" t="s">
        <v>26</v>
      </c>
      <c r="F11" s="94"/>
      <c r="G11" s="94"/>
      <c r="H11" s="94"/>
      <c r="I11" s="95"/>
    </row>
    <row r="12" spans="1:9" ht="26.25" customHeight="1" x14ac:dyDescent="0.15">
      <c r="B12" s="50" t="s">
        <v>14</v>
      </c>
      <c r="C12" s="57"/>
      <c r="D12" s="51"/>
      <c r="E12" s="58"/>
      <c r="F12" s="58"/>
      <c r="G12" s="58"/>
      <c r="H12" s="58"/>
      <c r="I12" s="51"/>
    </row>
    <row r="13" spans="1:9" ht="210.75" customHeight="1" x14ac:dyDescent="0.15">
      <c r="B13" s="52"/>
      <c r="C13" s="226" t="s">
        <v>15</v>
      </c>
      <c r="D13" s="227"/>
      <c r="E13" s="223" t="s">
        <v>153</v>
      </c>
      <c r="F13" s="224"/>
      <c r="G13" s="224"/>
      <c r="H13" s="224"/>
      <c r="I13" s="225"/>
    </row>
    <row r="14" spans="1:9" ht="210.75" customHeight="1" x14ac:dyDescent="0.15">
      <c r="B14" s="52"/>
      <c r="C14" s="221" t="s">
        <v>16</v>
      </c>
      <c r="D14" s="222"/>
      <c r="E14" s="223" t="s">
        <v>134</v>
      </c>
      <c r="F14" s="224"/>
      <c r="G14" s="224"/>
      <c r="H14" s="224"/>
      <c r="I14" s="225"/>
    </row>
    <row r="15" spans="1:9" ht="210.75" customHeight="1" x14ac:dyDescent="0.15">
      <c r="B15" s="52"/>
      <c r="C15" s="226" t="s">
        <v>17</v>
      </c>
      <c r="D15" s="227"/>
      <c r="E15" s="223" t="s">
        <v>154</v>
      </c>
      <c r="F15" s="224"/>
      <c r="G15" s="224"/>
      <c r="H15" s="224"/>
      <c r="I15" s="225"/>
    </row>
    <row r="16" spans="1:9" ht="210.75" customHeight="1" x14ac:dyDescent="0.15">
      <c r="B16" s="52"/>
      <c r="C16" s="226" t="s">
        <v>18</v>
      </c>
      <c r="D16" s="227"/>
      <c r="E16" s="223" t="s">
        <v>135</v>
      </c>
      <c r="F16" s="224"/>
      <c r="G16" s="224"/>
      <c r="H16" s="224"/>
      <c r="I16" s="225"/>
    </row>
    <row r="17" spans="2:9" ht="210.75" customHeight="1" x14ac:dyDescent="0.15">
      <c r="B17" s="53"/>
      <c r="C17" s="228" t="s">
        <v>19</v>
      </c>
      <c r="D17" s="229"/>
      <c r="E17" s="230" t="s">
        <v>148</v>
      </c>
      <c r="F17" s="231"/>
      <c r="G17" s="231"/>
      <c r="H17" s="231"/>
      <c r="I17" s="232"/>
    </row>
    <row r="18" spans="2:9" ht="24" customHeight="1" x14ac:dyDescent="0.15">
      <c r="B18" s="50" t="s">
        <v>20</v>
      </c>
      <c r="C18" s="54"/>
      <c r="D18" s="55"/>
      <c r="E18" s="56"/>
      <c r="F18" s="56"/>
      <c r="G18" s="56"/>
      <c r="H18" s="56"/>
      <c r="I18" s="59"/>
    </row>
    <row r="19" spans="2:9" ht="218.25" customHeight="1" x14ac:dyDescent="0.15">
      <c r="B19" s="52"/>
      <c r="C19" s="226" t="s">
        <v>21</v>
      </c>
      <c r="D19" s="227"/>
      <c r="E19" s="224" t="s">
        <v>155</v>
      </c>
      <c r="F19" s="224"/>
      <c r="G19" s="224"/>
      <c r="H19" s="224"/>
      <c r="I19" s="225"/>
    </row>
    <row r="20" spans="2:9" ht="218.25" customHeight="1" x14ac:dyDescent="0.15">
      <c r="B20" s="53"/>
      <c r="C20" s="228" t="s">
        <v>22</v>
      </c>
      <c r="D20" s="229"/>
      <c r="E20" s="231" t="s">
        <v>138</v>
      </c>
      <c r="F20" s="231"/>
      <c r="G20" s="231"/>
      <c r="H20" s="231"/>
      <c r="I20" s="232"/>
    </row>
    <row r="21" spans="2:9" ht="218.25" customHeight="1" x14ac:dyDescent="0.15">
      <c r="B21" s="236" t="s">
        <v>23</v>
      </c>
      <c r="C21" s="237"/>
      <c r="D21" s="238"/>
      <c r="E21" s="239" t="s">
        <v>137</v>
      </c>
      <c r="F21" s="239"/>
      <c r="G21" s="239"/>
      <c r="H21" s="239"/>
      <c r="I21" s="240"/>
    </row>
    <row r="22" spans="2:9" ht="218.25" customHeight="1" x14ac:dyDescent="0.15">
      <c r="B22" s="233" t="s">
        <v>38</v>
      </c>
      <c r="C22" s="234"/>
      <c r="D22" s="235"/>
      <c r="E22" s="185" t="s">
        <v>136</v>
      </c>
      <c r="F22" s="185"/>
      <c r="G22" s="185"/>
      <c r="H22" s="185"/>
      <c r="I22" s="18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HashimotoKen</cp:lastModifiedBy>
  <cp:lastPrinted>2023-06-24T01:03:42Z</cp:lastPrinted>
  <dcterms:created xsi:type="dcterms:W3CDTF">2011-06-14T05:32:50Z</dcterms:created>
  <dcterms:modified xsi:type="dcterms:W3CDTF">2023-06-24T01:05:18Z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