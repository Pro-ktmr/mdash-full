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Z:\MDASH\2023年度\2.本申請\01_甲南女子大学_リテラシー\"/>
    </mc:Choice>
  </mc:AlternateContent>
  <xr:revisionPtr revIDLastSave="0" documentId="13_ncr:1_{BF191B8E-39C8-40BC-ADAA-B797FBC30369}"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F15" i="40"/>
  <c r="AP15" i="40" s="1"/>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<sst xmlns="http://schemas.openxmlformats.org/spreadsheetml/2006/main" count="346" uniqueCount="187">
  <si>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</si>
  <si>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</si>
  <si>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</si>
  <si>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</si>
  <si>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</si>
  <si>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</si>
  <si>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</si>
  <si>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</si>
  <si>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</si>
  <si>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</si>
  <si>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</si>
  <si>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</si>
  <si>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</si>
  <si>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</si>
  <si>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</si>
  <si>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</si>
  <si>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</si>
  <si>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</si>
  <si>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</si>
  <si>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</si>
  <si>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</si>
  <si>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</si>
  <si>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</si>
  <si>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</si>
  <si>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</si>
  <si>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</si>
  <si>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</si>
  <si>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</si>
  <si>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</si>
  <si>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</si>
  <si>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</si>
  <si>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</si>
  <si>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</si>
  <si>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</si>
  <si>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</si>
  <si>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</si>
  <si>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</si>
  <si>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</si>
  <si>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</si>
  <si>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</si>
  <si>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</si>
  <si>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</si>
  <si>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</si>
  <si>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</si>
  <si>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</si>
  <si>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</si>
  <si>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</si>
  <si>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</si>
  <si>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</si>
  <si>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</si>
  <si>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</si>
  <si>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</si>
  <si>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</si>
  <si>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</si>
  <si>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</si>
  <si>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</si>
  <si>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</si>
  <si>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</si>
  <si>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</si>
  <si>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</si>
  <si>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</si>
  <si>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</si>
  <si>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</si>
  <si>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</si>
  <si>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</si>
  <si>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</si>
  <si>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</si>
  <si>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</si>
  <si>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</si>
  <si>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</si>
  <si>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</si>
  <si>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</si>
  <si>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</si>
  <si>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</si>
  <si>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</si>
  <si>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</si>
  <si>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</si>
  <si>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</si>
  <si>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</si>
  <si>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</si>
  <si>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</si>
  <si>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</si>
  <si>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</si>
  <si>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</si>
  <si>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</si>
  <si>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</si>
  <si>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</si>
  <si>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</si>
  <si>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</si>
  <si>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</si>
  <si>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</si>
  <si>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</si>
  <si>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</si>
  <si>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</si>
  <si>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</si>
  <si>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</si>
  <si>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</si>
  <si>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</si>
  <si>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</si>
  <si>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</si>
  <si>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</si>
  <si>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</si>
  <si>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</si>
  <si>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</si>
  <si>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</si>
  <si>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</si>
  <si>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</si>
  <si>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</si>
  <si>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</si>
  <si>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</si>
  <si>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</si>
  <si>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</si>
  <si>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</si>
  <si>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</si>
  <si>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</si>
  <si>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</si>
  <si>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</si>
  <si>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</si>
  <si>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</si>
  <si>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</si>
  <si>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</si>
  <si>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</si>
  <si>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</si>
  <si>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</si>
  <si>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</si>
  <si>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</si>
  <si>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</si>
  <si>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文学部</t>
    <rPh sb="0" eb="3">
      <t>ブンガクブ</t>
    </rPh>
    <phoneticPr fontId="1"/>
  </si>
  <si>
    <t>人間科学部</t>
    <rPh sb="0" eb="5">
      <t>ニンゲンカガクブ</t>
    </rPh>
    <phoneticPr fontId="1"/>
  </si>
  <si>
    <t>国際学部</t>
    <rPh sb="0" eb="4">
      <t>コクサイガクブ</t>
    </rPh>
    <phoneticPr fontId="1"/>
  </si>
  <si>
    <t>医療栄養学部</t>
    <rPh sb="0" eb="6">
      <t>イリョウエイヨウガクブ</t>
    </rPh>
    <phoneticPr fontId="1"/>
  </si>
  <si>
    <t>看護リハビリテーション学部</t>
    <rPh sb="0" eb="2">
      <t>カンゴ</t>
    </rPh>
    <rPh sb="11" eb="13">
      <t>ガクブ</t>
    </rPh>
    <phoneticPr fontId="1"/>
  </si>
  <si>
    <t>甲南女子大学</t>
    <rPh sb="0" eb="6">
      <t>コウナンジョシダイガク</t>
    </rPh>
    <phoneticPr fontId="1"/>
  </si>
  <si>
    <t>AI・データ活用力育成プログラム</t>
    <phoneticPr fontId="1"/>
  </si>
  <si>
    <t>学部・学科によって、修了要件は相違しない</t>
  </si>
  <si>
    <t>令和4</t>
    <rPh sb="0" eb="2">
      <t>レイワ</t>
    </rPh>
    <phoneticPr fontId="1"/>
  </si>
  <si>
    <t>教務部長</t>
    <rPh sb="0" eb="4">
      <t>キョウムブチョウ</t>
    </rPh>
    <phoneticPr fontId="1"/>
  </si>
  <si>
    <t>佐伯　勇</t>
    <phoneticPr fontId="1"/>
  </si>
  <si>
    <t>甲南女子大学全学共通教育委員会規程</t>
    <phoneticPr fontId="1"/>
  </si>
  <si>
    <t>(1)　全学共通教育の実施上審議を要すべき事項に関し、学部教授会等に提出する原案を作成する。
(2)　全学共通教育の実施に関する学長の諮問事項について審議する。
(3)　全学共通教育として実施されるプログラムの申請に必要な自己点検・評価を行う
(4)　全学共通教育の実施に関して必要な事項を研究審議し、学長に進言する。</t>
    <phoneticPr fontId="1"/>
  </si>
  <si>
    <t>令和４年度から「AI・データ活用育成プログラム」を新設した。
令和４年度新入生向けオリエンテーションにて、当該プログラムの紹介を行った。
当該プログラムは、複数年度にまたがるプログラムのため、令和5年度以降継続してプログラムを履修させる取り組みとして、大学HPサイトに特設サイトを構築するなど、データサイエンス教育に関する広報等を積極的に実施し、当プログラム科目の履修者数・履修率を向上させる。</t>
    <rPh sb="135" eb="137">
      <t>トクセツ</t>
    </rPh>
    <rPh sb="141" eb="143">
      <t>コウチク</t>
    </rPh>
    <phoneticPr fontId="1"/>
  </si>
  <si>
    <t>全学共通教育委員会</t>
    <phoneticPr fontId="1"/>
  </si>
  <si>
    <t>委員長</t>
    <rPh sb="0" eb="3">
      <t>イインチョウ</t>
    </rPh>
    <phoneticPr fontId="1"/>
  </si>
  <si>
    <t>AIとライフデザイン</t>
    <phoneticPr fontId="1"/>
  </si>
  <si>
    <t>心理学統計法Ⅰ</t>
    <phoneticPr fontId="1"/>
  </si>
  <si>
    <t>オリエンテーションを通じた周知
大学公式ウェブサイトでの当該プログラムに特化した特集ページの設置
大学入学案内での全学共通科目ページに当該プログラムに関する情報を掲載</t>
    <rPh sb="28" eb="30">
      <t>トウガイ</t>
    </rPh>
    <rPh sb="36" eb="38">
      <t>トッカ</t>
    </rPh>
    <rPh sb="46" eb="48">
      <t>セッチ</t>
    </rPh>
    <rPh sb="49" eb="51">
      <t>ダイガク</t>
    </rPh>
    <rPh sb="51" eb="53">
      <t>ニュウガク</t>
    </rPh>
    <rPh sb="57" eb="63">
      <t>ゼンガクキョウツウカモク</t>
    </rPh>
    <rPh sb="67" eb="69">
      <t>トウガイ</t>
    </rPh>
    <rPh sb="78" eb="80">
      <t>ジョウホウ</t>
    </rPh>
    <rPh sb="81" eb="83">
      <t>ケイサイ</t>
    </rPh>
    <phoneticPr fontId="1"/>
  </si>
  <si>
    <t>情報とコンピュータ Ⅱ</t>
    <phoneticPr fontId="1"/>
  </si>
  <si>
    <t>○</t>
  </si>
  <si>
    <t>情報とコンピュータ Ⅰ</t>
    <phoneticPr fontId="1"/>
  </si>
  <si>
    <t>コンピュータと社会</t>
    <phoneticPr fontId="1"/>
  </si>
  <si>
    <t>ビジネス情報実習</t>
    <phoneticPr fontId="1"/>
  </si>
  <si>
    <t>統計学の基礎</t>
    <phoneticPr fontId="1"/>
  </si>
  <si>
    <t>統計学</t>
    <phoneticPr fontId="1"/>
  </si>
  <si>
    <t>社会調査演習</t>
    <phoneticPr fontId="1"/>
  </si>
  <si>
    <t>生活環境学基礎演習Ⅲ</t>
    <phoneticPr fontId="1"/>
  </si>
  <si>
    <t>保健統計学</t>
    <phoneticPr fontId="1"/>
  </si>
  <si>
    <t>保健情報学</t>
    <phoneticPr fontId="1"/>
  </si>
  <si>
    <t>栄養情報処理学演習</t>
    <phoneticPr fontId="1"/>
  </si>
  <si>
    <t>公衆栄養学実習</t>
    <phoneticPr fontId="1"/>
  </si>
  <si>
    <t>必修科目「情報とコンピュータⅡ」では、初学者向けに編集されたテキストを用い、顧客分析、仕入計画など、専門分野によらず関心を持つ事例を用いて分析を行うほか、「AIで変わる私たちの暮らし」として、まちづくり、防災・環境、エネルギー、農業・食品など、身近な分野の事例を紹介している。また、「AI時代に求められる人材」について理解を深めることで、自らが学ぶべき意義について再確認するようにしている。</t>
    <phoneticPr fontId="1"/>
  </si>
  <si>
    <t>本プログラムで開講する「情報とコンピュータⅠ・Ⅱ」は全学必修科目であるため、本学に入学すると全員が受講しなければならない。授業内で本プログラムの周知を行っているため、後輩学生等への履修推奨の積極的な取り組みは実施していない。
その他、プログラムを構成する科目について、2023年度より大学HP内に当該プログラムについての特設ページを開設し、学内に広報していくことでプログラムの認知度を高め、履修を促進していく。</t>
    <phoneticPr fontId="1"/>
  </si>
  <si>
    <t>本プログラムの構成科目の一部である「情報とコンピュータⅠ・Ⅱ」は全学部1年次の必修科目であり、教務課が自動的に履修登録を行うことで入学者全員が履修する仕組みとしている。
必修科目でない全学共通科目、例えば「統計学の基礎」においても、全学生に対して履修しやすい曜日時限で開講した。
プログラム初年度受講科目についての履修率・単位取得率は以下のとおりである。
・「情報とコンピュータⅠ」：履修率100%、単位取得率97.3%
・「情報とコンピュータⅡ」：履修率100%、単位取得率96.3%
・「統計学の基礎」：履修率2.3%(22名)、単位取得率86.4%
※本プログラムは2022年度から開始しているため、上記は2022年度入学生に関する数値となる。</t>
    <phoneticPr fontId="1"/>
  </si>
  <si>
    <t>本学の当プログラムは1年次必修科目を含むため、履修者については1年ごとに確実に向上することが見込まれる。
但し、本プログラムは必修科目の修得だけでは修了できないため、1年次必修科目「情報とコンピュータⅠ・Ⅱ」の講義内にて、当プログラムを積極的に告知することや、プログラムを発展させるための全学共通教育委員会を定期的に実施し、その他プログラムを構成する科目の履修促進方法を協議・検討していく。</t>
    <phoneticPr fontId="1"/>
  </si>
  <si>
    <t>本学の当プログラムは2022年度から開始しており、現時点で修了者は存在しておらず、評価することができない。
2026年度には、プログラムを修了した学生の進路について、キャリアセンターが実施している進路調査から把握する予定。
将来的には、プログラムを修了した学生が卒業し、就職した企業等から活躍状況・評価についてヒアリングを行う予定。</t>
    <phoneticPr fontId="1"/>
  </si>
  <si>
    <t>キャリアセンターと連携し、学内企業説明会等で協力関係にある企業から、本科目の意義や実施状況を踏まえた意見聴取を実施する予定。</t>
    <phoneticPr fontId="1"/>
  </si>
  <si>
    <t>必修科目「情報とコンピュータⅠ・Ⅱ」では、反転授業の要素を取り入れ、毎回事前学習課題に取り組む形式としている。教員は事前学習課題の提出物を評価し、理解が難しいポイントを特定して重点的に対面授業で解説するよう工夫している。
FD委員会が各中間・期末に実施する「授業改善のためのアンケート」において、特に受講生が困っていることを把握したうえで、その後の授業に活用している。前期、後期の授業終了後には、担当教員全員の振り返りを共有し、授業内容や実施方法を改善する取り組みも行っている。</t>
    <phoneticPr fontId="1"/>
  </si>
  <si>
    <t>秋元　典子</t>
    <rPh sb="0" eb="2">
      <t>アキモト</t>
    </rPh>
    <rPh sb="3" eb="5">
      <t>ノリコ</t>
    </rPh>
    <phoneticPr fontId="1"/>
  </si>
  <si>
    <t>内部質保証委員会</t>
    <rPh sb="0" eb="8">
      <t>ナイブシツホショウイインカイ</t>
    </rPh>
    <phoneticPr fontId="1"/>
  </si>
  <si>
    <t>「情報とコンピュータⅠ・Ⅱ」は1クラス30名前後で対面実施するとともに、反転授業の要素を取り入れて、授業内ではグループワークや演習を行い、質問しやすい環境を整えている。
また、全てのシラバスには担当教員のメールアドレスを記載し、授業に関する質問や相談について、授業時間外でもやり取りができるよう工夫している。
科目によっては、毎週決まった時間にオフィスアワーを設定し、学生が教員と対面で直接指導を受けることができる機会も確保している。</t>
    <rPh sb="21" eb="22">
      <t>メイ</t>
    </rPh>
    <rPh sb="22" eb="24">
      <t>ゼンゴ</t>
    </rPh>
    <rPh sb="25" eb="27">
      <t>タイメン</t>
    </rPh>
    <rPh sb="27" eb="29">
      <t>ジッシ</t>
    </rPh>
    <rPh sb="36" eb="40">
      <t>ハンテンジュギョウ</t>
    </rPh>
    <rPh sb="41" eb="43">
      <t>ヨウソ</t>
    </rPh>
    <rPh sb="44" eb="45">
      <t>ト</t>
    </rPh>
    <rPh sb="46" eb="47">
      <t>イ</t>
    </rPh>
    <rPh sb="50" eb="53">
      <t>ジュギョウナイ</t>
    </rPh>
    <rPh sb="63" eb="65">
      <t>エンシュウ</t>
    </rPh>
    <rPh sb="66" eb="67">
      <t>オコナ</t>
    </rPh>
    <rPh sb="69" eb="71">
      <t>シツモン</t>
    </rPh>
    <rPh sb="75" eb="77">
      <t>カンキョウ</t>
    </rPh>
    <rPh sb="78" eb="79">
      <t>トトノ</t>
    </rPh>
    <rPh sb="89" eb="90">
      <t>スベ</t>
    </rPh>
    <rPh sb="131" eb="133">
      <t>ジュギョウ</t>
    </rPh>
    <rPh sb="148" eb="150">
      <t>クフウ</t>
    </rPh>
    <phoneticPr fontId="1"/>
  </si>
  <si>
    <t>全学必修科目「情報とコンピュータⅠ・Ⅱ」内で、プログラムの履修に関する説明を行っている。</t>
    <rPh sb="20" eb="21">
      <t>ナイ</t>
    </rPh>
    <rPh sb="29" eb="31">
      <t>リシュウ</t>
    </rPh>
    <rPh sb="32" eb="33">
      <t>カン</t>
    </rPh>
    <rPh sb="35" eb="37">
      <t>セツメイ</t>
    </rPh>
    <rPh sb="38" eb="39">
      <t>オコナ</t>
    </rPh>
    <phoneticPr fontId="1"/>
  </si>
  <si>
    <t>「情報とコンピュータⅠ・Ⅱ」は全学部必修科目としており、その他の科目についても、時間割編成において、学部・学科に関係なく希望する学生全員が受講可能となるよう工夫している。
全学共通教育委員会において、当プログラム科目の時間割配置や受講状況を確認し、希望者が全員受講可能となっていることを担保していく。</t>
    <rPh sb="30" eb="31">
      <t>タ</t>
    </rPh>
    <rPh sb="32" eb="34">
      <t>カモク</t>
    </rPh>
    <rPh sb="78" eb="80">
      <t>クフウ</t>
    </rPh>
    <rPh sb="110" eb="115">
      <t>ジカンワリハイチ</t>
    </rPh>
    <rPh sb="121" eb="123">
      <t>カクニン</t>
    </rPh>
    <rPh sb="125" eb="128">
      <t>キボウシャ</t>
    </rPh>
    <rPh sb="129" eb="131">
      <t>ゼンイン</t>
    </rPh>
    <rPh sb="131" eb="135">
      <t>ジュコウカノウ</t>
    </rPh>
    <rPh sb="144" eb="146">
      <t>タンポ</t>
    </rPh>
    <phoneticPr fontId="1"/>
  </si>
  <si>
    <t>人工知能（AI）やビッグデータを活用した新しいビジネスの形が出現する時代において、情報セキュリティや情報モラルについて理解すること、またコンピュータやスマートフォンから日常的にネットワークに接続し、あらゆる情報がつながっている時代を生きていく上で、社会で活用できるAI やデータ活用の基礎的知識を身につける</t>
    <phoneticPr fontId="1"/>
  </si>
  <si>
    <t>全学必修科目である「情報とコンピュータⅡ」において、学修成果の確認を目的に、第7 回に中間課題、第14 回に最終課題を実施した。中間課題では、10 点満点のうち、7 点以上の学生が73.3%、最終課題では、20 点満点のうち、14 点以上の学生が79.5%であった。7 割以上の得点者割合が増加しており、学修成果は授業が進むにつれて向上しているといえる。
FD委員会が後期末に実施した「授業改善のためのアンケート」によれば、「情報とコンピュータⅡ」&gt;「この科目を受講して成長したと思うこと」 の設問について、【パソコン等のIT技術】、【基礎的あるいは専門的な知識・技能】など、成長した能力を選択した学生は98％であったことから、シラバスに記載した到達目標がおおむね達成されたことが確認できた。</t>
    <phoneticPr fontId="1"/>
  </si>
  <si>
    <t>FD委員会が後期末に実施した「授業改善のためのアンケート」によれば、「情報とコンピュータⅠ」&gt;「授業の内容が十分に理解できたか」 の設問について、【強くそう思う】、【ややそう思う】を選択した学生は88.8％であった。「情報とコンピュータⅡ」の同設問について、【強くそう思う】、【ややそう思う】を選択した学生は72％であった。
「情報とコンピュータⅡ」は、「情報とコンピュータⅠ」と比較し、扱う内容の難易度が上がることから、「十分に理解できた」と回答した層がやや減少し、ここに改善の余地が見られるが、必修科目である「情報とコンピュータⅠ・Ⅱ」において、少なくとも受講者の7 割以上は授業内容を理解していることが確認できた。</t>
    <phoneticPr fontId="1"/>
  </si>
  <si>
    <t>・表形式のデータ 「情報とコンピュータⅠ」 （８回目）
・データの集計「情報とコンピュータⅡ」　（７回目）
・データの集計 「ビジネス情報実習」  （４回目）
・データの集計 「統計学の基礎」「統計学」「保健統計学」  （１回目）
・データの集計 「生活環境学基礎演習Ⅲ」 （１３回目）
・データの集計 「社会調査演習」  （８回目）</t>
    <rPh sb="1" eb="4">
      <t>ヒョウケイシキ</t>
    </rPh>
    <rPh sb="33" eb="35">
      <t>シュウケイ</t>
    </rPh>
    <rPh sb="97" eb="100">
      <t>トウケイガク</t>
    </rPh>
    <rPh sb="121" eb="123">
      <t>シュウケイ</t>
    </rPh>
    <rPh sb="125" eb="130">
      <t>セイカツカンキョウガク</t>
    </rPh>
    <rPh sb="130" eb="134">
      <t>キソエンシュウ</t>
    </rPh>
    <phoneticPr fontId="14"/>
  </si>
  <si>
    <t>・データ表現　「情報とコンピュータⅡ」　（１２回目）
・データ表現　 「ビジネス情報実習」  （１２回目）
・データ表現　 「社会調査演習」  （１３回目）
・データ表現　「生活環境学基礎演習Ⅲ」  （１５回目）
・データ表現 「公衆栄養学実習」  （２回目）</t>
    <phoneticPr fontId="1"/>
  </si>
  <si>
    <t>・ データの分布(ヒストグラム)と代表値（平均値、中央値、最頻値） 「情報とコンピュータⅡ」 （８回目）
・クロス集計表、分割表、相関係数行列、散布図行列 「ビジネス情報実習」  （７回目）
・母集団と標本抽出 「統計学の基礎」「統計学」「保健統計学」  （５回目）
・データのばらつき（分散、標準偏差、偏差値） 「心理学統計法Ⅰ」  （３回目）
・データの分析 「社会調査演習」  （１０回目）
・統計情報の正しい理解 「保健情報学」  （２回目）
・相関と因果（相関係数、擬似相関、交絡） 「栄養情報処理学演習」  （５回目）</t>
    <rPh sb="200" eb="204">
      <t>トウケイジョウホウ</t>
    </rPh>
    <rPh sb="205" eb="206">
      <t>タダ</t>
    </rPh>
    <rPh sb="208" eb="210">
      <t>リカイ</t>
    </rPh>
    <phoneticPr fontId="14"/>
  </si>
  <si>
    <t>・情報セキュリティ　「情報とコンピュータⅡ」（４回目）
・情報漏洩等によるセキュリティ自己の事例紹介　「コンピュータと社会」（１０回目）</t>
    <rPh sb="1" eb="3">
      <t>ジョウホウ</t>
    </rPh>
    <rPh sb="29" eb="34">
      <t>ジョウホウロウエイトウ</t>
    </rPh>
    <rPh sb="43" eb="45">
      <t>ジコ</t>
    </rPh>
    <rPh sb="46" eb="50">
      <t>ジレイショウカイ</t>
    </rPh>
    <phoneticPr fontId="14"/>
  </si>
  <si>
    <t>・個人情報保護、データのねつ造　「情報とコンピュータⅡ」（４回目）
・データ・AI活用における負の事例紹介　「AIとライフデザイン」（１０回目）</t>
    <rPh sb="1" eb="7">
      <t>コジンジョウホウホゴ</t>
    </rPh>
    <rPh sb="14" eb="15">
      <t>ゾウ</t>
    </rPh>
    <rPh sb="41" eb="43">
      <t>カツヨウ</t>
    </rPh>
    <rPh sb="47" eb="48">
      <t>フ</t>
    </rPh>
    <rPh sb="49" eb="53">
      <t>ジレイショウカイ</t>
    </rPh>
    <phoneticPr fontId="14"/>
  </si>
  <si>
    <t>・流通、製造、金融、サービス、インフラ、公共、ヘルスケア等におけるデータ・AI利活用事例紹介　「情報とコンピュータⅡ」（２回目）
・流通、製造、金融、サービス、インフラ、公共、ヘルスケア等におけるデータ・AI利活用事例紹介　「AIとライフデザイン」（１１回目）</t>
    <rPh sb="1" eb="3">
      <t>リュウツウ</t>
    </rPh>
    <rPh sb="4" eb="6">
      <t>セイゾウ</t>
    </rPh>
    <rPh sb="7" eb="9">
      <t>キンユウ</t>
    </rPh>
    <rPh sb="20" eb="22">
      <t>コウキョウ</t>
    </rPh>
    <rPh sb="28" eb="29">
      <t>トウ</t>
    </rPh>
    <rPh sb="40" eb="46">
      <t>カツヨウジレイショウカイ</t>
    </rPh>
    <phoneticPr fontId="14"/>
  </si>
  <si>
    <t>・AIとビッグデータ「情報とコンピュータⅡ」（２回目）
・非構造化データ処理　「AIとライフデザイン」（１２2回目）</t>
    <rPh sb="36" eb="38">
      <t>ショリ</t>
    </rPh>
    <rPh sb="56" eb="57">
      <t>メ</t>
    </rPh>
    <phoneticPr fontId="14"/>
  </si>
  <si>
    <t>・データ・AI活用領域の広がり）「情報とコンピュータⅡ」（２回目）
・研究開発、調達、製造、物流、販売、マーケティング、サービスなど　「AIとライフデザイン」（１１回目）</t>
    <phoneticPr fontId="1"/>
  </si>
  <si>
    <t>・調査データ、実験データ、人の行動ログデータ、機械の稼働ログデータなど「情報とコンピュータⅡ」（２回目）
・構造化データ、非構造化データ　「AIとライフデザイン」（１２回目）</t>
    <phoneticPr fontId="1"/>
  </si>
  <si>
    <t>・Society5.0 「情報とコンピュータⅡ」 （１回目）
・AI、ビッグデータ 「コンピュータと社会」 （１２回目）
・人間の知的活動とAIの関係性　「AIとライフデザイン」（１４回目）</t>
    <rPh sb="13" eb="15">
      <t>ジョウホウ</t>
    </rPh>
    <rPh sb="50" eb="52">
      <t>シャカイ</t>
    </rPh>
    <phoneticPr fontId="14"/>
  </si>
  <si>
    <t>・AI等を活用した新しいビジネスモデル 「情報とコンピュータⅡ」 （２回目）]
・AI最新技術の活用例 「コンピュータと社会」 （１３回目）
・AI最新技術の活用例 「AIとライフデザイン」 （１２回目）</t>
    <rPh sb="3" eb="4">
      <t>トウ</t>
    </rPh>
    <rPh sb="5" eb="7">
      <t>カツヨウ</t>
    </rPh>
    <rPh sb="9" eb="10">
      <t>アタラ</t>
    </rPh>
    <rPh sb="74" eb="78">
      <t>サイシンギジュツ</t>
    </rPh>
    <rPh sb="79" eb="82">
      <t>カツヨウレイ</t>
    </rPh>
    <phoneticPr fontId="14"/>
  </si>
  <si>
    <t>AI・データ活用力育成プログラムは、「情報処理・AI基礎科目」群（計4科目）と「データリテラシー基礎科目」群（計10科目）からなる。
「情報処理・AI基礎科目」群：１，情報とコンピュータⅠ　２，情報とコンピュータⅡ　３，AIとライフデザイン　４，コンピュータと社会
「データリテラシー基礎科目」群（計10科目）：１，統計学の基礎　２，ビジネス情報実習　３，心理学統計法Ⅰ　４，社会調査実習　５，生活環境学基礎演習Ⅲ　６，保健統計学　７，保健情報学　８，統計学　９，栄養情報処理学演習　１０，公衆栄養学実習
「情報処理・AI基礎科目」群から4単位以上かつ、「データリテラシー基礎科目」群から2単位以上
計6単位以上を修得することで、プログラム修了とし、認定証を発行する。</t>
    <rPh sb="84" eb="86">
      <t>ジョウホウ</t>
    </rPh>
    <rPh sb="97" eb="99">
      <t>ジョウホウ</t>
    </rPh>
    <rPh sb="130" eb="132">
      <t>シャカイ</t>
    </rPh>
    <rPh sb="158" eb="161">
      <t>トウケイガク</t>
    </rPh>
    <rPh sb="162" eb="164">
      <t>キソ</t>
    </rPh>
    <rPh sb="171" eb="175">
      <t>ジョウホウジッシュウ</t>
    </rPh>
    <rPh sb="178" eb="184">
      <t>シンリガクトウケイホウ</t>
    </rPh>
    <rPh sb="197" eb="207">
      <t>セイカツカンキョウガクキソエンシュウサン</t>
    </rPh>
    <rPh sb="210" eb="215">
      <t>ホケントウケイガク</t>
    </rPh>
    <rPh sb="218" eb="223">
      <t>ホケンジョウホウガク</t>
    </rPh>
    <rPh sb="226" eb="229">
      <t>トウケイガク</t>
    </rPh>
    <rPh sb="232" eb="241">
      <t>エイヨウジョウホウショリガクエンシュウ</t>
    </rPh>
    <rPh sb="245" eb="252">
      <t>コウシュウエイヨウガクジッシュウ</t>
    </rPh>
    <phoneticPr fontId="1"/>
  </si>
  <si>
    <t>(1)　学長が指名した委員長：人間科学部　教授　佐伯　勇
(2)　学長が指名した専任教員：文学部　教授　信時　哲郎、国際学部　教授　ｲ･ｳﾅ、
　　 人間科学部　教授　坂井　康子、看護リハビリテーション学科　准教授　池田　七衣
(3)　キャリアセンター長：国際学部　教授　森本　真理
(4)　教務部長：人間科学部　教授　佐伯　勇
(5)　キャリアセンター課長：深澤　貞信
(6)　教務課長：川俣　貴史
※前項第3号及び第4号の委員は、前項第1号の委員を兼ねることができる。</t>
    <rPh sb="45" eb="48">
      <t>ブンガクブ</t>
    </rPh>
    <rPh sb="49" eb="51">
      <t>キョウジュ</t>
    </rPh>
    <rPh sb="58" eb="62">
      <t>コクサイガクブ</t>
    </rPh>
    <rPh sb="63" eb="65">
      <t>キョウジュ</t>
    </rPh>
    <rPh sb="99" eb="101">
      <t>ガッカ</t>
    </rPh>
    <rPh sb="102" eb="104">
      <t>キョウジュ</t>
    </rPh>
    <rPh sb="126" eb="130">
      <t>コクサイガクブ</t>
    </rPh>
    <rPh sb="131" eb="133">
      <t>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</si>
</sst>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eiryo UI"/>
      <family val="3"/>
      <charset val="128"/>
    </font>
    <font>
      <sz val="12"/>
      <color rgb="FFFF0000"/>
      <name val="ＭＳ Ｐゴシック"/>
      <family val="3"/>
      <charset val="128"/>
      <scheme val="minor"/>
    </font>
    <font>
      <sz val="12"/>
      <color theme="1"/>
      <name val="ＭＳ Ｐゴシック"/>
      <family val="3"/>
      <charset val="128"/>
      <scheme val="major"/>
    </font>
    <font>
      <sz val="11"/>
      <color rgb="FF9C5700"/>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5">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14" xfId="0" applyFont="1" applyBorder="1" applyAlignment="1">
      <alignment horizontal="left" vertical="center" shrinkToFit="1"/>
    </xf>
    <xf numFmtId="0" fontId="11" fillId="0" borderId="23" xfId="0" applyFont="1" applyBorder="1" applyAlignment="1">
      <alignment horizontal="left" vertical="center" shrinkToFit="1"/>
    </xf>
    <xf numFmtId="0" fontId="12" fillId="0" borderId="0" xfId="0" applyFont="1" applyAlignment="1">
      <alignment horizontal="center" vertical="center"/>
    </xf>
    <xf numFmtId="0" fontId="12" fillId="0" borderId="0" xfId="0" applyFont="1">
      <alignment vertical="center"/>
    </xf>
    <xf numFmtId="9" fontId="2" fillId="0" borderId="1" xfId="0" applyNumberFormat="1" applyFont="1" applyBorder="1" applyAlignment="1">
      <alignment horizontal="center" vertical="center" shrinkToFit="1"/>
    </xf>
    <xf numFmtId="0" fontId="13" fillId="0" borderId="0" xfId="0" applyFont="1" applyAlignment="1">
      <alignment vertical="center" shrinkToFit="1"/>
    </xf>
    <xf numFmtId="0" fontId="13" fillId="0" borderId="5" xfId="0" applyFont="1" applyBorder="1" applyAlignment="1">
      <alignment vertical="center" shrinkToFit="1"/>
    </xf>
    <xf numFmtId="0" fontId="13" fillId="0" borderId="20" xfId="0" applyFont="1" applyBorder="1" applyAlignment="1">
      <alignment vertical="center" shrinkToFit="1"/>
    </xf>
    <xf numFmtId="0" fontId="13" fillId="0" borderId="19" xfId="0"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left" vertical="center" shrinkToFit="1"/>
    </xf>
    <xf numFmtId="0" fontId="2" fillId="0" borderId="36" xfId="0" applyFont="1" applyBorder="1" applyAlignment="1">
      <alignment horizontal="left" vertical="center"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5" fillId="0" borderId="8" xfId="0" applyFont="1" applyBorder="1" applyAlignment="1">
      <alignment horizontal="left" vertical="center" wrapText="1" shrinkToFit="1"/>
    </xf>
    <xf numFmtId="0" fontId="5" fillId="0" borderId="8" xfId="0" applyFont="1" applyBorder="1" applyAlignment="1">
      <alignment horizontal="left" vertical="center" shrinkToFit="1"/>
    </xf>
    <xf numFmtId="0" fontId="5" fillId="0" borderId="9" xfId="0" applyFont="1" applyBorder="1" applyAlignment="1">
      <alignment horizontal="left" vertical="center" shrinkToFit="1"/>
    </xf>
    <xf numFmtId="0" fontId="5" fillId="0" borderId="22" xfId="0" applyFont="1" applyBorder="1" applyAlignment="1">
      <alignment horizontal="left" vertical="center" wrapText="1" shrinkToFit="1"/>
    </xf>
    <xf numFmtId="0" fontId="5" fillId="0" borderId="22"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36" xfId="0" applyFont="1" applyBorder="1" applyAlignment="1">
      <alignment horizontal="left" vertical="center" wrapText="1" shrinkToFit="1"/>
    </xf>
    <xf numFmtId="0" fontId="5" fillId="0" borderId="36" xfId="0" applyFont="1" applyBorder="1" applyAlignment="1">
      <alignment horizontal="left" vertical="center" shrinkToFit="1"/>
    </xf>
    <xf numFmtId="0" fontId="5" fillId="0" borderId="35" xfId="0" applyFont="1" applyBorder="1" applyAlignment="1">
      <alignment horizontal="left" vertical="center" shrinkToFit="1"/>
    </xf>
    <xf numFmtId="0" fontId="5" fillId="0" borderId="38" xfId="0" applyFont="1" applyBorder="1" applyAlignment="1">
      <alignment horizontal="left" vertical="center" wrapText="1" shrinkToFit="1"/>
    </xf>
    <xf numFmtId="0" fontId="5" fillId="0" borderId="38"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6" xfId="0" applyFont="1" applyBorder="1" applyAlignment="1">
      <alignment horizontal="left" vertical="center" wrapText="1" shrinkToFit="1"/>
    </xf>
    <xf numFmtId="0" fontId="5" fillId="0" borderId="6" xfId="0" applyFont="1" applyBorder="1" applyAlignment="1">
      <alignment horizontal="left" vertical="center" shrinkToFit="1"/>
    </xf>
    <xf numFmtId="0" fontId="5" fillId="0" borderId="12" xfId="0" applyFont="1" applyBorder="1" applyAlignment="1">
      <alignment horizontal="left" vertical="center" shrinkToFit="1"/>
    </xf>
    <xf numFmtId="0" fontId="5" fillId="0" borderId="36" xfId="0" applyFont="1" applyBorder="1" applyAlignment="1">
      <alignment vertical="center" wrapText="1" shrinkToFit="1"/>
    </xf>
    <xf numFmtId="0" fontId="5" fillId="0" borderId="36" xfId="0" applyFont="1" applyBorder="1" applyAlignment="1">
      <alignment vertical="center" shrinkToFit="1"/>
    </xf>
    <xf numFmtId="0" fontId="5" fillId="0" borderId="35" xfId="0" applyFont="1" applyBorder="1" applyAlignment="1">
      <alignment vertical="center" shrinkToFit="1"/>
    </xf>
    <xf numFmtId="0" fontId="5" fillId="0" borderId="19" xfId="0" applyFont="1" applyBorder="1" applyAlignment="1">
      <alignment vertical="center" wrapText="1" shrinkToFit="1"/>
    </xf>
    <xf numFmtId="0" fontId="5" fillId="0" borderId="20" xfId="0" applyFont="1" applyBorder="1" applyAlignment="1">
      <alignment vertical="center" shrinkToFit="1"/>
    </xf>
    <xf numFmtId="0" fontId="5" fillId="0" borderId="18" xfId="0" applyFont="1" applyBorder="1" applyAlignment="1">
      <alignment vertical="center" shrinkToFit="1"/>
    </xf>
    <xf numFmtId="0" fontId="5" fillId="0" borderId="6" xfId="0" applyFont="1" applyBorder="1" applyAlignment="1">
      <alignment vertical="center" wrapText="1" shrinkToFit="1"/>
    </xf>
    <xf numFmtId="0" fontId="5" fillId="0" borderId="6" xfId="0" applyFont="1" applyBorder="1" applyAlignment="1">
      <alignment vertical="center" shrinkToFit="1"/>
    </xf>
    <xf numFmtId="0" fontId="5" fillId="0" borderId="12" xfId="0" applyFont="1" applyBorder="1" applyAlignment="1">
      <alignment vertical="center" shrinkToFit="1"/>
    </xf>
    <xf numFmtId="0" fontId="5" fillId="0" borderId="4" xfId="0" applyFont="1" applyBorder="1" applyAlignment="1">
      <alignment horizontal="left" vertical="center"/>
    </xf>
  </cellXfs>
  <cellStyles count="5">
    <cellStyle name="パーセント" xfId="1" builtinId="5"/>
    <cellStyle name="桁区切り" xfId="2" builtinId="6"/>
    <cellStyle name="標準" xfId="0" builtinId="0"/>
    <cellStyle name="標準 2" xfId="3" xr:uid="{29560BFC-8310-47A2-848E-8D7F72A20510}"/>
    <cellStyle name="標準 3" xfId="4" xr:uid="{A4293386-2B1A-4EE2-96E0-A99B532F439D}"/>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zoomScale="85" zoomScaleNormal="85" zoomScaleSheetLayoutView="85" workbookViewId="0">
      <selection activeCell="D89" sqref="D8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8" t="s">
        <v>12</v>
      </c>
      <c r="S1" s="108"/>
      <c r="T1" s="2" t="s">
        <v>110</v>
      </c>
    </row>
    <row r="2" spans="1:22" ht="18.75" customHeight="1" x14ac:dyDescent="0.15">
      <c r="B2" s="33" t="s">
        <v>109</v>
      </c>
      <c r="C2" s="101" t="s">
        <v>132</v>
      </c>
      <c r="D2" s="102"/>
      <c r="E2" s="102"/>
      <c r="F2" s="102"/>
      <c r="G2" s="102"/>
      <c r="H2" s="102"/>
      <c r="I2" s="103"/>
      <c r="J2" s="34"/>
      <c r="K2" s="6"/>
      <c r="L2" s="6"/>
      <c r="M2" s="6"/>
      <c r="N2" s="6"/>
      <c r="O2" s="6"/>
      <c r="P2" s="6"/>
      <c r="Q2" s="6"/>
      <c r="R2" s="6"/>
      <c r="S2" s="6"/>
    </row>
    <row r="3" spans="1:22" ht="18.75" customHeight="1" x14ac:dyDescent="0.15">
      <c r="B3" s="33" t="s">
        <v>103</v>
      </c>
      <c r="C3" s="101" t="s">
        <v>133</v>
      </c>
      <c r="D3" s="102"/>
      <c r="E3" s="102"/>
      <c r="F3" s="102"/>
      <c r="G3" s="102"/>
      <c r="H3" s="102"/>
      <c r="I3" s="103"/>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12" t="s">
        <v>39</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22" t="s">
        <v>134</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9"/>
      <c r="C9" s="90"/>
      <c r="D9" s="90"/>
      <c r="E9" s="90"/>
      <c r="F9" s="90"/>
      <c r="G9" s="90"/>
      <c r="H9" s="90"/>
      <c r="I9" s="90"/>
      <c r="J9" s="90"/>
      <c r="K9" s="90"/>
      <c r="L9" s="90"/>
      <c r="M9" s="90"/>
      <c r="N9" s="90"/>
      <c r="O9" s="90"/>
      <c r="P9" s="90"/>
      <c r="Q9" s="90"/>
      <c r="R9" s="90"/>
      <c r="S9" s="91"/>
    </row>
    <row r="10" spans="1:22" ht="18" customHeight="1" x14ac:dyDescent="0.15">
      <c r="B10" s="92"/>
      <c r="C10" s="93"/>
      <c r="D10" s="93"/>
      <c r="E10" s="93"/>
      <c r="F10" s="93"/>
      <c r="G10" s="93"/>
      <c r="H10" s="93"/>
      <c r="I10" s="93"/>
      <c r="J10" s="93"/>
      <c r="K10" s="93"/>
      <c r="L10" s="93"/>
      <c r="M10" s="93"/>
      <c r="N10" s="93"/>
      <c r="O10" s="93"/>
      <c r="P10" s="93"/>
      <c r="Q10" s="93"/>
      <c r="R10" s="93"/>
      <c r="S10" s="94"/>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8"/>
      <c r="L12" s="38"/>
      <c r="M12" s="38"/>
      <c r="N12" s="38"/>
      <c r="O12" s="38"/>
      <c r="P12" s="38"/>
      <c r="Q12" s="38"/>
      <c r="R12" s="38"/>
      <c r="S12" s="38"/>
    </row>
    <row r="13" spans="1:22" ht="18" customHeight="1" x14ac:dyDescent="0.15">
      <c r="B13" s="113" t="s">
        <v>185</v>
      </c>
      <c r="C13" s="114"/>
      <c r="D13" s="114"/>
      <c r="E13" s="114"/>
      <c r="F13" s="114"/>
      <c r="G13" s="114"/>
      <c r="H13" s="114"/>
      <c r="I13" s="114"/>
      <c r="J13" s="114"/>
      <c r="K13" s="114"/>
      <c r="L13" s="114"/>
      <c r="M13" s="114"/>
      <c r="N13" s="114"/>
      <c r="O13" s="114"/>
      <c r="P13" s="114"/>
      <c r="Q13" s="114"/>
      <c r="R13" s="114"/>
      <c r="S13" s="115"/>
      <c r="V13" s="1" t="s">
        <v>104</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124</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126</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01">
        <v>6</v>
      </c>
      <c r="D20" s="103"/>
      <c r="E20" s="39" t="s">
        <v>96</v>
      </c>
      <c r="G20" s="10"/>
      <c r="H20" s="3"/>
      <c r="I20" s="3"/>
      <c r="J20" s="34" t="s">
        <v>122</v>
      </c>
      <c r="K20" s="109" t="s">
        <v>126</v>
      </c>
      <c r="L20" s="110"/>
      <c r="M20" s="110"/>
      <c r="N20" s="110"/>
      <c r="O20" s="110"/>
      <c r="P20" s="110"/>
      <c r="Q20" s="110"/>
      <c r="R20" s="110"/>
      <c r="S20" s="11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4" t="s">
        <v>114</v>
      </c>
      <c r="B22" s="104"/>
      <c r="C22" s="104"/>
      <c r="D22" s="104"/>
      <c r="E22" s="104"/>
      <c r="F22" s="104"/>
      <c r="G22" s="104"/>
      <c r="H22" s="104"/>
      <c r="I22" s="104"/>
      <c r="J22" s="104"/>
      <c r="K22" s="104"/>
      <c r="L22" s="104"/>
      <c r="M22" s="104"/>
      <c r="N22" s="104"/>
      <c r="O22" s="104"/>
      <c r="P22" s="104"/>
      <c r="Q22" s="104"/>
      <c r="R22" s="104"/>
      <c r="S22" s="104"/>
    </row>
    <row r="23" spans="1:19" ht="18" customHeight="1" x14ac:dyDescent="0.15">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15">
      <c r="B24" s="101" t="s">
        <v>54</v>
      </c>
      <c r="C24" s="102"/>
      <c r="D24" s="102"/>
      <c r="E24" s="103"/>
      <c r="F24" s="59" t="s">
        <v>81</v>
      </c>
      <c r="G24" s="58" t="s">
        <v>85</v>
      </c>
      <c r="H24" s="21" t="s">
        <v>57</v>
      </c>
      <c r="I24" s="21" t="s">
        <v>60</v>
      </c>
      <c r="J24" s="101" t="s">
        <v>54</v>
      </c>
      <c r="K24" s="102"/>
      <c r="L24" s="102"/>
      <c r="M24" s="102"/>
      <c r="N24" s="102"/>
      <c r="O24" s="103"/>
      <c r="P24" s="59" t="s">
        <v>81</v>
      </c>
      <c r="Q24" s="58" t="s">
        <v>85</v>
      </c>
      <c r="R24" s="21" t="s">
        <v>57</v>
      </c>
      <c r="S24" s="21" t="s">
        <v>60</v>
      </c>
    </row>
    <row r="25" spans="1:19" ht="18" customHeight="1" x14ac:dyDescent="0.15">
      <c r="B25" s="105" t="s">
        <v>146</v>
      </c>
      <c r="C25" s="106"/>
      <c r="D25" s="106"/>
      <c r="E25" s="107"/>
      <c r="F25" s="22">
        <v>1</v>
      </c>
      <c r="G25" s="22" t="s">
        <v>147</v>
      </c>
      <c r="H25" s="22" t="s">
        <v>147</v>
      </c>
      <c r="I25" s="22" t="s">
        <v>147</v>
      </c>
      <c r="J25" s="105"/>
      <c r="K25" s="106"/>
      <c r="L25" s="106"/>
      <c r="M25" s="106"/>
      <c r="N25" s="106"/>
      <c r="O25" s="107"/>
      <c r="P25" s="22"/>
      <c r="Q25" s="22"/>
      <c r="R25" s="22"/>
      <c r="S25" s="22"/>
    </row>
    <row r="26" spans="1:19" ht="18" customHeight="1" x14ac:dyDescent="0.15">
      <c r="B26" s="95" t="s">
        <v>149</v>
      </c>
      <c r="C26" s="96"/>
      <c r="D26" s="96"/>
      <c r="E26" s="97"/>
      <c r="F26" s="23">
        <v>2</v>
      </c>
      <c r="G26" s="23"/>
      <c r="H26" s="23" t="s">
        <v>147</v>
      </c>
      <c r="I26" s="23" t="s">
        <v>147</v>
      </c>
      <c r="J26" s="95"/>
      <c r="K26" s="96"/>
      <c r="L26" s="96"/>
      <c r="M26" s="96"/>
      <c r="N26" s="96"/>
      <c r="O26" s="97"/>
      <c r="P26" s="23"/>
      <c r="Q26" s="23"/>
      <c r="R26" s="23"/>
      <c r="S26" s="23"/>
    </row>
    <row r="27" spans="1:19" ht="18" customHeight="1" x14ac:dyDescent="0.15">
      <c r="B27" s="95" t="s">
        <v>143</v>
      </c>
      <c r="C27" s="96"/>
      <c r="D27" s="96"/>
      <c r="E27" s="97"/>
      <c r="F27" s="23">
        <v>2</v>
      </c>
      <c r="G27" s="23"/>
      <c r="H27" s="23" t="s">
        <v>147</v>
      </c>
      <c r="I27" s="23" t="s">
        <v>147</v>
      </c>
      <c r="J27" s="95"/>
      <c r="K27" s="96"/>
      <c r="L27" s="96"/>
      <c r="M27" s="96"/>
      <c r="N27" s="96"/>
      <c r="O27" s="97"/>
      <c r="P27" s="23"/>
      <c r="Q27" s="23"/>
      <c r="R27" s="23"/>
      <c r="S27" s="23"/>
    </row>
    <row r="28" spans="1:19" ht="18" customHeight="1" x14ac:dyDescent="0.15">
      <c r="B28" s="95"/>
      <c r="C28" s="96"/>
      <c r="D28" s="96"/>
      <c r="E28" s="97"/>
      <c r="F28" s="23"/>
      <c r="G28" s="23"/>
      <c r="H28" s="23"/>
      <c r="I28" s="23"/>
      <c r="J28" s="95"/>
      <c r="K28" s="96"/>
      <c r="L28" s="96"/>
      <c r="M28" s="96"/>
      <c r="N28" s="96"/>
      <c r="O28" s="97"/>
      <c r="P28" s="23"/>
      <c r="Q28" s="23"/>
      <c r="R28" s="23"/>
      <c r="S28" s="23"/>
    </row>
    <row r="29" spans="1:19" ht="18" customHeight="1" x14ac:dyDescent="0.15">
      <c r="B29" s="95"/>
      <c r="C29" s="96"/>
      <c r="D29" s="96"/>
      <c r="E29" s="97"/>
      <c r="F29" s="23"/>
      <c r="G29" s="23"/>
      <c r="H29" s="23"/>
      <c r="I29" s="23"/>
      <c r="J29" s="95"/>
      <c r="K29" s="96"/>
      <c r="L29" s="96"/>
      <c r="M29" s="96"/>
      <c r="N29" s="96"/>
      <c r="O29" s="97"/>
      <c r="P29" s="23"/>
      <c r="Q29" s="23"/>
      <c r="R29" s="23"/>
      <c r="S29" s="23"/>
    </row>
    <row r="30" spans="1:19" ht="18" customHeight="1" x14ac:dyDescent="0.15">
      <c r="A30" s="3"/>
      <c r="B30" s="95"/>
      <c r="C30" s="96"/>
      <c r="D30" s="96"/>
      <c r="E30" s="97"/>
      <c r="F30" s="23"/>
      <c r="G30" s="23"/>
      <c r="H30" s="23"/>
      <c r="I30" s="23"/>
      <c r="J30" s="95"/>
      <c r="K30" s="96"/>
      <c r="L30" s="96"/>
      <c r="M30" s="96"/>
      <c r="N30" s="96"/>
      <c r="O30" s="97"/>
      <c r="P30" s="23"/>
      <c r="Q30" s="23"/>
      <c r="R30" s="23"/>
      <c r="S30" s="23"/>
    </row>
    <row r="31" spans="1:19" ht="18" customHeight="1" x14ac:dyDescent="0.15">
      <c r="A31" s="3"/>
      <c r="B31" s="98"/>
      <c r="C31" s="99"/>
      <c r="D31" s="99"/>
      <c r="E31" s="100"/>
      <c r="F31" s="24"/>
      <c r="G31" s="24"/>
      <c r="H31" s="25"/>
      <c r="I31" s="25"/>
      <c r="J31" s="98"/>
      <c r="K31" s="99"/>
      <c r="L31" s="99"/>
      <c r="M31" s="99"/>
      <c r="N31" s="99"/>
      <c r="O31" s="100"/>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4" t="s">
        <v>115</v>
      </c>
      <c r="B33" s="104"/>
      <c r="C33" s="104"/>
      <c r="D33" s="104"/>
      <c r="E33" s="104"/>
      <c r="F33" s="104"/>
      <c r="G33" s="104"/>
      <c r="H33" s="104"/>
      <c r="I33" s="104"/>
      <c r="J33" s="104"/>
      <c r="K33" s="104"/>
      <c r="L33" s="104"/>
      <c r="M33" s="104"/>
      <c r="N33" s="104"/>
      <c r="O33" s="104"/>
      <c r="P33" s="104"/>
      <c r="Q33" s="104"/>
      <c r="R33" s="104"/>
      <c r="S33" s="104"/>
    </row>
    <row r="34" spans="1:19" ht="18" customHeight="1" x14ac:dyDescent="0.15">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15">
      <c r="B35" s="101" t="s">
        <v>54</v>
      </c>
      <c r="C35" s="102"/>
      <c r="D35" s="102"/>
      <c r="E35" s="103"/>
      <c r="F35" s="59" t="s">
        <v>81</v>
      </c>
      <c r="G35" s="58" t="s">
        <v>85</v>
      </c>
      <c r="H35" s="21" t="s">
        <v>72</v>
      </c>
      <c r="I35" s="21" t="s">
        <v>73</v>
      </c>
      <c r="J35" s="101" t="s">
        <v>54</v>
      </c>
      <c r="K35" s="102"/>
      <c r="L35" s="102"/>
      <c r="M35" s="102"/>
      <c r="N35" s="102"/>
      <c r="O35" s="103"/>
      <c r="P35" s="59" t="s">
        <v>81</v>
      </c>
      <c r="Q35" s="58" t="s">
        <v>85</v>
      </c>
      <c r="R35" s="21" t="s">
        <v>72</v>
      </c>
      <c r="S35" s="21" t="s">
        <v>73</v>
      </c>
    </row>
    <row r="36" spans="1:19" ht="18" customHeight="1" x14ac:dyDescent="0.15">
      <c r="B36" s="105" t="s">
        <v>146</v>
      </c>
      <c r="C36" s="106"/>
      <c r="D36" s="106"/>
      <c r="E36" s="107"/>
      <c r="F36" s="22">
        <v>1</v>
      </c>
      <c r="G36" s="22" t="s">
        <v>147</v>
      </c>
      <c r="H36" s="22" t="s">
        <v>147</v>
      </c>
      <c r="I36" s="22" t="s">
        <v>147</v>
      </c>
      <c r="J36" s="105"/>
      <c r="K36" s="106"/>
      <c r="L36" s="106"/>
      <c r="M36" s="106"/>
      <c r="N36" s="106"/>
      <c r="O36" s="107"/>
      <c r="P36" s="22"/>
      <c r="Q36" s="22"/>
      <c r="R36" s="22"/>
      <c r="S36" s="22"/>
    </row>
    <row r="37" spans="1:19" ht="18" customHeight="1" x14ac:dyDescent="0.15">
      <c r="B37" s="95" t="s">
        <v>143</v>
      </c>
      <c r="C37" s="96"/>
      <c r="D37" s="96"/>
      <c r="E37" s="97"/>
      <c r="F37" s="23">
        <v>2</v>
      </c>
      <c r="G37" s="23"/>
      <c r="H37" s="23" t="s">
        <v>147</v>
      </c>
      <c r="I37" s="23" t="s">
        <v>147</v>
      </c>
      <c r="J37" s="95"/>
      <c r="K37" s="96"/>
      <c r="L37" s="96"/>
      <c r="M37" s="96"/>
      <c r="N37" s="96"/>
      <c r="O37" s="97"/>
      <c r="P37" s="23"/>
      <c r="Q37" s="23"/>
      <c r="R37" s="23"/>
      <c r="S37" s="23"/>
    </row>
    <row r="38" spans="1:19" ht="18" customHeight="1" x14ac:dyDescent="0.15">
      <c r="B38" s="95"/>
      <c r="C38" s="96"/>
      <c r="D38" s="96"/>
      <c r="E38" s="97"/>
      <c r="F38" s="23"/>
      <c r="G38" s="23"/>
      <c r="H38" s="23"/>
      <c r="I38" s="23"/>
      <c r="J38" s="95"/>
      <c r="K38" s="96"/>
      <c r="L38" s="96"/>
      <c r="M38" s="96"/>
      <c r="N38" s="96"/>
      <c r="O38" s="97"/>
      <c r="P38" s="23"/>
      <c r="Q38" s="23"/>
      <c r="R38" s="23"/>
      <c r="S38" s="23"/>
    </row>
    <row r="39" spans="1:19" ht="18" customHeight="1" x14ac:dyDescent="0.15">
      <c r="B39" s="95"/>
      <c r="C39" s="96"/>
      <c r="D39" s="96"/>
      <c r="E39" s="97"/>
      <c r="F39" s="23"/>
      <c r="G39" s="23"/>
      <c r="H39" s="23"/>
      <c r="I39" s="23"/>
      <c r="J39" s="95"/>
      <c r="K39" s="96"/>
      <c r="L39" s="96"/>
      <c r="M39" s="96"/>
      <c r="N39" s="96"/>
      <c r="O39" s="97"/>
      <c r="P39" s="23"/>
      <c r="Q39" s="23"/>
      <c r="R39" s="23"/>
      <c r="S39" s="23"/>
    </row>
    <row r="40" spans="1:19" ht="18" customHeight="1" x14ac:dyDescent="0.15">
      <c r="B40" s="95"/>
      <c r="C40" s="96"/>
      <c r="D40" s="96"/>
      <c r="E40" s="97"/>
      <c r="F40" s="23"/>
      <c r="G40" s="23"/>
      <c r="H40" s="23"/>
      <c r="I40" s="23"/>
      <c r="J40" s="95"/>
      <c r="K40" s="96"/>
      <c r="L40" s="96"/>
      <c r="M40" s="96"/>
      <c r="N40" s="96"/>
      <c r="O40" s="97"/>
      <c r="P40" s="23"/>
      <c r="Q40" s="23"/>
      <c r="R40" s="23"/>
      <c r="S40" s="23"/>
    </row>
    <row r="41" spans="1:19" ht="18" customHeight="1" x14ac:dyDescent="0.15">
      <c r="B41" s="95"/>
      <c r="C41" s="96"/>
      <c r="D41" s="96"/>
      <c r="E41" s="97"/>
      <c r="F41" s="23"/>
      <c r="G41" s="23"/>
      <c r="H41" s="23"/>
      <c r="I41" s="23"/>
      <c r="J41" s="95"/>
      <c r="K41" s="96"/>
      <c r="L41" s="96"/>
      <c r="M41" s="96"/>
      <c r="N41" s="96"/>
      <c r="O41" s="97"/>
      <c r="P41" s="23"/>
      <c r="Q41" s="23"/>
      <c r="R41" s="23"/>
      <c r="S41" s="23"/>
    </row>
    <row r="42" spans="1:19" ht="18" customHeight="1" x14ac:dyDescent="0.15">
      <c r="B42" s="98"/>
      <c r="C42" s="99"/>
      <c r="D42" s="99"/>
      <c r="E42" s="100"/>
      <c r="F42" s="24"/>
      <c r="G42" s="24"/>
      <c r="H42" s="25"/>
      <c r="I42" s="25"/>
      <c r="J42" s="98"/>
      <c r="K42" s="99"/>
      <c r="L42" s="99"/>
      <c r="M42" s="99"/>
      <c r="N42" s="99"/>
      <c r="O42" s="100"/>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4" t="s">
        <v>116</v>
      </c>
      <c r="B44" s="104"/>
      <c r="C44" s="104"/>
      <c r="D44" s="104"/>
      <c r="E44" s="104"/>
      <c r="F44" s="104"/>
      <c r="G44" s="104"/>
      <c r="H44" s="104"/>
      <c r="I44" s="104"/>
      <c r="J44" s="104"/>
      <c r="K44" s="104"/>
      <c r="L44" s="104"/>
      <c r="M44" s="104"/>
      <c r="N44" s="104"/>
      <c r="O44" s="104"/>
      <c r="P44" s="104"/>
      <c r="Q44" s="104"/>
      <c r="R44" s="104"/>
      <c r="S44" s="104"/>
    </row>
    <row r="45" spans="1:19" ht="18" customHeight="1" x14ac:dyDescent="0.15">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15">
      <c r="B46" s="101" t="s">
        <v>54</v>
      </c>
      <c r="C46" s="102"/>
      <c r="D46" s="102"/>
      <c r="E46" s="103"/>
      <c r="F46" s="59" t="s">
        <v>81</v>
      </c>
      <c r="G46" s="58" t="s">
        <v>85</v>
      </c>
      <c r="H46" s="21" t="s">
        <v>74</v>
      </c>
      <c r="I46" s="21" t="s">
        <v>75</v>
      </c>
      <c r="J46" s="101" t="s">
        <v>54</v>
      </c>
      <c r="K46" s="102"/>
      <c r="L46" s="102"/>
      <c r="M46" s="102"/>
      <c r="N46" s="102"/>
      <c r="O46" s="103"/>
      <c r="P46" s="59" t="s">
        <v>81</v>
      </c>
      <c r="Q46" s="58" t="s">
        <v>85</v>
      </c>
      <c r="R46" s="21" t="s">
        <v>74</v>
      </c>
      <c r="S46" s="21" t="s">
        <v>75</v>
      </c>
    </row>
    <row r="47" spans="1:19" ht="18" customHeight="1" x14ac:dyDescent="0.15">
      <c r="A47" s="3"/>
      <c r="B47" s="105" t="s">
        <v>146</v>
      </c>
      <c r="C47" s="106"/>
      <c r="D47" s="106"/>
      <c r="E47" s="107"/>
      <c r="F47" s="22">
        <v>1</v>
      </c>
      <c r="G47" s="22" t="s">
        <v>147</v>
      </c>
      <c r="H47" s="22" t="s">
        <v>147</v>
      </c>
      <c r="I47" s="22" t="s">
        <v>147</v>
      </c>
      <c r="J47" s="105"/>
      <c r="K47" s="106"/>
      <c r="L47" s="106"/>
      <c r="M47" s="106"/>
      <c r="N47" s="106"/>
      <c r="O47" s="107"/>
      <c r="P47" s="22"/>
      <c r="Q47" s="22"/>
      <c r="R47" s="22"/>
      <c r="S47" s="22"/>
    </row>
    <row r="48" spans="1:19" ht="18" customHeight="1" x14ac:dyDescent="0.15">
      <c r="A48" s="3"/>
      <c r="B48" s="95" t="s">
        <v>143</v>
      </c>
      <c r="C48" s="96"/>
      <c r="D48" s="96"/>
      <c r="E48" s="97"/>
      <c r="F48" s="23">
        <v>2</v>
      </c>
      <c r="G48" s="23"/>
      <c r="H48" s="23" t="s">
        <v>147</v>
      </c>
      <c r="I48" s="23" t="s">
        <v>147</v>
      </c>
      <c r="J48" s="95"/>
      <c r="K48" s="96"/>
      <c r="L48" s="96"/>
      <c r="M48" s="96"/>
      <c r="N48" s="96"/>
      <c r="O48" s="97"/>
      <c r="P48" s="23"/>
      <c r="Q48" s="23"/>
      <c r="R48" s="23"/>
      <c r="S48" s="23"/>
    </row>
    <row r="49" spans="1:19" ht="18" customHeight="1" x14ac:dyDescent="0.15">
      <c r="A49" s="3"/>
      <c r="B49" s="95"/>
      <c r="C49" s="96"/>
      <c r="D49" s="96"/>
      <c r="E49" s="97"/>
      <c r="F49" s="23"/>
      <c r="G49" s="23"/>
      <c r="H49" s="23"/>
      <c r="I49" s="23"/>
      <c r="J49" s="95"/>
      <c r="K49" s="96"/>
      <c r="L49" s="96"/>
      <c r="M49" s="96"/>
      <c r="N49" s="96"/>
      <c r="O49" s="97"/>
      <c r="P49" s="23"/>
      <c r="Q49" s="23"/>
      <c r="R49" s="23"/>
      <c r="S49" s="23"/>
    </row>
    <row r="50" spans="1:19" ht="18" customHeight="1" x14ac:dyDescent="0.15">
      <c r="A50" s="3"/>
      <c r="B50" s="95"/>
      <c r="C50" s="96"/>
      <c r="D50" s="96"/>
      <c r="E50" s="97"/>
      <c r="F50" s="23"/>
      <c r="G50" s="23"/>
      <c r="H50" s="23"/>
      <c r="I50" s="23"/>
      <c r="J50" s="95"/>
      <c r="K50" s="96"/>
      <c r="L50" s="96"/>
      <c r="M50" s="96"/>
      <c r="N50" s="96"/>
      <c r="O50" s="97"/>
      <c r="P50" s="23"/>
      <c r="Q50" s="23"/>
      <c r="R50" s="23"/>
      <c r="S50" s="23"/>
    </row>
    <row r="51" spans="1:19" ht="18" customHeight="1" x14ac:dyDescent="0.15">
      <c r="A51" s="3"/>
      <c r="B51" s="95"/>
      <c r="C51" s="96"/>
      <c r="D51" s="96"/>
      <c r="E51" s="97"/>
      <c r="F51" s="23"/>
      <c r="G51" s="23"/>
      <c r="H51" s="23"/>
      <c r="I51" s="23"/>
      <c r="J51" s="95"/>
      <c r="K51" s="96"/>
      <c r="L51" s="96"/>
      <c r="M51" s="96"/>
      <c r="N51" s="96"/>
      <c r="O51" s="97"/>
      <c r="P51" s="23"/>
      <c r="Q51" s="23"/>
      <c r="R51" s="23"/>
      <c r="S51" s="23"/>
    </row>
    <row r="52" spans="1:19" ht="18" customHeight="1" x14ac:dyDescent="0.15">
      <c r="A52" s="3"/>
      <c r="B52" s="95"/>
      <c r="C52" s="96"/>
      <c r="D52" s="96"/>
      <c r="E52" s="97"/>
      <c r="F52" s="23"/>
      <c r="G52" s="23"/>
      <c r="H52" s="23"/>
      <c r="I52" s="23"/>
      <c r="J52" s="95"/>
      <c r="K52" s="96"/>
      <c r="L52" s="96"/>
      <c r="M52" s="96"/>
      <c r="N52" s="96"/>
      <c r="O52" s="97"/>
      <c r="P52" s="23"/>
      <c r="Q52" s="23"/>
      <c r="R52" s="23"/>
      <c r="S52" s="23"/>
    </row>
    <row r="53" spans="1:19" ht="18" customHeight="1" x14ac:dyDescent="0.15">
      <c r="A53" s="3"/>
      <c r="B53" s="98"/>
      <c r="C53" s="99"/>
      <c r="D53" s="99"/>
      <c r="E53" s="100"/>
      <c r="F53" s="24"/>
      <c r="G53" s="24"/>
      <c r="H53" s="25"/>
      <c r="I53" s="25"/>
      <c r="J53" s="98"/>
      <c r="K53" s="99"/>
      <c r="L53" s="99"/>
      <c r="M53" s="99"/>
      <c r="N53" s="99"/>
      <c r="O53" s="100"/>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104" t="s">
        <v>117</v>
      </c>
      <c r="B55" s="104"/>
      <c r="C55" s="104"/>
      <c r="D55" s="104"/>
      <c r="E55" s="104"/>
      <c r="F55" s="104"/>
      <c r="G55" s="104"/>
      <c r="H55" s="104"/>
      <c r="I55" s="104"/>
      <c r="J55" s="104"/>
      <c r="K55" s="104"/>
      <c r="L55" s="104"/>
      <c r="M55" s="104"/>
      <c r="N55" s="104"/>
      <c r="O55" s="104"/>
      <c r="P55" s="104"/>
      <c r="Q55" s="104"/>
      <c r="R55" s="104"/>
      <c r="S55" s="104"/>
    </row>
    <row r="56" spans="1:19" ht="18" customHeight="1" x14ac:dyDescent="0.15">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15">
      <c r="B57" s="101" t="s">
        <v>54</v>
      </c>
      <c r="C57" s="102"/>
      <c r="D57" s="102"/>
      <c r="E57" s="103"/>
      <c r="F57" s="59" t="s">
        <v>81</v>
      </c>
      <c r="G57" s="58" t="s">
        <v>85</v>
      </c>
      <c r="H57" s="21" t="s">
        <v>59</v>
      </c>
      <c r="I57" s="21" t="s">
        <v>61</v>
      </c>
      <c r="J57" s="101" t="s">
        <v>54</v>
      </c>
      <c r="K57" s="102"/>
      <c r="L57" s="102"/>
      <c r="M57" s="102"/>
      <c r="N57" s="102"/>
      <c r="O57" s="103"/>
      <c r="P57" s="59" t="s">
        <v>81</v>
      </c>
      <c r="Q57" s="58" t="s">
        <v>85</v>
      </c>
      <c r="R57" s="21" t="s">
        <v>59</v>
      </c>
      <c r="S57" s="21" t="s">
        <v>61</v>
      </c>
    </row>
    <row r="58" spans="1:19" ht="18" customHeight="1" x14ac:dyDescent="0.15">
      <c r="A58" s="3"/>
      <c r="B58" s="105" t="s">
        <v>146</v>
      </c>
      <c r="C58" s="106"/>
      <c r="D58" s="106"/>
      <c r="E58" s="107"/>
      <c r="F58" s="22">
        <v>1</v>
      </c>
      <c r="G58" s="22" t="s">
        <v>147</v>
      </c>
      <c r="H58" s="22" t="s">
        <v>147</v>
      </c>
      <c r="I58" s="22" t="s">
        <v>147</v>
      </c>
      <c r="J58" s="105"/>
      <c r="K58" s="106"/>
      <c r="L58" s="106"/>
      <c r="M58" s="106"/>
      <c r="N58" s="106"/>
      <c r="O58" s="107"/>
      <c r="P58" s="22"/>
      <c r="Q58" s="22"/>
      <c r="R58" s="22"/>
      <c r="S58" s="22"/>
    </row>
    <row r="59" spans="1:19" ht="18" customHeight="1" x14ac:dyDescent="0.15">
      <c r="A59" s="3"/>
      <c r="B59" s="95" t="s">
        <v>149</v>
      </c>
      <c r="C59" s="96"/>
      <c r="D59" s="96"/>
      <c r="E59" s="97"/>
      <c r="F59" s="23">
        <v>2</v>
      </c>
      <c r="G59" s="23"/>
      <c r="H59" s="23" t="s">
        <v>147</v>
      </c>
      <c r="I59" s="23" t="s">
        <v>147</v>
      </c>
      <c r="J59" s="95"/>
      <c r="K59" s="96"/>
      <c r="L59" s="96"/>
      <c r="M59" s="96"/>
      <c r="N59" s="96"/>
      <c r="O59" s="97"/>
      <c r="P59" s="23"/>
      <c r="Q59" s="23"/>
      <c r="R59" s="23"/>
      <c r="S59" s="23"/>
    </row>
    <row r="60" spans="1:19" ht="18" customHeight="1" x14ac:dyDescent="0.15">
      <c r="A60" s="3"/>
      <c r="B60" s="95"/>
      <c r="C60" s="96"/>
      <c r="D60" s="96"/>
      <c r="E60" s="97"/>
      <c r="F60" s="23"/>
      <c r="G60" s="23"/>
      <c r="H60" s="23"/>
      <c r="I60" s="23"/>
      <c r="J60" s="95"/>
      <c r="K60" s="96"/>
      <c r="L60" s="96"/>
      <c r="M60" s="96"/>
      <c r="N60" s="96"/>
      <c r="O60" s="97"/>
      <c r="P60" s="23"/>
      <c r="Q60" s="23"/>
      <c r="R60" s="23"/>
      <c r="S60" s="23"/>
    </row>
    <row r="61" spans="1:19" ht="18" customHeight="1" x14ac:dyDescent="0.15">
      <c r="A61" s="3"/>
      <c r="B61" s="95"/>
      <c r="C61" s="96"/>
      <c r="D61" s="96"/>
      <c r="E61" s="97"/>
      <c r="F61" s="23"/>
      <c r="G61" s="23"/>
      <c r="H61" s="23"/>
      <c r="I61" s="23"/>
      <c r="J61" s="95"/>
      <c r="K61" s="96"/>
      <c r="L61" s="96"/>
      <c r="M61" s="96"/>
      <c r="N61" s="96"/>
      <c r="O61" s="97"/>
      <c r="P61" s="23"/>
      <c r="Q61" s="23"/>
      <c r="R61" s="23"/>
      <c r="S61" s="23"/>
    </row>
    <row r="62" spans="1:19" ht="18" customHeight="1" x14ac:dyDescent="0.15">
      <c r="A62" s="3"/>
      <c r="B62" s="95"/>
      <c r="C62" s="96"/>
      <c r="D62" s="96"/>
      <c r="E62" s="97"/>
      <c r="F62" s="23"/>
      <c r="G62" s="23"/>
      <c r="H62" s="23"/>
      <c r="I62" s="23"/>
      <c r="J62" s="95"/>
      <c r="K62" s="96"/>
      <c r="L62" s="96"/>
      <c r="M62" s="96"/>
      <c r="N62" s="96"/>
      <c r="O62" s="97"/>
      <c r="P62" s="23"/>
      <c r="Q62" s="23"/>
      <c r="R62" s="23"/>
      <c r="S62" s="23"/>
    </row>
    <row r="63" spans="1:19" ht="18" customHeight="1" x14ac:dyDescent="0.15">
      <c r="A63" s="3"/>
      <c r="B63" s="95"/>
      <c r="C63" s="96"/>
      <c r="D63" s="96"/>
      <c r="E63" s="97"/>
      <c r="F63" s="23"/>
      <c r="G63" s="23"/>
      <c r="H63" s="23"/>
      <c r="I63" s="23"/>
      <c r="J63" s="95"/>
      <c r="K63" s="96"/>
      <c r="L63" s="96"/>
      <c r="M63" s="96"/>
      <c r="N63" s="96"/>
      <c r="O63" s="97"/>
      <c r="P63" s="23"/>
      <c r="Q63" s="23"/>
      <c r="R63" s="23"/>
      <c r="S63" s="23"/>
    </row>
    <row r="64" spans="1:19" ht="18" customHeight="1" x14ac:dyDescent="0.15">
      <c r="A64" s="3"/>
      <c r="B64" s="98"/>
      <c r="C64" s="99"/>
      <c r="D64" s="99"/>
      <c r="E64" s="100"/>
      <c r="F64" s="24"/>
      <c r="G64" s="24"/>
      <c r="H64" s="25"/>
      <c r="I64" s="25"/>
      <c r="J64" s="98"/>
      <c r="K64" s="99"/>
      <c r="L64" s="99"/>
      <c r="M64" s="99"/>
      <c r="N64" s="99"/>
      <c r="O64" s="100"/>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104" t="s">
        <v>118</v>
      </c>
      <c r="B66" s="104"/>
      <c r="C66" s="104"/>
      <c r="D66" s="104"/>
      <c r="E66" s="104"/>
      <c r="F66" s="104"/>
      <c r="G66" s="104"/>
      <c r="H66" s="104"/>
      <c r="I66" s="104"/>
      <c r="J66" s="104"/>
      <c r="K66" s="104"/>
      <c r="L66" s="104"/>
      <c r="M66" s="104"/>
      <c r="N66" s="104"/>
      <c r="O66" s="104"/>
      <c r="P66" s="104"/>
      <c r="Q66" s="104"/>
      <c r="R66" s="104"/>
      <c r="S66" s="104"/>
    </row>
    <row r="67" spans="1:19" ht="18" customHeight="1" x14ac:dyDescent="0.15">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15">
      <c r="B68" s="101" t="s">
        <v>54</v>
      </c>
      <c r="C68" s="102"/>
      <c r="D68" s="102"/>
      <c r="E68" s="59" t="s">
        <v>81</v>
      </c>
      <c r="F68" s="58" t="s">
        <v>85</v>
      </c>
      <c r="G68" s="21" t="s">
        <v>102</v>
      </c>
      <c r="H68" s="21" t="s">
        <v>76</v>
      </c>
      <c r="I68" s="21" t="s">
        <v>77</v>
      </c>
      <c r="J68" s="101" t="s">
        <v>54</v>
      </c>
      <c r="K68" s="102"/>
      <c r="L68" s="102"/>
      <c r="M68" s="102"/>
      <c r="N68" s="103"/>
      <c r="O68" s="59" t="s">
        <v>81</v>
      </c>
      <c r="P68" s="58" t="s">
        <v>85</v>
      </c>
      <c r="Q68" s="21" t="s">
        <v>102</v>
      </c>
      <c r="R68" s="21" t="s">
        <v>76</v>
      </c>
      <c r="S68" s="21" t="s">
        <v>77</v>
      </c>
    </row>
    <row r="69" spans="1:19" ht="18" customHeight="1" x14ac:dyDescent="0.15">
      <c r="A69" s="3"/>
      <c r="B69" s="137" t="s">
        <v>148</v>
      </c>
      <c r="C69" s="138"/>
      <c r="D69" s="138"/>
      <c r="E69" s="22">
        <v>1</v>
      </c>
      <c r="F69" s="22" t="s">
        <v>147</v>
      </c>
      <c r="G69" s="22"/>
      <c r="H69" s="22"/>
      <c r="I69" s="22" t="s">
        <v>147</v>
      </c>
      <c r="J69" s="105" t="s">
        <v>154</v>
      </c>
      <c r="K69" s="106"/>
      <c r="L69" s="106"/>
      <c r="M69" s="106"/>
      <c r="N69" s="107"/>
      <c r="O69" s="22">
        <v>2</v>
      </c>
      <c r="P69" s="22"/>
      <c r="Q69" s="22"/>
      <c r="R69" s="23" t="s">
        <v>147</v>
      </c>
      <c r="S69" s="23" t="s">
        <v>147</v>
      </c>
    </row>
    <row r="70" spans="1:19" ht="18" customHeight="1" x14ac:dyDescent="0.15">
      <c r="A70" s="3"/>
      <c r="B70" s="95" t="s">
        <v>146</v>
      </c>
      <c r="C70" s="96"/>
      <c r="D70" s="96"/>
      <c r="E70" s="23">
        <v>1</v>
      </c>
      <c r="F70" s="23" t="s">
        <v>147</v>
      </c>
      <c r="G70" s="23" t="s">
        <v>147</v>
      </c>
      <c r="H70" s="23" t="s">
        <v>147</v>
      </c>
      <c r="I70" s="23" t="s">
        <v>147</v>
      </c>
      <c r="J70" s="95" t="s">
        <v>155</v>
      </c>
      <c r="K70" s="96"/>
      <c r="L70" s="96"/>
      <c r="M70" s="96"/>
      <c r="N70" s="97"/>
      <c r="O70" s="23">
        <v>1</v>
      </c>
      <c r="P70" s="23"/>
      <c r="Q70" s="23" t="s">
        <v>147</v>
      </c>
      <c r="R70" s="23"/>
      <c r="S70" s="23" t="s">
        <v>147</v>
      </c>
    </row>
    <row r="71" spans="1:19" ht="18" customHeight="1" x14ac:dyDescent="0.15">
      <c r="A71" s="3"/>
      <c r="B71" s="95" t="s">
        <v>150</v>
      </c>
      <c r="C71" s="96"/>
      <c r="D71" s="96"/>
      <c r="E71" s="23">
        <v>1</v>
      </c>
      <c r="F71" s="23"/>
      <c r="G71" s="23" t="s">
        <v>147</v>
      </c>
      <c r="H71" s="23" t="s">
        <v>147</v>
      </c>
      <c r="I71" s="23" t="s">
        <v>147</v>
      </c>
      <c r="J71" s="95" t="s">
        <v>156</v>
      </c>
      <c r="K71" s="96"/>
      <c r="L71" s="96"/>
      <c r="M71" s="96"/>
      <c r="N71" s="97"/>
      <c r="O71" s="23">
        <v>1</v>
      </c>
      <c r="P71" s="23"/>
      <c r="Q71" s="23" t="s">
        <v>147</v>
      </c>
      <c r="R71" s="23"/>
      <c r="S71" s="23"/>
    </row>
    <row r="72" spans="1:19" ht="18" customHeight="1" x14ac:dyDescent="0.15">
      <c r="A72" s="3"/>
      <c r="B72" s="95" t="s">
        <v>151</v>
      </c>
      <c r="C72" s="96"/>
      <c r="D72" s="96"/>
      <c r="E72" s="23">
        <v>2</v>
      </c>
      <c r="F72" s="23"/>
      <c r="G72" s="23" t="s">
        <v>147</v>
      </c>
      <c r="H72" s="23"/>
      <c r="I72" s="23" t="s">
        <v>147</v>
      </c>
      <c r="J72" s="95" t="s">
        <v>157</v>
      </c>
      <c r="K72" s="96"/>
      <c r="L72" s="96"/>
      <c r="M72" s="96"/>
      <c r="N72" s="97"/>
      <c r="O72" s="23">
        <v>1</v>
      </c>
      <c r="P72" s="23"/>
      <c r="Q72" s="23" t="s">
        <v>147</v>
      </c>
      <c r="R72" s="23"/>
      <c r="S72" s="23"/>
    </row>
    <row r="73" spans="1:19" ht="18" customHeight="1" x14ac:dyDescent="0.15">
      <c r="A73" s="3"/>
      <c r="B73" s="95" t="s">
        <v>152</v>
      </c>
      <c r="C73" s="96"/>
      <c r="D73" s="96"/>
      <c r="E73" s="23">
        <v>2</v>
      </c>
      <c r="F73" s="23"/>
      <c r="G73" s="23" t="s">
        <v>147</v>
      </c>
      <c r="H73" s="23"/>
      <c r="I73" s="23" t="s">
        <v>147</v>
      </c>
      <c r="J73" s="95" t="s">
        <v>158</v>
      </c>
      <c r="K73" s="96"/>
      <c r="L73" s="96"/>
      <c r="M73" s="96"/>
      <c r="N73" s="97"/>
      <c r="O73" s="23">
        <v>1</v>
      </c>
      <c r="P73" s="23"/>
      <c r="Q73" s="23"/>
      <c r="R73" s="23" t="s">
        <v>147</v>
      </c>
      <c r="S73" s="23"/>
    </row>
    <row r="74" spans="1:19" ht="18" customHeight="1" x14ac:dyDescent="0.15">
      <c r="A74" s="3"/>
      <c r="B74" s="95" t="s">
        <v>144</v>
      </c>
      <c r="C74" s="96"/>
      <c r="D74" s="96"/>
      <c r="E74" s="23">
        <v>2</v>
      </c>
      <c r="F74" s="23"/>
      <c r="G74" s="23" t="s">
        <v>147</v>
      </c>
      <c r="H74" s="23"/>
      <c r="I74" s="23"/>
      <c r="J74" s="95"/>
      <c r="K74" s="96"/>
      <c r="L74" s="96"/>
      <c r="M74" s="96"/>
      <c r="N74" s="97"/>
      <c r="O74" s="23"/>
      <c r="P74" s="23"/>
      <c r="Q74" s="23"/>
      <c r="R74" s="23"/>
      <c r="S74" s="23"/>
    </row>
    <row r="75" spans="1:19" ht="18" customHeight="1" x14ac:dyDescent="0.15">
      <c r="A75" s="3"/>
      <c r="B75" s="98" t="s">
        <v>153</v>
      </c>
      <c r="C75" s="99"/>
      <c r="D75" s="99"/>
      <c r="E75" s="24">
        <v>2</v>
      </c>
      <c r="F75" s="24"/>
      <c r="G75" s="25" t="s">
        <v>147</v>
      </c>
      <c r="H75" s="25" t="s">
        <v>147</v>
      </c>
      <c r="I75" s="25" t="s">
        <v>147</v>
      </c>
      <c r="J75" s="98"/>
      <c r="K75" s="99"/>
      <c r="L75" s="99"/>
      <c r="M75" s="99"/>
      <c r="N75" s="100"/>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119</v>
      </c>
      <c r="H77" s="3"/>
      <c r="I77" s="3"/>
      <c r="J77" s="3"/>
      <c r="K77" s="3"/>
      <c r="L77" s="3"/>
      <c r="M77" s="3"/>
      <c r="N77" s="3"/>
      <c r="O77" s="3"/>
      <c r="P77" s="3"/>
      <c r="Q77" s="3"/>
      <c r="R77" s="3"/>
      <c r="S77" s="3"/>
    </row>
    <row r="78" spans="1:19" ht="18" customHeight="1" x14ac:dyDescent="0.15">
      <c r="B78" s="101" t="s">
        <v>54</v>
      </c>
      <c r="C78" s="102"/>
      <c r="D78" s="102"/>
      <c r="E78" s="103"/>
      <c r="F78" s="101" t="s">
        <v>83</v>
      </c>
      <c r="G78" s="102"/>
      <c r="H78" s="102"/>
      <c r="I78" s="103"/>
      <c r="J78" s="134" t="s">
        <v>54</v>
      </c>
      <c r="K78" s="135"/>
      <c r="L78" s="135"/>
      <c r="M78" s="135"/>
      <c r="N78" s="135"/>
      <c r="O78" s="136"/>
      <c r="P78" s="101" t="s">
        <v>83</v>
      </c>
      <c r="Q78" s="102"/>
      <c r="R78" s="102"/>
      <c r="S78" s="103"/>
    </row>
    <row r="79" spans="1:19" ht="18" customHeight="1" x14ac:dyDescent="0.15">
      <c r="A79" s="3"/>
      <c r="B79" s="105"/>
      <c r="C79" s="106"/>
      <c r="D79" s="106"/>
      <c r="E79" s="107"/>
      <c r="F79" s="144"/>
      <c r="G79" s="145"/>
      <c r="H79" s="145"/>
      <c r="I79" s="146"/>
      <c r="J79" s="105"/>
      <c r="K79" s="106"/>
      <c r="L79" s="106"/>
      <c r="M79" s="106"/>
      <c r="N79" s="106"/>
      <c r="O79" s="107"/>
      <c r="P79" s="144"/>
      <c r="Q79" s="145"/>
      <c r="R79" s="145"/>
      <c r="S79" s="146"/>
    </row>
    <row r="80" spans="1:19" ht="18" customHeight="1" x14ac:dyDescent="0.15">
      <c r="A80" s="3"/>
      <c r="B80" s="95"/>
      <c r="C80" s="96"/>
      <c r="D80" s="96"/>
      <c r="E80" s="97"/>
      <c r="F80" s="131"/>
      <c r="G80" s="132"/>
      <c r="H80" s="132"/>
      <c r="I80" s="133"/>
      <c r="J80" s="95"/>
      <c r="K80" s="96"/>
      <c r="L80" s="96"/>
      <c r="M80" s="96"/>
      <c r="N80" s="96"/>
      <c r="O80" s="97"/>
      <c r="P80" s="131"/>
      <c r="Q80" s="132"/>
      <c r="R80" s="132"/>
      <c r="S80" s="133"/>
    </row>
    <row r="81" spans="1:19" ht="18" customHeight="1" x14ac:dyDescent="0.15">
      <c r="A81" s="3"/>
      <c r="B81" s="95"/>
      <c r="C81" s="96"/>
      <c r="D81" s="96"/>
      <c r="E81" s="97"/>
      <c r="F81" s="131"/>
      <c r="G81" s="132"/>
      <c r="H81" s="132"/>
      <c r="I81" s="133"/>
      <c r="J81" s="95"/>
      <c r="K81" s="96"/>
      <c r="L81" s="96"/>
      <c r="M81" s="96"/>
      <c r="N81" s="96"/>
      <c r="O81" s="97"/>
      <c r="P81" s="131"/>
      <c r="Q81" s="132"/>
      <c r="R81" s="132"/>
      <c r="S81" s="133"/>
    </row>
    <row r="82" spans="1:19" ht="18" customHeight="1" x14ac:dyDescent="0.15">
      <c r="A82" s="3"/>
      <c r="B82" s="95"/>
      <c r="C82" s="96"/>
      <c r="D82" s="96"/>
      <c r="E82" s="97"/>
      <c r="F82" s="131"/>
      <c r="G82" s="132"/>
      <c r="H82" s="132"/>
      <c r="I82" s="133"/>
      <c r="J82" s="95"/>
      <c r="K82" s="96"/>
      <c r="L82" s="96"/>
      <c r="M82" s="96"/>
      <c r="N82" s="96"/>
      <c r="O82" s="97"/>
      <c r="P82" s="131"/>
      <c r="Q82" s="132"/>
      <c r="R82" s="132"/>
      <c r="S82" s="133"/>
    </row>
    <row r="83" spans="1:19" ht="18" customHeight="1" x14ac:dyDescent="0.15">
      <c r="A83" s="3"/>
      <c r="B83" s="95"/>
      <c r="C83" s="96"/>
      <c r="D83" s="96"/>
      <c r="E83" s="97"/>
      <c r="F83" s="131"/>
      <c r="G83" s="132"/>
      <c r="H83" s="132"/>
      <c r="I83" s="133"/>
      <c r="J83" s="95"/>
      <c r="K83" s="96"/>
      <c r="L83" s="96"/>
      <c r="M83" s="96"/>
      <c r="N83" s="96"/>
      <c r="O83" s="97"/>
      <c r="P83" s="131"/>
      <c r="Q83" s="132"/>
      <c r="R83" s="132"/>
      <c r="S83" s="133"/>
    </row>
    <row r="84" spans="1:19" ht="18" customHeight="1" x14ac:dyDescent="0.15">
      <c r="A84" s="3"/>
      <c r="B84" s="95"/>
      <c r="C84" s="96"/>
      <c r="D84" s="96"/>
      <c r="E84" s="97"/>
      <c r="F84" s="131"/>
      <c r="G84" s="132"/>
      <c r="H84" s="132"/>
      <c r="I84" s="133"/>
      <c r="J84" s="95"/>
      <c r="K84" s="96"/>
      <c r="L84" s="96"/>
      <c r="M84" s="96"/>
      <c r="N84" s="96"/>
      <c r="O84" s="97"/>
      <c r="P84" s="131"/>
      <c r="Q84" s="132"/>
      <c r="R84" s="132"/>
      <c r="S84" s="133"/>
    </row>
    <row r="85" spans="1:19" ht="18" customHeight="1" x14ac:dyDescent="0.15">
      <c r="A85" s="3"/>
      <c r="B85" s="98"/>
      <c r="C85" s="99"/>
      <c r="D85" s="99"/>
      <c r="E85" s="100"/>
      <c r="F85" s="128"/>
      <c r="G85" s="129"/>
      <c r="H85" s="129"/>
      <c r="I85" s="130"/>
      <c r="J85" s="98"/>
      <c r="K85" s="99"/>
      <c r="L85" s="99"/>
      <c r="M85" s="99"/>
      <c r="N85" s="99"/>
      <c r="O85" s="100"/>
      <c r="P85" s="128"/>
      <c r="Q85" s="129"/>
      <c r="R85" s="129"/>
      <c r="S85" s="130"/>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42" t="s">
        <v>55</v>
      </c>
      <c r="C88" s="143"/>
      <c r="D88" s="102" t="s">
        <v>56</v>
      </c>
      <c r="E88" s="102"/>
      <c r="F88" s="102"/>
      <c r="G88" s="102"/>
      <c r="H88" s="102"/>
      <c r="I88" s="102"/>
      <c r="J88" s="102"/>
      <c r="K88" s="102"/>
      <c r="L88" s="102"/>
      <c r="M88" s="102"/>
      <c r="N88" s="102"/>
      <c r="O88" s="102"/>
      <c r="P88" s="102"/>
      <c r="Q88" s="102"/>
      <c r="R88" s="102"/>
      <c r="S88" s="103"/>
    </row>
    <row r="89" spans="1:19" ht="97.5" customHeight="1" x14ac:dyDescent="0.15">
      <c r="B89" s="139" t="s">
        <v>62</v>
      </c>
      <c r="C89" s="27" t="s">
        <v>57</v>
      </c>
      <c r="D89" s="244" t="s">
        <v>183</v>
      </c>
      <c r="E89" s="245"/>
      <c r="F89" s="245"/>
      <c r="G89" s="245"/>
      <c r="H89" s="245"/>
      <c r="I89" s="245"/>
      <c r="J89" s="245"/>
      <c r="K89" s="245"/>
      <c r="L89" s="245"/>
      <c r="M89" s="245"/>
      <c r="N89" s="245"/>
      <c r="O89" s="245"/>
      <c r="P89" s="245"/>
      <c r="Q89" s="245"/>
      <c r="R89" s="245"/>
      <c r="S89" s="246"/>
    </row>
    <row r="90" spans="1:19" ht="97.5" customHeight="1" x14ac:dyDescent="0.15">
      <c r="B90" s="141"/>
      <c r="C90" s="28" t="s">
        <v>78</v>
      </c>
      <c r="D90" s="247" t="s">
        <v>184</v>
      </c>
      <c r="E90" s="248"/>
      <c r="F90" s="248"/>
      <c r="G90" s="248"/>
      <c r="H90" s="248"/>
      <c r="I90" s="248"/>
      <c r="J90" s="248"/>
      <c r="K90" s="248"/>
      <c r="L90" s="248"/>
      <c r="M90" s="248"/>
      <c r="N90" s="248"/>
      <c r="O90" s="248"/>
      <c r="P90" s="248"/>
      <c r="Q90" s="248"/>
      <c r="R90" s="248"/>
      <c r="S90" s="249"/>
    </row>
    <row r="91" spans="1:19" ht="97.5" customHeight="1" x14ac:dyDescent="0.15">
      <c r="B91" s="139" t="s">
        <v>63</v>
      </c>
      <c r="C91" s="29" t="s">
        <v>72</v>
      </c>
      <c r="D91" s="250" t="s">
        <v>182</v>
      </c>
      <c r="E91" s="251"/>
      <c r="F91" s="251"/>
      <c r="G91" s="251"/>
      <c r="H91" s="251"/>
      <c r="I91" s="251"/>
      <c r="J91" s="251"/>
      <c r="K91" s="251"/>
      <c r="L91" s="251"/>
      <c r="M91" s="251"/>
      <c r="N91" s="251"/>
      <c r="O91" s="251"/>
      <c r="P91" s="251"/>
      <c r="Q91" s="251"/>
      <c r="R91" s="251"/>
      <c r="S91" s="252"/>
    </row>
    <row r="92" spans="1:19" ht="97.5" customHeight="1" x14ac:dyDescent="0.15">
      <c r="B92" s="140"/>
      <c r="C92" s="30" t="s">
        <v>73</v>
      </c>
      <c r="D92" s="253" t="s">
        <v>181</v>
      </c>
      <c r="E92" s="254"/>
      <c r="F92" s="254"/>
      <c r="G92" s="254"/>
      <c r="H92" s="254"/>
      <c r="I92" s="254"/>
      <c r="J92" s="254"/>
      <c r="K92" s="254"/>
      <c r="L92" s="254"/>
      <c r="M92" s="254"/>
      <c r="N92" s="254"/>
      <c r="O92" s="254"/>
      <c r="P92" s="254"/>
      <c r="Q92" s="254"/>
      <c r="R92" s="254"/>
      <c r="S92" s="255"/>
    </row>
    <row r="93" spans="1:19" ht="97.5" customHeight="1" x14ac:dyDescent="0.15">
      <c r="B93" s="139" t="s">
        <v>64</v>
      </c>
      <c r="C93" s="29" t="s">
        <v>74</v>
      </c>
      <c r="D93" s="250" t="s">
        <v>180</v>
      </c>
      <c r="E93" s="251"/>
      <c r="F93" s="251"/>
      <c r="G93" s="251"/>
      <c r="H93" s="251"/>
      <c r="I93" s="251"/>
      <c r="J93" s="251"/>
      <c r="K93" s="251"/>
      <c r="L93" s="251"/>
      <c r="M93" s="251"/>
      <c r="N93" s="251"/>
      <c r="O93" s="251"/>
      <c r="P93" s="251"/>
      <c r="Q93" s="251"/>
      <c r="R93" s="251"/>
      <c r="S93" s="252"/>
    </row>
    <row r="94" spans="1:19" ht="97.5" customHeight="1" x14ac:dyDescent="0.15">
      <c r="B94" s="140"/>
      <c r="C94" s="31" t="s">
        <v>75</v>
      </c>
      <c r="D94" s="256" t="s">
        <v>179</v>
      </c>
      <c r="E94" s="257"/>
      <c r="F94" s="257"/>
      <c r="G94" s="257"/>
      <c r="H94" s="257"/>
      <c r="I94" s="257"/>
      <c r="J94" s="257"/>
      <c r="K94" s="257"/>
      <c r="L94" s="257"/>
      <c r="M94" s="257"/>
      <c r="N94" s="257"/>
      <c r="O94" s="257"/>
      <c r="P94" s="257"/>
      <c r="Q94" s="257"/>
      <c r="R94" s="257"/>
      <c r="S94" s="258"/>
    </row>
    <row r="95" spans="1:19" ht="97.5" customHeight="1" x14ac:dyDescent="0.15">
      <c r="B95" s="139" t="s">
        <v>79</v>
      </c>
      <c r="C95" s="27" t="s">
        <v>59</v>
      </c>
      <c r="D95" s="244" t="s">
        <v>178</v>
      </c>
      <c r="E95" s="245"/>
      <c r="F95" s="245"/>
      <c r="G95" s="245"/>
      <c r="H95" s="245"/>
      <c r="I95" s="245"/>
      <c r="J95" s="245"/>
      <c r="K95" s="245"/>
      <c r="L95" s="245"/>
      <c r="M95" s="245"/>
      <c r="N95" s="245"/>
      <c r="O95" s="245"/>
      <c r="P95" s="245"/>
      <c r="Q95" s="245"/>
      <c r="R95" s="245"/>
      <c r="S95" s="246"/>
    </row>
    <row r="96" spans="1:19" ht="97.5" customHeight="1" x14ac:dyDescent="0.15">
      <c r="B96" s="140"/>
      <c r="C96" s="30" t="s">
        <v>61</v>
      </c>
      <c r="D96" s="253" t="s">
        <v>177</v>
      </c>
      <c r="E96" s="254"/>
      <c r="F96" s="254"/>
      <c r="G96" s="254"/>
      <c r="H96" s="254"/>
      <c r="I96" s="254"/>
      <c r="J96" s="254"/>
      <c r="K96" s="254"/>
      <c r="L96" s="254"/>
      <c r="M96" s="254"/>
      <c r="N96" s="254"/>
      <c r="O96" s="254"/>
      <c r="P96" s="254"/>
      <c r="Q96" s="254"/>
      <c r="R96" s="254"/>
      <c r="S96" s="255"/>
    </row>
    <row r="97" spans="1:19" ht="120" customHeight="1" x14ac:dyDescent="0.15">
      <c r="B97" s="139" t="s">
        <v>80</v>
      </c>
      <c r="C97" s="29" t="s">
        <v>58</v>
      </c>
      <c r="D97" s="259" t="s">
        <v>176</v>
      </c>
      <c r="E97" s="260"/>
      <c r="F97" s="260"/>
      <c r="G97" s="260"/>
      <c r="H97" s="260"/>
      <c r="I97" s="260"/>
      <c r="J97" s="260"/>
      <c r="K97" s="260"/>
      <c r="L97" s="260"/>
      <c r="M97" s="260"/>
      <c r="N97" s="260"/>
      <c r="O97" s="260"/>
      <c r="P97" s="260"/>
      <c r="Q97" s="260"/>
      <c r="R97" s="260"/>
      <c r="S97" s="261"/>
    </row>
    <row r="98" spans="1:19" ht="97.5" customHeight="1" x14ac:dyDescent="0.15">
      <c r="B98" s="141"/>
      <c r="C98" s="32" t="s">
        <v>76</v>
      </c>
      <c r="D98" s="262" t="s">
        <v>175</v>
      </c>
      <c r="E98" s="263"/>
      <c r="F98" s="263"/>
      <c r="G98" s="263"/>
      <c r="H98" s="263"/>
      <c r="I98" s="263"/>
      <c r="J98" s="263"/>
      <c r="K98" s="263"/>
      <c r="L98" s="263"/>
      <c r="M98" s="263"/>
      <c r="N98" s="263"/>
      <c r="O98" s="263"/>
      <c r="P98" s="263"/>
      <c r="Q98" s="263"/>
      <c r="R98" s="263"/>
      <c r="S98" s="264"/>
    </row>
    <row r="99" spans="1:19" ht="97.5" customHeight="1" x14ac:dyDescent="0.15">
      <c r="B99" s="140"/>
      <c r="C99" s="31" t="s">
        <v>77</v>
      </c>
      <c r="D99" s="265" t="s">
        <v>174</v>
      </c>
      <c r="E99" s="266"/>
      <c r="F99" s="266"/>
      <c r="G99" s="266"/>
      <c r="H99" s="266"/>
      <c r="I99" s="266"/>
      <c r="J99" s="266"/>
      <c r="K99" s="266"/>
      <c r="L99" s="266"/>
      <c r="M99" s="266"/>
      <c r="N99" s="266"/>
      <c r="O99" s="266"/>
      <c r="P99" s="266"/>
      <c r="Q99" s="266"/>
      <c r="R99" s="266"/>
      <c r="S99" s="267"/>
    </row>
    <row r="100" spans="1:19" ht="6" customHeight="1" x14ac:dyDescent="0.15"/>
    <row r="101" spans="1:19" ht="18.75" customHeight="1" x14ac:dyDescent="0.15">
      <c r="A101" s="1" t="s">
        <v>121</v>
      </c>
    </row>
    <row r="102" spans="1:19" ht="81.75" customHeight="1" x14ac:dyDescent="0.15">
      <c r="B102" s="125" t="s">
        <v>171</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47:I53 Q47:S53 G36:I42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zoomScaleNormal="100" zoomScaleSheetLayoutView="85"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50" t="str">
        <f>'様式１　プログラムを構成する授業科目'!C2</f>
        <v>甲南女子大学</v>
      </c>
      <c r="AN2" s="150"/>
      <c r="AO2" s="150"/>
      <c r="AP2" s="150"/>
      <c r="AQ2" s="150"/>
    </row>
    <row r="3" spans="1:45" ht="18" customHeight="1" x14ac:dyDescent="0.15">
      <c r="A3" s="112" t="s">
        <v>48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51" t="s">
        <v>135</v>
      </c>
      <c r="D5" s="15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82"/>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3" t="s">
        <v>45</v>
      </c>
      <c r="C9" s="168" t="s">
        <v>87</v>
      </c>
      <c r="D9" s="156" t="s">
        <v>47</v>
      </c>
      <c r="E9" s="159" t="s">
        <v>40</v>
      </c>
      <c r="F9" s="149" t="s">
        <v>86</v>
      </c>
      <c r="G9" s="149"/>
      <c r="H9" s="149"/>
      <c r="I9" s="149"/>
      <c r="J9" s="149"/>
      <c r="K9" s="149"/>
      <c r="L9" s="149" t="s">
        <v>49</v>
      </c>
      <c r="M9" s="149"/>
      <c r="N9" s="149"/>
      <c r="O9" s="149"/>
      <c r="P9" s="149"/>
      <c r="Q9" s="149"/>
      <c r="R9" s="149" t="s">
        <v>50</v>
      </c>
      <c r="S9" s="149"/>
      <c r="T9" s="149"/>
      <c r="U9" s="149"/>
      <c r="V9" s="149"/>
      <c r="W9" s="149"/>
      <c r="X9" s="149" t="s">
        <v>101</v>
      </c>
      <c r="Y9" s="149"/>
      <c r="Z9" s="149"/>
      <c r="AA9" s="149"/>
      <c r="AB9" s="149"/>
      <c r="AC9" s="149"/>
      <c r="AD9" s="149" t="s">
        <v>51</v>
      </c>
      <c r="AE9" s="149"/>
      <c r="AF9" s="149"/>
      <c r="AG9" s="149"/>
      <c r="AH9" s="149"/>
      <c r="AI9" s="149"/>
      <c r="AJ9" s="149" t="s">
        <v>52</v>
      </c>
      <c r="AK9" s="149"/>
      <c r="AL9" s="149"/>
      <c r="AM9" s="149"/>
      <c r="AN9" s="149"/>
      <c r="AO9" s="149"/>
      <c r="AP9" s="162" t="s">
        <v>35</v>
      </c>
      <c r="AQ9" s="165" t="s">
        <v>32</v>
      </c>
      <c r="AS9" s="2"/>
    </row>
    <row r="10" spans="1:45" ht="16.899999999999999" customHeight="1" x14ac:dyDescent="0.15">
      <c r="B10" s="154"/>
      <c r="C10" s="169"/>
      <c r="D10" s="157"/>
      <c r="E10" s="160"/>
      <c r="F10" s="147" t="s">
        <v>97</v>
      </c>
      <c r="G10" s="148"/>
      <c r="H10" s="148"/>
      <c r="I10" s="147" t="s">
        <v>29</v>
      </c>
      <c r="J10" s="148"/>
      <c r="K10" s="148"/>
      <c r="L10" s="147" t="s">
        <v>97</v>
      </c>
      <c r="M10" s="148"/>
      <c r="N10" s="148"/>
      <c r="O10" s="147" t="s">
        <v>29</v>
      </c>
      <c r="P10" s="148"/>
      <c r="Q10" s="148"/>
      <c r="R10" s="147" t="s">
        <v>97</v>
      </c>
      <c r="S10" s="148"/>
      <c r="T10" s="148"/>
      <c r="U10" s="147" t="s">
        <v>29</v>
      </c>
      <c r="V10" s="148"/>
      <c r="W10" s="148"/>
      <c r="X10" s="147" t="s">
        <v>97</v>
      </c>
      <c r="Y10" s="148"/>
      <c r="Z10" s="148"/>
      <c r="AA10" s="147" t="s">
        <v>29</v>
      </c>
      <c r="AB10" s="148"/>
      <c r="AC10" s="148"/>
      <c r="AD10" s="147" t="s">
        <v>97</v>
      </c>
      <c r="AE10" s="148"/>
      <c r="AF10" s="148"/>
      <c r="AG10" s="147" t="s">
        <v>29</v>
      </c>
      <c r="AH10" s="148"/>
      <c r="AI10" s="148"/>
      <c r="AJ10" s="147" t="s">
        <v>97</v>
      </c>
      <c r="AK10" s="148"/>
      <c r="AL10" s="148"/>
      <c r="AM10" s="147" t="s">
        <v>29</v>
      </c>
      <c r="AN10" s="148"/>
      <c r="AO10" s="148"/>
      <c r="AP10" s="163"/>
      <c r="AQ10" s="166"/>
      <c r="AS10" s="2"/>
    </row>
    <row r="11" spans="1:45" ht="18" customHeight="1" x14ac:dyDescent="0.15">
      <c r="B11" s="155"/>
      <c r="C11" s="170"/>
      <c r="D11" s="158"/>
      <c r="E11" s="161"/>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64"/>
      <c r="AQ11" s="167"/>
      <c r="AS11" s="2"/>
    </row>
    <row r="12" spans="1:45" ht="18" customHeight="1" x14ac:dyDescent="0.15">
      <c r="A12" s="6"/>
      <c r="B12" s="80" t="s">
        <v>127</v>
      </c>
      <c r="C12" s="60">
        <v>933</v>
      </c>
      <c r="D12" s="85">
        <v>150</v>
      </c>
      <c r="E12" s="86">
        <v>790</v>
      </c>
      <c r="F12" s="62">
        <v>159</v>
      </c>
      <c r="G12" s="63">
        <v>0</v>
      </c>
      <c r="H12" s="64">
        <v>159</v>
      </c>
      <c r="I12" s="62">
        <f>J12+K12</f>
        <v>0</v>
      </c>
      <c r="J12" s="63">
        <v>0</v>
      </c>
      <c r="K12" s="64">
        <v>0</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159</v>
      </c>
      <c r="AQ12" s="20">
        <f t="shared" ref="AQ12:AQ32" si="0">AP12/E12</f>
        <v>0.20126582278481012</v>
      </c>
    </row>
    <row r="13" spans="1:45" ht="18" customHeight="1" x14ac:dyDescent="0.15">
      <c r="A13" s="6"/>
      <c r="B13" s="81" t="s">
        <v>128</v>
      </c>
      <c r="C13" s="65">
        <v>1719</v>
      </c>
      <c r="D13" s="87">
        <v>400</v>
      </c>
      <c r="E13" s="88">
        <v>1600</v>
      </c>
      <c r="F13" s="68">
        <v>354</v>
      </c>
      <c r="G13" s="69">
        <v>0</v>
      </c>
      <c r="H13" s="70">
        <v>354</v>
      </c>
      <c r="I13" s="68">
        <f t="shared" ref="I13:I31" si="1">J13+K13</f>
        <v>0</v>
      </c>
      <c r="J13" s="69">
        <v>0</v>
      </c>
      <c r="K13" s="70">
        <v>0</v>
      </c>
      <c r="L13" s="68">
        <f t="shared" ref="L13:L31" si="2">M13+N13</f>
        <v>0</v>
      </c>
      <c r="M13" s="69"/>
      <c r="N13" s="70"/>
      <c r="O13" s="68">
        <f t="shared" ref="O13:O31" si="3">P13+Q13</f>
        <v>0</v>
      </c>
      <c r="P13" s="69"/>
      <c r="Q13" s="70"/>
      <c r="R13" s="68">
        <f t="shared" ref="R13:R31" si="4">S13+T13</f>
        <v>0</v>
      </c>
      <c r="S13" s="69"/>
      <c r="T13" s="70"/>
      <c r="U13" s="68">
        <f t="shared" ref="U13:U31" si="5">V13+W13</f>
        <v>0</v>
      </c>
      <c r="V13" s="69"/>
      <c r="W13" s="70"/>
      <c r="X13" s="68">
        <f t="shared" ref="X13:X31" si="6">Y13+Z13</f>
        <v>0</v>
      </c>
      <c r="Y13" s="69"/>
      <c r="Z13" s="70"/>
      <c r="AA13" s="68">
        <f t="shared" ref="AA13:AA31" si="7">AB13+AC13</f>
        <v>0</v>
      </c>
      <c r="AB13" s="69"/>
      <c r="AC13" s="70"/>
      <c r="AD13" s="68">
        <f t="shared" ref="AD13:AD31" si="8">AE13+AF13</f>
        <v>0</v>
      </c>
      <c r="AE13" s="69"/>
      <c r="AF13" s="70"/>
      <c r="AG13" s="68">
        <f t="shared" ref="AG13:AG31" si="9">AH13+AI13</f>
        <v>0</v>
      </c>
      <c r="AH13" s="69"/>
      <c r="AI13" s="70"/>
      <c r="AJ13" s="68">
        <f t="shared" ref="AJ13:AJ31" si="10">AK13+AL13</f>
        <v>0</v>
      </c>
      <c r="AK13" s="69"/>
      <c r="AL13" s="70"/>
      <c r="AM13" s="68">
        <f t="shared" ref="AM13:AM31" si="11">AN13+AO13</f>
        <v>0</v>
      </c>
      <c r="AN13" s="69"/>
      <c r="AO13" s="70"/>
      <c r="AP13" s="66">
        <f t="shared" ref="AP13:AP31" si="12">F13+L13+R13+X13+AD13+AJ13</f>
        <v>354</v>
      </c>
      <c r="AQ13" s="19">
        <f t="shared" si="0"/>
        <v>0.22125</v>
      </c>
    </row>
    <row r="14" spans="1:45" ht="18" customHeight="1" x14ac:dyDescent="0.15">
      <c r="A14" s="6"/>
      <c r="B14" s="81" t="s">
        <v>129</v>
      </c>
      <c r="C14" s="65">
        <v>571</v>
      </c>
      <c r="D14" s="87">
        <v>190</v>
      </c>
      <c r="E14" s="88">
        <v>570</v>
      </c>
      <c r="F14" s="68">
        <v>161</v>
      </c>
      <c r="G14" s="69">
        <v>0</v>
      </c>
      <c r="H14" s="70">
        <v>161</v>
      </c>
      <c r="I14" s="68">
        <f t="shared" si="1"/>
        <v>0</v>
      </c>
      <c r="J14" s="69">
        <v>0</v>
      </c>
      <c r="K14" s="70">
        <v>0</v>
      </c>
      <c r="L14" s="68">
        <f t="shared" si="2"/>
        <v>0</v>
      </c>
      <c r="M14" s="69"/>
      <c r="N14" s="70"/>
      <c r="O14" s="68">
        <f t="shared" si="3"/>
        <v>0</v>
      </c>
      <c r="P14" s="69"/>
      <c r="Q14" s="70"/>
      <c r="R14" s="68">
        <f t="shared" si="4"/>
        <v>0</v>
      </c>
      <c r="S14" s="69"/>
      <c r="T14" s="70"/>
      <c r="U14" s="68">
        <f t="shared" si="5"/>
        <v>0</v>
      </c>
      <c r="V14" s="69"/>
      <c r="W14" s="70"/>
      <c r="X14" s="68">
        <f t="shared" si="6"/>
        <v>0</v>
      </c>
      <c r="Y14" s="69"/>
      <c r="Z14" s="70"/>
      <c r="AA14" s="68">
        <f t="shared" si="7"/>
        <v>0</v>
      </c>
      <c r="AB14" s="69"/>
      <c r="AC14" s="70"/>
      <c r="AD14" s="68">
        <f t="shared" si="8"/>
        <v>0</v>
      </c>
      <c r="AE14" s="69"/>
      <c r="AF14" s="70"/>
      <c r="AG14" s="68">
        <f t="shared" si="9"/>
        <v>0</v>
      </c>
      <c r="AH14" s="69"/>
      <c r="AI14" s="70"/>
      <c r="AJ14" s="68">
        <f t="shared" si="10"/>
        <v>0</v>
      </c>
      <c r="AK14" s="69"/>
      <c r="AL14" s="70"/>
      <c r="AM14" s="68">
        <f t="shared" si="11"/>
        <v>0</v>
      </c>
      <c r="AN14" s="69"/>
      <c r="AO14" s="70"/>
      <c r="AP14" s="66">
        <f t="shared" si="12"/>
        <v>161</v>
      </c>
      <c r="AQ14" s="8">
        <f t="shared" si="0"/>
        <v>0.28245614035087718</v>
      </c>
    </row>
    <row r="15" spans="1:45" ht="18" customHeight="1" x14ac:dyDescent="0.15">
      <c r="A15" s="6"/>
      <c r="B15" s="81" t="s">
        <v>130</v>
      </c>
      <c r="C15" s="65">
        <v>303</v>
      </c>
      <c r="D15" s="87">
        <v>80</v>
      </c>
      <c r="E15" s="88">
        <v>320</v>
      </c>
      <c r="F15" s="68">
        <f t="shared" ref="F15:F31" si="13">G15+H15</f>
        <v>90</v>
      </c>
      <c r="G15" s="69">
        <v>0</v>
      </c>
      <c r="H15" s="70">
        <v>90</v>
      </c>
      <c r="I15" s="68">
        <f t="shared" si="1"/>
        <v>0</v>
      </c>
      <c r="J15" s="69">
        <v>0</v>
      </c>
      <c r="K15" s="70">
        <v>0</v>
      </c>
      <c r="L15" s="68">
        <f t="shared" si="2"/>
        <v>0</v>
      </c>
      <c r="M15" s="69"/>
      <c r="N15" s="70"/>
      <c r="O15" s="68">
        <f t="shared" si="3"/>
        <v>0</v>
      </c>
      <c r="P15" s="69"/>
      <c r="Q15" s="70"/>
      <c r="R15" s="68">
        <f t="shared" si="4"/>
        <v>0</v>
      </c>
      <c r="S15" s="69"/>
      <c r="T15" s="70"/>
      <c r="U15" s="68">
        <f t="shared" si="5"/>
        <v>0</v>
      </c>
      <c r="V15" s="69"/>
      <c r="W15" s="70"/>
      <c r="X15" s="68">
        <f t="shared" si="6"/>
        <v>0</v>
      </c>
      <c r="Y15" s="69"/>
      <c r="Z15" s="70"/>
      <c r="AA15" s="68">
        <f t="shared" si="7"/>
        <v>0</v>
      </c>
      <c r="AB15" s="69"/>
      <c r="AC15" s="70"/>
      <c r="AD15" s="68">
        <f t="shared" si="8"/>
        <v>0</v>
      </c>
      <c r="AE15" s="69"/>
      <c r="AF15" s="70"/>
      <c r="AG15" s="68">
        <f t="shared" si="9"/>
        <v>0</v>
      </c>
      <c r="AH15" s="69"/>
      <c r="AI15" s="70"/>
      <c r="AJ15" s="68">
        <f t="shared" si="10"/>
        <v>0</v>
      </c>
      <c r="AK15" s="69"/>
      <c r="AL15" s="70"/>
      <c r="AM15" s="68">
        <f t="shared" si="11"/>
        <v>0</v>
      </c>
      <c r="AN15" s="69"/>
      <c r="AO15" s="70"/>
      <c r="AP15" s="66">
        <f t="shared" si="12"/>
        <v>90</v>
      </c>
      <c r="AQ15" s="8">
        <f t="shared" si="0"/>
        <v>0.28125</v>
      </c>
    </row>
    <row r="16" spans="1:45" ht="18" customHeight="1" x14ac:dyDescent="0.15">
      <c r="A16" s="6"/>
      <c r="B16" s="81" t="s">
        <v>131</v>
      </c>
      <c r="C16" s="65">
        <v>652</v>
      </c>
      <c r="D16" s="87">
        <v>160</v>
      </c>
      <c r="E16" s="88">
        <v>640</v>
      </c>
      <c r="F16" s="68">
        <v>158</v>
      </c>
      <c r="G16" s="69">
        <v>0</v>
      </c>
      <c r="H16" s="70">
        <v>158</v>
      </c>
      <c r="I16" s="68">
        <f t="shared" si="1"/>
        <v>0</v>
      </c>
      <c r="J16" s="69">
        <v>0</v>
      </c>
      <c r="K16" s="70">
        <v>0</v>
      </c>
      <c r="L16" s="68">
        <f t="shared" si="2"/>
        <v>0</v>
      </c>
      <c r="M16" s="69"/>
      <c r="N16" s="70"/>
      <c r="O16" s="68">
        <f t="shared" si="3"/>
        <v>0</v>
      </c>
      <c r="P16" s="69"/>
      <c r="Q16" s="70"/>
      <c r="R16" s="68">
        <f t="shared" si="4"/>
        <v>0</v>
      </c>
      <c r="S16" s="69"/>
      <c r="T16" s="70"/>
      <c r="U16" s="68">
        <f t="shared" si="5"/>
        <v>0</v>
      </c>
      <c r="V16" s="69"/>
      <c r="W16" s="70"/>
      <c r="X16" s="68">
        <f t="shared" si="6"/>
        <v>0</v>
      </c>
      <c r="Y16" s="69"/>
      <c r="Z16" s="70"/>
      <c r="AA16" s="68">
        <f t="shared" si="7"/>
        <v>0</v>
      </c>
      <c r="AB16" s="69"/>
      <c r="AC16" s="70"/>
      <c r="AD16" s="68">
        <f t="shared" si="8"/>
        <v>0</v>
      </c>
      <c r="AE16" s="69"/>
      <c r="AF16" s="70"/>
      <c r="AG16" s="68">
        <f t="shared" si="9"/>
        <v>0</v>
      </c>
      <c r="AH16" s="69"/>
      <c r="AI16" s="70"/>
      <c r="AJ16" s="68">
        <f t="shared" si="10"/>
        <v>0</v>
      </c>
      <c r="AK16" s="69"/>
      <c r="AL16" s="70"/>
      <c r="AM16" s="68">
        <f t="shared" si="11"/>
        <v>0</v>
      </c>
      <c r="AN16" s="69"/>
      <c r="AO16" s="70"/>
      <c r="AP16" s="66">
        <f t="shared" si="12"/>
        <v>158</v>
      </c>
      <c r="AQ16" s="8">
        <f t="shared" si="0"/>
        <v>0.24687500000000001</v>
      </c>
    </row>
    <row r="17" spans="1:43" ht="18" customHeight="1" x14ac:dyDescent="0.15">
      <c r="A17" s="6"/>
      <c r="B17" s="11"/>
      <c r="C17" s="65"/>
      <c r="D17" s="66"/>
      <c r="E17" s="67"/>
      <c r="F17" s="68">
        <f t="shared" si="13"/>
        <v>0</v>
      </c>
      <c r="G17" s="69"/>
      <c r="H17" s="70"/>
      <c r="I17" s="68">
        <f t="shared" si="1"/>
        <v>0</v>
      </c>
      <c r="J17" s="69"/>
      <c r="K17" s="70"/>
      <c r="L17" s="68">
        <f t="shared" si="2"/>
        <v>0</v>
      </c>
      <c r="M17" s="69"/>
      <c r="N17" s="70"/>
      <c r="O17" s="68">
        <f t="shared" si="3"/>
        <v>0</v>
      </c>
      <c r="P17" s="69"/>
      <c r="Q17" s="70"/>
      <c r="R17" s="68">
        <f t="shared" si="4"/>
        <v>0</v>
      </c>
      <c r="S17" s="69"/>
      <c r="T17" s="70"/>
      <c r="U17" s="68">
        <f t="shared" si="5"/>
        <v>0</v>
      </c>
      <c r="V17" s="69"/>
      <c r="W17" s="70"/>
      <c r="X17" s="68">
        <f t="shared" si="6"/>
        <v>0</v>
      </c>
      <c r="Y17" s="69"/>
      <c r="Z17" s="70"/>
      <c r="AA17" s="68">
        <f t="shared" si="7"/>
        <v>0</v>
      </c>
      <c r="AB17" s="69"/>
      <c r="AC17" s="70"/>
      <c r="AD17" s="68">
        <f t="shared" si="8"/>
        <v>0</v>
      </c>
      <c r="AE17" s="69"/>
      <c r="AF17" s="70"/>
      <c r="AG17" s="68">
        <f t="shared" si="9"/>
        <v>0</v>
      </c>
      <c r="AH17" s="69"/>
      <c r="AI17" s="70"/>
      <c r="AJ17" s="68">
        <f t="shared" si="10"/>
        <v>0</v>
      </c>
      <c r="AK17" s="69"/>
      <c r="AL17" s="70"/>
      <c r="AM17" s="68">
        <f t="shared" si="11"/>
        <v>0</v>
      </c>
      <c r="AN17" s="69"/>
      <c r="AO17" s="70"/>
      <c r="AP17" s="66">
        <f t="shared" si="12"/>
        <v>0</v>
      </c>
      <c r="AQ17" s="8" t="e">
        <f t="shared" si="0"/>
        <v>#DIV/0!</v>
      </c>
    </row>
    <row r="18" spans="1:43" ht="18" customHeight="1" x14ac:dyDescent="0.15">
      <c r="A18" s="6"/>
      <c r="B18" s="11"/>
      <c r="C18" s="65"/>
      <c r="D18" s="66"/>
      <c r="E18" s="67"/>
      <c r="F18" s="68">
        <f t="shared" si="13"/>
        <v>0</v>
      </c>
      <c r="G18" s="69"/>
      <c r="H18" s="70"/>
      <c r="I18" s="68">
        <f t="shared" si="1"/>
        <v>0</v>
      </c>
      <c r="J18" s="69"/>
      <c r="K18" s="70"/>
      <c r="L18" s="68">
        <f t="shared" si="2"/>
        <v>0</v>
      </c>
      <c r="M18" s="69"/>
      <c r="N18" s="70"/>
      <c r="O18" s="68">
        <f t="shared" si="3"/>
        <v>0</v>
      </c>
      <c r="P18" s="69"/>
      <c r="Q18" s="70"/>
      <c r="R18" s="68">
        <f t="shared" si="4"/>
        <v>0</v>
      </c>
      <c r="S18" s="69"/>
      <c r="T18" s="70"/>
      <c r="U18" s="68">
        <f t="shared" si="5"/>
        <v>0</v>
      </c>
      <c r="V18" s="69"/>
      <c r="W18" s="70"/>
      <c r="X18" s="68">
        <f t="shared" si="6"/>
        <v>0</v>
      </c>
      <c r="Y18" s="69"/>
      <c r="Z18" s="70"/>
      <c r="AA18" s="68">
        <f t="shared" si="7"/>
        <v>0</v>
      </c>
      <c r="AB18" s="69"/>
      <c r="AC18" s="70"/>
      <c r="AD18" s="68">
        <f t="shared" si="8"/>
        <v>0</v>
      </c>
      <c r="AE18" s="69"/>
      <c r="AF18" s="70"/>
      <c r="AG18" s="68">
        <f t="shared" si="9"/>
        <v>0</v>
      </c>
      <c r="AH18" s="69"/>
      <c r="AI18" s="70"/>
      <c r="AJ18" s="68">
        <f t="shared" si="10"/>
        <v>0</v>
      </c>
      <c r="AK18" s="69"/>
      <c r="AL18" s="70"/>
      <c r="AM18" s="68">
        <f t="shared" si="11"/>
        <v>0</v>
      </c>
      <c r="AN18" s="69"/>
      <c r="AO18" s="70"/>
      <c r="AP18" s="66">
        <f t="shared" si="12"/>
        <v>0</v>
      </c>
      <c r="AQ18" s="8" t="e">
        <f t="shared" si="0"/>
        <v>#DIV/0!</v>
      </c>
    </row>
    <row r="19" spans="1:43" ht="18" customHeight="1" x14ac:dyDescent="0.15">
      <c r="A19" s="6"/>
      <c r="B19" s="11"/>
      <c r="C19" s="65"/>
      <c r="D19" s="66"/>
      <c r="E19" s="67"/>
      <c r="F19" s="68">
        <f t="shared" si="13"/>
        <v>0</v>
      </c>
      <c r="G19" s="69"/>
      <c r="H19" s="70"/>
      <c r="I19" s="68">
        <f t="shared" si="1"/>
        <v>0</v>
      </c>
      <c r="J19" s="69"/>
      <c r="K19" s="70"/>
      <c r="L19" s="68">
        <f t="shared" si="2"/>
        <v>0</v>
      </c>
      <c r="M19" s="69"/>
      <c r="N19" s="70"/>
      <c r="O19" s="68">
        <f t="shared" si="3"/>
        <v>0</v>
      </c>
      <c r="P19" s="69"/>
      <c r="Q19" s="70"/>
      <c r="R19" s="68">
        <f t="shared" si="4"/>
        <v>0</v>
      </c>
      <c r="S19" s="69"/>
      <c r="T19" s="70"/>
      <c r="U19" s="68">
        <f t="shared" si="5"/>
        <v>0</v>
      </c>
      <c r="V19" s="69"/>
      <c r="W19" s="70"/>
      <c r="X19" s="68">
        <f t="shared" si="6"/>
        <v>0</v>
      </c>
      <c r="Y19" s="69"/>
      <c r="Z19" s="70"/>
      <c r="AA19" s="68">
        <f t="shared" si="7"/>
        <v>0</v>
      </c>
      <c r="AB19" s="69"/>
      <c r="AC19" s="70"/>
      <c r="AD19" s="68">
        <f t="shared" si="8"/>
        <v>0</v>
      </c>
      <c r="AE19" s="69"/>
      <c r="AF19" s="70"/>
      <c r="AG19" s="68">
        <f t="shared" si="9"/>
        <v>0</v>
      </c>
      <c r="AH19" s="69"/>
      <c r="AI19" s="70"/>
      <c r="AJ19" s="68">
        <f t="shared" si="10"/>
        <v>0</v>
      </c>
      <c r="AK19" s="69"/>
      <c r="AL19" s="70"/>
      <c r="AM19" s="68">
        <f t="shared" si="11"/>
        <v>0</v>
      </c>
      <c r="AN19" s="69"/>
      <c r="AO19" s="70"/>
      <c r="AP19" s="66">
        <f t="shared" si="12"/>
        <v>0</v>
      </c>
      <c r="AQ19" s="8" t="e">
        <f t="shared" si="0"/>
        <v>#DIV/0!</v>
      </c>
    </row>
    <row r="20" spans="1:43" ht="18" customHeight="1" x14ac:dyDescent="0.15">
      <c r="A20" s="6"/>
      <c r="B20" s="11"/>
      <c r="C20" s="65"/>
      <c r="D20" s="66"/>
      <c r="E20" s="67"/>
      <c r="F20" s="68">
        <f t="shared" si="13"/>
        <v>0</v>
      </c>
      <c r="G20" s="69"/>
      <c r="H20" s="70"/>
      <c r="I20" s="68">
        <f t="shared" si="1"/>
        <v>0</v>
      </c>
      <c r="J20" s="69"/>
      <c r="K20" s="70"/>
      <c r="L20" s="68">
        <f t="shared" si="2"/>
        <v>0</v>
      </c>
      <c r="M20" s="69"/>
      <c r="N20" s="70"/>
      <c r="O20" s="68">
        <f t="shared" si="3"/>
        <v>0</v>
      </c>
      <c r="P20" s="69"/>
      <c r="Q20" s="70"/>
      <c r="R20" s="68">
        <f t="shared" si="4"/>
        <v>0</v>
      </c>
      <c r="S20" s="69"/>
      <c r="T20" s="70"/>
      <c r="U20" s="68">
        <f t="shared" si="5"/>
        <v>0</v>
      </c>
      <c r="V20" s="69"/>
      <c r="W20" s="70"/>
      <c r="X20" s="68">
        <f t="shared" si="6"/>
        <v>0</v>
      </c>
      <c r="Y20" s="69"/>
      <c r="Z20" s="70"/>
      <c r="AA20" s="68">
        <f t="shared" si="7"/>
        <v>0</v>
      </c>
      <c r="AB20" s="69"/>
      <c r="AC20" s="70"/>
      <c r="AD20" s="68">
        <f t="shared" si="8"/>
        <v>0</v>
      </c>
      <c r="AE20" s="69"/>
      <c r="AF20" s="70"/>
      <c r="AG20" s="68">
        <f t="shared" si="9"/>
        <v>0</v>
      </c>
      <c r="AH20" s="69"/>
      <c r="AI20" s="70"/>
      <c r="AJ20" s="68">
        <f t="shared" si="10"/>
        <v>0</v>
      </c>
      <c r="AK20" s="69"/>
      <c r="AL20" s="70"/>
      <c r="AM20" s="68">
        <f t="shared" si="11"/>
        <v>0</v>
      </c>
      <c r="AN20" s="69"/>
      <c r="AO20" s="70"/>
      <c r="AP20" s="66">
        <f t="shared" si="12"/>
        <v>0</v>
      </c>
      <c r="AQ20" s="8" t="e">
        <f t="shared" si="0"/>
        <v>#DIV/0!</v>
      </c>
    </row>
    <row r="21" spans="1:43" ht="18" customHeight="1" x14ac:dyDescent="0.15">
      <c r="A21" s="6"/>
      <c r="B21" s="11"/>
      <c r="C21" s="65"/>
      <c r="D21" s="66"/>
      <c r="E21" s="67"/>
      <c r="F21" s="68">
        <f t="shared" si="13"/>
        <v>0</v>
      </c>
      <c r="G21" s="69"/>
      <c r="H21" s="70"/>
      <c r="I21" s="68">
        <f t="shared" si="1"/>
        <v>0</v>
      </c>
      <c r="J21" s="69"/>
      <c r="K21" s="70"/>
      <c r="L21" s="68">
        <f t="shared" si="2"/>
        <v>0</v>
      </c>
      <c r="M21" s="69"/>
      <c r="N21" s="70"/>
      <c r="O21" s="68">
        <f t="shared" si="3"/>
        <v>0</v>
      </c>
      <c r="P21" s="69"/>
      <c r="Q21" s="70"/>
      <c r="R21" s="68">
        <f t="shared" si="4"/>
        <v>0</v>
      </c>
      <c r="S21" s="69"/>
      <c r="T21" s="70"/>
      <c r="U21" s="68">
        <f t="shared" si="5"/>
        <v>0</v>
      </c>
      <c r="V21" s="69"/>
      <c r="W21" s="70"/>
      <c r="X21" s="68">
        <f t="shared" si="6"/>
        <v>0</v>
      </c>
      <c r="Y21" s="69"/>
      <c r="Z21" s="70"/>
      <c r="AA21" s="68">
        <f t="shared" si="7"/>
        <v>0</v>
      </c>
      <c r="AB21" s="69"/>
      <c r="AC21" s="70"/>
      <c r="AD21" s="68">
        <f t="shared" si="8"/>
        <v>0</v>
      </c>
      <c r="AE21" s="69"/>
      <c r="AF21" s="70"/>
      <c r="AG21" s="68">
        <f t="shared" si="9"/>
        <v>0</v>
      </c>
      <c r="AH21" s="69"/>
      <c r="AI21" s="70"/>
      <c r="AJ21" s="68">
        <f t="shared" si="10"/>
        <v>0</v>
      </c>
      <c r="AK21" s="69"/>
      <c r="AL21" s="70"/>
      <c r="AM21" s="68">
        <f t="shared" si="11"/>
        <v>0</v>
      </c>
      <c r="AN21" s="69"/>
      <c r="AO21" s="70"/>
      <c r="AP21" s="66">
        <f t="shared" si="12"/>
        <v>0</v>
      </c>
      <c r="AQ21" s="8" t="e">
        <f t="shared" si="0"/>
        <v>#DIV/0!</v>
      </c>
    </row>
    <row r="22" spans="1:43" ht="18" customHeight="1" x14ac:dyDescent="0.15">
      <c r="A22" s="6"/>
      <c r="B22" s="11"/>
      <c r="C22" s="65"/>
      <c r="D22" s="66"/>
      <c r="E22" s="67"/>
      <c r="F22" s="68">
        <f t="shared" si="13"/>
        <v>0</v>
      </c>
      <c r="G22" s="69"/>
      <c r="H22" s="70"/>
      <c r="I22" s="68">
        <f t="shared" si="1"/>
        <v>0</v>
      </c>
      <c r="J22" s="69"/>
      <c r="K22" s="70"/>
      <c r="L22" s="68">
        <f t="shared" si="2"/>
        <v>0</v>
      </c>
      <c r="M22" s="69"/>
      <c r="N22" s="70"/>
      <c r="O22" s="68">
        <f t="shared" si="3"/>
        <v>0</v>
      </c>
      <c r="P22" s="69"/>
      <c r="Q22" s="70"/>
      <c r="R22" s="68">
        <f t="shared" si="4"/>
        <v>0</v>
      </c>
      <c r="S22" s="69"/>
      <c r="T22" s="70"/>
      <c r="U22" s="68">
        <f t="shared" si="5"/>
        <v>0</v>
      </c>
      <c r="V22" s="69"/>
      <c r="W22" s="70"/>
      <c r="X22" s="68">
        <f t="shared" si="6"/>
        <v>0</v>
      </c>
      <c r="Y22" s="69"/>
      <c r="Z22" s="70"/>
      <c r="AA22" s="68">
        <f t="shared" si="7"/>
        <v>0</v>
      </c>
      <c r="AB22" s="69"/>
      <c r="AC22" s="70"/>
      <c r="AD22" s="68">
        <f t="shared" si="8"/>
        <v>0</v>
      </c>
      <c r="AE22" s="69"/>
      <c r="AF22" s="70"/>
      <c r="AG22" s="68">
        <f t="shared" si="9"/>
        <v>0</v>
      </c>
      <c r="AH22" s="69"/>
      <c r="AI22" s="70"/>
      <c r="AJ22" s="68">
        <f t="shared" si="10"/>
        <v>0</v>
      </c>
      <c r="AK22" s="69"/>
      <c r="AL22" s="70"/>
      <c r="AM22" s="68">
        <f t="shared" si="11"/>
        <v>0</v>
      </c>
      <c r="AN22" s="69"/>
      <c r="AO22" s="70"/>
      <c r="AP22" s="66">
        <f t="shared" si="12"/>
        <v>0</v>
      </c>
      <c r="AQ22" s="8" t="e">
        <f t="shared" si="0"/>
        <v>#DIV/0!</v>
      </c>
    </row>
    <row r="23" spans="1:43" ht="18" customHeight="1" x14ac:dyDescent="0.15">
      <c r="A23" s="6"/>
      <c r="B23" s="11"/>
      <c r="C23" s="65"/>
      <c r="D23" s="66"/>
      <c r="E23" s="67"/>
      <c r="F23" s="68">
        <f t="shared" si="13"/>
        <v>0</v>
      </c>
      <c r="G23" s="69"/>
      <c r="H23" s="70"/>
      <c r="I23" s="68">
        <f t="shared" si="1"/>
        <v>0</v>
      </c>
      <c r="J23" s="69"/>
      <c r="K23" s="70"/>
      <c r="L23" s="68">
        <f t="shared" si="2"/>
        <v>0</v>
      </c>
      <c r="M23" s="69"/>
      <c r="N23" s="70"/>
      <c r="O23" s="68">
        <f t="shared" si="3"/>
        <v>0</v>
      </c>
      <c r="P23" s="69"/>
      <c r="Q23" s="70"/>
      <c r="R23" s="68">
        <f t="shared" si="4"/>
        <v>0</v>
      </c>
      <c r="S23" s="69"/>
      <c r="T23" s="70"/>
      <c r="U23" s="68">
        <f t="shared" si="5"/>
        <v>0</v>
      </c>
      <c r="V23" s="69"/>
      <c r="W23" s="70"/>
      <c r="X23" s="68">
        <f t="shared" si="6"/>
        <v>0</v>
      </c>
      <c r="Y23" s="69"/>
      <c r="Z23" s="70"/>
      <c r="AA23" s="68">
        <f t="shared" si="7"/>
        <v>0</v>
      </c>
      <c r="AB23" s="69"/>
      <c r="AC23" s="70"/>
      <c r="AD23" s="68">
        <f t="shared" si="8"/>
        <v>0</v>
      </c>
      <c r="AE23" s="69"/>
      <c r="AF23" s="70"/>
      <c r="AG23" s="68">
        <f t="shared" si="9"/>
        <v>0</v>
      </c>
      <c r="AH23" s="69"/>
      <c r="AI23" s="70"/>
      <c r="AJ23" s="68">
        <f t="shared" si="10"/>
        <v>0</v>
      </c>
      <c r="AK23" s="69"/>
      <c r="AL23" s="70"/>
      <c r="AM23" s="68">
        <f t="shared" si="11"/>
        <v>0</v>
      </c>
      <c r="AN23" s="69"/>
      <c r="AO23" s="70"/>
      <c r="AP23" s="66">
        <f t="shared" si="12"/>
        <v>0</v>
      </c>
      <c r="AQ23" s="8" t="e">
        <f t="shared" si="0"/>
        <v>#DIV/0!</v>
      </c>
    </row>
    <row r="24" spans="1:43" ht="18" customHeight="1" x14ac:dyDescent="0.15">
      <c r="A24" s="6"/>
      <c r="B24" s="11"/>
      <c r="C24" s="65"/>
      <c r="D24" s="66"/>
      <c r="E24" s="67"/>
      <c r="F24" s="68">
        <f t="shared" si="13"/>
        <v>0</v>
      </c>
      <c r="G24" s="69"/>
      <c r="H24" s="70"/>
      <c r="I24" s="68">
        <f t="shared" si="1"/>
        <v>0</v>
      </c>
      <c r="J24" s="69"/>
      <c r="K24" s="70"/>
      <c r="L24" s="68">
        <f t="shared" si="2"/>
        <v>0</v>
      </c>
      <c r="M24" s="69"/>
      <c r="N24" s="70"/>
      <c r="O24" s="68">
        <f t="shared" si="3"/>
        <v>0</v>
      </c>
      <c r="P24" s="69"/>
      <c r="Q24" s="70"/>
      <c r="R24" s="68">
        <f t="shared" si="4"/>
        <v>0</v>
      </c>
      <c r="S24" s="69"/>
      <c r="T24" s="70"/>
      <c r="U24" s="68">
        <f t="shared" si="5"/>
        <v>0</v>
      </c>
      <c r="V24" s="69"/>
      <c r="W24" s="70"/>
      <c r="X24" s="68">
        <f t="shared" si="6"/>
        <v>0</v>
      </c>
      <c r="Y24" s="69"/>
      <c r="Z24" s="70"/>
      <c r="AA24" s="68">
        <f t="shared" si="7"/>
        <v>0</v>
      </c>
      <c r="AB24" s="69"/>
      <c r="AC24" s="70"/>
      <c r="AD24" s="68">
        <f t="shared" si="8"/>
        <v>0</v>
      </c>
      <c r="AE24" s="69"/>
      <c r="AF24" s="70"/>
      <c r="AG24" s="68">
        <f t="shared" si="9"/>
        <v>0</v>
      </c>
      <c r="AH24" s="69"/>
      <c r="AI24" s="70"/>
      <c r="AJ24" s="68">
        <f t="shared" si="10"/>
        <v>0</v>
      </c>
      <c r="AK24" s="69"/>
      <c r="AL24" s="70"/>
      <c r="AM24" s="68">
        <f t="shared" si="11"/>
        <v>0</v>
      </c>
      <c r="AN24" s="69"/>
      <c r="AO24" s="70"/>
      <c r="AP24" s="66">
        <f t="shared" si="12"/>
        <v>0</v>
      </c>
      <c r="AQ24" s="8" t="e">
        <f t="shared" si="0"/>
        <v>#DIV/0!</v>
      </c>
    </row>
    <row r="25" spans="1:43" ht="18" customHeight="1" x14ac:dyDescent="0.15">
      <c r="A25" s="6"/>
      <c r="B25" s="11"/>
      <c r="C25" s="65"/>
      <c r="D25" s="66"/>
      <c r="E25" s="67"/>
      <c r="F25" s="68">
        <f t="shared" si="13"/>
        <v>0</v>
      </c>
      <c r="G25" s="69"/>
      <c r="H25" s="70"/>
      <c r="I25" s="68">
        <f t="shared" si="1"/>
        <v>0</v>
      </c>
      <c r="J25" s="69"/>
      <c r="K25" s="70"/>
      <c r="L25" s="68">
        <f t="shared" si="2"/>
        <v>0</v>
      </c>
      <c r="M25" s="69"/>
      <c r="N25" s="70"/>
      <c r="O25" s="68">
        <f t="shared" si="3"/>
        <v>0</v>
      </c>
      <c r="P25" s="69"/>
      <c r="Q25" s="70"/>
      <c r="R25" s="68">
        <f t="shared" si="4"/>
        <v>0</v>
      </c>
      <c r="S25" s="69"/>
      <c r="T25" s="70"/>
      <c r="U25" s="68">
        <f t="shared" si="5"/>
        <v>0</v>
      </c>
      <c r="V25" s="69"/>
      <c r="W25" s="70"/>
      <c r="X25" s="68">
        <f t="shared" si="6"/>
        <v>0</v>
      </c>
      <c r="Y25" s="69"/>
      <c r="Z25" s="70"/>
      <c r="AA25" s="68">
        <f t="shared" si="7"/>
        <v>0</v>
      </c>
      <c r="AB25" s="69"/>
      <c r="AC25" s="70"/>
      <c r="AD25" s="68">
        <f t="shared" si="8"/>
        <v>0</v>
      </c>
      <c r="AE25" s="69"/>
      <c r="AF25" s="70"/>
      <c r="AG25" s="68">
        <f t="shared" si="9"/>
        <v>0</v>
      </c>
      <c r="AH25" s="69"/>
      <c r="AI25" s="70"/>
      <c r="AJ25" s="68">
        <f t="shared" si="10"/>
        <v>0</v>
      </c>
      <c r="AK25" s="69"/>
      <c r="AL25" s="70"/>
      <c r="AM25" s="68">
        <f t="shared" si="11"/>
        <v>0</v>
      </c>
      <c r="AN25" s="69"/>
      <c r="AO25" s="70"/>
      <c r="AP25" s="66">
        <f t="shared" si="12"/>
        <v>0</v>
      </c>
      <c r="AQ25" s="8" t="e">
        <f t="shared" si="0"/>
        <v>#DIV/0!</v>
      </c>
    </row>
    <row r="26" spans="1:43" ht="18" customHeight="1" x14ac:dyDescent="0.15">
      <c r="A26" s="6"/>
      <c r="B26" s="11"/>
      <c r="C26" s="65"/>
      <c r="D26" s="66"/>
      <c r="E26" s="67"/>
      <c r="F26" s="68">
        <f t="shared" si="13"/>
        <v>0</v>
      </c>
      <c r="G26" s="69"/>
      <c r="H26" s="70"/>
      <c r="I26" s="68">
        <f t="shared" si="1"/>
        <v>0</v>
      </c>
      <c r="J26" s="69"/>
      <c r="K26" s="70"/>
      <c r="L26" s="68">
        <f t="shared" si="2"/>
        <v>0</v>
      </c>
      <c r="M26" s="69"/>
      <c r="N26" s="70"/>
      <c r="O26" s="68">
        <f t="shared" si="3"/>
        <v>0</v>
      </c>
      <c r="P26" s="69"/>
      <c r="Q26" s="70"/>
      <c r="R26" s="68">
        <f t="shared" si="4"/>
        <v>0</v>
      </c>
      <c r="S26" s="69"/>
      <c r="T26" s="70"/>
      <c r="U26" s="68">
        <f t="shared" si="5"/>
        <v>0</v>
      </c>
      <c r="V26" s="69"/>
      <c r="W26" s="70"/>
      <c r="X26" s="68">
        <f t="shared" si="6"/>
        <v>0</v>
      </c>
      <c r="Y26" s="69"/>
      <c r="Z26" s="70"/>
      <c r="AA26" s="68">
        <f t="shared" si="7"/>
        <v>0</v>
      </c>
      <c r="AB26" s="69"/>
      <c r="AC26" s="70"/>
      <c r="AD26" s="68">
        <f t="shared" si="8"/>
        <v>0</v>
      </c>
      <c r="AE26" s="69"/>
      <c r="AF26" s="70"/>
      <c r="AG26" s="68">
        <f t="shared" si="9"/>
        <v>0</v>
      </c>
      <c r="AH26" s="69"/>
      <c r="AI26" s="70"/>
      <c r="AJ26" s="68">
        <f t="shared" si="10"/>
        <v>0</v>
      </c>
      <c r="AK26" s="69"/>
      <c r="AL26" s="70"/>
      <c r="AM26" s="68">
        <f t="shared" si="11"/>
        <v>0</v>
      </c>
      <c r="AN26" s="69"/>
      <c r="AO26" s="70"/>
      <c r="AP26" s="66">
        <f t="shared" si="12"/>
        <v>0</v>
      </c>
      <c r="AQ26" s="8" t="e">
        <f t="shared" si="0"/>
        <v>#DIV/0!</v>
      </c>
    </row>
    <row r="27" spans="1:43" ht="18" customHeight="1" x14ac:dyDescent="0.15">
      <c r="A27" s="6"/>
      <c r="B27" s="11"/>
      <c r="C27" s="65"/>
      <c r="D27" s="66"/>
      <c r="E27" s="67"/>
      <c r="F27" s="68">
        <f t="shared" si="13"/>
        <v>0</v>
      </c>
      <c r="G27" s="69"/>
      <c r="H27" s="70"/>
      <c r="I27" s="68">
        <f t="shared" si="1"/>
        <v>0</v>
      </c>
      <c r="J27" s="69"/>
      <c r="K27" s="70"/>
      <c r="L27" s="68">
        <f t="shared" si="2"/>
        <v>0</v>
      </c>
      <c r="M27" s="69"/>
      <c r="N27" s="70"/>
      <c r="O27" s="68">
        <f t="shared" si="3"/>
        <v>0</v>
      </c>
      <c r="P27" s="69"/>
      <c r="Q27" s="70"/>
      <c r="R27" s="68">
        <f t="shared" si="4"/>
        <v>0</v>
      </c>
      <c r="S27" s="69"/>
      <c r="T27" s="70"/>
      <c r="U27" s="68">
        <f t="shared" si="5"/>
        <v>0</v>
      </c>
      <c r="V27" s="69"/>
      <c r="W27" s="70"/>
      <c r="X27" s="68">
        <f t="shared" si="6"/>
        <v>0</v>
      </c>
      <c r="Y27" s="69"/>
      <c r="Z27" s="70"/>
      <c r="AA27" s="68">
        <f t="shared" si="7"/>
        <v>0</v>
      </c>
      <c r="AB27" s="69"/>
      <c r="AC27" s="70"/>
      <c r="AD27" s="68">
        <f t="shared" si="8"/>
        <v>0</v>
      </c>
      <c r="AE27" s="69"/>
      <c r="AF27" s="70"/>
      <c r="AG27" s="68">
        <f t="shared" si="9"/>
        <v>0</v>
      </c>
      <c r="AH27" s="69"/>
      <c r="AI27" s="70"/>
      <c r="AJ27" s="68">
        <f t="shared" si="10"/>
        <v>0</v>
      </c>
      <c r="AK27" s="69"/>
      <c r="AL27" s="70"/>
      <c r="AM27" s="68">
        <f t="shared" si="11"/>
        <v>0</v>
      </c>
      <c r="AN27" s="69"/>
      <c r="AO27" s="70"/>
      <c r="AP27" s="66">
        <f t="shared" si="12"/>
        <v>0</v>
      </c>
      <c r="AQ27" s="8" t="e">
        <f t="shared" si="0"/>
        <v>#DIV/0!</v>
      </c>
    </row>
    <row r="28" spans="1:43" ht="18" customHeight="1" x14ac:dyDescent="0.15">
      <c r="A28" s="6"/>
      <c r="B28" s="11"/>
      <c r="C28" s="65"/>
      <c r="D28" s="66"/>
      <c r="E28" s="67"/>
      <c r="F28" s="68">
        <f t="shared" si="13"/>
        <v>0</v>
      </c>
      <c r="G28" s="69"/>
      <c r="H28" s="70"/>
      <c r="I28" s="68">
        <f t="shared" si="1"/>
        <v>0</v>
      </c>
      <c r="J28" s="69"/>
      <c r="K28" s="70"/>
      <c r="L28" s="68">
        <f t="shared" si="2"/>
        <v>0</v>
      </c>
      <c r="M28" s="69"/>
      <c r="N28" s="70"/>
      <c r="O28" s="68">
        <f t="shared" si="3"/>
        <v>0</v>
      </c>
      <c r="P28" s="69"/>
      <c r="Q28" s="70"/>
      <c r="R28" s="68">
        <f t="shared" si="4"/>
        <v>0</v>
      </c>
      <c r="S28" s="69"/>
      <c r="T28" s="70"/>
      <c r="U28" s="68">
        <f t="shared" si="5"/>
        <v>0</v>
      </c>
      <c r="V28" s="69"/>
      <c r="W28" s="70"/>
      <c r="X28" s="68">
        <f t="shared" si="6"/>
        <v>0</v>
      </c>
      <c r="Y28" s="69"/>
      <c r="Z28" s="70"/>
      <c r="AA28" s="68">
        <f t="shared" si="7"/>
        <v>0</v>
      </c>
      <c r="AB28" s="69"/>
      <c r="AC28" s="70"/>
      <c r="AD28" s="68">
        <f t="shared" si="8"/>
        <v>0</v>
      </c>
      <c r="AE28" s="69"/>
      <c r="AF28" s="70"/>
      <c r="AG28" s="68">
        <f t="shared" si="9"/>
        <v>0</v>
      </c>
      <c r="AH28" s="69"/>
      <c r="AI28" s="70"/>
      <c r="AJ28" s="68">
        <f t="shared" si="10"/>
        <v>0</v>
      </c>
      <c r="AK28" s="69"/>
      <c r="AL28" s="70"/>
      <c r="AM28" s="68">
        <f t="shared" si="11"/>
        <v>0</v>
      </c>
      <c r="AN28" s="69"/>
      <c r="AO28" s="70"/>
      <c r="AP28" s="66">
        <f t="shared" si="12"/>
        <v>0</v>
      </c>
      <c r="AQ28" s="8" t="e">
        <f t="shared" si="0"/>
        <v>#DIV/0!</v>
      </c>
    </row>
    <row r="29" spans="1:43" ht="18" customHeight="1" x14ac:dyDescent="0.15">
      <c r="A29" s="6"/>
      <c r="B29" s="11"/>
      <c r="C29" s="65"/>
      <c r="D29" s="71"/>
      <c r="E29" s="67"/>
      <c r="F29" s="68">
        <f t="shared" si="13"/>
        <v>0</v>
      </c>
      <c r="G29" s="69"/>
      <c r="H29" s="70"/>
      <c r="I29" s="68">
        <f t="shared" si="1"/>
        <v>0</v>
      </c>
      <c r="J29" s="69"/>
      <c r="K29" s="70"/>
      <c r="L29" s="68">
        <f t="shared" si="2"/>
        <v>0</v>
      </c>
      <c r="M29" s="69"/>
      <c r="N29" s="70"/>
      <c r="O29" s="68">
        <f t="shared" si="3"/>
        <v>0</v>
      </c>
      <c r="P29" s="69"/>
      <c r="Q29" s="70"/>
      <c r="R29" s="68">
        <f t="shared" si="4"/>
        <v>0</v>
      </c>
      <c r="S29" s="69"/>
      <c r="T29" s="70"/>
      <c r="U29" s="68">
        <f t="shared" si="5"/>
        <v>0</v>
      </c>
      <c r="V29" s="69"/>
      <c r="W29" s="70"/>
      <c r="X29" s="68">
        <f t="shared" si="6"/>
        <v>0</v>
      </c>
      <c r="Y29" s="69"/>
      <c r="Z29" s="70"/>
      <c r="AA29" s="68">
        <f t="shared" si="7"/>
        <v>0</v>
      </c>
      <c r="AB29" s="69"/>
      <c r="AC29" s="70"/>
      <c r="AD29" s="68">
        <f t="shared" si="8"/>
        <v>0</v>
      </c>
      <c r="AE29" s="69"/>
      <c r="AF29" s="70"/>
      <c r="AG29" s="68">
        <f t="shared" si="9"/>
        <v>0</v>
      </c>
      <c r="AH29" s="69"/>
      <c r="AI29" s="70"/>
      <c r="AJ29" s="68">
        <f t="shared" si="10"/>
        <v>0</v>
      </c>
      <c r="AK29" s="69"/>
      <c r="AL29" s="70"/>
      <c r="AM29" s="68">
        <f t="shared" si="11"/>
        <v>0</v>
      </c>
      <c r="AN29" s="69"/>
      <c r="AO29" s="70"/>
      <c r="AP29" s="71">
        <f t="shared" si="12"/>
        <v>0</v>
      </c>
      <c r="AQ29" s="8" t="e">
        <f t="shared" si="0"/>
        <v>#DIV/0!</v>
      </c>
    </row>
    <row r="30" spans="1:43" ht="18" customHeight="1" x14ac:dyDescent="0.15">
      <c r="A30" s="6"/>
      <c r="B30" s="11"/>
      <c r="C30" s="65"/>
      <c r="D30" s="71"/>
      <c r="E30" s="67"/>
      <c r="F30" s="68">
        <f t="shared" si="13"/>
        <v>0</v>
      </c>
      <c r="G30" s="69"/>
      <c r="H30" s="70"/>
      <c r="I30" s="68">
        <f t="shared" si="1"/>
        <v>0</v>
      </c>
      <c r="J30" s="69"/>
      <c r="K30" s="70"/>
      <c r="L30" s="68">
        <f t="shared" si="2"/>
        <v>0</v>
      </c>
      <c r="M30" s="69"/>
      <c r="N30" s="70"/>
      <c r="O30" s="68">
        <f t="shared" si="3"/>
        <v>0</v>
      </c>
      <c r="P30" s="69"/>
      <c r="Q30" s="70"/>
      <c r="R30" s="68">
        <f t="shared" si="4"/>
        <v>0</v>
      </c>
      <c r="S30" s="69"/>
      <c r="T30" s="70"/>
      <c r="U30" s="68">
        <f t="shared" si="5"/>
        <v>0</v>
      </c>
      <c r="V30" s="69"/>
      <c r="W30" s="70"/>
      <c r="X30" s="68">
        <f t="shared" si="6"/>
        <v>0</v>
      </c>
      <c r="Y30" s="69"/>
      <c r="Z30" s="70"/>
      <c r="AA30" s="68">
        <f t="shared" si="7"/>
        <v>0</v>
      </c>
      <c r="AB30" s="69"/>
      <c r="AC30" s="70"/>
      <c r="AD30" s="68">
        <f t="shared" si="8"/>
        <v>0</v>
      </c>
      <c r="AE30" s="69"/>
      <c r="AF30" s="70"/>
      <c r="AG30" s="68">
        <f t="shared" si="9"/>
        <v>0</v>
      </c>
      <c r="AH30" s="69"/>
      <c r="AI30" s="70"/>
      <c r="AJ30" s="68">
        <f t="shared" si="10"/>
        <v>0</v>
      </c>
      <c r="AK30" s="69"/>
      <c r="AL30" s="70"/>
      <c r="AM30" s="68">
        <f t="shared" si="11"/>
        <v>0</v>
      </c>
      <c r="AN30" s="69"/>
      <c r="AO30" s="70"/>
      <c r="AP30" s="71">
        <f t="shared" si="12"/>
        <v>0</v>
      </c>
      <c r="AQ30" s="8" t="e">
        <f t="shared" si="0"/>
        <v>#DIV/0!</v>
      </c>
    </row>
    <row r="31" spans="1:43" ht="18" customHeight="1" thickBot="1" x14ac:dyDescent="0.2">
      <c r="A31" s="6"/>
      <c r="B31" s="12"/>
      <c r="C31" s="60"/>
      <c r="D31" s="72"/>
      <c r="E31" s="62"/>
      <c r="F31" s="62">
        <f t="shared" si="13"/>
        <v>0</v>
      </c>
      <c r="G31" s="73"/>
      <c r="H31" s="74"/>
      <c r="I31" s="62">
        <f t="shared" si="1"/>
        <v>0</v>
      </c>
      <c r="J31" s="73"/>
      <c r="K31" s="74"/>
      <c r="L31" s="62">
        <f t="shared" si="2"/>
        <v>0</v>
      </c>
      <c r="M31" s="73"/>
      <c r="N31" s="74"/>
      <c r="O31" s="62">
        <f t="shared" si="3"/>
        <v>0</v>
      </c>
      <c r="P31" s="73"/>
      <c r="Q31" s="74"/>
      <c r="R31" s="62">
        <f t="shared" si="4"/>
        <v>0</v>
      </c>
      <c r="S31" s="73"/>
      <c r="T31" s="74"/>
      <c r="U31" s="62">
        <f t="shared" si="5"/>
        <v>0</v>
      </c>
      <c r="V31" s="73"/>
      <c r="W31" s="74"/>
      <c r="X31" s="62">
        <f t="shared" si="6"/>
        <v>0</v>
      </c>
      <c r="Y31" s="73"/>
      <c r="Z31" s="74"/>
      <c r="AA31" s="62">
        <f t="shared" si="7"/>
        <v>0</v>
      </c>
      <c r="AB31" s="73"/>
      <c r="AC31" s="74"/>
      <c r="AD31" s="62">
        <f t="shared" si="8"/>
        <v>0</v>
      </c>
      <c r="AE31" s="73"/>
      <c r="AF31" s="74"/>
      <c r="AG31" s="62">
        <f t="shared" si="9"/>
        <v>0</v>
      </c>
      <c r="AH31" s="73"/>
      <c r="AI31" s="74"/>
      <c r="AJ31" s="62">
        <f t="shared" si="10"/>
        <v>0</v>
      </c>
      <c r="AK31" s="73"/>
      <c r="AL31" s="74"/>
      <c r="AM31" s="62">
        <f t="shared" si="11"/>
        <v>0</v>
      </c>
      <c r="AN31" s="73"/>
      <c r="AO31" s="74"/>
      <c r="AP31" s="72">
        <f t="shared" si="12"/>
        <v>0</v>
      </c>
      <c r="AQ31" s="7" t="e">
        <f t="shared" si="0"/>
        <v>#DIV/0!</v>
      </c>
    </row>
    <row r="32" spans="1:43" ht="18" customHeight="1" thickTop="1" x14ac:dyDescent="0.15">
      <c r="B32" s="13" t="s">
        <v>33</v>
      </c>
      <c r="C32" s="75">
        <f t="shared" ref="C32" si="14">SUM(C12:C31)</f>
        <v>4178</v>
      </c>
      <c r="D32" s="76">
        <f t="shared" ref="D32:AP32" si="15">SUM(D12:D31)</f>
        <v>980</v>
      </c>
      <c r="E32" s="77">
        <f t="shared" si="15"/>
        <v>3920</v>
      </c>
      <c r="F32" s="77">
        <f t="shared" si="15"/>
        <v>922</v>
      </c>
      <c r="G32" s="78">
        <f t="shared" si="15"/>
        <v>0</v>
      </c>
      <c r="H32" s="79">
        <f t="shared" si="15"/>
        <v>922</v>
      </c>
      <c r="I32" s="77">
        <f t="shared" ref="I32:N32" si="16">SUM(I12:I31)</f>
        <v>0</v>
      </c>
      <c r="J32" s="78">
        <f t="shared" si="16"/>
        <v>0</v>
      </c>
      <c r="K32" s="79">
        <f t="shared" si="16"/>
        <v>0</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922</v>
      </c>
      <c r="AQ32" s="9">
        <f t="shared" si="0"/>
        <v>0.23520408163265305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zoomScaleNormal="100" zoomScaleSheetLayoutView="85" workbookViewId="0">
      <selection activeCell="B35" sqref="B35:I46"/>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0" ht="18.75" customHeight="1" x14ac:dyDescent="0.15">
      <c r="A1" s="40" t="s">
        <v>65</v>
      </c>
      <c r="I1" s="34" t="s">
        <v>106</v>
      </c>
    </row>
    <row r="2" spans="1:10" ht="18.75" customHeight="1" x14ac:dyDescent="0.15">
      <c r="G2" s="34" t="s">
        <v>109</v>
      </c>
      <c r="H2" s="101" t="str">
        <f>'様式１　プログラムを構成する授業科目'!C2</f>
        <v>甲南女子大学</v>
      </c>
      <c r="I2" s="103"/>
    </row>
    <row r="3" spans="1:10" ht="18.75" customHeight="1" x14ac:dyDescent="0.15">
      <c r="G3" s="34"/>
      <c r="H3" s="10"/>
      <c r="I3" s="10"/>
    </row>
    <row r="4" spans="1:10" ht="18.600000000000001" customHeight="1" x14ac:dyDescent="0.15">
      <c r="A4" s="112" t="s">
        <v>36</v>
      </c>
      <c r="B4" s="112"/>
      <c r="C4" s="112"/>
      <c r="D4" s="112"/>
      <c r="E4" s="112"/>
      <c r="F4" s="112"/>
      <c r="G4" s="112"/>
      <c r="H4" s="112"/>
      <c r="I4" s="112"/>
    </row>
    <row r="5" spans="1:10" ht="13.15" customHeight="1" x14ac:dyDescent="0.15">
      <c r="B5" s="3"/>
      <c r="C5" s="3"/>
      <c r="D5" s="3"/>
      <c r="E5" s="3"/>
      <c r="F5" s="3"/>
      <c r="G5" s="3"/>
      <c r="H5" s="3"/>
      <c r="I5" s="3"/>
    </row>
    <row r="6" spans="1:10" ht="18" customHeight="1" x14ac:dyDescent="0.15">
      <c r="A6" s="1" t="s">
        <v>0</v>
      </c>
      <c r="B6" s="10" t="s">
        <v>91</v>
      </c>
      <c r="C6" s="221" t="s">
        <v>92</v>
      </c>
      <c r="D6" s="221"/>
      <c r="E6" s="33">
        <v>176</v>
      </c>
      <c r="F6" s="3" t="s">
        <v>1</v>
      </c>
      <c r="G6" s="3" t="s">
        <v>2</v>
      </c>
      <c r="H6" s="33">
        <v>610</v>
      </c>
      <c r="I6" s="10" t="s">
        <v>1</v>
      </c>
      <c r="J6" s="83"/>
    </row>
    <row r="7" spans="1:10" ht="12" customHeight="1" x14ac:dyDescent="0.15">
      <c r="C7" s="2"/>
      <c r="D7" s="2"/>
      <c r="E7" s="2"/>
      <c r="F7" s="2"/>
      <c r="G7" s="2"/>
      <c r="H7" s="2"/>
      <c r="I7" s="41"/>
    </row>
    <row r="8" spans="1:10" ht="18" customHeight="1" x14ac:dyDescent="0.15">
      <c r="A8" s="1" t="s">
        <v>3</v>
      </c>
      <c r="B8" s="10" t="s">
        <v>93</v>
      </c>
      <c r="E8" s="3"/>
      <c r="F8" s="3"/>
      <c r="G8" s="3"/>
      <c r="H8" s="33">
        <v>27</v>
      </c>
      <c r="I8" s="10" t="s">
        <v>1</v>
      </c>
    </row>
    <row r="9" spans="1:10" ht="9" customHeight="1" x14ac:dyDescent="0.15">
      <c r="B9" s="3"/>
      <c r="C9" s="3"/>
      <c r="D9" s="3"/>
      <c r="E9" s="3"/>
      <c r="F9" s="3"/>
      <c r="G9" s="3"/>
      <c r="H9" s="3"/>
      <c r="I9" s="3"/>
    </row>
    <row r="10" spans="1:10" ht="18" customHeight="1" x14ac:dyDescent="0.15">
      <c r="A10" s="1" t="s">
        <v>4</v>
      </c>
      <c r="B10" s="10" t="s">
        <v>94</v>
      </c>
      <c r="C10" s="3"/>
      <c r="D10" s="3"/>
      <c r="E10" s="3"/>
      <c r="F10" s="3"/>
      <c r="G10" s="3"/>
      <c r="H10" s="3"/>
      <c r="I10" s="3"/>
    </row>
    <row r="11" spans="1:10" ht="18" customHeight="1" x14ac:dyDescent="0.15">
      <c r="B11" s="34" t="s">
        <v>43</v>
      </c>
      <c r="C11" s="216" t="s">
        <v>137</v>
      </c>
      <c r="D11" s="219"/>
      <c r="E11" s="220"/>
      <c r="F11" s="41"/>
      <c r="G11" s="34" t="s">
        <v>10</v>
      </c>
      <c r="H11" s="216" t="s">
        <v>136</v>
      </c>
      <c r="I11" s="220"/>
    </row>
    <row r="12" spans="1:10" ht="10.15" customHeight="1" x14ac:dyDescent="0.15">
      <c r="B12" s="34"/>
      <c r="C12" s="10"/>
      <c r="D12" s="41"/>
      <c r="E12" s="41"/>
      <c r="F12" s="41"/>
      <c r="G12" s="34"/>
      <c r="H12" s="10"/>
      <c r="I12" s="41"/>
    </row>
    <row r="13" spans="1:10" ht="18" customHeight="1" x14ac:dyDescent="0.15">
      <c r="A13" s="1" t="s">
        <v>7</v>
      </c>
      <c r="B13" s="10" t="s">
        <v>88</v>
      </c>
      <c r="C13" s="3"/>
      <c r="D13" s="3"/>
      <c r="E13" s="3"/>
      <c r="F13" s="3"/>
      <c r="G13" s="3"/>
      <c r="H13" s="3"/>
      <c r="I13" s="3"/>
    </row>
    <row r="14" spans="1:10" ht="18" customHeight="1" x14ac:dyDescent="0.15">
      <c r="B14" s="216" t="s">
        <v>141</v>
      </c>
      <c r="C14" s="217"/>
      <c r="D14" s="217"/>
      <c r="E14" s="217"/>
      <c r="F14" s="217"/>
      <c r="G14" s="217"/>
      <c r="H14" s="217"/>
      <c r="I14" s="218"/>
    </row>
    <row r="15" spans="1:10" ht="9" customHeight="1" x14ac:dyDescent="0.15">
      <c r="B15" s="3"/>
      <c r="C15" s="3"/>
      <c r="D15" s="3"/>
      <c r="E15" s="3"/>
      <c r="F15" s="3"/>
      <c r="G15" s="3"/>
      <c r="H15" s="3"/>
      <c r="I15" s="3"/>
    </row>
    <row r="16" spans="1:10" ht="18" customHeight="1" x14ac:dyDescent="0.15">
      <c r="B16" s="34" t="s">
        <v>43</v>
      </c>
      <c r="C16" s="216" t="s">
        <v>137</v>
      </c>
      <c r="D16" s="219"/>
      <c r="E16" s="220"/>
      <c r="F16" s="41"/>
      <c r="G16" s="34" t="s">
        <v>10</v>
      </c>
      <c r="H16" s="216" t="s">
        <v>142</v>
      </c>
      <c r="I16" s="268"/>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08" t="s">
        <v>138</v>
      </c>
      <c r="C19" s="209"/>
      <c r="D19" s="209"/>
      <c r="E19" s="209"/>
      <c r="F19" s="209"/>
      <c r="G19" s="209"/>
      <c r="H19" s="209"/>
      <c r="I19" s="21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8" t="s">
        <v>139</v>
      </c>
      <c r="C22" s="199"/>
      <c r="D22" s="199"/>
      <c r="E22" s="199"/>
      <c r="F22" s="199"/>
      <c r="G22" s="199"/>
      <c r="H22" s="199"/>
      <c r="I22" s="200"/>
    </row>
    <row r="23" spans="1:9" ht="18.75" customHeight="1" x14ac:dyDescent="0.15">
      <c r="A23" s="14"/>
      <c r="B23" s="211"/>
      <c r="C23" s="212"/>
      <c r="D23" s="212"/>
      <c r="E23" s="212"/>
      <c r="F23" s="212"/>
      <c r="G23" s="212"/>
      <c r="H23" s="212"/>
      <c r="I23" s="203"/>
    </row>
    <row r="24" spans="1:9" ht="18.75" customHeight="1" x14ac:dyDescent="0.15">
      <c r="A24" s="14"/>
      <c r="B24" s="211"/>
      <c r="C24" s="212"/>
      <c r="D24" s="212"/>
      <c r="E24" s="212"/>
      <c r="F24" s="212"/>
      <c r="G24" s="212"/>
      <c r="H24" s="212"/>
      <c r="I24" s="203"/>
    </row>
    <row r="25" spans="1:9" ht="18.75" customHeight="1" x14ac:dyDescent="0.15">
      <c r="A25" s="14"/>
      <c r="B25" s="211"/>
      <c r="C25" s="212"/>
      <c r="D25" s="212"/>
      <c r="E25" s="212"/>
      <c r="F25" s="212"/>
      <c r="G25" s="212"/>
      <c r="H25" s="212"/>
      <c r="I25" s="203"/>
    </row>
    <row r="26" spans="1:9" ht="18.75" customHeight="1" x14ac:dyDescent="0.15">
      <c r="A26" s="14"/>
      <c r="B26" s="211"/>
      <c r="C26" s="212"/>
      <c r="D26" s="212"/>
      <c r="E26" s="212"/>
      <c r="F26" s="212"/>
      <c r="G26" s="212"/>
      <c r="H26" s="212"/>
      <c r="I26" s="203"/>
    </row>
    <row r="27" spans="1:9" ht="18.75" customHeight="1" x14ac:dyDescent="0.15">
      <c r="A27" s="14"/>
      <c r="B27" s="211"/>
      <c r="C27" s="212"/>
      <c r="D27" s="212"/>
      <c r="E27" s="212"/>
      <c r="F27" s="212"/>
      <c r="G27" s="212"/>
      <c r="H27" s="212"/>
      <c r="I27" s="203"/>
    </row>
    <row r="28" spans="1:9" ht="18.75" customHeight="1" x14ac:dyDescent="0.15">
      <c r="A28" s="14"/>
      <c r="B28" s="211"/>
      <c r="C28" s="212"/>
      <c r="D28" s="212"/>
      <c r="E28" s="212"/>
      <c r="F28" s="212"/>
      <c r="G28" s="212"/>
      <c r="H28" s="212"/>
      <c r="I28" s="203"/>
    </row>
    <row r="29" spans="1:9" ht="18.75" customHeight="1" x14ac:dyDescent="0.15">
      <c r="A29" s="14"/>
      <c r="B29" s="211"/>
      <c r="C29" s="212"/>
      <c r="D29" s="212"/>
      <c r="E29" s="212"/>
      <c r="F29" s="212"/>
      <c r="G29" s="212"/>
      <c r="H29" s="212"/>
      <c r="I29" s="203"/>
    </row>
    <row r="30" spans="1:9" ht="18.75" customHeight="1" x14ac:dyDescent="0.15">
      <c r="A30" s="14"/>
      <c r="B30" s="201"/>
      <c r="C30" s="202"/>
      <c r="D30" s="202"/>
      <c r="E30" s="202"/>
      <c r="F30" s="202"/>
      <c r="G30" s="202"/>
      <c r="H30" s="202"/>
      <c r="I30" s="203"/>
    </row>
    <row r="31" spans="1:9" ht="18.75" customHeight="1" x14ac:dyDescent="0.15">
      <c r="A31" s="14"/>
      <c r="B31" s="201"/>
      <c r="C31" s="202"/>
      <c r="D31" s="202"/>
      <c r="E31" s="202"/>
      <c r="F31" s="202"/>
      <c r="G31" s="202"/>
      <c r="H31" s="202"/>
      <c r="I31" s="203"/>
    </row>
    <row r="32" spans="1:9" ht="18.75" customHeight="1" x14ac:dyDescent="0.15">
      <c r="A32" s="14"/>
      <c r="B32" s="204"/>
      <c r="C32" s="205"/>
      <c r="D32" s="205"/>
      <c r="E32" s="205"/>
      <c r="F32" s="205"/>
      <c r="G32" s="205"/>
      <c r="H32" s="205"/>
      <c r="I32" s="20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8" t="s">
        <v>186</v>
      </c>
      <c r="C35" s="199"/>
      <c r="D35" s="199"/>
      <c r="E35" s="199"/>
      <c r="F35" s="199"/>
      <c r="G35" s="199"/>
      <c r="H35" s="199"/>
      <c r="I35" s="200"/>
    </row>
    <row r="36" spans="1:9" ht="18.75" customHeight="1" x14ac:dyDescent="0.15">
      <c r="A36" s="14"/>
      <c r="B36" s="201"/>
      <c r="C36" s="202"/>
      <c r="D36" s="202"/>
      <c r="E36" s="202"/>
      <c r="F36" s="202"/>
      <c r="G36" s="202"/>
      <c r="H36" s="202"/>
      <c r="I36" s="203"/>
    </row>
    <row r="37" spans="1:9" ht="18.75" customHeight="1" x14ac:dyDescent="0.15">
      <c r="A37" s="14"/>
      <c r="B37" s="201"/>
      <c r="C37" s="202"/>
      <c r="D37" s="202"/>
      <c r="E37" s="202"/>
      <c r="F37" s="202"/>
      <c r="G37" s="202"/>
      <c r="H37" s="202"/>
      <c r="I37" s="203"/>
    </row>
    <row r="38" spans="1:9" ht="18.75" customHeight="1" x14ac:dyDescent="0.15">
      <c r="A38" s="14"/>
      <c r="B38" s="201"/>
      <c r="C38" s="202"/>
      <c r="D38" s="202"/>
      <c r="E38" s="202"/>
      <c r="F38" s="202"/>
      <c r="G38" s="202"/>
      <c r="H38" s="202"/>
      <c r="I38" s="203"/>
    </row>
    <row r="39" spans="1:9" ht="18.75" customHeight="1" x14ac:dyDescent="0.15">
      <c r="A39" s="14"/>
      <c r="B39" s="201"/>
      <c r="C39" s="202"/>
      <c r="D39" s="202"/>
      <c r="E39" s="202"/>
      <c r="F39" s="202"/>
      <c r="G39" s="202"/>
      <c r="H39" s="202"/>
      <c r="I39" s="203"/>
    </row>
    <row r="40" spans="1:9" ht="18.75" customHeight="1" x14ac:dyDescent="0.15">
      <c r="A40" s="14"/>
      <c r="B40" s="201"/>
      <c r="C40" s="202"/>
      <c r="D40" s="202"/>
      <c r="E40" s="202"/>
      <c r="F40" s="202"/>
      <c r="G40" s="202"/>
      <c r="H40" s="202"/>
      <c r="I40" s="203"/>
    </row>
    <row r="41" spans="1:9" ht="18.75" customHeight="1" x14ac:dyDescent="0.15">
      <c r="A41" s="14"/>
      <c r="B41" s="201"/>
      <c r="C41" s="202"/>
      <c r="D41" s="202"/>
      <c r="E41" s="202"/>
      <c r="F41" s="202"/>
      <c r="G41" s="202"/>
      <c r="H41" s="202"/>
      <c r="I41" s="203"/>
    </row>
    <row r="42" spans="1:9" ht="18.75" customHeight="1" x14ac:dyDescent="0.15">
      <c r="A42" s="14"/>
      <c r="B42" s="201"/>
      <c r="C42" s="202"/>
      <c r="D42" s="202"/>
      <c r="E42" s="202"/>
      <c r="F42" s="202"/>
      <c r="G42" s="202"/>
      <c r="H42" s="202"/>
      <c r="I42" s="203"/>
    </row>
    <row r="43" spans="1:9" ht="18.75" customHeight="1" x14ac:dyDescent="0.15">
      <c r="A43" s="14"/>
      <c r="B43" s="201"/>
      <c r="C43" s="202"/>
      <c r="D43" s="202"/>
      <c r="E43" s="202"/>
      <c r="F43" s="202"/>
      <c r="G43" s="202"/>
      <c r="H43" s="202"/>
      <c r="I43" s="203"/>
    </row>
    <row r="44" spans="1:9" ht="18.75" customHeight="1" x14ac:dyDescent="0.15">
      <c r="A44" s="14"/>
      <c r="B44" s="201"/>
      <c r="C44" s="202"/>
      <c r="D44" s="202"/>
      <c r="E44" s="202"/>
      <c r="F44" s="202"/>
      <c r="G44" s="202"/>
      <c r="H44" s="202"/>
      <c r="I44" s="203"/>
    </row>
    <row r="45" spans="1:9" ht="18.75" customHeight="1" x14ac:dyDescent="0.15">
      <c r="A45" s="14"/>
      <c r="B45" s="201"/>
      <c r="C45" s="202"/>
      <c r="D45" s="202"/>
      <c r="E45" s="202"/>
      <c r="F45" s="202"/>
      <c r="G45" s="202"/>
      <c r="H45" s="202"/>
      <c r="I45" s="203"/>
    </row>
    <row r="46" spans="1:9" ht="18.75" customHeight="1" x14ac:dyDescent="0.15">
      <c r="A46" s="14"/>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187">
        <f>'様式２ 履修者等数の実績'!AQ32</f>
        <v>0.23520408163265305</v>
      </c>
      <c r="D49" s="187"/>
      <c r="E49" s="42" t="s">
        <v>66</v>
      </c>
      <c r="F49" s="187">
        <v>0.4</v>
      </c>
      <c r="G49" s="187"/>
      <c r="H49" s="42" t="s">
        <v>67</v>
      </c>
      <c r="I49" s="84">
        <v>0.7</v>
      </c>
      <c r="J49" s="1"/>
      <c r="M49" s="1"/>
      <c r="N49" s="43"/>
    </row>
    <row r="50" spans="1:15" s="3" customFormat="1" ht="18.75" customHeight="1" x14ac:dyDescent="0.15">
      <c r="B50" s="44" t="s">
        <v>68</v>
      </c>
      <c r="C50" s="188">
        <v>0.9</v>
      </c>
      <c r="D50" s="188"/>
      <c r="E50" s="44" t="s">
        <v>90</v>
      </c>
      <c r="F50" s="188">
        <v>1</v>
      </c>
      <c r="G50" s="188"/>
      <c r="H50" s="44" t="s">
        <v>69</v>
      </c>
      <c r="I50" s="45">
        <f>'様式２ 履修者等数の実績'!E32</f>
        <v>3920</v>
      </c>
      <c r="J50" s="1"/>
      <c r="M50" s="1"/>
      <c r="N50" s="43"/>
    </row>
    <row r="51" spans="1:15" ht="18.75" customHeight="1" x14ac:dyDescent="0.15">
      <c r="A51" s="1"/>
      <c r="B51" s="213" t="s">
        <v>70</v>
      </c>
      <c r="C51" s="214"/>
      <c r="D51" s="214"/>
      <c r="E51" s="214"/>
      <c r="F51" s="214"/>
      <c r="G51" s="214"/>
      <c r="H51" s="214"/>
      <c r="I51" s="215"/>
      <c r="N51" s="43"/>
      <c r="O51" s="3"/>
    </row>
    <row r="52" spans="1:15" ht="18.75" customHeight="1" x14ac:dyDescent="0.15">
      <c r="A52" s="1"/>
      <c r="B52" s="189" t="s">
        <v>140</v>
      </c>
      <c r="C52" s="190"/>
      <c r="D52" s="190"/>
      <c r="E52" s="190"/>
      <c r="F52" s="190"/>
      <c r="G52" s="190"/>
      <c r="H52" s="190"/>
      <c r="I52" s="191"/>
      <c r="N52" s="43"/>
      <c r="O52" s="3"/>
    </row>
    <row r="53" spans="1:15" ht="18.75" customHeight="1" x14ac:dyDescent="0.15">
      <c r="A53" s="1"/>
      <c r="B53" s="192"/>
      <c r="C53" s="193"/>
      <c r="D53" s="193"/>
      <c r="E53" s="193"/>
      <c r="F53" s="193"/>
      <c r="G53" s="193"/>
      <c r="H53" s="193"/>
      <c r="I53" s="194"/>
      <c r="N53" s="43"/>
      <c r="O53" s="3"/>
    </row>
    <row r="54" spans="1:15" ht="18.75" customHeight="1" x14ac:dyDescent="0.15">
      <c r="A54" s="1"/>
      <c r="B54" s="192"/>
      <c r="C54" s="193"/>
      <c r="D54" s="193"/>
      <c r="E54" s="193"/>
      <c r="F54" s="193"/>
      <c r="G54" s="193"/>
      <c r="H54" s="193"/>
      <c r="I54" s="194"/>
    </row>
    <row r="55" spans="1:15" ht="18.75" customHeight="1" x14ac:dyDescent="0.15">
      <c r="A55" s="1"/>
      <c r="B55" s="192"/>
      <c r="C55" s="193"/>
      <c r="D55" s="193"/>
      <c r="E55" s="193"/>
      <c r="F55" s="193"/>
      <c r="G55" s="193"/>
      <c r="H55" s="193"/>
      <c r="I55" s="194"/>
    </row>
    <row r="56" spans="1:15" ht="18.75" customHeight="1" x14ac:dyDescent="0.15">
      <c r="A56" s="1"/>
      <c r="B56" s="192"/>
      <c r="C56" s="193"/>
      <c r="D56" s="193"/>
      <c r="E56" s="193"/>
      <c r="F56" s="193"/>
      <c r="G56" s="193"/>
      <c r="H56" s="193"/>
      <c r="I56" s="194"/>
    </row>
    <row r="57" spans="1:15" ht="18.75" customHeight="1" x14ac:dyDescent="0.15">
      <c r="A57" s="1"/>
      <c r="B57" s="192"/>
      <c r="C57" s="193"/>
      <c r="D57" s="193"/>
      <c r="E57" s="193"/>
      <c r="F57" s="193"/>
      <c r="G57" s="193"/>
      <c r="H57" s="193"/>
      <c r="I57" s="194"/>
    </row>
    <row r="58" spans="1:15" ht="18.75" customHeight="1" x14ac:dyDescent="0.15">
      <c r="A58" s="1"/>
      <c r="B58" s="192"/>
      <c r="C58" s="193"/>
      <c r="D58" s="193"/>
      <c r="E58" s="193"/>
      <c r="F58" s="193"/>
      <c r="G58" s="193"/>
      <c r="H58" s="193"/>
      <c r="I58" s="194"/>
    </row>
    <row r="59" spans="1:15" ht="18.75" customHeight="1" x14ac:dyDescent="0.15">
      <c r="A59" s="1"/>
      <c r="B59" s="192"/>
      <c r="C59" s="193"/>
      <c r="D59" s="193"/>
      <c r="E59" s="193"/>
      <c r="F59" s="193"/>
      <c r="G59" s="193"/>
      <c r="H59" s="193"/>
      <c r="I59" s="194"/>
    </row>
    <row r="60" spans="1:15" ht="18.75" customHeight="1" x14ac:dyDescent="0.15">
      <c r="A60" s="1"/>
      <c r="B60" s="192"/>
      <c r="C60" s="193"/>
      <c r="D60" s="193"/>
      <c r="E60" s="193"/>
      <c r="F60" s="193"/>
      <c r="G60" s="193"/>
      <c r="H60" s="193"/>
      <c r="I60" s="194"/>
    </row>
    <row r="61" spans="1:15" ht="18.75" customHeight="1" x14ac:dyDescent="0.15">
      <c r="A61" s="1"/>
      <c r="B61" s="192"/>
      <c r="C61" s="193"/>
      <c r="D61" s="193"/>
      <c r="E61" s="193"/>
      <c r="F61" s="193"/>
      <c r="G61" s="193"/>
      <c r="H61" s="193"/>
      <c r="I61" s="194"/>
    </row>
    <row r="62" spans="1:15" ht="18.75" customHeight="1" x14ac:dyDescent="0.15">
      <c r="A62" s="1"/>
      <c r="B62" s="192"/>
      <c r="C62" s="193"/>
      <c r="D62" s="193"/>
      <c r="E62" s="193"/>
      <c r="F62" s="193"/>
      <c r="G62" s="193"/>
      <c r="H62" s="193"/>
      <c r="I62" s="194"/>
    </row>
    <row r="63" spans="1:15" ht="18.75" customHeight="1" x14ac:dyDescent="0.15">
      <c r="A63" s="1"/>
      <c r="B63" s="195"/>
      <c r="C63" s="196"/>
      <c r="D63" s="196"/>
      <c r="E63" s="196"/>
      <c r="F63" s="196"/>
      <c r="G63" s="196"/>
      <c r="H63" s="196"/>
      <c r="I63" s="197"/>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1" t="s">
        <v>170</v>
      </c>
      <c r="C66" s="172"/>
      <c r="D66" s="172"/>
      <c r="E66" s="172"/>
      <c r="F66" s="172"/>
      <c r="G66" s="172"/>
      <c r="H66" s="172"/>
      <c r="I66" s="173"/>
    </row>
    <row r="67" spans="1:9" ht="18.75" customHeight="1" x14ac:dyDescent="0.15">
      <c r="A67" s="4"/>
      <c r="B67" s="174"/>
      <c r="C67" s="175"/>
      <c r="D67" s="175"/>
      <c r="E67" s="175"/>
      <c r="F67" s="175"/>
      <c r="G67" s="175"/>
      <c r="H67" s="175"/>
      <c r="I67" s="176"/>
    </row>
    <row r="68" spans="1:9" ht="18.75" customHeight="1" x14ac:dyDescent="0.15">
      <c r="A68" s="4"/>
      <c r="B68" s="174"/>
      <c r="C68" s="175"/>
      <c r="D68" s="175"/>
      <c r="E68" s="175"/>
      <c r="F68" s="175"/>
      <c r="G68" s="175"/>
      <c r="H68" s="175"/>
      <c r="I68" s="176"/>
    </row>
    <row r="69" spans="1:9" ht="18.75" customHeight="1" x14ac:dyDescent="0.15">
      <c r="A69" s="4"/>
      <c r="B69" s="174"/>
      <c r="C69" s="175"/>
      <c r="D69" s="175"/>
      <c r="E69" s="175"/>
      <c r="F69" s="175"/>
      <c r="G69" s="175"/>
      <c r="H69" s="175"/>
      <c r="I69" s="176"/>
    </row>
    <row r="70" spans="1:9" ht="18.75" customHeight="1" x14ac:dyDescent="0.15">
      <c r="A70" s="4"/>
      <c r="B70" s="174"/>
      <c r="C70" s="175"/>
      <c r="D70" s="175"/>
      <c r="E70" s="175"/>
      <c r="F70" s="175"/>
      <c r="G70" s="175"/>
      <c r="H70" s="175"/>
      <c r="I70" s="176"/>
    </row>
    <row r="71" spans="1:9" ht="18.75" customHeight="1" x14ac:dyDescent="0.15">
      <c r="A71" s="4"/>
      <c r="B71" s="174"/>
      <c r="C71" s="175"/>
      <c r="D71" s="175"/>
      <c r="E71" s="175"/>
      <c r="F71" s="175"/>
      <c r="G71" s="175"/>
      <c r="H71" s="175"/>
      <c r="I71" s="176"/>
    </row>
    <row r="72" spans="1:9" ht="18.75" customHeight="1" x14ac:dyDescent="0.15">
      <c r="A72" s="4"/>
      <c r="B72" s="174"/>
      <c r="C72" s="175"/>
      <c r="D72" s="175"/>
      <c r="E72" s="175"/>
      <c r="F72" s="175"/>
      <c r="G72" s="175"/>
      <c r="H72" s="175"/>
      <c r="I72" s="176"/>
    </row>
    <row r="73" spans="1:9" ht="18.75" customHeight="1" x14ac:dyDescent="0.15">
      <c r="A73" s="4"/>
      <c r="B73" s="174"/>
      <c r="C73" s="175"/>
      <c r="D73" s="175"/>
      <c r="E73" s="175"/>
      <c r="F73" s="175"/>
      <c r="G73" s="175"/>
      <c r="H73" s="175"/>
      <c r="I73" s="176"/>
    </row>
    <row r="74" spans="1:9" ht="18.75" customHeight="1" x14ac:dyDescent="0.15">
      <c r="A74" s="4"/>
      <c r="B74" s="174"/>
      <c r="C74" s="175"/>
      <c r="D74" s="175"/>
      <c r="E74" s="175"/>
      <c r="F74" s="175"/>
      <c r="G74" s="175"/>
      <c r="H74" s="175"/>
      <c r="I74" s="176"/>
    </row>
    <row r="75" spans="1:9" ht="18.75" customHeight="1" x14ac:dyDescent="0.15">
      <c r="A75" s="4"/>
      <c r="B75" s="174"/>
      <c r="C75" s="175"/>
      <c r="D75" s="175"/>
      <c r="E75" s="175"/>
      <c r="F75" s="175"/>
      <c r="G75" s="175"/>
      <c r="H75" s="175"/>
      <c r="I75" s="176"/>
    </row>
    <row r="76" spans="1:9" ht="18.75" customHeight="1" x14ac:dyDescent="0.15">
      <c r="A76" s="4"/>
      <c r="B76" s="174"/>
      <c r="C76" s="175"/>
      <c r="D76" s="175"/>
      <c r="E76" s="175"/>
      <c r="F76" s="175"/>
      <c r="G76" s="175"/>
      <c r="H76" s="175"/>
      <c r="I76" s="176"/>
    </row>
    <row r="77" spans="1:9" ht="18.75" customHeight="1" x14ac:dyDescent="0.15">
      <c r="A77" s="4"/>
      <c r="B77" s="177"/>
      <c r="C77" s="178"/>
      <c r="D77" s="178"/>
      <c r="E77" s="178"/>
      <c r="F77" s="178"/>
      <c r="G77" s="178"/>
      <c r="H77" s="178"/>
      <c r="I77" s="17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71" t="s">
        <v>145</v>
      </c>
      <c r="C80" s="172"/>
      <c r="D80" s="172"/>
      <c r="E80" s="172"/>
      <c r="F80" s="172"/>
      <c r="G80" s="172"/>
      <c r="H80" s="172"/>
      <c r="I80" s="180"/>
    </row>
    <row r="81" spans="1:9" ht="18.75" customHeight="1" x14ac:dyDescent="0.15">
      <c r="A81" s="1"/>
      <c r="B81" s="181"/>
      <c r="C81" s="182"/>
      <c r="D81" s="182"/>
      <c r="E81" s="182"/>
      <c r="F81" s="182"/>
      <c r="G81" s="182"/>
      <c r="H81" s="182"/>
      <c r="I81" s="183"/>
    </row>
    <row r="82" spans="1:9" ht="18.75" customHeight="1" x14ac:dyDescent="0.15">
      <c r="A82" s="1"/>
      <c r="B82" s="181"/>
      <c r="C82" s="182"/>
      <c r="D82" s="182"/>
      <c r="E82" s="182"/>
      <c r="F82" s="182"/>
      <c r="G82" s="182"/>
      <c r="H82" s="182"/>
      <c r="I82" s="183"/>
    </row>
    <row r="83" spans="1:9" ht="18.75" customHeight="1" x14ac:dyDescent="0.15">
      <c r="A83" s="1"/>
      <c r="B83" s="181"/>
      <c r="C83" s="182"/>
      <c r="D83" s="182"/>
      <c r="E83" s="182"/>
      <c r="F83" s="182"/>
      <c r="G83" s="182"/>
      <c r="H83" s="182"/>
      <c r="I83" s="183"/>
    </row>
    <row r="84" spans="1:9" ht="18.75" customHeight="1" x14ac:dyDescent="0.15">
      <c r="A84" s="1"/>
      <c r="B84" s="181"/>
      <c r="C84" s="182"/>
      <c r="D84" s="182"/>
      <c r="E84" s="182"/>
      <c r="F84" s="182"/>
      <c r="G84" s="182"/>
      <c r="H84" s="182"/>
      <c r="I84" s="183"/>
    </row>
    <row r="85" spans="1:9" ht="18.75" customHeight="1" x14ac:dyDescent="0.15">
      <c r="A85" s="1"/>
      <c r="B85" s="181"/>
      <c r="C85" s="182"/>
      <c r="D85" s="182"/>
      <c r="E85" s="182"/>
      <c r="F85" s="182"/>
      <c r="G85" s="182"/>
      <c r="H85" s="182"/>
      <c r="I85" s="183"/>
    </row>
    <row r="86" spans="1:9" ht="18.75" customHeight="1" x14ac:dyDescent="0.15">
      <c r="A86" s="1"/>
      <c r="B86" s="181"/>
      <c r="C86" s="182"/>
      <c r="D86" s="182"/>
      <c r="E86" s="182"/>
      <c r="F86" s="182"/>
      <c r="G86" s="182"/>
      <c r="H86" s="182"/>
      <c r="I86" s="183"/>
    </row>
    <row r="87" spans="1:9" ht="18.75" customHeight="1" x14ac:dyDescent="0.15">
      <c r="A87" s="1"/>
      <c r="B87" s="181"/>
      <c r="C87" s="182"/>
      <c r="D87" s="182"/>
      <c r="E87" s="182"/>
      <c r="F87" s="182"/>
      <c r="G87" s="182"/>
      <c r="H87" s="182"/>
      <c r="I87" s="183"/>
    </row>
    <row r="88" spans="1:9" ht="18.75" customHeight="1" x14ac:dyDescent="0.15">
      <c r="A88" s="1"/>
      <c r="B88" s="181"/>
      <c r="C88" s="182"/>
      <c r="D88" s="182"/>
      <c r="E88" s="182"/>
      <c r="F88" s="182"/>
      <c r="G88" s="182"/>
      <c r="H88" s="182"/>
      <c r="I88" s="183"/>
    </row>
    <row r="89" spans="1:9" ht="18.75" customHeight="1" x14ac:dyDescent="0.15">
      <c r="A89" s="1"/>
      <c r="B89" s="181"/>
      <c r="C89" s="182"/>
      <c r="D89" s="182"/>
      <c r="E89" s="182"/>
      <c r="F89" s="182"/>
      <c r="G89" s="182"/>
      <c r="H89" s="182"/>
      <c r="I89" s="183"/>
    </row>
    <row r="90" spans="1:9" ht="18.75" customHeight="1" x14ac:dyDescent="0.15">
      <c r="A90" s="4"/>
      <c r="B90" s="181"/>
      <c r="C90" s="182"/>
      <c r="D90" s="182"/>
      <c r="E90" s="182"/>
      <c r="F90" s="182"/>
      <c r="G90" s="182"/>
      <c r="H90" s="182"/>
      <c r="I90" s="183"/>
    </row>
    <row r="91" spans="1:9" ht="18.75" customHeight="1" x14ac:dyDescent="0.15">
      <c r="A91" s="4"/>
      <c r="B91" s="184"/>
      <c r="C91" s="185"/>
      <c r="D91" s="185"/>
      <c r="E91" s="185"/>
      <c r="F91" s="185"/>
      <c r="G91" s="185"/>
      <c r="H91" s="185"/>
      <c r="I91" s="18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98" t="s">
        <v>169</v>
      </c>
      <c r="C94" s="199"/>
      <c r="D94" s="199"/>
      <c r="E94" s="199"/>
      <c r="F94" s="199"/>
      <c r="G94" s="199"/>
      <c r="H94" s="199"/>
      <c r="I94" s="200"/>
    </row>
    <row r="95" spans="1:9" ht="18.75" customHeight="1" x14ac:dyDescent="0.15">
      <c r="A95" s="1"/>
      <c r="B95" s="201"/>
      <c r="C95" s="202"/>
      <c r="D95" s="202"/>
      <c r="E95" s="202"/>
      <c r="F95" s="202"/>
      <c r="G95" s="202"/>
      <c r="H95" s="202"/>
      <c r="I95" s="203"/>
    </row>
    <row r="96" spans="1:9" ht="18.75" customHeight="1" x14ac:dyDescent="0.15">
      <c r="A96" s="1"/>
      <c r="B96" s="201"/>
      <c r="C96" s="202"/>
      <c r="D96" s="202"/>
      <c r="E96" s="202"/>
      <c r="F96" s="202"/>
      <c r="G96" s="202"/>
      <c r="H96" s="202"/>
      <c r="I96" s="203"/>
    </row>
    <row r="97" spans="1:9" ht="18.75" customHeight="1" x14ac:dyDescent="0.15">
      <c r="A97" s="1"/>
      <c r="B97" s="201"/>
      <c r="C97" s="202"/>
      <c r="D97" s="202"/>
      <c r="E97" s="202"/>
      <c r="F97" s="202"/>
      <c r="G97" s="202"/>
      <c r="H97" s="202"/>
      <c r="I97" s="203"/>
    </row>
    <row r="98" spans="1:9" ht="18.75" customHeight="1" x14ac:dyDescent="0.15">
      <c r="A98" s="1"/>
      <c r="B98" s="201"/>
      <c r="C98" s="202"/>
      <c r="D98" s="202"/>
      <c r="E98" s="202"/>
      <c r="F98" s="202"/>
      <c r="G98" s="202"/>
      <c r="H98" s="202"/>
      <c r="I98" s="203"/>
    </row>
    <row r="99" spans="1:9" ht="18.75" customHeight="1" x14ac:dyDescent="0.15">
      <c r="A99" s="1"/>
      <c r="B99" s="201"/>
      <c r="C99" s="202"/>
      <c r="D99" s="202"/>
      <c r="E99" s="202"/>
      <c r="F99" s="202"/>
      <c r="G99" s="202"/>
      <c r="H99" s="202"/>
      <c r="I99" s="203"/>
    </row>
    <row r="100" spans="1:9" ht="18.75" customHeight="1" x14ac:dyDescent="0.15">
      <c r="A100" s="1"/>
      <c r="B100" s="201"/>
      <c r="C100" s="202"/>
      <c r="D100" s="202"/>
      <c r="E100" s="202"/>
      <c r="F100" s="202"/>
      <c r="G100" s="202"/>
      <c r="H100" s="202"/>
      <c r="I100" s="203"/>
    </row>
    <row r="101" spans="1:9" ht="18.75" customHeight="1" x14ac:dyDescent="0.15">
      <c r="A101" s="1"/>
      <c r="B101" s="201"/>
      <c r="C101" s="202"/>
      <c r="D101" s="202"/>
      <c r="E101" s="202"/>
      <c r="F101" s="202"/>
      <c r="G101" s="202"/>
      <c r="H101" s="202"/>
      <c r="I101" s="203"/>
    </row>
    <row r="102" spans="1:9" ht="18.75" customHeight="1" x14ac:dyDescent="0.15">
      <c r="A102" s="1"/>
      <c r="B102" s="201"/>
      <c r="C102" s="202"/>
      <c r="D102" s="202"/>
      <c r="E102" s="202"/>
      <c r="F102" s="202"/>
      <c r="G102" s="202"/>
      <c r="H102" s="202"/>
      <c r="I102" s="203"/>
    </row>
    <row r="103" spans="1:9" ht="18.75" customHeight="1" x14ac:dyDescent="0.15">
      <c r="A103" s="1"/>
      <c r="B103" s="201"/>
      <c r="C103" s="202"/>
      <c r="D103" s="202"/>
      <c r="E103" s="202"/>
      <c r="F103" s="202"/>
      <c r="G103" s="202"/>
      <c r="H103" s="202"/>
      <c r="I103" s="203"/>
    </row>
    <row r="104" spans="1:9" ht="18.75" customHeight="1" x14ac:dyDescent="0.15">
      <c r="A104" s="1"/>
      <c r="B104" s="201"/>
      <c r="C104" s="202"/>
      <c r="D104" s="202"/>
      <c r="E104" s="202"/>
      <c r="F104" s="202"/>
      <c r="G104" s="202"/>
      <c r="H104" s="202"/>
      <c r="I104" s="203"/>
    </row>
    <row r="105" spans="1:9" ht="18.75" customHeight="1" x14ac:dyDescent="0.15">
      <c r="A105" s="4"/>
      <c r="B105" s="204"/>
      <c r="C105" s="205"/>
      <c r="D105" s="205"/>
      <c r="E105" s="205"/>
      <c r="F105" s="205"/>
      <c r="G105" s="205"/>
      <c r="H105" s="205"/>
      <c r="I105" s="206"/>
    </row>
    <row r="106" spans="1:9" ht="7.5" customHeight="1" x14ac:dyDescent="0.15">
      <c r="A106" s="4"/>
      <c r="B106" s="4"/>
      <c r="C106" s="4"/>
      <c r="D106" s="4"/>
      <c r="E106" s="4"/>
      <c r="F106" s="4"/>
      <c r="G106" s="4"/>
      <c r="H106" s="4"/>
      <c r="I106" s="4"/>
    </row>
    <row r="107" spans="1:9" ht="18.75" customHeight="1" x14ac:dyDescent="0.15">
      <c r="A107" s="1" t="s">
        <v>30</v>
      </c>
      <c r="B107" s="207" t="s">
        <v>46</v>
      </c>
      <c r="C107" s="207"/>
      <c r="D107" s="207"/>
      <c r="E107" s="207"/>
      <c r="F107" s="207"/>
      <c r="G107" s="207"/>
      <c r="H107" s="207"/>
      <c r="I107" s="207"/>
    </row>
    <row r="108" spans="1:9" ht="18.75" customHeight="1" x14ac:dyDescent="0.15">
      <c r="A108" s="4"/>
      <c r="B108" s="198" t="s">
        <v>168</v>
      </c>
      <c r="C108" s="199"/>
      <c r="D108" s="199"/>
      <c r="E108" s="199"/>
      <c r="F108" s="199"/>
      <c r="G108" s="199"/>
      <c r="H108" s="199"/>
      <c r="I108" s="200"/>
    </row>
    <row r="109" spans="1:9" ht="18.75" customHeight="1" x14ac:dyDescent="0.15">
      <c r="A109" s="4"/>
      <c r="B109" s="201"/>
      <c r="C109" s="202"/>
      <c r="D109" s="202"/>
      <c r="E109" s="202"/>
      <c r="F109" s="202"/>
      <c r="G109" s="202"/>
      <c r="H109" s="202"/>
      <c r="I109" s="203"/>
    </row>
    <row r="110" spans="1:9" ht="18.75" customHeight="1" x14ac:dyDescent="0.15">
      <c r="A110" s="4"/>
      <c r="B110" s="201"/>
      <c r="C110" s="202"/>
      <c r="D110" s="202"/>
      <c r="E110" s="202"/>
      <c r="F110" s="202"/>
      <c r="G110" s="202"/>
      <c r="H110" s="202"/>
      <c r="I110" s="203"/>
    </row>
    <row r="111" spans="1:9" ht="18.75" customHeight="1" x14ac:dyDescent="0.15">
      <c r="A111" s="4"/>
      <c r="B111" s="201"/>
      <c r="C111" s="202"/>
      <c r="D111" s="202"/>
      <c r="E111" s="202"/>
      <c r="F111" s="202"/>
      <c r="G111" s="202"/>
      <c r="H111" s="202"/>
      <c r="I111" s="203"/>
    </row>
    <row r="112" spans="1:9" ht="18.75" customHeight="1" x14ac:dyDescent="0.15">
      <c r="A112" s="4"/>
      <c r="B112" s="201"/>
      <c r="C112" s="202"/>
      <c r="D112" s="202"/>
      <c r="E112" s="202"/>
      <c r="F112" s="202"/>
      <c r="G112" s="202"/>
      <c r="H112" s="202"/>
      <c r="I112" s="203"/>
    </row>
    <row r="113" spans="1:9" ht="18.75" customHeight="1" x14ac:dyDescent="0.15">
      <c r="A113" s="4"/>
      <c r="B113" s="201"/>
      <c r="C113" s="202"/>
      <c r="D113" s="202"/>
      <c r="E113" s="202"/>
      <c r="F113" s="202"/>
      <c r="G113" s="202"/>
      <c r="H113" s="202"/>
      <c r="I113" s="203"/>
    </row>
    <row r="114" spans="1:9" ht="18.75" customHeight="1" x14ac:dyDescent="0.15">
      <c r="A114" s="4"/>
      <c r="B114" s="201"/>
      <c r="C114" s="202"/>
      <c r="D114" s="202"/>
      <c r="E114" s="202"/>
      <c r="F114" s="202"/>
      <c r="G114" s="202"/>
      <c r="H114" s="202"/>
      <c r="I114" s="203"/>
    </row>
    <row r="115" spans="1:9" ht="18.75" customHeight="1" x14ac:dyDescent="0.15">
      <c r="A115" s="4"/>
      <c r="B115" s="201"/>
      <c r="C115" s="202"/>
      <c r="D115" s="202"/>
      <c r="E115" s="202"/>
      <c r="F115" s="202"/>
      <c r="G115" s="202"/>
      <c r="H115" s="202"/>
      <c r="I115" s="203"/>
    </row>
    <row r="116" spans="1:9" ht="18.75" customHeight="1" x14ac:dyDescent="0.15">
      <c r="A116" s="4"/>
      <c r="B116" s="201"/>
      <c r="C116" s="202"/>
      <c r="D116" s="202"/>
      <c r="E116" s="202"/>
      <c r="F116" s="202"/>
      <c r="G116" s="202"/>
      <c r="H116" s="202"/>
      <c r="I116" s="203"/>
    </row>
    <row r="117" spans="1:9" ht="18.75" customHeight="1" x14ac:dyDescent="0.15">
      <c r="A117" s="4"/>
      <c r="B117" s="201"/>
      <c r="C117" s="202"/>
      <c r="D117" s="202"/>
      <c r="E117" s="202"/>
      <c r="F117" s="202"/>
      <c r="G117" s="202"/>
      <c r="H117" s="202"/>
      <c r="I117" s="203"/>
    </row>
    <row r="118" spans="1:9" ht="18.75" customHeight="1" x14ac:dyDescent="0.15">
      <c r="A118" s="4"/>
      <c r="B118" s="201"/>
      <c r="C118" s="202"/>
      <c r="D118" s="202"/>
      <c r="E118" s="202"/>
      <c r="F118" s="202"/>
      <c r="G118" s="202"/>
      <c r="H118" s="202"/>
      <c r="I118" s="203"/>
    </row>
    <row r="119" spans="1:9" ht="18.75" customHeight="1" x14ac:dyDescent="0.15">
      <c r="A119" s="4"/>
      <c r="B119" s="204"/>
      <c r="C119" s="205"/>
      <c r="D119" s="205"/>
      <c r="E119" s="205"/>
      <c r="F119" s="205"/>
      <c r="G119" s="205"/>
      <c r="H119" s="205"/>
      <c r="I119" s="206"/>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5" zoomScaleNormal="100" zoomScaleSheetLayoutView="85"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甲南女子大学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16" t="s">
        <v>167</v>
      </c>
      <c r="C6" s="219"/>
      <c r="D6" s="219"/>
      <c r="E6" s="219"/>
      <c r="F6" s="219"/>
      <c r="G6" s="219"/>
      <c r="H6" s="220"/>
      <c r="I6" s="3"/>
    </row>
    <row r="7" spans="1:9" ht="9" customHeight="1" x14ac:dyDescent="0.15">
      <c r="A7" s="5"/>
      <c r="B7" s="10"/>
      <c r="C7" s="10"/>
      <c r="D7" s="10"/>
      <c r="E7" s="10"/>
      <c r="F7" s="10"/>
      <c r="G7" s="10"/>
      <c r="H7" s="10"/>
      <c r="I7" s="3"/>
    </row>
    <row r="8" spans="1:9" ht="18.75" customHeight="1" x14ac:dyDescent="0.15">
      <c r="A8" s="5"/>
      <c r="B8" s="3"/>
      <c r="C8" s="3"/>
      <c r="D8" s="34" t="s">
        <v>43</v>
      </c>
      <c r="E8" s="35" t="s">
        <v>166</v>
      </c>
      <c r="F8" s="3"/>
      <c r="G8" s="34" t="s">
        <v>10</v>
      </c>
      <c r="H8" s="35" t="s">
        <v>142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1" t="s">
        <v>24</v>
      </c>
      <c r="C11" s="102"/>
      <c r="D11" s="103"/>
      <c r="E11" s="102" t="s">
        <v>26</v>
      </c>
      <c r="F11" s="102"/>
      <c r="G11" s="102"/>
      <c r="H11" s="102"/>
      <c r="I11" s="103"/>
    </row>
    <row r="12" spans="1:9" ht="26.25" customHeight="1" x14ac:dyDescent="0.15">
      <c r="B12" s="48" t="s">
        <v>14</v>
      </c>
      <c r="C12" s="55"/>
      <c r="D12" s="49"/>
      <c r="E12" s="56"/>
      <c r="F12" s="56"/>
      <c r="G12" s="56"/>
      <c r="H12" s="56"/>
      <c r="I12" s="49"/>
    </row>
    <row r="13" spans="1:9" ht="210.75" customHeight="1" x14ac:dyDescent="0.15">
      <c r="B13" s="50"/>
      <c r="C13" s="227" t="s">
        <v>15</v>
      </c>
      <c r="D13" s="228"/>
      <c r="E13" s="240" t="s">
        <v>161</v>
      </c>
      <c r="F13" s="229"/>
      <c r="G13" s="229"/>
      <c r="H13" s="229"/>
      <c r="I13" s="230"/>
    </row>
    <row r="14" spans="1:9" ht="210.75" customHeight="1" x14ac:dyDescent="0.15">
      <c r="B14" s="50"/>
      <c r="C14" s="242" t="s">
        <v>16</v>
      </c>
      <c r="D14" s="243"/>
      <c r="E14" s="240" t="s">
        <v>172</v>
      </c>
      <c r="F14" s="229"/>
      <c r="G14" s="229"/>
      <c r="H14" s="229"/>
      <c r="I14" s="230"/>
    </row>
    <row r="15" spans="1:9" ht="210.75" customHeight="1" x14ac:dyDescent="0.15">
      <c r="B15" s="50"/>
      <c r="C15" s="227" t="s">
        <v>17</v>
      </c>
      <c r="D15" s="228"/>
      <c r="E15" s="240" t="s">
        <v>173</v>
      </c>
      <c r="F15" s="229"/>
      <c r="G15" s="229"/>
      <c r="H15" s="229"/>
      <c r="I15" s="230"/>
    </row>
    <row r="16" spans="1:9" ht="210.75" customHeight="1" x14ac:dyDescent="0.15">
      <c r="B16" s="50"/>
      <c r="C16" s="227" t="s">
        <v>18</v>
      </c>
      <c r="D16" s="228"/>
      <c r="E16" s="240" t="s">
        <v>160</v>
      </c>
      <c r="F16" s="229"/>
      <c r="G16" s="229"/>
      <c r="H16" s="229"/>
      <c r="I16" s="230"/>
    </row>
    <row r="17" spans="2:9" ht="210.75" customHeight="1" x14ac:dyDescent="0.15">
      <c r="B17" s="51"/>
      <c r="C17" s="231" t="s">
        <v>19</v>
      </c>
      <c r="D17" s="232"/>
      <c r="E17" s="241" t="s">
        <v>162</v>
      </c>
      <c r="F17" s="233"/>
      <c r="G17" s="233"/>
      <c r="H17" s="233"/>
      <c r="I17" s="234"/>
    </row>
    <row r="18" spans="2:9" ht="24" customHeight="1" x14ac:dyDescent="0.15">
      <c r="B18" s="48" t="s">
        <v>20</v>
      </c>
      <c r="C18" s="52"/>
      <c r="D18" s="53"/>
      <c r="E18" s="54"/>
      <c r="F18" s="54"/>
      <c r="G18" s="54"/>
      <c r="H18" s="54"/>
      <c r="I18" s="57"/>
    </row>
    <row r="19" spans="2:9" ht="218.25" customHeight="1" x14ac:dyDescent="0.15">
      <c r="B19" s="50"/>
      <c r="C19" s="227" t="s">
        <v>21</v>
      </c>
      <c r="D19" s="228"/>
      <c r="E19" s="229" t="s">
        <v>163</v>
      </c>
      <c r="F19" s="229"/>
      <c r="G19" s="229"/>
      <c r="H19" s="229"/>
      <c r="I19" s="230"/>
    </row>
    <row r="20" spans="2:9" ht="218.25" customHeight="1" x14ac:dyDescent="0.15">
      <c r="B20" s="51"/>
      <c r="C20" s="231" t="s">
        <v>22</v>
      </c>
      <c r="D20" s="232"/>
      <c r="E20" s="233" t="s">
        <v>164</v>
      </c>
      <c r="F20" s="233"/>
      <c r="G20" s="233"/>
      <c r="H20" s="233"/>
      <c r="I20" s="234"/>
    </row>
    <row r="21" spans="2:9" ht="218.25" customHeight="1" x14ac:dyDescent="0.15">
      <c r="B21" s="235" t="s">
        <v>23</v>
      </c>
      <c r="C21" s="236"/>
      <c r="D21" s="237"/>
      <c r="E21" s="238" t="s">
        <v>159</v>
      </c>
      <c r="F21" s="238"/>
      <c r="G21" s="238"/>
      <c r="H21" s="238"/>
      <c r="I21" s="239"/>
    </row>
    <row r="22" spans="2:9" ht="218.25" customHeight="1" x14ac:dyDescent="0.15">
      <c r="B22" s="222" t="s">
        <v>38</v>
      </c>
      <c r="C22" s="223"/>
      <c r="D22" s="224"/>
      <c r="E22" s="225" t="s">
        <v>165</v>
      </c>
      <c r="F22" s="225"/>
      <c r="G22" s="225"/>
      <c r="H22" s="225"/>
      <c r="I22" s="22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姫田 梢太郎</cp:lastModifiedBy>
  <cp:lastPrinted>2023-02-27T05:46:39Z</cp:lastPrinted>
  <dcterms:created xsi:type="dcterms:W3CDTF">2011-06-14T05:32:50Z</dcterms:created>
  <dcterms:modified xsi:type="dcterms:W3CDTF">2023-06-22T03:38:17Z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