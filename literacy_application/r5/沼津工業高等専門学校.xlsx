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97"/>
  <workbookPr defaultThemeVersion="124226"/>
  <mc:AlternateContent xmlns:mc="http://schemas.openxmlformats.org/markup-compatibility/2006">
    <mc:Choice Requires="x15">
      <x15ac:absPath xmlns:x15ac="http://schemas.microsoft.com/office/spreadsheetml/2010/11/ac" url="X:\03.調査\R04年度\01.機構本部\数理・データサイエンス・AI教育プログラム\申請書\04.申請書類\"/>
    </mc:Choice>
  </mc:AlternateContent>
  <xr:revisionPtr revIDLastSave="0" documentId="13_ncr:1_{1A2F8D5F-C7EF-40F0-9290-662CA11DFB0A}" xr6:coauthVersionLast="36" xr6:coauthVersionMax="36" xr10:uidLastSave="{00000000-0000-0000-0000-000000000000}"/>
  <bookViews>
    <workbookView xWindow="0" yWindow="0" windowWidth="12990" windowHeight="11385" tabRatio="885" firstSheet="1" activeTab="3" xr2:uid="{00000000-000D-0000-FFFF-FFFF00000000}"/>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プログラムを構成する授業科目'!$V$14:$V$16</definedName>
    <definedName name="_xlnm._FilterDatabase" localSheetId="1" hidden="1">'様式２ 履修者等数の実績'!#REF!</definedName>
    <definedName name="_xlnm.Print_Area" localSheetId="0">'様式１　プログラムを構成する授業科目'!$A$1:$S$102</definedName>
    <definedName name="_xlnm.Print_Area" localSheetId="1">'様式２ 履修者等数の実績'!$A$1:$AQ$32</definedName>
    <definedName name="_xlnm.Print_Area" localSheetId="2">'様式３ 教育の質・履修者数を向上させるための体制・計画'!$A$1:$I$120</definedName>
    <definedName name="_xlnm.Print_Area" localSheetId="3">'様式４　自己点検・評価'!$A$1:$I$22</definedName>
    <definedName name="_xlnm.Print_Titles" localSheetId="3">'様式４　自己点検・評価'!$11:$11</definedName>
  </definedNames>
  <calcPr calcId="191029"/>
</workbook>
</file>

<file path=xl/calcChain.xml><?xml version="1.0" encoding="utf-8"?>
<calcChain xmlns="http://schemas.openxmlformats.org/spreadsheetml/2006/main">
  <c r="H8" i="41" l="1"/>
  <c r="I2" i="42" l="1"/>
  <c r="H2" i="41"/>
  <c r="AM2" i="40"/>
  <c r="AO32" i="40" l="1"/>
  <c r="AN32" i="40"/>
  <c r="AL32" i="40"/>
  <c r="AK32" i="40"/>
  <c r="AM31" i="40"/>
  <c r="AJ31" i="40"/>
  <c r="AM30" i="40"/>
  <c r="AJ30" i="40"/>
  <c r="AM29" i="40"/>
  <c r="AJ29" i="40"/>
  <c r="AM28" i="40"/>
  <c r="AJ28" i="40"/>
  <c r="AM27" i="40"/>
  <c r="AJ27" i="40"/>
  <c r="AM26" i="40"/>
  <c r="AJ26" i="40"/>
  <c r="AM25" i="40"/>
  <c r="AJ25" i="40"/>
  <c r="AM24" i="40"/>
  <c r="AJ24" i="40"/>
  <c r="AM23" i="40"/>
  <c r="AJ23" i="40"/>
  <c r="AM22" i="40"/>
  <c r="AJ22" i="40"/>
  <c r="AM21" i="40"/>
  <c r="AJ21" i="40"/>
  <c r="AM20" i="40"/>
  <c r="AJ20" i="40"/>
  <c r="AM19" i="40"/>
  <c r="AJ19" i="40"/>
  <c r="AM18" i="40"/>
  <c r="AJ18" i="40"/>
  <c r="AM17" i="40"/>
  <c r="AJ17" i="40"/>
  <c r="AM16" i="40"/>
  <c r="AJ16" i="40"/>
  <c r="AM15" i="40"/>
  <c r="AJ15" i="40"/>
  <c r="AM14" i="40"/>
  <c r="AJ14" i="40"/>
  <c r="AM13" i="40"/>
  <c r="AJ13" i="40"/>
  <c r="AM12" i="40"/>
  <c r="AJ12" i="40"/>
  <c r="AI32" i="40"/>
  <c r="AH32" i="40"/>
  <c r="AF32" i="40"/>
  <c r="AE32" i="40"/>
  <c r="AG31" i="40"/>
  <c r="AD31" i="40"/>
  <c r="AG30" i="40"/>
  <c r="AD30" i="40"/>
  <c r="AG29" i="40"/>
  <c r="AD29" i="40"/>
  <c r="AG28" i="40"/>
  <c r="AD28" i="40"/>
  <c r="AG27" i="40"/>
  <c r="AD27" i="40"/>
  <c r="AG26" i="40"/>
  <c r="AD26" i="40"/>
  <c r="AG25" i="40"/>
  <c r="AD25" i="40"/>
  <c r="AG24" i="40"/>
  <c r="AD24" i="40"/>
  <c r="AG23" i="40"/>
  <c r="AD23" i="40"/>
  <c r="AG22" i="40"/>
  <c r="AD22" i="40"/>
  <c r="AG21" i="40"/>
  <c r="AD21" i="40"/>
  <c r="AG20" i="40"/>
  <c r="AD20" i="40"/>
  <c r="AG19" i="40"/>
  <c r="AD19" i="40"/>
  <c r="AG18" i="40"/>
  <c r="AD18" i="40"/>
  <c r="AG17" i="40"/>
  <c r="AD17" i="40"/>
  <c r="AG16" i="40"/>
  <c r="AD16" i="40"/>
  <c r="AG15" i="40"/>
  <c r="AD15" i="40"/>
  <c r="AG14" i="40"/>
  <c r="AD14" i="40"/>
  <c r="AG13" i="40"/>
  <c r="AD13" i="40"/>
  <c r="AG12" i="40"/>
  <c r="AD12" i="40"/>
  <c r="AC32" i="40"/>
  <c r="AB32" i="40"/>
  <c r="Z32" i="40"/>
  <c r="Y32" i="40"/>
  <c r="AA31" i="40"/>
  <c r="X31" i="40"/>
  <c r="AA30" i="40"/>
  <c r="X30" i="40"/>
  <c r="AA29" i="40"/>
  <c r="X29" i="40"/>
  <c r="AA28" i="40"/>
  <c r="X28" i="40"/>
  <c r="AA27" i="40"/>
  <c r="X27" i="40"/>
  <c r="AA26" i="40"/>
  <c r="X26" i="40"/>
  <c r="AA25" i="40"/>
  <c r="X25" i="40"/>
  <c r="AA24" i="40"/>
  <c r="X24" i="40"/>
  <c r="AA23" i="40"/>
  <c r="X23" i="40"/>
  <c r="AA22" i="40"/>
  <c r="X22" i="40"/>
  <c r="AA21" i="40"/>
  <c r="X21" i="40"/>
  <c r="AA20" i="40"/>
  <c r="X20" i="40"/>
  <c r="AA19" i="40"/>
  <c r="X19" i="40"/>
  <c r="AA18" i="40"/>
  <c r="X18" i="40"/>
  <c r="AA17" i="40"/>
  <c r="X17" i="40"/>
  <c r="AA16" i="40"/>
  <c r="X16" i="40"/>
  <c r="AA15" i="40"/>
  <c r="X15" i="40"/>
  <c r="AA14" i="40"/>
  <c r="X14" i="40"/>
  <c r="AA13" i="40"/>
  <c r="X13" i="40"/>
  <c r="AA12" i="40"/>
  <c r="X12" i="40"/>
  <c r="W32" i="40"/>
  <c r="V32" i="40"/>
  <c r="T32" i="40"/>
  <c r="S32" i="40"/>
  <c r="U31" i="40"/>
  <c r="R31" i="40"/>
  <c r="U30" i="40"/>
  <c r="R30" i="40"/>
  <c r="U29" i="40"/>
  <c r="R29" i="40"/>
  <c r="U28" i="40"/>
  <c r="R28" i="40"/>
  <c r="U27" i="40"/>
  <c r="R27" i="40"/>
  <c r="U26" i="40"/>
  <c r="R26" i="40"/>
  <c r="U25" i="40"/>
  <c r="R25" i="40"/>
  <c r="U24" i="40"/>
  <c r="R24" i="40"/>
  <c r="U23" i="40"/>
  <c r="R23" i="40"/>
  <c r="U22" i="40"/>
  <c r="R22" i="40"/>
  <c r="U21" i="40"/>
  <c r="R21" i="40"/>
  <c r="U20" i="40"/>
  <c r="R20" i="40"/>
  <c r="U19" i="40"/>
  <c r="R19" i="40"/>
  <c r="U18" i="40"/>
  <c r="R18" i="40"/>
  <c r="U17" i="40"/>
  <c r="R17" i="40"/>
  <c r="U16" i="40"/>
  <c r="R16" i="40"/>
  <c r="U15" i="40"/>
  <c r="R15" i="40"/>
  <c r="U14" i="40"/>
  <c r="R14" i="40"/>
  <c r="U13" i="40"/>
  <c r="R13" i="40"/>
  <c r="U12" i="40"/>
  <c r="R12" i="40"/>
  <c r="Q32" i="40"/>
  <c r="P32" i="40"/>
  <c r="N32" i="40"/>
  <c r="M32" i="40"/>
  <c r="O31" i="40"/>
  <c r="L31" i="40"/>
  <c r="O30" i="40"/>
  <c r="L30" i="40"/>
  <c r="O29" i="40"/>
  <c r="L29" i="40"/>
  <c r="O28" i="40"/>
  <c r="L28" i="40"/>
  <c r="O27" i="40"/>
  <c r="L27" i="40"/>
  <c r="O26" i="40"/>
  <c r="L26" i="40"/>
  <c r="O25" i="40"/>
  <c r="L25" i="40"/>
  <c r="O24" i="40"/>
  <c r="L24" i="40"/>
  <c r="O23" i="40"/>
  <c r="L23" i="40"/>
  <c r="O22" i="40"/>
  <c r="L22" i="40"/>
  <c r="O21" i="40"/>
  <c r="L21" i="40"/>
  <c r="O20" i="40"/>
  <c r="L20" i="40"/>
  <c r="O19" i="40"/>
  <c r="L19" i="40"/>
  <c r="O18" i="40"/>
  <c r="L18" i="40"/>
  <c r="O17" i="40"/>
  <c r="L17" i="40"/>
  <c r="O16" i="40"/>
  <c r="L16" i="40"/>
  <c r="O15" i="40"/>
  <c r="L15" i="40"/>
  <c r="O14" i="40"/>
  <c r="L14" i="40"/>
  <c r="O13" i="40"/>
  <c r="L13" i="40"/>
  <c r="O12" i="40"/>
  <c r="L12" i="40"/>
  <c r="O32" i="40" l="1"/>
  <c r="AA32" i="40"/>
  <c r="AJ32" i="40"/>
  <c r="AM32" i="40"/>
  <c r="AG32" i="40"/>
  <c r="AD32" i="40"/>
  <c r="X32" i="40"/>
  <c r="R32" i="40"/>
  <c r="U32" i="40"/>
  <c r="L32" i="40"/>
  <c r="K32" i="40" l="1"/>
  <c r="J32" i="40"/>
  <c r="I31" i="40"/>
  <c r="I30" i="40"/>
  <c r="I29" i="40"/>
  <c r="I28" i="40"/>
  <c r="I27" i="40"/>
  <c r="I26" i="40"/>
  <c r="I25" i="40"/>
  <c r="I24" i="40"/>
  <c r="I23" i="40"/>
  <c r="I22" i="40"/>
  <c r="I21" i="40"/>
  <c r="I20" i="40"/>
  <c r="I19" i="40"/>
  <c r="I18" i="40"/>
  <c r="I17" i="40"/>
  <c r="I16" i="40"/>
  <c r="I15" i="40"/>
  <c r="I14" i="40"/>
  <c r="I13" i="40"/>
  <c r="I12" i="40"/>
  <c r="G32" i="40"/>
  <c r="H32" i="40"/>
  <c r="F13" i="40"/>
  <c r="AP13" i="40" s="1"/>
  <c r="F14" i="40"/>
  <c r="AP14" i="40" s="1"/>
  <c r="F15" i="40"/>
  <c r="AP15" i="40" s="1"/>
  <c r="AP16" i="40"/>
  <c r="F17" i="40"/>
  <c r="AP17" i="40" s="1"/>
  <c r="F18" i="40"/>
  <c r="AP18" i="40" s="1"/>
  <c r="F19" i="40"/>
  <c r="AP19" i="40" s="1"/>
  <c r="F20" i="40"/>
  <c r="AP20" i="40" s="1"/>
  <c r="F21" i="40"/>
  <c r="AP21" i="40" s="1"/>
  <c r="F22" i="40"/>
  <c r="AP22" i="40" s="1"/>
  <c r="F23" i="40"/>
  <c r="AP23" i="40" s="1"/>
  <c r="F24" i="40"/>
  <c r="AP24" i="40" s="1"/>
  <c r="F25" i="40"/>
  <c r="AP25" i="40" s="1"/>
  <c r="F26" i="40"/>
  <c r="AP26" i="40" s="1"/>
  <c r="F27" i="40"/>
  <c r="AP27" i="40" s="1"/>
  <c r="F28" i="40"/>
  <c r="AP28" i="40" s="1"/>
  <c r="F29" i="40"/>
  <c r="AP29" i="40" s="1"/>
  <c r="F30" i="40"/>
  <c r="AP30" i="40" s="1"/>
  <c r="F31" i="40"/>
  <c r="AP31" i="40" s="1"/>
  <c r="F12" i="40"/>
  <c r="AP12" i="40" s="1"/>
  <c r="AQ12" i="40" s="1"/>
  <c r="C32" i="40"/>
  <c r="I32" i="40" l="1"/>
  <c r="F32" i="40" l="1"/>
  <c r="E32" i="40"/>
  <c r="I50" i="41" s="1"/>
  <c r="D32" i="40"/>
  <c r="AQ31" i="40"/>
  <c r="AQ30" i="40"/>
  <c r="AQ29" i="40"/>
  <c r="AQ28" i="40"/>
  <c r="AQ27" i="40"/>
  <c r="AQ26" i="40"/>
  <c r="AQ25" i="40"/>
  <c r="AQ24" i="40"/>
  <c r="AQ23" i="40"/>
  <c r="AQ22" i="40"/>
  <c r="AQ21" i="40"/>
  <c r="AQ20" i="40"/>
  <c r="AQ19" i="40"/>
  <c r="AQ18" i="40"/>
  <c r="AQ17" i="40"/>
  <c r="AQ16" i="40"/>
  <c r="AQ15" i="40"/>
  <c r="AQ14" i="40"/>
  <c r="AQ13" i="40"/>
  <c r="AP32" i="40" l="1"/>
  <c r="AQ32" i="40" s="1"/>
  <c r="C49" i="41" s="1"/>
</calcChain>
</file>

<file path=xl/sharedStrings.xml><?xml version="1.0" encoding="utf-8"?>
<sst xmlns="http://schemas.openxmlformats.org/spreadsheetml/2006/main" count="321" uniqueCount="175">
  <si>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</si>
  <si>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</si>
  <si>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</si>
  <si>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</si>
  <si>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</si>
  <si>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</si>
  <si>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</si>
  <si>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</si>
  <si>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</si>
  <si>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</si>
  <si>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</si>
  <si>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</si>
  <si>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</si>
  <si>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</si>
  <si>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</si>
  <si>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</si>
  <si>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</si>
  <si>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</si>
  <si>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</si>
  <si>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</si>
  <si>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</si>
  <si>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</si>
  <si>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</si>
  <si>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</si>
  <si>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</si>
  <si>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</si>
  <si>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</si>
  <si>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</si>
  <si>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</si>
  <si>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</si>
  <si>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</si>
  <si>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</si>
  <si>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</si>
  <si>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</si>
  <si>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</si>
  <si>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</si>
  <si>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</si>
  <si>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</si>
  <si>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</si>
  <si>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プログラムを構成する授業科目について</t>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</si>
  <si>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</si>
  <si>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</si>
  <si>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</si>
  <si>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</si>
  <si>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</si>
  <si>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</si>
  <si>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</si>
  <si>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</si>
  <si>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</si>
  <si>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</si>
  <si>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</si>
  <si>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平成30年度</t>
    <rPh sb="0" eb="2">
      <t>ヘイセイ</t>
    </rPh>
    <rPh sb="4" eb="6">
      <t>ネンド</t>
    </rPh>
    <phoneticPr fontId="1"/>
  </si>
  <si>
    <t>平成29年度</t>
    <rPh sb="0" eb="2">
      <t>ヘイセイ</t>
    </rPh>
    <rPh sb="4" eb="6">
      <t>ネンド</t>
    </rPh>
    <phoneticPr fontId="1"/>
  </si>
  <si>
    <t>年度</t>
    <rPh sb="0" eb="2">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</si>
  <si>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</si>
  <si>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</si>
  <si>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</si>
  <si>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</si>
  <si>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</si>
  <si>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</si>
  <si>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</si>
  <si>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</si>
  <si>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</si>
  <si>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</si>
  <si>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</si>
  <si>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</si>
  <si>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</si>
  <si>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</si>
  <si>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</si>
  <si>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</si>
  <si>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</si>
  <si>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</si>
  <si>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</si>
  <si>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</si>
  <si>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</si>
  <si>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</si>
  <si>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</si>
  <si>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</si>
  <si>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</si>
  <si>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</si>
  <si>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</si>
  <si>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</si>
  <si>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②履修者・修了者の実績</t>
    <rPh sb="1" eb="3">
      <t>リシュウ</t>
    </rPh>
    <rPh sb="3" eb="4">
      <t>シャ</t>
    </rPh>
    <rPh sb="5" eb="8">
      <t>シュウリョウシャ</t>
    </rPh>
    <rPh sb="9" eb="11">
      <t>ジッセキ</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</si>
  <si>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</si>
  <si>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</si>
  <si>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</si>
  <si>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</si>
  <si>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</si>
  <si>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</si>
  <si>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令和４年度実績</t>
    <rPh sb="0" eb="2">
      <t>レイワ</t>
    </rPh>
    <rPh sb="3" eb="5">
      <t>ネンド</t>
    </rPh>
    <rPh sb="5" eb="7">
      <t>ジッセキ</t>
    </rPh>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</si>
  <si>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</si>
  <si>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</si>
  <si>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</si>
  <si>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</si>
  <si>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</si>
  <si>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</si>
  <si>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単位</t>
    <rPh sb="0" eb="2">
      <t>タンイ</t>
    </rPh>
    <phoneticPr fontId="1"/>
  </si>
  <si>
    <t>履修者数</t>
    <rPh sb="0" eb="3">
      <t>リシュウシャ</t>
    </rPh>
    <rPh sb="3" eb="4">
      <t>スウ</t>
    </rPh>
    <phoneticPr fontId="1"/>
  </si>
  <si>
    <t>合計</t>
    <rPh sb="0" eb="2">
      <t>ゴウケイ</t>
    </rPh>
    <phoneticPr fontId="1"/>
  </si>
  <si>
    <t>男性</t>
    <rPh sb="0" eb="2">
      <t>ダンセイ</t>
    </rPh>
    <phoneticPr fontId="1"/>
  </si>
  <si>
    <t>女性</t>
    <rPh sb="0" eb="2">
      <t>ジョセイ</t>
    </rPh>
    <phoneticPr fontId="1"/>
  </si>
  <si>
    <t>令和元年度</t>
    <rPh sb="0" eb="2">
      <t>レイワ</t>
    </rPh>
    <rPh sb="2" eb="3">
      <t>モト</t>
    </rPh>
    <rPh sb="3" eb="5">
      <t>ネンド</t>
    </rPh>
    <phoneticPr fontId="1"/>
  </si>
  <si>
    <t>2-1</t>
  </si>
  <si>
    <t>プログラム名</t>
    <rPh sb="5" eb="6">
      <t>メイ</t>
    </rPh>
    <phoneticPr fontId="1"/>
  </si>
  <si>
    <t>様式４</t>
    <phoneticPr fontId="1"/>
  </si>
  <si>
    <t>様式３</t>
    <phoneticPr fontId="1"/>
  </si>
  <si>
    <t>様式２</t>
    <phoneticPr fontId="1"/>
  </si>
  <si>
    <t>② 教育プログラムの修了要件</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</si>
  <si>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</si>
  <si>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</si>
  <si>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令和４年度以前より、履修することが必須のプログラムとして実施</t>
    <rPh sb="0" eb="2">
      <t>レイワ</t>
    </rPh>
    <rPh sb="3" eb="5">
      <t>ネンド</t>
    </rPh>
    <rPh sb="5" eb="7">
      <t>イゼン</t>
    </rPh>
    <phoneticPr fontId="1"/>
  </si>
  <si>
    <t>③ 修了要件</t>
    <phoneticPr fontId="1"/>
  </si>
  <si>
    <t>必要最低単位数</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</si>
  <si>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</si>
  <si>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</si>
  <si>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</si>
  <si>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</si>
  <si>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</si>
  <si>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</si>
  <si>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</si>
  <si>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</si>
  <si>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</si>
  <si>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</si>
  <si>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① 対象となる学部・学科名称</t>
    <phoneticPr fontId="1"/>
  </si>
  <si>
    <t>沼津工業高等専門学校</t>
    <rPh sb="0" eb="10">
      <t>ヌマヅ</t>
    </rPh>
    <phoneticPr fontId="1"/>
  </si>
  <si>
    <t>沼津工業高等専門学校　数理・データサイエンス・ＡＩ教育プログラム</t>
    <phoneticPr fontId="1"/>
  </si>
  <si>
    <t>学部・学科によって、修了要件は相違しない</t>
  </si>
  <si>
    <t xml:space="preserve">プログラムを構成する下記すべての授業科目を修得すること。
　・情報処理基礎：１年次、必修、通年開講科目
　・工学基礎Ⅰ　　：１年次、必修、通年開講科目
　・工学基礎Ⅱ　　：１年次、必修、前期開講科目
</t>
    <rPh sb="6" eb="8">
      <t>コウセイ</t>
    </rPh>
    <rPh sb="10" eb="12">
      <t>カキ</t>
    </rPh>
    <rPh sb="16" eb="20">
      <t>ジュギョウカモク</t>
    </rPh>
    <rPh sb="21" eb="23">
      <t>シュウトク</t>
    </rPh>
    <rPh sb="63" eb="65">
      <t>ネンジ</t>
    </rPh>
    <rPh sb="66" eb="68">
      <t>ヒッシュウ</t>
    </rPh>
    <rPh sb="69" eb="71">
      <t>ツウネン</t>
    </rPh>
    <rPh sb="71" eb="73">
      <t>カイコウ</t>
    </rPh>
    <rPh sb="73" eb="75">
      <t>カモク</t>
    </rPh>
    <rPh sb="87" eb="89">
      <t>ネンジ</t>
    </rPh>
    <rPh sb="90" eb="92">
      <t>ヒッシュウ</t>
    </rPh>
    <rPh sb="93" eb="95">
      <t>ゼンキ</t>
    </rPh>
    <rPh sb="95" eb="97">
      <t>カイコウ</t>
    </rPh>
    <rPh sb="97" eb="99">
      <t>カモク</t>
    </rPh>
    <phoneticPr fontId="1"/>
  </si>
  <si>
    <t>情報処理基礎</t>
    <phoneticPr fontId="1"/>
  </si>
  <si>
    <t>○</t>
  </si>
  <si>
    <t>工学基礎Ⅰ</t>
    <phoneticPr fontId="1"/>
  </si>
  <si>
    <t>工学基礎Ⅱ</t>
    <phoneticPr fontId="1"/>
  </si>
  <si>
    <t>・ビッグデータ、IoT、AI、ロボット　「情報処理基礎」（２０回目）
・データ量の増加、計算機の処理性能の向上、AIの非連続的進化　「情報処理基礎」（２０回目）
・第4次産業革命、Society 5.0、データ駆動型社会　「情報処理基礎」（２０回目）</t>
    <phoneticPr fontId="1"/>
  </si>
  <si>
    <t>・AI等を活用した新しいビジネスモデル(シェアリングエコノミー、商品のレコメンデーションなど)　
　　「情報処理基礎」（２０回目）
・AI最新技術の活用例（深層生成モデル、敵対的生成ネットワーク、強化学習、転移学習など）
　　「情報処理基礎」（２０回目）</t>
    <phoneticPr fontId="1"/>
  </si>
  <si>
    <t>・調査データ、実験データ、人の行動ログデータ、機械の稼働ログデータなど
　　「情報処理基礎」（２０回目）　「工学基礎Ⅰ」（３回目、４回目）　
・1次データ、2次データ、データのメタ化　「情報処理基礎」（２０回目）
・構造化データ、非構造化データ（文章、画像/動画、音声/音楽など）　「情報処理基礎」（２０回目）</t>
    <phoneticPr fontId="1"/>
  </si>
  <si>
    <t>・研究開発、調達、製造、物流、販売、マーケティング、サービスなど
　　「情報処理基礎」（２０回目）　「工学基礎Ⅰ」（２２回目、２４回目）
・データ・AI活用領域の広がり(生産、消費、文化活動など)　「情報処理基礎」（２０回目）
・仮説検証、知識発見、原因究明、判断支援、活動代替、新規生成など　「情報処理基礎」（２０回目）</t>
    <phoneticPr fontId="1"/>
  </si>
  <si>
    <t>・データ解析：予測、パターン発見、最適化、シミュレーションなど
　　「情報処理基礎」（１７、１８、２７、２８回目）
・データ可視化：複合グラフ、関係性の可視化、挙動・軌跡の可視化、リアルタイム可視化など　
　　「情報処理基礎」（１７、１８、２７、２８週目）</t>
    <phoneticPr fontId="1"/>
  </si>
  <si>
    <t>・データサイエンスのサイクル（課題抽出と定式化、データの取得・管理・加工、
　探索的データ解析、データ解析と推論、結果の共有・伝達、課題解決に向けた提案）　
　　「情報処理基礎」（２０、２１回目）　「工学基礎Ⅰ」（２４回目）
・流通、製造、金融、サービス、公共、ヘルスケア等におけるデータ・AI利活用事例紹介
　　「情報処理基礎」（２０回目）</t>
    <phoneticPr fontId="1"/>
  </si>
  <si>
    <t>・ELSI（Ethical, Legal and Social Issues）　「工学基礎Ⅰ」（２８回目）
・データ倫理：データのねつ造、改ざん、盗用、プライバシー保護　
　　「情報処理基礎」（３０回目）　「工学基礎Ⅰ」（３０回目）
・個人情報の保護　　「情報処理基礎」（５回目）　「工学基礎Ⅱ」（７、８、１３、１４回目）
・データ倫理　「工学基礎Ⅱ」（５、７、８回目）</t>
    <phoneticPr fontId="1"/>
  </si>
  <si>
    <t>・情報セキュリティ：機密性、完全性、可用性　「情報処理基礎」（３０回目）
・情報漏洩等によるセキュリティ事故の事例紹介　「情報処理基礎」（４、３０回目）</t>
    <phoneticPr fontId="1"/>
  </si>
  <si>
    <t>・観測データに含まれる誤差の扱い　「工学基礎Ⅰ」（１８、１９、２０回目）
・データの分布(ヒストグラム)と代表値(平均値など)
　　「情報処理基礎」（１７、１８回目）　「工学基礎Ⅱ」（７、８回目）
・データのばらつき(分散、標準偏差)「工学基礎Ⅱ」（７、８回目）
・観測データに含まれる誤差の扱い「工学基礎Ⅱ」（７、８回目）
・データの種類（量的変数、質的変数）　「情報処理基礎」（２０回目）</t>
    <phoneticPr fontId="1"/>
  </si>
  <si>
    <t>・データ表現(棒グラフ、折れ線グラフ、散布図)
　　「情報処理基礎」（６、１７、１８、２０、２１回目）　「工学基礎Ⅰ」（４回目）
　　「工学基礎Ⅱ」（３、４、５、６、８、１０回目）
・データの図表表現(チャート化)
　　「情報処理基礎」（２０、２１回目）　「工学基礎Ⅱ」（３、４、５、６、８、１０回目）
・不適切なグラフ表現(チャートジャンク、不必要な視覚的要素)
　　「情報処理基礎」（６回目）　「工学基礎Ⅱ」（３、４、５、６、７、１０回目）</t>
    <phoneticPr fontId="1"/>
  </si>
  <si>
    <t>・データの集計(和、平均)　「情報処理基礎」（１７、１８、２０、２１回目）　「工学基礎Ⅱ」（７、８回目）
・データの並び替え、ランキング　「情報処理基礎」（１７、１８、２０、２１回目）
・データ解析ツール（スプレッドシート）　「情報処理基礎」（１７、１８、２０、２１回目）</t>
    <phoneticPr fontId="1"/>
  </si>
  <si>
    <t>・デジタル社会の「読み・書き・そろばん」である数理・データサイエンス・AIの基礎的能力を身につけ、　その有用性を理解できること。
・社会情勢やその実例から学んだ知識をもとに、様々なデータの読解力を身につけ、学修した知識やスキル等を説明・活用できること。
・情報セキュリティや情報倫理に留意しつつ、得られるデータについて人間を中心とした適切な判断ができること。</t>
    <phoneticPr fontId="1"/>
  </si>
  <si>
    <t>令和４</t>
    <rPh sb="0" eb="2">
      <t>レイワ</t>
    </rPh>
    <phoneticPr fontId="1"/>
  </si>
  <si>
    <t>機械工学科</t>
    <rPh sb="0" eb="5">
      <t>キカイ</t>
    </rPh>
    <phoneticPr fontId="1"/>
  </si>
  <si>
    <t>電気電子工学科</t>
    <rPh sb="0" eb="7">
      <t>デンキ</t>
    </rPh>
    <phoneticPr fontId="1"/>
  </si>
  <si>
    <t>電子制御工学科</t>
    <rPh sb="0" eb="7">
      <t>デンシ</t>
    </rPh>
    <phoneticPr fontId="1"/>
  </si>
  <si>
    <t>制御情報工学科</t>
    <rPh sb="0" eb="7">
      <t>セイギョ</t>
    </rPh>
    <phoneticPr fontId="1"/>
  </si>
  <si>
    <t>物質工学科</t>
    <rPh sb="0" eb="5">
      <t>ブッシツコウガッカ</t>
    </rPh>
    <phoneticPr fontId="1"/>
  </si>
  <si>
    <t>沼津工業高等専門学校教務委員会規則</t>
    <phoneticPr fontId="1"/>
  </si>
  <si>
    <t>沼津工業高等専門学校教務委員会規則第７条に基づき、数理・データサイエンス・ＡＩ教育プログラム専門部会を設置している。本専門部会は、数理・データサイエンス・AIの基礎的能力を、学生が身につけるための基盤整備を行うことを目的として設置し、本校プログラムの企画・実施・改善を行う。</t>
    <phoneticPr fontId="1"/>
  </si>
  <si>
    <t>数理・データサイエンス・ＡＩ教育プログラム専門部会</t>
    <phoneticPr fontId="1"/>
  </si>
  <si>
    <t>芹澤 弘秀</t>
    <phoneticPr fontId="1"/>
  </si>
  <si>
    <t>校長補佐（教務主事）</t>
    <phoneticPr fontId="1"/>
  </si>
  <si>
    <t>岡田 哲男</t>
    <phoneticPr fontId="1"/>
  </si>
  <si>
    <t>校長</t>
    <phoneticPr fontId="1"/>
  </si>
  <si>
    <t>　前述のとおり、すべての教育プログラム構成科目は必修科目としており、全学生が受講・修得可能な時間割を提供している。</t>
    <rPh sb="41" eb="43">
      <t>シュウトク</t>
    </rPh>
    <phoneticPr fontId="1"/>
  </si>
  <si>
    <t>教務委員会</t>
    <phoneticPr fontId="1"/>
  </si>
  <si>
    <t>　本教育プログラムの構成科目「情報処理基礎」「工学基礎Ⅰ」「工学基礎Ⅱ」は必修科目であるため、入学した全学生（定員約200名）が履修する。
　修得状況については年度末に行う成績判定会議において確認し、教務委員会及び数理・データサイエンス・ＡＩ教育プログラム専門部会にて確認のうえ改善にむけた検討・評価を行う。</t>
    <phoneticPr fontId="1"/>
  </si>
  <si>
    <t>　本教育プログラムを構成する授業は、単なる知識の教授ではなく、演習・実習形式の授業を多く取り入れたり、実社会で情報やAIがどのように活用されているか、先進的な事例に触れたりしながら授業を行うことによって、学ぶ楽しさを実感できるよう工夫をしている。
　授業アンケートによれば、学ぶ楽しさや意義を確認する問いに対して、約７５％の学生が学ぶ楽しさや学ぶ意義を感じることができたと回答していることから、多くの学生が当評価項目について理解していると考えられる。</t>
    <phoneticPr fontId="1"/>
  </si>
  <si>
    <t>鈴木 康人</t>
    <rPh sb="0" eb="5">
      <t>スズキ</t>
    </rPh>
    <phoneticPr fontId="1"/>
  </si>
  <si>
    <t>情報教育部門長</t>
    <rPh sb="0" eb="4">
      <t>ジョウホウキョウイク</t>
    </rPh>
    <rPh sb="4" eb="7">
      <t>ブモンチョウ</t>
    </rPh>
    <phoneticPr fontId="1"/>
  </si>
  <si>
    <t>・鈴木 康人　：制御情報工学科教授・情報教育部門長
・芹澤 弘秀　：制御情報工学科教授
・澤井 　洋　：教養科准教授
・小谷 　進　：電子制御工学科准教授
・新井 貴司：物質工学科准教授
・福井 郁夫：学生課長</t>
    <rPh sb="1" eb="6">
      <t>スズキ</t>
    </rPh>
    <rPh sb="18" eb="22">
      <t>ジョウホウキョウイク</t>
    </rPh>
    <rPh sb="22" eb="25">
      <t>ブモンチョウ</t>
    </rPh>
    <rPh sb="27" eb="32">
      <t>セリザワ</t>
    </rPh>
    <phoneticPr fontId="1"/>
  </si>
  <si>
    <t>　教育プログラム構成科目は、全て１年次の必修科目であり、年度経過とともに、卒業要件を満たす学生の教育プログラム修得率は１００％になる。</t>
    <rPh sb="14" eb="15">
      <t>スベ</t>
    </rPh>
    <rPh sb="17" eb="19">
      <t>ネンジ</t>
    </rPh>
    <rPh sb="28" eb="30">
      <t>ネンド</t>
    </rPh>
    <rPh sb="30" eb="32">
      <t>ケイカ</t>
    </rPh>
    <rPh sb="37" eb="39">
      <t>ソツギョウ</t>
    </rPh>
    <rPh sb="39" eb="41">
      <t>ヨウケン</t>
    </rPh>
    <rPh sb="42" eb="43">
      <t>ミ</t>
    </rPh>
    <rPh sb="45" eb="47">
      <t>ガクセイ</t>
    </rPh>
    <rPh sb="55" eb="58">
      <t>シュウトクリツ</t>
    </rPh>
    <phoneticPr fontId="1"/>
  </si>
  <si>
    <t>　前述のとおり、すべての教育プログラム構成科目は必修科目としており、全学生が受講可能な時間割を提供している。周知方法については、担任が行うホームルーム等にて学生に周知するほか、当プログラムの内容をホームページに掲載している。</t>
    <rPh sb="88" eb="89">
      <t>トウ</t>
    </rPh>
    <rPh sb="95" eb="97">
      <t>ナイヨウ</t>
    </rPh>
    <phoneticPr fontId="1"/>
  </si>
  <si>
    <t>　すべての教育プログラム構成科目は必修科目としており、全学生が受講・修得可能な時間割を提供している。
　また、教職員・学生全員がmicrosoft365のアカウントを所有していることから、教員がTeams等に教材を共有することにより、学生が自学自習を行えるほか、学生は教員室を訪れることなく、Teams等のチャット機能を利用して質問することができる環境にある。
　なお、パソコンを所有していない学生に対してはパソコンを貸与する体制を整えている。</t>
    <rPh sb="34" eb="36">
      <t>シュウトク</t>
    </rPh>
    <rPh sb="174" eb="176">
      <t>カンキョウ</t>
    </rPh>
    <phoneticPr fontId="1"/>
  </si>
  <si>
    <t>　前述したとおり、教職員・学生全員がmicrosoft365のアカウントを所有していることから、学生は教員室を訪れることなく、Teams等のチャット機能を利用して質問・指導を受ける。</t>
    <rPh sb="84" eb="86">
      <t>シドウ</t>
    </rPh>
    <rPh sb="87" eb="88">
      <t>ウ</t>
    </rPh>
    <phoneticPr fontId="1"/>
  </si>
  <si>
    <t>　開講している全科目において成績評価の基準となるルーブリックを記載しており、各科目で求められる学修成果が明確となっている。
　教務委員会では、学生の修得状況（単位の取得状況）を把握しており、また授業評価アンケートを定期的に行うことによって、授業に対する学生の理解度を把握することができ、その結果を教育プログラムを含めたカリキュラムの評価・改善に活用している。
　他に、学級担任及び科目担当教員は学習成果を教務システム上で閲覧できることから、学生個々人への支援が可能な体制となっている。</t>
    <rPh sb="71" eb="73">
      <t>ガクセイ</t>
    </rPh>
    <rPh sb="107" eb="110">
      <t>テイキテキ</t>
    </rPh>
    <rPh sb="111" eb="112">
      <t>オコナ</t>
    </rPh>
    <rPh sb="123" eb="124">
      <t>タイ</t>
    </rPh>
    <rPh sb="197" eb="201">
      <t>ガクシュウセイカ</t>
    </rPh>
    <rPh sb="208" eb="209">
      <t>ウエ</t>
    </rPh>
    <rPh sb="210" eb="212">
      <t>エツラン</t>
    </rPh>
    <phoneticPr fontId="1"/>
  </si>
  <si>
    <t>　本教育プログラム履修学生に対して、授業評価アンケートを実施し、その結果を委員会及び専門部会にて集約・分析を行っている。
　また、授業アンケートは、学生自身が自らの理解度を振り返る良い機会となっている。
　なお、授業アンケートによれば、この授業を理解できたかとの問いに対して約７５％の学生が理解できたと回答しており、多くの学生が数理データサイエンスＡＩについて理解できたことを確認している。</t>
    <rPh sb="65" eb="67">
      <t>ジュギョウ</t>
    </rPh>
    <rPh sb="86" eb="87">
      <t>フ</t>
    </rPh>
    <rPh sb="88" eb="89">
      <t>カエ</t>
    </rPh>
    <rPh sb="90" eb="91">
      <t>ヨ</t>
    </rPh>
    <rPh sb="92" eb="94">
      <t>キカイ</t>
    </rPh>
    <phoneticPr fontId="1"/>
  </si>
  <si>
    <t>　本教育プログラムを構成する科目は、全て必修科目としている。
　なお、本教育プログラムは昨年度に立ち上げたばかりであることから、授業の中で学生に向けて本教育プログラムの意義を説明する機会を設け、今後も継続して実施していく予定である。</t>
    <rPh sb="46" eb="49">
      <t>サクネンド</t>
    </rPh>
    <rPh sb="50" eb="51">
      <t>タ</t>
    </rPh>
    <rPh sb="52" eb="53">
      <t>ア</t>
    </rPh>
    <phoneticPr fontId="1"/>
  </si>
  <si>
    <t>本教育プログラムを構成する科目は全て必修科目としている。</t>
    <phoneticPr fontId="1"/>
  </si>
  <si>
    <t>　申請時点において、本教育プログラムを修了した学生はいない。
　当面は、本プログラム修了者の追跡を行っていくとともに、本プログラムの意義及び実施状況について外部からの評価を得ていく予定である。</t>
    <rPh sb="42" eb="45">
      <t>シュウリョウシャ</t>
    </rPh>
    <rPh sb="46" eb="48">
      <t>ツイセキ</t>
    </rPh>
    <rPh sb="49" eb="50">
      <t>オコナ</t>
    </rPh>
    <rPh sb="59" eb="60">
      <t>ホン</t>
    </rPh>
    <rPh sb="78" eb="80">
      <t>ガイブ</t>
    </rPh>
    <rPh sb="86" eb="87">
      <t>エ</t>
    </rPh>
    <phoneticPr fontId="1"/>
  </si>
  <si>
    <t>　本校は教育研究・管理運営等に関することついて学外有識者から助言を得るために運営諮問会議を毎年度開催している。　
　今後、運営諮問会議等の機会を活用し、本教育プログラムについて外部有識者の評価を受けながら改善を進めていく予定である。　</t>
    <rPh sb="61" eb="68">
      <t>ウンエイシモンカイギトウ</t>
    </rPh>
    <rPh sb="69" eb="71">
      <t>キカイ</t>
    </rPh>
    <rPh sb="72" eb="74">
      <t>カツヨウ</t>
    </rPh>
    <rPh sb="90" eb="93">
      <t>ユウシキシャ</t>
    </rPh>
    <phoneticPr fontId="1"/>
  </si>
  <si>
    <t>　授業アンケートを実施し、学生の声を授業担当教員に伝達することによって、毎年度授業改善を進めている。
　また、評価委員会において自己点検・評価を行うことによって、担当教員レベルではなく学校レベルで、授業の内容・水準が年度ごとに改善される体制にしている。
　なお、授業アンケートによれば、教員の説明や教材の利用が適切で授業内容が分かりやすかったかとの問いに対して８割を超える学生がわかりやすかったと回答していることから、多くの学生に対して分かりやすい授業を提供できていると考えられる。</t>
    <rPh sb="55" eb="57">
      <t>ヒョウカ</t>
    </rPh>
    <rPh sb="209" eb="210">
      <t>オオ</t>
    </rPh>
    <rPh sb="212" eb="214">
      <t>ガクセイ</t>
    </rPh>
    <rPh sb="215" eb="216">
      <t>タイ</t>
    </rPh>
    <rPh sb="218" eb="219">
      <t>ワ</t>
    </rPh>
    <rPh sb="224" eb="226">
      <t>ジュギョウ</t>
    </rPh>
    <rPh sb="227" eb="229">
      <t>テイキョウ</t>
    </rPh>
    <rPh sb="235" eb="236">
      <t>カンガ</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</si>
</sst>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3"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8"/>
      <color theme="1"/>
      <name val="ＭＳ Ｐゴシック"/>
      <family val="3"/>
      <charset val="128"/>
      <scheme val="minor"/>
    </font>
    <font>
      <sz val="6"/>
      <color theme="1"/>
      <name val="ＭＳ Ｐゴシック"/>
      <family val="3"/>
      <charset val="128"/>
      <scheme val="minor"/>
    </font>
    <font>
      <sz val="12"/>
      <name val="ＭＳ Ｐゴシック"/>
      <family val="3"/>
      <charset val="128"/>
      <scheme val="minor"/>
    </font>
    <font>
      <sz val="11"/>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6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hair">
        <color auto="1"/>
      </left>
      <right style="thin">
        <color auto="1"/>
      </right>
      <top/>
      <bottom style="double">
        <color auto="1"/>
      </bottom>
      <diagonal/>
    </border>
    <border>
      <left style="dotted">
        <color auto="1"/>
      </left>
      <right/>
      <top style="dotted">
        <color auto="1"/>
      </top>
      <bottom style="thin">
        <color auto="1"/>
      </bottom>
      <diagonal/>
    </border>
    <border>
      <left style="hair">
        <color auto="1"/>
      </left>
      <right style="thin">
        <color auto="1"/>
      </right>
      <top style="dotted">
        <color auto="1"/>
      </top>
      <bottom style="thin">
        <color auto="1"/>
      </bottom>
      <diagonal/>
    </border>
    <border>
      <left style="dotted">
        <color auto="1"/>
      </left>
      <right/>
      <top/>
      <bottom/>
      <diagonal/>
    </border>
    <border>
      <left style="dotted">
        <color auto="1"/>
      </left>
      <right/>
      <top style="hair">
        <color auto="1"/>
      </top>
      <bottom style="hair">
        <color auto="1"/>
      </bottom>
      <diagonal/>
    </border>
    <border>
      <left style="dotted">
        <color auto="1"/>
      </left>
      <right/>
      <top/>
      <bottom style="double">
        <color auto="1"/>
      </bottom>
      <diagonal/>
    </border>
    <border>
      <left style="thin">
        <color auto="1"/>
      </left>
      <right style="dotted">
        <color auto="1"/>
      </right>
      <top style="hair">
        <color auto="1"/>
      </top>
      <bottom style="hair">
        <color auto="1"/>
      </bottom>
      <diagonal/>
    </border>
    <border>
      <left style="dotted">
        <color auto="1"/>
      </left>
      <right style="hair">
        <color auto="1"/>
      </right>
      <top style="double">
        <color auto="1"/>
      </top>
      <bottom style="thin">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57">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3" xfId="0" applyNumberFormat="1" applyFont="1" applyBorder="1" applyAlignment="1">
      <alignment vertical="center" shrinkToFit="1"/>
    </xf>
    <xf numFmtId="9" fontId="2" fillId="0" borderId="27" xfId="0" applyNumberFormat="1" applyFont="1" applyBorder="1" applyAlignment="1">
      <alignment vertical="center" shrinkToFit="1"/>
    </xf>
    <xf numFmtId="0" fontId="2" fillId="0" borderId="0" xfId="0" applyFont="1" applyAlignment="1">
      <alignment horizontal="left" vertical="center"/>
    </xf>
    <xf numFmtId="0" fontId="2" fillId="0" borderId="14" xfId="0" applyFont="1" applyBorder="1" applyAlignment="1">
      <alignment horizontal="left" vertical="center" shrinkToFit="1"/>
    </xf>
    <xf numFmtId="0" fontId="2" fillId="0" borderId="23" xfId="0" applyFont="1" applyBorder="1" applyAlignment="1">
      <alignment horizontal="left" vertical="center" shrinkToFit="1"/>
    </xf>
    <xf numFmtId="0" fontId="2" fillId="0" borderId="24" xfId="0" applyFont="1" applyBorder="1" applyAlignment="1">
      <alignment horizontal="left" vertical="center" shrinkToFit="1"/>
    </xf>
    <xf numFmtId="0" fontId="2" fillId="0" borderId="28"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0" fontId="9" fillId="0" borderId="11" xfId="0" applyFont="1" applyBorder="1" applyAlignment="1">
      <alignment horizontal="center" vertical="center"/>
    </xf>
    <xf numFmtId="0" fontId="9" fillId="0" borderId="52" xfId="0" applyFont="1" applyBorder="1" applyAlignment="1">
      <alignment horizontal="center" vertical="center"/>
    </xf>
    <xf numFmtId="0" fontId="9" fillId="0" borderId="53" xfId="0" applyFont="1" applyBorder="1" applyAlignment="1">
      <alignment horizontal="center" vertical="center"/>
    </xf>
    <xf numFmtId="9" fontId="2" fillId="0" borderId="60" xfId="0" applyNumberFormat="1" applyFont="1" applyBorder="1" applyAlignment="1">
      <alignment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3"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40" xfId="0" applyFont="1" applyBorder="1" applyAlignment="1">
      <alignment horizontal="center" vertical="center" shrinkToFit="1"/>
    </xf>
    <xf numFmtId="0" fontId="2" fillId="0" borderId="0" xfId="0" applyFont="1" applyAlignment="1">
      <alignment horizontal="center" vertical="center" shrinkToFit="1"/>
    </xf>
    <xf numFmtId="49" fontId="3" fillId="0" borderId="48" xfId="0" applyNumberFormat="1" applyFont="1" applyBorder="1" applyAlignment="1">
      <alignment horizontal="center" vertical="center"/>
    </xf>
    <xf numFmtId="49" fontId="3" fillId="0" borderId="49"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29" xfId="0" applyNumberFormat="1" applyFont="1" applyBorder="1" applyAlignment="1">
      <alignment horizontal="center" vertical="center"/>
    </xf>
    <xf numFmtId="49" fontId="3" fillId="0" borderId="47" xfId="0" applyNumberFormat="1" applyFont="1" applyBorder="1" applyAlignment="1">
      <alignment horizontal="center" vertical="center"/>
    </xf>
    <xf numFmtId="49" fontId="3" fillId="0" borderId="32" xfId="0" applyNumberFormat="1"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2" fillId="0" borderId="0" xfId="0" applyFont="1" applyAlignment="1">
      <alignment horizontal="left" vertical="center" shrinkToFit="1"/>
    </xf>
    <xf numFmtId="0" fontId="2" fillId="0" borderId="10" xfId="0" applyFont="1" applyBorder="1" applyAlignment="1">
      <alignment horizontal="right" vertical="center"/>
    </xf>
    <xf numFmtId="0" fontId="5" fillId="0" borderId="0" xfId="0" applyFont="1" applyAlignment="1">
      <alignment horizontal="center" vertical="center"/>
    </xf>
    <xf numFmtId="0" fontId="2" fillId="0" borderId="5" xfId="0" applyFont="1" applyBorder="1">
      <alignmen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3" fillId="0" borderId="0" xfId="0" applyFont="1" applyAlignment="1">
      <alignment vertical="center" wrapTex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42" xfId="0" applyFont="1" applyFill="1" applyBorder="1" applyAlignment="1">
      <alignment vertical="top" wrapText="1"/>
    </xf>
    <xf numFmtId="0" fontId="3" fillId="2" borderId="43" xfId="0" applyFont="1" applyFill="1" applyBorder="1" applyAlignment="1">
      <alignment vertical="top" wrapText="1"/>
    </xf>
    <xf numFmtId="0" fontId="3" fillId="2" borderId="42"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43" xfId="0" applyFont="1" applyFill="1" applyBorder="1" applyAlignment="1">
      <alignment vertical="top" shrinkToFit="1"/>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50"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54" xfId="2" applyFont="1" applyBorder="1" applyAlignment="1">
      <alignment vertical="center" shrinkToFit="1"/>
    </xf>
    <xf numFmtId="38" fontId="2" fillId="0" borderId="30" xfId="2" applyFont="1" applyBorder="1" applyAlignment="1">
      <alignment vertical="center" shrinkToFit="1"/>
    </xf>
    <xf numFmtId="38" fontId="2" fillId="0" borderId="23"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57" xfId="2" applyFont="1" applyBorder="1" applyAlignment="1">
      <alignment vertical="center" shrinkToFit="1"/>
    </xf>
    <xf numFmtId="38" fontId="2" fillId="0" borderId="55" xfId="2" applyFont="1" applyBorder="1" applyAlignment="1">
      <alignment vertical="center" shrinkToFit="1"/>
    </xf>
    <xf numFmtId="38" fontId="2" fillId="0" borderId="32" xfId="2" applyFont="1" applyBorder="1" applyAlignment="1">
      <alignment vertical="center" shrinkToFit="1"/>
    </xf>
    <xf numFmtId="38" fontId="2" fillId="0" borderId="18" xfId="2" applyFont="1" applyBorder="1" applyAlignment="1">
      <alignment vertical="center" shrinkToFit="1"/>
    </xf>
    <xf numFmtId="38" fontId="2" fillId="0" borderId="10" xfId="2" applyFont="1" applyBorder="1" applyAlignment="1">
      <alignment vertical="center" shrinkToFit="1"/>
    </xf>
    <xf numFmtId="38" fontId="2" fillId="0" borderId="56" xfId="2" applyFont="1" applyBorder="1" applyAlignment="1">
      <alignment vertical="center" shrinkToFit="1"/>
    </xf>
    <xf numFmtId="38" fontId="2" fillId="0" borderId="51" xfId="2" applyFont="1" applyBorder="1" applyAlignment="1">
      <alignment vertical="center" shrinkToFit="1"/>
    </xf>
    <xf numFmtId="38" fontId="2" fillId="0" borderId="28" xfId="2" applyFont="1" applyBorder="1" applyAlignment="1">
      <alignment vertical="center" shrinkToFit="1"/>
    </xf>
    <xf numFmtId="38" fontId="2" fillId="0" borderId="26" xfId="2" applyFont="1" applyBorder="1" applyAlignment="1">
      <alignment vertical="center" shrinkToFit="1"/>
    </xf>
    <xf numFmtId="38" fontId="2" fillId="0" borderId="25" xfId="2" applyFont="1" applyBorder="1" applyAlignment="1">
      <alignment vertical="center" shrinkToFit="1"/>
    </xf>
    <xf numFmtId="38" fontId="2" fillId="0" borderId="58" xfId="2" applyFont="1" applyBorder="1" applyAlignment="1">
      <alignment vertical="center" shrinkToFit="1"/>
    </xf>
    <xf numFmtId="38" fontId="2" fillId="0" borderId="33" xfId="2" applyFont="1" applyBorder="1" applyAlignment="1">
      <alignment vertical="center" shrinkToFit="1"/>
    </xf>
    <xf numFmtId="9" fontId="2" fillId="0" borderId="14" xfId="0" applyNumberFormat="1" applyFont="1" applyBorder="1" applyAlignment="1">
      <alignment vertical="center" shrinkToFit="1"/>
    </xf>
    <xf numFmtId="0" fontId="11" fillId="0" borderId="5" xfId="0" applyFont="1" applyBorder="1" applyAlignment="1">
      <alignment vertical="top" shrinkToFit="1"/>
    </xf>
    <xf numFmtId="0" fontId="11" fillId="0" borderId="0" xfId="0" applyFont="1" applyBorder="1" applyAlignment="1">
      <alignment vertical="top" shrinkToFit="1"/>
    </xf>
    <xf numFmtId="0" fontId="12" fillId="0" borderId="5" xfId="0" applyFont="1" applyBorder="1" applyAlignment="1">
      <alignment vertical="center" shrinkToFit="1"/>
    </xf>
    <xf numFmtId="0" fontId="12" fillId="0" borderId="0" xfId="0" applyFont="1" applyBorder="1" applyAlignment="1">
      <alignment vertical="center" shrinkToFit="1"/>
    </xf>
    <xf numFmtId="0" fontId="2" fillId="0" borderId="0" xfId="0" applyFont="1" applyAlignment="1">
      <alignment vertical="center" wrapText="1"/>
    </xf>
    <xf numFmtId="0" fontId="2" fillId="0" borderId="2" xfId="0" applyFont="1" applyBorder="1" applyAlignment="1">
      <alignment horizontal="center" vertical="center"/>
    </xf>
    <xf numFmtId="0" fontId="2" fillId="0" borderId="4" xfId="0" applyFont="1" applyBorder="1" applyAlignment="1">
      <alignment horizontal="center" vertical="center"/>
    </xf>
    <xf numFmtId="0" fontId="2" fillId="0" borderId="3" xfId="0" applyFont="1" applyBorder="1" applyAlignment="1">
      <alignment horizontal="center" vertical="center"/>
    </xf>
    <xf numFmtId="0" fontId="2" fillId="0" borderId="34" xfId="0" applyFont="1" applyBorder="1" applyAlignment="1">
      <alignment vertical="center" shrinkToFit="1"/>
    </xf>
    <xf numFmtId="0" fontId="2" fillId="0" borderId="36" xfId="0" applyFont="1" applyBorder="1" applyAlignment="1">
      <alignment vertical="center" shrinkToFit="1"/>
    </xf>
    <xf numFmtId="0" fontId="2" fillId="0" borderId="35" xfId="0" applyFont="1" applyBorder="1" applyAlignment="1">
      <alignment vertical="center" shrinkToFit="1"/>
    </xf>
    <xf numFmtId="0" fontId="2" fillId="0" borderId="19" xfId="0" applyFont="1" applyBorder="1" applyAlignment="1">
      <alignment vertical="center" shrinkToFit="1"/>
    </xf>
    <xf numFmtId="0" fontId="2" fillId="0" borderId="20" xfId="0" applyFont="1" applyBorder="1" applyAlignment="1">
      <alignment vertical="center" shrinkToFit="1"/>
    </xf>
    <xf numFmtId="0" fontId="2" fillId="0" borderId="18" xfId="0" applyFont="1" applyBorder="1" applyAlignment="1">
      <alignment vertical="center" shrinkToFit="1"/>
    </xf>
    <xf numFmtId="0" fontId="2" fillId="0" borderId="37" xfId="0" applyFont="1" applyBorder="1" applyAlignment="1">
      <alignment vertical="center" shrinkToFit="1"/>
    </xf>
    <xf numFmtId="0" fontId="2" fillId="0" borderId="38" xfId="0" applyFont="1" applyBorder="1" applyAlignment="1">
      <alignment vertical="center" shrinkToFit="1"/>
    </xf>
    <xf numFmtId="0" fontId="2" fillId="0" borderId="39" xfId="0" applyFont="1" applyBorder="1" applyAlignment="1">
      <alignment vertical="center" shrinkToFit="1"/>
    </xf>
    <xf numFmtId="0" fontId="2" fillId="0" borderId="0" xfId="0" applyFont="1" applyAlignment="1">
      <alignment horizontal="right" vertical="center"/>
    </xf>
    <xf numFmtId="0" fontId="5" fillId="0" borderId="2" xfId="0" applyFont="1" applyBorder="1" applyAlignment="1">
      <alignment horizontal="center" vertical="center" shrinkToFit="1"/>
    </xf>
    <xf numFmtId="0" fontId="5" fillId="0" borderId="3" xfId="0" applyFont="1" applyBorder="1" applyAlignment="1">
      <alignment horizontal="center" vertical="center" shrinkToFit="1"/>
    </xf>
    <xf numFmtId="0" fontId="5" fillId="0" borderId="4" xfId="0" applyFont="1" applyBorder="1" applyAlignment="1">
      <alignment horizontal="center" vertical="center" shrinkToFit="1"/>
    </xf>
    <xf numFmtId="0" fontId="2" fillId="0" borderId="2" xfId="0" applyFont="1" applyBorder="1" applyAlignment="1">
      <alignment horizontal="center" vertical="center" shrinkToFit="1"/>
    </xf>
    <xf numFmtId="0" fontId="2" fillId="0" borderId="3" xfId="0" applyFont="1" applyBorder="1" applyAlignment="1">
      <alignment horizontal="center" vertical="center" shrinkToFit="1"/>
    </xf>
    <xf numFmtId="0" fontId="2" fillId="0" borderId="4" xfId="0" applyFont="1" applyBorder="1" applyAlignment="1">
      <alignment horizontal="center" vertical="center" shrinkToFit="1"/>
    </xf>
    <xf numFmtId="0" fontId="6" fillId="0" borderId="0" xfId="0" applyFont="1" applyAlignment="1">
      <alignment horizontal="center" vertical="center"/>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11" xfId="0" applyFont="1" applyBorder="1" applyAlignment="1">
      <alignment horizontal="left" vertical="center" wrapText="1"/>
    </xf>
    <xf numFmtId="0" fontId="2" fillId="0" borderId="6" xfId="0" applyFont="1" applyBorder="1" applyAlignment="1">
      <alignment horizontal="left" vertical="center" wrapText="1"/>
    </xf>
    <xf numFmtId="0" fontId="2" fillId="0" borderId="12" xfId="0" applyFont="1" applyBorder="1" applyAlignment="1">
      <alignment horizontal="left" vertical="center" wrapText="1"/>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37" xfId="0" applyFont="1" applyBorder="1" applyAlignment="1">
      <alignment horizontal="center" vertical="center" shrinkToFit="1"/>
    </xf>
    <xf numFmtId="0" fontId="2" fillId="0" borderId="38" xfId="0" applyFont="1" applyBorder="1" applyAlignment="1">
      <alignment horizontal="center" vertical="center" shrinkToFit="1"/>
    </xf>
    <xf numFmtId="0" fontId="2" fillId="0" borderId="39"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8" xfId="0" applyFont="1" applyBorder="1" applyAlignment="1">
      <alignment horizontal="center" vertical="center" shrinkToFit="1"/>
    </xf>
    <xf numFmtId="0" fontId="2" fillId="0" borderId="22" xfId="0" applyFont="1" applyBorder="1" applyAlignment="1">
      <alignment horizontal="left" vertical="center" wrapText="1" shrinkToFit="1"/>
    </xf>
    <xf numFmtId="0" fontId="2" fillId="0" borderId="22"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36" xfId="0" applyFont="1" applyBorder="1" applyAlignment="1">
      <alignment horizontal="left" vertical="center" wrapText="1" shrinkToFit="1"/>
    </xf>
    <xf numFmtId="0" fontId="2" fillId="0" borderId="36" xfId="0" applyFont="1" applyBorder="1" applyAlignment="1">
      <alignment horizontal="left" vertical="center" shrinkToFit="1"/>
    </xf>
    <xf numFmtId="0" fontId="2" fillId="0" borderId="35" xfId="0" applyFont="1" applyBorder="1" applyAlignment="1">
      <alignment horizontal="left" vertical="center" shrinkToFit="1"/>
    </xf>
    <xf numFmtId="0" fontId="2" fillId="0" borderId="37" xfId="0" applyFont="1" applyBorder="1" applyAlignment="1">
      <alignment horizontal="left" vertical="center" wrapText="1" shrinkToFit="1"/>
    </xf>
    <xf numFmtId="0" fontId="2" fillId="0" borderId="38" xfId="0" applyFont="1" applyBorder="1" applyAlignment="1">
      <alignment horizontal="left" vertical="center" shrinkToFit="1"/>
    </xf>
    <xf numFmtId="0" fontId="2" fillId="0" borderId="39" xfId="0" applyFont="1" applyBorder="1" applyAlignment="1">
      <alignment horizontal="left" vertical="center" shrinkToFit="1"/>
    </xf>
    <xf numFmtId="0" fontId="2" fillId="0" borderId="38" xfId="0" applyFont="1" applyBorder="1" applyAlignment="1">
      <alignment horizontal="left" vertical="center" wrapText="1" shrinkToFit="1"/>
    </xf>
    <xf numFmtId="0" fontId="2" fillId="0" borderId="19" xfId="0" applyFont="1" applyBorder="1" applyAlignment="1">
      <alignment vertical="center" wrapText="1" shrinkToFit="1"/>
    </xf>
    <xf numFmtId="0" fontId="3" fillId="0" borderId="45" xfId="0" applyFont="1" applyBorder="1" applyAlignment="1">
      <alignment vertical="center" wrapText="1"/>
    </xf>
    <xf numFmtId="0" fontId="3" fillId="0" borderId="31" xfId="0" applyFont="1" applyBorder="1" applyAlignment="1">
      <alignment vertical="center" wrapTex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3" fillId="0" borderId="46" xfId="0" applyFont="1" applyBorder="1" applyAlignment="1">
      <alignment vertical="center" wrapText="1"/>
    </xf>
    <xf numFmtId="0" fontId="2" fillId="0" borderId="36" xfId="0" applyFont="1" applyBorder="1" applyAlignment="1">
      <alignment vertical="center" wrapText="1" shrinkToFit="1"/>
    </xf>
    <xf numFmtId="0" fontId="2" fillId="0" borderId="8" xfId="0" applyFont="1" applyBorder="1" applyAlignment="1">
      <alignment horizontal="left" vertical="center" wrapText="1" shrinkToFit="1"/>
    </xf>
    <xf numFmtId="0" fontId="2" fillId="0" borderId="8" xfId="0" applyFont="1" applyBorder="1" applyAlignment="1">
      <alignment horizontal="left" vertical="center" shrinkToFit="1"/>
    </xf>
    <xf numFmtId="0" fontId="2" fillId="0" borderId="9" xfId="0" applyFont="1" applyBorder="1" applyAlignment="1">
      <alignment horizontal="left" vertical="center" shrinkToFi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34" xfId="0" applyFont="1" applyBorder="1" applyAlignment="1">
      <alignment horizontal="center" vertical="center" shrinkToFit="1"/>
    </xf>
    <xf numFmtId="0" fontId="2" fillId="0" borderId="36" xfId="0" applyFont="1" applyBorder="1" applyAlignment="1">
      <alignment horizontal="center" vertical="center" shrinkToFit="1"/>
    </xf>
    <xf numFmtId="0" fontId="2" fillId="0" borderId="35" xfId="0" applyFont="1" applyBorder="1" applyAlignment="1">
      <alignment horizontal="center" vertical="center" shrinkToFit="1"/>
    </xf>
    <xf numFmtId="0" fontId="11" fillId="0" borderId="7" xfId="0" applyFont="1" applyBorder="1" applyAlignment="1">
      <alignment horizontal="left" vertical="top" wrapText="1" shrinkToFit="1"/>
    </xf>
    <xf numFmtId="0" fontId="11" fillId="0" borderId="8" xfId="0" applyFont="1" applyBorder="1" applyAlignment="1">
      <alignment horizontal="left" vertical="top" wrapText="1" shrinkToFit="1"/>
    </xf>
    <xf numFmtId="0" fontId="11" fillId="0" borderId="5" xfId="0" applyFont="1" applyBorder="1" applyAlignment="1">
      <alignment horizontal="left" vertical="top" wrapText="1" shrinkToFit="1"/>
    </xf>
    <xf numFmtId="0" fontId="11" fillId="0" borderId="0" xfId="0" applyFont="1" applyBorder="1" applyAlignment="1">
      <alignment horizontal="left" vertical="top" wrapText="1" shrinkToFit="1"/>
    </xf>
    <xf numFmtId="0" fontId="11" fillId="0" borderId="11" xfId="0" applyFont="1" applyBorder="1" applyAlignment="1">
      <alignment horizontal="left" vertical="top" wrapText="1" shrinkToFit="1"/>
    </xf>
    <xf numFmtId="0" fontId="11" fillId="0" borderId="6" xfId="0" applyFont="1" applyBorder="1" applyAlignment="1">
      <alignment horizontal="left" vertical="top" wrapText="1" shrinkToFit="1"/>
    </xf>
    <xf numFmtId="0" fontId="12" fillId="0" borderId="37" xfId="0" applyFont="1" applyBorder="1" applyAlignment="1">
      <alignment vertical="center" wrapText="1" shrinkToFit="1"/>
    </xf>
    <xf numFmtId="0" fontId="12" fillId="0" borderId="38" xfId="0" applyFont="1" applyBorder="1" applyAlignment="1">
      <alignment vertical="center" wrapText="1" shrinkToFit="1"/>
    </xf>
    <xf numFmtId="0" fontId="5" fillId="0" borderId="16" xfId="0" applyFont="1" applyBorder="1" applyAlignment="1">
      <alignment horizontal="center" vertical="center"/>
    </xf>
    <xf numFmtId="0" fontId="5" fillId="0" borderId="22" xfId="0" applyFont="1" applyBorder="1" applyAlignment="1">
      <alignment horizontal="center" vertical="center"/>
    </xf>
    <xf numFmtId="0" fontId="2" fillId="0" borderId="14" xfId="0" applyFont="1" applyBorder="1" applyAlignment="1">
      <alignment horizontal="center" vertical="center"/>
    </xf>
    <xf numFmtId="0" fontId="2" fillId="0" borderId="1" xfId="0" applyFont="1" applyBorder="1" applyAlignment="1">
      <alignment horizontal="center" vertical="center"/>
    </xf>
    <xf numFmtId="0" fontId="2" fillId="0" borderId="15" xfId="0" applyFont="1" applyBorder="1" applyAlignment="1">
      <alignment horizontal="center" vertical="center"/>
    </xf>
    <xf numFmtId="0" fontId="2" fillId="0" borderId="50"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0" xfId="0" applyFont="1" applyAlignment="1">
      <alignment horizontal="center" vertical="center" wrapText="1"/>
    </xf>
    <xf numFmtId="0" fontId="7" fillId="0" borderId="6" xfId="0" applyFont="1" applyBorder="1" applyAlignment="1">
      <alignment horizontal="center" vertical="center"/>
    </xf>
    <xf numFmtId="0" fontId="7" fillId="0" borderId="7" xfId="0" applyFont="1" applyBorder="1" applyAlignment="1">
      <alignment horizontal="center" vertical="center" wrapText="1"/>
    </xf>
    <xf numFmtId="0" fontId="7" fillId="0" borderId="5" xfId="0" applyFont="1" applyBorder="1" applyAlignment="1">
      <alignment horizontal="center" vertical="center" wrapText="1"/>
    </xf>
    <xf numFmtId="0" fontId="7" fillId="0" borderId="11" xfId="0" applyFont="1" applyBorder="1" applyAlignment="1">
      <alignment horizontal="center" vertical="center"/>
    </xf>
    <xf numFmtId="0" fontId="8" fillId="0" borderId="15" xfId="0" applyFont="1" applyBorder="1" applyAlignment="1">
      <alignment horizontal="center" vertical="center" wrapText="1"/>
    </xf>
    <xf numFmtId="0" fontId="8" fillId="0" borderId="50" xfId="0" applyFont="1" applyBorder="1" applyAlignment="1">
      <alignment horizontal="center" vertical="center" wrapText="1"/>
    </xf>
    <xf numFmtId="0" fontId="8" fillId="0" borderId="13" xfId="0" applyFont="1" applyBorder="1" applyAlignment="1">
      <alignment horizontal="center" vertical="center"/>
    </xf>
    <xf numFmtId="0" fontId="7" fillId="0" borderId="9" xfId="0" applyFont="1" applyBorder="1" applyAlignment="1">
      <alignment horizontal="center" vertical="center"/>
    </xf>
    <xf numFmtId="0" fontId="7" fillId="0" borderId="10"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50" xfId="0" applyFont="1" applyBorder="1" applyAlignment="1">
      <alignment horizontal="center" vertical="center" wrapText="1"/>
    </xf>
    <xf numFmtId="0" fontId="7" fillId="0" borderId="13" xfId="0" applyFont="1" applyBorder="1" applyAlignment="1">
      <alignment horizontal="center" vertical="center"/>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0" xfId="0" applyFont="1" applyBorder="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0" xfId="0" applyFont="1">
      <alignment vertical="center"/>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17" xfId="0" applyFont="1" applyBorder="1" applyAlignment="1">
      <alignment vertical="center" wrapText="1"/>
    </xf>
    <xf numFmtId="0" fontId="2" fillId="0" borderId="18" xfId="0" applyFont="1" applyBorder="1" applyAlignment="1">
      <alignment vertical="center" wrapText="1"/>
    </xf>
    <xf numFmtId="0" fontId="2" fillId="0" borderId="20" xfId="0" applyFont="1" applyBorder="1" applyAlignment="1">
      <alignment vertical="top" wrapText="1" shrinkToFit="1"/>
    </xf>
    <xf numFmtId="0" fontId="2" fillId="0" borderId="18" xfId="0" applyFont="1" applyBorder="1" applyAlignment="1">
      <alignment vertical="top" wrapText="1" shrinkToFit="1"/>
    </xf>
    <xf numFmtId="0" fontId="2" fillId="0" borderId="59" xfId="0" applyFont="1" applyBorder="1" applyAlignment="1">
      <alignment vertical="center" wrapText="1"/>
    </xf>
    <xf numFmtId="0" fontId="2" fillId="0" borderId="39" xfId="0" applyFont="1" applyBorder="1" applyAlignment="1">
      <alignment vertical="center" wrapText="1"/>
    </xf>
    <xf numFmtId="0" fontId="2" fillId="0" borderId="38" xfId="0" applyFont="1" applyBorder="1" applyAlignment="1">
      <alignment vertical="top" wrapText="1" shrinkToFit="1"/>
    </xf>
    <xf numFmtId="0" fontId="2" fillId="0" borderId="39" xfId="0" applyFont="1" applyBorder="1" applyAlignment="1">
      <alignment vertical="top" wrapText="1" shrinkToFit="1"/>
    </xf>
    <xf numFmtId="0" fontId="2" fillId="0" borderId="41" xfId="0" applyFont="1" applyBorder="1" applyAlignment="1">
      <alignment vertical="center" wrapText="1"/>
    </xf>
    <xf numFmtId="0" fontId="2" fillId="0" borderId="42" xfId="0" applyFont="1" applyBorder="1" applyAlignment="1">
      <alignment vertical="center" wrapText="1"/>
    </xf>
    <xf numFmtId="0" fontId="2" fillId="0" borderId="43" xfId="0" applyFont="1" applyBorder="1" applyAlignment="1">
      <alignment vertical="center" wrapText="1"/>
    </xf>
    <xf numFmtId="0" fontId="2" fillId="0" borderId="42" xfId="0" applyFont="1" applyBorder="1" applyAlignment="1">
      <alignment vertical="top" wrapText="1" shrinkToFit="1"/>
    </xf>
    <xf numFmtId="0" fontId="2" fillId="0" borderId="43" xfId="0" applyFont="1" applyBorder="1" applyAlignment="1">
      <alignment vertical="top" wrapText="1" shrinkToFit="1"/>
    </xf>
    <xf numFmtId="0" fontId="2" fillId="0" borderId="19" xfId="0" applyFont="1" applyBorder="1" applyAlignment="1">
      <alignment vertical="top" wrapText="1" shrinkToFit="1"/>
    </xf>
    <xf numFmtId="0" fontId="2" fillId="0" borderId="37" xfId="0" applyFont="1" applyBorder="1" applyAlignment="1">
      <alignment vertical="top" wrapText="1" shrinkToFit="1"/>
    </xf>
    <xf numFmtId="0" fontId="2" fillId="0" borderId="17" xfId="0" applyFont="1" applyBorder="1">
      <alignment vertical="center"/>
    </xf>
    <xf numFmtId="0" fontId="5" fillId="0" borderId="18" xfId="0" applyFont="1" applyBorder="1">
      <alignment vertical="center"/>
    </xf>
    <xf numFmtId="0" fontId="2" fillId="0" borderId="3" xfId="0" applyFont="1" applyBorder="1" applyAlignment="1">
      <alignment horizontal="left" vertical="center"/>
    </xf>
    <xf numFmtId="0" fontId="2" fillId="0" borderId="4" xfId="0" applyFont="1" applyBorder="1" applyAlignment="1">
      <alignment horizontal="left" vertical="center"/>
    </xf>
    <xf numFmtId="0" fontId="12" fillId="0" borderId="39" xfId="0" applyFont="1" applyBorder="1" applyAlignment="1">
      <alignment vertical="center" wrapText="1" shrinkToFit="1"/>
    </xf>
  </cellXfs>
  <cellStyles count="3">
    <cellStyle name="パーセント" xfId="1" builtinId="5"/>
    <cellStyle name="桁区切り" xfId="2" builtinId="6"/>
    <cellStyle name="標準" xfId="0" builtinId="0"/>
  </cellStyles>
  <dxfs count="1">
    <dxf>
      <font>
        <color theme="0" tint="-0.34998626667073579"/>
      </font>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pageSetUpPr fitToPage="1"/>
  </sheetPr>
  <dimension ref="A1:Z110"/>
  <sheetViews>
    <sheetView showZeros="0" view="pageBreakPreview" topLeftCell="A94" zoomScale="85" zoomScaleNormal="100" zoomScaleSheetLayoutView="85" workbookViewId="0">
      <selection activeCell="D97" sqref="D97:S97"/>
    </sheetView>
  </sheetViews>
  <sheetFormatPr defaultColWidth="9" defaultRowHeight="18.75" customHeight="1" x14ac:dyDescent="0.15"/>
  <cols>
    <col min="1" max="1" width="2.5" style="1" customWidth="1"/>
    <col min="2" max="2" width="16.5" style="1" customWidth="1"/>
    <col min="3" max="19" width="5.625" style="1" customWidth="1"/>
    <col min="20" max="20" width="9" style="1"/>
    <col min="21" max="21" width="3.625" style="1" customWidth="1"/>
    <col min="22" max="22" width="48.625" style="1" hidden="1" customWidth="1"/>
    <col min="23" max="16384" width="9" style="1"/>
  </cols>
  <sheetData>
    <row r="1" spans="1:26" ht="18.600000000000001" customHeight="1" x14ac:dyDescent="0.15">
      <c r="R1" s="99" t="s">
        <v>12</v>
      </c>
      <c r="S1" s="99"/>
      <c r="T1" s="2" t="s">
        <v>109</v>
      </c>
    </row>
    <row r="2" spans="1:26" ht="18.75" customHeight="1" x14ac:dyDescent="0.15">
      <c r="B2" s="33" t="s">
        <v>108</v>
      </c>
      <c r="C2" s="87" t="s">
        <v>124</v>
      </c>
      <c r="D2" s="89"/>
      <c r="E2" s="89"/>
      <c r="F2" s="89"/>
      <c r="G2" s="89"/>
      <c r="H2" s="89"/>
      <c r="I2" s="88"/>
      <c r="J2" s="34"/>
      <c r="K2" s="6"/>
      <c r="L2" s="6"/>
      <c r="M2" s="6"/>
      <c r="N2" s="6"/>
      <c r="O2" s="6"/>
      <c r="P2" s="6"/>
      <c r="Q2" s="6"/>
      <c r="R2" s="6"/>
      <c r="S2" s="6"/>
    </row>
    <row r="3" spans="1:26" ht="18.75" customHeight="1" x14ac:dyDescent="0.15">
      <c r="B3" s="33" t="s">
        <v>103</v>
      </c>
      <c r="C3" s="103" t="s">
        <v>125</v>
      </c>
      <c r="D3" s="104"/>
      <c r="E3" s="104"/>
      <c r="F3" s="104"/>
      <c r="G3" s="104"/>
      <c r="H3" s="104"/>
      <c r="I3" s="105"/>
      <c r="J3" s="34"/>
      <c r="K3" s="6"/>
      <c r="L3" s="6"/>
      <c r="M3" s="6"/>
      <c r="N3" s="6"/>
      <c r="O3" s="6"/>
      <c r="P3" s="6"/>
      <c r="Q3" s="6"/>
      <c r="R3" s="6"/>
      <c r="S3" s="6"/>
    </row>
    <row r="4" spans="1:26" ht="15" customHeight="1" x14ac:dyDescent="0.15">
      <c r="K4" s="34"/>
      <c r="L4" s="36"/>
      <c r="M4" s="36"/>
      <c r="N4" s="36"/>
      <c r="O4" s="36"/>
      <c r="P4" s="36"/>
      <c r="Q4" s="36"/>
      <c r="R4" s="36"/>
      <c r="S4" s="36"/>
    </row>
    <row r="5" spans="1:26" ht="18" customHeight="1" x14ac:dyDescent="0.15">
      <c r="A5" s="106" t="s">
        <v>39</v>
      </c>
      <c r="B5" s="106"/>
      <c r="C5" s="106"/>
      <c r="D5" s="106"/>
      <c r="E5" s="106"/>
      <c r="F5" s="106"/>
      <c r="G5" s="106"/>
      <c r="H5" s="106"/>
      <c r="I5" s="106"/>
      <c r="J5" s="106"/>
      <c r="K5" s="106"/>
      <c r="L5" s="106"/>
      <c r="M5" s="106"/>
      <c r="N5" s="106"/>
      <c r="O5" s="106"/>
      <c r="P5" s="106"/>
      <c r="Q5" s="106"/>
      <c r="R5" s="106"/>
      <c r="S5" s="106"/>
    </row>
    <row r="6" spans="1:26" ht="15" customHeight="1" x14ac:dyDescent="0.15">
      <c r="B6" s="3"/>
      <c r="C6" s="3"/>
      <c r="D6" s="3"/>
      <c r="E6" s="3"/>
      <c r="F6" s="3"/>
      <c r="G6" s="3"/>
      <c r="H6" s="3"/>
      <c r="I6" s="3"/>
      <c r="J6" s="3"/>
      <c r="K6" s="3"/>
      <c r="L6" s="3"/>
      <c r="M6" s="3"/>
      <c r="N6" s="3"/>
      <c r="O6" s="3"/>
      <c r="P6" s="3"/>
      <c r="Q6" s="3"/>
      <c r="R6" s="3"/>
      <c r="S6" s="3"/>
    </row>
    <row r="7" spans="1:26" ht="18" customHeight="1" x14ac:dyDescent="0.15">
      <c r="A7" s="1" t="s">
        <v>123</v>
      </c>
      <c r="C7" s="3"/>
      <c r="J7" s="37" t="s">
        <v>107</v>
      </c>
      <c r="K7" s="107" t="s">
        <v>126</v>
      </c>
      <c r="L7" s="108"/>
      <c r="M7" s="108"/>
      <c r="N7" s="108"/>
      <c r="O7" s="108"/>
      <c r="P7" s="108"/>
      <c r="Q7" s="108"/>
      <c r="R7" s="108"/>
      <c r="S7" s="109"/>
    </row>
    <row r="8" spans="1:26" ht="6" customHeight="1" x14ac:dyDescent="0.15">
      <c r="B8" s="3"/>
      <c r="C8" s="3"/>
      <c r="D8" s="3"/>
      <c r="E8" s="3"/>
      <c r="F8" s="3"/>
      <c r="G8" s="3"/>
      <c r="H8" s="3"/>
      <c r="I8" s="3"/>
      <c r="J8" s="3"/>
      <c r="K8" s="10"/>
      <c r="L8" s="3"/>
      <c r="M8" s="3"/>
      <c r="N8" s="3"/>
      <c r="O8" s="3"/>
      <c r="P8" s="3"/>
      <c r="Q8" s="3"/>
      <c r="R8" s="3"/>
      <c r="S8" s="3"/>
    </row>
    <row r="9" spans="1:26" ht="18" customHeight="1" x14ac:dyDescent="0.15">
      <c r="B9" s="110"/>
      <c r="C9" s="111"/>
      <c r="D9" s="111"/>
      <c r="E9" s="111"/>
      <c r="F9" s="111"/>
      <c r="G9" s="111"/>
      <c r="H9" s="111"/>
      <c r="I9" s="111"/>
      <c r="J9" s="111"/>
      <c r="K9" s="111"/>
      <c r="L9" s="111"/>
      <c r="M9" s="111"/>
      <c r="N9" s="111"/>
      <c r="O9" s="111"/>
      <c r="P9" s="111"/>
      <c r="Q9" s="111"/>
      <c r="R9" s="111"/>
      <c r="S9" s="112"/>
    </row>
    <row r="10" spans="1:26" ht="18" customHeight="1" x14ac:dyDescent="0.15">
      <c r="B10" s="113"/>
      <c r="C10" s="114"/>
      <c r="D10" s="114"/>
      <c r="E10" s="114"/>
      <c r="F10" s="114"/>
      <c r="G10" s="114"/>
      <c r="H10" s="114"/>
      <c r="I10" s="114"/>
      <c r="J10" s="114"/>
      <c r="K10" s="114"/>
      <c r="L10" s="114"/>
      <c r="M10" s="114"/>
      <c r="N10" s="114"/>
      <c r="O10" s="114"/>
      <c r="P10" s="114"/>
      <c r="Q10" s="114"/>
      <c r="R10" s="114"/>
      <c r="S10" s="115"/>
    </row>
    <row r="11" spans="1:26" ht="6" customHeight="1" x14ac:dyDescent="0.15">
      <c r="B11" s="3"/>
      <c r="C11" s="3"/>
      <c r="D11" s="3"/>
      <c r="E11" s="3"/>
      <c r="F11" s="3"/>
      <c r="G11" s="3"/>
      <c r="H11" s="3"/>
      <c r="I11" s="3"/>
      <c r="J11" s="3"/>
      <c r="K11" s="10"/>
      <c r="L11" s="3"/>
      <c r="M11" s="3"/>
      <c r="N11" s="3"/>
      <c r="O11" s="3"/>
      <c r="P11" s="3"/>
      <c r="Q11" s="3"/>
      <c r="R11" s="3"/>
      <c r="S11" s="3"/>
    </row>
    <row r="12" spans="1:26" ht="18" customHeight="1" x14ac:dyDescent="0.15">
      <c r="A12" s="1" t="s">
        <v>111</v>
      </c>
      <c r="B12" s="3"/>
      <c r="C12" s="3"/>
      <c r="D12" s="34"/>
      <c r="E12" s="34"/>
      <c r="F12" s="34"/>
      <c r="G12" s="34"/>
      <c r="H12" s="34"/>
      <c r="I12" s="34"/>
      <c r="J12" s="34"/>
      <c r="K12" s="38"/>
      <c r="L12" s="38"/>
      <c r="M12" s="38"/>
      <c r="N12" s="38"/>
      <c r="O12" s="38"/>
      <c r="P12" s="38"/>
      <c r="Q12" s="38"/>
      <c r="R12" s="38"/>
      <c r="S12" s="38"/>
    </row>
    <row r="13" spans="1:26" ht="18" customHeight="1" x14ac:dyDescent="0.15">
      <c r="B13" s="151" t="s">
        <v>127</v>
      </c>
      <c r="C13" s="152"/>
      <c r="D13" s="152"/>
      <c r="E13" s="152"/>
      <c r="F13" s="152"/>
      <c r="G13" s="152"/>
      <c r="H13" s="152"/>
      <c r="I13" s="152"/>
      <c r="J13" s="152"/>
      <c r="K13" s="152"/>
      <c r="L13" s="152"/>
      <c r="M13" s="152"/>
      <c r="N13" s="152"/>
      <c r="O13" s="152"/>
      <c r="P13" s="152"/>
      <c r="Q13" s="152"/>
      <c r="R13" s="152"/>
      <c r="S13" s="152"/>
      <c r="T13" s="82"/>
      <c r="U13" s="83"/>
      <c r="V13" s="83"/>
      <c r="W13" s="83"/>
      <c r="X13" s="83"/>
      <c r="Y13" s="83"/>
      <c r="Z13" s="83"/>
    </row>
    <row r="14" spans="1:26" ht="18" customHeight="1" x14ac:dyDescent="0.15">
      <c r="B14" s="153"/>
      <c r="C14" s="154"/>
      <c r="D14" s="154"/>
      <c r="E14" s="154"/>
      <c r="F14" s="154"/>
      <c r="G14" s="154"/>
      <c r="H14" s="154"/>
      <c r="I14" s="154"/>
      <c r="J14" s="154"/>
      <c r="K14" s="154"/>
      <c r="L14" s="154"/>
      <c r="M14" s="154"/>
      <c r="N14" s="154"/>
      <c r="O14" s="154"/>
      <c r="P14" s="154"/>
      <c r="Q14" s="154"/>
      <c r="R14" s="154"/>
      <c r="S14" s="154"/>
      <c r="T14" s="82"/>
      <c r="U14" s="83"/>
      <c r="V14" s="83"/>
      <c r="W14" s="83"/>
      <c r="X14" s="83"/>
      <c r="Y14" s="83"/>
      <c r="Z14" s="83"/>
    </row>
    <row r="15" spans="1:26" ht="18" customHeight="1" x14ac:dyDescent="0.15">
      <c r="B15" s="153"/>
      <c r="C15" s="154"/>
      <c r="D15" s="154"/>
      <c r="E15" s="154"/>
      <c r="F15" s="154"/>
      <c r="G15" s="154"/>
      <c r="H15" s="154"/>
      <c r="I15" s="154"/>
      <c r="J15" s="154"/>
      <c r="K15" s="154"/>
      <c r="L15" s="154"/>
      <c r="M15" s="154"/>
      <c r="N15" s="154"/>
      <c r="O15" s="154"/>
      <c r="P15" s="154"/>
      <c r="Q15" s="154"/>
      <c r="R15" s="154"/>
      <c r="S15" s="154"/>
      <c r="T15" s="82"/>
      <c r="U15" s="83"/>
      <c r="V15" s="83"/>
      <c r="W15" s="83"/>
      <c r="X15" s="83"/>
      <c r="Y15" s="83"/>
      <c r="Z15" s="83"/>
    </row>
    <row r="16" spans="1:26" ht="18" customHeight="1" x14ac:dyDescent="0.15">
      <c r="B16" s="153"/>
      <c r="C16" s="154"/>
      <c r="D16" s="154"/>
      <c r="E16" s="154"/>
      <c r="F16" s="154"/>
      <c r="G16" s="154"/>
      <c r="H16" s="154"/>
      <c r="I16" s="154"/>
      <c r="J16" s="154"/>
      <c r="K16" s="154"/>
      <c r="L16" s="154"/>
      <c r="M16" s="154"/>
      <c r="N16" s="154"/>
      <c r="O16" s="154"/>
      <c r="P16" s="154"/>
      <c r="Q16" s="154"/>
      <c r="R16" s="154"/>
      <c r="S16" s="154"/>
      <c r="T16" s="82"/>
      <c r="U16" s="83"/>
      <c r="V16" s="83"/>
      <c r="W16" s="83"/>
      <c r="X16" s="83"/>
      <c r="Y16" s="83"/>
      <c r="Z16" s="83"/>
    </row>
    <row r="17" spans="1:26" ht="18" customHeight="1" x14ac:dyDescent="0.15">
      <c r="B17" s="153"/>
      <c r="C17" s="154"/>
      <c r="D17" s="154"/>
      <c r="E17" s="154"/>
      <c r="F17" s="154"/>
      <c r="G17" s="154"/>
      <c r="H17" s="154"/>
      <c r="I17" s="154"/>
      <c r="J17" s="154"/>
      <c r="K17" s="154"/>
      <c r="L17" s="154"/>
      <c r="M17" s="154"/>
      <c r="N17" s="154"/>
      <c r="O17" s="154"/>
      <c r="P17" s="154"/>
      <c r="Q17" s="154"/>
      <c r="R17" s="154"/>
      <c r="S17" s="154"/>
      <c r="T17" s="82"/>
      <c r="U17" s="83"/>
      <c r="V17" s="83"/>
      <c r="W17" s="83"/>
      <c r="X17" s="83"/>
      <c r="Y17" s="83"/>
      <c r="Z17" s="83"/>
    </row>
    <row r="18" spans="1:26" ht="18" customHeight="1" x14ac:dyDescent="0.15">
      <c r="B18" s="155"/>
      <c r="C18" s="156"/>
      <c r="D18" s="156"/>
      <c r="E18" s="156"/>
      <c r="F18" s="156"/>
      <c r="G18" s="156"/>
      <c r="H18" s="156"/>
      <c r="I18" s="156"/>
      <c r="J18" s="156"/>
      <c r="K18" s="156"/>
      <c r="L18" s="156"/>
      <c r="M18" s="156"/>
      <c r="N18" s="156"/>
      <c r="O18" s="156"/>
      <c r="P18" s="156"/>
      <c r="Q18" s="156"/>
      <c r="R18" s="156"/>
      <c r="S18" s="156"/>
      <c r="T18" s="82"/>
      <c r="U18" s="83"/>
      <c r="V18" s="83"/>
      <c r="W18" s="83"/>
      <c r="X18" s="83"/>
      <c r="Y18" s="83"/>
      <c r="Z18" s="83"/>
    </row>
    <row r="19" spans="1:26" ht="7.5" customHeight="1" x14ac:dyDescent="0.15">
      <c r="B19" s="3"/>
      <c r="C19" s="3"/>
      <c r="D19" s="3"/>
      <c r="E19" s="3"/>
      <c r="F19" s="3"/>
      <c r="G19" s="3"/>
      <c r="H19" s="3"/>
      <c r="I19" s="3"/>
      <c r="J19" s="3"/>
      <c r="K19" s="3"/>
      <c r="L19" s="3"/>
      <c r="M19" s="3"/>
      <c r="N19" s="3"/>
      <c r="O19" s="3"/>
      <c r="P19" s="3"/>
      <c r="Q19" s="3"/>
      <c r="R19" s="3"/>
      <c r="S19" s="3"/>
    </row>
    <row r="20" spans="1:26" ht="19.899999999999999" customHeight="1" x14ac:dyDescent="0.15">
      <c r="B20" s="1" t="s">
        <v>112</v>
      </c>
      <c r="C20" s="87">
        <v>4</v>
      </c>
      <c r="D20" s="88"/>
      <c r="E20" s="39" t="s">
        <v>96</v>
      </c>
      <c r="G20" s="10"/>
      <c r="H20" s="3"/>
      <c r="I20" s="3"/>
      <c r="J20" s="34" t="s">
        <v>121</v>
      </c>
      <c r="K20" s="100" t="s">
        <v>110</v>
      </c>
      <c r="L20" s="101"/>
      <c r="M20" s="101"/>
      <c r="N20" s="101"/>
      <c r="O20" s="101"/>
      <c r="P20" s="101"/>
      <c r="Q20" s="101"/>
      <c r="R20" s="101"/>
      <c r="S20" s="102"/>
    </row>
    <row r="21" spans="1:26" ht="7.5" customHeight="1" x14ac:dyDescent="0.15">
      <c r="B21" s="3"/>
      <c r="C21" s="3"/>
      <c r="D21" s="3"/>
      <c r="E21" s="3"/>
      <c r="F21" s="3"/>
      <c r="G21" s="3"/>
      <c r="H21" s="3"/>
      <c r="I21" s="3"/>
      <c r="J21" s="3"/>
      <c r="K21" s="3"/>
      <c r="L21" s="3"/>
      <c r="M21" s="3"/>
      <c r="N21" s="3"/>
      <c r="O21" s="3"/>
      <c r="P21" s="3"/>
      <c r="Q21" s="3"/>
      <c r="R21" s="3"/>
      <c r="S21" s="3"/>
    </row>
    <row r="22" spans="1:26" ht="18" customHeight="1" x14ac:dyDescent="0.15">
      <c r="A22" s="86" t="s">
        <v>113</v>
      </c>
      <c r="B22" s="86"/>
      <c r="C22" s="86"/>
      <c r="D22" s="86"/>
      <c r="E22" s="86"/>
      <c r="F22" s="86"/>
      <c r="G22" s="86"/>
      <c r="H22" s="86"/>
      <c r="I22" s="86"/>
      <c r="J22" s="86"/>
      <c r="K22" s="86"/>
      <c r="L22" s="86"/>
      <c r="M22" s="86"/>
      <c r="N22" s="86"/>
      <c r="O22" s="86"/>
      <c r="P22" s="86"/>
      <c r="Q22" s="86"/>
      <c r="R22" s="86"/>
      <c r="S22" s="86"/>
    </row>
    <row r="23" spans="1:26" ht="18" customHeight="1" x14ac:dyDescent="0.15">
      <c r="A23" s="86"/>
      <c r="B23" s="86"/>
      <c r="C23" s="86"/>
      <c r="D23" s="86"/>
      <c r="E23" s="86"/>
      <c r="F23" s="86"/>
      <c r="G23" s="86"/>
      <c r="H23" s="86"/>
      <c r="I23" s="86"/>
      <c r="J23" s="86"/>
      <c r="K23" s="86"/>
      <c r="L23" s="86"/>
      <c r="M23" s="86"/>
      <c r="N23" s="86"/>
      <c r="O23" s="86"/>
      <c r="P23" s="86"/>
      <c r="Q23" s="86"/>
      <c r="R23" s="86"/>
      <c r="S23" s="86"/>
    </row>
    <row r="24" spans="1:26" ht="18" customHeight="1" x14ac:dyDescent="0.15">
      <c r="B24" s="87" t="s">
        <v>54</v>
      </c>
      <c r="C24" s="89"/>
      <c r="D24" s="89"/>
      <c r="E24" s="88"/>
      <c r="F24" s="60" t="s">
        <v>81</v>
      </c>
      <c r="G24" s="59" t="s">
        <v>85</v>
      </c>
      <c r="H24" s="21" t="s">
        <v>57</v>
      </c>
      <c r="I24" s="21" t="s">
        <v>60</v>
      </c>
      <c r="J24" s="87" t="s">
        <v>54</v>
      </c>
      <c r="K24" s="89"/>
      <c r="L24" s="89"/>
      <c r="M24" s="89"/>
      <c r="N24" s="89"/>
      <c r="O24" s="88"/>
      <c r="P24" s="60" t="s">
        <v>81</v>
      </c>
      <c r="Q24" s="59" t="s">
        <v>85</v>
      </c>
      <c r="R24" s="21" t="s">
        <v>57</v>
      </c>
      <c r="S24" s="21" t="s">
        <v>60</v>
      </c>
    </row>
    <row r="25" spans="1:26" ht="18" customHeight="1" x14ac:dyDescent="0.15">
      <c r="B25" s="90" t="s">
        <v>128</v>
      </c>
      <c r="C25" s="91"/>
      <c r="D25" s="91"/>
      <c r="E25" s="92"/>
      <c r="F25" s="22">
        <v>2</v>
      </c>
      <c r="G25" s="22" t="s">
        <v>129</v>
      </c>
      <c r="H25" s="22" t="s">
        <v>129</v>
      </c>
      <c r="I25" s="22" t="s">
        <v>129</v>
      </c>
      <c r="J25" s="90"/>
      <c r="K25" s="91"/>
      <c r="L25" s="91"/>
      <c r="M25" s="91"/>
      <c r="N25" s="91"/>
      <c r="O25" s="92"/>
      <c r="P25" s="22"/>
      <c r="Q25" s="22"/>
      <c r="R25" s="22"/>
      <c r="S25" s="22"/>
    </row>
    <row r="26" spans="1:26" ht="18" customHeight="1" x14ac:dyDescent="0.15">
      <c r="B26" s="93"/>
      <c r="C26" s="94"/>
      <c r="D26" s="94"/>
      <c r="E26" s="95"/>
      <c r="F26" s="23"/>
      <c r="G26" s="23"/>
      <c r="H26" s="23"/>
      <c r="I26" s="23"/>
      <c r="J26" s="93"/>
      <c r="K26" s="94"/>
      <c r="L26" s="94"/>
      <c r="M26" s="94"/>
      <c r="N26" s="94"/>
      <c r="O26" s="95"/>
      <c r="P26" s="23"/>
      <c r="Q26" s="23"/>
      <c r="R26" s="23"/>
      <c r="S26" s="23"/>
    </row>
    <row r="27" spans="1:26" ht="18" customHeight="1" x14ac:dyDescent="0.15">
      <c r="B27" s="93"/>
      <c r="C27" s="94"/>
      <c r="D27" s="94"/>
      <c r="E27" s="95"/>
      <c r="F27" s="23"/>
      <c r="G27" s="23"/>
      <c r="H27" s="23"/>
      <c r="I27" s="23"/>
      <c r="J27" s="93"/>
      <c r="K27" s="94"/>
      <c r="L27" s="94"/>
      <c r="M27" s="94"/>
      <c r="N27" s="94"/>
      <c r="O27" s="95"/>
      <c r="P27" s="23"/>
      <c r="Q27" s="23"/>
      <c r="R27" s="23"/>
      <c r="S27" s="23"/>
    </row>
    <row r="28" spans="1:26" ht="18" customHeight="1" x14ac:dyDescent="0.15">
      <c r="B28" s="93"/>
      <c r="C28" s="94"/>
      <c r="D28" s="94"/>
      <c r="E28" s="95"/>
      <c r="F28" s="23"/>
      <c r="G28" s="23"/>
      <c r="H28" s="23"/>
      <c r="I28" s="23"/>
      <c r="J28" s="93"/>
      <c r="K28" s="94"/>
      <c r="L28" s="94"/>
      <c r="M28" s="94"/>
      <c r="N28" s="94"/>
      <c r="O28" s="95"/>
      <c r="P28" s="23"/>
      <c r="Q28" s="23"/>
      <c r="R28" s="23"/>
      <c r="S28" s="23"/>
    </row>
    <row r="29" spans="1:26" ht="18" customHeight="1" x14ac:dyDescent="0.15">
      <c r="B29" s="93"/>
      <c r="C29" s="94"/>
      <c r="D29" s="94"/>
      <c r="E29" s="95"/>
      <c r="F29" s="23"/>
      <c r="G29" s="23"/>
      <c r="H29" s="23"/>
      <c r="I29" s="23"/>
      <c r="J29" s="93"/>
      <c r="K29" s="94"/>
      <c r="L29" s="94"/>
      <c r="M29" s="94"/>
      <c r="N29" s="94"/>
      <c r="O29" s="95"/>
      <c r="P29" s="23"/>
      <c r="Q29" s="23"/>
      <c r="R29" s="23"/>
      <c r="S29" s="23"/>
    </row>
    <row r="30" spans="1:26" ht="18" customHeight="1" x14ac:dyDescent="0.15">
      <c r="A30" s="3"/>
      <c r="B30" s="93"/>
      <c r="C30" s="94"/>
      <c r="D30" s="94"/>
      <c r="E30" s="95"/>
      <c r="F30" s="23"/>
      <c r="G30" s="23"/>
      <c r="H30" s="23"/>
      <c r="I30" s="23"/>
      <c r="J30" s="93"/>
      <c r="K30" s="94"/>
      <c r="L30" s="94"/>
      <c r="M30" s="94"/>
      <c r="N30" s="94"/>
      <c r="O30" s="95"/>
      <c r="P30" s="23"/>
      <c r="Q30" s="23"/>
      <c r="R30" s="23"/>
      <c r="S30" s="23"/>
    </row>
    <row r="31" spans="1:26" ht="18" customHeight="1" x14ac:dyDescent="0.15">
      <c r="A31" s="3"/>
      <c r="B31" s="96"/>
      <c r="C31" s="97"/>
      <c r="D31" s="97"/>
      <c r="E31" s="98"/>
      <c r="F31" s="24"/>
      <c r="G31" s="24"/>
      <c r="H31" s="25"/>
      <c r="I31" s="25"/>
      <c r="J31" s="96"/>
      <c r="K31" s="97"/>
      <c r="L31" s="97"/>
      <c r="M31" s="97"/>
      <c r="N31" s="97"/>
      <c r="O31" s="98"/>
      <c r="P31" s="24"/>
      <c r="Q31" s="24"/>
      <c r="R31" s="25"/>
      <c r="S31" s="25"/>
    </row>
    <row r="32" spans="1:26" ht="7.5" customHeight="1" x14ac:dyDescent="0.15">
      <c r="A32" s="3"/>
      <c r="B32" s="6"/>
      <c r="C32" s="6"/>
      <c r="D32" s="3"/>
      <c r="E32" s="3"/>
      <c r="F32" s="3"/>
      <c r="G32" s="3"/>
      <c r="H32" s="6"/>
      <c r="I32" s="6"/>
      <c r="J32" s="6"/>
      <c r="K32" s="6"/>
      <c r="L32" s="6"/>
      <c r="M32" s="6"/>
      <c r="N32" s="6"/>
      <c r="O32" s="6"/>
      <c r="P32" s="6"/>
      <c r="Q32" s="6"/>
      <c r="R32" s="6"/>
      <c r="S32" s="3"/>
    </row>
    <row r="33" spans="1:19" ht="18" customHeight="1" x14ac:dyDescent="0.15">
      <c r="A33" s="86" t="s">
        <v>114</v>
      </c>
      <c r="B33" s="86"/>
      <c r="C33" s="86"/>
      <c r="D33" s="86"/>
      <c r="E33" s="86"/>
      <c r="F33" s="86"/>
      <c r="G33" s="86"/>
      <c r="H33" s="86"/>
      <c r="I33" s="86"/>
      <c r="J33" s="86"/>
      <c r="K33" s="86"/>
      <c r="L33" s="86"/>
      <c r="M33" s="86"/>
      <c r="N33" s="86"/>
      <c r="O33" s="86"/>
      <c r="P33" s="86"/>
      <c r="Q33" s="86"/>
      <c r="R33" s="86"/>
      <c r="S33" s="86"/>
    </row>
    <row r="34" spans="1:19" ht="18" customHeight="1" x14ac:dyDescent="0.15">
      <c r="A34" s="86"/>
      <c r="B34" s="86"/>
      <c r="C34" s="86"/>
      <c r="D34" s="86"/>
      <c r="E34" s="86"/>
      <c r="F34" s="86"/>
      <c r="G34" s="86"/>
      <c r="H34" s="86"/>
      <c r="I34" s="86"/>
      <c r="J34" s="86"/>
      <c r="K34" s="86"/>
      <c r="L34" s="86"/>
      <c r="M34" s="86"/>
      <c r="N34" s="86"/>
      <c r="O34" s="86"/>
      <c r="P34" s="86"/>
      <c r="Q34" s="86"/>
      <c r="R34" s="86"/>
      <c r="S34" s="86"/>
    </row>
    <row r="35" spans="1:19" ht="18" customHeight="1" x14ac:dyDescent="0.15">
      <c r="B35" s="87" t="s">
        <v>54</v>
      </c>
      <c r="C35" s="89"/>
      <c r="D35" s="89"/>
      <c r="E35" s="88"/>
      <c r="F35" s="60" t="s">
        <v>81</v>
      </c>
      <c r="G35" s="59" t="s">
        <v>85</v>
      </c>
      <c r="H35" s="21" t="s">
        <v>72</v>
      </c>
      <c r="I35" s="21" t="s">
        <v>73</v>
      </c>
      <c r="J35" s="87" t="s">
        <v>54</v>
      </c>
      <c r="K35" s="89"/>
      <c r="L35" s="89"/>
      <c r="M35" s="89"/>
      <c r="N35" s="89"/>
      <c r="O35" s="88"/>
      <c r="P35" s="60" t="s">
        <v>81</v>
      </c>
      <c r="Q35" s="59" t="s">
        <v>85</v>
      </c>
      <c r="R35" s="21" t="s">
        <v>72</v>
      </c>
      <c r="S35" s="21" t="s">
        <v>73</v>
      </c>
    </row>
    <row r="36" spans="1:19" ht="18" customHeight="1" x14ac:dyDescent="0.15">
      <c r="B36" s="90" t="s">
        <v>128</v>
      </c>
      <c r="C36" s="91"/>
      <c r="D36" s="91"/>
      <c r="E36" s="92"/>
      <c r="F36" s="22">
        <v>2</v>
      </c>
      <c r="G36" s="22" t="s">
        <v>129</v>
      </c>
      <c r="H36" s="22" t="s">
        <v>129</v>
      </c>
      <c r="I36" s="22" t="s">
        <v>129</v>
      </c>
      <c r="J36" s="90"/>
      <c r="K36" s="91"/>
      <c r="L36" s="91"/>
      <c r="M36" s="91"/>
      <c r="N36" s="91"/>
      <c r="O36" s="92"/>
      <c r="P36" s="22"/>
      <c r="Q36" s="22"/>
      <c r="R36" s="22"/>
      <c r="S36" s="22"/>
    </row>
    <row r="37" spans="1:19" ht="18" customHeight="1" x14ac:dyDescent="0.15">
      <c r="B37" s="93" t="s">
        <v>130</v>
      </c>
      <c r="C37" s="94"/>
      <c r="D37" s="94"/>
      <c r="E37" s="95"/>
      <c r="F37" s="23">
        <v>1</v>
      </c>
      <c r="G37" s="23" t="s">
        <v>129</v>
      </c>
      <c r="H37" s="23" t="s">
        <v>129</v>
      </c>
      <c r="I37" s="23" t="s">
        <v>129</v>
      </c>
      <c r="J37" s="93"/>
      <c r="K37" s="94"/>
      <c r="L37" s="94"/>
      <c r="M37" s="94"/>
      <c r="N37" s="94"/>
      <c r="O37" s="95"/>
      <c r="P37" s="23"/>
      <c r="Q37" s="23"/>
      <c r="R37" s="23"/>
      <c r="S37" s="23"/>
    </row>
    <row r="38" spans="1:19" ht="18" customHeight="1" x14ac:dyDescent="0.15">
      <c r="B38" s="93" t="s">
        <v>131</v>
      </c>
      <c r="C38" s="94"/>
      <c r="D38" s="94"/>
      <c r="E38" s="95"/>
      <c r="F38" s="23">
        <v>1</v>
      </c>
      <c r="G38" s="23" t="s">
        <v>129</v>
      </c>
      <c r="H38" s="23" t="s">
        <v>129</v>
      </c>
      <c r="I38" s="23"/>
      <c r="J38" s="93"/>
      <c r="K38" s="94"/>
      <c r="L38" s="94"/>
      <c r="M38" s="94"/>
      <c r="N38" s="94"/>
      <c r="O38" s="95"/>
      <c r="P38" s="23"/>
      <c r="Q38" s="23"/>
      <c r="R38" s="23"/>
      <c r="S38" s="23"/>
    </row>
    <row r="39" spans="1:19" ht="18" customHeight="1" x14ac:dyDescent="0.15">
      <c r="B39" s="93"/>
      <c r="C39" s="94"/>
      <c r="D39" s="94"/>
      <c r="E39" s="95"/>
      <c r="F39" s="23"/>
      <c r="G39" s="23"/>
      <c r="H39" s="23"/>
      <c r="I39" s="23"/>
      <c r="J39" s="93"/>
      <c r="K39" s="94"/>
      <c r="L39" s="94"/>
      <c r="M39" s="94"/>
      <c r="N39" s="94"/>
      <c r="O39" s="95"/>
      <c r="P39" s="23"/>
      <c r="Q39" s="23"/>
      <c r="R39" s="23"/>
      <c r="S39" s="23"/>
    </row>
    <row r="40" spans="1:19" ht="18" customHeight="1" x14ac:dyDescent="0.15">
      <c r="B40" s="93"/>
      <c r="C40" s="94"/>
      <c r="D40" s="94"/>
      <c r="E40" s="95"/>
      <c r="F40" s="23"/>
      <c r="G40" s="23"/>
      <c r="H40" s="23"/>
      <c r="I40" s="23"/>
      <c r="J40" s="93"/>
      <c r="K40" s="94"/>
      <c r="L40" s="94"/>
      <c r="M40" s="94"/>
      <c r="N40" s="94"/>
      <c r="O40" s="95"/>
      <c r="P40" s="23"/>
      <c r="Q40" s="23"/>
      <c r="R40" s="23"/>
      <c r="S40" s="23"/>
    </row>
    <row r="41" spans="1:19" ht="18" customHeight="1" x14ac:dyDescent="0.15">
      <c r="B41" s="93"/>
      <c r="C41" s="94"/>
      <c r="D41" s="94"/>
      <c r="E41" s="95"/>
      <c r="F41" s="23"/>
      <c r="G41" s="23"/>
      <c r="H41" s="23"/>
      <c r="I41" s="23"/>
      <c r="J41" s="93"/>
      <c r="K41" s="94"/>
      <c r="L41" s="94"/>
      <c r="M41" s="94"/>
      <c r="N41" s="94"/>
      <c r="O41" s="95"/>
      <c r="P41" s="23"/>
      <c r="Q41" s="23"/>
      <c r="R41" s="23"/>
      <c r="S41" s="23"/>
    </row>
    <row r="42" spans="1:19" ht="18" customHeight="1" x14ac:dyDescent="0.15">
      <c r="B42" s="96"/>
      <c r="C42" s="97"/>
      <c r="D42" s="97"/>
      <c r="E42" s="98"/>
      <c r="F42" s="24"/>
      <c r="G42" s="24"/>
      <c r="H42" s="25"/>
      <c r="I42" s="25"/>
      <c r="J42" s="96"/>
      <c r="K42" s="97"/>
      <c r="L42" s="97"/>
      <c r="M42" s="97"/>
      <c r="N42" s="97"/>
      <c r="O42" s="98"/>
      <c r="P42" s="24"/>
      <c r="Q42" s="24"/>
      <c r="R42" s="25"/>
      <c r="S42" s="25"/>
    </row>
    <row r="43" spans="1:19" ht="7.5" customHeight="1" x14ac:dyDescent="0.15">
      <c r="A43" s="3"/>
      <c r="B43" s="6"/>
      <c r="C43" s="6"/>
      <c r="D43" s="3"/>
      <c r="E43" s="3"/>
      <c r="F43" s="3"/>
      <c r="G43" s="3"/>
      <c r="H43" s="6"/>
      <c r="I43" s="6"/>
      <c r="J43" s="6"/>
      <c r="K43" s="6"/>
      <c r="L43" s="6"/>
      <c r="M43" s="6"/>
      <c r="N43" s="6"/>
      <c r="O43" s="6"/>
      <c r="P43" s="6"/>
      <c r="Q43" s="6"/>
      <c r="R43" s="6"/>
      <c r="S43" s="3"/>
    </row>
    <row r="44" spans="1:19" ht="18" customHeight="1" x14ac:dyDescent="0.15">
      <c r="A44" s="86" t="s">
        <v>115</v>
      </c>
      <c r="B44" s="86"/>
      <c r="C44" s="86"/>
      <c r="D44" s="86"/>
      <c r="E44" s="86"/>
      <c r="F44" s="86"/>
      <c r="G44" s="86"/>
      <c r="H44" s="86"/>
      <c r="I44" s="86"/>
      <c r="J44" s="86"/>
      <c r="K44" s="86"/>
      <c r="L44" s="86"/>
      <c r="M44" s="86"/>
      <c r="N44" s="86"/>
      <c r="O44" s="86"/>
      <c r="P44" s="86"/>
      <c r="Q44" s="86"/>
      <c r="R44" s="86"/>
      <c r="S44" s="86"/>
    </row>
    <row r="45" spans="1:19" ht="18" customHeight="1" x14ac:dyDescent="0.15">
      <c r="A45" s="86"/>
      <c r="B45" s="86"/>
      <c r="C45" s="86"/>
      <c r="D45" s="86"/>
      <c r="E45" s="86"/>
      <c r="F45" s="86"/>
      <c r="G45" s="86"/>
      <c r="H45" s="86"/>
      <c r="I45" s="86"/>
      <c r="J45" s="86"/>
      <c r="K45" s="86"/>
      <c r="L45" s="86"/>
      <c r="M45" s="86"/>
      <c r="N45" s="86"/>
      <c r="O45" s="86"/>
      <c r="P45" s="86"/>
      <c r="Q45" s="86"/>
      <c r="R45" s="86"/>
      <c r="S45" s="86"/>
    </row>
    <row r="46" spans="1:19" ht="18" customHeight="1" x14ac:dyDescent="0.15">
      <c r="B46" s="87" t="s">
        <v>54</v>
      </c>
      <c r="C46" s="89"/>
      <c r="D46" s="89"/>
      <c r="E46" s="88"/>
      <c r="F46" s="60" t="s">
        <v>81</v>
      </c>
      <c r="G46" s="59" t="s">
        <v>85</v>
      </c>
      <c r="H46" s="21" t="s">
        <v>74</v>
      </c>
      <c r="I46" s="21" t="s">
        <v>75</v>
      </c>
      <c r="J46" s="87" t="s">
        <v>54</v>
      </c>
      <c r="K46" s="89"/>
      <c r="L46" s="89"/>
      <c r="M46" s="89"/>
      <c r="N46" s="89"/>
      <c r="O46" s="88"/>
      <c r="P46" s="60" t="s">
        <v>81</v>
      </c>
      <c r="Q46" s="59" t="s">
        <v>85</v>
      </c>
      <c r="R46" s="21" t="s">
        <v>74</v>
      </c>
      <c r="S46" s="21" t="s">
        <v>75</v>
      </c>
    </row>
    <row r="47" spans="1:19" ht="18" customHeight="1" x14ac:dyDescent="0.15">
      <c r="A47" s="3"/>
      <c r="B47" s="90" t="s">
        <v>128</v>
      </c>
      <c r="C47" s="91"/>
      <c r="D47" s="91"/>
      <c r="E47" s="92"/>
      <c r="F47" s="22">
        <v>2</v>
      </c>
      <c r="G47" s="22" t="s">
        <v>129</v>
      </c>
      <c r="H47" s="22" t="s">
        <v>129</v>
      </c>
      <c r="I47" s="22" t="s">
        <v>129</v>
      </c>
      <c r="J47" s="90"/>
      <c r="K47" s="91"/>
      <c r="L47" s="91"/>
      <c r="M47" s="91"/>
      <c r="N47" s="91"/>
      <c r="O47" s="92"/>
      <c r="P47" s="22"/>
      <c r="Q47" s="22"/>
      <c r="R47" s="22"/>
      <c r="S47" s="22"/>
    </row>
    <row r="48" spans="1:19" ht="18" customHeight="1" x14ac:dyDescent="0.15">
      <c r="A48" s="3"/>
      <c r="B48" s="93" t="s">
        <v>130</v>
      </c>
      <c r="C48" s="94"/>
      <c r="D48" s="94"/>
      <c r="E48" s="95"/>
      <c r="F48" s="23">
        <v>1</v>
      </c>
      <c r="G48" s="23" t="s">
        <v>129</v>
      </c>
      <c r="H48" s="23"/>
      <c r="I48" s="23" t="s">
        <v>129</v>
      </c>
      <c r="J48" s="93"/>
      <c r="K48" s="94"/>
      <c r="L48" s="94"/>
      <c r="M48" s="94"/>
      <c r="N48" s="94"/>
      <c r="O48" s="95"/>
      <c r="P48" s="23"/>
      <c r="Q48" s="23"/>
      <c r="R48" s="23"/>
      <c r="S48" s="23"/>
    </row>
    <row r="49" spans="1:19" ht="18" customHeight="1" x14ac:dyDescent="0.15">
      <c r="A49" s="3"/>
      <c r="B49" s="93"/>
      <c r="C49" s="94"/>
      <c r="D49" s="94"/>
      <c r="E49" s="95"/>
      <c r="F49" s="23"/>
      <c r="G49" s="23"/>
      <c r="H49" s="23"/>
      <c r="I49" s="23"/>
      <c r="J49" s="93"/>
      <c r="K49" s="94"/>
      <c r="L49" s="94"/>
      <c r="M49" s="94"/>
      <c r="N49" s="94"/>
      <c r="O49" s="95"/>
      <c r="P49" s="23"/>
      <c r="Q49" s="23"/>
      <c r="R49" s="23"/>
      <c r="S49" s="23"/>
    </row>
    <row r="50" spans="1:19" ht="18" customHeight="1" x14ac:dyDescent="0.15">
      <c r="A50" s="3"/>
      <c r="B50" s="93"/>
      <c r="C50" s="94"/>
      <c r="D50" s="94"/>
      <c r="E50" s="95"/>
      <c r="F50" s="23"/>
      <c r="G50" s="23"/>
      <c r="H50" s="23"/>
      <c r="I50" s="23"/>
      <c r="J50" s="93"/>
      <c r="K50" s="94"/>
      <c r="L50" s="94"/>
      <c r="M50" s="94"/>
      <c r="N50" s="94"/>
      <c r="O50" s="95"/>
      <c r="P50" s="23"/>
      <c r="Q50" s="23"/>
      <c r="R50" s="23"/>
      <c r="S50" s="23"/>
    </row>
    <row r="51" spans="1:19" ht="18" customHeight="1" x14ac:dyDescent="0.15">
      <c r="A51" s="3"/>
      <c r="B51" s="93"/>
      <c r="C51" s="94"/>
      <c r="D51" s="94"/>
      <c r="E51" s="95"/>
      <c r="F51" s="23"/>
      <c r="G51" s="23"/>
      <c r="H51" s="23"/>
      <c r="I51" s="23"/>
      <c r="J51" s="93"/>
      <c r="K51" s="94"/>
      <c r="L51" s="94"/>
      <c r="M51" s="94"/>
      <c r="N51" s="94"/>
      <c r="O51" s="95"/>
      <c r="P51" s="23"/>
      <c r="Q51" s="23"/>
      <c r="R51" s="23"/>
      <c r="S51" s="23"/>
    </row>
    <row r="52" spans="1:19" ht="18" customHeight="1" x14ac:dyDescent="0.15">
      <c r="A52" s="3"/>
      <c r="B52" s="93"/>
      <c r="C52" s="94"/>
      <c r="D52" s="94"/>
      <c r="E52" s="95"/>
      <c r="F52" s="23"/>
      <c r="G52" s="23"/>
      <c r="H52" s="23"/>
      <c r="I52" s="23"/>
      <c r="J52" s="93"/>
      <c r="K52" s="94"/>
      <c r="L52" s="94"/>
      <c r="M52" s="94"/>
      <c r="N52" s="94"/>
      <c r="O52" s="95"/>
      <c r="P52" s="23"/>
      <c r="Q52" s="23"/>
      <c r="R52" s="23"/>
      <c r="S52" s="23"/>
    </row>
    <row r="53" spans="1:19" ht="18" customHeight="1" x14ac:dyDescent="0.15">
      <c r="A53" s="3"/>
      <c r="B53" s="96"/>
      <c r="C53" s="97"/>
      <c r="D53" s="97"/>
      <c r="E53" s="98"/>
      <c r="F53" s="24"/>
      <c r="G53" s="24"/>
      <c r="H53" s="25"/>
      <c r="I53" s="25"/>
      <c r="J53" s="96"/>
      <c r="K53" s="97"/>
      <c r="L53" s="97"/>
      <c r="M53" s="97"/>
      <c r="N53" s="97"/>
      <c r="O53" s="98"/>
      <c r="P53" s="24"/>
      <c r="Q53" s="24"/>
      <c r="R53" s="25"/>
      <c r="S53" s="25"/>
    </row>
    <row r="54" spans="1:19" ht="7.5" customHeight="1" x14ac:dyDescent="0.15">
      <c r="B54" s="15"/>
      <c r="C54" s="15"/>
      <c r="D54" s="15"/>
      <c r="E54" s="15"/>
      <c r="F54" s="15"/>
      <c r="G54" s="15"/>
      <c r="H54" s="15"/>
      <c r="I54" s="15"/>
      <c r="J54" s="15"/>
      <c r="K54" s="15"/>
      <c r="L54" s="15"/>
      <c r="M54" s="15"/>
      <c r="N54" s="15"/>
      <c r="O54" s="15"/>
      <c r="P54" s="15"/>
      <c r="Q54" s="15"/>
      <c r="R54" s="15"/>
    </row>
    <row r="55" spans="1:19" ht="18" customHeight="1" x14ac:dyDescent="0.15">
      <c r="A55" s="86" t="s">
        <v>116</v>
      </c>
      <c r="B55" s="86"/>
      <c r="C55" s="86"/>
      <c r="D55" s="86"/>
      <c r="E55" s="86"/>
      <c r="F55" s="86"/>
      <c r="G55" s="86"/>
      <c r="H55" s="86"/>
      <c r="I55" s="86"/>
      <c r="J55" s="86"/>
      <c r="K55" s="86"/>
      <c r="L55" s="86"/>
      <c r="M55" s="86"/>
      <c r="N55" s="86"/>
      <c r="O55" s="86"/>
      <c r="P55" s="86"/>
      <c r="Q55" s="86"/>
      <c r="R55" s="86"/>
      <c r="S55" s="86"/>
    </row>
    <row r="56" spans="1:19" ht="18" customHeight="1" x14ac:dyDescent="0.15">
      <c r="A56" s="86"/>
      <c r="B56" s="86"/>
      <c r="C56" s="86"/>
      <c r="D56" s="86"/>
      <c r="E56" s="86"/>
      <c r="F56" s="86"/>
      <c r="G56" s="86"/>
      <c r="H56" s="86"/>
      <c r="I56" s="86"/>
      <c r="J56" s="86"/>
      <c r="K56" s="86"/>
      <c r="L56" s="86"/>
      <c r="M56" s="86"/>
      <c r="N56" s="86"/>
      <c r="O56" s="86"/>
      <c r="P56" s="86"/>
      <c r="Q56" s="86"/>
      <c r="R56" s="86"/>
      <c r="S56" s="86"/>
    </row>
    <row r="57" spans="1:19" ht="18" customHeight="1" x14ac:dyDescent="0.15">
      <c r="B57" s="87" t="s">
        <v>54</v>
      </c>
      <c r="C57" s="89"/>
      <c r="D57" s="89"/>
      <c r="E57" s="88"/>
      <c r="F57" s="60" t="s">
        <v>81</v>
      </c>
      <c r="G57" s="59" t="s">
        <v>85</v>
      </c>
      <c r="H57" s="21" t="s">
        <v>59</v>
      </c>
      <c r="I57" s="21" t="s">
        <v>61</v>
      </c>
      <c r="J57" s="87" t="s">
        <v>54</v>
      </c>
      <c r="K57" s="89"/>
      <c r="L57" s="89"/>
      <c r="M57" s="89"/>
      <c r="N57" s="89"/>
      <c r="O57" s="88"/>
      <c r="P57" s="60" t="s">
        <v>81</v>
      </c>
      <c r="Q57" s="59" t="s">
        <v>85</v>
      </c>
      <c r="R57" s="21" t="s">
        <v>59</v>
      </c>
      <c r="S57" s="21" t="s">
        <v>61</v>
      </c>
    </row>
    <row r="58" spans="1:19" ht="18" customHeight="1" x14ac:dyDescent="0.15">
      <c r="A58" s="3"/>
      <c r="B58" s="90" t="s">
        <v>128</v>
      </c>
      <c r="C58" s="91"/>
      <c r="D58" s="91"/>
      <c r="E58" s="92"/>
      <c r="F58" s="22">
        <v>2</v>
      </c>
      <c r="G58" s="22" t="s">
        <v>129</v>
      </c>
      <c r="H58" s="22" t="s">
        <v>129</v>
      </c>
      <c r="I58" s="22" t="s">
        <v>129</v>
      </c>
      <c r="J58" s="90"/>
      <c r="K58" s="91"/>
      <c r="L58" s="91"/>
      <c r="M58" s="91"/>
      <c r="N58" s="91"/>
      <c r="O58" s="92"/>
      <c r="P58" s="22"/>
      <c r="Q58" s="22"/>
      <c r="R58" s="22"/>
      <c r="S58" s="22"/>
    </row>
    <row r="59" spans="1:19" ht="18" customHeight="1" x14ac:dyDescent="0.15">
      <c r="A59" s="3"/>
      <c r="B59" s="93" t="s">
        <v>130</v>
      </c>
      <c r="C59" s="94"/>
      <c r="D59" s="94"/>
      <c r="E59" s="95"/>
      <c r="F59" s="23">
        <v>1</v>
      </c>
      <c r="G59" s="23" t="s">
        <v>129</v>
      </c>
      <c r="H59" s="23" t="s">
        <v>129</v>
      </c>
      <c r="I59" s="23"/>
      <c r="J59" s="93"/>
      <c r="K59" s="94"/>
      <c r="L59" s="94"/>
      <c r="M59" s="94"/>
      <c r="N59" s="94"/>
      <c r="O59" s="95"/>
      <c r="P59" s="23"/>
      <c r="Q59" s="23"/>
      <c r="R59" s="23"/>
      <c r="S59" s="23"/>
    </row>
    <row r="60" spans="1:19" ht="18" customHeight="1" x14ac:dyDescent="0.15">
      <c r="A60" s="3"/>
      <c r="B60" s="93" t="s">
        <v>131</v>
      </c>
      <c r="C60" s="94"/>
      <c r="D60" s="94"/>
      <c r="E60" s="95"/>
      <c r="F60" s="23">
        <v>1</v>
      </c>
      <c r="G60" s="23" t="s">
        <v>129</v>
      </c>
      <c r="H60" s="23" t="s">
        <v>129</v>
      </c>
      <c r="I60" s="23"/>
      <c r="J60" s="93"/>
      <c r="K60" s="94"/>
      <c r="L60" s="94"/>
      <c r="M60" s="94"/>
      <c r="N60" s="94"/>
      <c r="O60" s="95"/>
      <c r="P60" s="23"/>
      <c r="Q60" s="23"/>
      <c r="R60" s="23"/>
      <c r="S60" s="23"/>
    </row>
    <row r="61" spans="1:19" ht="18" customHeight="1" x14ac:dyDescent="0.15">
      <c r="A61" s="3"/>
      <c r="B61" s="93"/>
      <c r="C61" s="94"/>
      <c r="D61" s="94"/>
      <c r="E61" s="95"/>
      <c r="F61" s="23"/>
      <c r="G61" s="23"/>
      <c r="H61" s="23"/>
      <c r="I61" s="23"/>
      <c r="J61" s="93"/>
      <c r="K61" s="94"/>
      <c r="L61" s="94"/>
      <c r="M61" s="94"/>
      <c r="N61" s="94"/>
      <c r="O61" s="95"/>
      <c r="P61" s="23"/>
      <c r="Q61" s="23"/>
      <c r="R61" s="23"/>
      <c r="S61" s="23"/>
    </row>
    <row r="62" spans="1:19" ht="18" customHeight="1" x14ac:dyDescent="0.15">
      <c r="A62" s="3"/>
      <c r="B62" s="93"/>
      <c r="C62" s="94"/>
      <c r="D62" s="94"/>
      <c r="E62" s="95"/>
      <c r="F62" s="23"/>
      <c r="G62" s="23"/>
      <c r="H62" s="23"/>
      <c r="I62" s="23"/>
      <c r="J62" s="93"/>
      <c r="K62" s="94"/>
      <c r="L62" s="94"/>
      <c r="M62" s="94"/>
      <c r="N62" s="94"/>
      <c r="O62" s="95"/>
      <c r="P62" s="23"/>
      <c r="Q62" s="23"/>
      <c r="R62" s="23"/>
      <c r="S62" s="23"/>
    </row>
    <row r="63" spans="1:19" ht="18" customHeight="1" x14ac:dyDescent="0.15">
      <c r="A63" s="3"/>
      <c r="B63" s="93"/>
      <c r="C63" s="94"/>
      <c r="D63" s="94"/>
      <c r="E63" s="95"/>
      <c r="F63" s="23"/>
      <c r="G63" s="23"/>
      <c r="H63" s="23"/>
      <c r="I63" s="23"/>
      <c r="J63" s="93"/>
      <c r="K63" s="94"/>
      <c r="L63" s="94"/>
      <c r="M63" s="94"/>
      <c r="N63" s="94"/>
      <c r="O63" s="95"/>
      <c r="P63" s="23"/>
      <c r="Q63" s="23"/>
      <c r="R63" s="23"/>
      <c r="S63" s="23"/>
    </row>
    <row r="64" spans="1:19" ht="18" customHeight="1" x14ac:dyDescent="0.15">
      <c r="A64" s="3"/>
      <c r="B64" s="96"/>
      <c r="C64" s="97"/>
      <c r="D64" s="97"/>
      <c r="E64" s="98"/>
      <c r="F64" s="24"/>
      <c r="G64" s="24"/>
      <c r="H64" s="25"/>
      <c r="I64" s="25"/>
      <c r="J64" s="96"/>
      <c r="K64" s="97"/>
      <c r="L64" s="97"/>
      <c r="M64" s="97"/>
      <c r="N64" s="97"/>
      <c r="O64" s="98"/>
      <c r="P64" s="24"/>
      <c r="Q64" s="24"/>
      <c r="R64" s="25"/>
      <c r="S64" s="25"/>
    </row>
    <row r="65" spans="1:19" ht="7.5" customHeight="1" x14ac:dyDescent="0.15">
      <c r="B65" s="15"/>
      <c r="C65" s="15"/>
      <c r="D65" s="15"/>
      <c r="E65" s="15"/>
      <c r="F65" s="15"/>
      <c r="G65" s="15"/>
      <c r="H65" s="15"/>
      <c r="I65" s="15"/>
      <c r="J65" s="15"/>
      <c r="K65" s="15"/>
      <c r="L65" s="15"/>
      <c r="M65" s="15"/>
      <c r="N65" s="15"/>
      <c r="O65" s="15"/>
      <c r="P65" s="15"/>
      <c r="Q65" s="15"/>
      <c r="R65" s="15"/>
    </row>
    <row r="66" spans="1:19" ht="18" customHeight="1" x14ac:dyDescent="0.15">
      <c r="A66" s="86" t="s">
        <v>117</v>
      </c>
      <c r="B66" s="86"/>
      <c r="C66" s="86"/>
      <c r="D66" s="86"/>
      <c r="E66" s="86"/>
      <c r="F66" s="86"/>
      <c r="G66" s="86"/>
      <c r="H66" s="86"/>
      <c r="I66" s="86"/>
      <c r="J66" s="86"/>
      <c r="K66" s="86"/>
      <c r="L66" s="86"/>
      <c r="M66" s="86"/>
      <c r="N66" s="86"/>
      <c r="O66" s="86"/>
      <c r="P66" s="86"/>
      <c r="Q66" s="86"/>
      <c r="R66" s="86"/>
      <c r="S66" s="86"/>
    </row>
    <row r="67" spans="1:19" ht="18" customHeight="1" x14ac:dyDescent="0.15">
      <c r="A67" s="86"/>
      <c r="B67" s="86"/>
      <c r="C67" s="86"/>
      <c r="D67" s="86"/>
      <c r="E67" s="86"/>
      <c r="F67" s="86"/>
      <c r="G67" s="86"/>
      <c r="H67" s="86"/>
      <c r="I67" s="86"/>
      <c r="J67" s="86"/>
      <c r="K67" s="86"/>
      <c r="L67" s="86"/>
      <c r="M67" s="86"/>
      <c r="N67" s="86"/>
      <c r="O67" s="86"/>
      <c r="P67" s="86"/>
      <c r="Q67" s="86"/>
      <c r="R67" s="86"/>
      <c r="S67" s="86"/>
    </row>
    <row r="68" spans="1:19" ht="18" customHeight="1" x14ac:dyDescent="0.15">
      <c r="B68" s="87" t="s">
        <v>54</v>
      </c>
      <c r="C68" s="89"/>
      <c r="D68" s="89"/>
      <c r="E68" s="60" t="s">
        <v>81</v>
      </c>
      <c r="F68" s="59" t="s">
        <v>85</v>
      </c>
      <c r="G68" s="21" t="s">
        <v>102</v>
      </c>
      <c r="H68" s="21" t="s">
        <v>76</v>
      </c>
      <c r="I68" s="21" t="s">
        <v>77</v>
      </c>
      <c r="J68" s="87" t="s">
        <v>54</v>
      </c>
      <c r="K68" s="89"/>
      <c r="L68" s="89"/>
      <c r="M68" s="89"/>
      <c r="N68" s="88"/>
      <c r="O68" s="60" t="s">
        <v>81</v>
      </c>
      <c r="P68" s="59" t="s">
        <v>85</v>
      </c>
      <c r="Q68" s="21" t="s">
        <v>102</v>
      </c>
      <c r="R68" s="21" t="s">
        <v>76</v>
      </c>
      <c r="S68" s="21" t="s">
        <v>77</v>
      </c>
    </row>
    <row r="69" spans="1:19" ht="18" customHeight="1" x14ac:dyDescent="0.15">
      <c r="A69" s="3"/>
      <c r="B69" s="90" t="s">
        <v>128</v>
      </c>
      <c r="C69" s="91"/>
      <c r="D69" s="92"/>
      <c r="E69" s="22">
        <v>2</v>
      </c>
      <c r="F69" s="22" t="s">
        <v>129</v>
      </c>
      <c r="G69" s="22" t="s">
        <v>129</v>
      </c>
      <c r="H69" s="22" t="s">
        <v>129</v>
      </c>
      <c r="I69" s="22" t="s">
        <v>129</v>
      </c>
      <c r="J69" s="90"/>
      <c r="K69" s="91"/>
      <c r="L69" s="91"/>
      <c r="M69" s="91"/>
      <c r="N69" s="92"/>
      <c r="O69" s="22"/>
      <c r="P69" s="22"/>
      <c r="Q69" s="22"/>
      <c r="R69" s="22"/>
      <c r="S69" s="22"/>
    </row>
    <row r="70" spans="1:19" ht="18" customHeight="1" x14ac:dyDescent="0.15">
      <c r="A70" s="3"/>
      <c r="B70" s="93" t="s">
        <v>130</v>
      </c>
      <c r="C70" s="94"/>
      <c r="D70" s="95"/>
      <c r="E70" s="23">
        <v>1</v>
      </c>
      <c r="F70" s="23" t="s">
        <v>129</v>
      </c>
      <c r="G70" s="23" t="s">
        <v>129</v>
      </c>
      <c r="H70" s="23" t="s">
        <v>129</v>
      </c>
      <c r="I70" s="23"/>
      <c r="J70" s="93"/>
      <c r="K70" s="94"/>
      <c r="L70" s="94"/>
      <c r="M70" s="94"/>
      <c r="N70" s="95"/>
      <c r="O70" s="23"/>
      <c r="P70" s="23"/>
      <c r="Q70" s="23"/>
      <c r="R70" s="23"/>
      <c r="S70" s="23"/>
    </row>
    <row r="71" spans="1:19" ht="18" customHeight="1" x14ac:dyDescent="0.15">
      <c r="A71" s="3"/>
      <c r="B71" s="93" t="s">
        <v>131</v>
      </c>
      <c r="C71" s="94"/>
      <c r="D71" s="95"/>
      <c r="E71" s="23">
        <v>1</v>
      </c>
      <c r="F71" s="23" t="s">
        <v>129</v>
      </c>
      <c r="G71" s="23" t="s">
        <v>129</v>
      </c>
      <c r="H71" s="23" t="s">
        <v>129</v>
      </c>
      <c r="I71" s="23" t="s">
        <v>129</v>
      </c>
      <c r="J71" s="93"/>
      <c r="K71" s="94"/>
      <c r="L71" s="94"/>
      <c r="M71" s="94"/>
      <c r="N71" s="95"/>
      <c r="O71" s="23"/>
      <c r="P71" s="23"/>
      <c r="Q71" s="23"/>
      <c r="R71" s="23"/>
      <c r="S71" s="23"/>
    </row>
    <row r="72" spans="1:19" ht="18" customHeight="1" x14ac:dyDescent="0.15">
      <c r="A72" s="3"/>
      <c r="B72" s="93"/>
      <c r="C72" s="94"/>
      <c r="D72" s="94"/>
      <c r="E72" s="23"/>
      <c r="F72" s="23"/>
      <c r="G72" s="23"/>
      <c r="H72" s="23"/>
      <c r="I72" s="23"/>
      <c r="J72" s="93"/>
      <c r="K72" s="94"/>
      <c r="L72" s="94"/>
      <c r="M72" s="94"/>
      <c r="N72" s="95"/>
      <c r="O72" s="23"/>
      <c r="P72" s="23"/>
      <c r="Q72" s="23"/>
      <c r="R72" s="23"/>
      <c r="S72" s="23"/>
    </row>
    <row r="73" spans="1:19" ht="18" customHeight="1" x14ac:dyDescent="0.15">
      <c r="A73" s="3"/>
      <c r="B73" s="93"/>
      <c r="C73" s="94"/>
      <c r="D73" s="94"/>
      <c r="E73" s="23"/>
      <c r="F73" s="23"/>
      <c r="G73" s="23"/>
      <c r="H73" s="23"/>
      <c r="I73" s="23"/>
      <c r="J73" s="93"/>
      <c r="K73" s="94"/>
      <c r="L73" s="94"/>
      <c r="M73" s="94"/>
      <c r="N73" s="95"/>
      <c r="O73" s="23"/>
      <c r="P73" s="23"/>
      <c r="Q73" s="23"/>
      <c r="R73" s="23"/>
      <c r="S73" s="23"/>
    </row>
    <row r="74" spans="1:19" ht="18" customHeight="1" x14ac:dyDescent="0.15">
      <c r="A74" s="3"/>
      <c r="B74" s="93"/>
      <c r="C74" s="94"/>
      <c r="D74" s="94"/>
      <c r="E74" s="23"/>
      <c r="F74" s="23"/>
      <c r="G74" s="23"/>
      <c r="H74" s="23"/>
      <c r="I74" s="23"/>
      <c r="J74" s="93"/>
      <c r="K74" s="94"/>
      <c r="L74" s="94"/>
      <c r="M74" s="94"/>
      <c r="N74" s="95"/>
      <c r="O74" s="23"/>
      <c r="P74" s="23"/>
      <c r="Q74" s="23"/>
      <c r="R74" s="23"/>
      <c r="S74" s="23"/>
    </row>
    <row r="75" spans="1:19" ht="18" customHeight="1" x14ac:dyDescent="0.15">
      <c r="A75" s="3"/>
      <c r="B75" s="96"/>
      <c r="C75" s="97"/>
      <c r="D75" s="97"/>
      <c r="E75" s="24"/>
      <c r="F75" s="24"/>
      <c r="G75" s="25"/>
      <c r="H75" s="25"/>
      <c r="I75" s="25"/>
      <c r="J75" s="96"/>
      <c r="K75" s="97"/>
      <c r="L75" s="97"/>
      <c r="M75" s="97"/>
      <c r="N75" s="98"/>
      <c r="O75" s="24"/>
      <c r="P75" s="24"/>
      <c r="Q75" s="25"/>
      <c r="R75" s="25"/>
      <c r="S75" s="25"/>
    </row>
    <row r="76" spans="1:19" ht="7.5" customHeight="1" x14ac:dyDescent="0.15">
      <c r="B76" s="15"/>
      <c r="C76" s="15"/>
      <c r="D76" s="15"/>
      <c r="E76" s="15"/>
      <c r="F76" s="15"/>
      <c r="G76" s="15"/>
      <c r="H76" s="15"/>
      <c r="I76" s="15"/>
      <c r="J76" s="15"/>
      <c r="K76" s="15"/>
      <c r="L76" s="15"/>
      <c r="M76" s="15"/>
      <c r="N76" s="15"/>
      <c r="O76" s="15"/>
      <c r="P76" s="15"/>
      <c r="Q76" s="15"/>
      <c r="R76" s="15"/>
    </row>
    <row r="77" spans="1:19" ht="18" customHeight="1" x14ac:dyDescent="0.15">
      <c r="A77" s="1" t="s">
        <v>118</v>
      </c>
      <c r="H77" s="3"/>
      <c r="I77" s="3"/>
      <c r="J77" s="3"/>
      <c r="K77" s="3"/>
      <c r="L77" s="3"/>
      <c r="M77" s="3"/>
      <c r="N77" s="3"/>
      <c r="O77" s="3"/>
      <c r="P77" s="3"/>
      <c r="Q77" s="3"/>
      <c r="R77" s="3"/>
      <c r="S77" s="3"/>
    </row>
    <row r="78" spans="1:19" ht="18" customHeight="1" x14ac:dyDescent="0.15">
      <c r="B78" s="87" t="s">
        <v>54</v>
      </c>
      <c r="C78" s="89"/>
      <c r="D78" s="89"/>
      <c r="E78" s="88"/>
      <c r="F78" s="87" t="s">
        <v>83</v>
      </c>
      <c r="G78" s="89"/>
      <c r="H78" s="89"/>
      <c r="I78" s="88"/>
      <c r="J78" s="138" t="s">
        <v>54</v>
      </c>
      <c r="K78" s="139"/>
      <c r="L78" s="139"/>
      <c r="M78" s="139"/>
      <c r="N78" s="139"/>
      <c r="O78" s="140"/>
      <c r="P78" s="87" t="s">
        <v>83</v>
      </c>
      <c r="Q78" s="89"/>
      <c r="R78" s="89"/>
      <c r="S78" s="88"/>
    </row>
    <row r="79" spans="1:19" ht="18" customHeight="1" x14ac:dyDescent="0.15">
      <c r="A79" s="3"/>
      <c r="B79" s="90"/>
      <c r="C79" s="91"/>
      <c r="D79" s="91"/>
      <c r="E79" s="92"/>
      <c r="F79" s="148"/>
      <c r="G79" s="149"/>
      <c r="H79" s="149"/>
      <c r="I79" s="150"/>
      <c r="J79" s="90"/>
      <c r="K79" s="91"/>
      <c r="L79" s="91"/>
      <c r="M79" s="91"/>
      <c r="N79" s="91"/>
      <c r="O79" s="92"/>
      <c r="P79" s="148"/>
      <c r="Q79" s="149"/>
      <c r="R79" s="149"/>
      <c r="S79" s="150"/>
    </row>
    <row r="80" spans="1:19" ht="18" customHeight="1" x14ac:dyDescent="0.15">
      <c r="A80" s="3"/>
      <c r="B80" s="93"/>
      <c r="C80" s="94"/>
      <c r="D80" s="94"/>
      <c r="E80" s="95"/>
      <c r="F80" s="122"/>
      <c r="G80" s="123"/>
      <c r="H80" s="123"/>
      <c r="I80" s="124"/>
      <c r="J80" s="93"/>
      <c r="K80" s="94"/>
      <c r="L80" s="94"/>
      <c r="M80" s="94"/>
      <c r="N80" s="94"/>
      <c r="O80" s="95"/>
      <c r="P80" s="122"/>
      <c r="Q80" s="123"/>
      <c r="R80" s="123"/>
      <c r="S80" s="124"/>
    </row>
    <row r="81" spans="1:19" ht="18" customHeight="1" x14ac:dyDescent="0.15">
      <c r="A81" s="3"/>
      <c r="B81" s="93"/>
      <c r="C81" s="94"/>
      <c r="D81" s="94"/>
      <c r="E81" s="95"/>
      <c r="F81" s="122"/>
      <c r="G81" s="123"/>
      <c r="H81" s="123"/>
      <c r="I81" s="124"/>
      <c r="J81" s="93"/>
      <c r="K81" s="94"/>
      <c r="L81" s="94"/>
      <c r="M81" s="94"/>
      <c r="N81" s="94"/>
      <c r="O81" s="95"/>
      <c r="P81" s="122"/>
      <c r="Q81" s="123"/>
      <c r="R81" s="123"/>
      <c r="S81" s="124"/>
    </row>
    <row r="82" spans="1:19" ht="18" customHeight="1" x14ac:dyDescent="0.15">
      <c r="A82" s="3"/>
      <c r="B82" s="93"/>
      <c r="C82" s="94"/>
      <c r="D82" s="94"/>
      <c r="E82" s="95"/>
      <c r="F82" s="122"/>
      <c r="G82" s="123"/>
      <c r="H82" s="123"/>
      <c r="I82" s="124"/>
      <c r="J82" s="93"/>
      <c r="K82" s="94"/>
      <c r="L82" s="94"/>
      <c r="M82" s="94"/>
      <c r="N82" s="94"/>
      <c r="O82" s="95"/>
      <c r="P82" s="122"/>
      <c r="Q82" s="123"/>
      <c r="R82" s="123"/>
      <c r="S82" s="124"/>
    </row>
    <row r="83" spans="1:19" ht="18" customHeight="1" x14ac:dyDescent="0.15">
      <c r="A83" s="3"/>
      <c r="B83" s="93"/>
      <c r="C83" s="94"/>
      <c r="D83" s="94"/>
      <c r="E83" s="95"/>
      <c r="F83" s="122"/>
      <c r="G83" s="123"/>
      <c r="H83" s="123"/>
      <c r="I83" s="124"/>
      <c r="J83" s="93"/>
      <c r="K83" s="94"/>
      <c r="L83" s="94"/>
      <c r="M83" s="94"/>
      <c r="N83" s="94"/>
      <c r="O83" s="95"/>
      <c r="P83" s="122"/>
      <c r="Q83" s="123"/>
      <c r="R83" s="123"/>
      <c r="S83" s="124"/>
    </row>
    <row r="84" spans="1:19" ht="18" customHeight="1" x14ac:dyDescent="0.15">
      <c r="A84" s="3"/>
      <c r="B84" s="93"/>
      <c r="C84" s="94"/>
      <c r="D84" s="94"/>
      <c r="E84" s="95"/>
      <c r="F84" s="122"/>
      <c r="G84" s="123"/>
      <c r="H84" s="123"/>
      <c r="I84" s="124"/>
      <c r="J84" s="93"/>
      <c r="K84" s="94"/>
      <c r="L84" s="94"/>
      <c r="M84" s="94"/>
      <c r="N84" s="94"/>
      <c r="O84" s="95"/>
      <c r="P84" s="122"/>
      <c r="Q84" s="123"/>
      <c r="R84" s="123"/>
      <c r="S84" s="124"/>
    </row>
    <row r="85" spans="1:19" ht="18" customHeight="1" x14ac:dyDescent="0.15">
      <c r="A85" s="3"/>
      <c r="B85" s="96"/>
      <c r="C85" s="97"/>
      <c r="D85" s="97"/>
      <c r="E85" s="98"/>
      <c r="F85" s="119"/>
      <c r="G85" s="120"/>
      <c r="H85" s="120"/>
      <c r="I85" s="121"/>
      <c r="J85" s="96"/>
      <c r="K85" s="97"/>
      <c r="L85" s="97"/>
      <c r="M85" s="97"/>
      <c r="N85" s="97"/>
      <c r="O85" s="98"/>
      <c r="P85" s="119"/>
      <c r="Q85" s="120"/>
      <c r="R85" s="120"/>
      <c r="S85" s="121"/>
    </row>
    <row r="86" spans="1:19" ht="18" customHeight="1" x14ac:dyDescent="0.15">
      <c r="A86" s="3"/>
      <c r="B86" s="6"/>
      <c r="C86" s="6"/>
      <c r="D86" s="6"/>
      <c r="E86" s="6"/>
      <c r="F86" s="26"/>
      <c r="G86" s="26"/>
      <c r="H86" s="26"/>
      <c r="I86" s="26"/>
      <c r="J86" s="6"/>
      <c r="K86" s="6"/>
      <c r="L86" s="6"/>
      <c r="M86" s="6"/>
      <c r="N86" s="6"/>
      <c r="O86" s="6"/>
      <c r="P86" s="26"/>
      <c r="Q86" s="26"/>
      <c r="R86" s="26"/>
      <c r="S86" s="26"/>
    </row>
    <row r="87" spans="1:19" ht="18.75" customHeight="1" x14ac:dyDescent="0.15">
      <c r="A87" s="1" t="s">
        <v>119</v>
      </c>
    </row>
    <row r="88" spans="1:19" ht="18.75" customHeight="1" x14ac:dyDescent="0.15">
      <c r="B88" s="146" t="s">
        <v>55</v>
      </c>
      <c r="C88" s="147"/>
      <c r="D88" s="89" t="s">
        <v>56</v>
      </c>
      <c r="E88" s="89"/>
      <c r="F88" s="89"/>
      <c r="G88" s="89"/>
      <c r="H88" s="89"/>
      <c r="I88" s="89"/>
      <c r="J88" s="89"/>
      <c r="K88" s="89"/>
      <c r="L88" s="89"/>
      <c r="M88" s="89"/>
      <c r="N88" s="89"/>
      <c r="O88" s="89"/>
      <c r="P88" s="89"/>
      <c r="Q88" s="89"/>
      <c r="R88" s="89"/>
      <c r="S88" s="88"/>
    </row>
    <row r="89" spans="1:19" ht="97.5" customHeight="1" x14ac:dyDescent="0.15">
      <c r="B89" s="136" t="s">
        <v>62</v>
      </c>
      <c r="C89" s="27" t="s">
        <v>57</v>
      </c>
      <c r="D89" s="143" t="s">
        <v>132</v>
      </c>
      <c r="E89" s="144"/>
      <c r="F89" s="144"/>
      <c r="G89" s="144"/>
      <c r="H89" s="144"/>
      <c r="I89" s="144"/>
      <c r="J89" s="144"/>
      <c r="K89" s="144"/>
      <c r="L89" s="144"/>
      <c r="M89" s="144"/>
      <c r="N89" s="144"/>
      <c r="O89" s="144"/>
      <c r="P89" s="144"/>
      <c r="Q89" s="144"/>
      <c r="R89" s="144"/>
      <c r="S89" s="145"/>
    </row>
    <row r="90" spans="1:19" ht="97.5" customHeight="1" x14ac:dyDescent="0.15">
      <c r="B90" s="137"/>
      <c r="C90" s="28" t="s">
        <v>78</v>
      </c>
      <c r="D90" s="125" t="s">
        <v>133</v>
      </c>
      <c r="E90" s="126"/>
      <c r="F90" s="126"/>
      <c r="G90" s="126"/>
      <c r="H90" s="126"/>
      <c r="I90" s="126"/>
      <c r="J90" s="126"/>
      <c r="K90" s="126"/>
      <c r="L90" s="126"/>
      <c r="M90" s="126"/>
      <c r="N90" s="126"/>
      <c r="O90" s="126"/>
      <c r="P90" s="126"/>
      <c r="Q90" s="126"/>
      <c r="R90" s="126"/>
      <c r="S90" s="127"/>
    </row>
    <row r="91" spans="1:19" ht="97.5" customHeight="1" x14ac:dyDescent="0.15">
      <c r="B91" s="136" t="s">
        <v>63</v>
      </c>
      <c r="C91" s="29" t="s">
        <v>72</v>
      </c>
      <c r="D91" s="128" t="s">
        <v>134</v>
      </c>
      <c r="E91" s="129"/>
      <c r="F91" s="129"/>
      <c r="G91" s="129"/>
      <c r="H91" s="129"/>
      <c r="I91" s="129"/>
      <c r="J91" s="129"/>
      <c r="K91" s="129"/>
      <c r="L91" s="129"/>
      <c r="M91" s="129"/>
      <c r="N91" s="129"/>
      <c r="O91" s="129"/>
      <c r="P91" s="129"/>
      <c r="Q91" s="129"/>
      <c r="R91" s="129"/>
      <c r="S91" s="130"/>
    </row>
    <row r="92" spans="1:19" ht="97.5" customHeight="1" x14ac:dyDescent="0.15">
      <c r="B92" s="141"/>
      <c r="C92" s="30" t="s">
        <v>73</v>
      </c>
      <c r="D92" s="134" t="s">
        <v>135</v>
      </c>
      <c r="E92" s="132"/>
      <c r="F92" s="132"/>
      <c r="G92" s="132"/>
      <c r="H92" s="132"/>
      <c r="I92" s="132"/>
      <c r="J92" s="132"/>
      <c r="K92" s="132"/>
      <c r="L92" s="132"/>
      <c r="M92" s="132"/>
      <c r="N92" s="132"/>
      <c r="O92" s="132"/>
      <c r="P92" s="132"/>
      <c r="Q92" s="132"/>
      <c r="R92" s="132"/>
      <c r="S92" s="133"/>
    </row>
    <row r="93" spans="1:19" ht="97.5" customHeight="1" x14ac:dyDescent="0.15">
      <c r="B93" s="136" t="s">
        <v>64</v>
      </c>
      <c r="C93" s="29" t="s">
        <v>74</v>
      </c>
      <c r="D93" s="128" t="s">
        <v>136</v>
      </c>
      <c r="E93" s="129"/>
      <c r="F93" s="129"/>
      <c r="G93" s="129"/>
      <c r="H93" s="129"/>
      <c r="I93" s="129"/>
      <c r="J93" s="129"/>
      <c r="K93" s="129"/>
      <c r="L93" s="129"/>
      <c r="M93" s="129"/>
      <c r="N93" s="129"/>
      <c r="O93" s="129"/>
      <c r="P93" s="129"/>
      <c r="Q93" s="129"/>
      <c r="R93" s="129"/>
      <c r="S93" s="130"/>
    </row>
    <row r="94" spans="1:19" ht="97.5" customHeight="1" x14ac:dyDescent="0.15">
      <c r="B94" s="141"/>
      <c r="C94" s="31" t="s">
        <v>75</v>
      </c>
      <c r="D94" s="131" t="s">
        <v>137</v>
      </c>
      <c r="E94" s="132"/>
      <c r="F94" s="132"/>
      <c r="G94" s="132"/>
      <c r="H94" s="132"/>
      <c r="I94" s="132"/>
      <c r="J94" s="132"/>
      <c r="K94" s="132"/>
      <c r="L94" s="132"/>
      <c r="M94" s="132"/>
      <c r="N94" s="132"/>
      <c r="O94" s="132"/>
      <c r="P94" s="132"/>
      <c r="Q94" s="132"/>
      <c r="R94" s="132"/>
      <c r="S94" s="133"/>
    </row>
    <row r="95" spans="1:19" ht="97.5" customHeight="1" x14ac:dyDescent="0.15">
      <c r="B95" s="136" t="s">
        <v>79</v>
      </c>
      <c r="C95" s="27" t="s">
        <v>59</v>
      </c>
      <c r="D95" s="143" t="s">
        <v>138</v>
      </c>
      <c r="E95" s="144"/>
      <c r="F95" s="144"/>
      <c r="G95" s="144"/>
      <c r="H95" s="144"/>
      <c r="I95" s="144"/>
      <c r="J95" s="144"/>
      <c r="K95" s="144"/>
      <c r="L95" s="144"/>
      <c r="M95" s="144"/>
      <c r="N95" s="144"/>
      <c r="O95" s="144"/>
      <c r="P95" s="144"/>
      <c r="Q95" s="144"/>
      <c r="R95" s="144"/>
      <c r="S95" s="145"/>
    </row>
    <row r="96" spans="1:19" ht="97.5" customHeight="1" x14ac:dyDescent="0.15">
      <c r="B96" s="141"/>
      <c r="C96" s="30" t="s">
        <v>61</v>
      </c>
      <c r="D96" s="134" t="s">
        <v>139</v>
      </c>
      <c r="E96" s="132"/>
      <c r="F96" s="132"/>
      <c r="G96" s="132"/>
      <c r="H96" s="132"/>
      <c r="I96" s="132"/>
      <c r="J96" s="132"/>
      <c r="K96" s="132"/>
      <c r="L96" s="132"/>
      <c r="M96" s="132"/>
      <c r="N96" s="132"/>
      <c r="O96" s="132"/>
      <c r="P96" s="132"/>
      <c r="Q96" s="132"/>
      <c r="R96" s="132"/>
      <c r="S96" s="133"/>
    </row>
    <row r="97" spans="1:26" ht="97.5" customHeight="1" x14ac:dyDescent="0.15">
      <c r="B97" s="136" t="s">
        <v>80</v>
      </c>
      <c r="C97" s="29" t="s">
        <v>58</v>
      </c>
      <c r="D97" s="142" t="s">
        <v>140</v>
      </c>
      <c r="E97" s="91"/>
      <c r="F97" s="91"/>
      <c r="G97" s="91"/>
      <c r="H97" s="91"/>
      <c r="I97" s="91"/>
      <c r="J97" s="91"/>
      <c r="K97" s="91"/>
      <c r="L97" s="91"/>
      <c r="M97" s="91"/>
      <c r="N97" s="91"/>
      <c r="O97" s="91"/>
      <c r="P97" s="91"/>
      <c r="Q97" s="91"/>
      <c r="R97" s="91"/>
      <c r="S97" s="92"/>
    </row>
    <row r="98" spans="1:26" ht="120.75" customHeight="1" x14ac:dyDescent="0.15">
      <c r="B98" s="137"/>
      <c r="C98" s="32" t="s">
        <v>76</v>
      </c>
      <c r="D98" s="135" t="s">
        <v>141</v>
      </c>
      <c r="E98" s="94"/>
      <c r="F98" s="94"/>
      <c r="G98" s="94"/>
      <c r="H98" s="94"/>
      <c r="I98" s="94"/>
      <c r="J98" s="94"/>
      <c r="K98" s="94"/>
      <c r="L98" s="94"/>
      <c r="M98" s="94"/>
      <c r="N98" s="94"/>
      <c r="O98" s="94"/>
      <c r="P98" s="94"/>
      <c r="Q98" s="94"/>
      <c r="R98" s="94"/>
      <c r="S98" s="95"/>
    </row>
    <row r="99" spans="1:26" ht="97.5" customHeight="1" x14ac:dyDescent="0.15">
      <c r="B99" s="141"/>
      <c r="C99" s="31" t="s">
        <v>77</v>
      </c>
      <c r="D99" s="157" t="s">
        <v>142</v>
      </c>
      <c r="E99" s="158"/>
      <c r="F99" s="158"/>
      <c r="G99" s="158"/>
      <c r="H99" s="158"/>
      <c r="I99" s="158"/>
      <c r="J99" s="158"/>
      <c r="K99" s="158"/>
      <c r="L99" s="158"/>
      <c r="M99" s="158"/>
      <c r="N99" s="158"/>
      <c r="O99" s="158"/>
      <c r="P99" s="158"/>
      <c r="Q99" s="158"/>
      <c r="R99" s="158"/>
      <c r="S99" s="256"/>
      <c r="T99" s="84"/>
      <c r="U99" s="85"/>
      <c r="V99" s="85"/>
      <c r="W99" s="85"/>
      <c r="X99" s="85"/>
      <c r="Y99" s="85"/>
      <c r="Z99" s="85"/>
    </row>
    <row r="100" spans="1:26" ht="6" customHeight="1" x14ac:dyDescent="0.15"/>
    <row r="101" spans="1:26" ht="18.75" customHeight="1" x14ac:dyDescent="0.15">
      <c r="A101" s="1" t="s">
        <v>120</v>
      </c>
    </row>
    <row r="102" spans="1:26" ht="81.75" customHeight="1" x14ac:dyDescent="0.15">
      <c r="B102" s="116" t="s">
        <v>143</v>
      </c>
      <c r="C102" s="117"/>
      <c r="D102" s="117"/>
      <c r="E102" s="117"/>
      <c r="F102" s="117"/>
      <c r="G102" s="117"/>
      <c r="H102" s="117"/>
      <c r="I102" s="117"/>
      <c r="J102" s="117"/>
      <c r="K102" s="117"/>
      <c r="L102" s="117"/>
      <c r="M102" s="117"/>
      <c r="N102" s="117"/>
      <c r="O102" s="117"/>
      <c r="P102" s="117"/>
      <c r="Q102" s="117"/>
      <c r="R102" s="117"/>
      <c r="S102" s="118"/>
    </row>
    <row r="110" spans="1:26" ht="18" customHeight="1" x14ac:dyDescent="0.15"/>
  </sheetData>
  <mergeCells count="145">
    <mergeCell ref="B13:S18"/>
    <mergeCell ref="D99:S99"/>
    <mergeCell ref="J36:O36"/>
    <mergeCell ref="J37:O37"/>
    <mergeCell ref="J38:O38"/>
    <mergeCell ref="J57:O57"/>
    <mergeCell ref="J58:O58"/>
    <mergeCell ref="B71:D71"/>
    <mergeCell ref="B72:D72"/>
    <mergeCell ref="B38:E38"/>
    <mergeCell ref="B39:E39"/>
    <mergeCell ref="B40:E40"/>
    <mergeCell ref="B41:E41"/>
    <mergeCell ref="B42:E42"/>
    <mergeCell ref="J47:O47"/>
    <mergeCell ref="J48:O48"/>
    <mergeCell ref="J49:O49"/>
    <mergeCell ref="J50:O50"/>
    <mergeCell ref="J51:O51"/>
    <mergeCell ref="J52:O52"/>
    <mergeCell ref="J39:O39"/>
    <mergeCell ref="J40:O40"/>
    <mergeCell ref="J41:O41"/>
    <mergeCell ref="J42:O42"/>
    <mergeCell ref="B97:B99"/>
    <mergeCell ref="D97:S97"/>
    <mergeCell ref="B95:B96"/>
    <mergeCell ref="D95:S95"/>
    <mergeCell ref="J73:N73"/>
    <mergeCell ref="J74:N74"/>
    <mergeCell ref="B49:E49"/>
    <mergeCell ref="A55:S56"/>
    <mergeCell ref="J75:N75"/>
    <mergeCell ref="J85:O85"/>
    <mergeCell ref="B88:C88"/>
    <mergeCell ref="D88:S88"/>
    <mergeCell ref="D89:S89"/>
    <mergeCell ref="J79:O79"/>
    <mergeCell ref="P79:S79"/>
    <mergeCell ref="P78:S78"/>
    <mergeCell ref="B79:E79"/>
    <mergeCell ref="J59:O59"/>
    <mergeCell ref="B78:E78"/>
    <mergeCell ref="F79:I79"/>
    <mergeCell ref="P81:S81"/>
    <mergeCell ref="P82:S82"/>
    <mergeCell ref="B91:B92"/>
    <mergeCell ref="B93:B94"/>
    <mergeCell ref="B89:B90"/>
    <mergeCell ref="J69:N69"/>
    <mergeCell ref="J70:N70"/>
    <mergeCell ref="J71:N71"/>
    <mergeCell ref="B82:E82"/>
    <mergeCell ref="F81:I81"/>
    <mergeCell ref="F82:I82"/>
    <mergeCell ref="J81:O81"/>
    <mergeCell ref="J82:O82"/>
    <mergeCell ref="B73:D73"/>
    <mergeCell ref="B74:D74"/>
    <mergeCell ref="B75:D75"/>
    <mergeCell ref="J72:N72"/>
    <mergeCell ref="F78:I78"/>
    <mergeCell ref="J78:O78"/>
    <mergeCell ref="B69:D69"/>
    <mergeCell ref="B70:D70"/>
    <mergeCell ref="J60:O60"/>
    <mergeCell ref="J61:O61"/>
    <mergeCell ref="J62:O62"/>
    <mergeCell ref="J63:O63"/>
    <mergeCell ref="J64:O64"/>
    <mergeCell ref="B68:D68"/>
    <mergeCell ref="J68:N68"/>
    <mergeCell ref="B50:E50"/>
    <mergeCell ref="B51:E51"/>
    <mergeCell ref="B52:E52"/>
    <mergeCell ref="B53:E53"/>
    <mergeCell ref="A66:S67"/>
    <mergeCell ref="B60:E60"/>
    <mergeCell ref="B61:E61"/>
    <mergeCell ref="B62:E62"/>
    <mergeCell ref="B63:E63"/>
    <mergeCell ref="B64:E64"/>
    <mergeCell ref="B102:S102"/>
    <mergeCell ref="P85:S85"/>
    <mergeCell ref="B80:E80"/>
    <mergeCell ref="F80:I80"/>
    <mergeCell ref="J80:O80"/>
    <mergeCell ref="P80:S80"/>
    <mergeCell ref="B83:E83"/>
    <mergeCell ref="F83:I83"/>
    <mergeCell ref="J83:O83"/>
    <mergeCell ref="P83:S83"/>
    <mergeCell ref="B81:E81"/>
    <mergeCell ref="D90:S90"/>
    <mergeCell ref="D91:S91"/>
    <mergeCell ref="D94:S94"/>
    <mergeCell ref="D92:S92"/>
    <mergeCell ref="D93:S93"/>
    <mergeCell ref="B84:E84"/>
    <mergeCell ref="F84:I84"/>
    <mergeCell ref="J84:O84"/>
    <mergeCell ref="P84:S84"/>
    <mergeCell ref="B85:E85"/>
    <mergeCell ref="D96:S96"/>
    <mergeCell ref="F85:I85"/>
    <mergeCell ref="D98:S98"/>
    <mergeCell ref="R1:S1"/>
    <mergeCell ref="B24:E24"/>
    <mergeCell ref="B25:E25"/>
    <mergeCell ref="B26:E26"/>
    <mergeCell ref="B27:E27"/>
    <mergeCell ref="B28:E28"/>
    <mergeCell ref="B29:E29"/>
    <mergeCell ref="B30:E30"/>
    <mergeCell ref="B31:E31"/>
    <mergeCell ref="J24:O24"/>
    <mergeCell ref="J25:O25"/>
    <mergeCell ref="J26:O26"/>
    <mergeCell ref="J27:O27"/>
    <mergeCell ref="J28:O28"/>
    <mergeCell ref="J29:O29"/>
    <mergeCell ref="J30:O30"/>
    <mergeCell ref="J31:O31"/>
    <mergeCell ref="K20:S20"/>
    <mergeCell ref="C2:I2"/>
    <mergeCell ref="C3:I3"/>
    <mergeCell ref="A5:S5"/>
    <mergeCell ref="A22:S23"/>
    <mergeCell ref="K7:S7"/>
    <mergeCell ref="B9:S10"/>
    <mergeCell ref="A33:S34"/>
    <mergeCell ref="C20:D20"/>
    <mergeCell ref="B35:E35"/>
    <mergeCell ref="B36:E36"/>
    <mergeCell ref="B37:E37"/>
    <mergeCell ref="B57:E57"/>
    <mergeCell ref="B58:E58"/>
    <mergeCell ref="B59:E59"/>
    <mergeCell ref="B46:E46"/>
    <mergeCell ref="B47:E47"/>
    <mergeCell ref="B48:E48"/>
    <mergeCell ref="J35:O35"/>
    <mergeCell ref="J46:O46"/>
    <mergeCell ref="J53:O53"/>
    <mergeCell ref="A44:S45"/>
  </mergeCells>
  <phoneticPr fontId="1"/>
  <conditionalFormatting sqref="B9:S10">
    <cfRule type="expression" dxfId="0" priority="1">
      <formula>$K$7="学部・学科によって、修了要件は相違しない"</formula>
    </cfRule>
  </conditionalFormatting>
  <dataValidations count="5">
    <dataValidation type="list" allowBlank="1" showInputMessage="1" showErrorMessage="1" sqref="G25:I31 Q25:S31 G36:I42 Q36:S42 G47:I53 Q47:S53 G58:I64 Q58:S64 F69:I75 P69:S75" xr:uid="{4C0986EB-3601-4249-85F7-B678A400A117}">
      <formula1>"○"</formula1>
    </dataValidation>
    <dataValidation type="list" allowBlank="1" showInputMessage="1" showErrorMessage="1" sqref="S32 S43 D32:G32 D43:G43" xr:uid="{CC907DDE-86DC-4E68-BFF5-E920A71A96A6}">
      <formula1>"全学開講,一部開講"</formula1>
    </dataValidation>
    <dataValidation type="list" allowBlank="1" showInputMessage="1" showErrorMessage="1" sqref="K7 K12" xr:uid="{7B985F3C-9687-4C99-93D5-E4589130E2EC}">
      <formula1>"学部・学科によって、修了要件は相違する,学部・学科によって、修了要件は相違しない"</formula1>
    </dataValidation>
    <dataValidation type="list" allowBlank="1" showInputMessage="1" showErrorMessage="1" sqref="F79:F86 P79:P86 G79:I80 G83:I86 Q83:S86 Q79:S80"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20:S20" xr:uid="{8D0781BD-BB46-47E4-B306-E5D299761C76}">
      <formula1>$V$14:$V$16</formula1>
    </dataValidation>
  </dataValidations>
  <printOptions horizontalCentered="1"/>
  <pageMargins left="0.78740157480314965" right="0.78740157480314965" top="0.78740157480314965" bottom="0.19685039370078741" header="0.31496062992125984" footer="0.19685039370078741"/>
  <pageSetup paperSize="9" scale="75" fitToHeight="0" orientation="portrait" r:id="rId1"/>
  <headerFooter>
    <oddHeader>&amp;C数理・データサイエンス・AI教育プログラム認定制度【リテラシーレベル】</oddHeader>
  </headerFooter>
  <rowBreaks count="2" manualBreakCount="2">
    <brk id="65" max="18" man="1"/>
    <brk id="94" max="18"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pageSetUpPr fitToPage="1"/>
  </sheetPr>
  <dimension ref="A1:AS32"/>
  <sheetViews>
    <sheetView view="pageBreakPreview" zoomScaleNormal="100" zoomScaleSheetLayoutView="100" workbookViewId="0">
      <selection activeCell="F16" sqref="F16"/>
    </sheetView>
  </sheetViews>
  <sheetFormatPr defaultColWidth="9" defaultRowHeight="18.75" customHeight="1" x14ac:dyDescent="0.15"/>
  <cols>
    <col min="1" max="1" width="2.75" style="1" customWidth="1"/>
    <col min="2" max="2" width="20.75" style="1" customWidth="1"/>
    <col min="3" max="5" width="6.125" style="1" customWidth="1"/>
    <col min="6" max="42" width="4.875" style="1" customWidth="1"/>
    <col min="43" max="43" width="6.625" style="1" customWidth="1"/>
    <col min="44" max="16384" width="9" style="1"/>
  </cols>
  <sheetData>
    <row r="1" spans="1:45" ht="18" customHeight="1" x14ac:dyDescent="0.15">
      <c r="AQ1" s="1" t="s">
        <v>106</v>
      </c>
    </row>
    <row r="2" spans="1:45" ht="18" customHeight="1" x14ac:dyDescent="0.15">
      <c r="K2" s="34"/>
      <c r="Q2" s="34"/>
      <c r="W2" s="34"/>
      <c r="AC2" s="34"/>
      <c r="AI2" s="34"/>
      <c r="AL2" s="34" t="s">
        <v>108</v>
      </c>
      <c r="AM2" s="162" t="str">
        <f>'様式１　プログラムを構成する授業科目'!C2</f>
        <v>沼津工業高等専門学校</v>
      </c>
      <c r="AN2" s="162"/>
      <c r="AO2" s="162"/>
      <c r="AP2" s="162"/>
      <c r="AQ2" s="162"/>
    </row>
    <row r="3" spans="1:45" ht="18" customHeight="1" x14ac:dyDescent="0.15">
      <c r="A3" s="106" t="s">
        <v>48</v>
      </c>
      <c r="B3" s="106"/>
      <c r="C3" s="106"/>
      <c r="D3" s="106"/>
      <c r="E3" s="106"/>
      <c r="F3" s="106"/>
      <c r="G3" s="106"/>
      <c r="H3" s="106"/>
      <c r="I3" s="106"/>
      <c r="J3" s="106"/>
      <c r="K3" s="106"/>
      <c r="L3" s="106"/>
      <c r="M3" s="106"/>
      <c r="N3" s="106"/>
      <c r="O3" s="106"/>
      <c r="P3" s="106"/>
      <c r="Q3" s="106"/>
      <c r="R3" s="106"/>
      <c r="S3" s="106"/>
      <c r="T3" s="106"/>
      <c r="U3" s="106"/>
      <c r="V3" s="106"/>
      <c r="W3" s="106"/>
      <c r="X3" s="106"/>
      <c r="Y3" s="106"/>
      <c r="Z3" s="106"/>
      <c r="AA3" s="106"/>
      <c r="AB3" s="106"/>
      <c r="AC3" s="106"/>
      <c r="AD3" s="106"/>
      <c r="AE3" s="106"/>
      <c r="AF3" s="106"/>
      <c r="AG3" s="106"/>
      <c r="AH3" s="106"/>
      <c r="AI3" s="106"/>
      <c r="AJ3" s="106"/>
      <c r="AK3" s="106"/>
      <c r="AL3" s="106"/>
      <c r="AM3" s="106"/>
      <c r="AN3" s="106"/>
      <c r="AO3" s="106"/>
      <c r="AP3" s="106"/>
      <c r="AQ3" s="106"/>
    </row>
    <row r="4" spans="1:45" ht="7.5" customHeight="1" x14ac:dyDescent="0.15">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row>
    <row r="5" spans="1:45" ht="18" customHeight="1" x14ac:dyDescent="0.15">
      <c r="A5" s="1" t="s">
        <v>84</v>
      </c>
      <c r="C5" s="103" t="s">
        <v>144</v>
      </c>
      <c r="D5" s="105"/>
      <c r="E5" s="3" t="s">
        <v>53</v>
      </c>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6"/>
      <c r="AQ5" s="6"/>
    </row>
    <row r="6" spans="1:45" ht="6" customHeight="1" x14ac:dyDescent="0.15">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row>
    <row r="7" spans="1:45" ht="18" customHeight="1" x14ac:dyDescent="0.15">
      <c r="A7" s="1" t="s">
        <v>82</v>
      </c>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row>
    <row r="8" spans="1:45" ht="6" customHeight="1" x14ac:dyDescent="0.15">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row>
    <row r="9" spans="1:45" ht="18" customHeight="1" x14ac:dyDescent="0.15">
      <c r="B9" s="163" t="s">
        <v>45</v>
      </c>
      <c r="C9" s="178" t="s">
        <v>87</v>
      </c>
      <c r="D9" s="166" t="s">
        <v>47</v>
      </c>
      <c r="E9" s="169" t="s">
        <v>40</v>
      </c>
      <c r="F9" s="161" t="s">
        <v>86</v>
      </c>
      <c r="G9" s="161"/>
      <c r="H9" s="161"/>
      <c r="I9" s="161"/>
      <c r="J9" s="161"/>
      <c r="K9" s="161"/>
      <c r="L9" s="161" t="s">
        <v>49</v>
      </c>
      <c r="M9" s="161"/>
      <c r="N9" s="161"/>
      <c r="O9" s="161"/>
      <c r="P9" s="161"/>
      <c r="Q9" s="161"/>
      <c r="R9" s="161" t="s">
        <v>50</v>
      </c>
      <c r="S9" s="161"/>
      <c r="T9" s="161"/>
      <c r="U9" s="161"/>
      <c r="V9" s="161"/>
      <c r="W9" s="161"/>
      <c r="X9" s="161" t="s">
        <v>101</v>
      </c>
      <c r="Y9" s="161"/>
      <c r="Z9" s="161"/>
      <c r="AA9" s="161"/>
      <c r="AB9" s="161"/>
      <c r="AC9" s="161"/>
      <c r="AD9" s="161" t="s">
        <v>51</v>
      </c>
      <c r="AE9" s="161"/>
      <c r="AF9" s="161"/>
      <c r="AG9" s="161"/>
      <c r="AH9" s="161"/>
      <c r="AI9" s="161"/>
      <c r="AJ9" s="161" t="s">
        <v>52</v>
      </c>
      <c r="AK9" s="161"/>
      <c r="AL9" s="161"/>
      <c r="AM9" s="161"/>
      <c r="AN9" s="161"/>
      <c r="AO9" s="161"/>
      <c r="AP9" s="172" t="s">
        <v>35</v>
      </c>
      <c r="AQ9" s="175" t="s">
        <v>32</v>
      </c>
      <c r="AS9" s="2"/>
    </row>
    <row r="10" spans="1:45" ht="16.899999999999999" customHeight="1" x14ac:dyDescent="0.15">
      <c r="B10" s="164"/>
      <c r="C10" s="179"/>
      <c r="D10" s="167"/>
      <c r="E10" s="170"/>
      <c r="F10" s="159" t="s">
        <v>97</v>
      </c>
      <c r="G10" s="160"/>
      <c r="H10" s="160"/>
      <c r="I10" s="159" t="s">
        <v>29</v>
      </c>
      <c r="J10" s="160"/>
      <c r="K10" s="160"/>
      <c r="L10" s="159" t="s">
        <v>97</v>
      </c>
      <c r="M10" s="160"/>
      <c r="N10" s="160"/>
      <c r="O10" s="159" t="s">
        <v>29</v>
      </c>
      <c r="P10" s="160"/>
      <c r="Q10" s="160"/>
      <c r="R10" s="159" t="s">
        <v>97</v>
      </c>
      <c r="S10" s="160"/>
      <c r="T10" s="160"/>
      <c r="U10" s="159" t="s">
        <v>29</v>
      </c>
      <c r="V10" s="160"/>
      <c r="W10" s="160"/>
      <c r="X10" s="159" t="s">
        <v>97</v>
      </c>
      <c r="Y10" s="160"/>
      <c r="Z10" s="160"/>
      <c r="AA10" s="159" t="s">
        <v>29</v>
      </c>
      <c r="AB10" s="160"/>
      <c r="AC10" s="160"/>
      <c r="AD10" s="159" t="s">
        <v>97</v>
      </c>
      <c r="AE10" s="160"/>
      <c r="AF10" s="160"/>
      <c r="AG10" s="159" t="s">
        <v>29</v>
      </c>
      <c r="AH10" s="160"/>
      <c r="AI10" s="160"/>
      <c r="AJ10" s="159" t="s">
        <v>97</v>
      </c>
      <c r="AK10" s="160"/>
      <c r="AL10" s="160"/>
      <c r="AM10" s="159" t="s">
        <v>29</v>
      </c>
      <c r="AN10" s="160"/>
      <c r="AO10" s="160"/>
      <c r="AP10" s="173"/>
      <c r="AQ10" s="176"/>
      <c r="AS10" s="2"/>
    </row>
    <row r="11" spans="1:45" ht="18" customHeight="1" x14ac:dyDescent="0.15">
      <c r="B11" s="165"/>
      <c r="C11" s="180"/>
      <c r="D11" s="168"/>
      <c r="E11" s="171"/>
      <c r="F11" s="17" t="s">
        <v>98</v>
      </c>
      <c r="G11" s="18" t="s">
        <v>99</v>
      </c>
      <c r="H11" s="19" t="s">
        <v>100</v>
      </c>
      <c r="I11" s="17" t="s">
        <v>98</v>
      </c>
      <c r="J11" s="18" t="s">
        <v>99</v>
      </c>
      <c r="K11" s="19" t="s">
        <v>100</v>
      </c>
      <c r="L11" s="17" t="s">
        <v>98</v>
      </c>
      <c r="M11" s="18" t="s">
        <v>99</v>
      </c>
      <c r="N11" s="19" t="s">
        <v>100</v>
      </c>
      <c r="O11" s="17" t="s">
        <v>98</v>
      </c>
      <c r="P11" s="18" t="s">
        <v>99</v>
      </c>
      <c r="Q11" s="19" t="s">
        <v>100</v>
      </c>
      <c r="R11" s="17" t="s">
        <v>98</v>
      </c>
      <c r="S11" s="18" t="s">
        <v>99</v>
      </c>
      <c r="T11" s="19" t="s">
        <v>100</v>
      </c>
      <c r="U11" s="17" t="s">
        <v>98</v>
      </c>
      <c r="V11" s="18" t="s">
        <v>99</v>
      </c>
      <c r="W11" s="19" t="s">
        <v>100</v>
      </c>
      <c r="X11" s="17" t="s">
        <v>98</v>
      </c>
      <c r="Y11" s="18" t="s">
        <v>99</v>
      </c>
      <c r="Z11" s="19" t="s">
        <v>100</v>
      </c>
      <c r="AA11" s="17" t="s">
        <v>98</v>
      </c>
      <c r="AB11" s="18" t="s">
        <v>99</v>
      </c>
      <c r="AC11" s="19" t="s">
        <v>100</v>
      </c>
      <c r="AD11" s="17" t="s">
        <v>98</v>
      </c>
      <c r="AE11" s="18" t="s">
        <v>99</v>
      </c>
      <c r="AF11" s="19" t="s">
        <v>100</v>
      </c>
      <c r="AG11" s="17" t="s">
        <v>98</v>
      </c>
      <c r="AH11" s="18" t="s">
        <v>99</v>
      </c>
      <c r="AI11" s="19" t="s">
        <v>100</v>
      </c>
      <c r="AJ11" s="17" t="s">
        <v>98</v>
      </c>
      <c r="AK11" s="18" t="s">
        <v>99</v>
      </c>
      <c r="AL11" s="19" t="s">
        <v>100</v>
      </c>
      <c r="AM11" s="17" t="s">
        <v>98</v>
      </c>
      <c r="AN11" s="18" t="s">
        <v>99</v>
      </c>
      <c r="AO11" s="19" t="s">
        <v>100</v>
      </c>
      <c r="AP11" s="174"/>
      <c r="AQ11" s="177"/>
      <c r="AS11" s="2"/>
    </row>
    <row r="12" spans="1:45" ht="18" customHeight="1" x14ac:dyDescent="0.15">
      <c r="A12" s="6"/>
      <c r="B12" s="11" t="s">
        <v>145</v>
      </c>
      <c r="C12" s="61">
        <v>199</v>
      </c>
      <c r="D12" s="62">
        <v>40</v>
      </c>
      <c r="E12" s="63">
        <v>200</v>
      </c>
      <c r="F12" s="63">
        <f>G12+H12</f>
        <v>40</v>
      </c>
      <c r="G12" s="64">
        <v>38</v>
      </c>
      <c r="H12" s="65">
        <v>2</v>
      </c>
      <c r="I12" s="63">
        <f>J12+K12</f>
        <v>38</v>
      </c>
      <c r="J12" s="64">
        <v>37</v>
      </c>
      <c r="K12" s="65">
        <v>1</v>
      </c>
      <c r="L12" s="63">
        <f>M12+N12</f>
        <v>0</v>
      </c>
      <c r="M12" s="64"/>
      <c r="N12" s="65"/>
      <c r="O12" s="63">
        <f>P12+Q12</f>
        <v>0</v>
      </c>
      <c r="P12" s="64"/>
      <c r="Q12" s="65"/>
      <c r="R12" s="63">
        <f>S12+T12</f>
        <v>0</v>
      </c>
      <c r="S12" s="64"/>
      <c r="T12" s="65"/>
      <c r="U12" s="63">
        <f>V12+W12</f>
        <v>0</v>
      </c>
      <c r="V12" s="64"/>
      <c r="W12" s="65"/>
      <c r="X12" s="63">
        <f>Y12+Z12</f>
        <v>0</v>
      </c>
      <c r="Y12" s="64"/>
      <c r="Z12" s="65"/>
      <c r="AA12" s="63">
        <f>AB12+AC12</f>
        <v>0</v>
      </c>
      <c r="AB12" s="64"/>
      <c r="AC12" s="65"/>
      <c r="AD12" s="63">
        <f>AE12+AF12</f>
        <v>0</v>
      </c>
      <c r="AE12" s="64"/>
      <c r="AF12" s="65"/>
      <c r="AG12" s="63">
        <f>AH12+AI12</f>
        <v>0</v>
      </c>
      <c r="AH12" s="64"/>
      <c r="AI12" s="65"/>
      <c r="AJ12" s="63">
        <f>AK12+AL12</f>
        <v>0</v>
      </c>
      <c r="AK12" s="64"/>
      <c r="AL12" s="65"/>
      <c r="AM12" s="63">
        <f>AN12+AO12</f>
        <v>0</v>
      </c>
      <c r="AN12" s="64"/>
      <c r="AO12" s="65"/>
      <c r="AP12" s="62">
        <f>F12+L12+R12+X12+AD12+AJ12</f>
        <v>40</v>
      </c>
      <c r="AQ12" s="81">
        <f t="shared" ref="AQ12:AQ32" si="0">AP12/E12</f>
        <v>0.2</v>
      </c>
    </row>
    <row r="13" spans="1:45" ht="18" customHeight="1" x14ac:dyDescent="0.15">
      <c r="A13" s="6"/>
      <c r="B13" s="12" t="s">
        <v>146</v>
      </c>
      <c r="C13" s="66">
        <v>201</v>
      </c>
      <c r="D13" s="67">
        <v>40</v>
      </c>
      <c r="E13" s="68">
        <v>200</v>
      </c>
      <c r="F13" s="69">
        <f t="shared" ref="F13:F31" si="1">G13+H13</f>
        <v>41</v>
      </c>
      <c r="G13" s="70">
        <v>37</v>
      </c>
      <c r="H13" s="71">
        <v>4</v>
      </c>
      <c r="I13" s="69">
        <f t="shared" ref="I13:I31" si="2">J13+K13</f>
        <v>38</v>
      </c>
      <c r="J13" s="70">
        <v>34</v>
      </c>
      <c r="K13" s="71">
        <v>4</v>
      </c>
      <c r="L13" s="69">
        <f t="shared" ref="L13:L31" si="3">M13+N13</f>
        <v>0</v>
      </c>
      <c r="M13" s="70"/>
      <c r="N13" s="71"/>
      <c r="O13" s="69">
        <f t="shared" ref="O13:O31" si="4">P13+Q13</f>
        <v>0</v>
      </c>
      <c r="P13" s="70"/>
      <c r="Q13" s="71"/>
      <c r="R13" s="69">
        <f t="shared" ref="R13:R31" si="5">S13+T13</f>
        <v>0</v>
      </c>
      <c r="S13" s="70"/>
      <c r="T13" s="71"/>
      <c r="U13" s="69">
        <f t="shared" ref="U13:U31" si="6">V13+W13</f>
        <v>0</v>
      </c>
      <c r="V13" s="70"/>
      <c r="W13" s="71"/>
      <c r="X13" s="69">
        <f t="shared" ref="X13:X31" si="7">Y13+Z13</f>
        <v>0</v>
      </c>
      <c r="Y13" s="70"/>
      <c r="Z13" s="71"/>
      <c r="AA13" s="69">
        <f t="shared" ref="AA13:AA31" si="8">AB13+AC13</f>
        <v>0</v>
      </c>
      <c r="AB13" s="70"/>
      <c r="AC13" s="71"/>
      <c r="AD13" s="69">
        <f t="shared" ref="AD13:AD31" si="9">AE13+AF13</f>
        <v>0</v>
      </c>
      <c r="AE13" s="70"/>
      <c r="AF13" s="71"/>
      <c r="AG13" s="69">
        <f t="shared" ref="AG13:AG31" si="10">AH13+AI13</f>
        <v>0</v>
      </c>
      <c r="AH13" s="70"/>
      <c r="AI13" s="71"/>
      <c r="AJ13" s="69">
        <f t="shared" ref="AJ13:AJ31" si="11">AK13+AL13</f>
        <v>0</v>
      </c>
      <c r="AK13" s="70"/>
      <c r="AL13" s="71"/>
      <c r="AM13" s="69">
        <f t="shared" ref="AM13:AM31" si="12">AN13+AO13</f>
        <v>0</v>
      </c>
      <c r="AN13" s="70"/>
      <c r="AO13" s="71"/>
      <c r="AP13" s="67">
        <f t="shared" ref="AP13:AP31" si="13">F13+L13+R13+X13+AD13+AJ13</f>
        <v>41</v>
      </c>
      <c r="AQ13" s="20">
        <f t="shared" si="0"/>
        <v>0.20499999999999999</v>
      </c>
    </row>
    <row r="14" spans="1:45" ht="18" customHeight="1" x14ac:dyDescent="0.15">
      <c r="A14" s="6"/>
      <c r="B14" s="12" t="s">
        <v>147</v>
      </c>
      <c r="C14" s="66">
        <v>204</v>
      </c>
      <c r="D14" s="67">
        <v>40</v>
      </c>
      <c r="E14" s="68">
        <v>200</v>
      </c>
      <c r="F14" s="69">
        <f t="shared" si="1"/>
        <v>40</v>
      </c>
      <c r="G14" s="70">
        <v>38</v>
      </c>
      <c r="H14" s="71">
        <v>2</v>
      </c>
      <c r="I14" s="69">
        <f t="shared" si="2"/>
        <v>40</v>
      </c>
      <c r="J14" s="70">
        <v>38</v>
      </c>
      <c r="K14" s="71">
        <v>2</v>
      </c>
      <c r="L14" s="69">
        <f t="shared" si="3"/>
        <v>0</v>
      </c>
      <c r="M14" s="70"/>
      <c r="N14" s="71"/>
      <c r="O14" s="69">
        <f t="shared" si="4"/>
        <v>0</v>
      </c>
      <c r="P14" s="70"/>
      <c r="Q14" s="71"/>
      <c r="R14" s="69">
        <f t="shared" si="5"/>
        <v>0</v>
      </c>
      <c r="S14" s="70"/>
      <c r="T14" s="71"/>
      <c r="U14" s="69">
        <f t="shared" si="6"/>
        <v>0</v>
      </c>
      <c r="V14" s="70"/>
      <c r="W14" s="71"/>
      <c r="X14" s="69">
        <f t="shared" si="7"/>
        <v>0</v>
      </c>
      <c r="Y14" s="70"/>
      <c r="Z14" s="71"/>
      <c r="AA14" s="69">
        <f t="shared" si="8"/>
        <v>0</v>
      </c>
      <c r="AB14" s="70"/>
      <c r="AC14" s="71"/>
      <c r="AD14" s="69">
        <f t="shared" si="9"/>
        <v>0</v>
      </c>
      <c r="AE14" s="70"/>
      <c r="AF14" s="71"/>
      <c r="AG14" s="69">
        <f t="shared" si="10"/>
        <v>0</v>
      </c>
      <c r="AH14" s="70"/>
      <c r="AI14" s="71"/>
      <c r="AJ14" s="69">
        <f t="shared" si="11"/>
        <v>0</v>
      </c>
      <c r="AK14" s="70"/>
      <c r="AL14" s="71"/>
      <c r="AM14" s="69">
        <f t="shared" si="12"/>
        <v>0</v>
      </c>
      <c r="AN14" s="70"/>
      <c r="AO14" s="71"/>
      <c r="AP14" s="67">
        <f t="shared" si="13"/>
        <v>40</v>
      </c>
      <c r="AQ14" s="8">
        <f t="shared" si="0"/>
        <v>0.2</v>
      </c>
    </row>
    <row r="15" spans="1:45" ht="18" customHeight="1" x14ac:dyDescent="0.15">
      <c r="A15" s="6"/>
      <c r="B15" s="12" t="s">
        <v>148</v>
      </c>
      <c r="C15" s="66">
        <v>202</v>
      </c>
      <c r="D15" s="67">
        <v>40</v>
      </c>
      <c r="E15" s="68">
        <v>200</v>
      </c>
      <c r="F15" s="69">
        <f t="shared" si="1"/>
        <v>40</v>
      </c>
      <c r="G15" s="70">
        <v>31</v>
      </c>
      <c r="H15" s="71">
        <v>9</v>
      </c>
      <c r="I15" s="69">
        <f t="shared" si="2"/>
        <v>40</v>
      </c>
      <c r="J15" s="70">
        <v>31</v>
      </c>
      <c r="K15" s="71">
        <v>9</v>
      </c>
      <c r="L15" s="69">
        <f t="shared" si="3"/>
        <v>0</v>
      </c>
      <c r="M15" s="70"/>
      <c r="N15" s="71"/>
      <c r="O15" s="69">
        <f t="shared" si="4"/>
        <v>0</v>
      </c>
      <c r="P15" s="70"/>
      <c r="Q15" s="71"/>
      <c r="R15" s="69">
        <f t="shared" si="5"/>
        <v>0</v>
      </c>
      <c r="S15" s="70"/>
      <c r="T15" s="71"/>
      <c r="U15" s="69">
        <f t="shared" si="6"/>
        <v>0</v>
      </c>
      <c r="V15" s="70"/>
      <c r="W15" s="71"/>
      <c r="X15" s="69">
        <f t="shared" si="7"/>
        <v>0</v>
      </c>
      <c r="Y15" s="70"/>
      <c r="Z15" s="71"/>
      <c r="AA15" s="69">
        <f t="shared" si="8"/>
        <v>0</v>
      </c>
      <c r="AB15" s="70"/>
      <c r="AC15" s="71"/>
      <c r="AD15" s="69">
        <f t="shared" si="9"/>
        <v>0</v>
      </c>
      <c r="AE15" s="70"/>
      <c r="AF15" s="71"/>
      <c r="AG15" s="69">
        <f t="shared" si="10"/>
        <v>0</v>
      </c>
      <c r="AH15" s="70"/>
      <c r="AI15" s="71"/>
      <c r="AJ15" s="69">
        <f t="shared" si="11"/>
        <v>0</v>
      </c>
      <c r="AK15" s="70"/>
      <c r="AL15" s="71"/>
      <c r="AM15" s="69">
        <f t="shared" si="12"/>
        <v>0</v>
      </c>
      <c r="AN15" s="70"/>
      <c r="AO15" s="71"/>
      <c r="AP15" s="67">
        <f t="shared" si="13"/>
        <v>40</v>
      </c>
      <c r="AQ15" s="8">
        <f t="shared" si="0"/>
        <v>0.2</v>
      </c>
    </row>
    <row r="16" spans="1:45" ht="18" customHeight="1" x14ac:dyDescent="0.15">
      <c r="A16" s="6"/>
      <c r="B16" s="12" t="s">
        <v>149</v>
      </c>
      <c r="C16" s="66">
        <v>206</v>
      </c>
      <c r="D16" s="67">
        <v>40</v>
      </c>
      <c r="E16" s="68">
        <v>200</v>
      </c>
      <c r="F16" s="69">
        <v>41</v>
      </c>
      <c r="G16" s="70">
        <v>18</v>
      </c>
      <c r="H16" s="71">
        <v>22</v>
      </c>
      <c r="I16" s="69">
        <f t="shared" si="2"/>
        <v>40</v>
      </c>
      <c r="J16" s="70">
        <v>18</v>
      </c>
      <c r="K16" s="71">
        <v>22</v>
      </c>
      <c r="L16" s="69">
        <f t="shared" si="3"/>
        <v>0</v>
      </c>
      <c r="M16" s="70"/>
      <c r="N16" s="71"/>
      <c r="O16" s="69">
        <f t="shared" si="4"/>
        <v>0</v>
      </c>
      <c r="P16" s="70"/>
      <c r="Q16" s="71"/>
      <c r="R16" s="69">
        <f t="shared" si="5"/>
        <v>0</v>
      </c>
      <c r="S16" s="70"/>
      <c r="T16" s="71"/>
      <c r="U16" s="69">
        <f t="shared" si="6"/>
        <v>0</v>
      </c>
      <c r="V16" s="70"/>
      <c r="W16" s="71"/>
      <c r="X16" s="69">
        <f t="shared" si="7"/>
        <v>0</v>
      </c>
      <c r="Y16" s="70"/>
      <c r="Z16" s="71"/>
      <c r="AA16" s="69">
        <f t="shared" si="8"/>
        <v>0</v>
      </c>
      <c r="AB16" s="70"/>
      <c r="AC16" s="71"/>
      <c r="AD16" s="69">
        <f t="shared" si="9"/>
        <v>0</v>
      </c>
      <c r="AE16" s="70"/>
      <c r="AF16" s="71"/>
      <c r="AG16" s="69">
        <f t="shared" si="10"/>
        <v>0</v>
      </c>
      <c r="AH16" s="70"/>
      <c r="AI16" s="71"/>
      <c r="AJ16" s="69">
        <f t="shared" si="11"/>
        <v>0</v>
      </c>
      <c r="AK16" s="70"/>
      <c r="AL16" s="71"/>
      <c r="AM16" s="69">
        <f t="shared" si="12"/>
        <v>0</v>
      </c>
      <c r="AN16" s="70"/>
      <c r="AO16" s="71"/>
      <c r="AP16" s="67">
        <f t="shared" si="13"/>
        <v>41</v>
      </c>
      <c r="AQ16" s="8">
        <f t="shared" si="0"/>
        <v>0.20499999999999999</v>
      </c>
    </row>
    <row r="17" spans="1:43" ht="18" customHeight="1" x14ac:dyDescent="0.15">
      <c r="A17" s="6"/>
      <c r="B17" s="12"/>
      <c r="C17" s="66"/>
      <c r="D17" s="67"/>
      <c r="E17" s="68"/>
      <c r="F17" s="69">
        <f t="shared" si="1"/>
        <v>0</v>
      </c>
      <c r="G17" s="70"/>
      <c r="H17" s="71"/>
      <c r="I17" s="69">
        <f t="shared" si="2"/>
        <v>0</v>
      </c>
      <c r="J17" s="70"/>
      <c r="K17" s="71"/>
      <c r="L17" s="69">
        <f t="shared" si="3"/>
        <v>0</v>
      </c>
      <c r="M17" s="70"/>
      <c r="N17" s="71"/>
      <c r="O17" s="69">
        <f t="shared" si="4"/>
        <v>0</v>
      </c>
      <c r="P17" s="70"/>
      <c r="Q17" s="71"/>
      <c r="R17" s="69">
        <f t="shared" si="5"/>
        <v>0</v>
      </c>
      <c r="S17" s="70"/>
      <c r="T17" s="71"/>
      <c r="U17" s="69">
        <f t="shared" si="6"/>
        <v>0</v>
      </c>
      <c r="V17" s="70"/>
      <c r="W17" s="71"/>
      <c r="X17" s="69">
        <f t="shared" si="7"/>
        <v>0</v>
      </c>
      <c r="Y17" s="70"/>
      <c r="Z17" s="71"/>
      <c r="AA17" s="69">
        <f t="shared" si="8"/>
        <v>0</v>
      </c>
      <c r="AB17" s="70"/>
      <c r="AC17" s="71"/>
      <c r="AD17" s="69">
        <f t="shared" si="9"/>
        <v>0</v>
      </c>
      <c r="AE17" s="70"/>
      <c r="AF17" s="71"/>
      <c r="AG17" s="69">
        <f t="shared" si="10"/>
        <v>0</v>
      </c>
      <c r="AH17" s="70"/>
      <c r="AI17" s="71"/>
      <c r="AJ17" s="69">
        <f t="shared" si="11"/>
        <v>0</v>
      </c>
      <c r="AK17" s="70"/>
      <c r="AL17" s="71"/>
      <c r="AM17" s="69">
        <f t="shared" si="12"/>
        <v>0</v>
      </c>
      <c r="AN17" s="70"/>
      <c r="AO17" s="71"/>
      <c r="AP17" s="67">
        <f t="shared" si="13"/>
        <v>0</v>
      </c>
      <c r="AQ17" s="8" t="e">
        <f t="shared" si="0"/>
        <v>#DIV/0!</v>
      </c>
    </row>
    <row r="18" spans="1:43" ht="18" customHeight="1" x14ac:dyDescent="0.15">
      <c r="A18" s="6"/>
      <c r="B18" s="12"/>
      <c r="C18" s="66"/>
      <c r="D18" s="67"/>
      <c r="E18" s="68"/>
      <c r="F18" s="69">
        <f t="shared" si="1"/>
        <v>0</v>
      </c>
      <c r="G18" s="70"/>
      <c r="H18" s="71"/>
      <c r="I18" s="69">
        <f t="shared" si="2"/>
        <v>0</v>
      </c>
      <c r="J18" s="70"/>
      <c r="K18" s="71"/>
      <c r="L18" s="69">
        <f t="shared" si="3"/>
        <v>0</v>
      </c>
      <c r="M18" s="70"/>
      <c r="N18" s="71"/>
      <c r="O18" s="69">
        <f t="shared" si="4"/>
        <v>0</v>
      </c>
      <c r="P18" s="70"/>
      <c r="Q18" s="71"/>
      <c r="R18" s="69">
        <f t="shared" si="5"/>
        <v>0</v>
      </c>
      <c r="S18" s="70"/>
      <c r="T18" s="71"/>
      <c r="U18" s="69">
        <f t="shared" si="6"/>
        <v>0</v>
      </c>
      <c r="V18" s="70"/>
      <c r="W18" s="71"/>
      <c r="X18" s="69">
        <f t="shared" si="7"/>
        <v>0</v>
      </c>
      <c r="Y18" s="70"/>
      <c r="Z18" s="71"/>
      <c r="AA18" s="69">
        <f t="shared" si="8"/>
        <v>0</v>
      </c>
      <c r="AB18" s="70"/>
      <c r="AC18" s="71"/>
      <c r="AD18" s="69">
        <f t="shared" si="9"/>
        <v>0</v>
      </c>
      <c r="AE18" s="70"/>
      <c r="AF18" s="71"/>
      <c r="AG18" s="69">
        <f t="shared" si="10"/>
        <v>0</v>
      </c>
      <c r="AH18" s="70"/>
      <c r="AI18" s="71"/>
      <c r="AJ18" s="69">
        <f t="shared" si="11"/>
        <v>0</v>
      </c>
      <c r="AK18" s="70"/>
      <c r="AL18" s="71"/>
      <c r="AM18" s="69">
        <f t="shared" si="12"/>
        <v>0</v>
      </c>
      <c r="AN18" s="70"/>
      <c r="AO18" s="71"/>
      <c r="AP18" s="67">
        <f t="shared" si="13"/>
        <v>0</v>
      </c>
      <c r="AQ18" s="8" t="e">
        <f t="shared" si="0"/>
        <v>#DIV/0!</v>
      </c>
    </row>
    <row r="19" spans="1:43" ht="18" customHeight="1" x14ac:dyDescent="0.15">
      <c r="A19" s="6"/>
      <c r="B19" s="12"/>
      <c r="C19" s="66"/>
      <c r="D19" s="67"/>
      <c r="E19" s="68"/>
      <c r="F19" s="69">
        <f t="shared" si="1"/>
        <v>0</v>
      </c>
      <c r="G19" s="70"/>
      <c r="H19" s="71"/>
      <c r="I19" s="69">
        <f t="shared" si="2"/>
        <v>0</v>
      </c>
      <c r="J19" s="70"/>
      <c r="K19" s="71"/>
      <c r="L19" s="69">
        <f t="shared" si="3"/>
        <v>0</v>
      </c>
      <c r="M19" s="70"/>
      <c r="N19" s="71"/>
      <c r="O19" s="69">
        <f t="shared" si="4"/>
        <v>0</v>
      </c>
      <c r="P19" s="70"/>
      <c r="Q19" s="71"/>
      <c r="R19" s="69">
        <f t="shared" si="5"/>
        <v>0</v>
      </c>
      <c r="S19" s="70"/>
      <c r="T19" s="71"/>
      <c r="U19" s="69">
        <f t="shared" si="6"/>
        <v>0</v>
      </c>
      <c r="V19" s="70"/>
      <c r="W19" s="71"/>
      <c r="X19" s="69">
        <f t="shared" si="7"/>
        <v>0</v>
      </c>
      <c r="Y19" s="70"/>
      <c r="Z19" s="71"/>
      <c r="AA19" s="69">
        <f t="shared" si="8"/>
        <v>0</v>
      </c>
      <c r="AB19" s="70"/>
      <c r="AC19" s="71"/>
      <c r="AD19" s="69">
        <f t="shared" si="9"/>
        <v>0</v>
      </c>
      <c r="AE19" s="70"/>
      <c r="AF19" s="71"/>
      <c r="AG19" s="69">
        <f t="shared" si="10"/>
        <v>0</v>
      </c>
      <c r="AH19" s="70"/>
      <c r="AI19" s="71"/>
      <c r="AJ19" s="69">
        <f t="shared" si="11"/>
        <v>0</v>
      </c>
      <c r="AK19" s="70"/>
      <c r="AL19" s="71"/>
      <c r="AM19" s="69">
        <f t="shared" si="12"/>
        <v>0</v>
      </c>
      <c r="AN19" s="70"/>
      <c r="AO19" s="71"/>
      <c r="AP19" s="67">
        <f t="shared" si="13"/>
        <v>0</v>
      </c>
      <c r="AQ19" s="8" t="e">
        <f t="shared" si="0"/>
        <v>#DIV/0!</v>
      </c>
    </row>
    <row r="20" spans="1:43" ht="18" customHeight="1" x14ac:dyDescent="0.15">
      <c r="A20" s="6"/>
      <c r="B20" s="12"/>
      <c r="C20" s="66"/>
      <c r="D20" s="67"/>
      <c r="E20" s="68"/>
      <c r="F20" s="69">
        <f t="shared" si="1"/>
        <v>0</v>
      </c>
      <c r="G20" s="70"/>
      <c r="H20" s="71"/>
      <c r="I20" s="69">
        <f t="shared" si="2"/>
        <v>0</v>
      </c>
      <c r="J20" s="70"/>
      <c r="K20" s="71"/>
      <c r="L20" s="69">
        <f t="shared" si="3"/>
        <v>0</v>
      </c>
      <c r="M20" s="70"/>
      <c r="N20" s="71"/>
      <c r="O20" s="69">
        <f t="shared" si="4"/>
        <v>0</v>
      </c>
      <c r="P20" s="70"/>
      <c r="Q20" s="71"/>
      <c r="R20" s="69">
        <f t="shared" si="5"/>
        <v>0</v>
      </c>
      <c r="S20" s="70"/>
      <c r="T20" s="71"/>
      <c r="U20" s="69">
        <f t="shared" si="6"/>
        <v>0</v>
      </c>
      <c r="V20" s="70"/>
      <c r="W20" s="71"/>
      <c r="X20" s="69">
        <f t="shared" si="7"/>
        <v>0</v>
      </c>
      <c r="Y20" s="70"/>
      <c r="Z20" s="71"/>
      <c r="AA20" s="69">
        <f t="shared" si="8"/>
        <v>0</v>
      </c>
      <c r="AB20" s="70"/>
      <c r="AC20" s="71"/>
      <c r="AD20" s="69">
        <f t="shared" si="9"/>
        <v>0</v>
      </c>
      <c r="AE20" s="70"/>
      <c r="AF20" s="71"/>
      <c r="AG20" s="69">
        <f t="shared" si="10"/>
        <v>0</v>
      </c>
      <c r="AH20" s="70"/>
      <c r="AI20" s="71"/>
      <c r="AJ20" s="69">
        <f t="shared" si="11"/>
        <v>0</v>
      </c>
      <c r="AK20" s="70"/>
      <c r="AL20" s="71"/>
      <c r="AM20" s="69">
        <f t="shared" si="12"/>
        <v>0</v>
      </c>
      <c r="AN20" s="70"/>
      <c r="AO20" s="71"/>
      <c r="AP20" s="67">
        <f t="shared" si="13"/>
        <v>0</v>
      </c>
      <c r="AQ20" s="8" t="e">
        <f t="shared" si="0"/>
        <v>#DIV/0!</v>
      </c>
    </row>
    <row r="21" spans="1:43" ht="18" customHeight="1" x14ac:dyDescent="0.15">
      <c r="A21" s="6"/>
      <c r="B21" s="12"/>
      <c r="C21" s="66"/>
      <c r="D21" s="67"/>
      <c r="E21" s="68"/>
      <c r="F21" s="69">
        <f t="shared" si="1"/>
        <v>0</v>
      </c>
      <c r="G21" s="70"/>
      <c r="H21" s="71"/>
      <c r="I21" s="69">
        <f t="shared" si="2"/>
        <v>0</v>
      </c>
      <c r="J21" s="70"/>
      <c r="K21" s="71"/>
      <c r="L21" s="69">
        <f t="shared" si="3"/>
        <v>0</v>
      </c>
      <c r="M21" s="70"/>
      <c r="N21" s="71"/>
      <c r="O21" s="69">
        <f t="shared" si="4"/>
        <v>0</v>
      </c>
      <c r="P21" s="70"/>
      <c r="Q21" s="71"/>
      <c r="R21" s="69">
        <f t="shared" si="5"/>
        <v>0</v>
      </c>
      <c r="S21" s="70"/>
      <c r="T21" s="71"/>
      <c r="U21" s="69">
        <f t="shared" si="6"/>
        <v>0</v>
      </c>
      <c r="V21" s="70"/>
      <c r="W21" s="71"/>
      <c r="X21" s="69">
        <f t="shared" si="7"/>
        <v>0</v>
      </c>
      <c r="Y21" s="70"/>
      <c r="Z21" s="71"/>
      <c r="AA21" s="69">
        <f t="shared" si="8"/>
        <v>0</v>
      </c>
      <c r="AB21" s="70"/>
      <c r="AC21" s="71"/>
      <c r="AD21" s="69">
        <f t="shared" si="9"/>
        <v>0</v>
      </c>
      <c r="AE21" s="70"/>
      <c r="AF21" s="71"/>
      <c r="AG21" s="69">
        <f t="shared" si="10"/>
        <v>0</v>
      </c>
      <c r="AH21" s="70"/>
      <c r="AI21" s="71"/>
      <c r="AJ21" s="69">
        <f t="shared" si="11"/>
        <v>0</v>
      </c>
      <c r="AK21" s="70"/>
      <c r="AL21" s="71"/>
      <c r="AM21" s="69">
        <f t="shared" si="12"/>
        <v>0</v>
      </c>
      <c r="AN21" s="70"/>
      <c r="AO21" s="71"/>
      <c r="AP21" s="67">
        <f t="shared" si="13"/>
        <v>0</v>
      </c>
      <c r="AQ21" s="8" t="e">
        <f t="shared" si="0"/>
        <v>#DIV/0!</v>
      </c>
    </row>
    <row r="22" spans="1:43" ht="18" customHeight="1" x14ac:dyDescent="0.15">
      <c r="A22" s="6"/>
      <c r="B22" s="12"/>
      <c r="C22" s="66"/>
      <c r="D22" s="67"/>
      <c r="E22" s="68"/>
      <c r="F22" s="69">
        <f t="shared" si="1"/>
        <v>0</v>
      </c>
      <c r="G22" s="70"/>
      <c r="H22" s="71"/>
      <c r="I22" s="69">
        <f t="shared" si="2"/>
        <v>0</v>
      </c>
      <c r="J22" s="70"/>
      <c r="K22" s="71"/>
      <c r="L22" s="69">
        <f t="shared" si="3"/>
        <v>0</v>
      </c>
      <c r="M22" s="70"/>
      <c r="N22" s="71"/>
      <c r="O22" s="69">
        <f t="shared" si="4"/>
        <v>0</v>
      </c>
      <c r="P22" s="70"/>
      <c r="Q22" s="71"/>
      <c r="R22" s="69">
        <f t="shared" si="5"/>
        <v>0</v>
      </c>
      <c r="S22" s="70"/>
      <c r="T22" s="71"/>
      <c r="U22" s="69">
        <f t="shared" si="6"/>
        <v>0</v>
      </c>
      <c r="V22" s="70"/>
      <c r="W22" s="71"/>
      <c r="X22" s="69">
        <f t="shared" si="7"/>
        <v>0</v>
      </c>
      <c r="Y22" s="70"/>
      <c r="Z22" s="71"/>
      <c r="AA22" s="69">
        <f t="shared" si="8"/>
        <v>0</v>
      </c>
      <c r="AB22" s="70"/>
      <c r="AC22" s="71"/>
      <c r="AD22" s="69">
        <f t="shared" si="9"/>
        <v>0</v>
      </c>
      <c r="AE22" s="70"/>
      <c r="AF22" s="71"/>
      <c r="AG22" s="69">
        <f t="shared" si="10"/>
        <v>0</v>
      </c>
      <c r="AH22" s="70"/>
      <c r="AI22" s="71"/>
      <c r="AJ22" s="69">
        <f t="shared" si="11"/>
        <v>0</v>
      </c>
      <c r="AK22" s="70"/>
      <c r="AL22" s="71"/>
      <c r="AM22" s="69">
        <f t="shared" si="12"/>
        <v>0</v>
      </c>
      <c r="AN22" s="70"/>
      <c r="AO22" s="71"/>
      <c r="AP22" s="67">
        <f t="shared" si="13"/>
        <v>0</v>
      </c>
      <c r="AQ22" s="8" t="e">
        <f t="shared" si="0"/>
        <v>#DIV/0!</v>
      </c>
    </row>
    <row r="23" spans="1:43" ht="18" customHeight="1" x14ac:dyDescent="0.15">
      <c r="A23" s="6"/>
      <c r="B23" s="12"/>
      <c r="C23" s="66"/>
      <c r="D23" s="67"/>
      <c r="E23" s="68"/>
      <c r="F23" s="69">
        <f t="shared" si="1"/>
        <v>0</v>
      </c>
      <c r="G23" s="70"/>
      <c r="H23" s="71"/>
      <c r="I23" s="69">
        <f t="shared" si="2"/>
        <v>0</v>
      </c>
      <c r="J23" s="70"/>
      <c r="K23" s="71"/>
      <c r="L23" s="69">
        <f t="shared" si="3"/>
        <v>0</v>
      </c>
      <c r="M23" s="70"/>
      <c r="N23" s="71"/>
      <c r="O23" s="69">
        <f t="shared" si="4"/>
        <v>0</v>
      </c>
      <c r="P23" s="70"/>
      <c r="Q23" s="71"/>
      <c r="R23" s="69">
        <f t="shared" si="5"/>
        <v>0</v>
      </c>
      <c r="S23" s="70"/>
      <c r="T23" s="71"/>
      <c r="U23" s="69">
        <f t="shared" si="6"/>
        <v>0</v>
      </c>
      <c r="V23" s="70"/>
      <c r="W23" s="71"/>
      <c r="X23" s="69">
        <f t="shared" si="7"/>
        <v>0</v>
      </c>
      <c r="Y23" s="70"/>
      <c r="Z23" s="71"/>
      <c r="AA23" s="69">
        <f t="shared" si="8"/>
        <v>0</v>
      </c>
      <c r="AB23" s="70"/>
      <c r="AC23" s="71"/>
      <c r="AD23" s="69">
        <f t="shared" si="9"/>
        <v>0</v>
      </c>
      <c r="AE23" s="70"/>
      <c r="AF23" s="71"/>
      <c r="AG23" s="69">
        <f t="shared" si="10"/>
        <v>0</v>
      </c>
      <c r="AH23" s="70"/>
      <c r="AI23" s="71"/>
      <c r="AJ23" s="69">
        <f t="shared" si="11"/>
        <v>0</v>
      </c>
      <c r="AK23" s="70"/>
      <c r="AL23" s="71"/>
      <c r="AM23" s="69">
        <f t="shared" si="12"/>
        <v>0</v>
      </c>
      <c r="AN23" s="70"/>
      <c r="AO23" s="71"/>
      <c r="AP23" s="67">
        <f t="shared" si="13"/>
        <v>0</v>
      </c>
      <c r="AQ23" s="8" t="e">
        <f t="shared" si="0"/>
        <v>#DIV/0!</v>
      </c>
    </row>
    <row r="24" spans="1:43" ht="18" customHeight="1" x14ac:dyDescent="0.15">
      <c r="A24" s="6"/>
      <c r="B24" s="12"/>
      <c r="C24" s="66"/>
      <c r="D24" s="67"/>
      <c r="E24" s="68"/>
      <c r="F24" s="69">
        <f t="shared" si="1"/>
        <v>0</v>
      </c>
      <c r="G24" s="70"/>
      <c r="H24" s="71"/>
      <c r="I24" s="69">
        <f t="shared" si="2"/>
        <v>0</v>
      </c>
      <c r="J24" s="70"/>
      <c r="K24" s="71"/>
      <c r="L24" s="69">
        <f t="shared" si="3"/>
        <v>0</v>
      </c>
      <c r="M24" s="70"/>
      <c r="N24" s="71"/>
      <c r="O24" s="69">
        <f t="shared" si="4"/>
        <v>0</v>
      </c>
      <c r="P24" s="70"/>
      <c r="Q24" s="71"/>
      <c r="R24" s="69">
        <f t="shared" si="5"/>
        <v>0</v>
      </c>
      <c r="S24" s="70"/>
      <c r="T24" s="71"/>
      <c r="U24" s="69">
        <f t="shared" si="6"/>
        <v>0</v>
      </c>
      <c r="V24" s="70"/>
      <c r="W24" s="71"/>
      <c r="X24" s="69">
        <f t="shared" si="7"/>
        <v>0</v>
      </c>
      <c r="Y24" s="70"/>
      <c r="Z24" s="71"/>
      <c r="AA24" s="69">
        <f t="shared" si="8"/>
        <v>0</v>
      </c>
      <c r="AB24" s="70"/>
      <c r="AC24" s="71"/>
      <c r="AD24" s="69">
        <f t="shared" si="9"/>
        <v>0</v>
      </c>
      <c r="AE24" s="70"/>
      <c r="AF24" s="71"/>
      <c r="AG24" s="69">
        <f t="shared" si="10"/>
        <v>0</v>
      </c>
      <c r="AH24" s="70"/>
      <c r="AI24" s="71"/>
      <c r="AJ24" s="69">
        <f t="shared" si="11"/>
        <v>0</v>
      </c>
      <c r="AK24" s="70"/>
      <c r="AL24" s="71"/>
      <c r="AM24" s="69">
        <f t="shared" si="12"/>
        <v>0</v>
      </c>
      <c r="AN24" s="70"/>
      <c r="AO24" s="71"/>
      <c r="AP24" s="67">
        <f t="shared" si="13"/>
        <v>0</v>
      </c>
      <c r="AQ24" s="8" t="e">
        <f t="shared" si="0"/>
        <v>#DIV/0!</v>
      </c>
    </row>
    <row r="25" spans="1:43" ht="18" customHeight="1" x14ac:dyDescent="0.15">
      <c r="A25" s="6"/>
      <c r="B25" s="12"/>
      <c r="C25" s="66"/>
      <c r="D25" s="67"/>
      <c r="E25" s="68"/>
      <c r="F25" s="69">
        <f t="shared" si="1"/>
        <v>0</v>
      </c>
      <c r="G25" s="70"/>
      <c r="H25" s="71"/>
      <c r="I25" s="69">
        <f t="shared" si="2"/>
        <v>0</v>
      </c>
      <c r="J25" s="70"/>
      <c r="K25" s="71"/>
      <c r="L25" s="69">
        <f t="shared" si="3"/>
        <v>0</v>
      </c>
      <c r="M25" s="70"/>
      <c r="N25" s="71"/>
      <c r="O25" s="69">
        <f t="shared" si="4"/>
        <v>0</v>
      </c>
      <c r="P25" s="70"/>
      <c r="Q25" s="71"/>
      <c r="R25" s="69">
        <f t="shared" si="5"/>
        <v>0</v>
      </c>
      <c r="S25" s="70"/>
      <c r="T25" s="71"/>
      <c r="U25" s="69">
        <f t="shared" si="6"/>
        <v>0</v>
      </c>
      <c r="V25" s="70"/>
      <c r="W25" s="71"/>
      <c r="X25" s="69">
        <f t="shared" si="7"/>
        <v>0</v>
      </c>
      <c r="Y25" s="70"/>
      <c r="Z25" s="71"/>
      <c r="AA25" s="69">
        <f t="shared" si="8"/>
        <v>0</v>
      </c>
      <c r="AB25" s="70"/>
      <c r="AC25" s="71"/>
      <c r="AD25" s="69">
        <f t="shared" si="9"/>
        <v>0</v>
      </c>
      <c r="AE25" s="70"/>
      <c r="AF25" s="71"/>
      <c r="AG25" s="69">
        <f t="shared" si="10"/>
        <v>0</v>
      </c>
      <c r="AH25" s="70"/>
      <c r="AI25" s="71"/>
      <c r="AJ25" s="69">
        <f t="shared" si="11"/>
        <v>0</v>
      </c>
      <c r="AK25" s="70"/>
      <c r="AL25" s="71"/>
      <c r="AM25" s="69">
        <f t="shared" si="12"/>
        <v>0</v>
      </c>
      <c r="AN25" s="70"/>
      <c r="AO25" s="71"/>
      <c r="AP25" s="67">
        <f t="shared" si="13"/>
        <v>0</v>
      </c>
      <c r="AQ25" s="8" t="e">
        <f t="shared" si="0"/>
        <v>#DIV/0!</v>
      </c>
    </row>
    <row r="26" spans="1:43" ht="18" customHeight="1" x14ac:dyDescent="0.15">
      <c r="A26" s="6"/>
      <c r="B26" s="12"/>
      <c r="C26" s="66"/>
      <c r="D26" s="67"/>
      <c r="E26" s="68"/>
      <c r="F26" s="69">
        <f t="shared" si="1"/>
        <v>0</v>
      </c>
      <c r="G26" s="70"/>
      <c r="H26" s="71"/>
      <c r="I26" s="69">
        <f t="shared" si="2"/>
        <v>0</v>
      </c>
      <c r="J26" s="70"/>
      <c r="K26" s="71"/>
      <c r="L26" s="69">
        <f t="shared" si="3"/>
        <v>0</v>
      </c>
      <c r="M26" s="70"/>
      <c r="N26" s="71"/>
      <c r="O26" s="69">
        <f t="shared" si="4"/>
        <v>0</v>
      </c>
      <c r="P26" s="70"/>
      <c r="Q26" s="71"/>
      <c r="R26" s="69">
        <f t="shared" si="5"/>
        <v>0</v>
      </c>
      <c r="S26" s="70"/>
      <c r="T26" s="71"/>
      <c r="U26" s="69">
        <f t="shared" si="6"/>
        <v>0</v>
      </c>
      <c r="V26" s="70"/>
      <c r="W26" s="71"/>
      <c r="X26" s="69">
        <f t="shared" si="7"/>
        <v>0</v>
      </c>
      <c r="Y26" s="70"/>
      <c r="Z26" s="71"/>
      <c r="AA26" s="69">
        <f t="shared" si="8"/>
        <v>0</v>
      </c>
      <c r="AB26" s="70"/>
      <c r="AC26" s="71"/>
      <c r="AD26" s="69">
        <f t="shared" si="9"/>
        <v>0</v>
      </c>
      <c r="AE26" s="70"/>
      <c r="AF26" s="71"/>
      <c r="AG26" s="69">
        <f t="shared" si="10"/>
        <v>0</v>
      </c>
      <c r="AH26" s="70"/>
      <c r="AI26" s="71"/>
      <c r="AJ26" s="69">
        <f t="shared" si="11"/>
        <v>0</v>
      </c>
      <c r="AK26" s="70"/>
      <c r="AL26" s="71"/>
      <c r="AM26" s="69">
        <f t="shared" si="12"/>
        <v>0</v>
      </c>
      <c r="AN26" s="70"/>
      <c r="AO26" s="71"/>
      <c r="AP26" s="67">
        <f t="shared" si="13"/>
        <v>0</v>
      </c>
      <c r="AQ26" s="8" t="e">
        <f t="shared" si="0"/>
        <v>#DIV/0!</v>
      </c>
    </row>
    <row r="27" spans="1:43" ht="18" customHeight="1" x14ac:dyDescent="0.15">
      <c r="A27" s="6"/>
      <c r="B27" s="12"/>
      <c r="C27" s="66"/>
      <c r="D27" s="67"/>
      <c r="E27" s="68"/>
      <c r="F27" s="69">
        <f t="shared" si="1"/>
        <v>0</v>
      </c>
      <c r="G27" s="70"/>
      <c r="H27" s="71"/>
      <c r="I27" s="69">
        <f t="shared" si="2"/>
        <v>0</v>
      </c>
      <c r="J27" s="70"/>
      <c r="K27" s="71"/>
      <c r="L27" s="69">
        <f t="shared" si="3"/>
        <v>0</v>
      </c>
      <c r="M27" s="70"/>
      <c r="N27" s="71"/>
      <c r="O27" s="69">
        <f t="shared" si="4"/>
        <v>0</v>
      </c>
      <c r="P27" s="70"/>
      <c r="Q27" s="71"/>
      <c r="R27" s="69">
        <f t="shared" si="5"/>
        <v>0</v>
      </c>
      <c r="S27" s="70"/>
      <c r="T27" s="71"/>
      <c r="U27" s="69">
        <f t="shared" si="6"/>
        <v>0</v>
      </c>
      <c r="V27" s="70"/>
      <c r="W27" s="71"/>
      <c r="X27" s="69">
        <f t="shared" si="7"/>
        <v>0</v>
      </c>
      <c r="Y27" s="70"/>
      <c r="Z27" s="71"/>
      <c r="AA27" s="69">
        <f t="shared" si="8"/>
        <v>0</v>
      </c>
      <c r="AB27" s="70"/>
      <c r="AC27" s="71"/>
      <c r="AD27" s="69">
        <f t="shared" si="9"/>
        <v>0</v>
      </c>
      <c r="AE27" s="70"/>
      <c r="AF27" s="71"/>
      <c r="AG27" s="69">
        <f t="shared" si="10"/>
        <v>0</v>
      </c>
      <c r="AH27" s="70"/>
      <c r="AI27" s="71"/>
      <c r="AJ27" s="69">
        <f t="shared" si="11"/>
        <v>0</v>
      </c>
      <c r="AK27" s="70"/>
      <c r="AL27" s="71"/>
      <c r="AM27" s="69">
        <f t="shared" si="12"/>
        <v>0</v>
      </c>
      <c r="AN27" s="70"/>
      <c r="AO27" s="71"/>
      <c r="AP27" s="67">
        <f t="shared" si="13"/>
        <v>0</v>
      </c>
      <c r="AQ27" s="8" t="e">
        <f t="shared" si="0"/>
        <v>#DIV/0!</v>
      </c>
    </row>
    <row r="28" spans="1:43" ht="18" customHeight="1" x14ac:dyDescent="0.15">
      <c r="A28" s="6"/>
      <c r="B28" s="12"/>
      <c r="C28" s="66"/>
      <c r="D28" s="67"/>
      <c r="E28" s="68"/>
      <c r="F28" s="69">
        <f t="shared" si="1"/>
        <v>0</v>
      </c>
      <c r="G28" s="70"/>
      <c r="H28" s="71"/>
      <c r="I28" s="69">
        <f t="shared" si="2"/>
        <v>0</v>
      </c>
      <c r="J28" s="70"/>
      <c r="K28" s="71"/>
      <c r="L28" s="69">
        <f t="shared" si="3"/>
        <v>0</v>
      </c>
      <c r="M28" s="70"/>
      <c r="N28" s="71"/>
      <c r="O28" s="69">
        <f t="shared" si="4"/>
        <v>0</v>
      </c>
      <c r="P28" s="70"/>
      <c r="Q28" s="71"/>
      <c r="R28" s="69">
        <f t="shared" si="5"/>
        <v>0</v>
      </c>
      <c r="S28" s="70"/>
      <c r="T28" s="71"/>
      <c r="U28" s="69">
        <f t="shared" si="6"/>
        <v>0</v>
      </c>
      <c r="V28" s="70"/>
      <c r="W28" s="71"/>
      <c r="X28" s="69">
        <f t="shared" si="7"/>
        <v>0</v>
      </c>
      <c r="Y28" s="70"/>
      <c r="Z28" s="71"/>
      <c r="AA28" s="69">
        <f t="shared" si="8"/>
        <v>0</v>
      </c>
      <c r="AB28" s="70"/>
      <c r="AC28" s="71"/>
      <c r="AD28" s="69">
        <f t="shared" si="9"/>
        <v>0</v>
      </c>
      <c r="AE28" s="70"/>
      <c r="AF28" s="71"/>
      <c r="AG28" s="69">
        <f t="shared" si="10"/>
        <v>0</v>
      </c>
      <c r="AH28" s="70"/>
      <c r="AI28" s="71"/>
      <c r="AJ28" s="69">
        <f t="shared" si="11"/>
        <v>0</v>
      </c>
      <c r="AK28" s="70"/>
      <c r="AL28" s="71"/>
      <c r="AM28" s="69">
        <f t="shared" si="12"/>
        <v>0</v>
      </c>
      <c r="AN28" s="70"/>
      <c r="AO28" s="71"/>
      <c r="AP28" s="67">
        <f t="shared" si="13"/>
        <v>0</v>
      </c>
      <c r="AQ28" s="8" t="e">
        <f t="shared" si="0"/>
        <v>#DIV/0!</v>
      </c>
    </row>
    <row r="29" spans="1:43" ht="18" customHeight="1" x14ac:dyDescent="0.15">
      <c r="A29" s="6"/>
      <c r="B29" s="12"/>
      <c r="C29" s="66"/>
      <c r="D29" s="72"/>
      <c r="E29" s="68"/>
      <c r="F29" s="69">
        <f t="shared" si="1"/>
        <v>0</v>
      </c>
      <c r="G29" s="70"/>
      <c r="H29" s="71"/>
      <c r="I29" s="69">
        <f t="shared" si="2"/>
        <v>0</v>
      </c>
      <c r="J29" s="70"/>
      <c r="K29" s="71"/>
      <c r="L29" s="69">
        <f t="shared" si="3"/>
        <v>0</v>
      </c>
      <c r="M29" s="70"/>
      <c r="N29" s="71"/>
      <c r="O29" s="69">
        <f t="shared" si="4"/>
        <v>0</v>
      </c>
      <c r="P29" s="70"/>
      <c r="Q29" s="71"/>
      <c r="R29" s="69">
        <f t="shared" si="5"/>
        <v>0</v>
      </c>
      <c r="S29" s="70"/>
      <c r="T29" s="71"/>
      <c r="U29" s="69">
        <f t="shared" si="6"/>
        <v>0</v>
      </c>
      <c r="V29" s="70"/>
      <c r="W29" s="71"/>
      <c r="X29" s="69">
        <f t="shared" si="7"/>
        <v>0</v>
      </c>
      <c r="Y29" s="70"/>
      <c r="Z29" s="71"/>
      <c r="AA29" s="69">
        <f t="shared" si="8"/>
        <v>0</v>
      </c>
      <c r="AB29" s="70"/>
      <c r="AC29" s="71"/>
      <c r="AD29" s="69">
        <f t="shared" si="9"/>
        <v>0</v>
      </c>
      <c r="AE29" s="70"/>
      <c r="AF29" s="71"/>
      <c r="AG29" s="69">
        <f t="shared" si="10"/>
        <v>0</v>
      </c>
      <c r="AH29" s="70"/>
      <c r="AI29" s="71"/>
      <c r="AJ29" s="69">
        <f t="shared" si="11"/>
        <v>0</v>
      </c>
      <c r="AK29" s="70"/>
      <c r="AL29" s="71"/>
      <c r="AM29" s="69">
        <f t="shared" si="12"/>
        <v>0</v>
      </c>
      <c r="AN29" s="70"/>
      <c r="AO29" s="71"/>
      <c r="AP29" s="72">
        <f t="shared" si="13"/>
        <v>0</v>
      </c>
      <c r="AQ29" s="8" t="e">
        <f t="shared" si="0"/>
        <v>#DIV/0!</v>
      </c>
    </row>
    <row r="30" spans="1:43" ht="18" customHeight="1" x14ac:dyDescent="0.15">
      <c r="A30" s="6"/>
      <c r="B30" s="12"/>
      <c r="C30" s="66"/>
      <c r="D30" s="72"/>
      <c r="E30" s="68"/>
      <c r="F30" s="69">
        <f t="shared" si="1"/>
        <v>0</v>
      </c>
      <c r="G30" s="70"/>
      <c r="H30" s="71"/>
      <c r="I30" s="69">
        <f t="shared" si="2"/>
        <v>0</v>
      </c>
      <c r="J30" s="70"/>
      <c r="K30" s="71"/>
      <c r="L30" s="69">
        <f t="shared" si="3"/>
        <v>0</v>
      </c>
      <c r="M30" s="70"/>
      <c r="N30" s="71"/>
      <c r="O30" s="69">
        <f t="shared" si="4"/>
        <v>0</v>
      </c>
      <c r="P30" s="70"/>
      <c r="Q30" s="71"/>
      <c r="R30" s="69">
        <f t="shared" si="5"/>
        <v>0</v>
      </c>
      <c r="S30" s="70"/>
      <c r="T30" s="71"/>
      <c r="U30" s="69">
        <f t="shared" si="6"/>
        <v>0</v>
      </c>
      <c r="V30" s="70"/>
      <c r="W30" s="71"/>
      <c r="X30" s="69">
        <f t="shared" si="7"/>
        <v>0</v>
      </c>
      <c r="Y30" s="70"/>
      <c r="Z30" s="71"/>
      <c r="AA30" s="69">
        <f t="shared" si="8"/>
        <v>0</v>
      </c>
      <c r="AB30" s="70"/>
      <c r="AC30" s="71"/>
      <c r="AD30" s="69">
        <f t="shared" si="9"/>
        <v>0</v>
      </c>
      <c r="AE30" s="70"/>
      <c r="AF30" s="71"/>
      <c r="AG30" s="69">
        <f t="shared" si="10"/>
        <v>0</v>
      </c>
      <c r="AH30" s="70"/>
      <c r="AI30" s="71"/>
      <c r="AJ30" s="69">
        <f t="shared" si="11"/>
        <v>0</v>
      </c>
      <c r="AK30" s="70"/>
      <c r="AL30" s="71"/>
      <c r="AM30" s="69">
        <f t="shared" si="12"/>
        <v>0</v>
      </c>
      <c r="AN30" s="70"/>
      <c r="AO30" s="71"/>
      <c r="AP30" s="72">
        <f t="shared" si="13"/>
        <v>0</v>
      </c>
      <c r="AQ30" s="8" t="e">
        <f t="shared" si="0"/>
        <v>#DIV/0!</v>
      </c>
    </row>
    <row r="31" spans="1:43" ht="18" customHeight="1" thickBot="1" x14ac:dyDescent="0.2">
      <c r="A31" s="6"/>
      <c r="B31" s="13"/>
      <c r="C31" s="61"/>
      <c r="D31" s="73"/>
      <c r="E31" s="63"/>
      <c r="F31" s="63">
        <f t="shared" si="1"/>
        <v>0</v>
      </c>
      <c r="G31" s="74"/>
      <c r="H31" s="75"/>
      <c r="I31" s="63">
        <f t="shared" si="2"/>
        <v>0</v>
      </c>
      <c r="J31" s="74"/>
      <c r="K31" s="75"/>
      <c r="L31" s="63">
        <f t="shared" si="3"/>
        <v>0</v>
      </c>
      <c r="M31" s="74"/>
      <c r="N31" s="75"/>
      <c r="O31" s="63">
        <f t="shared" si="4"/>
        <v>0</v>
      </c>
      <c r="P31" s="74"/>
      <c r="Q31" s="75"/>
      <c r="R31" s="63">
        <f t="shared" si="5"/>
        <v>0</v>
      </c>
      <c r="S31" s="74"/>
      <c r="T31" s="75"/>
      <c r="U31" s="63">
        <f t="shared" si="6"/>
        <v>0</v>
      </c>
      <c r="V31" s="74"/>
      <c r="W31" s="75"/>
      <c r="X31" s="63">
        <f t="shared" si="7"/>
        <v>0</v>
      </c>
      <c r="Y31" s="74"/>
      <c r="Z31" s="75"/>
      <c r="AA31" s="63">
        <f t="shared" si="8"/>
        <v>0</v>
      </c>
      <c r="AB31" s="74"/>
      <c r="AC31" s="75"/>
      <c r="AD31" s="63">
        <f t="shared" si="9"/>
        <v>0</v>
      </c>
      <c r="AE31" s="74"/>
      <c r="AF31" s="75"/>
      <c r="AG31" s="63">
        <f t="shared" si="10"/>
        <v>0</v>
      </c>
      <c r="AH31" s="74"/>
      <c r="AI31" s="75"/>
      <c r="AJ31" s="63">
        <f t="shared" si="11"/>
        <v>0</v>
      </c>
      <c r="AK31" s="74"/>
      <c r="AL31" s="75"/>
      <c r="AM31" s="63">
        <f t="shared" si="12"/>
        <v>0</v>
      </c>
      <c r="AN31" s="74"/>
      <c r="AO31" s="75"/>
      <c r="AP31" s="73">
        <f t="shared" si="13"/>
        <v>0</v>
      </c>
      <c r="AQ31" s="7" t="e">
        <f t="shared" si="0"/>
        <v>#DIV/0!</v>
      </c>
    </row>
    <row r="32" spans="1:43" ht="18" customHeight="1" thickTop="1" x14ac:dyDescent="0.15">
      <c r="B32" s="14" t="s">
        <v>33</v>
      </c>
      <c r="C32" s="76">
        <f t="shared" ref="C32" si="14">SUM(C12:C31)</f>
        <v>1012</v>
      </c>
      <c r="D32" s="77">
        <f t="shared" ref="D32:AP32" si="15">SUM(D12:D31)</f>
        <v>200</v>
      </c>
      <c r="E32" s="78">
        <f t="shared" si="15"/>
        <v>1000</v>
      </c>
      <c r="F32" s="78">
        <f t="shared" si="15"/>
        <v>202</v>
      </c>
      <c r="G32" s="79">
        <f t="shared" si="15"/>
        <v>162</v>
      </c>
      <c r="H32" s="80">
        <f t="shared" si="15"/>
        <v>39</v>
      </c>
      <c r="I32" s="78">
        <f t="shared" ref="I32:N32" si="16">SUM(I12:I31)</f>
        <v>196</v>
      </c>
      <c r="J32" s="79">
        <f t="shared" si="16"/>
        <v>158</v>
      </c>
      <c r="K32" s="80">
        <f t="shared" si="16"/>
        <v>38</v>
      </c>
      <c r="L32" s="78">
        <f t="shared" si="16"/>
        <v>0</v>
      </c>
      <c r="M32" s="79">
        <f t="shared" si="16"/>
        <v>0</v>
      </c>
      <c r="N32" s="80">
        <f t="shared" si="16"/>
        <v>0</v>
      </c>
      <c r="O32" s="78">
        <f t="shared" ref="O32:T32" si="17">SUM(O12:O31)</f>
        <v>0</v>
      </c>
      <c r="P32" s="79">
        <f t="shared" si="17"/>
        <v>0</v>
      </c>
      <c r="Q32" s="80">
        <f t="shared" si="17"/>
        <v>0</v>
      </c>
      <c r="R32" s="78">
        <f t="shared" si="17"/>
        <v>0</v>
      </c>
      <c r="S32" s="79">
        <f t="shared" si="17"/>
        <v>0</v>
      </c>
      <c r="T32" s="80">
        <f t="shared" si="17"/>
        <v>0</v>
      </c>
      <c r="U32" s="78">
        <f t="shared" ref="U32:AI32" si="18">SUM(U12:U31)</f>
        <v>0</v>
      </c>
      <c r="V32" s="79">
        <f t="shared" si="18"/>
        <v>0</v>
      </c>
      <c r="W32" s="80">
        <f t="shared" si="18"/>
        <v>0</v>
      </c>
      <c r="X32" s="78">
        <f t="shared" si="18"/>
        <v>0</v>
      </c>
      <c r="Y32" s="79">
        <f t="shared" si="18"/>
        <v>0</v>
      </c>
      <c r="Z32" s="80">
        <f t="shared" si="18"/>
        <v>0</v>
      </c>
      <c r="AA32" s="78">
        <f t="shared" si="18"/>
        <v>0</v>
      </c>
      <c r="AB32" s="79">
        <f t="shared" si="18"/>
        <v>0</v>
      </c>
      <c r="AC32" s="80">
        <f t="shared" si="18"/>
        <v>0</v>
      </c>
      <c r="AD32" s="78">
        <f t="shared" si="18"/>
        <v>0</v>
      </c>
      <c r="AE32" s="79">
        <f t="shared" si="18"/>
        <v>0</v>
      </c>
      <c r="AF32" s="80">
        <f t="shared" si="18"/>
        <v>0</v>
      </c>
      <c r="AG32" s="78">
        <f t="shared" si="18"/>
        <v>0</v>
      </c>
      <c r="AH32" s="79">
        <f t="shared" si="18"/>
        <v>0</v>
      </c>
      <c r="AI32" s="80">
        <f t="shared" si="18"/>
        <v>0</v>
      </c>
      <c r="AJ32" s="78">
        <f t="shared" ref="AJ32:AO32" si="19">SUM(AJ12:AJ31)</f>
        <v>0</v>
      </c>
      <c r="AK32" s="79">
        <f t="shared" si="19"/>
        <v>0</v>
      </c>
      <c r="AL32" s="80">
        <f t="shared" si="19"/>
        <v>0</v>
      </c>
      <c r="AM32" s="78">
        <f t="shared" si="19"/>
        <v>0</v>
      </c>
      <c r="AN32" s="79">
        <f t="shared" si="19"/>
        <v>0</v>
      </c>
      <c r="AO32" s="80">
        <f t="shared" si="19"/>
        <v>0</v>
      </c>
      <c r="AP32" s="77">
        <f t="shared" si="15"/>
        <v>202</v>
      </c>
      <c r="AQ32" s="9">
        <f t="shared" si="0"/>
        <v>0.20200000000000001</v>
      </c>
    </row>
  </sheetData>
  <mergeCells count="27">
    <mergeCell ref="AD9:AI9"/>
    <mergeCell ref="AD10:AF10"/>
    <mergeCell ref="AG10:AI10"/>
    <mergeCell ref="AJ9:AO9"/>
    <mergeCell ref="AJ10:AL10"/>
    <mergeCell ref="AM10:AO10"/>
    <mergeCell ref="AM2:AQ2"/>
    <mergeCell ref="R10:T10"/>
    <mergeCell ref="U10:W10"/>
    <mergeCell ref="X9:AC9"/>
    <mergeCell ref="X10:Z10"/>
    <mergeCell ref="AA10:AC10"/>
    <mergeCell ref="A3:AQ3"/>
    <mergeCell ref="C5:D5"/>
    <mergeCell ref="B9:B11"/>
    <mergeCell ref="D9:D11"/>
    <mergeCell ref="E9:E11"/>
    <mergeCell ref="F9:K9"/>
    <mergeCell ref="AP9:AP11"/>
    <mergeCell ref="AQ9:AQ11"/>
    <mergeCell ref="C9:C11"/>
    <mergeCell ref="F10:H10"/>
    <mergeCell ref="I10:K10"/>
    <mergeCell ref="L9:Q9"/>
    <mergeCell ref="L10:N10"/>
    <mergeCell ref="O10:Q10"/>
    <mergeCell ref="R9:W9"/>
  </mergeCells>
  <phoneticPr fontId="1"/>
  <conditionalFormatting sqref="C5:D5">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57"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pageSetUpPr fitToPage="1"/>
  </sheetPr>
  <dimension ref="A1:O134"/>
  <sheetViews>
    <sheetView showZeros="0" view="pageBreakPreview" topLeftCell="A89" zoomScaleNormal="100" zoomScaleSheetLayoutView="100" workbookViewId="0">
      <selection activeCell="B120" sqref="B120"/>
    </sheetView>
  </sheetViews>
  <sheetFormatPr defaultColWidth="11.375" defaultRowHeight="18.75" customHeight="1" x14ac:dyDescent="0.15"/>
  <cols>
    <col min="1" max="1" width="2.75" style="40" customWidth="1"/>
    <col min="2" max="2" width="16.625" style="1" customWidth="1"/>
    <col min="3" max="3" width="8.875" style="1" customWidth="1"/>
    <col min="4" max="4" width="2.25" style="1" customWidth="1"/>
    <col min="5" max="5" width="16.625" style="1" customWidth="1"/>
    <col min="6" max="6" width="4.375" style="1" customWidth="1"/>
    <col min="7" max="7" width="9" style="1" customWidth="1"/>
    <col min="8" max="8" width="16.625" style="1" customWidth="1"/>
    <col min="9" max="9" width="12.125" style="1" customWidth="1"/>
    <col min="10" max="16384" width="11.375" style="1"/>
  </cols>
  <sheetData>
    <row r="1" spans="1:9" ht="18.75" customHeight="1" x14ac:dyDescent="0.15">
      <c r="A1" s="40" t="s">
        <v>65</v>
      </c>
      <c r="I1" s="34" t="s">
        <v>105</v>
      </c>
    </row>
    <row r="2" spans="1:9" ht="18.75" customHeight="1" x14ac:dyDescent="0.15">
      <c r="G2" s="34" t="s">
        <v>108</v>
      </c>
      <c r="H2" s="87" t="str">
        <f>'様式１　プログラムを構成する授業科目'!C2</f>
        <v>沼津工業高等専門学校</v>
      </c>
      <c r="I2" s="88"/>
    </row>
    <row r="3" spans="1:9" ht="18.75" customHeight="1" x14ac:dyDescent="0.15">
      <c r="G3" s="34"/>
      <c r="H3" s="10"/>
      <c r="I3" s="10"/>
    </row>
    <row r="4" spans="1:9" ht="18.600000000000001" customHeight="1" x14ac:dyDescent="0.15">
      <c r="A4" s="106" t="s">
        <v>36</v>
      </c>
      <c r="B4" s="106"/>
      <c r="C4" s="106"/>
      <c r="D4" s="106"/>
      <c r="E4" s="106"/>
      <c r="F4" s="106"/>
      <c r="G4" s="106"/>
      <c r="H4" s="106"/>
      <c r="I4" s="106"/>
    </row>
    <row r="5" spans="1:9" ht="13.15" customHeight="1" x14ac:dyDescent="0.15">
      <c r="B5" s="3"/>
      <c r="C5" s="3"/>
      <c r="D5" s="3"/>
      <c r="E5" s="3"/>
      <c r="F5" s="3"/>
      <c r="G5" s="3"/>
      <c r="H5" s="3"/>
      <c r="I5" s="3"/>
    </row>
    <row r="6" spans="1:9" ht="18" customHeight="1" x14ac:dyDescent="0.15">
      <c r="A6" s="1" t="s">
        <v>0</v>
      </c>
      <c r="B6" s="10" t="s">
        <v>91</v>
      </c>
      <c r="C6" s="231" t="s">
        <v>92</v>
      </c>
      <c r="D6" s="231"/>
      <c r="E6" s="33">
        <v>78</v>
      </c>
      <c r="F6" s="3" t="s">
        <v>1</v>
      </c>
      <c r="G6" s="3" t="s">
        <v>2</v>
      </c>
      <c r="H6" s="33">
        <v>49</v>
      </c>
      <c r="I6" s="10" t="s">
        <v>1</v>
      </c>
    </row>
    <row r="7" spans="1:9" ht="12" customHeight="1" x14ac:dyDescent="0.15">
      <c r="C7" s="2"/>
      <c r="D7" s="2"/>
      <c r="E7" s="2"/>
      <c r="F7" s="2"/>
      <c r="G7" s="2"/>
      <c r="H7" s="2"/>
      <c r="I7" s="41"/>
    </row>
    <row r="8" spans="1:9" ht="18" customHeight="1" x14ac:dyDescent="0.15">
      <c r="A8" s="1" t="s">
        <v>3</v>
      </c>
      <c r="B8" s="10" t="s">
        <v>93</v>
      </c>
      <c r="E8" s="3"/>
      <c r="F8" s="3"/>
      <c r="G8" s="3"/>
      <c r="H8" s="33">
        <f>5+13+2</f>
        <v>20</v>
      </c>
      <c r="I8" s="10" t="s">
        <v>1</v>
      </c>
    </row>
    <row r="9" spans="1:9" ht="9" customHeight="1" x14ac:dyDescent="0.15">
      <c r="B9" s="3"/>
      <c r="C9" s="3"/>
      <c r="D9" s="3"/>
      <c r="E9" s="3"/>
      <c r="F9" s="3"/>
      <c r="G9" s="3"/>
      <c r="H9" s="3"/>
      <c r="I9" s="3"/>
    </row>
    <row r="10" spans="1:9" ht="18" customHeight="1" x14ac:dyDescent="0.15">
      <c r="A10" s="1" t="s">
        <v>4</v>
      </c>
      <c r="B10" s="10" t="s">
        <v>94</v>
      </c>
      <c r="C10" s="3"/>
      <c r="D10" s="3"/>
      <c r="E10" s="3"/>
      <c r="F10" s="3"/>
      <c r="G10" s="3"/>
      <c r="H10" s="3"/>
      <c r="I10" s="3"/>
    </row>
    <row r="11" spans="1:9" ht="18" customHeight="1" x14ac:dyDescent="0.15">
      <c r="B11" s="34" t="s">
        <v>43</v>
      </c>
      <c r="C11" s="226" t="s">
        <v>155</v>
      </c>
      <c r="D11" s="229"/>
      <c r="E11" s="230"/>
      <c r="F11" s="41"/>
      <c r="G11" s="34" t="s">
        <v>10</v>
      </c>
      <c r="H11" s="226" t="s">
        <v>156</v>
      </c>
      <c r="I11" s="230"/>
    </row>
    <row r="12" spans="1:9" ht="10.15" customHeight="1" x14ac:dyDescent="0.15">
      <c r="B12" s="34"/>
      <c r="C12" s="10"/>
      <c r="D12" s="41"/>
      <c r="E12" s="41"/>
      <c r="F12" s="41"/>
      <c r="G12" s="34"/>
      <c r="H12" s="10"/>
      <c r="I12" s="41"/>
    </row>
    <row r="13" spans="1:9" ht="18" customHeight="1" x14ac:dyDescent="0.15">
      <c r="A13" s="1" t="s">
        <v>7</v>
      </c>
      <c r="B13" s="10" t="s">
        <v>88</v>
      </c>
      <c r="C13" s="3"/>
      <c r="D13" s="3"/>
      <c r="E13" s="3"/>
      <c r="F13" s="3"/>
      <c r="G13" s="3"/>
      <c r="H13" s="3"/>
      <c r="I13" s="3"/>
    </row>
    <row r="14" spans="1:9" ht="18" customHeight="1" x14ac:dyDescent="0.15">
      <c r="B14" s="226" t="s">
        <v>152</v>
      </c>
      <c r="C14" s="227"/>
      <c r="D14" s="227"/>
      <c r="E14" s="227"/>
      <c r="F14" s="227"/>
      <c r="G14" s="227"/>
      <c r="H14" s="227"/>
      <c r="I14" s="228"/>
    </row>
    <row r="15" spans="1:9" ht="9" customHeight="1" x14ac:dyDescent="0.15">
      <c r="B15" s="3"/>
      <c r="C15" s="3"/>
      <c r="D15" s="3"/>
      <c r="E15" s="3"/>
      <c r="F15" s="3"/>
      <c r="G15" s="3"/>
      <c r="H15" s="3"/>
      <c r="I15" s="3"/>
    </row>
    <row r="16" spans="1:9" ht="18" customHeight="1" x14ac:dyDescent="0.15">
      <c r="B16" s="34" t="s">
        <v>43</v>
      </c>
      <c r="C16" s="226" t="s">
        <v>161</v>
      </c>
      <c r="D16" s="229"/>
      <c r="E16" s="230"/>
      <c r="F16" s="41"/>
      <c r="G16" s="34" t="s">
        <v>10</v>
      </c>
      <c r="H16" s="226" t="s">
        <v>162</v>
      </c>
      <c r="I16" s="230"/>
    </row>
    <row r="17" spans="1:9" ht="18" customHeight="1" x14ac:dyDescent="0.15">
      <c r="B17" s="3"/>
      <c r="C17" s="3"/>
      <c r="D17" s="3"/>
      <c r="E17" s="3"/>
      <c r="F17" s="3"/>
      <c r="G17" s="3"/>
      <c r="H17" s="3"/>
      <c r="I17" s="3"/>
    </row>
    <row r="18" spans="1:9" ht="18.75" customHeight="1" x14ac:dyDescent="0.15">
      <c r="A18" s="1" t="s">
        <v>5</v>
      </c>
      <c r="B18" s="1" t="s">
        <v>42</v>
      </c>
      <c r="I18" s="3"/>
    </row>
    <row r="19" spans="1:9" ht="18.75" customHeight="1" x14ac:dyDescent="0.15">
      <c r="A19" s="1"/>
      <c r="B19" s="218" t="s">
        <v>150</v>
      </c>
      <c r="C19" s="219"/>
      <c r="D19" s="219"/>
      <c r="E19" s="219"/>
      <c r="F19" s="219"/>
      <c r="G19" s="219"/>
      <c r="H19" s="219"/>
      <c r="I19" s="220"/>
    </row>
    <row r="20" spans="1:9" ht="7.5" customHeight="1" x14ac:dyDescent="0.15">
      <c r="B20" s="3"/>
      <c r="C20" s="3"/>
      <c r="D20" s="3"/>
      <c r="E20" s="3"/>
      <c r="F20" s="3"/>
      <c r="G20" s="3"/>
      <c r="H20" s="3"/>
      <c r="I20" s="3"/>
    </row>
    <row r="21" spans="1:9" ht="18.75" customHeight="1" x14ac:dyDescent="0.15">
      <c r="A21" s="1" t="s">
        <v>8</v>
      </c>
      <c r="B21" s="1" t="s">
        <v>25</v>
      </c>
    </row>
    <row r="22" spans="1:9" ht="18.75" customHeight="1" x14ac:dyDescent="0.15">
      <c r="A22" s="15"/>
      <c r="B22" s="208" t="s">
        <v>151</v>
      </c>
      <c r="C22" s="209"/>
      <c r="D22" s="209"/>
      <c r="E22" s="209"/>
      <c r="F22" s="209"/>
      <c r="G22" s="209"/>
      <c r="H22" s="209"/>
      <c r="I22" s="210"/>
    </row>
    <row r="23" spans="1:9" ht="18.75" customHeight="1" x14ac:dyDescent="0.15">
      <c r="A23" s="15"/>
      <c r="B23" s="221"/>
      <c r="C23" s="222"/>
      <c r="D23" s="222"/>
      <c r="E23" s="222"/>
      <c r="F23" s="222"/>
      <c r="G23" s="222"/>
      <c r="H23" s="222"/>
      <c r="I23" s="213"/>
    </row>
    <row r="24" spans="1:9" ht="18.75" customHeight="1" x14ac:dyDescent="0.15">
      <c r="A24" s="15"/>
      <c r="B24" s="221"/>
      <c r="C24" s="222"/>
      <c r="D24" s="222"/>
      <c r="E24" s="222"/>
      <c r="F24" s="222"/>
      <c r="G24" s="222"/>
      <c r="H24" s="222"/>
      <c r="I24" s="213"/>
    </row>
    <row r="25" spans="1:9" ht="18.75" customHeight="1" x14ac:dyDescent="0.15">
      <c r="A25" s="15"/>
      <c r="B25" s="221"/>
      <c r="C25" s="222"/>
      <c r="D25" s="222"/>
      <c r="E25" s="222"/>
      <c r="F25" s="222"/>
      <c r="G25" s="222"/>
      <c r="H25" s="222"/>
      <c r="I25" s="213"/>
    </row>
    <row r="26" spans="1:9" ht="18.75" customHeight="1" x14ac:dyDescent="0.15">
      <c r="A26" s="15"/>
      <c r="B26" s="221"/>
      <c r="C26" s="222"/>
      <c r="D26" s="222"/>
      <c r="E26" s="222"/>
      <c r="F26" s="222"/>
      <c r="G26" s="222"/>
      <c r="H26" s="222"/>
      <c r="I26" s="213"/>
    </row>
    <row r="27" spans="1:9" ht="18.75" customHeight="1" x14ac:dyDescent="0.15">
      <c r="A27" s="15"/>
      <c r="B27" s="221"/>
      <c r="C27" s="222"/>
      <c r="D27" s="222"/>
      <c r="E27" s="222"/>
      <c r="F27" s="222"/>
      <c r="G27" s="222"/>
      <c r="H27" s="222"/>
      <c r="I27" s="213"/>
    </row>
    <row r="28" spans="1:9" ht="18.75" customHeight="1" x14ac:dyDescent="0.15">
      <c r="A28" s="15"/>
      <c r="B28" s="221"/>
      <c r="C28" s="222"/>
      <c r="D28" s="222"/>
      <c r="E28" s="222"/>
      <c r="F28" s="222"/>
      <c r="G28" s="222"/>
      <c r="H28" s="222"/>
      <c r="I28" s="213"/>
    </row>
    <row r="29" spans="1:9" ht="18.75" customHeight="1" x14ac:dyDescent="0.15">
      <c r="A29" s="15"/>
      <c r="B29" s="221"/>
      <c r="C29" s="222"/>
      <c r="D29" s="222"/>
      <c r="E29" s="222"/>
      <c r="F29" s="222"/>
      <c r="G29" s="222"/>
      <c r="H29" s="222"/>
      <c r="I29" s="213"/>
    </row>
    <row r="30" spans="1:9" ht="18.75" customHeight="1" x14ac:dyDescent="0.15">
      <c r="A30" s="15"/>
      <c r="B30" s="211"/>
      <c r="C30" s="212"/>
      <c r="D30" s="212"/>
      <c r="E30" s="212"/>
      <c r="F30" s="212"/>
      <c r="G30" s="212"/>
      <c r="H30" s="212"/>
      <c r="I30" s="213"/>
    </row>
    <row r="31" spans="1:9" ht="18.75" customHeight="1" x14ac:dyDescent="0.15">
      <c r="A31" s="15"/>
      <c r="B31" s="211"/>
      <c r="C31" s="212"/>
      <c r="D31" s="212"/>
      <c r="E31" s="212"/>
      <c r="F31" s="212"/>
      <c r="G31" s="212"/>
      <c r="H31" s="212"/>
      <c r="I31" s="213"/>
    </row>
    <row r="32" spans="1:9" ht="18.75" customHeight="1" x14ac:dyDescent="0.15">
      <c r="A32" s="15"/>
      <c r="B32" s="214"/>
      <c r="C32" s="215"/>
      <c r="D32" s="215"/>
      <c r="E32" s="215"/>
      <c r="F32" s="215"/>
      <c r="G32" s="215"/>
      <c r="H32" s="215"/>
      <c r="I32" s="216"/>
    </row>
    <row r="33" spans="1:9" ht="7.5" customHeight="1" x14ac:dyDescent="0.15">
      <c r="A33" s="15"/>
      <c r="B33" s="15"/>
      <c r="C33" s="15"/>
      <c r="D33" s="15"/>
      <c r="E33" s="15"/>
      <c r="F33" s="15"/>
      <c r="G33" s="15"/>
      <c r="H33" s="15"/>
      <c r="I33" s="15"/>
    </row>
    <row r="34" spans="1:9" ht="18.75" customHeight="1" x14ac:dyDescent="0.15">
      <c r="A34" s="16" t="s">
        <v>6</v>
      </c>
      <c r="B34" s="16" t="s">
        <v>9</v>
      </c>
      <c r="C34" s="10"/>
      <c r="D34" s="16"/>
      <c r="E34" s="16"/>
      <c r="F34" s="16"/>
      <c r="G34" s="16"/>
      <c r="H34" s="16"/>
      <c r="I34" s="16"/>
    </row>
    <row r="35" spans="1:9" ht="18.75" customHeight="1" x14ac:dyDescent="0.15">
      <c r="A35" s="15"/>
      <c r="B35" s="208" t="s">
        <v>163</v>
      </c>
      <c r="C35" s="209"/>
      <c r="D35" s="209"/>
      <c r="E35" s="209"/>
      <c r="F35" s="209"/>
      <c r="G35" s="209"/>
      <c r="H35" s="209"/>
      <c r="I35" s="210"/>
    </row>
    <row r="36" spans="1:9" ht="18.75" customHeight="1" x14ac:dyDescent="0.15">
      <c r="A36" s="15"/>
      <c r="B36" s="211"/>
      <c r="C36" s="212"/>
      <c r="D36" s="212"/>
      <c r="E36" s="212"/>
      <c r="F36" s="212"/>
      <c r="G36" s="212"/>
      <c r="H36" s="212"/>
      <c r="I36" s="213"/>
    </row>
    <row r="37" spans="1:9" ht="18.75" customHeight="1" x14ac:dyDescent="0.15">
      <c r="A37" s="15"/>
      <c r="B37" s="211"/>
      <c r="C37" s="212"/>
      <c r="D37" s="212"/>
      <c r="E37" s="212"/>
      <c r="F37" s="212"/>
      <c r="G37" s="212"/>
      <c r="H37" s="212"/>
      <c r="I37" s="213"/>
    </row>
    <row r="38" spans="1:9" ht="18.75" customHeight="1" x14ac:dyDescent="0.15">
      <c r="A38" s="15"/>
      <c r="B38" s="211"/>
      <c r="C38" s="212"/>
      <c r="D38" s="212"/>
      <c r="E38" s="212"/>
      <c r="F38" s="212"/>
      <c r="G38" s="212"/>
      <c r="H38" s="212"/>
      <c r="I38" s="213"/>
    </row>
    <row r="39" spans="1:9" ht="18.75" customHeight="1" x14ac:dyDescent="0.15">
      <c r="A39" s="15"/>
      <c r="B39" s="211"/>
      <c r="C39" s="212"/>
      <c r="D39" s="212"/>
      <c r="E39" s="212"/>
      <c r="F39" s="212"/>
      <c r="G39" s="212"/>
      <c r="H39" s="212"/>
      <c r="I39" s="213"/>
    </row>
    <row r="40" spans="1:9" ht="18.75" customHeight="1" x14ac:dyDescent="0.15">
      <c r="A40" s="15"/>
      <c r="B40" s="211"/>
      <c r="C40" s="212"/>
      <c r="D40" s="212"/>
      <c r="E40" s="212"/>
      <c r="F40" s="212"/>
      <c r="G40" s="212"/>
      <c r="H40" s="212"/>
      <c r="I40" s="213"/>
    </row>
    <row r="41" spans="1:9" ht="18.75" customHeight="1" x14ac:dyDescent="0.15">
      <c r="A41" s="15"/>
      <c r="B41" s="211"/>
      <c r="C41" s="212"/>
      <c r="D41" s="212"/>
      <c r="E41" s="212"/>
      <c r="F41" s="212"/>
      <c r="G41" s="212"/>
      <c r="H41" s="212"/>
      <c r="I41" s="213"/>
    </row>
    <row r="42" spans="1:9" ht="18.75" customHeight="1" x14ac:dyDescent="0.15">
      <c r="A42" s="15"/>
      <c r="B42" s="211"/>
      <c r="C42" s="212"/>
      <c r="D42" s="212"/>
      <c r="E42" s="212"/>
      <c r="F42" s="212"/>
      <c r="G42" s="212"/>
      <c r="H42" s="212"/>
      <c r="I42" s="213"/>
    </row>
    <row r="43" spans="1:9" ht="18.75" customHeight="1" x14ac:dyDescent="0.15">
      <c r="A43" s="15"/>
      <c r="B43" s="211"/>
      <c r="C43" s="212"/>
      <c r="D43" s="212"/>
      <c r="E43" s="212"/>
      <c r="F43" s="212"/>
      <c r="G43" s="212"/>
      <c r="H43" s="212"/>
      <c r="I43" s="213"/>
    </row>
    <row r="44" spans="1:9" ht="18.75" customHeight="1" x14ac:dyDescent="0.15">
      <c r="A44" s="15"/>
      <c r="B44" s="211"/>
      <c r="C44" s="212"/>
      <c r="D44" s="212"/>
      <c r="E44" s="212"/>
      <c r="F44" s="212"/>
      <c r="G44" s="212"/>
      <c r="H44" s="212"/>
      <c r="I44" s="213"/>
    </row>
    <row r="45" spans="1:9" ht="18.75" customHeight="1" x14ac:dyDescent="0.15">
      <c r="A45" s="15"/>
      <c r="B45" s="211"/>
      <c r="C45" s="212"/>
      <c r="D45" s="212"/>
      <c r="E45" s="212"/>
      <c r="F45" s="212"/>
      <c r="G45" s="212"/>
      <c r="H45" s="212"/>
      <c r="I45" s="213"/>
    </row>
    <row r="46" spans="1:9" ht="18.75" customHeight="1" x14ac:dyDescent="0.15">
      <c r="A46" s="15"/>
      <c r="B46" s="214"/>
      <c r="C46" s="215"/>
      <c r="D46" s="215"/>
      <c r="E46" s="215"/>
      <c r="F46" s="215"/>
      <c r="G46" s="215"/>
      <c r="H46" s="215"/>
      <c r="I46" s="216"/>
    </row>
    <row r="47" spans="1:9" ht="7.5" customHeight="1" x14ac:dyDescent="0.15">
      <c r="A47" s="4"/>
      <c r="B47" s="4"/>
      <c r="C47" s="4"/>
      <c r="D47" s="4"/>
      <c r="E47" s="4"/>
      <c r="F47" s="4"/>
      <c r="G47" s="4"/>
      <c r="H47" s="4"/>
      <c r="I47" s="4"/>
    </row>
    <row r="48" spans="1:9" ht="18.75" customHeight="1" x14ac:dyDescent="0.15">
      <c r="A48" s="1" t="s">
        <v>31</v>
      </c>
      <c r="B48" s="1" t="s">
        <v>122</v>
      </c>
    </row>
    <row r="49" spans="1:15" s="3" customFormat="1" ht="18.75" customHeight="1" x14ac:dyDescent="0.15">
      <c r="B49" s="42" t="s">
        <v>89</v>
      </c>
      <c r="C49" s="197">
        <f>'様式２ 履修者等数の実績'!AQ32</f>
        <v>0.20200000000000001</v>
      </c>
      <c r="D49" s="197"/>
      <c r="E49" s="42" t="s">
        <v>66</v>
      </c>
      <c r="F49" s="197">
        <v>0.4</v>
      </c>
      <c r="G49" s="197"/>
      <c r="H49" s="42" t="s">
        <v>67</v>
      </c>
      <c r="I49" s="43">
        <v>0.6</v>
      </c>
      <c r="J49" s="1"/>
      <c r="M49" s="1"/>
      <c r="N49" s="44"/>
    </row>
    <row r="50" spans="1:15" s="3" customFormat="1" ht="18.75" customHeight="1" x14ac:dyDescent="0.15">
      <c r="B50" s="45" t="s">
        <v>68</v>
      </c>
      <c r="C50" s="198">
        <v>0.8</v>
      </c>
      <c r="D50" s="198"/>
      <c r="E50" s="45" t="s">
        <v>90</v>
      </c>
      <c r="F50" s="198">
        <v>1</v>
      </c>
      <c r="G50" s="198"/>
      <c r="H50" s="45" t="s">
        <v>69</v>
      </c>
      <c r="I50" s="46">
        <f>'様式２ 履修者等数の実績'!E32</f>
        <v>1000</v>
      </c>
      <c r="J50" s="1"/>
      <c r="M50" s="1"/>
      <c r="N50" s="44"/>
    </row>
    <row r="51" spans="1:15" ht="18.75" customHeight="1" x14ac:dyDescent="0.15">
      <c r="A51" s="1"/>
      <c r="B51" s="223" t="s">
        <v>70</v>
      </c>
      <c r="C51" s="224"/>
      <c r="D51" s="224"/>
      <c r="E51" s="224"/>
      <c r="F51" s="224"/>
      <c r="G51" s="224"/>
      <c r="H51" s="224"/>
      <c r="I51" s="225"/>
      <c r="N51" s="44"/>
      <c r="O51" s="3"/>
    </row>
    <row r="52" spans="1:15" ht="18.75" customHeight="1" x14ac:dyDescent="0.15">
      <c r="A52" s="1"/>
      <c r="B52" s="199" t="s">
        <v>164</v>
      </c>
      <c r="C52" s="200"/>
      <c r="D52" s="200"/>
      <c r="E52" s="200"/>
      <c r="F52" s="200"/>
      <c r="G52" s="200"/>
      <c r="H52" s="200"/>
      <c r="I52" s="201"/>
      <c r="N52" s="44"/>
      <c r="O52" s="3"/>
    </row>
    <row r="53" spans="1:15" ht="18.75" customHeight="1" x14ac:dyDescent="0.15">
      <c r="A53" s="1"/>
      <c r="B53" s="202"/>
      <c r="C53" s="203"/>
      <c r="D53" s="203"/>
      <c r="E53" s="203"/>
      <c r="F53" s="203"/>
      <c r="G53" s="203"/>
      <c r="H53" s="203"/>
      <c r="I53" s="204"/>
      <c r="N53" s="44"/>
      <c r="O53" s="3"/>
    </row>
    <row r="54" spans="1:15" ht="18.75" customHeight="1" x14ac:dyDescent="0.15">
      <c r="A54" s="1"/>
      <c r="B54" s="202"/>
      <c r="C54" s="203"/>
      <c r="D54" s="203"/>
      <c r="E54" s="203"/>
      <c r="F54" s="203"/>
      <c r="G54" s="203"/>
      <c r="H54" s="203"/>
      <c r="I54" s="204"/>
    </row>
    <row r="55" spans="1:15" ht="18.75" customHeight="1" x14ac:dyDescent="0.15">
      <c r="A55" s="1"/>
      <c r="B55" s="202"/>
      <c r="C55" s="203"/>
      <c r="D55" s="203"/>
      <c r="E55" s="203"/>
      <c r="F55" s="203"/>
      <c r="G55" s="203"/>
      <c r="H55" s="203"/>
      <c r="I55" s="204"/>
    </row>
    <row r="56" spans="1:15" ht="18.75" customHeight="1" x14ac:dyDescent="0.15">
      <c r="A56" s="1"/>
      <c r="B56" s="202"/>
      <c r="C56" s="203"/>
      <c r="D56" s="203"/>
      <c r="E56" s="203"/>
      <c r="F56" s="203"/>
      <c r="G56" s="203"/>
      <c r="H56" s="203"/>
      <c r="I56" s="204"/>
    </row>
    <row r="57" spans="1:15" ht="18.75" customHeight="1" x14ac:dyDescent="0.15">
      <c r="A57" s="1"/>
      <c r="B57" s="202"/>
      <c r="C57" s="203"/>
      <c r="D57" s="203"/>
      <c r="E57" s="203"/>
      <c r="F57" s="203"/>
      <c r="G57" s="203"/>
      <c r="H57" s="203"/>
      <c r="I57" s="204"/>
    </row>
    <row r="58" spans="1:15" ht="18.75" customHeight="1" x14ac:dyDescent="0.15">
      <c r="A58" s="1"/>
      <c r="B58" s="202"/>
      <c r="C58" s="203"/>
      <c r="D58" s="203"/>
      <c r="E58" s="203"/>
      <c r="F58" s="203"/>
      <c r="G58" s="203"/>
      <c r="H58" s="203"/>
      <c r="I58" s="204"/>
    </row>
    <row r="59" spans="1:15" ht="18.75" customHeight="1" x14ac:dyDescent="0.15">
      <c r="A59" s="1"/>
      <c r="B59" s="202"/>
      <c r="C59" s="203"/>
      <c r="D59" s="203"/>
      <c r="E59" s="203"/>
      <c r="F59" s="203"/>
      <c r="G59" s="203"/>
      <c r="H59" s="203"/>
      <c r="I59" s="204"/>
    </row>
    <row r="60" spans="1:15" ht="18.75" customHeight="1" x14ac:dyDescent="0.15">
      <c r="A60" s="1"/>
      <c r="B60" s="202"/>
      <c r="C60" s="203"/>
      <c r="D60" s="203"/>
      <c r="E60" s="203"/>
      <c r="F60" s="203"/>
      <c r="G60" s="203"/>
      <c r="H60" s="203"/>
      <c r="I60" s="204"/>
    </row>
    <row r="61" spans="1:15" ht="18.75" customHeight="1" x14ac:dyDescent="0.15">
      <c r="A61" s="1"/>
      <c r="B61" s="202"/>
      <c r="C61" s="203"/>
      <c r="D61" s="203"/>
      <c r="E61" s="203"/>
      <c r="F61" s="203"/>
      <c r="G61" s="203"/>
      <c r="H61" s="203"/>
      <c r="I61" s="204"/>
    </row>
    <row r="62" spans="1:15" ht="18.75" customHeight="1" x14ac:dyDescent="0.15">
      <c r="A62" s="1"/>
      <c r="B62" s="202"/>
      <c r="C62" s="203"/>
      <c r="D62" s="203"/>
      <c r="E62" s="203"/>
      <c r="F62" s="203"/>
      <c r="G62" s="203"/>
      <c r="H62" s="203"/>
      <c r="I62" s="204"/>
    </row>
    <row r="63" spans="1:15" ht="18.75" customHeight="1" x14ac:dyDescent="0.15">
      <c r="A63" s="1"/>
      <c r="B63" s="205"/>
      <c r="C63" s="206"/>
      <c r="D63" s="206"/>
      <c r="E63" s="206"/>
      <c r="F63" s="206"/>
      <c r="G63" s="206"/>
      <c r="H63" s="206"/>
      <c r="I63" s="207"/>
    </row>
    <row r="64" spans="1:15" ht="7.5" customHeight="1" x14ac:dyDescent="0.15">
      <c r="A64" s="15"/>
      <c r="B64" s="15"/>
      <c r="C64" s="15"/>
      <c r="D64" s="15"/>
      <c r="E64" s="15"/>
      <c r="F64" s="15"/>
      <c r="G64" s="15"/>
      <c r="H64" s="15"/>
      <c r="I64" s="15"/>
    </row>
    <row r="65" spans="1:9" ht="18.75" customHeight="1" x14ac:dyDescent="0.15">
      <c r="A65" s="16" t="s">
        <v>34</v>
      </c>
      <c r="B65" s="1" t="s">
        <v>37</v>
      </c>
      <c r="I65" s="16"/>
    </row>
    <row r="66" spans="1:9" ht="18.75" customHeight="1" x14ac:dyDescent="0.15">
      <c r="A66" s="4"/>
      <c r="B66" s="181" t="s">
        <v>157</v>
      </c>
      <c r="C66" s="182"/>
      <c r="D66" s="182"/>
      <c r="E66" s="182"/>
      <c r="F66" s="182"/>
      <c r="G66" s="182"/>
      <c r="H66" s="182"/>
      <c r="I66" s="183"/>
    </row>
    <row r="67" spans="1:9" ht="18.75" customHeight="1" x14ac:dyDescent="0.15">
      <c r="A67" s="4"/>
      <c r="B67" s="184"/>
      <c r="C67" s="185"/>
      <c r="D67" s="185"/>
      <c r="E67" s="185"/>
      <c r="F67" s="185"/>
      <c r="G67" s="185"/>
      <c r="H67" s="185"/>
      <c r="I67" s="186"/>
    </row>
    <row r="68" spans="1:9" ht="18.75" customHeight="1" x14ac:dyDescent="0.15">
      <c r="A68" s="4"/>
      <c r="B68" s="184"/>
      <c r="C68" s="185"/>
      <c r="D68" s="185"/>
      <c r="E68" s="185"/>
      <c r="F68" s="185"/>
      <c r="G68" s="185"/>
      <c r="H68" s="185"/>
      <c r="I68" s="186"/>
    </row>
    <row r="69" spans="1:9" ht="18.75" customHeight="1" x14ac:dyDescent="0.15">
      <c r="A69" s="4"/>
      <c r="B69" s="184"/>
      <c r="C69" s="185"/>
      <c r="D69" s="185"/>
      <c r="E69" s="185"/>
      <c r="F69" s="185"/>
      <c r="G69" s="185"/>
      <c r="H69" s="185"/>
      <c r="I69" s="186"/>
    </row>
    <row r="70" spans="1:9" ht="18.75" customHeight="1" x14ac:dyDescent="0.15">
      <c r="A70" s="4"/>
      <c r="B70" s="184"/>
      <c r="C70" s="185"/>
      <c r="D70" s="185"/>
      <c r="E70" s="185"/>
      <c r="F70" s="185"/>
      <c r="G70" s="185"/>
      <c r="H70" s="185"/>
      <c r="I70" s="186"/>
    </row>
    <row r="71" spans="1:9" ht="18.75" customHeight="1" x14ac:dyDescent="0.15">
      <c r="A71" s="4"/>
      <c r="B71" s="184"/>
      <c r="C71" s="185"/>
      <c r="D71" s="185"/>
      <c r="E71" s="185"/>
      <c r="F71" s="185"/>
      <c r="G71" s="185"/>
      <c r="H71" s="185"/>
      <c r="I71" s="186"/>
    </row>
    <row r="72" spans="1:9" ht="18.75" customHeight="1" x14ac:dyDescent="0.15">
      <c r="A72" s="4"/>
      <c r="B72" s="184"/>
      <c r="C72" s="185"/>
      <c r="D72" s="185"/>
      <c r="E72" s="185"/>
      <c r="F72" s="185"/>
      <c r="G72" s="185"/>
      <c r="H72" s="185"/>
      <c r="I72" s="186"/>
    </row>
    <row r="73" spans="1:9" ht="18.75" customHeight="1" x14ac:dyDescent="0.15">
      <c r="A73" s="4"/>
      <c r="B73" s="184"/>
      <c r="C73" s="185"/>
      <c r="D73" s="185"/>
      <c r="E73" s="185"/>
      <c r="F73" s="185"/>
      <c r="G73" s="185"/>
      <c r="H73" s="185"/>
      <c r="I73" s="186"/>
    </row>
    <row r="74" spans="1:9" ht="18.75" customHeight="1" x14ac:dyDescent="0.15">
      <c r="A74" s="4"/>
      <c r="B74" s="184"/>
      <c r="C74" s="185"/>
      <c r="D74" s="185"/>
      <c r="E74" s="185"/>
      <c r="F74" s="185"/>
      <c r="G74" s="185"/>
      <c r="H74" s="185"/>
      <c r="I74" s="186"/>
    </row>
    <row r="75" spans="1:9" ht="18.75" customHeight="1" x14ac:dyDescent="0.15">
      <c r="A75" s="4"/>
      <c r="B75" s="184"/>
      <c r="C75" s="185"/>
      <c r="D75" s="185"/>
      <c r="E75" s="185"/>
      <c r="F75" s="185"/>
      <c r="G75" s="185"/>
      <c r="H75" s="185"/>
      <c r="I75" s="186"/>
    </row>
    <row r="76" spans="1:9" ht="18.75" customHeight="1" x14ac:dyDescent="0.15">
      <c r="A76" s="4"/>
      <c r="B76" s="184"/>
      <c r="C76" s="185"/>
      <c r="D76" s="185"/>
      <c r="E76" s="185"/>
      <c r="F76" s="185"/>
      <c r="G76" s="185"/>
      <c r="H76" s="185"/>
      <c r="I76" s="186"/>
    </row>
    <row r="77" spans="1:9" ht="18.75" customHeight="1" x14ac:dyDescent="0.15">
      <c r="A77" s="4"/>
      <c r="B77" s="187"/>
      <c r="C77" s="188"/>
      <c r="D77" s="188"/>
      <c r="E77" s="188"/>
      <c r="F77" s="188"/>
      <c r="G77" s="188"/>
      <c r="H77" s="188"/>
      <c r="I77" s="189"/>
    </row>
    <row r="78" spans="1:9" ht="7.5" customHeight="1" x14ac:dyDescent="0.15">
      <c r="A78" s="4"/>
      <c r="B78" s="4"/>
      <c r="C78" s="4"/>
      <c r="D78" s="4"/>
      <c r="E78" s="4"/>
      <c r="F78" s="4"/>
      <c r="G78" s="4"/>
      <c r="H78" s="4"/>
      <c r="I78" s="4"/>
    </row>
    <row r="79" spans="1:9" ht="18.75" customHeight="1" x14ac:dyDescent="0.15">
      <c r="A79" s="1" t="s">
        <v>11</v>
      </c>
      <c r="B79" s="1" t="s">
        <v>41</v>
      </c>
    </row>
    <row r="80" spans="1:9" ht="18.75" customHeight="1" x14ac:dyDescent="0.15">
      <c r="A80" s="1"/>
      <c r="B80" s="181" t="s">
        <v>165</v>
      </c>
      <c r="C80" s="182"/>
      <c r="D80" s="182"/>
      <c r="E80" s="182"/>
      <c r="F80" s="182"/>
      <c r="G80" s="182"/>
      <c r="H80" s="182"/>
      <c r="I80" s="190"/>
    </row>
    <row r="81" spans="1:9" ht="18.75" customHeight="1" x14ac:dyDescent="0.15">
      <c r="A81" s="1"/>
      <c r="B81" s="191"/>
      <c r="C81" s="192"/>
      <c r="D81" s="192"/>
      <c r="E81" s="192"/>
      <c r="F81" s="192"/>
      <c r="G81" s="192"/>
      <c r="H81" s="192"/>
      <c r="I81" s="193"/>
    </row>
    <row r="82" spans="1:9" ht="18.75" customHeight="1" x14ac:dyDescent="0.15">
      <c r="A82" s="1"/>
      <c r="B82" s="191"/>
      <c r="C82" s="192"/>
      <c r="D82" s="192"/>
      <c r="E82" s="192"/>
      <c r="F82" s="192"/>
      <c r="G82" s="192"/>
      <c r="H82" s="192"/>
      <c r="I82" s="193"/>
    </row>
    <row r="83" spans="1:9" ht="18.75" customHeight="1" x14ac:dyDescent="0.15">
      <c r="A83" s="1"/>
      <c r="B83" s="191"/>
      <c r="C83" s="192"/>
      <c r="D83" s="192"/>
      <c r="E83" s="192"/>
      <c r="F83" s="192"/>
      <c r="G83" s="192"/>
      <c r="H83" s="192"/>
      <c r="I83" s="193"/>
    </row>
    <row r="84" spans="1:9" ht="18.75" customHeight="1" x14ac:dyDescent="0.15">
      <c r="A84" s="1"/>
      <c r="B84" s="191"/>
      <c r="C84" s="192"/>
      <c r="D84" s="192"/>
      <c r="E84" s="192"/>
      <c r="F84" s="192"/>
      <c r="G84" s="192"/>
      <c r="H84" s="192"/>
      <c r="I84" s="193"/>
    </row>
    <row r="85" spans="1:9" ht="18.75" customHeight="1" x14ac:dyDescent="0.15">
      <c r="A85" s="1"/>
      <c r="B85" s="191"/>
      <c r="C85" s="192"/>
      <c r="D85" s="192"/>
      <c r="E85" s="192"/>
      <c r="F85" s="192"/>
      <c r="G85" s="192"/>
      <c r="H85" s="192"/>
      <c r="I85" s="193"/>
    </row>
    <row r="86" spans="1:9" ht="18.75" customHeight="1" x14ac:dyDescent="0.15">
      <c r="A86" s="1"/>
      <c r="B86" s="191"/>
      <c r="C86" s="192"/>
      <c r="D86" s="192"/>
      <c r="E86" s="192"/>
      <c r="F86" s="192"/>
      <c r="G86" s="192"/>
      <c r="H86" s="192"/>
      <c r="I86" s="193"/>
    </row>
    <row r="87" spans="1:9" ht="18.75" customHeight="1" x14ac:dyDescent="0.15">
      <c r="A87" s="1"/>
      <c r="B87" s="191"/>
      <c r="C87" s="192"/>
      <c r="D87" s="192"/>
      <c r="E87" s="192"/>
      <c r="F87" s="192"/>
      <c r="G87" s="192"/>
      <c r="H87" s="192"/>
      <c r="I87" s="193"/>
    </row>
    <row r="88" spans="1:9" ht="18.75" customHeight="1" x14ac:dyDescent="0.15">
      <c r="A88" s="1"/>
      <c r="B88" s="191"/>
      <c r="C88" s="192"/>
      <c r="D88" s="192"/>
      <c r="E88" s="192"/>
      <c r="F88" s="192"/>
      <c r="G88" s="192"/>
      <c r="H88" s="192"/>
      <c r="I88" s="193"/>
    </row>
    <row r="89" spans="1:9" ht="18.75" customHeight="1" x14ac:dyDescent="0.15">
      <c r="A89" s="1"/>
      <c r="B89" s="191"/>
      <c r="C89" s="192"/>
      <c r="D89" s="192"/>
      <c r="E89" s="192"/>
      <c r="F89" s="192"/>
      <c r="G89" s="192"/>
      <c r="H89" s="192"/>
      <c r="I89" s="193"/>
    </row>
    <row r="90" spans="1:9" ht="18.75" customHeight="1" x14ac:dyDescent="0.15">
      <c r="A90" s="4"/>
      <c r="B90" s="191"/>
      <c r="C90" s="192"/>
      <c r="D90" s="192"/>
      <c r="E90" s="192"/>
      <c r="F90" s="192"/>
      <c r="G90" s="192"/>
      <c r="H90" s="192"/>
      <c r="I90" s="193"/>
    </row>
    <row r="91" spans="1:9" ht="18.75" customHeight="1" x14ac:dyDescent="0.15">
      <c r="A91" s="4"/>
      <c r="B91" s="194"/>
      <c r="C91" s="195"/>
      <c r="D91" s="195"/>
      <c r="E91" s="195"/>
      <c r="F91" s="195"/>
      <c r="G91" s="195"/>
      <c r="H91" s="195"/>
      <c r="I91" s="196"/>
    </row>
    <row r="92" spans="1:9" ht="7.5" customHeight="1" x14ac:dyDescent="0.15">
      <c r="A92" s="4"/>
      <c r="B92" s="4"/>
      <c r="C92" s="4"/>
      <c r="D92" s="4"/>
      <c r="E92" s="4"/>
      <c r="F92" s="4"/>
      <c r="G92" s="4"/>
      <c r="H92" s="4"/>
      <c r="I92" s="4"/>
    </row>
    <row r="93" spans="1:9" ht="18.75" customHeight="1" x14ac:dyDescent="0.15">
      <c r="A93" s="1" t="s">
        <v>44</v>
      </c>
      <c r="B93" s="1" t="s">
        <v>13</v>
      </c>
    </row>
    <row r="94" spans="1:9" ht="18.75" customHeight="1" x14ac:dyDescent="0.15">
      <c r="A94" s="1"/>
      <c r="B94" s="208" t="s">
        <v>166</v>
      </c>
      <c r="C94" s="209"/>
      <c r="D94" s="209"/>
      <c r="E94" s="209"/>
      <c r="F94" s="209"/>
      <c r="G94" s="209"/>
      <c r="H94" s="209"/>
      <c r="I94" s="210"/>
    </row>
    <row r="95" spans="1:9" ht="18.75" customHeight="1" x14ac:dyDescent="0.15">
      <c r="A95" s="1"/>
      <c r="B95" s="211"/>
      <c r="C95" s="212"/>
      <c r="D95" s="212"/>
      <c r="E95" s="212"/>
      <c r="F95" s="212"/>
      <c r="G95" s="212"/>
      <c r="H95" s="212"/>
      <c r="I95" s="213"/>
    </row>
    <row r="96" spans="1:9" ht="18.75" customHeight="1" x14ac:dyDescent="0.15">
      <c r="A96" s="1"/>
      <c r="B96" s="211"/>
      <c r="C96" s="212"/>
      <c r="D96" s="212"/>
      <c r="E96" s="212"/>
      <c r="F96" s="212"/>
      <c r="G96" s="212"/>
      <c r="H96" s="212"/>
      <c r="I96" s="213"/>
    </row>
    <row r="97" spans="1:9" ht="18.75" customHeight="1" x14ac:dyDescent="0.15">
      <c r="A97" s="1"/>
      <c r="B97" s="211"/>
      <c r="C97" s="212"/>
      <c r="D97" s="212"/>
      <c r="E97" s="212"/>
      <c r="F97" s="212"/>
      <c r="G97" s="212"/>
      <c r="H97" s="212"/>
      <c r="I97" s="213"/>
    </row>
    <row r="98" spans="1:9" ht="18.75" customHeight="1" x14ac:dyDescent="0.15">
      <c r="A98" s="1"/>
      <c r="B98" s="211"/>
      <c r="C98" s="212"/>
      <c r="D98" s="212"/>
      <c r="E98" s="212"/>
      <c r="F98" s="212"/>
      <c r="G98" s="212"/>
      <c r="H98" s="212"/>
      <c r="I98" s="213"/>
    </row>
    <row r="99" spans="1:9" ht="18.75" customHeight="1" x14ac:dyDescent="0.15">
      <c r="A99" s="1"/>
      <c r="B99" s="211"/>
      <c r="C99" s="212"/>
      <c r="D99" s="212"/>
      <c r="E99" s="212"/>
      <c r="F99" s="212"/>
      <c r="G99" s="212"/>
      <c r="H99" s="212"/>
      <c r="I99" s="213"/>
    </row>
    <row r="100" spans="1:9" ht="18.75" customHeight="1" x14ac:dyDescent="0.15">
      <c r="A100" s="1"/>
      <c r="B100" s="211"/>
      <c r="C100" s="212"/>
      <c r="D100" s="212"/>
      <c r="E100" s="212"/>
      <c r="F100" s="212"/>
      <c r="G100" s="212"/>
      <c r="H100" s="212"/>
      <c r="I100" s="213"/>
    </row>
    <row r="101" spans="1:9" ht="18.75" customHeight="1" x14ac:dyDescent="0.15">
      <c r="A101" s="1"/>
      <c r="B101" s="211"/>
      <c r="C101" s="212"/>
      <c r="D101" s="212"/>
      <c r="E101" s="212"/>
      <c r="F101" s="212"/>
      <c r="G101" s="212"/>
      <c r="H101" s="212"/>
      <c r="I101" s="213"/>
    </row>
    <row r="102" spans="1:9" ht="18.75" customHeight="1" x14ac:dyDescent="0.15">
      <c r="A102" s="1"/>
      <c r="B102" s="211"/>
      <c r="C102" s="212"/>
      <c r="D102" s="212"/>
      <c r="E102" s="212"/>
      <c r="F102" s="212"/>
      <c r="G102" s="212"/>
      <c r="H102" s="212"/>
      <c r="I102" s="213"/>
    </row>
    <row r="103" spans="1:9" ht="18.75" customHeight="1" x14ac:dyDescent="0.15">
      <c r="A103" s="1"/>
      <c r="B103" s="211"/>
      <c r="C103" s="212"/>
      <c r="D103" s="212"/>
      <c r="E103" s="212"/>
      <c r="F103" s="212"/>
      <c r="G103" s="212"/>
      <c r="H103" s="212"/>
      <c r="I103" s="213"/>
    </row>
    <row r="104" spans="1:9" ht="18.75" customHeight="1" x14ac:dyDescent="0.15">
      <c r="A104" s="1"/>
      <c r="B104" s="211"/>
      <c r="C104" s="212"/>
      <c r="D104" s="212"/>
      <c r="E104" s="212"/>
      <c r="F104" s="212"/>
      <c r="G104" s="212"/>
      <c r="H104" s="212"/>
      <c r="I104" s="213"/>
    </row>
    <row r="105" spans="1:9" ht="18.75" customHeight="1" x14ac:dyDescent="0.15">
      <c r="A105" s="4"/>
      <c r="B105" s="214"/>
      <c r="C105" s="215"/>
      <c r="D105" s="215"/>
      <c r="E105" s="215"/>
      <c r="F105" s="215"/>
      <c r="G105" s="215"/>
      <c r="H105" s="215"/>
      <c r="I105" s="216"/>
    </row>
    <row r="106" spans="1:9" ht="7.5" customHeight="1" x14ac:dyDescent="0.15">
      <c r="A106" s="4"/>
      <c r="B106" s="4"/>
      <c r="C106" s="4"/>
      <c r="D106" s="4"/>
      <c r="E106" s="4"/>
      <c r="F106" s="4"/>
      <c r="G106" s="4"/>
      <c r="H106" s="4"/>
      <c r="I106" s="4"/>
    </row>
    <row r="107" spans="1:9" ht="18.75" customHeight="1" x14ac:dyDescent="0.15">
      <c r="A107" s="1" t="s">
        <v>30</v>
      </c>
      <c r="B107" s="217" t="s">
        <v>46</v>
      </c>
      <c r="C107" s="217"/>
      <c r="D107" s="217"/>
      <c r="E107" s="217"/>
      <c r="F107" s="217"/>
      <c r="G107" s="217"/>
      <c r="H107" s="217"/>
      <c r="I107" s="217"/>
    </row>
    <row r="108" spans="1:9" ht="18.75" customHeight="1" x14ac:dyDescent="0.15">
      <c r="A108" s="4"/>
      <c r="B108" s="208" t="s">
        <v>167</v>
      </c>
      <c r="C108" s="209"/>
      <c r="D108" s="209"/>
      <c r="E108" s="209"/>
      <c r="F108" s="209"/>
      <c r="G108" s="209"/>
      <c r="H108" s="209"/>
      <c r="I108" s="210"/>
    </row>
    <row r="109" spans="1:9" ht="18.75" customHeight="1" x14ac:dyDescent="0.15">
      <c r="A109" s="4"/>
      <c r="B109" s="211"/>
      <c r="C109" s="212"/>
      <c r="D109" s="212"/>
      <c r="E109" s="212"/>
      <c r="F109" s="212"/>
      <c r="G109" s="212"/>
      <c r="H109" s="212"/>
      <c r="I109" s="213"/>
    </row>
    <row r="110" spans="1:9" ht="18.75" customHeight="1" x14ac:dyDescent="0.15">
      <c r="A110" s="4"/>
      <c r="B110" s="211"/>
      <c r="C110" s="212"/>
      <c r="D110" s="212"/>
      <c r="E110" s="212"/>
      <c r="F110" s="212"/>
      <c r="G110" s="212"/>
      <c r="H110" s="212"/>
      <c r="I110" s="213"/>
    </row>
    <row r="111" spans="1:9" ht="18.75" customHeight="1" x14ac:dyDescent="0.15">
      <c r="A111" s="4"/>
      <c r="B111" s="211"/>
      <c r="C111" s="212"/>
      <c r="D111" s="212"/>
      <c r="E111" s="212"/>
      <c r="F111" s="212"/>
      <c r="G111" s="212"/>
      <c r="H111" s="212"/>
      <c r="I111" s="213"/>
    </row>
    <row r="112" spans="1:9" ht="18.75" customHeight="1" x14ac:dyDescent="0.15">
      <c r="A112" s="4"/>
      <c r="B112" s="211"/>
      <c r="C112" s="212"/>
      <c r="D112" s="212"/>
      <c r="E112" s="212"/>
      <c r="F112" s="212"/>
      <c r="G112" s="212"/>
      <c r="H112" s="212"/>
      <c r="I112" s="213"/>
    </row>
    <row r="113" spans="1:9" ht="18.75" customHeight="1" x14ac:dyDescent="0.15">
      <c r="A113" s="4"/>
      <c r="B113" s="211"/>
      <c r="C113" s="212"/>
      <c r="D113" s="212"/>
      <c r="E113" s="212"/>
      <c r="F113" s="212"/>
      <c r="G113" s="212"/>
      <c r="H113" s="212"/>
      <c r="I113" s="213"/>
    </row>
    <row r="114" spans="1:9" ht="18.75" customHeight="1" x14ac:dyDescent="0.15">
      <c r="A114" s="4"/>
      <c r="B114" s="211"/>
      <c r="C114" s="212"/>
      <c r="D114" s="212"/>
      <c r="E114" s="212"/>
      <c r="F114" s="212"/>
      <c r="G114" s="212"/>
      <c r="H114" s="212"/>
      <c r="I114" s="213"/>
    </row>
    <row r="115" spans="1:9" ht="18.75" customHeight="1" x14ac:dyDescent="0.15">
      <c r="A115" s="4"/>
      <c r="B115" s="211"/>
      <c r="C115" s="212"/>
      <c r="D115" s="212"/>
      <c r="E115" s="212"/>
      <c r="F115" s="212"/>
      <c r="G115" s="212"/>
      <c r="H115" s="212"/>
      <c r="I115" s="213"/>
    </row>
    <row r="116" spans="1:9" ht="18.75" customHeight="1" x14ac:dyDescent="0.15">
      <c r="A116" s="4"/>
      <c r="B116" s="211"/>
      <c r="C116" s="212"/>
      <c r="D116" s="212"/>
      <c r="E116" s="212"/>
      <c r="F116" s="212"/>
      <c r="G116" s="212"/>
      <c r="H116" s="212"/>
      <c r="I116" s="213"/>
    </row>
    <row r="117" spans="1:9" ht="18.75" customHeight="1" x14ac:dyDescent="0.15">
      <c r="A117" s="4"/>
      <c r="B117" s="211"/>
      <c r="C117" s="212"/>
      <c r="D117" s="212"/>
      <c r="E117" s="212"/>
      <c r="F117" s="212"/>
      <c r="G117" s="212"/>
      <c r="H117" s="212"/>
      <c r="I117" s="213"/>
    </row>
    <row r="118" spans="1:9" ht="18.75" customHeight="1" x14ac:dyDescent="0.15">
      <c r="A118" s="4"/>
      <c r="B118" s="211"/>
      <c r="C118" s="212"/>
      <c r="D118" s="212"/>
      <c r="E118" s="212"/>
      <c r="F118" s="212"/>
      <c r="G118" s="212"/>
      <c r="H118" s="212"/>
      <c r="I118" s="213"/>
    </row>
    <row r="119" spans="1:9" ht="18.75" customHeight="1" x14ac:dyDescent="0.15">
      <c r="A119" s="4"/>
      <c r="B119" s="214"/>
      <c r="C119" s="215"/>
      <c r="D119" s="215"/>
      <c r="E119" s="215"/>
      <c r="F119" s="215"/>
      <c r="G119" s="215"/>
      <c r="H119" s="215"/>
      <c r="I119" s="216"/>
    </row>
    <row r="120" spans="1:9" ht="7.5" customHeight="1" x14ac:dyDescent="0.15">
      <c r="A120" s="4"/>
      <c r="B120" s="47"/>
      <c r="C120" s="47"/>
      <c r="D120" s="47"/>
      <c r="E120" s="47"/>
      <c r="F120" s="47"/>
      <c r="G120" s="47"/>
      <c r="H120" s="47"/>
      <c r="I120" s="47"/>
    </row>
    <row r="121" spans="1:9" ht="18.75" customHeight="1" x14ac:dyDescent="0.15">
      <c r="A121" s="4"/>
      <c r="B121" s="4"/>
      <c r="C121" s="4"/>
      <c r="D121" s="4"/>
      <c r="E121" s="4"/>
      <c r="F121" s="4"/>
      <c r="G121" s="4"/>
      <c r="H121" s="4"/>
      <c r="I121" s="4"/>
    </row>
    <row r="122" spans="1:9" ht="18.75" customHeight="1" x14ac:dyDescent="0.15">
      <c r="A122" s="4"/>
      <c r="B122" s="4"/>
      <c r="C122" s="4"/>
      <c r="D122" s="4"/>
      <c r="E122" s="4"/>
      <c r="F122" s="4"/>
      <c r="G122" s="4"/>
      <c r="H122" s="4"/>
      <c r="I122" s="4"/>
    </row>
    <row r="123" spans="1:9" ht="18.75" customHeight="1" x14ac:dyDescent="0.15">
      <c r="A123" s="4"/>
      <c r="B123" s="4"/>
      <c r="C123" s="4"/>
      <c r="D123" s="4"/>
      <c r="E123" s="4"/>
      <c r="F123" s="4"/>
      <c r="G123" s="4"/>
      <c r="H123" s="4"/>
      <c r="I123" s="4"/>
    </row>
    <row r="124" spans="1:9" ht="18.75" customHeight="1" x14ac:dyDescent="0.15">
      <c r="A124" s="4"/>
      <c r="B124" s="4"/>
      <c r="C124" s="4"/>
      <c r="D124" s="4"/>
      <c r="E124" s="4"/>
      <c r="F124" s="4"/>
      <c r="G124" s="4"/>
      <c r="H124" s="4"/>
      <c r="I124" s="4"/>
    </row>
    <row r="125" spans="1:9" ht="18.75" customHeight="1" x14ac:dyDescent="0.15">
      <c r="A125" s="4"/>
      <c r="B125" s="4"/>
      <c r="C125" s="4"/>
      <c r="D125" s="4"/>
      <c r="E125" s="4"/>
      <c r="F125" s="4"/>
      <c r="G125" s="4"/>
      <c r="H125" s="4"/>
      <c r="I125" s="4"/>
    </row>
    <row r="126" spans="1:9" ht="18.75" customHeight="1" x14ac:dyDescent="0.15">
      <c r="A126" s="4"/>
      <c r="B126" s="4"/>
      <c r="C126" s="4"/>
      <c r="D126" s="4"/>
      <c r="E126" s="4"/>
      <c r="F126" s="4"/>
      <c r="G126" s="4"/>
      <c r="H126" s="4"/>
      <c r="I126" s="4"/>
    </row>
    <row r="127" spans="1:9" ht="18.75" customHeight="1" x14ac:dyDescent="0.15">
      <c r="A127" s="4"/>
      <c r="B127" s="4"/>
      <c r="C127" s="4"/>
      <c r="D127" s="4"/>
      <c r="E127" s="4"/>
      <c r="F127" s="4"/>
      <c r="G127" s="4"/>
      <c r="H127" s="4"/>
      <c r="I127" s="4"/>
    </row>
    <row r="128" spans="1:9" ht="18.75" customHeight="1" x14ac:dyDescent="0.15">
      <c r="A128" s="4"/>
      <c r="B128" s="4"/>
      <c r="C128" s="4"/>
      <c r="D128" s="4"/>
      <c r="E128" s="4"/>
      <c r="F128" s="4"/>
      <c r="G128" s="4"/>
      <c r="H128" s="4"/>
      <c r="I128" s="4"/>
    </row>
    <row r="129" spans="1:9" ht="18.75" customHeight="1" x14ac:dyDescent="0.15">
      <c r="A129" s="4"/>
      <c r="B129" s="4"/>
      <c r="C129" s="4"/>
      <c r="D129" s="4"/>
      <c r="E129" s="4"/>
      <c r="F129" s="4"/>
      <c r="G129" s="4"/>
      <c r="H129" s="4"/>
      <c r="I129" s="4"/>
    </row>
    <row r="130" spans="1:9" ht="18.75" customHeight="1" x14ac:dyDescent="0.15">
      <c r="A130" s="4"/>
      <c r="B130" s="4"/>
      <c r="C130" s="4"/>
      <c r="D130" s="4"/>
      <c r="E130" s="4"/>
      <c r="F130" s="4"/>
      <c r="G130" s="4"/>
      <c r="H130" s="4"/>
      <c r="I130" s="4"/>
    </row>
    <row r="131" spans="1:9" ht="18.75" customHeight="1" x14ac:dyDescent="0.15">
      <c r="A131" s="4"/>
      <c r="B131" s="4"/>
      <c r="C131" s="4"/>
      <c r="D131" s="4"/>
      <c r="E131" s="4"/>
      <c r="F131" s="4"/>
      <c r="G131" s="4"/>
      <c r="H131" s="4"/>
      <c r="I131" s="4"/>
    </row>
    <row r="132" spans="1:9" ht="18.75" customHeight="1" x14ac:dyDescent="0.15">
      <c r="A132" s="4"/>
      <c r="B132" s="4"/>
      <c r="C132" s="4"/>
      <c r="D132" s="4"/>
      <c r="E132" s="4"/>
      <c r="F132" s="4"/>
      <c r="G132" s="4"/>
      <c r="H132" s="4"/>
      <c r="I132" s="4"/>
    </row>
    <row r="133" spans="1:9" ht="14.25" x14ac:dyDescent="0.15">
      <c r="A133" s="4"/>
      <c r="B133" s="4"/>
      <c r="C133" s="4"/>
      <c r="D133" s="4"/>
      <c r="E133" s="4"/>
      <c r="F133" s="4"/>
      <c r="G133" s="4"/>
      <c r="H133" s="4"/>
      <c r="I133" s="4"/>
    </row>
    <row r="134" spans="1:9" ht="7.5" customHeight="1" x14ac:dyDescent="0.15">
      <c r="A134" s="48"/>
      <c r="B134" s="48"/>
      <c r="C134" s="48"/>
      <c r="D134" s="48"/>
      <c r="E134" s="48"/>
      <c r="F134" s="48"/>
      <c r="G134" s="48"/>
      <c r="H134" s="48"/>
      <c r="I134" s="48"/>
    </row>
  </sheetData>
  <mergeCells count="22">
    <mergeCell ref="B94:I105"/>
    <mergeCell ref="B107:I107"/>
    <mergeCell ref="B108:I119"/>
    <mergeCell ref="H2:I2"/>
    <mergeCell ref="A4:I4"/>
    <mergeCell ref="B19:I19"/>
    <mergeCell ref="B22:I32"/>
    <mergeCell ref="B35:I46"/>
    <mergeCell ref="B51:I51"/>
    <mergeCell ref="B14:I14"/>
    <mergeCell ref="C16:E16"/>
    <mergeCell ref="H16:I16"/>
    <mergeCell ref="C11:E11"/>
    <mergeCell ref="H11:I11"/>
    <mergeCell ref="C6:D6"/>
    <mergeCell ref="F50:G50"/>
    <mergeCell ref="B66:I77"/>
    <mergeCell ref="B80:I91"/>
    <mergeCell ref="C49:D49"/>
    <mergeCell ref="C50:D50"/>
    <mergeCell ref="F49:G49"/>
    <mergeCell ref="B52:I63"/>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9" man="1"/>
    <brk id="92" max="9"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pageSetUpPr fitToPage="1"/>
  </sheetPr>
  <dimension ref="A1:I30"/>
  <sheetViews>
    <sheetView showZeros="0" tabSelected="1" view="pageBreakPreview" topLeftCell="A22" zoomScale="85" zoomScaleNormal="100" zoomScaleSheetLayoutView="85" workbookViewId="0">
      <selection activeCell="E23" sqref="E23"/>
    </sheetView>
  </sheetViews>
  <sheetFormatPr defaultColWidth="11.375" defaultRowHeight="22.5" customHeight="1" x14ac:dyDescent="0.15"/>
  <cols>
    <col min="1" max="3" width="2.75" style="1" customWidth="1"/>
    <col min="4" max="4" width="22.25" style="1" customWidth="1"/>
    <col min="5" max="5" width="30.75" style="1" customWidth="1"/>
    <col min="6" max="7" width="7.75" style="1" customWidth="1"/>
    <col min="8" max="9" width="30.75" style="1" customWidth="1"/>
    <col min="10" max="10" width="4.125" style="1" customWidth="1"/>
    <col min="11" max="16384" width="11.375" style="1"/>
  </cols>
  <sheetData>
    <row r="1" spans="1:9" ht="18.75" customHeight="1" x14ac:dyDescent="0.15">
      <c r="A1" s="1" t="s">
        <v>71</v>
      </c>
      <c r="I1" s="34" t="s">
        <v>104</v>
      </c>
    </row>
    <row r="2" spans="1:9" ht="18.75" customHeight="1" x14ac:dyDescent="0.15">
      <c r="H2" s="34" t="s">
        <v>108</v>
      </c>
      <c r="I2" s="33" t="str">
        <f>'様式１　プログラムを構成する授業科目'!C2</f>
        <v>沼津工業高等専門学校</v>
      </c>
    </row>
    <row r="3" spans="1:9" ht="18.75" customHeight="1" x14ac:dyDescent="0.15">
      <c r="A3" s="106" t="s">
        <v>28</v>
      </c>
      <c r="B3" s="106"/>
      <c r="C3" s="106"/>
      <c r="D3" s="106"/>
      <c r="E3" s="106"/>
      <c r="F3" s="106"/>
      <c r="G3" s="106"/>
      <c r="H3" s="106"/>
      <c r="I3" s="106"/>
    </row>
    <row r="4" spans="1:9" ht="18.75" customHeight="1" x14ac:dyDescent="0.15">
      <c r="A4" s="5"/>
      <c r="B4" s="5"/>
      <c r="C4" s="5"/>
      <c r="D4" s="5"/>
      <c r="E4" s="5"/>
      <c r="F4" s="5"/>
      <c r="G4" s="5"/>
      <c r="H4" s="5"/>
      <c r="I4" s="5"/>
    </row>
    <row r="5" spans="1:9" ht="18.75" customHeight="1" x14ac:dyDescent="0.15">
      <c r="A5" s="1" t="s">
        <v>0</v>
      </c>
      <c r="B5" s="10" t="s">
        <v>95</v>
      </c>
      <c r="C5" s="5"/>
      <c r="D5" s="5"/>
      <c r="E5" s="5"/>
      <c r="F5" s="5"/>
      <c r="G5" s="5"/>
      <c r="H5" s="5"/>
      <c r="I5" s="5"/>
    </row>
    <row r="6" spans="1:9" ht="26.25" customHeight="1" x14ac:dyDescent="0.15">
      <c r="A6" s="5"/>
      <c r="B6" s="226" t="s">
        <v>158</v>
      </c>
      <c r="C6" s="254"/>
      <c r="D6" s="254"/>
      <c r="E6" s="254"/>
      <c r="F6" s="254"/>
      <c r="G6" s="254"/>
      <c r="H6" s="255"/>
      <c r="I6" s="3"/>
    </row>
    <row r="7" spans="1:9" ht="9" customHeight="1" x14ac:dyDescent="0.15">
      <c r="A7" s="5"/>
      <c r="B7" s="10"/>
      <c r="C7" s="10"/>
      <c r="D7" s="10"/>
      <c r="E7" s="10"/>
      <c r="F7" s="10"/>
      <c r="G7" s="10"/>
      <c r="H7" s="10"/>
      <c r="I7" s="3"/>
    </row>
    <row r="8" spans="1:9" ht="18.75" customHeight="1" x14ac:dyDescent="0.15">
      <c r="A8" s="5"/>
      <c r="B8" s="3"/>
      <c r="C8" s="3"/>
      <c r="D8" s="34" t="s">
        <v>43</v>
      </c>
      <c r="E8" s="35" t="s">
        <v>153</v>
      </c>
      <c r="F8" s="3"/>
      <c r="G8" s="34" t="s">
        <v>10</v>
      </c>
      <c r="H8" s="35" t="s">
        <v>154</v>
      </c>
      <c r="I8" s="3"/>
    </row>
    <row r="9" spans="1:9" ht="7.5" customHeight="1" x14ac:dyDescent="0.15">
      <c r="A9" s="5"/>
      <c r="B9" s="5"/>
      <c r="C9" s="5"/>
      <c r="D9" s="5"/>
      <c r="E9" s="5"/>
      <c r="F9" s="5"/>
      <c r="G9" s="5"/>
      <c r="H9" s="5"/>
      <c r="I9" s="5"/>
    </row>
    <row r="10" spans="1:9" ht="18.75" customHeight="1" x14ac:dyDescent="0.15">
      <c r="A10" s="1" t="s">
        <v>3</v>
      </c>
      <c r="B10" s="1" t="s">
        <v>27</v>
      </c>
      <c r="C10" s="4"/>
      <c r="D10" s="4"/>
      <c r="E10" s="4"/>
      <c r="F10" s="4"/>
      <c r="G10" s="4"/>
      <c r="H10" s="4"/>
      <c r="I10" s="4"/>
    </row>
    <row r="11" spans="1:9" ht="18.75" customHeight="1" x14ac:dyDescent="0.15">
      <c r="B11" s="87" t="s">
        <v>24</v>
      </c>
      <c r="C11" s="89"/>
      <c r="D11" s="88"/>
      <c r="E11" s="89" t="s">
        <v>26</v>
      </c>
      <c r="F11" s="89"/>
      <c r="G11" s="89"/>
      <c r="H11" s="89"/>
      <c r="I11" s="88"/>
    </row>
    <row r="12" spans="1:9" ht="26.25" customHeight="1" x14ac:dyDescent="0.15">
      <c r="B12" s="49" t="s">
        <v>14</v>
      </c>
      <c r="C12" s="56"/>
      <c r="D12" s="50"/>
      <c r="E12" s="57"/>
      <c r="F12" s="57"/>
      <c r="G12" s="57"/>
      <c r="H12" s="57"/>
      <c r="I12" s="50"/>
    </row>
    <row r="13" spans="1:9" ht="210.75" customHeight="1" x14ac:dyDescent="0.15">
      <c r="B13" s="51"/>
      <c r="C13" s="237" t="s">
        <v>15</v>
      </c>
      <c r="D13" s="238"/>
      <c r="E13" s="250" t="s">
        <v>159</v>
      </c>
      <c r="F13" s="239"/>
      <c r="G13" s="239"/>
      <c r="H13" s="239"/>
      <c r="I13" s="240"/>
    </row>
    <row r="14" spans="1:9" ht="210.75" customHeight="1" x14ac:dyDescent="0.15">
      <c r="B14" s="51"/>
      <c r="C14" s="252" t="s">
        <v>16</v>
      </c>
      <c r="D14" s="253"/>
      <c r="E14" s="250" t="s">
        <v>168</v>
      </c>
      <c r="F14" s="239"/>
      <c r="G14" s="239"/>
      <c r="H14" s="239"/>
      <c r="I14" s="240"/>
    </row>
    <row r="15" spans="1:9" ht="210.75" customHeight="1" x14ac:dyDescent="0.15">
      <c r="B15" s="51"/>
      <c r="C15" s="237" t="s">
        <v>17</v>
      </c>
      <c r="D15" s="238"/>
      <c r="E15" s="250" t="s">
        <v>169</v>
      </c>
      <c r="F15" s="239"/>
      <c r="G15" s="239"/>
      <c r="H15" s="239"/>
      <c r="I15" s="240"/>
    </row>
    <row r="16" spans="1:9" ht="210.75" customHeight="1" x14ac:dyDescent="0.15">
      <c r="B16" s="51"/>
      <c r="C16" s="237" t="s">
        <v>18</v>
      </c>
      <c r="D16" s="238"/>
      <c r="E16" s="250" t="s">
        <v>170</v>
      </c>
      <c r="F16" s="239"/>
      <c r="G16" s="239"/>
      <c r="H16" s="239"/>
      <c r="I16" s="240"/>
    </row>
    <row r="17" spans="2:9" ht="210.75" customHeight="1" x14ac:dyDescent="0.15">
      <c r="B17" s="52"/>
      <c r="C17" s="241" t="s">
        <v>19</v>
      </c>
      <c r="D17" s="242"/>
      <c r="E17" s="251" t="s">
        <v>171</v>
      </c>
      <c r="F17" s="243"/>
      <c r="G17" s="243"/>
      <c r="H17" s="243"/>
      <c r="I17" s="244"/>
    </row>
    <row r="18" spans="2:9" ht="24" customHeight="1" x14ac:dyDescent="0.15">
      <c r="B18" s="49" t="s">
        <v>20</v>
      </c>
      <c r="C18" s="53"/>
      <c r="D18" s="54"/>
      <c r="E18" s="55"/>
      <c r="F18" s="55"/>
      <c r="G18" s="55"/>
      <c r="H18" s="55"/>
      <c r="I18" s="58"/>
    </row>
    <row r="19" spans="2:9" ht="218.25" customHeight="1" x14ac:dyDescent="0.15">
      <c r="B19" s="51"/>
      <c r="C19" s="237" t="s">
        <v>21</v>
      </c>
      <c r="D19" s="238"/>
      <c r="E19" s="239" t="s">
        <v>172</v>
      </c>
      <c r="F19" s="239"/>
      <c r="G19" s="239"/>
      <c r="H19" s="239"/>
      <c r="I19" s="240"/>
    </row>
    <row r="20" spans="2:9" ht="218.25" customHeight="1" x14ac:dyDescent="0.15">
      <c r="B20" s="52"/>
      <c r="C20" s="241" t="s">
        <v>22</v>
      </c>
      <c r="D20" s="242"/>
      <c r="E20" s="243" t="s">
        <v>173</v>
      </c>
      <c r="F20" s="243"/>
      <c r="G20" s="243"/>
      <c r="H20" s="243"/>
      <c r="I20" s="244"/>
    </row>
    <row r="21" spans="2:9" ht="218.25" customHeight="1" x14ac:dyDescent="0.15">
      <c r="B21" s="245" t="s">
        <v>23</v>
      </c>
      <c r="C21" s="246"/>
      <c r="D21" s="247"/>
      <c r="E21" s="248" t="s">
        <v>160</v>
      </c>
      <c r="F21" s="248"/>
      <c r="G21" s="248"/>
      <c r="H21" s="248"/>
      <c r="I21" s="249"/>
    </row>
    <row r="22" spans="2:9" ht="218.25" customHeight="1" x14ac:dyDescent="0.15">
      <c r="B22" s="232" t="s">
        <v>38</v>
      </c>
      <c r="C22" s="233"/>
      <c r="D22" s="234"/>
      <c r="E22" s="235" t="s">
        <v>174</v>
      </c>
      <c r="F22" s="235"/>
      <c r="G22" s="235"/>
      <c r="H22" s="235"/>
      <c r="I22" s="236"/>
    </row>
    <row r="23" spans="2:9" ht="22.5" customHeight="1" x14ac:dyDescent="0.15">
      <c r="B23" s="4"/>
      <c r="C23" s="4"/>
      <c r="D23" s="4"/>
      <c r="E23" s="4"/>
      <c r="F23" s="4"/>
      <c r="G23" s="4"/>
      <c r="H23" s="4"/>
      <c r="I23" s="4"/>
    </row>
    <row r="24" spans="2:9" ht="22.5" customHeight="1" x14ac:dyDescent="0.15">
      <c r="B24" s="4"/>
      <c r="C24" s="4"/>
      <c r="D24" s="4"/>
      <c r="E24" s="4"/>
      <c r="F24" s="4"/>
      <c r="G24" s="4"/>
      <c r="H24" s="4"/>
      <c r="I24" s="4"/>
    </row>
    <row r="25" spans="2:9" ht="22.5" customHeight="1" x14ac:dyDescent="0.15">
      <c r="B25" s="4"/>
      <c r="C25" s="4"/>
      <c r="D25" s="4"/>
      <c r="E25" s="4"/>
      <c r="F25" s="4"/>
      <c r="G25" s="4"/>
      <c r="H25" s="4"/>
      <c r="I25" s="4"/>
    </row>
    <row r="26" spans="2:9" ht="22.5" customHeight="1" x14ac:dyDescent="0.15">
      <c r="B26" s="4"/>
      <c r="C26" s="4"/>
      <c r="D26" s="4"/>
      <c r="E26" s="4"/>
      <c r="F26" s="4"/>
      <c r="G26" s="4"/>
      <c r="H26" s="4"/>
      <c r="I26" s="4"/>
    </row>
    <row r="27" spans="2:9" ht="22.5" customHeight="1" x14ac:dyDescent="0.15">
      <c r="B27" s="4"/>
      <c r="C27" s="4"/>
      <c r="D27" s="4"/>
      <c r="E27" s="4"/>
      <c r="F27" s="4"/>
      <c r="G27" s="4"/>
      <c r="H27" s="4"/>
      <c r="I27" s="4"/>
    </row>
    <row r="28" spans="2:9" ht="22.5" customHeight="1" x14ac:dyDescent="0.15">
      <c r="B28" s="15"/>
      <c r="C28" s="15"/>
      <c r="D28" s="15"/>
      <c r="E28" s="15"/>
      <c r="F28" s="15"/>
      <c r="G28" s="15"/>
      <c r="H28" s="15"/>
      <c r="I28" s="15"/>
    </row>
    <row r="29" spans="2:9" ht="22.5" customHeight="1" x14ac:dyDescent="0.15">
      <c r="B29" s="15"/>
      <c r="C29" s="15"/>
      <c r="D29" s="15"/>
      <c r="E29" s="15"/>
      <c r="F29" s="15"/>
      <c r="G29" s="15"/>
      <c r="H29" s="15"/>
      <c r="I29" s="15"/>
    </row>
    <row r="30" spans="2:9" ht="22.5" customHeight="1" x14ac:dyDescent="0.15">
      <c r="B30" s="15"/>
      <c r="C30" s="15"/>
      <c r="D30" s="15"/>
      <c r="E30" s="15"/>
      <c r="F30" s="15"/>
      <c r="G30" s="15"/>
      <c r="H30" s="15"/>
      <c r="I30" s="15"/>
    </row>
  </sheetData>
  <mergeCells count="22">
    <mergeCell ref="C14:D14"/>
    <mergeCell ref="E14:I14"/>
    <mergeCell ref="A3:I3"/>
    <mergeCell ref="B11:D11"/>
    <mergeCell ref="E11:I11"/>
    <mergeCell ref="C13:D13"/>
    <mergeCell ref="E13:I13"/>
    <mergeCell ref="B6:H6"/>
    <mergeCell ref="C15:D15"/>
    <mergeCell ref="E15:I15"/>
    <mergeCell ref="C16:D16"/>
    <mergeCell ref="E16:I16"/>
    <mergeCell ref="C17:D17"/>
    <mergeCell ref="E17:I17"/>
    <mergeCell ref="B22:D22"/>
    <mergeCell ref="E22:I22"/>
    <mergeCell ref="C19:D19"/>
    <mergeCell ref="E19:I19"/>
    <mergeCell ref="C20:D20"/>
    <mergeCell ref="E20:I20"/>
    <mergeCell ref="B21:D21"/>
    <mergeCell ref="E21:I21"/>
  </mergeCells>
  <phoneticPr fontId="1"/>
  <printOptions horizontalCentered="1"/>
  <pageMargins left="0.78740157480314965" right="0.78740157480314965" top="0.78740157480314965" bottom="0.59055118110236227" header="0.31496062992125984" footer="0.31496062992125984"/>
  <pageSetup paperSize="9" scale="62"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kyomu-cc</cp:lastModifiedBy>
  <cp:lastPrinted>2023-04-20T00:18:13Z</cp:lastPrinted>
  <dcterms:created xsi:type="dcterms:W3CDTF">2011-06-14T05:32:50Z</dcterms:created>
  <dcterms:modified xsi:type="dcterms:W3CDTF">2023-04-20T00:25:08Z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