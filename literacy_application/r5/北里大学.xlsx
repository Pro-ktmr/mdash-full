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BoxDrive\Box\学事企画部・国際部事務室\学事企画部\14　個別対応案件\20210217～数理・データサイエンス・ＡＩ教育プログラム認定制度\20230626　申請書修正\02　再提出\01_北里大学\"/>
    </mc:Choice>
  </mc:AlternateContent>
  <bookViews>
    <workbookView xWindow="-108" yWindow="-108" windowWidth="23256" windowHeight="12576" tabRatio="885" activeTab="2"/>
  </bookViews>
  <sheets>
    <sheet name="様式１―１　プログラムを構成する授業科目" sheetId="39" r:id="rId1"/>
    <sheet name="様式１―２　プログラムを構成する授業科目" sheetId="43" r:id="rId2"/>
    <sheet name="様式１―３　プログラムを構成する授業科目" sheetId="45"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'様式１―３　プログラムを構成する授業科目'!$V$14:$V$16</definedName>
    <definedName name="_xlnm._FilterDatabase" localSheetId="3"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'様式１―３　プログラムを構成する授業科目'!$A$1:$S$102</definedName>
    <definedName name="_xlnm.Print_Area" localSheetId="3">'様式２ 履修者等数の実績'!$A$1:$AQ$32</definedName>
    <definedName name="_xlnm.Print_Area" localSheetId="4">'様式３ 教育の質・履修者数を向上させるための体制・計画'!$A$1:$I$120</definedName>
    <definedName name="_xlnm.Print_Area" localSheetId="5">'様式４　自己点検・評価'!$A$1:$I$22</definedName>
    <definedName name="_xlnm.Print_Titles" localSheetId="5">'様式４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1"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alcChain>
</file>

<file path=xl/sharedStrings.xml><?xml version="1.0" encoding="utf-8"?>
<sst xmlns="http://schemas.openxmlformats.org/spreadsheetml/2006/main" count="628" uniqueCount="221">
  <si>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</si>
  <si>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</si>
  <si>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</si>
  <si>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</si>
  <si>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</si>
  <si>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</si>
  <si>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</si>
  <si>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</si>
  <si>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</si>
  <si>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</si>
  <si>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</si>
  <si>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</si>
  <si>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</si>
  <si>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</si>
  <si>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</si>
  <si>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</si>
  <si>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</si>
  <si>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</si>
  <si>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</si>
  <si>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</si>
  <si>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</si>
  <si>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</si>
  <si>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</si>
  <si>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</si>
  <si>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</si>
  <si>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</si>
  <si>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</si>
  <si>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</si>
  <si>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</si>
  <si>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</si>
  <si>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</si>
  <si>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</si>
  <si>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</si>
  <si>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</si>
  <si>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</si>
  <si>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</si>
  <si>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</si>
  <si>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</si>
  <si>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</si>
  <si>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</si>
  <si>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</si>
  <si>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</si>
  <si>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</si>
  <si>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</si>
  <si>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</si>
  <si>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</si>
  <si>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</si>
  <si>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</si>
  <si>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</si>
  <si>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</si>
  <si>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</si>
  <si>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</si>
  <si>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</si>
  <si>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</si>
  <si>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</si>
  <si>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</si>
  <si>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</si>
  <si>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</si>
  <si>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</si>
  <si>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</si>
  <si>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</si>
  <si>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</si>
  <si>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</si>
  <si>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</si>
  <si>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</si>
  <si>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</si>
  <si>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</si>
  <si>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</si>
  <si>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</si>
  <si>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</si>
  <si>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</si>
  <si>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</si>
  <si>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</si>
  <si>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</si>
  <si>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</si>
  <si>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</si>
  <si>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</si>
  <si>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</si>
  <si>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</si>
  <si>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</si>
  <si>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</si>
  <si>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</si>
  <si>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</si>
  <si>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</si>
  <si>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</si>
  <si>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</si>
  <si>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</si>
  <si>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</si>
  <si>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</si>
  <si>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</si>
  <si>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</si>
  <si>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</si>
  <si>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</si>
  <si>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</si>
  <si>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</si>
  <si>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</si>
  <si>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</si>
  <si>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</si>
  <si>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</si>
  <si>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</si>
  <si>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</si>
  <si>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</si>
  <si>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</si>
  <si>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</si>
  <si>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</si>
  <si>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</si>
  <si>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</si>
  <si>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</si>
  <si>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</si>
  <si>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</si>
  <si>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</si>
  <si>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</si>
  <si>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</si>
  <si>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</si>
  <si>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</si>
  <si>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</si>
  <si>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</si>
  <si>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</si>
  <si>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</si>
  <si>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</si>
  <si>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</si>
  <si>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</si>
  <si>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</si>
  <si>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</si>
  <si>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</si>
  <si>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</si>
  <si>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北里大学</t>
    <rPh sb="0" eb="2">
      <t>キタサト</t>
    </rPh>
    <rPh sb="2" eb="4">
      <t>ダイガク</t>
    </rPh>
    <phoneticPr fontId="1"/>
  </si>
  <si>
    <t>北里大学　数理・データサイエンス・AI教育プログラム</t>
    <rPh sb="0" eb="2">
      <t>キタサト</t>
    </rPh>
    <rPh sb="2" eb="4">
      <t>ダイガク</t>
    </rPh>
    <rPh sb="5" eb="7">
      <t>スウリ</t>
    </rPh>
    <rPh sb="19" eb="21">
      <t>キョウイク</t>
    </rPh>
    <phoneticPr fontId="1"/>
  </si>
  <si>
    <t>学部・学科によって、修了要件は相違する</t>
  </si>
  <si>
    <t>○</t>
  </si>
  <si>
    <t>日常生活や社会の課題を解決する有用なツールとして、基礎的な数理・データサイエンス・AIを活用できる能力</t>
    <phoneticPr fontId="1"/>
  </si>
  <si>
    <t>医学部　医学科</t>
    <phoneticPr fontId="1"/>
  </si>
  <si>
    <t>統計学Ａ</t>
    <rPh sb="0" eb="3">
      <t>トウケイガク</t>
    </rPh>
    <phoneticPr fontId="1"/>
  </si>
  <si>
    <t>統計学Ａ</t>
    <phoneticPr fontId="1"/>
  </si>
  <si>
    <t>情報処理工学Ⅰ</t>
    <phoneticPr fontId="1"/>
  </si>
  <si>
    <t>統計学ＢⅠ</t>
    <rPh sb="0" eb="4">
      <t>トウケイガクビー</t>
    </rPh>
    <phoneticPr fontId="1"/>
  </si>
  <si>
    <t>教養演習Ｃ（データサイエンスとＡＩ）</t>
    <rPh sb="0" eb="5">
      <t>キョウヨウエンシュウシー</t>
    </rPh>
    <phoneticPr fontId="1"/>
  </si>
  <si>
    <t xml:space="preserve">　4月当初の履修登録時のオリエンテーションにてプログラム内容をわかりやすく記載したチラシを配付するなどして、まずはプログラムの普及に努める。なお、医学部や医療衛生学部などの一部の学部・学科では、修了要件科目が必修となっている。
　また、修了要件科目を開講している学部等の教育委員会において実施した教育内容の点検・評価内容を元に、北里大学教育委員会においてプログラムの点検・評価を行い、改善・進化をさせることによって履修者数の増加につなげる。
</t>
    <phoneticPr fontId="1"/>
  </si>
  <si>
    <t>　多くの学部で修了要件となっている「教養演習Ｃ（データサイエンスとAI）」については、全学部の1年生を中心に一般教育を提供する「一般教育部」で開講している科目である。「教養演習Ｃ（データサイエンスとAI）」については、時間割の関係から受講できない状況を避けるため、土曜日にもオンデマンド授業にて開講している。
　また、カリキュラムの関係から「教養演習Ｃ（データサイエンスとAI）」を卒業要件にすることが難しい医学部及び医療衛生学部においては、それぞれの学部において必修となっている科目を中心に修了要件を作成している。</t>
    <phoneticPr fontId="1"/>
  </si>
  <si>
    <t>　プログラムの問い合わせ窓口をチラシや大学ホームページにおいて周知し、履修のためのサポート体制を整えている。また、科目を開講している学部にもプログラムの内容を周知し、事務室の窓口におけるサポートにも対応している。</t>
    <phoneticPr fontId="1"/>
  </si>
  <si>
    <t>北里大学教育委員会</t>
    <rPh sb="0" eb="9">
      <t>キタサトダイガクキョウイクイインカイ</t>
    </rPh>
    <phoneticPr fontId="1"/>
  </si>
  <si>
    <t>江川　徹</t>
    <rPh sb="0" eb="2">
      <t>エガワ</t>
    </rPh>
    <rPh sb="3" eb="4">
      <t>トオル</t>
    </rPh>
    <phoneticPr fontId="1"/>
  </si>
  <si>
    <t>　学修成果については、教学システムによって修了要件科目の成績を分析することができ、概ね良好な成果を得られている旨、確認できた。また、修了者には学修ポートフォリオ上で修了済みであることや、プログラム構成科目の成績がわかるようになっており、学生の学修成果の把握にも役立っている。</t>
    <phoneticPr fontId="1"/>
  </si>
  <si>
    <t>　授業評価アンケートを実施して、その結果を分析し、科目を開講している学部等の教育委員会において、授業内容の適切性について点検・評価を行っている。授業評価アンケートの結果、プログラム該当科目において、「興味・関心を持ったか」「この授業は自分にとって意味のある授業だった」といった項目に対し、平均して80％程度の肯定回答があり、学生からの理解が得られている様子が確認できた。
　なお、一部の開講科目においては、受講者数が少なかったため、現時点での判断が難しかったことから、来年度以降に今年度の結果を含めて総合的に判断することとした。
　よって、次年度のプログラム内容の変更は行わないこととした。</t>
    <phoneticPr fontId="1"/>
  </si>
  <si>
    <t>　北里大学教育委員会が中心となって、本プログラムの履修状況を分析、履修者数や履修率向上に向けた計画を立案し、進捗状況を管理している。また、履修者数や履修率向上に向けて、オリエンテーションや大学ホームページなどでの広報を継続的に推進する。</t>
    <phoneticPr fontId="1"/>
  </si>
  <si>
    <t>　本プログラムは令和4年に開設し、プログラム修了者の卒業者は令和5年時点ではいない。修了者が卒業する令和7年度以降に、本学の就職センターとも協力して、活躍状況や企業等の評価を取り入れた点検・評価を行うよう準備を進める。</t>
    <phoneticPr fontId="1"/>
  </si>
  <si>
    <t>　本学では、点検・評価室において、原則毎年度学外者の客観的な視点を取り入れた自己点検・評価を行っている。また、毎年就職センターにおいて卒業生の進路先企業等にアンケートを実施している。いずれかの手法によって、産業界・教育界からの視点を含めた意見を聴取し、本プログラムの運用に反映することができる。</t>
    <phoneticPr fontId="1"/>
  </si>
  <si>
    <t>　本プログラムの構成科目のうち、「教養演習Ｃ」では、実務経験のある教員が実社会でも使われるようなツールを使った実践的な内容を教育して、学ぶことの意義を理解させるようにしている。
　また、他の科目においては、医学部や医療衛生学部など、それぞれの専門分野に紐づいた内容を教育しており、分野に応じた実際に社会で活躍できる人材を育成している。</t>
    <phoneticPr fontId="1"/>
  </si>
  <si>
    <t>　本学では、多くの科目で授業評価アンケートを実施しており、学生の内容の理解度等を把握している。また、学生からの授業評価結果を元に、評価の高い教員への表彰や、FD活動等を実施して、内容・水準を維持・向上に努めている。</t>
    <phoneticPr fontId="1"/>
  </si>
  <si>
    <t>薬学部薬学科</t>
  </si>
  <si>
    <t>薬学部生命創薬科学科</t>
  </si>
  <si>
    <t>獣医学部獣医学科</t>
  </si>
  <si>
    <t>獣医学部動物資源科学科</t>
  </si>
  <si>
    <t>獣医学部生物環境科学科</t>
  </si>
  <si>
    <t>医学部医学科</t>
  </si>
  <si>
    <t>海洋生命科学部海洋生命科学科</t>
  </si>
  <si>
    <t>看護学部看護学科</t>
  </si>
  <si>
    <t>理学部物理学科</t>
  </si>
  <si>
    <t>理学部化学科</t>
  </si>
  <si>
    <t>理学部生物科学科</t>
  </si>
  <si>
    <t>医療衛生学部保健衛生学科</t>
  </si>
  <si>
    <t>医療衛生学部医療検査学科</t>
  </si>
  <si>
    <t>医療衛生学部医療工学科</t>
  </si>
  <si>
    <t>医療衛生学部リハビリテーション学科</t>
  </si>
  <si>
    <t>令和4</t>
    <rPh sb="0" eb="2">
      <t>レイワ</t>
    </rPh>
    <phoneticPr fontId="1"/>
  </si>
  <si>
    <t>　各科目ごとにオフィスアワーを設定し、授業内容に関する質問や解説を実施している。
　また、MoodleなどのLMSを用いて質問を受け付けたり、解説を公開したりして、状況に応じて各学生からの質問を全員に還元できるようにしている。</t>
    <rPh sb="1" eb="4">
      <t>カクカモク</t>
    </rPh>
    <rPh sb="15" eb="17">
      <t>セッテイ</t>
    </rPh>
    <rPh sb="61" eb="63">
      <t>シツモン</t>
    </rPh>
    <rPh sb="64" eb="65">
      <t>ウ</t>
    </rPh>
    <rPh sb="66" eb="67">
      <t>ツ</t>
    </rPh>
    <rPh sb="71" eb="73">
      <t>カイセツ</t>
    </rPh>
    <rPh sb="74" eb="76">
      <t>コウカイ</t>
    </rPh>
    <phoneticPr fontId="1"/>
  </si>
  <si>
    <t>江川　徹</t>
    <rPh sb="0" eb="2">
      <t>エガワ</t>
    </rPh>
    <rPh sb="3" eb="4">
      <t>トオル</t>
    </rPh>
    <phoneticPr fontId="1"/>
  </si>
  <si>
    <t>北里大学教育委員会</t>
    <rPh sb="0" eb="2">
      <t>キタサト</t>
    </rPh>
    <rPh sb="2" eb="4">
      <t>ダイガク</t>
    </rPh>
    <rPh sb="4" eb="6">
      <t>キョウイク</t>
    </rPh>
    <rPh sb="6" eb="9">
      <t>イインカイ</t>
    </rPh>
    <phoneticPr fontId="1"/>
  </si>
  <si>
    <t>北里大学教育委員会規程</t>
    <rPh sb="0" eb="2">
      <t>キタサト</t>
    </rPh>
    <rPh sb="2" eb="4">
      <t>ダイガク</t>
    </rPh>
    <rPh sb="4" eb="6">
      <t>キョウイク</t>
    </rPh>
    <rPh sb="6" eb="9">
      <t>イインカイ</t>
    </rPh>
    <rPh sb="9" eb="11">
      <t>キテイ</t>
    </rPh>
    <phoneticPr fontId="1"/>
  </si>
  <si>
    <t>北里大学教育委員会委員長</t>
    <rPh sb="0" eb="2">
      <t>キタサト</t>
    </rPh>
    <rPh sb="2" eb="4">
      <t>ダイガク</t>
    </rPh>
    <rPh sb="4" eb="6">
      <t>キョウイク</t>
    </rPh>
    <rPh sb="6" eb="9">
      <t>イインカイ</t>
    </rPh>
    <rPh sb="9" eb="12">
      <t>イインチョウ</t>
    </rPh>
    <phoneticPr fontId="1"/>
  </si>
  <si>
    <t>　委員会は、本学における学士課程教育及び大学院教育の基本方針及び教育目標、教育課程、教育内容、教育方法等を協議し、学士課程教育及び大学院教育の円滑な実施とその充実に努めることを目的としており、全学の教育内容や教育・学習環境に関することを協議する。</t>
    <phoneticPr fontId="1"/>
  </si>
  <si>
    <t>北里大学教育会委員長</t>
    <rPh sb="0" eb="2">
      <t>キタサト</t>
    </rPh>
    <rPh sb="2" eb="4">
      <t>ダイガク</t>
    </rPh>
    <rPh sb="4" eb="6">
      <t>キョウイク</t>
    </rPh>
    <rPh sb="6" eb="7">
      <t>カイ</t>
    </rPh>
    <rPh sb="7" eb="10">
      <t>イインチョウ</t>
    </rPh>
    <phoneticPr fontId="1"/>
  </si>
  <si>
    <t>医療情報学</t>
    <rPh sb="0" eb="2">
      <t>イリョウ</t>
    </rPh>
    <rPh sb="2" eb="4">
      <t>ジョウホウ</t>
    </rPh>
    <rPh sb="4" eb="5">
      <t>ガク</t>
    </rPh>
    <phoneticPr fontId="1"/>
  </si>
  <si>
    <t>医療統計学</t>
    <rPh sb="0" eb="2">
      <t>イリョウ</t>
    </rPh>
    <rPh sb="2" eb="5">
      <t>トウケイガク</t>
    </rPh>
    <phoneticPr fontId="1"/>
  </si>
  <si>
    <t>様式１―１</t>
    <rPh sb="0" eb="2">
      <t>ヨウシキ</t>
    </rPh>
    <phoneticPr fontId="1"/>
  </si>
  <si>
    <t>様式１―２</t>
    <rPh sb="0" eb="2">
      <t>ヨウシキ</t>
    </rPh>
    <phoneticPr fontId="1"/>
  </si>
  <si>
    <t>様式１―３</t>
    <rPh sb="0" eb="2">
      <t>ヨウシキ</t>
    </rPh>
    <phoneticPr fontId="1"/>
  </si>
  <si>
    <t>　プログラム内容をわかりやすくまとめたチラシを作成し、入学後のオリエンテーションや大学ホームページでの周知を行っている。また、「教養演習Ｃ（データサイエンスとAI）」は土曜日にもオンデマンド授業を開講し、できる限り多くの学生が履修できるように取り組んでいる。</t>
    <phoneticPr fontId="1"/>
  </si>
  <si>
    <t>　本プログラムは令和4（2022）年度に開設され、修了者数は2023年3月31日現在で191名、収容定員に対して3％である。なお、プログラムの履修期間が複数年の場合、履修した初年度に計上することとなるため、2022年度のプログラム修了者は、2023年度末に確定するが、現時点での予測では、415名となっている。履修・修得状況は未だ高いとは言えないが、開設初年度としては概ね良好と言える。
　今後はより履修・修得を促すべく、履修率の目標を設定を行った上で、プログラムの周知及び履修率向上に向けて取り組みを行っていくこととする。また、シラバスについて、中間点検として記載内容の確認を行い、プログラムにおける担当項目を教えていることが不明瞭なシラバスにおいては、2023年度シラバスから明記することとした。更に、シラバスの第三者チェックの際に、明記されているかどうかを確認するようにした。</t>
    <phoneticPr fontId="1"/>
  </si>
  <si>
    <t>北里大学教育委員会委員長　江川　徹（北里大学副学長）
北里大学教育委員会副委員長　松谷　伸二（北里大学学長補佐）
薬学部教育委員長　長光　亨
獣医学部教育委員長　久留主　志朗
医学部教育委員長　小川　元之
海洋生命科学部教育委員長　天野　勝文
看護学部教育委員長　香取　洋子
理学部教育委員長　弓削　秀隆
医療衛生学部教育委員長　石橋　仁
未来工学部教育委員長　渡辺　豪
一般教育部教育委員長　伊藤　真吾
医療系研究科委員長　林　俊治
感染制御科学府委員長　高橋　孝</t>
    <rPh sb="0" eb="2">
      <t>キタサト</t>
    </rPh>
    <rPh sb="2" eb="4">
      <t>ダイガク</t>
    </rPh>
    <rPh sb="4" eb="6">
      <t>キョウイク</t>
    </rPh>
    <rPh sb="6" eb="9">
      <t>イインカイ</t>
    </rPh>
    <rPh sb="9" eb="12">
      <t>イインチョウ</t>
    </rPh>
    <rPh sb="13" eb="15">
      <t>エガワ</t>
    </rPh>
    <rPh sb="16" eb="17">
      <t>トオル</t>
    </rPh>
    <rPh sb="18" eb="20">
      <t>キタサト</t>
    </rPh>
    <rPh sb="20" eb="22">
      <t>ダイガク</t>
    </rPh>
    <rPh sb="22" eb="25">
      <t>フクガクチョウ</t>
    </rPh>
    <rPh sb="27" eb="31">
      <t>キタサトダイガク</t>
    </rPh>
    <rPh sb="31" eb="33">
      <t>キョウイク</t>
    </rPh>
    <rPh sb="33" eb="36">
      <t>イインカイ</t>
    </rPh>
    <rPh sb="36" eb="40">
      <t>フクイインチョウ</t>
    </rPh>
    <rPh sb="41" eb="43">
      <t>マツタニ</t>
    </rPh>
    <rPh sb="44" eb="46">
      <t>シンジ</t>
    </rPh>
    <rPh sb="47" eb="51">
      <t>キタサトダイガク</t>
    </rPh>
    <rPh sb="51" eb="53">
      <t>ガクチョウ</t>
    </rPh>
    <rPh sb="53" eb="55">
      <t>ホサ</t>
    </rPh>
    <rPh sb="57" eb="60">
      <t>ヤクガクブ</t>
    </rPh>
    <rPh sb="60" eb="62">
      <t>キョウイク</t>
    </rPh>
    <rPh sb="62" eb="65">
      <t>イインチョウ</t>
    </rPh>
    <rPh sb="66" eb="68">
      <t>ナガミツ</t>
    </rPh>
    <rPh sb="69" eb="70">
      <t>トオル</t>
    </rPh>
    <rPh sb="71" eb="74">
      <t>ジュウイガク</t>
    </rPh>
    <rPh sb="74" eb="75">
      <t>ブ</t>
    </rPh>
    <rPh sb="75" eb="80">
      <t>キョウイクイインチョウ</t>
    </rPh>
    <rPh sb="81" eb="84">
      <t>クルス</t>
    </rPh>
    <rPh sb="85" eb="87">
      <t>シロウ</t>
    </rPh>
    <rPh sb="88" eb="90">
      <t>イガク</t>
    </rPh>
    <rPh sb="90" eb="91">
      <t>ブ</t>
    </rPh>
    <rPh sb="91" eb="93">
      <t>キョウイク</t>
    </rPh>
    <rPh sb="93" eb="96">
      <t>イインチョウ</t>
    </rPh>
    <rPh sb="97" eb="99">
      <t>オガワ</t>
    </rPh>
    <rPh sb="100" eb="102">
      <t>モトユキ</t>
    </rPh>
    <rPh sb="103" eb="110">
      <t>カイヨウセイメイカガクブ</t>
    </rPh>
    <rPh sb="170" eb="175">
      <t>ミライコウガクブ</t>
    </rPh>
    <rPh sb="175" eb="177">
      <t>キョウイク</t>
    </rPh>
    <rPh sb="177" eb="180">
      <t>イインチョウ</t>
    </rPh>
    <rPh sb="181" eb="183">
      <t>ワタナベ</t>
    </rPh>
    <rPh sb="184" eb="185">
      <t>ゴウ</t>
    </rPh>
    <rPh sb="232" eb="233">
      <t>タカシ</t>
    </rPh>
    <phoneticPr fontId="1"/>
  </si>
  <si>
    <t>　本学では、「授業評価アンケート」を実施しており、そのアンケート結果から、対象科目について概ね良好な満足度であることが報告されている。以上のことから、間接的ではあるが、推奨度についても良好な評価が得られている推測される。
　学生アンケートを通じて、後輩等他の学生への推奨度は確認できているが、間接的であるため、可能であれば直接的な設問の設置を検討してもよい。</t>
    <rPh sb="146" eb="149">
      <t>カンセツテキ</t>
    </rPh>
    <phoneticPr fontId="1"/>
  </si>
  <si>
    <t>情報処理工学</t>
    <rPh sb="0" eb="2">
      <t>ジョウホウ</t>
    </rPh>
    <rPh sb="2" eb="4">
      <t>ショリ</t>
    </rPh>
    <rPh sb="4" eb="6">
      <t>コウガク</t>
    </rPh>
    <phoneticPr fontId="1"/>
  </si>
  <si>
    <t>プログラムを構成する「教養演習Ｃ（データサイエンスとＡＩ）」を1単位を取得すること。</t>
    <rPh sb="11" eb="16">
      <t>キョウヨウエンシュウシー</t>
    </rPh>
    <phoneticPr fontId="1"/>
  </si>
  <si>
    <t>プログラムを構成する「統計学Ａ」を4単位を取得すること。</t>
    <rPh sb="11" eb="14">
      <t>トウケイガク</t>
    </rPh>
    <phoneticPr fontId="1"/>
  </si>
  <si>
    <t>薬学部　薬学科、薬学部　生命創薬科学科、獣医学部　獣医学科、獣医学部　動物資源科学科、獣医学部　生物環境科学科、海洋生命科学部　海洋生命科学科、看護学部　看護学科、理学部　物理学科、理学部　化学科、理学部　生物科学科</t>
    <rPh sb="0" eb="3">
      <t>ヤクガクブ</t>
    </rPh>
    <rPh sb="4" eb="7">
      <t>ヤクガッカ</t>
    </rPh>
    <rPh sb="8" eb="11">
      <t>ヤクガクブ</t>
    </rPh>
    <rPh sb="12" eb="14">
      <t>セイメイ</t>
    </rPh>
    <rPh sb="14" eb="16">
      <t>ソウヤク</t>
    </rPh>
    <rPh sb="16" eb="18">
      <t>カガク</t>
    </rPh>
    <rPh sb="18" eb="19">
      <t>カ</t>
    </rPh>
    <rPh sb="20" eb="23">
      <t>ジュウイガク</t>
    </rPh>
    <rPh sb="23" eb="24">
      <t>ブ</t>
    </rPh>
    <rPh sb="25" eb="27">
      <t>ジュウイ</t>
    </rPh>
    <rPh sb="27" eb="29">
      <t>ガッカ</t>
    </rPh>
    <rPh sb="30" eb="33">
      <t>ジュウイガク</t>
    </rPh>
    <rPh sb="33" eb="34">
      <t>ブ</t>
    </rPh>
    <rPh sb="35" eb="37">
      <t>ドウブツ</t>
    </rPh>
    <rPh sb="37" eb="39">
      <t>シゲン</t>
    </rPh>
    <rPh sb="39" eb="41">
      <t>カガク</t>
    </rPh>
    <rPh sb="41" eb="42">
      <t>カ</t>
    </rPh>
    <rPh sb="43" eb="47">
      <t>ジュウイガクブ</t>
    </rPh>
    <rPh sb="48" eb="50">
      <t>セイブツ</t>
    </rPh>
    <rPh sb="50" eb="52">
      <t>カンキョウ</t>
    </rPh>
    <rPh sb="52" eb="54">
      <t>カガク</t>
    </rPh>
    <rPh sb="54" eb="55">
      <t>カ</t>
    </rPh>
    <rPh sb="56" eb="63">
      <t>カイヨウセイメイカガクブ</t>
    </rPh>
    <phoneticPr fontId="1"/>
  </si>
  <si>
    <t>医療衛生学部　保健衛生学科、医療検査学科、医療工学科、リハビリテーション学科</t>
    <rPh sb="21" eb="23">
      <t>イリョウ</t>
    </rPh>
    <rPh sb="23" eb="26">
      <t>コウガクカ</t>
    </rPh>
    <phoneticPr fontId="1"/>
  </si>
  <si>
    <t>プログラムを構成する「教養演習Ｃ（データサイエンスとＡＩ）」1単位、
または「統計学ＢⅠ」2単位と「情報処理工学Ⅰ」2単位あるいは「情報処理工学」1単位の合計3単位以上、
または「統計学Ａ」4単位と「医療情報学」2単位あるいは「医療統計学」2単位の合計6単位を取得すること</t>
    <rPh sb="31" eb="33">
      <t>タンイ</t>
    </rPh>
    <rPh sb="82" eb="84">
      <t>イジョウ</t>
    </rPh>
    <rPh sb="114" eb="116">
      <t>イリョウ</t>
    </rPh>
    <rPh sb="116" eb="119">
      <t>トウケイガク</t>
    </rPh>
    <phoneticPr fontId="1"/>
  </si>
  <si>
    <t>・データ倫理：プライバシー保護「教養演習Ｃ」（第2回）</t>
    <phoneticPr fontId="1"/>
  </si>
  <si>
    <t>・匿名加工情報「教養演習Ｃ」（第2回）</t>
    <phoneticPr fontId="1"/>
  </si>
  <si>
    <t>・因果関係と相関関係「教養演習Ｃ」（第3回）
・データ表現「教養演習Ｃ」（第3回）</t>
    <phoneticPr fontId="1"/>
  </si>
  <si>
    <t>・ビッグデータ、データマイニング「教養演習Ｃ」（第2回、第7回）
・ビッグデータが利用される要因となった技術の発展「教養演習Ｃ」（第2回）</t>
    <rPh sb="17" eb="22">
      <t>キョウヨウエンシュウシー</t>
    </rPh>
    <phoneticPr fontId="1"/>
  </si>
  <si>
    <t>・社会で利用されているデータ、POSの利用（人の行動ログデータ）「教養演習Ｃ」（第2回）
・AIとは「教養演習Ｃ」（第10回）</t>
  </si>
  <si>
    <t>・Pythonによるデータ処理、Kaggle「教養演習Ｃ」（第6回、第7回）
・知能とは何か「教養演習Ｃ」（第10回、第14回）
・AI活用領域の広がり（ヘルスケア）「教養演習Ｃ」（第13回）</t>
  </si>
  <si>
    <t>・AIとヘルスケア、エキスパートシステム「教養演習Ｃ」（第13回）
・データ解析/Pythonによるデータ処理「教養演習Ｃ」（第6回、第7回）</t>
  </si>
  <si>
    <t>・ビッグデータ、POSの利用（流通等におけるデータ・利活用事例紹介）「教養演習Ｃ」（第2回）
・新薬開発、健康の維持におけるAIの利用「教養演習Ｃ」（第13回）</t>
    <rPh sb="17" eb="18">
      <t>トウ</t>
    </rPh>
    <rPh sb="26" eb="33">
      <t>リカツヨウジレイショウカイ</t>
    </rPh>
    <phoneticPr fontId="1"/>
  </si>
  <si>
    <t>・データリテラシ、データの種類（質的変数、量的変数）「教養演習Ｃ」（第2回）
・代表値とデータのばらつき「教養演習Ｃ」（第2回）
・FACTFULLNESS「教養演習Ｃ」（第2回、第7回）
・偽陰性と偽陽性、適合率と再現率「教養演習Ｃ」（第11回）</t>
  </si>
  <si>
    <t>・データサイエンスとは．統計の基礎、データの集計「教養演習Ｃ」（第3回、第7回）
・スケーリング「教養演習Ｃ」（第3回）
・Excel、JMP、Rの使い方の基礎「教養演習Ｃ」（第4回、第7回）
・Pythonの基礎「教養演習Ｃ」（第5回、第7回）
・Pythonによるデータの可視化「教養演習Ｃ」（第6回、第7回）</t>
  </si>
  <si>
    <t>・ビッグデータ、データマイニング「教養演習Ｃ」（第2回、第7回）
・ビッグデータが利用される要因となった技術の発展「教養演習Ｃ」（第2回）
・ビッグデータ（データ量の増加、計算機の処理性能の向上）「情報処理工学Ⅰ」（第9回）
・データ量の増加、計算機の処理性能の向上、AIの非連続的進化によるAI開発の変遷「情報処理工学」（第6回）
・ビッグデータ（オミックスデータ等）「医療情報学」（第1回）
・ヘルスケアデータ（次世代医療基盤法による加工データ等）、人の行動ログデータ「医療情報学」（第1回）
・統計・機械学習と現在の社会生活の関係「医療情報学」（第1回）
・ビッグデータ（オミックスデータ等）「医療統計学」（第9回）
・データの統計的な解釈「医療統計学」（第9回）
・統計と現在の社会生活関係「医療統計学」（第9回）</t>
    <rPh sb="17" eb="22">
      <t>キョウヨウエンシュウシー</t>
    </rPh>
    <rPh sb="154" eb="156">
      <t>ジョウホウ</t>
    </rPh>
    <rPh sb="156" eb="158">
      <t>ショリ</t>
    </rPh>
    <rPh sb="158" eb="160">
      <t>コウガク</t>
    </rPh>
    <rPh sb="162" eb="163">
      <t>ダイ</t>
    </rPh>
    <rPh sb="186" eb="191">
      <t>イリョウジョウホウガク</t>
    </rPh>
    <rPh sb="193" eb="194">
      <t>ダイ</t>
    </rPh>
    <phoneticPr fontId="1"/>
  </si>
  <si>
    <t>・社会で利用されているデータ（ビッグデータ）、POSの利用「教養演習Ｃ」（第2回）
・データの収集とIoT「教養演習Ｃ」（第2回、第13回）
・教師あり機械学習、教師なし機械学習、強化学習「教養演習Ｃ」（第11回）
・機械学習の最新動向（転移学習、レコメンデーション）「情報処理工学Ⅰ」（第9回）
・AI最新技術の活用例（機械学習、深層学習、教師あり・なし学習、強化学習の活用例）「情報処理工学」（第6回）
・課題を解決するためのツールとしての統計モデル（2x2分割表、検定等）「医療情報学」（第1回）
・機械学習の概説（SVM、ランダムフォレスト、ニューラルネットワーク等）「医療情報学」（第1回）
・AI最新技術の活用例（深層生成モデル、強化学習、転移学習）「医療情報学」（第1回）
・課題を解決するためのツールとしての統計モデル（2x2分割表、検定等）「医療統計学」（第9回）
・機械学習の概説（SVM、ランダムフォレスト、ニューラルネットワーク等）「医療統計学」（第9回）
・AI最新技術の活用例（深層生成モデル、強化学習、転移学習）「医療統計学」（第9回）</t>
    <rPh sb="135" eb="139">
      <t>ジョウホウショリ</t>
    </rPh>
    <rPh sb="139" eb="141">
      <t>コウガク</t>
    </rPh>
    <rPh sb="191" eb="193">
      <t>ジョウホウ</t>
    </rPh>
    <rPh sb="193" eb="195">
      <t>ショリ</t>
    </rPh>
    <rPh sb="195" eb="197">
      <t>コウガク</t>
    </rPh>
    <rPh sb="240" eb="245">
      <t>イリョウジョウホウガク</t>
    </rPh>
    <rPh sb="289" eb="294">
      <t>イリョウジョウホウガク</t>
    </rPh>
    <rPh sb="332" eb="337">
      <t>イリョウジョウホウガク</t>
    </rPh>
    <phoneticPr fontId="1"/>
  </si>
  <si>
    <t>・社会で利用されているデータ、POSの利用（人の行動ログデータ）「教養演習Ｃ」（第2回）
・AIとは「教養演習Ｃ」（第10回）
・構造化データと非構造化データ（画像、音、テキスト、テーブル）「情報処理工学Ⅰ」（第9回）
・社会で活用されているデータとして非構造化データ（主に画像データ）とそのデータのAIによる利用例「情報処理工学」（第7回）
・ヘルスケアデータ（次世代医療基盤法による加工データ等）、人の行動ログデータの利活用「医療情報学」（第1回）
・ヘルスケアデータ、人の行動ログデータから得られる日常生活の課題とそれを解決するための統計モデル「医療情報学」（第1回）
・ヘルスケアデータ（次世代医療基盤法による加工データ等）、人の行動ログデータ「医療統計学」（第9回）
・ヘルスケアデータ、人の行動ログデータから得られる日常生活の課題とそれを解決するための統計モデル「医療統計学」（第9回）</t>
    <rPh sb="33" eb="38">
      <t>キョウヨウエンシュウシー</t>
    </rPh>
    <rPh sb="51" eb="56">
      <t>キョウヨウエンシュウシー</t>
    </rPh>
    <rPh sb="215" eb="220">
      <t>イリョウジョウホウガク</t>
    </rPh>
    <rPh sb="276" eb="281">
      <t>イリョウジョウホウガク</t>
    </rPh>
    <phoneticPr fontId="1"/>
  </si>
  <si>
    <t>・AIとヘルスケア、エキスパートシステム「教養演習Ｃ」（第13回）
・データ解析/Pythonによるデータ処理「教養演習Ｃ」（第6回、第7回）
・非構造化データ処理（手書き数字画像の識別）「情報処理工学Ⅰ」（第11回）
・データ解析（予測）「情報処理工学」（第6回）
・非構造化データ処理（画像認識と分類）「情報処理工学」（第7回）
・AIモデル評価のためのROC解析「情報処理工学」（第8回）
・単回帰、重回帰分析と回帰モデルを用いた予測の概説「医療情報学」（第2回）
・記述統計についての概説「医療情報学」（第11回、第12回）
・2項分布、多項分布の概説「医療統計学」（第10回）
・データのグルーピング、パターン発見と2×2分割表「医療統計学」（第10回）</t>
    <rPh sb="21" eb="26">
      <t>キョウヨウエンシュウシー</t>
    </rPh>
    <rPh sb="56" eb="61">
      <t>キョウヨウエンシュウシー</t>
    </rPh>
    <rPh sb="224" eb="229">
      <t>イリョウジョウホウガク</t>
    </rPh>
    <rPh sb="249" eb="254">
      <t>イリョウジョウホウガク</t>
    </rPh>
    <phoneticPr fontId="1"/>
  </si>
  <si>
    <t>・ビッグデータ、POSの利用（流通等におけるデータ・利活用事例紹介）「教養演習Ｃ」（第2回）
・新薬開発、健康の維持におけるAIの利用「教養演習Ｃ」（第13回）
・データサイエンスのサイクル（データの取得・管理・加工、データ解析と推論）「情報処理工学Ⅰ」（第11回）
・画像認識・分類を利用したヘルスケア領域におけるデータ・AI利活用事例「情報処理工学」（第7回、第8回）
・単回帰モデルを用いた、ジュースの売り上げモデルの概説および課題解決に向けた提案「医療情報学」（第2回）
・ニューラルネットワークを用いた排他的論理和の実装「医療情報学」（第4回）
・カイ二乗検定を用いた果物の好みのアンケート調査（課題抽出と定式化）の解析法「医療統計学」（第10回）</t>
    <rPh sb="17" eb="18">
      <t>トウ</t>
    </rPh>
    <rPh sb="26" eb="33">
      <t>リカツヨウジレイショウカイ</t>
    </rPh>
    <rPh sb="35" eb="40">
      <t>キョウヨウエンシュウシー</t>
    </rPh>
    <rPh sb="68" eb="73">
      <t>キョウヨウエンシュウシー</t>
    </rPh>
    <rPh sb="228" eb="233">
      <t>イリョウジョウホウガク</t>
    </rPh>
    <rPh sb="266" eb="271">
      <t>イリョウジョウホウガク</t>
    </rPh>
    <phoneticPr fontId="1"/>
  </si>
  <si>
    <t>・因果関係と相関関係「教養演習Ｃ」（第3回）
・データ表現「教養演習Ｃ」（第3回）
・度数分布表、棒グラフ、散布図などを用いたデータ表現「統計学Ａ」（第1回、第４回）
・検定手法の会得とそれを用いたデータから読み取れる事実の説明「統計学Ａ」（第21～29回目）
・分析したデータを視覚化する（ヒストグラム、折線グラフ）「統計学Ａ」(第1回)
・分析したデータを言葉で説明「統計学Ａ」(第16～28回)
・データ表現（棒グラフ、散布図）「統計学ＢⅠ」（第1回、第4回）
・データの比較（条件をそろえた比較：相対度数)「統計学ＢⅠ」（第1回）
・度数分布表、棒グラフ、散布図などを用いたデータ表現「統計学ＢⅠ」（第1回、第2回）
・検定手法の会得とそれを用いたデータから読み取れる事実の説明「統計学ＢⅠ」（第13、第14回）</t>
    <rPh sb="11" eb="16">
      <t>キョウヨウエンシュウシー</t>
    </rPh>
    <rPh sb="75" eb="76">
      <t>ダイ</t>
    </rPh>
    <rPh sb="79" eb="80">
      <t>ダイ</t>
    </rPh>
    <rPh sb="121" eb="122">
      <t>ダイ</t>
    </rPh>
    <rPh sb="160" eb="164">
      <t>トウケイガクエー</t>
    </rPh>
    <rPh sb="166" eb="167">
      <t>ダイ</t>
    </rPh>
    <rPh sb="186" eb="190">
      <t>トウケイガクエー</t>
    </rPh>
    <rPh sb="192" eb="193">
      <t>ダイ</t>
    </rPh>
    <rPh sb="225" eb="226">
      <t>ダイ</t>
    </rPh>
    <rPh sb="227" eb="228">
      <t>カイ</t>
    </rPh>
    <rPh sb="229" eb="230">
      <t>ダイ</t>
    </rPh>
    <rPh sb="265" eb="266">
      <t>ダイ</t>
    </rPh>
    <rPh sb="304" eb="305">
      <t>ダイ</t>
    </rPh>
    <rPh sb="308" eb="309">
      <t>ダイ</t>
    </rPh>
    <rPh sb="351" eb="352">
      <t>ダイ</t>
    </rPh>
    <rPh sb="355" eb="356">
      <t>ダイ</t>
    </rPh>
    <phoneticPr fontId="1"/>
  </si>
  <si>
    <t>・匿名加工情報「教養演習Ｃ」（第2回）
・機密性をはじめとする情報セキュリティに留意したデータ収集「統計学Ａ」（第1回）
・第１種、第２種の過誤「統計学Ａ」（第21回）
・情報セキュリティへの理解を深める「統計学Ａ」 (第16回)
・情報セキュリティ、 匿名加工情報、悪意ある情報搾取：医療従事者としての標本抽出時の留意点「統計学ＢⅠ」（第11回、第12回、第13回、第14回）
・機密性をはじめとする情報セキュリティに留意したデータ収集「統計学ＢⅠ」（第１回）</t>
    <rPh sb="17" eb="18">
      <t>カイ</t>
    </rPh>
    <rPh sb="50" eb="54">
      <t>トウケイガクエー</t>
    </rPh>
    <rPh sb="56" eb="57">
      <t>ダイ</t>
    </rPh>
    <rPh sb="73" eb="77">
      <t>トウケイガクエー</t>
    </rPh>
    <rPh sb="79" eb="80">
      <t>ダイ</t>
    </rPh>
    <rPh sb="103" eb="107">
      <t>トウケイガクエー</t>
    </rPh>
    <rPh sb="110" eb="111">
      <t>ダイ</t>
    </rPh>
    <rPh sb="169" eb="170">
      <t>ダイ</t>
    </rPh>
    <rPh sb="172" eb="173">
      <t>カイ</t>
    </rPh>
    <rPh sb="174" eb="175">
      <t>ダイ</t>
    </rPh>
    <rPh sb="177" eb="178">
      <t>カイ</t>
    </rPh>
    <rPh sb="179" eb="180">
      <t>ダイ</t>
    </rPh>
    <rPh sb="182" eb="183">
      <t>カイ</t>
    </rPh>
    <rPh sb="184" eb="185">
      <t>ダイ</t>
    </rPh>
    <rPh sb="227" eb="228">
      <t>ダイ</t>
    </rPh>
    <phoneticPr fontId="1"/>
  </si>
  <si>
    <t>・データ倫理：プライバシー保護「教養演習Ｃ」（第2回）
・プライバシー保護やデータ抽出の偏り抑止のためのデータ倫理「統計学Ａ」（第1回）
・データ活用における負の事例紹介、部分的なデータを参照する際に現れる例外的状況への対応「統計学Ａ」（第16回、第21回）
・データを統計的に扱うための条件を理解する「統計学Ａ」（第16回、第21回）
・データのねつ造、改ざんの可能性を吟味する「統計学Ａ」（第23回）
・データ倫理：データのねつ造、改ざん、盗用、プライバシー保護：医療従事者としての標本抽出時の留意点「統計学ＢⅠ」（第11回、第12回、第13回、第14回）
・プライバシー保護やデータ抽出の偏り抑止のためのデータ倫理「統計学ＢⅠ」（第1回）
・データ活用における負の事例紹介、部分的なデータを参照する際に現れる例外的状況への対応「統計学ＢⅠ」（第12～14）</t>
    <rPh sb="16" eb="21">
      <t>キョウヨウエンシュウシー</t>
    </rPh>
    <rPh sb="64" eb="65">
      <t>ダイ</t>
    </rPh>
    <rPh sb="119" eb="120">
      <t>ダイ</t>
    </rPh>
    <rPh sb="124" eb="125">
      <t>ダイ</t>
    </rPh>
    <rPh sb="152" eb="155">
      <t>トウケイガク</t>
    </rPh>
    <rPh sb="158" eb="159">
      <t>ダイ</t>
    </rPh>
    <rPh sb="163" eb="164">
      <t>ダイ</t>
    </rPh>
    <rPh sb="191" eb="194">
      <t>トウケイガク</t>
    </rPh>
    <rPh sb="197" eb="198">
      <t>ダイ</t>
    </rPh>
    <rPh sb="253" eb="256">
      <t>トウケイガク</t>
    </rPh>
    <rPh sb="260" eb="261">
      <t>ダイ</t>
    </rPh>
    <rPh sb="263" eb="264">
      <t>カイ</t>
    </rPh>
    <rPh sb="265" eb="266">
      <t>ダイ</t>
    </rPh>
    <rPh sb="268" eb="269">
      <t>カイ</t>
    </rPh>
    <rPh sb="270" eb="271">
      <t>ダイ</t>
    </rPh>
    <rPh sb="273" eb="274">
      <t>カイ</t>
    </rPh>
    <rPh sb="275" eb="276">
      <t>ダイ</t>
    </rPh>
    <rPh sb="311" eb="314">
      <t>トウケイガク</t>
    </rPh>
    <rPh sb="318" eb="319">
      <t>ダイ</t>
    </rPh>
    <rPh sb="374" eb="375">
      <t>ダイ</t>
    </rPh>
    <phoneticPr fontId="1"/>
  </si>
  <si>
    <t>・データサイエンスとは．統計の基礎、データの集計「教養演習Ｃ」（第3回、第7回）
・スケーリング「教養演習Ｃ」（第3回）
・Excel、JMP、Rの使い方の基礎「教養演習Ｃ」（第4回、第7回）
・Pythonの基礎「教養演習Ｃ」（第5回、第7回）
・Pythonによるデータの可視化「教養演習Ｃ」（第6回、第7回）
・データ解析ツールを用いたデータ処理「統計学Ａ」（第2～5回）
・データの並び替え「統計学Ａ」（第2回）
・データを分析し、平均・分散を求める「統計学Ａ」 (第2～4回)
・分析したデータを元に実生活における活用法を考える「統計学Ａ」 （第16～28回）
・データの集計（和、平均）「統計学ＢⅠ」（第2回、第3回）
・データ解析ツールを用いたデータ処理「統計学ＢⅠ」(第2回、第3回）</t>
    <rPh sb="25" eb="30">
      <t>キョウヨウエンシュウシー</t>
    </rPh>
    <rPh sb="177" eb="181">
      <t>トウケイガクエー</t>
    </rPh>
    <rPh sb="183" eb="184">
      <t>ダイ</t>
    </rPh>
    <rPh sb="187" eb="188">
      <t>カイ</t>
    </rPh>
    <rPh sb="206" eb="207">
      <t>ダイ</t>
    </rPh>
    <rPh sb="230" eb="234">
      <t>トウケイガクエー</t>
    </rPh>
    <rPh sb="237" eb="238">
      <t>ダイ</t>
    </rPh>
    <rPh sb="277" eb="278">
      <t>ダイ</t>
    </rPh>
    <rPh sb="307" eb="308">
      <t>ダイ</t>
    </rPh>
    <rPh sb="309" eb="310">
      <t>カイ</t>
    </rPh>
    <rPh sb="311" eb="312">
      <t>ダイ</t>
    </rPh>
    <rPh sb="342" eb="343">
      <t>ダイ</t>
    </rPh>
    <rPh sb="344" eb="345">
      <t>カイ</t>
    </rPh>
    <rPh sb="346" eb="347">
      <t>ダイ</t>
    </rPh>
    <rPh sb="348" eb="349">
      <t>カイ</t>
    </rPh>
    <phoneticPr fontId="1"/>
  </si>
  <si>
    <t>・データリテラシ、データの種類（質的変数、量的変数）「教養演習Ｃ」（第2回）
・代表値とデータのばらつき「教養演習Ｃ」（第2回）
・FACTFULLNESS「教養演習Ｃ」（第2回、第7回）
・偽陰性と偽陽性、適合率と再現率「教養演習Ｃ」（第11回）
・データのばらつきと代表値（平均値、中央値、最頻値、分散、標準偏差）「統計学Ａ」（第2回、第回）
・統計情報の正しい理解と、それに応じた適切な推定・検定手法の理解「統計学Ａ」（第16～20回、第22～29回）
・データの分布やデータのばらつきについて理解する「統計学Ａ」(第1～4回)
・実社会におけるデータを統計モデルを用いて分析「統計学Ａ」(第16～28回)
・データの種類（量的変数、質的変数）「統計学ＢⅠ」（第1回、第6回、第8回）
・データの分布(度数分布、ヒストグラム)と代表値（平均値、中央値、最頻値）「統計学ＢⅠ」（第1回、第2回、第3回）
・代表値の性質の違い（実社会では平均値＝最頻値でないことが多い）「統計学ＢⅠ」（第3回）
・データのばらつき（分散、標準偏差）「統計学ＢⅠ」（第2回、第3回）
・相関と因果（相関係数）「統計学ＢⅠ」（第4回）
・母集団と標本抽出「統計学ＢⅠ」（第1回、第11回）
・データのばらつきと代表値（平均値、分散、標準偏差）「統計学ＢⅠ」（第2回）
・統計情報の正しい理解と、それに応じた適切な推定・検定手法の理解「統計学ＢⅠ」（第12～14回）</t>
    <rPh sb="160" eb="163">
      <t>トウケイガク</t>
    </rPh>
    <rPh sb="166" eb="167">
      <t>ダイ</t>
    </rPh>
    <rPh sb="168" eb="169">
      <t>カイ</t>
    </rPh>
    <rPh sb="170" eb="171">
      <t>ダイ</t>
    </rPh>
    <rPh sb="171" eb="172">
      <t>カイ</t>
    </rPh>
    <rPh sb="207" eb="211">
      <t>トウケイガクエー</t>
    </rPh>
    <rPh sb="213" eb="214">
      <t>ダイ</t>
    </rPh>
    <rPh sb="219" eb="220">
      <t>カイ</t>
    </rPh>
    <rPh sb="221" eb="222">
      <t>ダイ</t>
    </rPh>
    <rPh sb="227" eb="228">
      <t>カイ</t>
    </rPh>
    <rPh sb="255" eb="259">
      <t>トウケイガクエー</t>
    </rPh>
    <rPh sb="261" eb="262">
      <t>ダイ</t>
    </rPh>
    <rPh sb="292" eb="296">
      <t>トウケイガクエー</t>
    </rPh>
    <rPh sb="298" eb="299">
      <t>ダイ</t>
    </rPh>
    <rPh sb="333" eb="334">
      <t>ダイ</t>
    </rPh>
    <rPh sb="335" eb="336">
      <t>カイ</t>
    </rPh>
    <rPh sb="337" eb="338">
      <t>ダイ</t>
    </rPh>
    <rPh sb="339" eb="340">
      <t>カイ</t>
    </rPh>
    <rPh sb="341" eb="342">
      <t>ダイ</t>
    </rPh>
    <rPh sb="391" eb="392">
      <t>ダイ</t>
    </rPh>
    <rPh sb="393" eb="394">
      <t>カイ</t>
    </rPh>
    <rPh sb="395" eb="396">
      <t>ダイ</t>
    </rPh>
    <rPh sb="397" eb="398">
      <t>カイ</t>
    </rPh>
    <rPh sb="399" eb="400">
      <t>ダイ</t>
    </rPh>
    <rPh sb="444" eb="445">
      <t>ダイ</t>
    </rPh>
    <rPh sb="475" eb="476">
      <t>ダイ</t>
    </rPh>
    <rPh sb="477" eb="478">
      <t>カイ</t>
    </rPh>
    <rPh sb="479" eb="480">
      <t>ダイ</t>
    </rPh>
    <rPh sb="504" eb="505">
      <t>ダイ</t>
    </rPh>
    <rPh sb="526" eb="527">
      <t>ダイ</t>
    </rPh>
    <rPh sb="528" eb="529">
      <t>カイ</t>
    </rPh>
    <rPh sb="530" eb="531">
      <t>ダイ</t>
    </rPh>
    <rPh sb="546" eb="548">
      <t>ダイヒョウ</t>
    </rPh>
    <rPh sb="548" eb="549">
      <t>アタイ</t>
    </rPh>
    <rPh sb="570" eb="571">
      <t>ダイ</t>
    </rPh>
    <rPh sb="615" eb="616">
      <t>ダイ</t>
    </rPh>
    <phoneticPr fontId="1"/>
  </si>
  <si>
    <t>・情報セキュリティ対策、RSA暗号「統計学Ａ」（第2回）</t>
    <phoneticPr fontId="1"/>
  </si>
  <si>
    <t>・データ量の増加、計算機の処理性能の向上、AIの非連続的進化「統計学Ａ」（第1回）
・17世紀の天文学と現代との違い「統計学Ａ」（第1回）</t>
    <rPh sb="31" eb="35">
      <t>トウケイガクエー</t>
    </rPh>
    <rPh sb="37" eb="38">
      <t>ダイ</t>
    </rPh>
    <rPh sb="65" eb="66">
      <t>ダイ</t>
    </rPh>
    <phoneticPr fontId="1"/>
  </si>
  <si>
    <t>・数学・物理学・化学の学問別にみたデータやAI最新技術の活用例（深層生成モデル、敵対的生成ネットワーク、強化学習、転移学習など）「統計学Ａ」（第1回）</t>
    <phoneticPr fontId="1"/>
  </si>
  <si>
    <t>・構造化データ、非構造化データ（文章、画像/動画、音声/音楽など）「統計学Ａ」（第1回）</t>
    <phoneticPr fontId="1"/>
  </si>
  <si>
    <t>・データ・AI活用領域の広がり(生産、消費、文化活動など)の紹介「統計学Ａ」（第1回）</t>
    <phoneticPr fontId="1"/>
  </si>
  <si>
    <t>・流通、製造、金融、サービス、インフラ、公共、ヘルスケア等におけるデータ・AI利活用事例紹介「統計学Ａ」（第1回）</t>
    <phoneticPr fontId="1"/>
  </si>
  <si>
    <t>・データ・AI活用における負の事例紹介、帰納的推論と演繹的推論「統計学Ａ」（第1回）
・技術進歩の弊害「統計学Ａ」（第2回）</t>
    <phoneticPr fontId="1"/>
  </si>
  <si>
    <t>・統計情報の正しい理解のための指数関数・対数関数の性質と微分方程式の読み取り方「統計学Ａ」（第2回）</t>
    <rPh sb="46" eb="47">
      <t>ダイ</t>
    </rPh>
    <rPh sb="48" eb="49">
      <t>カイ</t>
    </rPh>
    <phoneticPr fontId="1"/>
  </si>
  <si>
    <t>・優れた可視化事例の紹介としてデータの動向の例（ロジスティック方程式、拡散方程式）「統計学Ａ」（第2回）</t>
    <phoneticPr fontId="1"/>
  </si>
  <si>
    <t>・データ解析ツールとその数学的証明（t分布、F分布）「統計学Ａ」（第2回）</t>
    <phoneticPr fontId="1"/>
  </si>
  <si>
    <t>統計学ＢⅠ</t>
    <rPh sb="0" eb="3">
      <t>トウケイガク</t>
    </rPh>
    <phoneticPr fontId="1"/>
  </si>
  <si>
    <t>・社会で利用されているデータ（ビッグデータ）、POSの利用「教養演習Ｃ」（第2回）
・データの収集とIoT「教養演習Ｃ」（第2回、第13回）
・教師あり機械学習、教師なし機械学習、強化学習「教養演習Ｃ」（第11回）</t>
    <phoneticPr fontId="1"/>
  </si>
  <si>
    <t>・言語処理、画像/動画処理、音声/音楽処理などの非構造化データ処理の例としてテキストや動画の新規生成技術の紹介「統計学Ａ」（第1回）</t>
    <rPh sb="48" eb="49">
      <t>セイ</t>
    </rPh>
    <phoneticPr fontId="1"/>
  </si>
  <si>
    <t>・Pythonによるデータ処理、Kaggle「教養演習Ｃ」（第6回、第7回）
・知能とは何か「教養演習Ｃ」（第10回、第14回）
・AI活用領域の広がり（ヘルスケア）「教養演習Ｃ」（第13回）
・医療分野での利活用事例（仮説検証、判断支援）「情報処理工学Ⅰ」（第9回）
・画像データのAIを活用した分類による判断支援など社会における課題解決例「情報処理工学」（第7回）
・回帰モデルについての概説「医療情報学」（第2回）
・仮説検証、仮説検定についての概説「医療情報学」（第13回）
・統計的推測・統計的検定および仮説検証の概説「医療統計学」（第9回）
・医学的研究の意義の概説「医療統計学」（第9回）
・医学的研究のデザインの概説「医療統計学」（第9回）</t>
    <rPh sb="23" eb="28">
      <t>キョウヨウエンシュウシー</t>
    </rPh>
    <rPh sb="47" eb="52">
      <t>キョウヨウエンシュウシー</t>
    </rPh>
    <rPh sb="84" eb="89">
      <t>キョウヨウエンシュウシー</t>
    </rPh>
    <rPh sb="172" eb="174">
      <t>ジョウホウ</t>
    </rPh>
    <rPh sb="174" eb="176">
      <t>ショリ</t>
    </rPh>
    <rPh sb="176" eb="178">
      <t>コウガク</t>
    </rPh>
    <rPh sb="199" eb="204">
      <t>イリョウジョウホウガク</t>
    </rPh>
    <rPh sb="229" eb="234">
      <t>イリョウジョウホウガク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</si>
</sst>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15" xfId="0" applyFont="1" applyBorder="1" applyAlignment="1">
      <alignment horizontal="center" vertical="center" shrinkToFit="1"/>
    </xf>
    <xf numFmtId="0" fontId="2" fillId="0" borderId="61" xfId="0" applyFont="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37" xfId="0" applyFont="1" applyBorder="1" applyAlignment="1">
      <alignment horizontal="left" vertical="center" wrapText="1"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xf numFmtId="0" fontId="11" fillId="0" borderId="34" xfId="0" applyFont="1" applyBorder="1" applyAlignment="1">
      <alignment horizontal="left" vertical="center" wrapText="1"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34" xfId="0" applyFont="1" applyBorder="1" applyAlignment="1">
      <alignment horizontal="left" vertical="center" shrinkToFit="1"/>
    </xf>
    <xf numFmtId="0" fontId="11" fillId="0" borderId="19" xfId="0" applyFont="1" applyBorder="1" applyAlignment="1">
      <alignment vertical="center" wrapText="1"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11" fillId="0" borderId="34" xfId="0" applyFont="1" applyBorder="1" applyAlignment="1">
      <alignment vertical="center" wrapText="1"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37" xfId="0" applyFont="1" applyBorder="1" applyAlignment="1">
      <alignment vertical="center" wrapText="1"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11"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11" fillId="0" borderId="36" xfId="0" applyFont="1" applyBorder="1" applyAlignment="1">
      <alignment vertical="center" wrapText="1" shrinkToFit="1"/>
    </xf>
    <xf numFmtId="0" fontId="11" fillId="0" borderId="6" xfId="0" applyFont="1" applyBorder="1" applyAlignment="1">
      <alignment vertical="center" wrapText="1"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11" fillId="0" borderId="36" xfId="0" applyFont="1" applyBorder="1" applyAlignment="1">
      <alignment horizontal="left" vertical="center" wrapText="1" shrinkToFit="1"/>
    </xf>
    <xf numFmtId="0" fontId="11" fillId="0" borderId="35" xfId="0" applyFont="1" applyBorder="1" applyAlignment="1">
      <alignment horizontal="left" vertical="center" wrapText="1" shrinkToFit="1"/>
    </xf>
    <xf numFmtId="0" fontId="11" fillId="0" borderId="6" xfId="0" applyFont="1" applyBorder="1" applyAlignment="1">
      <alignment horizontal="left" vertical="center" wrapText="1" shrinkToFit="1"/>
    </xf>
    <xf numFmtId="0" fontId="11" fillId="0" borderId="12" xfId="0" applyFont="1" applyBorder="1" applyAlignment="1">
      <alignment horizontal="left" vertical="center" wrapText="1" shrinkToFit="1"/>
    </xf>
    <xf numFmtId="0" fontId="2" fillId="0" borderId="16" xfId="0" applyFont="1" applyBorder="1" applyAlignment="1">
      <alignment vertical="center" shrinkToFit="1"/>
    </xf>
    <xf numFmtId="0" fontId="2" fillId="0" borderId="22" xfId="0" applyFont="1" applyBorder="1" applyAlignment="1">
      <alignment vertical="center" shrinkToFit="1"/>
    </xf>
    <xf numFmtId="0" fontId="2" fillId="0" borderId="21" xfId="0" applyFont="1" applyBorder="1" applyAlignment="1">
      <alignment vertical="center" shrinkToFi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11" fillId="0" borderId="38" xfId="0" applyFont="1" applyBorder="1" applyAlignment="1">
      <alignment horizontal="left" vertical="center" wrapText="1" shrinkToFit="1"/>
    </xf>
    <xf numFmtId="0" fontId="11" fillId="0" borderId="39" xfId="0" applyFont="1" applyBorder="1" applyAlignment="1">
      <alignment horizontal="left" vertical="center" wrapText="1" shrinkToFit="1"/>
    </xf>
    <xf numFmtId="0" fontId="11" fillId="0" borderId="35" xfId="0" applyFont="1" applyBorder="1" applyAlignment="1">
      <alignment vertical="center" wrapText="1" shrinkToFit="1"/>
    </xf>
    <xf numFmtId="0" fontId="11" fillId="0" borderId="20" xfId="0" applyFont="1" applyBorder="1" applyAlignment="1">
      <alignment vertical="center" wrapText="1" shrinkToFit="1"/>
    </xf>
    <xf numFmtId="0" fontId="11" fillId="0" borderId="18" xfId="0" applyFont="1" applyBorder="1" applyAlignment="1">
      <alignment vertical="center" wrapText="1" shrinkToFit="1"/>
    </xf>
    <xf numFmtId="0" fontId="11" fillId="0" borderId="12" xfId="0" applyFont="1" applyBorder="1" applyAlignment="1">
      <alignment vertical="center" wrapText="1" shrinkToFit="1"/>
    </xf>
    <xf numFmtId="0" fontId="11" fillId="0" borderId="9" xfId="0" applyFont="1" applyBorder="1" applyAlignment="1">
      <alignment horizontal="left" vertical="center"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1" zoomScaleNormal="100" zoomScaleSheetLayoutView="100" workbookViewId="0">
      <selection activeCell="D94" sqref="D94:S94"/>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8" t="s">
        <v>174</v>
      </c>
      <c r="S1" s="108"/>
      <c r="T1" s="2" t="s">
        <v>109</v>
      </c>
    </row>
    <row r="2" spans="1:22" ht="18.75" customHeight="1" x14ac:dyDescent="0.2">
      <c r="B2" s="34" t="s">
        <v>108</v>
      </c>
      <c r="C2" s="101" t="s">
        <v>126</v>
      </c>
      <c r="D2" s="102"/>
      <c r="E2" s="102"/>
      <c r="F2" s="102"/>
      <c r="G2" s="102"/>
      <c r="H2" s="102"/>
      <c r="I2" s="103"/>
      <c r="J2" s="35"/>
      <c r="K2" s="6"/>
      <c r="L2" s="6"/>
      <c r="M2" s="6"/>
      <c r="N2" s="6"/>
      <c r="O2" s="6"/>
      <c r="P2" s="6"/>
      <c r="Q2" s="6"/>
      <c r="R2" s="6"/>
      <c r="S2" s="6"/>
    </row>
    <row r="3" spans="1:22" ht="18.75" customHeight="1" x14ac:dyDescent="0.2">
      <c r="B3" s="34" t="s">
        <v>102</v>
      </c>
      <c r="C3" s="112" t="s">
        <v>127</v>
      </c>
      <c r="D3" s="113"/>
      <c r="E3" s="113"/>
      <c r="F3" s="113"/>
      <c r="G3" s="113"/>
      <c r="H3" s="113"/>
      <c r="I3" s="114"/>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15" t="s">
        <v>38</v>
      </c>
      <c r="B5" s="115"/>
      <c r="C5" s="115"/>
      <c r="D5" s="115"/>
      <c r="E5" s="115"/>
      <c r="F5" s="115"/>
      <c r="G5" s="115"/>
      <c r="H5" s="115"/>
      <c r="I5" s="115"/>
      <c r="J5" s="115"/>
      <c r="K5" s="115"/>
      <c r="L5" s="115"/>
      <c r="M5" s="115"/>
      <c r="N5" s="115"/>
      <c r="O5" s="115"/>
      <c r="P5" s="115"/>
      <c r="Q5" s="115"/>
      <c r="R5" s="115"/>
      <c r="S5" s="115"/>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124</v>
      </c>
      <c r="C7" s="3"/>
      <c r="J7" s="38" t="s">
        <v>107</v>
      </c>
      <c r="K7" s="125" t="s">
        <v>128</v>
      </c>
      <c r="L7" s="126"/>
      <c r="M7" s="126"/>
      <c r="N7" s="126"/>
      <c r="O7" s="126"/>
      <c r="P7" s="126"/>
      <c r="Q7" s="126"/>
      <c r="R7" s="126"/>
      <c r="S7" s="127"/>
    </row>
    <row r="8" spans="1:22" ht="6" customHeight="1" x14ac:dyDescent="0.2">
      <c r="B8" s="3"/>
      <c r="C8" s="3"/>
      <c r="D8" s="3"/>
      <c r="E8" s="3"/>
      <c r="F8" s="3"/>
      <c r="G8" s="3"/>
      <c r="H8" s="3"/>
      <c r="I8" s="3"/>
      <c r="J8" s="3"/>
      <c r="K8" s="10"/>
      <c r="L8" s="3"/>
      <c r="M8" s="3"/>
      <c r="N8" s="3"/>
      <c r="O8" s="3"/>
      <c r="P8" s="3"/>
      <c r="Q8" s="3"/>
      <c r="R8" s="3"/>
      <c r="S8" s="3"/>
    </row>
    <row r="9" spans="1:22" ht="31.2" customHeight="1" x14ac:dyDescent="0.2">
      <c r="B9" s="89" t="s">
        <v>184</v>
      </c>
      <c r="C9" s="90"/>
      <c r="D9" s="90"/>
      <c r="E9" s="90"/>
      <c r="F9" s="90"/>
      <c r="G9" s="90"/>
      <c r="H9" s="90"/>
      <c r="I9" s="90"/>
      <c r="J9" s="90"/>
      <c r="K9" s="90"/>
      <c r="L9" s="90"/>
      <c r="M9" s="90"/>
      <c r="N9" s="90"/>
      <c r="O9" s="90"/>
      <c r="P9" s="90"/>
      <c r="Q9" s="90"/>
      <c r="R9" s="90"/>
      <c r="S9" s="91"/>
    </row>
    <row r="10" spans="1:22" ht="31.2" customHeight="1" x14ac:dyDescent="0.2">
      <c r="B10" s="92"/>
      <c r="C10" s="93"/>
      <c r="D10" s="93"/>
      <c r="E10" s="93"/>
      <c r="F10" s="93"/>
      <c r="G10" s="93"/>
      <c r="H10" s="93"/>
      <c r="I10" s="93"/>
      <c r="J10" s="93"/>
      <c r="K10" s="93"/>
      <c r="L10" s="93"/>
      <c r="M10" s="93"/>
      <c r="N10" s="93"/>
      <c r="O10" s="93"/>
      <c r="P10" s="93"/>
      <c r="Q10" s="93"/>
      <c r="R10" s="93"/>
      <c r="S10" s="94"/>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111</v>
      </c>
      <c r="B12" s="3"/>
      <c r="C12" s="3"/>
      <c r="D12" s="35"/>
      <c r="E12" s="35"/>
      <c r="F12" s="35"/>
      <c r="G12" s="35"/>
      <c r="H12" s="35"/>
      <c r="I12" s="35"/>
      <c r="J12" s="35"/>
      <c r="K12" s="39"/>
      <c r="L12" s="39"/>
      <c r="M12" s="39"/>
      <c r="N12" s="39"/>
      <c r="O12" s="39"/>
      <c r="P12" s="39"/>
      <c r="Q12" s="39"/>
      <c r="R12" s="39"/>
      <c r="S12" s="39"/>
    </row>
    <row r="13" spans="1:22" ht="18" customHeight="1" x14ac:dyDescent="0.2">
      <c r="B13" s="116" t="s">
        <v>182</v>
      </c>
      <c r="C13" s="117"/>
      <c r="D13" s="117"/>
      <c r="E13" s="117"/>
      <c r="F13" s="117"/>
      <c r="G13" s="117"/>
      <c r="H13" s="117"/>
      <c r="I13" s="117"/>
      <c r="J13" s="117"/>
      <c r="K13" s="117"/>
      <c r="L13" s="117"/>
      <c r="M13" s="117"/>
      <c r="N13" s="117"/>
      <c r="O13" s="117"/>
      <c r="P13" s="117"/>
      <c r="Q13" s="117"/>
      <c r="R13" s="117"/>
      <c r="S13" s="118"/>
      <c r="V13" s="1" t="s">
        <v>103</v>
      </c>
    </row>
    <row r="14" spans="1:22" ht="18" customHeight="1" x14ac:dyDescent="0.2">
      <c r="B14" s="119"/>
      <c r="C14" s="120"/>
      <c r="D14" s="120"/>
      <c r="E14" s="120"/>
      <c r="F14" s="120"/>
      <c r="G14" s="120"/>
      <c r="H14" s="120"/>
      <c r="I14" s="120"/>
      <c r="J14" s="120"/>
      <c r="K14" s="120"/>
      <c r="L14" s="120"/>
      <c r="M14" s="120"/>
      <c r="N14" s="120"/>
      <c r="O14" s="120"/>
      <c r="P14" s="120"/>
      <c r="Q14" s="120"/>
      <c r="R14" s="120"/>
      <c r="S14" s="121"/>
      <c r="V14" s="1" t="s">
        <v>110</v>
      </c>
    </row>
    <row r="15" spans="1:22" ht="18" customHeight="1" x14ac:dyDescent="0.2">
      <c r="B15" s="119"/>
      <c r="C15" s="120"/>
      <c r="D15" s="120"/>
      <c r="E15" s="120"/>
      <c r="F15" s="120"/>
      <c r="G15" s="120"/>
      <c r="H15" s="120"/>
      <c r="I15" s="120"/>
      <c r="J15" s="120"/>
      <c r="K15" s="120"/>
      <c r="L15" s="120"/>
      <c r="M15" s="120"/>
      <c r="N15" s="120"/>
      <c r="O15" s="120"/>
      <c r="P15" s="120"/>
      <c r="Q15" s="120"/>
      <c r="R15" s="120"/>
      <c r="S15" s="121"/>
      <c r="V15" s="1" t="s">
        <v>123</v>
      </c>
    </row>
    <row r="16" spans="1:22" ht="18" customHeight="1" x14ac:dyDescent="0.2">
      <c r="B16" s="119"/>
      <c r="C16" s="120"/>
      <c r="D16" s="120"/>
      <c r="E16" s="120"/>
      <c r="F16" s="120"/>
      <c r="G16" s="120"/>
      <c r="H16" s="120"/>
      <c r="I16" s="120"/>
      <c r="J16" s="120"/>
      <c r="K16" s="120"/>
      <c r="L16" s="120"/>
      <c r="M16" s="120"/>
      <c r="N16" s="120"/>
      <c r="O16" s="120"/>
      <c r="P16" s="120"/>
      <c r="Q16" s="120"/>
      <c r="R16" s="120"/>
      <c r="S16" s="121"/>
      <c r="V16" s="1" t="s">
        <v>125</v>
      </c>
    </row>
    <row r="17" spans="1:19" ht="18" customHeight="1" x14ac:dyDescent="0.2">
      <c r="B17" s="119"/>
      <c r="C17" s="120"/>
      <c r="D17" s="120"/>
      <c r="E17" s="120"/>
      <c r="F17" s="120"/>
      <c r="G17" s="120"/>
      <c r="H17" s="120"/>
      <c r="I17" s="120"/>
      <c r="J17" s="120"/>
      <c r="K17" s="120"/>
      <c r="L17" s="120"/>
      <c r="M17" s="120"/>
      <c r="N17" s="120"/>
      <c r="O17" s="120"/>
      <c r="P17" s="120"/>
      <c r="Q17" s="120"/>
      <c r="R17" s="120"/>
      <c r="S17" s="121"/>
    </row>
    <row r="18" spans="1:19" ht="18" customHeight="1" x14ac:dyDescent="0.2">
      <c r="B18" s="122"/>
      <c r="C18" s="123"/>
      <c r="D18" s="123"/>
      <c r="E18" s="123"/>
      <c r="F18" s="123"/>
      <c r="G18" s="123"/>
      <c r="H18" s="123"/>
      <c r="I18" s="123"/>
      <c r="J18" s="123"/>
      <c r="K18" s="123"/>
      <c r="L18" s="123"/>
      <c r="M18" s="123"/>
      <c r="N18" s="123"/>
      <c r="O18" s="123"/>
      <c r="P18" s="123"/>
      <c r="Q18" s="123"/>
      <c r="R18" s="123"/>
      <c r="S18" s="124"/>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112</v>
      </c>
      <c r="C20" s="101">
        <v>1</v>
      </c>
      <c r="D20" s="103"/>
      <c r="E20" s="40" t="s">
        <v>95</v>
      </c>
      <c r="G20" s="10"/>
      <c r="H20" s="3"/>
      <c r="I20" s="3"/>
      <c r="J20" s="35" t="s">
        <v>121</v>
      </c>
      <c r="K20" s="109" t="s">
        <v>125</v>
      </c>
      <c r="L20" s="110"/>
      <c r="M20" s="110"/>
      <c r="N20" s="110"/>
      <c r="O20" s="110"/>
      <c r="P20" s="110"/>
      <c r="Q20" s="110"/>
      <c r="R20" s="110"/>
      <c r="S20" s="111"/>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04" t="s">
        <v>113</v>
      </c>
      <c r="B22" s="104"/>
      <c r="C22" s="104"/>
      <c r="D22" s="104"/>
      <c r="E22" s="104"/>
      <c r="F22" s="104"/>
      <c r="G22" s="104"/>
      <c r="H22" s="104"/>
      <c r="I22" s="104"/>
      <c r="J22" s="104"/>
      <c r="K22" s="104"/>
      <c r="L22" s="104"/>
      <c r="M22" s="104"/>
      <c r="N22" s="104"/>
      <c r="O22" s="104"/>
      <c r="P22" s="104"/>
      <c r="Q22" s="104"/>
      <c r="R22" s="104"/>
      <c r="S22" s="104"/>
    </row>
    <row r="23" spans="1:19" ht="18" customHeight="1" x14ac:dyDescent="0.2">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2">
      <c r="B24" s="101" t="s">
        <v>53</v>
      </c>
      <c r="C24" s="102"/>
      <c r="D24" s="102"/>
      <c r="E24" s="103"/>
      <c r="F24" s="61" t="s">
        <v>80</v>
      </c>
      <c r="G24" s="60" t="s">
        <v>84</v>
      </c>
      <c r="H24" s="22" t="s">
        <v>56</v>
      </c>
      <c r="I24" s="22" t="s">
        <v>59</v>
      </c>
      <c r="J24" s="101" t="s">
        <v>53</v>
      </c>
      <c r="K24" s="102"/>
      <c r="L24" s="102"/>
      <c r="M24" s="102"/>
      <c r="N24" s="102"/>
      <c r="O24" s="103"/>
      <c r="P24" s="61" t="s">
        <v>80</v>
      </c>
      <c r="Q24" s="60" t="s">
        <v>84</v>
      </c>
      <c r="R24" s="22" t="s">
        <v>56</v>
      </c>
      <c r="S24" s="22" t="s">
        <v>59</v>
      </c>
    </row>
    <row r="25" spans="1:19" ht="18" customHeight="1" x14ac:dyDescent="0.2">
      <c r="B25" s="105" t="s">
        <v>136</v>
      </c>
      <c r="C25" s="106"/>
      <c r="D25" s="106"/>
      <c r="E25" s="107"/>
      <c r="F25" s="23">
        <v>1</v>
      </c>
      <c r="G25" s="23" t="s">
        <v>129</v>
      </c>
      <c r="H25" s="23" t="s">
        <v>129</v>
      </c>
      <c r="I25" s="23" t="s">
        <v>129</v>
      </c>
      <c r="J25" s="105"/>
      <c r="K25" s="106"/>
      <c r="L25" s="106"/>
      <c r="M25" s="106"/>
      <c r="N25" s="106"/>
      <c r="O25" s="107"/>
      <c r="P25" s="23"/>
      <c r="Q25" s="23"/>
      <c r="R25" s="23"/>
      <c r="S25" s="23"/>
    </row>
    <row r="26" spans="1:19" ht="18" customHeight="1" x14ac:dyDescent="0.2">
      <c r="B26" s="95"/>
      <c r="C26" s="96"/>
      <c r="D26" s="96"/>
      <c r="E26" s="97"/>
      <c r="F26" s="24"/>
      <c r="G26" s="24"/>
      <c r="H26" s="24"/>
      <c r="I26" s="24"/>
      <c r="J26" s="95"/>
      <c r="K26" s="96"/>
      <c r="L26" s="96"/>
      <c r="M26" s="96"/>
      <c r="N26" s="96"/>
      <c r="O26" s="97"/>
      <c r="P26" s="24"/>
      <c r="Q26" s="24"/>
      <c r="R26" s="24"/>
      <c r="S26" s="24"/>
    </row>
    <row r="27" spans="1:19" ht="18" customHeight="1" x14ac:dyDescent="0.2">
      <c r="B27" s="95"/>
      <c r="C27" s="96"/>
      <c r="D27" s="96"/>
      <c r="E27" s="97"/>
      <c r="F27" s="24"/>
      <c r="G27" s="24"/>
      <c r="H27" s="24"/>
      <c r="I27" s="24"/>
      <c r="J27" s="95"/>
      <c r="K27" s="96"/>
      <c r="L27" s="96"/>
      <c r="M27" s="96"/>
      <c r="N27" s="96"/>
      <c r="O27" s="97"/>
      <c r="P27" s="24"/>
      <c r="Q27" s="24"/>
      <c r="R27" s="24"/>
      <c r="S27" s="24"/>
    </row>
    <row r="28" spans="1:19" ht="18" customHeight="1" x14ac:dyDescent="0.2">
      <c r="B28" s="95"/>
      <c r="C28" s="96"/>
      <c r="D28" s="96"/>
      <c r="E28" s="97"/>
      <c r="F28" s="24"/>
      <c r="G28" s="24"/>
      <c r="H28" s="24"/>
      <c r="I28" s="24"/>
      <c r="J28" s="95"/>
      <c r="K28" s="96"/>
      <c r="L28" s="96"/>
      <c r="M28" s="96"/>
      <c r="N28" s="96"/>
      <c r="O28" s="97"/>
      <c r="P28" s="24"/>
      <c r="Q28" s="24"/>
      <c r="R28" s="24"/>
      <c r="S28" s="24"/>
    </row>
    <row r="29" spans="1:19" ht="18" customHeight="1" x14ac:dyDescent="0.2">
      <c r="B29" s="95"/>
      <c r="C29" s="96"/>
      <c r="D29" s="96"/>
      <c r="E29" s="97"/>
      <c r="F29" s="24"/>
      <c r="G29" s="24"/>
      <c r="H29" s="24"/>
      <c r="I29" s="24"/>
      <c r="J29" s="95"/>
      <c r="K29" s="96"/>
      <c r="L29" s="96"/>
      <c r="M29" s="96"/>
      <c r="N29" s="96"/>
      <c r="O29" s="97"/>
      <c r="P29" s="24"/>
      <c r="Q29" s="24"/>
      <c r="R29" s="24"/>
      <c r="S29" s="24"/>
    </row>
    <row r="30" spans="1:19" ht="18" customHeight="1" x14ac:dyDescent="0.2">
      <c r="A30" s="3"/>
      <c r="B30" s="95"/>
      <c r="C30" s="96"/>
      <c r="D30" s="96"/>
      <c r="E30" s="97"/>
      <c r="F30" s="24"/>
      <c r="G30" s="24"/>
      <c r="H30" s="24"/>
      <c r="I30" s="24"/>
      <c r="J30" s="95"/>
      <c r="K30" s="96"/>
      <c r="L30" s="96"/>
      <c r="M30" s="96"/>
      <c r="N30" s="96"/>
      <c r="O30" s="97"/>
      <c r="P30" s="24"/>
      <c r="Q30" s="24"/>
      <c r="R30" s="24"/>
      <c r="S30" s="24"/>
    </row>
    <row r="31" spans="1:19" ht="18" customHeight="1" x14ac:dyDescent="0.2">
      <c r="A31" s="3"/>
      <c r="B31" s="98"/>
      <c r="C31" s="99"/>
      <c r="D31" s="99"/>
      <c r="E31" s="100"/>
      <c r="F31" s="25"/>
      <c r="G31" s="25"/>
      <c r="H31" s="26"/>
      <c r="I31" s="26"/>
      <c r="J31" s="98"/>
      <c r="K31" s="99"/>
      <c r="L31" s="99"/>
      <c r="M31" s="99"/>
      <c r="N31" s="99"/>
      <c r="O31" s="100"/>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04" t="s">
        <v>114</v>
      </c>
      <c r="B33" s="104"/>
      <c r="C33" s="104"/>
      <c r="D33" s="104"/>
      <c r="E33" s="104"/>
      <c r="F33" s="104"/>
      <c r="G33" s="104"/>
      <c r="H33" s="104"/>
      <c r="I33" s="104"/>
      <c r="J33" s="104"/>
      <c r="K33" s="104"/>
      <c r="L33" s="104"/>
      <c r="M33" s="104"/>
      <c r="N33" s="104"/>
      <c r="O33" s="104"/>
      <c r="P33" s="104"/>
      <c r="Q33" s="104"/>
      <c r="R33" s="104"/>
      <c r="S33" s="104"/>
    </row>
    <row r="34" spans="1:19" ht="18" customHeight="1" x14ac:dyDescent="0.2">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2">
      <c r="B35" s="101" t="s">
        <v>53</v>
      </c>
      <c r="C35" s="102"/>
      <c r="D35" s="102"/>
      <c r="E35" s="103"/>
      <c r="F35" s="61" t="s">
        <v>80</v>
      </c>
      <c r="G35" s="60" t="s">
        <v>84</v>
      </c>
      <c r="H35" s="22" t="s">
        <v>71</v>
      </c>
      <c r="I35" s="22" t="s">
        <v>72</v>
      </c>
      <c r="J35" s="101" t="s">
        <v>53</v>
      </c>
      <c r="K35" s="102"/>
      <c r="L35" s="102"/>
      <c r="M35" s="102"/>
      <c r="N35" s="102"/>
      <c r="O35" s="103"/>
      <c r="P35" s="61" t="s">
        <v>80</v>
      </c>
      <c r="Q35" s="60" t="s">
        <v>84</v>
      </c>
      <c r="R35" s="22" t="s">
        <v>71</v>
      </c>
      <c r="S35" s="22" t="s">
        <v>72</v>
      </c>
    </row>
    <row r="36" spans="1:19" ht="18" customHeight="1" x14ac:dyDescent="0.2">
      <c r="B36" s="105" t="s">
        <v>136</v>
      </c>
      <c r="C36" s="106"/>
      <c r="D36" s="106"/>
      <c r="E36" s="107"/>
      <c r="F36" s="23">
        <v>1</v>
      </c>
      <c r="G36" s="23" t="s">
        <v>129</v>
      </c>
      <c r="H36" s="23" t="s">
        <v>129</v>
      </c>
      <c r="I36" s="23" t="s">
        <v>129</v>
      </c>
      <c r="J36" s="105"/>
      <c r="K36" s="106"/>
      <c r="L36" s="106"/>
      <c r="M36" s="106"/>
      <c r="N36" s="106"/>
      <c r="O36" s="107"/>
      <c r="P36" s="23"/>
      <c r="Q36" s="23"/>
      <c r="R36" s="23"/>
      <c r="S36" s="23"/>
    </row>
    <row r="37" spans="1:19" ht="18" customHeight="1" x14ac:dyDescent="0.2">
      <c r="B37" s="95"/>
      <c r="C37" s="96"/>
      <c r="D37" s="96"/>
      <c r="E37" s="97"/>
      <c r="F37" s="24"/>
      <c r="G37" s="24"/>
      <c r="H37" s="24"/>
      <c r="I37" s="24"/>
      <c r="J37" s="95"/>
      <c r="K37" s="96"/>
      <c r="L37" s="96"/>
      <c r="M37" s="96"/>
      <c r="N37" s="96"/>
      <c r="O37" s="97"/>
      <c r="P37" s="24"/>
      <c r="Q37" s="24"/>
      <c r="R37" s="24"/>
      <c r="S37" s="24"/>
    </row>
    <row r="38" spans="1:19" ht="18" customHeight="1" x14ac:dyDescent="0.2">
      <c r="B38" s="95"/>
      <c r="C38" s="96"/>
      <c r="D38" s="96"/>
      <c r="E38" s="97"/>
      <c r="F38" s="24"/>
      <c r="G38" s="24"/>
      <c r="H38" s="24"/>
      <c r="I38" s="24"/>
      <c r="J38" s="95"/>
      <c r="K38" s="96"/>
      <c r="L38" s="96"/>
      <c r="M38" s="96"/>
      <c r="N38" s="96"/>
      <c r="O38" s="97"/>
      <c r="P38" s="24"/>
      <c r="Q38" s="24"/>
      <c r="R38" s="24"/>
      <c r="S38" s="24"/>
    </row>
    <row r="39" spans="1:19" ht="18" customHeight="1" x14ac:dyDescent="0.2">
      <c r="B39" s="95"/>
      <c r="C39" s="96"/>
      <c r="D39" s="96"/>
      <c r="E39" s="97"/>
      <c r="F39" s="24"/>
      <c r="G39" s="24"/>
      <c r="H39" s="24"/>
      <c r="I39" s="24"/>
      <c r="J39" s="95"/>
      <c r="K39" s="96"/>
      <c r="L39" s="96"/>
      <c r="M39" s="96"/>
      <c r="N39" s="96"/>
      <c r="O39" s="97"/>
      <c r="P39" s="24"/>
      <c r="Q39" s="24"/>
      <c r="R39" s="24"/>
      <c r="S39" s="24"/>
    </row>
    <row r="40" spans="1:19" ht="18" customHeight="1" x14ac:dyDescent="0.2">
      <c r="B40" s="95"/>
      <c r="C40" s="96"/>
      <c r="D40" s="96"/>
      <c r="E40" s="97"/>
      <c r="F40" s="24"/>
      <c r="G40" s="24"/>
      <c r="H40" s="24"/>
      <c r="I40" s="24"/>
      <c r="J40" s="95"/>
      <c r="K40" s="96"/>
      <c r="L40" s="96"/>
      <c r="M40" s="96"/>
      <c r="N40" s="96"/>
      <c r="O40" s="97"/>
      <c r="P40" s="24"/>
      <c r="Q40" s="24"/>
      <c r="R40" s="24"/>
      <c r="S40" s="24"/>
    </row>
    <row r="41" spans="1:19" ht="18" customHeight="1" x14ac:dyDescent="0.2">
      <c r="B41" s="95"/>
      <c r="C41" s="96"/>
      <c r="D41" s="96"/>
      <c r="E41" s="97"/>
      <c r="F41" s="24"/>
      <c r="G41" s="24"/>
      <c r="H41" s="24"/>
      <c r="I41" s="24"/>
      <c r="J41" s="95"/>
      <c r="K41" s="96"/>
      <c r="L41" s="96"/>
      <c r="M41" s="96"/>
      <c r="N41" s="96"/>
      <c r="O41" s="97"/>
      <c r="P41" s="24"/>
      <c r="Q41" s="24"/>
      <c r="R41" s="24"/>
      <c r="S41" s="24"/>
    </row>
    <row r="42" spans="1:19" ht="18" customHeight="1" x14ac:dyDescent="0.2">
      <c r="B42" s="98"/>
      <c r="C42" s="99"/>
      <c r="D42" s="99"/>
      <c r="E42" s="100"/>
      <c r="F42" s="25"/>
      <c r="G42" s="25"/>
      <c r="H42" s="26"/>
      <c r="I42" s="26"/>
      <c r="J42" s="98"/>
      <c r="K42" s="99"/>
      <c r="L42" s="99"/>
      <c r="M42" s="99"/>
      <c r="N42" s="99"/>
      <c r="O42" s="100"/>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04" t="s">
        <v>115</v>
      </c>
      <c r="B44" s="104"/>
      <c r="C44" s="104"/>
      <c r="D44" s="104"/>
      <c r="E44" s="104"/>
      <c r="F44" s="104"/>
      <c r="G44" s="104"/>
      <c r="H44" s="104"/>
      <c r="I44" s="104"/>
      <c r="J44" s="104"/>
      <c r="K44" s="104"/>
      <c r="L44" s="104"/>
      <c r="M44" s="104"/>
      <c r="N44" s="104"/>
      <c r="O44" s="104"/>
      <c r="P44" s="104"/>
      <c r="Q44" s="104"/>
      <c r="R44" s="104"/>
      <c r="S44" s="104"/>
    </row>
    <row r="45" spans="1:19" ht="18" customHeight="1" x14ac:dyDescent="0.2">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2">
      <c r="B46" s="101" t="s">
        <v>53</v>
      </c>
      <c r="C46" s="102"/>
      <c r="D46" s="102"/>
      <c r="E46" s="103"/>
      <c r="F46" s="61" t="s">
        <v>80</v>
      </c>
      <c r="G46" s="60" t="s">
        <v>84</v>
      </c>
      <c r="H46" s="22" t="s">
        <v>73</v>
      </c>
      <c r="I46" s="22" t="s">
        <v>74</v>
      </c>
      <c r="J46" s="101" t="s">
        <v>53</v>
      </c>
      <c r="K46" s="102"/>
      <c r="L46" s="102"/>
      <c r="M46" s="102"/>
      <c r="N46" s="102"/>
      <c r="O46" s="103"/>
      <c r="P46" s="61" t="s">
        <v>80</v>
      </c>
      <c r="Q46" s="60" t="s">
        <v>84</v>
      </c>
      <c r="R46" s="22" t="s">
        <v>73</v>
      </c>
      <c r="S46" s="22" t="s">
        <v>74</v>
      </c>
    </row>
    <row r="47" spans="1:19" ht="18" customHeight="1" x14ac:dyDescent="0.2">
      <c r="A47" s="3"/>
      <c r="B47" s="105" t="s">
        <v>136</v>
      </c>
      <c r="C47" s="106"/>
      <c r="D47" s="106"/>
      <c r="E47" s="107"/>
      <c r="F47" s="23">
        <v>1</v>
      </c>
      <c r="G47" s="23" t="s">
        <v>129</v>
      </c>
      <c r="H47" s="23" t="s">
        <v>129</v>
      </c>
      <c r="I47" s="23" t="s">
        <v>129</v>
      </c>
      <c r="J47" s="105"/>
      <c r="K47" s="106"/>
      <c r="L47" s="106"/>
      <c r="M47" s="106"/>
      <c r="N47" s="106"/>
      <c r="O47" s="107"/>
      <c r="P47" s="23"/>
      <c r="Q47" s="23"/>
      <c r="R47" s="23"/>
      <c r="S47" s="23"/>
    </row>
    <row r="48" spans="1:19" ht="18" customHeight="1" x14ac:dyDescent="0.2">
      <c r="A48" s="3"/>
      <c r="B48" s="95"/>
      <c r="C48" s="96"/>
      <c r="D48" s="96"/>
      <c r="E48" s="97"/>
      <c r="F48" s="24"/>
      <c r="G48" s="24"/>
      <c r="H48" s="24"/>
      <c r="I48" s="24"/>
      <c r="J48" s="95"/>
      <c r="K48" s="96"/>
      <c r="L48" s="96"/>
      <c r="M48" s="96"/>
      <c r="N48" s="96"/>
      <c r="O48" s="97"/>
      <c r="P48" s="24"/>
      <c r="Q48" s="24"/>
      <c r="R48" s="24"/>
      <c r="S48" s="24"/>
    </row>
    <row r="49" spans="1:19" ht="18" customHeight="1" x14ac:dyDescent="0.2">
      <c r="A49" s="3"/>
      <c r="B49" s="95"/>
      <c r="C49" s="96"/>
      <c r="D49" s="96"/>
      <c r="E49" s="97"/>
      <c r="F49" s="24"/>
      <c r="G49" s="24"/>
      <c r="H49" s="24"/>
      <c r="I49" s="24"/>
      <c r="J49" s="95"/>
      <c r="K49" s="96"/>
      <c r="L49" s="96"/>
      <c r="M49" s="96"/>
      <c r="N49" s="96"/>
      <c r="O49" s="97"/>
      <c r="P49" s="24"/>
      <c r="Q49" s="24"/>
      <c r="R49" s="24"/>
      <c r="S49" s="24"/>
    </row>
    <row r="50" spans="1:19" ht="18" customHeight="1" x14ac:dyDescent="0.2">
      <c r="A50" s="3"/>
      <c r="B50" s="95"/>
      <c r="C50" s="96"/>
      <c r="D50" s="96"/>
      <c r="E50" s="97"/>
      <c r="F50" s="24"/>
      <c r="G50" s="24"/>
      <c r="H50" s="24"/>
      <c r="I50" s="24"/>
      <c r="J50" s="95"/>
      <c r="K50" s="96"/>
      <c r="L50" s="96"/>
      <c r="M50" s="96"/>
      <c r="N50" s="96"/>
      <c r="O50" s="97"/>
      <c r="P50" s="24"/>
      <c r="Q50" s="24"/>
      <c r="R50" s="24"/>
      <c r="S50" s="24"/>
    </row>
    <row r="51" spans="1:19" ht="18" customHeight="1" x14ac:dyDescent="0.2">
      <c r="A51" s="3"/>
      <c r="B51" s="95"/>
      <c r="C51" s="96"/>
      <c r="D51" s="96"/>
      <c r="E51" s="97"/>
      <c r="F51" s="24"/>
      <c r="G51" s="24"/>
      <c r="H51" s="24"/>
      <c r="I51" s="24"/>
      <c r="J51" s="95"/>
      <c r="K51" s="96"/>
      <c r="L51" s="96"/>
      <c r="M51" s="96"/>
      <c r="N51" s="96"/>
      <c r="O51" s="97"/>
      <c r="P51" s="24"/>
      <c r="Q51" s="24"/>
      <c r="R51" s="24"/>
      <c r="S51" s="24"/>
    </row>
    <row r="52" spans="1:19" ht="18" customHeight="1" x14ac:dyDescent="0.2">
      <c r="A52" s="3"/>
      <c r="B52" s="95"/>
      <c r="C52" s="96"/>
      <c r="D52" s="96"/>
      <c r="E52" s="97"/>
      <c r="F52" s="24"/>
      <c r="G52" s="24"/>
      <c r="H52" s="24"/>
      <c r="I52" s="24"/>
      <c r="J52" s="95"/>
      <c r="K52" s="96"/>
      <c r="L52" s="96"/>
      <c r="M52" s="96"/>
      <c r="N52" s="96"/>
      <c r="O52" s="97"/>
      <c r="P52" s="24"/>
      <c r="Q52" s="24"/>
      <c r="R52" s="24"/>
      <c r="S52" s="24"/>
    </row>
    <row r="53" spans="1:19" ht="18" customHeight="1" x14ac:dyDescent="0.2">
      <c r="A53" s="3"/>
      <c r="B53" s="98"/>
      <c r="C53" s="99"/>
      <c r="D53" s="99"/>
      <c r="E53" s="100"/>
      <c r="F53" s="25"/>
      <c r="G53" s="25"/>
      <c r="H53" s="26"/>
      <c r="I53" s="26"/>
      <c r="J53" s="98"/>
      <c r="K53" s="99"/>
      <c r="L53" s="99"/>
      <c r="M53" s="99"/>
      <c r="N53" s="99"/>
      <c r="O53" s="100"/>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104" t="s">
        <v>116</v>
      </c>
      <c r="B55" s="104"/>
      <c r="C55" s="104"/>
      <c r="D55" s="104"/>
      <c r="E55" s="104"/>
      <c r="F55" s="104"/>
      <c r="G55" s="104"/>
      <c r="H55" s="104"/>
      <c r="I55" s="104"/>
      <c r="J55" s="104"/>
      <c r="K55" s="104"/>
      <c r="L55" s="104"/>
      <c r="M55" s="104"/>
      <c r="N55" s="104"/>
      <c r="O55" s="104"/>
      <c r="P55" s="104"/>
      <c r="Q55" s="104"/>
      <c r="R55" s="104"/>
      <c r="S55" s="104"/>
    </row>
    <row r="56" spans="1:19" ht="18" customHeight="1" x14ac:dyDescent="0.2">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2">
      <c r="B57" s="101" t="s">
        <v>53</v>
      </c>
      <c r="C57" s="102"/>
      <c r="D57" s="102"/>
      <c r="E57" s="103"/>
      <c r="F57" s="61" t="s">
        <v>80</v>
      </c>
      <c r="G57" s="60" t="s">
        <v>84</v>
      </c>
      <c r="H57" s="22" t="s">
        <v>58</v>
      </c>
      <c r="I57" s="22" t="s">
        <v>60</v>
      </c>
      <c r="J57" s="101" t="s">
        <v>53</v>
      </c>
      <c r="K57" s="102"/>
      <c r="L57" s="102"/>
      <c r="M57" s="102"/>
      <c r="N57" s="102"/>
      <c r="O57" s="103"/>
      <c r="P57" s="61" t="s">
        <v>80</v>
      </c>
      <c r="Q57" s="60" t="s">
        <v>84</v>
      </c>
      <c r="R57" s="22" t="s">
        <v>58</v>
      </c>
      <c r="S57" s="22" t="s">
        <v>60</v>
      </c>
    </row>
    <row r="58" spans="1:19" ht="18" customHeight="1" x14ac:dyDescent="0.2">
      <c r="A58" s="3"/>
      <c r="B58" s="105" t="s">
        <v>136</v>
      </c>
      <c r="C58" s="106"/>
      <c r="D58" s="106"/>
      <c r="E58" s="107"/>
      <c r="F58" s="23">
        <v>1</v>
      </c>
      <c r="G58" s="23" t="s">
        <v>129</v>
      </c>
      <c r="H58" s="23" t="s">
        <v>129</v>
      </c>
      <c r="I58" s="23" t="s">
        <v>129</v>
      </c>
      <c r="J58" s="105"/>
      <c r="K58" s="106"/>
      <c r="L58" s="106"/>
      <c r="M58" s="106"/>
      <c r="N58" s="106"/>
      <c r="O58" s="107"/>
      <c r="P58" s="23"/>
      <c r="Q58" s="23"/>
      <c r="R58" s="23"/>
      <c r="S58" s="23"/>
    </row>
    <row r="59" spans="1:19" ht="18" customHeight="1" x14ac:dyDescent="0.2">
      <c r="A59" s="3"/>
      <c r="B59" s="95"/>
      <c r="C59" s="96"/>
      <c r="D59" s="96"/>
      <c r="E59" s="97"/>
      <c r="F59" s="24"/>
      <c r="G59" s="24"/>
      <c r="H59" s="24"/>
      <c r="I59" s="24"/>
      <c r="J59" s="95"/>
      <c r="K59" s="96"/>
      <c r="L59" s="96"/>
      <c r="M59" s="96"/>
      <c r="N59" s="96"/>
      <c r="O59" s="97"/>
      <c r="P59" s="24"/>
      <c r="Q59" s="24"/>
      <c r="R59" s="24"/>
      <c r="S59" s="24"/>
    </row>
    <row r="60" spans="1:19" ht="18" customHeight="1" x14ac:dyDescent="0.2">
      <c r="A60" s="3"/>
      <c r="B60" s="95"/>
      <c r="C60" s="96"/>
      <c r="D60" s="96"/>
      <c r="E60" s="97"/>
      <c r="F60" s="24"/>
      <c r="G60" s="24"/>
      <c r="H60" s="24"/>
      <c r="I60" s="24"/>
      <c r="J60" s="95"/>
      <c r="K60" s="96"/>
      <c r="L60" s="96"/>
      <c r="M60" s="96"/>
      <c r="N60" s="96"/>
      <c r="O60" s="97"/>
      <c r="P60" s="24"/>
      <c r="Q60" s="24"/>
      <c r="R60" s="24"/>
      <c r="S60" s="24"/>
    </row>
    <row r="61" spans="1:19" ht="18" customHeight="1" x14ac:dyDescent="0.2">
      <c r="A61" s="3"/>
      <c r="B61" s="95"/>
      <c r="C61" s="96"/>
      <c r="D61" s="96"/>
      <c r="E61" s="97"/>
      <c r="F61" s="24"/>
      <c r="G61" s="24"/>
      <c r="H61" s="24"/>
      <c r="I61" s="24"/>
      <c r="J61" s="95"/>
      <c r="K61" s="96"/>
      <c r="L61" s="96"/>
      <c r="M61" s="96"/>
      <c r="N61" s="96"/>
      <c r="O61" s="97"/>
      <c r="P61" s="24"/>
      <c r="Q61" s="24"/>
      <c r="R61" s="24"/>
      <c r="S61" s="24"/>
    </row>
    <row r="62" spans="1:19" ht="18" customHeight="1" x14ac:dyDescent="0.2">
      <c r="A62" s="3"/>
      <c r="B62" s="95"/>
      <c r="C62" s="96"/>
      <c r="D62" s="96"/>
      <c r="E62" s="97"/>
      <c r="F62" s="24"/>
      <c r="G62" s="24"/>
      <c r="H62" s="24"/>
      <c r="I62" s="24"/>
      <c r="J62" s="95"/>
      <c r="K62" s="96"/>
      <c r="L62" s="96"/>
      <c r="M62" s="96"/>
      <c r="N62" s="96"/>
      <c r="O62" s="97"/>
      <c r="P62" s="24"/>
      <c r="Q62" s="24"/>
      <c r="R62" s="24"/>
      <c r="S62" s="24"/>
    </row>
    <row r="63" spans="1:19" ht="18" customHeight="1" x14ac:dyDescent="0.2">
      <c r="A63" s="3"/>
      <c r="B63" s="95"/>
      <c r="C63" s="96"/>
      <c r="D63" s="96"/>
      <c r="E63" s="97"/>
      <c r="F63" s="24"/>
      <c r="G63" s="24"/>
      <c r="H63" s="24"/>
      <c r="I63" s="24"/>
      <c r="J63" s="95"/>
      <c r="K63" s="96"/>
      <c r="L63" s="96"/>
      <c r="M63" s="96"/>
      <c r="N63" s="96"/>
      <c r="O63" s="97"/>
      <c r="P63" s="24"/>
      <c r="Q63" s="24"/>
      <c r="R63" s="24"/>
      <c r="S63" s="24"/>
    </row>
    <row r="64" spans="1:19" ht="18" customHeight="1" x14ac:dyDescent="0.2">
      <c r="A64" s="3"/>
      <c r="B64" s="98"/>
      <c r="C64" s="99"/>
      <c r="D64" s="99"/>
      <c r="E64" s="100"/>
      <c r="F64" s="25"/>
      <c r="G64" s="25"/>
      <c r="H64" s="26"/>
      <c r="I64" s="26"/>
      <c r="J64" s="98"/>
      <c r="K64" s="99"/>
      <c r="L64" s="99"/>
      <c r="M64" s="99"/>
      <c r="N64" s="99"/>
      <c r="O64" s="100"/>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104" t="s">
        <v>117</v>
      </c>
      <c r="B66" s="104"/>
      <c r="C66" s="104"/>
      <c r="D66" s="104"/>
      <c r="E66" s="104"/>
      <c r="F66" s="104"/>
      <c r="G66" s="104"/>
      <c r="H66" s="104"/>
      <c r="I66" s="104"/>
      <c r="J66" s="104"/>
      <c r="K66" s="104"/>
      <c r="L66" s="104"/>
      <c r="M66" s="104"/>
      <c r="N66" s="104"/>
      <c r="O66" s="104"/>
      <c r="P66" s="104"/>
      <c r="Q66" s="104"/>
      <c r="R66" s="104"/>
      <c r="S66" s="104"/>
    </row>
    <row r="67" spans="1:19" ht="18" customHeight="1" x14ac:dyDescent="0.2">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2">
      <c r="B68" s="101" t="s">
        <v>53</v>
      </c>
      <c r="C68" s="102"/>
      <c r="D68" s="102"/>
      <c r="E68" s="61" t="s">
        <v>80</v>
      </c>
      <c r="F68" s="60" t="s">
        <v>84</v>
      </c>
      <c r="G68" s="22" t="s">
        <v>101</v>
      </c>
      <c r="H68" s="22" t="s">
        <v>75</v>
      </c>
      <c r="I68" s="22" t="s">
        <v>76</v>
      </c>
      <c r="J68" s="101" t="s">
        <v>53</v>
      </c>
      <c r="K68" s="102"/>
      <c r="L68" s="102"/>
      <c r="M68" s="102"/>
      <c r="N68" s="103"/>
      <c r="O68" s="61" t="s">
        <v>80</v>
      </c>
      <c r="P68" s="60" t="s">
        <v>84</v>
      </c>
      <c r="Q68" s="22" t="s">
        <v>101</v>
      </c>
      <c r="R68" s="22" t="s">
        <v>75</v>
      </c>
      <c r="S68" s="22" t="s">
        <v>76</v>
      </c>
    </row>
    <row r="69" spans="1:19" ht="18" customHeight="1" x14ac:dyDescent="0.2">
      <c r="A69" s="3"/>
      <c r="B69" s="105" t="s">
        <v>136</v>
      </c>
      <c r="C69" s="106"/>
      <c r="D69" s="107"/>
      <c r="E69" s="23">
        <v>1</v>
      </c>
      <c r="F69" s="23" t="s">
        <v>129</v>
      </c>
      <c r="G69" s="23" t="s">
        <v>129</v>
      </c>
      <c r="H69" s="23" t="s">
        <v>129</v>
      </c>
      <c r="I69" s="23" t="s">
        <v>129</v>
      </c>
      <c r="J69" s="105"/>
      <c r="K69" s="106"/>
      <c r="L69" s="106"/>
      <c r="M69" s="106"/>
      <c r="N69" s="107"/>
      <c r="O69" s="23"/>
      <c r="P69" s="23"/>
      <c r="Q69" s="23"/>
      <c r="R69" s="23"/>
      <c r="S69" s="23"/>
    </row>
    <row r="70" spans="1:19" ht="18" customHeight="1" x14ac:dyDescent="0.2">
      <c r="A70" s="3"/>
      <c r="B70" s="95"/>
      <c r="C70" s="96"/>
      <c r="D70" s="96"/>
      <c r="E70" s="24"/>
      <c r="F70" s="24"/>
      <c r="G70" s="24"/>
      <c r="H70" s="24"/>
      <c r="I70" s="24"/>
      <c r="J70" s="95"/>
      <c r="K70" s="96"/>
      <c r="L70" s="96"/>
      <c r="M70" s="96"/>
      <c r="N70" s="97"/>
      <c r="O70" s="24"/>
      <c r="P70" s="24"/>
      <c r="Q70" s="24"/>
      <c r="R70" s="24"/>
      <c r="S70" s="24"/>
    </row>
    <row r="71" spans="1:19" ht="18" customHeight="1" x14ac:dyDescent="0.2">
      <c r="A71" s="3"/>
      <c r="B71" s="95"/>
      <c r="C71" s="96"/>
      <c r="D71" s="96"/>
      <c r="E71" s="24"/>
      <c r="F71" s="24"/>
      <c r="G71" s="24"/>
      <c r="H71" s="24"/>
      <c r="I71" s="24"/>
      <c r="J71" s="95"/>
      <c r="K71" s="96"/>
      <c r="L71" s="96"/>
      <c r="M71" s="96"/>
      <c r="N71" s="97"/>
      <c r="O71" s="24"/>
      <c r="P71" s="24"/>
      <c r="Q71" s="24"/>
      <c r="R71" s="24"/>
      <c r="S71" s="24"/>
    </row>
    <row r="72" spans="1:19" ht="18" customHeight="1" x14ac:dyDescent="0.2">
      <c r="A72" s="3"/>
      <c r="B72" s="95"/>
      <c r="C72" s="96"/>
      <c r="D72" s="96"/>
      <c r="E72" s="24"/>
      <c r="F72" s="24"/>
      <c r="G72" s="24"/>
      <c r="H72" s="24"/>
      <c r="I72" s="24"/>
      <c r="J72" s="95"/>
      <c r="K72" s="96"/>
      <c r="L72" s="96"/>
      <c r="M72" s="96"/>
      <c r="N72" s="97"/>
      <c r="O72" s="24"/>
      <c r="P72" s="24"/>
      <c r="Q72" s="24"/>
      <c r="R72" s="24"/>
      <c r="S72" s="24"/>
    </row>
    <row r="73" spans="1:19" ht="18" customHeight="1" x14ac:dyDescent="0.2">
      <c r="A73" s="3"/>
      <c r="B73" s="95"/>
      <c r="C73" s="96"/>
      <c r="D73" s="96"/>
      <c r="E73" s="24"/>
      <c r="F73" s="24"/>
      <c r="G73" s="24"/>
      <c r="H73" s="24"/>
      <c r="I73" s="24"/>
      <c r="J73" s="95"/>
      <c r="K73" s="96"/>
      <c r="L73" s="96"/>
      <c r="M73" s="96"/>
      <c r="N73" s="97"/>
      <c r="O73" s="24"/>
      <c r="P73" s="24"/>
      <c r="Q73" s="24"/>
      <c r="R73" s="24"/>
      <c r="S73" s="24"/>
    </row>
    <row r="74" spans="1:19" ht="18" customHeight="1" x14ac:dyDescent="0.2">
      <c r="A74" s="3"/>
      <c r="B74" s="95"/>
      <c r="C74" s="96"/>
      <c r="D74" s="96"/>
      <c r="E74" s="24"/>
      <c r="F74" s="24"/>
      <c r="G74" s="24"/>
      <c r="H74" s="24"/>
      <c r="I74" s="24"/>
      <c r="J74" s="95"/>
      <c r="K74" s="96"/>
      <c r="L74" s="96"/>
      <c r="M74" s="96"/>
      <c r="N74" s="97"/>
      <c r="O74" s="24"/>
      <c r="P74" s="24"/>
      <c r="Q74" s="24"/>
      <c r="R74" s="24"/>
      <c r="S74" s="24"/>
    </row>
    <row r="75" spans="1:19" ht="18" customHeight="1" x14ac:dyDescent="0.2">
      <c r="A75" s="3"/>
      <c r="B75" s="98"/>
      <c r="C75" s="99"/>
      <c r="D75" s="99"/>
      <c r="E75" s="25"/>
      <c r="F75" s="25"/>
      <c r="G75" s="26"/>
      <c r="H75" s="26"/>
      <c r="I75" s="26"/>
      <c r="J75" s="98"/>
      <c r="K75" s="99"/>
      <c r="L75" s="99"/>
      <c r="M75" s="99"/>
      <c r="N75" s="100"/>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118</v>
      </c>
      <c r="H77" s="3"/>
      <c r="I77" s="3"/>
      <c r="J77" s="3"/>
      <c r="K77" s="3"/>
      <c r="L77" s="3"/>
      <c r="M77" s="3"/>
      <c r="N77" s="3"/>
      <c r="O77" s="3"/>
      <c r="P77" s="3"/>
      <c r="Q77" s="3"/>
      <c r="R77" s="3"/>
      <c r="S77" s="3"/>
    </row>
    <row r="78" spans="1:19" ht="18" customHeight="1" x14ac:dyDescent="0.2">
      <c r="B78" s="101" t="s">
        <v>53</v>
      </c>
      <c r="C78" s="102"/>
      <c r="D78" s="102"/>
      <c r="E78" s="103"/>
      <c r="F78" s="101" t="s">
        <v>82</v>
      </c>
      <c r="G78" s="102"/>
      <c r="H78" s="102"/>
      <c r="I78" s="103"/>
      <c r="J78" s="147" t="s">
        <v>53</v>
      </c>
      <c r="K78" s="148"/>
      <c r="L78" s="148"/>
      <c r="M78" s="148"/>
      <c r="N78" s="148"/>
      <c r="O78" s="149"/>
      <c r="P78" s="101" t="s">
        <v>82</v>
      </c>
      <c r="Q78" s="102"/>
      <c r="R78" s="102"/>
      <c r="S78" s="103"/>
    </row>
    <row r="79" spans="1:19" ht="18" customHeight="1" x14ac:dyDescent="0.2">
      <c r="A79" s="3"/>
      <c r="B79" s="105"/>
      <c r="C79" s="106"/>
      <c r="D79" s="106"/>
      <c r="E79" s="107"/>
      <c r="F79" s="161"/>
      <c r="G79" s="162"/>
      <c r="H79" s="162"/>
      <c r="I79" s="163"/>
      <c r="J79" s="105"/>
      <c r="K79" s="106"/>
      <c r="L79" s="106"/>
      <c r="M79" s="106"/>
      <c r="N79" s="106"/>
      <c r="O79" s="107"/>
      <c r="P79" s="161"/>
      <c r="Q79" s="162"/>
      <c r="R79" s="162"/>
      <c r="S79" s="163"/>
    </row>
    <row r="80" spans="1:19" ht="18" customHeight="1" x14ac:dyDescent="0.2">
      <c r="A80" s="3"/>
      <c r="B80" s="95"/>
      <c r="C80" s="96"/>
      <c r="D80" s="96"/>
      <c r="E80" s="97"/>
      <c r="F80" s="134"/>
      <c r="G80" s="135"/>
      <c r="H80" s="135"/>
      <c r="I80" s="136"/>
      <c r="J80" s="95"/>
      <c r="K80" s="96"/>
      <c r="L80" s="96"/>
      <c r="M80" s="96"/>
      <c r="N80" s="96"/>
      <c r="O80" s="97"/>
      <c r="P80" s="134"/>
      <c r="Q80" s="135"/>
      <c r="R80" s="135"/>
      <c r="S80" s="136"/>
    </row>
    <row r="81" spans="1:19" ht="18" customHeight="1" x14ac:dyDescent="0.2">
      <c r="A81" s="3"/>
      <c r="B81" s="95"/>
      <c r="C81" s="96"/>
      <c r="D81" s="96"/>
      <c r="E81" s="97"/>
      <c r="F81" s="134"/>
      <c r="G81" s="135"/>
      <c r="H81" s="135"/>
      <c r="I81" s="136"/>
      <c r="J81" s="95"/>
      <c r="K81" s="96"/>
      <c r="L81" s="96"/>
      <c r="M81" s="96"/>
      <c r="N81" s="96"/>
      <c r="O81" s="97"/>
      <c r="P81" s="134"/>
      <c r="Q81" s="135"/>
      <c r="R81" s="135"/>
      <c r="S81" s="136"/>
    </row>
    <row r="82" spans="1:19" ht="18" customHeight="1" x14ac:dyDescent="0.2">
      <c r="A82" s="3"/>
      <c r="B82" s="95"/>
      <c r="C82" s="96"/>
      <c r="D82" s="96"/>
      <c r="E82" s="97"/>
      <c r="F82" s="134"/>
      <c r="G82" s="135"/>
      <c r="H82" s="135"/>
      <c r="I82" s="136"/>
      <c r="J82" s="95"/>
      <c r="K82" s="96"/>
      <c r="L82" s="96"/>
      <c r="M82" s="96"/>
      <c r="N82" s="96"/>
      <c r="O82" s="97"/>
      <c r="P82" s="134"/>
      <c r="Q82" s="135"/>
      <c r="R82" s="135"/>
      <c r="S82" s="136"/>
    </row>
    <row r="83" spans="1:19" ht="18" customHeight="1" x14ac:dyDescent="0.2">
      <c r="A83" s="3"/>
      <c r="B83" s="95"/>
      <c r="C83" s="96"/>
      <c r="D83" s="96"/>
      <c r="E83" s="97"/>
      <c r="F83" s="134"/>
      <c r="G83" s="135"/>
      <c r="H83" s="135"/>
      <c r="I83" s="136"/>
      <c r="J83" s="95"/>
      <c r="K83" s="96"/>
      <c r="L83" s="96"/>
      <c r="M83" s="96"/>
      <c r="N83" s="96"/>
      <c r="O83" s="97"/>
      <c r="P83" s="134"/>
      <c r="Q83" s="135"/>
      <c r="R83" s="135"/>
      <c r="S83" s="136"/>
    </row>
    <row r="84" spans="1:19" ht="18" customHeight="1" x14ac:dyDescent="0.2">
      <c r="A84" s="3"/>
      <c r="B84" s="95"/>
      <c r="C84" s="96"/>
      <c r="D84" s="96"/>
      <c r="E84" s="97"/>
      <c r="F84" s="134"/>
      <c r="G84" s="135"/>
      <c r="H84" s="135"/>
      <c r="I84" s="136"/>
      <c r="J84" s="95"/>
      <c r="K84" s="96"/>
      <c r="L84" s="96"/>
      <c r="M84" s="96"/>
      <c r="N84" s="96"/>
      <c r="O84" s="97"/>
      <c r="P84" s="134"/>
      <c r="Q84" s="135"/>
      <c r="R84" s="135"/>
      <c r="S84" s="136"/>
    </row>
    <row r="85" spans="1:19" ht="18" customHeight="1" x14ac:dyDescent="0.2">
      <c r="A85" s="3"/>
      <c r="B85" s="98"/>
      <c r="C85" s="99"/>
      <c r="D85" s="99"/>
      <c r="E85" s="100"/>
      <c r="F85" s="131"/>
      <c r="G85" s="132"/>
      <c r="H85" s="132"/>
      <c r="I85" s="133"/>
      <c r="J85" s="98"/>
      <c r="K85" s="99"/>
      <c r="L85" s="99"/>
      <c r="M85" s="99"/>
      <c r="N85" s="99"/>
      <c r="O85" s="100"/>
      <c r="P85" s="131"/>
      <c r="Q85" s="132"/>
      <c r="R85" s="132"/>
      <c r="S85" s="133"/>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119</v>
      </c>
    </row>
    <row r="88" spans="1:19" ht="18.75" customHeight="1" x14ac:dyDescent="0.2">
      <c r="B88" s="159" t="s">
        <v>54</v>
      </c>
      <c r="C88" s="160"/>
      <c r="D88" s="102" t="s">
        <v>55</v>
      </c>
      <c r="E88" s="102"/>
      <c r="F88" s="102"/>
      <c r="G88" s="102"/>
      <c r="H88" s="102"/>
      <c r="I88" s="102"/>
      <c r="J88" s="102"/>
      <c r="K88" s="102"/>
      <c r="L88" s="102"/>
      <c r="M88" s="102"/>
      <c r="N88" s="102"/>
      <c r="O88" s="102"/>
      <c r="P88" s="102"/>
      <c r="Q88" s="102"/>
      <c r="R88" s="102"/>
      <c r="S88" s="103"/>
    </row>
    <row r="89" spans="1:19" ht="97.5" customHeight="1" x14ac:dyDescent="0.2">
      <c r="B89" s="150" t="s">
        <v>61</v>
      </c>
      <c r="C89" s="28" t="s">
        <v>56</v>
      </c>
      <c r="D89" s="140" t="s">
        <v>190</v>
      </c>
      <c r="E89" s="141"/>
      <c r="F89" s="141"/>
      <c r="G89" s="141"/>
      <c r="H89" s="141"/>
      <c r="I89" s="141"/>
      <c r="J89" s="141"/>
      <c r="K89" s="141"/>
      <c r="L89" s="141"/>
      <c r="M89" s="141"/>
      <c r="N89" s="141"/>
      <c r="O89" s="141"/>
      <c r="P89" s="141"/>
      <c r="Q89" s="141"/>
      <c r="R89" s="141"/>
      <c r="S89" s="142"/>
    </row>
    <row r="90" spans="1:19" ht="97.5" customHeight="1" x14ac:dyDescent="0.2">
      <c r="B90" s="152"/>
      <c r="C90" s="29" t="s">
        <v>77</v>
      </c>
      <c r="D90" s="137" t="s">
        <v>218</v>
      </c>
      <c r="E90" s="138"/>
      <c r="F90" s="138"/>
      <c r="G90" s="138"/>
      <c r="H90" s="138"/>
      <c r="I90" s="138"/>
      <c r="J90" s="138"/>
      <c r="K90" s="138"/>
      <c r="L90" s="138"/>
      <c r="M90" s="138"/>
      <c r="N90" s="138"/>
      <c r="O90" s="138"/>
      <c r="P90" s="138"/>
      <c r="Q90" s="138"/>
      <c r="R90" s="138"/>
      <c r="S90" s="139"/>
    </row>
    <row r="91" spans="1:19" ht="97.5" customHeight="1" x14ac:dyDescent="0.2">
      <c r="B91" s="150" t="s">
        <v>62</v>
      </c>
      <c r="C91" s="30" t="s">
        <v>71</v>
      </c>
      <c r="D91" s="140" t="s">
        <v>191</v>
      </c>
      <c r="E91" s="141"/>
      <c r="F91" s="141"/>
      <c r="G91" s="141"/>
      <c r="H91" s="141"/>
      <c r="I91" s="141"/>
      <c r="J91" s="141"/>
      <c r="K91" s="141"/>
      <c r="L91" s="141"/>
      <c r="M91" s="141"/>
      <c r="N91" s="141"/>
      <c r="O91" s="141"/>
      <c r="P91" s="141"/>
      <c r="Q91" s="141"/>
      <c r="R91" s="141"/>
      <c r="S91" s="142"/>
    </row>
    <row r="92" spans="1:19" ht="97.5" customHeight="1" x14ac:dyDescent="0.2">
      <c r="B92" s="151"/>
      <c r="C92" s="31" t="s">
        <v>72</v>
      </c>
      <c r="D92" s="137" t="s">
        <v>192</v>
      </c>
      <c r="E92" s="138"/>
      <c r="F92" s="138"/>
      <c r="G92" s="138"/>
      <c r="H92" s="138"/>
      <c r="I92" s="138"/>
      <c r="J92" s="138"/>
      <c r="K92" s="138"/>
      <c r="L92" s="138"/>
      <c r="M92" s="138"/>
      <c r="N92" s="138"/>
      <c r="O92" s="138"/>
      <c r="P92" s="138"/>
      <c r="Q92" s="138"/>
      <c r="R92" s="138"/>
      <c r="S92" s="139"/>
    </row>
    <row r="93" spans="1:19" ht="97.5" customHeight="1" x14ac:dyDescent="0.2">
      <c r="B93" s="150" t="s">
        <v>63</v>
      </c>
      <c r="C93" s="30" t="s">
        <v>73</v>
      </c>
      <c r="D93" s="140" t="s">
        <v>193</v>
      </c>
      <c r="E93" s="141"/>
      <c r="F93" s="141"/>
      <c r="G93" s="141"/>
      <c r="H93" s="141"/>
      <c r="I93" s="141"/>
      <c r="J93" s="141"/>
      <c r="K93" s="141"/>
      <c r="L93" s="141"/>
      <c r="M93" s="141"/>
      <c r="N93" s="141"/>
      <c r="O93" s="141"/>
      <c r="P93" s="141"/>
      <c r="Q93" s="141"/>
      <c r="R93" s="141"/>
      <c r="S93" s="142"/>
    </row>
    <row r="94" spans="1:19" ht="97.5" customHeight="1" x14ac:dyDescent="0.2">
      <c r="B94" s="151"/>
      <c r="C94" s="32" t="s">
        <v>74</v>
      </c>
      <c r="D94" s="137" t="s">
        <v>194</v>
      </c>
      <c r="E94" s="138"/>
      <c r="F94" s="138"/>
      <c r="G94" s="138"/>
      <c r="H94" s="138"/>
      <c r="I94" s="138"/>
      <c r="J94" s="138"/>
      <c r="K94" s="138"/>
      <c r="L94" s="138"/>
      <c r="M94" s="138"/>
      <c r="N94" s="138"/>
      <c r="O94" s="138"/>
      <c r="P94" s="138"/>
      <c r="Q94" s="138"/>
      <c r="R94" s="138"/>
      <c r="S94" s="139"/>
    </row>
    <row r="95" spans="1:19" ht="97.5" customHeight="1" x14ac:dyDescent="0.2">
      <c r="B95" s="150" t="s">
        <v>78</v>
      </c>
      <c r="C95" s="28" t="s">
        <v>58</v>
      </c>
      <c r="D95" s="143" t="s">
        <v>187</v>
      </c>
      <c r="E95" s="141"/>
      <c r="F95" s="141"/>
      <c r="G95" s="141"/>
      <c r="H95" s="141"/>
      <c r="I95" s="141"/>
      <c r="J95" s="141"/>
      <c r="K95" s="141"/>
      <c r="L95" s="141"/>
      <c r="M95" s="141"/>
      <c r="N95" s="141"/>
      <c r="O95" s="141"/>
      <c r="P95" s="141"/>
      <c r="Q95" s="141"/>
      <c r="R95" s="141"/>
      <c r="S95" s="142"/>
    </row>
    <row r="96" spans="1:19" ht="97.5" customHeight="1" x14ac:dyDescent="0.2">
      <c r="B96" s="151"/>
      <c r="C96" s="31" t="s">
        <v>60</v>
      </c>
      <c r="D96" s="143" t="s">
        <v>188</v>
      </c>
      <c r="E96" s="141"/>
      <c r="F96" s="141"/>
      <c r="G96" s="141"/>
      <c r="H96" s="141"/>
      <c r="I96" s="141"/>
      <c r="J96" s="141"/>
      <c r="K96" s="141"/>
      <c r="L96" s="141"/>
      <c r="M96" s="141"/>
      <c r="N96" s="141"/>
      <c r="O96" s="141"/>
      <c r="P96" s="141"/>
      <c r="Q96" s="141"/>
      <c r="R96" s="141"/>
      <c r="S96" s="142"/>
    </row>
    <row r="97" spans="1:19" ht="97.5" customHeight="1" x14ac:dyDescent="0.2">
      <c r="B97" s="150" t="s">
        <v>79</v>
      </c>
      <c r="C97" s="30" t="s">
        <v>57</v>
      </c>
      <c r="D97" s="153" t="s">
        <v>195</v>
      </c>
      <c r="E97" s="154"/>
      <c r="F97" s="154"/>
      <c r="G97" s="154"/>
      <c r="H97" s="154"/>
      <c r="I97" s="154"/>
      <c r="J97" s="154"/>
      <c r="K97" s="154"/>
      <c r="L97" s="154"/>
      <c r="M97" s="154"/>
      <c r="N97" s="154"/>
      <c r="O97" s="154"/>
      <c r="P97" s="154"/>
      <c r="Q97" s="154"/>
      <c r="R97" s="154"/>
      <c r="S97" s="155"/>
    </row>
    <row r="98" spans="1:19" ht="97.5" customHeight="1" x14ac:dyDescent="0.2">
      <c r="B98" s="152"/>
      <c r="C98" s="33" t="s">
        <v>75</v>
      </c>
      <c r="D98" s="144" t="s">
        <v>189</v>
      </c>
      <c r="E98" s="145"/>
      <c r="F98" s="145"/>
      <c r="G98" s="145"/>
      <c r="H98" s="145"/>
      <c r="I98" s="145"/>
      <c r="J98" s="145"/>
      <c r="K98" s="145"/>
      <c r="L98" s="145"/>
      <c r="M98" s="145"/>
      <c r="N98" s="145"/>
      <c r="O98" s="145"/>
      <c r="P98" s="145"/>
      <c r="Q98" s="145"/>
      <c r="R98" s="145"/>
      <c r="S98" s="146"/>
    </row>
    <row r="99" spans="1:19" ht="97.5" customHeight="1" x14ac:dyDescent="0.2">
      <c r="B99" s="151"/>
      <c r="C99" s="32" t="s">
        <v>76</v>
      </c>
      <c r="D99" s="156" t="s">
        <v>196</v>
      </c>
      <c r="E99" s="157"/>
      <c r="F99" s="157"/>
      <c r="G99" s="157"/>
      <c r="H99" s="157"/>
      <c r="I99" s="157"/>
      <c r="J99" s="157"/>
      <c r="K99" s="157"/>
      <c r="L99" s="157"/>
      <c r="M99" s="157"/>
      <c r="N99" s="157"/>
      <c r="O99" s="157"/>
      <c r="P99" s="157"/>
      <c r="Q99" s="157"/>
      <c r="R99" s="157"/>
      <c r="S99" s="158"/>
    </row>
    <row r="100" spans="1:19" ht="6" customHeight="1" x14ac:dyDescent="0.2"/>
    <row r="101" spans="1:19" ht="18.75" customHeight="1" x14ac:dyDescent="0.2">
      <c r="A101" s="1" t="s">
        <v>120</v>
      </c>
    </row>
    <row r="102" spans="1:19" ht="81.75" customHeight="1" x14ac:dyDescent="0.2">
      <c r="B102" s="128" t="s">
        <v>130</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P69:S75 Q36:S42 G36:I42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0" zoomScaleNormal="100" zoomScaleSheetLayoutView="100" workbookViewId="0">
      <selection activeCell="D93" sqref="D93:S93"/>
    </sheetView>
  </sheetViews>
  <sheetFormatPr defaultColWidth="9" defaultRowHeight="18.75" customHeight="1" x14ac:dyDescent="0.2"/>
  <cols>
    <col min="1" max="1" width="2.44140625" style="84" customWidth="1"/>
    <col min="2" max="2" width="16.44140625" style="84" customWidth="1"/>
    <col min="3" max="19" width="5.6640625" style="84" customWidth="1"/>
    <col min="20" max="20" width="9" style="84"/>
    <col min="21" max="21" width="3.6640625" style="84" customWidth="1"/>
    <col min="22" max="22" width="48.6640625" style="84" hidden="1" customWidth="1"/>
    <col min="23" max="16384" width="9" style="84"/>
  </cols>
  <sheetData>
    <row r="1" spans="1:22" ht="18.600000000000001" customHeight="1" x14ac:dyDescent="0.2">
      <c r="R1" s="108" t="s">
        <v>175</v>
      </c>
      <c r="S1" s="108"/>
      <c r="T1" s="2" t="s">
        <v>109</v>
      </c>
    </row>
    <row r="2" spans="1:22" ht="18.75" customHeight="1" x14ac:dyDescent="0.2">
      <c r="B2" s="83" t="s">
        <v>108</v>
      </c>
      <c r="C2" s="101" t="s">
        <v>126</v>
      </c>
      <c r="D2" s="102"/>
      <c r="E2" s="102"/>
      <c r="F2" s="102"/>
      <c r="G2" s="102"/>
      <c r="H2" s="102"/>
      <c r="I2" s="103"/>
      <c r="J2" s="82"/>
      <c r="K2" s="6"/>
      <c r="L2" s="6"/>
      <c r="M2" s="6"/>
      <c r="N2" s="6"/>
      <c r="O2" s="6"/>
      <c r="P2" s="6"/>
      <c r="Q2" s="6"/>
      <c r="R2" s="6"/>
      <c r="S2" s="6"/>
    </row>
    <row r="3" spans="1:22" ht="18.75" customHeight="1" x14ac:dyDescent="0.2">
      <c r="B3" s="83" t="s">
        <v>102</v>
      </c>
      <c r="C3" s="112" t="s">
        <v>127</v>
      </c>
      <c r="D3" s="113"/>
      <c r="E3" s="113"/>
      <c r="F3" s="113"/>
      <c r="G3" s="113"/>
      <c r="H3" s="113"/>
      <c r="I3" s="114"/>
      <c r="J3" s="82"/>
      <c r="K3" s="6"/>
      <c r="L3" s="6"/>
      <c r="M3" s="6"/>
      <c r="N3" s="6"/>
      <c r="O3" s="6"/>
      <c r="P3" s="6"/>
      <c r="Q3" s="6"/>
      <c r="R3" s="6"/>
      <c r="S3" s="6"/>
    </row>
    <row r="4" spans="1:22" ht="15" customHeight="1" x14ac:dyDescent="0.2">
      <c r="K4" s="82"/>
      <c r="L4" s="37"/>
      <c r="M4" s="37"/>
      <c r="N4" s="37"/>
      <c r="O4" s="37"/>
      <c r="P4" s="37"/>
      <c r="Q4" s="37"/>
      <c r="R4" s="37"/>
      <c r="S4" s="37"/>
    </row>
    <row r="5" spans="1:22" ht="18" customHeight="1" x14ac:dyDescent="0.2">
      <c r="A5" s="115" t="s">
        <v>38</v>
      </c>
      <c r="B5" s="115"/>
      <c r="C5" s="115"/>
      <c r="D5" s="115"/>
      <c r="E5" s="115"/>
      <c r="F5" s="115"/>
      <c r="G5" s="115"/>
      <c r="H5" s="115"/>
      <c r="I5" s="115"/>
      <c r="J5" s="115"/>
      <c r="K5" s="115"/>
      <c r="L5" s="115"/>
      <c r="M5" s="115"/>
      <c r="N5" s="115"/>
      <c r="O5" s="115"/>
      <c r="P5" s="115"/>
      <c r="Q5" s="115"/>
      <c r="R5" s="115"/>
      <c r="S5" s="115"/>
    </row>
    <row r="6" spans="1:22" ht="15" customHeight="1" x14ac:dyDescent="0.2">
      <c r="B6" s="85"/>
      <c r="C6" s="85"/>
      <c r="D6" s="85"/>
      <c r="E6" s="85"/>
      <c r="F6" s="85"/>
      <c r="G6" s="85"/>
      <c r="H6" s="85"/>
      <c r="I6" s="85"/>
      <c r="J6" s="85"/>
      <c r="K6" s="85"/>
      <c r="L6" s="85"/>
      <c r="M6" s="85"/>
      <c r="N6" s="85"/>
      <c r="O6" s="85"/>
      <c r="P6" s="85"/>
      <c r="Q6" s="85"/>
      <c r="R6" s="85"/>
      <c r="S6" s="85"/>
    </row>
    <row r="7" spans="1:22" ht="18" customHeight="1" x14ac:dyDescent="0.2">
      <c r="A7" s="84" t="s">
        <v>124</v>
      </c>
      <c r="C7" s="85"/>
      <c r="J7" s="38" t="s">
        <v>107</v>
      </c>
      <c r="K7" s="125" t="s">
        <v>128</v>
      </c>
      <c r="L7" s="126"/>
      <c r="M7" s="126"/>
      <c r="N7" s="126"/>
      <c r="O7" s="126"/>
      <c r="P7" s="126"/>
      <c r="Q7" s="126"/>
      <c r="R7" s="126"/>
      <c r="S7" s="127"/>
    </row>
    <row r="8" spans="1:22" ht="6" customHeight="1" x14ac:dyDescent="0.2">
      <c r="B8" s="85"/>
      <c r="C8" s="85"/>
      <c r="D8" s="85"/>
      <c r="E8" s="85"/>
      <c r="F8" s="85"/>
      <c r="G8" s="85"/>
      <c r="H8" s="85"/>
      <c r="I8" s="85"/>
      <c r="J8" s="85"/>
      <c r="K8" s="10"/>
      <c r="L8" s="85"/>
      <c r="M8" s="85"/>
      <c r="N8" s="85"/>
      <c r="O8" s="85"/>
      <c r="P8" s="85"/>
      <c r="Q8" s="85"/>
      <c r="R8" s="85"/>
      <c r="S8" s="85"/>
    </row>
    <row r="9" spans="1:22" ht="18" customHeight="1" x14ac:dyDescent="0.2">
      <c r="B9" s="89" t="s">
        <v>131</v>
      </c>
      <c r="C9" s="90"/>
      <c r="D9" s="90"/>
      <c r="E9" s="90"/>
      <c r="F9" s="90"/>
      <c r="G9" s="90"/>
      <c r="H9" s="90"/>
      <c r="I9" s="90"/>
      <c r="J9" s="90"/>
      <c r="K9" s="90"/>
      <c r="L9" s="90"/>
      <c r="M9" s="90"/>
      <c r="N9" s="90"/>
      <c r="O9" s="90"/>
      <c r="P9" s="90"/>
      <c r="Q9" s="90"/>
      <c r="R9" s="90"/>
      <c r="S9" s="91"/>
    </row>
    <row r="10" spans="1:22" ht="18" customHeight="1" x14ac:dyDescent="0.2">
      <c r="B10" s="92"/>
      <c r="C10" s="93"/>
      <c r="D10" s="93"/>
      <c r="E10" s="93"/>
      <c r="F10" s="93"/>
      <c r="G10" s="93"/>
      <c r="H10" s="93"/>
      <c r="I10" s="93"/>
      <c r="J10" s="93"/>
      <c r="K10" s="93"/>
      <c r="L10" s="93"/>
      <c r="M10" s="93"/>
      <c r="N10" s="93"/>
      <c r="O10" s="93"/>
      <c r="P10" s="93"/>
      <c r="Q10" s="93"/>
      <c r="R10" s="93"/>
      <c r="S10" s="94"/>
    </row>
    <row r="11" spans="1:22" ht="6" customHeight="1" x14ac:dyDescent="0.2">
      <c r="B11" s="85"/>
      <c r="C11" s="85"/>
      <c r="D11" s="85"/>
      <c r="E11" s="85"/>
      <c r="F11" s="85"/>
      <c r="G11" s="85"/>
      <c r="H11" s="85"/>
      <c r="I11" s="85"/>
      <c r="J11" s="85"/>
      <c r="K11" s="10"/>
      <c r="L11" s="85"/>
      <c r="M11" s="85"/>
      <c r="N11" s="85"/>
      <c r="O11" s="85"/>
      <c r="P11" s="85"/>
      <c r="Q11" s="85"/>
      <c r="R11" s="85"/>
      <c r="S11" s="85"/>
    </row>
    <row r="12" spans="1:22" ht="18" customHeight="1" x14ac:dyDescent="0.2">
      <c r="A12" s="84" t="s">
        <v>111</v>
      </c>
      <c r="B12" s="85"/>
      <c r="C12" s="85"/>
      <c r="D12" s="82"/>
      <c r="E12" s="82"/>
      <c r="F12" s="82"/>
      <c r="G12" s="82"/>
      <c r="H12" s="82"/>
      <c r="I12" s="82"/>
      <c r="J12" s="82"/>
      <c r="K12" s="39"/>
      <c r="L12" s="39"/>
      <c r="M12" s="39"/>
      <c r="N12" s="39"/>
      <c r="O12" s="39"/>
      <c r="P12" s="39"/>
      <c r="Q12" s="39"/>
      <c r="R12" s="39"/>
      <c r="S12" s="39"/>
    </row>
    <row r="13" spans="1:22" ht="18" customHeight="1" x14ac:dyDescent="0.2">
      <c r="B13" s="116" t="s">
        <v>183</v>
      </c>
      <c r="C13" s="117"/>
      <c r="D13" s="117"/>
      <c r="E13" s="117"/>
      <c r="F13" s="117"/>
      <c r="G13" s="117"/>
      <c r="H13" s="117"/>
      <c r="I13" s="117"/>
      <c r="J13" s="117"/>
      <c r="K13" s="117"/>
      <c r="L13" s="117"/>
      <c r="M13" s="117"/>
      <c r="N13" s="117"/>
      <c r="O13" s="117"/>
      <c r="P13" s="117"/>
      <c r="Q13" s="117"/>
      <c r="R13" s="117"/>
      <c r="S13" s="118"/>
      <c r="V13" s="84" t="s">
        <v>103</v>
      </c>
    </row>
    <row r="14" spans="1:22" ht="18" customHeight="1" x14ac:dyDescent="0.2">
      <c r="B14" s="119"/>
      <c r="C14" s="120"/>
      <c r="D14" s="120"/>
      <c r="E14" s="120"/>
      <c r="F14" s="120"/>
      <c r="G14" s="120"/>
      <c r="H14" s="120"/>
      <c r="I14" s="120"/>
      <c r="J14" s="120"/>
      <c r="K14" s="120"/>
      <c r="L14" s="120"/>
      <c r="M14" s="120"/>
      <c r="N14" s="120"/>
      <c r="O14" s="120"/>
      <c r="P14" s="120"/>
      <c r="Q14" s="120"/>
      <c r="R14" s="120"/>
      <c r="S14" s="121"/>
      <c r="V14" s="84" t="s">
        <v>110</v>
      </c>
    </row>
    <row r="15" spans="1:22" ht="18" customHeight="1" x14ac:dyDescent="0.2">
      <c r="B15" s="119"/>
      <c r="C15" s="120"/>
      <c r="D15" s="120"/>
      <c r="E15" s="120"/>
      <c r="F15" s="120"/>
      <c r="G15" s="120"/>
      <c r="H15" s="120"/>
      <c r="I15" s="120"/>
      <c r="J15" s="120"/>
      <c r="K15" s="120"/>
      <c r="L15" s="120"/>
      <c r="M15" s="120"/>
      <c r="N15" s="120"/>
      <c r="O15" s="120"/>
      <c r="P15" s="120"/>
      <c r="Q15" s="120"/>
      <c r="R15" s="120"/>
      <c r="S15" s="121"/>
      <c r="V15" s="84" t="s">
        <v>123</v>
      </c>
    </row>
    <row r="16" spans="1:22" ht="18" customHeight="1" x14ac:dyDescent="0.2">
      <c r="B16" s="119"/>
      <c r="C16" s="120"/>
      <c r="D16" s="120"/>
      <c r="E16" s="120"/>
      <c r="F16" s="120"/>
      <c r="G16" s="120"/>
      <c r="H16" s="120"/>
      <c r="I16" s="120"/>
      <c r="J16" s="120"/>
      <c r="K16" s="120"/>
      <c r="L16" s="120"/>
      <c r="M16" s="120"/>
      <c r="N16" s="120"/>
      <c r="O16" s="120"/>
      <c r="P16" s="120"/>
      <c r="Q16" s="120"/>
      <c r="R16" s="120"/>
      <c r="S16" s="121"/>
      <c r="V16" s="84" t="s">
        <v>125</v>
      </c>
    </row>
    <row r="17" spans="1:19" ht="18" customHeight="1" x14ac:dyDescent="0.2">
      <c r="B17" s="119"/>
      <c r="C17" s="120"/>
      <c r="D17" s="120"/>
      <c r="E17" s="120"/>
      <c r="F17" s="120"/>
      <c r="G17" s="120"/>
      <c r="H17" s="120"/>
      <c r="I17" s="120"/>
      <c r="J17" s="120"/>
      <c r="K17" s="120"/>
      <c r="L17" s="120"/>
      <c r="M17" s="120"/>
      <c r="N17" s="120"/>
      <c r="O17" s="120"/>
      <c r="P17" s="120"/>
      <c r="Q17" s="120"/>
      <c r="R17" s="120"/>
      <c r="S17" s="121"/>
    </row>
    <row r="18" spans="1:19" ht="18" customHeight="1" x14ac:dyDescent="0.2">
      <c r="B18" s="122"/>
      <c r="C18" s="123"/>
      <c r="D18" s="123"/>
      <c r="E18" s="123"/>
      <c r="F18" s="123"/>
      <c r="G18" s="123"/>
      <c r="H18" s="123"/>
      <c r="I18" s="123"/>
      <c r="J18" s="123"/>
      <c r="K18" s="123"/>
      <c r="L18" s="123"/>
      <c r="M18" s="123"/>
      <c r="N18" s="123"/>
      <c r="O18" s="123"/>
      <c r="P18" s="123"/>
      <c r="Q18" s="123"/>
      <c r="R18" s="123"/>
      <c r="S18" s="124"/>
    </row>
    <row r="19" spans="1:19" ht="7.5" customHeight="1" x14ac:dyDescent="0.2">
      <c r="B19" s="85"/>
      <c r="C19" s="85"/>
      <c r="D19" s="85"/>
      <c r="E19" s="85"/>
      <c r="F19" s="85"/>
      <c r="G19" s="85"/>
      <c r="H19" s="85"/>
      <c r="I19" s="85"/>
      <c r="J19" s="85"/>
      <c r="K19" s="85"/>
      <c r="L19" s="85"/>
      <c r="M19" s="85"/>
      <c r="N19" s="85"/>
      <c r="O19" s="85"/>
      <c r="P19" s="85"/>
      <c r="Q19" s="85"/>
      <c r="R19" s="85"/>
      <c r="S19" s="85"/>
    </row>
    <row r="20" spans="1:19" ht="19.95" customHeight="1" x14ac:dyDescent="0.2">
      <c r="B20" s="84" t="s">
        <v>112</v>
      </c>
      <c r="C20" s="101">
        <v>4</v>
      </c>
      <c r="D20" s="103"/>
      <c r="E20" s="40" t="s">
        <v>95</v>
      </c>
      <c r="G20" s="10"/>
      <c r="H20" s="85"/>
      <c r="I20" s="85"/>
      <c r="J20" s="82" t="s">
        <v>121</v>
      </c>
      <c r="K20" s="109" t="s">
        <v>110</v>
      </c>
      <c r="L20" s="110"/>
      <c r="M20" s="110"/>
      <c r="N20" s="110"/>
      <c r="O20" s="110"/>
      <c r="P20" s="110"/>
      <c r="Q20" s="110"/>
      <c r="R20" s="110"/>
      <c r="S20" s="111"/>
    </row>
    <row r="21" spans="1:19" ht="7.5" customHeight="1" x14ac:dyDescent="0.2">
      <c r="B21" s="85"/>
      <c r="C21" s="85"/>
      <c r="D21" s="85"/>
      <c r="E21" s="85"/>
      <c r="F21" s="85"/>
      <c r="G21" s="85"/>
      <c r="H21" s="85"/>
      <c r="I21" s="85"/>
      <c r="J21" s="85"/>
      <c r="K21" s="85"/>
      <c r="L21" s="85"/>
      <c r="M21" s="85"/>
      <c r="N21" s="85"/>
      <c r="O21" s="85"/>
      <c r="P21" s="85"/>
      <c r="Q21" s="85"/>
      <c r="R21" s="85"/>
      <c r="S21" s="85"/>
    </row>
    <row r="22" spans="1:19" ht="18" customHeight="1" x14ac:dyDescent="0.2">
      <c r="A22" s="104" t="s">
        <v>113</v>
      </c>
      <c r="B22" s="104"/>
      <c r="C22" s="104"/>
      <c r="D22" s="104"/>
      <c r="E22" s="104"/>
      <c r="F22" s="104"/>
      <c r="G22" s="104"/>
      <c r="H22" s="104"/>
      <c r="I22" s="104"/>
      <c r="J22" s="104"/>
      <c r="K22" s="104"/>
      <c r="L22" s="104"/>
      <c r="M22" s="104"/>
      <c r="N22" s="104"/>
      <c r="O22" s="104"/>
      <c r="P22" s="104"/>
      <c r="Q22" s="104"/>
      <c r="R22" s="104"/>
      <c r="S22" s="104"/>
    </row>
    <row r="23" spans="1:19" ht="18" customHeight="1" x14ac:dyDescent="0.2">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2">
      <c r="B24" s="101" t="s">
        <v>53</v>
      </c>
      <c r="C24" s="102"/>
      <c r="D24" s="102"/>
      <c r="E24" s="103"/>
      <c r="F24" s="61" t="s">
        <v>80</v>
      </c>
      <c r="G24" s="60" t="s">
        <v>84</v>
      </c>
      <c r="H24" s="22" t="s">
        <v>56</v>
      </c>
      <c r="I24" s="22" t="s">
        <v>59</v>
      </c>
      <c r="J24" s="101" t="s">
        <v>53</v>
      </c>
      <c r="K24" s="102"/>
      <c r="L24" s="102"/>
      <c r="M24" s="102"/>
      <c r="N24" s="102"/>
      <c r="O24" s="103"/>
      <c r="P24" s="61" t="s">
        <v>80</v>
      </c>
      <c r="Q24" s="60" t="s">
        <v>84</v>
      </c>
      <c r="R24" s="22" t="s">
        <v>56</v>
      </c>
      <c r="S24" s="22" t="s">
        <v>59</v>
      </c>
    </row>
    <row r="25" spans="1:19" ht="18" customHeight="1" x14ac:dyDescent="0.2">
      <c r="B25" s="105" t="s">
        <v>132</v>
      </c>
      <c r="C25" s="106"/>
      <c r="D25" s="106"/>
      <c r="E25" s="107"/>
      <c r="F25" s="23">
        <v>4</v>
      </c>
      <c r="G25" s="23" t="s">
        <v>129</v>
      </c>
      <c r="H25" s="23" t="s">
        <v>129</v>
      </c>
      <c r="I25" s="23" t="s">
        <v>129</v>
      </c>
      <c r="J25" s="105"/>
      <c r="K25" s="106"/>
      <c r="L25" s="106"/>
      <c r="M25" s="106"/>
      <c r="N25" s="106"/>
      <c r="O25" s="107"/>
      <c r="P25" s="23"/>
      <c r="Q25" s="23"/>
      <c r="R25" s="23"/>
      <c r="S25" s="23"/>
    </row>
    <row r="26" spans="1:19" ht="18" customHeight="1" x14ac:dyDescent="0.2">
      <c r="B26" s="95"/>
      <c r="C26" s="96"/>
      <c r="D26" s="96"/>
      <c r="E26" s="97"/>
      <c r="F26" s="24"/>
      <c r="G26" s="24"/>
      <c r="H26" s="24"/>
      <c r="I26" s="24"/>
      <c r="J26" s="95"/>
      <c r="K26" s="96"/>
      <c r="L26" s="96"/>
      <c r="M26" s="96"/>
      <c r="N26" s="96"/>
      <c r="O26" s="97"/>
      <c r="P26" s="24"/>
      <c r="Q26" s="24"/>
      <c r="R26" s="24"/>
      <c r="S26" s="24"/>
    </row>
    <row r="27" spans="1:19" ht="18" customHeight="1" x14ac:dyDescent="0.2">
      <c r="B27" s="95"/>
      <c r="C27" s="96"/>
      <c r="D27" s="96"/>
      <c r="E27" s="97"/>
      <c r="F27" s="24"/>
      <c r="G27" s="24"/>
      <c r="H27" s="24"/>
      <c r="I27" s="24"/>
      <c r="J27" s="95"/>
      <c r="K27" s="96"/>
      <c r="L27" s="96"/>
      <c r="M27" s="96"/>
      <c r="N27" s="96"/>
      <c r="O27" s="97"/>
      <c r="P27" s="24"/>
      <c r="Q27" s="24"/>
      <c r="R27" s="24"/>
      <c r="S27" s="24"/>
    </row>
    <row r="28" spans="1:19" ht="18" customHeight="1" x14ac:dyDescent="0.2">
      <c r="B28" s="95"/>
      <c r="C28" s="96"/>
      <c r="D28" s="96"/>
      <c r="E28" s="97"/>
      <c r="F28" s="24"/>
      <c r="G28" s="24"/>
      <c r="H28" s="24"/>
      <c r="I28" s="24"/>
      <c r="J28" s="95"/>
      <c r="K28" s="96"/>
      <c r="L28" s="96"/>
      <c r="M28" s="96"/>
      <c r="N28" s="96"/>
      <c r="O28" s="97"/>
      <c r="P28" s="24"/>
      <c r="Q28" s="24"/>
      <c r="R28" s="24"/>
      <c r="S28" s="24"/>
    </row>
    <row r="29" spans="1:19" ht="18" customHeight="1" x14ac:dyDescent="0.2">
      <c r="B29" s="95"/>
      <c r="C29" s="96"/>
      <c r="D29" s="96"/>
      <c r="E29" s="97"/>
      <c r="F29" s="24"/>
      <c r="G29" s="24"/>
      <c r="H29" s="24"/>
      <c r="I29" s="24"/>
      <c r="J29" s="95"/>
      <c r="K29" s="96"/>
      <c r="L29" s="96"/>
      <c r="M29" s="96"/>
      <c r="N29" s="96"/>
      <c r="O29" s="97"/>
      <c r="P29" s="24"/>
      <c r="Q29" s="24"/>
      <c r="R29" s="24"/>
      <c r="S29" s="24"/>
    </row>
    <row r="30" spans="1:19" ht="18" customHeight="1" x14ac:dyDescent="0.2">
      <c r="A30" s="85"/>
      <c r="B30" s="95"/>
      <c r="C30" s="96"/>
      <c r="D30" s="96"/>
      <c r="E30" s="97"/>
      <c r="F30" s="24"/>
      <c r="G30" s="24"/>
      <c r="H30" s="24"/>
      <c r="I30" s="24"/>
      <c r="J30" s="95"/>
      <c r="K30" s="96"/>
      <c r="L30" s="96"/>
      <c r="M30" s="96"/>
      <c r="N30" s="96"/>
      <c r="O30" s="97"/>
      <c r="P30" s="24"/>
      <c r="Q30" s="24"/>
      <c r="R30" s="24"/>
      <c r="S30" s="24"/>
    </row>
    <row r="31" spans="1:19" ht="18" customHeight="1" x14ac:dyDescent="0.2">
      <c r="A31" s="85"/>
      <c r="B31" s="98"/>
      <c r="C31" s="99"/>
      <c r="D31" s="99"/>
      <c r="E31" s="100"/>
      <c r="F31" s="25"/>
      <c r="G31" s="25"/>
      <c r="H31" s="26"/>
      <c r="I31" s="26"/>
      <c r="J31" s="98"/>
      <c r="K31" s="99"/>
      <c r="L31" s="99"/>
      <c r="M31" s="99"/>
      <c r="N31" s="99"/>
      <c r="O31" s="100"/>
      <c r="P31" s="25"/>
      <c r="Q31" s="25"/>
      <c r="R31" s="26"/>
      <c r="S31" s="26"/>
    </row>
    <row r="32" spans="1:19" ht="7.5" customHeight="1" x14ac:dyDescent="0.2">
      <c r="A32" s="85"/>
      <c r="B32" s="6"/>
      <c r="C32" s="6"/>
      <c r="D32" s="85"/>
      <c r="E32" s="85"/>
      <c r="F32" s="85"/>
      <c r="G32" s="85"/>
      <c r="H32" s="6"/>
      <c r="I32" s="6"/>
      <c r="J32" s="6"/>
      <c r="K32" s="6"/>
      <c r="L32" s="6"/>
      <c r="M32" s="6"/>
      <c r="N32" s="6"/>
      <c r="O32" s="6"/>
      <c r="P32" s="6"/>
      <c r="Q32" s="6"/>
      <c r="R32" s="6"/>
      <c r="S32" s="85"/>
    </row>
    <row r="33" spans="1:19" ht="18" customHeight="1" x14ac:dyDescent="0.2">
      <c r="A33" s="104" t="s">
        <v>114</v>
      </c>
      <c r="B33" s="104"/>
      <c r="C33" s="104"/>
      <c r="D33" s="104"/>
      <c r="E33" s="104"/>
      <c r="F33" s="104"/>
      <c r="G33" s="104"/>
      <c r="H33" s="104"/>
      <c r="I33" s="104"/>
      <c r="J33" s="104"/>
      <c r="K33" s="104"/>
      <c r="L33" s="104"/>
      <c r="M33" s="104"/>
      <c r="N33" s="104"/>
      <c r="O33" s="104"/>
      <c r="P33" s="104"/>
      <c r="Q33" s="104"/>
      <c r="R33" s="104"/>
      <c r="S33" s="104"/>
    </row>
    <row r="34" spans="1:19" ht="18" customHeight="1" x14ac:dyDescent="0.2">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2">
      <c r="B35" s="101" t="s">
        <v>53</v>
      </c>
      <c r="C35" s="102"/>
      <c r="D35" s="102"/>
      <c r="E35" s="103"/>
      <c r="F35" s="61" t="s">
        <v>80</v>
      </c>
      <c r="G35" s="60" t="s">
        <v>84</v>
      </c>
      <c r="H35" s="22" t="s">
        <v>71</v>
      </c>
      <c r="I35" s="22" t="s">
        <v>72</v>
      </c>
      <c r="J35" s="101" t="s">
        <v>53</v>
      </c>
      <c r="K35" s="102"/>
      <c r="L35" s="102"/>
      <c r="M35" s="102"/>
      <c r="N35" s="102"/>
      <c r="O35" s="103"/>
      <c r="P35" s="61" t="s">
        <v>80</v>
      </c>
      <c r="Q35" s="60" t="s">
        <v>84</v>
      </c>
      <c r="R35" s="22" t="s">
        <v>71</v>
      </c>
      <c r="S35" s="22" t="s">
        <v>72</v>
      </c>
    </row>
    <row r="36" spans="1:19" ht="18" customHeight="1" x14ac:dyDescent="0.2">
      <c r="B36" s="105" t="s">
        <v>132</v>
      </c>
      <c r="C36" s="106"/>
      <c r="D36" s="106"/>
      <c r="E36" s="107"/>
      <c r="F36" s="23">
        <v>4</v>
      </c>
      <c r="G36" s="23" t="s">
        <v>129</v>
      </c>
      <c r="H36" s="23" t="s">
        <v>129</v>
      </c>
      <c r="I36" s="23" t="s">
        <v>129</v>
      </c>
      <c r="J36" s="105"/>
      <c r="K36" s="106"/>
      <c r="L36" s="106"/>
      <c r="M36" s="106"/>
      <c r="N36" s="106"/>
      <c r="O36" s="107"/>
      <c r="P36" s="23"/>
      <c r="Q36" s="23"/>
      <c r="R36" s="23"/>
      <c r="S36" s="23"/>
    </row>
    <row r="37" spans="1:19" ht="18" customHeight="1" x14ac:dyDescent="0.2">
      <c r="B37" s="95"/>
      <c r="C37" s="96"/>
      <c r="D37" s="96"/>
      <c r="E37" s="97"/>
      <c r="F37" s="24"/>
      <c r="G37" s="24"/>
      <c r="H37" s="24"/>
      <c r="I37" s="24"/>
      <c r="J37" s="95"/>
      <c r="K37" s="96"/>
      <c r="L37" s="96"/>
      <c r="M37" s="96"/>
      <c r="N37" s="96"/>
      <c r="O37" s="97"/>
      <c r="P37" s="24"/>
      <c r="Q37" s="24"/>
      <c r="R37" s="24"/>
      <c r="S37" s="24"/>
    </row>
    <row r="38" spans="1:19" ht="18" customHeight="1" x14ac:dyDescent="0.2">
      <c r="B38" s="95"/>
      <c r="C38" s="96"/>
      <c r="D38" s="96"/>
      <c r="E38" s="97"/>
      <c r="F38" s="24"/>
      <c r="G38" s="24"/>
      <c r="H38" s="24"/>
      <c r="I38" s="24"/>
      <c r="J38" s="95"/>
      <c r="K38" s="96"/>
      <c r="L38" s="96"/>
      <c r="M38" s="96"/>
      <c r="N38" s="96"/>
      <c r="O38" s="97"/>
      <c r="P38" s="24"/>
      <c r="Q38" s="24"/>
      <c r="R38" s="24"/>
      <c r="S38" s="24"/>
    </row>
    <row r="39" spans="1:19" ht="18" customHeight="1" x14ac:dyDescent="0.2">
      <c r="B39" s="95"/>
      <c r="C39" s="96"/>
      <c r="D39" s="96"/>
      <c r="E39" s="97"/>
      <c r="F39" s="24"/>
      <c r="G39" s="24"/>
      <c r="H39" s="24"/>
      <c r="I39" s="24"/>
      <c r="J39" s="95"/>
      <c r="K39" s="96"/>
      <c r="L39" s="96"/>
      <c r="M39" s="96"/>
      <c r="N39" s="96"/>
      <c r="O39" s="97"/>
      <c r="P39" s="24"/>
      <c r="Q39" s="24"/>
      <c r="R39" s="24"/>
      <c r="S39" s="24"/>
    </row>
    <row r="40" spans="1:19" ht="18" customHeight="1" x14ac:dyDescent="0.2">
      <c r="B40" s="95"/>
      <c r="C40" s="96"/>
      <c r="D40" s="96"/>
      <c r="E40" s="97"/>
      <c r="F40" s="24"/>
      <c r="G40" s="24"/>
      <c r="H40" s="24"/>
      <c r="I40" s="24"/>
      <c r="J40" s="95"/>
      <c r="K40" s="96"/>
      <c r="L40" s="96"/>
      <c r="M40" s="96"/>
      <c r="N40" s="96"/>
      <c r="O40" s="97"/>
      <c r="P40" s="24"/>
      <c r="Q40" s="24"/>
      <c r="R40" s="24"/>
      <c r="S40" s="24"/>
    </row>
    <row r="41" spans="1:19" ht="18" customHeight="1" x14ac:dyDescent="0.2">
      <c r="B41" s="95"/>
      <c r="C41" s="96"/>
      <c r="D41" s="96"/>
      <c r="E41" s="97"/>
      <c r="F41" s="24"/>
      <c r="G41" s="24"/>
      <c r="H41" s="24"/>
      <c r="I41" s="24"/>
      <c r="J41" s="95"/>
      <c r="K41" s="96"/>
      <c r="L41" s="96"/>
      <c r="M41" s="96"/>
      <c r="N41" s="96"/>
      <c r="O41" s="97"/>
      <c r="P41" s="24"/>
      <c r="Q41" s="24"/>
      <c r="R41" s="24"/>
      <c r="S41" s="24"/>
    </row>
    <row r="42" spans="1:19" ht="18" customHeight="1" x14ac:dyDescent="0.2">
      <c r="B42" s="98"/>
      <c r="C42" s="99"/>
      <c r="D42" s="99"/>
      <c r="E42" s="100"/>
      <c r="F42" s="25"/>
      <c r="G42" s="25"/>
      <c r="H42" s="26"/>
      <c r="I42" s="26"/>
      <c r="J42" s="98"/>
      <c r="K42" s="99"/>
      <c r="L42" s="99"/>
      <c r="M42" s="99"/>
      <c r="N42" s="99"/>
      <c r="O42" s="100"/>
      <c r="P42" s="25"/>
      <c r="Q42" s="25"/>
      <c r="R42" s="26"/>
      <c r="S42" s="26"/>
    </row>
    <row r="43" spans="1:19" ht="7.5" customHeight="1" x14ac:dyDescent="0.2">
      <c r="A43" s="85"/>
      <c r="B43" s="6"/>
      <c r="C43" s="6"/>
      <c r="D43" s="85"/>
      <c r="E43" s="85"/>
      <c r="F43" s="85"/>
      <c r="G43" s="85"/>
      <c r="H43" s="6"/>
      <c r="I43" s="6"/>
      <c r="J43" s="6"/>
      <c r="K43" s="6"/>
      <c r="L43" s="6"/>
      <c r="M43" s="6"/>
      <c r="N43" s="6"/>
      <c r="O43" s="6"/>
      <c r="P43" s="6"/>
      <c r="Q43" s="6"/>
      <c r="R43" s="6"/>
      <c r="S43" s="85"/>
    </row>
    <row r="44" spans="1:19" ht="18" customHeight="1" x14ac:dyDescent="0.2">
      <c r="A44" s="104" t="s">
        <v>115</v>
      </c>
      <c r="B44" s="104"/>
      <c r="C44" s="104"/>
      <c r="D44" s="104"/>
      <c r="E44" s="104"/>
      <c r="F44" s="104"/>
      <c r="G44" s="104"/>
      <c r="H44" s="104"/>
      <c r="I44" s="104"/>
      <c r="J44" s="104"/>
      <c r="K44" s="104"/>
      <c r="L44" s="104"/>
      <c r="M44" s="104"/>
      <c r="N44" s="104"/>
      <c r="O44" s="104"/>
      <c r="P44" s="104"/>
      <c r="Q44" s="104"/>
      <c r="R44" s="104"/>
      <c r="S44" s="104"/>
    </row>
    <row r="45" spans="1:19" ht="18" customHeight="1" x14ac:dyDescent="0.2">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2">
      <c r="B46" s="101" t="s">
        <v>53</v>
      </c>
      <c r="C46" s="102"/>
      <c r="D46" s="102"/>
      <c r="E46" s="103"/>
      <c r="F46" s="61" t="s">
        <v>80</v>
      </c>
      <c r="G46" s="60" t="s">
        <v>84</v>
      </c>
      <c r="H46" s="22" t="s">
        <v>73</v>
      </c>
      <c r="I46" s="22" t="s">
        <v>74</v>
      </c>
      <c r="J46" s="101" t="s">
        <v>53</v>
      </c>
      <c r="K46" s="102"/>
      <c r="L46" s="102"/>
      <c r="M46" s="102"/>
      <c r="N46" s="102"/>
      <c r="O46" s="103"/>
      <c r="P46" s="61" t="s">
        <v>80</v>
      </c>
      <c r="Q46" s="60" t="s">
        <v>84</v>
      </c>
      <c r="R46" s="22" t="s">
        <v>73</v>
      </c>
      <c r="S46" s="22" t="s">
        <v>74</v>
      </c>
    </row>
    <row r="47" spans="1:19" ht="18" customHeight="1" x14ac:dyDescent="0.2">
      <c r="A47" s="85"/>
      <c r="B47" s="105" t="s">
        <v>132</v>
      </c>
      <c r="C47" s="106"/>
      <c r="D47" s="106"/>
      <c r="E47" s="107"/>
      <c r="F47" s="23">
        <v>4</v>
      </c>
      <c r="G47" s="23" t="s">
        <v>129</v>
      </c>
      <c r="H47" s="23" t="s">
        <v>129</v>
      </c>
      <c r="I47" s="23" t="s">
        <v>129</v>
      </c>
      <c r="J47" s="105"/>
      <c r="K47" s="106"/>
      <c r="L47" s="106"/>
      <c r="M47" s="106"/>
      <c r="N47" s="106"/>
      <c r="O47" s="107"/>
      <c r="P47" s="23"/>
      <c r="Q47" s="23"/>
      <c r="R47" s="23"/>
      <c r="S47" s="23"/>
    </row>
    <row r="48" spans="1:19" ht="18" customHeight="1" x14ac:dyDescent="0.2">
      <c r="A48" s="85"/>
      <c r="B48" s="95"/>
      <c r="C48" s="96"/>
      <c r="D48" s="96"/>
      <c r="E48" s="97"/>
      <c r="F48" s="24"/>
      <c r="G48" s="24"/>
      <c r="H48" s="24"/>
      <c r="I48" s="24"/>
      <c r="J48" s="95"/>
      <c r="K48" s="96"/>
      <c r="L48" s="96"/>
      <c r="M48" s="96"/>
      <c r="N48" s="96"/>
      <c r="O48" s="97"/>
      <c r="P48" s="24"/>
      <c r="Q48" s="24"/>
      <c r="R48" s="24"/>
      <c r="S48" s="24"/>
    </row>
    <row r="49" spans="1:19" ht="18" customHeight="1" x14ac:dyDescent="0.2">
      <c r="A49" s="85"/>
      <c r="B49" s="95"/>
      <c r="C49" s="96"/>
      <c r="D49" s="96"/>
      <c r="E49" s="97"/>
      <c r="F49" s="24"/>
      <c r="G49" s="24"/>
      <c r="H49" s="24"/>
      <c r="I49" s="24"/>
      <c r="J49" s="95"/>
      <c r="K49" s="96"/>
      <c r="L49" s="96"/>
      <c r="M49" s="96"/>
      <c r="N49" s="96"/>
      <c r="O49" s="97"/>
      <c r="P49" s="24"/>
      <c r="Q49" s="24"/>
      <c r="R49" s="24"/>
      <c r="S49" s="24"/>
    </row>
    <row r="50" spans="1:19" ht="18" customHeight="1" x14ac:dyDescent="0.2">
      <c r="A50" s="85"/>
      <c r="B50" s="95"/>
      <c r="C50" s="96"/>
      <c r="D50" s="96"/>
      <c r="E50" s="97"/>
      <c r="F50" s="24"/>
      <c r="G50" s="24"/>
      <c r="H50" s="24"/>
      <c r="I50" s="24"/>
      <c r="J50" s="95"/>
      <c r="K50" s="96"/>
      <c r="L50" s="96"/>
      <c r="M50" s="96"/>
      <c r="N50" s="96"/>
      <c r="O50" s="97"/>
      <c r="P50" s="24"/>
      <c r="Q50" s="24"/>
      <c r="R50" s="24"/>
      <c r="S50" s="24"/>
    </row>
    <row r="51" spans="1:19" ht="18" customHeight="1" x14ac:dyDescent="0.2">
      <c r="A51" s="85"/>
      <c r="B51" s="95"/>
      <c r="C51" s="96"/>
      <c r="D51" s="96"/>
      <c r="E51" s="97"/>
      <c r="F51" s="24"/>
      <c r="G51" s="24"/>
      <c r="H51" s="24"/>
      <c r="I51" s="24"/>
      <c r="J51" s="95"/>
      <c r="K51" s="96"/>
      <c r="L51" s="96"/>
      <c r="M51" s="96"/>
      <c r="N51" s="96"/>
      <c r="O51" s="97"/>
      <c r="P51" s="24"/>
      <c r="Q51" s="24"/>
      <c r="R51" s="24"/>
      <c r="S51" s="24"/>
    </row>
    <row r="52" spans="1:19" ht="18" customHeight="1" x14ac:dyDescent="0.2">
      <c r="A52" s="85"/>
      <c r="B52" s="95"/>
      <c r="C52" s="96"/>
      <c r="D52" s="96"/>
      <c r="E52" s="97"/>
      <c r="F52" s="24"/>
      <c r="G52" s="24"/>
      <c r="H52" s="24"/>
      <c r="I52" s="24"/>
      <c r="J52" s="95"/>
      <c r="K52" s="96"/>
      <c r="L52" s="96"/>
      <c r="M52" s="96"/>
      <c r="N52" s="96"/>
      <c r="O52" s="97"/>
      <c r="P52" s="24"/>
      <c r="Q52" s="24"/>
      <c r="R52" s="24"/>
      <c r="S52" s="24"/>
    </row>
    <row r="53" spans="1:19" ht="18" customHeight="1" x14ac:dyDescent="0.2">
      <c r="A53" s="85"/>
      <c r="B53" s="98"/>
      <c r="C53" s="99"/>
      <c r="D53" s="99"/>
      <c r="E53" s="100"/>
      <c r="F53" s="25"/>
      <c r="G53" s="25"/>
      <c r="H53" s="26"/>
      <c r="I53" s="26"/>
      <c r="J53" s="98"/>
      <c r="K53" s="99"/>
      <c r="L53" s="99"/>
      <c r="M53" s="99"/>
      <c r="N53" s="99"/>
      <c r="O53" s="100"/>
      <c r="P53" s="25"/>
      <c r="Q53" s="25"/>
      <c r="R53" s="26"/>
      <c r="S53" s="26"/>
    </row>
    <row r="54" spans="1:19" ht="7.5" customHeight="1" x14ac:dyDescent="0.2">
      <c r="B54" s="86"/>
      <c r="C54" s="86"/>
      <c r="D54" s="86"/>
      <c r="E54" s="86"/>
      <c r="F54" s="86"/>
      <c r="G54" s="86"/>
      <c r="H54" s="86"/>
      <c r="I54" s="86"/>
      <c r="J54" s="86"/>
      <c r="K54" s="86"/>
      <c r="L54" s="86"/>
      <c r="M54" s="86"/>
      <c r="N54" s="86"/>
      <c r="O54" s="86"/>
      <c r="P54" s="86"/>
      <c r="Q54" s="86"/>
      <c r="R54" s="86"/>
    </row>
    <row r="55" spans="1:19" ht="18" customHeight="1" x14ac:dyDescent="0.2">
      <c r="A55" s="104" t="s">
        <v>116</v>
      </c>
      <c r="B55" s="104"/>
      <c r="C55" s="104"/>
      <c r="D55" s="104"/>
      <c r="E55" s="104"/>
      <c r="F55" s="104"/>
      <c r="G55" s="104"/>
      <c r="H55" s="104"/>
      <c r="I55" s="104"/>
      <c r="J55" s="104"/>
      <c r="K55" s="104"/>
      <c r="L55" s="104"/>
      <c r="M55" s="104"/>
      <c r="N55" s="104"/>
      <c r="O55" s="104"/>
      <c r="P55" s="104"/>
      <c r="Q55" s="104"/>
      <c r="R55" s="104"/>
      <c r="S55" s="104"/>
    </row>
    <row r="56" spans="1:19" ht="18" customHeight="1" x14ac:dyDescent="0.2">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2">
      <c r="B57" s="101" t="s">
        <v>53</v>
      </c>
      <c r="C57" s="102"/>
      <c r="D57" s="102"/>
      <c r="E57" s="103"/>
      <c r="F57" s="61" t="s">
        <v>80</v>
      </c>
      <c r="G57" s="60" t="s">
        <v>84</v>
      </c>
      <c r="H57" s="22" t="s">
        <v>58</v>
      </c>
      <c r="I57" s="22" t="s">
        <v>60</v>
      </c>
      <c r="J57" s="101" t="s">
        <v>53</v>
      </c>
      <c r="K57" s="102"/>
      <c r="L57" s="102"/>
      <c r="M57" s="102"/>
      <c r="N57" s="102"/>
      <c r="O57" s="103"/>
      <c r="P57" s="61" t="s">
        <v>80</v>
      </c>
      <c r="Q57" s="60" t="s">
        <v>84</v>
      </c>
      <c r="R57" s="22" t="s">
        <v>58</v>
      </c>
      <c r="S57" s="22" t="s">
        <v>60</v>
      </c>
    </row>
    <row r="58" spans="1:19" ht="18" customHeight="1" x14ac:dyDescent="0.2">
      <c r="A58" s="85"/>
      <c r="B58" s="105" t="s">
        <v>132</v>
      </c>
      <c r="C58" s="106"/>
      <c r="D58" s="106"/>
      <c r="E58" s="107"/>
      <c r="F58" s="23">
        <v>4</v>
      </c>
      <c r="G58" s="23" t="s">
        <v>129</v>
      </c>
      <c r="H58" s="23" t="s">
        <v>129</v>
      </c>
      <c r="I58" s="23" t="s">
        <v>129</v>
      </c>
      <c r="J58" s="105"/>
      <c r="K58" s="106"/>
      <c r="L58" s="106"/>
      <c r="M58" s="106"/>
      <c r="N58" s="106"/>
      <c r="O58" s="107"/>
      <c r="P58" s="23"/>
      <c r="Q58" s="23"/>
      <c r="R58" s="23"/>
      <c r="S58" s="23"/>
    </row>
    <row r="59" spans="1:19" ht="18" customHeight="1" x14ac:dyDescent="0.2">
      <c r="A59" s="85"/>
      <c r="B59" s="95"/>
      <c r="C59" s="96"/>
      <c r="D59" s="96"/>
      <c r="E59" s="97"/>
      <c r="F59" s="24"/>
      <c r="G59" s="24"/>
      <c r="H59" s="24"/>
      <c r="I59" s="24"/>
      <c r="J59" s="95"/>
      <c r="K59" s="96"/>
      <c r="L59" s="96"/>
      <c r="M59" s="96"/>
      <c r="N59" s="96"/>
      <c r="O59" s="97"/>
      <c r="P59" s="24"/>
      <c r="Q59" s="24"/>
      <c r="R59" s="24"/>
      <c r="S59" s="24"/>
    </row>
    <row r="60" spans="1:19" ht="18" customHeight="1" x14ac:dyDescent="0.2">
      <c r="A60" s="85"/>
      <c r="B60" s="95"/>
      <c r="C60" s="96"/>
      <c r="D60" s="96"/>
      <c r="E60" s="97"/>
      <c r="F60" s="24"/>
      <c r="G60" s="24"/>
      <c r="H60" s="24"/>
      <c r="I60" s="24"/>
      <c r="J60" s="95"/>
      <c r="K60" s="96"/>
      <c r="L60" s="96"/>
      <c r="M60" s="96"/>
      <c r="N60" s="96"/>
      <c r="O60" s="97"/>
      <c r="P60" s="24"/>
      <c r="Q60" s="24"/>
      <c r="R60" s="24"/>
      <c r="S60" s="24"/>
    </row>
    <row r="61" spans="1:19" ht="18" customHeight="1" x14ac:dyDescent="0.2">
      <c r="A61" s="85"/>
      <c r="B61" s="95"/>
      <c r="C61" s="96"/>
      <c r="D61" s="96"/>
      <c r="E61" s="97"/>
      <c r="F61" s="24"/>
      <c r="G61" s="24"/>
      <c r="H61" s="24"/>
      <c r="I61" s="24"/>
      <c r="J61" s="95"/>
      <c r="K61" s="96"/>
      <c r="L61" s="96"/>
      <c r="M61" s="96"/>
      <c r="N61" s="96"/>
      <c r="O61" s="97"/>
      <c r="P61" s="24"/>
      <c r="Q61" s="24"/>
      <c r="R61" s="24"/>
      <c r="S61" s="24"/>
    </row>
    <row r="62" spans="1:19" ht="18" customHeight="1" x14ac:dyDescent="0.2">
      <c r="A62" s="85"/>
      <c r="B62" s="95"/>
      <c r="C62" s="96"/>
      <c r="D62" s="96"/>
      <c r="E62" s="97"/>
      <c r="F62" s="24"/>
      <c r="G62" s="24"/>
      <c r="H62" s="24"/>
      <c r="I62" s="24"/>
      <c r="J62" s="95"/>
      <c r="K62" s="96"/>
      <c r="L62" s="96"/>
      <c r="M62" s="96"/>
      <c r="N62" s="96"/>
      <c r="O62" s="97"/>
      <c r="P62" s="24"/>
      <c r="Q62" s="24"/>
      <c r="R62" s="24"/>
      <c r="S62" s="24"/>
    </row>
    <row r="63" spans="1:19" ht="18" customHeight="1" x14ac:dyDescent="0.2">
      <c r="A63" s="85"/>
      <c r="B63" s="95"/>
      <c r="C63" s="96"/>
      <c r="D63" s="96"/>
      <c r="E63" s="97"/>
      <c r="F63" s="24"/>
      <c r="G63" s="24"/>
      <c r="H63" s="24"/>
      <c r="I63" s="24"/>
      <c r="J63" s="95"/>
      <c r="K63" s="96"/>
      <c r="L63" s="96"/>
      <c r="M63" s="96"/>
      <c r="N63" s="96"/>
      <c r="O63" s="97"/>
      <c r="P63" s="24"/>
      <c r="Q63" s="24"/>
      <c r="R63" s="24"/>
      <c r="S63" s="24"/>
    </row>
    <row r="64" spans="1:19" ht="18" customHeight="1" x14ac:dyDescent="0.2">
      <c r="A64" s="85"/>
      <c r="B64" s="98"/>
      <c r="C64" s="99"/>
      <c r="D64" s="99"/>
      <c r="E64" s="100"/>
      <c r="F64" s="25"/>
      <c r="G64" s="25"/>
      <c r="H64" s="26"/>
      <c r="I64" s="26"/>
      <c r="J64" s="98"/>
      <c r="K64" s="99"/>
      <c r="L64" s="99"/>
      <c r="M64" s="99"/>
      <c r="N64" s="99"/>
      <c r="O64" s="100"/>
      <c r="P64" s="25"/>
      <c r="Q64" s="25"/>
      <c r="R64" s="26"/>
      <c r="S64" s="26"/>
    </row>
    <row r="65" spans="1:19" ht="7.5" customHeight="1" x14ac:dyDescent="0.2">
      <c r="B65" s="86"/>
      <c r="C65" s="86"/>
      <c r="D65" s="86"/>
      <c r="E65" s="86"/>
      <c r="F65" s="86"/>
      <c r="G65" s="86"/>
      <c r="H65" s="86"/>
      <c r="I65" s="86"/>
      <c r="J65" s="86"/>
      <c r="K65" s="86"/>
      <c r="L65" s="86"/>
      <c r="M65" s="86"/>
      <c r="N65" s="86"/>
      <c r="O65" s="86"/>
      <c r="P65" s="86"/>
      <c r="Q65" s="86"/>
      <c r="R65" s="86"/>
    </row>
    <row r="66" spans="1:19" ht="18" customHeight="1" x14ac:dyDescent="0.2">
      <c r="A66" s="104" t="s">
        <v>117</v>
      </c>
      <c r="B66" s="104"/>
      <c r="C66" s="104"/>
      <c r="D66" s="104"/>
      <c r="E66" s="104"/>
      <c r="F66" s="104"/>
      <c r="G66" s="104"/>
      <c r="H66" s="104"/>
      <c r="I66" s="104"/>
      <c r="J66" s="104"/>
      <c r="K66" s="104"/>
      <c r="L66" s="104"/>
      <c r="M66" s="104"/>
      <c r="N66" s="104"/>
      <c r="O66" s="104"/>
      <c r="P66" s="104"/>
      <c r="Q66" s="104"/>
      <c r="R66" s="104"/>
      <c r="S66" s="104"/>
    </row>
    <row r="67" spans="1:19" ht="18" customHeight="1" x14ac:dyDescent="0.2">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2">
      <c r="B68" s="101" t="s">
        <v>53</v>
      </c>
      <c r="C68" s="102"/>
      <c r="D68" s="102"/>
      <c r="E68" s="61" t="s">
        <v>80</v>
      </c>
      <c r="F68" s="60" t="s">
        <v>84</v>
      </c>
      <c r="G68" s="22" t="s">
        <v>101</v>
      </c>
      <c r="H68" s="22" t="s">
        <v>75</v>
      </c>
      <c r="I68" s="22" t="s">
        <v>76</v>
      </c>
      <c r="J68" s="101" t="s">
        <v>53</v>
      </c>
      <c r="K68" s="102"/>
      <c r="L68" s="102"/>
      <c r="M68" s="102"/>
      <c r="N68" s="103"/>
      <c r="O68" s="61" t="s">
        <v>80</v>
      </c>
      <c r="P68" s="60" t="s">
        <v>84</v>
      </c>
      <c r="Q68" s="22" t="s">
        <v>101</v>
      </c>
      <c r="R68" s="22" t="s">
        <v>75</v>
      </c>
      <c r="S68" s="22" t="s">
        <v>76</v>
      </c>
    </row>
    <row r="69" spans="1:19" ht="18" customHeight="1" x14ac:dyDescent="0.2">
      <c r="A69" s="85"/>
      <c r="B69" s="105" t="s">
        <v>133</v>
      </c>
      <c r="C69" s="106"/>
      <c r="D69" s="106"/>
      <c r="E69" s="23">
        <v>4</v>
      </c>
      <c r="F69" s="23" t="s">
        <v>129</v>
      </c>
      <c r="G69" s="23" t="s">
        <v>129</v>
      </c>
      <c r="H69" s="23" t="s">
        <v>129</v>
      </c>
      <c r="I69" s="23" t="s">
        <v>129</v>
      </c>
      <c r="J69" s="105"/>
      <c r="K69" s="106"/>
      <c r="L69" s="106"/>
      <c r="M69" s="106"/>
      <c r="N69" s="107"/>
      <c r="O69" s="23"/>
      <c r="P69" s="23"/>
      <c r="Q69" s="23"/>
      <c r="R69" s="23"/>
      <c r="S69" s="23"/>
    </row>
    <row r="70" spans="1:19" ht="18" customHeight="1" x14ac:dyDescent="0.2">
      <c r="A70" s="85"/>
      <c r="B70" s="95"/>
      <c r="C70" s="96"/>
      <c r="D70" s="96"/>
      <c r="E70" s="24"/>
      <c r="F70" s="24"/>
      <c r="G70" s="24"/>
      <c r="H70" s="24"/>
      <c r="I70" s="24"/>
      <c r="J70" s="95"/>
      <c r="K70" s="96"/>
      <c r="L70" s="96"/>
      <c r="M70" s="96"/>
      <c r="N70" s="97"/>
      <c r="O70" s="24"/>
      <c r="P70" s="24"/>
      <c r="Q70" s="24"/>
      <c r="R70" s="24"/>
      <c r="S70" s="24"/>
    </row>
    <row r="71" spans="1:19" ht="18" customHeight="1" x14ac:dyDescent="0.2">
      <c r="A71" s="85"/>
      <c r="B71" s="95"/>
      <c r="C71" s="96"/>
      <c r="D71" s="96"/>
      <c r="E71" s="24"/>
      <c r="F71" s="24"/>
      <c r="G71" s="24"/>
      <c r="H71" s="24"/>
      <c r="I71" s="24"/>
      <c r="J71" s="95"/>
      <c r="K71" s="96"/>
      <c r="L71" s="96"/>
      <c r="M71" s="96"/>
      <c r="N71" s="97"/>
      <c r="O71" s="24"/>
      <c r="P71" s="24"/>
      <c r="Q71" s="24"/>
      <c r="R71" s="24"/>
      <c r="S71" s="24"/>
    </row>
    <row r="72" spans="1:19" ht="18" customHeight="1" x14ac:dyDescent="0.2">
      <c r="A72" s="85"/>
      <c r="B72" s="95"/>
      <c r="C72" s="96"/>
      <c r="D72" s="96"/>
      <c r="E72" s="24"/>
      <c r="F72" s="24"/>
      <c r="G72" s="24"/>
      <c r="H72" s="24"/>
      <c r="I72" s="24"/>
      <c r="J72" s="95"/>
      <c r="K72" s="96"/>
      <c r="L72" s="96"/>
      <c r="M72" s="96"/>
      <c r="N72" s="97"/>
      <c r="O72" s="24"/>
      <c r="P72" s="24"/>
      <c r="Q72" s="24"/>
      <c r="R72" s="24"/>
      <c r="S72" s="24"/>
    </row>
    <row r="73" spans="1:19" ht="18" customHeight="1" x14ac:dyDescent="0.2">
      <c r="A73" s="85"/>
      <c r="B73" s="95"/>
      <c r="C73" s="96"/>
      <c r="D73" s="96"/>
      <c r="E73" s="24"/>
      <c r="F73" s="24"/>
      <c r="G73" s="24"/>
      <c r="H73" s="24"/>
      <c r="I73" s="24"/>
      <c r="J73" s="95"/>
      <c r="K73" s="96"/>
      <c r="L73" s="96"/>
      <c r="M73" s="96"/>
      <c r="N73" s="97"/>
      <c r="O73" s="24"/>
      <c r="P73" s="24"/>
      <c r="Q73" s="24"/>
      <c r="R73" s="24"/>
      <c r="S73" s="24"/>
    </row>
    <row r="74" spans="1:19" ht="18" customHeight="1" x14ac:dyDescent="0.2">
      <c r="A74" s="85"/>
      <c r="B74" s="95"/>
      <c r="C74" s="96"/>
      <c r="D74" s="96"/>
      <c r="E74" s="24"/>
      <c r="F74" s="24"/>
      <c r="G74" s="24"/>
      <c r="H74" s="24"/>
      <c r="I74" s="24"/>
      <c r="J74" s="95"/>
      <c r="K74" s="96"/>
      <c r="L74" s="96"/>
      <c r="M74" s="96"/>
      <c r="N74" s="97"/>
      <c r="O74" s="24"/>
      <c r="P74" s="24"/>
      <c r="Q74" s="24"/>
      <c r="R74" s="24"/>
      <c r="S74" s="24"/>
    </row>
    <row r="75" spans="1:19" ht="18" customHeight="1" x14ac:dyDescent="0.2">
      <c r="A75" s="85"/>
      <c r="B75" s="98"/>
      <c r="C75" s="99"/>
      <c r="D75" s="99"/>
      <c r="E75" s="25"/>
      <c r="F75" s="25"/>
      <c r="G75" s="26"/>
      <c r="H75" s="26"/>
      <c r="I75" s="26"/>
      <c r="J75" s="98"/>
      <c r="K75" s="99"/>
      <c r="L75" s="99"/>
      <c r="M75" s="99"/>
      <c r="N75" s="100"/>
      <c r="O75" s="25"/>
      <c r="P75" s="25"/>
      <c r="Q75" s="26"/>
      <c r="R75" s="26"/>
      <c r="S75" s="26"/>
    </row>
    <row r="76" spans="1:19" ht="7.5" customHeight="1" x14ac:dyDescent="0.2">
      <c r="B76" s="86"/>
      <c r="C76" s="86"/>
      <c r="D76" s="86"/>
      <c r="E76" s="86"/>
      <c r="F76" s="86"/>
      <c r="G76" s="86"/>
      <c r="H76" s="86"/>
      <c r="I76" s="86"/>
      <c r="J76" s="86"/>
      <c r="K76" s="86"/>
      <c r="L76" s="86"/>
      <c r="M76" s="86"/>
      <c r="N76" s="86"/>
      <c r="O76" s="86"/>
      <c r="P76" s="86"/>
      <c r="Q76" s="86"/>
      <c r="R76" s="86"/>
    </row>
    <row r="77" spans="1:19" ht="18" customHeight="1" x14ac:dyDescent="0.2">
      <c r="A77" s="84" t="s">
        <v>118</v>
      </c>
      <c r="H77" s="85"/>
      <c r="I77" s="85"/>
      <c r="J77" s="85"/>
      <c r="K77" s="85"/>
      <c r="L77" s="85"/>
      <c r="M77" s="85"/>
      <c r="N77" s="85"/>
      <c r="O77" s="85"/>
      <c r="P77" s="85"/>
      <c r="Q77" s="85"/>
      <c r="R77" s="85"/>
      <c r="S77" s="85"/>
    </row>
    <row r="78" spans="1:19" ht="18" customHeight="1" x14ac:dyDescent="0.2">
      <c r="B78" s="101" t="s">
        <v>53</v>
      </c>
      <c r="C78" s="102"/>
      <c r="D78" s="102"/>
      <c r="E78" s="103"/>
      <c r="F78" s="101" t="s">
        <v>82</v>
      </c>
      <c r="G78" s="102"/>
      <c r="H78" s="102"/>
      <c r="I78" s="103"/>
      <c r="J78" s="147" t="s">
        <v>53</v>
      </c>
      <c r="K78" s="148"/>
      <c r="L78" s="148"/>
      <c r="M78" s="148"/>
      <c r="N78" s="148"/>
      <c r="O78" s="149"/>
      <c r="P78" s="101" t="s">
        <v>82</v>
      </c>
      <c r="Q78" s="102"/>
      <c r="R78" s="102"/>
      <c r="S78" s="103"/>
    </row>
    <row r="79" spans="1:19" ht="18" customHeight="1" x14ac:dyDescent="0.2">
      <c r="A79" s="85"/>
      <c r="B79" s="105"/>
      <c r="C79" s="106"/>
      <c r="D79" s="106"/>
      <c r="E79" s="107"/>
      <c r="F79" s="161"/>
      <c r="G79" s="162"/>
      <c r="H79" s="162"/>
      <c r="I79" s="163"/>
      <c r="J79" s="105"/>
      <c r="K79" s="106"/>
      <c r="L79" s="106"/>
      <c r="M79" s="106"/>
      <c r="N79" s="106"/>
      <c r="O79" s="107"/>
      <c r="P79" s="161"/>
      <c r="Q79" s="162"/>
      <c r="R79" s="162"/>
      <c r="S79" s="163"/>
    </row>
    <row r="80" spans="1:19" ht="18" customHeight="1" x14ac:dyDescent="0.2">
      <c r="A80" s="85"/>
      <c r="B80" s="95"/>
      <c r="C80" s="96"/>
      <c r="D80" s="96"/>
      <c r="E80" s="97"/>
      <c r="F80" s="134"/>
      <c r="G80" s="135"/>
      <c r="H80" s="135"/>
      <c r="I80" s="136"/>
      <c r="J80" s="95"/>
      <c r="K80" s="96"/>
      <c r="L80" s="96"/>
      <c r="M80" s="96"/>
      <c r="N80" s="96"/>
      <c r="O80" s="97"/>
      <c r="P80" s="134"/>
      <c r="Q80" s="135"/>
      <c r="R80" s="135"/>
      <c r="S80" s="136"/>
    </row>
    <row r="81" spans="1:19" ht="18" customHeight="1" x14ac:dyDescent="0.2">
      <c r="A81" s="85"/>
      <c r="B81" s="95"/>
      <c r="C81" s="96"/>
      <c r="D81" s="96"/>
      <c r="E81" s="97"/>
      <c r="F81" s="134"/>
      <c r="G81" s="135"/>
      <c r="H81" s="135"/>
      <c r="I81" s="136"/>
      <c r="J81" s="95"/>
      <c r="K81" s="96"/>
      <c r="L81" s="96"/>
      <c r="M81" s="96"/>
      <c r="N81" s="96"/>
      <c r="O81" s="97"/>
      <c r="P81" s="134"/>
      <c r="Q81" s="135"/>
      <c r="R81" s="135"/>
      <c r="S81" s="136"/>
    </row>
    <row r="82" spans="1:19" ht="18" customHeight="1" x14ac:dyDescent="0.2">
      <c r="A82" s="85"/>
      <c r="B82" s="95"/>
      <c r="C82" s="96"/>
      <c r="D82" s="96"/>
      <c r="E82" s="97"/>
      <c r="F82" s="134"/>
      <c r="G82" s="135"/>
      <c r="H82" s="135"/>
      <c r="I82" s="136"/>
      <c r="J82" s="95"/>
      <c r="K82" s="96"/>
      <c r="L82" s="96"/>
      <c r="M82" s="96"/>
      <c r="N82" s="96"/>
      <c r="O82" s="97"/>
      <c r="P82" s="134"/>
      <c r="Q82" s="135"/>
      <c r="R82" s="135"/>
      <c r="S82" s="136"/>
    </row>
    <row r="83" spans="1:19" ht="18" customHeight="1" x14ac:dyDescent="0.2">
      <c r="A83" s="85"/>
      <c r="B83" s="95"/>
      <c r="C83" s="96"/>
      <c r="D83" s="96"/>
      <c r="E83" s="97"/>
      <c r="F83" s="134"/>
      <c r="G83" s="135"/>
      <c r="H83" s="135"/>
      <c r="I83" s="136"/>
      <c r="J83" s="95"/>
      <c r="K83" s="96"/>
      <c r="L83" s="96"/>
      <c r="M83" s="96"/>
      <c r="N83" s="96"/>
      <c r="O83" s="97"/>
      <c r="P83" s="134"/>
      <c r="Q83" s="135"/>
      <c r="R83" s="135"/>
      <c r="S83" s="136"/>
    </row>
    <row r="84" spans="1:19" ht="18" customHeight="1" x14ac:dyDescent="0.2">
      <c r="A84" s="85"/>
      <c r="B84" s="95"/>
      <c r="C84" s="96"/>
      <c r="D84" s="96"/>
      <c r="E84" s="97"/>
      <c r="F84" s="134"/>
      <c r="G84" s="135"/>
      <c r="H84" s="135"/>
      <c r="I84" s="136"/>
      <c r="J84" s="95"/>
      <c r="K84" s="96"/>
      <c r="L84" s="96"/>
      <c r="M84" s="96"/>
      <c r="N84" s="96"/>
      <c r="O84" s="97"/>
      <c r="P84" s="134"/>
      <c r="Q84" s="135"/>
      <c r="R84" s="135"/>
      <c r="S84" s="136"/>
    </row>
    <row r="85" spans="1:19" ht="18" customHeight="1" x14ac:dyDescent="0.2">
      <c r="A85" s="85"/>
      <c r="B85" s="98"/>
      <c r="C85" s="99"/>
      <c r="D85" s="99"/>
      <c r="E85" s="100"/>
      <c r="F85" s="131"/>
      <c r="G85" s="132"/>
      <c r="H85" s="132"/>
      <c r="I85" s="133"/>
      <c r="J85" s="98"/>
      <c r="K85" s="99"/>
      <c r="L85" s="99"/>
      <c r="M85" s="99"/>
      <c r="N85" s="99"/>
      <c r="O85" s="100"/>
      <c r="P85" s="131"/>
      <c r="Q85" s="132"/>
      <c r="R85" s="132"/>
      <c r="S85" s="133"/>
    </row>
    <row r="86" spans="1:19" ht="18" customHeight="1" x14ac:dyDescent="0.2">
      <c r="A86" s="85"/>
      <c r="B86" s="6"/>
      <c r="C86" s="6"/>
      <c r="D86" s="6"/>
      <c r="E86" s="6"/>
      <c r="F86" s="27"/>
      <c r="G86" s="27"/>
      <c r="H86" s="27"/>
      <c r="I86" s="27"/>
      <c r="J86" s="6"/>
      <c r="K86" s="6"/>
      <c r="L86" s="6"/>
      <c r="M86" s="6"/>
      <c r="N86" s="6"/>
      <c r="O86" s="6"/>
      <c r="P86" s="27"/>
      <c r="Q86" s="27"/>
      <c r="R86" s="27"/>
      <c r="S86" s="27"/>
    </row>
    <row r="87" spans="1:19" ht="18.75" customHeight="1" x14ac:dyDescent="0.2">
      <c r="A87" s="84" t="s">
        <v>119</v>
      </c>
    </row>
    <row r="88" spans="1:19" ht="18.75" customHeight="1" x14ac:dyDescent="0.2">
      <c r="B88" s="159" t="s">
        <v>54</v>
      </c>
      <c r="C88" s="160"/>
      <c r="D88" s="102" t="s">
        <v>55</v>
      </c>
      <c r="E88" s="102"/>
      <c r="F88" s="102"/>
      <c r="G88" s="102"/>
      <c r="H88" s="102"/>
      <c r="I88" s="102"/>
      <c r="J88" s="102"/>
      <c r="K88" s="102"/>
      <c r="L88" s="102"/>
      <c r="M88" s="102"/>
      <c r="N88" s="102"/>
      <c r="O88" s="102"/>
      <c r="P88" s="102"/>
      <c r="Q88" s="102"/>
      <c r="R88" s="102"/>
      <c r="S88" s="103"/>
    </row>
    <row r="89" spans="1:19" ht="97.5" customHeight="1" x14ac:dyDescent="0.2">
      <c r="B89" s="150" t="s">
        <v>61</v>
      </c>
      <c r="C89" s="28" t="s">
        <v>56</v>
      </c>
      <c r="D89" s="164" t="s">
        <v>208</v>
      </c>
      <c r="E89" s="165"/>
      <c r="F89" s="165"/>
      <c r="G89" s="165"/>
      <c r="H89" s="165"/>
      <c r="I89" s="165"/>
      <c r="J89" s="165"/>
      <c r="K89" s="165"/>
      <c r="L89" s="165"/>
      <c r="M89" s="165"/>
      <c r="N89" s="165"/>
      <c r="O89" s="165"/>
      <c r="P89" s="165"/>
      <c r="Q89" s="165"/>
      <c r="R89" s="165"/>
      <c r="S89" s="166"/>
    </row>
    <row r="90" spans="1:19" ht="97.5" customHeight="1" x14ac:dyDescent="0.2">
      <c r="B90" s="152"/>
      <c r="C90" s="29" t="s">
        <v>77</v>
      </c>
      <c r="D90" s="167" t="s">
        <v>209</v>
      </c>
      <c r="E90" s="167"/>
      <c r="F90" s="167"/>
      <c r="G90" s="167"/>
      <c r="H90" s="167"/>
      <c r="I90" s="167"/>
      <c r="J90" s="167"/>
      <c r="K90" s="167"/>
      <c r="L90" s="167"/>
      <c r="M90" s="167"/>
      <c r="N90" s="167"/>
      <c r="O90" s="167"/>
      <c r="P90" s="167"/>
      <c r="Q90" s="167"/>
      <c r="R90" s="167"/>
      <c r="S90" s="168"/>
    </row>
    <row r="91" spans="1:19" ht="97.5" customHeight="1" x14ac:dyDescent="0.2">
      <c r="B91" s="150" t="s">
        <v>62</v>
      </c>
      <c r="C91" s="30" t="s">
        <v>71</v>
      </c>
      <c r="D91" s="141" t="s">
        <v>210</v>
      </c>
      <c r="E91" s="141"/>
      <c r="F91" s="141"/>
      <c r="G91" s="141"/>
      <c r="H91" s="141"/>
      <c r="I91" s="141"/>
      <c r="J91" s="141"/>
      <c r="K91" s="141"/>
      <c r="L91" s="141"/>
      <c r="M91" s="141"/>
      <c r="N91" s="141"/>
      <c r="O91" s="141"/>
      <c r="P91" s="141"/>
      <c r="Q91" s="141"/>
      <c r="R91" s="141"/>
      <c r="S91" s="142"/>
    </row>
    <row r="92" spans="1:19" ht="97.5" customHeight="1" x14ac:dyDescent="0.2">
      <c r="B92" s="151"/>
      <c r="C92" s="31" t="s">
        <v>72</v>
      </c>
      <c r="D92" s="138" t="s">
        <v>211</v>
      </c>
      <c r="E92" s="138"/>
      <c r="F92" s="138"/>
      <c r="G92" s="138"/>
      <c r="H92" s="138"/>
      <c r="I92" s="138"/>
      <c r="J92" s="138"/>
      <c r="K92" s="138"/>
      <c r="L92" s="138"/>
      <c r="M92" s="138"/>
      <c r="N92" s="138"/>
      <c r="O92" s="138"/>
      <c r="P92" s="138"/>
      <c r="Q92" s="138"/>
      <c r="R92" s="138"/>
      <c r="S92" s="139"/>
    </row>
    <row r="93" spans="1:19" ht="97.5" customHeight="1" x14ac:dyDescent="0.2">
      <c r="B93" s="150" t="s">
        <v>63</v>
      </c>
      <c r="C93" s="30" t="s">
        <v>73</v>
      </c>
      <c r="D93" s="173" t="s">
        <v>219</v>
      </c>
      <c r="E93" s="173"/>
      <c r="F93" s="173"/>
      <c r="G93" s="173"/>
      <c r="H93" s="173"/>
      <c r="I93" s="173"/>
      <c r="J93" s="173"/>
      <c r="K93" s="173"/>
      <c r="L93" s="173"/>
      <c r="M93" s="173"/>
      <c r="N93" s="173"/>
      <c r="O93" s="173"/>
      <c r="P93" s="173"/>
      <c r="Q93" s="173"/>
      <c r="R93" s="173"/>
      <c r="S93" s="174"/>
    </row>
    <row r="94" spans="1:19" ht="97.5" customHeight="1" x14ac:dyDescent="0.2">
      <c r="B94" s="151"/>
      <c r="C94" s="32" t="s">
        <v>74</v>
      </c>
      <c r="D94" s="175" t="s">
        <v>212</v>
      </c>
      <c r="E94" s="175"/>
      <c r="F94" s="175"/>
      <c r="G94" s="175"/>
      <c r="H94" s="175"/>
      <c r="I94" s="175"/>
      <c r="J94" s="175"/>
      <c r="K94" s="175"/>
      <c r="L94" s="175"/>
      <c r="M94" s="175"/>
      <c r="N94" s="175"/>
      <c r="O94" s="175"/>
      <c r="P94" s="175"/>
      <c r="Q94" s="175"/>
      <c r="R94" s="175"/>
      <c r="S94" s="176"/>
    </row>
    <row r="95" spans="1:19" ht="97.5" customHeight="1" x14ac:dyDescent="0.2">
      <c r="B95" s="150" t="s">
        <v>78</v>
      </c>
      <c r="C95" s="28" t="s">
        <v>58</v>
      </c>
      <c r="D95" s="164" t="s">
        <v>213</v>
      </c>
      <c r="E95" s="165"/>
      <c r="F95" s="165"/>
      <c r="G95" s="165"/>
      <c r="H95" s="165"/>
      <c r="I95" s="165"/>
      <c r="J95" s="165"/>
      <c r="K95" s="165"/>
      <c r="L95" s="165"/>
      <c r="M95" s="165"/>
      <c r="N95" s="165"/>
      <c r="O95" s="165"/>
      <c r="P95" s="165"/>
      <c r="Q95" s="165"/>
      <c r="R95" s="165"/>
      <c r="S95" s="166"/>
    </row>
    <row r="96" spans="1:19" ht="97.5" customHeight="1" x14ac:dyDescent="0.2">
      <c r="B96" s="151"/>
      <c r="C96" s="31" t="s">
        <v>60</v>
      </c>
      <c r="D96" s="138" t="s">
        <v>207</v>
      </c>
      <c r="E96" s="138"/>
      <c r="F96" s="138"/>
      <c r="G96" s="138"/>
      <c r="H96" s="138"/>
      <c r="I96" s="138"/>
      <c r="J96" s="138"/>
      <c r="K96" s="138"/>
      <c r="L96" s="138"/>
      <c r="M96" s="138"/>
      <c r="N96" s="138"/>
      <c r="O96" s="138"/>
      <c r="P96" s="138"/>
      <c r="Q96" s="138"/>
      <c r="R96" s="138"/>
      <c r="S96" s="139"/>
    </row>
    <row r="97" spans="1:19" ht="97.5" customHeight="1" x14ac:dyDescent="0.2">
      <c r="B97" s="150" t="s">
        <v>79</v>
      </c>
      <c r="C97" s="30" t="s">
        <v>57</v>
      </c>
      <c r="D97" s="169" t="s">
        <v>214</v>
      </c>
      <c r="E97" s="154"/>
      <c r="F97" s="154"/>
      <c r="G97" s="154"/>
      <c r="H97" s="154"/>
      <c r="I97" s="154"/>
      <c r="J97" s="154"/>
      <c r="K97" s="154"/>
      <c r="L97" s="154"/>
      <c r="M97" s="154"/>
      <c r="N97" s="154"/>
      <c r="O97" s="154"/>
      <c r="P97" s="154"/>
      <c r="Q97" s="154"/>
      <c r="R97" s="154"/>
      <c r="S97" s="155"/>
    </row>
    <row r="98" spans="1:19" ht="97.5" customHeight="1" x14ac:dyDescent="0.2">
      <c r="B98" s="152"/>
      <c r="C98" s="33" t="s">
        <v>75</v>
      </c>
      <c r="D98" s="144" t="s">
        <v>215</v>
      </c>
      <c r="E98" s="145"/>
      <c r="F98" s="145"/>
      <c r="G98" s="145"/>
      <c r="H98" s="145"/>
      <c r="I98" s="145"/>
      <c r="J98" s="145"/>
      <c r="K98" s="145"/>
      <c r="L98" s="145"/>
      <c r="M98" s="145"/>
      <c r="N98" s="145"/>
      <c r="O98" s="145"/>
      <c r="P98" s="145"/>
      <c r="Q98" s="145"/>
      <c r="R98" s="145"/>
      <c r="S98" s="146"/>
    </row>
    <row r="99" spans="1:19" ht="97.5" customHeight="1" x14ac:dyDescent="0.2">
      <c r="B99" s="151"/>
      <c r="C99" s="32" t="s">
        <v>76</v>
      </c>
      <c r="D99" s="170" t="s">
        <v>216</v>
      </c>
      <c r="E99" s="171"/>
      <c r="F99" s="171"/>
      <c r="G99" s="171"/>
      <c r="H99" s="171"/>
      <c r="I99" s="171"/>
      <c r="J99" s="171"/>
      <c r="K99" s="171"/>
      <c r="L99" s="171"/>
      <c r="M99" s="171"/>
      <c r="N99" s="171"/>
      <c r="O99" s="171"/>
      <c r="P99" s="171"/>
      <c r="Q99" s="171"/>
      <c r="R99" s="171"/>
      <c r="S99" s="172"/>
    </row>
    <row r="100" spans="1:19" ht="6" customHeight="1" x14ac:dyDescent="0.2"/>
    <row r="101" spans="1:19" ht="18.75" customHeight="1" x14ac:dyDescent="0.2">
      <c r="A101" s="84" t="s">
        <v>120</v>
      </c>
    </row>
    <row r="102" spans="1:19" ht="81.75" customHeight="1" x14ac:dyDescent="0.2">
      <c r="B102" s="128" t="s">
        <v>130</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2"/>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P69:S75 Q36:S42 G36:I42 Q47:S53 G47:I53 Q58:S64 G58:I64 F69:I75">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6" zoomScaleNormal="100" zoomScaleSheetLayoutView="100" workbookViewId="0">
      <selection activeCell="D97" sqref="D97:S97"/>
    </sheetView>
  </sheetViews>
  <sheetFormatPr defaultColWidth="9" defaultRowHeight="18.75" customHeight="1" x14ac:dyDescent="0.2"/>
  <cols>
    <col min="1" max="1" width="2.44140625" style="84" customWidth="1"/>
    <col min="2" max="2" width="16.44140625" style="84" customWidth="1"/>
    <col min="3" max="19" width="5.6640625" style="84" customWidth="1"/>
    <col min="20" max="20" width="9" style="84"/>
    <col min="21" max="21" width="3.6640625" style="84" customWidth="1"/>
    <col min="22" max="22" width="48.6640625" style="84" hidden="1" customWidth="1"/>
    <col min="23" max="16384" width="9" style="84"/>
  </cols>
  <sheetData>
    <row r="1" spans="1:22" ht="18.600000000000001" customHeight="1" x14ac:dyDescent="0.2">
      <c r="R1" s="108" t="s">
        <v>176</v>
      </c>
      <c r="S1" s="108"/>
      <c r="T1" s="2" t="s">
        <v>109</v>
      </c>
    </row>
    <row r="2" spans="1:22" ht="18.75" customHeight="1" x14ac:dyDescent="0.2">
      <c r="B2" s="83" t="s">
        <v>108</v>
      </c>
      <c r="C2" s="101" t="s">
        <v>126</v>
      </c>
      <c r="D2" s="102"/>
      <c r="E2" s="102"/>
      <c r="F2" s="102"/>
      <c r="G2" s="102"/>
      <c r="H2" s="102"/>
      <c r="I2" s="103"/>
      <c r="J2" s="82"/>
      <c r="K2" s="6"/>
      <c r="L2" s="6"/>
      <c r="M2" s="6"/>
      <c r="N2" s="6"/>
      <c r="O2" s="6"/>
      <c r="P2" s="6"/>
      <c r="Q2" s="6"/>
      <c r="R2" s="6"/>
      <c r="S2" s="6"/>
    </row>
    <row r="3" spans="1:22" ht="18.75" customHeight="1" x14ac:dyDescent="0.2">
      <c r="B3" s="83" t="s">
        <v>102</v>
      </c>
      <c r="C3" s="112" t="s">
        <v>127</v>
      </c>
      <c r="D3" s="113"/>
      <c r="E3" s="113"/>
      <c r="F3" s="113"/>
      <c r="G3" s="113"/>
      <c r="H3" s="113"/>
      <c r="I3" s="114"/>
      <c r="J3" s="82"/>
      <c r="K3" s="6"/>
      <c r="L3" s="6"/>
      <c r="M3" s="6"/>
      <c r="N3" s="6"/>
      <c r="O3" s="6"/>
      <c r="P3" s="6"/>
      <c r="Q3" s="6"/>
      <c r="R3" s="6"/>
      <c r="S3" s="6"/>
    </row>
    <row r="4" spans="1:22" ht="15" customHeight="1" x14ac:dyDescent="0.2">
      <c r="K4" s="82"/>
      <c r="L4" s="37"/>
      <c r="M4" s="37"/>
      <c r="N4" s="37"/>
      <c r="O4" s="37"/>
      <c r="P4" s="37"/>
      <c r="Q4" s="37"/>
      <c r="R4" s="37"/>
      <c r="S4" s="37"/>
    </row>
    <row r="5" spans="1:22" ht="18" customHeight="1" x14ac:dyDescent="0.2">
      <c r="A5" s="115" t="s">
        <v>38</v>
      </c>
      <c r="B5" s="115"/>
      <c r="C5" s="115"/>
      <c r="D5" s="115"/>
      <c r="E5" s="115"/>
      <c r="F5" s="115"/>
      <c r="G5" s="115"/>
      <c r="H5" s="115"/>
      <c r="I5" s="115"/>
      <c r="J5" s="115"/>
      <c r="K5" s="115"/>
      <c r="L5" s="115"/>
      <c r="M5" s="115"/>
      <c r="N5" s="115"/>
      <c r="O5" s="115"/>
      <c r="P5" s="115"/>
      <c r="Q5" s="115"/>
      <c r="R5" s="115"/>
      <c r="S5" s="115"/>
    </row>
    <row r="6" spans="1:22" ht="15" customHeight="1" x14ac:dyDescent="0.2">
      <c r="B6" s="85"/>
      <c r="C6" s="85"/>
      <c r="D6" s="85"/>
      <c r="E6" s="85"/>
      <c r="F6" s="85"/>
      <c r="G6" s="85"/>
      <c r="H6" s="85"/>
      <c r="I6" s="85"/>
      <c r="J6" s="85"/>
      <c r="K6" s="85"/>
      <c r="L6" s="85"/>
      <c r="M6" s="85"/>
      <c r="N6" s="85"/>
      <c r="O6" s="85"/>
      <c r="P6" s="85"/>
      <c r="Q6" s="85"/>
      <c r="R6" s="85"/>
      <c r="S6" s="85"/>
    </row>
    <row r="7" spans="1:22" ht="18" customHeight="1" x14ac:dyDescent="0.2">
      <c r="A7" s="84" t="s">
        <v>124</v>
      </c>
      <c r="C7" s="85"/>
      <c r="J7" s="38" t="s">
        <v>107</v>
      </c>
      <c r="K7" s="125" t="s">
        <v>128</v>
      </c>
      <c r="L7" s="126"/>
      <c r="M7" s="126"/>
      <c r="N7" s="126"/>
      <c r="O7" s="126"/>
      <c r="P7" s="126"/>
      <c r="Q7" s="126"/>
      <c r="R7" s="126"/>
      <c r="S7" s="127"/>
    </row>
    <row r="8" spans="1:22" ht="6" customHeight="1" x14ac:dyDescent="0.2">
      <c r="B8" s="85"/>
      <c r="C8" s="85"/>
      <c r="D8" s="85"/>
      <c r="E8" s="85"/>
      <c r="F8" s="85"/>
      <c r="G8" s="85"/>
      <c r="H8" s="85"/>
      <c r="I8" s="85"/>
      <c r="J8" s="85"/>
      <c r="K8" s="10"/>
      <c r="L8" s="85"/>
      <c r="M8" s="85"/>
      <c r="N8" s="85"/>
      <c r="O8" s="85"/>
      <c r="P8" s="85"/>
      <c r="Q8" s="85"/>
      <c r="R8" s="85"/>
      <c r="S8" s="85"/>
    </row>
    <row r="9" spans="1:22" ht="18" customHeight="1" x14ac:dyDescent="0.2">
      <c r="B9" s="89" t="s">
        <v>185</v>
      </c>
      <c r="C9" s="90"/>
      <c r="D9" s="90"/>
      <c r="E9" s="90"/>
      <c r="F9" s="90"/>
      <c r="G9" s="90"/>
      <c r="H9" s="90"/>
      <c r="I9" s="90"/>
      <c r="J9" s="90"/>
      <c r="K9" s="90"/>
      <c r="L9" s="90"/>
      <c r="M9" s="90"/>
      <c r="N9" s="90"/>
      <c r="O9" s="90"/>
      <c r="P9" s="90"/>
      <c r="Q9" s="90"/>
      <c r="R9" s="90"/>
      <c r="S9" s="91"/>
    </row>
    <row r="10" spans="1:22" ht="18" customHeight="1" x14ac:dyDescent="0.2">
      <c r="B10" s="92"/>
      <c r="C10" s="93"/>
      <c r="D10" s="93"/>
      <c r="E10" s="93"/>
      <c r="F10" s="93"/>
      <c r="G10" s="93"/>
      <c r="H10" s="93"/>
      <c r="I10" s="93"/>
      <c r="J10" s="93"/>
      <c r="K10" s="93"/>
      <c r="L10" s="93"/>
      <c r="M10" s="93"/>
      <c r="N10" s="93"/>
      <c r="O10" s="93"/>
      <c r="P10" s="93"/>
      <c r="Q10" s="93"/>
      <c r="R10" s="93"/>
      <c r="S10" s="94"/>
    </row>
    <row r="11" spans="1:22" ht="6" customHeight="1" x14ac:dyDescent="0.2">
      <c r="B11" s="85"/>
      <c r="C11" s="85"/>
      <c r="D11" s="85"/>
      <c r="E11" s="85"/>
      <c r="F11" s="85"/>
      <c r="G11" s="85"/>
      <c r="H11" s="85"/>
      <c r="I11" s="85"/>
      <c r="J11" s="85"/>
      <c r="K11" s="10"/>
      <c r="L11" s="85"/>
      <c r="M11" s="85"/>
      <c r="N11" s="85"/>
      <c r="O11" s="85"/>
      <c r="P11" s="85"/>
      <c r="Q11" s="85"/>
      <c r="R11" s="85"/>
      <c r="S11" s="85"/>
    </row>
    <row r="12" spans="1:22" ht="18" customHeight="1" x14ac:dyDescent="0.2">
      <c r="A12" s="84" t="s">
        <v>111</v>
      </c>
      <c r="B12" s="85"/>
      <c r="C12" s="85"/>
      <c r="D12" s="82"/>
      <c r="E12" s="82"/>
      <c r="F12" s="82"/>
      <c r="G12" s="82"/>
      <c r="H12" s="82"/>
      <c r="I12" s="82"/>
      <c r="J12" s="82"/>
      <c r="K12" s="39"/>
      <c r="L12" s="39"/>
      <c r="M12" s="39"/>
      <c r="N12" s="39"/>
      <c r="O12" s="39"/>
      <c r="P12" s="39"/>
      <c r="Q12" s="39"/>
      <c r="R12" s="39"/>
      <c r="S12" s="39"/>
    </row>
    <row r="13" spans="1:22" ht="18" customHeight="1" x14ac:dyDescent="0.2">
      <c r="B13" s="116" t="s">
        <v>186</v>
      </c>
      <c r="C13" s="117"/>
      <c r="D13" s="117"/>
      <c r="E13" s="117"/>
      <c r="F13" s="117"/>
      <c r="G13" s="117"/>
      <c r="H13" s="117"/>
      <c r="I13" s="117"/>
      <c r="J13" s="117"/>
      <c r="K13" s="117"/>
      <c r="L13" s="117"/>
      <c r="M13" s="117"/>
      <c r="N13" s="117"/>
      <c r="O13" s="117"/>
      <c r="P13" s="117"/>
      <c r="Q13" s="117"/>
      <c r="R13" s="117"/>
      <c r="S13" s="118"/>
      <c r="V13" s="84" t="s">
        <v>103</v>
      </c>
    </row>
    <row r="14" spans="1:22" ht="18" customHeight="1" x14ac:dyDescent="0.2">
      <c r="B14" s="119"/>
      <c r="C14" s="120"/>
      <c r="D14" s="120"/>
      <c r="E14" s="120"/>
      <c r="F14" s="120"/>
      <c r="G14" s="120"/>
      <c r="H14" s="120"/>
      <c r="I14" s="120"/>
      <c r="J14" s="120"/>
      <c r="K14" s="120"/>
      <c r="L14" s="120"/>
      <c r="M14" s="120"/>
      <c r="N14" s="120"/>
      <c r="O14" s="120"/>
      <c r="P14" s="120"/>
      <c r="Q14" s="120"/>
      <c r="R14" s="120"/>
      <c r="S14" s="121"/>
      <c r="V14" s="84" t="s">
        <v>110</v>
      </c>
    </row>
    <row r="15" spans="1:22" ht="18" customHeight="1" x14ac:dyDescent="0.2">
      <c r="B15" s="119"/>
      <c r="C15" s="120"/>
      <c r="D15" s="120"/>
      <c r="E15" s="120"/>
      <c r="F15" s="120"/>
      <c r="G15" s="120"/>
      <c r="H15" s="120"/>
      <c r="I15" s="120"/>
      <c r="J15" s="120"/>
      <c r="K15" s="120"/>
      <c r="L15" s="120"/>
      <c r="M15" s="120"/>
      <c r="N15" s="120"/>
      <c r="O15" s="120"/>
      <c r="P15" s="120"/>
      <c r="Q15" s="120"/>
      <c r="R15" s="120"/>
      <c r="S15" s="121"/>
      <c r="V15" s="84" t="s">
        <v>123</v>
      </c>
    </row>
    <row r="16" spans="1:22" ht="18" customHeight="1" x14ac:dyDescent="0.2">
      <c r="B16" s="119"/>
      <c r="C16" s="120"/>
      <c r="D16" s="120"/>
      <c r="E16" s="120"/>
      <c r="F16" s="120"/>
      <c r="G16" s="120"/>
      <c r="H16" s="120"/>
      <c r="I16" s="120"/>
      <c r="J16" s="120"/>
      <c r="K16" s="120"/>
      <c r="L16" s="120"/>
      <c r="M16" s="120"/>
      <c r="N16" s="120"/>
      <c r="O16" s="120"/>
      <c r="P16" s="120"/>
      <c r="Q16" s="120"/>
      <c r="R16" s="120"/>
      <c r="S16" s="121"/>
      <c r="V16" s="84" t="s">
        <v>125</v>
      </c>
    </row>
    <row r="17" spans="1:19" ht="18" customHeight="1" x14ac:dyDescent="0.2">
      <c r="B17" s="119"/>
      <c r="C17" s="120"/>
      <c r="D17" s="120"/>
      <c r="E17" s="120"/>
      <c r="F17" s="120"/>
      <c r="G17" s="120"/>
      <c r="H17" s="120"/>
      <c r="I17" s="120"/>
      <c r="J17" s="120"/>
      <c r="K17" s="120"/>
      <c r="L17" s="120"/>
      <c r="M17" s="120"/>
      <c r="N17" s="120"/>
      <c r="O17" s="120"/>
      <c r="P17" s="120"/>
      <c r="Q17" s="120"/>
      <c r="R17" s="120"/>
      <c r="S17" s="121"/>
    </row>
    <row r="18" spans="1:19" ht="18" customHeight="1" x14ac:dyDescent="0.2">
      <c r="B18" s="122"/>
      <c r="C18" s="123"/>
      <c r="D18" s="123"/>
      <c r="E18" s="123"/>
      <c r="F18" s="123"/>
      <c r="G18" s="123"/>
      <c r="H18" s="123"/>
      <c r="I18" s="123"/>
      <c r="J18" s="123"/>
      <c r="K18" s="123"/>
      <c r="L18" s="123"/>
      <c r="M18" s="123"/>
      <c r="N18" s="123"/>
      <c r="O18" s="123"/>
      <c r="P18" s="123"/>
      <c r="Q18" s="123"/>
      <c r="R18" s="123"/>
      <c r="S18" s="124"/>
    </row>
    <row r="19" spans="1:19" ht="7.5" customHeight="1" x14ac:dyDescent="0.2">
      <c r="B19" s="85"/>
      <c r="C19" s="85"/>
      <c r="D19" s="85"/>
      <c r="E19" s="85"/>
      <c r="F19" s="85"/>
      <c r="G19" s="85"/>
      <c r="H19" s="85"/>
      <c r="I19" s="85"/>
      <c r="J19" s="85"/>
      <c r="K19" s="85"/>
      <c r="L19" s="85"/>
      <c r="M19" s="85"/>
      <c r="N19" s="85"/>
      <c r="O19" s="85"/>
      <c r="P19" s="85"/>
      <c r="Q19" s="85"/>
      <c r="R19" s="85"/>
      <c r="S19" s="85"/>
    </row>
    <row r="20" spans="1:19" ht="19.95" customHeight="1" x14ac:dyDescent="0.2">
      <c r="B20" s="84" t="s">
        <v>112</v>
      </c>
      <c r="C20" s="101">
        <v>1</v>
      </c>
      <c r="D20" s="103"/>
      <c r="E20" s="40" t="s">
        <v>95</v>
      </c>
      <c r="G20" s="10"/>
      <c r="H20" s="85"/>
      <c r="I20" s="85"/>
      <c r="J20" s="82" t="s">
        <v>121</v>
      </c>
      <c r="K20" s="109" t="s">
        <v>125</v>
      </c>
      <c r="L20" s="110"/>
      <c r="M20" s="110"/>
      <c r="N20" s="110"/>
      <c r="O20" s="110"/>
      <c r="P20" s="110"/>
      <c r="Q20" s="110"/>
      <c r="R20" s="110"/>
      <c r="S20" s="111"/>
    </row>
    <row r="21" spans="1:19" ht="7.5" customHeight="1" x14ac:dyDescent="0.2">
      <c r="B21" s="85"/>
      <c r="C21" s="85"/>
      <c r="D21" s="85"/>
      <c r="E21" s="85"/>
      <c r="F21" s="85"/>
      <c r="G21" s="85"/>
      <c r="H21" s="85"/>
      <c r="I21" s="85"/>
      <c r="J21" s="85"/>
      <c r="K21" s="85"/>
      <c r="L21" s="85"/>
      <c r="M21" s="85"/>
      <c r="N21" s="85"/>
      <c r="O21" s="85"/>
      <c r="P21" s="85"/>
      <c r="Q21" s="85"/>
      <c r="R21" s="85"/>
      <c r="S21" s="85"/>
    </row>
    <row r="22" spans="1:19" ht="18" customHeight="1" x14ac:dyDescent="0.2">
      <c r="A22" s="104" t="s">
        <v>113</v>
      </c>
      <c r="B22" s="104"/>
      <c r="C22" s="104"/>
      <c r="D22" s="104"/>
      <c r="E22" s="104"/>
      <c r="F22" s="104"/>
      <c r="G22" s="104"/>
      <c r="H22" s="104"/>
      <c r="I22" s="104"/>
      <c r="J22" s="104"/>
      <c r="K22" s="104"/>
      <c r="L22" s="104"/>
      <c r="M22" s="104"/>
      <c r="N22" s="104"/>
      <c r="O22" s="104"/>
      <c r="P22" s="104"/>
      <c r="Q22" s="104"/>
      <c r="R22" s="104"/>
      <c r="S22" s="104"/>
    </row>
    <row r="23" spans="1:19" ht="18" customHeight="1" x14ac:dyDescent="0.2">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2">
      <c r="B24" s="101" t="s">
        <v>53</v>
      </c>
      <c r="C24" s="102"/>
      <c r="D24" s="102"/>
      <c r="E24" s="103"/>
      <c r="F24" s="61" t="s">
        <v>80</v>
      </c>
      <c r="G24" s="60" t="s">
        <v>84</v>
      </c>
      <c r="H24" s="22" t="s">
        <v>56</v>
      </c>
      <c r="I24" s="22" t="s">
        <v>59</v>
      </c>
      <c r="J24" s="101" t="s">
        <v>53</v>
      </c>
      <c r="K24" s="102"/>
      <c r="L24" s="102"/>
      <c r="M24" s="102"/>
      <c r="N24" s="102"/>
      <c r="O24" s="103"/>
      <c r="P24" s="61" t="s">
        <v>80</v>
      </c>
      <c r="Q24" s="60" t="s">
        <v>84</v>
      </c>
      <c r="R24" s="22" t="s">
        <v>56</v>
      </c>
      <c r="S24" s="22" t="s">
        <v>59</v>
      </c>
    </row>
    <row r="25" spans="1:19" ht="18" customHeight="1" x14ac:dyDescent="0.2">
      <c r="B25" s="105" t="s">
        <v>136</v>
      </c>
      <c r="C25" s="106"/>
      <c r="D25" s="106"/>
      <c r="E25" s="107"/>
      <c r="F25" s="23">
        <v>1</v>
      </c>
      <c r="G25" s="23"/>
      <c r="H25" s="23" t="s">
        <v>129</v>
      </c>
      <c r="I25" s="23" t="s">
        <v>129</v>
      </c>
      <c r="J25" s="105"/>
      <c r="K25" s="106"/>
      <c r="L25" s="106"/>
      <c r="M25" s="106"/>
      <c r="N25" s="106"/>
      <c r="O25" s="107"/>
      <c r="P25" s="23"/>
      <c r="Q25" s="23"/>
      <c r="R25" s="23"/>
      <c r="S25" s="23"/>
    </row>
    <row r="26" spans="1:19" ht="18" customHeight="1" x14ac:dyDescent="0.2">
      <c r="B26" s="177" t="s">
        <v>134</v>
      </c>
      <c r="C26" s="178"/>
      <c r="D26" s="178"/>
      <c r="E26" s="179"/>
      <c r="F26" s="88">
        <v>2</v>
      </c>
      <c r="G26" s="24"/>
      <c r="H26" s="24" t="s">
        <v>129</v>
      </c>
      <c r="I26" s="24" t="s">
        <v>129</v>
      </c>
      <c r="J26" s="95"/>
      <c r="K26" s="96"/>
      <c r="L26" s="96"/>
      <c r="M26" s="96"/>
      <c r="N26" s="96"/>
      <c r="O26" s="97"/>
      <c r="P26" s="24"/>
      <c r="Q26" s="24"/>
      <c r="R26" s="24"/>
      <c r="S26" s="24"/>
    </row>
    <row r="27" spans="1:19" ht="18" customHeight="1" x14ac:dyDescent="0.2">
      <c r="B27" s="177" t="s">
        <v>181</v>
      </c>
      <c r="C27" s="178"/>
      <c r="D27" s="178"/>
      <c r="E27" s="179"/>
      <c r="F27" s="88">
        <v>1</v>
      </c>
      <c r="G27" s="88"/>
      <c r="H27" s="88" t="s">
        <v>129</v>
      </c>
      <c r="I27" s="88" t="s">
        <v>129</v>
      </c>
      <c r="J27" s="95"/>
      <c r="K27" s="96"/>
      <c r="L27" s="96"/>
      <c r="M27" s="96"/>
      <c r="N27" s="96"/>
      <c r="O27" s="97"/>
      <c r="P27" s="24"/>
      <c r="Q27" s="24"/>
      <c r="R27" s="24"/>
      <c r="S27" s="24"/>
    </row>
    <row r="28" spans="1:19" ht="18" customHeight="1" x14ac:dyDescent="0.2">
      <c r="B28" s="95" t="s">
        <v>172</v>
      </c>
      <c r="C28" s="96"/>
      <c r="D28" s="96"/>
      <c r="E28" s="97"/>
      <c r="F28" s="24">
        <v>2</v>
      </c>
      <c r="G28" s="24"/>
      <c r="H28" s="24" t="s">
        <v>129</v>
      </c>
      <c r="I28" s="24" t="s">
        <v>129</v>
      </c>
      <c r="J28" s="95"/>
      <c r="K28" s="96"/>
      <c r="L28" s="96"/>
      <c r="M28" s="96"/>
      <c r="N28" s="96"/>
      <c r="O28" s="97"/>
      <c r="P28" s="24"/>
      <c r="Q28" s="24"/>
      <c r="R28" s="24"/>
      <c r="S28" s="24"/>
    </row>
    <row r="29" spans="1:19" ht="18" customHeight="1" x14ac:dyDescent="0.2">
      <c r="B29" s="95" t="s">
        <v>173</v>
      </c>
      <c r="C29" s="96"/>
      <c r="D29" s="96"/>
      <c r="E29" s="97"/>
      <c r="F29" s="24">
        <v>2</v>
      </c>
      <c r="G29" s="24"/>
      <c r="H29" s="24" t="s">
        <v>129</v>
      </c>
      <c r="I29" s="24" t="s">
        <v>129</v>
      </c>
      <c r="J29" s="95"/>
      <c r="K29" s="96"/>
      <c r="L29" s="96"/>
      <c r="M29" s="96"/>
      <c r="N29" s="96"/>
      <c r="O29" s="97"/>
      <c r="P29" s="24"/>
      <c r="Q29" s="24"/>
      <c r="R29" s="24"/>
      <c r="S29" s="24"/>
    </row>
    <row r="30" spans="1:19" ht="18" customHeight="1" x14ac:dyDescent="0.2">
      <c r="A30" s="85"/>
      <c r="B30" s="95"/>
      <c r="C30" s="96"/>
      <c r="D30" s="96"/>
      <c r="E30" s="97"/>
      <c r="F30" s="24"/>
      <c r="G30" s="24"/>
      <c r="H30" s="24"/>
      <c r="I30" s="24"/>
      <c r="J30" s="95"/>
      <c r="K30" s="96"/>
      <c r="L30" s="96"/>
      <c r="M30" s="96"/>
      <c r="N30" s="96"/>
      <c r="O30" s="97"/>
      <c r="P30" s="24"/>
      <c r="Q30" s="24"/>
      <c r="R30" s="24"/>
      <c r="S30" s="24"/>
    </row>
    <row r="31" spans="1:19" ht="18" customHeight="1" x14ac:dyDescent="0.2">
      <c r="A31" s="85"/>
      <c r="B31" s="98"/>
      <c r="C31" s="99"/>
      <c r="D31" s="99"/>
      <c r="E31" s="100"/>
      <c r="F31" s="25"/>
      <c r="G31" s="25"/>
      <c r="H31" s="26"/>
      <c r="I31" s="26"/>
      <c r="J31" s="98"/>
      <c r="K31" s="99"/>
      <c r="L31" s="99"/>
      <c r="M31" s="99"/>
      <c r="N31" s="99"/>
      <c r="O31" s="100"/>
      <c r="P31" s="25"/>
      <c r="Q31" s="25"/>
      <c r="R31" s="26"/>
      <c r="S31" s="26"/>
    </row>
    <row r="32" spans="1:19" ht="7.5" customHeight="1" x14ac:dyDescent="0.2">
      <c r="A32" s="85"/>
      <c r="B32" s="6"/>
      <c r="C32" s="6"/>
      <c r="D32" s="85"/>
      <c r="E32" s="85"/>
      <c r="F32" s="85"/>
      <c r="G32" s="85"/>
      <c r="H32" s="6"/>
      <c r="I32" s="6"/>
      <c r="J32" s="6"/>
      <c r="K32" s="6"/>
      <c r="L32" s="6"/>
      <c r="M32" s="6"/>
      <c r="N32" s="6"/>
      <c r="O32" s="6"/>
      <c r="P32" s="6"/>
      <c r="Q32" s="6"/>
      <c r="R32" s="6"/>
      <c r="S32" s="85"/>
    </row>
    <row r="33" spans="1:19" ht="18" customHeight="1" x14ac:dyDescent="0.2">
      <c r="A33" s="104" t="s">
        <v>114</v>
      </c>
      <c r="B33" s="104"/>
      <c r="C33" s="104"/>
      <c r="D33" s="104"/>
      <c r="E33" s="104"/>
      <c r="F33" s="104"/>
      <c r="G33" s="104"/>
      <c r="H33" s="104"/>
      <c r="I33" s="104"/>
      <c r="J33" s="104"/>
      <c r="K33" s="104"/>
      <c r="L33" s="104"/>
      <c r="M33" s="104"/>
      <c r="N33" s="104"/>
      <c r="O33" s="104"/>
      <c r="P33" s="104"/>
      <c r="Q33" s="104"/>
      <c r="R33" s="104"/>
      <c r="S33" s="104"/>
    </row>
    <row r="34" spans="1:19" ht="18" customHeight="1" x14ac:dyDescent="0.2">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2">
      <c r="B35" s="101" t="s">
        <v>53</v>
      </c>
      <c r="C35" s="102"/>
      <c r="D35" s="102"/>
      <c r="E35" s="103"/>
      <c r="F35" s="61" t="s">
        <v>80</v>
      </c>
      <c r="G35" s="60" t="s">
        <v>84</v>
      </c>
      <c r="H35" s="22" t="s">
        <v>71</v>
      </c>
      <c r="I35" s="22" t="s">
        <v>72</v>
      </c>
      <c r="J35" s="101" t="s">
        <v>53</v>
      </c>
      <c r="K35" s="102"/>
      <c r="L35" s="102"/>
      <c r="M35" s="102"/>
      <c r="N35" s="102"/>
      <c r="O35" s="103"/>
      <c r="P35" s="61" t="s">
        <v>80</v>
      </c>
      <c r="Q35" s="60" t="s">
        <v>84</v>
      </c>
      <c r="R35" s="22" t="s">
        <v>71</v>
      </c>
      <c r="S35" s="22" t="s">
        <v>72</v>
      </c>
    </row>
    <row r="36" spans="1:19" ht="18" customHeight="1" x14ac:dyDescent="0.2">
      <c r="B36" s="180" t="s">
        <v>136</v>
      </c>
      <c r="C36" s="181"/>
      <c r="D36" s="181"/>
      <c r="E36" s="182"/>
      <c r="F36" s="87">
        <v>1</v>
      </c>
      <c r="G36" s="87"/>
      <c r="H36" s="87" t="s">
        <v>129</v>
      </c>
      <c r="I36" s="87" t="s">
        <v>129</v>
      </c>
      <c r="J36" s="105"/>
      <c r="K36" s="106"/>
      <c r="L36" s="106"/>
      <c r="M36" s="106"/>
      <c r="N36" s="106"/>
      <c r="O36" s="107"/>
      <c r="P36" s="23"/>
      <c r="Q36" s="23"/>
      <c r="R36" s="23"/>
      <c r="S36" s="23"/>
    </row>
    <row r="37" spans="1:19" ht="18" customHeight="1" x14ac:dyDescent="0.2">
      <c r="B37" s="95" t="s">
        <v>134</v>
      </c>
      <c r="C37" s="96"/>
      <c r="D37" s="96"/>
      <c r="E37" s="97"/>
      <c r="F37" s="24">
        <v>2</v>
      </c>
      <c r="G37" s="24"/>
      <c r="H37" s="24" t="s">
        <v>129</v>
      </c>
      <c r="I37" s="24" t="s">
        <v>129</v>
      </c>
      <c r="J37" s="95"/>
      <c r="K37" s="96"/>
      <c r="L37" s="96"/>
      <c r="M37" s="96"/>
      <c r="N37" s="96"/>
      <c r="O37" s="97"/>
      <c r="P37" s="24"/>
      <c r="Q37" s="24"/>
      <c r="R37" s="24"/>
      <c r="S37" s="24"/>
    </row>
    <row r="38" spans="1:19" ht="18" customHeight="1" x14ac:dyDescent="0.2">
      <c r="B38" s="95" t="s">
        <v>181</v>
      </c>
      <c r="C38" s="96"/>
      <c r="D38" s="96"/>
      <c r="E38" s="97"/>
      <c r="F38" s="24">
        <v>1</v>
      </c>
      <c r="G38" s="24"/>
      <c r="H38" s="24" t="s">
        <v>129</v>
      </c>
      <c r="I38" s="24" t="s">
        <v>129</v>
      </c>
      <c r="J38" s="95"/>
      <c r="K38" s="96"/>
      <c r="L38" s="96"/>
      <c r="M38" s="96"/>
      <c r="N38" s="96"/>
      <c r="O38" s="97"/>
      <c r="P38" s="24"/>
      <c r="Q38" s="24"/>
      <c r="R38" s="24"/>
      <c r="S38" s="24"/>
    </row>
    <row r="39" spans="1:19" ht="18" customHeight="1" x14ac:dyDescent="0.2">
      <c r="B39" s="95" t="s">
        <v>172</v>
      </c>
      <c r="C39" s="96"/>
      <c r="D39" s="96"/>
      <c r="E39" s="97"/>
      <c r="F39" s="24">
        <v>2</v>
      </c>
      <c r="G39" s="24"/>
      <c r="H39" s="24" t="s">
        <v>129</v>
      </c>
      <c r="I39" s="24" t="s">
        <v>129</v>
      </c>
      <c r="J39" s="95"/>
      <c r="K39" s="96"/>
      <c r="L39" s="96"/>
      <c r="M39" s="96"/>
      <c r="N39" s="96"/>
      <c r="O39" s="97"/>
      <c r="P39" s="24"/>
      <c r="Q39" s="24"/>
      <c r="R39" s="24"/>
      <c r="S39" s="24"/>
    </row>
    <row r="40" spans="1:19" ht="18" customHeight="1" x14ac:dyDescent="0.2">
      <c r="B40" s="95" t="s">
        <v>173</v>
      </c>
      <c r="C40" s="96"/>
      <c r="D40" s="96"/>
      <c r="E40" s="97"/>
      <c r="F40" s="24">
        <v>2</v>
      </c>
      <c r="G40" s="24"/>
      <c r="H40" s="24" t="s">
        <v>129</v>
      </c>
      <c r="I40" s="24" t="s">
        <v>129</v>
      </c>
      <c r="J40" s="95"/>
      <c r="K40" s="96"/>
      <c r="L40" s="96"/>
      <c r="M40" s="96"/>
      <c r="N40" s="96"/>
      <c r="O40" s="97"/>
      <c r="P40" s="24"/>
      <c r="Q40" s="24"/>
      <c r="R40" s="24"/>
      <c r="S40" s="24"/>
    </row>
    <row r="41" spans="1:19" ht="18" customHeight="1" x14ac:dyDescent="0.2">
      <c r="B41" s="95"/>
      <c r="C41" s="96"/>
      <c r="D41" s="96"/>
      <c r="E41" s="97"/>
      <c r="F41" s="24"/>
      <c r="G41" s="24"/>
      <c r="H41" s="24"/>
      <c r="I41" s="24"/>
      <c r="J41" s="95"/>
      <c r="K41" s="96"/>
      <c r="L41" s="96"/>
      <c r="M41" s="96"/>
      <c r="N41" s="96"/>
      <c r="O41" s="97"/>
      <c r="P41" s="24"/>
      <c r="Q41" s="24"/>
      <c r="R41" s="24"/>
      <c r="S41" s="24"/>
    </row>
    <row r="42" spans="1:19" ht="18" customHeight="1" x14ac:dyDescent="0.2">
      <c r="B42" s="98"/>
      <c r="C42" s="99"/>
      <c r="D42" s="99"/>
      <c r="E42" s="100"/>
      <c r="F42" s="25"/>
      <c r="G42" s="25"/>
      <c r="H42" s="26"/>
      <c r="I42" s="26"/>
      <c r="J42" s="98"/>
      <c r="K42" s="99"/>
      <c r="L42" s="99"/>
      <c r="M42" s="99"/>
      <c r="N42" s="99"/>
      <c r="O42" s="100"/>
      <c r="P42" s="25"/>
      <c r="Q42" s="25"/>
      <c r="R42" s="26"/>
      <c r="S42" s="26"/>
    </row>
    <row r="43" spans="1:19" ht="7.5" customHeight="1" x14ac:dyDescent="0.2">
      <c r="A43" s="85"/>
      <c r="B43" s="6"/>
      <c r="C43" s="6"/>
      <c r="D43" s="85"/>
      <c r="E43" s="85"/>
      <c r="F43" s="85"/>
      <c r="G43" s="85"/>
      <c r="H43" s="6"/>
      <c r="I43" s="6"/>
      <c r="J43" s="6"/>
      <c r="K43" s="6"/>
      <c r="L43" s="6"/>
      <c r="M43" s="6"/>
      <c r="N43" s="6"/>
      <c r="O43" s="6"/>
      <c r="P43" s="6"/>
      <c r="Q43" s="6"/>
      <c r="R43" s="6"/>
      <c r="S43" s="85"/>
    </row>
    <row r="44" spans="1:19" ht="18" customHeight="1" x14ac:dyDescent="0.2">
      <c r="A44" s="104" t="s">
        <v>115</v>
      </c>
      <c r="B44" s="104"/>
      <c r="C44" s="104"/>
      <c r="D44" s="104"/>
      <c r="E44" s="104"/>
      <c r="F44" s="104"/>
      <c r="G44" s="104"/>
      <c r="H44" s="104"/>
      <c r="I44" s="104"/>
      <c r="J44" s="104"/>
      <c r="K44" s="104"/>
      <c r="L44" s="104"/>
      <c r="M44" s="104"/>
      <c r="N44" s="104"/>
      <c r="O44" s="104"/>
      <c r="P44" s="104"/>
      <c r="Q44" s="104"/>
      <c r="R44" s="104"/>
      <c r="S44" s="104"/>
    </row>
    <row r="45" spans="1:19" ht="18" customHeight="1" x14ac:dyDescent="0.2">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2">
      <c r="B46" s="101" t="s">
        <v>53</v>
      </c>
      <c r="C46" s="102"/>
      <c r="D46" s="102"/>
      <c r="E46" s="103"/>
      <c r="F46" s="61" t="s">
        <v>80</v>
      </c>
      <c r="G46" s="60" t="s">
        <v>84</v>
      </c>
      <c r="H46" s="22" t="s">
        <v>73</v>
      </c>
      <c r="I46" s="22" t="s">
        <v>74</v>
      </c>
      <c r="J46" s="101" t="s">
        <v>53</v>
      </c>
      <c r="K46" s="102"/>
      <c r="L46" s="102"/>
      <c r="M46" s="102"/>
      <c r="N46" s="102"/>
      <c r="O46" s="103"/>
      <c r="P46" s="61" t="s">
        <v>80</v>
      </c>
      <c r="Q46" s="60" t="s">
        <v>84</v>
      </c>
      <c r="R46" s="22" t="s">
        <v>73</v>
      </c>
      <c r="S46" s="22" t="s">
        <v>74</v>
      </c>
    </row>
    <row r="47" spans="1:19" ht="18" customHeight="1" x14ac:dyDescent="0.2">
      <c r="A47" s="85"/>
      <c r="B47" s="105" t="s">
        <v>136</v>
      </c>
      <c r="C47" s="106"/>
      <c r="D47" s="106"/>
      <c r="E47" s="107"/>
      <c r="F47" s="23">
        <v>1</v>
      </c>
      <c r="G47" s="23"/>
      <c r="H47" s="23" t="s">
        <v>129</v>
      </c>
      <c r="I47" s="23" t="s">
        <v>129</v>
      </c>
      <c r="J47" s="105"/>
      <c r="K47" s="106"/>
      <c r="L47" s="106"/>
      <c r="M47" s="106"/>
      <c r="N47" s="106"/>
      <c r="O47" s="107"/>
      <c r="P47" s="23"/>
      <c r="Q47" s="23"/>
      <c r="R47" s="23"/>
      <c r="S47" s="23"/>
    </row>
    <row r="48" spans="1:19" ht="18" customHeight="1" x14ac:dyDescent="0.2">
      <c r="A48" s="85"/>
      <c r="B48" s="95" t="s">
        <v>134</v>
      </c>
      <c r="C48" s="96"/>
      <c r="D48" s="96"/>
      <c r="E48" s="97"/>
      <c r="F48" s="24">
        <v>2</v>
      </c>
      <c r="G48" s="24"/>
      <c r="H48" s="24" t="s">
        <v>129</v>
      </c>
      <c r="I48" s="24" t="s">
        <v>129</v>
      </c>
      <c r="J48" s="95"/>
      <c r="K48" s="96"/>
      <c r="L48" s="96"/>
      <c r="M48" s="96"/>
      <c r="N48" s="96"/>
      <c r="O48" s="97"/>
      <c r="P48" s="24"/>
      <c r="Q48" s="24"/>
      <c r="R48" s="24"/>
      <c r="S48" s="24"/>
    </row>
    <row r="49" spans="1:19" ht="18" customHeight="1" x14ac:dyDescent="0.2">
      <c r="A49" s="85"/>
      <c r="B49" s="95" t="s">
        <v>181</v>
      </c>
      <c r="C49" s="96"/>
      <c r="D49" s="96"/>
      <c r="E49" s="97"/>
      <c r="F49" s="24">
        <v>1</v>
      </c>
      <c r="G49" s="24"/>
      <c r="H49" s="24" t="s">
        <v>129</v>
      </c>
      <c r="I49" s="24" t="s">
        <v>129</v>
      </c>
      <c r="J49" s="95"/>
      <c r="K49" s="96"/>
      <c r="L49" s="96"/>
      <c r="M49" s="96"/>
      <c r="N49" s="96"/>
      <c r="O49" s="97"/>
      <c r="P49" s="24"/>
      <c r="Q49" s="24"/>
      <c r="R49" s="24"/>
      <c r="S49" s="24"/>
    </row>
    <row r="50" spans="1:19" ht="18" customHeight="1" x14ac:dyDescent="0.2">
      <c r="A50" s="85"/>
      <c r="B50" s="95" t="s">
        <v>172</v>
      </c>
      <c r="C50" s="96"/>
      <c r="D50" s="96"/>
      <c r="E50" s="97"/>
      <c r="F50" s="24">
        <v>2</v>
      </c>
      <c r="G50" s="24"/>
      <c r="H50" s="24" t="s">
        <v>129</v>
      </c>
      <c r="I50" s="24" t="s">
        <v>129</v>
      </c>
      <c r="J50" s="95"/>
      <c r="K50" s="96"/>
      <c r="L50" s="96"/>
      <c r="M50" s="96"/>
      <c r="N50" s="96"/>
      <c r="O50" s="97"/>
      <c r="P50" s="24"/>
      <c r="Q50" s="24"/>
      <c r="R50" s="24"/>
      <c r="S50" s="24"/>
    </row>
    <row r="51" spans="1:19" ht="18" customHeight="1" x14ac:dyDescent="0.2">
      <c r="A51" s="85"/>
      <c r="B51" s="95" t="s">
        <v>173</v>
      </c>
      <c r="C51" s="96"/>
      <c r="D51" s="96"/>
      <c r="E51" s="97"/>
      <c r="F51" s="24">
        <v>2</v>
      </c>
      <c r="G51" s="24"/>
      <c r="H51" s="24" t="s">
        <v>129</v>
      </c>
      <c r="I51" s="24" t="s">
        <v>129</v>
      </c>
      <c r="J51" s="95"/>
      <c r="K51" s="96"/>
      <c r="L51" s="96"/>
      <c r="M51" s="96"/>
      <c r="N51" s="96"/>
      <c r="O51" s="97"/>
      <c r="P51" s="24"/>
      <c r="Q51" s="24"/>
      <c r="R51" s="24"/>
      <c r="S51" s="24"/>
    </row>
    <row r="52" spans="1:19" ht="18" customHeight="1" x14ac:dyDescent="0.2">
      <c r="A52" s="85"/>
      <c r="B52" s="95"/>
      <c r="C52" s="96"/>
      <c r="D52" s="96"/>
      <c r="E52" s="97"/>
      <c r="F52" s="24"/>
      <c r="G52" s="24"/>
      <c r="H52" s="24"/>
      <c r="I52" s="24"/>
      <c r="J52" s="95"/>
      <c r="K52" s="96"/>
      <c r="L52" s="96"/>
      <c r="M52" s="96"/>
      <c r="N52" s="96"/>
      <c r="O52" s="97"/>
      <c r="P52" s="24"/>
      <c r="Q52" s="24"/>
      <c r="R52" s="24"/>
      <c r="S52" s="24"/>
    </row>
    <row r="53" spans="1:19" ht="18" customHeight="1" x14ac:dyDescent="0.2">
      <c r="A53" s="85"/>
      <c r="B53" s="98"/>
      <c r="C53" s="99"/>
      <c r="D53" s="99"/>
      <c r="E53" s="100"/>
      <c r="F53" s="25"/>
      <c r="G53" s="25"/>
      <c r="H53" s="26"/>
      <c r="I53" s="26"/>
      <c r="J53" s="98"/>
      <c r="K53" s="99"/>
      <c r="L53" s="99"/>
      <c r="M53" s="99"/>
      <c r="N53" s="99"/>
      <c r="O53" s="100"/>
      <c r="P53" s="25"/>
      <c r="Q53" s="25"/>
      <c r="R53" s="26"/>
      <c r="S53" s="26"/>
    </row>
    <row r="54" spans="1:19" ht="7.5" customHeight="1" x14ac:dyDescent="0.2">
      <c r="B54" s="86"/>
      <c r="C54" s="86"/>
      <c r="D54" s="86"/>
      <c r="E54" s="86"/>
      <c r="F54" s="86"/>
      <c r="G54" s="86"/>
      <c r="H54" s="86"/>
      <c r="I54" s="86"/>
      <c r="J54" s="86"/>
      <c r="K54" s="86"/>
      <c r="L54" s="86"/>
      <c r="M54" s="86"/>
      <c r="N54" s="86"/>
      <c r="O54" s="86"/>
      <c r="P54" s="86"/>
      <c r="Q54" s="86"/>
      <c r="R54" s="86"/>
    </row>
    <row r="55" spans="1:19" ht="18" customHeight="1" x14ac:dyDescent="0.2">
      <c r="A55" s="104" t="s">
        <v>116</v>
      </c>
      <c r="B55" s="104"/>
      <c r="C55" s="104"/>
      <c r="D55" s="104"/>
      <c r="E55" s="104"/>
      <c r="F55" s="104"/>
      <c r="G55" s="104"/>
      <c r="H55" s="104"/>
      <c r="I55" s="104"/>
      <c r="J55" s="104"/>
      <c r="K55" s="104"/>
      <c r="L55" s="104"/>
      <c r="M55" s="104"/>
      <c r="N55" s="104"/>
      <c r="O55" s="104"/>
      <c r="P55" s="104"/>
      <c r="Q55" s="104"/>
      <c r="R55" s="104"/>
      <c r="S55" s="104"/>
    </row>
    <row r="56" spans="1:19" ht="18" customHeight="1" x14ac:dyDescent="0.2">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2">
      <c r="B57" s="101" t="s">
        <v>53</v>
      </c>
      <c r="C57" s="102"/>
      <c r="D57" s="102"/>
      <c r="E57" s="103"/>
      <c r="F57" s="61" t="s">
        <v>80</v>
      </c>
      <c r="G57" s="60" t="s">
        <v>84</v>
      </c>
      <c r="H57" s="22" t="s">
        <v>58</v>
      </c>
      <c r="I57" s="22" t="s">
        <v>60</v>
      </c>
      <c r="J57" s="101" t="s">
        <v>53</v>
      </c>
      <c r="K57" s="102"/>
      <c r="L57" s="102"/>
      <c r="M57" s="102"/>
      <c r="N57" s="102"/>
      <c r="O57" s="103"/>
      <c r="P57" s="61" t="s">
        <v>80</v>
      </c>
      <c r="Q57" s="60" t="s">
        <v>84</v>
      </c>
      <c r="R57" s="22" t="s">
        <v>58</v>
      </c>
      <c r="S57" s="22" t="s">
        <v>60</v>
      </c>
    </row>
    <row r="58" spans="1:19" ht="18" customHeight="1" x14ac:dyDescent="0.2">
      <c r="A58" s="85"/>
      <c r="B58" s="180" t="s">
        <v>136</v>
      </c>
      <c r="C58" s="181"/>
      <c r="D58" s="181"/>
      <c r="E58" s="182"/>
      <c r="F58" s="87">
        <v>1</v>
      </c>
      <c r="G58" s="87"/>
      <c r="H58" s="87" t="s">
        <v>129</v>
      </c>
      <c r="I58" s="87" t="s">
        <v>129</v>
      </c>
      <c r="J58" s="105"/>
      <c r="K58" s="106"/>
      <c r="L58" s="106"/>
      <c r="M58" s="106"/>
      <c r="N58" s="106"/>
      <c r="O58" s="107"/>
      <c r="P58" s="23"/>
      <c r="Q58" s="23"/>
      <c r="R58" s="23"/>
      <c r="S58" s="23"/>
    </row>
    <row r="59" spans="1:19" ht="18" customHeight="1" x14ac:dyDescent="0.2">
      <c r="A59" s="85"/>
      <c r="B59" s="183" t="s">
        <v>133</v>
      </c>
      <c r="C59" s="184"/>
      <c r="D59" s="184"/>
      <c r="E59" s="185"/>
      <c r="F59" s="24">
        <v>4</v>
      </c>
      <c r="G59" s="24"/>
      <c r="H59" s="24" t="s">
        <v>129</v>
      </c>
      <c r="I59" s="24" t="s">
        <v>129</v>
      </c>
      <c r="J59" s="95"/>
      <c r="K59" s="96"/>
      <c r="L59" s="96"/>
      <c r="M59" s="96"/>
      <c r="N59" s="96"/>
      <c r="O59" s="97"/>
      <c r="P59" s="24"/>
      <c r="Q59" s="24"/>
      <c r="R59" s="24"/>
      <c r="S59" s="24"/>
    </row>
    <row r="60" spans="1:19" ht="18" customHeight="1" x14ac:dyDescent="0.2">
      <c r="A60" s="85"/>
      <c r="B60" s="177" t="s">
        <v>135</v>
      </c>
      <c r="C60" s="178"/>
      <c r="D60" s="178"/>
      <c r="E60" s="179"/>
      <c r="F60" s="88">
        <v>2</v>
      </c>
      <c r="G60" s="88"/>
      <c r="H60" s="88" t="s">
        <v>129</v>
      </c>
      <c r="I60" s="88" t="s">
        <v>129</v>
      </c>
      <c r="J60" s="95"/>
      <c r="K60" s="96"/>
      <c r="L60" s="96"/>
      <c r="M60" s="96"/>
      <c r="N60" s="96"/>
      <c r="O60" s="97"/>
      <c r="P60" s="24"/>
      <c r="Q60" s="24"/>
      <c r="R60" s="24"/>
      <c r="S60" s="24"/>
    </row>
    <row r="61" spans="1:19" ht="18" customHeight="1" x14ac:dyDescent="0.2">
      <c r="A61" s="85"/>
      <c r="B61" s="177"/>
      <c r="C61" s="178"/>
      <c r="D61" s="178"/>
      <c r="E61" s="179"/>
      <c r="F61" s="88"/>
      <c r="G61" s="88"/>
      <c r="H61" s="88"/>
      <c r="I61" s="88"/>
      <c r="J61" s="95"/>
      <c r="K61" s="96"/>
      <c r="L61" s="96"/>
      <c r="M61" s="96"/>
      <c r="N61" s="96"/>
      <c r="O61" s="97"/>
      <c r="P61" s="24"/>
      <c r="Q61" s="24"/>
      <c r="R61" s="24"/>
      <c r="S61" s="24"/>
    </row>
    <row r="62" spans="1:19" ht="18" customHeight="1" x14ac:dyDescent="0.2">
      <c r="A62" s="85"/>
      <c r="B62" s="95"/>
      <c r="C62" s="96"/>
      <c r="D62" s="96"/>
      <c r="E62" s="97"/>
      <c r="F62" s="24"/>
      <c r="G62" s="24"/>
      <c r="H62" s="24"/>
      <c r="I62" s="24"/>
      <c r="J62" s="95"/>
      <c r="K62" s="96"/>
      <c r="L62" s="96"/>
      <c r="M62" s="96"/>
      <c r="N62" s="96"/>
      <c r="O62" s="97"/>
      <c r="P62" s="24"/>
      <c r="Q62" s="24"/>
      <c r="R62" s="24"/>
      <c r="S62" s="24"/>
    </row>
    <row r="63" spans="1:19" ht="18" customHeight="1" x14ac:dyDescent="0.2">
      <c r="A63" s="85"/>
      <c r="B63" s="95"/>
      <c r="C63" s="96"/>
      <c r="D63" s="96"/>
      <c r="E63" s="97"/>
      <c r="F63" s="24"/>
      <c r="G63" s="24"/>
      <c r="H63" s="24"/>
      <c r="I63" s="24"/>
      <c r="J63" s="95"/>
      <c r="K63" s="96"/>
      <c r="L63" s="96"/>
      <c r="M63" s="96"/>
      <c r="N63" s="96"/>
      <c r="O63" s="97"/>
      <c r="P63" s="24"/>
      <c r="Q63" s="24"/>
      <c r="R63" s="24"/>
      <c r="S63" s="24"/>
    </row>
    <row r="64" spans="1:19" ht="18" customHeight="1" x14ac:dyDescent="0.2">
      <c r="A64" s="85"/>
      <c r="B64" s="98"/>
      <c r="C64" s="99"/>
      <c r="D64" s="99"/>
      <c r="E64" s="100"/>
      <c r="F64" s="25"/>
      <c r="G64" s="25"/>
      <c r="H64" s="26"/>
      <c r="I64" s="26"/>
      <c r="J64" s="98"/>
      <c r="K64" s="99"/>
      <c r="L64" s="99"/>
      <c r="M64" s="99"/>
      <c r="N64" s="99"/>
      <c r="O64" s="100"/>
      <c r="P64" s="25"/>
      <c r="Q64" s="25"/>
      <c r="R64" s="26"/>
      <c r="S64" s="26"/>
    </row>
    <row r="65" spans="1:19" ht="7.5" customHeight="1" x14ac:dyDescent="0.2">
      <c r="B65" s="86"/>
      <c r="C65" s="86"/>
      <c r="D65" s="86"/>
      <c r="E65" s="86"/>
      <c r="F65" s="86"/>
      <c r="G65" s="86"/>
      <c r="H65" s="86"/>
      <c r="I65" s="86"/>
      <c r="J65" s="86"/>
      <c r="K65" s="86"/>
      <c r="L65" s="86"/>
      <c r="M65" s="86"/>
      <c r="N65" s="86"/>
      <c r="O65" s="86"/>
      <c r="P65" s="86"/>
      <c r="Q65" s="86"/>
      <c r="R65" s="86"/>
    </row>
    <row r="66" spans="1:19" ht="18" customHeight="1" x14ac:dyDescent="0.2">
      <c r="A66" s="104" t="s">
        <v>117</v>
      </c>
      <c r="B66" s="104"/>
      <c r="C66" s="104"/>
      <c r="D66" s="104"/>
      <c r="E66" s="104"/>
      <c r="F66" s="104"/>
      <c r="G66" s="104"/>
      <c r="H66" s="104"/>
      <c r="I66" s="104"/>
      <c r="J66" s="104"/>
      <c r="K66" s="104"/>
      <c r="L66" s="104"/>
      <c r="M66" s="104"/>
      <c r="N66" s="104"/>
      <c r="O66" s="104"/>
      <c r="P66" s="104"/>
      <c r="Q66" s="104"/>
      <c r="R66" s="104"/>
      <c r="S66" s="104"/>
    </row>
    <row r="67" spans="1:19" ht="18" customHeight="1" x14ac:dyDescent="0.2">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2">
      <c r="B68" s="101" t="s">
        <v>53</v>
      </c>
      <c r="C68" s="102"/>
      <c r="D68" s="102"/>
      <c r="E68" s="61" t="s">
        <v>80</v>
      </c>
      <c r="F68" s="60" t="s">
        <v>84</v>
      </c>
      <c r="G68" s="22" t="s">
        <v>101</v>
      </c>
      <c r="H68" s="22" t="s">
        <v>75</v>
      </c>
      <c r="I68" s="22" t="s">
        <v>76</v>
      </c>
      <c r="J68" s="101" t="s">
        <v>53</v>
      </c>
      <c r="K68" s="102"/>
      <c r="L68" s="102"/>
      <c r="M68" s="102"/>
      <c r="N68" s="103"/>
      <c r="O68" s="61" t="s">
        <v>80</v>
      </c>
      <c r="P68" s="60" t="s">
        <v>84</v>
      </c>
      <c r="Q68" s="22" t="s">
        <v>101</v>
      </c>
      <c r="R68" s="22" t="s">
        <v>75</v>
      </c>
      <c r="S68" s="22" t="s">
        <v>76</v>
      </c>
    </row>
    <row r="69" spans="1:19" ht="18" customHeight="1" x14ac:dyDescent="0.2">
      <c r="A69" s="85"/>
      <c r="B69" s="105" t="s">
        <v>136</v>
      </c>
      <c r="C69" s="106"/>
      <c r="D69" s="107"/>
      <c r="E69" s="23">
        <v>1</v>
      </c>
      <c r="F69" s="23"/>
      <c r="G69" s="23" t="s">
        <v>129</v>
      </c>
      <c r="H69" s="23" t="s">
        <v>129</v>
      </c>
      <c r="I69" s="23" t="s">
        <v>129</v>
      </c>
      <c r="J69" s="105"/>
      <c r="K69" s="106"/>
      <c r="L69" s="106"/>
      <c r="M69" s="106"/>
      <c r="N69" s="107"/>
      <c r="O69" s="23"/>
      <c r="P69" s="23"/>
      <c r="Q69" s="23"/>
      <c r="R69" s="23"/>
      <c r="S69" s="23"/>
    </row>
    <row r="70" spans="1:19" ht="18" customHeight="1" x14ac:dyDescent="0.2">
      <c r="A70" s="85"/>
      <c r="B70" s="95" t="s">
        <v>132</v>
      </c>
      <c r="C70" s="96"/>
      <c r="D70" s="97"/>
      <c r="E70" s="24">
        <v>4</v>
      </c>
      <c r="F70" s="24"/>
      <c r="G70" s="24" t="s">
        <v>129</v>
      </c>
      <c r="H70" s="24" t="s">
        <v>129</v>
      </c>
      <c r="I70" s="24" t="s">
        <v>129</v>
      </c>
      <c r="J70" s="95"/>
      <c r="K70" s="96"/>
      <c r="L70" s="96"/>
      <c r="M70" s="96"/>
      <c r="N70" s="97"/>
      <c r="O70" s="24"/>
      <c r="P70" s="24"/>
      <c r="Q70" s="24"/>
      <c r="R70" s="24"/>
      <c r="S70" s="24"/>
    </row>
    <row r="71" spans="1:19" ht="18" customHeight="1" x14ac:dyDescent="0.2">
      <c r="A71" s="85"/>
      <c r="B71" s="95" t="s">
        <v>217</v>
      </c>
      <c r="C71" s="96"/>
      <c r="D71" s="97"/>
      <c r="E71" s="24">
        <v>2</v>
      </c>
      <c r="F71" s="24"/>
      <c r="G71" s="24" t="s">
        <v>129</v>
      </c>
      <c r="H71" s="24" t="s">
        <v>129</v>
      </c>
      <c r="I71" s="24" t="s">
        <v>129</v>
      </c>
      <c r="J71" s="95"/>
      <c r="K71" s="96"/>
      <c r="L71" s="96"/>
      <c r="M71" s="96"/>
      <c r="N71" s="97"/>
      <c r="O71" s="24"/>
      <c r="P71" s="24"/>
      <c r="Q71" s="24"/>
      <c r="R71" s="24"/>
      <c r="S71" s="24"/>
    </row>
    <row r="72" spans="1:19" ht="18" customHeight="1" x14ac:dyDescent="0.2">
      <c r="A72" s="85"/>
      <c r="B72" s="95"/>
      <c r="C72" s="96"/>
      <c r="D72" s="96"/>
      <c r="E72" s="24"/>
      <c r="F72" s="24"/>
      <c r="G72" s="24"/>
      <c r="H72" s="24"/>
      <c r="I72" s="24"/>
      <c r="J72" s="95"/>
      <c r="K72" s="96"/>
      <c r="L72" s="96"/>
      <c r="M72" s="96"/>
      <c r="N72" s="97"/>
      <c r="O72" s="24"/>
      <c r="P72" s="24"/>
      <c r="Q72" s="24"/>
      <c r="R72" s="24"/>
      <c r="S72" s="24"/>
    </row>
    <row r="73" spans="1:19" ht="18" customHeight="1" x14ac:dyDescent="0.2">
      <c r="A73" s="85"/>
      <c r="B73" s="95"/>
      <c r="C73" s="96"/>
      <c r="D73" s="96"/>
      <c r="E73" s="24"/>
      <c r="F73" s="24"/>
      <c r="G73" s="24"/>
      <c r="H73" s="24"/>
      <c r="I73" s="24"/>
      <c r="J73" s="95"/>
      <c r="K73" s="96"/>
      <c r="L73" s="96"/>
      <c r="M73" s="96"/>
      <c r="N73" s="97"/>
      <c r="O73" s="24"/>
      <c r="P73" s="24"/>
      <c r="Q73" s="24"/>
      <c r="R73" s="24"/>
      <c r="S73" s="24"/>
    </row>
    <row r="74" spans="1:19" ht="18" customHeight="1" x14ac:dyDescent="0.2">
      <c r="A74" s="85"/>
      <c r="B74" s="95"/>
      <c r="C74" s="96"/>
      <c r="D74" s="96"/>
      <c r="E74" s="24"/>
      <c r="F74" s="24"/>
      <c r="G74" s="24"/>
      <c r="H74" s="24"/>
      <c r="I74" s="24"/>
      <c r="J74" s="95"/>
      <c r="K74" s="96"/>
      <c r="L74" s="96"/>
      <c r="M74" s="96"/>
      <c r="N74" s="97"/>
      <c r="O74" s="24"/>
      <c r="P74" s="24"/>
      <c r="Q74" s="24"/>
      <c r="R74" s="24"/>
      <c r="S74" s="24"/>
    </row>
    <row r="75" spans="1:19" ht="18" customHeight="1" x14ac:dyDescent="0.2">
      <c r="A75" s="85"/>
      <c r="B75" s="98"/>
      <c r="C75" s="99"/>
      <c r="D75" s="99"/>
      <c r="E75" s="25"/>
      <c r="F75" s="25"/>
      <c r="G75" s="26"/>
      <c r="H75" s="26"/>
      <c r="I75" s="26"/>
      <c r="J75" s="98"/>
      <c r="K75" s="99"/>
      <c r="L75" s="99"/>
      <c r="M75" s="99"/>
      <c r="N75" s="100"/>
      <c r="O75" s="25"/>
      <c r="P75" s="25"/>
      <c r="Q75" s="26"/>
      <c r="R75" s="26"/>
      <c r="S75" s="26"/>
    </row>
    <row r="76" spans="1:19" ht="7.5" customHeight="1" x14ac:dyDescent="0.2">
      <c r="B76" s="86"/>
      <c r="C76" s="86"/>
      <c r="D76" s="86"/>
      <c r="E76" s="86"/>
      <c r="F76" s="86"/>
      <c r="G76" s="86"/>
      <c r="H76" s="86"/>
      <c r="I76" s="86"/>
      <c r="J76" s="86"/>
      <c r="K76" s="86"/>
      <c r="L76" s="86"/>
      <c r="M76" s="86"/>
      <c r="N76" s="86"/>
      <c r="O76" s="86"/>
      <c r="P76" s="86"/>
      <c r="Q76" s="86"/>
      <c r="R76" s="86"/>
    </row>
    <row r="77" spans="1:19" ht="18" customHeight="1" x14ac:dyDescent="0.2">
      <c r="A77" s="84" t="s">
        <v>118</v>
      </c>
      <c r="H77" s="85"/>
      <c r="I77" s="85"/>
      <c r="J77" s="85"/>
      <c r="K77" s="85"/>
      <c r="L77" s="85"/>
      <c r="M77" s="85"/>
      <c r="N77" s="85"/>
      <c r="O77" s="85"/>
      <c r="P77" s="85"/>
      <c r="Q77" s="85"/>
      <c r="R77" s="85"/>
      <c r="S77" s="85"/>
    </row>
    <row r="78" spans="1:19" ht="18" customHeight="1" x14ac:dyDescent="0.2">
      <c r="B78" s="101" t="s">
        <v>53</v>
      </c>
      <c r="C78" s="102"/>
      <c r="D78" s="102"/>
      <c r="E78" s="103"/>
      <c r="F78" s="101" t="s">
        <v>82</v>
      </c>
      <c r="G78" s="102"/>
      <c r="H78" s="102"/>
      <c r="I78" s="103"/>
      <c r="J78" s="147" t="s">
        <v>53</v>
      </c>
      <c r="K78" s="148"/>
      <c r="L78" s="148"/>
      <c r="M78" s="148"/>
      <c r="N78" s="148"/>
      <c r="O78" s="149"/>
      <c r="P78" s="101" t="s">
        <v>82</v>
      </c>
      <c r="Q78" s="102"/>
      <c r="R78" s="102"/>
      <c r="S78" s="103"/>
    </row>
    <row r="79" spans="1:19" ht="18" customHeight="1" x14ac:dyDescent="0.2">
      <c r="A79" s="85"/>
      <c r="B79" s="105"/>
      <c r="C79" s="106"/>
      <c r="D79" s="106"/>
      <c r="E79" s="107"/>
      <c r="F79" s="161"/>
      <c r="G79" s="162"/>
      <c r="H79" s="162"/>
      <c r="I79" s="163"/>
      <c r="J79" s="105"/>
      <c r="K79" s="106"/>
      <c r="L79" s="106"/>
      <c r="M79" s="106"/>
      <c r="N79" s="106"/>
      <c r="O79" s="107"/>
      <c r="P79" s="161"/>
      <c r="Q79" s="162"/>
      <c r="R79" s="162"/>
      <c r="S79" s="163"/>
    </row>
    <row r="80" spans="1:19" ht="18" customHeight="1" x14ac:dyDescent="0.2">
      <c r="A80" s="85"/>
      <c r="B80" s="95"/>
      <c r="C80" s="96"/>
      <c r="D80" s="96"/>
      <c r="E80" s="97"/>
      <c r="F80" s="134"/>
      <c r="G80" s="135"/>
      <c r="H80" s="135"/>
      <c r="I80" s="136"/>
      <c r="J80" s="95"/>
      <c r="K80" s="96"/>
      <c r="L80" s="96"/>
      <c r="M80" s="96"/>
      <c r="N80" s="96"/>
      <c r="O80" s="97"/>
      <c r="P80" s="134"/>
      <c r="Q80" s="135"/>
      <c r="R80" s="135"/>
      <c r="S80" s="136"/>
    </row>
    <row r="81" spans="1:19" ht="18" customHeight="1" x14ac:dyDescent="0.2">
      <c r="A81" s="85"/>
      <c r="B81" s="95"/>
      <c r="C81" s="96"/>
      <c r="D81" s="96"/>
      <c r="E81" s="97"/>
      <c r="F81" s="134"/>
      <c r="G81" s="135"/>
      <c r="H81" s="135"/>
      <c r="I81" s="136"/>
      <c r="J81" s="95"/>
      <c r="K81" s="96"/>
      <c r="L81" s="96"/>
      <c r="M81" s="96"/>
      <c r="N81" s="96"/>
      <c r="O81" s="97"/>
      <c r="P81" s="134"/>
      <c r="Q81" s="135"/>
      <c r="R81" s="135"/>
      <c r="S81" s="136"/>
    </row>
    <row r="82" spans="1:19" ht="18" customHeight="1" x14ac:dyDescent="0.2">
      <c r="A82" s="85"/>
      <c r="B82" s="95"/>
      <c r="C82" s="96"/>
      <c r="D82" s="96"/>
      <c r="E82" s="97"/>
      <c r="F82" s="134"/>
      <c r="G82" s="135"/>
      <c r="H82" s="135"/>
      <c r="I82" s="136"/>
      <c r="J82" s="95"/>
      <c r="K82" s="96"/>
      <c r="L82" s="96"/>
      <c r="M82" s="96"/>
      <c r="N82" s="96"/>
      <c r="O82" s="97"/>
      <c r="P82" s="134"/>
      <c r="Q82" s="135"/>
      <c r="R82" s="135"/>
      <c r="S82" s="136"/>
    </row>
    <row r="83" spans="1:19" ht="18" customHeight="1" x14ac:dyDescent="0.2">
      <c r="A83" s="85"/>
      <c r="B83" s="95"/>
      <c r="C83" s="96"/>
      <c r="D83" s="96"/>
      <c r="E83" s="97"/>
      <c r="F83" s="134"/>
      <c r="G83" s="135"/>
      <c r="H83" s="135"/>
      <c r="I83" s="136"/>
      <c r="J83" s="95"/>
      <c r="K83" s="96"/>
      <c r="L83" s="96"/>
      <c r="M83" s="96"/>
      <c r="N83" s="96"/>
      <c r="O83" s="97"/>
      <c r="P83" s="134"/>
      <c r="Q83" s="135"/>
      <c r="R83" s="135"/>
      <c r="S83" s="136"/>
    </row>
    <row r="84" spans="1:19" ht="18" customHeight="1" x14ac:dyDescent="0.2">
      <c r="A84" s="85"/>
      <c r="B84" s="95"/>
      <c r="C84" s="96"/>
      <c r="D84" s="96"/>
      <c r="E84" s="97"/>
      <c r="F84" s="134"/>
      <c r="G84" s="135"/>
      <c r="H84" s="135"/>
      <c r="I84" s="136"/>
      <c r="J84" s="95"/>
      <c r="K84" s="96"/>
      <c r="L84" s="96"/>
      <c r="M84" s="96"/>
      <c r="N84" s="96"/>
      <c r="O84" s="97"/>
      <c r="P84" s="134"/>
      <c r="Q84" s="135"/>
      <c r="R84" s="135"/>
      <c r="S84" s="136"/>
    </row>
    <row r="85" spans="1:19" ht="18" customHeight="1" x14ac:dyDescent="0.2">
      <c r="A85" s="85"/>
      <c r="B85" s="98"/>
      <c r="C85" s="99"/>
      <c r="D85" s="99"/>
      <c r="E85" s="100"/>
      <c r="F85" s="131"/>
      <c r="G85" s="132"/>
      <c r="H85" s="132"/>
      <c r="I85" s="133"/>
      <c r="J85" s="98"/>
      <c r="K85" s="99"/>
      <c r="L85" s="99"/>
      <c r="M85" s="99"/>
      <c r="N85" s="99"/>
      <c r="O85" s="100"/>
      <c r="P85" s="131"/>
      <c r="Q85" s="132"/>
      <c r="R85" s="132"/>
      <c r="S85" s="133"/>
    </row>
    <row r="86" spans="1:19" ht="18" customHeight="1" x14ac:dyDescent="0.2">
      <c r="A86" s="85"/>
      <c r="B86" s="6"/>
      <c r="C86" s="6"/>
      <c r="D86" s="6"/>
      <c r="E86" s="6"/>
      <c r="F86" s="27"/>
      <c r="G86" s="27"/>
      <c r="H86" s="27"/>
      <c r="I86" s="27"/>
      <c r="J86" s="6"/>
      <c r="K86" s="6"/>
      <c r="L86" s="6"/>
      <c r="M86" s="6"/>
      <c r="N86" s="6"/>
      <c r="O86" s="6"/>
      <c r="P86" s="27"/>
      <c r="Q86" s="27"/>
      <c r="R86" s="27"/>
      <c r="S86" s="27"/>
    </row>
    <row r="87" spans="1:19" ht="18.75" customHeight="1" x14ac:dyDescent="0.2">
      <c r="A87" s="84" t="s">
        <v>119</v>
      </c>
    </row>
    <row r="88" spans="1:19" ht="18.75" customHeight="1" x14ac:dyDescent="0.2">
      <c r="B88" s="159" t="s">
        <v>54</v>
      </c>
      <c r="C88" s="160"/>
      <c r="D88" s="102" t="s">
        <v>55</v>
      </c>
      <c r="E88" s="102"/>
      <c r="F88" s="102"/>
      <c r="G88" s="102"/>
      <c r="H88" s="102"/>
      <c r="I88" s="102"/>
      <c r="J88" s="102"/>
      <c r="K88" s="102"/>
      <c r="L88" s="102"/>
      <c r="M88" s="102"/>
      <c r="N88" s="102"/>
      <c r="O88" s="102"/>
      <c r="P88" s="102"/>
      <c r="Q88" s="102"/>
      <c r="R88" s="102"/>
      <c r="S88" s="103"/>
    </row>
    <row r="89" spans="1:19" ht="179.4" customHeight="1" x14ac:dyDescent="0.2">
      <c r="B89" s="150" t="s">
        <v>61</v>
      </c>
      <c r="C89" s="28" t="s">
        <v>56</v>
      </c>
      <c r="D89" s="140" t="s">
        <v>197</v>
      </c>
      <c r="E89" s="173"/>
      <c r="F89" s="173"/>
      <c r="G89" s="173"/>
      <c r="H89" s="173"/>
      <c r="I89" s="173"/>
      <c r="J89" s="173"/>
      <c r="K89" s="173"/>
      <c r="L89" s="173"/>
      <c r="M89" s="173"/>
      <c r="N89" s="173"/>
      <c r="O89" s="173"/>
      <c r="P89" s="173"/>
      <c r="Q89" s="173"/>
      <c r="R89" s="173"/>
      <c r="S89" s="174"/>
    </row>
    <row r="90" spans="1:19" ht="208.2" customHeight="1" x14ac:dyDescent="0.2">
      <c r="B90" s="152"/>
      <c r="C90" s="29" t="s">
        <v>77</v>
      </c>
      <c r="D90" s="137" t="s">
        <v>198</v>
      </c>
      <c r="E90" s="186"/>
      <c r="F90" s="186"/>
      <c r="G90" s="186"/>
      <c r="H90" s="186"/>
      <c r="I90" s="186"/>
      <c r="J90" s="186"/>
      <c r="K90" s="186"/>
      <c r="L90" s="186"/>
      <c r="M90" s="186"/>
      <c r="N90" s="186"/>
      <c r="O90" s="186"/>
      <c r="P90" s="186"/>
      <c r="Q90" s="186"/>
      <c r="R90" s="186"/>
      <c r="S90" s="187"/>
    </row>
    <row r="91" spans="1:19" ht="199.8" customHeight="1" x14ac:dyDescent="0.2">
      <c r="B91" s="150" t="s">
        <v>62</v>
      </c>
      <c r="C91" s="30" t="s">
        <v>71</v>
      </c>
      <c r="D91" s="140" t="s">
        <v>199</v>
      </c>
      <c r="E91" s="173"/>
      <c r="F91" s="173"/>
      <c r="G91" s="173"/>
      <c r="H91" s="173"/>
      <c r="I91" s="173"/>
      <c r="J91" s="173"/>
      <c r="K91" s="173"/>
      <c r="L91" s="173"/>
      <c r="M91" s="173"/>
      <c r="N91" s="173"/>
      <c r="O91" s="173"/>
      <c r="P91" s="173"/>
      <c r="Q91" s="173"/>
      <c r="R91" s="173"/>
      <c r="S91" s="174"/>
    </row>
    <row r="92" spans="1:19" ht="183" customHeight="1" x14ac:dyDescent="0.2">
      <c r="B92" s="151"/>
      <c r="C92" s="31" t="s">
        <v>72</v>
      </c>
      <c r="D92" s="137" t="s">
        <v>220</v>
      </c>
      <c r="E92" s="186"/>
      <c r="F92" s="186"/>
      <c r="G92" s="186"/>
      <c r="H92" s="186"/>
      <c r="I92" s="186"/>
      <c r="J92" s="186"/>
      <c r="K92" s="186"/>
      <c r="L92" s="186"/>
      <c r="M92" s="186"/>
      <c r="N92" s="186"/>
      <c r="O92" s="186"/>
      <c r="P92" s="186"/>
      <c r="Q92" s="186"/>
      <c r="R92" s="186"/>
      <c r="S92" s="187"/>
    </row>
    <row r="93" spans="1:19" ht="158.4" customHeight="1" x14ac:dyDescent="0.2">
      <c r="B93" s="150" t="s">
        <v>63</v>
      </c>
      <c r="C93" s="30" t="s">
        <v>73</v>
      </c>
      <c r="D93" s="140" t="s">
        <v>200</v>
      </c>
      <c r="E93" s="173"/>
      <c r="F93" s="173"/>
      <c r="G93" s="173"/>
      <c r="H93" s="173"/>
      <c r="I93" s="173"/>
      <c r="J93" s="173"/>
      <c r="K93" s="173"/>
      <c r="L93" s="173"/>
      <c r="M93" s="173"/>
      <c r="N93" s="173"/>
      <c r="O93" s="173"/>
      <c r="P93" s="173"/>
      <c r="Q93" s="173"/>
      <c r="R93" s="173"/>
      <c r="S93" s="174"/>
    </row>
    <row r="94" spans="1:19" ht="162.6" customHeight="1" x14ac:dyDescent="0.2">
      <c r="B94" s="151"/>
      <c r="C94" s="32" t="s">
        <v>74</v>
      </c>
      <c r="D94" s="137" t="s">
        <v>201</v>
      </c>
      <c r="E94" s="186"/>
      <c r="F94" s="186"/>
      <c r="G94" s="186"/>
      <c r="H94" s="186"/>
      <c r="I94" s="186"/>
      <c r="J94" s="186"/>
      <c r="K94" s="186"/>
      <c r="L94" s="186"/>
      <c r="M94" s="186"/>
      <c r="N94" s="186"/>
      <c r="O94" s="186"/>
      <c r="P94" s="186"/>
      <c r="Q94" s="186"/>
      <c r="R94" s="186"/>
      <c r="S94" s="187"/>
    </row>
    <row r="95" spans="1:19" ht="171" customHeight="1" x14ac:dyDescent="0.2">
      <c r="B95" s="150" t="s">
        <v>78</v>
      </c>
      <c r="C95" s="28" t="s">
        <v>58</v>
      </c>
      <c r="D95" s="164" t="s">
        <v>204</v>
      </c>
      <c r="E95" s="164"/>
      <c r="F95" s="164"/>
      <c r="G95" s="164"/>
      <c r="H95" s="164"/>
      <c r="I95" s="164"/>
      <c r="J95" s="164"/>
      <c r="K95" s="164"/>
      <c r="L95" s="164"/>
      <c r="M95" s="164"/>
      <c r="N95" s="164"/>
      <c r="O95" s="164"/>
      <c r="P95" s="164"/>
      <c r="Q95" s="164"/>
      <c r="R95" s="164"/>
      <c r="S95" s="192"/>
    </row>
    <row r="96" spans="1:19" ht="106.8" customHeight="1" x14ac:dyDescent="0.2">
      <c r="B96" s="151"/>
      <c r="C96" s="31" t="s">
        <v>60</v>
      </c>
      <c r="D96" s="186" t="s">
        <v>203</v>
      </c>
      <c r="E96" s="186"/>
      <c r="F96" s="186"/>
      <c r="G96" s="186"/>
      <c r="H96" s="186"/>
      <c r="I96" s="186"/>
      <c r="J96" s="186"/>
      <c r="K96" s="186"/>
      <c r="L96" s="186"/>
      <c r="M96" s="186"/>
      <c r="N96" s="186"/>
      <c r="O96" s="186"/>
      <c r="P96" s="186"/>
      <c r="Q96" s="186"/>
      <c r="R96" s="186"/>
      <c r="S96" s="187"/>
    </row>
    <row r="97" spans="1:19" ht="291.60000000000002" customHeight="1" x14ac:dyDescent="0.2">
      <c r="B97" s="150" t="s">
        <v>79</v>
      </c>
      <c r="C97" s="30" t="s">
        <v>57</v>
      </c>
      <c r="D97" s="169" t="s">
        <v>206</v>
      </c>
      <c r="E97" s="169"/>
      <c r="F97" s="169"/>
      <c r="G97" s="169"/>
      <c r="H97" s="169"/>
      <c r="I97" s="169"/>
      <c r="J97" s="169"/>
      <c r="K97" s="169"/>
      <c r="L97" s="169"/>
      <c r="M97" s="169"/>
      <c r="N97" s="169"/>
      <c r="O97" s="169"/>
      <c r="P97" s="169"/>
      <c r="Q97" s="169"/>
      <c r="R97" s="169"/>
      <c r="S97" s="188"/>
    </row>
    <row r="98" spans="1:19" ht="180" customHeight="1" x14ac:dyDescent="0.2">
      <c r="B98" s="152"/>
      <c r="C98" s="33" t="s">
        <v>75</v>
      </c>
      <c r="D98" s="144" t="s">
        <v>202</v>
      </c>
      <c r="E98" s="189"/>
      <c r="F98" s="189"/>
      <c r="G98" s="189"/>
      <c r="H98" s="189"/>
      <c r="I98" s="189"/>
      <c r="J98" s="189"/>
      <c r="K98" s="189"/>
      <c r="L98" s="189"/>
      <c r="M98" s="189"/>
      <c r="N98" s="189"/>
      <c r="O98" s="189"/>
      <c r="P98" s="189"/>
      <c r="Q98" s="189"/>
      <c r="R98" s="189"/>
      <c r="S98" s="190"/>
    </row>
    <row r="99" spans="1:19" ht="176.4" customHeight="1" x14ac:dyDescent="0.2">
      <c r="B99" s="151"/>
      <c r="C99" s="32" t="s">
        <v>76</v>
      </c>
      <c r="D99" s="170" t="s">
        <v>205</v>
      </c>
      <c r="E99" s="170"/>
      <c r="F99" s="170"/>
      <c r="G99" s="170"/>
      <c r="H99" s="170"/>
      <c r="I99" s="170"/>
      <c r="J99" s="170"/>
      <c r="K99" s="170"/>
      <c r="L99" s="170"/>
      <c r="M99" s="170"/>
      <c r="N99" s="170"/>
      <c r="O99" s="170"/>
      <c r="P99" s="170"/>
      <c r="Q99" s="170"/>
      <c r="R99" s="170"/>
      <c r="S99" s="191"/>
    </row>
    <row r="100" spans="1:19" ht="6" customHeight="1" x14ac:dyDescent="0.2"/>
    <row r="101" spans="1:19" ht="18.75" customHeight="1" x14ac:dyDescent="0.2">
      <c r="A101" s="84" t="s">
        <v>120</v>
      </c>
    </row>
    <row r="102" spans="1:19" ht="81.75" customHeight="1" x14ac:dyDescent="0.2">
      <c r="B102" s="128" t="s">
        <v>130</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2"/>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F69:I75 Q25:S31 G36:I42 Q36:S42 G47:I53 Q47:S53 P69:S75 Q58:S64 G25:I31 G58:I64">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4" manualBreakCount="4">
    <brk id="65" max="18" man="1"/>
    <brk id="86" max="18" man="1"/>
    <brk id="92" max="18" man="1"/>
    <brk id="96"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A7" zoomScaleNormal="100" zoomScaleSheetLayoutView="100" workbookViewId="0">
      <selection activeCell="W8" sqref="W8"/>
    </sheetView>
  </sheetViews>
  <sheetFormatPr defaultColWidth="9" defaultRowHeight="18.75" customHeight="1" x14ac:dyDescent="0.2"/>
  <cols>
    <col min="1" max="1" width="2.77734375" style="1" customWidth="1"/>
    <col min="2" max="2" width="35.55468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106</v>
      </c>
    </row>
    <row r="2" spans="1:45" ht="18" customHeight="1" x14ac:dyDescent="0.2">
      <c r="K2" s="35"/>
      <c r="Q2" s="35"/>
      <c r="W2" s="35"/>
      <c r="AC2" s="35"/>
      <c r="AI2" s="35"/>
      <c r="AL2" s="35" t="s">
        <v>108</v>
      </c>
      <c r="AM2" s="196" t="str">
        <f>'様式１―１　プログラムを構成する授業科目'!C2</f>
        <v>北里大学</v>
      </c>
      <c r="AN2" s="196"/>
      <c r="AO2" s="196"/>
      <c r="AP2" s="196"/>
      <c r="AQ2" s="196"/>
    </row>
    <row r="3" spans="1:45" ht="18" customHeight="1" x14ac:dyDescent="0.2">
      <c r="A3" s="115" t="s">
        <v>47</v>
      </c>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83</v>
      </c>
      <c r="C5" s="197" t="s">
        <v>164</v>
      </c>
      <c r="D5" s="198"/>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99" t="s">
        <v>44</v>
      </c>
      <c r="C9" s="214" t="s">
        <v>86</v>
      </c>
      <c r="D9" s="202" t="s">
        <v>46</v>
      </c>
      <c r="E9" s="205" t="s">
        <v>39</v>
      </c>
      <c r="F9" s="195" t="s">
        <v>85</v>
      </c>
      <c r="G9" s="195"/>
      <c r="H9" s="195"/>
      <c r="I9" s="195"/>
      <c r="J9" s="195"/>
      <c r="K9" s="195"/>
      <c r="L9" s="195" t="s">
        <v>48</v>
      </c>
      <c r="M9" s="195"/>
      <c r="N9" s="195"/>
      <c r="O9" s="195"/>
      <c r="P9" s="195"/>
      <c r="Q9" s="195"/>
      <c r="R9" s="195" t="s">
        <v>49</v>
      </c>
      <c r="S9" s="195"/>
      <c r="T9" s="195"/>
      <c r="U9" s="195"/>
      <c r="V9" s="195"/>
      <c r="W9" s="195"/>
      <c r="X9" s="195" t="s">
        <v>100</v>
      </c>
      <c r="Y9" s="195"/>
      <c r="Z9" s="195"/>
      <c r="AA9" s="195"/>
      <c r="AB9" s="195"/>
      <c r="AC9" s="195"/>
      <c r="AD9" s="195" t="s">
        <v>50</v>
      </c>
      <c r="AE9" s="195"/>
      <c r="AF9" s="195"/>
      <c r="AG9" s="195"/>
      <c r="AH9" s="195"/>
      <c r="AI9" s="195"/>
      <c r="AJ9" s="195" t="s">
        <v>51</v>
      </c>
      <c r="AK9" s="195"/>
      <c r="AL9" s="195"/>
      <c r="AM9" s="195"/>
      <c r="AN9" s="195"/>
      <c r="AO9" s="195"/>
      <c r="AP9" s="208" t="s">
        <v>34</v>
      </c>
      <c r="AQ9" s="211" t="s">
        <v>31</v>
      </c>
      <c r="AS9" s="2"/>
    </row>
    <row r="10" spans="1:45" ht="16.95" customHeight="1" x14ac:dyDescent="0.2">
      <c r="B10" s="200"/>
      <c r="C10" s="215"/>
      <c r="D10" s="203"/>
      <c r="E10" s="206"/>
      <c r="F10" s="193" t="s">
        <v>96</v>
      </c>
      <c r="G10" s="194"/>
      <c r="H10" s="194"/>
      <c r="I10" s="193" t="s">
        <v>28</v>
      </c>
      <c r="J10" s="194"/>
      <c r="K10" s="194"/>
      <c r="L10" s="193" t="s">
        <v>96</v>
      </c>
      <c r="M10" s="194"/>
      <c r="N10" s="194"/>
      <c r="O10" s="193" t="s">
        <v>28</v>
      </c>
      <c r="P10" s="194"/>
      <c r="Q10" s="194"/>
      <c r="R10" s="193" t="s">
        <v>96</v>
      </c>
      <c r="S10" s="194"/>
      <c r="T10" s="194"/>
      <c r="U10" s="193" t="s">
        <v>28</v>
      </c>
      <c r="V10" s="194"/>
      <c r="W10" s="194"/>
      <c r="X10" s="193" t="s">
        <v>96</v>
      </c>
      <c r="Y10" s="194"/>
      <c r="Z10" s="194"/>
      <c r="AA10" s="193" t="s">
        <v>28</v>
      </c>
      <c r="AB10" s="194"/>
      <c r="AC10" s="194"/>
      <c r="AD10" s="193" t="s">
        <v>96</v>
      </c>
      <c r="AE10" s="194"/>
      <c r="AF10" s="194"/>
      <c r="AG10" s="193" t="s">
        <v>28</v>
      </c>
      <c r="AH10" s="194"/>
      <c r="AI10" s="194"/>
      <c r="AJ10" s="193" t="s">
        <v>96</v>
      </c>
      <c r="AK10" s="194"/>
      <c r="AL10" s="194"/>
      <c r="AM10" s="193" t="s">
        <v>28</v>
      </c>
      <c r="AN10" s="194"/>
      <c r="AO10" s="194"/>
      <c r="AP10" s="209"/>
      <c r="AQ10" s="212"/>
      <c r="AS10" s="2"/>
    </row>
    <row r="11" spans="1:45" ht="18" customHeight="1" x14ac:dyDescent="0.2">
      <c r="B11" s="201"/>
      <c r="C11" s="216"/>
      <c r="D11" s="204"/>
      <c r="E11" s="207"/>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210"/>
      <c r="AQ11" s="213"/>
      <c r="AS11" s="2"/>
    </row>
    <row r="12" spans="1:45" ht="18" customHeight="1" x14ac:dyDescent="0.2">
      <c r="A12" s="6"/>
      <c r="B12" s="11" t="s">
        <v>149</v>
      </c>
      <c r="C12" s="62">
        <v>1596</v>
      </c>
      <c r="D12" s="63">
        <v>260</v>
      </c>
      <c r="E12" s="64">
        <v>1560</v>
      </c>
      <c r="F12" s="64">
        <f>G12+H12</f>
        <v>8</v>
      </c>
      <c r="G12" s="65">
        <v>3</v>
      </c>
      <c r="H12" s="66">
        <v>5</v>
      </c>
      <c r="I12" s="64">
        <f>J12+K12</f>
        <v>7</v>
      </c>
      <c r="J12" s="65">
        <v>2</v>
      </c>
      <c r="K12" s="66">
        <v>5</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8</v>
      </c>
      <c r="AQ12" s="21">
        <f t="shared" ref="AQ12:AQ32" si="0">AP12/E12</f>
        <v>5.1282051282051282E-3</v>
      </c>
    </row>
    <row r="13" spans="1:45" ht="18" customHeight="1" x14ac:dyDescent="0.2">
      <c r="A13" s="6"/>
      <c r="B13" s="12" t="s">
        <v>150</v>
      </c>
      <c r="C13" s="67">
        <v>143</v>
      </c>
      <c r="D13" s="68">
        <v>35</v>
      </c>
      <c r="E13" s="69">
        <v>140</v>
      </c>
      <c r="F13" s="70">
        <f t="shared" ref="F13:F31" si="1">G13+H13</f>
        <v>0</v>
      </c>
      <c r="G13" s="71">
        <v>0</v>
      </c>
      <c r="H13" s="72">
        <v>0</v>
      </c>
      <c r="I13" s="70">
        <f t="shared" ref="I13:I31" si="2">J13+K13</f>
        <v>0</v>
      </c>
      <c r="J13" s="71">
        <v>0</v>
      </c>
      <c r="K13" s="72">
        <v>0</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f t="shared" si="0"/>
        <v>0</v>
      </c>
    </row>
    <row r="14" spans="1:45" ht="18" customHeight="1" x14ac:dyDescent="0.2">
      <c r="A14" s="6"/>
      <c r="B14" s="12" t="s">
        <v>151</v>
      </c>
      <c r="C14" s="67">
        <v>780</v>
      </c>
      <c r="D14" s="68">
        <v>120</v>
      </c>
      <c r="E14" s="69">
        <v>720</v>
      </c>
      <c r="F14" s="70">
        <f t="shared" si="1"/>
        <v>7</v>
      </c>
      <c r="G14" s="71">
        <v>3</v>
      </c>
      <c r="H14" s="72">
        <v>4</v>
      </c>
      <c r="I14" s="70">
        <f t="shared" si="2"/>
        <v>7</v>
      </c>
      <c r="J14" s="71">
        <v>3</v>
      </c>
      <c r="K14" s="72">
        <v>4</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7</v>
      </c>
      <c r="AQ14" s="8">
        <f t="shared" si="0"/>
        <v>9.7222222222222224E-3</v>
      </c>
    </row>
    <row r="15" spans="1:45" ht="18" customHeight="1" x14ac:dyDescent="0.2">
      <c r="A15" s="6"/>
      <c r="B15" s="12" t="s">
        <v>152</v>
      </c>
      <c r="C15" s="67">
        <v>500</v>
      </c>
      <c r="D15" s="68">
        <v>130</v>
      </c>
      <c r="E15" s="69">
        <v>520</v>
      </c>
      <c r="F15" s="70">
        <f t="shared" si="1"/>
        <v>5</v>
      </c>
      <c r="G15" s="71">
        <v>2</v>
      </c>
      <c r="H15" s="72">
        <v>3</v>
      </c>
      <c r="I15" s="70">
        <f t="shared" si="2"/>
        <v>4</v>
      </c>
      <c r="J15" s="71">
        <v>1</v>
      </c>
      <c r="K15" s="72">
        <v>3</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5</v>
      </c>
      <c r="AQ15" s="8">
        <f t="shared" si="0"/>
        <v>9.6153846153846159E-3</v>
      </c>
    </row>
    <row r="16" spans="1:45" ht="18" customHeight="1" x14ac:dyDescent="0.2">
      <c r="A16" s="6"/>
      <c r="B16" s="12" t="s">
        <v>153</v>
      </c>
      <c r="C16" s="67">
        <v>288</v>
      </c>
      <c r="D16" s="68">
        <v>90</v>
      </c>
      <c r="E16" s="69">
        <v>360</v>
      </c>
      <c r="F16" s="70">
        <f t="shared" si="1"/>
        <v>17</v>
      </c>
      <c r="G16" s="71">
        <v>16</v>
      </c>
      <c r="H16" s="72">
        <v>1</v>
      </c>
      <c r="I16" s="70">
        <f t="shared" si="2"/>
        <v>8</v>
      </c>
      <c r="J16" s="71">
        <v>8</v>
      </c>
      <c r="K16" s="72">
        <v>0</v>
      </c>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17</v>
      </c>
      <c r="AQ16" s="8">
        <f t="shared" si="0"/>
        <v>4.7222222222222221E-2</v>
      </c>
    </row>
    <row r="17" spans="1:43" ht="18" customHeight="1" x14ac:dyDescent="0.2">
      <c r="A17" s="6"/>
      <c r="B17" s="12" t="s">
        <v>154</v>
      </c>
      <c r="C17" s="67">
        <v>738</v>
      </c>
      <c r="D17" s="68">
        <v>120</v>
      </c>
      <c r="E17" s="69">
        <v>713</v>
      </c>
      <c r="F17" s="70">
        <f t="shared" si="1"/>
        <v>130</v>
      </c>
      <c r="G17" s="71">
        <v>82</v>
      </c>
      <c r="H17" s="72">
        <v>48</v>
      </c>
      <c r="I17" s="70">
        <f t="shared" si="2"/>
        <v>127</v>
      </c>
      <c r="J17" s="71">
        <v>79</v>
      </c>
      <c r="K17" s="72">
        <v>48</v>
      </c>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130</v>
      </c>
      <c r="AQ17" s="8">
        <f t="shared" si="0"/>
        <v>0.182328190743338</v>
      </c>
    </row>
    <row r="18" spans="1:43" ht="18" customHeight="1" x14ac:dyDescent="0.2">
      <c r="A18" s="6"/>
      <c r="B18" s="12" t="s">
        <v>155</v>
      </c>
      <c r="C18" s="67">
        <v>767</v>
      </c>
      <c r="D18" s="68">
        <v>180</v>
      </c>
      <c r="E18" s="69">
        <v>720</v>
      </c>
      <c r="F18" s="70">
        <f t="shared" si="1"/>
        <v>23</v>
      </c>
      <c r="G18" s="71">
        <v>16</v>
      </c>
      <c r="H18" s="72">
        <v>7</v>
      </c>
      <c r="I18" s="70">
        <f t="shared" si="2"/>
        <v>20</v>
      </c>
      <c r="J18" s="71">
        <v>14</v>
      </c>
      <c r="K18" s="72">
        <v>6</v>
      </c>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23</v>
      </c>
      <c r="AQ18" s="8">
        <f t="shared" si="0"/>
        <v>3.1944444444444442E-2</v>
      </c>
    </row>
    <row r="19" spans="1:43" ht="18" customHeight="1" x14ac:dyDescent="0.2">
      <c r="A19" s="6"/>
      <c r="B19" s="12" t="s">
        <v>156</v>
      </c>
      <c r="C19" s="67">
        <v>518</v>
      </c>
      <c r="D19" s="68">
        <v>125</v>
      </c>
      <c r="E19" s="69">
        <v>495</v>
      </c>
      <c r="F19" s="70">
        <f t="shared" si="1"/>
        <v>2</v>
      </c>
      <c r="G19" s="71">
        <v>0</v>
      </c>
      <c r="H19" s="72">
        <v>2</v>
      </c>
      <c r="I19" s="70">
        <f t="shared" si="2"/>
        <v>1</v>
      </c>
      <c r="J19" s="71">
        <v>0</v>
      </c>
      <c r="K19" s="72">
        <v>1</v>
      </c>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2</v>
      </c>
      <c r="AQ19" s="8">
        <f t="shared" si="0"/>
        <v>4.0404040404040404E-3</v>
      </c>
    </row>
    <row r="20" spans="1:43" ht="18" customHeight="1" x14ac:dyDescent="0.2">
      <c r="A20" s="6"/>
      <c r="B20" s="12" t="s">
        <v>157</v>
      </c>
      <c r="C20" s="67">
        <v>234</v>
      </c>
      <c r="D20" s="68">
        <v>53</v>
      </c>
      <c r="E20" s="69">
        <v>212</v>
      </c>
      <c r="F20" s="70">
        <f t="shared" si="1"/>
        <v>1</v>
      </c>
      <c r="G20" s="71">
        <v>1</v>
      </c>
      <c r="H20" s="72">
        <v>0</v>
      </c>
      <c r="I20" s="70">
        <f t="shared" si="2"/>
        <v>1</v>
      </c>
      <c r="J20" s="71">
        <v>1</v>
      </c>
      <c r="K20" s="72">
        <v>0</v>
      </c>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1</v>
      </c>
      <c r="AQ20" s="8">
        <f t="shared" si="0"/>
        <v>4.7169811320754715E-3</v>
      </c>
    </row>
    <row r="21" spans="1:43" ht="18" customHeight="1" x14ac:dyDescent="0.2">
      <c r="A21" s="6"/>
      <c r="B21" s="12" t="s">
        <v>158</v>
      </c>
      <c r="C21" s="67">
        <v>340</v>
      </c>
      <c r="D21" s="68">
        <v>80</v>
      </c>
      <c r="E21" s="69">
        <v>320</v>
      </c>
      <c r="F21" s="70">
        <f t="shared" si="1"/>
        <v>1</v>
      </c>
      <c r="G21" s="71">
        <v>1</v>
      </c>
      <c r="H21" s="72">
        <v>0</v>
      </c>
      <c r="I21" s="70">
        <f t="shared" si="2"/>
        <v>0</v>
      </c>
      <c r="J21" s="71">
        <v>0</v>
      </c>
      <c r="K21" s="72">
        <v>0</v>
      </c>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1</v>
      </c>
      <c r="AQ21" s="8">
        <f t="shared" si="0"/>
        <v>3.1250000000000002E-3</v>
      </c>
    </row>
    <row r="22" spans="1:43" ht="18" customHeight="1" x14ac:dyDescent="0.2">
      <c r="A22" s="6"/>
      <c r="B22" s="12" t="s">
        <v>159</v>
      </c>
      <c r="C22" s="67">
        <v>343</v>
      </c>
      <c r="D22" s="68">
        <v>80</v>
      </c>
      <c r="E22" s="69">
        <v>320</v>
      </c>
      <c r="F22" s="70">
        <f t="shared" si="1"/>
        <v>3</v>
      </c>
      <c r="G22" s="71">
        <v>1</v>
      </c>
      <c r="H22" s="72">
        <v>2</v>
      </c>
      <c r="I22" s="70">
        <f t="shared" si="2"/>
        <v>3</v>
      </c>
      <c r="J22" s="71">
        <v>1</v>
      </c>
      <c r="K22" s="72">
        <v>2</v>
      </c>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3</v>
      </c>
      <c r="AQ22" s="8">
        <f t="shared" si="0"/>
        <v>9.3749999999999997E-3</v>
      </c>
    </row>
    <row r="23" spans="1:43" ht="18" customHeight="1" x14ac:dyDescent="0.2">
      <c r="A23" s="6"/>
      <c r="B23" s="12" t="s">
        <v>160</v>
      </c>
      <c r="C23" s="67">
        <v>159</v>
      </c>
      <c r="D23" s="68">
        <v>40</v>
      </c>
      <c r="E23" s="69">
        <v>160</v>
      </c>
      <c r="F23" s="70">
        <f t="shared" si="1"/>
        <v>0</v>
      </c>
      <c r="G23" s="71">
        <v>0</v>
      </c>
      <c r="H23" s="72">
        <v>0</v>
      </c>
      <c r="I23" s="70">
        <f t="shared" si="2"/>
        <v>0</v>
      </c>
      <c r="J23" s="71">
        <v>0</v>
      </c>
      <c r="K23" s="72">
        <v>0</v>
      </c>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f t="shared" si="0"/>
        <v>0</v>
      </c>
    </row>
    <row r="24" spans="1:43" ht="18" customHeight="1" x14ac:dyDescent="0.2">
      <c r="A24" s="6"/>
      <c r="B24" s="12" t="s">
        <v>161</v>
      </c>
      <c r="C24" s="67">
        <v>444</v>
      </c>
      <c r="D24" s="68">
        <v>105</v>
      </c>
      <c r="E24" s="69">
        <v>420</v>
      </c>
      <c r="F24" s="70">
        <f t="shared" si="1"/>
        <v>9</v>
      </c>
      <c r="G24" s="71">
        <v>3</v>
      </c>
      <c r="H24" s="72">
        <v>6</v>
      </c>
      <c r="I24" s="70">
        <f t="shared" si="2"/>
        <v>9</v>
      </c>
      <c r="J24" s="71">
        <v>3</v>
      </c>
      <c r="K24" s="72">
        <v>6</v>
      </c>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9</v>
      </c>
      <c r="AQ24" s="8">
        <f t="shared" si="0"/>
        <v>2.1428571428571429E-2</v>
      </c>
    </row>
    <row r="25" spans="1:43" ht="18" customHeight="1" x14ac:dyDescent="0.2">
      <c r="A25" s="6"/>
      <c r="B25" s="12" t="s">
        <v>162</v>
      </c>
      <c r="C25" s="67">
        <v>483</v>
      </c>
      <c r="D25" s="68">
        <v>115</v>
      </c>
      <c r="E25" s="69">
        <v>460</v>
      </c>
      <c r="F25" s="70">
        <f t="shared" si="1"/>
        <v>0</v>
      </c>
      <c r="G25" s="71">
        <v>0</v>
      </c>
      <c r="H25" s="72">
        <v>0</v>
      </c>
      <c r="I25" s="70">
        <f t="shared" si="2"/>
        <v>0</v>
      </c>
      <c r="J25" s="71">
        <v>0</v>
      </c>
      <c r="K25" s="72">
        <v>0</v>
      </c>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f t="shared" si="0"/>
        <v>0</v>
      </c>
    </row>
    <row r="26" spans="1:43" ht="18" customHeight="1" x14ac:dyDescent="0.2">
      <c r="A26" s="6"/>
      <c r="B26" s="12" t="s">
        <v>163</v>
      </c>
      <c r="C26" s="67">
        <v>624</v>
      </c>
      <c r="D26" s="68">
        <v>145</v>
      </c>
      <c r="E26" s="69">
        <v>580</v>
      </c>
      <c r="F26" s="70">
        <f t="shared" si="1"/>
        <v>5</v>
      </c>
      <c r="G26" s="71">
        <v>2</v>
      </c>
      <c r="H26" s="72">
        <v>3</v>
      </c>
      <c r="I26" s="70">
        <f t="shared" si="2"/>
        <v>4</v>
      </c>
      <c r="J26" s="71">
        <v>1</v>
      </c>
      <c r="K26" s="72">
        <v>3</v>
      </c>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5</v>
      </c>
      <c r="AQ26" s="8">
        <f t="shared" si="0"/>
        <v>8.6206896551724137E-3</v>
      </c>
    </row>
    <row r="27" spans="1:43" ht="18" customHeight="1" x14ac:dyDescent="0.2">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2">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2">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2">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5">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2">
      <c r="B32" s="14" t="s">
        <v>32</v>
      </c>
      <c r="C32" s="77">
        <f t="shared" ref="C32" si="14">SUM(C12:C31)</f>
        <v>7957</v>
      </c>
      <c r="D32" s="78">
        <f t="shared" ref="D32:AP32" si="15">SUM(D12:D31)</f>
        <v>1678</v>
      </c>
      <c r="E32" s="79">
        <f t="shared" si="15"/>
        <v>7700</v>
      </c>
      <c r="F32" s="79">
        <f t="shared" si="15"/>
        <v>211</v>
      </c>
      <c r="G32" s="80">
        <f t="shared" si="15"/>
        <v>130</v>
      </c>
      <c r="H32" s="81">
        <f t="shared" si="15"/>
        <v>81</v>
      </c>
      <c r="I32" s="79">
        <f t="shared" ref="I32:N32" si="16">SUM(I12:I31)</f>
        <v>191</v>
      </c>
      <c r="J32" s="80">
        <f t="shared" si="16"/>
        <v>113</v>
      </c>
      <c r="K32" s="81">
        <f t="shared" si="16"/>
        <v>78</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211</v>
      </c>
      <c r="AQ32" s="9">
        <f t="shared" si="0"/>
        <v>2.7402597402597404E-2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2"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31" zoomScaleNormal="100" zoomScaleSheetLayoutView="100" workbookViewId="0">
      <selection activeCell="B47" sqref="B47"/>
    </sheetView>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64</v>
      </c>
      <c r="I1" s="35" t="s">
        <v>105</v>
      </c>
    </row>
    <row r="2" spans="1:9" ht="18.75" customHeight="1" x14ac:dyDescent="0.2">
      <c r="G2" s="35" t="s">
        <v>108</v>
      </c>
      <c r="H2" s="101" t="str">
        <f>'様式１―１　プログラムを構成する授業科目'!C2</f>
        <v>北里大学</v>
      </c>
      <c r="I2" s="103"/>
    </row>
    <row r="3" spans="1:9" ht="18.75" customHeight="1" x14ac:dyDescent="0.2">
      <c r="G3" s="35"/>
      <c r="H3" s="10"/>
      <c r="I3" s="10"/>
    </row>
    <row r="4" spans="1:9" ht="18.600000000000001" customHeight="1" x14ac:dyDescent="0.2">
      <c r="A4" s="115" t="s">
        <v>35</v>
      </c>
      <c r="B4" s="115"/>
      <c r="C4" s="115"/>
      <c r="D4" s="115"/>
      <c r="E4" s="115"/>
      <c r="F4" s="115"/>
      <c r="G4" s="115"/>
      <c r="H4" s="115"/>
      <c r="I4" s="115"/>
    </row>
    <row r="5" spans="1:9" ht="13.2" customHeight="1" x14ac:dyDescent="0.2">
      <c r="B5" s="3"/>
      <c r="C5" s="3"/>
      <c r="D5" s="3"/>
      <c r="E5" s="3"/>
      <c r="F5" s="3"/>
      <c r="G5" s="3"/>
      <c r="H5" s="3"/>
      <c r="I5" s="3"/>
    </row>
    <row r="6" spans="1:9" ht="18" customHeight="1" x14ac:dyDescent="0.2">
      <c r="A6" s="1" t="s">
        <v>0</v>
      </c>
      <c r="B6" s="10" t="s">
        <v>90</v>
      </c>
      <c r="C6" s="267" t="s">
        <v>91</v>
      </c>
      <c r="D6" s="267"/>
      <c r="E6" s="34">
        <v>1716</v>
      </c>
      <c r="F6" s="3" t="s">
        <v>1</v>
      </c>
      <c r="G6" s="3" t="s">
        <v>2</v>
      </c>
      <c r="H6" s="34">
        <v>545</v>
      </c>
      <c r="I6" s="10" t="s">
        <v>1</v>
      </c>
    </row>
    <row r="7" spans="1:9" ht="12" customHeight="1" x14ac:dyDescent="0.2">
      <c r="C7" s="2"/>
      <c r="D7" s="2"/>
      <c r="E7" s="2"/>
      <c r="F7" s="2"/>
      <c r="G7" s="2"/>
      <c r="H7" s="2"/>
      <c r="I7" s="42"/>
    </row>
    <row r="8" spans="1:9" ht="18" customHeight="1" x14ac:dyDescent="0.2">
      <c r="A8" s="1" t="s">
        <v>3</v>
      </c>
      <c r="B8" s="10" t="s">
        <v>92</v>
      </c>
      <c r="E8" s="3"/>
      <c r="F8" s="3"/>
      <c r="G8" s="3"/>
      <c r="H8" s="34">
        <v>8</v>
      </c>
      <c r="I8" s="10" t="s">
        <v>1</v>
      </c>
    </row>
    <row r="9" spans="1:9" ht="9" customHeight="1" x14ac:dyDescent="0.2">
      <c r="B9" s="3"/>
      <c r="C9" s="3"/>
      <c r="D9" s="3"/>
      <c r="E9" s="3"/>
      <c r="F9" s="3"/>
      <c r="G9" s="3"/>
      <c r="H9" s="3"/>
      <c r="I9" s="3"/>
    </row>
    <row r="10" spans="1:9" ht="18" customHeight="1" x14ac:dyDescent="0.2">
      <c r="A10" s="1" t="s">
        <v>4</v>
      </c>
      <c r="B10" s="10" t="s">
        <v>93</v>
      </c>
      <c r="C10" s="3"/>
      <c r="D10" s="3"/>
      <c r="E10" s="3"/>
      <c r="F10" s="3"/>
      <c r="G10" s="3"/>
      <c r="H10" s="3"/>
      <c r="I10" s="3"/>
    </row>
    <row r="11" spans="1:9" ht="18" customHeight="1" x14ac:dyDescent="0.2">
      <c r="B11" s="35" t="s">
        <v>42</v>
      </c>
      <c r="C11" s="262" t="s">
        <v>166</v>
      </c>
      <c r="D11" s="265"/>
      <c r="E11" s="266"/>
      <c r="F11" s="42"/>
      <c r="G11" s="35" t="s">
        <v>10</v>
      </c>
      <c r="H11" s="262" t="s">
        <v>169</v>
      </c>
      <c r="I11" s="266"/>
    </row>
    <row r="12" spans="1:9" ht="10.199999999999999" customHeight="1" x14ac:dyDescent="0.2">
      <c r="B12" s="35"/>
      <c r="C12" s="10"/>
      <c r="D12" s="42"/>
      <c r="E12" s="42"/>
      <c r="F12" s="42"/>
      <c r="G12" s="35"/>
      <c r="H12" s="10"/>
      <c r="I12" s="42"/>
    </row>
    <row r="13" spans="1:9" ht="18" customHeight="1" x14ac:dyDescent="0.2">
      <c r="A13" s="1" t="s">
        <v>7</v>
      </c>
      <c r="B13" s="10" t="s">
        <v>87</v>
      </c>
      <c r="C13" s="3"/>
      <c r="D13" s="3"/>
      <c r="E13" s="3"/>
      <c r="F13" s="3"/>
      <c r="G13" s="3"/>
      <c r="H13" s="3"/>
      <c r="I13" s="3"/>
    </row>
    <row r="14" spans="1:9" ht="18" customHeight="1" x14ac:dyDescent="0.2">
      <c r="B14" s="262" t="s">
        <v>167</v>
      </c>
      <c r="C14" s="263"/>
      <c r="D14" s="263"/>
      <c r="E14" s="263"/>
      <c r="F14" s="263"/>
      <c r="G14" s="263"/>
      <c r="H14" s="263"/>
      <c r="I14" s="264"/>
    </row>
    <row r="15" spans="1:9" ht="9" customHeight="1" x14ac:dyDescent="0.2">
      <c r="B15" s="3"/>
      <c r="C15" s="3"/>
      <c r="D15" s="3"/>
      <c r="E15" s="3"/>
      <c r="F15" s="3"/>
      <c r="G15" s="3"/>
      <c r="H15" s="3"/>
      <c r="I15" s="3"/>
    </row>
    <row r="16" spans="1:9" ht="18" customHeight="1" x14ac:dyDescent="0.2">
      <c r="B16" s="35" t="s">
        <v>42</v>
      </c>
      <c r="C16" s="262" t="s">
        <v>166</v>
      </c>
      <c r="D16" s="265"/>
      <c r="E16" s="266"/>
      <c r="F16" s="42"/>
      <c r="G16" s="35" t="s">
        <v>10</v>
      </c>
      <c r="H16" s="262" t="s">
        <v>169</v>
      </c>
      <c r="I16" s="266"/>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54" t="s">
        <v>168</v>
      </c>
      <c r="C19" s="255"/>
      <c r="D19" s="255"/>
      <c r="E19" s="255"/>
      <c r="F19" s="255"/>
      <c r="G19" s="255"/>
      <c r="H19" s="255"/>
      <c r="I19" s="256"/>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5"/>
      <c r="B22" s="244" t="s">
        <v>170</v>
      </c>
      <c r="C22" s="245"/>
      <c r="D22" s="245"/>
      <c r="E22" s="245"/>
      <c r="F22" s="245"/>
      <c r="G22" s="245"/>
      <c r="H22" s="245"/>
      <c r="I22" s="246"/>
    </row>
    <row r="23" spans="1:9" ht="18.75" customHeight="1" x14ac:dyDescent="0.2">
      <c r="A23" s="15"/>
      <c r="B23" s="257"/>
      <c r="C23" s="258"/>
      <c r="D23" s="258"/>
      <c r="E23" s="258"/>
      <c r="F23" s="258"/>
      <c r="G23" s="258"/>
      <c r="H23" s="258"/>
      <c r="I23" s="249"/>
    </row>
    <row r="24" spans="1:9" ht="18.75" customHeight="1" x14ac:dyDescent="0.2">
      <c r="A24" s="15"/>
      <c r="B24" s="257"/>
      <c r="C24" s="258"/>
      <c r="D24" s="258"/>
      <c r="E24" s="258"/>
      <c r="F24" s="258"/>
      <c r="G24" s="258"/>
      <c r="H24" s="258"/>
      <c r="I24" s="249"/>
    </row>
    <row r="25" spans="1:9" ht="18.75" customHeight="1" x14ac:dyDescent="0.2">
      <c r="A25" s="15"/>
      <c r="B25" s="257"/>
      <c r="C25" s="258"/>
      <c r="D25" s="258"/>
      <c r="E25" s="258"/>
      <c r="F25" s="258"/>
      <c r="G25" s="258"/>
      <c r="H25" s="258"/>
      <c r="I25" s="249"/>
    </row>
    <row r="26" spans="1:9" ht="18.75" customHeight="1" x14ac:dyDescent="0.2">
      <c r="A26" s="15"/>
      <c r="B26" s="257"/>
      <c r="C26" s="258"/>
      <c r="D26" s="258"/>
      <c r="E26" s="258"/>
      <c r="F26" s="258"/>
      <c r="G26" s="258"/>
      <c r="H26" s="258"/>
      <c r="I26" s="249"/>
    </row>
    <row r="27" spans="1:9" ht="18.75" customHeight="1" x14ac:dyDescent="0.2">
      <c r="A27" s="15"/>
      <c r="B27" s="257"/>
      <c r="C27" s="258"/>
      <c r="D27" s="258"/>
      <c r="E27" s="258"/>
      <c r="F27" s="258"/>
      <c r="G27" s="258"/>
      <c r="H27" s="258"/>
      <c r="I27" s="249"/>
    </row>
    <row r="28" spans="1:9" ht="18.75" customHeight="1" x14ac:dyDescent="0.2">
      <c r="A28" s="15"/>
      <c r="B28" s="257"/>
      <c r="C28" s="258"/>
      <c r="D28" s="258"/>
      <c r="E28" s="258"/>
      <c r="F28" s="258"/>
      <c r="G28" s="258"/>
      <c r="H28" s="258"/>
      <c r="I28" s="249"/>
    </row>
    <row r="29" spans="1:9" ht="18.75" customHeight="1" x14ac:dyDescent="0.2">
      <c r="A29" s="15"/>
      <c r="B29" s="257"/>
      <c r="C29" s="258"/>
      <c r="D29" s="258"/>
      <c r="E29" s="258"/>
      <c r="F29" s="258"/>
      <c r="G29" s="258"/>
      <c r="H29" s="258"/>
      <c r="I29" s="249"/>
    </row>
    <row r="30" spans="1:9" ht="18.75" customHeight="1" x14ac:dyDescent="0.2">
      <c r="A30" s="15"/>
      <c r="B30" s="247"/>
      <c r="C30" s="248"/>
      <c r="D30" s="248"/>
      <c r="E30" s="248"/>
      <c r="F30" s="248"/>
      <c r="G30" s="248"/>
      <c r="H30" s="248"/>
      <c r="I30" s="249"/>
    </row>
    <row r="31" spans="1:9" ht="18.75" customHeight="1" x14ac:dyDescent="0.2">
      <c r="A31" s="15"/>
      <c r="B31" s="247"/>
      <c r="C31" s="248"/>
      <c r="D31" s="248"/>
      <c r="E31" s="248"/>
      <c r="F31" s="248"/>
      <c r="G31" s="248"/>
      <c r="H31" s="248"/>
      <c r="I31" s="249"/>
    </row>
    <row r="32" spans="1:9" ht="18.75" customHeight="1" x14ac:dyDescent="0.2">
      <c r="A32" s="15"/>
      <c r="B32" s="250"/>
      <c r="C32" s="251"/>
      <c r="D32" s="251"/>
      <c r="E32" s="251"/>
      <c r="F32" s="251"/>
      <c r="G32" s="251"/>
      <c r="H32" s="251"/>
      <c r="I32" s="252"/>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44" t="s">
        <v>179</v>
      </c>
      <c r="C35" s="245"/>
      <c r="D35" s="245"/>
      <c r="E35" s="245"/>
      <c r="F35" s="245"/>
      <c r="G35" s="245"/>
      <c r="H35" s="245"/>
      <c r="I35" s="246"/>
    </row>
    <row r="36" spans="1:9" ht="18.75" customHeight="1" x14ac:dyDescent="0.2">
      <c r="A36" s="15"/>
      <c r="B36" s="247"/>
      <c r="C36" s="248"/>
      <c r="D36" s="248"/>
      <c r="E36" s="248"/>
      <c r="F36" s="248"/>
      <c r="G36" s="248"/>
      <c r="H36" s="248"/>
      <c r="I36" s="249"/>
    </row>
    <row r="37" spans="1:9" ht="18.75" customHeight="1" x14ac:dyDescent="0.2">
      <c r="A37" s="15"/>
      <c r="B37" s="247"/>
      <c r="C37" s="248"/>
      <c r="D37" s="248"/>
      <c r="E37" s="248"/>
      <c r="F37" s="248"/>
      <c r="G37" s="248"/>
      <c r="H37" s="248"/>
      <c r="I37" s="249"/>
    </row>
    <row r="38" spans="1:9" ht="18.75" customHeight="1" x14ac:dyDescent="0.2">
      <c r="A38" s="15"/>
      <c r="B38" s="247"/>
      <c r="C38" s="248"/>
      <c r="D38" s="248"/>
      <c r="E38" s="248"/>
      <c r="F38" s="248"/>
      <c r="G38" s="248"/>
      <c r="H38" s="248"/>
      <c r="I38" s="249"/>
    </row>
    <row r="39" spans="1:9" ht="18.75" customHeight="1" x14ac:dyDescent="0.2">
      <c r="A39" s="15"/>
      <c r="B39" s="247"/>
      <c r="C39" s="248"/>
      <c r="D39" s="248"/>
      <c r="E39" s="248"/>
      <c r="F39" s="248"/>
      <c r="G39" s="248"/>
      <c r="H39" s="248"/>
      <c r="I39" s="249"/>
    </row>
    <row r="40" spans="1:9" ht="18.75" customHeight="1" x14ac:dyDescent="0.2">
      <c r="A40" s="15"/>
      <c r="B40" s="247"/>
      <c r="C40" s="248"/>
      <c r="D40" s="248"/>
      <c r="E40" s="248"/>
      <c r="F40" s="248"/>
      <c r="G40" s="248"/>
      <c r="H40" s="248"/>
      <c r="I40" s="249"/>
    </row>
    <row r="41" spans="1:9" ht="18.75" customHeight="1" x14ac:dyDescent="0.2">
      <c r="A41" s="15"/>
      <c r="B41" s="247"/>
      <c r="C41" s="248"/>
      <c r="D41" s="248"/>
      <c r="E41" s="248"/>
      <c r="F41" s="248"/>
      <c r="G41" s="248"/>
      <c r="H41" s="248"/>
      <c r="I41" s="249"/>
    </row>
    <row r="42" spans="1:9" ht="18.75" customHeight="1" x14ac:dyDescent="0.2">
      <c r="A42" s="15"/>
      <c r="B42" s="247"/>
      <c r="C42" s="248"/>
      <c r="D42" s="248"/>
      <c r="E42" s="248"/>
      <c r="F42" s="248"/>
      <c r="G42" s="248"/>
      <c r="H42" s="248"/>
      <c r="I42" s="249"/>
    </row>
    <row r="43" spans="1:9" ht="18.75" customHeight="1" x14ac:dyDescent="0.2">
      <c r="A43" s="15"/>
      <c r="B43" s="247"/>
      <c r="C43" s="248"/>
      <c r="D43" s="248"/>
      <c r="E43" s="248"/>
      <c r="F43" s="248"/>
      <c r="G43" s="248"/>
      <c r="H43" s="248"/>
      <c r="I43" s="249"/>
    </row>
    <row r="44" spans="1:9" ht="18.75" customHeight="1" x14ac:dyDescent="0.2">
      <c r="A44" s="15"/>
      <c r="B44" s="247"/>
      <c r="C44" s="248"/>
      <c r="D44" s="248"/>
      <c r="E44" s="248"/>
      <c r="F44" s="248"/>
      <c r="G44" s="248"/>
      <c r="H44" s="248"/>
      <c r="I44" s="249"/>
    </row>
    <row r="45" spans="1:9" ht="18.75" customHeight="1" x14ac:dyDescent="0.2">
      <c r="A45" s="15"/>
      <c r="B45" s="247"/>
      <c r="C45" s="248"/>
      <c r="D45" s="248"/>
      <c r="E45" s="248"/>
      <c r="F45" s="248"/>
      <c r="G45" s="248"/>
      <c r="H45" s="248"/>
      <c r="I45" s="249"/>
    </row>
    <row r="46" spans="1:9" ht="18.75" customHeight="1" x14ac:dyDescent="0.2">
      <c r="A46" s="15"/>
      <c r="B46" s="250"/>
      <c r="C46" s="251"/>
      <c r="D46" s="251"/>
      <c r="E46" s="251"/>
      <c r="F46" s="251"/>
      <c r="G46" s="251"/>
      <c r="H46" s="251"/>
      <c r="I46" s="252"/>
    </row>
    <row r="47" spans="1:9" ht="7.5" customHeight="1" x14ac:dyDescent="0.2">
      <c r="A47" s="4"/>
      <c r="B47" s="4"/>
      <c r="C47" s="4"/>
      <c r="D47" s="4"/>
      <c r="E47" s="4"/>
      <c r="F47" s="4"/>
      <c r="G47" s="4"/>
      <c r="H47" s="4"/>
      <c r="I47" s="4"/>
    </row>
    <row r="48" spans="1:9" ht="18.75" customHeight="1" x14ac:dyDescent="0.2">
      <c r="A48" s="1" t="s">
        <v>30</v>
      </c>
      <c r="B48" s="1" t="s">
        <v>122</v>
      </c>
    </row>
    <row r="49" spans="1:15" s="3" customFormat="1" ht="18.75" customHeight="1" x14ac:dyDescent="0.2">
      <c r="B49" s="43" t="s">
        <v>88</v>
      </c>
      <c r="C49" s="233">
        <f>'様式２ 履修者等数の実績'!AQ32</f>
        <v>2.7402597402597404E-2</v>
      </c>
      <c r="D49" s="233"/>
      <c r="E49" s="43" t="s">
        <v>65</v>
      </c>
      <c r="F49" s="233">
        <v>0.15</v>
      </c>
      <c r="G49" s="233"/>
      <c r="H49" s="43" t="s">
        <v>66</v>
      </c>
      <c r="I49" s="44">
        <v>0.25</v>
      </c>
      <c r="J49" s="1"/>
      <c r="M49" s="1"/>
      <c r="N49" s="45"/>
    </row>
    <row r="50" spans="1:15" s="3" customFormat="1" ht="18.75" customHeight="1" x14ac:dyDescent="0.2">
      <c r="B50" s="46" t="s">
        <v>67</v>
      </c>
      <c r="C50" s="234">
        <v>0.4</v>
      </c>
      <c r="D50" s="234"/>
      <c r="E50" s="46" t="s">
        <v>89</v>
      </c>
      <c r="F50" s="234">
        <v>0.6</v>
      </c>
      <c r="G50" s="234"/>
      <c r="H50" s="46" t="s">
        <v>68</v>
      </c>
      <c r="I50" s="47">
        <f>'様式２ 履修者等数の実績'!E32</f>
        <v>7700</v>
      </c>
      <c r="J50" s="1"/>
      <c r="M50" s="1"/>
      <c r="N50" s="45"/>
    </row>
    <row r="51" spans="1:15" ht="18.75" customHeight="1" x14ac:dyDescent="0.2">
      <c r="A51" s="1"/>
      <c r="B51" s="259" t="s">
        <v>69</v>
      </c>
      <c r="C51" s="260"/>
      <c r="D51" s="260"/>
      <c r="E51" s="260"/>
      <c r="F51" s="260"/>
      <c r="G51" s="260"/>
      <c r="H51" s="260"/>
      <c r="I51" s="261"/>
      <c r="N51" s="45"/>
      <c r="O51" s="3"/>
    </row>
    <row r="52" spans="1:15" ht="18.75" customHeight="1" x14ac:dyDescent="0.2">
      <c r="A52" s="1"/>
      <c r="B52" s="235" t="s">
        <v>137</v>
      </c>
      <c r="C52" s="236"/>
      <c r="D52" s="236"/>
      <c r="E52" s="236"/>
      <c r="F52" s="236"/>
      <c r="G52" s="236"/>
      <c r="H52" s="236"/>
      <c r="I52" s="237"/>
      <c r="N52" s="45"/>
      <c r="O52" s="3"/>
    </row>
    <row r="53" spans="1:15" ht="18.75" customHeight="1" x14ac:dyDescent="0.2">
      <c r="A53" s="1"/>
      <c r="B53" s="238"/>
      <c r="C53" s="239"/>
      <c r="D53" s="239"/>
      <c r="E53" s="239"/>
      <c r="F53" s="239"/>
      <c r="G53" s="239"/>
      <c r="H53" s="239"/>
      <c r="I53" s="240"/>
      <c r="N53" s="45"/>
      <c r="O53" s="3"/>
    </row>
    <row r="54" spans="1:15" ht="18.75" customHeight="1" x14ac:dyDescent="0.2">
      <c r="A54" s="1"/>
      <c r="B54" s="238"/>
      <c r="C54" s="239"/>
      <c r="D54" s="239"/>
      <c r="E54" s="239"/>
      <c r="F54" s="239"/>
      <c r="G54" s="239"/>
      <c r="H54" s="239"/>
      <c r="I54" s="240"/>
    </row>
    <row r="55" spans="1:15" ht="18.75" customHeight="1" x14ac:dyDescent="0.2">
      <c r="A55" s="1"/>
      <c r="B55" s="238"/>
      <c r="C55" s="239"/>
      <c r="D55" s="239"/>
      <c r="E55" s="239"/>
      <c r="F55" s="239"/>
      <c r="G55" s="239"/>
      <c r="H55" s="239"/>
      <c r="I55" s="240"/>
    </row>
    <row r="56" spans="1:15" ht="18.75" customHeight="1" x14ac:dyDescent="0.2">
      <c r="A56" s="1"/>
      <c r="B56" s="238"/>
      <c r="C56" s="239"/>
      <c r="D56" s="239"/>
      <c r="E56" s="239"/>
      <c r="F56" s="239"/>
      <c r="G56" s="239"/>
      <c r="H56" s="239"/>
      <c r="I56" s="240"/>
    </row>
    <row r="57" spans="1:15" ht="18.75" customHeight="1" x14ac:dyDescent="0.2">
      <c r="A57" s="1"/>
      <c r="B57" s="238"/>
      <c r="C57" s="239"/>
      <c r="D57" s="239"/>
      <c r="E57" s="239"/>
      <c r="F57" s="239"/>
      <c r="G57" s="239"/>
      <c r="H57" s="239"/>
      <c r="I57" s="240"/>
    </row>
    <row r="58" spans="1:15" ht="18.75" customHeight="1" x14ac:dyDescent="0.2">
      <c r="A58" s="1"/>
      <c r="B58" s="238"/>
      <c r="C58" s="239"/>
      <c r="D58" s="239"/>
      <c r="E58" s="239"/>
      <c r="F58" s="239"/>
      <c r="G58" s="239"/>
      <c r="H58" s="239"/>
      <c r="I58" s="240"/>
    </row>
    <row r="59" spans="1:15" ht="18.75" customHeight="1" x14ac:dyDescent="0.2">
      <c r="A59" s="1"/>
      <c r="B59" s="238"/>
      <c r="C59" s="239"/>
      <c r="D59" s="239"/>
      <c r="E59" s="239"/>
      <c r="F59" s="239"/>
      <c r="G59" s="239"/>
      <c r="H59" s="239"/>
      <c r="I59" s="240"/>
    </row>
    <row r="60" spans="1:15" ht="18.75" customHeight="1" x14ac:dyDescent="0.2">
      <c r="A60" s="1"/>
      <c r="B60" s="238"/>
      <c r="C60" s="239"/>
      <c r="D60" s="239"/>
      <c r="E60" s="239"/>
      <c r="F60" s="239"/>
      <c r="G60" s="239"/>
      <c r="H60" s="239"/>
      <c r="I60" s="240"/>
    </row>
    <row r="61" spans="1:15" ht="18.75" customHeight="1" x14ac:dyDescent="0.2">
      <c r="A61" s="1"/>
      <c r="B61" s="238"/>
      <c r="C61" s="239"/>
      <c r="D61" s="239"/>
      <c r="E61" s="239"/>
      <c r="F61" s="239"/>
      <c r="G61" s="239"/>
      <c r="H61" s="239"/>
      <c r="I61" s="240"/>
    </row>
    <row r="62" spans="1:15" ht="18.75" customHeight="1" x14ac:dyDescent="0.2">
      <c r="A62" s="1"/>
      <c r="B62" s="238"/>
      <c r="C62" s="239"/>
      <c r="D62" s="239"/>
      <c r="E62" s="239"/>
      <c r="F62" s="239"/>
      <c r="G62" s="239"/>
      <c r="H62" s="239"/>
      <c r="I62" s="240"/>
    </row>
    <row r="63" spans="1:15" ht="18.75" customHeight="1" x14ac:dyDescent="0.2">
      <c r="A63" s="1"/>
      <c r="B63" s="241"/>
      <c r="C63" s="242"/>
      <c r="D63" s="242"/>
      <c r="E63" s="242"/>
      <c r="F63" s="242"/>
      <c r="G63" s="242"/>
      <c r="H63" s="242"/>
      <c r="I63" s="243"/>
    </row>
    <row r="64" spans="1:15" ht="7.5" customHeight="1" x14ac:dyDescent="0.2">
      <c r="A64" s="15"/>
      <c r="B64" s="15"/>
      <c r="C64" s="15"/>
      <c r="D64" s="15"/>
      <c r="E64" s="15"/>
      <c r="F64" s="15"/>
      <c r="G64" s="15"/>
      <c r="H64" s="15"/>
      <c r="I64" s="15"/>
    </row>
    <row r="65" spans="1:9" ht="18.75" customHeight="1" x14ac:dyDescent="0.2">
      <c r="A65" s="16" t="s">
        <v>33</v>
      </c>
      <c r="B65" s="1" t="s">
        <v>36</v>
      </c>
      <c r="I65" s="16"/>
    </row>
    <row r="66" spans="1:9" ht="18.75" customHeight="1" x14ac:dyDescent="0.2">
      <c r="A66" s="4"/>
      <c r="B66" s="217" t="s">
        <v>138</v>
      </c>
      <c r="C66" s="218"/>
      <c r="D66" s="218"/>
      <c r="E66" s="218"/>
      <c r="F66" s="218"/>
      <c r="G66" s="218"/>
      <c r="H66" s="218"/>
      <c r="I66" s="219"/>
    </row>
    <row r="67" spans="1:9" ht="18.75" customHeight="1" x14ac:dyDescent="0.2">
      <c r="A67" s="4"/>
      <c r="B67" s="220"/>
      <c r="C67" s="221"/>
      <c r="D67" s="221"/>
      <c r="E67" s="221"/>
      <c r="F67" s="221"/>
      <c r="G67" s="221"/>
      <c r="H67" s="221"/>
      <c r="I67" s="222"/>
    </row>
    <row r="68" spans="1:9" ht="18.75" customHeight="1" x14ac:dyDescent="0.2">
      <c r="A68" s="4"/>
      <c r="B68" s="220"/>
      <c r="C68" s="221"/>
      <c r="D68" s="221"/>
      <c r="E68" s="221"/>
      <c r="F68" s="221"/>
      <c r="G68" s="221"/>
      <c r="H68" s="221"/>
      <c r="I68" s="222"/>
    </row>
    <row r="69" spans="1:9" ht="18.75" customHeight="1" x14ac:dyDescent="0.2">
      <c r="A69" s="4"/>
      <c r="B69" s="220"/>
      <c r="C69" s="221"/>
      <c r="D69" s="221"/>
      <c r="E69" s="221"/>
      <c r="F69" s="221"/>
      <c r="G69" s="221"/>
      <c r="H69" s="221"/>
      <c r="I69" s="222"/>
    </row>
    <row r="70" spans="1:9" ht="18.75" customHeight="1" x14ac:dyDescent="0.2">
      <c r="A70" s="4"/>
      <c r="B70" s="220"/>
      <c r="C70" s="221"/>
      <c r="D70" s="221"/>
      <c r="E70" s="221"/>
      <c r="F70" s="221"/>
      <c r="G70" s="221"/>
      <c r="H70" s="221"/>
      <c r="I70" s="222"/>
    </row>
    <row r="71" spans="1:9" ht="18.75" customHeight="1" x14ac:dyDescent="0.2">
      <c r="A71" s="4"/>
      <c r="B71" s="220"/>
      <c r="C71" s="221"/>
      <c r="D71" s="221"/>
      <c r="E71" s="221"/>
      <c r="F71" s="221"/>
      <c r="G71" s="221"/>
      <c r="H71" s="221"/>
      <c r="I71" s="222"/>
    </row>
    <row r="72" spans="1:9" ht="18.75" customHeight="1" x14ac:dyDescent="0.2">
      <c r="A72" s="4"/>
      <c r="B72" s="220"/>
      <c r="C72" s="221"/>
      <c r="D72" s="221"/>
      <c r="E72" s="221"/>
      <c r="F72" s="221"/>
      <c r="G72" s="221"/>
      <c r="H72" s="221"/>
      <c r="I72" s="222"/>
    </row>
    <row r="73" spans="1:9" ht="18.75" customHeight="1" x14ac:dyDescent="0.2">
      <c r="A73" s="4"/>
      <c r="B73" s="220"/>
      <c r="C73" s="221"/>
      <c r="D73" s="221"/>
      <c r="E73" s="221"/>
      <c r="F73" s="221"/>
      <c r="G73" s="221"/>
      <c r="H73" s="221"/>
      <c r="I73" s="222"/>
    </row>
    <row r="74" spans="1:9" ht="18.75" customHeight="1" x14ac:dyDescent="0.2">
      <c r="A74" s="4"/>
      <c r="B74" s="220"/>
      <c r="C74" s="221"/>
      <c r="D74" s="221"/>
      <c r="E74" s="221"/>
      <c r="F74" s="221"/>
      <c r="G74" s="221"/>
      <c r="H74" s="221"/>
      <c r="I74" s="222"/>
    </row>
    <row r="75" spans="1:9" ht="18.75" customHeight="1" x14ac:dyDescent="0.2">
      <c r="A75" s="4"/>
      <c r="B75" s="220"/>
      <c r="C75" s="221"/>
      <c r="D75" s="221"/>
      <c r="E75" s="221"/>
      <c r="F75" s="221"/>
      <c r="G75" s="221"/>
      <c r="H75" s="221"/>
      <c r="I75" s="222"/>
    </row>
    <row r="76" spans="1:9" ht="18.75" customHeight="1" x14ac:dyDescent="0.2">
      <c r="A76" s="4"/>
      <c r="B76" s="220"/>
      <c r="C76" s="221"/>
      <c r="D76" s="221"/>
      <c r="E76" s="221"/>
      <c r="F76" s="221"/>
      <c r="G76" s="221"/>
      <c r="H76" s="221"/>
      <c r="I76" s="222"/>
    </row>
    <row r="77" spans="1:9" ht="18.75" customHeight="1" x14ac:dyDescent="0.2">
      <c r="A77" s="4"/>
      <c r="B77" s="223"/>
      <c r="C77" s="224"/>
      <c r="D77" s="224"/>
      <c r="E77" s="224"/>
      <c r="F77" s="224"/>
      <c r="G77" s="224"/>
      <c r="H77" s="224"/>
      <c r="I77" s="225"/>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17" t="s">
        <v>177</v>
      </c>
      <c r="C80" s="218"/>
      <c r="D80" s="218"/>
      <c r="E80" s="218"/>
      <c r="F80" s="218"/>
      <c r="G80" s="218"/>
      <c r="H80" s="218"/>
      <c r="I80" s="226"/>
    </row>
    <row r="81" spans="1:9" ht="18.75" customHeight="1" x14ac:dyDescent="0.2">
      <c r="A81" s="1"/>
      <c r="B81" s="227"/>
      <c r="C81" s="228"/>
      <c r="D81" s="228"/>
      <c r="E81" s="228"/>
      <c r="F81" s="228"/>
      <c r="G81" s="228"/>
      <c r="H81" s="228"/>
      <c r="I81" s="229"/>
    </row>
    <row r="82" spans="1:9" ht="18.75" customHeight="1" x14ac:dyDescent="0.2">
      <c r="A82" s="1"/>
      <c r="B82" s="227"/>
      <c r="C82" s="228"/>
      <c r="D82" s="228"/>
      <c r="E82" s="228"/>
      <c r="F82" s="228"/>
      <c r="G82" s="228"/>
      <c r="H82" s="228"/>
      <c r="I82" s="229"/>
    </row>
    <row r="83" spans="1:9" ht="18.75" customHeight="1" x14ac:dyDescent="0.2">
      <c r="A83" s="1"/>
      <c r="B83" s="227"/>
      <c r="C83" s="228"/>
      <c r="D83" s="228"/>
      <c r="E83" s="228"/>
      <c r="F83" s="228"/>
      <c r="G83" s="228"/>
      <c r="H83" s="228"/>
      <c r="I83" s="229"/>
    </row>
    <row r="84" spans="1:9" ht="18.75" customHeight="1" x14ac:dyDescent="0.2">
      <c r="A84" s="1"/>
      <c r="B84" s="227"/>
      <c r="C84" s="228"/>
      <c r="D84" s="228"/>
      <c r="E84" s="228"/>
      <c r="F84" s="228"/>
      <c r="G84" s="228"/>
      <c r="H84" s="228"/>
      <c r="I84" s="229"/>
    </row>
    <row r="85" spans="1:9" ht="18.75" customHeight="1" x14ac:dyDescent="0.2">
      <c r="A85" s="1"/>
      <c r="B85" s="227"/>
      <c r="C85" s="228"/>
      <c r="D85" s="228"/>
      <c r="E85" s="228"/>
      <c r="F85" s="228"/>
      <c r="G85" s="228"/>
      <c r="H85" s="228"/>
      <c r="I85" s="229"/>
    </row>
    <row r="86" spans="1:9" ht="18.75" customHeight="1" x14ac:dyDescent="0.2">
      <c r="A86" s="1"/>
      <c r="B86" s="227"/>
      <c r="C86" s="228"/>
      <c r="D86" s="228"/>
      <c r="E86" s="228"/>
      <c r="F86" s="228"/>
      <c r="G86" s="228"/>
      <c r="H86" s="228"/>
      <c r="I86" s="229"/>
    </row>
    <row r="87" spans="1:9" ht="18.75" customHeight="1" x14ac:dyDescent="0.2">
      <c r="A87" s="1"/>
      <c r="B87" s="227"/>
      <c r="C87" s="228"/>
      <c r="D87" s="228"/>
      <c r="E87" s="228"/>
      <c r="F87" s="228"/>
      <c r="G87" s="228"/>
      <c r="H87" s="228"/>
      <c r="I87" s="229"/>
    </row>
    <row r="88" spans="1:9" ht="18.75" customHeight="1" x14ac:dyDescent="0.2">
      <c r="A88" s="1"/>
      <c r="B88" s="227"/>
      <c r="C88" s="228"/>
      <c r="D88" s="228"/>
      <c r="E88" s="228"/>
      <c r="F88" s="228"/>
      <c r="G88" s="228"/>
      <c r="H88" s="228"/>
      <c r="I88" s="229"/>
    </row>
    <row r="89" spans="1:9" ht="18.75" customHeight="1" x14ac:dyDescent="0.2">
      <c r="A89" s="1"/>
      <c r="B89" s="227"/>
      <c r="C89" s="228"/>
      <c r="D89" s="228"/>
      <c r="E89" s="228"/>
      <c r="F89" s="228"/>
      <c r="G89" s="228"/>
      <c r="H89" s="228"/>
      <c r="I89" s="229"/>
    </row>
    <row r="90" spans="1:9" ht="18.75" customHeight="1" x14ac:dyDescent="0.2">
      <c r="A90" s="4"/>
      <c r="B90" s="227"/>
      <c r="C90" s="228"/>
      <c r="D90" s="228"/>
      <c r="E90" s="228"/>
      <c r="F90" s="228"/>
      <c r="G90" s="228"/>
      <c r="H90" s="228"/>
      <c r="I90" s="229"/>
    </row>
    <row r="91" spans="1:9" ht="18.75" customHeight="1" x14ac:dyDescent="0.2">
      <c r="A91" s="4"/>
      <c r="B91" s="230"/>
      <c r="C91" s="231"/>
      <c r="D91" s="231"/>
      <c r="E91" s="231"/>
      <c r="F91" s="231"/>
      <c r="G91" s="231"/>
      <c r="H91" s="231"/>
      <c r="I91" s="232"/>
    </row>
    <row r="92" spans="1:9" ht="7.5" customHeight="1" x14ac:dyDescent="0.2">
      <c r="A92" s="4"/>
      <c r="B92" s="4"/>
      <c r="C92" s="4"/>
      <c r="D92" s="4"/>
      <c r="E92" s="4"/>
      <c r="F92" s="4"/>
      <c r="G92" s="4"/>
      <c r="H92" s="4"/>
      <c r="I92" s="4"/>
    </row>
    <row r="93" spans="1:9" ht="18.75" customHeight="1" x14ac:dyDescent="0.2">
      <c r="A93" s="1" t="s">
        <v>43</v>
      </c>
      <c r="B93" s="1" t="s">
        <v>12</v>
      </c>
    </row>
    <row r="94" spans="1:9" ht="18.75" customHeight="1" x14ac:dyDescent="0.2">
      <c r="A94" s="1"/>
      <c r="B94" s="244" t="s">
        <v>139</v>
      </c>
      <c r="C94" s="245"/>
      <c r="D94" s="245"/>
      <c r="E94" s="245"/>
      <c r="F94" s="245"/>
      <c r="G94" s="245"/>
      <c r="H94" s="245"/>
      <c r="I94" s="246"/>
    </row>
    <row r="95" spans="1:9" ht="18.75" customHeight="1" x14ac:dyDescent="0.2">
      <c r="A95" s="1"/>
      <c r="B95" s="247"/>
      <c r="C95" s="248"/>
      <c r="D95" s="248"/>
      <c r="E95" s="248"/>
      <c r="F95" s="248"/>
      <c r="G95" s="248"/>
      <c r="H95" s="248"/>
      <c r="I95" s="249"/>
    </row>
    <row r="96" spans="1:9" ht="18.75" customHeight="1" x14ac:dyDescent="0.2">
      <c r="A96" s="1"/>
      <c r="B96" s="247"/>
      <c r="C96" s="248"/>
      <c r="D96" s="248"/>
      <c r="E96" s="248"/>
      <c r="F96" s="248"/>
      <c r="G96" s="248"/>
      <c r="H96" s="248"/>
      <c r="I96" s="249"/>
    </row>
    <row r="97" spans="1:9" ht="18.75" customHeight="1" x14ac:dyDescent="0.2">
      <c r="A97" s="1"/>
      <c r="B97" s="247"/>
      <c r="C97" s="248"/>
      <c r="D97" s="248"/>
      <c r="E97" s="248"/>
      <c r="F97" s="248"/>
      <c r="G97" s="248"/>
      <c r="H97" s="248"/>
      <c r="I97" s="249"/>
    </row>
    <row r="98" spans="1:9" ht="18.75" customHeight="1" x14ac:dyDescent="0.2">
      <c r="A98" s="1"/>
      <c r="B98" s="247"/>
      <c r="C98" s="248"/>
      <c r="D98" s="248"/>
      <c r="E98" s="248"/>
      <c r="F98" s="248"/>
      <c r="G98" s="248"/>
      <c r="H98" s="248"/>
      <c r="I98" s="249"/>
    </row>
    <row r="99" spans="1:9" ht="18.75" customHeight="1" x14ac:dyDescent="0.2">
      <c r="A99" s="1"/>
      <c r="B99" s="247"/>
      <c r="C99" s="248"/>
      <c r="D99" s="248"/>
      <c r="E99" s="248"/>
      <c r="F99" s="248"/>
      <c r="G99" s="248"/>
      <c r="H99" s="248"/>
      <c r="I99" s="249"/>
    </row>
    <row r="100" spans="1:9" ht="18.75" customHeight="1" x14ac:dyDescent="0.2">
      <c r="A100" s="1"/>
      <c r="B100" s="247"/>
      <c r="C100" s="248"/>
      <c r="D100" s="248"/>
      <c r="E100" s="248"/>
      <c r="F100" s="248"/>
      <c r="G100" s="248"/>
      <c r="H100" s="248"/>
      <c r="I100" s="249"/>
    </row>
    <row r="101" spans="1:9" ht="18.75" customHeight="1" x14ac:dyDescent="0.2">
      <c r="A101" s="1"/>
      <c r="B101" s="247"/>
      <c r="C101" s="248"/>
      <c r="D101" s="248"/>
      <c r="E101" s="248"/>
      <c r="F101" s="248"/>
      <c r="G101" s="248"/>
      <c r="H101" s="248"/>
      <c r="I101" s="249"/>
    </row>
    <row r="102" spans="1:9" ht="18.75" customHeight="1" x14ac:dyDescent="0.2">
      <c r="A102" s="1"/>
      <c r="B102" s="247"/>
      <c r="C102" s="248"/>
      <c r="D102" s="248"/>
      <c r="E102" s="248"/>
      <c r="F102" s="248"/>
      <c r="G102" s="248"/>
      <c r="H102" s="248"/>
      <c r="I102" s="249"/>
    </row>
    <row r="103" spans="1:9" ht="18.75" customHeight="1" x14ac:dyDescent="0.2">
      <c r="A103" s="1"/>
      <c r="B103" s="247"/>
      <c r="C103" s="248"/>
      <c r="D103" s="248"/>
      <c r="E103" s="248"/>
      <c r="F103" s="248"/>
      <c r="G103" s="248"/>
      <c r="H103" s="248"/>
      <c r="I103" s="249"/>
    </row>
    <row r="104" spans="1:9" ht="18.75" customHeight="1" x14ac:dyDescent="0.2">
      <c r="A104" s="1"/>
      <c r="B104" s="247"/>
      <c r="C104" s="248"/>
      <c r="D104" s="248"/>
      <c r="E104" s="248"/>
      <c r="F104" s="248"/>
      <c r="G104" s="248"/>
      <c r="H104" s="248"/>
      <c r="I104" s="249"/>
    </row>
    <row r="105" spans="1:9" ht="18.75" customHeight="1" x14ac:dyDescent="0.2">
      <c r="A105" s="4"/>
      <c r="B105" s="250"/>
      <c r="C105" s="251"/>
      <c r="D105" s="251"/>
      <c r="E105" s="251"/>
      <c r="F105" s="251"/>
      <c r="G105" s="251"/>
      <c r="H105" s="251"/>
      <c r="I105" s="252"/>
    </row>
    <row r="106" spans="1:9" ht="7.5" customHeight="1" x14ac:dyDescent="0.2">
      <c r="A106" s="4"/>
      <c r="B106" s="4"/>
      <c r="C106" s="4"/>
      <c r="D106" s="4"/>
      <c r="E106" s="4"/>
      <c r="F106" s="4"/>
      <c r="G106" s="4"/>
      <c r="H106" s="4"/>
      <c r="I106" s="4"/>
    </row>
    <row r="107" spans="1:9" ht="18.75" customHeight="1" x14ac:dyDescent="0.2">
      <c r="A107" s="1" t="s">
        <v>29</v>
      </c>
      <c r="B107" s="253" t="s">
        <v>45</v>
      </c>
      <c r="C107" s="253"/>
      <c r="D107" s="253"/>
      <c r="E107" s="253"/>
      <c r="F107" s="253"/>
      <c r="G107" s="253"/>
      <c r="H107" s="253"/>
      <c r="I107" s="253"/>
    </row>
    <row r="108" spans="1:9" ht="18.75" customHeight="1" x14ac:dyDescent="0.2">
      <c r="A108" s="4"/>
      <c r="B108" s="244" t="s">
        <v>165</v>
      </c>
      <c r="C108" s="245"/>
      <c r="D108" s="245"/>
      <c r="E108" s="245"/>
      <c r="F108" s="245"/>
      <c r="G108" s="245"/>
      <c r="H108" s="245"/>
      <c r="I108" s="246"/>
    </row>
    <row r="109" spans="1:9" ht="18.75" customHeight="1" x14ac:dyDescent="0.2">
      <c r="A109" s="4"/>
      <c r="B109" s="247"/>
      <c r="C109" s="248"/>
      <c r="D109" s="248"/>
      <c r="E109" s="248"/>
      <c r="F109" s="248"/>
      <c r="G109" s="248"/>
      <c r="H109" s="248"/>
      <c r="I109" s="249"/>
    </row>
    <row r="110" spans="1:9" ht="18.75" customHeight="1" x14ac:dyDescent="0.2">
      <c r="A110" s="4"/>
      <c r="B110" s="247"/>
      <c r="C110" s="248"/>
      <c r="D110" s="248"/>
      <c r="E110" s="248"/>
      <c r="F110" s="248"/>
      <c r="G110" s="248"/>
      <c r="H110" s="248"/>
      <c r="I110" s="249"/>
    </row>
    <row r="111" spans="1:9" ht="18.75" customHeight="1" x14ac:dyDescent="0.2">
      <c r="A111" s="4"/>
      <c r="B111" s="247"/>
      <c r="C111" s="248"/>
      <c r="D111" s="248"/>
      <c r="E111" s="248"/>
      <c r="F111" s="248"/>
      <c r="G111" s="248"/>
      <c r="H111" s="248"/>
      <c r="I111" s="249"/>
    </row>
    <row r="112" spans="1:9" ht="18.75" customHeight="1" x14ac:dyDescent="0.2">
      <c r="A112" s="4"/>
      <c r="B112" s="247"/>
      <c r="C112" s="248"/>
      <c r="D112" s="248"/>
      <c r="E112" s="248"/>
      <c r="F112" s="248"/>
      <c r="G112" s="248"/>
      <c r="H112" s="248"/>
      <c r="I112" s="249"/>
    </row>
    <row r="113" spans="1:9" ht="18.75" customHeight="1" x14ac:dyDescent="0.2">
      <c r="A113" s="4"/>
      <c r="B113" s="247"/>
      <c r="C113" s="248"/>
      <c r="D113" s="248"/>
      <c r="E113" s="248"/>
      <c r="F113" s="248"/>
      <c r="G113" s="248"/>
      <c r="H113" s="248"/>
      <c r="I113" s="249"/>
    </row>
    <row r="114" spans="1:9" ht="18.75" customHeight="1" x14ac:dyDescent="0.2">
      <c r="A114" s="4"/>
      <c r="B114" s="247"/>
      <c r="C114" s="248"/>
      <c r="D114" s="248"/>
      <c r="E114" s="248"/>
      <c r="F114" s="248"/>
      <c r="G114" s="248"/>
      <c r="H114" s="248"/>
      <c r="I114" s="249"/>
    </row>
    <row r="115" spans="1:9" ht="18.75" customHeight="1" x14ac:dyDescent="0.2">
      <c r="A115" s="4"/>
      <c r="B115" s="247"/>
      <c r="C115" s="248"/>
      <c r="D115" s="248"/>
      <c r="E115" s="248"/>
      <c r="F115" s="248"/>
      <c r="G115" s="248"/>
      <c r="H115" s="248"/>
      <c r="I115" s="249"/>
    </row>
    <row r="116" spans="1:9" ht="18.75" customHeight="1" x14ac:dyDescent="0.2">
      <c r="A116" s="4"/>
      <c r="B116" s="247"/>
      <c r="C116" s="248"/>
      <c r="D116" s="248"/>
      <c r="E116" s="248"/>
      <c r="F116" s="248"/>
      <c r="G116" s="248"/>
      <c r="H116" s="248"/>
      <c r="I116" s="249"/>
    </row>
    <row r="117" spans="1:9" ht="18.75" customHeight="1" x14ac:dyDescent="0.2">
      <c r="A117" s="4"/>
      <c r="B117" s="247"/>
      <c r="C117" s="248"/>
      <c r="D117" s="248"/>
      <c r="E117" s="248"/>
      <c r="F117" s="248"/>
      <c r="G117" s="248"/>
      <c r="H117" s="248"/>
      <c r="I117" s="249"/>
    </row>
    <row r="118" spans="1:9" ht="18.75" customHeight="1" x14ac:dyDescent="0.2">
      <c r="A118" s="4"/>
      <c r="B118" s="247"/>
      <c r="C118" s="248"/>
      <c r="D118" s="248"/>
      <c r="E118" s="248"/>
      <c r="F118" s="248"/>
      <c r="G118" s="248"/>
      <c r="H118" s="248"/>
      <c r="I118" s="249"/>
    </row>
    <row r="119" spans="1:9" ht="18.75" customHeight="1" x14ac:dyDescent="0.2">
      <c r="A119" s="4"/>
      <c r="B119" s="250"/>
      <c r="C119" s="251"/>
      <c r="D119" s="251"/>
      <c r="E119" s="251"/>
      <c r="F119" s="251"/>
      <c r="G119" s="251"/>
      <c r="H119" s="251"/>
      <c r="I119" s="252"/>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6" zoomScale="90" zoomScaleNormal="100" zoomScaleSheetLayoutView="90" workbookViewId="0">
      <selection activeCell="E16" sqref="E16:I16"/>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70</v>
      </c>
      <c r="I1" s="35" t="s">
        <v>104</v>
      </c>
    </row>
    <row r="2" spans="1:9" ht="18.75" customHeight="1" x14ac:dyDescent="0.2">
      <c r="H2" s="35" t="s">
        <v>108</v>
      </c>
      <c r="I2" s="34" t="str">
        <f>'様式１―１　プログラムを構成する授業科目'!C2</f>
        <v>北里大学</v>
      </c>
    </row>
    <row r="3" spans="1:9" ht="18.75" customHeight="1" x14ac:dyDescent="0.2">
      <c r="A3" s="115" t="s">
        <v>27</v>
      </c>
      <c r="B3" s="115"/>
      <c r="C3" s="115"/>
      <c r="D3" s="115"/>
      <c r="E3" s="115"/>
      <c r="F3" s="115"/>
      <c r="G3" s="115"/>
      <c r="H3" s="115"/>
      <c r="I3" s="115"/>
    </row>
    <row r="4" spans="1:9" ht="18.75" customHeight="1" x14ac:dyDescent="0.2">
      <c r="A4" s="5"/>
      <c r="B4" s="5"/>
      <c r="C4" s="5"/>
      <c r="D4" s="5"/>
      <c r="E4" s="5"/>
      <c r="F4" s="5"/>
      <c r="G4" s="5"/>
      <c r="H4" s="5"/>
      <c r="I4" s="5"/>
    </row>
    <row r="5" spans="1:9" ht="18.75" customHeight="1" x14ac:dyDescent="0.2">
      <c r="A5" s="1" t="s">
        <v>0</v>
      </c>
      <c r="B5" s="10" t="s">
        <v>94</v>
      </c>
      <c r="C5" s="5"/>
      <c r="D5" s="5"/>
      <c r="E5" s="5"/>
      <c r="F5" s="5"/>
      <c r="G5" s="5"/>
      <c r="H5" s="5"/>
      <c r="I5" s="5"/>
    </row>
    <row r="6" spans="1:9" ht="26.25" customHeight="1" x14ac:dyDescent="0.2">
      <c r="A6" s="5"/>
      <c r="B6" s="262" t="s">
        <v>140</v>
      </c>
      <c r="C6" s="290"/>
      <c r="D6" s="290"/>
      <c r="E6" s="290"/>
      <c r="F6" s="290"/>
      <c r="G6" s="290"/>
      <c r="H6" s="291"/>
      <c r="I6" s="3"/>
    </row>
    <row r="7" spans="1:9" ht="9" customHeight="1" x14ac:dyDescent="0.2">
      <c r="A7" s="5"/>
      <c r="B7" s="10"/>
      <c r="C7" s="10"/>
      <c r="D7" s="10"/>
      <c r="E7" s="10"/>
      <c r="F7" s="10"/>
      <c r="G7" s="10"/>
      <c r="H7" s="10"/>
      <c r="I7" s="3"/>
    </row>
    <row r="8" spans="1:9" ht="18.75" customHeight="1" x14ac:dyDescent="0.2">
      <c r="A8" s="5"/>
      <c r="B8" s="3"/>
      <c r="C8" s="3"/>
      <c r="D8" s="35" t="s">
        <v>42</v>
      </c>
      <c r="E8" s="36" t="s">
        <v>141</v>
      </c>
      <c r="F8" s="3"/>
      <c r="G8" s="35" t="s">
        <v>10</v>
      </c>
      <c r="H8" s="36" t="s">
        <v>171</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101" t="s">
        <v>23</v>
      </c>
      <c r="C11" s="102"/>
      <c r="D11" s="103"/>
      <c r="E11" s="102" t="s">
        <v>25</v>
      </c>
      <c r="F11" s="102"/>
      <c r="G11" s="102"/>
      <c r="H11" s="102"/>
      <c r="I11" s="103"/>
    </row>
    <row r="12" spans="1:9" ht="26.25" customHeight="1" x14ac:dyDescent="0.2">
      <c r="B12" s="50" t="s">
        <v>13</v>
      </c>
      <c r="C12" s="57"/>
      <c r="D12" s="51"/>
      <c r="E12" s="58"/>
      <c r="F12" s="58"/>
      <c r="G12" s="58"/>
      <c r="H12" s="58"/>
      <c r="I12" s="51"/>
    </row>
    <row r="13" spans="1:9" ht="210.75" customHeight="1" x14ac:dyDescent="0.2">
      <c r="B13" s="52"/>
      <c r="C13" s="273" t="s">
        <v>14</v>
      </c>
      <c r="D13" s="274"/>
      <c r="E13" s="286" t="s">
        <v>178</v>
      </c>
      <c r="F13" s="275"/>
      <c r="G13" s="275"/>
      <c r="H13" s="275"/>
      <c r="I13" s="276"/>
    </row>
    <row r="14" spans="1:9" ht="210.75" customHeight="1" x14ac:dyDescent="0.2">
      <c r="B14" s="52"/>
      <c r="C14" s="288" t="s">
        <v>15</v>
      </c>
      <c r="D14" s="289"/>
      <c r="E14" s="286" t="s">
        <v>142</v>
      </c>
      <c r="F14" s="275"/>
      <c r="G14" s="275"/>
      <c r="H14" s="275"/>
      <c r="I14" s="276"/>
    </row>
    <row r="15" spans="1:9" ht="210.75" customHeight="1" x14ac:dyDescent="0.2">
      <c r="B15" s="52"/>
      <c r="C15" s="273" t="s">
        <v>16</v>
      </c>
      <c r="D15" s="274"/>
      <c r="E15" s="286" t="s">
        <v>143</v>
      </c>
      <c r="F15" s="275"/>
      <c r="G15" s="275"/>
      <c r="H15" s="275"/>
      <c r="I15" s="276"/>
    </row>
    <row r="16" spans="1:9" ht="210.75" customHeight="1" x14ac:dyDescent="0.2">
      <c r="B16" s="52"/>
      <c r="C16" s="273" t="s">
        <v>17</v>
      </c>
      <c r="D16" s="274"/>
      <c r="E16" s="286" t="s">
        <v>180</v>
      </c>
      <c r="F16" s="275"/>
      <c r="G16" s="275"/>
      <c r="H16" s="275"/>
      <c r="I16" s="276"/>
    </row>
    <row r="17" spans="2:9" ht="210.75" customHeight="1" x14ac:dyDescent="0.2">
      <c r="B17" s="53"/>
      <c r="C17" s="277" t="s">
        <v>18</v>
      </c>
      <c r="D17" s="278"/>
      <c r="E17" s="287" t="s">
        <v>144</v>
      </c>
      <c r="F17" s="279"/>
      <c r="G17" s="279"/>
      <c r="H17" s="279"/>
      <c r="I17" s="280"/>
    </row>
    <row r="18" spans="2:9" ht="24" customHeight="1" x14ac:dyDescent="0.2">
      <c r="B18" s="50" t="s">
        <v>19</v>
      </c>
      <c r="C18" s="54"/>
      <c r="D18" s="55"/>
      <c r="E18" s="56"/>
      <c r="F18" s="56"/>
      <c r="G18" s="56"/>
      <c r="H18" s="56"/>
      <c r="I18" s="59"/>
    </row>
    <row r="19" spans="2:9" ht="218.25" customHeight="1" x14ac:dyDescent="0.2">
      <c r="B19" s="52"/>
      <c r="C19" s="273" t="s">
        <v>20</v>
      </c>
      <c r="D19" s="274"/>
      <c r="E19" s="275" t="s">
        <v>145</v>
      </c>
      <c r="F19" s="275"/>
      <c r="G19" s="275"/>
      <c r="H19" s="275"/>
      <c r="I19" s="276"/>
    </row>
    <row r="20" spans="2:9" ht="218.25" customHeight="1" x14ac:dyDescent="0.2">
      <c r="B20" s="53"/>
      <c r="C20" s="277" t="s">
        <v>21</v>
      </c>
      <c r="D20" s="278"/>
      <c r="E20" s="279" t="s">
        <v>146</v>
      </c>
      <c r="F20" s="279"/>
      <c r="G20" s="279"/>
      <c r="H20" s="279"/>
      <c r="I20" s="280"/>
    </row>
    <row r="21" spans="2:9" ht="218.25" customHeight="1" x14ac:dyDescent="0.2">
      <c r="B21" s="281" t="s">
        <v>22</v>
      </c>
      <c r="C21" s="282"/>
      <c r="D21" s="283"/>
      <c r="E21" s="284" t="s">
        <v>147</v>
      </c>
      <c r="F21" s="284"/>
      <c r="G21" s="284"/>
      <c r="H21" s="284"/>
      <c r="I21" s="285"/>
    </row>
    <row r="22" spans="2:9" ht="218.25" customHeight="1" x14ac:dyDescent="0.2">
      <c r="B22" s="268" t="s">
        <v>37</v>
      </c>
      <c r="C22" s="269"/>
      <c r="D22" s="270"/>
      <c r="E22" s="271" t="s">
        <v>148</v>
      </c>
      <c r="F22" s="271"/>
      <c r="G22" s="271"/>
      <c r="H22" s="271"/>
      <c r="I22" s="27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様式１―１　プログラムを構成する授業科目</vt:lpstr>
      <vt:lpstr>様式１―２　プログラムを構成する授業科目</vt:lpstr>
      <vt:lpstr>様式１―３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2023-06-26T05:11:04Z</cp:lastPrinted>
  <dcterms:created xsi:type="dcterms:W3CDTF">2011-06-14T05:32:50Z</dcterms:created>
  <dcterms:modified xsi:type="dcterms:W3CDTF">2023-06-27T01:00:13Z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