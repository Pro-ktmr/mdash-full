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defaultThemeVersion="124226"/>
  <mc:AlternateContent xmlns:mc="http://schemas.openxmlformats.org/markup-compatibility/2006">
    <mc:Choice Requires="x15">
      <x15ac:absPath xmlns:x15ac="http://schemas.microsoft.com/office/spreadsheetml/2010/11/ac" url="/Users/sei/MEGA/SMU/データサイエンスAIプロ運営委員会/申請書作成/01_埼玉医科大学_リテラシー_改/"/>
    </mc:Choice>
  </mc:AlternateContent>
  <xr:revisionPtr revIDLastSave="0" documentId="8_{F547AD33-9D1A-914D-9910-AC5A77866B1D}" xr6:coauthVersionLast="47" xr6:coauthVersionMax="47" xr10:uidLastSave="{00000000-0000-0000-0000-000000000000}"/>
  <bookViews>
    <workbookView xWindow="16280" yWindow="500" windowWidth="17200" windowHeight="16820" tabRatio="885" activeTab="1" xr2:uid="{00000000-000D-0000-FFFF-FFFF00000000}"/>
  </bookViews>
  <sheets>
    <sheet name="様式１ー1　プログラムを構成する授業科目" sheetId="46" r:id="rId1"/>
    <sheet name="様式１ー2　プログラムを構成する授業科目" sheetId="45"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'様式１ー1　プログラムを構成する授業科目'!$V$14:$V$16</definedName>
    <definedName name="_xlnm._FilterDatabase" localSheetId="1" hidden="1">'様式１ー2　プログラムを構成する授業科目'!$V$14:$V$16</definedName>
    <definedName name="_xlnm._FilterDatabase" localSheetId="2" hidden="1">'様式２ 履修者等数の実績'!#REF!</definedName>
    <definedName name="_xlnm.Print_Area" localSheetId="0">'様式１ー1　プログラムを構成する授業科目'!$A$1:$S$102</definedName>
    <definedName name="_xlnm.Print_Area" localSheetId="1">'様式１ー2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3"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<sst xmlns="http://schemas.openxmlformats.org/spreadsheetml/2006/main" count="507" uniqueCount="204">
  <si>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</si>
  <si>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</si>
  <si>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</si>
  <si>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</si>
  <si>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</si>
  <si>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</si>
  <si>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</si>
  <si>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</si>
  <si>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</si>
  <si>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</si>
  <si>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</si>
  <si>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</si>
  <si>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</si>
  <si>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</si>
  <si>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</si>
  <si>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</si>
  <si>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</si>
  <si>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</si>
  <si>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</si>
  <si>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</si>
  <si>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</si>
  <si>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</si>
  <si>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</si>
  <si>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</si>
  <si>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</si>
  <si>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</si>
  <si>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</si>
  <si>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</si>
  <si>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</si>
  <si>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</si>
  <si>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</si>
  <si>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</si>
  <si>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</si>
  <si>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</si>
  <si>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</si>
  <si>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</si>
  <si>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</si>
  <si>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</si>
  <si>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</si>
  <si>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</si>
  <si>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</si>
  <si>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</si>
  <si>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</si>
  <si>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</si>
  <si>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</si>
  <si>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</si>
  <si>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</si>
  <si>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</si>
  <si>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</si>
  <si>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</si>
  <si>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</si>
  <si>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</si>
  <si>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</si>
  <si>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</si>
  <si>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</si>
  <si>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</si>
  <si>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</si>
  <si>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</si>
  <si>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</si>
  <si>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</si>
  <si>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</si>
  <si>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</si>
  <si>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</si>
  <si>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</si>
  <si>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</si>
  <si>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</si>
  <si>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</si>
  <si>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</si>
  <si>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</si>
  <si>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</si>
  <si>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</si>
  <si>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</si>
  <si>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</si>
  <si>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</si>
  <si>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</si>
  <si>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</si>
  <si>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</si>
  <si>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</si>
  <si>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</si>
  <si>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</si>
  <si>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</si>
  <si>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</si>
  <si>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</si>
  <si>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</si>
  <si>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</si>
  <si>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</si>
  <si>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</si>
  <si>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</si>
  <si>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</si>
  <si>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</si>
  <si>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</si>
  <si>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</si>
  <si>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</si>
  <si>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</si>
  <si>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</si>
  <si>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</si>
  <si>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</si>
  <si>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</si>
  <si>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</si>
  <si>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</si>
  <si>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</si>
  <si>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</si>
  <si>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</si>
  <si>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</si>
  <si>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</si>
  <si>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</si>
  <si>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</si>
  <si>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</si>
  <si>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</si>
  <si>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</si>
  <si>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</si>
  <si>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</si>
  <si>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</si>
  <si>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</si>
  <si>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</si>
  <si>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</si>
  <si>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</si>
  <si>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</si>
  <si>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</si>
  <si>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</si>
  <si>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</si>
  <si>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</si>
  <si>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</si>
  <si>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</si>
  <si>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</si>
  <si>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</si>
  <si>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本プログラムではモデルカリキュラムの「導入」「心得」部分について、学部学科それぞれのユニットまたは科目の中で、動画とWebClass上での小テストによる共通の教材を使用している。小テストにより「導入」「心得」部分に関する学修の成果を把握している。「基礎」部分についてはユニットまたは科目ごとの内容となっている。ユニットまたは科目ごとの定期試験により「基礎」に関する学修の成果を測定している。</t>
    <phoneticPr fontId="1"/>
  </si>
  <si>
    <t>【医学部医学科】人体の基礎科学1・2の授業アンケートによると、講義を「理解できた」および「だいたい理解できた」と答えた人が回答者の87%であった。
【保健医療学部看護学科】情報リテラシーの授業評価で、「全体として内容をよく理解できたか」との質問に対する回答は5点満点で3.64であった。保健統計学の授業評価で、同じ質問に対する回答は5点満点で3.40であった。
【同臨床検査学科】情報科学実習の授業評価で、「全体として内容をよく理解できたか」との質問に対する回答は5点満点で3.67であった。統計学の授業評価で、同じ質問に対する回答は5点満点で3.83であった。
【同臨床工学科】情報リテラシー実習の授業評価で、「全体として内容をよく理解できたか」との質問に対する回答は5点満点で3.93であった。基礎統計学の授業評価で、同じ質問に対する回答は5点満点で4.23であった。
【同理学療法学科】情報科学演習の授業評価で、「全体として内容をよく理解できたか」との質問に対する回答は5点満点で3.94であった。基礎統計学の授業評価で、同じ質問に対する回答は5点満点で3.95であった。</t>
    <phoneticPr fontId="1"/>
  </si>
  <si>
    <t>埼玉医科大学</t>
    <rPh sb="0" eb="6">
      <t xml:space="preserve">サイタマイカダイガク </t>
    </rPh>
    <phoneticPr fontId="1"/>
  </si>
  <si>
    <t>鈴木　正</t>
    <rPh sb="0" eb="2">
      <t xml:space="preserve">スズキ </t>
    </rPh>
    <rPh sb="3" eb="4">
      <t xml:space="preserve">セイ </t>
    </rPh>
    <phoneticPr fontId="1"/>
  </si>
  <si>
    <t>准教授</t>
    <rPh sb="0" eb="3">
      <t xml:space="preserve">ジュンキョウジュ </t>
    </rPh>
    <phoneticPr fontId="1"/>
  </si>
  <si>
    <t>埼玉医科大学全学共通データサイエンスAI学修プログラム運営委員会規則</t>
    <rPh sb="0" eb="6">
      <t xml:space="preserve">サイタマイカダイガク </t>
    </rPh>
    <rPh sb="6" eb="8">
      <t xml:space="preserve">ゼンガク </t>
    </rPh>
    <rPh sb="8" eb="10">
      <t xml:space="preserve">キョウツウ </t>
    </rPh>
    <rPh sb="20" eb="22">
      <t xml:space="preserve">ガクシュウ </t>
    </rPh>
    <rPh sb="27" eb="32">
      <t xml:space="preserve">ウンエイイインカイ </t>
    </rPh>
    <rPh sb="32" eb="34">
      <t xml:space="preserve">キソク </t>
    </rPh>
    <phoneticPr fontId="1"/>
  </si>
  <si>
    <t>埼玉医科大学全学共通データサイエンスAI学修プログラム運営委員会</t>
    <rPh sb="0" eb="6">
      <t xml:space="preserve">サイタマイカダイガク </t>
    </rPh>
    <rPh sb="6" eb="8">
      <t xml:space="preserve">ゼンガク </t>
    </rPh>
    <rPh sb="8" eb="10">
      <t xml:space="preserve">キョウツウ </t>
    </rPh>
    <rPh sb="20" eb="22">
      <t xml:space="preserve">ガクシュウ </t>
    </rPh>
    <rPh sb="27" eb="29">
      <t xml:space="preserve">ウンエイ </t>
    </rPh>
    <rPh sb="29" eb="32">
      <t xml:space="preserve">イインカイ </t>
    </rPh>
    <phoneticPr fontId="1"/>
  </si>
  <si>
    <t>数理・データサイエンス・ＡＩ教育の基礎的な能力を育成するために必要な知識及び技術を体系的に修得させる教育プログラム「全学共通データサイエンスAI学修プログラム」の運用とともに必要な改善を図り、教育水準の向上に寄与することを目的とする。</t>
    <phoneticPr fontId="1"/>
  </si>
  <si>
    <t>令和4</t>
    <rPh sb="0" eb="2">
      <t xml:space="preserve">レイワ </t>
    </rPh>
    <phoneticPr fontId="1"/>
  </si>
  <si>
    <t>医学部医学科</t>
    <rPh sb="0" eb="3">
      <t xml:space="preserve">イガクブ </t>
    </rPh>
    <rPh sb="3" eb="6">
      <t xml:space="preserve">イガクカ </t>
    </rPh>
    <phoneticPr fontId="1"/>
  </si>
  <si>
    <t>保健医療学部看護学科</t>
    <rPh sb="0" eb="6">
      <t xml:space="preserve">ホケンイリョウガクブ </t>
    </rPh>
    <rPh sb="6" eb="10">
      <t xml:space="preserve">カンゴガッカ </t>
    </rPh>
    <phoneticPr fontId="1"/>
  </si>
  <si>
    <t>保健医療学部臨床検査学科</t>
    <rPh sb="0" eb="1">
      <t xml:space="preserve">ホケンイリョウガクブ </t>
    </rPh>
    <rPh sb="6" eb="8">
      <t xml:space="preserve">リンショウコウガクカ </t>
    </rPh>
    <rPh sb="8" eb="12">
      <t xml:space="preserve">ケンサガッカ </t>
    </rPh>
    <phoneticPr fontId="1"/>
  </si>
  <si>
    <t>保健医療学部臨床工学科</t>
    <rPh sb="0" eb="6">
      <t xml:space="preserve">ホケンイリョウガクブ </t>
    </rPh>
    <rPh sb="6" eb="7">
      <t xml:space="preserve">リンショウコウガクカ </t>
    </rPh>
    <phoneticPr fontId="1"/>
  </si>
  <si>
    <t>保健医療学部理学療法学科</t>
    <rPh sb="0" eb="6">
      <t xml:space="preserve">ホケンイリョウガクブ </t>
    </rPh>
    <rPh sb="6" eb="10">
      <t xml:space="preserve">リガクリョウホウ </t>
    </rPh>
    <rPh sb="10" eb="12">
      <t xml:space="preserve">ガッカ </t>
    </rPh>
    <phoneticPr fontId="1"/>
  </si>
  <si>
    <t>医学部医学科では人体の基礎科学1と2、保健医療学部看護学科では情報リテラシーと保健統計学、同学部臨床検査学科では情報科学実習と統計学、同学部臨床工学科では情報リテラシー実習と基礎統計学、同学部理学療法学科では情報科学演習と保健科学統計学演習が本プログラムの対象となっている。各学部・学科ごとに対象の2科目（または2ユニット）に合格した者は本プログラムの修了者として認定される。令和4年度の各科目（またはユニット）の履修者数・合格者数は次の通りである。
【医学部医学科】　人体の基礎科学1：履修者数133、合格者数128　人体の基礎科学2：履修者数133、合格者数130
【保健医療学部看護学科】　情報リテラシー：履修者数89、合格者数89　※保健統計学：履修者数84、合格者数84
【同臨床検査学科】　情報科学実習：履修者数42、合格者数40　統計学：履修者数43、合格者数42
【同臨床工学科】　情報リテラシー実習：履修者数29、基礎統計学28　情報科学演習：履修者数29、合格者数29
【同理学療法学科】　情報科学演習：履修者数50、合格者数50　※保健科学統計学演習；履修者数42、合格者数42
※保健統計学と保健科学統計学演習はそれぞれ3年次と4年次の科目のため、令和4年度開始の本プログラムの対象外。
プログラムの履修者数と修得者数は次の通りである。
【医学部医学科】133、127　【保健医療学部看護学科】89、0　【同臨床検査学科】42、40　【同臨床工学科】29、28　【同理学療法学科】50、0　（看護学科と理学療法学科では、プログラム対象科目が複数学年に渡るため、令和4年度はプログラムの修得者はゼロ）</t>
    <rPh sb="3" eb="6">
      <t xml:space="preserve">イガクカ </t>
    </rPh>
    <rPh sb="227" eb="230">
      <t xml:space="preserve">イガクブ </t>
    </rPh>
    <rPh sb="230" eb="233">
      <t xml:space="preserve">イガクカ </t>
    </rPh>
    <rPh sb="294" eb="296">
      <t xml:space="preserve">ガッカ </t>
    </rPh>
    <rPh sb="342" eb="343">
      <t xml:space="preserve">ドウ </t>
    </rPh>
    <rPh sb="347" eb="349">
      <t xml:space="preserve">ガッカ </t>
    </rPh>
    <rPh sb="391" eb="392">
      <t xml:space="preserve">ドウ </t>
    </rPh>
    <rPh sb="395" eb="397">
      <t xml:space="preserve">ガッカ </t>
    </rPh>
    <rPh sb="446" eb="447">
      <t xml:space="preserve">ドウ </t>
    </rPh>
    <rPh sb="451" eb="453">
      <t xml:space="preserve">ガッカ </t>
    </rPh>
    <rPh sb="502" eb="504">
      <t xml:space="preserve">ホケン </t>
    </rPh>
    <rPh sb="504" eb="507">
      <t xml:space="preserve">トウケイガク </t>
    </rPh>
    <rPh sb="508" eb="510">
      <t xml:space="preserve">ホケン </t>
    </rPh>
    <rPh sb="510" eb="512">
      <t xml:space="preserve">カガク </t>
    </rPh>
    <rPh sb="512" eb="515">
      <t xml:space="preserve">トウケイガク </t>
    </rPh>
    <rPh sb="515" eb="517">
      <t xml:space="preserve">エンシュウハ </t>
    </rPh>
    <rPh sb="524" eb="525">
      <t xml:space="preserve">ジ </t>
    </rPh>
    <rPh sb="530" eb="532">
      <t xml:space="preserve">カモク </t>
    </rPh>
    <rPh sb="536" eb="538">
      <t xml:space="preserve">レイワ </t>
    </rPh>
    <rPh sb="541" eb="543">
      <t xml:space="preserve">カイシ </t>
    </rPh>
    <rPh sb="544" eb="545">
      <t xml:space="preserve">ホン </t>
    </rPh>
    <rPh sb="551" eb="554">
      <t>タイショウホケン</t>
    </rPh>
    <rPh sb="562" eb="566">
      <t xml:space="preserve"> イリョウガクブ </t>
    </rPh>
    <rPh sb="567" eb="570">
      <t>リンショウケンサ</t>
    </rPh>
    <rPh sb="570" eb="571">
      <t xml:space="preserve"> ガッカ</t>
    </rPh>
    <rPh sb="572" eb="573">
      <t xml:space="preserve"> ドウ </t>
    </rPh>
    <rPh sb="574" eb="575">
      <t>リンショ</t>
    </rPh>
    <rPh sb="582" eb="585">
      <t>ウコウガク</t>
    </rPh>
    <rPh sb="585" eb="588">
      <t/>
    </rPh>
    <rPh sb="598" eb="600">
      <t xml:space="preserve">ホケンイリョウガクブ </t>
    </rPh>
    <rPh sb="600" eb="604">
      <t xml:space="preserve">イリョウガクブ </t>
    </rPh>
    <rPh sb="604" eb="608">
      <t xml:space="preserve">カンゴガッカ </t>
    </rPh>
    <rPh sb="615" eb="616">
      <t xml:space="preserve">ドウ </t>
    </rPh>
    <rPh sb="616" eb="620">
      <t xml:space="preserve">リンショウケンサ </t>
    </rPh>
    <rPh sb="620" eb="622">
      <t xml:space="preserve">ガッカ </t>
    </rPh>
    <rPh sb="630" eb="631">
      <t xml:space="preserve">ドウ </t>
    </rPh>
    <rPh sb="631" eb="636">
      <t xml:space="preserve">リンショウコウガクカ </t>
    </rPh>
    <rPh sb="644" eb="645">
      <t xml:space="preserve">ドウ </t>
    </rPh>
    <rPh sb="645" eb="649">
      <t xml:space="preserve">リガクリョウホウ </t>
    </rPh>
    <rPh sb="649" eb="651">
      <t xml:space="preserve">ガッカ </t>
    </rPh>
    <rPh sb="658" eb="660">
      <t xml:space="preserve">カンゴ </t>
    </rPh>
    <rPh sb="660" eb="662">
      <t xml:space="preserve">ガッカ </t>
    </rPh>
    <rPh sb="663" eb="665">
      <t xml:space="preserve">リガク </t>
    </rPh>
    <rPh sb="665" eb="667">
      <t xml:space="preserve">リョウホウ </t>
    </rPh>
    <rPh sb="667" eb="669">
      <t xml:space="preserve">ガッカ </t>
    </rPh>
    <rPh sb="677" eb="681">
      <t xml:space="preserve">タイショウカモクガ </t>
    </rPh>
    <rPh sb="682" eb="684">
      <t xml:space="preserve">フクスウ </t>
    </rPh>
    <rPh sb="684" eb="686">
      <t xml:space="preserve">ガクネンニ </t>
    </rPh>
    <rPh sb="687" eb="688">
      <t xml:space="preserve">ワタル </t>
    </rPh>
    <rPh sb="692" eb="694">
      <t xml:space="preserve">レイワ４ネンドハ </t>
    </rPh>
    <rPh sb="704" eb="706">
      <t xml:space="preserve">シュウトク </t>
    </rPh>
    <rPh sb="706" eb="707">
      <t xml:space="preserve">リシュウシャ </t>
    </rPh>
    <phoneticPr fontId="1"/>
  </si>
  <si>
    <t>本プログラムが対象する科目（またはユニット）は全て必修である。令和4年度以降の入学者は、休学者を除いて、全て本プログラムの履修者となる。そのため、令和8年度には保健医療学部における履修率がほぼ100%となる。医学部は6年制であるため、令和10年度以降に全学の履修率がほぼ100%となる。</t>
    <rPh sb="0" eb="1">
      <t xml:space="preserve">ホン </t>
    </rPh>
    <rPh sb="7" eb="9">
      <t xml:space="preserve">タイショウスル </t>
    </rPh>
    <rPh sb="11" eb="13">
      <t xml:space="preserve">カモク </t>
    </rPh>
    <rPh sb="23" eb="24">
      <t xml:space="preserve">スベテ </t>
    </rPh>
    <rPh sb="25" eb="27">
      <t xml:space="preserve">ヒッシュウ </t>
    </rPh>
    <rPh sb="31" eb="33">
      <t xml:space="preserve">レイワ </t>
    </rPh>
    <rPh sb="36" eb="38">
      <t xml:space="preserve">イコウノ </t>
    </rPh>
    <rPh sb="39" eb="42">
      <t xml:space="preserve">ニュウガクシャハ </t>
    </rPh>
    <rPh sb="44" eb="47">
      <t xml:space="preserve">キュウガクシャ </t>
    </rPh>
    <rPh sb="48" eb="49">
      <t xml:space="preserve">ノゾイテ </t>
    </rPh>
    <rPh sb="52" eb="53">
      <t xml:space="preserve">スベテ </t>
    </rPh>
    <rPh sb="54" eb="55">
      <t xml:space="preserve">ホンプログラムノ </t>
    </rPh>
    <rPh sb="61" eb="64">
      <t xml:space="preserve">リシュウシャトナル </t>
    </rPh>
    <rPh sb="73" eb="75">
      <t xml:space="preserve">レイワ </t>
    </rPh>
    <rPh sb="76" eb="78">
      <t xml:space="preserve">ネンド </t>
    </rPh>
    <rPh sb="80" eb="84">
      <t xml:space="preserve">ホケンイリョウガク </t>
    </rPh>
    <rPh sb="84" eb="86">
      <t xml:space="preserve">ガクブ </t>
    </rPh>
    <rPh sb="90" eb="93">
      <t xml:space="preserve">リシュウリツハ </t>
    </rPh>
    <rPh sb="104" eb="107">
      <t xml:space="preserve">イガクブ </t>
    </rPh>
    <rPh sb="117" eb="119">
      <t xml:space="preserve">レイワ </t>
    </rPh>
    <rPh sb="121" eb="123">
      <t xml:space="preserve">ネンド </t>
    </rPh>
    <rPh sb="123" eb="125">
      <t xml:space="preserve">イコウ </t>
    </rPh>
    <rPh sb="126" eb="128">
      <t xml:space="preserve">ゼンガク </t>
    </rPh>
    <rPh sb="129" eb="132">
      <t xml:space="preserve">リシュウリツガ </t>
    </rPh>
    <phoneticPr fontId="1"/>
  </si>
  <si>
    <t>本プログラムが対象とするすべての科目（またはユニット）は必修科目であり、その合格が卒業の要件に含まれている。したがって、令和4年度以降に本学に入学したすべての学生は、卒業までに本プログラムを履修し、修得することが義務付けられている。また、必修科目（またはユニット）の時間割が学科ごとに一つに定まっているため、学生は自然に本プログラムを履修するようになっている。</t>
    <rPh sb="0" eb="1">
      <t xml:space="preserve">ホンプログラム </t>
    </rPh>
    <rPh sb="7" eb="9">
      <t xml:space="preserve">タイショウトスル </t>
    </rPh>
    <rPh sb="16" eb="18">
      <t xml:space="preserve">カモク </t>
    </rPh>
    <rPh sb="28" eb="30">
      <t xml:space="preserve">ヒッシュウ </t>
    </rPh>
    <rPh sb="30" eb="32">
      <t xml:space="preserve">カモクデアリ </t>
    </rPh>
    <rPh sb="38" eb="40">
      <t xml:space="preserve">ゴウカク </t>
    </rPh>
    <rPh sb="41" eb="43">
      <t xml:space="preserve">ソツギョウ </t>
    </rPh>
    <rPh sb="44" eb="46">
      <t xml:space="preserve">ヨウケン </t>
    </rPh>
    <rPh sb="47" eb="48">
      <t xml:space="preserve">フクマレテイル </t>
    </rPh>
    <rPh sb="60" eb="62">
      <t xml:space="preserve">レイワ </t>
    </rPh>
    <rPh sb="68" eb="70">
      <t xml:space="preserve">ホンガクニ </t>
    </rPh>
    <rPh sb="71" eb="73">
      <t xml:space="preserve">ニュウガク </t>
    </rPh>
    <rPh sb="79" eb="81">
      <t xml:space="preserve">ガクセイハ </t>
    </rPh>
    <rPh sb="83" eb="85">
      <t xml:space="preserve">ソツギョウマデニ </t>
    </rPh>
    <rPh sb="88" eb="89">
      <t xml:space="preserve">ホンプログラムヲ </t>
    </rPh>
    <rPh sb="95" eb="97">
      <t xml:space="preserve">リシュウスル </t>
    </rPh>
    <rPh sb="99" eb="101">
      <t xml:space="preserve">シュウトク </t>
    </rPh>
    <rPh sb="106" eb="109">
      <t xml:space="preserve">ギムヅケラレル </t>
    </rPh>
    <rPh sb="119" eb="123">
      <t xml:space="preserve">ヒッシュウカモク </t>
    </rPh>
    <rPh sb="133" eb="136">
      <t xml:space="preserve">ジカンワリ </t>
    </rPh>
    <rPh sb="137" eb="139">
      <t xml:space="preserve">ガッカゴトニ </t>
    </rPh>
    <rPh sb="142" eb="143">
      <t xml:space="preserve">ヒトツニ </t>
    </rPh>
    <rPh sb="145" eb="146">
      <t xml:space="preserve">サダマッテイル </t>
    </rPh>
    <rPh sb="154" eb="156">
      <t xml:space="preserve">ガクセイハ </t>
    </rPh>
    <rPh sb="157" eb="159">
      <t xml:space="preserve">シゼンニ </t>
    </rPh>
    <rPh sb="160" eb="161">
      <t xml:space="preserve">ホンプログラム </t>
    </rPh>
    <rPh sb="167" eb="169">
      <t xml:space="preserve">リシュウ </t>
    </rPh>
    <phoneticPr fontId="1"/>
  </si>
  <si>
    <t>各学科ごとに行われる入学時のオリエンテーションにおいて本プログラムの説明を行なっている。また、本学のウェブサイトのメインページ、および医学部と保健医療学部のウェブサイトのメインページに本プログラムのバナーを置き、本プログラムのホームページにアクセスしやすいようにしている。</t>
    <rPh sb="1" eb="3">
      <t xml:space="preserve">ガッカ </t>
    </rPh>
    <rPh sb="6" eb="7">
      <t xml:space="preserve">オコナワレル </t>
    </rPh>
    <rPh sb="10" eb="13">
      <t xml:space="preserve">ニュウガクジノ </t>
    </rPh>
    <rPh sb="27" eb="28">
      <t xml:space="preserve">ホンプログラム </t>
    </rPh>
    <rPh sb="34" eb="36">
      <t xml:space="preserve">セツメイヲ </t>
    </rPh>
    <rPh sb="37" eb="38">
      <t xml:space="preserve">オコナッテイル </t>
    </rPh>
    <rPh sb="47" eb="49">
      <t xml:space="preserve">ホンガク </t>
    </rPh>
    <rPh sb="60" eb="63">
      <t xml:space="preserve">イガクブ </t>
    </rPh>
    <rPh sb="64" eb="70">
      <t xml:space="preserve">ホケンイリョウガクブノ </t>
    </rPh>
    <rPh sb="92" eb="93">
      <t xml:space="preserve">ホンプログラムノ </t>
    </rPh>
    <rPh sb="103" eb="104">
      <t xml:space="preserve">オキ </t>
    </rPh>
    <rPh sb="106" eb="107">
      <t xml:space="preserve">ホンプログラム </t>
    </rPh>
    <phoneticPr fontId="1"/>
  </si>
  <si>
    <t>「導入」「心得」については全学共通の動画を作成している。動画の視聴後に、理解の定着を促すために小テストをオンラインで行なっている。小テストの結果は成績には含まれないが、実施によって出欠を判断している。「基礎」については学科ごとに専門性に応じた授業を行なっている。
医学部では定期試験により評価を行なっている。定期試験に不合格した学生は再試験を受験することができる。</t>
    <rPh sb="1" eb="3">
      <t xml:space="preserve">ドウニュウ </t>
    </rPh>
    <rPh sb="5" eb="7">
      <t xml:space="preserve">ココロエ </t>
    </rPh>
    <rPh sb="13" eb="15">
      <t xml:space="preserve">ゼンガク </t>
    </rPh>
    <rPh sb="15" eb="17">
      <t xml:space="preserve">キョウツウノ </t>
    </rPh>
    <rPh sb="18" eb="20">
      <t xml:space="preserve">ドウガ </t>
    </rPh>
    <rPh sb="21" eb="23">
      <t xml:space="preserve">サクセイシテ </t>
    </rPh>
    <rPh sb="28" eb="30">
      <t xml:space="preserve">ドウガ </t>
    </rPh>
    <rPh sb="31" eb="33">
      <t xml:space="preserve">シチョウシタアトニ </t>
    </rPh>
    <rPh sb="36" eb="38">
      <t xml:space="preserve">リカイノ </t>
    </rPh>
    <rPh sb="39" eb="41">
      <t xml:space="preserve">テイチャク </t>
    </rPh>
    <rPh sb="42" eb="43">
      <t xml:space="preserve">ウナガスタメノ </t>
    </rPh>
    <rPh sb="47" eb="48">
      <t xml:space="preserve">ショウテスト </t>
    </rPh>
    <rPh sb="58" eb="59">
      <t xml:space="preserve">オコナッテイル </t>
    </rPh>
    <rPh sb="65" eb="66">
      <t xml:space="preserve">ショウテスト </t>
    </rPh>
    <rPh sb="70" eb="72">
      <t xml:space="preserve">ケッカハ </t>
    </rPh>
    <rPh sb="73" eb="75">
      <t xml:space="preserve">セイセキニ </t>
    </rPh>
    <rPh sb="77" eb="78">
      <t xml:space="preserve">フクマレナイ </t>
    </rPh>
    <rPh sb="84" eb="86">
      <t xml:space="preserve">ジッシニヨッテ </t>
    </rPh>
    <rPh sb="90" eb="92">
      <t xml:space="preserve">シュッケツ </t>
    </rPh>
    <rPh sb="93" eb="95">
      <t xml:space="preserve">ハンダン </t>
    </rPh>
    <rPh sb="101" eb="103">
      <t xml:space="preserve">キソ </t>
    </rPh>
    <rPh sb="109" eb="111">
      <t xml:space="preserve">ガッカゴトニ </t>
    </rPh>
    <rPh sb="114" eb="117">
      <t xml:space="preserve">センモンセイ </t>
    </rPh>
    <rPh sb="118" eb="119">
      <t xml:space="preserve">オウジタ </t>
    </rPh>
    <rPh sb="121" eb="123">
      <t xml:space="preserve">ジュギョウ </t>
    </rPh>
    <rPh sb="124" eb="125">
      <t xml:space="preserve">オコナッテイル </t>
    </rPh>
    <rPh sb="132" eb="135">
      <t xml:space="preserve">イガクブデハ </t>
    </rPh>
    <rPh sb="137" eb="141">
      <t xml:space="preserve">テイキシケン </t>
    </rPh>
    <rPh sb="144" eb="146">
      <t xml:space="preserve">ヒョウカヲ </t>
    </rPh>
    <rPh sb="147" eb="148">
      <t xml:space="preserve">オコナッテイル </t>
    </rPh>
    <rPh sb="154" eb="158">
      <t xml:space="preserve">テイキシケンニ </t>
    </rPh>
    <rPh sb="159" eb="162">
      <t xml:space="preserve">フゴウカクシタ </t>
    </rPh>
    <rPh sb="164" eb="166">
      <t xml:space="preserve">ガクセイハ </t>
    </rPh>
    <rPh sb="167" eb="170">
      <t xml:space="preserve">サイシケン </t>
    </rPh>
    <rPh sb="171" eb="173">
      <t xml:space="preserve">ジュケン </t>
    </rPh>
    <phoneticPr fontId="1"/>
  </si>
  <si>
    <t>学部・学科によって、修了要件は相違する</t>
  </si>
  <si>
    <t>○</t>
  </si>
  <si>
    <t>4-1統計および数理基礎</t>
  </si>
  <si>
    <t>別所正美</t>
    <rPh sb="0" eb="2">
      <t xml:space="preserve">ベッショ </t>
    </rPh>
    <rPh sb="2" eb="4">
      <t xml:space="preserve">マサミ </t>
    </rPh>
    <phoneticPr fontId="1"/>
  </si>
  <si>
    <t>学長</t>
    <rPh sb="0" eb="2">
      <t xml:space="preserve">ガクチョウ </t>
    </rPh>
    <phoneticPr fontId="1"/>
  </si>
  <si>
    <t>埼玉医科大学自己点検・評価委員会</t>
    <rPh sb="0" eb="6">
      <t xml:space="preserve">サイタマイカダイガク </t>
    </rPh>
    <rPh sb="6" eb="10">
      <t xml:space="preserve">ジコテンケン </t>
    </rPh>
    <rPh sb="11" eb="13">
      <t xml:space="preserve">ヒョウカ </t>
    </rPh>
    <rPh sb="13" eb="16">
      <t xml:space="preserve">イインカイ </t>
    </rPh>
    <phoneticPr fontId="1"/>
  </si>
  <si>
    <t>授業時間内では、複数の授業担当教員を配置しているので、演習形式の授業では対話しながらの指導を行っている。また小テストによる理解度確認を行い、質疑応答を適宜実施している。
授業時間外では、医学部・保健医療学部の両学部において、教員が学生からの質問や相談などを受け付けるオフィスアワーを設け、担当科目のシラバスに記載している。また、各科目では学修支援システムWebClassを利用し、メールによる教員への質問が可能である。
その他、授業評価・学生生活アンケート・卒業時満足度調査、学部長あての投書箱などで、学生の意見を出来るだけ吸い上げている。さらに学生と教員とが参加する学年小委員会（医学部）/学生懇談会（保健医療学部）を実施して様々な話題について話し合う機会を設けているが現状ではコロナ禍により開催しにくい状況にある。</t>
    <phoneticPr fontId="1"/>
  </si>
  <si>
    <t>令和4年度に本プログラムを修了した学生に対してアンケートを行い、「本プログラムを後輩にどのように伝えたいか？」と聞いたところ、「役に立つ」「面白い、楽しい」と答えた人の割合が47.3%、「普通」と答えた人が40.3%であった。したがって、約半数の学生が本プログラムを後輩に前向きに推奨していると言える。今後、その割合を増やせるようにプログラムを改善したい。</t>
    <rPh sb="0" eb="2">
      <t xml:space="preserve">レイワ </t>
    </rPh>
    <rPh sb="3" eb="5">
      <t xml:space="preserve">ネンドニ </t>
    </rPh>
    <rPh sb="6" eb="7">
      <t xml:space="preserve">ホン </t>
    </rPh>
    <rPh sb="13" eb="15">
      <t xml:space="preserve">シュウリョウシタ </t>
    </rPh>
    <rPh sb="17" eb="19">
      <t xml:space="preserve">ガクセイヲ </t>
    </rPh>
    <rPh sb="20" eb="21">
      <t xml:space="preserve">タイシテ </t>
    </rPh>
    <rPh sb="29" eb="30">
      <t xml:space="preserve">オコナイ </t>
    </rPh>
    <rPh sb="33" eb="34">
      <t xml:space="preserve">ホンプログラムヲ </t>
    </rPh>
    <rPh sb="40" eb="42">
      <t xml:space="preserve">コウハイニ </t>
    </rPh>
    <rPh sb="48" eb="49">
      <t xml:space="preserve">ツタエタイカ </t>
    </rPh>
    <rPh sb="56" eb="57">
      <t xml:space="preserve">キイタトコロ </t>
    </rPh>
    <rPh sb="64" eb="65">
      <t xml:space="preserve">ヤクニタツ </t>
    </rPh>
    <rPh sb="70" eb="72">
      <t xml:space="preserve">オモシロイ </t>
    </rPh>
    <rPh sb="74" eb="75">
      <t xml:space="preserve">タノシイ </t>
    </rPh>
    <rPh sb="82" eb="83">
      <t xml:space="preserve">ヒトノ </t>
    </rPh>
    <rPh sb="84" eb="86">
      <t xml:space="preserve">ワリアイガ </t>
    </rPh>
    <rPh sb="94" eb="96">
      <t xml:space="preserve">フツウ </t>
    </rPh>
    <rPh sb="98" eb="99">
      <t xml:space="preserve">コタエタヒト </t>
    </rPh>
    <rPh sb="119" eb="122">
      <t xml:space="preserve">ヤクハンスウノ </t>
    </rPh>
    <rPh sb="123" eb="125">
      <t xml:space="preserve">ガクセイガ </t>
    </rPh>
    <rPh sb="126" eb="127">
      <t xml:space="preserve">ホンプログラムヲ </t>
    </rPh>
    <rPh sb="133" eb="135">
      <t xml:space="preserve">コウハイニ </t>
    </rPh>
    <rPh sb="136" eb="138">
      <t xml:space="preserve">マエムキニ </t>
    </rPh>
    <rPh sb="140" eb="142">
      <t xml:space="preserve">スイショウシテイルコトガ </t>
    </rPh>
    <rPh sb="147" eb="148">
      <t xml:space="preserve">イエル </t>
    </rPh>
    <rPh sb="151" eb="153">
      <t xml:space="preserve">コンゴ </t>
    </rPh>
    <rPh sb="156" eb="158">
      <t xml:space="preserve">ワリアイヲ </t>
    </rPh>
    <rPh sb="159" eb="160">
      <t xml:space="preserve">フヤセルヨウニ </t>
    </rPh>
    <rPh sb="172" eb="174">
      <t xml:space="preserve">カイゼン </t>
    </rPh>
    <phoneticPr fontId="1"/>
  </si>
  <si>
    <t>本プログラムが対象する科目（またはユニット）は全て必修であり、履修率は100%となっている。したがって履修率向上の取り組みを必要としない。なお、学習のモチベーションを高めるために、学科ごとの新入生オリエンテーションの中で本プログラムを説明している。</t>
    <rPh sb="7" eb="9">
      <t xml:space="preserve">タイショウスル </t>
    </rPh>
    <rPh sb="11" eb="13">
      <t xml:space="preserve">カモク </t>
    </rPh>
    <rPh sb="23" eb="24">
      <t xml:space="preserve">スベテ </t>
    </rPh>
    <rPh sb="25" eb="27">
      <t xml:space="preserve">ヒッシュウ </t>
    </rPh>
    <rPh sb="31" eb="34">
      <t xml:space="preserve">リシュウリツ </t>
    </rPh>
    <rPh sb="51" eb="56">
      <t xml:space="preserve">リシュウリツコウジョウ </t>
    </rPh>
    <rPh sb="57" eb="58">
      <t xml:space="preserve">トリクミ </t>
    </rPh>
    <rPh sb="62" eb="64">
      <t xml:space="preserve">ヒツヨウトシナイ </t>
    </rPh>
    <rPh sb="72" eb="74">
      <t xml:space="preserve">ガッカゴトノ </t>
    </rPh>
    <rPh sb="77" eb="80">
      <t xml:space="preserve">シンニュウセイ </t>
    </rPh>
    <rPh sb="94" eb="95">
      <t xml:space="preserve">ナカデ </t>
    </rPh>
    <rPh sb="96" eb="97">
      <t xml:space="preserve">ホンプログラム </t>
    </rPh>
    <rPh sb="103" eb="105">
      <t xml:space="preserve">ショウカイシ </t>
    </rPh>
    <rPh sb="107" eb="109">
      <t xml:space="preserve">ガクシュウヘノ </t>
    </rPh>
    <rPh sb="117" eb="119">
      <t xml:space="preserve">セツメイ </t>
    </rPh>
    <phoneticPr fontId="1"/>
  </si>
  <si>
    <t>「導入」および「心得」についての動画教材については、授業ごとにアンケートを実施し、その結果を埼玉医科大学全学共通データサイエンスAI学修プログラム運営委員会が検討して、教材を改善する。「基礎」および「選択」については、学期ごとの授業アンケートを授業担当者にフィードバックすることにより授業改善を図っている。</t>
    <rPh sb="1" eb="3">
      <t xml:space="preserve">ドウニュウ </t>
    </rPh>
    <rPh sb="8" eb="10">
      <t xml:space="preserve">ココロエ </t>
    </rPh>
    <rPh sb="16" eb="20">
      <t xml:space="preserve">ドウガキョウザイ </t>
    </rPh>
    <rPh sb="26" eb="28">
      <t xml:space="preserve">ジュギョウ </t>
    </rPh>
    <rPh sb="37" eb="39">
      <t xml:space="preserve">ジッシシ </t>
    </rPh>
    <rPh sb="46" eb="48">
      <t xml:space="preserve">キョウザイノ </t>
    </rPh>
    <rPh sb="49" eb="51">
      <t xml:space="preserve">カイゼンスル </t>
    </rPh>
    <rPh sb="55" eb="57">
      <t xml:space="preserve">キソ </t>
    </rPh>
    <rPh sb="62" eb="64">
      <t xml:space="preserve">センタク </t>
    </rPh>
    <rPh sb="71" eb="73">
      <t xml:space="preserve">ガッキゴト </t>
    </rPh>
    <rPh sb="76" eb="78">
      <t xml:space="preserve">ジュギョウアンケート </t>
    </rPh>
    <rPh sb="79" eb="81">
      <t xml:space="preserve">ケントウシテ </t>
    </rPh>
    <rPh sb="90" eb="95">
      <t xml:space="preserve">ジュギョウタントウシャ </t>
    </rPh>
    <rPh sb="110" eb="114">
      <t xml:space="preserve">ジュギョウカイゼン </t>
    </rPh>
    <rPh sb="115" eb="116">
      <t>ハカッテイル</t>
    </rPh>
    <phoneticPr fontId="1"/>
  </si>
  <si>
    <t>人体の基礎科学１</t>
    <rPh sb="0" eb="2">
      <t xml:space="preserve">ジンタイノ </t>
    </rPh>
    <rPh sb="5" eb="7">
      <t xml:space="preserve">カガク </t>
    </rPh>
    <phoneticPr fontId="1"/>
  </si>
  <si>
    <t>人体の基礎科学１</t>
    <rPh sb="0" eb="2">
      <t xml:space="preserve">ジンタイノ </t>
    </rPh>
    <rPh sb="3" eb="7">
      <t xml:space="preserve">キソカガク </t>
    </rPh>
    <phoneticPr fontId="1"/>
  </si>
  <si>
    <t>人体の基礎科学２</t>
    <rPh sb="0" eb="1">
      <t xml:space="preserve">ジンタイノ </t>
    </rPh>
    <rPh sb="3" eb="4">
      <t xml:space="preserve">キソカガク </t>
    </rPh>
    <phoneticPr fontId="1"/>
  </si>
  <si>
    <t>「人体の基礎科学１」および「人体の基礎科学２」の２ユニットに合格すること。
補足：医学部医学科は単位制をとっておりません。「人体の基礎科学1」は全部で70コマあり、そのうちデータサイエンスに関するコマは10コマです。「人体の基礎科学2」は同様に72コマあり、そのうちデータサイエンスに関するコマは7コマです。単位制ではないため、下の単位数は空欄としています。</t>
    <rPh sb="1" eb="3">
      <t xml:space="preserve">ジンタイノ </t>
    </rPh>
    <rPh sb="4" eb="8">
      <t xml:space="preserve">キソカガク </t>
    </rPh>
    <rPh sb="14" eb="16">
      <t xml:space="preserve">ジンタイノ </t>
    </rPh>
    <rPh sb="17" eb="21">
      <t xml:space="preserve">キソカガク </t>
    </rPh>
    <rPh sb="30" eb="32">
      <t xml:space="preserve">ゴウカク </t>
    </rPh>
    <rPh sb="37" eb="39">
      <t xml:space="preserve">ホソク </t>
    </rPh>
    <rPh sb="41" eb="44">
      <t xml:space="preserve">イガクブ </t>
    </rPh>
    <rPh sb="44" eb="47">
      <t xml:space="preserve">イガクカ </t>
    </rPh>
    <rPh sb="48" eb="51">
      <t xml:space="preserve">タンイセイ </t>
    </rPh>
    <rPh sb="61" eb="63">
      <t xml:space="preserve">ジンタイノ </t>
    </rPh>
    <rPh sb="64" eb="68">
      <t xml:space="preserve">キソカガク </t>
    </rPh>
    <rPh sb="71" eb="73">
      <t xml:space="preserve">ゼンブ </t>
    </rPh>
    <rPh sb="94" eb="95">
      <t xml:space="preserve">カンスル </t>
    </rPh>
    <rPh sb="108" eb="110">
      <t xml:space="preserve">ジンタイノ </t>
    </rPh>
    <rPh sb="111" eb="115">
      <t xml:space="preserve">キソカガク </t>
    </rPh>
    <rPh sb="118" eb="120">
      <t xml:space="preserve">ドウヨウニ </t>
    </rPh>
    <rPh sb="141" eb="142">
      <t xml:space="preserve">カンスル </t>
    </rPh>
    <rPh sb="154" eb="157">
      <t xml:space="preserve">タンイセイ </t>
    </rPh>
    <rPh sb="164" eb="165">
      <t xml:space="preserve">シタノ </t>
    </rPh>
    <rPh sb="166" eb="169">
      <t xml:space="preserve">ヒツヨウタンイスウ </t>
    </rPh>
    <rPh sb="170" eb="172">
      <t xml:space="preserve">クウラン </t>
    </rPh>
    <phoneticPr fontId="1"/>
  </si>
  <si>
    <t>医療におけるデータサイエンス・AIの必要性、それらを扱う際に人間中心の適切な判断を行うための倫理観、情報の基本的性質と安全管理の考え方、コンピューターシステムの構成とその役割、エクセルを用いた記述統計とグラフ作成に関する知識を修得することができる。</t>
    <rPh sb="80" eb="82">
      <t xml:space="preserve">コウセイ </t>
    </rPh>
    <phoneticPr fontId="1"/>
  </si>
  <si>
    <t>本学は、立地自治体である毛呂山町役場および日高市役所に本学のカリキュラムや取り組みなどを説明し、先方から意見を伺う機会を有している。この仕組みを利用し、自治体からの意見を本プログラムの内容およびやり方に反映させることを計画している。また、臨床研修先の学外病院や本学のグループ病院の各部署にアンケートを実施し、本プログラムの内容・手法について意見を伺うことも計画している。</t>
    <rPh sb="0" eb="2">
      <t xml:space="preserve">ホンガク </t>
    </rPh>
    <rPh sb="4" eb="6">
      <t xml:space="preserve">リッチ </t>
    </rPh>
    <rPh sb="6" eb="9">
      <t xml:space="preserve">ジチタイ </t>
    </rPh>
    <rPh sb="12" eb="15">
      <t xml:space="preserve">モロヤマ </t>
    </rPh>
    <rPh sb="15" eb="16">
      <t xml:space="preserve">マチ </t>
    </rPh>
    <rPh sb="16" eb="18">
      <t xml:space="preserve">ヤクバ </t>
    </rPh>
    <rPh sb="21" eb="26">
      <t xml:space="preserve">ヒダカシヤクショ </t>
    </rPh>
    <rPh sb="27" eb="29">
      <t xml:space="preserve">ホンガクノ </t>
    </rPh>
    <rPh sb="37" eb="38">
      <t xml:space="preserve">トリクミ </t>
    </rPh>
    <rPh sb="44" eb="46">
      <t xml:space="preserve">セツメイシ </t>
    </rPh>
    <rPh sb="48" eb="50">
      <t xml:space="preserve">センポウカラ </t>
    </rPh>
    <rPh sb="52" eb="54">
      <t xml:space="preserve">イケンヲ </t>
    </rPh>
    <rPh sb="55" eb="56">
      <t xml:space="preserve">ウカガウ </t>
    </rPh>
    <rPh sb="57" eb="59">
      <t xml:space="preserve">キカイヲ </t>
    </rPh>
    <rPh sb="60" eb="61">
      <t xml:space="preserve">ユウシテイル </t>
    </rPh>
    <rPh sb="68" eb="70">
      <t xml:space="preserve">シクミヲ </t>
    </rPh>
    <rPh sb="72" eb="74">
      <t xml:space="preserve">リヨウシ </t>
    </rPh>
    <rPh sb="76" eb="79">
      <t xml:space="preserve">ジチタイ </t>
    </rPh>
    <rPh sb="82" eb="84">
      <t xml:space="preserve">イケンヲ </t>
    </rPh>
    <rPh sb="85" eb="86">
      <t xml:space="preserve">ホン </t>
    </rPh>
    <rPh sb="92" eb="94">
      <t xml:space="preserve">ナイヨウ </t>
    </rPh>
    <rPh sb="101" eb="103">
      <t xml:space="preserve">ハンエイ </t>
    </rPh>
    <rPh sb="109" eb="111">
      <t xml:space="preserve">ケイカク </t>
    </rPh>
    <rPh sb="119" eb="121">
      <t xml:space="preserve">リンショウケンシュウサイキノ </t>
    </rPh>
    <rPh sb="121" eb="123">
      <t xml:space="preserve">ケンシュウ </t>
    </rPh>
    <rPh sb="123" eb="124">
      <t xml:space="preserve">サキノ </t>
    </rPh>
    <rPh sb="125" eb="127">
      <t xml:space="preserve">ガクガイ </t>
    </rPh>
    <rPh sb="127" eb="129">
      <t xml:space="preserve">ビョウインニ </t>
    </rPh>
    <rPh sb="130" eb="132">
      <t xml:space="preserve">ホンガク </t>
    </rPh>
    <rPh sb="137" eb="139">
      <t xml:space="preserve">ビョウイン </t>
    </rPh>
    <rPh sb="140" eb="141">
      <t>✍️</t>
    </rPh>
    <rPh sb="141" eb="143">
      <t xml:space="preserve">ブショ </t>
    </rPh>
    <rPh sb="150" eb="152">
      <t xml:space="preserve">ジッシヒ </t>
    </rPh>
    <rPh sb="154" eb="155">
      <t xml:space="preserve">ホンプログラム </t>
    </rPh>
    <rPh sb="161" eb="163">
      <t xml:space="preserve">ナイヨウ </t>
    </rPh>
    <rPh sb="164" eb="166">
      <t xml:space="preserve">シュホウ </t>
    </rPh>
    <rPh sb="170" eb="172">
      <t xml:space="preserve">イケンヲ </t>
    </rPh>
    <rPh sb="173" eb="174">
      <t xml:space="preserve">ウカガウ </t>
    </rPh>
    <rPh sb="178" eb="180">
      <t xml:space="preserve">ケイカク </t>
    </rPh>
    <phoneticPr fontId="1"/>
  </si>
  <si>
    <t xml:space="preserve">委員長：鈴木　正（医学部教養教育准教授） 
副委員長：茅野　秀一（保健医療学部臨床検査学科特任教授）
小林　直樹（保健医療学部臨床工学科教授） 
國澤　洋介（保健医療学部理学療法学科教授）
松坂　充子（保健医療学部看護学科講師）
是村　利幸（保健医療学部共通教育部門講師）
近藤　有寛（大学事務部医学部事務室）
佐藤　志音（大学事務部医学部事務室）
細田　さなえ（大学事務部医学部事務室）
青木　正人（大学事務部保健医療学部事務室）
岡田　一観（大学事務部保健医療学部事務室）
</t>
    <rPh sb="0" eb="3">
      <t xml:space="preserve">イインチョウ </t>
    </rPh>
    <rPh sb="4" eb="6">
      <t xml:space="preserve">スズキ </t>
    </rPh>
    <rPh sb="7" eb="8">
      <t xml:space="preserve">セイ </t>
    </rPh>
    <rPh sb="9" eb="12">
      <t xml:space="preserve">ジュンキョウジュ </t>
    </rPh>
    <rPh sb="13" eb="16">
      <t xml:space="preserve">イガクブ </t>
    </rPh>
    <rPh sb="16" eb="18">
      <t xml:space="preserve">キョウヨウ </t>
    </rPh>
    <rPh sb="18" eb="19">
      <t xml:space="preserve">キョウイク </t>
    </rPh>
    <rPh sb="22" eb="26">
      <t xml:space="preserve">フクイインチョウ </t>
    </rPh>
    <rPh sb="27" eb="29">
      <t xml:space="preserve">カヤノ </t>
    </rPh>
    <rPh sb="30" eb="32">
      <t xml:space="preserve">ヒデカズ </t>
    </rPh>
    <rPh sb="33" eb="39">
      <t xml:space="preserve">ホケンイリョウガクブ </t>
    </rPh>
    <rPh sb="39" eb="45">
      <t xml:space="preserve">リンショウケンサガッカ </t>
    </rPh>
    <rPh sb="45" eb="47">
      <t xml:space="preserve">トクニン </t>
    </rPh>
    <rPh sb="47" eb="49">
      <t xml:space="preserve">キョウジュ </t>
    </rPh>
    <rPh sb="51" eb="53">
      <t xml:space="preserve">コバヤシ </t>
    </rPh>
    <rPh sb="54" eb="56">
      <t xml:space="preserve">ナオキ </t>
    </rPh>
    <rPh sb="57" eb="63">
      <t xml:space="preserve">ホケンイリョウガクブ </t>
    </rPh>
    <rPh sb="63" eb="68">
      <t xml:space="preserve">リンショウコウガッカ </t>
    </rPh>
    <rPh sb="68" eb="70">
      <t xml:space="preserve">キョウジュ </t>
    </rPh>
    <rPh sb="73" eb="75">
      <t xml:space="preserve">クニサワ </t>
    </rPh>
    <rPh sb="76" eb="78">
      <t xml:space="preserve">ヨウスケ </t>
    </rPh>
    <rPh sb="79" eb="85">
      <t xml:space="preserve">ホケンイリョウガクブ </t>
    </rPh>
    <rPh sb="85" eb="87">
      <t xml:space="preserve">リガク </t>
    </rPh>
    <rPh sb="87" eb="89">
      <t xml:space="preserve">リョウホウ </t>
    </rPh>
    <rPh sb="89" eb="91">
      <t xml:space="preserve">ガッカ </t>
    </rPh>
    <rPh sb="91" eb="93">
      <t xml:space="preserve">ジュンキョウジュ </t>
    </rPh>
    <rPh sb="95" eb="97">
      <t xml:space="preserve">マツザカ </t>
    </rPh>
    <rPh sb="98" eb="100">
      <t xml:space="preserve">ミツコ </t>
    </rPh>
    <rPh sb="101" eb="107">
      <t xml:space="preserve">ホケンイリョウガクブ </t>
    </rPh>
    <rPh sb="107" eb="111">
      <t xml:space="preserve">カンゴガッカ </t>
    </rPh>
    <rPh sb="111" eb="113">
      <t xml:space="preserve">コウシ </t>
    </rPh>
    <rPh sb="115" eb="117">
      <t xml:space="preserve">コレムラ </t>
    </rPh>
    <rPh sb="118" eb="120">
      <t xml:space="preserve">トシユキ </t>
    </rPh>
    <rPh sb="121" eb="127">
      <t xml:space="preserve">ホケンイリョウガクブ </t>
    </rPh>
    <rPh sb="127" eb="133">
      <t xml:space="preserve">キョウツウブモン </t>
    </rPh>
    <rPh sb="133" eb="135">
      <t xml:space="preserve">コウシ </t>
    </rPh>
    <rPh sb="137" eb="139">
      <t xml:space="preserve">コンドウ </t>
    </rPh>
    <rPh sb="140" eb="141">
      <t xml:space="preserve">ユウ </t>
    </rPh>
    <rPh sb="141" eb="142">
      <t xml:space="preserve">ヒロシ </t>
    </rPh>
    <rPh sb="143" eb="148">
      <t xml:space="preserve">ダイガクジムブ </t>
    </rPh>
    <rPh sb="148" eb="151">
      <t xml:space="preserve">イガクブ </t>
    </rPh>
    <rPh sb="151" eb="154">
      <t xml:space="preserve">ジムシツ </t>
    </rPh>
    <rPh sb="156" eb="158">
      <t xml:space="preserve">サトウ </t>
    </rPh>
    <rPh sb="159" eb="161">
      <t xml:space="preserve">シオン </t>
    </rPh>
    <rPh sb="162" eb="164">
      <t xml:space="preserve">ダイガク </t>
    </rPh>
    <rPh sb="164" eb="167">
      <t xml:space="preserve">ジムブ </t>
    </rPh>
    <rPh sb="167" eb="170">
      <t xml:space="preserve">イガクブ </t>
    </rPh>
    <rPh sb="170" eb="173">
      <t xml:space="preserve">ジムシツ </t>
    </rPh>
    <rPh sb="175" eb="177">
      <t xml:space="preserve">ホソダ </t>
    </rPh>
    <rPh sb="182" eb="184">
      <t xml:space="preserve">ダイガク </t>
    </rPh>
    <rPh sb="184" eb="187">
      <t xml:space="preserve">ジムブ </t>
    </rPh>
    <rPh sb="187" eb="190">
      <t xml:space="preserve">イガクブ </t>
    </rPh>
    <rPh sb="190" eb="193">
      <t xml:space="preserve">ジムシツ </t>
    </rPh>
    <rPh sb="195" eb="197">
      <t xml:space="preserve">アオキ </t>
    </rPh>
    <rPh sb="198" eb="200">
      <t xml:space="preserve">マサト </t>
    </rPh>
    <rPh sb="201" eb="203">
      <t xml:space="preserve">ダイガク </t>
    </rPh>
    <rPh sb="203" eb="206">
      <t xml:space="preserve">ジムブ </t>
    </rPh>
    <rPh sb="206" eb="212">
      <t xml:space="preserve">ホケンイリョウガクブ </t>
    </rPh>
    <rPh sb="212" eb="215">
      <t xml:space="preserve">ジムシツ </t>
    </rPh>
    <rPh sb="217" eb="219">
      <t xml:space="preserve">オカダ </t>
    </rPh>
    <rPh sb="220" eb="222">
      <t xml:space="preserve">イッカン </t>
    </rPh>
    <rPh sb="223" eb="225">
      <t xml:space="preserve">ダイガク </t>
    </rPh>
    <rPh sb="225" eb="228">
      <t xml:space="preserve">ジムブ </t>
    </rPh>
    <rPh sb="228" eb="234">
      <t xml:space="preserve">ホケンイリョウガクブ </t>
    </rPh>
    <rPh sb="234" eb="237">
      <t xml:space="preserve">ジムシツ </t>
    </rPh>
    <phoneticPr fontId="1"/>
  </si>
  <si>
    <t>新入生オリエンテーションで本プログラムを紹介する際に、医学・医療とデータサイエンスAIとの関わりについて説明している。それにより、現在および将来の医療現場がいかにデータサイエンスAIから恩恵を受けるかを知ることができ、学ぶことの意義を理解できるように努めている。また、SNSや生成AIなどのアプリを積極的に利活用することも勧めており、楽しみながらITやAI技術に対する関心を高めてもらうよう工夫している。</t>
    <rPh sb="149" eb="152">
      <t xml:space="preserve">セッキョクテキニ </t>
    </rPh>
    <rPh sb="153" eb="156">
      <t xml:space="preserve">リカツヨウスル </t>
    </rPh>
    <rPh sb="161" eb="162">
      <t xml:space="preserve">ススメテオリ </t>
    </rPh>
    <rPh sb="167" eb="168">
      <t xml:space="preserve">タノシミナガラ </t>
    </rPh>
    <rPh sb="178" eb="180">
      <t xml:space="preserve">ギジュツヲ </t>
    </rPh>
    <rPh sb="181" eb="182">
      <t xml:space="preserve">タイスル </t>
    </rPh>
    <rPh sb="184" eb="186">
      <t xml:space="preserve">カンシンヲ </t>
    </rPh>
    <rPh sb="187" eb="188">
      <t xml:space="preserve">タカメテモラウヨウ </t>
    </rPh>
    <rPh sb="195" eb="197">
      <t xml:space="preserve">クフウシテイル </t>
    </rPh>
    <phoneticPr fontId="1"/>
  </si>
  <si>
    <t>本プログラムは令和4年度に始まったため、現在のところプログラム修了者は在学中である。最も早くて3年後には卒業生が出るはずである。なお、直近3年間に卒業した学生は、医学部では93%以上、保健医療学部看護学科では89%以上、臨床検査学科では72%以上、臨床工学科では71%以上、理学療法学科では82%以上が医療従事者になっている。将来、臨床研修先の学外病院や、多くの卒業生が就職する埼玉医科大学グループの病院に、本プログラム修了者についての評価を伺う予定である。</t>
    <rPh sb="0" eb="1">
      <t xml:space="preserve">ホンプログラムハ </t>
    </rPh>
    <rPh sb="7" eb="9">
      <t xml:space="preserve">レイワ４ネンド </t>
    </rPh>
    <rPh sb="13" eb="14">
      <t xml:space="preserve">ハジマッタタメ </t>
    </rPh>
    <rPh sb="20" eb="22">
      <t xml:space="preserve">ゲンザイ </t>
    </rPh>
    <rPh sb="31" eb="34">
      <t xml:space="preserve">シュウリョウシャ </t>
    </rPh>
    <rPh sb="37" eb="38">
      <t xml:space="preserve">チュウ </t>
    </rPh>
    <rPh sb="42" eb="43">
      <t xml:space="preserve">モットモ </t>
    </rPh>
    <rPh sb="44" eb="45">
      <t xml:space="preserve">ハヤクテ </t>
    </rPh>
    <rPh sb="52" eb="54">
      <t xml:space="preserve">ソツギョウシャ </t>
    </rPh>
    <rPh sb="54" eb="55">
      <t xml:space="preserve">セイ </t>
    </rPh>
    <rPh sb="56" eb="57">
      <t xml:space="preserve">デル </t>
    </rPh>
    <rPh sb="67" eb="69">
      <t xml:space="preserve">チョッキン </t>
    </rPh>
    <rPh sb="71" eb="72">
      <t xml:space="preserve">カンノ </t>
    </rPh>
    <rPh sb="73" eb="75">
      <t xml:space="preserve">ソツギョウゴノ </t>
    </rPh>
    <rPh sb="77" eb="79">
      <t xml:space="preserve">ガクセイ </t>
    </rPh>
    <rPh sb="81" eb="83">
      <t xml:space="preserve">イリョウカンケイ </t>
    </rPh>
    <rPh sb="83" eb="86">
      <t xml:space="preserve">ジュウジシャ </t>
    </rPh>
    <rPh sb="93" eb="95">
      <t xml:space="preserve">ショウライ </t>
    </rPh>
    <rPh sb="96" eb="98">
      <t xml:space="preserve">リンショウ </t>
    </rPh>
    <rPh sb="98" eb="101">
      <t xml:space="preserve">ケンシュウサキノ </t>
    </rPh>
    <rPh sb="102" eb="104">
      <t xml:space="preserve">ガクガイ </t>
    </rPh>
    <rPh sb="104" eb="106">
      <t xml:space="preserve">ビョウイン </t>
    </rPh>
    <rPh sb="108" eb="109">
      <t xml:space="preserve">オオクノ </t>
    </rPh>
    <rPh sb="111" eb="114">
      <t xml:space="preserve">ソツギョウセイガ </t>
    </rPh>
    <rPh sb="115" eb="117">
      <t xml:space="preserve">シュウショクスル </t>
    </rPh>
    <rPh sb="119" eb="125">
      <t xml:space="preserve">サイタマイカダイガク </t>
    </rPh>
    <rPh sb="130" eb="132">
      <t xml:space="preserve">ビョウイン </t>
    </rPh>
    <rPh sb="134" eb="135">
      <t xml:space="preserve">ホンプ </t>
    </rPh>
    <rPh sb="140" eb="143">
      <t xml:space="preserve">シュウリョウシャ ヒョウカヲ </t>
    </rPh>
    <phoneticPr fontId="1"/>
  </si>
  <si>
    <t>様式１−１</t>
    <rPh sb="0" eb="2">
      <t>ヨウシキ</t>
    </rPh>
    <phoneticPr fontId="1"/>
  </si>
  <si>
    <t>様式１−２</t>
    <rPh sb="0" eb="2">
      <t>ヨウシキ</t>
    </rPh>
    <phoneticPr fontId="1"/>
  </si>
  <si>
    <t>埼玉医科大学全学共通データサイエンスAI学修プログラム</t>
    <rPh sb="0" eb="6">
      <t xml:space="preserve">サイタマイカダイガク </t>
    </rPh>
    <rPh sb="6" eb="8">
      <t xml:space="preserve">ゼンガク </t>
    </rPh>
    <rPh sb="8" eb="10">
      <t xml:space="preserve">キョウツウ </t>
    </rPh>
    <rPh sb="20" eb="22">
      <t xml:space="preserve">ガクシュウ </t>
    </rPh>
    <phoneticPr fontId="1"/>
  </si>
  <si>
    <t>情報科学実習（臨床検査学科）</t>
    <rPh sb="0" eb="1">
      <t xml:space="preserve">ジョウホウ </t>
    </rPh>
    <rPh sb="2" eb="4">
      <t xml:space="preserve">カガク </t>
    </rPh>
    <rPh sb="4" eb="6">
      <t xml:space="preserve">ジッシュウ </t>
    </rPh>
    <rPh sb="7" eb="13">
      <t xml:space="preserve">リンショウケンサガッカ </t>
    </rPh>
    <phoneticPr fontId="1"/>
  </si>
  <si>
    <t>情報リテラシー（看護学科）</t>
    <rPh sb="0" eb="2">
      <t xml:space="preserve">ジョウホウ </t>
    </rPh>
    <rPh sb="8" eb="12">
      <t xml:space="preserve">カンゴガッカ </t>
    </rPh>
    <phoneticPr fontId="1"/>
  </si>
  <si>
    <t>統計学（臨床検査学科）</t>
    <rPh sb="0" eb="3">
      <t xml:space="preserve">トウケイガク </t>
    </rPh>
    <rPh sb="4" eb="10">
      <t xml:space="preserve">リンショウケンサガッカ </t>
    </rPh>
    <phoneticPr fontId="1"/>
  </si>
  <si>
    <t>情報リテラシー実習（臨床工学科）</t>
    <rPh sb="0" eb="2">
      <t xml:space="preserve">ジョウホウ </t>
    </rPh>
    <rPh sb="7" eb="9">
      <t xml:space="preserve">ジッシュウ </t>
    </rPh>
    <rPh sb="10" eb="15">
      <t xml:space="preserve">リンショウコウガッカ </t>
    </rPh>
    <phoneticPr fontId="1"/>
  </si>
  <si>
    <t>情報リテラシー実習（臨床工学科）</t>
    <rPh sb="10" eb="15">
      <t xml:space="preserve">リンショウコウガッカ </t>
    </rPh>
    <phoneticPr fontId="1"/>
  </si>
  <si>
    <t>情報科学演習（理学療法学科）</t>
    <rPh sb="0" eb="3">
      <t xml:space="preserve">ジョウホウカガク </t>
    </rPh>
    <rPh sb="4" eb="6">
      <t xml:space="preserve">エンシュウ </t>
    </rPh>
    <rPh sb="7" eb="11">
      <t xml:space="preserve">リガクリョウホウ </t>
    </rPh>
    <rPh sb="11" eb="13">
      <t xml:space="preserve">ガッカ </t>
    </rPh>
    <phoneticPr fontId="1"/>
  </si>
  <si>
    <t>情報科学演習（理学療法学科）</t>
    <rPh sb="0" eb="4">
      <t xml:space="preserve">ジョウホウカガク </t>
    </rPh>
    <rPh sb="4" eb="6">
      <t xml:space="preserve">エンシュウ </t>
    </rPh>
    <rPh sb="7" eb="9">
      <t xml:space="preserve">リガク </t>
    </rPh>
    <rPh sb="9" eb="13">
      <t xml:space="preserve">リョウホウガッカ </t>
    </rPh>
    <phoneticPr fontId="1"/>
  </si>
  <si>
    <t>保健統計学（看護学科）</t>
    <phoneticPr fontId="1"/>
  </si>
  <si>
    <t>保健科学統計学演習（理学療法学科）</t>
    <rPh sb="0" eb="1">
      <t xml:space="preserve">ホケンカガク </t>
    </rPh>
    <rPh sb="4" eb="7">
      <t xml:space="preserve">トウケイガク </t>
    </rPh>
    <rPh sb="7" eb="9">
      <t xml:space="preserve">エンシュウ </t>
    </rPh>
    <rPh sb="10" eb="12">
      <t xml:space="preserve">リガク </t>
    </rPh>
    <rPh sb="12" eb="14">
      <t xml:space="preserve">リョウホウ </t>
    </rPh>
    <rPh sb="14" eb="16">
      <t xml:space="preserve">ガッカ </t>
    </rPh>
    <phoneticPr fontId="1"/>
  </si>
  <si>
    <t>基礎統計学（臨床工学科）</t>
    <rPh sb="0" eb="2">
      <t xml:space="preserve">キソ </t>
    </rPh>
    <rPh sb="2" eb="4">
      <t xml:space="preserve">トウケイ </t>
    </rPh>
    <rPh sb="4" eb="5">
      <t xml:space="preserve">ガク </t>
    </rPh>
    <rPh sb="6" eb="11">
      <t xml:space="preserve">リンショウコウガッカ </t>
    </rPh>
    <phoneticPr fontId="1"/>
  </si>
  <si>
    <t>情報科学演習（理学療法学科）</t>
    <phoneticPr fontId="1"/>
  </si>
  <si>
    <t>保健統計学（看護学科）</t>
    <rPh sb="0" eb="2">
      <t xml:space="preserve">ホケントウケイガク </t>
    </rPh>
    <rPh sb="6" eb="10">
      <t xml:space="preserve">カンゴガッカ </t>
    </rPh>
    <phoneticPr fontId="1"/>
  </si>
  <si>
    <t>基礎統計学（臨床工学科）</t>
    <rPh sb="0" eb="5">
      <t xml:space="preserve">キソトウケイガク </t>
    </rPh>
    <rPh sb="6" eb="8">
      <t xml:space="preserve">リンショウ </t>
    </rPh>
    <rPh sb="8" eb="11">
      <t xml:space="preserve">コウガッカ </t>
    </rPh>
    <phoneticPr fontId="1"/>
  </si>
  <si>
    <t>ビッグデータ、IoT、AI、ロボット
データ量の増加、計算機の処理性能の向上、AIの発達
第４次産業革命、Society5.0、データ駆動型社会
データを基点としたものの見方、人間の知的活動を起点としたものの見方
「人体の基礎科学1（データサイエンス）（第4回）」</t>
    <rPh sb="24" eb="26">
      <t xml:space="preserve">ゾウカ </t>
    </rPh>
    <rPh sb="27" eb="30">
      <t xml:space="preserve">ケイサンキノ </t>
    </rPh>
    <rPh sb="31" eb="35">
      <t xml:space="preserve">ショリセイノウ </t>
    </rPh>
    <rPh sb="36" eb="38">
      <t xml:space="preserve">コウジョウ </t>
    </rPh>
    <rPh sb="70" eb="72">
      <t xml:space="preserve">シャカイ </t>
    </rPh>
    <rPh sb="77" eb="79">
      <t xml:space="preserve">キテントシタ </t>
    </rPh>
    <rPh sb="85" eb="87">
      <t xml:space="preserve">ミカタ </t>
    </rPh>
    <rPh sb="88" eb="90">
      <t xml:space="preserve">ニンゲンノ </t>
    </rPh>
    <rPh sb="91" eb="93">
      <t xml:space="preserve">チテキ </t>
    </rPh>
    <rPh sb="93" eb="95">
      <t xml:space="preserve">カツドウヲ </t>
    </rPh>
    <rPh sb="96" eb="98">
      <t xml:space="preserve">キテン </t>
    </rPh>
    <rPh sb="104" eb="106">
      <t xml:space="preserve">ミカタ </t>
    </rPh>
    <rPh sb="111" eb="112">
      <t>_x0000_f_x0003__x0005_|_x0001__x0008_|_x0001__x000B_}_x0001__x000E_~_x0001__x0011__x0004__x0018__x0002__x001E__x0001_$_x0006_0_x0004_9_x0002_?¢_x0001_E§_x0005_P­_x0002_V·_x0001_\¼_x0004_eÀ_x0002_iÃ_x0002_oÅ_x0002_sÇ_x0002_yÊ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rPh>
    <phoneticPr fontId="1"/>
  </si>
  <si>
    <t>AI等を活用した新しいビジネスモデル：eコマース
AI最新技術の活用例の紹介：画像認識、音声認識、人間とAIの違い、遠隔診療、遠隔手術、AI診断、先端医療、ロボットセラピー
「人体の基礎科学1（データサイエンス）（第4回）」</t>
    <rPh sb="2" eb="3">
      <t xml:space="preserve">トウヲ </t>
    </rPh>
    <rPh sb="4" eb="6">
      <t xml:space="preserve">カツヨウシタ </t>
    </rPh>
    <rPh sb="8" eb="9">
      <t xml:space="preserve">アタラシイ </t>
    </rPh>
    <rPh sb="35" eb="37">
      <t xml:space="preserve">ショウカイ </t>
    </rPh>
    <rPh sb="38" eb="42">
      <t xml:space="preserve">ガゾウニンシキ </t>
    </rPh>
    <rPh sb="43" eb="47">
      <t xml:space="preserve">オンセイニンシキ </t>
    </rPh>
    <rPh sb="48" eb="50">
      <t xml:space="preserve">ニンゲント </t>
    </rPh>
    <rPh sb="54" eb="55">
      <t xml:space="preserve">チガイ </t>
    </rPh>
    <rPh sb="57" eb="59">
      <t xml:space="preserve">エンカク </t>
    </rPh>
    <rPh sb="59" eb="61">
      <t xml:space="preserve">シンリョウ </t>
    </rPh>
    <rPh sb="62" eb="64">
      <t xml:space="preserve">エンカク </t>
    </rPh>
    <rPh sb="64" eb="66">
      <t xml:space="preserve">シュジュツ </t>
    </rPh>
    <rPh sb="69" eb="71">
      <t xml:space="preserve">ガゾウシンダン </t>
    </rPh>
    <rPh sb="72" eb="74">
      <t xml:space="preserve">センタン </t>
    </rPh>
    <rPh sb="74" eb="76">
      <t xml:space="preserve">イリョウ </t>
    </rPh>
    <phoneticPr fontId="1"/>
  </si>
  <si>
    <t>調査データ、実験データ、人の行動ログデータ、機械の稼働ログデータ
1次データ、2次データ、3次データ、 メタデータ
構造化データ、非構造化データ（例として画像/動画）
「人体の基礎科学1（データサイエンス）（第4、7回）」</t>
    <rPh sb="12" eb="13">
      <t xml:space="preserve">ヒトノ </t>
    </rPh>
    <rPh sb="14" eb="16">
      <t xml:space="preserve">コウドウ </t>
    </rPh>
    <rPh sb="22" eb="24">
      <t xml:space="preserve">キカイノ </t>
    </rPh>
    <rPh sb="25" eb="27">
      <t xml:space="preserve">カドウ </t>
    </rPh>
    <rPh sb="73" eb="74">
      <t xml:space="preserve">レイ </t>
    </rPh>
    <rPh sb="77" eb="79">
      <t xml:space="preserve">ガゾウ </t>
    </rPh>
    <rPh sb="80" eb="82">
      <t xml:space="preserve">ドウガ </t>
    </rPh>
    <phoneticPr fontId="1"/>
  </si>
  <si>
    <t>データ解析：予測、グルーピング、パターン発見、クラスタリング、最適化、法則性の発見、シミュレーション
データの可視化：グラフ化、多次元の可視化、関係性の可視化
非構造データの処理：言語処理、画像処理、音声処理
特化型AIと汎用AI
「人体の基礎科学1（データサイエンス）（第5回）」</t>
    <rPh sb="20" eb="22">
      <t xml:space="preserve">ハッケン </t>
    </rPh>
    <rPh sb="31" eb="34">
      <t xml:space="preserve">サイテキカ </t>
    </rPh>
    <rPh sb="105" eb="107">
      <t xml:space="preserve">トッカ </t>
    </rPh>
    <rPh sb="107" eb="108">
      <t xml:space="preserve">ガタ </t>
    </rPh>
    <rPh sb="111" eb="113">
      <t xml:space="preserve">ハンヨウ </t>
    </rPh>
    <phoneticPr fontId="1"/>
  </si>
  <si>
    <t>ELSI、データ倫理：データのねつ造、改ざん、盗用、プライバシー保護
AI社会原則：アカウンタビリティー、公平性、透明性、信用、人間中心の判断、AI脅威論
データバイアス、アルゴリズムバイアス
AIサービスの責任論、データ・AI活用における負の事例紹介
「人体の基礎科学1（データサイエンス）（第6回）」</t>
    <rPh sb="8" eb="10">
      <t xml:space="preserve">リンリ </t>
    </rPh>
    <rPh sb="19" eb="20">
      <t xml:space="preserve">カイザン </t>
    </rPh>
    <rPh sb="23" eb="25">
      <t xml:space="preserve">トウヨウ </t>
    </rPh>
    <rPh sb="64" eb="66">
      <t xml:space="preserve">ニンゲン </t>
    </rPh>
    <rPh sb="66" eb="68">
      <t xml:space="preserve">チュウシンノ </t>
    </rPh>
    <rPh sb="69" eb="71">
      <t xml:space="preserve">ハンダン </t>
    </rPh>
    <rPh sb="103" eb="106">
      <t xml:space="preserve">セキニンロン </t>
    </rPh>
    <rPh sb="111" eb="113">
      <t xml:space="preserve">カツヨウ </t>
    </rPh>
    <rPh sb="121" eb="123">
      <t xml:space="preserve">ショウカイ </t>
    </rPh>
    <phoneticPr fontId="1"/>
  </si>
  <si>
    <t>情報セキュリティ：機密性、完全性、可用性
匿名加工情報
情報漏洩等によるセキュリティ事故の事例紹介
「人体の基礎科学1（データサイエンス）（第6回）」</t>
    <rPh sb="9" eb="12">
      <t xml:space="preserve">キミツセイ </t>
    </rPh>
    <rPh sb="13" eb="16">
      <t xml:space="preserve">カンゼンセイ </t>
    </rPh>
    <rPh sb="17" eb="19">
      <t xml:space="preserve">カヨウ </t>
    </rPh>
    <rPh sb="19" eb="20">
      <t xml:space="preserve">セイ </t>
    </rPh>
    <rPh sb="21" eb="23">
      <t xml:space="preserve">トクメイ </t>
    </rPh>
    <rPh sb="23" eb="25">
      <t xml:space="preserve">カコウ </t>
    </rPh>
    <rPh sb="25" eb="27">
      <t xml:space="preserve">ジョウホウ </t>
    </rPh>
    <rPh sb="28" eb="30">
      <t xml:space="preserve">ジョウホウ </t>
    </rPh>
    <rPh sb="30" eb="32">
      <t xml:space="preserve">ロウエイ </t>
    </rPh>
    <rPh sb="32" eb="33">
      <t xml:space="preserve">トウ </t>
    </rPh>
    <rPh sb="42" eb="44">
      <t xml:space="preserve">ジコノ </t>
    </rPh>
    <rPh sb="45" eb="47">
      <t xml:space="preserve">ジレイ </t>
    </rPh>
    <rPh sb="47" eb="49">
      <t xml:space="preserve">ショウカイ </t>
    </rPh>
    <phoneticPr fontId="1"/>
  </si>
  <si>
    <t>データの種類（量的変数、質的変数）
データの分布（ヒストグラム）と代表値（平均値、中央値、最頻値）
代表値の性質の違い（実社会では平均値=最頻値でないことが多い）
データのばらつき（分散、標準偏差、偏差値）、相関と因果（相関係数）、クロス集計表
母集団と標本抽出（全数調査、単純無作為抽出、層別抽出、多段抽出）
「人体の基礎科学1（データサイエンス）（第7〜10回）」</t>
    <rPh sb="4" eb="6">
      <t xml:space="preserve">シュルイ </t>
    </rPh>
    <rPh sb="7" eb="9">
      <t xml:space="preserve">リョウテキ </t>
    </rPh>
    <rPh sb="9" eb="11">
      <t xml:space="preserve">ヘンスウ </t>
    </rPh>
    <rPh sb="12" eb="14">
      <t xml:space="preserve">シツテキ </t>
    </rPh>
    <rPh sb="14" eb="16">
      <t xml:space="preserve">ヘンスウ </t>
    </rPh>
    <rPh sb="21" eb="23">
      <t xml:space="preserve">ブンプ </t>
    </rPh>
    <rPh sb="32" eb="35">
      <t xml:space="preserve">ダイヒョウチ </t>
    </rPh>
    <rPh sb="36" eb="39">
      <t xml:space="preserve">ヘイキンチ </t>
    </rPh>
    <rPh sb="40" eb="43">
      <t xml:space="preserve">チュウオウチ </t>
    </rPh>
    <rPh sb="44" eb="47">
      <t xml:space="preserve">サイヒンチ </t>
    </rPh>
    <rPh sb="49" eb="52">
      <t xml:space="preserve">ダイヒョウチノ </t>
    </rPh>
    <rPh sb="53" eb="55">
      <t xml:space="preserve">セイシツノ </t>
    </rPh>
    <rPh sb="56" eb="57">
      <t xml:space="preserve">チガイ </t>
    </rPh>
    <rPh sb="59" eb="62">
      <t xml:space="preserve">ジッシャカイデハ </t>
    </rPh>
    <rPh sb="64" eb="67">
      <t xml:space="preserve">ヘイキンチ </t>
    </rPh>
    <rPh sb="68" eb="71">
      <t xml:space="preserve">サイヒンチ </t>
    </rPh>
    <rPh sb="77" eb="78">
      <t xml:space="preserve">オオイ </t>
    </rPh>
    <rPh sb="90" eb="92">
      <t xml:space="preserve">ブンサン </t>
    </rPh>
    <rPh sb="93" eb="97">
      <t xml:space="preserve">ヒョウジュンヘンサ </t>
    </rPh>
    <rPh sb="99" eb="102">
      <t xml:space="preserve">ヘンサチ </t>
    </rPh>
    <rPh sb="104" eb="105">
      <t xml:space="preserve">ソウカン </t>
    </rPh>
    <rPh sb="106" eb="108">
      <t xml:space="preserve">インガ </t>
    </rPh>
    <rPh sb="109" eb="113">
      <t xml:space="preserve">ソウカンケイスウ </t>
    </rPh>
    <rPh sb="118" eb="121">
      <t xml:space="preserve">シュウケイヒョウ </t>
    </rPh>
    <rPh sb="123" eb="126">
      <t xml:space="preserve">ボシュウダン </t>
    </rPh>
    <rPh sb="127" eb="131">
      <t xml:space="preserve">ヒョウホンチュウシュツ </t>
    </rPh>
    <rPh sb="132" eb="134">
      <t xml:space="preserve">ゼンスウ </t>
    </rPh>
    <rPh sb="134" eb="136">
      <t xml:space="preserve">チョウサ </t>
    </rPh>
    <rPh sb="137" eb="139">
      <t xml:space="preserve">タンジュン </t>
    </rPh>
    <rPh sb="139" eb="142">
      <t xml:space="preserve">ムサクイ </t>
    </rPh>
    <rPh sb="142" eb="144">
      <t xml:space="preserve">チュウシュツ </t>
    </rPh>
    <rPh sb="145" eb="147">
      <t xml:space="preserve">ソウベツ </t>
    </rPh>
    <rPh sb="147" eb="149">
      <t xml:space="preserve">チュウシュツ </t>
    </rPh>
    <rPh sb="150" eb="152">
      <t xml:space="preserve">タダン </t>
    </rPh>
    <rPh sb="152" eb="154">
      <t xml:space="preserve">チュウシュツ </t>
    </rPh>
    <rPh sb="167" eb="168">
      <t xml:space="preserve">ダイ </t>
    </rPh>
    <rPh sb="169" eb="170">
      <t xml:space="preserve">カイ </t>
    </rPh>
    <rPh sb="175" eb="176">
      <t xml:space="preserve">ダイ </t>
    </rPh>
    <rPh sb="180" eb="181">
      <t xml:space="preserve">カイ </t>
    </rPh>
    <phoneticPr fontId="1"/>
  </si>
  <si>
    <t>データ表現（棒グラフ、折線グラフ、散布図）
「人体の基礎科学1（データサイエンス）（第1〜3、8、9回）」</t>
    <rPh sb="3" eb="5">
      <t xml:space="preserve">ヒョウゲン </t>
    </rPh>
    <rPh sb="6" eb="7">
      <t xml:space="preserve">ボウグラフ </t>
    </rPh>
    <rPh sb="11" eb="12">
      <t xml:space="preserve">オレセングラフ </t>
    </rPh>
    <rPh sb="17" eb="20">
      <t xml:space="preserve">サンプズ </t>
    </rPh>
    <rPh sb="40" eb="41">
      <t xml:space="preserve">ダイ </t>
    </rPh>
    <phoneticPr fontId="1"/>
  </si>
  <si>
    <t>データの集計（和、平均、分散、標準偏差）
データの並び替え、ランキング
データ解析ツール（スプレッドシート）
「人体の基礎科学1（データサイエンス）（第1〜3、8回、9回）」</t>
    <rPh sb="4" eb="6">
      <t xml:space="preserve">シュウケイ </t>
    </rPh>
    <rPh sb="7" eb="8">
      <t xml:space="preserve">ワ </t>
    </rPh>
    <rPh sb="9" eb="11">
      <t xml:space="preserve">ヘイキン </t>
    </rPh>
    <rPh sb="12" eb="14">
      <t xml:space="preserve">ブンサン </t>
    </rPh>
    <rPh sb="15" eb="19">
      <t xml:space="preserve">ヒョウジュンヘンサ </t>
    </rPh>
    <rPh sb="25" eb="26">
      <t xml:space="preserve">ナラビカエ </t>
    </rPh>
    <rPh sb="39" eb="41">
      <t xml:space="preserve">カイセキ </t>
    </rPh>
    <rPh sb="71" eb="72">
      <t xml:space="preserve">ダイ </t>
    </rPh>
    <rPh sb="78" eb="79">
      <t xml:space="preserve">カイ </t>
    </rPh>
    <rPh sb="81" eb="82">
      <t xml:space="preserve">カイ </t>
    </rPh>
    <phoneticPr fontId="1"/>
  </si>
  <si>
    <t>保健医療学部</t>
    <rPh sb="0" eb="6">
      <t xml:space="preserve">ホケンイリョウガクブ </t>
    </rPh>
    <phoneticPr fontId="1"/>
  </si>
  <si>
    <t>看護学科：「情報リテラシー(2単位)」および「保健統計学(1単位)」の３単位を取得すること。
臨床検査学科：「情報科学実習(1単位)」および「統計学(2単位)」の３単位を取得すること。
臨床工学科：「情報リテラシー実習（1単位）」および「基礎統計学(2単位)」の３単位を取得すること。
理学療法学科：「情報科学演習（1単位）」および「保健科学統計学演習(1単位)」の２単位を取得すること。</t>
    <rPh sb="1" eb="3">
      <t xml:space="preserve">ジョウホウリテラシ </t>
    </rPh>
    <rPh sb="10" eb="12">
      <t xml:space="preserve">タンイ </t>
    </rPh>
    <rPh sb="18" eb="20">
      <t xml:space="preserve">ホケン </t>
    </rPh>
    <rPh sb="20" eb="23">
      <t xml:space="preserve">トウケイガク </t>
    </rPh>
    <rPh sb="25" eb="27">
      <t xml:space="preserve">タンイ </t>
    </rPh>
    <rPh sb="34" eb="36">
      <t xml:space="preserve">シュトク </t>
    </rPh>
    <phoneticPr fontId="1"/>
  </si>
  <si>
    <t>ビッグデータ、IoT、AI、ロボット
データ量の増加、計算機の処理性能の向上、AIの発達
第４次産業革命、Society5.0、データ駆動型社会
データを基点としたものの見方、人間の知的活動を起点としたものの見方
「看護学科：情報リテラシー（第4回）」、「臨床検査学科：情報科学実習（第2回）」、「臨床工学科：情報リテラシー実習（第1回）」、「理学療法学科：情報科学演習（第4回）」</t>
    <rPh sb="24" eb="26">
      <t xml:space="preserve">ゾウカ </t>
    </rPh>
    <rPh sb="27" eb="30">
      <t xml:space="preserve">ケイサンキノ </t>
    </rPh>
    <rPh sb="31" eb="35">
      <t xml:space="preserve">ショリセイノウ </t>
    </rPh>
    <rPh sb="36" eb="38">
      <t xml:space="preserve">コウジョウ </t>
    </rPh>
    <rPh sb="70" eb="72">
      <t xml:space="preserve">シャカイ </t>
    </rPh>
    <rPh sb="77" eb="79">
      <t xml:space="preserve">キテントシタ </t>
    </rPh>
    <rPh sb="85" eb="87">
      <t xml:space="preserve">ミカタ </t>
    </rPh>
    <rPh sb="88" eb="90">
      <t xml:space="preserve">ニンゲンノ </t>
    </rPh>
    <rPh sb="91" eb="93">
      <t xml:space="preserve">チテキ </t>
    </rPh>
    <rPh sb="93" eb="95">
      <t xml:space="preserve">カツドウヲ </t>
    </rPh>
    <rPh sb="96" eb="98">
      <t xml:space="preserve">キテン </t>
    </rPh>
    <rPh sb="104" eb="106">
      <t xml:space="preserve">ミカタ </t>
    </rPh>
    <rPh sb="111" eb="112">
      <t>_x0000_f_x0003__x0005_|_x0001__x0008_|_x0001__x000B_}_x0001__x000E_~_x0001__x0011__x0004__x0018__x0002__x001E__x0001_$_x0006_0_x0004_9_x0002_?¢_x0001_E§_x0005_P­_x0002_V·_x0001_\¼_x0004_eÀ_x0002_iÃ_x0002_oÅ_x0002_sÇ_x0002_yÊ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rPh>
    <phoneticPr fontId="1"/>
  </si>
  <si>
    <t>AI等を活用した新しいビジネスモデル：eコマース
AI最新技術の活用例の紹介：画像認識、音声認識、人間とAIの違い、遠隔診療、遠隔手術、AI診断、先端医療、ロボットセラピー
「看護学科：情報リテラシー（第4回）」、「臨床検査学科：情報科学実習（第2回）」、「臨床工学科：情報リテラシー実習（第1回）」、「理学療法学科：情報科学演習（第4回）」</t>
    <rPh sb="2" eb="3">
      <t xml:space="preserve">トウヲ </t>
    </rPh>
    <rPh sb="4" eb="6">
      <t xml:space="preserve">カツヨウシタ </t>
    </rPh>
    <rPh sb="8" eb="9">
      <t xml:space="preserve">アタラシイ </t>
    </rPh>
    <rPh sb="35" eb="37">
      <t xml:space="preserve">ショウカイ </t>
    </rPh>
    <rPh sb="38" eb="42">
      <t xml:space="preserve">ガゾウニンシキ </t>
    </rPh>
    <rPh sb="43" eb="47">
      <t xml:space="preserve">オンセイニンシキ </t>
    </rPh>
    <rPh sb="48" eb="50">
      <t xml:space="preserve">ニンゲント </t>
    </rPh>
    <rPh sb="54" eb="55">
      <t xml:space="preserve">チガイ </t>
    </rPh>
    <rPh sb="57" eb="59">
      <t xml:space="preserve">エンカク </t>
    </rPh>
    <rPh sb="59" eb="61">
      <t xml:space="preserve">シンリョウ </t>
    </rPh>
    <rPh sb="62" eb="64">
      <t xml:space="preserve">エンカク </t>
    </rPh>
    <rPh sb="64" eb="66">
      <t xml:space="preserve">シュジュツ </t>
    </rPh>
    <rPh sb="69" eb="71">
      <t xml:space="preserve">ガゾウシンダン </t>
    </rPh>
    <rPh sb="72" eb="74">
      <t xml:space="preserve">センタン </t>
    </rPh>
    <rPh sb="74" eb="76">
      <t xml:space="preserve">イリョウ </t>
    </rPh>
    <phoneticPr fontId="1"/>
  </si>
  <si>
    <t>調査データ、実験データ、人の行動ログデータ、機械の稼働ログデータ
1次データ、2次データ、3次データ、 メタデータ
構造化データ、非構造化データ（例として画像/動画）
「看護学科：情報リテラシー（第4回）」、「臨床検査学科：情報科学実習（第2回）」、「臨床工学科：情報リテラシー実習（第1回）」、「理学療法学科：情報科学演習（第4回）」</t>
    <phoneticPr fontId="1"/>
  </si>
  <si>
    <t>データ解析：予測、グルーピング、パターン発見、クラスタリング、最適化、法則性の発見、シミュレーション
データの可視化：グラフ化、多次元の可視化、関係性の可視化
非構造データの処理：言語処理、画像処理、音声処理
特化型AIと汎用AI
「看護学科：情報リテラシー（第4回）」、「臨床検査学科：情報科学実習（第2回）」、「臨床工学科：情報リテラシー実習（第1回）」、「理学療法学科：情報科学演習（第4回）」</t>
    <phoneticPr fontId="1"/>
  </si>
  <si>
    <t>ELSI、データ倫理：データのねつ造、改ざん、盗用、プライバシー保護
AI社会原則：アカウンタビリティー、公平性、透明性、信用、人間中心の判断、AI脅威論
データバイアス、アルゴリズムバイアス
AIサービスの責任論、データ・AI活用における負の事例紹介
「看護学科：情報リテラシー（第12回）」、「臨床検査学科：情報科学実習（第12回）」、「臨床工学科：情報リテラシー実習（第2回）」、「理学療法学科：情報科学演習（第12回）」</t>
    <rPh sb="95" eb="99">
      <t xml:space="preserve">カンゴガッカ </t>
    </rPh>
    <phoneticPr fontId="1"/>
  </si>
  <si>
    <t>情報セキュリティ：機密性、完全性、可用性
匿名加工情報
情報漏洩等によるセキュリティ事故の事例紹介
「看護学科：情報リテラシー（第12回）」、「臨床検査学科：情報科学実習（第12回）」、「臨床工学科：情報リテラシー実習（第2回）」、「理学療法学科：情報科学演習（第12回）」</t>
    <phoneticPr fontId="1"/>
  </si>
  <si>
    <t>流通、製造、金融、サービス、インフラ、公共、ヘルスケア等におけるデータ・AI利活用事例紹介：手術支援ロボット、画像診断、自律搬送ロボット
「看護学科：情報リテラシー（第4回）」、「臨床検査学科：情報科学実習（第2回）」、「臨床工学科：情報リテラシー実習（第1回）」、「理学療法学科：情報科学演習（第4回）」</t>
    <rPh sb="0" eb="2">
      <t xml:space="preserve">リュウツウ </t>
    </rPh>
    <rPh sb="3" eb="5">
      <t xml:space="preserve">セイゾウ </t>
    </rPh>
    <rPh sb="6" eb="8">
      <t xml:space="preserve">キンユウ </t>
    </rPh>
    <rPh sb="19" eb="21">
      <t xml:space="preserve">コウキョウ </t>
    </rPh>
    <rPh sb="22" eb="26">
      <t xml:space="preserve">イリョウゲンバ </t>
    </rPh>
    <rPh sb="27" eb="28">
      <t xml:space="preserve">トウ </t>
    </rPh>
    <phoneticPr fontId="1"/>
  </si>
  <si>
    <t>流通、製造、金融、サービス、インフラ、公共、ヘルスケア等におけるデータ・AI利活用事例紹介：手術支援ロボット、画像診断、自律搬送ロボット
「人体の基礎科学1（データサイエンス）（第5回）」</t>
    <rPh sb="18" eb="20">
      <t xml:space="preserve">ジレイ </t>
    </rPh>
    <rPh sb="20" eb="22">
      <t xml:space="preserve">ショウカイ </t>
    </rPh>
    <phoneticPr fontId="1"/>
  </si>
  <si>
    <t>データ・AIの活用領域の広がり
研究開発、購買物流、調達、製造、出荷物流、販売、マーケティング、サービスなど
「看護学科：情報リテラシー（第4回）」、「臨床検査学科：情報科学実習（第2回）」、「臨床工学科：情報リテラシー実習（第1回）」、「理学療法学科：情報科学演習（第4回）」</t>
    <rPh sb="12" eb="13">
      <t xml:space="preserve">ヒロガリ </t>
    </rPh>
    <phoneticPr fontId="1"/>
  </si>
  <si>
    <t>データ・AIの活用領域の広がり
研究開発、購買物流、調達、製造、出荷物流、販売、マーケティング、サービスなど
「人体の基礎科学1（データサイエンス）（第4回）」</t>
    <rPh sb="12" eb="13">
      <t xml:space="preserve">ヒロガリ </t>
    </rPh>
    <phoneticPr fontId="1"/>
  </si>
  <si>
    <t>データの集計（和、平均）、データの並び替え、ランキング、データ解析ツール（スプレッドシート）
「看護学科：情報リテラシー（第5〜8回）、保健統計学（第5、14、15回）」、
「臨床検査学科：情報科学実習（第9〜12回）、統計学（第3回）」、
「臨床工学科：基礎統計学（第13、14回）」、
「理学療法学科：情報科学演習（第5〜8回)、保健科学統計学演習（第4回）」</t>
    <rPh sb="10" eb="12">
      <t>_x0000__x0004__x0002__x0006__x0007__x0001__x0008_	_x0002__x000D__x0011__x0001__x0013_/</t>
    </rPh>
    <phoneticPr fontId="1"/>
  </si>
  <si>
    <t>データ表現（棒グラフ、折線グラフ、散布図）
「看護学科：情報リテラシー（第4回）、保健統計学（第14、15回）」
「臨床検査学科：情報科学実習（第5、6回）、統計学（第3、4回）」、
「臨床工学科：基礎統計学（第3、13回）」、
「理学療法学科：情報科学演習（第4回）、保健科学統計学演習（第4回）」</t>
    <rPh sb="26" eb="27">
      <t xml:space="preserve">カンゴガッカ </t>
    </rPh>
    <rPh sb="27" eb="29">
      <t xml:space="preserve">ジョウホウリテラシー </t>
    </rPh>
    <rPh sb="41" eb="46">
      <t xml:space="preserve">ホケントウケイガク </t>
    </rPh>
    <rPh sb="47" eb="48">
      <t xml:space="preserve">ダイ </t>
    </rPh>
    <rPh sb="53" eb="54">
      <t xml:space="preserve">カイ </t>
    </rPh>
    <rPh sb="64" eb="66">
      <t xml:space="preserve">リンショウ </t>
    </rPh>
    <rPh sb="66" eb="68">
      <t xml:space="preserve">ジョウホウ </t>
    </rPh>
    <rPh sb="68" eb="70">
      <t xml:space="preserve">カガク </t>
    </rPh>
    <rPh sb="70" eb="72">
      <t xml:space="preserve">ジッシュウ </t>
    </rPh>
    <rPh sb="82" eb="88">
      <t xml:space="preserve">リンショウケンサガッカ </t>
    </rPh>
    <rPh sb="89" eb="92">
      <t xml:space="preserve">トウケイガク </t>
    </rPh>
    <rPh sb="94" eb="95">
      <t xml:space="preserve">ダイ４カイ </t>
    </rPh>
    <rPh sb="118" eb="123">
      <t xml:space="preserve">リンショウコウガッカ リガクリョウホウ ガッカ </t>
    </rPh>
    <phoneticPr fontId="1"/>
  </si>
  <si>
    <t>データの種類、データの分布（ヒストグラム）と代表値（平均値、中央値、最頻値）、代表値の性質の違い（実社会では平均値=最頻値でないことが多い）、データのばらつき、相関と因果、母集団と標本抽出
「看護学科：情報リテラシー（第8回）、保健統計学（第1〜4、14、15回）」、「臨床検査学科：情報科学実習（第11、12回）、統計学（第1〜3、15回）」、「臨床工学科：基礎統計学（第1〜4回）」、「理学療法学科：情報科学演習（第8回）、保健科学統計学演習（第4、12回）」
観測データに含まれる誤差の扱い　「臨床工学科：基礎統計学（第5回）」</t>
    <rPh sb="4" eb="6">
      <t xml:space="preserve">ブンプ </t>
    </rPh>
    <rPh sb="15" eb="18">
      <t xml:space="preserve">ダイヒョウチ </t>
    </rPh>
    <rPh sb="19" eb="22">
      <t xml:space="preserve">ヘイキンチ </t>
    </rPh>
    <rPh sb="23" eb="26">
      <t xml:space="preserve">チュウオウチ </t>
    </rPh>
    <rPh sb="27" eb="30">
      <t xml:space="preserve">サイヒンチ </t>
    </rPh>
    <rPh sb="32" eb="35">
      <t xml:space="preserve">ダイヒョウチ </t>
    </rPh>
    <rPh sb="36" eb="38">
      <t xml:space="preserve">セイシツノ </t>
    </rPh>
    <rPh sb="39" eb="40">
      <t xml:space="preserve">チガイ </t>
    </rPh>
    <rPh sb="42" eb="45">
      <t xml:space="preserve">ジツシャカイデハ </t>
    </rPh>
    <rPh sb="47" eb="50">
      <t xml:space="preserve">ヘイキンチ </t>
    </rPh>
    <rPh sb="51" eb="54">
      <t xml:space="preserve">サイヒンチデナイコトガ </t>
    </rPh>
    <rPh sb="60" eb="61">
      <t xml:space="preserve">オオイ </t>
    </rPh>
    <rPh sb="73" eb="75">
      <t xml:space="preserve">ブンサン </t>
    </rPh>
    <rPh sb="76" eb="80">
      <t xml:space="preserve">ヒョウジュンヘンサ </t>
    </rPh>
    <rPh sb="81" eb="84">
      <t xml:space="preserve">ヘンサチ </t>
    </rPh>
    <rPh sb="86" eb="88">
      <t xml:space="preserve">ソウカント </t>
    </rPh>
    <rPh sb="89" eb="91">
      <t xml:space="preserve">インガ </t>
    </rPh>
    <rPh sb="92" eb="94">
      <t xml:space="preserve">ボシュウダン </t>
    </rPh>
    <rPh sb="95" eb="97">
      <t xml:space="preserve">ヒョウホン </t>
    </rPh>
    <rPh sb="97" eb="99">
      <t xml:space="preserve">チュウシュツ </t>
    </rPh>
    <rPh sb="101" eb="105">
      <t xml:space="preserve">カンゴガッカ </t>
    </rPh>
    <rPh sb="135" eb="137">
      <t xml:space="preserve">シュルイ </t>
    </rPh>
    <rPh sb="142" eb="144">
      <t xml:space="preserve">ジョウホウ </t>
    </rPh>
    <rPh sb="144" eb="146">
      <t xml:space="preserve">カガク </t>
    </rPh>
    <rPh sb="146" eb="148">
      <t xml:space="preserve">ジッシュウ </t>
    </rPh>
    <rPh sb="149" eb="150">
      <t xml:space="preserve">ダイ </t>
    </rPh>
    <rPh sb="155" eb="156">
      <t xml:space="preserve">カイ </t>
    </rPh>
    <rPh sb="158" eb="160">
      <t xml:space="preserve">ブンプ </t>
    </rPh>
    <rPh sb="173" eb="176">
      <t xml:space="preserve">ダイヒョウチ </t>
    </rPh>
    <rPh sb="177" eb="180">
      <t xml:space="preserve">ヘイキンチ </t>
    </rPh>
    <rPh sb="181" eb="184">
      <t xml:space="preserve">チュウオウチ </t>
    </rPh>
    <rPh sb="185" eb="188">
      <t xml:space="preserve">サイヒンチ </t>
    </rPh>
    <rPh sb="190" eb="193">
      <t xml:space="preserve">ダイヒョウチノ </t>
    </rPh>
    <rPh sb="194" eb="196">
      <t xml:space="preserve">セイシツノ </t>
    </rPh>
    <rPh sb="197" eb="198">
      <t xml:space="preserve">チガイ </t>
    </rPh>
    <rPh sb="200" eb="203">
      <t xml:space="preserve">ジツシャカイデハ </t>
    </rPh>
    <rPh sb="207" eb="208">
      <t xml:space="preserve">チ </t>
    </rPh>
    <rPh sb="209" eb="212">
      <t xml:space="preserve">サイヒンチデナイコトガ </t>
    </rPh>
    <rPh sb="218" eb="223">
      <t xml:space="preserve">リンショウコウガッカ リガク </t>
    </rPh>
    <rPh sb="228" eb="230">
      <t xml:space="preserve">リョウホウ </t>
    </rPh>
    <rPh sb="230" eb="232">
      <t xml:space="preserve">ガッカ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</si>
</sst>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258C-04CB-E340-84CC-8E6716FA06A5}">
  <sheetPr>
    <pageSetUpPr fitToPage="1"/>
  </sheetPr>
  <dimension ref="A1:V110"/>
  <sheetViews>
    <sheetView showZeros="0" view="pageBreakPreview" topLeftCell="A93" zoomScaleNormal="100" zoomScaleSheetLayoutView="100" workbookViewId="0">
      <selection activeCell="J72" sqref="J72:N72"/>
    </sheetView>
  </sheetViews>
  <sheetFormatPr baseColWidth="10" defaultColWidth="9" defaultRowHeight="18.75" customHeight="1"/>
  <cols>
    <col min="1" max="1" width="2.5" style="1" customWidth="1"/>
    <col min="2" max="2" width="16.5" style="1" customWidth="1"/>
    <col min="3" max="19" width="5.6640625" style="1" customWidth="1"/>
    <col min="20" max="20" width="9" style="1"/>
    <col min="21" max="21" width="3.6640625" style="1" customWidth="1"/>
    <col min="22" max="22" width="48.6640625" style="1" hidden="1" customWidth="1"/>
    <col min="23" max="16384" width="9" style="1"/>
  </cols>
  <sheetData>
    <row r="1" spans="1:22" ht="18.5" customHeight="1">
      <c r="R1" s="98" t="s">
        <v>164</v>
      </c>
      <c r="S1" s="98"/>
      <c r="T1" s="2" t="s">
        <v>109</v>
      </c>
    </row>
    <row r="2" spans="1:22" ht="18.75" customHeight="1">
      <c r="B2" s="34" t="s">
        <v>108</v>
      </c>
      <c r="C2" s="91" t="s">
        <v>128</v>
      </c>
      <c r="D2" s="97"/>
      <c r="E2" s="97"/>
      <c r="F2" s="97"/>
      <c r="G2" s="97"/>
      <c r="H2" s="97"/>
      <c r="I2" s="92"/>
      <c r="J2" s="35"/>
      <c r="K2" s="6"/>
      <c r="L2" s="6"/>
      <c r="M2" s="6"/>
      <c r="N2" s="6"/>
      <c r="O2" s="6"/>
      <c r="P2" s="6"/>
      <c r="Q2" s="6"/>
      <c r="R2" s="6"/>
      <c r="S2" s="6"/>
    </row>
    <row r="3" spans="1:22" ht="18.75" customHeight="1">
      <c r="B3" s="34" t="s">
        <v>102</v>
      </c>
      <c r="C3" s="99" t="s">
        <v>166</v>
      </c>
      <c r="D3" s="100"/>
      <c r="E3" s="100"/>
      <c r="F3" s="100"/>
      <c r="G3" s="100"/>
      <c r="H3" s="100"/>
      <c r="I3" s="101"/>
      <c r="J3" s="35"/>
      <c r="K3" s="6"/>
      <c r="L3" s="6"/>
      <c r="M3" s="6"/>
      <c r="N3" s="6"/>
      <c r="O3" s="6"/>
      <c r="P3" s="6"/>
      <c r="Q3" s="6"/>
      <c r="R3" s="6"/>
      <c r="S3" s="6"/>
    </row>
    <row r="4" spans="1:22" ht="15" customHeight="1">
      <c r="K4" s="35"/>
      <c r="L4" s="37"/>
      <c r="M4" s="37"/>
      <c r="N4" s="37"/>
      <c r="O4" s="37"/>
      <c r="P4" s="37"/>
      <c r="Q4" s="37"/>
      <c r="R4" s="37"/>
      <c r="S4" s="37"/>
    </row>
    <row r="5" spans="1:22" ht="18" customHeight="1">
      <c r="A5" s="102" t="s">
        <v>38</v>
      </c>
      <c r="B5" s="102"/>
      <c r="C5" s="102"/>
      <c r="D5" s="102"/>
      <c r="E5" s="102"/>
      <c r="F5" s="102"/>
      <c r="G5" s="102"/>
      <c r="H5" s="102"/>
      <c r="I5" s="102"/>
      <c r="J5" s="102"/>
      <c r="K5" s="102"/>
      <c r="L5" s="102"/>
      <c r="M5" s="102"/>
      <c r="N5" s="102"/>
      <c r="O5" s="102"/>
      <c r="P5" s="102"/>
      <c r="Q5" s="102"/>
      <c r="R5" s="102"/>
      <c r="S5" s="102"/>
    </row>
    <row r="6" spans="1:22" ht="15" customHeight="1">
      <c r="B6" s="3"/>
      <c r="C6" s="3"/>
      <c r="D6" s="3"/>
      <c r="E6" s="3"/>
      <c r="F6" s="3"/>
      <c r="G6" s="3"/>
      <c r="H6" s="3"/>
      <c r="I6" s="3"/>
      <c r="J6" s="3"/>
      <c r="K6" s="3"/>
      <c r="L6" s="3"/>
      <c r="M6" s="3"/>
      <c r="N6" s="3"/>
      <c r="O6" s="3"/>
      <c r="P6" s="3"/>
      <c r="Q6" s="3"/>
      <c r="R6" s="3"/>
      <c r="S6" s="3"/>
    </row>
    <row r="7" spans="1:22" ht="18" customHeight="1">
      <c r="A7" s="1" t="s">
        <v>124</v>
      </c>
      <c r="C7" s="3"/>
      <c r="J7" s="38" t="s">
        <v>107</v>
      </c>
      <c r="K7" s="103" t="s">
        <v>145</v>
      </c>
      <c r="L7" s="104"/>
      <c r="M7" s="104"/>
      <c r="N7" s="104"/>
      <c r="O7" s="104"/>
      <c r="P7" s="104"/>
      <c r="Q7" s="104"/>
      <c r="R7" s="104"/>
      <c r="S7" s="105"/>
    </row>
    <row r="8" spans="1:22" ht="6" customHeight="1">
      <c r="B8" s="3"/>
      <c r="C8" s="3"/>
      <c r="D8" s="3"/>
      <c r="E8" s="3"/>
      <c r="F8" s="3"/>
      <c r="G8" s="3"/>
      <c r="H8" s="3"/>
      <c r="I8" s="3"/>
      <c r="J8" s="3"/>
      <c r="K8" s="10"/>
      <c r="L8" s="3"/>
      <c r="M8" s="3"/>
      <c r="N8" s="3"/>
      <c r="O8" s="3"/>
      <c r="P8" s="3"/>
      <c r="Q8" s="3"/>
      <c r="R8" s="3"/>
      <c r="S8" s="3"/>
    </row>
    <row r="9" spans="1:22" ht="18" customHeight="1">
      <c r="B9" s="106" t="s">
        <v>135</v>
      </c>
      <c r="C9" s="107"/>
      <c r="D9" s="107"/>
      <c r="E9" s="107"/>
      <c r="F9" s="107"/>
      <c r="G9" s="107"/>
      <c r="H9" s="107"/>
      <c r="I9" s="107"/>
      <c r="J9" s="107"/>
      <c r="K9" s="107"/>
      <c r="L9" s="107"/>
      <c r="M9" s="107"/>
      <c r="N9" s="107"/>
      <c r="O9" s="107"/>
      <c r="P9" s="107"/>
      <c r="Q9" s="107"/>
      <c r="R9" s="107"/>
      <c r="S9" s="108"/>
    </row>
    <row r="10" spans="1:22" ht="18" customHeight="1">
      <c r="B10" s="109"/>
      <c r="C10" s="110"/>
      <c r="D10" s="110"/>
      <c r="E10" s="110"/>
      <c r="F10" s="110"/>
      <c r="G10" s="110"/>
      <c r="H10" s="110"/>
      <c r="I10" s="110"/>
      <c r="J10" s="110"/>
      <c r="K10" s="110"/>
      <c r="L10" s="110"/>
      <c r="M10" s="110"/>
      <c r="N10" s="110"/>
      <c r="O10" s="110"/>
      <c r="P10" s="110"/>
      <c r="Q10" s="110"/>
      <c r="R10" s="110"/>
      <c r="S10" s="11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5"/>
      <c r="E12" s="35"/>
      <c r="F12" s="35"/>
      <c r="G12" s="35"/>
      <c r="H12" s="35"/>
      <c r="I12" s="35"/>
      <c r="J12" s="35"/>
      <c r="K12" s="39"/>
      <c r="L12" s="39"/>
      <c r="M12" s="39"/>
      <c r="N12" s="39"/>
      <c r="O12" s="39"/>
      <c r="P12" s="39"/>
      <c r="Q12" s="39"/>
      <c r="R12" s="39"/>
      <c r="S12" s="39"/>
    </row>
    <row r="13" spans="1:22" ht="18" customHeight="1">
      <c r="B13" s="82" t="s">
        <v>158</v>
      </c>
      <c r="C13" s="83"/>
      <c r="D13" s="83"/>
      <c r="E13" s="83"/>
      <c r="F13" s="83"/>
      <c r="G13" s="83"/>
      <c r="H13" s="83"/>
      <c r="I13" s="83"/>
      <c r="J13" s="83"/>
      <c r="K13" s="83"/>
      <c r="L13" s="83"/>
      <c r="M13" s="83"/>
      <c r="N13" s="83"/>
      <c r="O13" s="83"/>
      <c r="P13" s="83"/>
      <c r="Q13" s="83"/>
      <c r="R13" s="83"/>
      <c r="S13" s="84"/>
      <c r="V13" s="1" t="s">
        <v>103</v>
      </c>
    </row>
    <row r="14" spans="1:22" ht="18" customHeight="1">
      <c r="B14" s="85"/>
      <c r="C14" s="86"/>
      <c r="D14" s="86"/>
      <c r="E14" s="86"/>
      <c r="F14" s="86"/>
      <c r="G14" s="86"/>
      <c r="H14" s="86"/>
      <c r="I14" s="86"/>
      <c r="J14" s="86"/>
      <c r="K14" s="86"/>
      <c r="L14" s="86"/>
      <c r="M14" s="86"/>
      <c r="N14" s="86"/>
      <c r="O14" s="86"/>
      <c r="P14" s="86"/>
      <c r="Q14" s="86"/>
      <c r="R14" s="86"/>
      <c r="S14" s="87"/>
      <c r="V14" s="1" t="s">
        <v>110</v>
      </c>
    </row>
    <row r="15" spans="1:22" ht="18" customHeight="1">
      <c r="B15" s="85"/>
      <c r="C15" s="86"/>
      <c r="D15" s="86"/>
      <c r="E15" s="86"/>
      <c r="F15" s="86"/>
      <c r="G15" s="86"/>
      <c r="H15" s="86"/>
      <c r="I15" s="86"/>
      <c r="J15" s="86"/>
      <c r="K15" s="86"/>
      <c r="L15" s="86"/>
      <c r="M15" s="86"/>
      <c r="N15" s="86"/>
      <c r="O15" s="86"/>
      <c r="P15" s="86"/>
      <c r="Q15" s="86"/>
      <c r="R15" s="86"/>
      <c r="S15" s="87"/>
      <c r="V15" s="1" t="s">
        <v>123</v>
      </c>
    </row>
    <row r="16" spans="1:22" ht="18" customHeight="1">
      <c r="B16" s="85"/>
      <c r="C16" s="86"/>
      <c r="D16" s="86"/>
      <c r="E16" s="86"/>
      <c r="F16" s="86"/>
      <c r="G16" s="86"/>
      <c r="H16" s="86"/>
      <c r="I16" s="86"/>
      <c r="J16" s="86"/>
      <c r="K16" s="86"/>
      <c r="L16" s="86"/>
      <c r="M16" s="86"/>
      <c r="N16" s="86"/>
      <c r="O16" s="86"/>
      <c r="P16" s="86"/>
      <c r="Q16" s="86"/>
      <c r="R16" s="86"/>
      <c r="S16" s="87"/>
      <c r="V16" s="1" t="s">
        <v>125</v>
      </c>
    </row>
    <row r="17" spans="1:19" ht="18" customHeight="1">
      <c r="B17" s="85"/>
      <c r="C17" s="86"/>
      <c r="D17" s="86"/>
      <c r="E17" s="86"/>
      <c r="F17" s="86"/>
      <c r="G17" s="86"/>
      <c r="H17" s="86"/>
      <c r="I17" s="86"/>
      <c r="J17" s="86"/>
      <c r="K17" s="86"/>
      <c r="L17" s="86"/>
      <c r="M17" s="86"/>
      <c r="N17" s="86"/>
      <c r="O17" s="86"/>
      <c r="P17" s="86"/>
      <c r="Q17" s="86"/>
      <c r="R17" s="86"/>
      <c r="S17" s="87"/>
    </row>
    <row r="18" spans="1:19" ht="18" customHeight="1">
      <c r="B18" s="88"/>
      <c r="C18" s="89"/>
      <c r="D18" s="89"/>
      <c r="E18" s="89"/>
      <c r="F18" s="89"/>
      <c r="G18" s="89"/>
      <c r="H18" s="89"/>
      <c r="I18" s="89"/>
      <c r="J18" s="89"/>
      <c r="K18" s="89"/>
      <c r="L18" s="89"/>
      <c r="M18" s="89"/>
      <c r="N18" s="89"/>
      <c r="O18" s="89"/>
      <c r="P18" s="89"/>
      <c r="Q18" s="89"/>
      <c r="R18" s="89"/>
      <c r="S18" s="90"/>
    </row>
    <row r="19" spans="1:19" ht="7.5" customHeight="1">
      <c r="B19" s="3"/>
      <c r="C19" s="3"/>
      <c r="D19" s="3"/>
      <c r="E19" s="3"/>
      <c r="F19" s="3"/>
      <c r="G19" s="3"/>
      <c r="H19" s="3"/>
      <c r="I19" s="3"/>
      <c r="J19" s="3"/>
      <c r="K19" s="3"/>
      <c r="L19" s="3"/>
      <c r="M19" s="3"/>
      <c r="N19" s="3"/>
      <c r="O19" s="3"/>
      <c r="P19" s="3"/>
      <c r="Q19" s="3"/>
      <c r="R19" s="3"/>
      <c r="S19" s="3"/>
    </row>
    <row r="20" spans="1:19" ht="20" customHeight="1">
      <c r="B20" s="1" t="s">
        <v>112</v>
      </c>
      <c r="C20" s="91"/>
      <c r="D20" s="92"/>
      <c r="E20" s="40" t="s">
        <v>95</v>
      </c>
      <c r="G20" s="10"/>
      <c r="H20" s="3"/>
      <c r="I20" s="3"/>
      <c r="J20" s="35" t="s">
        <v>121</v>
      </c>
      <c r="K20" s="93" t="s">
        <v>110</v>
      </c>
      <c r="L20" s="94"/>
      <c r="M20" s="94"/>
      <c r="N20" s="94"/>
      <c r="O20" s="94"/>
      <c r="P20" s="94"/>
      <c r="Q20" s="94"/>
      <c r="R20" s="94"/>
      <c r="S20" s="95"/>
    </row>
    <row r="21" spans="1:19" ht="7.5" customHeight="1">
      <c r="B21" s="3"/>
      <c r="C21" s="3"/>
      <c r="D21" s="3"/>
      <c r="E21" s="3"/>
      <c r="F21" s="3"/>
      <c r="G21" s="3"/>
      <c r="H21" s="3"/>
      <c r="I21" s="3"/>
      <c r="J21" s="3"/>
      <c r="K21" s="3"/>
      <c r="L21" s="3"/>
      <c r="M21" s="3"/>
      <c r="N21" s="3"/>
      <c r="O21" s="3"/>
      <c r="P21" s="3"/>
      <c r="Q21" s="3"/>
      <c r="R21" s="3"/>
      <c r="S21" s="3"/>
    </row>
    <row r="22" spans="1:19" ht="18" customHeight="1">
      <c r="A22" s="96" t="s">
        <v>113</v>
      </c>
      <c r="B22" s="96"/>
      <c r="C22" s="96"/>
      <c r="D22" s="96"/>
      <c r="E22" s="96"/>
      <c r="F22" s="96"/>
      <c r="G22" s="96"/>
      <c r="H22" s="96"/>
      <c r="I22" s="96"/>
      <c r="J22" s="96"/>
      <c r="K22" s="96"/>
      <c r="L22" s="96"/>
      <c r="M22" s="96"/>
      <c r="N22" s="96"/>
      <c r="O22" s="96"/>
      <c r="P22" s="96"/>
      <c r="Q22" s="96"/>
      <c r="R22" s="96"/>
      <c r="S22" s="96"/>
    </row>
    <row r="23" spans="1:19" ht="18" customHeight="1">
      <c r="A23" s="96"/>
      <c r="B23" s="96"/>
      <c r="C23" s="96"/>
      <c r="D23" s="96"/>
      <c r="E23" s="96"/>
      <c r="F23" s="96"/>
      <c r="G23" s="96"/>
      <c r="H23" s="96"/>
      <c r="I23" s="96"/>
      <c r="J23" s="96"/>
      <c r="K23" s="96"/>
      <c r="L23" s="96"/>
      <c r="M23" s="96"/>
      <c r="N23" s="96"/>
      <c r="O23" s="96"/>
      <c r="P23" s="96"/>
      <c r="Q23" s="96"/>
      <c r="R23" s="96"/>
      <c r="S23" s="96"/>
    </row>
    <row r="24" spans="1:19" ht="18" customHeight="1">
      <c r="B24" s="91" t="s">
        <v>53</v>
      </c>
      <c r="C24" s="97"/>
      <c r="D24" s="97"/>
      <c r="E24" s="92"/>
      <c r="F24" s="61" t="s">
        <v>80</v>
      </c>
      <c r="G24" s="60" t="s">
        <v>84</v>
      </c>
      <c r="H24" s="22" t="s">
        <v>56</v>
      </c>
      <c r="I24" s="22" t="s">
        <v>59</v>
      </c>
      <c r="J24" s="91" t="s">
        <v>53</v>
      </c>
      <c r="K24" s="97"/>
      <c r="L24" s="97"/>
      <c r="M24" s="97"/>
      <c r="N24" s="97"/>
      <c r="O24" s="92"/>
      <c r="P24" s="61" t="s">
        <v>80</v>
      </c>
      <c r="Q24" s="60" t="s">
        <v>84</v>
      </c>
      <c r="R24" s="22" t="s">
        <v>56</v>
      </c>
      <c r="S24" s="22" t="s">
        <v>59</v>
      </c>
    </row>
    <row r="25" spans="1:19" ht="18" customHeight="1">
      <c r="B25" s="115" t="s">
        <v>155</v>
      </c>
      <c r="C25" s="116"/>
      <c r="D25" s="116"/>
      <c r="E25" s="117"/>
      <c r="F25" s="23"/>
      <c r="G25" s="23" t="s">
        <v>146</v>
      </c>
      <c r="H25" s="23" t="s">
        <v>146</v>
      </c>
      <c r="I25" s="23" t="s">
        <v>146</v>
      </c>
      <c r="J25" s="115"/>
      <c r="K25" s="116"/>
      <c r="L25" s="116"/>
      <c r="M25" s="116"/>
      <c r="N25" s="116"/>
      <c r="O25" s="117"/>
      <c r="P25" s="23"/>
      <c r="Q25" s="23"/>
      <c r="R25" s="23"/>
      <c r="S25" s="23"/>
    </row>
    <row r="26" spans="1:19" ht="18" customHeight="1">
      <c r="B26" s="112"/>
      <c r="C26" s="113"/>
      <c r="D26" s="113"/>
      <c r="E26" s="114"/>
      <c r="F26" s="24"/>
      <c r="G26" s="24"/>
      <c r="H26" s="24"/>
      <c r="I26" s="24"/>
      <c r="J26" s="112"/>
      <c r="K26" s="113"/>
      <c r="L26" s="113"/>
      <c r="M26" s="113"/>
      <c r="N26" s="113"/>
      <c r="O26" s="114"/>
      <c r="P26" s="24"/>
      <c r="Q26" s="24"/>
      <c r="R26" s="24"/>
      <c r="S26" s="24"/>
    </row>
    <row r="27" spans="1:19" ht="18" customHeight="1">
      <c r="B27" s="112"/>
      <c r="C27" s="113"/>
      <c r="D27" s="113"/>
      <c r="E27" s="114"/>
      <c r="F27" s="24"/>
      <c r="G27" s="24"/>
      <c r="H27" s="24"/>
      <c r="I27" s="24"/>
      <c r="J27" s="112"/>
      <c r="K27" s="113"/>
      <c r="L27" s="113"/>
      <c r="M27" s="113"/>
      <c r="N27" s="113"/>
      <c r="O27" s="114"/>
      <c r="P27" s="24"/>
      <c r="Q27" s="24"/>
      <c r="R27" s="24"/>
      <c r="S27" s="24"/>
    </row>
    <row r="28" spans="1:19" ht="18" customHeight="1">
      <c r="B28" s="112"/>
      <c r="C28" s="113"/>
      <c r="D28" s="113"/>
      <c r="E28" s="114"/>
      <c r="F28" s="24"/>
      <c r="G28" s="24"/>
      <c r="H28" s="24"/>
      <c r="I28" s="24"/>
      <c r="J28" s="112"/>
      <c r="K28" s="113"/>
      <c r="L28" s="113"/>
      <c r="M28" s="113"/>
      <c r="N28" s="113"/>
      <c r="O28" s="114"/>
      <c r="P28" s="24"/>
      <c r="Q28" s="24"/>
      <c r="R28" s="24"/>
      <c r="S28" s="24"/>
    </row>
    <row r="29" spans="1:19" ht="18" customHeight="1">
      <c r="B29" s="112"/>
      <c r="C29" s="113"/>
      <c r="D29" s="113"/>
      <c r="E29" s="114"/>
      <c r="F29" s="24"/>
      <c r="G29" s="24"/>
      <c r="H29" s="24"/>
      <c r="I29" s="24"/>
      <c r="J29" s="112"/>
      <c r="K29" s="113"/>
      <c r="L29" s="113"/>
      <c r="M29" s="113"/>
      <c r="N29" s="113"/>
      <c r="O29" s="114"/>
      <c r="P29" s="24"/>
      <c r="Q29" s="24"/>
      <c r="R29" s="24"/>
      <c r="S29" s="24"/>
    </row>
    <row r="30" spans="1:19" ht="18" customHeight="1">
      <c r="A30" s="3"/>
      <c r="B30" s="112"/>
      <c r="C30" s="113"/>
      <c r="D30" s="113"/>
      <c r="E30" s="114"/>
      <c r="F30" s="24"/>
      <c r="G30" s="24"/>
      <c r="H30" s="24"/>
      <c r="I30" s="24"/>
      <c r="J30" s="112"/>
      <c r="K30" s="113"/>
      <c r="L30" s="113"/>
      <c r="M30" s="113"/>
      <c r="N30" s="113"/>
      <c r="O30" s="114"/>
      <c r="P30" s="24"/>
      <c r="Q30" s="24"/>
      <c r="R30" s="24"/>
      <c r="S30" s="24"/>
    </row>
    <row r="31" spans="1:19" ht="18" customHeight="1">
      <c r="A31" s="3"/>
      <c r="B31" s="118"/>
      <c r="C31" s="119"/>
      <c r="D31" s="119"/>
      <c r="E31" s="120"/>
      <c r="F31" s="25"/>
      <c r="G31" s="25"/>
      <c r="H31" s="26"/>
      <c r="I31" s="26"/>
      <c r="J31" s="118"/>
      <c r="K31" s="119"/>
      <c r="L31" s="119"/>
      <c r="M31" s="119"/>
      <c r="N31" s="119"/>
      <c r="O31" s="120"/>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96" t="s">
        <v>114</v>
      </c>
      <c r="B33" s="96"/>
      <c r="C33" s="96"/>
      <c r="D33" s="96"/>
      <c r="E33" s="96"/>
      <c r="F33" s="96"/>
      <c r="G33" s="96"/>
      <c r="H33" s="96"/>
      <c r="I33" s="96"/>
      <c r="J33" s="96"/>
      <c r="K33" s="96"/>
      <c r="L33" s="96"/>
      <c r="M33" s="96"/>
      <c r="N33" s="96"/>
      <c r="O33" s="96"/>
      <c r="P33" s="96"/>
      <c r="Q33" s="96"/>
      <c r="R33" s="96"/>
      <c r="S33" s="96"/>
    </row>
    <row r="34" spans="1:19" ht="18" customHeight="1">
      <c r="A34" s="96"/>
      <c r="B34" s="96"/>
      <c r="C34" s="96"/>
      <c r="D34" s="96"/>
      <c r="E34" s="96"/>
      <c r="F34" s="96"/>
      <c r="G34" s="96"/>
      <c r="H34" s="96"/>
      <c r="I34" s="96"/>
      <c r="J34" s="96"/>
      <c r="K34" s="96"/>
      <c r="L34" s="96"/>
      <c r="M34" s="96"/>
      <c r="N34" s="96"/>
      <c r="O34" s="96"/>
      <c r="P34" s="96"/>
      <c r="Q34" s="96"/>
      <c r="R34" s="96"/>
      <c r="S34" s="96"/>
    </row>
    <row r="35" spans="1:19" ht="18" customHeight="1">
      <c r="B35" s="91" t="s">
        <v>53</v>
      </c>
      <c r="C35" s="97"/>
      <c r="D35" s="97"/>
      <c r="E35" s="92"/>
      <c r="F35" s="61" t="s">
        <v>80</v>
      </c>
      <c r="G35" s="60" t="s">
        <v>84</v>
      </c>
      <c r="H35" s="22" t="s">
        <v>71</v>
      </c>
      <c r="I35" s="22" t="s">
        <v>72</v>
      </c>
      <c r="J35" s="91" t="s">
        <v>53</v>
      </c>
      <c r="K35" s="97"/>
      <c r="L35" s="97"/>
      <c r="M35" s="97"/>
      <c r="N35" s="97"/>
      <c r="O35" s="92"/>
      <c r="P35" s="61" t="s">
        <v>80</v>
      </c>
      <c r="Q35" s="60" t="s">
        <v>84</v>
      </c>
      <c r="R35" s="22" t="s">
        <v>71</v>
      </c>
      <c r="S35" s="22" t="s">
        <v>72</v>
      </c>
    </row>
    <row r="36" spans="1:19" ht="18" customHeight="1">
      <c r="B36" s="115" t="s">
        <v>155</v>
      </c>
      <c r="C36" s="116"/>
      <c r="D36" s="116"/>
      <c r="E36" s="117"/>
      <c r="F36" s="23"/>
      <c r="G36" s="23" t="s">
        <v>146</v>
      </c>
      <c r="H36" s="23" t="s">
        <v>146</v>
      </c>
      <c r="I36" s="23" t="s">
        <v>146</v>
      </c>
      <c r="J36" s="115"/>
      <c r="K36" s="116"/>
      <c r="L36" s="116"/>
      <c r="M36" s="116"/>
      <c r="N36" s="116"/>
      <c r="O36" s="117"/>
      <c r="P36" s="23"/>
      <c r="Q36" s="23"/>
      <c r="R36" s="23"/>
      <c r="S36" s="23"/>
    </row>
    <row r="37" spans="1:19" ht="18" customHeight="1">
      <c r="B37" s="112"/>
      <c r="C37" s="113"/>
      <c r="D37" s="113"/>
      <c r="E37" s="114"/>
      <c r="F37" s="24"/>
      <c r="G37" s="24"/>
      <c r="H37" s="24"/>
      <c r="I37" s="24"/>
      <c r="J37" s="112"/>
      <c r="K37" s="113"/>
      <c r="L37" s="113"/>
      <c r="M37" s="113"/>
      <c r="N37" s="113"/>
      <c r="O37" s="114"/>
      <c r="P37" s="24"/>
      <c r="Q37" s="24"/>
      <c r="R37" s="24"/>
      <c r="S37" s="24"/>
    </row>
    <row r="38" spans="1:19" ht="18" customHeight="1">
      <c r="B38" s="112"/>
      <c r="C38" s="113"/>
      <c r="D38" s="113"/>
      <c r="E38" s="114"/>
      <c r="F38" s="24"/>
      <c r="G38" s="24"/>
      <c r="H38" s="24"/>
      <c r="I38" s="24"/>
      <c r="J38" s="112"/>
      <c r="K38" s="113"/>
      <c r="L38" s="113"/>
      <c r="M38" s="113"/>
      <c r="N38" s="113"/>
      <c r="O38" s="114"/>
      <c r="P38" s="24"/>
      <c r="Q38" s="24"/>
      <c r="R38" s="24"/>
      <c r="S38" s="24"/>
    </row>
    <row r="39" spans="1:19" ht="18" customHeight="1">
      <c r="B39" s="112"/>
      <c r="C39" s="113"/>
      <c r="D39" s="113"/>
      <c r="E39" s="114"/>
      <c r="F39" s="24"/>
      <c r="G39" s="24"/>
      <c r="H39" s="24"/>
      <c r="I39" s="24"/>
      <c r="J39" s="112"/>
      <c r="K39" s="113"/>
      <c r="L39" s="113"/>
      <c r="M39" s="113"/>
      <c r="N39" s="113"/>
      <c r="O39" s="114"/>
      <c r="P39" s="24"/>
      <c r="Q39" s="24"/>
      <c r="R39" s="24"/>
      <c r="S39" s="24"/>
    </row>
    <row r="40" spans="1:19" ht="18" customHeight="1">
      <c r="B40" s="112"/>
      <c r="C40" s="113"/>
      <c r="D40" s="113"/>
      <c r="E40" s="114"/>
      <c r="F40" s="24"/>
      <c r="G40" s="24"/>
      <c r="H40" s="24"/>
      <c r="I40" s="24"/>
      <c r="J40" s="112"/>
      <c r="K40" s="113"/>
      <c r="L40" s="113"/>
      <c r="M40" s="113"/>
      <c r="N40" s="113"/>
      <c r="O40" s="114"/>
      <c r="P40" s="24"/>
      <c r="Q40" s="24"/>
      <c r="R40" s="24"/>
      <c r="S40" s="24"/>
    </row>
    <row r="41" spans="1:19" ht="18" customHeight="1">
      <c r="B41" s="112"/>
      <c r="C41" s="113"/>
      <c r="D41" s="113"/>
      <c r="E41" s="114"/>
      <c r="F41" s="24"/>
      <c r="G41" s="24"/>
      <c r="H41" s="24"/>
      <c r="I41" s="24"/>
      <c r="J41" s="112"/>
      <c r="K41" s="113"/>
      <c r="L41" s="113"/>
      <c r="M41" s="113"/>
      <c r="N41" s="113"/>
      <c r="O41" s="114"/>
      <c r="P41" s="24"/>
      <c r="Q41" s="24"/>
      <c r="R41" s="24"/>
      <c r="S41" s="24"/>
    </row>
    <row r="42" spans="1:19" ht="18" customHeight="1">
      <c r="B42" s="118"/>
      <c r="C42" s="119"/>
      <c r="D42" s="119"/>
      <c r="E42" s="120"/>
      <c r="F42" s="25"/>
      <c r="G42" s="25"/>
      <c r="H42" s="26"/>
      <c r="I42" s="26"/>
      <c r="J42" s="118"/>
      <c r="K42" s="119"/>
      <c r="L42" s="119"/>
      <c r="M42" s="119"/>
      <c r="N42" s="119"/>
      <c r="O42" s="120"/>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96" t="s">
        <v>115</v>
      </c>
      <c r="B44" s="96"/>
      <c r="C44" s="96"/>
      <c r="D44" s="96"/>
      <c r="E44" s="96"/>
      <c r="F44" s="96"/>
      <c r="G44" s="96"/>
      <c r="H44" s="96"/>
      <c r="I44" s="96"/>
      <c r="J44" s="96"/>
      <c r="K44" s="96"/>
      <c r="L44" s="96"/>
      <c r="M44" s="96"/>
      <c r="N44" s="96"/>
      <c r="O44" s="96"/>
      <c r="P44" s="96"/>
      <c r="Q44" s="96"/>
      <c r="R44" s="96"/>
      <c r="S44" s="96"/>
    </row>
    <row r="45" spans="1:19" ht="18" customHeight="1">
      <c r="A45" s="96"/>
      <c r="B45" s="96"/>
      <c r="C45" s="96"/>
      <c r="D45" s="96"/>
      <c r="E45" s="96"/>
      <c r="F45" s="96"/>
      <c r="G45" s="96"/>
      <c r="H45" s="96"/>
      <c r="I45" s="96"/>
      <c r="J45" s="96"/>
      <c r="K45" s="96"/>
      <c r="L45" s="96"/>
      <c r="M45" s="96"/>
      <c r="N45" s="96"/>
      <c r="O45" s="96"/>
      <c r="P45" s="96"/>
      <c r="Q45" s="96"/>
      <c r="R45" s="96"/>
      <c r="S45" s="96"/>
    </row>
    <row r="46" spans="1:19" ht="18" customHeight="1">
      <c r="B46" s="91" t="s">
        <v>53</v>
      </c>
      <c r="C46" s="97"/>
      <c r="D46" s="97"/>
      <c r="E46" s="92"/>
      <c r="F46" s="61" t="s">
        <v>80</v>
      </c>
      <c r="G46" s="60" t="s">
        <v>84</v>
      </c>
      <c r="H46" s="22" t="s">
        <v>73</v>
      </c>
      <c r="I46" s="22" t="s">
        <v>74</v>
      </c>
      <c r="J46" s="91" t="s">
        <v>53</v>
      </c>
      <c r="K46" s="97"/>
      <c r="L46" s="97"/>
      <c r="M46" s="97"/>
      <c r="N46" s="97"/>
      <c r="O46" s="92"/>
      <c r="P46" s="61" t="s">
        <v>80</v>
      </c>
      <c r="Q46" s="60" t="s">
        <v>84</v>
      </c>
      <c r="R46" s="22" t="s">
        <v>73</v>
      </c>
      <c r="S46" s="22" t="s">
        <v>74</v>
      </c>
    </row>
    <row r="47" spans="1:19" ht="18" customHeight="1">
      <c r="A47" s="3"/>
      <c r="B47" s="115" t="s">
        <v>155</v>
      </c>
      <c r="C47" s="116"/>
      <c r="D47" s="116"/>
      <c r="E47" s="117"/>
      <c r="F47" s="23"/>
      <c r="G47" s="23" t="s">
        <v>146</v>
      </c>
      <c r="H47" s="23" t="s">
        <v>146</v>
      </c>
      <c r="I47" s="23" t="s">
        <v>146</v>
      </c>
      <c r="J47" s="115"/>
      <c r="K47" s="116"/>
      <c r="L47" s="116"/>
      <c r="M47" s="116"/>
      <c r="N47" s="116"/>
      <c r="O47" s="117"/>
      <c r="P47" s="23"/>
      <c r="Q47" s="23"/>
      <c r="R47" s="23"/>
      <c r="S47" s="23"/>
    </row>
    <row r="48" spans="1:19" ht="18" customHeight="1">
      <c r="A48" s="3"/>
      <c r="B48" s="112"/>
      <c r="C48" s="113"/>
      <c r="D48" s="113"/>
      <c r="E48" s="114"/>
      <c r="F48" s="24"/>
      <c r="G48" s="24"/>
      <c r="H48" s="24"/>
      <c r="I48" s="24"/>
      <c r="J48" s="112"/>
      <c r="K48" s="113"/>
      <c r="L48" s="113"/>
      <c r="M48" s="113"/>
      <c r="N48" s="113"/>
      <c r="O48" s="114"/>
      <c r="P48" s="24"/>
      <c r="Q48" s="24"/>
      <c r="R48" s="24"/>
      <c r="S48" s="24"/>
    </row>
    <row r="49" spans="1:19" ht="18" customHeight="1">
      <c r="A49" s="3"/>
      <c r="B49" s="112"/>
      <c r="C49" s="113"/>
      <c r="D49" s="113"/>
      <c r="E49" s="114"/>
      <c r="F49" s="24"/>
      <c r="G49" s="24"/>
      <c r="H49" s="24"/>
      <c r="I49" s="24"/>
      <c r="J49" s="112"/>
      <c r="K49" s="113"/>
      <c r="L49" s="113"/>
      <c r="M49" s="113"/>
      <c r="N49" s="113"/>
      <c r="O49" s="114"/>
      <c r="P49" s="24"/>
      <c r="Q49" s="24"/>
      <c r="R49" s="24"/>
      <c r="S49" s="24"/>
    </row>
    <row r="50" spans="1:19" ht="18" customHeight="1">
      <c r="A50" s="3"/>
      <c r="B50" s="112"/>
      <c r="C50" s="113"/>
      <c r="D50" s="113"/>
      <c r="E50" s="114"/>
      <c r="F50" s="24"/>
      <c r="G50" s="24"/>
      <c r="H50" s="24"/>
      <c r="I50" s="24"/>
      <c r="J50" s="112"/>
      <c r="K50" s="113"/>
      <c r="L50" s="113"/>
      <c r="M50" s="113"/>
      <c r="N50" s="113"/>
      <c r="O50" s="114"/>
      <c r="P50" s="24"/>
      <c r="Q50" s="24"/>
      <c r="R50" s="24"/>
      <c r="S50" s="24"/>
    </row>
    <row r="51" spans="1:19" ht="18" customHeight="1">
      <c r="A51" s="3"/>
      <c r="B51" s="112"/>
      <c r="C51" s="113"/>
      <c r="D51" s="113"/>
      <c r="E51" s="114"/>
      <c r="F51" s="24"/>
      <c r="G51" s="24"/>
      <c r="H51" s="24"/>
      <c r="I51" s="24"/>
      <c r="J51" s="112"/>
      <c r="K51" s="113"/>
      <c r="L51" s="113"/>
      <c r="M51" s="113"/>
      <c r="N51" s="113"/>
      <c r="O51" s="114"/>
      <c r="P51" s="24"/>
      <c r="Q51" s="24"/>
      <c r="R51" s="24"/>
      <c r="S51" s="24"/>
    </row>
    <row r="52" spans="1:19" ht="18" customHeight="1">
      <c r="A52" s="3"/>
      <c r="B52" s="112"/>
      <c r="C52" s="113"/>
      <c r="D52" s="113"/>
      <c r="E52" s="114"/>
      <c r="F52" s="24"/>
      <c r="G52" s="24"/>
      <c r="H52" s="24"/>
      <c r="I52" s="24"/>
      <c r="J52" s="112"/>
      <c r="K52" s="113"/>
      <c r="L52" s="113"/>
      <c r="M52" s="113"/>
      <c r="N52" s="113"/>
      <c r="O52" s="114"/>
      <c r="P52" s="24"/>
      <c r="Q52" s="24"/>
      <c r="R52" s="24"/>
      <c r="S52" s="24"/>
    </row>
    <row r="53" spans="1:19" ht="18" customHeight="1">
      <c r="A53" s="3"/>
      <c r="B53" s="118"/>
      <c r="C53" s="119"/>
      <c r="D53" s="119"/>
      <c r="E53" s="120"/>
      <c r="F53" s="25"/>
      <c r="G53" s="25"/>
      <c r="H53" s="26"/>
      <c r="I53" s="26"/>
      <c r="J53" s="118"/>
      <c r="K53" s="119"/>
      <c r="L53" s="119"/>
      <c r="M53" s="119"/>
      <c r="N53" s="119"/>
      <c r="O53" s="12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96" t="s">
        <v>116</v>
      </c>
      <c r="B55" s="96"/>
      <c r="C55" s="96"/>
      <c r="D55" s="96"/>
      <c r="E55" s="96"/>
      <c r="F55" s="96"/>
      <c r="G55" s="96"/>
      <c r="H55" s="96"/>
      <c r="I55" s="96"/>
      <c r="J55" s="96"/>
      <c r="K55" s="96"/>
      <c r="L55" s="96"/>
      <c r="M55" s="96"/>
      <c r="N55" s="96"/>
      <c r="O55" s="96"/>
      <c r="P55" s="96"/>
      <c r="Q55" s="96"/>
      <c r="R55" s="96"/>
      <c r="S55" s="96"/>
    </row>
    <row r="56" spans="1:19" ht="18" customHeight="1">
      <c r="A56" s="96"/>
      <c r="B56" s="96"/>
      <c r="C56" s="96"/>
      <c r="D56" s="96"/>
      <c r="E56" s="96"/>
      <c r="F56" s="96"/>
      <c r="G56" s="96"/>
      <c r="H56" s="96"/>
      <c r="I56" s="96"/>
      <c r="J56" s="96"/>
      <c r="K56" s="96"/>
      <c r="L56" s="96"/>
      <c r="M56" s="96"/>
      <c r="N56" s="96"/>
      <c r="O56" s="96"/>
      <c r="P56" s="96"/>
      <c r="Q56" s="96"/>
      <c r="R56" s="96"/>
      <c r="S56" s="96"/>
    </row>
    <row r="57" spans="1:19" ht="18" customHeight="1">
      <c r="B57" s="91" t="s">
        <v>53</v>
      </c>
      <c r="C57" s="97"/>
      <c r="D57" s="97"/>
      <c r="E57" s="92"/>
      <c r="F57" s="61" t="s">
        <v>80</v>
      </c>
      <c r="G57" s="60" t="s">
        <v>84</v>
      </c>
      <c r="H57" s="22" t="s">
        <v>58</v>
      </c>
      <c r="I57" s="22" t="s">
        <v>60</v>
      </c>
      <c r="J57" s="91" t="s">
        <v>53</v>
      </c>
      <c r="K57" s="97"/>
      <c r="L57" s="97"/>
      <c r="M57" s="97"/>
      <c r="N57" s="97"/>
      <c r="O57" s="92"/>
      <c r="P57" s="61" t="s">
        <v>80</v>
      </c>
      <c r="Q57" s="60" t="s">
        <v>84</v>
      </c>
      <c r="R57" s="22" t="s">
        <v>58</v>
      </c>
      <c r="S57" s="22" t="s">
        <v>60</v>
      </c>
    </row>
    <row r="58" spans="1:19" ht="18" customHeight="1">
      <c r="A58" s="3"/>
      <c r="B58" s="115" t="s">
        <v>155</v>
      </c>
      <c r="C58" s="116"/>
      <c r="D58" s="116"/>
      <c r="E58" s="117"/>
      <c r="F58" s="23"/>
      <c r="G58" s="23" t="s">
        <v>146</v>
      </c>
      <c r="H58" s="23" t="s">
        <v>146</v>
      </c>
      <c r="I58" s="23" t="s">
        <v>146</v>
      </c>
      <c r="J58" s="115"/>
      <c r="K58" s="116"/>
      <c r="L58" s="116"/>
      <c r="M58" s="116"/>
      <c r="N58" s="116"/>
      <c r="O58" s="117"/>
      <c r="P58" s="23"/>
      <c r="Q58" s="23"/>
      <c r="R58" s="23"/>
      <c r="S58" s="23"/>
    </row>
    <row r="59" spans="1:19" ht="18" customHeight="1">
      <c r="A59" s="3"/>
      <c r="B59" s="112"/>
      <c r="C59" s="113"/>
      <c r="D59" s="113"/>
      <c r="E59" s="114"/>
      <c r="F59" s="24"/>
      <c r="G59" s="24"/>
      <c r="H59" s="24"/>
      <c r="I59" s="24"/>
      <c r="J59" s="112"/>
      <c r="K59" s="113"/>
      <c r="L59" s="113"/>
      <c r="M59" s="113"/>
      <c r="N59" s="113"/>
      <c r="O59" s="114"/>
      <c r="P59" s="24"/>
      <c r="Q59" s="24"/>
      <c r="R59" s="24"/>
      <c r="S59" s="24"/>
    </row>
    <row r="60" spans="1:19" ht="18" customHeight="1">
      <c r="A60" s="3"/>
      <c r="B60" s="112"/>
      <c r="C60" s="113"/>
      <c r="D60" s="113"/>
      <c r="E60" s="114"/>
      <c r="F60" s="24"/>
      <c r="G60" s="24"/>
      <c r="H60" s="24"/>
      <c r="I60" s="24"/>
      <c r="J60" s="112"/>
      <c r="K60" s="113"/>
      <c r="L60" s="113"/>
      <c r="M60" s="113"/>
      <c r="N60" s="113"/>
      <c r="O60" s="114"/>
      <c r="P60" s="24"/>
      <c r="Q60" s="24"/>
      <c r="R60" s="24"/>
      <c r="S60" s="24"/>
    </row>
    <row r="61" spans="1:19" ht="18" customHeight="1">
      <c r="A61" s="3"/>
      <c r="B61" s="112"/>
      <c r="C61" s="113"/>
      <c r="D61" s="113"/>
      <c r="E61" s="114"/>
      <c r="F61" s="24"/>
      <c r="G61" s="24"/>
      <c r="H61" s="24"/>
      <c r="I61" s="24"/>
      <c r="J61" s="112"/>
      <c r="K61" s="113"/>
      <c r="L61" s="113"/>
      <c r="M61" s="113"/>
      <c r="N61" s="113"/>
      <c r="O61" s="114"/>
      <c r="P61" s="24"/>
      <c r="Q61" s="24"/>
      <c r="R61" s="24"/>
      <c r="S61" s="24"/>
    </row>
    <row r="62" spans="1:19" ht="18" customHeight="1">
      <c r="A62" s="3"/>
      <c r="B62" s="112"/>
      <c r="C62" s="113"/>
      <c r="D62" s="113"/>
      <c r="E62" s="114"/>
      <c r="F62" s="24"/>
      <c r="G62" s="24"/>
      <c r="H62" s="24"/>
      <c r="I62" s="24"/>
      <c r="J62" s="112"/>
      <c r="K62" s="113"/>
      <c r="L62" s="113"/>
      <c r="M62" s="113"/>
      <c r="N62" s="113"/>
      <c r="O62" s="114"/>
      <c r="P62" s="24"/>
      <c r="Q62" s="24"/>
      <c r="R62" s="24"/>
      <c r="S62" s="24"/>
    </row>
    <row r="63" spans="1:19" ht="18" customHeight="1">
      <c r="A63" s="3"/>
      <c r="B63" s="112"/>
      <c r="C63" s="113"/>
      <c r="D63" s="113"/>
      <c r="E63" s="114"/>
      <c r="F63" s="24"/>
      <c r="G63" s="24"/>
      <c r="H63" s="24"/>
      <c r="I63" s="24"/>
      <c r="J63" s="112"/>
      <c r="K63" s="113"/>
      <c r="L63" s="113"/>
      <c r="M63" s="113"/>
      <c r="N63" s="113"/>
      <c r="O63" s="114"/>
      <c r="P63" s="24"/>
      <c r="Q63" s="24"/>
      <c r="R63" s="24"/>
      <c r="S63" s="24"/>
    </row>
    <row r="64" spans="1:19" ht="18" customHeight="1">
      <c r="A64" s="3"/>
      <c r="B64" s="118"/>
      <c r="C64" s="119"/>
      <c r="D64" s="119"/>
      <c r="E64" s="120"/>
      <c r="F64" s="25"/>
      <c r="G64" s="25"/>
      <c r="H64" s="26"/>
      <c r="I64" s="26"/>
      <c r="J64" s="118"/>
      <c r="K64" s="119"/>
      <c r="L64" s="119"/>
      <c r="M64" s="119"/>
      <c r="N64" s="119"/>
      <c r="O64" s="12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96" t="s">
        <v>117</v>
      </c>
      <c r="B66" s="96"/>
      <c r="C66" s="96"/>
      <c r="D66" s="96"/>
      <c r="E66" s="96"/>
      <c r="F66" s="96"/>
      <c r="G66" s="96"/>
      <c r="H66" s="96"/>
      <c r="I66" s="96"/>
      <c r="J66" s="96"/>
      <c r="K66" s="96"/>
      <c r="L66" s="96"/>
      <c r="M66" s="96"/>
      <c r="N66" s="96"/>
      <c r="O66" s="96"/>
      <c r="P66" s="96"/>
      <c r="Q66" s="96"/>
      <c r="R66" s="96"/>
      <c r="S66" s="96"/>
    </row>
    <row r="67" spans="1:19" ht="18" customHeight="1">
      <c r="A67" s="96"/>
      <c r="B67" s="96"/>
      <c r="C67" s="96"/>
      <c r="D67" s="96"/>
      <c r="E67" s="96"/>
      <c r="F67" s="96"/>
      <c r="G67" s="96"/>
      <c r="H67" s="96"/>
      <c r="I67" s="96"/>
      <c r="J67" s="96"/>
      <c r="K67" s="96"/>
      <c r="L67" s="96"/>
      <c r="M67" s="96"/>
      <c r="N67" s="96"/>
      <c r="O67" s="96"/>
      <c r="P67" s="96"/>
      <c r="Q67" s="96"/>
      <c r="R67" s="96"/>
      <c r="S67" s="96"/>
    </row>
    <row r="68" spans="1:19" ht="18" customHeight="1">
      <c r="B68" s="91" t="s">
        <v>53</v>
      </c>
      <c r="C68" s="97"/>
      <c r="D68" s="97"/>
      <c r="E68" s="61" t="s">
        <v>80</v>
      </c>
      <c r="F68" s="60" t="s">
        <v>84</v>
      </c>
      <c r="G68" s="22" t="s">
        <v>101</v>
      </c>
      <c r="H68" s="22" t="s">
        <v>75</v>
      </c>
      <c r="I68" s="22" t="s">
        <v>76</v>
      </c>
      <c r="J68" s="91" t="s">
        <v>53</v>
      </c>
      <c r="K68" s="97"/>
      <c r="L68" s="97"/>
      <c r="M68" s="97"/>
      <c r="N68" s="92"/>
      <c r="O68" s="61" t="s">
        <v>80</v>
      </c>
      <c r="P68" s="60" t="s">
        <v>84</v>
      </c>
      <c r="Q68" s="22" t="s">
        <v>101</v>
      </c>
      <c r="R68" s="22" t="s">
        <v>75</v>
      </c>
      <c r="S68" s="22" t="s">
        <v>76</v>
      </c>
    </row>
    <row r="69" spans="1:19" ht="18" customHeight="1">
      <c r="A69" s="3"/>
      <c r="B69" s="115" t="s">
        <v>156</v>
      </c>
      <c r="C69" s="116"/>
      <c r="D69" s="116"/>
      <c r="E69" s="23"/>
      <c r="F69" s="23" t="s">
        <v>146</v>
      </c>
      <c r="G69" s="23" t="s">
        <v>146</v>
      </c>
      <c r="H69" s="23" t="s">
        <v>146</v>
      </c>
      <c r="I69" s="23" t="s">
        <v>146</v>
      </c>
      <c r="J69" s="115"/>
      <c r="K69" s="116"/>
      <c r="L69" s="116"/>
      <c r="M69" s="116"/>
      <c r="N69" s="117"/>
      <c r="O69" s="23"/>
      <c r="P69" s="23"/>
      <c r="Q69" s="23"/>
      <c r="R69" s="23"/>
      <c r="S69" s="23"/>
    </row>
    <row r="70" spans="1:19" ht="18" customHeight="1">
      <c r="A70" s="3"/>
      <c r="B70" s="112"/>
      <c r="C70" s="113"/>
      <c r="D70" s="114"/>
      <c r="E70" s="24"/>
      <c r="F70" s="24"/>
      <c r="G70" s="24"/>
      <c r="H70" s="24"/>
      <c r="I70" s="24"/>
      <c r="J70" s="112"/>
      <c r="K70" s="113"/>
      <c r="L70" s="113"/>
      <c r="M70" s="113"/>
      <c r="N70" s="114"/>
      <c r="O70" s="24"/>
      <c r="P70" s="24"/>
      <c r="Q70" s="24"/>
      <c r="R70" s="24"/>
      <c r="S70" s="24"/>
    </row>
    <row r="71" spans="1:19" ht="18" customHeight="1">
      <c r="A71" s="3"/>
      <c r="B71" s="112"/>
      <c r="C71" s="113"/>
      <c r="D71" s="113"/>
      <c r="E71" s="24"/>
      <c r="F71" s="24"/>
      <c r="G71" s="24"/>
      <c r="H71" s="24"/>
      <c r="I71" s="24"/>
      <c r="J71" s="112"/>
      <c r="K71" s="113"/>
      <c r="L71" s="113"/>
      <c r="M71" s="113"/>
      <c r="N71" s="114"/>
      <c r="O71" s="24"/>
      <c r="P71" s="24"/>
      <c r="Q71" s="24"/>
      <c r="R71" s="24"/>
      <c r="S71" s="24"/>
    </row>
    <row r="72" spans="1:19" ht="18" customHeight="1">
      <c r="A72" s="3"/>
      <c r="B72" s="112"/>
      <c r="C72" s="113"/>
      <c r="D72" s="113"/>
      <c r="E72" s="24"/>
      <c r="F72" s="24"/>
      <c r="G72" s="24"/>
      <c r="H72" s="24"/>
      <c r="I72" s="24"/>
      <c r="J72" s="112"/>
      <c r="K72" s="113"/>
      <c r="L72" s="113"/>
      <c r="M72" s="113"/>
      <c r="N72" s="114"/>
      <c r="O72" s="24"/>
      <c r="P72" s="24"/>
      <c r="Q72" s="24"/>
      <c r="R72" s="24"/>
      <c r="S72" s="24"/>
    </row>
    <row r="73" spans="1:19" ht="18" customHeight="1">
      <c r="A73" s="3"/>
      <c r="B73" s="112"/>
      <c r="C73" s="113"/>
      <c r="D73" s="113"/>
      <c r="E73" s="24"/>
      <c r="F73" s="24"/>
      <c r="G73" s="24"/>
      <c r="H73" s="24"/>
      <c r="I73" s="24"/>
      <c r="J73" s="112"/>
      <c r="K73" s="113"/>
      <c r="L73" s="113"/>
      <c r="M73" s="113"/>
      <c r="N73" s="114"/>
      <c r="O73" s="24"/>
      <c r="P73" s="24"/>
      <c r="Q73" s="24"/>
      <c r="R73" s="24"/>
      <c r="S73" s="24"/>
    </row>
    <row r="74" spans="1:19" ht="18" customHeight="1">
      <c r="A74" s="3"/>
      <c r="B74" s="112"/>
      <c r="C74" s="113"/>
      <c r="D74" s="113"/>
      <c r="E74" s="24"/>
      <c r="F74" s="24"/>
      <c r="G74" s="24"/>
      <c r="H74" s="24"/>
      <c r="I74" s="24"/>
      <c r="J74" s="112"/>
      <c r="K74" s="113"/>
      <c r="L74" s="113"/>
      <c r="M74" s="113"/>
      <c r="N74" s="114"/>
      <c r="O74" s="24"/>
      <c r="P74" s="24"/>
      <c r="Q74" s="24"/>
      <c r="R74" s="24"/>
      <c r="S74" s="24"/>
    </row>
    <row r="75" spans="1:19" ht="18" customHeight="1">
      <c r="A75" s="3"/>
      <c r="B75" s="118"/>
      <c r="C75" s="119"/>
      <c r="D75" s="119"/>
      <c r="E75" s="25"/>
      <c r="F75" s="25"/>
      <c r="G75" s="26"/>
      <c r="H75" s="26"/>
      <c r="I75" s="26"/>
      <c r="J75" s="118"/>
      <c r="K75" s="119"/>
      <c r="L75" s="119"/>
      <c r="M75" s="119"/>
      <c r="N75" s="12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118</v>
      </c>
      <c r="H77" s="3"/>
      <c r="I77" s="3"/>
      <c r="J77" s="3"/>
      <c r="K77" s="3"/>
      <c r="L77" s="3"/>
      <c r="M77" s="3"/>
      <c r="N77" s="3"/>
      <c r="O77" s="3"/>
      <c r="P77" s="3"/>
      <c r="Q77" s="3"/>
      <c r="R77" s="3"/>
      <c r="S77" s="3"/>
    </row>
    <row r="78" spans="1:19" ht="18" customHeight="1">
      <c r="B78" s="91" t="s">
        <v>53</v>
      </c>
      <c r="C78" s="97"/>
      <c r="D78" s="97"/>
      <c r="E78" s="92"/>
      <c r="F78" s="91" t="s">
        <v>82</v>
      </c>
      <c r="G78" s="97"/>
      <c r="H78" s="97"/>
      <c r="I78" s="92"/>
      <c r="J78" s="121" t="s">
        <v>53</v>
      </c>
      <c r="K78" s="122"/>
      <c r="L78" s="122"/>
      <c r="M78" s="122"/>
      <c r="N78" s="122"/>
      <c r="O78" s="123"/>
      <c r="P78" s="91" t="s">
        <v>82</v>
      </c>
      <c r="Q78" s="97"/>
      <c r="R78" s="97"/>
      <c r="S78" s="92"/>
    </row>
    <row r="79" spans="1:19" ht="18" customHeight="1">
      <c r="A79" s="3"/>
      <c r="B79" s="115" t="s">
        <v>156</v>
      </c>
      <c r="C79" s="116"/>
      <c r="D79" s="116"/>
      <c r="E79" s="117"/>
      <c r="F79" s="124" t="s">
        <v>147</v>
      </c>
      <c r="G79" s="125"/>
      <c r="H79" s="125"/>
      <c r="I79" s="126"/>
      <c r="J79" s="115"/>
      <c r="K79" s="116"/>
      <c r="L79" s="116"/>
      <c r="M79" s="116"/>
      <c r="N79" s="116"/>
      <c r="O79" s="117"/>
      <c r="P79" s="124"/>
      <c r="Q79" s="125"/>
      <c r="R79" s="125"/>
      <c r="S79" s="126"/>
    </row>
    <row r="80" spans="1:19" ht="18" customHeight="1">
      <c r="A80" s="3"/>
      <c r="B80" s="112" t="s">
        <v>157</v>
      </c>
      <c r="C80" s="113"/>
      <c r="D80" s="113"/>
      <c r="E80" s="114"/>
      <c r="F80" s="127" t="s">
        <v>147</v>
      </c>
      <c r="G80" s="128"/>
      <c r="H80" s="128"/>
      <c r="I80" s="129"/>
      <c r="J80" s="112"/>
      <c r="K80" s="113"/>
      <c r="L80" s="113"/>
      <c r="M80" s="113"/>
      <c r="N80" s="113"/>
      <c r="O80" s="114"/>
      <c r="P80" s="127"/>
      <c r="Q80" s="128"/>
      <c r="R80" s="128"/>
      <c r="S80" s="129"/>
    </row>
    <row r="81" spans="1:19" ht="18" customHeight="1">
      <c r="A81" s="3"/>
      <c r="B81" s="112"/>
      <c r="C81" s="113"/>
      <c r="D81" s="113"/>
      <c r="E81" s="114"/>
      <c r="F81" s="127"/>
      <c r="G81" s="128"/>
      <c r="H81" s="128"/>
      <c r="I81" s="129"/>
      <c r="J81" s="112"/>
      <c r="K81" s="113"/>
      <c r="L81" s="113"/>
      <c r="M81" s="113"/>
      <c r="N81" s="113"/>
      <c r="O81" s="114"/>
      <c r="P81" s="127"/>
      <c r="Q81" s="128"/>
      <c r="R81" s="128"/>
      <c r="S81" s="129"/>
    </row>
    <row r="82" spans="1:19" ht="18" customHeight="1">
      <c r="A82" s="3"/>
      <c r="B82" s="112"/>
      <c r="C82" s="113"/>
      <c r="D82" s="113"/>
      <c r="E82" s="114"/>
      <c r="F82" s="127"/>
      <c r="G82" s="128"/>
      <c r="H82" s="128"/>
      <c r="I82" s="129"/>
      <c r="J82" s="112"/>
      <c r="K82" s="113"/>
      <c r="L82" s="113"/>
      <c r="M82" s="113"/>
      <c r="N82" s="113"/>
      <c r="O82" s="114"/>
      <c r="P82" s="127"/>
      <c r="Q82" s="128"/>
      <c r="R82" s="128"/>
      <c r="S82" s="129"/>
    </row>
    <row r="83" spans="1:19" ht="18" customHeight="1">
      <c r="A83" s="3"/>
      <c r="B83" s="112"/>
      <c r="C83" s="113"/>
      <c r="D83" s="113"/>
      <c r="E83" s="114"/>
      <c r="F83" s="127"/>
      <c r="G83" s="128"/>
      <c r="H83" s="128"/>
      <c r="I83" s="129"/>
      <c r="J83" s="112"/>
      <c r="K83" s="113"/>
      <c r="L83" s="113"/>
      <c r="M83" s="113"/>
      <c r="N83" s="113"/>
      <c r="O83" s="114"/>
      <c r="P83" s="127"/>
      <c r="Q83" s="128"/>
      <c r="R83" s="128"/>
      <c r="S83" s="129"/>
    </row>
    <row r="84" spans="1:19" ht="18" customHeight="1">
      <c r="A84" s="3"/>
      <c r="B84" s="112"/>
      <c r="C84" s="113"/>
      <c r="D84" s="113"/>
      <c r="E84" s="114"/>
      <c r="F84" s="127"/>
      <c r="G84" s="128"/>
      <c r="H84" s="128"/>
      <c r="I84" s="129"/>
      <c r="J84" s="112"/>
      <c r="K84" s="113"/>
      <c r="L84" s="113"/>
      <c r="M84" s="113"/>
      <c r="N84" s="113"/>
      <c r="O84" s="114"/>
      <c r="P84" s="127"/>
      <c r="Q84" s="128"/>
      <c r="R84" s="128"/>
      <c r="S84" s="129"/>
    </row>
    <row r="85" spans="1:19" ht="18" customHeight="1">
      <c r="A85" s="3"/>
      <c r="B85" s="118"/>
      <c r="C85" s="119"/>
      <c r="D85" s="119"/>
      <c r="E85" s="120"/>
      <c r="F85" s="143"/>
      <c r="G85" s="144"/>
      <c r="H85" s="144"/>
      <c r="I85" s="145"/>
      <c r="J85" s="118"/>
      <c r="K85" s="119"/>
      <c r="L85" s="119"/>
      <c r="M85" s="119"/>
      <c r="N85" s="119"/>
      <c r="O85" s="120"/>
      <c r="P85" s="143"/>
      <c r="Q85" s="144"/>
      <c r="R85" s="144"/>
      <c r="S85" s="145"/>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119</v>
      </c>
    </row>
    <row r="88" spans="1:19" ht="18.75" customHeight="1">
      <c r="B88" s="130" t="s">
        <v>54</v>
      </c>
      <c r="C88" s="131"/>
      <c r="D88" s="97" t="s">
        <v>55</v>
      </c>
      <c r="E88" s="97"/>
      <c r="F88" s="97"/>
      <c r="G88" s="97"/>
      <c r="H88" s="97"/>
      <c r="I88" s="97"/>
      <c r="J88" s="97"/>
      <c r="K88" s="97"/>
      <c r="L88" s="97"/>
      <c r="M88" s="97"/>
      <c r="N88" s="97"/>
      <c r="O88" s="97"/>
      <c r="P88" s="97"/>
      <c r="Q88" s="97"/>
      <c r="R88" s="97"/>
      <c r="S88" s="92"/>
    </row>
    <row r="89" spans="1:19" ht="97.5" customHeight="1">
      <c r="B89" s="132" t="s">
        <v>61</v>
      </c>
      <c r="C89" s="28" t="s">
        <v>56</v>
      </c>
      <c r="D89" s="134" t="s">
        <v>180</v>
      </c>
      <c r="E89" s="134"/>
      <c r="F89" s="134"/>
      <c r="G89" s="134"/>
      <c r="H89" s="134"/>
      <c r="I89" s="134"/>
      <c r="J89" s="134"/>
      <c r="K89" s="134"/>
      <c r="L89" s="134"/>
      <c r="M89" s="134"/>
      <c r="N89" s="134"/>
      <c r="O89" s="134"/>
      <c r="P89" s="134"/>
      <c r="Q89" s="134"/>
      <c r="R89" s="134"/>
      <c r="S89" s="135"/>
    </row>
    <row r="90" spans="1:19" ht="97.5" customHeight="1">
      <c r="B90" s="133"/>
      <c r="C90" s="29" t="s">
        <v>77</v>
      </c>
      <c r="D90" s="136" t="s">
        <v>181</v>
      </c>
      <c r="E90" s="136"/>
      <c r="F90" s="136"/>
      <c r="G90" s="136"/>
      <c r="H90" s="136"/>
      <c r="I90" s="136"/>
      <c r="J90" s="136"/>
      <c r="K90" s="136"/>
      <c r="L90" s="136"/>
      <c r="M90" s="136"/>
      <c r="N90" s="136"/>
      <c r="O90" s="136"/>
      <c r="P90" s="136"/>
      <c r="Q90" s="136"/>
      <c r="R90" s="136"/>
      <c r="S90" s="137"/>
    </row>
    <row r="91" spans="1:19" ht="97.5" customHeight="1">
      <c r="B91" s="132" t="s">
        <v>62</v>
      </c>
      <c r="C91" s="30" t="s">
        <v>71</v>
      </c>
      <c r="D91" s="139" t="s">
        <v>182</v>
      </c>
      <c r="E91" s="139"/>
      <c r="F91" s="139"/>
      <c r="G91" s="139"/>
      <c r="H91" s="139"/>
      <c r="I91" s="139"/>
      <c r="J91" s="139"/>
      <c r="K91" s="139"/>
      <c r="L91" s="139"/>
      <c r="M91" s="139"/>
      <c r="N91" s="139"/>
      <c r="O91" s="139"/>
      <c r="P91" s="139"/>
      <c r="Q91" s="139"/>
      <c r="R91" s="139"/>
      <c r="S91" s="140"/>
    </row>
    <row r="92" spans="1:19" ht="97.5" customHeight="1">
      <c r="B92" s="138"/>
      <c r="C92" s="31" t="s">
        <v>72</v>
      </c>
      <c r="D92" s="141" t="s">
        <v>200</v>
      </c>
      <c r="E92" s="141"/>
      <c r="F92" s="141"/>
      <c r="G92" s="141"/>
      <c r="H92" s="141"/>
      <c r="I92" s="141"/>
      <c r="J92" s="141"/>
      <c r="K92" s="141"/>
      <c r="L92" s="141"/>
      <c r="M92" s="141"/>
      <c r="N92" s="141"/>
      <c r="O92" s="141"/>
      <c r="P92" s="141"/>
      <c r="Q92" s="141"/>
      <c r="R92" s="141"/>
      <c r="S92" s="142"/>
    </row>
    <row r="93" spans="1:19" ht="97.5" customHeight="1">
      <c r="B93" s="132" t="s">
        <v>63</v>
      </c>
      <c r="C93" s="30" t="s">
        <v>73</v>
      </c>
      <c r="D93" s="139" t="s">
        <v>183</v>
      </c>
      <c r="E93" s="139"/>
      <c r="F93" s="139"/>
      <c r="G93" s="139"/>
      <c r="H93" s="139"/>
      <c r="I93" s="139"/>
      <c r="J93" s="139"/>
      <c r="K93" s="139"/>
      <c r="L93" s="139"/>
      <c r="M93" s="139"/>
      <c r="N93" s="139"/>
      <c r="O93" s="139"/>
      <c r="P93" s="139"/>
      <c r="Q93" s="139"/>
      <c r="R93" s="139"/>
      <c r="S93" s="140"/>
    </row>
    <row r="94" spans="1:19" ht="97.5" customHeight="1">
      <c r="B94" s="138"/>
      <c r="C94" s="32" t="s">
        <v>74</v>
      </c>
      <c r="D94" s="156" t="s">
        <v>198</v>
      </c>
      <c r="E94" s="156"/>
      <c r="F94" s="156"/>
      <c r="G94" s="156"/>
      <c r="H94" s="156"/>
      <c r="I94" s="156"/>
      <c r="J94" s="156"/>
      <c r="K94" s="156"/>
      <c r="L94" s="156"/>
      <c r="M94" s="156"/>
      <c r="N94" s="156"/>
      <c r="O94" s="156"/>
      <c r="P94" s="156"/>
      <c r="Q94" s="156"/>
      <c r="R94" s="156"/>
      <c r="S94" s="157"/>
    </row>
    <row r="95" spans="1:19" ht="97.5" customHeight="1">
      <c r="B95" s="132" t="s">
        <v>78</v>
      </c>
      <c r="C95" s="28" t="s">
        <v>58</v>
      </c>
      <c r="D95" s="134" t="s">
        <v>184</v>
      </c>
      <c r="E95" s="134"/>
      <c r="F95" s="134"/>
      <c r="G95" s="134"/>
      <c r="H95" s="134"/>
      <c r="I95" s="134"/>
      <c r="J95" s="134"/>
      <c r="K95" s="134"/>
      <c r="L95" s="134"/>
      <c r="M95" s="134"/>
      <c r="N95" s="134"/>
      <c r="O95" s="134"/>
      <c r="P95" s="134"/>
      <c r="Q95" s="134"/>
      <c r="R95" s="134"/>
      <c r="S95" s="135"/>
    </row>
    <row r="96" spans="1:19" ht="97.5" customHeight="1">
      <c r="B96" s="138"/>
      <c r="C96" s="31" t="s">
        <v>60</v>
      </c>
      <c r="D96" s="141" t="s">
        <v>185</v>
      </c>
      <c r="E96" s="141"/>
      <c r="F96" s="141"/>
      <c r="G96" s="141"/>
      <c r="H96" s="141"/>
      <c r="I96" s="141"/>
      <c r="J96" s="141"/>
      <c r="K96" s="141"/>
      <c r="L96" s="141"/>
      <c r="M96" s="141"/>
      <c r="N96" s="141"/>
      <c r="O96" s="141"/>
      <c r="P96" s="141"/>
      <c r="Q96" s="141"/>
      <c r="R96" s="141"/>
      <c r="S96" s="142"/>
    </row>
    <row r="97" spans="1:19" ht="97.5" customHeight="1">
      <c r="B97" s="132" t="s">
        <v>79</v>
      </c>
      <c r="C97" s="30" t="s">
        <v>57</v>
      </c>
      <c r="D97" s="146" t="s">
        <v>186</v>
      </c>
      <c r="E97" s="146"/>
      <c r="F97" s="146"/>
      <c r="G97" s="146"/>
      <c r="H97" s="146"/>
      <c r="I97" s="146"/>
      <c r="J97" s="146"/>
      <c r="K97" s="146"/>
      <c r="L97" s="146"/>
      <c r="M97" s="146"/>
      <c r="N97" s="146"/>
      <c r="O97" s="146"/>
      <c r="P97" s="146"/>
      <c r="Q97" s="146"/>
      <c r="R97" s="146"/>
      <c r="S97" s="147"/>
    </row>
    <row r="98" spans="1:19" ht="97.5" customHeight="1">
      <c r="B98" s="133"/>
      <c r="C98" s="33" t="s">
        <v>75</v>
      </c>
      <c r="D98" s="148" t="s">
        <v>187</v>
      </c>
      <c r="E98" s="149"/>
      <c r="F98" s="149"/>
      <c r="G98" s="149"/>
      <c r="H98" s="149"/>
      <c r="I98" s="149"/>
      <c r="J98" s="149"/>
      <c r="K98" s="149"/>
      <c r="L98" s="149"/>
      <c r="M98" s="149"/>
      <c r="N98" s="149"/>
      <c r="O98" s="149"/>
      <c r="P98" s="149"/>
      <c r="Q98" s="149"/>
      <c r="R98" s="149"/>
      <c r="S98" s="150"/>
    </row>
    <row r="99" spans="1:19" ht="97.5" customHeight="1">
      <c r="B99" s="138"/>
      <c r="C99" s="32" t="s">
        <v>76</v>
      </c>
      <c r="D99" s="151" t="s">
        <v>188</v>
      </c>
      <c r="E99" s="151"/>
      <c r="F99" s="151"/>
      <c r="G99" s="151"/>
      <c r="H99" s="151"/>
      <c r="I99" s="151"/>
      <c r="J99" s="151"/>
      <c r="K99" s="151"/>
      <c r="L99" s="151"/>
      <c r="M99" s="151"/>
      <c r="N99" s="151"/>
      <c r="O99" s="151"/>
      <c r="P99" s="151"/>
      <c r="Q99" s="151"/>
      <c r="R99" s="151"/>
      <c r="S99" s="152"/>
    </row>
    <row r="100" spans="1:19" ht="6" customHeight="1"/>
    <row r="101" spans="1:19" ht="18.75" customHeight="1">
      <c r="A101" s="1" t="s">
        <v>120</v>
      </c>
    </row>
    <row r="102" spans="1:19" ht="81.75" customHeight="1">
      <c r="B102" s="153" t="s">
        <v>159</v>
      </c>
      <c r="C102" s="154"/>
      <c r="D102" s="154"/>
      <c r="E102" s="154"/>
      <c r="F102" s="154"/>
      <c r="G102" s="154"/>
      <c r="H102" s="154"/>
      <c r="I102" s="154"/>
      <c r="J102" s="154"/>
      <c r="K102" s="154"/>
      <c r="L102" s="154"/>
      <c r="M102" s="154"/>
      <c r="N102" s="154"/>
      <c r="O102" s="154"/>
      <c r="P102" s="154"/>
      <c r="Q102" s="154"/>
      <c r="R102" s="154"/>
      <c r="S102" s="155"/>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2393AC1-2490-B84F-980E-E865BF3C5F86}">
      <formula1>"○"</formula1>
    </dataValidation>
    <dataValidation type="list" allowBlank="1" showInputMessage="1" showErrorMessage="1" sqref="S32 S43 D32:G32 D43:G43" xr:uid="{7D7DFCB6-1902-4C49-8B0D-6452893ECAE6}">
      <formula1>"全学開講,一部開講"</formula1>
    </dataValidation>
    <dataValidation type="list" allowBlank="1" showInputMessage="1" showErrorMessage="1" sqref="K7 K12" xr:uid="{628B84B2-2570-2E46-AE7C-EF960E4572CA}">
      <formula1>"学部・学科によって、修了要件は相違する,学部・学科によって、修了要件は相違しない"</formula1>
    </dataValidation>
    <dataValidation type="list" allowBlank="1" showInputMessage="1" showErrorMessage="1" sqref="F79:F86 P79:P86 G79:I80 G83:I86 Q83:S86 Q79:S80" xr:uid="{D926289A-462D-D744-8118-DC440A84386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69DD6775-0E26-BC46-A456-83EEF298D9D4}">
      <formula1>$V$14:$V$16</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B222-DC36-2A4F-A7BA-DFCDA4AE53B3}">
  <sheetPr>
    <pageSetUpPr fitToPage="1"/>
  </sheetPr>
  <dimension ref="A1:V110"/>
  <sheetViews>
    <sheetView showZeros="0" tabSelected="1" view="pageBreakPreview" topLeftCell="A87" zoomScaleNormal="100" zoomScaleSheetLayoutView="100" workbookViewId="0">
      <selection activeCell="E75" sqref="E75"/>
    </sheetView>
  </sheetViews>
  <sheetFormatPr baseColWidth="10" defaultColWidth="9" defaultRowHeight="18.75" customHeight="1"/>
  <cols>
    <col min="1" max="1" width="2.5" style="1" customWidth="1"/>
    <col min="2" max="2" width="16.5" style="1" customWidth="1"/>
    <col min="3" max="19" width="5.6640625" style="1" customWidth="1"/>
    <col min="20" max="20" width="9" style="1"/>
    <col min="21" max="21" width="3.6640625" style="1" customWidth="1"/>
    <col min="22" max="22" width="48.6640625" style="1" hidden="1" customWidth="1"/>
    <col min="23" max="16384" width="9" style="1"/>
  </cols>
  <sheetData>
    <row r="1" spans="1:22" ht="18.5" customHeight="1">
      <c r="R1" s="98" t="s">
        <v>165</v>
      </c>
      <c r="S1" s="98"/>
      <c r="T1" s="2" t="s">
        <v>109</v>
      </c>
    </row>
    <row r="2" spans="1:22" ht="18.75" customHeight="1">
      <c r="B2" s="34" t="s">
        <v>108</v>
      </c>
      <c r="C2" s="91" t="s">
        <v>128</v>
      </c>
      <c r="D2" s="97"/>
      <c r="E2" s="97"/>
      <c r="F2" s="97"/>
      <c r="G2" s="97"/>
      <c r="H2" s="97"/>
      <c r="I2" s="92"/>
      <c r="J2" s="35"/>
      <c r="K2" s="6"/>
      <c r="L2" s="6"/>
      <c r="M2" s="6"/>
      <c r="N2" s="6"/>
      <c r="O2" s="6"/>
      <c r="P2" s="6"/>
      <c r="Q2" s="6"/>
      <c r="R2" s="6"/>
      <c r="S2" s="6"/>
    </row>
    <row r="3" spans="1:22" ht="18.75" customHeight="1">
      <c r="B3" s="34" t="s">
        <v>102</v>
      </c>
      <c r="C3" s="99" t="s">
        <v>166</v>
      </c>
      <c r="D3" s="100"/>
      <c r="E3" s="100"/>
      <c r="F3" s="100"/>
      <c r="G3" s="100"/>
      <c r="H3" s="100"/>
      <c r="I3" s="101"/>
      <c r="J3" s="35"/>
      <c r="K3" s="6"/>
      <c r="L3" s="6"/>
      <c r="M3" s="6"/>
      <c r="N3" s="6"/>
      <c r="O3" s="6"/>
      <c r="P3" s="6"/>
      <c r="Q3" s="6"/>
      <c r="R3" s="6"/>
      <c r="S3" s="6"/>
    </row>
    <row r="4" spans="1:22" ht="15" customHeight="1">
      <c r="K4" s="35"/>
      <c r="L4" s="37"/>
      <c r="M4" s="37"/>
      <c r="N4" s="37"/>
      <c r="O4" s="37"/>
      <c r="P4" s="37"/>
      <c r="Q4" s="37"/>
      <c r="R4" s="37"/>
      <c r="S4" s="37"/>
    </row>
    <row r="5" spans="1:22" ht="18" customHeight="1">
      <c r="A5" s="102" t="s">
        <v>38</v>
      </c>
      <c r="B5" s="102"/>
      <c r="C5" s="102"/>
      <c r="D5" s="102"/>
      <c r="E5" s="102"/>
      <c r="F5" s="102"/>
      <c r="G5" s="102"/>
      <c r="H5" s="102"/>
      <c r="I5" s="102"/>
      <c r="J5" s="102"/>
      <c r="K5" s="102"/>
      <c r="L5" s="102"/>
      <c r="M5" s="102"/>
      <c r="N5" s="102"/>
      <c r="O5" s="102"/>
      <c r="P5" s="102"/>
      <c r="Q5" s="102"/>
      <c r="R5" s="102"/>
      <c r="S5" s="102"/>
    </row>
    <row r="6" spans="1:22" ht="15" customHeight="1">
      <c r="B6" s="3"/>
      <c r="C6" s="3"/>
      <c r="D6" s="3"/>
      <c r="E6" s="3"/>
      <c r="F6" s="3"/>
      <c r="G6" s="3"/>
      <c r="H6" s="3"/>
      <c r="I6" s="3"/>
      <c r="J6" s="3"/>
      <c r="K6" s="3"/>
      <c r="L6" s="3"/>
      <c r="M6" s="3"/>
      <c r="N6" s="3"/>
      <c r="O6" s="3"/>
      <c r="P6" s="3"/>
      <c r="Q6" s="3"/>
      <c r="R6" s="3"/>
      <c r="S6" s="3"/>
    </row>
    <row r="7" spans="1:22" ht="18" customHeight="1">
      <c r="A7" s="1" t="s">
        <v>124</v>
      </c>
      <c r="C7" s="3"/>
      <c r="J7" s="38" t="s">
        <v>107</v>
      </c>
      <c r="K7" s="103" t="s">
        <v>145</v>
      </c>
      <c r="L7" s="104"/>
      <c r="M7" s="104"/>
      <c r="N7" s="104"/>
      <c r="O7" s="104"/>
      <c r="P7" s="104"/>
      <c r="Q7" s="104"/>
      <c r="R7" s="104"/>
      <c r="S7" s="105"/>
    </row>
    <row r="8" spans="1:22" ht="6" customHeight="1">
      <c r="B8" s="3"/>
      <c r="C8" s="3"/>
      <c r="D8" s="3"/>
      <c r="E8" s="3"/>
      <c r="F8" s="3"/>
      <c r="G8" s="3"/>
      <c r="H8" s="3"/>
      <c r="I8" s="3"/>
      <c r="J8" s="3"/>
      <c r="K8" s="10"/>
      <c r="L8" s="3"/>
      <c r="M8" s="3"/>
      <c r="N8" s="3"/>
      <c r="O8" s="3"/>
      <c r="P8" s="3"/>
      <c r="Q8" s="3"/>
      <c r="R8" s="3"/>
      <c r="S8" s="3"/>
    </row>
    <row r="9" spans="1:22" ht="18" customHeight="1">
      <c r="B9" s="106" t="s">
        <v>189</v>
      </c>
      <c r="C9" s="107"/>
      <c r="D9" s="107"/>
      <c r="E9" s="107"/>
      <c r="F9" s="107"/>
      <c r="G9" s="107"/>
      <c r="H9" s="107"/>
      <c r="I9" s="107"/>
      <c r="J9" s="107"/>
      <c r="K9" s="107"/>
      <c r="L9" s="107"/>
      <c r="M9" s="107"/>
      <c r="N9" s="107"/>
      <c r="O9" s="107"/>
      <c r="P9" s="107"/>
      <c r="Q9" s="107"/>
      <c r="R9" s="107"/>
      <c r="S9" s="108"/>
    </row>
    <row r="10" spans="1:22" ht="18" customHeight="1">
      <c r="B10" s="109"/>
      <c r="C10" s="110"/>
      <c r="D10" s="110"/>
      <c r="E10" s="110"/>
      <c r="F10" s="110"/>
      <c r="G10" s="110"/>
      <c r="H10" s="110"/>
      <c r="I10" s="110"/>
      <c r="J10" s="110"/>
      <c r="K10" s="110"/>
      <c r="L10" s="110"/>
      <c r="M10" s="110"/>
      <c r="N10" s="110"/>
      <c r="O10" s="110"/>
      <c r="P10" s="110"/>
      <c r="Q10" s="110"/>
      <c r="R10" s="110"/>
      <c r="S10" s="11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5"/>
      <c r="E12" s="35"/>
      <c r="F12" s="35"/>
      <c r="G12" s="35"/>
      <c r="H12" s="35"/>
      <c r="I12" s="35"/>
      <c r="J12" s="35"/>
      <c r="K12" s="39"/>
      <c r="L12" s="39"/>
      <c r="M12" s="39"/>
      <c r="N12" s="39"/>
      <c r="O12" s="39"/>
      <c r="P12" s="39"/>
      <c r="Q12" s="39"/>
      <c r="R12" s="39"/>
      <c r="S12" s="39"/>
    </row>
    <row r="13" spans="1:22" ht="18" customHeight="1">
      <c r="B13" s="82" t="s">
        <v>190</v>
      </c>
      <c r="C13" s="83"/>
      <c r="D13" s="83"/>
      <c r="E13" s="83"/>
      <c r="F13" s="83"/>
      <c r="G13" s="83"/>
      <c r="H13" s="83"/>
      <c r="I13" s="83"/>
      <c r="J13" s="83"/>
      <c r="K13" s="83"/>
      <c r="L13" s="83"/>
      <c r="M13" s="83"/>
      <c r="N13" s="83"/>
      <c r="O13" s="83"/>
      <c r="P13" s="83"/>
      <c r="Q13" s="83"/>
      <c r="R13" s="83"/>
      <c r="S13" s="84"/>
      <c r="V13" s="1" t="s">
        <v>103</v>
      </c>
    </row>
    <row r="14" spans="1:22" ht="18" customHeight="1">
      <c r="B14" s="85"/>
      <c r="C14" s="86"/>
      <c r="D14" s="86"/>
      <c r="E14" s="86"/>
      <c r="F14" s="86"/>
      <c r="G14" s="86"/>
      <c r="H14" s="86"/>
      <c r="I14" s="86"/>
      <c r="J14" s="86"/>
      <c r="K14" s="86"/>
      <c r="L14" s="86"/>
      <c r="M14" s="86"/>
      <c r="N14" s="86"/>
      <c r="O14" s="86"/>
      <c r="P14" s="86"/>
      <c r="Q14" s="86"/>
      <c r="R14" s="86"/>
      <c r="S14" s="87"/>
      <c r="V14" s="1" t="s">
        <v>110</v>
      </c>
    </row>
    <row r="15" spans="1:22" ht="18" customHeight="1">
      <c r="B15" s="85"/>
      <c r="C15" s="86"/>
      <c r="D15" s="86"/>
      <c r="E15" s="86"/>
      <c r="F15" s="86"/>
      <c r="G15" s="86"/>
      <c r="H15" s="86"/>
      <c r="I15" s="86"/>
      <c r="J15" s="86"/>
      <c r="K15" s="86"/>
      <c r="L15" s="86"/>
      <c r="M15" s="86"/>
      <c r="N15" s="86"/>
      <c r="O15" s="86"/>
      <c r="P15" s="86"/>
      <c r="Q15" s="86"/>
      <c r="R15" s="86"/>
      <c r="S15" s="87"/>
      <c r="V15" s="1" t="s">
        <v>123</v>
      </c>
    </row>
    <row r="16" spans="1:22" ht="18" customHeight="1">
      <c r="B16" s="85"/>
      <c r="C16" s="86"/>
      <c r="D16" s="86"/>
      <c r="E16" s="86"/>
      <c r="F16" s="86"/>
      <c r="G16" s="86"/>
      <c r="H16" s="86"/>
      <c r="I16" s="86"/>
      <c r="J16" s="86"/>
      <c r="K16" s="86"/>
      <c r="L16" s="86"/>
      <c r="M16" s="86"/>
      <c r="N16" s="86"/>
      <c r="O16" s="86"/>
      <c r="P16" s="86"/>
      <c r="Q16" s="86"/>
      <c r="R16" s="86"/>
      <c r="S16" s="87"/>
      <c r="V16" s="1" t="s">
        <v>125</v>
      </c>
    </row>
    <row r="17" spans="1:19" ht="18" customHeight="1">
      <c r="B17" s="85"/>
      <c r="C17" s="86"/>
      <c r="D17" s="86"/>
      <c r="E17" s="86"/>
      <c r="F17" s="86"/>
      <c r="G17" s="86"/>
      <c r="H17" s="86"/>
      <c r="I17" s="86"/>
      <c r="J17" s="86"/>
      <c r="K17" s="86"/>
      <c r="L17" s="86"/>
      <c r="M17" s="86"/>
      <c r="N17" s="86"/>
      <c r="O17" s="86"/>
      <c r="P17" s="86"/>
      <c r="Q17" s="86"/>
      <c r="R17" s="86"/>
      <c r="S17" s="87"/>
    </row>
    <row r="18" spans="1:19" ht="18" customHeight="1">
      <c r="B18" s="88"/>
      <c r="C18" s="89"/>
      <c r="D18" s="89"/>
      <c r="E18" s="89"/>
      <c r="F18" s="89"/>
      <c r="G18" s="89"/>
      <c r="H18" s="89"/>
      <c r="I18" s="89"/>
      <c r="J18" s="89"/>
      <c r="K18" s="89"/>
      <c r="L18" s="89"/>
      <c r="M18" s="89"/>
      <c r="N18" s="89"/>
      <c r="O18" s="89"/>
      <c r="P18" s="89"/>
      <c r="Q18" s="89"/>
      <c r="R18" s="89"/>
      <c r="S18" s="90"/>
    </row>
    <row r="19" spans="1:19" ht="7.5" customHeight="1">
      <c r="B19" s="3"/>
      <c r="C19" s="3"/>
      <c r="D19" s="3"/>
      <c r="E19" s="3"/>
      <c r="F19" s="3"/>
      <c r="G19" s="3"/>
      <c r="H19" s="3"/>
      <c r="I19" s="3"/>
      <c r="J19" s="3"/>
      <c r="K19" s="3"/>
      <c r="L19" s="3"/>
      <c r="M19" s="3"/>
      <c r="N19" s="3"/>
      <c r="O19" s="3"/>
      <c r="P19" s="3"/>
      <c r="Q19" s="3"/>
      <c r="R19" s="3"/>
      <c r="S19" s="3"/>
    </row>
    <row r="20" spans="1:19" ht="20" customHeight="1">
      <c r="B20" s="1" t="s">
        <v>112</v>
      </c>
      <c r="C20" s="91">
        <v>2</v>
      </c>
      <c r="D20" s="92"/>
      <c r="E20" s="40" t="s">
        <v>95</v>
      </c>
      <c r="G20" s="10"/>
      <c r="H20" s="3"/>
      <c r="I20" s="3"/>
      <c r="J20" s="35" t="s">
        <v>121</v>
      </c>
      <c r="K20" s="93" t="s">
        <v>110</v>
      </c>
      <c r="L20" s="94"/>
      <c r="M20" s="94"/>
      <c r="N20" s="94"/>
      <c r="O20" s="94"/>
      <c r="P20" s="94"/>
      <c r="Q20" s="94"/>
      <c r="R20" s="94"/>
      <c r="S20" s="95"/>
    </row>
    <row r="21" spans="1:19" ht="7.5" customHeight="1">
      <c r="B21" s="3"/>
      <c r="C21" s="3"/>
      <c r="D21" s="3"/>
      <c r="E21" s="3"/>
      <c r="F21" s="3"/>
      <c r="G21" s="3"/>
      <c r="H21" s="3"/>
      <c r="I21" s="3"/>
      <c r="J21" s="3"/>
      <c r="K21" s="3"/>
      <c r="L21" s="3"/>
      <c r="M21" s="3"/>
      <c r="N21" s="3"/>
      <c r="O21" s="3"/>
      <c r="P21" s="3"/>
      <c r="Q21" s="3"/>
      <c r="R21" s="3"/>
      <c r="S21" s="3"/>
    </row>
    <row r="22" spans="1:19" ht="18" customHeight="1">
      <c r="A22" s="96" t="s">
        <v>113</v>
      </c>
      <c r="B22" s="96"/>
      <c r="C22" s="96"/>
      <c r="D22" s="96"/>
      <c r="E22" s="96"/>
      <c r="F22" s="96"/>
      <c r="G22" s="96"/>
      <c r="H22" s="96"/>
      <c r="I22" s="96"/>
      <c r="J22" s="96"/>
      <c r="K22" s="96"/>
      <c r="L22" s="96"/>
      <c r="M22" s="96"/>
      <c r="N22" s="96"/>
      <c r="O22" s="96"/>
      <c r="P22" s="96"/>
      <c r="Q22" s="96"/>
      <c r="R22" s="96"/>
      <c r="S22" s="96"/>
    </row>
    <row r="23" spans="1:19" ht="18" customHeight="1">
      <c r="A23" s="96"/>
      <c r="B23" s="96"/>
      <c r="C23" s="96"/>
      <c r="D23" s="96"/>
      <c r="E23" s="96"/>
      <c r="F23" s="96"/>
      <c r="G23" s="96"/>
      <c r="H23" s="96"/>
      <c r="I23" s="96"/>
      <c r="J23" s="96"/>
      <c r="K23" s="96"/>
      <c r="L23" s="96"/>
      <c r="M23" s="96"/>
      <c r="N23" s="96"/>
      <c r="O23" s="96"/>
      <c r="P23" s="96"/>
      <c r="Q23" s="96"/>
      <c r="R23" s="96"/>
      <c r="S23" s="96"/>
    </row>
    <row r="24" spans="1:19" ht="18" customHeight="1">
      <c r="B24" s="91" t="s">
        <v>53</v>
      </c>
      <c r="C24" s="97"/>
      <c r="D24" s="97"/>
      <c r="E24" s="92"/>
      <c r="F24" s="61" t="s">
        <v>80</v>
      </c>
      <c r="G24" s="60" t="s">
        <v>84</v>
      </c>
      <c r="H24" s="22" t="s">
        <v>56</v>
      </c>
      <c r="I24" s="22" t="s">
        <v>59</v>
      </c>
      <c r="J24" s="91" t="s">
        <v>53</v>
      </c>
      <c r="K24" s="97"/>
      <c r="L24" s="97"/>
      <c r="M24" s="97"/>
      <c r="N24" s="97"/>
      <c r="O24" s="92"/>
      <c r="P24" s="61" t="s">
        <v>80</v>
      </c>
      <c r="Q24" s="60" t="s">
        <v>84</v>
      </c>
      <c r="R24" s="22" t="s">
        <v>56</v>
      </c>
      <c r="S24" s="22" t="s">
        <v>59</v>
      </c>
    </row>
    <row r="25" spans="1:19" ht="18" customHeight="1">
      <c r="B25" s="112" t="s">
        <v>168</v>
      </c>
      <c r="C25" s="113"/>
      <c r="D25" s="113"/>
      <c r="E25" s="114"/>
      <c r="F25" s="23">
        <v>2</v>
      </c>
      <c r="G25" s="23"/>
      <c r="H25" s="23" t="s">
        <v>146</v>
      </c>
      <c r="I25" s="23" t="s">
        <v>146</v>
      </c>
      <c r="J25" s="115"/>
      <c r="K25" s="116"/>
      <c r="L25" s="116"/>
      <c r="M25" s="116"/>
      <c r="N25" s="116"/>
      <c r="O25" s="117"/>
      <c r="P25" s="23"/>
      <c r="Q25" s="23"/>
      <c r="R25" s="23"/>
      <c r="S25" s="23"/>
    </row>
    <row r="26" spans="1:19" ht="18" customHeight="1">
      <c r="B26" s="112" t="s">
        <v>167</v>
      </c>
      <c r="C26" s="113"/>
      <c r="D26" s="113"/>
      <c r="E26" s="114"/>
      <c r="F26" s="24">
        <v>1</v>
      </c>
      <c r="G26" s="24"/>
      <c r="H26" s="24" t="s">
        <v>146</v>
      </c>
      <c r="I26" s="24" t="s">
        <v>146</v>
      </c>
      <c r="J26" s="112"/>
      <c r="K26" s="113"/>
      <c r="L26" s="113"/>
      <c r="M26" s="113"/>
      <c r="N26" s="113"/>
      <c r="O26" s="114"/>
      <c r="P26" s="24"/>
      <c r="Q26" s="24"/>
      <c r="R26" s="24"/>
      <c r="S26" s="24"/>
    </row>
    <row r="27" spans="1:19" ht="18" customHeight="1">
      <c r="B27" s="112" t="s">
        <v>170</v>
      </c>
      <c r="C27" s="113"/>
      <c r="D27" s="113"/>
      <c r="E27" s="114"/>
      <c r="F27" s="24">
        <v>1</v>
      </c>
      <c r="G27" s="24"/>
      <c r="H27" s="24" t="s">
        <v>146</v>
      </c>
      <c r="I27" s="24" t="s">
        <v>146</v>
      </c>
      <c r="J27" s="112"/>
      <c r="K27" s="113"/>
      <c r="L27" s="113"/>
      <c r="M27" s="113"/>
      <c r="N27" s="113"/>
      <c r="O27" s="114"/>
      <c r="P27" s="24"/>
      <c r="Q27" s="24"/>
      <c r="R27" s="24"/>
      <c r="S27" s="24"/>
    </row>
    <row r="28" spans="1:19" ht="18" customHeight="1">
      <c r="B28" s="112" t="s">
        <v>172</v>
      </c>
      <c r="C28" s="113"/>
      <c r="D28" s="113"/>
      <c r="E28" s="114"/>
      <c r="F28" s="24">
        <v>1</v>
      </c>
      <c r="G28" s="24"/>
      <c r="H28" s="24" t="s">
        <v>146</v>
      </c>
      <c r="I28" s="24" t="s">
        <v>146</v>
      </c>
      <c r="J28" s="112"/>
      <c r="K28" s="113"/>
      <c r="L28" s="113"/>
      <c r="M28" s="113"/>
      <c r="N28" s="113"/>
      <c r="O28" s="114"/>
      <c r="P28" s="24"/>
      <c r="Q28" s="24"/>
      <c r="R28" s="24"/>
      <c r="S28" s="24"/>
    </row>
    <row r="29" spans="1:19" ht="18" customHeight="1">
      <c r="B29" s="112"/>
      <c r="C29" s="113"/>
      <c r="D29" s="113"/>
      <c r="E29" s="114"/>
      <c r="F29" s="24"/>
      <c r="G29" s="24"/>
      <c r="H29" s="24"/>
      <c r="I29" s="24"/>
      <c r="J29" s="112"/>
      <c r="K29" s="113"/>
      <c r="L29" s="113"/>
      <c r="M29" s="113"/>
      <c r="N29" s="113"/>
      <c r="O29" s="114"/>
      <c r="P29" s="24"/>
      <c r="Q29" s="24"/>
      <c r="R29" s="24"/>
      <c r="S29" s="24"/>
    </row>
    <row r="30" spans="1:19" ht="18" customHeight="1">
      <c r="A30" s="3"/>
      <c r="B30" s="112"/>
      <c r="C30" s="113"/>
      <c r="D30" s="113"/>
      <c r="E30" s="114"/>
      <c r="F30" s="24"/>
      <c r="G30" s="24"/>
      <c r="H30" s="24"/>
      <c r="I30" s="24"/>
      <c r="J30" s="112"/>
      <c r="K30" s="113"/>
      <c r="L30" s="113"/>
      <c r="M30" s="113"/>
      <c r="N30" s="113"/>
      <c r="O30" s="114"/>
      <c r="P30" s="24"/>
      <c r="Q30" s="24"/>
      <c r="R30" s="24"/>
      <c r="S30" s="24"/>
    </row>
    <row r="31" spans="1:19" ht="18" customHeight="1">
      <c r="A31" s="3"/>
      <c r="B31" s="118"/>
      <c r="C31" s="119"/>
      <c r="D31" s="119"/>
      <c r="E31" s="120"/>
      <c r="F31" s="25"/>
      <c r="G31" s="25"/>
      <c r="H31" s="26"/>
      <c r="I31" s="26"/>
      <c r="J31" s="118"/>
      <c r="K31" s="119"/>
      <c r="L31" s="119"/>
      <c r="M31" s="119"/>
      <c r="N31" s="119"/>
      <c r="O31" s="120"/>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96" t="s">
        <v>114</v>
      </c>
      <c r="B33" s="96"/>
      <c r="C33" s="96"/>
      <c r="D33" s="96"/>
      <c r="E33" s="96"/>
      <c r="F33" s="96"/>
      <c r="G33" s="96"/>
      <c r="H33" s="96"/>
      <c r="I33" s="96"/>
      <c r="J33" s="96"/>
      <c r="K33" s="96"/>
      <c r="L33" s="96"/>
      <c r="M33" s="96"/>
      <c r="N33" s="96"/>
      <c r="O33" s="96"/>
      <c r="P33" s="96"/>
      <c r="Q33" s="96"/>
      <c r="R33" s="96"/>
      <c r="S33" s="96"/>
    </row>
    <row r="34" spans="1:19" ht="18" customHeight="1">
      <c r="A34" s="96"/>
      <c r="B34" s="96"/>
      <c r="C34" s="96"/>
      <c r="D34" s="96"/>
      <c r="E34" s="96"/>
      <c r="F34" s="96"/>
      <c r="G34" s="96"/>
      <c r="H34" s="96"/>
      <c r="I34" s="96"/>
      <c r="J34" s="96"/>
      <c r="K34" s="96"/>
      <c r="L34" s="96"/>
      <c r="M34" s="96"/>
      <c r="N34" s="96"/>
      <c r="O34" s="96"/>
      <c r="P34" s="96"/>
      <c r="Q34" s="96"/>
      <c r="R34" s="96"/>
      <c r="S34" s="96"/>
    </row>
    <row r="35" spans="1:19" ht="18" customHeight="1">
      <c r="B35" s="91" t="s">
        <v>53</v>
      </c>
      <c r="C35" s="97"/>
      <c r="D35" s="97"/>
      <c r="E35" s="92"/>
      <c r="F35" s="61" t="s">
        <v>80</v>
      </c>
      <c r="G35" s="60" t="s">
        <v>84</v>
      </c>
      <c r="H35" s="22" t="s">
        <v>71</v>
      </c>
      <c r="I35" s="22" t="s">
        <v>72</v>
      </c>
      <c r="J35" s="91" t="s">
        <v>53</v>
      </c>
      <c r="K35" s="97"/>
      <c r="L35" s="97"/>
      <c r="M35" s="97"/>
      <c r="N35" s="97"/>
      <c r="O35" s="92"/>
      <c r="P35" s="61" t="s">
        <v>80</v>
      </c>
      <c r="Q35" s="60" t="s">
        <v>84</v>
      </c>
      <c r="R35" s="22" t="s">
        <v>71</v>
      </c>
      <c r="S35" s="22" t="s">
        <v>72</v>
      </c>
    </row>
    <row r="36" spans="1:19" ht="18" customHeight="1">
      <c r="B36" s="115" t="s">
        <v>168</v>
      </c>
      <c r="C36" s="116"/>
      <c r="D36" s="116"/>
      <c r="E36" s="117"/>
      <c r="F36" s="23">
        <v>2</v>
      </c>
      <c r="G36" s="23"/>
      <c r="H36" s="23" t="s">
        <v>146</v>
      </c>
      <c r="I36" s="23" t="s">
        <v>146</v>
      </c>
      <c r="J36" s="115"/>
      <c r="K36" s="116"/>
      <c r="L36" s="116"/>
      <c r="M36" s="116"/>
      <c r="N36" s="116"/>
      <c r="O36" s="117"/>
      <c r="P36" s="23"/>
      <c r="Q36" s="23"/>
      <c r="R36" s="23"/>
      <c r="S36" s="23"/>
    </row>
    <row r="37" spans="1:19" ht="18" customHeight="1">
      <c r="B37" s="112" t="s">
        <v>167</v>
      </c>
      <c r="C37" s="113"/>
      <c r="D37" s="113"/>
      <c r="E37" s="114"/>
      <c r="F37" s="24">
        <v>1</v>
      </c>
      <c r="G37" s="24"/>
      <c r="H37" s="24" t="s">
        <v>146</v>
      </c>
      <c r="I37" s="24" t="s">
        <v>146</v>
      </c>
      <c r="J37" s="112"/>
      <c r="K37" s="113"/>
      <c r="L37" s="113"/>
      <c r="M37" s="113"/>
      <c r="N37" s="113"/>
      <c r="O37" s="114"/>
      <c r="P37" s="24"/>
      <c r="Q37" s="24"/>
      <c r="R37" s="24"/>
      <c r="S37" s="24"/>
    </row>
    <row r="38" spans="1:19" ht="18" customHeight="1">
      <c r="B38" s="112" t="s">
        <v>171</v>
      </c>
      <c r="C38" s="113"/>
      <c r="D38" s="113"/>
      <c r="E38" s="114"/>
      <c r="F38" s="24">
        <v>1</v>
      </c>
      <c r="G38" s="24"/>
      <c r="H38" s="24" t="s">
        <v>146</v>
      </c>
      <c r="I38" s="24" t="s">
        <v>146</v>
      </c>
      <c r="J38" s="112"/>
      <c r="K38" s="113"/>
      <c r="L38" s="113"/>
      <c r="M38" s="113"/>
      <c r="N38" s="113"/>
      <c r="O38" s="114"/>
      <c r="P38" s="24"/>
      <c r="Q38" s="24"/>
      <c r="R38" s="24"/>
      <c r="S38" s="24"/>
    </row>
    <row r="39" spans="1:19" ht="18" customHeight="1">
      <c r="B39" s="112" t="s">
        <v>173</v>
      </c>
      <c r="C39" s="113"/>
      <c r="D39" s="113"/>
      <c r="E39" s="114"/>
      <c r="F39" s="24">
        <v>1</v>
      </c>
      <c r="G39" s="24"/>
      <c r="H39" s="24" t="s">
        <v>146</v>
      </c>
      <c r="I39" s="24" t="s">
        <v>146</v>
      </c>
      <c r="J39" s="112"/>
      <c r="K39" s="113"/>
      <c r="L39" s="113"/>
      <c r="M39" s="113"/>
      <c r="N39" s="113"/>
      <c r="O39" s="114"/>
      <c r="P39" s="24"/>
      <c r="Q39" s="24"/>
      <c r="R39" s="24"/>
      <c r="S39" s="24"/>
    </row>
    <row r="40" spans="1:19" ht="18" customHeight="1">
      <c r="B40" s="112"/>
      <c r="C40" s="113"/>
      <c r="D40" s="113"/>
      <c r="E40" s="114"/>
      <c r="F40" s="24"/>
      <c r="G40" s="24"/>
      <c r="H40" s="24"/>
      <c r="I40" s="24"/>
      <c r="J40" s="112"/>
      <c r="K40" s="113"/>
      <c r="L40" s="113"/>
      <c r="M40" s="113"/>
      <c r="N40" s="113"/>
      <c r="O40" s="114"/>
      <c r="P40" s="24"/>
      <c r="Q40" s="24"/>
      <c r="R40" s="24"/>
      <c r="S40" s="24"/>
    </row>
    <row r="41" spans="1:19" ht="18" customHeight="1">
      <c r="B41" s="112"/>
      <c r="C41" s="113"/>
      <c r="D41" s="113"/>
      <c r="E41" s="114"/>
      <c r="F41" s="24"/>
      <c r="G41" s="24"/>
      <c r="H41" s="3"/>
      <c r="I41" s="24"/>
      <c r="J41" s="112"/>
      <c r="K41" s="113"/>
      <c r="L41" s="113"/>
      <c r="M41" s="113"/>
      <c r="N41" s="113"/>
      <c r="O41" s="114"/>
      <c r="P41" s="24"/>
      <c r="Q41" s="24"/>
      <c r="R41" s="24"/>
      <c r="S41" s="24"/>
    </row>
    <row r="42" spans="1:19" ht="18" customHeight="1">
      <c r="B42" s="118"/>
      <c r="C42" s="119"/>
      <c r="D42" s="119"/>
      <c r="E42" s="120"/>
      <c r="F42" s="25"/>
      <c r="G42" s="25"/>
      <c r="H42" s="26"/>
      <c r="I42" s="26"/>
      <c r="J42" s="118"/>
      <c r="K42" s="119"/>
      <c r="L42" s="119"/>
      <c r="M42" s="119"/>
      <c r="N42" s="119"/>
      <c r="O42" s="120"/>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96" t="s">
        <v>115</v>
      </c>
      <c r="B44" s="96"/>
      <c r="C44" s="96"/>
      <c r="D44" s="96"/>
      <c r="E44" s="96"/>
      <c r="F44" s="96"/>
      <c r="G44" s="96"/>
      <c r="H44" s="96"/>
      <c r="I44" s="96"/>
      <c r="J44" s="96"/>
      <c r="K44" s="96"/>
      <c r="L44" s="96"/>
      <c r="M44" s="96"/>
      <c r="N44" s="96"/>
      <c r="O44" s="96"/>
      <c r="P44" s="96"/>
      <c r="Q44" s="96"/>
      <c r="R44" s="96"/>
      <c r="S44" s="96"/>
    </row>
    <row r="45" spans="1:19" ht="18" customHeight="1">
      <c r="A45" s="96"/>
      <c r="B45" s="96"/>
      <c r="C45" s="96"/>
      <c r="D45" s="96"/>
      <c r="E45" s="96"/>
      <c r="F45" s="96"/>
      <c r="G45" s="96"/>
      <c r="H45" s="96"/>
      <c r="I45" s="96"/>
      <c r="J45" s="96"/>
      <c r="K45" s="96"/>
      <c r="L45" s="96"/>
      <c r="M45" s="96"/>
      <c r="N45" s="96"/>
      <c r="O45" s="96"/>
      <c r="P45" s="96"/>
      <c r="Q45" s="96"/>
      <c r="R45" s="96"/>
      <c r="S45" s="96"/>
    </row>
    <row r="46" spans="1:19" ht="18" customHeight="1">
      <c r="B46" s="91" t="s">
        <v>53</v>
      </c>
      <c r="C46" s="97"/>
      <c r="D46" s="97"/>
      <c r="E46" s="92"/>
      <c r="F46" s="61" t="s">
        <v>80</v>
      </c>
      <c r="G46" s="60" t="s">
        <v>84</v>
      </c>
      <c r="H46" s="22" t="s">
        <v>73</v>
      </c>
      <c r="I46" s="22" t="s">
        <v>74</v>
      </c>
      <c r="J46" s="91" t="s">
        <v>53</v>
      </c>
      <c r="K46" s="97"/>
      <c r="L46" s="97"/>
      <c r="M46" s="97"/>
      <c r="N46" s="97"/>
      <c r="O46" s="92"/>
      <c r="P46" s="61" t="s">
        <v>80</v>
      </c>
      <c r="Q46" s="60" t="s">
        <v>84</v>
      </c>
      <c r="R46" s="22" t="s">
        <v>73</v>
      </c>
      <c r="S46" s="22" t="s">
        <v>74</v>
      </c>
    </row>
    <row r="47" spans="1:19" ht="18" customHeight="1">
      <c r="A47" s="3"/>
      <c r="B47" s="115" t="s">
        <v>168</v>
      </c>
      <c r="C47" s="116"/>
      <c r="D47" s="116"/>
      <c r="E47" s="117"/>
      <c r="F47" s="23">
        <v>2</v>
      </c>
      <c r="G47" s="23"/>
      <c r="H47" s="23" t="s">
        <v>146</v>
      </c>
      <c r="I47" s="23" t="s">
        <v>146</v>
      </c>
      <c r="J47" s="115"/>
      <c r="K47" s="116"/>
      <c r="L47" s="116"/>
      <c r="M47" s="116"/>
      <c r="N47" s="116"/>
      <c r="O47" s="117"/>
      <c r="P47" s="23"/>
      <c r="Q47" s="23"/>
      <c r="R47" s="23"/>
      <c r="S47" s="23"/>
    </row>
    <row r="48" spans="1:19" ht="18" customHeight="1">
      <c r="A48" s="3"/>
      <c r="B48" s="112" t="s">
        <v>167</v>
      </c>
      <c r="C48" s="113"/>
      <c r="D48" s="113"/>
      <c r="E48" s="114"/>
      <c r="F48" s="24">
        <v>1</v>
      </c>
      <c r="G48" s="24"/>
      <c r="H48" s="24" t="s">
        <v>146</v>
      </c>
      <c r="I48" s="24" t="s">
        <v>146</v>
      </c>
      <c r="J48" s="112"/>
      <c r="K48" s="113"/>
      <c r="L48" s="113"/>
      <c r="M48" s="113"/>
      <c r="N48" s="113"/>
      <c r="O48" s="114"/>
      <c r="P48" s="24"/>
      <c r="Q48" s="24"/>
      <c r="R48" s="24"/>
      <c r="S48" s="24"/>
    </row>
    <row r="49" spans="1:19" ht="18" customHeight="1">
      <c r="A49" s="3"/>
      <c r="B49" s="112" t="s">
        <v>171</v>
      </c>
      <c r="C49" s="113"/>
      <c r="D49" s="113"/>
      <c r="E49" s="114"/>
      <c r="F49" s="24">
        <v>1</v>
      </c>
      <c r="G49" s="24"/>
      <c r="H49" s="24" t="s">
        <v>146</v>
      </c>
      <c r="I49" s="24" t="s">
        <v>146</v>
      </c>
      <c r="J49" s="112"/>
      <c r="K49" s="113"/>
      <c r="L49" s="113"/>
      <c r="M49" s="113"/>
      <c r="N49" s="113"/>
      <c r="O49" s="114"/>
      <c r="P49" s="24"/>
      <c r="Q49" s="24"/>
      <c r="R49" s="24"/>
      <c r="S49" s="24"/>
    </row>
    <row r="50" spans="1:19" ht="18" customHeight="1">
      <c r="A50" s="3"/>
      <c r="B50" s="112" t="s">
        <v>173</v>
      </c>
      <c r="C50" s="113"/>
      <c r="D50" s="113"/>
      <c r="E50" s="114"/>
      <c r="F50" s="24">
        <v>1</v>
      </c>
      <c r="G50" s="24"/>
      <c r="H50" s="24" t="s">
        <v>146</v>
      </c>
      <c r="I50" s="24" t="s">
        <v>146</v>
      </c>
      <c r="J50" s="112"/>
      <c r="K50" s="113"/>
      <c r="L50" s="113"/>
      <c r="M50" s="113"/>
      <c r="N50" s="113"/>
      <c r="O50" s="114"/>
      <c r="P50" s="24"/>
      <c r="Q50" s="24"/>
      <c r="R50" s="24"/>
      <c r="S50" s="24"/>
    </row>
    <row r="51" spans="1:19" ht="18" customHeight="1">
      <c r="A51" s="3"/>
      <c r="B51" s="112"/>
      <c r="C51" s="113"/>
      <c r="D51" s="113"/>
      <c r="E51" s="114"/>
      <c r="F51" s="24"/>
      <c r="G51" s="24"/>
      <c r="H51" s="24"/>
      <c r="I51" s="24"/>
      <c r="J51" s="112"/>
      <c r="K51" s="113"/>
      <c r="L51" s="113"/>
      <c r="M51" s="113"/>
      <c r="N51" s="113"/>
      <c r="O51" s="114"/>
      <c r="P51" s="24"/>
      <c r="Q51" s="24"/>
      <c r="R51" s="24"/>
      <c r="S51" s="24"/>
    </row>
    <row r="52" spans="1:19" ht="18" customHeight="1">
      <c r="A52" s="3"/>
      <c r="B52" s="112"/>
      <c r="C52" s="113"/>
      <c r="D52" s="113"/>
      <c r="E52" s="114"/>
      <c r="F52" s="24"/>
      <c r="G52" s="24"/>
      <c r="H52" s="24"/>
      <c r="I52" s="24"/>
      <c r="J52" s="112"/>
      <c r="K52" s="113"/>
      <c r="L52" s="113"/>
      <c r="M52" s="113"/>
      <c r="N52" s="113"/>
      <c r="O52" s="114"/>
      <c r="P52" s="24"/>
      <c r="Q52" s="24"/>
      <c r="R52" s="24"/>
      <c r="S52" s="24"/>
    </row>
    <row r="53" spans="1:19" ht="18" customHeight="1">
      <c r="A53" s="3"/>
      <c r="B53" s="118"/>
      <c r="C53" s="119"/>
      <c r="D53" s="119"/>
      <c r="E53" s="120"/>
      <c r="F53" s="25"/>
      <c r="G53" s="25"/>
      <c r="H53" s="26"/>
      <c r="I53" s="26"/>
      <c r="J53" s="118"/>
      <c r="K53" s="119"/>
      <c r="L53" s="119"/>
      <c r="M53" s="119"/>
      <c r="N53" s="119"/>
      <c r="O53" s="12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96" t="s">
        <v>116</v>
      </c>
      <c r="B55" s="96"/>
      <c r="C55" s="96"/>
      <c r="D55" s="96"/>
      <c r="E55" s="96"/>
      <c r="F55" s="96"/>
      <c r="G55" s="96"/>
      <c r="H55" s="96"/>
      <c r="I55" s="96"/>
      <c r="J55" s="96"/>
      <c r="K55" s="96"/>
      <c r="L55" s="96"/>
      <c r="M55" s="96"/>
      <c r="N55" s="96"/>
      <c r="O55" s="96"/>
      <c r="P55" s="96"/>
      <c r="Q55" s="96"/>
      <c r="R55" s="96"/>
      <c r="S55" s="96"/>
    </row>
    <row r="56" spans="1:19" ht="18" customHeight="1">
      <c r="A56" s="96"/>
      <c r="B56" s="96"/>
      <c r="C56" s="96"/>
      <c r="D56" s="96"/>
      <c r="E56" s="96"/>
      <c r="F56" s="96"/>
      <c r="G56" s="96"/>
      <c r="H56" s="96"/>
      <c r="I56" s="96"/>
      <c r="J56" s="96"/>
      <c r="K56" s="96"/>
      <c r="L56" s="96"/>
      <c r="M56" s="96"/>
      <c r="N56" s="96"/>
      <c r="O56" s="96"/>
      <c r="P56" s="96"/>
      <c r="Q56" s="96"/>
      <c r="R56" s="96"/>
      <c r="S56" s="96"/>
    </row>
    <row r="57" spans="1:19" ht="18" customHeight="1">
      <c r="B57" s="91" t="s">
        <v>53</v>
      </c>
      <c r="C57" s="97"/>
      <c r="D57" s="97"/>
      <c r="E57" s="92"/>
      <c r="F57" s="61" t="s">
        <v>80</v>
      </c>
      <c r="G57" s="60" t="s">
        <v>84</v>
      </c>
      <c r="H57" s="22" t="s">
        <v>58</v>
      </c>
      <c r="I57" s="22" t="s">
        <v>60</v>
      </c>
      <c r="J57" s="91" t="s">
        <v>53</v>
      </c>
      <c r="K57" s="97"/>
      <c r="L57" s="97"/>
      <c r="M57" s="97"/>
      <c r="N57" s="97"/>
      <c r="O57" s="92"/>
      <c r="P57" s="61" t="s">
        <v>80</v>
      </c>
      <c r="Q57" s="60" t="s">
        <v>84</v>
      </c>
      <c r="R57" s="22" t="s">
        <v>58</v>
      </c>
      <c r="S57" s="22" t="s">
        <v>60</v>
      </c>
    </row>
    <row r="58" spans="1:19" ht="18" customHeight="1">
      <c r="A58" s="3"/>
      <c r="B58" s="115" t="s">
        <v>168</v>
      </c>
      <c r="C58" s="116"/>
      <c r="D58" s="116"/>
      <c r="E58" s="117"/>
      <c r="F58" s="23">
        <v>2</v>
      </c>
      <c r="G58" s="23"/>
      <c r="H58" s="23" t="s">
        <v>146</v>
      </c>
      <c r="I58" s="23" t="s">
        <v>146</v>
      </c>
      <c r="J58" s="115"/>
      <c r="K58" s="116"/>
      <c r="L58" s="116"/>
      <c r="M58" s="116"/>
      <c r="N58" s="116"/>
      <c r="O58" s="117"/>
      <c r="P58" s="23"/>
      <c r="Q58" s="23"/>
      <c r="R58" s="23"/>
      <c r="S58" s="23"/>
    </row>
    <row r="59" spans="1:19" ht="18" customHeight="1">
      <c r="A59" s="3"/>
      <c r="B59" s="112" t="s">
        <v>167</v>
      </c>
      <c r="C59" s="113"/>
      <c r="D59" s="113"/>
      <c r="E59" s="114"/>
      <c r="F59" s="24">
        <v>1</v>
      </c>
      <c r="G59" s="24"/>
      <c r="H59" s="24" t="s">
        <v>146</v>
      </c>
      <c r="I59" s="24" t="s">
        <v>146</v>
      </c>
      <c r="J59" s="112"/>
      <c r="K59" s="113"/>
      <c r="L59" s="113"/>
      <c r="M59" s="113"/>
      <c r="N59" s="113"/>
      <c r="O59" s="114"/>
      <c r="P59" s="24"/>
      <c r="Q59" s="24"/>
      <c r="R59" s="24"/>
      <c r="S59" s="24"/>
    </row>
    <row r="60" spans="1:19" ht="18" customHeight="1">
      <c r="A60" s="3"/>
      <c r="B60" s="112" t="s">
        <v>171</v>
      </c>
      <c r="C60" s="113"/>
      <c r="D60" s="113"/>
      <c r="E60" s="114"/>
      <c r="F60" s="24">
        <v>1</v>
      </c>
      <c r="G60" s="24"/>
      <c r="H60" s="24" t="s">
        <v>146</v>
      </c>
      <c r="I60" s="24" t="s">
        <v>146</v>
      </c>
      <c r="J60" s="112"/>
      <c r="K60" s="113"/>
      <c r="L60" s="113"/>
      <c r="M60" s="113"/>
      <c r="N60" s="113"/>
      <c r="O60" s="114"/>
      <c r="P60" s="24"/>
      <c r="Q60" s="24"/>
      <c r="R60" s="24"/>
      <c r="S60" s="24"/>
    </row>
    <row r="61" spans="1:19" ht="18" customHeight="1">
      <c r="A61" s="3"/>
      <c r="B61" s="112" t="s">
        <v>173</v>
      </c>
      <c r="C61" s="113"/>
      <c r="D61" s="113"/>
      <c r="E61" s="114"/>
      <c r="F61" s="24">
        <v>1</v>
      </c>
      <c r="G61" s="24"/>
      <c r="H61" s="24" t="s">
        <v>146</v>
      </c>
      <c r="I61" s="24" t="s">
        <v>146</v>
      </c>
      <c r="J61" s="112"/>
      <c r="K61" s="113"/>
      <c r="L61" s="113"/>
      <c r="M61" s="113"/>
      <c r="N61" s="113"/>
      <c r="O61" s="114"/>
      <c r="P61" s="24"/>
      <c r="Q61" s="24"/>
      <c r="R61" s="24"/>
      <c r="S61" s="24"/>
    </row>
    <row r="62" spans="1:19" ht="18" customHeight="1">
      <c r="A62" s="3"/>
      <c r="B62" s="112"/>
      <c r="C62" s="113"/>
      <c r="D62" s="113"/>
      <c r="E62" s="114"/>
      <c r="F62" s="24"/>
      <c r="G62" s="24"/>
      <c r="H62" s="24"/>
      <c r="I62" s="24"/>
      <c r="J62" s="112"/>
      <c r="K62" s="113"/>
      <c r="L62" s="113"/>
      <c r="M62" s="113"/>
      <c r="N62" s="113"/>
      <c r="O62" s="114"/>
      <c r="P62" s="24"/>
      <c r="Q62" s="24"/>
      <c r="R62" s="24"/>
      <c r="S62" s="24"/>
    </row>
    <row r="63" spans="1:19" ht="18" customHeight="1">
      <c r="A63" s="3"/>
      <c r="B63" s="112"/>
      <c r="C63" s="113"/>
      <c r="D63" s="113"/>
      <c r="E63" s="114"/>
      <c r="F63" s="24"/>
      <c r="G63" s="24"/>
      <c r="H63" s="24"/>
      <c r="I63" s="24"/>
      <c r="J63" s="112"/>
      <c r="K63" s="113"/>
      <c r="L63" s="113"/>
      <c r="M63" s="113"/>
      <c r="N63" s="113"/>
      <c r="O63" s="114"/>
      <c r="P63" s="24"/>
      <c r="Q63" s="24"/>
      <c r="R63" s="24"/>
      <c r="S63" s="24"/>
    </row>
    <row r="64" spans="1:19" ht="18" customHeight="1">
      <c r="A64" s="3"/>
      <c r="B64" s="118"/>
      <c r="C64" s="119"/>
      <c r="D64" s="119"/>
      <c r="E64" s="120"/>
      <c r="F64" s="25"/>
      <c r="G64" s="25"/>
      <c r="H64" s="26"/>
      <c r="I64" s="26"/>
      <c r="J64" s="118"/>
      <c r="K64" s="119"/>
      <c r="L64" s="119"/>
      <c r="M64" s="119"/>
      <c r="N64" s="119"/>
      <c r="O64" s="12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96" t="s">
        <v>117</v>
      </c>
      <c r="B66" s="96"/>
      <c r="C66" s="96"/>
      <c r="D66" s="96"/>
      <c r="E66" s="96"/>
      <c r="F66" s="96"/>
      <c r="G66" s="96"/>
      <c r="H66" s="96"/>
      <c r="I66" s="96"/>
      <c r="J66" s="96"/>
      <c r="K66" s="96"/>
      <c r="L66" s="96"/>
      <c r="M66" s="96"/>
      <c r="N66" s="96"/>
      <c r="O66" s="96"/>
      <c r="P66" s="96"/>
      <c r="Q66" s="96"/>
      <c r="R66" s="96"/>
      <c r="S66" s="96"/>
    </row>
    <row r="67" spans="1:19" ht="18" customHeight="1">
      <c r="A67" s="96"/>
      <c r="B67" s="96"/>
      <c r="C67" s="96"/>
      <c r="D67" s="96"/>
      <c r="E67" s="96"/>
      <c r="F67" s="96"/>
      <c r="G67" s="96"/>
      <c r="H67" s="96"/>
      <c r="I67" s="96"/>
      <c r="J67" s="96"/>
      <c r="K67" s="96"/>
      <c r="L67" s="96"/>
      <c r="M67" s="96"/>
      <c r="N67" s="96"/>
      <c r="O67" s="96"/>
      <c r="P67" s="96"/>
      <c r="Q67" s="96"/>
      <c r="R67" s="96"/>
      <c r="S67" s="96"/>
    </row>
    <row r="68" spans="1:19" ht="18" customHeight="1">
      <c r="B68" s="91" t="s">
        <v>53</v>
      </c>
      <c r="C68" s="97"/>
      <c r="D68" s="97"/>
      <c r="E68" s="61" t="s">
        <v>80</v>
      </c>
      <c r="F68" s="60" t="s">
        <v>84</v>
      </c>
      <c r="G68" s="22" t="s">
        <v>101</v>
      </c>
      <c r="H68" s="22" t="s">
        <v>75</v>
      </c>
      <c r="I68" s="22" t="s">
        <v>76</v>
      </c>
      <c r="J68" s="91" t="s">
        <v>53</v>
      </c>
      <c r="K68" s="97"/>
      <c r="L68" s="97"/>
      <c r="M68" s="97"/>
      <c r="N68" s="92"/>
      <c r="O68" s="61" t="s">
        <v>80</v>
      </c>
      <c r="P68" s="60" t="s">
        <v>84</v>
      </c>
      <c r="Q68" s="22" t="s">
        <v>101</v>
      </c>
      <c r="R68" s="22" t="s">
        <v>75</v>
      </c>
      <c r="S68" s="22" t="s">
        <v>76</v>
      </c>
    </row>
    <row r="69" spans="1:19" ht="18" customHeight="1">
      <c r="A69" s="3"/>
      <c r="B69" s="115" t="s">
        <v>168</v>
      </c>
      <c r="C69" s="116"/>
      <c r="D69" s="116"/>
      <c r="E69" s="23">
        <v>2</v>
      </c>
      <c r="F69" s="23"/>
      <c r="G69" s="23" t="s">
        <v>146</v>
      </c>
      <c r="H69" s="23" t="s">
        <v>146</v>
      </c>
      <c r="I69" s="23" t="s">
        <v>146</v>
      </c>
      <c r="J69" s="115"/>
      <c r="K69" s="116"/>
      <c r="L69" s="116"/>
      <c r="M69" s="116"/>
      <c r="N69" s="117"/>
      <c r="O69" s="23"/>
      <c r="P69" s="23"/>
      <c r="Q69" s="23"/>
      <c r="R69" s="23"/>
      <c r="S69" s="23"/>
    </row>
    <row r="70" spans="1:19" ht="18" customHeight="1">
      <c r="A70" s="3"/>
      <c r="B70" s="112" t="s">
        <v>174</v>
      </c>
      <c r="C70" s="113"/>
      <c r="D70" s="114"/>
      <c r="E70" s="24">
        <v>1</v>
      </c>
      <c r="F70" s="24"/>
      <c r="G70" s="24" t="s">
        <v>146</v>
      </c>
      <c r="H70" s="24" t="s">
        <v>146</v>
      </c>
      <c r="I70" s="24" t="s">
        <v>146</v>
      </c>
      <c r="J70" s="112"/>
      <c r="K70" s="113"/>
      <c r="L70" s="113"/>
      <c r="M70" s="113"/>
      <c r="N70" s="114"/>
      <c r="O70" s="24"/>
      <c r="P70" s="24"/>
      <c r="Q70" s="24"/>
      <c r="R70" s="24"/>
      <c r="S70" s="24"/>
    </row>
    <row r="71" spans="1:19" ht="18" customHeight="1">
      <c r="A71" s="3"/>
      <c r="B71" s="112" t="s">
        <v>167</v>
      </c>
      <c r="C71" s="113"/>
      <c r="D71" s="114"/>
      <c r="E71" s="24">
        <v>1</v>
      </c>
      <c r="F71" s="24"/>
      <c r="G71" s="24" t="s">
        <v>146</v>
      </c>
      <c r="H71" s="24" t="s">
        <v>146</v>
      </c>
      <c r="I71" s="24" t="s">
        <v>146</v>
      </c>
      <c r="J71" s="112"/>
      <c r="K71" s="113"/>
      <c r="L71" s="113"/>
      <c r="M71" s="113"/>
      <c r="N71" s="114"/>
      <c r="O71" s="24"/>
      <c r="P71" s="24"/>
      <c r="Q71" s="24"/>
      <c r="R71" s="24"/>
      <c r="S71" s="24"/>
    </row>
    <row r="72" spans="1:19" ht="18" customHeight="1">
      <c r="A72" s="3"/>
      <c r="B72" s="112" t="s">
        <v>169</v>
      </c>
      <c r="C72" s="113"/>
      <c r="D72" s="114"/>
      <c r="E72" s="24">
        <v>2</v>
      </c>
      <c r="F72" s="24"/>
      <c r="G72" s="24" t="s">
        <v>146</v>
      </c>
      <c r="H72" s="24" t="s">
        <v>146</v>
      </c>
      <c r="I72" s="24" t="s">
        <v>146</v>
      </c>
      <c r="J72" s="112"/>
      <c r="K72" s="113"/>
      <c r="L72" s="113"/>
      <c r="M72" s="113"/>
      <c r="N72" s="114"/>
      <c r="O72" s="24"/>
      <c r="P72" s="24"/>
      <c r="Q72" s="24"/>
      <c r="R72" s="24"/>
      <c r="S72" s="24"/>
    </row>
    <row r="73" spans="1:19" ht="18" customHeight="1">
      <c r="A73" s="3"/>
      <c r="B73" s="112" t="s">
        <v>176</v>
      </c>
      <c r="C73" s="113"/>
      <c r="D73" s="114"/>
      <c r="E73" s="24">
        <v>2</v>
      </c>
      <c r="F73" s="24"/>
      <c r="G73" s="24" t="s">
        <v>146</v>
      </c>
      <c r="H73" s="24" t="s">
        <v>146</v>
      </c>
      <c r="I73" s="24" t="s">
        <v>146</v>
      </c>
      <c r="J73" s="112"/>
      <c r="K73" s="113"/>
      <c r="L73" s="113"/>
      <c r="M73" s="113"/>
      <c r="N73" s="114"/>
      <c r="O73" s="24"/>
      <c r="P73" s="24"/>
      <c r="Q73" s="24"/>
      <c r="R73" s="24"/>
      <c r="S73" s="24"/>
    </row>
    <row r="74" spans="1:19" ht="18" customHeight="1">
      <c r="A74" s="3"/>
      <c r="B74" s="112" t="s">
        <v>177</v>
      </c>
      <c r="C74" s="113"/>
      <c r="D74" s="114"/>
      <c r="E74" s="24">
        <v>1</v>
      </c>
      <c r="F74" s="24"/>
      <c r="G74" s="24" t="s">
        <v>146</v>
      </c>
      <c r="H74" s="24" t="s">
        <v>146</v>
      </c>
      <c r="I74" s="24" t="s">
        <v>146</v>
      </c>
      <c r="J74" s="112"/>
      <c r="K74" s="113"/>
      <c r="L74" s="113"/>
      <c r="M74" s="113"/>
      <c r="N74" s="114"/>
      <c r="O74" s="24"/>
      <c r="P74" s="24"/>
      <c r="Q74" s="24"/>
      <c r="R74" s="24"/>
      <c r="S74" s="24"/>
    </row>
    <row r="75" spans="1:19" ht="18" customHeight="1">
      <c r="A75" s="3"/>
      <c r="B75" s="118" t="s">
        <v>175</v>
      </c>
      <c r="C75" s="119"/>
      <c r="D75" s="120"/>
      <c r="E75" s="25">
        <v>1</v>
      </c>
      <c r="F75" s="25"/>
      <c r="G75" s="26" t="s">
        <v>146</v>
      </c>
      <c r="H75" s="26" t="s">
        <v>146</v>
      </c>
      <c r="I75" s="26" t="s">
        <v>146</v>
      </c>
      <c r="J75" s="118"/>
      <c r="K75" s="119"/>
      <c r="L75" s="119"/>
      <c r="M75" s="119"/>
      <c r="N75" s="12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118</v>
      </c>
      <c r="H77" s="3"/>
      <c r="I77" s="3"/>
      <c r="J77" s="3"/>
      <c r="K77" s="3"/>
      <c r="L77" s="3"/>
      <c r="M77" s="3"/>
      <c r="N77" s="3"/>
      <c r="O77" s="3"/>
      <c r="P77" s="3"/>
      <c r="Q77" s="3"/>
      <c r="R77" s="3"/>
      <c r="S77" s="3"/>
    </row>
    <row r="78" spans="1:19" ht="18" customHeight="1">
      <c r="B78" s="91" t="s">
        <v>53</v>
      </c>
      <c r="C78" s="97"/>
      <c r="D78" s="97"/>
      <c r="E78" s="92"/>
      <c r="F78" s="91" t="s">
        <v>82</v>
      </c>
      <c r="G78" s="97"/>
      <c r="H78" s="97"/>
      <c r="I78" s="92"/>
      <c r="J78" s="121" t="s">
        <v>53</v>
      </c>
      <c r="K78" s="122"/>
      <c r="L78" s="122"/>
      <c r="M78" s="122"/>
      <c r="N78" s="122"/>
      <c r="O78" s="123"/>
      <c r="P78" s="91" t="s">
        <v>82</v>
      </c>
      <c r="Q78" s="97"/>
      <c r="R78" s="97"/>
      <c r="S78" s="92"/>
    </row>
    <row r="79" spans="1:19" ht="18" customHeight="1">
      <c r="A79" s="3"/>
      <c r="B79" s="115" t="s">
        <v>178</v>
      </c>
      <c r="C79" s="116"/>
      <c r="D79" s="116"/>
      <c r="E79" s="117"/>
      <c r="F79" s="124" t="s">
        <v>147</v>
      </c>
      <c r="G79" s="125"/>
      <c r="H79" s="125"/>
      <c r="I79" s="126"/>
      <c r="J79" s="115"/>
      <c r="K79" s="116"/>
      <c r="L79" s="116"/>
      <c r="M79" s="116"/>
      <c r="N79" s="116"/>
      <c r="O79" s="117"/>
      <c r="P79" s="124"/>
      <c r="Q79" s="125"/>
      <c r="R79" s="125"/>
      <c r="S79" s="126"/>
    </row>
    <row r="80" spans="1:19" ht="18" customHeight="1">
      <c r="A80" s="3"/>
      <c r="B80" s="112" t="s">
        <v>169</v>
      </c>
      <c r="C80" s="113"/>
      <c r="D80" s="113"/>
      <c r="E80" s="114"/>
      <c r="F80" s="127" t="s">
        <v>147</v>
      </c>
      <c r="G80" s="128"/>
      <c r="H80" s="128"/>
      <c r="I80" s="129"/>
      <c r="J80" s="112"/>
      <c r="K80" s="113"/>
      <c r="L80" s="113"/>
      <c r="M80" s="113"/>
      <c r="N80" s="113"/>
      <c r="O80" s="114"/>
      <c r="P80" s="127"/>
      <c r="Q80" s="128"/>
      <c r="R80" s="128"/>
      <c r="S80" s="129"/>
    </row>
    <row r="81" spans="1:19" ht="18" customHeight="1">
      <c r="A81" s="3"/>
      <c r="B81" s="112" t="s">
        <v>179</v>
      </c>
      <c r="C81" s="113"/>
      <c r="D81" s="113"/>
      <c r="E81" s="114"/>
      <c r="F81" s="127" t="s">
        <v>147</v>
      </c>
      <c r="G81" s="128"/>
      <c r="H81" s="128"/>
      <c r="I81" s="129"/>
      <c r="J81" s="112"/>
      <c r="K81" s="113"/>
      <c r="L81" s="113"/>
      <c r="M81" s="113"/>
      <c r="N81" s="113"/>
      <c r="O81" s="114"/>
      <c r="P81" s="127"/>
      <c r="Q81" s="128"/>
      <c r="R81" s="128"/>
      <c r="S81" s="129"/>
    </row>
    <row r="82" spans="1:19" ht="18" customHeight="1">
      <c r="A82" s="3"/>
      <c r="B82" s="112" t="s">
        <v>175</v>
      </c>
      <c r="C82" s="113"/>
      <c r="D82" s="113"/>
      <c r="E82" s="114"/>
      <c r="F82" s="127" t="s">
        <v>147</v>
      </c>
      <c r="G82" s="128"/>
      <c r="H82" s="128"/>
      <c r="I82" s="129"/>
      <c r="J82" s="112"/>
      <c r="K82" s="113"/>
      <c r="L82" s="113"/>
      <c r="M82" s="113"/>
      <c r="N82" s="113"/>
      <c r="O82" s="114"/>
      <c r="P82" s="127"/>
      <c r="Q82" s="128"/>
      <c r="R82" s="128"/>
      <c r="S82" s="129"/>
    </row>
    <row r="83" spans="1:19" ht="18" customHeight="1">
      <c r="A83" s="3"/>
      <c r="B83" s="112"/>
      <c r="C83" s="113"/>
      <c r="D83" s="113"/>
      <c r="E83" s="114"/>
      <c r="F83" s="127"/>
      <c r="G83" s="128"/>
      <c r="H83" s="128"/>
      <c r="I83" s="129"/>
      <c r="J83" s="112"/>
      <c r="K83" s="113"/>
      <c r="L83" s="113"/>
      <c r="M83" s="113"/>
      <c r="N83" s="113"/>
      <c r="O83" s="114"/>
      <c r="P83" s="127"/>
      <c r="Q83" s="128"/>
      <c r="R83" s="128"/>
      <c r="S83" s="129"/>
    </row>
    <row r="84" spans="1:19" ht="18" customHeight="1">
      <c r="A84" s="3"/>
      <c r="B84" s="112"/>
      <c r="C84" s="113"/>
      <c r="D84" s="113"/>
      <c r="E84" s="114"/>
      <c r="F84" s="127"/>
      <c r="G84" s="128"/>
      <c r="H84" s="128"/>
      <c r="I84" s="129"/>
      <c r="J84" s="112"/>
      <c r="K84" s="113"/>
      <c r="L84" s="113"/>
      <c r="M84" s="113"/>
      <c r="N84" s="113"/>
      <c r="O84" s="114"/>
      <c r="P84" s="127"/>
      <c r="Q84" s="128"/>
      <c r="R84" s="128"/>
      <c r="S84" s="129"/>
    </row>
    <row r="85" spans="1:19" ht="18" customHeight="1">
      <c r="A85" s="3"/>
      <c r="B85" s="118"/>
      <c r="C85" s="119"/>
      <c r="D85" s="119"/>
      <c r="E85" s="120"/>
      <c r="F85" s="143"/>
      <c r="G85" s="144"/>
      <c r="H85" s="144"/>
      <c r="I85" s="145"/>
      <c r="J85" s="118"/>
      <c r="K85" s="119"/>
      <c r="L85" s="119"/>
      <c r="M85" s="119"/>
      <c r="N85" s="119"/>
      <c r="O85" s="120"/>
      <c r="P85" s="143"/>
      <c r="Q85" s="144"/>
      <c r="R85" s="144"/>
      <c r="S85" s="145"/>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119</v>
      </c>
    </row>
    <row r="88" spans="1:19" ht="18.75" customHeight="1">
      <c r="B88" s="130" t="s">
        <v>54</v>
      </c>
      <c r="C88" s="131"/>
      <c r="D88" s="97" t="s">
        <v>55</v>
      </c>
      <c r="E88" s="97"/>
      <c r="F88" s="97"/>
      <c r="G88" s="97"/>
      <c r="H88" s="97"/>
      <c r="I88" s="97"/>
      <c r="J88" s="97"/>
      <c r="K88" s="97"/>
      <c r="L88" s="97"/>
      <c r="M88" s="97"/>
      <c r="N88" s="97"/>
      <c r="O88" s="97"/>
      <c r="P88" s="97"/>
      <c r="Q88" s="97"/>
      <c r="R88" s="97"/>
      <c r="S88" s="92"/>
    </row>
    <row r="89" spans="1:19" ht="97.5" customHeight="1">
      <c r="B89" s="132" t="s">
        <v>61</v>
      </c>
      <c r="C89" s="28" t="s">
        <v>56</v>
      </c>
      <c r="D89" s="134" t="s">
        <v>191</v>
      </c>
      <c r="E89" s="134"/>
      <c r="F89" s="134"/>
      <c r="G89" s="134"/>
      <c r="H89" s="134"/>
      <c r="I89" s="134"/>
      <c r="J89" s="134"/>
      <c r="K89" s="134"/>
      <c r="L89" s="134"/>
      <c r="M89" s="134"/>
      <c r="N89" s="134"/>
      <c r="O89" s="134"/>
      <c r="P89" s="134"/>
      <c r="Q89" s="134"/>
      <c r="R89" s="134"/>
      <c r="S89" s="135"/>
    </row>
    <row r="90" spans="1:19" ht="97.5" customHeight="1">
      <c r="B90" s="133"/>
      <c r="C90" s="29" t="s">
        <v>77</v>
      </c>
      <c r="D90" s="136" t="s">
        <v>192</v>
      </c>
      <c r="E90" s="136"/>
      <c r="F90" s="136"/>
      <c r="G90" s="136"/>
      <c r="H90" s="136"/>
      <c r="I90" s="136"/>
      <c r="J90" s="136"/>
      <c r="K90" s="136"/>
      <c r="L90" s="136"/>
      <c r="M90" s="136"/>
      <c r="N90" s="136"/>
      <c r="O90" s="136"/>
      <c r="P90" s="136"/>
      <c r="Q90" s="136"/>
      <c r="R90" s="136"/>
      <c r="S90" s="137"/>
    </row>
    <row r="91" spans="1:19" ht="97.5" customHeight="1">
      <c r="B91" s="132" t="s">
        <v>62</v>
      </c>
      <c r="C91" s="30" t="s">
        <v>71</v>
      </c>
      <c r="D91" s="139" t="s">
        <v>193</v>
      </c>
      <c r="E91" s="139"/>
      <c r="F91" s="139"/>
      <c r="G91" s="139"/>
      <c r="H91" s="139"/>
      <c r="I91" s="139"/>
      <c r="J91" s="139"/>
      <c r="K91" s="139"/>
      <c r="L91" s="139"/>
      <c r="M91" s="139"/>
      <c r="N91" s="139"/>
      <c r="O91" s="139"/>
      <c r="P91" s="139"/>
      <c r="Q91" s="139"/>
      <c r="R91" s="139"/>
      <c r="S91" s="140"/>
    </row>
    <row r="92" spans="1:19" ht="97.5" customHeight="1">
      <c r="B92" s="138"/>
      <c r="C92" s="31" t="s">
        <v>72</v>
      </c>
      <c r="D92" s="141" t="s">
        <v>199</v>
      </c>
      <c r="E92" s="141"/>
      <c r="F92" s="141"/>
      <c r="G92" s="141"/>
      <c r="H92" s="141"/>
      <c r="I92" s="141"/>
      <c r="J92" s="141"/>
      <c r="K92" s="141"/>
      <c r="L92" s="141"/>
      <c r="M92" s="141"/>
      <c r="N92" s="141"/>
      <c r="O92" s="141"/>
      <c r="P92" s="141"/>
      <c r="Q92" s="141"/>
      <c r="R92" s="141"/>
      <c r="S92" s="142"/>
    </row>
    <row r="93" spans="1:19" ht="97.5" customHeight="1">
      <c r="B93" s="132" t="s">
        <v>63</v>
      </c>
      <c r="C93" s="30" t="s">
        <v>73</v>
      </c>
      <c r="D93" s="139" t="s">
        <v>194</v>
      </c>
      <c r="E93" s="139"/>
      <c r="F93" s="139"/>
      <c r="G93" s="139"/>
      <c r="H93" s="139"/>
      <c r="I93" s="139"/>
      <c r="J93" s="139"/>
      <c r="K93" s="139"/>
      <c r="L93" s="139"/>
      <c r="M93" s="139"/>
      <c r="N93" s="139"/>
      <c r="O93" s="139"/>
      <c r="P93" s="139"/>
      <c r="Q93" s="139"/>
      <c r="R93" s="139"/>
      <c r="S93" s="140"/>
    </row>
    <row r="94" spans="1:19" ht="97.5" customHeight="1">
      <c r="B94" s="138"/>
      <c r="C94" s="32" t="s">
        <v>74</v>
      </c>
      <c r="D94" s="156" t="s">
        <v>197</v>
      </c>
      <c r="E94" s="156"/>
      <c r="F94" s="156"/>
      <c r="G94" s="156"/>
      <c r="H94" s="156"/>
      <c r="I94" s="156"/>
      <c r="J94" s="156"/>
      <c r="K94" s="156"/>
      <c r="L94" s="156"/>
      <c r="M94" s="156"/>
      <c r="N94" s="156"/>
      <c r="O94" s="156"/>
      <c r="P94" s="156"/>
      <c r="Q94" s="156"/>
      <c r="R94" s="156"/>
      <c r="S94" s="157"/>
    </row>
    <row r="95" spans="1:19" ht="97.5" customHeight="1">
      <c r="B95" s="132" t="s">
        <v>78</v>
      </c>
      <c r="C95" s="28" t="s">
        <v>58</v>
      </c>
      <c r="D95" s="134" t="s">
        <v>195</v>
      </c>
      <c r="E95" s="134"/>
      <c r="F95" s="134"/>
      <c r="G95" s="134"/>
      <c r="H95" s="134"/>
      <c r="I95" s="134"/>
      <c r="J95" s="134"/>
      <c r="K95" s="134"/>
      <c r="L95" s="134"/>
      <c r="M95" s="134"/>
      <c r="N95" s="134"/>
      <c r="O95" s="134"/>
      <c r="P95" s="134"/>
      <c r="Q95" s="134"/>
      <c r="R95" s="134"/>
      <c r="S95" s="135"/>
    </row>
    <row r="96" spans="1:19" ht="97.5" customHeight="1">
      <c r="B96" s="138"/>
      <c r="C96" s="31" t="s">
        <v>60</v>
      </c>
      <c r="D96" s="141" t="s">
        <v>196</v>
      </c>
      <c r="E96" s="141"/>
      <c r="F96" s="141"/>
      <c r="G96" s="141"/>
      <c r="H96" s="141"/>
      <c r="I96" s="141"/>
      <c r="J96" s="141"/>
      <c r="K96" s="141"/>
      <c r="L96" s="141"/>
      <c r="M96" s="141"/>
      <c r="N96" s="141"/>
      <c r="O96" s="141"/>
      <c r="P96" s="141"/>
      <c r="Q96" s="141"/>
      <c r="R96" s="141"/>
      <c r="S96" s="142"/>
    </row>
    <row r="97" spans="1:19" ht="97.5" customHeight="1">
      <c r="B97" s="132" t="s">
        <v>79</v>
      </c>
      <c r="C97" s="30" t="s">
        <v>57</v>
      </c>
      <c r="D97" s="146" t="s">
        <v>203</v>
      </c>
      <c r="E97" s="146"/>
      <c r="F97" s="146"/>
      <c r="G97" s="146"/>
      <c r="H97" s="146"/>
      <c r="I97" s="146"/>
      <c r="J97" s="146"/>
      <c r="K97" s="146"/>
      <c r="L97" s="146"/>
      <c r="M97" s="146"/>
      <c r="N97" s="146"/>
      <c r="O97" s="146"/>
      <c r="P97" s="146"/>
      <c r="Q97" s="146"/>
      <c r="R97" s="146"/>
      <c r="S97" s="147"/>
    </row>
    <row r="98" spans="1:19" ht="97.5" customHeight="1">
      <c r="B98" s="133"/>
      <c r="C98" s="33" t="s">
        <v>75</v>
      </c>
      <c r="D98" s="148" t="s">
        <v>202</v>
      </c>
      <c r="E98" s="149"/>
      <c r="F98" s="149"/>
      <c r="G98" s="149"/>
      <c r="H98" s="149"/>
      <c r="I98" s="149"/>
      <c r="J98" s="149"/>
      <c r="K98" s="149"/>
      <c r="L98" s="149"/>
      <c r="M98" s="149"/>
      <c r="N98" s="149"/>
      <c r="O98" s="149"/>
      <c r="P98" s="149"/>
      <c r="Q98" s="149"/>
      <c r="R98" s="149"/>
      <c r="S98" s="150"/>
    </row>
    <row r="99" spans="1:19" ht="97.5" customHeight="1">
      <c r="B99" s="138"/>
      <c r="C99" s="32" t="s">
        <v>76</v>
      </c>
      <c r="D99" s="151" t="s">
        <v>201</v>
      </c>
      <c r="E99" s="151"/>
      <c r="F99" s="151"/>
      <c r="G99" s="151"/>
      <c r="H99" s="151"/>
      <c r="I99" s="151"/>
      <c r="J99" s="151"/>
      <c r="K99" s="151"/>
      <c r="L99" s="151"/>
      <c r="M99" s="151"/>
      <c r="N99" s="151"/>
      <c r="O99" s="151"/>
      <c r="P99" s="151"/>
      <c r="Q99" s="151"/>
      <c r="R99" s="151"/>
      <c r="S99" s="152"/>
    </row>
    <row r="100" spans="1:19" ht="6" customHeight="1"/>
    <row r="101" spans="1:19" ht="18.75" customHeight="1">
      <c r="A101" s="1" t="s">
        <v>120</v>
      </c>
    </row>
    <row r="102" spans="1:19" ht="81.75" customHeight="1">
      <c r="B102" s="153" t="s">
        <v>159</v>
      </c>
      <c r="C102" s="154"/>
      <c r="D102" s="154"/>
      <c r="E102" s="154"/>
      <c r="F102" s="154"/>
      <c r="G102" s="154"/>
      <c r="H102" s="154"/>
      <c r="I102" s="154"/>
      <c r="J102" s="154"/>
      <c r="K102" s="154"/>
      <c r="L102" s="154"/>
      <c r="M102" s="154"/>
      <c r="N102" s="154"/>
      <c r="O102" s="154"/>
      <c r="P102" s="154"/>
      <c r="Q102" s="154"/>
      <c r="R102" s="154"/>
      <c r="S102" s="155"/>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447CBEB9-7670-FF45-B546-0D3CE6CEA117}">
      <formula1>$V$14:$V$16</formula1>
    </dataValidation>
    <dataValidation type="list" allowBlank="1" showInputMessage="1" showErrorMessage="1" sqref="F79:F86 P79:P86 G79:I80 G83:I86 Q83:S86 Q79:S80" xr:uid="{8DB66883-9495-6F49-84F8-47DAC0F9C3B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557DF647-5BBD-DD45-8A7A-8E1F7F6B2B2E}">
      <formula1>"学部・学科によって、修了要件は相違する,学部・学科によって、修了要件は相違しない"</formula1>
    </dataValidation>
    <dataValidation type="list" allowBlank="1" showInputMessage="1" showErrorMessage="1" sqref="S32 S43 D32:G32 D43:G43" xr:uid="{1625427C-11EE-9045-B5A8-005BCC727558}">
      <formula1>"全学開講,一部開講"</formula1>
    </dataValidation>
    <dataValidation type="list" allowBlank="1" showInputMessage="1" showErrorMessage="1" sqref="G25:I31 Q25:S31 Q36:S42 G47:I53 Q47:S53 G58:I64 Q58:S64 F69:I75 P69:S75 G36:I42" xr:uid="{7DB7C51C-9172-2743-8B6A-9F32D83BA17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F1" zoomScaleNormal="100" zoomScaleSheetLayoutView="100" workbookViewId="0">
      <selection activeCell="K17" sqref="K17"/>
    </sheetView>
  </sheetViews>
  <sheetFormatPr baseColWidth="10" defaultColWidth="9" defaultRowHeight="18.75" customHeight="1"/>
  <cols>
    <col min="1" max="1" width="2.83203125" style="1" customWidth="1"/>
    <col min="2" max="2" width="20.83203125" style="1" customWidth="1"/>
    <col min="3" max="5" width="6.1640625" style="1" customWidth="1"/>
    <col min="6" max="42" width="4.83203125" style="1" customWidth="1"/>
    <col min="43" max="43" width="6.6640625" style="1" customWidth="1"/>
    <col min="44" max="16384" width="9" style="1"/>
  </cols>
  <sheetData>
    <row r="1" spans="1:45" ht="18" customHeight="1">
      <c r="AQ1" s="1" t="s">
        <v>106</v>
      </c>
    </row>
    <row r="2" spans="1:45" ht="18" customHeight="1">
      <c r="K2" s="35"/>
      <c r="Q2" s="35"/>
      <c r="W2" s="35"/>
      <c r="AC2" s="35"/>
      <c r="AI2" s="35"/>
      <c r="AL2" s="35" t="s">
        <v>108</v>
      </c>
      <c r="AM2" s="161" t="s">
        <v>128</v>
      </c>
      <c r="AN2" s="161"/>
      <c r="AO2" s="161"/>
      <c r="AP2" s="161"/>
      <c r="AQ2" s="161"/>
    </row>
    <row r="3" spans="1:45" ht="18" customHeight="1">
      <c r="A3" s="102" t="s">
        <v>47</v>
      </c>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99" t="s">
        <v>134</v>
      </c>
      <c r="D5" s="101"/>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62" t="s">
        <v>44</v>
      </c>
      <c r="C9" s="177" t="s">
        <v>86</v>
      </c>
      <c r="D9" s="165" t="s">
        <v>46</v>
      </c>
      <c r="E9" s="168" t="s">
        <v>39</v>
      </c>
      <c r="F9" s="158" t="s">
        <v>85</v>
      </c>
      <c r="G9" s="158"/>
      <c r="H9" s="158"/>
      <c r="I9" s="158"/>
      <c r="J9" s="158"/>
      <c r="K9" s="158"/>
      <c r="L9" s="158" t="s">
        <v>48</v>
      </c>
      <c r="M9" s="158"/>
      <c r="N9" s="158"/>
      <c r="O9" s="158"/>
      <c r="P9" s="158"/>
      <c r="Q9" s="158"/>
      <c r="R9" s="158" t="s">
        <v>49</v>
      </c>
      <c r="S9" s="158"/>
      <c r="T9" s="158"/>
      <c r="U9" s="158"/>
      <c r="V9" s="158"/>
      <c r="W9" s="158"/>
      <c r="X9" s="158" t="s">
        <v>100</v>
      </c>
      <c r="Y9" s="158"/>
      <c r="Z9" s="158"/>
      <c r="AA9" s="158"/>
      <c r="AB9" s="158"/>
      <c r="AC9" s="158"/>
      <c r="AD9" s="158" t="s">
        <v>50</v>
      </c>
      <c r="AE9" s="158"/>
      <c r="AF9" s="158"/>
      <c r="AG9" s="158"/>
      <c r="AH9" s="158"/>
      <c r="AI9" s="158"/>
      <c r="AJ9" s="158" t="s">
        <v>51</v>
      </c>
      <c r="AK9" s="158"/>
      <c r="AL9" s="158"/>
      <c r="AM9" s="158"/>
      <c r="AN9" s="158"/>
      <c r="AO9" s="158"/>
      <c r="AP9" s="171" t="s">
        <v>34</v>
      </c>
      <c r="AQ9" s="174" t="s">
        <v>31</v>
      </c>
      <c r="AS9" s="2"/>
    </row>
    <row r="10" spans="1:45" ht="17" customHeight="1">
      <c r="B10" s="163"/>
      <c r="C10" s="178"/>
      <c r="D10" s="166"/>
      <c r="E10" s="169"/>
      <c r="F10" s="159" t="s">
        <v>96</v>
      </c>
      <c r="G10" s="160"/>
      <c r="H10" s="160"/>
      <c r="I10" s="159" t="s">
        <v>28</v>
      </c>
      <c r="J10" s="160"/>
      <c r="K10" s="160"/>
      <c r="L10" s="159" t="s">
        <v>96</v>
      </c>
      <c r="M10" s="160"/>
      <c r="N10" s="160"/>
      <c r="O10" s="159" t="s">
        <v>28</v>
      </c>
      <c r="P10" s="160"/>
      <c r="Q10" s="160"/>
      <c r="R10" s="159" t="s">
        <v>96</v>
      </c>
      <c r="S10" s="160"/>
      <c r="T10" s="160"/>
      <c r="U10" s="159" t="s">
        <v>28</v>
      </c>
      <c r="V10" s="160"/>
      <c r="W10" s="160"/>
      <c r="X10" s="159" t="s">
        <v>96</v>
      </c>
      <c r="Y10" s="160"/>
      <c r="Z10" s="160"/>
      <c r="AA10" s="159" t="s">
        <v>28</v>
      </c>
      <c r="AB10" s="160"/>
      <c r="AC10" s="160"/>
      <c r="AD10" s="159" t="s">
        <v>96</v>
      </c>
      <c r="AE10" s="160"/>
      <c r="AF10" s="160"/>
      <c r="AG10" s="159" t="s">
        <v>28</v>
      </c>
      <c r="AH10" s="160"/>
      <c r="AI10" s="160"/>
      <c r="AJ10" s="159" t="s">
        <v>96</v>
      </c>
      <c r="AK10" s="160"/>
      <c r="AL10" s="160"/>
      <c r="AM10" s="159" t="s">
        <v>28</v>
      </c>
      <c r="AN10" s="160"/>
      <c r="AO10" s="160"/>
      <c r="AP10" s="172"/>
      <c r="AQ10" s="175"/>
      <c r="AS10" s="2"/>
    </row>
    <row r="11" spans="1:45" ht="18" customHeight="1">
      <c r="B11" s="164"/>
      <c r="C11" s="179"/>
      <c r="D11" s="167"/>
      <c r="E11" s="170"/>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73"/>
      <c r="AQ11" s="176"/>
      <c r="AS11" s="2"/>
    </row>
    <row r="12" spans="1:45" ht="18" customHeight="1">
      <c r="A12" s="6"/>
      <c r="B12" s="11" t="s">
        <v>135</v>
      </c>
      <c r="C12" s="62">
        <v>814</v>
      </c>
      <c r="D12" s="63">
        <v>130</v>
      </c>
      <c r="E12" s="64">
        <v>777</v>
      </c>
      <c r="F12" s="64">
        <v>133</v>
      </c>
      <c r="G12" s="65">
        <v>71</v>
      </c>
      <c r="H12" s="66">
        <v>62</v>
      </c>
      <c r="I12" s="64">
        <v>127</v>
      </c>
      <c r="J12" s="65">
        <v>69</v>
      </c>
      <c r="K12" s="66">
        <v>58</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133</v>
      </c>
      <c r="AQ12" s="21">
        <f t="shared" ref="AQ12:AQ32" si="0">AP12/E12</f>
        <v>0.17117117117117117</v>
      </c>
    </row>
    <row r="13" spans="1:45" ht="18" customHeight="1">
      <c r="A13" s="6"/>
      <c r="B13" s="12" t="s">
        <v>136</v>
      </c>
      <c r="C13" s="67">
        <v>347</v>
      </c>
      <c r="D13" s="68">
        <v>80</v>
      </c>
      <c r="E13" s="69">
        <v>340</v>
      </c>
      <c r="F13" s="70">
        <v>89</v>
      </c>
      <c r="G13" s="71">
        <v>17</v>
      </c>
      <c r="H13" s="72">
        <v>72</v>
      </c>
      <c r="I13" s="70">
        <f t="shared" ref="I13:I31" si="1">J13+K13</f>
        <v>0</v>
      </c>
      <c r="J13" s="71"/>
      <c r="K13" s="72"/>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89</v>
      </c>
      <c r="AQ13" s="20">
        <f t="shared" si="0"/>
        <v>0.26176470588235295</v>
      </c>
    </row>
    <row r="14" spans="1:45" ht="18" customHeight="1">
      <c r="A14" s="6"/>
      <c r="B14" s="12" t="s">
        <v>137</v>
      </c>
      <c r="C14" s="67">
        <v>232</v>
      </c>
      <c r="D14" s="68">
        <v>70</v>
      </c>
      <c r="E14" s="69">
        <v>280</v>
      </c>
      <c r="F14" s="70">
        <v>42</v>
      </c>
      <c r="G14" s="71">
        <v>12</v>
      </c>
      <c r="H14" s="72">
        <v>30</v>
      </c>
      <c r="I14" s="70">
        <v>40</v>
      </c>
      <c r="J14" s="71">
        <v>11</v>
      </c>
      <c r="K14" s="72">
        <v>29</v>
      </c>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42</v>
      </c>
      <c r="AQ14" s="8">
        <f t="shared" si="0"/>
        <v>0.15</v>
      </c>
    </row>
    <row r="15" spans="1:45" ht="18" customHeight="1">
      <c r="A15" s="6"/>
      <c r="B15" s="12" t="s">
        <v>138</v>
      </c>
      <c r="C15" s="67">
        <v>145</v>
      </c>
      <c r="D15" s="68">
        <v>40</v>
      </c>
      <c r="E15" s="69">
        <v>160</v>
      </c>
      <c r="F15" s="70">
        <v>29</v>
      </c>
      <c r="G15" s="71">
        <v>14</v>
      </c>
      <c r="H15" s="72">
        <v>15</v>
      </c>
      <c r="I15" s="70">
        <v>28</v>
      </c>
      <c r="J15" s="71">
        <v>13</v>
      </c>
      <c r="K15" s="72">
        <v>15</v>
      </c>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29</v>
      </c>
      <c r="AQ15" s="8">
        <f t="shared" si="0"/>
        <v>0.18124999999999999</v>
      </c>
    </row>
    <row r="16" spans="1:45" ht="18" customHeight="1">
      <c r="A16" s="6"/>
      <c r="B16" s="12" t="s">
        <v>139</v>
      </c>
      <c r="C16" s="67">
        <v>187</v>
      </c>
      <c r="D16" s="68">
        <v>50</v>
      </c>
      <c r="E16" s="69">
        <v>200</v>
      </c>
      <c r="F16" s="70">
        <v>50</v>
      </c>
      <c r="G16" s="71">
        <v>33</v>
      </c>
      <c r="H16" s="72">
        <v>17</v>
      </c>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50</v>
      </c>
      <c r="AQ16" s="8">
        <f t="shared" si="0"/>
        <v>0.25</v>
      </c>
    </row>
    <row r="17" spans="1:43" ht="18" customHeight="1">
      <c r="A17" s="6"/>
      <c r="B17" s="12"/>
      <c r="C17" s="67"/>
      <c r="D17" s="68"/>
      <c r="E17" s="69"/>
      <c r="F17" s="70">
        <f t="shared" ref="F17:F31" si="13">G17+H17</f>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0"/>
        <v>#DIV/0!</v>
      </c>
    </row>
    <row r="18" spans="1:43" ht="18" customHeight="1">
      <c r="A18" s="6"/>
      <c r="B18" s="12"/>
      <c r="C18" s="67"/>
      <c r="D18" s="68"/>
      <c r="E18" s="69"/>
      <c r="F18" s="70">
        <f t="shared" si="13"/>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0"/>
        <v>#DIV/0!</v>
      </c>
    </row>
    <row r="19" spans="1:43" ht="18" customHeight="1">
      <c r="A19" s="6"/>
      <c r="B19" s="12"/>
      <c r="C19" s="67"/>
      <c r="D19" s="68"/>
      <c r="E19" s="69"/>
      <c r="F19" s="70">
        <f t="shared" si="13"/>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0"/>
        <v>#DIV/0!</v>
      </c>
    </row>
    <row r="20" spans="1:43" ht="18" customHeight="1">
      <c r="A20" s="6"/>
      <c r="B20" s="12"/>
      <c r="C20" s="67"/>
      <c r="D20" s="68"/>
      <c r="E20" s="69"/>
      <c r="F20" s="70">
        <f t="shared" si="13"/>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0"/>
        <v>#DIV/0!</v>
      </c>
    </row>
    <row r="21" spans="1:43" ht="18" customHeight="1">
      <c r="A21" s="6"/>
      <c r="B21" s="12"/>
      <c r="C21" s="67"/>
      <c r="D21" s="68"/>
      <c r="E21" s="69"/>
      <c r="F21" s="70">
        <f t="shared" si="13"/>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0"/>
        <v>#DIV/0!</v>
      </c>
    </row>
    <row r="22" spans="1:43" ht="18" customHeight="1">
      <c r="A22" s="6"/>
      <c r="B22" s="12"/>
      <c r="C22" s="67"/>
      <c r="D22" s="68"/>
      <c r="E22" s="69"/>
      <c r="F22" s="70">
        <f t="shared" si="13"/>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0"/>
        <v>#DIV/0!</v>
      </c>
    </row>
    <row r="23" spans="1:43" ht="18" customHeight="1">
      <c r="A23" s="6"/>
      <c r="B23" s="12"/>
      <c r="C23" s="67"/>
      <c r="D23" s="68"/>
      <c r="E23" s="69"/>
      <c r="F23" s="70">
        <f t="shared" si="13"/>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0"/>
        <v>#DIV/0!</v>
      </c>
    </row>
    <row r="24" spans="1:43" ht="18" customHeight="1">
      <c r="A24" s="6"/>
      <c r="B24" s="12"/>
      <c r="C24" s="67"/>
      <c r="D24" s="68"/>
      <c r="E24" s="69"/>
      <c r="F24" s="70">
        <f t="shared" si="13"/>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0"/>
        <v>#DIV/0!</v>
      </c>
    </row>
    <row r="25" spans="1:43" ht="18" customHeight="1">
      <c r="A25" s="6"/>
      <c r="B25" s="12"/>
      <c r="C25" s="67"/>
      <c r="D25" s="68"/>
      <c r="E25" s="69"/>
      <c r="F25" s="70">
        <f t="shared" si="13"/>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0"/>
        <v>#DIV/0!</v>
      </c>
    </row>
    <row r="26" spans="1:43" ht="18" customHeight="1">
      <c r="A26" s="6"/>
      <c r="B26" s="12"/>
      <c r="C26" s="67"/>
      <c r="D26" s="68"/>
      <c r="E26" s="69"/>
      <c r="F26" s="70">
        <f t="shared" si="13"/>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0"/>
        <v>#DIV/0!</v>
      </c>
    </row>
    <row r="27" spans="1:43" ht="18" customHeight="1">
      <c r="A27" s="6"/>
      <c r="B27" s="12"/>
      <c r="C27" s="67"/>
      <c r="D27" s="68"/>
      <c r="E27" s="69"/>
      <c r="F27" s="70">
        <f t="shared" si="13"/>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0"/>
        <v>#DIV/0!</v>
      </c>
    </row>
    <row r="28" spans="1:43" ht="18" customHeight="1">
      <c r="A28" s="6"/>
      <c r="B28" s="12"/>
      <c r="C28" s="67"/>
      <c r="D28" s="68"/>
      <c r="E28" s="69"/>
      <c r="F28" s="70">
        <f t="shared" si="13"/>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0"/>
        <v>#DIV/0!</v>
      </c>
    </row>
    <row r="29" spans="1:43" ht="18" customHeight="1">
      <c r="A29" s="6"/>
      <c r="B29" s="12"/>
      <c r="C29" s="67"/>
      <c r="D29" s="73"/>
      <c r="E29" s="69"/>
      <c r="F29" s="70">
        <f t="shared" si="13"/>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0"/>
        <v>#DIV/0!</v>
      </c>
    </row>
    <row r="30" spans="1:43" ht="18" customHeight="1">
      <c r="A30" s="6"/>
      <c r="B30" s="12"/>
      <c r="C30" s="67"/>
      <c r="D30" s="73"/>
      <c r="E30" s="69"/>
      <c r="F30" s="70">
        <f t="shared" si="13"/>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0"/>
        <v>#DIV/0!</v>
      </c>
    </row>
    <row r="31" spans="1:43" ht="18" customHeight="1" thickBot="1">
      <c r="A31" s="6"/>
      <c r="B31" s="13"/>
      <c r="C31" s="62"/>
      <c r="D31" s="74"/>
      <c r="E31" s="64"/>
      <c r="F31" s="64">
        <f t="shared" si="13"/>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0"/>
        <v>#DIV/0!</v>
      </c>
    </row>
    <row r="32" spans="1:43" ht="18" customHeight="1" thickTop="1">
      <c r="B32" s="14" t="s">
        <v>32</v>
      </c>
      <c r="C32" s="77">
        <f t="shared" ref="C32" si="14">SUM(C12:C31)</f>
        <v>1725</v>
      </c>
      <c r="D32" s="78">
        <f t="shared" ref="D32:AP32" si="15">SUM(D12:D31)</f>
        <v>370</v>
      </c>
      <c r="E32" s="79">
        <f t="shared" si="15"/>
        <v>1757</v>
      </c>
      <c r="F32" s="79">
        <f t="shared" si="15"/>
        <v>343</v>
      </c>
      <c r="G32" s="80">
        <f t="shared" si="15"/>
        <v>147</v>
      </c>
      <c r="H32" s="81">
        <f t="shared" si="15"/>
        <v>196</v>
      </c>
      <c r="I32" s="79">
        <f t="shared" ref="I32:N32" si="16">SUM(I12:I31)</f>
        <v>195</v>
      </c>
      <c r="J32" s="80">
        <f t="shared" si="16"/>
        <v>93</v>
      </c>
      <c r="K32" s="81">
        <f t="shared" si="16"/>
        <v>102</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343</v>
      </c>
      <c r="AQ32" s="9">
        <f t="shared" si="0"/>
        <v>0.19521912350597609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3"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47" sqref="B47"/>
    </sheetView>
  </sheetViews>
  <sheetFormatPr baseColWidth="10" defaultColWidth="11.33203125" defaultRowHeight="18.75" customHeight="1"/>
  <cols>
    <col min="1" max="1" width="2.83203125" style="41"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41" t="s">
        <v>64</v>
      </c>
      <c r="I1" s="35" t="s">
        <v>105</v>
      </c>
    </row>
    <row r="2" spans="1:9" ht="18.75" customHeight="1">
      <c r="G2" s="35" t="s">
        <v>108</v>
      </c>
      <c r="H2" s="91" t="s">
        <v>128</v>
      </c>
      <c r="I2" s="92"/>
    </row>
    <row r="3" spans="1:9" ht="18.75" customHeight="1">
      <c r="G3" s="35"/>
      <c r="H3" s="10"/>
      <c r="I3" s="10"/>
    </row>
    <row r="4" spans="1:9" ht="18.5" customHeight="1">
      <c r="A4" s="102" t="s">
        <v>35</v>
      </c>
      <c r="B4" s="102"/>
      <c r="C4" s="102"/>
      <c r="D4" s="102"/>
      <c r="E4" s="102"/>
      <c r="F4" s="102"/>
      <c r="G4" s="102"/>
      <c r="H4" s="102"/>
      <c r="I4" s="102"/>
    </row>
    <row r="5" spans="1:9" ht="13.25" customHeight="1">
      <c r="B5" s="3"/>
      <c r="C5" s="3"/>
      <c r="D5" s="3"/>
      <c r="E5" s="3"/>
      <c r="F5" s="3"/>
      <c r="G5" s="3"/>
      <c r="H5" s="3"/>
      <c r="I5" s="3"/>
    </row>
    <row r="6" spans="1:9" ht="18" customHeight="1">
      <c r="A6" s="1" t="s">
        <v>0</v>
      </c>
      <c r="B6" s="10" t="s">
        <v>90</v>
      </c>
      <c r="C6" s="203" t="s">
        <v>91</v>
      </c>
      <c r="D6" s="203"/>
      <c r="E6" s="34">
        <v>1428</v>
      </c>
      <c r="F6" s="3" t="s">
        <v>1</v>
      </c>
      <c r="G6" s="3" t="s">
        <v>2</v>
      </c>
      <c r="H6" s="34">
        <v>914</v>
      </c>
      <c r="I6" s="10" t="s">
        <v>1</v>
      </c>
    </row>
    <row r="7" spans="1:9" ht="12" customHeight="1">
      <c r="C7" s="2"/>
      <c r="D7" s="2"/>
      <c r="E7" s="2"/>
      <c r="F7" s="2"/>
      <c r="G7" s="2"/>
      <c r="H7" s="2"/>
      <c r="I7" s="42"/>
    </row>
    <row r="8" spans="1:9" ht="18" customHeight="1">
      <c r="A8" s="1" t="s">
        <v>3</v>
      </c>
      <c r="B8" s="10" t="s">
        <v>92</v>
      </c>
      <c r="E8" s="3"/>
      <c r="F8" s="3"/>
      <c r="G8" s="3"/>
      <c r="H8" s="34">
        <v>20</v>
      </c>
      <c r="I8" s="10" t="s">
        <v>1</v>
      </c>
    </row>
    <row r="9" spans="1:9" ht="9" customHeight="1">
      <c r="B9" s="3"/>
      <c r="C9" s="3"/>
      <c r="D9" s="3"/>
      <c r="E9" s="3"/>
      <c r="F9" s="3"/>
      <c r="G9" s="3"/>
      <c r="H9" s="3"/>
      <c r="I9" s="3"/>
    </row>
    <row r="10" spans="1:9" ht="18" customHeight="1">
      <c r="A10" s="1" t="s">
        <v>4</v>
      </c>
      <c r="B10" s="10" t="s">
        <v>93</v>
      </c>
      <c r="C10" s="3"/>
      <c r="D10" s="3"/>
      <c r="E10" s="3"/>
      <c r="F10" s="3"/>
      <c r="G10" s="3"/>
      <c r="H10" s="3"/>
      <c r="I10" s="3"/>
    </row>
    <row r="11" spans="1:9" ht="18" customHeight="1">
      <c r="B11" s="35" t="s">
        <v>42</v>
      </c>
      <c r="C11" s="198" t="s">
        <v>129</v>
      </c>
      <c r="D11" s="201"/>
      <c r="E11" s="202"/>
      <c r="F11" s="42"/>
      <c r="G11" s="35" t="s">
        <v>10</v>
      </c>
      <c r="H11" s="198" t="s">
        <v>130</v>
      </c>
      <c r="I11" s="202"/>
    </row>
    <row r="12" spans="1:9" ht="10.25" customHeight="1">
      <c r="B12" s="35"/>
      <c r="C12" s="10"/>
      <c r="D12" s="42"/>
      <c r="E12" s="42"/>
      <c r="F12" s="42"/>
      <c r="G12" s="35"/>
      <c r="H12" s="10"/>
      <c r="I12" s="42"/>
    </row>
    <row r="13" spans="1:9" ht="18" customHeight="1">
      <c r="A13" s="1" t="s">
        <v>7</v>
      </c>
      <c r="B13" s="10" t="s">
        <v>87</v>
      </c>
      <c r="C13" s="3"/>
      <c r="D13" s="3"/>
      <c r="E13" s="3"/>
      <c r="F13" s="3"/>
      <c r="G13" s="3"/>
      <c r="H13" s="3"/>
      <c r="I13" s="3"/>
    </row>
    <row r="14" spans="1:9" ht="18" customHeight="1">
      <c r="B14" s="198" t="s">
        <v>132</v>
      </c>
      <c r="C14" s="199"/>
      <c r="D14" s="199"/>
      <c r="E14" s="199"/>
      <c r="F14" s="199"/>
      <c r="G14" s="199"/>
      <c r="H14" s="199"/>
      <c r="I14" s="200"/>
    </row>
    <row r="15" spans="1:9" ht="9" customHeight="1">
      <c r="B15" s="3"/>
      <c r="C15" s="3"/>
      <c r="D15" s="3"/>
      <c r="E15" s="3"/>
      <c r="F15" s="3"/>
      <c r="G15" s="3"/>
      <c r="H15" s="3"/>
      <c r="I15" s="3"/>
    </row>
    <row r="16" spans="1:9" ht="18" customHeight="1">
      <c r="B16" s="35" t="s">
        <v>42</v>
      </c>
      <c r="C16" s="198" t="s">
        <v>129</v>
      </c>
      <c r="D16" s="201"/>
      <c r="E16" s="202"/>
      <c r="F16" s="42"/>
      <c r="G16" s="35" t="s">
        <v>10</v>
      </c>
      <c r="H16" s="198" t="s">
        <v>130</v>
      </c>
      <c r="I16" s="202"/>
    </row>
    <row r="17" spans="1:9" ht="18" customHeight="1">
      <c r="B17" s="3"/>
      <c r="C17" s="3"/>
      <c r="D17" s="3"/>
      <c r="E17" s="3"/>
      <c r="F17" s="3"/>
      <c r="G17" s="3"/>
      <c r="H17" s="3"/>
      <c r="I17" s="3"/>
    </row>
    <row r="18" spans="1:9" ht="18.75" customHeight="1">
      <c r="A18" s="1" t="s">
        <v>5</v>
      </c>
      <c r="B18" s="1" t="s">
        <v>41</v>
      </c>
      <c r="I18" s="3"/>
    </row>
    <row r="19" spans="1:9" ht="18.75" customHeight="1">
      <c r="A19" s="1"/>
      <c r="B19" s="190" t="s">
        <v>131</v>
      </c>
      <c r="C19" s="191"/>
      <c r="D19" s="191"/>
      <c r="E19" s="191"/>
      <c r="F19" s="191"/>
      <c r="G19" s="191"/>
      <c r="H19" s="191"/>
      <c r="I19" s="192"/>
    </row>
    <row r="20" spans="1:9" ht="7.5" customHeight="1">
      <c r="B20" s="3"/>
      <c r="C20" s="3"/>
      <c r="D20" s="3"/>
      <c r="E20" s="3"/>
      <c r="F20" s="3"/>
      <c r="G20" s="3"/>
      <c r="H20" s="3"/>
      <c r="I20" s="3"/>
    </row>
    <row r="21" spans="1:9" ht="18.75" customHeight="1">
      <c r="A21" s="1" t="s">
        <v>8</v>
      </c>
      <c r="B21" s="1" t="s">
        <v>24</v>
      </c>
    </row>
    <row r="22" spans="1:9" ht="18.75" customHeight="1">
      <c r="A22" s="15"/>
      <c r="B22" s="180" t="s">
        <v>133</v>
      </c>
      <c r="C22" s="181"/>
      <c r="D22" s="181"/>
      <c r="E22" s="181"/>
      <c r="F22" s="181"/>
      <c r="G22" s="181"/>
      <c r="H22" s="181"/>
      <c r="I22" s="182"/>
    </row>
    <row r="23" spans="1:9" ht="18.75" customHeight="1">
      <c r="A23" s="15"/>
      <c r="B23" s="193"/>
      <c r="C23" s="194"/>
      <c r="D23" s="194"/>
      <c r="E23" s="194"/>
      <c r="F23" s="194"/>
      <c r="G23" s="194"/>
      <c r="H23" s="194"/>
      <c r="I23" s="185"/>
    </row>
    <row r="24" spans="1:9" ht="18.75" customHeight="1">
      <c r="A24" s="15"/>
      <c r="B24" s="193"/>
      <c r="C24" s="194"/>
      <c r="D24" s="194"/>
      <c r="E24" s="194"/>
      <c r="F24" s="194"/>
      <c r="G24" s="194"/>
      <c r="H24" s="194"/>
      <c r="I24" s="185"/>
    </row>
    <row r="25" spans="1:9" ht="18.75" customHeight="1">
      <c r="A25" s="15"/>
      <c r="B25" s="193"/>
      <c r="C25" s="194"/>
      <c r="D25" s="194"/>
      <c r="E25" s="194"/>
      <c r="F25" s="194"/>
      <c r="G25" s="194"/>
      <c r="H25" s="194"/>
      <c r="I25" s="185"/>
    </row>
    <row r="26" spans="1:9" ht="18.75" customHeight="1">
      <c r="A26" s="15"/>
      <c r="B26" s="193"/>
      <c r="C26" s="194"/>
      <c r="D26" s="194"/>
      <c r="E26" s="194"/>
      <c r="F26" s="194"/>
      <c r="G26" s="194"/>
      <c r="H26" s="194"/>
      <c r="I26" s="185"/>
    </row>
    <row r="27" spans="1:9" ht="18.75" customHeight="1">
      <c r="A27" s="15"/>
      <c r="B27" s="193"/>
      <c r="C27" s="194"/>
      <c r="D27" s="194"/>
      <c r="E27" s="194"/>
      <c r="F27" s="194"/>
      <c r="G27" s="194"/>
      <c r="H27" s="194"/>
      <c r="I27" s="185"/>
    </row>
    <row r="28" spans="1:9" ht="18.75" customHeight="1">
      <c r="A28" s="15"/>
      <c r="B28" s="193"/>
      <c r="C28" s="194"/>
      <c r="D28" s="194"/>
      <c r="E28" s="194"/>
      <c r="F28" s="194"/>
      <c r="G28" s="194"/>
      <c r="H28" s="194"/>
      <c r="I28" s="185"/>
    </row>
    <row r="29" spans="1:9" ht="18.75" customHeight="1">
      <c r="A29" s="15"/>
      <c r="B29" s="193"/>
      <c r="C29" s="194"/>
      <c r="D29" s="194"/>
      <c r="E29" s="194"/>
      <c r="F29" s="194"/>
      <c r="G29" s="194"/>
      <c r="H29" s="194"/>
      <c r="I29" s="185"/>
    </row>
    <row r="30" spans="1:9" ht="18.75" customHeight="1">
      <c r="A30" s="15"/>
      <c r="B30" s="183"/>
      <c r="C30" s="184"/>
      <c r="D30" s="184"/>
      <c r="E30" s="184"/>
      <c r="F30" s="184"/>
      <c r="G30" s="184"/>
      <c r="H30" s="184"/>
      <c r="I30" s="185"/>
    </row>
    <row r="31" spans="1:9" ht="18.75" customHeight="1">
      <c r="A31" s="15"/>
      <c r="B31" s="183"/>
      <c r="C31" s="184"/>
      <c r="D31" s="184"/>
      <c r="E31" s="184"/>
      <c r="F31" s="184"/>
      <c r="G31" s="184"/>
      <c r="H31" s="184"/>
      <c r="I31" s="185"/>
    </row>
    <row r="32" spans="1:9" ht="18.75" customHeight="1">
      <c r="A32" s="15"/>
      <c r="B32" s="186"/>
      <c r="C32" s="187"/>
      <c r="D32" s="187"/>
      <c r="E32" s="187"/>
      <c r="F32" s="187"/>
      <c r="G32" s="187"/>
      <c r="H32" s="187"/>
      <c r="I32" s="188"/>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180" t="s">
        <v>161</v>
      </c>
      <c r="C35" s="181"/>
      <c r="D35" s="181"/>
      <c r="E35" s="181"/>
      <c r="F35" s="181"/>
      <c r="G35" s="181"/>
      <c r="H35" s="181"/>
      <c r="I35" s="182"/>
    </row>
    <row r="36" spans="1:9" ht="18.75" customHeight="1">
      <c r="A36" s="15"/>
      <c r="B36" s="183"/>
      <c r="C36" s="184"/>
      <c r="D36" s="184"/>
      <c r="E36" s="184"/>
      <c r="F36" s="184"/>
      <c r="G36" s="184"/>
      <c r="H36" s="184"/>
      <c r="I36" s="185"/>
    </row>
    <row r="37" spans="1:9" ht="18.75" customHeight="1">
      <c r="A37" s="15"/>
      <c r="B37" s="183"/>
      <c r="C37" s="184"/>
      <c r="D37" s="184"/>
      <c r="E37" s="184"/>
      <c r="F37" s="184"/>
      <c r="G37" s="184"/>
      <c r="H37" s="184"/>
      <c r="I37" s="185"/>
    </row>
    <row r="38" spans="1:9" ht="18.75" customHeight="1">
      <c r="A38" s="15"/>
      <c r="B38" s="183"/>
      <c r="C38" s="184"/>
      <c r="D38" s="184"/>
      <c r="E38" s="184"/>
      <c r="F38" s="184"/>
      <c r="G38" s="184"/>
      <c r="H38" s="184"/>
      <c r="I38" s="185"/>
    </row>
    <row r="39" spans="1:9" ht="18.75" customHeight="1">
      <c r="A39" s="15"/>
      <c r="B39" s="183"/>
      <c r="C39" s="184"/>
      <c r="D39" s="184"/>
      <c r="E39" s="184"/>
      <c r="F39" s="184"/>
      <c r="G39" s="184"/>
      <c r="H39" s="184"/>
      <c r="I39" s="185"/>
    </row>
    <row r="40" spans="1:9" ht="18.75" customHeight="1">
      <c r="A40" s="15"/>
      <c r="B40" s="183"/>
      <c r="C40" s="184"/>
      <c r="D40" s="184"/>
      <c r="E40" s="184"/>
      <c r="F40" s="184"/>
      <c r="G40" s="184"/>
      <c r="H40" s="184"/>
      <c r="I40" s="185"/>
    </row>
    <row r="41" spans="1:9" ht="18.75" customHeight="1">
      <c r="A41" s="15"/>
      <c r="B41" s="183"/>
      <c r="C41" s="184"/>
      <c r="D41" s="184"/>
      <c r="E41" s="184"/>
      <c r="F41" s="184"/>
      <c r="G41" s="184"/>
      <c r="H41" s="184"/>
      <c r="I41" s="185"/>
    </row>
    <row r="42" spans="1:9" ht="18.75" customHeight="1">
      <c r="A42" s="15"/>
      <c r="B42" s="183"/>
      <c r="C42" s="184"/>
      <c r="D42" s="184"/>
      <c r="E42" s="184"/>
      <c r="F42" s="184"/>
      <c r="G42" s="184"/>
      <c r="H42" s="184"/>
      <c r="I42" s="185"/>
    </row>
    <row r="43" spans="1:9" ht="18.75" customHeight="1">
      <c r="A43" s="15"/>
      <c r="B43" s="183"/>
      <c r="C43" s="184"/>
      <c r="D43" s="184"/>
      <c r="E43" s="184"/>
      <c r="F43" s="184"/>
      <c r="G43" s="184"/>
      <c r="H43" s="184"/>
      <c r="I43" s="185"/>
    </row>
    <row r="44" spans="1:9" ht="18.75" customHeight="1">
      <c r="A44" s="15"/>
      <c r="B44" s="183"/>
      <c r="C44" s="184"/>
      <c r="D44" s="184"/>
      <c r="E44" s="184"/>
      <c r="F44" s="184"/>
      <c r="G44" s="184"/>
      <c r="H44" s="184"/>
      <c r="I44" s="185"/>
    </row>
    <row r="45" spans="1:9" ht="18.75" customHeight="1">
      <c r="A45" s="15"/>
      <c r="B45" s="183"/>
      <c r="C45" s="184"/>
      <c r="D45" s="184"/>
      <c r="E45" s="184"/>
      <c r="F45" s="184"/>
      <c r="G45" s="184"/>
      <c r="H45" s="184"/>
      <c r="I45" s="185"/>
    </row>
    <row r="46" spans="1:9" ht="18.75" customHeight="1">
      <c r="A46" s="15"/>
      <c r="B46" s="186"/>
      <c r="C46" s="187"/>
      <c r="D46" s="187"/>
      <c r="E46" s="187"/>
      <c r="F46" s="187"/>
      <c r="G46" s="187"/>
      <c r="H46" s="187"/>
      <c r="I46" s="188"/>
    </row>
    <row r="47" spans="1:9" ht="7.5" customHeight="1">
      <c r="A47" s="4"/>
      <c r="B47" s="4"/>
      <c r="C47" s="4"/>
      <c r="D47" s="4"/>
      <c r="E47" s="4"/>
      <c r="F47" s="4"/>
      <c r="G47" s="4"/>
      <c r="H47" s="4"/>
      <c r="I47" s="4"/>
    </row>
    <row r="48" spans="1:9" ht="18.75" customHeight="1">
      <c r="A48" s="1" t="s">
        <v>30</v>
      </c>
      <c r="B48" s="1" t="s">
        <v>122</v>
      </c>
    </row>
    <row r="49" spans="1:15" s="3" customFormat="1" ht="18.75" customHeight="1">
      <c r="B49" s="43" t="s">
        <v>88</v>
      </c>
      <c r="C49" s="221">
        <f>'様式２ 履修者等数の実績'!AQ32</f>
        <v>0.19521912350597609</v>
      </c>
      <c r="D49" s="221"/>
      <c r="E49" s="43" t="s">
        <v>65</v>
      </c>
      <c r="F49" s="221">
        <v>0.4</v>
      </c>
      <c r="G49" s="221"/>
      <c r="H49" s="43" t="s">
        <v>66</v>
      </c>
      <c r="I49" s="44">
        <v>0.6</v>
      </c>
      <c r="J49" s="1"/>
      <c r="M49" s="1"/>
      <c r="N49" s="45"/>
    </row>
    <row r="50" spans="1:15" s="3" customFormat="1" ht="18.75" customHeight="1">
      <c r="B50" s="46" t="s">
        <v>67</v>
      </c>
      <c r="C50" s="204">
        <v>0.8</v>
      </c>
      <c r="D50" s="204"/>
      <c r="E50" s="46" t="s">
        <v>89</v>
      </c>
      <c r="F50" s="204">
        <v>0.9</v>
      </c>
      <c r="G50" s="204"/>
      <c r="H50" s="46" t="s">
        <v>68</v>
      </c>
      <c r="I50" s="47">
        <f>'様式２ 履修者等数の実績'!E32</f>
        <v>1757</v>
      </c>
      <c r="J50" s="1"/>
      <c r="M50" s="1"/>
      <c r="N50" s="45"/>
    </row>
    <row r="51" spans="1:15" ht="18.75" customHeight="1">
      <c r="A51" s="1"/>
      <c r="B51" s="195" t="s">
        <v>69</v>
      </c>
      <c r="C51" s="196"/>
      <c r="D51" s="196"/>
      <c r="E51" s="196"/>
      <c r="F51" s="196"/>
      <c r="G51" s="196"/>
      <c r="H51" s="196"/>
      <c r="I51" s="197"/>
      <c r="N51" s="45"/>
      <c r="O51" s="3"/>
    </row>
    <row r="52" spans="1:15" ht="18.75" customHeight="1">
      <c r="A52" s="1"/>
      <c r="B52" s="222" t="s">
        <v>141</v>
      </c>
      <c r="C52" s="223"/>
      <c r="D52" s="223"/>
      <c r="E52" s="223"/>
      <c r="F52" s="223"/>
      <c r="G52" s="223"/>
      <c r="H52" s="223"/>
      <c r="I52" s="224"/>
      <c r="N52" s="45"/>
      <c r="O52" s="3"/>
    </row>
    <row r="53" spans="1:15" ht="18.75" customHeight="1">
      <c r="A53" s="1"/>
      <c r="B53" s="225"/>
      <c r="C53" s="226"/>
      <c r="D53" s="226"/>
      <c r="E53" s="226"/>
      <c r="F53" s="226"/>
      <c r="G53" s="226"/>
      <c r="H53" s="226"/>
      <c r="I53" s="227"/>
      <c r="N53" s="45"/>
      <c r="O53" s="3"/>
    </row>
    <row r="54" spans="1:15" ht="18.75" customHeight="1">
      <c r="A54" s="1"/>
      <c r="B54" s="225"/>
      <c r="C54" s="226"/>
      <c r="D54" s="226"/>
      <c r="E54" s="226"/>
      <c r="F54" s="226"/>
      <c r="G54" s="226"/>
      <c r="H54" s="226"/>
      <c r="I54" s="227"/>
    </row>
    <row r="55" spans="1:15" ht="18.75" customHeight="1">
      <c r="A55" s="1"/>
      <c r="B55" s="225"/>
      <c r="C55" s="226"/>
      <c r="D55" s="226"/>
      <c r="E55" s="226"/>
      <c r="F55" s="226"/>
      <c r="G55" s="226"/>
      <c r="H55" s="226"/>
      <c r="I55" s="227"/>
    </row>
    <row r="56" spans="1:15" ht="18.75" customHeight="1">
      <c r="A56" s="1"/>
      <c r="B56" s="225"/>
      <c r="C56" s="226"/>
      <c r="D56" s="226"/>
      <c r="E56" s="226"/>
      <c r="F56" s="226"/>
      <c r="G56" s="226"/>
      <c r="H56" s="226"/>
      <c r="I56" s="227"/>
    </row>
    <row r="57" spans="1:15" ht="18.75" customHeight="1">
      <c r="A57" s="1"/>
      <c r="B57" s="225"/>
      <c r="C57" s="226"/>
      <c r="D57" s="226"/>
      <c r="E57" s="226"/>
      <c r="F57" s="226"/>
      <c r="G57" s="226"/>
      <c r="H57" s="226"/>
      <c r="I57" s="227"/>
    </row>
    <row r="58" spans="1:15" ht="18.75" customHeight="1">
      <c r="A58" s="1"/>
      <c r="B58" s="225"/>
      <c r="C58" s="226"/>
      <c r="D58" s="226"/>
      <c r="E58" s="226"/>
      <c r="F58" s="226"/>
      <c r="G58" s="226"/>
      <c r="H58" s="226"/>
      <c r="I58" s="227"/>
    </row>
    <row r="59" spans="1:15" ht="18.75" customHeight="1">
      <c r="A59" s="1"/>
      <c r="B59" s="225"/>
      <c r="C59" s="226"/>
      <c r="D59" s="226"/>
      <c r="E59" s="226"/>
      <c r="F59" s="226"/>
      <c r="G59" s="226"/>
      <c r="H59" s="226"/>
      <c r="I59" s="227"/>
    </row>
    <row r="60" spans="1:15" ht="18.75" customHeight="1">
      <c r="A60" s="1"/>
      <c r="B60" s="225"/>
      <c r="C60" s="226"/>
      <c r="D60" s="226"/>
      <c r="E60" s="226"/>
      <c r="F60" s="226"/>
      <c r="G60" s="226"/>
      <c r="H60" s="226"/>
      <c r="I60" s="227"/>
    </row>
    <row r="61" spans="1:15" ht="18.75" customHeight="1">
      <c r="A61" s="1"/>
      <c r="B61" s="225"/>
      <c r="C61" s="226"/>
      <c r="D61" s="226"/>
      <c r="E61" s="226"/>
      <c r="F61" s="226"/>
      <c r="G61" s="226"/>
      <c r="H61" s="226"/>
      <c r="I61" s="227"/>
    </row>
    <row r="62" spans="1:15" ht="18.75" customHeight="1">
      <c r="A62" s="1"/>
      <c r="B62" s="225"/>
      <c r="C62" s="226"/>
      <c r="D62" s="226"/>
      <c r="E62" s="226"/>
      <c r="F62" s="226"/>
      <c r="G62" s="226"/>
      <c r="H62" s="226"/>
      <c r="I62" s="227"/>
    </row>
    <row r="63" spans="1:15" ht="18.75" customHeight="1">
      <c r="A63" s="1"/>
      <c r="B63" s="228"/>
      <c r="C63" s="229"/>
      <c r="D63" s="229"/>
      <c r="E63" s="229"/>
      <c r="F63" s="229"/>
      <c r="G63" s="229"/>
      <c r="H63" s="229"/>
      <c r="I63" s="230"/>
    </row>
    <row r="64" spans="1:15" ht="7.5" customHeight="1">
      <c r="A64" s="15"/>
      <c r="B64" s="15"/>
      <c r="C64" s="15"/>
      <c r="D64" s="15"/>
      <c r="E64" s="15"/>
      <c r="F64" s="15"/>
      <c r="G64" s="15"/>
      <c r="H64" s="15"/>
      <c r="I64" s="15"/>
    </row>
    <row r="65" spans="1:9" ht="18.75" customHeight="1">
      <c r="A65" s="16" t="s">
        <v>33</v>
      </c>
      <c r="B65" s="1" t="s">
        <v>36</v>
      </c>
      <c r="I65" s="16"/>
    </row>
    <row r="66" spans="1:9" ht="18.75" customHeight="1">
      <c r="A66" s="4"/>
      <c r="B66" s="205" t="s">
        <v>142</v>
      </c>
      <c r="C66" s="206"/>
      <c r="D66" s="206"/>
      <c r="E66" s="206"/>
      <c r="F66" s="206"/>
      <c r="G66" s="206"/>
      <c r="H66" s="206"/>
      <c r="I66" s="207"/>
    </row>
    <row r="67" spans="1:9" ht="18.75" customHeight="1">
      <c r="A67" s="4"/>
      <c r="B67" s="208"/>
      <c r="C67" s="209"/>
      <c r="D67" s="209"/>
      <c r="E67" s="209"/>
      <c r="F67" s="209"/>
      <c r="G67" s="209"/>
      <c r="H67" s="209"/>
      <c r="I67" s="210"/>
    </row>
    <row r="68" spans="1:9" ht="18.75" customHeight="1">
      <c r="A68" s="4"/>
      <c r="B68" s="208"/>
      <c r="C68" s="209"/>
      <c r="D68" s="209"/>
      <c r="E68" s="209"/>
      <c r="F68" s="209"/>
      <c r="G68" s="209"/>
      <c r="H68" s="209"/>
      <c r="I68" s="210"/>
    </row>
    <row r="69" spans="1:9" ht="18.75" customHeight="1">
      <c r="A69" s="4"/>
      <c r="B69" s="208"/>
      <c r="C69" s="209"/>
      <c r="D69" s="209"/>
      <c r="E69" s="209"/>
      <c r="F69" s="209"/>
      <c r="G69" s="209"/>
      <c r="H69" s="209"/>
      <c r="I69" s="210"/>
    </row>
    <row r="70" spans="1:9" ht="18.75" customHeight="1">
      <c r="A70" s="4"/>
      <c r="B70" s="208"/>
      <c r="C70" s="209"/>
      <c r="D70" s="209"/>
      <c r="E70" s="209"/>
      <c r="F70" s="209"/>
      <c r="G70" s="209"/>
      <c r="H70" s="209"/>
      <c r="I70" s="210"/>
    </row>
    <row r="71" spans="1:9" ht="18.75" customHeight="1">
      <c r="A71" s="4"/>
      <c r="B71" s="208"/>
      <c r="C71" s="209"/>
      <c r="D71" s="209"/>
      <c r="E71" s="209"/>
      <c r="F71" s="209"/>
      <c r="G71" s="209"/>
      <c r="H71" s="209"/>
      <c r="I71" s="210"/>
    </row>
    <row r="72" spans="1:9" ht="18.75" customHeight="1">
      <c r="A72" s="4"/>
      <c r="B72" s="208"/>
      <c r="C72" s="209"/>
      <c r="D72" s="209"/>
      <c r="E72" s="209"/>
      <c r="F72" s="209"/>
      <c r="G72" s="209"/>
      <c r="H72" s="209"/>
      <c r="I72" s="210"/>
    </row>
    <row r="73" spans="1:9" ht="18.75" customHeight="1">
      <c r="A73" s="4"/>
      <c r="B73" s="208"/>
      <c r="C73" s="209"/>
      <c r="D73" s="209"/>
      <c r="E73" s="209"/>
      <c r="F73" s="209"/>
      <c r="G73" s="209"/>
      <c r="H73" s="209"/>
      <c r="I73" s="210"/>
    </row>
    <row r="74" spans="1:9" ht="18.75" customHeight="1">
      <c r="A74" s="4"/>
      <c r="B74" s="208"/>
      <c r="C74" s="209"/>
      <c r="D74" s="209"/>
      <c r="E74" s="209"/>
      <c r="F74" s="209"/>
      <c r="G74" s="209"/>
      <c r="H74" s="209"/>
      <c r="I74" s="210"/>
    </row>
    <row r="75" spans="1:9" ht="18.75" customHeight="1">
      <c r="A75" s="4"/>
      <c r="B75" s="208"/>
      <c r="C75" s="209"/>
      <c r="D75" s="209"/>
      <c r="E75" s="209"/>
      <c r="F75" s="209"/>
      <c r="G75" s="209"/>
      <c r="H75" s="209"/>
      <c r="I75" s="210"/>
    </row>
    <row r="76" spans="1:9" ht="18.75" customHeight="1">
      <c r="A76" s="4"/>
      <c r="B76" s="208"/>
      <c r="C76" s="209"/>
      <c r="D76" s="209"/>
      <c r="E76" s="209"/>
      <c r="F76" s="209"/>
      <c r="G76" s="209"/>
      <c r="H76" s="209"/>
      <c r="I76" s="210"/>
    </row>
    <row r="77" spans="1:9" ht="18.75" customHeight="1">
      <c r="A77" s="4"/>
      <c r="B77" s="211"/>
      <c r="C77" s="212"/>
      <c r="D77" s="212"/>
      <c r="E77" s="212"/>
      <c r="F77" s="212"/>
      <c r="G77" s="212"/>
      <c r="H77" s="212"/>
      <c r="I77" s="213"/>
    </row>
    <row r="78" spans="1:9" ht="7.5" customHeight="1">
      <c r="A78" s="4"/>
      <c r="B78" s="4"/>
      <c r="C78" s="4"/>
      <c r="D78" s="4"/>
      <c r="E78" s="4"/>
      <c r="F78" s="4"/>
      <c r="G78" s="4"/>
      <c r="H78" s="4"/>
      <c r="I78" s="4"/>
    </row>
    <row r="79" spans="1:9" ht="18.75" customHeight="1">
      <c r="A79" s="1" t="s">
        <v>11</v>
      </c>
      <c r="B79" s="1" t="s">
        <v>40</v>
      </c>
    </row>
    <row r="80" spans="1:9" ht="18.75" customHeight="1">
      <c r="A80" s="1"/>
      <c r="B80" s="205" t="s">
        <v>143</v>
      </c>
      <c r="C80" s="206"/>
      <c r="D80" s="206"/>
      <c r="E80" s="206"/>
      <c r="F80" s="206"/>
      <c r="G80" s="206"/>
      <c r="H80" s="206"/>
      <c r="I80" s="214"/>
    </row>
    <row r="81" spans="1:9" ht="18.75" customHeight="1">
      <c r="A81" s="1"/>
      <c r="B81" s="215"/>
      <c r="C81" s="216"/>
      <c r="D81" s="216"/>
      <c r="E81" s="216"/>
      <c r="F81" s="216"/>
      <c r="G81" s="216"/>
      <c r="H81" s="216"/>
      <c r="I81" s="217"/>
    </row>
    <row r="82" spans="1:9" ht="18.75" customHeight="1">
      <c r="A82" s="1"/>
      <c r="B82" s="215"/>
      <c r="C82" s="216"/>
      <c r="D82" s="216"/>
      <c r="E82" s="216"/>
      <c r="F82" s="216"/>
      <c r="G82" s="216"/>
      <c r="H82" s="216"/>
      <c r="I82" s="217"/>
    </row>
    <row r="83" spans="1:9" ht="18.75" customHeight="1">
      <c r="A83" s="1"/>
      <c r="B83" s="215"/>
      <c r="C83" s="216"/>
      <c r="D83" s="216"/>
      <c r="E83" s="216"/>
      <c r="F83" s="216"/>
      <c r="G83" s="216"/>
      <c r="H83" s="216"/>
      <c r="I83" s="217"/>
    </row>
    <row r="84" spans="1:9" ht="18.75" customHeight="1">
      <c r="A84" s="1"/>
      <c r="B84" s="215"/>
      <c r="C84" s="216"/>
      <c r="D84" s="216"/>
      <c r="E84" s="216"/>
      <c r="F84" s="216"/>
      <c r="G84" s="216"/>
      <c r="H84" s="216"/>
      <c r="I84" s="217"/>
    </row>
    <row r="85" spans="1:9" ht="18.75" customHeight="1">
      <c r="A85" s="1"/>
      <c r="B85" s="215"/>
      <c r="C85" s="216"/>
      <c r="D85" s="216"/>
      <c r="E85" s="216"/>
      <c r="F85" s="216"/>
      <c r="G85" s="216"/>
      <c r="H85" s="216"/>
      <c r="I85" s="217"/>
    </row>
    <row r="86" spans="1:9" ht="18.75" customHeight="1">
      <c r="A86" s="1"/>
      <c r="B86" s="215"/>
      <c r="C86" s="216"/>
      <c r="D86" s="216"/>
      <c r="E86" s="216"/>
      <c r="F86" s="216"/>
      <c r="G86" s="216"/>
      <c r="H86" s="216"/>
      <c r="I86" s="217"/>
    </row>
    <row r="87" spans="1:9" ht="18.75" customHeight="1">
      <c r="A87" s="1"/>
      <c r="B87" s="215"/>
      <c r="C87" s="216"/>
      <c r="D87" s="216"/>
      <c r="E87" s="216"/>
      <c r="F87" s="216"/>
      <c r="G87" s="216"/>
      <c r="H87" s="216"/>
      <c r="I87" s="217"/>
    </row>
    <row r="88" spans="1:9" ht="18.75" customHeight="1">
      <c r="A88" s="1"/>
      <c r="B88" s="215"/>
      <c r="C88" s="216"/>
      <c r="D88" s="216"/>
      <c r="E88" s="216"/>
      <c r="F88" s="216"/>
      <c r="G88" s="216"/>
      <c r="H88" s="216"/>
      <c r="I88" s="217"/>
    </row>
    <row r="89" spans="1:9" ht="18.75" customHeight="1">
      <c r="A89" s="1"/>
      <c r="B89" s="215"/>
      <c r="C89" s="216"/>
      <c r="D89" s="216"/>
      <c r="E89" s="216"/>
      <c r="F89" s="216"/>
      <c r="G89" s="216"/>
      <c r="H89" s="216"/>
      <c r="I89" s="217"/>
    </row>
    <row r="90" spans="1:9" ht="18.75" customHeight="1">
      <c r="A90" s="4"/>
      <c r="B90" s="215"/>
      <c r="C90" s="216"/>
      <c r="D90" s="216"/>
      <c r="E90" s="216"/>
      <c r="F90" s="216"/>
      <c r="G90" s="216"/>
      <c r="H90" s="216"/>
      <c r="I90" s="217"/>
    </row>
    <row r="91" spans="1:9" ht="18.75" customHeight="1">
      <c r="A91" s="4"/>
      <c r="B91" s="218"/>
      <c r="C91" s="219"/>
      <c r="D91" s="219"/>
      <c r="E91" s="219"/>
      <c r="F91" s="219"/>
      <c r="G91" s="219"/>
      <c r="H91" s="219"/>
      <c r="I91" s="220"/>
    </row>
    <row r="92" spans="1:9" ht="7.5" customHeight="1">
      <c r="A92" s="4"/>
      <c r="B92" s="4"/>
      <c r="C92" s="4"/>
      <c r="D92" s="4"/>
      <c r="E92" s="4"/>
      <c r="F92" s="4"/>
      <c r="G92" s="4"/>
      <c r="H92" s="4"/>
      <c r="I92" s="4"/>
    </row>
    <row r="93" spans="1:9" ht="18.75" customHeight="1">
      <c r="A93" s="1" t="s">
        <v>43</v>
      </c>
      <c r="B93" s="1" t="s">
        <v>12</v>
      </c>
    </row>
    <row r="94" spans="1:9" ht="18.75" customHeight="1">
      <c r="A94" s="1"/>
      <c r="B94" s="180" t="s">
        <v>144</v>
      </c>
      <c r="C94" s="181"/>
      <c r="D94" s="181"/>
      <c r="E94" s="181"/>
      <c r="F94" s="181"/>
      <c r="G94" s="181"/>
      <c r="H94" s="181"/>
      <c r="I94" s="182"/>
    </row>
    <row r="95" spans="1:9" ht="18.75" customHeight="1">
      <c r="A95" s="1"/>
      <c r="B95" s="183"/>
      <c r="C95" s="184"/>
      <c r="D95" s="184"/>
      <c r="E95" s="184"/>
      <c r="F95" s="184"/>
      <c r="G95" s="184"/>
      <c r="H95" s="184"/>
      <c r="I95" s="185"/>
    </row>
    <row r="96" spans="1:9" ht="18.75" customHeight="1">
      <c r="A96" s="1"/>
      <c r="B96" s="183"/>
      <c r="C96" s="184"/>
      <c r="D96" s="184"/>
      <c r="E96" s="184"/>
      <c r="F96" s="184"/>
      <c r="G96" s="184"/>
      <c r="H96" s="184"/>
      <c r="I96" s="185"/>
    </row>
    <row r="97" spans="1:9" ht="18.75" customHeight="1">
      <c r="A97" s="1"/>
      <c r="B97" s="183"/>
      <c r="C97" s="184"/>
      <c r="D97" s="184"/>
      <c r="E97" s="184"/>
      <c r="F97" s="184"/>
      <c r="G97" s="184"/>
      <c r="H97" s="184"/>
      <c r="I97" s="185"/>
    </row>
    <row r="98" spans="1:9" ht="18.75" customHeight="1">
      <c r="A98" s="1"/>
      <c r="B98" s="183"/>
      <c r="C98" s="184"/>
      <c r="D98" s="184"/>
      <c r="E98" s="184"/>
      <c r="F98" s="184"/>
      <c r="G98" s="184"/>
      <c r="H98" s="184"/>
      <c r="I98" s="185"/>
    </row>
    <row r="99" spans="1:9" ht="18.75" customHeight="1">
      <c r="A99" s="1"/>
      <c r="B99" s="183"/>
      <c r="C99" s="184"/>
      <c r="D99" s="184"/>
      <c r="E99" s="184"/>
      <c r="F99" s="184"/>
      <c r="G99" s="184"/>
      <c r="H99" s="184"/>
      <c r="I99" s="185"/>
    </row>
    <row r="100" spans="1:9" ht="18.75" customHeight="1">
      <c r="A100" s="1"/>
      <c r="B100" s="183"/>
      <c r="C100" s="184"/>
      <c r="D100" s="184"/>
      <c r="E100" s="184"/>
      <c r="F100" s="184"/>
      <c r="G100" s="184"/>
      <c r="H100" s="184"/>
      <c r="I100" s="185"/>
    </row>
    <row r="101" spans="1:9" ht="18.75" customHeight="1">
      <c r="A101" s="1"/>
      <c r="B101" s="183"/>
      <c r="C101" s="184"/>
      <c r="D101" s="184"/>
      <c r="E101" s="184"/>
      <c r="F101" s="184"/>
      <c r="G101" s="184"/>
      <c r="H101" s="184"/>
      <c r="I101" s="185"/>
    </row>
    <row r="102" spans="1:9" ht="18.75" customHeight="1">
      <c r="A102" s="1"/>
      <c r="B102" s="183"/>
      <c r="C102" s="184"/>
      <c r="D102" s="184"/>
      <c r="E102" s="184"/>
      <c r="F102" s="184"/>
      <c r="G102" s="184"/>
      <c r="H102" s="184"/>
      <c r="I102" s="185"/>
    </row>
    <row r="103" spans="1:9" ht="18.75" customHeight="1">
      <c r="A103" s="1"/>
      <c r="B103" s="183"/>
      <c r="C103" s="184"/>
      <c r="D103" s="184"/>
      <c r="E103" s="184"/>
      <c r="F103" s="184"/>
      <c r="G103" s="184"/>
      <c r="H103" s="184"/>
      <c r="I103" s="185"/>
    </row>
    <row r="104" spans="1:9" ht="18.75" customHeight="1">
      <c r="A104" s="1"/>
      <c r="B104" s="183"/>
      <c r="C104" s="184"/>
      <c r="D104" s="184"/>
      <c r="E104" s="184"/>
      <c r="F104" s="184"/>
      <c r="G104" s="184"/>
      <c r="H104" s="184"/>
      <c r="I104" s="185"/>
    </row>
    <row r="105" spans="1:9" ht="18.75" customHeight="1">
      <c r="A105" s="4"/>
      <c r="B105" s="186"/>
      <c r="C105" s="187"/>
      <c r="D105" s="187"/>
      <c r="E105" s="187"/>
      <c r="F105" s="187"/>
      <c r="G105" s="187"/>
      <c r="H105" s="187"/>
      <c r="I105" s="188"/>
    </row>
    <row r="106" spans="1:9" ht="7.5" customHeight="1">
      <c r="A106" s="4"/>
      <c r="B106" s="4"/>
      <c r="C106" s="4"/>
      <c r="D106" s="4"/>
      <c r="E106" s="4"/>
      <c r="F106" s="4"/>
      <c r="G106" s="4"/>
      <c r="H106" s="4"/>
      <c r="I106" s="4"/>
    </row>
    <row r="107" spans="1:9" ht="18.75" customHeight="1">
      <c r="A107" s="1" t="s">
        <v>29</v>
      </c>
      <c r="B107" s="189" t="s">
        <v>45</v>
      </c>
      <c r="C107" s="189"/>
      <c r="D107" s="189"/>
      <c r="E107" s="189"/>
      <c r="F107" s="189"/>
      <c r="G107" s="189"/>
      <c r="H107" s="189"/>
      <c r="I107" s="189"/>
    </row>
    <row r="108" spans="1:9" ht="18.75" customHeight="1">
      <c r="A108" s="4"/>
      <c r="B108" s="180" t="s">
        <v>151</v>
      </c>
      <c r="C108" s="181"/>
      <c r="D108" s="181"/>
      <c r="E108" s="181"/>
      <c r="F108" s="181"/>
      <c r="G108" s="181"/>
      <c r="H108" s="181"/>
      <c r="I108" s="182"/>
    </row>
    <row r="109" spans="1:9" ht="18.75" customHeight="1">
      <c r="A109" s="4"/>
      <c r="B109" s="183"/>
      <c r="C109" s="184"/>
      <c r="D109" s="184"/>
      <c r="E109" s="184"/>
      <c r="F109" s="184"/>
      <c r="G109" s="184"/>
      <c r="H109" s="184"/>
      <c r="I109" s="185"/>
    </row>
    <row r="110" spans="1:9" ht="18.75" customHeight="1">
      <c r="A110" s="4"/>
      <c r="B110" s="183"/>
      <c r="C110" s="184"/>
      <c r="D110" s="184"/>
      <c r="E110" s="184"/>
      <c r="F110" s="184"/>
      <c r="G110" s="184"/>
      <c r="H110" s="184"/>
      <c r="I110" s="185"/>
    </row>
    <row r="111" spans="1:9" ht="18.75" customHeight="1">
      <c r="A111" s="4"/>
      <c r="B111" s="183"/>
      <c r="C111" s="184"/>
      <c r="D111" s="184"/>
      <c r="E111" s="184"/>
      <c r="F111" s="184"/>
      <c r="G111" s="184"/>
      <c r="H111" s="184"/>
      <c r="I111" s="185"/>
    </row>
    <row r="112" spans="1:9" ht="18.75" customHeight="1">
      <c r="A112" s="4"/>
      <c r="B112" s="183"/>
      <c r="C112" s="184"/>
      <c r="D112" s="184"/>
      <c r="E112" s="184"/>
      <c r="F112" s="184"/>
      <c r="G112" s="184"/>
      <c r="H112" s="184"/>
      <c r="I112" s="185"/>
    </row>
    <row r="113" spans="1:9" ht="18.75" customHeight="1">
      <c r="A113" s="4"/>
      <c r="B113" s="183"/>
      <c r="C113" s="184"/>
      <c r="D113" s="184"/>
      <c r="E113" s="184"/>
      <c r="F113" s="184"/>
      <c r="G113" s="184"/>
      <c r="H113" s="184"/>
      <c r="I113" s="185"/>
    </row>
    <row r="114" spans="1:9" ht="18.75" customHeight="1">
      <c r="A114" s="4"/>
      <c r="B114" s="183"/>
      <c r="C114" s="184"/>
      <c r="D114" s="184"/>
      <c r="E114" s="184"/>
      <c r="F114" s="184"/>
      <c r="G114" s="184"/>
      <c r="H114" s="184"/>
      <c r="I114" s="185"/>
    </row>
    <row r="115" spans="1:9" ht="18.75" customHeight="1">
      <c r="A115" s="4"/>
      <c r="B115" s="183"/>
      <c r="C115" s="184"/>
      <c r="D115" s="184"/>
      <c r="E115" s="184"/>
      <c r="F115" s="184"/>
      <c r="G115" s="184"/>
      <c r="H115" s="184"/>
      <c r="I115" s="185"/>
    </row>
    <row r="116" spans="1:9" ht="18.75" customHeight="1">
      <c r="A116" s="4"/>
      <c r="B116" s="183"/>
      <c r="C116" s="184"/>
      <c r="D116" s="184"/>
      <c r="E116" s="184"/>
      <c r="F116" s="184"/>
      <c r="G116" s="184"/>
      <c r="H116" s="184"/>
      <c r="I116" s="185"/>
    </row>
    <row r="117" spans="1:9" ht="18.75" customHeight="1">
      <c r="A117" s="4"/>
      <c r="B117" s="183"/>
      <c r="C117" s="184"/>
      <c r="D117" s="184"/>
      <c r="E117" s="184"/>
      <c r="F117" s="184"/>
      <c r="G117" s="184"/>
      <c r="H117" s="184"/>
      <c r="I117" s="185"/>
    </row>
    <row r="118" spans="1:9" ht="18.75" customHeight="1">
      <c r="A118" s="4"/>
      <c r="B118" s="183"/>
      <c r="C118" s="184"/>
      <c r="D118" s="184"/>
      <c r="E118" s="184"/>
      <c r="F118" s="184"/>
      <c r="G118" s="184"/>
      <c r="H118" s="184"/>
      <c r="I118" s="185"/>
    </row>
    <row r="119" spans="1:9" ht="18.75" customHeight="1">
      <c r="A119" s="4"/>
      <c r="B119" s="186"/>
      <c r="C119" s="187"/>
      <c r="D119" s="187"/>
      <c r="E119" s="187"/>
      <c r="F119" s="187"/>
      <c r="G119" s="187"/>
      <c r="H119" s="187"/>
      <c r="I119" s="188"/>
    </row>
    <row r="120" spans="1:9" ht="7.5" customHeight="1">
      <c r="A120" s="4"/>
      <c r="B120" s="48"/>
      <c r="C120" s="48"/>
      <c r="D120" s="48"/>
      <c r="E120" s="48"/>
      <c r="F120" s="48"/>
      <c r="G120" s="48"/>
      <c r="H120" s="48"/>
      <c r="I120" s="48"/>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5">
      <c r="A133" s="4"/>
      <c r="B133" s="4"/>
      <c r="C133" s="4"/>
      <c r="D133" s="4"/>
      <c r="E133" s="4"/>
      <c r="F133" s="4"/>
      <c r="G133" s="4"/>
      <c r="H133" s="4"/>
      <c r="I133" s="4"/>
    </row>
    <row r="134" spans="1:9" ht="7.5" customHeight="1">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9" sqref="E19:I19"/>
    </sheetView>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70</v>
      </c>
      <c r="I1" s="35" t="s">
        <v>104</v>
      </c>
    </row>
    <row r="2" spans="1:9" ht="18.75" customHeight="1">
      <c r="H2" s="35" t="s">
        <v>108</v>
      </c>
      <c r="I2" s="34" t="s">
        <v>128</v>
      </c>
    </row>
    <row r="3" spans="1:9" ht="18.75" customHeight="1">
      <c r="A3" s="102" t="s">
        <v>27</v>
      </c>
      <c r="B3" s="102"/>
      <c r="C3" s="102"/>
      <c r="D3" s="102"/>
      <c r="E3" s="102"/>
      <c r="F3" s="102"/>
      <c r="G3" s="102"/>
      <c r="H3" s="102"/>
      <c r="I3" s="102"/>
    </row>
    <row r="4" spans="1:9" ht="18.75" customHeight="1">
      <c r="A4" s="5"/>
      <c r="B4" s="5"/>
      <c r="C4" s="5"/>
      <c r="D4" s="5"/>
      <c r="E4" s="5"/>
      <c r="F4" s="5"/>
      <c r="G4" s="5"/>
      <c r="H4" s="5"/>
      <c r="I4" s="5"/>
    </row>
    <row r="5" spans="1:9" ht="18.75" customHeight="1">
      <c r="A5" s="1" t="s">
        <v>0</v>
      </c>
      <c r="B5" s="10" t="s">
        <v>94</v>
      </c>
      <c r="C5" s="5"/>
      <c r="D5" s="5"/>
      <c r="E5" s="5"/>
      <c r="F5" s="5"/>
      <c r="G5" s="5"/>
      <c r="H5" s="5"/>
      <c r="I5" s="5"/>
    </row>
    <row r="6" spans="1:9" ht="26.25" customHeight="1">
      <c r="A6" s="5"/>
      <c r="B6" s="198" t="s">
        <v>150</v>
      </c>
      <c r="C6" s="238"/>
      <c r="D6" s="238"/>
      <c r="E6" s="238"/>
      <c r="F6" s="238"/>
      <c r="G6" s="238"/>
      <c r="H6" s="239"/>
      <c r="I6" s="3"/>
    </row>
    <row r="7" spans="1:9" ht="9" customHeight="1">
      <c r="A7" s="5"/>
      <c r="B7" s="10"/>
      <c r="C7" s="10"/>
      <c r="D7" s="10"/>
      <c r="E7" s="10"/>
      <c r="F7" s="10"/>
      <c r="G7" s="10"/>
      <c r="H7" s="10"/>
      <c r="I7" s="3"/>
    </row>
    <row r="8" spans="1:9" ht="18.75" customHeight="1">
      <c r="A8" s="5"/>
      <c r="B8" s="3"/>
      <c r="C8" s="3"/>
      <c r="D8" s="35" t="s">
        <v>42</v>
      </c>
      <c r="E8" s="36" t="s">
        <v>148</v>
      </c>
      <c r="F8" s="3"/>
      <c r="G8" s="35" t="s">
        <v>10</v>
      </c>
      <c r="H8" s="36" t="s">
        <v>149</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91" t="s">
        <v>23</v>
      </c>
      <c r="C11" s="97"/>
      <c r="D11" s="92"/>
      <c r="E11" s="97" t="s">
        <v>25</v>
      </c>
      <c r="F11" s="97"/>
      <c r="G11" s="97"/>
      <c r="H11" s="97"/>
      <c r="I11" s="92"/>
    </row>
    <row r="12" spans="1:9" ht="26.25" customHeight="1">
      <c r="B12" s="50" t="s">
        <v>13</v>
      </c>
      <c r="C12" s="57"/>
      <c r="D12" s="51"/>
      <c r="E12" s="58"/>
      <c r="F12" s="58"/>
      <c r="G12" s="58"/>
      <c r="H12" s="58"/>
      <c r="I12" s="51"/>
    </row>
    <row r="13" spans="1:9" ht="210.75" customHeight="1">
      <c r="B13" s="52"/>
      <c r="C13" s="236" t="s">
        <v>14</v>
      </c>
      <c r="D13" s="237"/>
      <c r="E13" s="233" t="s">
        <v>140</v>
      </c>
      <c r="F13" s="234"/>
      <c r="G13" s="234"/>
      <c r="H13" s="234"/>
      <c r="I13" s="235"/>
    </row>
    <row r="14" spans="1:9" ht="210.75" customHeight="1">
      <c r="B14" s="52"/>
      <c r="C14" s="231" t="s">
        <v>15</v>
      </c>
      <c r="D14" s="232"/>
      <c r="E14" s="233" t="s">
        <v>126</v>
      </c>
      <c r="F14" s="234"/>
      <c r="G14" s="234"/>
      <c r="H14" s="234"/>
      <c r="I14" s="235"/>
    </row>
    <row r="15" spans="1:9" ht="210.75" customHeight="1">
      <c r="B15" s="52"/>
      <c r="C15" s="236" t="s">
        <v>16</v>
      </c>
      <c r="D15" s="237"/>
      <c r="E15" s="233" t="s">
        <v>127</v>
      </c>
      <c r="F15" s="234"/>
      <c r="G15" s="234"/>
      <c r="H15" s="234"/>
      <c r="I15" s="235"/>
    </row>
    <row r="16" spans="1:9" ht="210.75" customHeight="1">
      <c r="B16" s="52"/>
      <c r="C16" s="236" t="s">
        <v>17</v>
      </c>
      <c r="D16" s="237"/>
      <c r="E16" s="233" t="s">
        <v>152</v>
      </c>
      <c r="F16" s="234"/>
      <c r="G16" s="234"/>
      <c r="H16" s="234"/>
      <c r="I16" s="235"/>
    </row>
    <row r="17" spans="2:9" ht="210.75" customHeight="1">
      <c r="B17" s="53"/>
      <c r="C17" s="240" t="s">
        <v>18</v>
      </c>
      <c r="D17" s="241"/>
      <c r="E17" s="242" t="s">
        <v>153</v>
      </c>
      <c r="F17" s="243"/>
      <c r="G17" s="243"/>
      <c r="H17" s="243"/>
      <c r="I17" s="244"/>
    </row>
    <row r="18" spans="2:9" ht="24" customHeight="1">
      <c r="B18" s="50" t="s">
        <v>19</v>
      </c>
      <c r="C18" s="54"/>
      <c r="D18" s="55"/>
      <c r="E18" s="56"/>
      <c r="F18" s="56"/>
      <c r="G18" s="56"/>
      <c r="H18" s="56"/>
      <c r="I18" s="59"/>
    </row>
    <row r="19" spans="2:9" ht="218.25" customHeight="1">
      <c r="B19" s="52"/>
      <c r="C19" s="236" t="s">
        <v>20</v>
      </c>
      <c r="D19" s="237"/>
      <c r="E19" s="234" t="s">
        <v>163</v>
      </c>
      <c r="F19" s="234"/>
      <c r="G19" s="234"/>
      <c r="H19" s="234"/>
      <c r="I19" s="235"/>
    </row>
    <row r="20" spans="2:9" ht="218.25" customHeight="1">
      <c r="B20" s="53"/>
      <c r="C20" s="240" t="s">
        <v>21</v>
      </c>
      <c r="D20" s="241"/>
      <c r="E20" s="243" t="s">
        <v>160</v>
      </c>
      <c r="F20" s="243"/>
      <c r="G20" s="243"/>
      <c r="H20" s="243"/>
      <c r="I20" s="244"/>
    </row>
    <row r="21" spans="2:9" ht="218.25" customHeight="1">
      <c r="B21" s="250" t="s">
        <v>22</v>
      </c>
      <c r="C21" s="251"/>
      <c r="D21" s="252"/>
      <c r="E21" s="253" t="s">
        <v>162</v>
      </c>
      <c r="F21" s="253"/>
      <c r="G21" s="253"/>
      <c r="H21" s="253"/>
      <c r="I21" s="254"/>
    </row>
    <row r="22" spans="2:9" ht="218.25" customHeight="1">
      <c r="B22" s="245" t="s">
        <v>37</v>
      </c>
      <c r="C22" s="246"/>
      <c r="D22" s="247"/>
      <c r="E22" s="248" t="s">
        <v>154</v>
      </c>
      <c r="F22" s="248"/>
      <c r="G22" s="248"/>
      <c r="H22" s="248"/>
      <c r="I22" s="24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様式１ー1　プログラムを構成する授業科目</vt:lpstr>
      <vt:lpstr>様式１ー2　プログラムを構成する授業科目</vt:lpstr>
      <vt:lpstr>様式２ 履修者等数の実績</vt:lpstr>
      <vt:lpstr>様式３ 教育の質・履修者数を向上させるための体制・計画</vt:lpstr>
      <vt:lpstr>様式４　自己点検・評価</vt:lpstr>
      <vt:lpstr>'様式１ー1　プログラムを構成する授業科目'!Print_Area</vt:lpstr>
      <vt:lpstr>'様式１ー2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SeiSuzuki</cp:lastModifiedBy>
  <cp:lastPrinted>2023-07-11T04:51:53Z</cp:lastPrinted>
  <dcterms:created xsi:type="dcterms:W3CDTF">2011-06-14T05:32:50Z</dcterms:created>
  <dcterms:modified xsi:type="dcterms:W3CDTF">2023-07-11T06:02:38Z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