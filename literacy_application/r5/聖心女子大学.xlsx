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fs01.seisin.u-sacred-heart.ac.jp\教務課\20_授業関連\85_教務課管轄の授業\20_ＡＩ・データサイエンス基礎\文科省への申請\申請書類\0714修正版\"/>
    </mc:Choice>
  </mc:AlternateContent>
  <xr:revisionPtr revIDLastSave="0" documentId="13_ncr:1_{CE5496E6-4A82-4EA0-B47D-0BDB19827D2B}" xr6:coauthVersionLast="36" xr6:coauthVersionMax="36" xr10:uidLastSave="{00000000-0000-0000-0000-000000000000}"/>
  <bookViews>
    <workbookView xWindow="0" yWindow="0" windowWidth="23040" windowHeight="752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 sheetId="43"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 '!$A$1:$I$22</definedName>
    <definedName name="_xlnm.Print_Titles" localSheetId="3">'様式４　自己点検・評価 '!$11:$11</definedName>
  </definedNames>
  <calcPr calcId="191029"/>
</workbook>
</file>

<file path=xl/calcChain.xml><?xml version="1.0" encoding="utf-8"?>
<calcChain xmlns="http://schemas.openxmlformats.org/spreadsheetml/2006/main">
  <c r="I2" i="43"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<sst xmlns="http://schemas.openxmlformats.org/spreadsheetml/2006/main" count="306" uniqueCount="180">
  <si>
    <t>①</t>
    <phoneticPr fontId="1"/>
  </si>
  <si>
    <t>人</t>
    <rPh sb="0" eb="1">
      <t>ニン</t>
    </rPh>
    <phoneticPr fontId="1"/>
  </si>
  <si>
    <t>（非常勤）</t>
    <rPh sb="1" eb="4">
      <t>ヒジョウキン</t>
    </rPh>
    <phoneticPr fontId="1"/>
  </si>
  <si>
    <t>②</t>
    <phoneticPr fontId="1"/>
  </si>
  <si>
    <t>③</t>
    <phoneticPr fontId="1"/>
  </si>
  <si>
    <t>⑤</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</si>
  <si>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</si>
  <si>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</si>
  <si>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</si>
  <si>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</si>
  <si>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</si>
  <si>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</si>
  <si>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</si>
  <si>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</si>
  <si>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</si>
  <si>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</si>
  <si>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</si>
  <si>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</si>
  <si>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</si>
  <si>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</si>
  <si>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</si>
  <si>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</si>
  <si>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</si>
  <si>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</si>
  <si>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</si>
  <si>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</si>
  <si>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</si>
  <si>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</si>
  <si>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</si>
  <si>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</si>
  <si>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</si>
  <si>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</si>
  <si>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</si>
  <si>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</si>
  <si>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</si>
  <si>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</si>
  <si>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</si>
  <si>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</si>
  <si>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</si>
  <si>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</si>
  <si>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</si>
  <si>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</si>
  <si>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</si>
  <si>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</si>
  <si>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</si>
  <si>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</si>
  <si>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</si>
  <si>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</si>
  <si>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</si>
  <si>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</si>
  <si>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</si>
  <si>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</si>
  <si>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</si>
  <si>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</si>
  <si>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</si>
  <si>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</si>
  <si>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</si>
  <si>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</si>
  <si>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</si>
  <si>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</si>
  <si>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</si>
  <si>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</si>
  <si>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</si>
  <si>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</si>
  <si>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</si>
  <si>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</si>
  <si>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</si>
  <si>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</si>
  <si>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</si>
  <si>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</si>
  <si>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</si>
  <si>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</si>
  <si>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</si>
  <si>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</si>
  <si>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</si>
  <si>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</si>
  <si>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</si>
  <si>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</si>
  <si>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</si>
  <si>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</si>
  <si>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</si>
  <si>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</si>
  <si>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</si>
  <si>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</si>
  <si>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</si>
  <si>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</si>
  <si>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</si>
  <si>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</si>
  <si>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</si>
  <si>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</si>
  <si>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</si>
  <si>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</si>
  <si>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</si>
  <si>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</si>
  <si>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</si>
  <si>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</si>
  <si>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</si>
  <si>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</si>
  <si>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</si>
  <si>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</si>
  <si>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</si>
  <si>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</si>
  <si>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</si>
  <si>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</si>
  <si>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</si>
  <si>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</si>
  <si>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</si>
  <si>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</si>
  <si>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</si>
  <si>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</si>
  <si>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</si>
  <si>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</si>
  <si>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</si>
  <si>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</si>
  <si>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</si>
  <si>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</si>
  <si>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</si>
  <si>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</si>
  <si>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</si>
  <si>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</si>
  <si>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</si>
  <si>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</si>
  <si>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</si>
  <si>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</si>
  <si>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</si>
  <si>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</si>
  <si>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聖心女子大学</t>
    <rPh sb="0" eb="2">
      <t>セイシン</t>
    </rPh>
    <rPh sb="2" eb="6">
      <t>ジョシダイガク</t>
    </rPh>
    <phoneticPr fontId="1"/>
  </si>
  <si>
    <t>学部・学科によって、修了要件は相違しない</t>
  </si>
  <si>
    <t xml:space="preserve">ｆｗんｓi </t>
    <phoneticPr fontId="1"/>
  </si>
  <si>
    <t>AI・データサイエンス基礎</t>
    <rPh sb="11" eb="13">
      <t>キソ</t>
    </rPh>
    <phoneticPr fontId="1"/>
  </si>
  <si>
    <t>○</t>
  </si>
  <si>
    <t>「AI・データサイエンス基礎」２単位の修得をプログラム修了要件とする。</t>
    <rPh sb="12" eb="14">
      <t>キソ</t>
    </rPh>
    <rPh sb="16" eb="18">
      <t>タンイ</t>
    </rPh>
    <rPh sb="19" eb="21">
      <t>シュウトク</t>
    </rPh>
    <rPh sb="27" eb="29">
      <t>シュウリョウ</t>
    </rPh>
    <rPh sb="29" eb="31">
      <t>ヨウケン</t>
    </rPh>
    <phoneticPr fontId="1"/>
  </si>
  <si>
    <t>令和４</t>
    <rPh sb="0" eb="2">
      <t>レイワ</t>
    </rPh>
    <phoneticPr fontId="1"/>
  </si>
  <si>
    <t>基礎課程</t>
    <rPh sb="0" eb="2">
      <t>キソ</t>
    </rPh>
    <rPh sb="2" eb="4">
      <t>カテイ</t>
    </rPh>
    <phoneticPr fontId="1"/>
  </si>
  <si>
    <t>英語文化コミュニケーション学科</t>
    <rPh sb="0" eb="2">
      <t>エイゴ</t>
    </rPh>
    <rPh sb="2" eb="4">
      <t>ブンカ</t>
    </rPh>
    <rPh sb="13" eb="15">
      <t>ガッカ</t>
    </rPh>
    <phoneticPr fontId="1"/>
  </si>
  <si>
    <t>日本語日本文学科</t>
    <rPh sb="0" eb="3">
      <t>ニホンゴ</t>
    </rPh>
    <rPh sb="3" eb="5">
      <t>ニホン</t>
    </rPh>
    <rPh sb="5" eb="8">
      <t>ブンガッカ</t>
    </rPh>
    <phoneticPr fontId="1"/>
  </si>
  <si>
    <t>史学科</t>
    <rPh sb="0" eb="3">
      <t>シガクカ</t>
    </rPh>
    <phoneticPr fontId="1"/>
  </si>
  <si>
    <t>人間関係学科</t>
    <rPh sb="0" eb="2">
      <t>ニンゲン</t>
    </rPh>
    <rPh sb="2" eb="4">
      <t>カンケイ</t>
    </rPh>
    <rPh sb="4" eb="6">
      <t>ガッカ</t>
    </rPh>
    <phoneticPr fontId="1"/>
  </si>
  <si>
    <t>国際交流学科</t>
    <rPh sb="0" eb="2">
      <t>コクサイ</t>
    </rPh>
    <rPh sb="2" eb="4">
      <t>コウリュウ</t>
    </rPh>
    <rPh sb="4" eb="6">
      <t>ガッカ</t>
    </rPh>
    <phoneticPr fontId="1"/>
  </si>
  <si>
    <t>哲学科</t>
    <rPh sb="0" eb="3">
      <t>テツガクカ</t>
    </rPh>
    <phoneticPr fontId="1"/>
  </si>
  <si>
    <t>教育学科初等教育学専攻</t>
    <rPh sb="0" eb="4">
      <t>キョウイクガッカ</t>
    </rPh>
    <rPh sb="4" eb="6">
      <t>ショトウ</t>
    </rPh>
    <rPh sb="6" eb="9">
      <t>キョウイクガク</t>
    </rPh>
    <rPh sb="9" eb="11">
      <t>センコウ</t>
    </rPh>
    <phoneticPr fontId="1"/>
  </si>
  <si>
    <t>教育学科教育学専攻</t>
    <rPh sb="0" eb="4">
      <t>キョウイクガッカ</t>
    </rPh>
    <rPh sb="4" eb="7">
      <t>キョウイクガク</t>
    </rPh>
    <rPh sb="7" eb="9">
      <t>センコウ</t>
    </rPh>
    <phoneticPr fontId="1"/>
  </si>
  <si>
    <t>心理学科</t>
    <rPh sb="0" eb="2">
      <t>シンリ</t>
    </rPh>
    <rPh sb="2" eb="4">
      <t>ガッカ</t>
    </rPh>
    <phoneticPr fontId="1"/>
  </si>
  <si>
    <t>学長</t>
    <rPh sb="0" eb="2">
      <t>ガクチョウ</t>
    </rPh>
    <phoneticPr fontId="1"/>
  </si>
  <si>
    <t>教務委員会</t>
    <rPh sb="0" eb="2">
      <t>キョウム</t>
    </rPh>
    <rPh sb="2" eb="5">
      <t>イインカイ</t>
    </rPh>
    <phoneticPr fontId="1"/>
  </si>
  <si>
    <t>副学長</t>
    <rPh sb="0" eb="3">
      <t>フクガクチョウ</t>
    </rPh>
    <phoneticPr fontId="1"/>
  </si>
  <si>
    <t>聖心女子大学教授会に基づく委員会規程</t>
    <rPh sb="0" eb="2">
      <t>セイシン</t>
    </rPh>
    <rPh sb="2" eb="4">
      <t>ジョシ</t>
    </rPh>
    <rPh sb="4" eb="6">
      <t>ダイガク</t>
    </rPh>
    <rPh sb="6" eb="9">
      <t>キョウジュカイ</t>
    </rPh>
    <rPh sb="10" eb="11">
      <t>モト</t>
    </rPh>
    <rPh sb="13" eb="16">
      <t>イインカイ</t>
    </rPh>
    <rPh sb="16" eb="18">
      <t>キテイ</t>
    </rPh>
    <phoneticPr fontId="1"/>
  </si>
  <si>
    <t>聖心女子大学教授会に基づく委員会規程に基づき「教務委員会」を設定している。教務委員会では教育課程(カリキュラム）の編成及び履修に関する事項、教育課程実施の年間計画に関する事項、授業、定期試験及び授業時間割の編成に関する事項、成績評価及び単位認定に関する事項、教員の配置に関する事項などを所管している。特に、本件（AI・データサイエンス基礎）については、全学的リテラシー科目のカリキュラム編成、普及促進、情報リテラシー教育の質保証に向けた検討を行っている。</t>
    <rPh sb="0" eb="2">
      <t>セイシン</t>
    </rPh>
    <rPh sb="2" eb="4">
      <t>ジョシ</t>
    </rPh>
    <rPh sb="4" eb="6">
      <t>ダイガク</t>
    </rPh>
    <rPh sb="6" eb="9">
      <t>キョウジュカイ</t>
    </rPh>
    <rPh sb="10" eb="11">
      <t>モト</t>
    </rPh>
    <rPh sb="13" eb="16">
      <t>イインカイ</t>
    </rPh>
    <rPh sb="16" eb="18">
      <t>キテイ</t>
    </rPh>
    <rPh sb="19" eb="20">
      <t>モト</t>
    </rPh>
    <rPh sb="23" eb="25">
      <t>キョウム</t>
    </rPh>
    <rPh sb="25" eb="28">
      <t>イインカイ</t>
    </rPh>
    <rPh sb="30" eb="32">
      <t>セッテイ</t>
    </rPh>
    <rPh sb="37" eb="42">
      <t>キョウムイインカイ</t>
    </rPh>
    <rPh sb="44" eb="46">
      <t>キョウイク</t>
    </rPh>
    <rPh sb="46" eb="48">
      <t>カテイ</t>
    </rPh>
    <rPh sb="57" eb="59">
      <t>ヘンセイ</t>
    </rPh>
    <rPh sb="59" eb="60">
      <t>オヨ</t>
    </rPh>
    <rPh sb="61" eb="63">
      <t>リシュウ</t>
    </rPh>
    <rPh sb="64" eb="65">
      <t>カン</t>
    </rPh>
    <rPh sb="67" eb="69">
      <t>ジコウ</t>
    </rPh>
    <rPh sb="70" eb="72">
      <t>キョウイク</t>
    </rPh>
    <rPh sb="72" eb="74">
      <t>カテイ</t>
    </rPh>
    <rPh sb="74" eb="76">
      <t>ジッシ</t>
    </rPh>
    <rPh sb="77" eb="79">
      <t>ネンカン</t>
    </rPh>
    <rPh sb="79" eb="81">
      <t>ケイカク</t>
    </rPh>
    <rPh sb="82" eb="83">
      <t>カン</t>
    </rPh>
    <rPh sb="85" eb="87">
      <t>ジコウ</t>
    </rPh>
    <rPh sb="88" eb="90">
      <t>ジュギョウ</t>
    </rPh>
    <rPh sb="91" eb="93">
      <t>テイキ</t>
    </rPh>
    <rPh sb="93" eb="95">
      <t>シケン</t>
    </rPh>
    <rPh sb="95" eb="96">
      <t>オヨ</t>
    </rPh>
    <rPh sb="97" eb="99">
      <t>ジュギョウ</t>
    </rPh>
    <rPh sb="99" eb="102">
      <t>ジカンワリ</t>
    </rPh>
    <rPh sb="103" eb="105">
      <t>ヘンセイ</t>
    </rPh>
    <rPh sb="106" eb="107">
      <t>カン</t>
    </rPh>
    <rPh sb="109" eb="111">
      <t>ジコウ</t>
    </rPh>
    <rPh sb="129" eb="131">
      <t>キョウイン</t>
    </rPh>
    <rPh sb="132" eb="134">
      <t>ハイチ</t>
    </rPh>
    <rPh sb="135" eb="136">
      <t>カン</t>
    </rPh>
    <rPh sb="138" eb="140">
      <t>ジコウ</t>
    </rPh>
    <rPh sb="143" eb="145">
      <t>ショカン</t>
    </rPh>
    <rPh sb="150" eb="151">
      <t>トク</t>
    </rPh>
    <rPh sb="153" eb="155">
      <t>ホンケン</t>
    </rPh>
    <rPh sb="167" eb="169">
      <t>キソ</t>
    </rPh>
    <rPh sb="176" eb="178">
      <t>ゼンガク</t>
    </rPh>
    <rPh sb="178" eb="179">
      <t>テキ</t>
    </rPh>
    <rPh sb="184" eb="186">
      <t>カモク</t>
    </rPh>
    <rPh sb="193" eb="195">
      <t>ヘンセイ</t>
    </rPh>
    <rPh sb="196" eb="198">
      <t>フキュウ</t>
    </rPh>
    <rPh sb="198" eb="200">
      <t>ソクシン</t>
    </rPh>
    <rPh sb="201" eb="203">
      <t>ジョウホウ</t>
    </rPh>
    <rPh sb="208" eb="210">
      <t>キョウイク</t>
    </rPh>
    <rPh sb="211" eb="214">
      <t>シツホショウ</t>
    </rPh>
    <rPh sb="215" eb="216">
      <t>ム</t>
    </rPh>
    <rPh sb="218" eb="220">
      <t>ケントウ</t>
    </rPh>
    <rPh sb="221" eb="222">
      <t>オコナ</t>
    </rPh>
    <phoneticPr fontId="1"/>
  </si>
  <si>
    <t>　　</t>
    <phoneticPr fontId="1"/>
  </si>
  <si>
    <t>「AI・データサイエンス基礎」準備・実施ワーキンググループ</t>
    <rPh sb="12" eb="14">
      <t>キソ</t>
    </rPh>
    <rPh sb="15" eb="17">
      <t>ジュンビ</t>
    </rPh>
    <rPh sb="18" eb="20">
      <t>ジッシ</t>
    </rPh>
    <phoneticPr fontId="1"/>
  </si>
  <si>
    <t>令和４年度よりSociety5.0時代に必要な「数理・データサイエンス・AI」に関する知識と技術を学び、それを活用する基礎的な能力を獲得することを目的に「AIデータサイエンス基礎」科目として１年次指定の準必修科目としての開講。前期に修得できなかった学生は、後期に再度履修し修得を図ることとしている。令和５年度より、必修科目に指定。漸次４年間で100％の履修を計画している。</t>
    <rPh sb="165" eb="167">
      <t>ゼンジ</t>
    </rPh>
    <rPh sb="168" eb="169">
      <t>ネン</t>
    </rPh>
    <rPh sb="169" eb="170">
      <t>カン</t>
    </rPh>
    <rPh sb="176" eb="178">
      <t>リシュウ</t>
    </rPh>
    <rPh sb="179" eb="181">
      <t>ケイカク</t>
    </rPh>
    <phoneticPr fontId="1"/>
  </si>
  <si>
    <t>令和４年度(開講初年度）において「「AIデータサイエンス基礎」科目履修者アンケートを参考にして、履修者へのサポート体制を検討、令和５年度に同科目を開講にあたっては、
①Googleクラスルームを活用した双方向サポートの充実を図る
②学内のメディア学習支援センターでの、操作方法等支援を実施し、双方向性を確保する
③参考書等の学習教材を揃え、学習支援を強化する
④実践的、発展的な内容を扱うセミナーを開催し、学習の更なる深化を図るなどのバックアップ体制をとることとなった。
以上により、履修学生の質問、要望などにも対応できる体制とした。</t>
    <rPh sb="0" eb="2">
      <t>レイワ</t>
    </rPh>
    <rPh sb="3" eb="5">
      <t>ネンド</t>
    </rPh>
    <rPh sb="14" eb="16">
      <t>カツヨウ</t>
    </rPh>
    <rPh sb="18" eb="21">
      <t>ソウホウコウ</t>
    </rPh>
    <rPh sb="26" eb="28">
      <t>ジュウジツ</t>
    </rPh>
    <rPh sb="29" eb="30">
      <t>ハカ</t>
    </rPh>
    <rPh sb="36" eb="38">
      <t>ガクシュウ</t>
    </rPh>
    <rPh sb="38" eb="40">
      <t>シエン</t>
    </rPh>
    <rPh sb="47" eb="49">
      <t>ソウサ</t>
    </rPh>
    <rPh sb="49" eb="51">
      <t>ホウホウ</t>
    </rPh>
    <rPh sb="51" eb="52">
      <t>トウ</t>
    </rPh>
    <rPh sb="52" eb="54">
      <t>シエン</t>
    </rPh>
    <rPh sb="55" eb="57">
      <t>ジッシ</t>
    </rPh>
    <rPh sb="59" eb="63">
      <t>ソウホウコウセイ</t>
    </rPh>
    <rPh sb="64" eb="66">
      <t>カクホ</t>
    </rPh>
    <rPh sb="75" eb="77">
      <t>タイセイ</t>
    </rPh>
    <rPh sb="94" eb="96">
      <t>リシュウ</t>
    </rPh>
    <rPh sb="96" eb="98">
      <t>ガクセイ</t>
    </rPh>
    <rPh sb="99" eb="101">
      <t>シツモン</t>
    </rPh>
    <rPh sb="102" eb="104">
      <t>ヨウボウ</t>
    </rPh>
    <rPh sb="108" eb="110">
      <t>タイオウ</t>
    </rPh>
    <rPh sb="116" eb="118">
      <t>ガクナイ</t>
    </rPh>
    <rPh sb="157" eb="160">
      <t>サンコウショ</t>
    </rPh>
    <rPh sb="160" eb="161">
      <t>トウ</t>
    </rPh>
    <rPh sb="162" eb="166">
      <t>ガクシュウキョウザイ</t>
    </rPh>
    <rPh sb="167" eb="168">
      <t>ソロ</t>
    </rPh>
    <rPh sb="170" eb="172">
      <t>ガクシュウ</t>
    </rPh>
    <rPh sb="172" eb="174">
      <t>シエン</t>
    </rPh>
    <rPh sb="175" eb="177">
      <t>キョウカ</t>
    </rPh>
    <rPh sb="181" eb="184">
      <t>ジッセンテキ</t>
    </rPh>
    <rPh sb="185" eb="188">
      <t>ハッテンテキ</t>
    </rPh>
    <rPh sb="189" eb="191">
      <t>ナイヨウ</t>
    </rPh>
    <rPh sb="192" eb="193">
      <t>アツカ</t>
    </rPh>
    <rPh sb="199" eb="201">
      <t>カイサイ</t>
    </rPh>
    <rPh sb="203" eb="205">
      <t>ガクシュウ</t>
    </rPh>
    <rPh sb="206" eb="207">
      <t>サラ</t>
    </rPh>
    <rPh sb="209" eb="211">
      <t>シンカ</t>
    </rPh>
    <rPh sb="212" eb="213">
      <t>ハカ</t>
    </rPh>
    <rPh sb="236" eb="238">
      <t>イジョウ</t>
    </rPh>
    <phoneticPr fontId="1"/>
  </si>
  <si>
    <t>オフィスアワー制度を設けて、専任教員が各種質問に回答する体制が整備されている。
また、本学では情報教育の推進、情報メディアを活用した学習の支援、情報ネットワークシステム活用のための学習環境の向上を図ることを目的としてメディア学習支援センターを設置し、PCを使った実習や作品制作ができる演習室を備えている。メディア学習支援センターでは、機器操作方法等支援を実施し、双方向性を確保、参考書等の学習教材を揃え、学習支援の強化を図っている。</t>
    <rPh sb="7" eb="9">
      <t>セイド</t>
    </rPh>
    <rPh sb="10" eb="11">
      <t>モウ</t>
    </rPh>
    <rPh sb="14" eb="16">
      <t>センニン</t>
    </rPh>
    <rPh sb="16" eb="18">
      <t>キョウイン</t>
    </rPh>
    <rPh sb="19" eb="21">
      <t>カクシュ</t>
    </rPh>
    <rPh sb="21" eb="23">
      <t>シツモン</t>
    </rPh>
    <rPh sb="24" eb="26">
      <t>カイトウ</t>
    </rPh>
    <rPh sb="28" eb="30">
      <t>タイセイ</t>
    </rPh>
    <rPh sb="31" eb="33">
      <t>セイビ</t>
    </rPh>
    <rPh sb="121" eb="123">
      <t>セッチ</t>
    </rPh>
    <rPh sb="146" eb="147">
      <t>ソナ</t>
    </rPh>
    <rPh sb="167" eb="169">
      <t>キキ</t>
    </rPh>
    <rPh sb="210" eb="211">
      <t>ハカ</t>
    </rPh>
    <phoneticPr fontId="1"/>
  </si>
  <si>
    <t>アンケートにおいて、あなた自身が身についたと思うことについて選択させたところ、データサイエンスの概念の理解は51.7%、データサイエンスの事例の理解は48.7%、データの扱い方は63.2%、データの分析手法は34.6%、機械学習を用いた実装方法は25.5%、機械学習を用いた分析方法は18.6%だった。機械学習（AI）に関しての理解度に課題があり、今後、最新の情報を共有していく形での改善を図ることとした。</t>
    <rPh sb="9" eb="10">
      <t>、</t>
    </rPh>
    <rPh sb="16" eb="17">
      <t xml:space="preserve">ミニツイタト </t>
    </rPh>
    <rPh sb="22" eb="23">
      <t xml:space="preserve">オモウコトニ </t>
    </rPh>
    <rPh sb="30" eb="32">
      <t xml:space="preserve">センタク </t>
    </rPh>
    <rPh sb="48" eb="50">
      <t xml:space="preserve">ガイネンノ </t>
    </rPh>
    <rPh sb="51" eb="53">
      <t xml:space="preserve">リカイハ </t>
    </rPh>
    <rPh sb="69" eb="71">
      <t xml:space="preserve">ジレイノ </t>
    </rPh>
    <rPh sb="72" eb="74">
      <t xml:space="preserve">リカイハ </t>
    </rPh>
    <rPh sb="85" eb="86">
      <t xml:space="preserve">アツカイカタハ </t>
    </rPh>
    <rPh sb="110" eb="114">
      <t xml:space="preserve">キカイガクシュウヲ </t>
    </rPh>
    <rPh sb="115" eb="116">
      <t xml:space="preserve">モチイタ </t>
    </rPh>
    <rPh sb="118" eb="122">
      <t xml:space="preserve">ジッソウホウホウハ </t>
    </rPh>
    <rPh sb="129" eb="133">
      <t xml:space="preserve">キカイガクシュウヲ </t>
    </rPh>
    <rPh sb="134" eb="135">
      <t xml:space="preserve">モチイタ </t>
    </rPh>
    <rPh sb="137" eb="141">
      <t xml:space="preserve">ブンセキホウホウ </t>
    </rPh>
    <rPh sb="151" eb="155">
      <t xml:space="preserve">キカイガクシュウ </t>
    </rPh>
    <rPh sb="160" eb="161">
      <t xml:space="preserve">カンシテノ </t>
    </rPh>
    <rPh sb="164" eb="167">
      <t xml:space="preserve">リカイドニ </t>
    </rPh>
    <rPh sb="168" eb="170">
      <t xml:space="preserve">カダイガ </t>
    </rPh>
    <rPh sb="174" eb="176">
      <t xml:space="preserve">コンゴ </t>
    </rPh>
    <rPh sb="177" eb="179">
      <t xml:space="preserve">サイシンノ </t>
    </rPh>
    <rPh sb="180" eb="182">
      <t xml:space="preserve">ジョウホウヲ </t>
    </rPh>
    <rPh sb="183" eb="185">
      <t xml:space="preserve">キョウユウシテイク </t>
    </rPh>
    <rPh sb="189" eb="190">
      <t xml:space="preserve">カタチデノ </t>
    </rPh>
    <rPh sb="192" eb="194">
      <t xml:space="preserve">カイゼンヲ </t>
    </rPh>
    <rPh sb="195" eb="196">
      <t xml:space="preserve">ハカル </t>
    </rPh>
    <phoneticPr fontId="1"/>
  </si>
  <si>
    <t>授業に関する質問対応や、アンケート調査より。「データを読む」「データを説明する」「データを扱う」ところでの演習操作に戸惑った学生が多かったことが明らかになった。そのため、相談できるスタッフを配置しサポートする体制を整えることで、わかりやすい授業に改善していく計画である。</t>
    <rPh sb="0" eb="2">
      <t xml:space="preserve">ジュギョウデノ </t>
    </rPh>
    <rPh sb="3" eb="4">
      <t xml:space="preserve">カンスル </t>
    </rPh>
    <rPh sb="6" eb="10">
      <t xml:space="preserve">シツモンタイオウ </t>
    </rPh>
    <rPh sb="17" eb="19">
      <t xml:space="preserve">チョウサヨリ </t>
    </rPh>
    <rPh sb="27" eb="28">
      <t xml:space="preserve">ヨム </t>
    </rPh>
    <rPh sb="35" eb="37">
      <t xml:space="preserve">セツメイスル </t>
    </rPh>
    <rPh sb="45" eb="46">
      <t xml:space="preserve">アツカウ </t>
    </rPh>
    <rPh sb="53" eb="57">
      <t xml:space="preserve">エンシュウソウサ </t>
    </rPh>
    <rPh sb="58" eb="60">
      <t xml:space="preserve">トマドッタ </t>
    </rPh>
    <rPh sb="62" eb="64">
      <t xml:space="preserve">ガクセイガ </t>
    </rPh>
    <rPh sb="65" eb="66">
      <t xml:space="preserve">オオカッタ </t>
    </rPh>
    <rPh sb="72" eb="73">
      <t xml:space="preserve">アキラカニナッタ </t>
    </rPh>
    <rPh sb="85" eb="87">
      <t xml:space="preserve">ソウダンデキル </t>
    </rPh>
    <rPh sb="95" eb="97">
      <t xml:space="preserve">ハイチシ </t>
    </rPh>
    <rPh sb="107" eb="108">
      <t xml:space="preserve">トトノエルコトデ </t>
    </rPh>
    <rPh sb="120" eb="122">
      <t xml:space="preserve">ジュギョウ </t>
    </rPh>
    <rPh sb="123" eb="125">
      <t xml:space="preserve">カイゼンシテイク </t>
    </rPh>
    <rPh sb="129" eb="131">
      <t xml:space="preserve">ケイカク </t>
    </rPh>
    <phoneticPr fontId="1"/>
  </si>
  <si>
    <t>アンケートにおいて、授業開始前は、51.6%の学生が、興味・関心はあるが、AI・データサイエンスについて学んでなく、14.7%は自分には関係ないと考えていた。また、聞いたことがない学生も30.5%いた。学んだことがある学生はわずか3.2%だった。しかしながら、授業を通して得るAI・データサイエンスの知識が将来に活かされると考えていた学生は、大いに活かせると思うが42.7%、少し活かせると思うが37.5%で合計80.2%であり、期待されている状態だった。修得後の調査の結果、大いに活かせると思うが45%に増加、少し活かせると思うも44.5%に増加し、合計89.4%に増加した。今後も数値向上のためのセミナーなどを企画して「学ぶことの意義」を向上させていく計画である。</t>
    <rPh sb="289" eb="291">
      <t xml:space="preserve">コンゴモ </t>
    </rPh>
    <rPh sb="292" eb="296">
      <t xml:space="preserve">スウチコウジョウノ </t>
    </rPh>
    <rPh sb="307" eb="309">
      <t xml:space="preserve">キカク </t>
    </rPh>
    <rPh sb="312" eb="313">
      <t xml:space="preserve">マナブコトノ </t>
    </rPh>
    <rPh sb="317" eb="319">
      <t xml:space="preserve">イギ </t>
    </rPh>
    <rPh sb="321" eb="323">
      <t xml:space="preserve">コウジョウ </t>
    </rPh>
    <rPh sb="328" eb="330">
      <t xml:space="preserve">ケイカク </t>
    </rPh>
    <phoneticPr fontId="1"/>
  </si>
  <si>
    <t>・AI（人工知能）やデータサイエンスが、持続可能な社会の発展において欠かすことができない存在であることを多視点から理解する。
・AI技術とデータが、我々人類の未来の発展や様々な職業においていかに役立つのかの理解と考える能力を獲得する。
・AI技術の利用やデータの読み取り・可視化についての利点と注意点を理解したうえでデータの読み取り、説明、扱いができる。
・適切な取り扱うこと重要性やデータを守る方法を身に付ける。</t>
    <rPh sb="20" eb="22">
      <t>ジゾク</t>
    </rPh>
    <rPh sb="57" eb="59">
      <t xml:space="preserve">リカイスル </t>
    </rPh>
    <rPh sb="103" eb="105">
      <t xml:space="preserve">リカイト </t>
    </rPh>
    <rPh sb="112" eb="114">
      <t xml:space="preserve">カクトクスル </t>
    </rPh>
    <rPh sb="150" eb="152">
      <t xml:space="preserve">リカイ </t>
    </rPh>
    <rPh sb="162" eb="163">
      <t xml:space="preserve">ヨミトリ </t>
    </rPh>
    <rPh sb="167" eb="169">
      <t xml:space="preserve">セツメイ </t>
    </rPh>
    <rPh sb="170" eb="171">
      <t xml:space="preserve">アツカイヲ </t>
    </rPh>
    <rPh sb="196" eb="197">
      <t xml:space="preserve">マモル </t>
    </rPh>
    <phoneticPr fontId="1"/>
  </si>
  <si>
    <t>「AIデータサイエンス基礎」科目として１年次指定の準必修科目としての開講。前期に修得できなかった学生は、後期に再度履修し修得を図ることとしている。令和５年度より、必修科目に指定。併せて、２～４年次生には学科に関係なく受講可能である旨を周知している。
　特に、本教育プログラムの趣旨・目的については、新学期でのオリエンテーション期間中での説明と学内教学支援システムを利用しての配信により周知徹底を図っている。</t>
    <rPh sb="89" eb="90">
      <t>アワ</t>
    </rPh>
    <rPh sb="96" eb="98">
      <t>ネンジ</t>
    </rPh>
    <rPh sb="98" eb="99">
      <t>セイ</t>
    </rPh>
    <rPh sb="101" eb="103">
      <t>ガッカ</t>
    </rPh>
    <rPh sb="104" eb="106">
      <t>カンケイ</t>
    </rPh>
    <rPh sb="108" eb="110">
      <t>ジュコウ</t>
    </rPh>
    <rPh sb="110" eb="112">
      <t>カノウ</t>
    </rPh>
    <rPh sb="115" eb="116">
      <t>ムネ</t>
    </rPh>
    <rPh sb="117" eb="119">
      <t>シュウチ</t>
    </rPh>
    <rPh sb="126" eb="127">
      <t>トク</t>
    </rPh>
    <rPh sb="129" eb="130">
      <t>ホン</t>
    </rPh>
    <rPh sb="130" eb="132">
      <t>キョウイク</t>
    </rPh>
    <rPh sb="138" eb="140">
      <t>シュシ</t>
    </rPh>
    <rPh sb="141" eb="143">
      <t>モクテキ</t>
    </rPh>
    <rPh sb="149" eb="152">
      <t>シンガッキ</t>
    </rPh>
    <rPh sb="163" eb="166">
      <t>キカンチュウ</t>
    </rPh>
    <rPh sb="168" eb="170">
      <t>セツメイ</t>
    </rPh>
    <rPh sb="171" eb="173">
      <t>ガクナイ</t>
    </rPh>
    <rPh sb="173" eb="175">
      <t>キョウガク</t>
    </rPh>
    <rPh sb="175" eb="177">
      <t>シエン</t>
    </rPh>
    <rPh sb="182" eb="184">
      <t>リヨウ</t>
    </rPh>
    <rPh sb="187" eb="189">
      <t>ハイシン</t>
    </rPh>
    <rPh sb="192" eb="194">
      <t>シュウチ</t>
    </rPh>
    <rPh sb="194" eb="196">
      <t>テッテイ</t>
    </rPh>
    <rPh sb="197" eb="198">
      <t>ハカ</t>
    </rPh>
    <phoneticPr fontId="1"/>
  </si>
  <si>
    <t>令和４年度より「AIデータサイエンス基礎」として１年次生指定の準必修科目としての開講、令和５年度より必修科目に指定。漸次４年間で１００％履修できる構造となっている。履修科目については「履修要覧」により、学生に周知している。
　更に、本教育プログラムの趣旨・目的については学内教学支援システムにより配信するとともに、新入生オリエンテーション期間にガイダンスを実施している。
　また、大学のウェブ上、教学支援システムを通して、本プログラムに関する情報を掲載するとともに、適宜情報発信している。</t>
    <rPh sb="28" eb="30">
      <t>シテイ</t>
    </rPh>
    <rPh sb="31" eb="32">
      <t>ジュン</t>
    </rPh>
    <rPh sb="43" eb="45">
      <t>レイワ</t>
    </rPh>
    <rPh sb="46" eb="48">
      <t>ネンド</t>
    </rPh>
    <rPh sb="50" eb="52">
      <t>ヒッシュウ</t>
    </rPh>
    <rPh sb="52" eb="54">
      <t>カモク</t>
    </rPh>
    <rPh sb="55" eb="57">
      <t>シテイ</t>
    </rPh>
    <rPh sb="58" eb="60">
      <t>ゼンジ</t>
    </rPh>
    <rPh sb="61" eb="63">
      <t>ネンカン</t>
    </rPh>
    <rPh sb="68" eb="70">
      <t>リシュウ</t>
    </rPh>
    <rPh sb="73" eb="75">
      <t>コウゾウ</t>
    </rPh>
    <rPh sb="82" eb="84">
      <t>リシュウ</t>
    </rPh>
    <rPh sb="84" eb="86">
      <t>カモク</t>
    </rPh>
    <rPh sb="92" eb="94">
      <t>リシュウ</t>
    </rPh>
    <rPh sb="94" eb="96">
      <t>ヨウラン</t>
    </rPh>
    <rPh sb="101" eb="103">
      <t>ガクセイ</t>
    </rPh>
    <rPh sb="104" eb="106">
      <t>シュウチ</t>
    </rPh>
    <rPh sb="113" eb="114">
      <t>サラ</t>
    </rPh>
    <rPh sb="116" eb="119">
      <t>ホンキョウイク</t>
    </rPh>
    <rPh sb="125" eb="127">
      <t>シュシ</t>
    </rPh>
    <rPh sb="128" eb="130">
      <t>モクテキ</t>
    </rPh>
    <rPh sb="135" eb="137">
      <t>ガクナイ</t>
    </rPh>
    <rPh sb="137" eb="139">
      <t>キョウガク</t>
    </rPh>
    <rPh sb="139" eb="141">
      <t>シエン</t>
    </rPh>
    <rPh sb="148" eb="150">
      <t>ハイシン</t>
    </rPh>
    <rPh sb="157" eb="159">
      <t>シンニュウ</t>
    </rPh>
    <rPh sb="159" eb="160">
      <t>セイ</t>
    </rPh>
    <rPh sb="169" eb="171">
      <t>キカン</t>
    </rPh>
    <rPh sb="178" eb="180">
      <t>ジッシ</t>
    </rPh>
    <rPh sb="190" eb="192">
      <t>ダイガク</t>
    </rPh>
    <rPh sb="196" eb="197">
      <t>ジョウ</t>
    </rPh>
    <rPh sb="198" eb="200">
      <t>キョウガク</t>
    </rPh>
    <rPh sb="200" eb="202">
      <t>シエン</t>
    </rPh>
    <rPh sb="207" eb="208">
      <t>トオ</t>
    </rPh>
    <rPh sb="211" eb="212">
      <t>ホン</t>
    </rPh>
    <rPh sb="218" eb="219">
      <t>カン</t>
    </rPh>
    <rPh sb="221" eb="223">
      <t>ジョウホウ</t>
    </rPh>
    <rPh sb="224" eb="226">
      <t>ケイサイ</t>
    </rPh>
    <rPh sb="233" eb="235">
      <t>テキギ</t>
    </rPh>
    <rPh sb="235" eb="237">
      <t>ジョウホウ</t>
    </rPh>
    <rPh sb="237" eb="239">
      <t>ハッシン</t>
    </rPh>
    <phoneticPr fontId="1"/>
  </si>
  <si>
    <t>植田誠治</t>
    <rPh sb="0" eb="2">
      <t>ウエダ</t>
    </rPh>
    <rPh sb="2" eb="4">
      <t>セイジ</t>
    </rPh>
    <phoneticPr fontId="1"/>
  </si>
  <si>
    <t>学務・大学院担当副学長</t>
    <rPh sb="0" eb="2">
      <t>ガクム</t>
    </rPh>
    <rPh sb="3" eb="5">
      <t>ダイガク</t>
    </rPh>
    <rPh sb="5" eb="6">
      <t>イン</t>
    </rPh>
    <rPh sb="6" eb="8">
      <t>タントウ</t>
    </rPh>
    <rPh sb="8" eb="11">
      <t>フクガクチョウ</t>
    </rPh>
    <phoneticPr fontId="1"/>
  </si>
  <si>
    <t>当該授業は令和４年度より、１年次生対象の準必修科目として新規に開講されたため、当該授業を履修、単位を修得して卒業した学生はいない。令和５年度より１年次生の年次指定科目として必修化している。そのため、令和８年度に最初の卒業生が生じることとなることなるので、当該科目を履修した学生の進路・就職状況等に変化（特徴）が見られる可能性がある。本学キャリアセンターと連携しつつ当プログラム修了者の進路等に注視し、自己点検・評価に生かしていく予定である。</t>
    <rPh sb="0" eb="4">
      <t>トウガイジュギョウ</t>
    </rPh>
    <rPh sb="5" eb="7">
      <t>レイワ</t>
    </rPh>
    <rPh sb="8" eb="10">
      <t>ネンド</t>
    </rPh>
    <rPh sb="14" eb="16">
      <t>ネンジ</t>
    </rPh>
    <rPh sb="16" eb="17">
      <t>セイ</t>
    </rPh>
    <rPh sb="17" eb="19">
      <t>タイショウ</t>
    </rPh>
    <rPh sb="20" eb="23">
      <t>ジュンヒッシュウ</t>
    </rPh>
    <rPh sb="23" eb="25">
      <t>カモク</t>
    </rPh>
    <rPh sb="28" eb="30">
      <t>シンキ</t>
    </rPh>
    <rPh sb="31" eb="33">
      <t>カイコウ</t>
    </rPh>
    <rPh sb="39" eb="41">
      <t>トウガイ</t>
    </rPh>
    <rPh sb="41" eb="43">
      <t>ジュギョウ</t>
    </rPh>
    <rPh sb="44" eb="46">
      <t>リシュウ</t>
    </rPh>
    <rPh sb="47" eb="49">
      <t>タンイ</t>
    </rPh>
    <rPh sb="50" eb="52">
      <t>シュウトク</t>
    </rPh>
    <rPh sb="54" eb="56">
      <t>ソツギョウ</t>
    </rPh>
    <rPh sb="58" eb="60">
      <t>ガクセイ</t>
    </rPh>
    <rPh sb="65" eb="67">
      <t>レイワ</t>
    </rPh>
    <rPh sb="68" eb="70">
      <t>ネンド</t>
    </rPh>
    <rPh sb="73" eb="76">
      <t>ネンジセイ</t>
    </rPh>
    <rPh sb="77" eb="79">
      <t>ネンジ</t>
    </rPh>
    <rPh sb="79" eb="81">
      <t>シテイ</t>
    </rPh>
    <rPh sb="81" eb="83">
      <t>カモク</t>
    </rPh>
    <rPh sb="86" eb="89">
      <t>ヒッシュウカ</t>
    </rPh>
    <rPh sb="99" eb="101">
      <t>レイワ</t>
    </rPh>
    <rPh sb="102" eb="104">
      <t>ネンド</t>
    </rPh>
    <rPh sb="105" eb="107">
      <t>サイショ</t>
    </rPh>
    <rPh sb="108" eb="110">
      <t>ソツギョウ</t>
    </rPh>
    <rPh sb="110" eb="111">
      <t>セイ</t>
    </rPh>
    <rPh sb="112" eb="113">
      <t>ショウ</t>
    </rPh>
    <rPh sb="127" eb="131">
      <t>トウガイカモク</t>
    </rPh>
    <rPh sb="132" eb="134">
      <t>リシュウ</t>
    </rPh>
    <rPh sb="136" eb="138">
      <t>ガクセイ</t>
    </rPh>
    <rPh sb="139" eb="141">
      <t>シンロ</t>
    </rPh>
    <rPh sb="142" eb="144">
      <t>シュウショク</t>
    </rPh>
    <rPh sb="144" eb="146">
      <t>ジョウキョウ</t>
    </rPh>
    <rPh sb="146" eb="147">
      <t>トウ</t>
    </rPh>
    <rPh sb="148" eb="150">
      <t>ヘンカ</t>
    </rPh>
    <rPh sb="151" eb="153">
      <t>トクチョウ</t>
    </rPh>
    <rPh sb="155" eb="156">
      <t>ミ</t>
    </rPh>
    <rPh sb="159" eb="162">
      <t>カノウセイ</t>
    </rPh>
    <rPh sb="166" eb="168">
      <t>ホンガク</t>
    </rPh>
    <rPh sb="177" eb="179">
      <t>レンケイ</t>
    </rPh>
    <rPh sb="182" eb="183">
      <t>トウ</t>
    </rPh>
    <rPh sb="188" eb="191">
      <t>シュウリョウシャ</t>
    </rPh>
    <rPh sb="192" eb="194">
      <t>シンロ</t>
    </rPh>
    <rPh sb="194" eb="195">
      <t>トウ</t>
    </rPh>
    <rPh sb="196" eb="198">
      <t>チュウシ</t>
    </rPh>
    <rPh sb="200" eb="204">
      <t>ジコテンケン</t>
    </rPh>
    <rPh sb="205" eb="207">
      <t>ヒョウカ</t>
    </rPh>
    <rPh sb="208" eb="209">
      <t>イ</t>
    </rPh>
    <rPh sb="214" eb="216">
      <t>ヨテイ</t>
    </rPh>
    <phoneticPr fontId="1"/>
  </si>
  <si>
    <t>当該科目は令和４年度に１年次生対象の準必修科目として新設し、令和５年度に１年次生の年次必修科目とした。そのため、当初は２～４年次生の履修は想定していなかったが、本学Webサイトに「AI・データサイエンス基礎」プログラムの新設を告知したところ上級生から自発的に「対象年次ではないが履修したい」との要望が複数よせられた。そのため、急遽、他学年にも開講することとしたことした経緯がある。以上により、学生の関心の高さを伺い知ることができる。</t>
    <rPh sb="0" eb="2">
      <t>トウガイ</t>
    </rPh>
    <rPh sb="2" eb="4">
      <t>カモク</t>
    </rPh>
    <rPh sb="5" eb="7">
      <t>レイワ</t>
    </rPh>
    <rPh sb="8" eb="9">
      <t>ネン</t>
    </rPh>
    <rPh sb="9" eb="10">
      <t>ド</t>
    </rPh>
    <rPh sb="12" eb="14">
      <t>ネンジ</t>
    </rPh>
    <rPh sb="14" eb="15">
      <t>セイ</t>
    </rPh>
    <rPh sb="15" eb="17">
      <t>タイショウ</t>
    </rPh>
    <rPh sb="18" eb="19">
      <t>ジュン</t>
    </rPh>
    <rPh sb="19" eb="21">
      <t>ヒッシュウ</t>
    </rPh>
    <rPh sb="21" eb="23">
      <t>カモク</t>
    </rPh>
    <rPh sb="26" eb="28">
      <t>シンセツ</t>
    </rPh>
    <rPh sb="30" eb="32">
      <t>レイワ</t>
    </rPh>
    <rPh sb="33" eb="35">
      <t>ネンド</t>
    </rPh>
    <rPh sb="37" eb="39">
      <t>ネンジ</t>
    </rPh>
    <rPh sb="39" eb="40">
      <t>セイ</t>
    </rPh>
    <rPh sb="41" eb="43">
      <t>ネンジ</t>
    </rPh>
    <rPh sb="43" eb="47">
      <t>ヒッシュウカモク</t>
    </rPh>
    <rPh sb="56" eb="58">
      <t>トウショ</t>
    </rPh>
    <rPh sb="62" eb="65">
      <t>ネンジセイ</t>
    </rPh>
    <rPh sb="66" eb="68">
      <t>リシュウ</t>
    </rPh>
    <rPh sb="69" eb="71">
      <t>ソウテイ</t>
    </rPh>
    <rPh sb="80" eb="82">
      <t>ホンガク</t>
    </rPh>
    <rPh sb="110" eb="112">
      <t>シンセツ</t>
    </rPh>
    <rPh sb="113" eb="115">
      <t>コクチ</t>
    </rPh>
    <rPh sb="120" eb="123">
      <t>ジョウキュウセイ</t>
    </rPh>
    <rPh sb="125" eb="128">
      <t>ジハツテキ</t>
    </rPh>
    <rPh sb="130" eb="132">
      <t>タイショウ</t>
    </rPh>
    <rPh sb="132" eb="134">
      <t>ネンジ</t>
    </rPh>
    <rPh sb="139" eb="141">
      <t>リシュウ</t>
    </rPh>
    <rPh sb="147" eb="149">
      <t>ヨウボウ</t>
    </rPh>
    <rPh sb="150" eb="152">
      <t>フクスウ</t>
    </rPh>
    <rPh sb="163" eb="165">
      <t>キュウキョ</t>
    </rPh>
    <rPh sb="166" eb="169">
      <t>タガクネン</t>
    </rPh>
    <rPh sb="171" eb="173">
      <t>カイコウ</t>
    </rPh>
    <rPh sb="184" eb="186">
      <t>ケイイ</t>
    </rPh>
    <rPh sb="190" eb="192">
      <t>イジョウ</t>
    </rPh>
    <rPh sb="196" eb="198">
      <t>ガクセイ</t>
    </rPh>
    <rPh sb="199" eb="201">
      <t>カンシン</t>
    </rPh>
    <rPh sb="202" eb="203">
      <t>タカ</t>
    </rPh>
    <rPh sb="205" eb="206">
      <t>ウカガ</t>
    </rPh>
    <rPh sb="207" eb="208">
      <t>シ</t>
    </rPh>
    <phoneticPr fontId="1"/>
  </si>
  <si>
    <t>令和４年度前期の受講生に同プログラムの授業アンケートを実施したところ
①授業の満足度については満足＋やや満足＝70.8%
②データサイエンスという学問領域の関心度合いの変化については
もともとの興味が更に深まった（10.6%)＋本講義をきっかけり興味・関心を持った(34.8%)＋本講義をきっかけに少し興味をもった(47.4%)=92.8%と関心度合いの高まり(変化）を知ることができた。
③本講義が将来に活かせるものだったかとの質問には
　大いに活かせる(45%)+少し活かせる（44.4）＝89.4% と有用性への気づきも確認できる。
以上のようなアンケ―ト結果を踏まえて、引き続き高い学修成果の創出に取り組む方針である。</t>
    <rPh sb="0" eb="2">
      <t>レイワ</t>
    </rPh>
    <rPh sb="3" eb="5">
      <t>ネンド</t>
    </rPh>
    <rPh sb="5" eb="7">
      <t>ゼンキ</t>
    </rPh>
    <rPh sb="8" eb="11">
      <t>ジュコウセイ</t>
    </rPh>
    <rPh sb="12" eb="13">
      <t>ドウ</t>
    </rPh>
    <rPh sb="19" eb="21">
      <t>ジュギョウ</t>
    </rPh>
    <rPh sb="27" eb="29">
      <t>ジッシ</t>
    </rPh>
    <rPh sb="36" eb="38">
      <t>ジュギョウ</t>
    </rPh>
    <rPh sb="39" eb="41">
      <t>マンゾク</t>
    </rPh>
    <rPh sb="41" eb="42">
      <t>ド</t>
    </rPh>
    <rPh sb="47" eb="49">
      <t>マンゾク</t>
    </rPh>
    <rPh sb="52" eb="54">
      <t>マンゾク</t>
    </rPh>
    <rPh sb="73" eb="77">
      <t>ガクモンリョウイキ</t>
    </rPh>
    <rPh sb="78" eb="80">
      <t>カンシン</t>
    </rPh>
    <rPh sb="80" eb="82">
      <t>ドア</t>
    </rPh>
    <rPh sb="84" eb="86">
      <t>ヘンカ</t>
    </rPh>
    <rPh sb="97" eb="99">
      <t>キョウミ</t>
    </rPh>
    <rPh sb="100" eb="101">
      <t>サラ</t>
    </rPh>
    <rPh sb="102" eb="103">
      <t>フカ</t>
    </rPh>
    <rPh sb="114" eb="117">
      <t>ホンコウギ</t>
    </rPh>
    <rPh sb="123" eb="125">
      <t>キョウミ</t>
    </rPh>
    <rPh sb="126" eb="128">
      <t>カンシン</t>
    </rPh>
    <rPh sb="129" eb="130">
      <t>モ</t>
    </rPh>
    <rPh sb="140" eb="143">
      <t>ホンコウギ</t>
    </rPh>
    <rPh sb="149" eb="150">
      <t>スコ</t>
    </rPh>
    <rPh sb="151" eb="153">
      <t>キョウミ</t>
    </rPh>
    <rPh sb="171" eb="173">
      <t>カンシン</t>
    </rPh>
    <rPh sb="173" eb="175">
      <t>ドア</t>
    </rPh>
    <rPh sb="177" eb="178">
      <t>タカ</t>
    </rPh>
    <rPh sb="181" eb="183">
      <t>ヘンカ</t>
    </rPh>
    <rPh sb="185" eb="186">
      <t>シ</t>
    </rPh>
    <rPh sb="196" eb="199">
      <t>ホンコウギ</t>
    </rPh>
    <rPh sb="200" eb="202">
      <t>ショウライ</t>
    </rPh>
    <rPh sb="203" eb="204">
      <t>イ</t>
    </rPh>
    <rPh sb="215" eb="217">
      <t>シツモン</t>
    </rPh>
    <rPh sb="221" eb="222">
      <t>オオ</t>
    </rPh>
    <rPh sb="224" eb="225">
      <t>イ</t>
    </rPh>
    <rPh sb="234" eb="235">
      <t>スコ</t>
    </rPh>
    <rPh sb="236" eb="237">
      <t>イ</t>
    </rPh>
    <rPh sb="254" eb="256">
      <t>ユウヨウ</t>
    </rPh>
    <rPh sb="256" eb="257">
      <t>セイ</t>
    </rPh>
    <rPh sb="259" eb="260">
      <t>キ</t>
    </rPh>
    <rPh sb="263" eb="265">
      <t>カクニン</t>
    </rPh>
    <rPh sb="270" eb="272">
      <t>イジョウ</t>
    </rPh>
    <rPh sb="281" eb="283">
      <t>ケッカ</t>
    </rPh>
    <rPh sb="284" eb="285">
      <t>フ</t>
    </rPh>
    <rPh sb="289" eb="290">
      <t>ヒ</t>
    </rPh>
    <rPh sb="291" eb="292">
      <t>ツヅ</t>
    </rPh>
    <rPh sb="293" eb="294">
      <t>タカ</t>
    </rPh>
    <rPh sb="295" eb="297">
      <t>ガクシュウ</t>
    </rPh>
    <rPh sb="297" eb="299">
      <t>セイカ</t>
    </rPh>
    <rPh sb="300" eb="302">
      <t>ソウシュツ</t>
    </rPh>
    <rPh sb="303" eb="304">
      <t>ト</t>
    </rPh>
    <rPh sb="305" eb="306">
      <t>ク</t>
    </rPh>
    <rPh sb="307" eb="309">
      <t>ホウシン</t>
    </rPh>
    <phoneticPr fontId="1"/>
  </si>
  <si>
    <t>・令和４年度１年次対象の準必修科目として開講。前期は当初水曜日に開講を予定していたが、履修状況記録を確認したところ、木曜日に変更したほうが他科目との履修バランスが取れることが判明したため、急遽曜日変更を行い、１年次生にとって履修しやすい環境を整えた。しかしながら、授業後アンケートによる自己点検・評価の結果、曜日変更により一部混乱を生じさせたことや、提出期限がわかりにくいという声があったため、後期開講は、時間の統一と期限の明示化に取り組み改善した。
・修得状況は、前期Aクラスの開講578名の履修に対して530名で、修得率は91.7%だった。前期に修得できなかった学生を対象として、後期にBクラスを開講し改善に取り組んだ。その結果、令和４年度に修得できたのは前期・後期の合計で566名となり、修得率は97.9%となった。</t>
    <rPh sb="1" eb="3">
      <t>レイワ</t>
    </rPh>
    <rPh sb="4" eb="6">
      <t>ネンド</t>
    </rPh>
    <rPh sb="7" eb="9">
      <t>ネンジ</t>
    </rPh>
    <rPh sb="9" eb="11">
      <t>タイショウ</t>
    </rPh>
    <rPh sb="12" eb="17">
      <t>ジュンヒッシュウカモク</t>
    </rPh>
    <rPh sb="20" eb="22">
      <t>カイコウ</t>
    </rPh>
    <rPh sb="23" eb="25">
      <t xml:space="preserve">ゼンキノ </t>
    </rPh>
    <rPh sb="26" eb="28">
      <t xml:space="preserve">トウショ </t>
    </rPh>
    <rPh sb="28" eb="31">
      <t xml:space="preserve">スイヨウビニ </t>
    </rPh>
    <rPh sb="32" eb="34">
      <t xml:space="preserve">カイコウ </t>
    </rPh>
    <rPh sb="35" eb="37">
      <t>ヨテイ</t>
    </rPh>
    <rPh sb="43" eb="47">
      <t xml:space="preserve">リシュウジョウキョウヲ </t>
    </rPh>
    <rPh sb="47" eb="49">
      <t xml:space="preserve">キロク </t>
    </rPh>
    <rPh sb="50" eb="52">
      <t xml:space="preserve">カクニｎ </t>
    </rPh>
    <rPh sb="58" eb="61">
      <t xml:space="preserve">モクヨウビニ </t>
    </rPh>
    <rPh sb="62" eb="64">
      <t xml:space="preserve">ヘンコウ </t>
    </rPh>
    <rPh sb="69" eb="72">
      <t xml:space="preserve">タカモクトノ </t>
    </rPh>
    <rPh sb="74" eb="76">
      <t xml:space="preserve">リシュウバランスガ </t>
    </rPh>
    <rPh sb="81" eb="82">
      <t xml:space="preserve">トレルコトガ </t>
    </rPh>
    <rPh sb="87" eb="89">
      <t xml:space="preserve">ハンメイシタタメ </t>
    </rPh>
    <rPh sb="94" eb="96">
      <t>キュウキョ</t>
    </rPh>
    <rPh sb="96" eb="100">
      <t xml:space="preserve">ヨウビヘンコウヲ </t>
    </rPh>
    <rPh sb="101" eb="102">
      <t xml:space="preserve">オコナイ </t>
    </rPh>
    <rPh sb="105" eb="107">
      <t>ネンジ</t>
    </rPh>
    <rPh sb="107" eb="108">
      <t>セイ</t>
    </rPh>
    <rPh sb="112" eb="114">
      <t xml:space="preserve">リシュウシヤスイ </t>
    </rPh>
    <rPh sb="118" eb="120">
      <t xml:space="preserve">カンキョウ </t>
    </rPh>
    <rPh sb="121" eb="122">
      <t xml:space="preserve">トトノエタ </t>
    </rPh>
    <rPh sb="132" eb="134">
      <t xml:space="preserve">ジュギョウゴアンケートニオケル </t>
    </rPh>
    <rPh sb="134" eb="135">
      <t xml:space="preserve">ゴ </t>
    </rPh>
    <rPh sb="143" eb="147">
      <t xml:space="preserve">ジコテンケｎ </t>
    </rPh>
    <rPh sb="148" eb="150">
      <t xml:space="preserve">ヒョウカ </t>
    </rPh>
    <rPh sb="151" eb="153">
      <t xml:space="preserve">ケッカ </t>
    </rPh>
    <rPh sb="154" eb="158">
      <t>ヨウビヘンコウ</t>
    </rPh>
    <rPh sb="161" eb="163">
      <t>イチブ</t>
    </rPh>
    <rPh sb="163" eb="165">
      <t xml:space="preserve">コンランヲ </t>
    </rPh>
    <rPh sb="166" eb="167">
      <t xml:space="preserve">ショウジサセタコトヤ </t>
    </rPh>
    <rPh sb="175" eb="177">
      <t xml:space="preserve">テイシュツ </t>
    </rPh>
    <rPh sb="177" eb="179">
      <t xml:space="preserve">キゲンガ </t>
    </rPh>
    <rPh sb="189" eb="190">
      <t xml:space="preserve">コエガ </t>
    </rPh>
    <rPh sb="197" eb="199">
      <t xml:space="preserve">コウキ </t>
    </rPh>
    <rPh sb="199" eb="201">
      <t xml:space="preserve">カイコウハ </t>
    </rPh>
    <rPh sb="203" eb="205">
      <t xml:space="preserve">ジカンノ </t>
    </rPh>
    <rPh sb="206" eb="208">
      <t xml:space="preserve">トウイツ </t>
    </rPh>
    <rPh sb="209" eb="211">
      <t xml:space="preserve">キゲンノ </t>
    </rPh>
    <rPh sb="212" eb="215">
      <t xml:space="preserve">メイジカニ </t>
    </rPh>
    <rPh sb="216" eb="217">
      <t xml:space="preserve">トリクンダ </t>
    </rPh>
    <rPh sb="220" eb="222">
      <t xml:space="preserve">カイゼンサレタ </t>
    </rPh>
    <rPh sb="227" eb="229">
      <t xml:space="preserve">シュウトク </t>
    </rPh>
    <rPh sb="229" eb="231">
      <t xml:space="preserve">シュウトクジョウキョウ </t>
    </rPh>
    <rPh sb="233" eb="235">
      <t xml:space="preserve">ゼンキ </t>
    </rPh>
    <rPh sb="240" eb="242">
      <t xml:space="preserve">カイコウ </t>
    </rPh>
    <rPh sb="245" eb="246">
      <t xml:space="preserve">メイノ </t>
    </rPh>
    <rPh sb="247" eb="249">
      <t xml:space="preserve">リシュウニタイシテ </t>
    </rPh>
    <rPh sb="256" eb="257">
      <t xml:space="preserve">メイデ </t>
    </rPh>
    <rPh sb="272" eb="274">
      <t xml:space="preserve">ゼンキニ </t>
    </rPh>
    <rPh sb="283" eb="285">
      <t xml:space="preserve">ガクセイヲ </t>
    </rPh>
    <rPh sb="286" eb="288">
      <t xml:space="preserve">タイショウトシテ </t>
    </rPh>
    <rPh sb="292" eb="294">
      <t xml:space="preserve">コウキニ </t>
    </rPh>
    <rPh sb="300" eb="302">
      <t xml:space="preserve">カイコウシタ </t>
    </rPh>
    <rPh sb="303" eb="305">
      <t xml:space="preserve">カイゼンニ </t>
    </rPh>
    <rPh sb="306" eb="307">
      <t xml:space="preserve">トリクンダ </t>
    </rPh>
    <rPh sb="317" eb="319">
      <t>レイワ</t>
    </rPh>
    <rPh sb="320" eb="322">
      <t xml:space="preserve">ネンドニ </t>
    </rPh>
    <rPh sb="330" eb="332">
      <t xml:space="preserve">ゼンキ </t>
    </rPh>
    <rPh sb="333" eb="335">
      <t xml:space="preserve">コウキ </t>
    </rPh>
    <rPh sb="336" eb="338">
      <t xml:space="preserve">ゴウケイデ </t>
    </rPh>
    <rPh sb="342" eb="343">
      <t xml:space="preserve">メイ </t>
    </rPh>
    <phoneticPr fontId="1"/>
  </si>
  <si>
    <t>令和４年度、１年次生対象の準必修科目として新規に開講。前期にAクラスを開講し、前期に修得できなかった学生を対象として後期にBクラスを開講することで、修得率の向上を目指した。その結果、当初90%を目標としていたが、結果的に修得率は97.9となり、目標を達成することができた。令和５年度より１年次生の年次指定科目として必修化されるため、漸次全学生修得率100%を達成する見込みである。</t>
    <rPh sb="0" eb="2">
      <t>レイワ</t>
    </rPh>
    <rPh sb="3" eb="5">
      <t>ネンド</t>
    </rPh>
    <rPh sb="7" eb="10">
      <t>ネンジセイ</t>
    </rPh>
    <rPh sb="10" eb="12">
      <t>タイショウ</t>
    </rPh>
    <rPh sb="13" eb="14">
      <t>ジュン</t>
    </rPh>
    <rPh sb="14" eb="18">
      <t>ヒッシュウカモク</t>
    </rPh>
    <rPh sb="21" eb="23">
      <t>シンキ</t>
    </rPh>
    <rPh sb="24" eb="26">
      <t>カイコウ</t>
    </rPh>
    <rPh sb="27" eb="28">
      <t xml:space="preserve">ゼンキニ </t>
    </rPh>
    <rPh sb="35" eb="37">
      <t xml:space="preserve">カイコウシ </t>
    </rPh>
    <rPh sb="39" eb="41">
      <t xml:space="preserve">ゼンキニ </t>
    </rPh>
    <rPh sb="42" eb="44">
      <t xml:space="preserve">シュウトク </t>
    </rPh>
    <rPh sb="50" eb="52">
      <t xml:space="preserve">ガクセイヲ </t>
    </rPh>
    <rPh sb="53" eb="55">
      <t xml:space="preserve">タイショウトシテ </t>
    </rPh>
    <rPh sb="58" eb="60">
      <t xml:space="preserve">コウキニ </t>
    </rPh>
    <rPh sb="66" eb="68">
      <t xml:space="preserve">カイコウ </t>
    </rPh>
    <rPh sb="74" eb="76">
      <t>シュウトク</t>
    </rPh>
    <rPh sb="76" eb="77">
      <t xml:space="preserve">シュウトクリツノ </t>
    </rPh>
    <rPh sb="78" eb="80">
      <t xml:space="preserve">コウジョウ </t>
    </rPh>
    <rPh sb="81" eb="83">
      <t xml:space="preserve">メザシタ </t>
    </rPh>
    <rPh sb="91" eb="93">
      <t xml:space="preserve">トウショ </t>
    </rPh>
    <rPh sb="97" eb="99">
      <t xml:space="preserve">モクヒョウトシテイタガ </t>
    </rPh>
    <rPh sb="106" eb="109">
      <t xml:space="preserve">ケッカテキニ </t>
    </rPh>
    <rPh sb="122" eb="124">
      <t xml:space="preserve">モクヒョウヲ </t>
    </rPh>
    <rPh sb="125" eb="127">
      <t xml:space="preserve">タッセイ </t>
    </rPh>
    <rPh sb="136" eb="138">
      <t xml:space="preserve">レイワ５ネンド </t>
    </rPh>
    <rPh sb="144" eb="146">
      <t>ネンジ</t>
    </rPh>
    <rPh sb="146" eb="147">
      <t>セイ</t>
    </rPh>
    <rPh sb="148" eb="150">
      <t>ネンジ</t>
    </rPh>
    <rPh sb="150" eb="152">
      <t>シテイ</t>
    </rPh>
    <rPh sb="152" eb="154">
      <t>カモク</t>
    </rPh>
    <rPh sb="157" eb="160">
      <t xml:space="preserve">ヒッシュウカ </t>
    </rPh>
    <rPh sb="166" eb="168">
      <t>ゼンジ</t>
    </rPh>
    <rPh sb="168" eb="171">
      <t>ゼンガクセイ</t>
    </rPh>
    <rPh sb="171" eb="173">
      <t xml:space="preserve">シュウトク </t>
    </rPh>
    <rPh sb="173" eb="174">
      <t xml:space="preserve">シュウトクリツ </t>
    </rPh>
    <rPh sb="179" eb="181">
      <t>タッセイ</t>
    </rPh>
    <rPh sb="183" eb="185">
      <t>ミコ</t>
    </rPh>
    <phoneticPr fontId="1"/>
  </si>
  <si>
    <t>高祖　敏明</t>
    <rPh sb="0" eb="2">
      <t>コウソ</t>
    </rPh>
    <rPh sb="3" eb="5">
      <t>トシアキ</t>
    </rPh>
    <phoneticPr fontId="1"/>
  </si>
  <si>
    <t>植田　誠治</t>
    <rPh sb="0" eb="2">
      <t>ウエダ</t>
    </rPh>
    <rPh sb="3" eb="5">
      <t>セイジ</t>
    </rPh>
    <phoneticPr fontId="1"/>
  </si>
  <si>
    <t xml:space="preserve">（学務・大学院担当）副学長　教授 植田　誠治　
英語文化コミュニケーション学科　教授　中川　僚子
日本語日本文学科　専任講師　清水　由貴子
史学科　准教授　齋藤　久美子
人間関係学科　専任講師　藤原　勇
国際交流学科　准教授　岡橋　純子
哲学科　　専任講師　山田　庄太郎
教育学科　教授　高島　景子
心理学科　准教授　平部　正樹
事務局長　関　昭裕
広報・社会連携部次長　道正　伸久
教務課長　北村　早紀子
</t>
    <rPh sb="1" eb="3">
      <t>ガクム</t>
    </rPh>
    <rPh sb="4" eb="6">
      <t>ダイガク</t>
    </rPh>
    <rPh sb="6" eb="7">
      <t>イン</t>
    </rPh>
    <rPh sb="7" eb="9">
      <t>タントウ</t>
    </rPh>
    <rPh sb="10" eb="13">
      <t>フクガクチョウ</t>
    </rPh>
    <rPh sb="14" eb="16">
      <t>キョウジュ</t>
    </rPh>
    <rPh sb="17" eb="19">
      <t>ウエダ</t>
    </rPh>
    <rPh sb="20" eb="22">
      <t>セイジ</t>
    </rPh>
    <rPh sb="24" eb="26">
      <t>エイゴ</t>
    </rPh>
    <rPh sb="26" eb="28">
      <t>ブンカ</t>
    </rPh>
    <rPh sb="37" eb="39">
      <t>ガッカ</t>
    </rPh>
    <rPh sb="43" eb="45">
      <t>ナカガワ</t>
    </rPh>
    <rPh sb="46" eb="47">
      <t>リョウ</t>
    </rPh>
    <rPh sb="47" eb="48">
      <t>コ</t>
    </rPh>
    <rPh sb="49" eb="51">
      <t>ニホン</t>
    </rPh>
    <rPh sb="51" eb="52">
      <t>ゴ</t>
    </rPh>
    <rPh sb="52" eb="54">
      <t>ニホン</t>
    </rPh>
    <rPh sb="54" eb="57">
      <t>ブンガッカ</t>
    </rPh>
    <rPh sb="58" eb="60">
      <t>センニン</t>
    </rPh>
    <rPh sb="60" eb="62">
      <t>コウシ</t>
    </rPh>
    <rPh sb="63" eb="65">
      <t>シミズ</t>
    </rPh>
    <rPh sb="66" eb="69">
      <t>ユキコ</t>
    </rPh>
    <rPh sb="70" eb="73">
      <t>シガッカ</t>
    </rPh>
    <rPh sb="74" eb="75">
      <t>ジュン</t>
    </rPh>
    <rPh sb="75" eb="77">
      <t>キョウジュ</t>
    </rPh>
    <rPh sb="78" eb="80">
      <t>サイトウ</t>
    </rPh>
    <rPh sb="81" eb="84">
      <t>クミコ</t>
    </rPh>
    <rPh sb="85" eb="87">
      <t>ニンゲン</t>
    </rPh>
    <rPh sb="87" eb="89">
      <t>カンケイ</t>
    </rPh>
    <rPh sb="89" eb="91">
      <t>ガッカ</t>
    </rPh>
    <rPh sb="92" eb="94">
      <t>センニン</t>
    </rPh>
    <rPh sb="94" eb="96">
      <t>コウシ</t>
    </rPh>
    <rPh sb="97" eb="99">
      <t>フジワラ</t>
    </rPh>
    <rPh sb="100" eb="101">
      <t>イサム</t>
    </rPh>
    <rPh sb="102" eb="104">
      <t>コクサイ</t>
    </rPh>
    <rPh sb="104" eb="106">
      <t>コウリュウ</t>
    </rPh>
    <rPh sb="106" eb="108">
      <t>ガッカ</t>
    </rPh>
    <rPh sb="109" eb="110">
      <t>ジュン</t>
    </rPh>
    <rPh sb="110" eb="112">
      <t>キョウジュ</t>
    </rPh>
    <rPh sb="113" eb="115">
      <t>オカハシ</t>
    </rPh>
    <rPh sb="116" eb="118">
      <t>ジュンコ</t>
    </rPh>
    <rPh sb="119" eb="122">
      <t>テツガッカ</t>
    </rPh>
    <rPh sb="124" eb="126">
      <t>センニン</t>
    </rPh>
    <rPh sb="126" eb="128">
      <t>コウシ</t>
    </rPh>
    <rPh sb="129" eb="131">
      <t>ヤマダ</t>
    </rPh>
    <rPh sb="132" eb="135">
      <t>ショウタロウ</t>
    </rPh>
    <rPh sb="136" eb="138">
      <t>キョウイク</t>
    </rPh>
    <rPh sb="138" eb="140">
      <t>ガッカ</t>
    </rPh>
    <rPh sb="141" eb="143">
      <t>キョウジュ</t>
    </rPh>
    <rPh sb="144" eb="146">
      <t>タカシマ</t>
    </rPh>
    <rPh sb="147" eb="149">
      <t>ケイコ</t>
    </rPh>
    <rPh sb="150" eb="152">
      <t>シンリ</t>
    </rPh>
    <rPh sb="152" eb="154">
      <t>ガッカ</t>
    </rPh>
    <rPh sb="155" eb="156">
      <t>ジュン</t>
    </rPh>
    <rPh sb="156" eb="158">
      <t>キョウジュ</t>
    </rPh>
    <rPh sb="159" eb="161">
      <t>ヒラベ</t>
    </rPh>
    <rPh sb="162" eb="164">
      <t>マサキ</t>
    </rPh>
    <rPh sb="165" eb="169">
      <t>ジムキョクチョウ</t>
    </rPh>
    <rPh sb="170" eb="171">
      <t>セキ</t>
    </rPh>
    <phoneticPr fontId="1"/>
  </si>
  <si>
    <t>外部のIT企業関係者より本プログラムの内容ならびに実施方法について意見を求めた。リテラシーレベルの修得に効果がある内容と、本学の履修スタイルに対応した手法であるとの評価を得られた。今後、時代の変化に合わせたコンテンツのアップデートが大切であるとのコメントをいただいた。</t>
    <rPh sb="0" eb="2">
      <t xml:space="preserve">ガイブノ </t>
    </rPh>
    <rPh sb="5" eb="7">
      <t xml:space="preserve">キギョウ </t>
    </rPh>
    <rPh sb="7" eb="9">
      <t xml:space="preserve">カンケイ </t>
    </rPh>
    <rPh sb="9" eb="10">
      <t xml:space="preserve">ユウシキシャヨリ </t>
    </rPh>
    <rPh sb="12" eb="13">
      <t xml:space="preserve">ホｎ </t>
    </rPh>
    <rPh sb="19" eb="21">
      <t xml:space="preserve">ナイヨウ </t>
    </rPh>
    <rPh sb="25" eb="27">
      <t xml:space="preserve">ジッシ </t>
    </rPh>
    <rPh sb="27" eb="29">
      <t xml:space="preserve">ホウホウニ </t>
    </rPh>
    <rPh sb="33" eb="35">
      <t xml:space="preserve">イケｎ </t>
    </rPh>
    <rPh sb="36" eb="37">
      <t xml:space="preserve">モトメタトコロ </t>
    </rPh>
    <rPh sb="52" eb="54">
      <t xml:space="preserve">コウカガ </t>
    </rPh>
    <rPh sb="57" eb="59">
      <t xml:space="preserve">ナイヨウト </t>
    </rPh>
    <rPh sb="61" eb="63">
      <t xml:space="preserve">ホンガクノ </t>
    </rPh>
    <rPh sb="64" eb="66">
      <t xml:space="preserve">リシュウ </t>
    </rPh>
    <rPh sb="71" eb="73">
      <t xml:space="preserve">タイオウシタ </t>
    </rPh>
    <rPh sb="75" eb="77">
      <t xml:space="preserve">シュホウ </t>
    </rPh>
    <rPh sb="82" eb="84">
      <t xml:space="preserve">ヒョウカヲ </t>
    </rPh>
    <rPh sb="85" eb="86">
      <t xml:space="preserve">エラレタ </t>
    </rPh>
    <rPh sb="90" eb="92">
      <t xml:space="preserve">コンゴ </t>
    </rPh>
    <rPh sb="93" eb="95">
      <t xml:space="preserve">ジダイノ </t>
    </rPh>
    <rPh sb="96" eb="98">
      <t xml:space="preserve">ヘンカニ </t>
    </rPh>
    <rPh sb="99" eb="100">
      <t xml:space="preserve">アワセタ </t>
    </rPh>
    <rPh sb="116" eb="118">
      <t xml:space="preserve">タイセツデアル </t>
    </rPh>
    <phoneticPr fontId="1"/>
  </si>
  <si>
    <t>・「AI・データサイエンス基礎」第1回(ガイダンスならびにデータサイエンスの背景)
はじめに、データサイエンスとは、データサイエンスが重要視される背景、データ活用を支援するデジタル技術のキーワード
（学びのキーワード：データサイエンス、社会とデータサイエンスの身近な関わり、VUCA、コンピュータの発展、データ活用のコモディティ化、ビッグデータ、IoT、AI）
・「AI・データサイエンス基礎」第2回（日本社会の変化とデジタル社会の到来）
日本企業の国際競争力低下、市場の大きな変化、デジタル技術の発展、デジタル社会の提言
（学びのキーワード：大企業の国際競争力低下、スタートアップも十分育っていない、IMD世界競争力ランキング、日本の人口推移、ロングテール化、モノからコトへ、価値の源泉の変化、デジタルビジネス、デジタルトランスフォーメーション、第4次産業革命、Industrie4.0、データ駆動型社会、Society5.0）</t>
    <rPh sb="100" eb="101">
      <t>マナ</t>
    </rPh>
    <phoneticPr fontId="1"/>
  </si>
  <si>
    <t>・「AI・データサイエンス基礎」第8回（データ・AIの利活用の最新動向）
データ・AIを活用した新しいビジネス、データ・AIに関連した新技術、新ビジネスがなぜ小さな企業から生まれやすいのか
（学びのキーワード：犯罪予測、農作業の意思決定支援、ダイナミックプライシング、個人信用評価、敵対的生成ネットワーク、強化学習、転移学習、経営資源取得の容易化、起業コストの低下、グローバル展開の容易化）</t>
    <phoneticPr fontId="1"/>
  </si>
  <si>
    <t>・「AI・データサイエンス基礎」第3回（社会で活用されている様々なデータ）
社会で活用されているデータの実例、データの分類、データのオープン化
（学びのキーワード：統計データ、人の行動ログデータ、機械の稼働ログデータ、1次データ／2次データ、外部データ／内部データ、構造化／準構造化／非構造化データ、オープンデータ、SF Open Data、Crimespotting、Yelp）</t>
    <phoneticPr fontId="1"/>
  </si>
  <si>
    <t>・「AI・データサイエンス基礎」第5回（AIの強みと弱みならびに活用の課題）
データ認識技術、AI技術、AIの課題、AIの難問、AIが社会にもたらす影響
（学びのキーワード：画像認識技術、文字認識技術、音声認識技術、顔認証技術、ルール・ベース、機械学習（教師あり学習、教師なし学習、強化学習）、ディープラーニング、未学習・過学習、フレーム問題、モラベックのパラドクス、シンボルグラウンディング問題、シンギュラリティ、AIは雇用を奪う、強いAIと弱いAI、AIの得意分野・不得意分野）
・「AI・データサイエンス基礎」第6回（データ活用におけるモデルと分析アプローチ）
データの定義、データ活用のモデル、データ分析のアプローチ、データ分析においてより大きな価値を生む領域
（学びのキーワード：データの定義、DIKWモデル、SECIモデル、データ分析のプロセス、ロジックツリー、探索的データ解析、データの前処理、決定木、課題発見、解決策検討、多様な視点の重要性、試行錯誤の重要性）</t>
    <phoneticPr fontId="1"/>
  </si>
  <si>
    <t>・「AI・データサイエンス基礎」第7回（データ・AIの利活用の現状）
製造業のデータ・AI活用、小売業のデータ・AI活用、サービス業のデータ・AI活用、公共・インフラ業のデータ・AI活用、データ・AI活用による新しいビジネス領域
（学びのキーワード：建設機械の挙動・状況把握、デジタル複合機のリモート管理、自動運転、スマートグラス、ID-POS、Amazon GO、ロボアドバイザリー、無担保融資、オンライン融資、スマートメーター、橋梁モニタリング、MaaS、シェアリングエコノミー、DtoC、スマートシティ）</t>
    <phoneticPr fontId="1"/>
  </si>
  <si>
    <t>・「AI・データサイエンス基礎」第12回（データ・AIを扱う上でのモラルと権利）
「ELSI」とは何か、データに関する不正行為、個人情報の保護、個人情報は誰が管理すべきか
（学びのキーワード：データ・AIに関連する「ELSI」、インフォームド・コンセント、ねつ造・改ざん・盗用、ｐ値ハッキング、プライバシーの権利、個人情報保護法、オプトイン／オプトアウト、GDPR、忘れられる権利、個人情報管理主体（他者・自身）によるメリット・デメリット）
・「AI・データサイエンス基礎」第13回（データ・AIを扱う上でのバイアスの考慮）
バイアスとは、データ収集におけるバイアス、データ・AIを扱う上でのバイアス、AIの正しい活用に向けて
（学びのキーワード：GIGO、バイアスを最小化する、スナップショット調査、継続調査におけるバイアス、質問票によるバイアス、データバイアス、アルゴリズムバイアス、アルゴリズムバイアスの発生事例、AI活用のための原則、人間中心のAI社会原則）</t>
    <phoneticPr fontId="1"/>
  </si>
  <si>
    <t>・「AI・データサイエンス基礎」第14回（データを守る情報セキュリティならびにまとめ）
情報セキュリティ、コンピュータウイルス、セキュリティ技術、まとめ：本講座におけるメッセージ
（学びのキーワード：機密性・完全性・可用性、情報漏えい、不正のトライアングル、コンピュータウイルス、サイバー攻撃、サイバー攻撃への対応、情報セキュリティ脅威事例、暗号技術、認証技術）</t>
    <phoneticPr fontId="1"/>
  </si>
  <si>
    <t>・「AI・データサイエンス基礎」第4回（AI（人工知能）の歴史と発展）
AIの定義、AIの歴史、AI活用領域の広がり（生産、消費、文化活動など）、人間に近づくAI
（学びのキーワード：AIの定義、推論・探索の時代、知識の時代、機械学習・ディープラーニングの時代、自動検品、商品仕分け、需要予測、危険運転の検知、ゲノム医療、診断支援、絵画を描くAI、作曲をするAI、小説を書くAI、入試に合格するAI）</t>
    <rPh sb="55" eb="56">
      <t>ヒロ</t>
    </rPh>
    <rPh sb="59" eb="61">
      <t>セイサン</t>
    </rPh>
    <rPh sb="62" eb="64">
      <t>ショウヒ</t>
    </rPh>
    <rPh sb="65" eb="67">
      <t>ブンカ</t>
    </rPh>
    <rPh sb="67" eb="69">
      <t>カツドウ</t>
    </rPh>
    <phoneticPr fontId="1"/>
  </si>
  <si>
    <t>・「AI・データサイエンス基礎」第11回（データの効果的な説明と実際の扱い）
グラフをつくる、データの比較、適切なグラフ表現、優れたデータ可視化事例、演習Ⅰ「新店舗の売上を予測する」、演習Ⅱ「成績の良くない店舗の顧客を分析する」、演習Ⅲ「顧客の不満を把握する」、演習Ⅳ「顧客不満の詳細な要因を探る」
（学びのキーワード：棒グラフ／円グラフ／レーダーチャート、折れ線グラフ／面グラフ、散布図、ヒートマップ、データの集計（和、平均）、データの並び替え、ランキング、データ解析ツール、表形式のデータ（csv)、条件をそろえた比較、処理の前後の比較、異なる施策による効果の比較、適切なグラフ表現、チャートジャンク、コレラマップ、ナポレオンによる侵攻のマップ、世界保健チャート、新店舗の売上高予測、顧客層別の可視化、分析、顧客満足度調査データの分析、テキストマイニングツールの活用）</t>
    <rPh sb="206" eb="208">
      <t>シュウケイ</t>
    </rPh>
    <rPh sb="209" eb="210">
      <t>ワ</t>
    </rPh>
    <rPh sb="211" eb="213">
      <t>ヘイキン</t>
    </rPh>
    <rPh sb="219" eb="220">
      <t>ナラ</t>
    </rPh>
    <rPh sb="221" eb="222">
      <t>カ</t>
    </rPh>
    <rPh sb="233" eb="235">
      <t>カイセキ</t>
    </rPh>
    <rPh sb="239" eb="242">
      <t>ヒョウケイシキ</t>
    </rPh>
    <phoneticPr fontId="1"/>
  </si>
  <si>
    <t>・「AI・データサイエンス基礎」第9回（データの種類と読み取り）
データの種類、データの分布と代表値、データのばらつき、データのチェック
（学びのキーワード：量的変数と質的変数、尺度、離散変数と連続変数、計算的代表値、位置的代表値、分散、標準偏差、偏差値、欠損、外れ値、異常値、データクレンジング）
・「AI・データサイエンス基礎」第10回（限られたデータからの読み取り）
相関と因果、母集団と抽出、統計情報の正しい理解
（学びのキーワード：相関関係、因果関係、疑似相関、アンスコムの例、全数調査、標本調査、単純無作為抽出法、層別抽出法、認知バイアス、印象操作）</t>
    <rPh sb="44" eb="46">
      <t>ブンプ</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</si>
</sst>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12"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22" xfId="0" applyFont="1" applyBorder="1" applyAlignment="1">
      <alignment horizontal="left" vertical="top" wrapText="1" shrinkToFit="1"/>
    </xf>
    <xf numFmtId="0" fontId="2" fillId="0" borderId="22" xfId="0" applyFont="1" applyBorder="1" applyAlignment="1">
      <alignment horizontal="left" vertical="top" shrinkToFit="1"/>
    </xf>
    <xf numFmtId="0" fontId="2" fillId="0" borderId="21" xfId="0" applyFont="1" applyBorder="1" applyAlignment="1">
      <alignment horizontal="left" vertical="top" shrinkToFit="1"/>
    </xf>
    <xf numFmtId="0" fontId="2" fillId="0" borderId="36" xfId="0" applyFont="1" applyBorder="1" applyAlignment="1">
      <alignment horizontal="left" vertical="top" wrapText="1" shrinkToFit="1"/>
    </xf>
    <xf numFmtId="0" fontId="2" fillId="0" borderId="36" xfId="0" applyFont="1" applyBorder="1" applyAlignment="1">
      <alignment horizontal="left" vertical="top" shrinkToFit="1"/>
    </xf>
    <xf numFmtId="0" fontId="2" fillId="0" borderId="35" xfId="0" applyFont="1" applyBorder="1" applyAlignment="1">
      <alignment horizontal="left" vertical="top" shrinkToFit="1"/>
    </xf>
    <xf numFmtId="0" fontId="2" fillId="0" borderId="38" xfId="0" applyFont="1" applyBorder="1" applyAlignment="1">
      <alignment horizontal="left" vertical="top" wrapText="1" shrinkToFit="1"/>
    </xf>
    <xf numFmtId="0" fontId="2" fillId="0" borderId="38" xfId="0" applyFont="1" applyBorder="1" applyAlignment="1">
      <alignment horizontal="left" vertical="top" shrinkToFit="1"/>
    </xf>
    <xf numFmtId="0" fontId="2" fillId="0" borderId="39"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36" xfId="0" applyFont="1" applyBorder="1" applyAlignment="1">
      <alignment vertical="top" wrapText="1" shrinkToFit="1"/>
    </xf>
    <xf numFmtId="0" fontId="2" fillId="0" borderId="36" xfId="0" applyFont="1" applyBorder="1" applyAlignment="1">
      <alignment vertical="top" shrinkToFit="1"/>
    </xf>
    <xf numFmtId="0" fontId="2" fillId="0" borderId="35" xfId="0" applyFont="1" applyBorder="1" applyAlignment="1">
      <alignment vertical="top" shrinkToFit="1"/>
    </xf>
    <xf numFmtId="0" fontId="2" fillId="0" borderId="20" xfId="0" applyFont="1" applyBorder="1" applyAlignment="1">
      <alignment vertical="top" shrinkToFit="1"/>
    </xf>
    <xf numFmtId="0" fontId="2" fillId="0" borderId="18" xfId="0" applyFont="1" applyBorder="1" applyAlignment="1">
      <alignment vertical="top"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5" zoomScaleNormal="100" zoomScaleSheetLayoutView="100" workbookViewId="0">
      <selection activeCell="D97" sqref="D97:S97"/>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45" customHeight="1" x14ac:dyDescent="0.2">
      <c r="R1" s="120" t="s">
        <v>11</v>
      </c>
      <c r="S1" s="120"/>
      <c r="T1" s="2" t="s">
        <v>109</v>
      </c>
    </row>
    <row r="2" spans="1:22" ht="18.75" customHeight="1" x14ac:dyDescent="0.2">
      <c r="B2" s="33" t="s">
        <v>108</v>
      </c>
      <c r="C2" s="93" t="s">
        <v>126</v>
      </c>
      <c r="D2" s="94"/>
      <c r="E2" s="94"/>
      <c r="F2" s="94"/>
      <c r="G2" s="94"/>
      <c r="H2" s="94"/>
      <c r="I2" s="95"/>
      <c r="J2" s="34"/>
      <c r="K2" s="5"/>
      <c r="L2" s="5"/>
      <c r="M2" s="5"/>
      <c r="N2" s="5"/>
      <c r="O2" s="5"/>
      <c r="P2" s="5"/>
      <c r="Q2" s="5"/>
      <c r="R2" s="5"/>
      <c r="S2" s="5"/>
    </row>
    <row r="3" spans="1:22" ht="18.75" customHeight="1" x14ac:dyDescent="0.2">
      <c r="B3" s="33" t="s">
        <v>102</v>
      </c>
      <c r="C3" s="93" t="s">
        <v>129</v>
      </c>
      <c r="D3" s="94"/>
      <c r="E3" s="94"/>
      <c r="F3" s="94"/>
      <c r="G3" s="94"/>
      <c r="H3" s="94"/>
      <c r="I3" s="95"/>
      <c r="J3" s="34"/>
      <c r="K3" s="5"/>
      <c r="L3" s="5"/>
      <c r="M3" s="5"/>
      <c r="N3" s="5"/>
      <c r="O3" s="5"/>
      <c r="P3" s="5"/>
      <c r="Q3" s="5"/>
      <c r="R3" s="5"/>
      <c r="S3" s="5"/>
    </row>
    <row r="4" spans="1:22" ht="15" customHeight="1" x14ac:dyDescent="0.2">
      <c r="K4" s="34"/>
      <c r="L4" s="36"/>
      <c r="M4" s="36"/>
      <c r="N4" s="36"/>
      <c r="O4" s="36"/>
      <c r="P4" s="36"/>
      <c r="Q4" s="36"/>
      <c r="R4" s="36"/>
      <c r="S4" s="36"/>
    </row>
    <row r="5" spans="1:22" ht="18" customHeight="1" x14ac:dyDescent="0.2">
      <c r="A5" s="124" t="s">
        <v>38</v>
      </c>
      <c r="B5" s="124"/>
      <c r="C5" s="124"/>
      <c r="D5" s="124"/>
      <c r="E5" s="124"/>
      <c r="F5" s="124"/>
      <c r="G5" s="124"/>
      <c r="H5" s="124"/>
      <c r="I5" s="124"/>
      <c r="J5" s="124"/>
      <c r="K5" s="124"/>
      <c r="L5" s="124"/>
      <c r="M5" s="124"/>
      <c r="N5" s="124"/>
      <c r="O5" s="124"/>
      <c r="P5" s="124"/>
      <c r="Q5" s="124"/>
      <c r="R5" s="124"/>
      <c r="S5" s="124"/>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7" t="s">
        <v>107</v>
      </c>
      <c r="K7" s="134" t="s">
        <v>127</v>
      </c>
      <c r="L7" s="135"/>
      <c r="M7" s="135"/>
      <c r="N7" s="135"/>
      <c r="O7" s="135"/>
      <c r="P7" s="135"/>
      <c r="Q7" s="135"/>
      <c r="R7" s="135"/>
      <c r="S7" s="136"/>
    </row>
    <row r="8" spans="1:22" ht="6" customHeight="1" x14ac:dyDescent="0.2">
      <c r="B8" s="3"/>
      <c r="C8" s="3"/>
      <c r="D8" s="3"/>
      <c r="E8" s="3"/>
      <c r="F8" s="3"/>
      <c r="G8" s="3"/>
      <c r="H8" s="3"/>
      <c r="I8" s="3"/>
      <c r="J8" s="3"/>
      <c r="K8" s="9"/>
      <c r="L8" s="3"/>
      <c r="M8" s="3"/>
      <c r="N8" s="3"/>
      <c r="O8" s="3"/>
      <c r="P8" s="3"/>
      <c r="Q8" s="3"/>
      <c r="R8" s="3"/>
      <c r="S8" s="3"/>
    </row>
    <row r="9" spans="1:22" ht="18" customHeight="1" x14ac:dyDescent="0.2">
      <c r="B9" s="137" t="s">
        <v>128</v>
      </c>
      <c r="C9" s="138"/>
      <c r="D9" s="138"/>
      <c r="E9" s="138"/>
      <c r="F9" s="138"/>
      <c r="G9" s="138"/>
      <c r="H9" s="138"/>
      <c r="I9" s="138"/>
      <c r="J9" s="138"/>
      <c r="K9" s="138"/>
      <c r="L9" s="138"/>
      <c r="M9" s="138"/>
      <c r="N9" s="138"/>
      <c r="O9" s="138"/>
      <c r="P9" s="138"/>
      <c r="Q9" s="138"/>
      <c r="R9" s="138"/>
      <c r="S9" s="139"/>
    </row>
    <row r="10" spans="1:22" ht="18" customHeight="1" x14ac:dyDescent="0.2">
      <c r="B10" s="140"/>
      <c r="C10" s="141"/>
      <c r="D10" s="141"/>
      <c r="E10" s="141"/>
      <c r="F10" s="141"/>
      <c r="G10" s="141"/>
      <c r="H10" s="141"/>
      <c r="I10" s="141"/>
      <c r="J10" s="141"/>
      <c r="K10" s="141"/>
      <c r="L10" s="141"/>
      <c r="M10" s="141"/>
      <c r="N10" s="141"/>
      <c r="O10" s="141"/>
      <c r="P10" s="141"/>
      <c r="Q10" s="141"/>
      <c r="R10" s="141"/>
      <c r="S10" s="142"/>
    </row>
    <row r="11" spans="1:22" ht="6" customHeight="1" x14ac:dyDescent="0.2">
      <c r="B11" s="3"/>
      <c r="C11" s="3"/>
      <c r="D11" s="3"/>
      <c r="E11" s="3"/>
      <c r="F11" s="3"/>
      <c r="G11" s="3"/>
      <c r="H11" s="3"/>
      <c r="I11" s="3"/>
      <c r="J11" s="3"/>
      <c r="K11" s="9"/>
      <c r="L11" s="3"/>
      <c r="M11" s="3"/>
      <c r="N11" s="3"/>
      <c r="O11" s="3"/>
      <c r="P11" s="3"/>
      <c r="Q11" s="3"/>
      <c r="R11" s="3"/>
      <c r="S11" s="3"/>
    </row>
    <row r="12" spans="1:22" ht="18" customHeight="1" x14ac:dyDescent="0.2">
      <c r="A12" s="1" t="s">
        <v>111</v>
      </c>
      <c r="B12" s="3"/>
      <c r="C12" s="3"/>
      <c r="D12" s="34"/>
      <c r="E12" s="34"/>
      <c r="F12" s="34"/>
      <c r="G12" s="34"/>
      <c r="H12" s="34"/>
      <c r="I12" s="34"/>
      <c r="J12" s="34"/>
      <c r="K12" s="38"/>
      <c r="L12" s="38"/>
      <c r="M12" s="38"/>
      <c r="N12" s="38"/>
      <c r="O12" s="38"/>
      <c r="P12" s="38"/>
      <c r="Q12" s="38"/>
      <c r="R12" s="38"/>
      <c r="S12" s="38"/>
    </row>
    <row r="13" spans="1:22" ht="18" customHeight="1" x14ac:dyDescent="0.2">
      <c r="A13" s="1">
        <v>2</v>
      </c>
      <c r="B13" s="125" t="s">
        <v>131</v>
      </c>
      <c r="C13" s="126"/>
      <c r="D13" s="126"/>
      <c r="E13" s="126"/>
      <c r="F13" s="126"/>
      <c r="G13" s="126"/>
      <c r="H13" s="126"/>
      <c r="I13" s="126"/>
      <c r="J13" s="126"/>
      <c r="K13" s="126"/>
      <c r="L13" s="126"/>
      <c r="M13" s="126"/>
      <c r="N13" s="126"/>
      <c r="O13" s="126"/>
      <c r="P13" s="126"/>
      <c r="Q13" s="126"/>
      <c r="R13" s="126"/>
      <c r="S13" s="127"/>
      <c r="V13" s="1" t="s">
        <v>103</v>
      </c>
    </row>
    <row r="14" spans="1:22" ht="18" customHeight="1" x14ac:dyDescent="0.2">
      <c r="B14" s="128"/>
      <c r="C14" s="129"/>
      <c r="D14" s="129"/>
      <c r="E14" s="129"/>
      <c r="F14" s="129"/>
      <c r="G14" s="129"/>
      <c r="H14" s="129"/>
      <c r="I14" s="129"/>
      <c r="J14" s="129"/>
      <c r="K14" s="129"/>
      <c r="L14" s="129"/>
      <c r="M14" s="129"/>
      <c r="N14" s="129"/>
      <c r="O14" s="129"/>
      <c r="P14" s="129"/>
      <c r="Q14" s="129"/>
      <c r="R14" s="129"/>
      <c r="S14" s="130"/>
      <c r="V14" s="1" t="s">
        <v>110</v>
      </c>
    </row>
    <row r="15" spans="1:22" ht="18" customHeight="1" x14ac:dyDescent="0.2">
      <c r="B15" s="128"/>
      <c r="C15" s="129"/>
      <c r="D15" s="129"/>
      <c r="E15" s="129"/>
      <c r="F15" s="129"/>
      <c r="G15" s="129"/>
      <c r="H15" s="129"/>
      <c r="I15" s="129"/>
      <c r="J15" s="129"/>
      <c r="K15" s="129"/>
      <c r="L15" s="129"/>
      <c r="M15" s="129"/>
      <c r="N15" s="129"/>
      <c r="O15" s="129"/>
      <c r="P15" s="129"/>
      <c r="Q15" s="129"/>
      <c r="R15" s="129"/>
      <c r="S15" s="130"/>
      <c r="V15" s="1" t="s">
        <v>123</v>
      </c>
    </row>
    <row r="16" spans="1:22" ht="18" customHeight="1" x14ac:dyDescent="0.2">
      <c r="B16" s="128"/>
      <c r="C16" s="129"/>
      <c r="D16" s="129"/>
      <c r="E16" s="129"/>
      <c r="F16" s="129"/>
      <c r="G16" s="129"/>
      <c r="H16" s="129"/>
      <c r="I16" s="129"/>
      <c r="J16" s="129"/>
      <c r="K16" s="129"/>
      <c r="L16" s="129"/>
      <c r="M16" s="129"/>
      <c r="N16" s="129"/>
      <c r="O16" s="129"/>
      <c r="P16" s="129"/>
      <c r="Q16" s="129"/>
      <c r="R16" s="129"/>
      <c r="S16" s="130"/>
      <c r="V16" s="1" t="s">
        <v>125</v>
      </c>
    </row>
    <row r="17" spans="1:19" ht="18" customHeight="1" x14ac:dyDescent="0.2">
      <c r="B17" s="128"/>
      <c r="C17" s="129"/>
      <c r="D17" s="129"/>
      <c r="E17" s="129"/>
      <c r="F17" s="129"/>
      <c r="G17" s="129"/>
      <c r="H17" s="129"/>
      <c r="I17" s="129"/>
      <c r="J17" s="129"/>
      <c r="K17" s="129"/>
      <c r="L17" s="129"/>
      <c r="M17" s="129"/>
      <c r="N17" s="129"/>
      <c r="O17" s="129"/>
      <c r="P17" s="129"/>
      <c r="Q17" s="129"/>
      <c r="R17" s="129"/>
      <c r="S17" s="130"/>
    </row>
    <row r="18" spans="1:19" ht="18" customHeight="1" x14ac:dyDescent="0.2">
      <c r="B18" s="131"/>
      <c r="C18" s="132"/>
      <c r="D18" s="132"/>
      <c r="E18" s="132"/>
      <c r="F18" s="132"/>
      <c r="G18" s="132"/>
      <c r="H18" s="132"/>
      <c r="I18" s="132"/>
      <c r="J18" s="132"/>
      <c r="K18" s="132"/>
      <c r="L18" s="132"/>
      <c r="M18" s="132"/>
      <c r="N18" s="132"/>
      <c r="O18" s="132"/>
      <c r="P18" s="132"/>
      <c r="Q18" s="132"/>
      <c r="R18" s="132"/>
      <c r="S18" s="133"/>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112</v>
      </c>
      <c r="C20" s="93">
        <v>2</v>
      </c>
      <c r="D20" s="95"/>
      <c r="E20" s="39" t="s">
        <v>95</v>
      </c>
      <c r="G20" s="9"/>
      <c r="H20" s="3"/>
      <c r="I20" s="3"/>
      <c r="J20" s="34" t="s">
        <v>121</v>
      </c>
      <c r="K20" s="121" t="s">
        <v>123</v>
      </c>
      <c r="L20" s="122"/>
      <c r="M20" s="122"/>
      <c r="N20" s="122"/>
      <c r="O20" s="122"/>
      <c r="P20" s="122"/>
      <c r="Q20" s="122"/>
      <c r="R20" s="122"/>
      <c r="S20" s="123"/>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9" t="s">
        <v>113</v>
      </c>
      <c r="B22" s="99"/>
      <c r="C22" s="99"/>
      <c r="D22" s="99"/>
      <c r="E22" s="99"/>
      <c r="F22" s="99"/>
      <c r="G22" s="99"/>
      <c r="H22" s="99"/>
      <c r="I22" s="99"/>
      <c r="J22" s="99"/>
      <c r="K22" s="99"/>
      <c r="L22" s="99"/>
      <c r="M22" s="99"/>
      <c r="N22" s="99"/>
      <c r="O22" s="99"/>
      <c r="P22" s="99"/>
      <c r="Q22" s="99"/>
      <c r="R22" s="99"/>
      <c r="S22" s="99"/>
    </row>
    <row r="23" spans="1:19" ht="18" customHeight="1" x14ac:dyDescent="0.2">
      <c r="A23" s="99"/>
      <c r="B23" s="99"/>
      <c r="C23" s="99"/>
      <c r="D23" s="99"/>
      <c r="E23" s="99"/>
      <c r="F23" s="99"/>
      <c r="G23" s="99"/>
      <c r="H23" s="99"/>
      <c r="I23" s="99"/>
      <c r="J23" s="99"/>
      <c r="K23" s="99"/>
      <c r="L23" s="99"/>
      <c r="M23" s="99"/>
      <c r="N23" s="99"/>
      <c r="O23" s="99"/>
      <c r="P23" s="99"/>
      <c r="Q23" s="99"/>
      <c r="R23" s="99"/>
      <c r="S23" s="99"/>
    </row>
    <row r="24" spans="1:19" ht="18" customHeight="1" x14ac:dyDescent="0.2">
      <c r="B24" s="93" t="s">
        <v>53</v>
      </c>
      <c r="C24" s="94"/>
      <c r="D24" s="94"/>
      <c r="E24" s="95"/>
      <c r="F24" s="60" t="s">
        <v>80</v>
      </c>
      <c r="G24" s="59" t="s">
        <v>84</v>
      </c>
      <c r="H24" s="21" t="s">
        <v>56</v>
      </c>
      <c r="I24" s="21" t="s">
        <v>59</v>
      </c>
      <c r="J24" s="93" t="s">
        <v>53</v>
      </c>
      <c r="K24" s="94"/>
      <c r="L24" s="94"/>
      <c r="M24" s="94"/>
      <c r="N24" s="94"/>
      <c r="O24" s="95"/>
      <c r="P24" s="60" t="s">
        <v>80</v>
      </c>
      <c r="Q24" s="59" t="s">
        <v>84</v>
      </c>
      <c r="R24" s="21" t="s">
        <v>56</v>
      </c>
      <c r="S24" s="21" t="s">
        <v>59</v>
      </c>
    </row>
    <row r="25" spans="1:19" ht="18" customHeight="1" x14ac:dyDescent="0.2">
      <c r="B25" s="87" t="s">
        <v>129</v>
      </c>
      <c r="C25" s="88"/>
      <c r="D25" s="88"/>
      <c r="E25" s="89"/>
      <c r="F25" s="22">
        <v>2</v>
      </c>
      <c r="G25" s="22" t="s">
        <v>130</v>
      </c>
      <c r="H25" s="22" t="s">
        <v>130</v>
      </c>
      <c r="I25" s="22" t="s">
        <v>130</v>
      </c>
      <c r="J25" s="87"/>
      <c r="K25" s="88"/>
      <c r="L25" s="88"/>
      <c r="M25" s="88"/>
      <c r="N25" s="88"/>
      <c r="O25" s="89"/>
      <c r="P25" s="22"/>
      <c r="Q25" s="22"/>
      <c r="R25" s="22"/>
      <c r="S25" s="22"/>
    </row>
    <row r="26" spans="1:19" ht="18" customHeight="1" x14ac:dyDescent="0.2">
      <c r="B26" s="90"/>
      <c r="C26" s="91"/>
      <c r="D26" s="91"/>
      <c r="E26" s="92"/>
      <c r="F26" s="23"/>
      <c r="G26" s="23"/>
      <c r="H26" s="23"/>
      <c r="I26" s="23"/>
      <c r="J26" s="90"/>
      <c r="K26" s="91"/>
      <c r="L26" s="91"/>
      <c r="M26" s="91"/>
      <c r="N26" s="91"/>
      <c r="O26" s="92"/>
      <c r="P26" s="23"/>
      <c r="Q26" s="23"/>
      <c r="R26" s="23"/>
      <c r="S26" s="23"/>
    </row>
    <row r="27" spans="1:19" ht="18" customHeight="1" x14ac:dyDescent="0.2">
      <c r="B27" s="90"/>
      <c r="C27" s="91"/>
      <c r="D27" s="91"/>
      <c r="E27" s="92"/>
      <c r="F27" s="23"/>
      <c r="G27" s="23"/>
      <c r="H27" s="23"/>
      <c r="I27" s="23"/>
      <c r="J27" s="90"/>
      <c r="K27" s="91"/>
      <c r="L27" s="91"/>
      <c r="M27" s="91"/>
      <c r="N27" s="91"/>
      <c r="O27" s="92"/>
      <c r="P27" s="23"/>
      <c r="Q27" s="23"/>
      <c r="R27" s="23"/>
      <c r="S27" s="23"/>
    </row>
    <row r="28" spans="1:19" ht="18" customHeight="1" x14ac:dyDescent="0.2">
      <c r="B28" s="90"/>
      <c r="C28" s="91"/>
      <c r="D28" s="91"/>
      <c r="E28" s="92"/>
      <c r="F28" s="23"/>
      <c r="G28" s="23"/>
      <c r="H28" s="23"/>
      <c r="I28" s="23"/>
      <c r="J28" s="90"/>
      <c r="K28" s="91"/>
      <c r="L28" s="91"/>
      <c r="M28" s="91"/>
      <c r="N28" s="91"/>
      <c r="O28" s="92"/>
      <c r="P28" s="23"/>
      <c r="Q28" s="23"/>
      <c r="R28" s="23"/>
      <c r="S28" s="23"/>
    </row>
    <row r="29" spans="1:19" ht="18" customHeight="1" x14ac:dyDescent="0.2">
      <c r="B29" s="90"/>
      <c r="C29" s="91"/>
      <c r="D29" s="91"/>
      <c r="E29" s="92"/>
      <c r="F29" s="23"/>
      <c r="G29" s="23"/>
      <c r="H29" s="23"/>
      <c r="I29" s="23"/>
      <c r="J29" s="90"/>
      <c r="K29" s="91"/>
      <c r="L29" s="91"/>
      <c r="M29" s="91"/>
      <c r="N29" s="91"/>
      <c r="O29" s="92"/>
      <c r="P29" s="23"/>
      <c r="Q29" s="23"/>
      <c r="R29" s="23"/>
      <c r="S29" s="23"/>
    </row>
    <row r="30" spans="1:19" ht="18" customHeight="1" x14ac:dyDescent="0.2">
      <c r="A30" s="3"/>
      <c r="B30" s="90"/>
      <c r="C30" s="91"/>
      <c r="D30" s="91"/>
      <c r="E30" s="92"/>
      <c r="F30" s="23"/>
      <c r="G30" s="23"/>
      <c r="H30" s="23"/>
      <c r="I30" s="23"/>
      <c r="J30" s="90"/>
      <c r="K30" s="91"/>
      <c r="L30" s="91"/>
      <c r="M30" s="91"/>
      <c r="N30" s="91"/>
      <c r="O30" s="92"/>
      <c r="P30" s="23"/>
      <c r="Q30" s="23"/>
      <c r="R30" s="23"/>
      <c r="S30" s="23"/>
    </row>
    <row r="31" spans="1:19" ht="18" customHeight="1" x14ac:dyDescent="0.2">
      <c r="A31" s="3"/>
      <c r="B31" s="96"/>
      <c r="C31" s="97"/>
      <c r="D31" s="97"/>
      <c r="E31" s="98"/>
      <c r="F31" s="24"/>
      <c r="G31" s="24"/>
      <c r="H31" s="25"/>
      <c r="I31" s="25"/>
      <c r="J31" s="96"/>
      <c r="K31" s="97"/>
      <c r="L31" s="97"/>
      <c r="M31" s="97"/>
      <c r="N31" s="97"/>
      <c r="O31" s="98"/>
      <c r="P31" s="24"/>
      <c r="Q31" s="24"/>
      <c r="R31" s="25"/>
      <c r="S31" s="25"/>
    </row>
    <row r="32" spans="1:19" ht="7.5" customHeight="1" x14ac:dyDescent="0.2">
      <c r="A32" s="3"/>
      <c r="B32" s="5"/>
      <c r="C32" s="5"/>
      <c r="D32" s="3"/>
      <c r="E32" s="3"/>
      <c r="F32" s="3"/>
      <c r="G32" s="3"/>
      <c r="H32" s="5"/>
      <c r="I32" s="5"/>
      <c r="J32" s="5"/>
      <c r="K32" s="5"/>
      <c r="L32" s="5"/>
      <c r="M32" s="5"/>
      <c r="N32" s="5"/>
      <c r="O32" s="5"/>
      <c r="P32" s="5"/>
      <c r="Q32" s="5"/>
      <c r="R32" s="5"/>
      <c r="S32" s="3"/>
    </row>
    <row r="33" spans="1:19" ht="18" customHeight="1" x14ac:dyDescent="0.2">
      <c r="A33" s="99" t="s">
        <v>114</v>
      </c>
      <c r="B33" s="99"/>
      <c r="C33" s="99"/>
      <c r="D33" s="99"/>
      <c r="E33" s="99"/>
      <c r="F33" s="99"/>
      <c r="G33" s="99"/>
      <c r="H33" s="99"/>
      <c r="I33" s="99"/>
      <c r="J33" s="99"/>
      <c r="K33" s="99"/>
      <c r="L33" s="99"/>
      <c r="M33" s="99"/>
      <c r="N33" s="99"/>
      <c r="O33" s="99"/>
      <c r="P33" s="99"/>
      <c r="Q33" s="99"/>
      <c r="R33" s="99"/>
      <c r="S33" s="99"/>
    </row>
    <row r="34" spans="1:19" ht="18" customHeight="1" x14ac:dyDescent="0.2">
      <c r="A34" s="99"/>
      <c r="B34" s="99"/>
      <c r="C34" s="99"/>
      <c r="D34" s="99"/>
      <c r="E34" s="99"/>
      <c r="F34" s="99"/>
      <c r="G34" s="99"/>
      <c r="H34" s="99"/>
      <c r="I34" s="99"/>
      <c r="J34" s="99"/>
      <c r="K34" s="99"/>
      <c r="L34" s="99"/>
      <c r="M34" s="99"/>
      <c r="N34" s="99"/>
      <c r="O34" s="99"/>
      <c r="P34" s="99"/>
      <c r="Q34" s="99"/>
      <c r="R34" s="99"/>
      <c r="S34" s="99"/>
    </row>
    <row r="35" spans="1:19" ht="18" customHeight="1" x14ac:dyDescent="0.2">
      <c r="B35" s="93" t="s">
        <v>53</v>
      </c>
      <c r="C35" s="94"/>
      <c r="D35" s="94"/>
      <c r="E35" s="95"/>
      <c r="F35" s="60" t="s">
        <v>80</v>
      </c>
      <c r="G35" s="59" t="s">
        <v>84</v>
      </c>
      <c r="H35" s="21" t="s">
        <v>71</v>
      </c>
      <c r="I35" s="21" t="s">
        <v>72</v>
      </c>
      <c r="J35" s="93" t="s">
        <v>53</v>
      </c>
      <c r="K35" s="94"/>
      <c r="L35" s="94"/>
      <c r="M35" s="94"/>
      <c r="N35" s="94"/>
      <c r="O35" s="95"/>
      <c r="P35" s="60" t="s">
        <v>80</v>
      </c>
      <c r="Q35" s="59" t="s">
        <v>84</v>
      </c>
      <c r="R35" s="21" t="s">
        <v>71</v>
      </c>
      <c r="S35" s="21" t="s">
        <v>72</v>
      </c>
    </row>
    <row r="36" spans="1:19" ht="18" customHeight="1" x14ac:dyDescent="0.2">
      <c r="B36" s="87" t="s">
        <v>129</v>
      </c>
      <c r="C36" s="88"/>
      <c r="D36" s="88"/>
      <c r="E36" s="89"/>
      <c r="F36" s="22">
        <v>2</v>
      </c>
      <c r="G36" s="22" t="s">
        <v>130</v>
      </c>
      <c r="H36" s="22" t="s">
        <v>130</v>
      </c>
      <c r="I36" s="22" t="s">
        <v>130</v>
      </c>
      <c r="J36" s="87"/>
      <c r="K36" s="88"/>
      <c r="L36" s="88"/>
      <c r="M36" s="88"/>
      <c r="N36" s="88"/>
      <c r="O36" s="89"/>
      <c r="P36" s="22"/>
      <c r="Q36" s="22"/>
      <c r="R36" s="22"/>
      <c r="S36" s="22"/>
    </row>
    <row r="37" spans="1:19" ht="18" customHeight="1" x14ac:dyDescent="0.2">
      <c r="B37" s="90"/>
      <c r="C37" s="91"/>
      <c r="D37" s="91"/>
      <c r="E37" s="92"/>
      <c r="F37" s="23"/>
      <c r="G37" s="23"/>
      <c r="H37" s="23"/>
      <c r="I37" s="23"/>
      <c r="J37" s="90"/>
      <c r="K37" s="91"/>
      <c r="L37" s="91"/>
      <c r="M37" s="91"/>
      <c r="N37" s="91"/>
      <c r="O37" s="92"/>
      <c r="P37" s="23"/>
      <c r="Q37" s="23"/>
      <c r="R37" s="23"/>
      <c r="S37" s="23"/>
    </row>
    <row r="38" spans="1:19" ht="18" customHeight="1" x14ac:dyDescent="0.2">
      <c r="B38" s="90"/>
      <c r="C38" s="91"/>
      <c r="D38" s="91"/>
      <c r="E38" s="92"/>
      <c r="F38" s="23"/>
      <c r="G38" s="23"/>
      <c r="H38" s="23"/>
      <c r="I38" s="23"/>
      <c r="J38" s="90"/>
      <c r="K38" s="91"/>
      <c r="L38" s="91"/>
      <c r="M38" s="91"/>
      <c r="N38" s="91"/>
      <c r="O38" s="92"/>
      <c r="P38" s="23"/>
      <c r="Q38" s="23"/>
      <c r="R38" s="23"/>
      <c r="S38" s="23"/>
    </row>
    <row r="39" spans="1:19" ht="18" customHeight="1" x14ac:dyDescent="0.2">
      <c r="B39" s="90"/>
      <c r="C39" s="91"/>
      <c r="D39" s="91"/>
      <c r="E39" s="92"/>
      <c r="F39" s="23"/>
      <c r="G39" s="23"/>
      <c r="H39" s="23"/>
      <c r="I39" s="23"/>
      <c r="J39" s="90"/>
      <c r="K39" s="91"/>
      <c r="L39" s="91"/>
      <c r="M39" s="91"/>
      <c r="N39" s="91"/>
      <c r="O39" s="92"/>
      <c r="P39" s="23"/>
      <c r="Q39" s="23"/>
      <c r="R39" s="23"/>
      <c r="S39" s="23"/>
    </row>
    <row r="40" spans="1:19" ht="18" customHeight="1" x14ac:dyDescent="0.2">
      <c r="B40" s="90"/>
      <c r="C40" s="91"/>
      <c r="D40" s="91"/>
      <c r="E40" s="92"/>
      <c r="F40" s="23"/>
      <c r="G40" s="23"/>
      <c r="H40" s="23"/>
      <c r="I40" s="23"/>
      <c r="J40" s="90"/>
      <c r="K40" s="91"/>
      <c r="L40" s="91"/>
      <c r="M40" s="91"/>
      <c r="N40" s="91"/>
      <c r="O40" s="92"/>
      <c r="P40" s="23"/>
      <c r="Q40" s="23"/>
      <c r="R40" s="23"/>
      <c r="S40" s="23"/>
    </row>
    <row r="41" spans="1:19" ht="18" customHeight="1" x14ac:dyDescent="0.2">
      <c r="B41" s="90"/>
      <c r="C41" s="91"/>
      <c r="D41" s="91"/>
      <c r="E41" s="92"/>
      <c r="F41" s="23"/>
      <c r="G41" s="23"/>
      <c r="H41" s="23"/>
      <c r="I41" s="23"/>
      <c r="J41" s="90"/>
      <c r="K41" s="91"/>
      <c r="L41" s="91"/>
      <c r="M41" s="91"/>
      <c r="N41" s="91"/>
      <c r="O41" s="92"/>
      <c r="P41" s="23"/>
      <c r="Q41" s="23"/>
      <c r="R41" s="23"/>
      <c r="S41" s="23"/>
    </row>
    <row r="42" spans="1:19" ht="18" customHeight="1" x14ac:dyDescent="0.2">
      <c r="B42" s="96"/>
      <c r="C42" s="97"/>
      <c r="D42" s="97"/>
      <c r="E42" s="98"/>
      <c r="F42" s="24"/>
      <c r="G42" s="24"/>
      <c r="H42" s="25"/>
      <c r="I42" s="25"/>
      <c r="J42" s="96"/>
      <c r="K42" s="97"/>
      <c r="L42" s="97"/>
      <c r="M42" s="97"/>
      <c r="N42" s="97"/>
      <c r="O42" s="98"/>
      <c r="P42" s="24"/>
      <c r="Q42" s="24"/>
      <c r="R42" s="25"/>
      <c r="S42" s="25"/>
    </row>
    <row r="43" spans="1:19" ht="7.5" customHeight="1" x14ac:dyDescent="0.2">
      <c r="A43" s="3"/>
      <c r="B43" s="5"/>
      <c r="C43" s="5"/>
      <c r="D43" s="3"/>
      <c r="E43" s="3"/>
      <c r="F43" s="3"/>
      <c r="G43" s="3"/>
      <c r="H43" s="5"/>
      <c r="I43" s="5"/>
      <c r="J43" s="5"/>
      <c r="K43" s="5"/>
      <c r="L43" s="5"/>
      <c r="M43" s="5"/>
      <c r="N43" s="5"/>
      <c r="O43" s="5"/>
      <c r="P43" s="5"/>
      <c r="Q43" s="5"/>
      <c r="R43" s="5"/>
      <c r="S43" s="3"/>
    </row>
    <row r="44" spans="1:19" ht="18" customHeight="1" x14ac:dyDescent="0.2">
      <c r="A44" s="99" t="s">
        <v>115</v>
      </c>
      <c r="B44" s="99"/>
      <c r="C44" s="99"/>
      <c r="D44" s="99"/>
      <c r="E44" s="99"/>
      <c r="F44" s="99"/>
      <c r="G44" s="99"/>
      <c r="H44" s="99"/>
      <c r="I44" s="99"/>
      <c r="J44" s="99"/>
      <c r="K44" s="99"/>
      <c r="L44" s="99"/>
      <c r="M44" s="99"/>
      <c r="N44" s="99"/>
      <c r="O44" s="99"/>
      <c r="P44" s="99"/>
      <c r="Q44" s="99"/>
      <c r="R44" s="99"/>
      <c r="S44" s="99"/>
    </row>
    <row r="45" spans="1:19" ht="18" customHeight="1" x14ac:dyDescent="0.2">
      <c r="A45" s="99"/>
      <c r="B45" s="99"/>
      <c r="C45" s="99"/>
      <c r="D45" s="99"/>
      <c r="E45" s="99"/>
      <c r="F45" s="99"/>
      <c r="G45" s="99"/>
      <c r="H45" s="99"/>
      <c r="I45" s="99"/>
      <c r="J45" s="99"/>
      <c r="K45" s="99"/>
      <c r="L45" s="99"/>
      <c r="M45" s="99"/>
      <c r="N45" s="99"/>
      <c r="O45" s="99"/>
      <c r="P45" s="99"/>
      <c r="Q45" s="99"/>
      <c r="R45" s="99"/>
      <c r="S45" s="99"/>
    </row>
    <row r="46" spans="1:19" ht="18" customHeight="1" x14ac:dyDescent="0.2">
      <c r="B46" s="93" t="s">
        <v>53</v>
      </c>
      <c r="C46" s="94"/>
      <c r="D46" s="94"/>
      <c r="E46" s="95"/>
      <c r="F46" s="60" t="s">
        <v>80</v>
      </c>
      <c r="G46" s="59" t="s">
        <v>84</v>
      </c>
      <c r="H46" s="21" t="s">
        <v>73</v>
      </c>
      <c r="I46" s="21" t="s">
        <v>74</v>
      </c>
      <c r="J46" s="93" t="s">
        <v>53</v>
      </c>
      <c r="K46" s="94"/>
      <c r="L46" s="94"/>
      <c r="M46" s="94"/>
      <c r="N46" s="94"/>
      <c r="O46" s="95"/>
      <c r="P46" s="60" t="s">
        <v>80</v>
      </c>
      <c r="Q46" s="59" t="s">
        <v>84</v>
      </c>
      <c r="R46" s="21" t="s">
        <v>73</v>
      </c>
      <c r="S46" s="21" t="s">
        <v>74</v>
      </c>
    </row>
    <row r="47" spans="1:19" ht="18" customHeight="1" x14ac:dyDescent="0.2">
      <c r="A47" s="3"/>
      <c r="B47" s="87" t="s">
        <v>129</v>
      </c>
      <c r="C47" s="88"/>
      <c r="D47" s="88"/>
      <c r="E47" s="89"/>
      <c r="F47" s="22">
        <v>2</v>
      </c>
      <c r="G47" s="22" t="s">
        <v>130</v>
      </c>
      <c r="H47" s="22" t="s">
        <v>130</v>
      </c>
      <c r="I47" s="22" t="s">
        <v>130</v>
      </c>
      <c r="J47" s="87"/>
      <c r="K47" s="88"/>
      <c r="L47" s="88"/>
      <c r="M47" s="88"/>
      <c r="N47" s="88"/>
      <c r="O47" s="89"/>
      <c r="P47" s="22"/>
      <c r="Q47" s="22"/>
      <c r="R47" s="22"/>
      <c r="S47" s="22"/>
    </row>
    <row r="48" spans="1:19" ht="18" customHeight="1" x14ac:dyDescent="0.2">
      <c r="A48" s="3"/>
      <c r="B48" s="90"/>
      <c r="C48" s="91"/>
      <c r="D48" s="91"/>
      <c r="E48" s="92"/>
      <c r="F48" s="23"/>
      <c r="G48" s="23"/>
      <c r="H48" s="23"/>
      <c r="I48" s="23"/>
      <c r="J48" s="90"/>
      <c r="K48" s="91"/>
      <c r="L48" s="91"/>
      <c r="M48" s="91"/>
      <c r="N48" s="91"/>
      <c r="O48" s="92"/>
      <c r="P48" s="23"/>
      <c r="Q48" s="23"/>
      <c r="R48" s="23"/>
      <c r="S48" s="23"/>
    </row>
    <row r="49" spans="1:19" ht="18" customHeight="1" x14ac:dyDescent="0.2">
      <c r="A49" s="3"/>
      <c r="B49" s="90"/>
      <c r="C49" s="91"/>
      <c r="D49" s="91"/>
      <c r="E49" s="92"/>
      <c r="F49" s="23"/>
      <c r="G49" s="23"/>
      <c r="H49" s="23"/>
      <c r="I49" s="23"/>
      <c r="J49" s="90"/>
      <c r="K49" s="91"/>
      <c r="L49" s="91"/>
      <c r="M49" s="91"/>
      <c r="N49" s="91"/>
      <c r="O49" s="92"/>
      <c r="P49" s="23"/>
      <c r="Q49" s="23"/>
      <c r="R49" s="23"/>
      <c r="S49" s="23"/>
    </row>
    <row r="50" spans="1:19" ht="18" customHeight="1" x14ac:dyDescent="0.2">
      <c r="A50" s="3"/>
      <c r="B50" s="90"/>
      <c r="C50" s="91"/>
      <c r="D50" s="91"/>
      <c r="E50" s="92"/>
      <c r="F50" s="23"/>
      <c r="G50" s="23"/>
      <c r="H50" s="23"/>
      <c r="I50" s="23"/>
      <c r="J50" s="90"/>
      <c r="K50" s="91"/>
      <c r="L50" s="91"/>
      <c r="M50" s="91"/>
      <c r="N50" s="91"/>
      <c r="O50" s="92"/>
      <c r="P50" s="23"/>
      <c r="Q50" s="23"/>
      <c r="R50" s="23"/>
      <c r="S50" s="23"/>
    </row>
    <row r="51" spans="1:19" ht="18" customHeight="1" x14ac:dyDescent="0.2">
      <c r="A51" s="3"/>
      <c r="B51" s="90"/>
      <c r="C51" s="91"/>
      <c r="D51" s="91"/>
      <c r="E51" s="92"/>
      <c r="F51" s="23"/>
      <c r="G51" s="23"/>
      <c r="H51" s="23"/>
      <c r="I51" s="23"/>
      <c r="J51" s="90"/>
      <c r="K51" s="91"/>
      <c r="L51" s="91"/>
      <c r="M51" s="91"/>
      <c r="N51" s="91"/>
      <c r="O51" s="92"/>
      <c r="P51" s="23"/>
      <c r="Q51" s="23"/>
      <c r="R51" s="23"/>
      <c r="S51" s="23"/>
    </row>
    <row r="52" spans="1:19" ht="18" customHeight="1" x14ac:dyDescent="0.2">
      <c r="A52" s="3"/>
      <c r="B52" s="90"/>
      <c r="C52" s="91"/>
      <c r="D52" s="91"/>
      <c r="E52" s="92"/>
      <c r="F52" s="23"/>
      <c r="G52" s="23"/>
      <c r="H52" s="23"/>
      <c r="I52" s="23"/>
      <c r="J52" s="90"/>
      <c r="K52" s="91"/>
      <c r="L52" s="91"/>
      <c r="M52" s="91"/>
      <c r="N52" s="91"/>
      <c r="O52" s="92"/>
      <c r="P52" s="23"/>
      <c r="Q52" s="23"/>
      <c r="R52" s="23"/>
      <c r="S52" s="23"/>
    </row>
    <row r="53" spans="1:19" ht="18" customHeight="1" x14ac:dyDescent="0.2">
      <c r="A53" s="3"/>
      <c r="B53" s="96"/>
      <c r="C53" s="97"/>
      <c r="D53" s="97"/>
      <c r="E53" s="98"/>
      <c r="F53" s="24"/>
      <c r="G53" s="24"/>
      <c r="H53" s="25"/>
      <c r="I53" s="25"/>
      <c r="J53" s="96"/>
      <c r="K53" s="97"/>
      <c r="L53" s="97"/>
      <c r="M53" s="97"/>
      <c r="N53" s="97"/>
      <c r="O53" s="98"/>
      <c r="P53" s="24"/>
      <c r="Q53" s="24"/>
      <c r="R53" s="25"/>
      <c r="S53" s="25"/>
    </row>
    <row r="54" spans="1:19" ht="7.5" customHeight="1" x14ac:dyDescent="0.2">
      <c r="B54" s="14"/>
      <c r="C54" s="14"/>
      <c r="D54" s="14"/>
      <c r="E54" s="14"/>
      <c r="F54" s="14"/>
      <c r="G54" s="14"/>
      <c r="H54" s="14"/>
      <c r="I54" s="14"/>
      <c r="J54" s="14"/>
      <c r="K54" s="14"/>
      <c r="L54" s="14"/>
      <c r="M54" s="14"/>
      <c r="N54" s="14"/>
      <c r="O54" s="14"/>
      <c r="P54" s="14"/>
      <c r="Q54" s="14"/>
      <c r="R54" s="14"/>
    </row>
    <row r="55" spans="1:19" ht="18" customHeight="1" x14ac:dyDescent="0.2">
      <c r="A55" s="99" t="s">
        <v>116</v>
      </c>
      <c r="B55" s="99"/>
      <c r="C55" s="99"/>
      <c r="D55" s="99"/>
      <c r="E55" s="99"/>
      <c r="F55" s="99"/>
      <c r="G55" s="99"/>
      <c r="H55" s="99"/>
      <c r="I55" s="99"/>
      <c r="J55" s="99"/>
      <c r="K55" s="99"/>
      <c r="L55" s="99"/>
      <c r="M55" s="99"/>
      <c r="N55" s="99"/>
      <c r="O55" s="99"/>
      <c r="P55" s="99"/>
      <c r="Q55" s="99"/>
      <c r="R55" s="99"/>
      <c r="S55" s="99"/>
    </row>
    <row r="56" spans="1:19" ht="18" customHeight="1" x14ac:dyDescent="0.2">
      <c r="A56" s="99"/>
      <c r="B56" s="99"/>
      <c r="C56" s="99"/>
      <c r="D56" s="99"/>
      <c r="E56" s="99"/>
      <c r="F56" s="99"/>
      <c r="G56" s="99"/>
      <c r="H56" s="99"/>
      <c r="I56" s="99"/>
      <c r="J56" s="99"/>
      <c r="K56" s="99"/>
      <c r="L56" s="99"/>
      <c r="M56" s="99"/>
      <c r="N56" s="99"/>
      <c r="O56" s="99"/>
      <c r="P56" s="99"/>
      <c r="Q56" s="99"/>
      <c r="R56" s="99"/>
      <c r="S56" s="99"/>
    </row>
    <row r="57" spans="1:19" ht="18" customHeight="1" x14ac:dyDescent="0.2">
      <c r="B57" s="93" t="s">
        <v>53</v>
      </c>
      <c r="C57" s="94"/>
      <c r="D57" s="94"/>
      <c r="E57" s="95"/>
      <c r="F57" s="60" t="s">
        <v>80</v>
      </c>
      <c r="G57" s="59" t="s">
        <v>84</v>
      </c>
      <c r="H57" s="21" t="s">
        <v>58</v>
      </c>
      <c r="I57" s="21" t="s">
        <v>60</v>
      </c>
      <c r="J57" s="93" t="s">
        <v>53</v>
      </c>
      <c r="K57" s="94"/>
      <c r="L57" s="94"/>
      <c r="M57" s="94"/>
      <c r="N57" s="94"/>
      <c r="O57" s="95"/>
      <c r="P57" s="60" t="s">
        <v>80</v>
      </c>
      <c r="Q57" s="59" t="s">
        <v>84</v>
      </c>
      <c r="R57" s="21" t="s">
        <v>58</v>
      </c>
      <c r="S57" s="21" t="s">
        <v>60</v>
      </c>
    </row>
    <row r="58" spans="1:19" ht="18" customHeight="1" x14ac:dyDescent="0.2">
      <c r="A58" s="3"/>
      <c r="B58" s="87" t="s">
        <v>129</v>
      </c>
      <c r="C58" s="88"/>
      <c r="D58" s="88"/>
      <c r="E58" s="89"/>
      <c r="F58" s="22">
        <v>2</v>
      </c>
      <c r="G58" s="22" t="s">
        <v>130</v>
      </c>
      <c r="H58" s="22" t="s">
        <v>130</v>
      </c>
      <c r="I58" s="22" t="s">
        <v>130</v>
      </c>
      <c r="J58" s="87"/>
      <c r="K58" s="88"/>
      <c r="L58" s="88"/>
      <c r="M58" s="88"/>
      <c r="N58" s="88"/>
      <c r="O58" s="89"/>
      <c r="P58" s="22"/>
      <c r="Q58" s="22"/>
      <c r="R58" s="22"/>
      <c r="S58" s="22"/>
    </row>
    <row r="59" spans="1:19" ht="18" customHeight="1" x14ac:dyDescent="0.2">
      <c r="A59" s="3"/>
      <c r="B59" s="90"/>
      <c r="C59" s="91"/>
      <c r="D59" s="91"/>
      <c r="E59" s="92"/>
      <c r="F59" s="23"/>
      <c r="G59" s="23"/>
      <c r="H59" s="23"/>
      <c r="I59" s="23"/>
      <c r="J59" s="90"/>
      <c r="K59" s="91"/>
      <c r="L59" s="91"/>
      <c r="M59" s="91"/>
      <c r="N59" s="91"/>
      <c r="O59" s="92"/>
      <c r="P59" s="23"/>
      <c r="Q59" s="23"/>
      <c r="R59" s="23"/>
      <c r="S59" s="23"/>
    </row>
    <row r="60" spans="1:19" ht="18" customHeight="1" x14ac:dyDescent="0.2">
      <c r="A60" s="3"/>
      <c r="B60" s="90"/>
      <c r="C60" s="91"/>
      <c r="D60" s="91"/>
      <c r="E60" s="92"/>
      <c r="F60" s="23"/>
      <c r="G60" s="23"/>
      <c r="H60" s="23"/>
      <c r="I60" s="23"/>
      <c r="J60" s="90"/>
      <c r="K60" s="91"/>
      <c r="L60" s="91"/>
      <c r="M60" s="91"/>
      <c r="N60" s="91"/>
      <c r="O60" s="92"/>
      <c r="P60" s="23"/>
      <c r="Q60" s="23"/>
      <c r="R60" s="23"/>
      <c r="S60" s="23"/>
    </row>
    <row r="61" spans="1:19" ht="18" customHeight="1" x14ac:dyDescent="0.2">
      <c r="A61" s="3"/>
      <c r="B61" s="90"/>
      <c r="C61" s="91"/>
      <c r="D61" s="91"/>
      <c r="E61" s="92"/>
      <c r="F61" s="23"/>
      <c r="G61" s="23"/>
      <c r="H61" s="23"/>
      <c r="I61" s="23"/>
      <c r="J61" s="90"/>
      <c r="K61" s="91"/>
      <c r="L61" s="91"/>
      <c r="M61" s="91"/>
      <c r="N61" s="91"/>
      <c r="O61" s="92"/>
      <c r="P61" s="23"/>
      <c r="Q61" s="23"/>
      <c r="R61" s="23"/>
      <c r="S61" s="23"/>
    </row>
    <row r="62" spans="1:19" ht="18" customHeight="1" x14ac:dyDescent="0.2">
      <c r="A62" s="3"/>
      <c r="B62" s="90"/>
      <c r="C62" s="91"/>
      <c r="D62" s="91"/>
      <c r="E62" s="92"/>
      <c r="F62" s="23"/>
      <c r="G62" s="23"/>
      <c r="H62" s="23"/>
      <c r="I62" s="23"/>
      <c r="J62" s="90"/>
      <c r="K62" s="91"/>
      <c r="L62" s="91"/>
      <c r="M62" s="91"/>
      <c r="N62" s="91"/>
      <c r="O62" s="92"/>
      <c r="P62" s="23"/>
      <c r="Q62" s="23"/>
      <c r="R62" s="23"/>
      <c r="S62" s="23"/>
    </row>
    <row r="63" spans="1:19" ht="18" customHeight="1" x14ac:dyDescent="0.2">
      <c r="A63" s="3"/>
      <c r="B63" s="90"/>
      <c r="C63" s="91"/>
      <c r="D63" s="91"/>
      <c r="E63" s="92"/>
      <c r="F63" s="23"/>
      <c r="G63" s="23"/>
      <c r="H63" s="23"/>
      <c r="I63" s="23"/>
      <c r="J63" s="90"/>
      <c r="K63" s="91"/>
      <c r="L63" s="91"/>
      <c r="M63" s="91"/>
      <c r="N63" s="91"/>
      <c r="O63" s="92"/>
      <c r="P63" s="23"/>
      <c r="Q63" s="23"/>
      <c r="R63" s="23"/>
      <c r="S63" s="23"/>
    </row>
    <row r="64" spans="1:19" ht="18" customHeight="1" x14ac:dyDescent="0.2">
      <c r="A64" s="3"/>
      <c r="B64" s="96"/>
      <c r="C64" s="97"/>
      <c r="D64" s="97"/>
      <c r="E64" s="98"/>
      <c r="F64" s="24"/>
      <c r="G64" s="24"/>
      <c r="H64" s="25"/>
      <c r="I64" s="25"/>
      <c r="J64" s="96"/>
      <c r="K64" s="97"/>
      <c r="L64" s="97"/>
      <c r="M64" s="97"/>
      <c r="N64" s="97"/>
      <c r="O64" s="98"/>
      <c r="P64" s="24"/>
      <c r="Q64" s="24"/>
      <c r="R64" s="25"/>
      <c r="S64" s="25"/>
    </row>
    <row r="65" spans="1:19" ht="7.5" customHeight="1" x14ac:dyDescent="0.2">
      <c r="B65" s="14"/>
      <c r="C65" s="14"/>
      <c r="D65" s="14"/>
      <c r="E65" s="14"/>
      <c r="F65" s="14"/>
      <c r="G65" s="14"/>
      <c r="H65" s="14"/>
      <c r="I65" s="14"/>
      <c r="J65" s="14"/>
      <c r="K65" s="14"/>
      <c r="L65" s="14"/>
      <c r="M65" s="14"/>
      <c r="N65" s="14"/>
      <c r="O65" s="14"/>
      <c r="P65" s="14"/>
      <c r="Q65" s="14"/>
      <c r="R65" s="14"/>
    </row>
    <row r="66" spans="1:19" ht="18" customHeight="1" x14ac:dyDescent="0.2">
      <c r="A66" s="99" t="s">
        <v>117</v>
      </c>
      <c r="B66" s="99"/>
      <c r="C66" s="99"/>
      <c r="D66" s="99"/>
      <c r="E66" s="99"/>
      <c r="F66" s="99"/>
      <c r="G66" s="99"/>
      <c r="H66" s="99"/>
      <c r="I66" s="99"/>
      <c r="J66" s="99"/>
      <c r="K66" s="99"/>
      <c r="L66" s="99"/>
      <c r="M66" s="99"/>
      <c r="N66" s="99"/>
      <c r="O66" s="99"/>
      <c r="P66" s="99"/>
      <c r="Q66" s="99"/>
      <c r="R66" s="99"/>
      <c r="S66" s="99"/>
    </row>
    <row r="67" spans="1:19" ht="18" customHeight="1" x14ac:dyDescent="0.2">
      <c r="A67" s="99"/>
      <c r="B67" s="99"/>
      <c r="C67" s="99"/>
      <c r="D67" s="99"/>
      <c r="E67" s="99"/>
      <c r="F67" s="99"/>
      <c r="G67" s="99"/>
      <c r="H67" s="99"/>
      <c r="I67" s="99"/>
      <c r="J67" s="99"/>
      <c r="K67" s="99"/>
      <c r="L67" s="99"/>
      <c r="M67" s="99"/>
      <c r="N67" s="99"/>
      <c r="O67" s="99"/>
      <c r="P67" s="99"/>
      <c r="Q67" s="99"/>
      <c r="R67" s="99"/>
      <c r="S67" s="99"/>
    </row>
    <row r="68" spans="1:19" ht="18" customHeight="1" x14ac:dyDescent="0.2">
      <c r="B68" s="93" t="s">
        <v>53</v>
      </c>
      <c r="C68" s="94"/>
      <c r="D68" s="94"/>
      <c r="E68" s="60" t="s">
        <v>80</v>
      </c>
      <c r="F68" s="59" t="s">
        <v>84</v>
      </c>
      <c r="G68" s="21" t="s">
        <v>101</v>
      </c>
      <c r="H68" s="21" t="s">
        <v>75</v>
      </c>
      <c r="I68" s="21" t="s">
        <v>76</v>
      </c>
      <c r="J68" s="93" t="s">
        <v>53</v>
      </c>
      <c r="K68" s="94"/>
      <c r="L68" s="94"/>
      <c r="M68" s="94"/>
      <c r="N68" s="95"/>
      <c r="O68" s="60" t="s">
        <v>80</v>
      </c>
      <c r="P68" s="59" t="s">
        <v>84</v>
      </c>
      <c r="Q68" s="21" t="s">
        <v>101</v>
      </c>
      <c r="R68" s="21" t="s">
        <v>75</v>
      </c>
      <c r="S68" s="21" t="s">
        <v>76</v>
      </c>
    </row>
    <row r="69" spans="1:19" ht="18" customHeight="1" x14ac:dyDescent="0.2">
      <c r="A69" s="3"/>
      <c r="B69" s="87" t="s">
        <v>129</v>
      </c>
      <c r="C69" s="88"/>
      <c r="D69" s="88"/>
      <c r="E69" s="22">
        <v>2</v>
      </c>
      <c r="F69" s="22" t="s">
        <v>130</v>
      </c>
      <c r="G69" s="22" t="s">
        <v>130</v>
      </c>
      <c r="H69" s="22" t="s">
        <v>130</v>
      </c>
      <c r="I69" s="22" t="s">
        <v>130</v>
      </c>
      <c r="J69" s="87"/>
      <c r="K69" s="88"/>
      <c r="L69" s="88"/>
      <c r="M69" s="88"/>
      <c r="N69" s="89"/>
      <c r="O69" s="22"/>
      <c r="P69" s="22"/>
      <c r="Q69" s="22"/>
      <c r="R69" s="22"/>
      <c r="S69" s="22"/>
    </row>
    <row r="70" spans="1:19" ht="18" customHeight="1" x14ac:dyDescent="0.2">
      <c r="A70" s="3"/>
      <c r="B70" s="90"/>
      <c r="C70" s="91"/>
      <c r="D70" s="91"/>
      <c r="E70" s="23"/>
      <c r="F70" s="23"/>
      <c r="G70" s="23"/>
      <c r="H70" s="23"/>
      <c r="I70" s="23"/>
      <c r="J70" s="90"/>
      <c r="K70" s="91"/>
      <c r="L70" s="91"/>
      <c r="M70" s="91"/>
      <c r="N70" s="92"/>
      <c r="O70" s="23"/>
      <c r="P70" s="23"/>
      <c r="Q70" s="23"/>
      <c r="R70" s="23"/>
      <c r="S70" s="23"/>
    </row>
    <row r="71" spans="1:19" ht="18" customHeight="1" x14ac:dyDescent="0.2">
      <c r="A71" s="3"/>
      <c r="B71" s="90"/>
      <c r="C71" s="91"/>
      <c r="D71" s="91"/>
      <c r="E71" s="23"/>
      <c r="F71" s="23"/>
      <c r="G71" s="23"/>
      <c r="H71" s="23"/>
      <c r="I71" s="23"/>
      <c r="J71" s="90"/>
      <c r="K71" s="91"/>
      <c r="L71" s="91"/>
      <c r="M71" s="91"/>
      <c r="N71" s="92"/>
      <c r="O71" s="23"/>
      <c r="P71" s="23"/>
      <c r="Q71" s="23"/>
      <c r="R71" s="23"/>
      <c r="S71" s="23"/>
    </row>
    <row r="72" spans="1:19" ht="18" customHeight="1" x14ac:dyDescent="0.2">
      <c r="A72" s="3"/>
      <c r="B72" s="90"/>
      <c r="C72" s="91"/>
      <c r="D72" s="91"/>
      <c r="E72" s="23"/>
      <c r="F72" s="23"/>
      <c r="G72" s="23"/>
      <c r="H72" s="23"/>
      <c r="I72" s="23"/>
      <c r="J72" s="90"/>
      <c r="K72" s="91"/>
      <c r="L72" s="91"/>
      <c r="M72" s="91"/>
      <c r="N72" s="92"/>
      <c r="O72" s="23"/>
      <c r="P72" s="23"/>
      <c r="Q72" s="23"/>
      <c r="R72" s="23"/>
      <c r="S72" s="23"/>
    </row>
    <row r="73" spans="1:19" ht="18" customHeight="1" x14ac:dyDescent="0.2">
      <c r="A73" s="3"/>
      <c r="B73" s="90"/>
      <c r="C73" s="91"/>
      <c r="D73" s="91"/>
      <c r="E73" s="23"/>
      <c r="F73" s="23"/>
      <c r="G73" s="23"/>
      <c r="H73" s="23"/>
      <c r="I73" s="23"/>
      <c r="J73" s="90"/>
      <c r="K73" s="91"/>
      <c r="L73" s="91"/>
      <c r="M73" s="91"/>
      <c r="N73" s="92"/>
      <c r="O73" s="23"/>
      <c r="P73" s="23"/>
      <c r="Q73" s="23"/>
      <c r="R73" s="23"/>
      <c r="S73" s="23"/>
    </row>
    <row r="74" spans="1:19" ht="18" customHeight="1" x14ac:dyDescent="0.2">
      <c r="A74" s="3"/>
      <c r="B74" s="90"/>
      <c r="C74" s="91"/>
      <c r="D74" s="91"/>
      <c r="E74" s="23"/>
      <c r="F74" s="23"/>
      <c r="G74" s="23"/>
      <c r="H74" s="23"/>
      <c r="I74" s="23"/>
      <c r="J74" s="90"/>
      <c r="K74" s="91"/>
      <c r="L74" s="91"/>
      <c r="M74" s="91"/>
      <c r="N74" s="92"/>
      <c r="O74" s="23"/>
      <c r="P74" s="23"/>
      <c r="Q74" s="23"/>
      <c r="R74" s="23"/>
      <c r="S74" s="23"/>
    </row>
    <row r="75" spans="1:19" ht="18" customHeight="1" x14ac:dyDescent="0.2">
      <c r="A75" s="3"/>
      <c r="B75" s="96"/>
      <c r="C75" s="97"/>
      <c r="D75" s="97"/>
      <c r="E75" s="24"/>
      <c r="F75" s="24"/>
      <c r="G75" s="25"/>
      <c r="H75" s="25"/>
      <c r="I75" s="25"/>
      <c r="J75" s="96"/>
      <c r="K75" s="97"/>
      <c r="L75" s="97"/>
      <c r="M75" s="97"/>
      <c r="N75" s="98"/>
      <c r="O75" s="24"/>
      <c r="P75" s="24"/>
      <c r="Q75" s="25"/>
      <c r="R75" s="25"/>
      <c r="S75" s="25"/>
    </row>
    <row r="76" spans="1:19" ht="7.5" customHeight="1" x14ac:dyDescent="0.2">
      <c r="B76" s="14"/>
      <c r="C76" s="14"/>
      <c r="D76" s="14"/>
      <c r="E76" s="14"/>
      <c r="F76" s="14"/>
      <c r="G76" s="14"/>
      <c r="H76" s="14"/>
      <c r="I76" s="14"/>
      <c r="J76" s="14"/>
      <c r="K76" s="14"/>
      <c r="L76" s="14"/>
      <c r="M76" s="14"/>
      <c r="N76" s="14"/>
      <c r="O76" s="14"/>
      <c r="P76" s="14"/>
      <c r="Q76" s="14"/>
      <c r="R76" s="14"/>
    </row>
    <row r="77" spans="1:19" ht="18" customHeight="1" x14ac:dyDescent="0.2">
      <c r="A77" s="1" t="s">
        <v>118</v>
      </c>
      <c r="H77" s="3"/>
      <c r="I77" s="3"/>
      <c r="J77" s="3"/>
      <c r="K77" s="3"/>
      <c r="L77" s="3"/>
      <c r="M77" s="3"/>
      <c r="N77" s="3"/>
      <c r="O77" s="3"/>
      <c r="P77" s="3"/>
      <c r="Q77" s="3"/>
      <c r="R77" s="3"/>
      <c r="S77" s="3"/>
    </row>
    <row r="78" spans="1:19" ht="18" customHeight="1" x14ac:dyDescent="0.2">
      <c r="B78" s="93" t="s">
        <v>53</v>
      </c>
      <c r="C78" s="94"/>
      <c r="D78" s="94"/>
      <c r="E78" s="95"/>
      <c r="F78" s="93" t="s">
        <v>82</v>
      </c>
      <c r="G78" s="94"/>
      <c r="H78" s="94"/>
      <c r="I78" s="95"/>
      <c r="J78" s="111" t="s">
        <v>53</v>
      </c>
      <c r="K78" s="112"/>
      <c r="L78" s="112"/>
      <c r="M78" s="112"/>
      <c r="N78" s="112"/>
      <c r="O78" s="113"/>
      <c r="P78" s="93" t="s">
        <v>82</v>
      </c>
      <c r="Q78" s="94"/>
      <c r="R78" s="94"/>
      <c r="S78" s="95"/>
    </row>
    <row r="79" spans="1:19" ht="18" customHeight="1" x14ac:dyDescent="0.2">
      <c r="A79" s="3"/>
      <c r="B79" s="87"/>
      <c r="C79" s="88"/>
      <c r="D79" s="88"/>
      <c r="E79" s="89"/>
      <c r="F79" s="105"/>
      <c r="G79" s="106"/>
      <c r="H79" s="106"/>
      <c r="I79" s="107"/>
      <c r="J79" s="87"/>
      <c r="K79" s="88"/>
      <c r="L79" s="88"/>
      <c r="M79" s="88"/>
      <c r="N79" s="88"/>
      <c r="O79" s="89"/>
      <c r="P79" s="105"/>
      <c r="Q79" s="106"/>
      <c r="R79" s="106"/>
      <c r="S79" s="107"/>
    </row>
    <row r="80" spans="1:19" ht="18" customHeight="1" x14ac:dyDescent="0.2">
      <c r="A80" s="3"/>
      <c r="B80" s="90"/>
      <c r="C80" s="91"/>
      <c r="D80" s="91"/>
      <c r="E80" s="92"/>
      <c r="F80" s="108"/>
      <c r="G80" s="109"/>
      <c r="H80" s="109"/>
      <c r="I80" s="110"/>
      <c r="J80" s="90"/>
      <c r="K80" s="91"/>
      <c r="L80" s="91"/>
      <c r="M80" s="91"/>
      <c r="N80" s="91"/>
      <c r="O80" s="92"/>
      <c r="P80" s="108"/>
      <c r="Q80" s="109"/>
      <c r="R80" s="109"/>
      <c r="S80" s="110"/>
    </row>
    <row r="81" spans="1:19" ht="18" customHeight="1" x14ac:dyDescent="0.2">
      <c r="A81" s="3"/>
      <c r="B81" s="90"/>
      <c r="C81" s="91"/>
      <c r="D81" s="91"/>
      <c r="E81" s="92"/>
      <c r="F81" s="108"/>
      <c r="G81" s="109"/>
      <c r="H81" s="109"/>
      <c r="I81" s="110"/>
      <c r="J81" s="90"/>
      <c r="K81" s="91"/>
      <c r="L81" s="91"/>
      <c r="M81" s="91"/>
      <c r="N81" s="91"/>
      <c r="O81" s="92"/>
      <c r="P81" s="108"/>
      <c r="Q81" s="109"/>
      <c r="R81" s="109"/>
      <c r="S81" s="110"/>
    </row>
    <row r="82" spans="1:19" ht="18" customHeight="1" x14ac:dyDescent="0.2">
      <c r="A82" s="3"/>
      <c r="B82" s="90"/>
      <c r="C82" s="91"/>
      <c r="D82" s="91"/>
      <c r="E82" s="92"/>
      <c r="F82" s="108"/>
      <c r="G82" s="109"/>
      <c r="H82" s="109"/>
      <c r="I82" s="110"/>
      <c r="J82" s="90"/>
      <c r="K82" s="91"/>
      <c r="L82" s="91"/>
      <c r="M82" s="91"/>
      <c r="N82" s="91"/>
      <c r="O82" s="92"/>
      <c r="P82" s="108"/>
      <c r="Q82" s="109"/>
      <c r="R82" s="109"/>
      <c r="S82" s="110"/>
    </row>
    <row r="83" spans="1:19" ht="18" customHeight="1" x14ac:dyDescent="0.2">
      <c r="A83" s="3"/>
      <c r="B83" s="90"/>
      <c r="C83" s="91"/>
      <c r="D83" s="91"/>
      <c r="E83" s="92"/>
      <c r="F83" s="108"/>
      <c r="G83" s="109"/>
      <c r="H83" s="109"/>
      <c r="I83" s="110"/>
      <c r="J83" s="90"/>
      <c r="K83" s="91"/>
      <c r="L83" s="91"/>
      <c r="M83" s="91"/>
      <c r="N83" s="91"/>
      <c r="O83" s="92"/>
      <c r="P83" s="108"/>
      <c r="Q83" s="109"/>
      <c r="R83" s="109"/>
      <c r="S83" s="110"/>
    </row>
    <row r="84" spans="1:19" ht="18" customHeight="1" x14ac:dyDescent="0.2">
      <c r="A84" s="3"/>
      <c r="B84" s="90"/>
      <c r="C84" s="91"/>
      <c r="D84" s="91"/>
      <c r="E84" s="92"/>
      <c r="F84" s="108"/>
      <c r="G84" s="109"/>
      <c r="H84" s="109"/>
      <c r="I84" s="110"/>
      <c r="J84" s="90"/>
      <c r="K84" s="91"/>
      <c r="L84" s="91"/>
      <c r="M84" s="91"/>
      <c r="N84" s="91"/>
      <c r="O84" s="92"/>
      <c r="P84" s="108"/>
      <c r="Q84" s="109"/>
      <c r="R84" s="109"/>
      <c r="S84" s="110"/>
    </row>
    <row r="85" spans="1:19" ht="18" customHeight="1" x14ac:dyDescent="0.2">
      <c r="A85" s="3"/>
      <c r="B85" s="96"/>
      <c r="C85" s="97"/>
      <c r="D85" s="97"/>
      <c r="E85" s="98"/>
      <c r="F85" s="117"/>
      <c r="G85" s="118"/>
      <c r="H85" s="118"/>
      <c r="I85" s="119"/>
      <c r="J85" s="96"/>
      <c r="K85" s="97"/>
      <c r="L85" s="97"/>
      <c r="M85" s="97"/>
      <c r="N85" s="97"/>
      <c r="O85" s="98"/>
      <c r="P85" s="117"/>
      <c r="Q85" s="118"/>
      <c r="R85" s="118"/>
      <c r="S85" s="119"/>
    </row>
    <row r="86" spans="1:19" ht="18" customHeight="1" x14ac:dyDescent="0.2">
      <c r="A86" s="3"/>
      <c r="B86" s="5"/>
      <c r="C86" s="5"/>
      <c r="D86" s="5"/>
      <c r="E86" s="5"/>
      <c r="F86" s="26"/>
      <c r="G86" s="26"/>
      <c r="H86" s="26"/>
      <c r="I86" s="26"/>
      <c r="J86" s="5"/>
      <c r="K86" s="5"/>
      <c r="L86" s="5"/>
      <c r="M86" s="5"/>
      <c r="N86" s="5"/>
      <c r="O86" s="5"/>
      <c r="P86" s="26"/>
      <c r="Q86" s="26"/>
      <c r="R86" s="26"/>
      <c r="S86" s="26"/>
    </row>
    <row r="87" spans="1:19" ht="18.75" customHeight="1" x14ac:dyDescent="0.2">
      <c r="A87" s="1" t="s">
        <v>119</v>
      </c>
    </row>
    <row r="88" spans="1:19" ht="18.75" customHeight="1" x14ac:dyDescent="0.2">
      <c r="B88" s="103" t="s">
        <v>54</v>
      </c>
      <c r="C88" s="104"/>
      <c r="D88" s="94" t="s">
        <v>55</v>
      </c>
      <c r="E88" s="94"/>
      <c r="F88" s="94"/>
      <c r="G88" s="94"/>
      <c r="H88" s="94"/>
      <c r="I88" s="94"/>
      <c r="J88" s="94"/>
      <c r="K88" s="94"/>
      <c r="L88" s="94"/>
      <c r="M88" s="94"/>
      <c r="N88" s="94"/>
      <c r="O88" s="94"/>
      <c r="P88" s="94"/>
      <c r="Q88" s="94"/>
      <c r="R88" s="94"/>
      <c r="S88" s="95"/>
    </row>
    <row r="89" spans="1:19" ht="168.6" customHeight="1" x14ac:dyDescent="0.2">
      <c r="B89" s="100" t="s">
        <v>61</v>
      </c>
      <c r="C89" s="27" t="s">
        <v>56</v>
      </c>
      <c r="D89" s="126" t="s">
        <v>170</v>
      </c>
      <c r="E89" s="245"/>
      <c r="F89" s="245"/>
      <c r="G89" s="245"/>
      <c r="H89" s="245"/>
      <c r="I89" s="245"/>
      <c r="J89" s="245"/>
      <c r="K89" s="245"/>
      <c r="L89" s="245"/>
      <c r="M89" s="245"/>
      <c r="N89" s="245"/>
      <c r="O89" s="245"/>
      <c r="P89" s="245"/>
      <c r="Q89" s="245"/>
      <c r="R89" s="245"/>
      <c r="S89" s="246"/>
    </row>
    <row r="90" spans="1:19" ht="93" customHeight="1" x14ac:dyDescent="0.2">
      <c r="B90" s="101"/>
      <c r="C90" s="28" t="s">
        <v>77</v>
      </c>
      <c r="D90" s="247" t="s">
        <v>171</v>
      </c>
      <c r="E90" s="248"/>
      <c r="F90" s="248"/>
      <c r="G90" s="248"/>
      <c r="H90" s="248"/>
      <c r="I90" s="248"/>
      <c r="J90" s="248"/>
      <c r="K90" s="248"/>
      <c r="L90" s="248"/>
      <c r="M90" s="248"/>
      <c r="N90" s="248"/>
      <c r="O90" s="248"/>
      <c r="P90" s="248"/>
      <c r="Q90" s="248"/>
      <c r="R90" s="248"/>
      <c r="S90" s="249"/>
    </row>
    <row r="91" spans="1:19" ht="80.400000000000006" customHeight="1" x14ac:dyDescent="0.2">
      <c r="B91" s="100" t="s">
        <v>62</v>
      </c>
      <c r="C91" s="29" t="s">
        <v>71</v>
      </c>
      <c r="D91" s="250" t="s">
        <v>172</v>
      </c>
      <c r="E91" s="251"/>
      <c r="F91" s="251"/>
      <c r="G91" s="251"/>
      <c r="H91" s="251"/>
      <c r="I91" s="251"/>
      <c r="J91" s="251"/>
      <c r="K91" s="251"/>
      <c r="L91" s="251"/>
      <c r="M91" s="251"/>
      <c r="N91" s="251"/>
      <c r="O91" s="251"/>
      <c r="P91" s="251"/>
      <c r="Q91" s="251"/>
      <c r="R91" s="251"/>
      <c r="S91" s="252"/>
    </row>
    <row r="92" spans="1:19" ht="78.599999999999994" customHeight="1" x14ac:dyDescent="0.2">
      <c r="B92" s="102"/>
      <c r="C92" s="30" t="s">
        <v>72</v>
      </c>
      <c r="D92" s="253" t="s">
        <v>177</v>
      </c>
      <c r="E92" s="254"/>
      <c r="F92" s="254"/>
      <c r="G92" s="254"/>
      <c r="H92" s="254"/>
      <c r="I92" s="254"/>
      <c r="J92" s="254"/>
      <c r="K92" s="254"/>
      <c r="L92" s="254"/>
      <c r="M92" s="254"/>
      <c r="N92" s="254"/>
      <c r="O92" s="254"/>
      <c r="P92" s="254"/>
      <c r="Q92" s="254"/>
      <c r="R92" s="254"/>
      <c r="S92" s="255"/>
    </row>
    <row r="93" spans="1:19" ht="179.4" customHeight="1" x14ac:dyDescent="0.2">
      <c r="B93" s="100" t="s">
        <v>63</v>
      </c>
      <c r="C93" s="29" t="s">
        <v>73</v>
      </c>
      <c r="D93" s="250" t="s">
        <v>173</v>
      </c>
      <c r="E93" s="251"/>
      <c r="F93" s="251"/>
      <c r="G93" s="251"/>
      <c r="H93" s="251"/>
      <c r="I93" s="251"/>
      <c r="J93" s="251"/>
      <c r="K93" s="251"/>
      <c r="L93" s="251"/>
      <c r="M93" s="251"/>
      <c r="N93" s="251"/>
      <c r="O93" s="251"/>
      <c r="P93" s="251"/>
      <c r="Q93" s="251"/>
      <c r="R93" s="251"/>
      <c r="S93" s="252"/>
    </row>
    <row r="94" spans="1:19" ht="93.6" customHeight="1" x14ac:dyDescent="0.2">
      <c r="B94" s="102"/>
      <c r="C94" s="31" t="s">
        <v>74</v>
      </c>
      <c r="D94" s="132" t="s">
        <v>174</v>
      </c>
      <c r="E94" s="256"/>
      <c r="F94" s="256"/>
      <c r="G94" s="256"/>
      <c r="H94" s="256"/>
      <c r="I94" s="256"/>
      <c r="J94" s="256"/>
      <c r="K94" s="256"/>
      <c r="L94" s="256"/>
      <c r="M94" s="256"/>
      <c r="N94" s="256"/>
      <c r="O94" s="256"/>
      <c r="P94" s="256"/>
      <c r="Q94" s="256"/>
      <c r="R94" s="256"/>
      <c r="S94" s="257"/>
    </row>
    <row r="95" spans="1:19" ht="162.6" customHeight="1" x14ac:dyDescent="0.2">
      <c r="B95" s="100" t="s">
        <v>78</v>
      </c>
      <c r="C95" s="27" t="s">
        <v>58</v>
      </c>
      <c r="D95" s="126" t="s">
        <v>175</v>
      </c>
      <c r="E95" s="245"/>
      <c r="F95" s="245"/>
      <c r="G95" s="245"/>
      <c r="H95" s="245"/>
      <c r="I95" s="245"/>
      <c r="J95" s="245"/>
      <c r="K95" s="245"/>
      <c r="L95" s="245"/>
      <c r="M95" s="245"/>
      <c r="N95" s="245"/>
      <c r="O95" s="245"/>
      <c r="P95" s="245"/>
      <c r="Q95" s="245"/>
      <c r="R95" s="245"/>
      <c r="S95" s="246"/>
    </row>
    <row r="96" spans="1:19" ht="82.8" customHeight="1" x14ac:dyDescent="0.2">
      <c r="B96" s="102"/>
      <c r="C96" s="30" t="s">
        <v>60</v>
      </c>
      <c r="D96" s="253" t="s">
        <v>176</v>
      </c>
      <c r="E96" s="254"/>
      <c r="F96" s="254"/>
      <c r="G96" s="254"/>
      <c r="H96" s="254"/>
      <c r="I96" s="254"/>
      <c r="J96" s="254"/>
      <c r="K96" s="254"/>
      <c r="L96" s="254"/>
      <c r="M96" s="254"/>
      <c r="N96" s="254"/>
      <c r="O96" s="254"/>
      <c r="P96" s="254"/>
      <c r="Q96" s="254"/>
      <c r="R96" s="254"/>
      <c r="S96" s="255"/>
    </row>
    <row r="97" spans="1:19" ht="124.8" customHeight="1" x14ac:dyDescent="0.2">
      <c r="B97" s="100" t="s">
        <v>79</v>
      </c>
      <c r="C97" s="29" t="s">
        <v>57</v>
      </c>
      <c r="D97" s="258" t="s">
        <v>179</v>
      </c>
      <c r="E97" s="259"/>
      <c r="F97" s="259"/>
      <c r="G97" s="259"/>
      <c r="H97" s="259"/>
      <c r="I97" s="259"/>
      <c r="J97" s="259"/>
      <c r="K97" s="259"/>
      <c r="L97" s="259"/>
      <c r="M97" s="259"/>
      <c r="N97" s="259"/>
      <c r="O97" s="259"/>
      <c r="P97" s="259"/>
      <c r="Q97" s="259"/>
      <c r="R97" s="259"/>
      <c r="S97" s="260"/>
    </row>
    <row r="98" spans="1:19" ht="150.6" customHeight="1" x14ac:dyDescent="0.2">
      <c r="B98" s="101"/>
      <c r="C98" s="32" t="s">
        <v>75</v>
      </c>
      <c r="D98" s="242" t="s">
        <v>178</v>
      </c>
      <c r="E98" s="261"/>
      <c r="F98" s="261"/>
      <c r="G98" s="261"/>
      <c r="H98" s="261"/>
      <c r="I98" s="261"/>
      <c r="J98" s="261"/>
      <c r="K98" s="261"/>
      <c r="L98" s="261"/>
      <c r="M98" s="261"/>
      <c r="N98" s="261"/>
      <c r="O98" s="261"/>
      <c r="P98" s="261"/>
      <c r="Q98" s="261"/>
      <c r="R98" s="261"/>
      <c r="S98" s="262"/>
    </row>
    <row r="99" spans="1:19" ht="147" customHeight="1" x14ac:dyDescent="0.2">
      <c r="B99" s="102"/>
      <c r="C99" s="31" t="s">
        <v>76</v>
      </c>
      <c r="D99" s="242" t="s">
        <v>178</v>
      </c>
      <c r="E99" s="261"/>
      <c r="F99" s="261"/>
      <c r="G99" s="261"/>
      <c r="H99" s="261"/>
      <c r="I99" s="261"/>
      <c r="J99" s="261"/>
      <c r="K99" s="261"/>
      <c r="L99" s="261"/>
      <c r="M99" s="261"/>
      <c r="N99" s="261"/>
      <c r="O99" s="261"/>
      <c r="P99" s="261"/>
      <c r="Q99" s="261"/>
      <c r="R99" s="261"/>
      <c r="S99" s="262"/>
    </row>
    <row r="100" spans="1:19" ht="6" customHeight="1" x14ac:dyDescent="0.2"/>
    <row r="101" spans="1:19" ht="18.75" customHeight="1" x14ac:dyDescent="0.2">
      <c r="A101" s="1" t="s">
        <v>120</v>
      </c>
    </row>
    <row r="102" spans="1:19" ht="100.8" customHeight="1" x14ac:dyDescent="0.2">
      <c r="B102" s="114" t="s">
        <v>156</v>
      </c>
      <c r="C102" s="115"/>
      <c r="D102" s="115"/>
      <c r="E102" s="115"/>
      <c r="F102" s="115"/>
      <c r="G102" s="115"/>
      <c r="H102" s="115"/>
      <c r="I102" s="115"/>
      <c r="J102" s="115"/>
      <c r="K102" s="115"/>
      <c r="L102" s="115"/>
      <c r="M102" s="115"/>
      <c r="N102" s="115"/>
      <c r="O102" s="115"/>
      <c r="P102" s="115"/>
      <c r="Q102" s="115"/>
      <c r="R102" s="115"/>
      <c r="S102" s="116"/>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D23" sqref="D23"/>
    </sheetView>
  </sheetViews>
  <sheetFormatPr defaultColWidth="9" defaultRowHeight="18.75" customHeight="1" x14ac:dyDescent="0.2"/>
  <cols>
    <col min="1" max="1" width="2.77734375" style="1" customWidth="1"/>
    <col min="2" max="2" width="20.77734375" style="1" customWidth="1"/>
    <col min="3" max="5" width="6.109375" style="1" customWidth="1"/>
    <col min="6" max="42" width="4.77734375" style="1" customWidth="1"/>
    <col min="43" max="43" width="6.6640625" style="1" customWidth="1"/>
    <col min="44" max="16384" width="9" style="1"/>
  </cols>
  <sheetData>
    <row r="1" spans="1:45" ht="18" customHeight="1" x14ac:dyDescent="0.2">
      <c r="AQ1" s="1" t="s">
        <v>106</v>
      </c>
    </row>
    <row r="2" spans="1:45" ht="18" customHeight="1" x14ac:dyDescent="0.2">
      <c r="K2" s="34"/>
      <c r="Q2" s="34"/>
      <c r="W2" s="34"/>
      <c r="AC2" s="34"/>
      <c r="AI2" s="34"/>
      <c r="AL2" s="34" t="s">
        <v>108</v>
      </c>
      <c r="AM2" s="146" t="str">
        <f>'様式１　プログラムを構成する授業科目'!C2</f>
        <v>聖心女子大学</v>
      </c>
      <c r="AN2" s="146"/>
      <c r="AO2" s="146"/>
      <c r="AP2" s="146"/>
      <c r="AQ2" s="146"/>
    </row>
    <row r="3" spans="1:45" ht="18" customHeight="1" x14ac:dyDescent="0.2">
      <c r="A3" s="124" t="s">
        <v>47</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47" t="s">
        <v>132</v>
      </c>
      <c r="D5" s="14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49" t="s">
        <v>44</v>
      </c>
      <c r="C9" s="164" t="s">
        <v>86</v>
      </c>
      <c r="D9" s="152" t="s">
        <v>46</v>
      </c>
      <c r="E9" s="155" t="s">
        <v>39</v>
      </c>
      <c r="F9" s="143" t="s">
        <v>85</v>
      </c>
      <c r="G9" s="143"/>
      <c r="H9" s="143"/>
      <c r="I9" s="143"/>
      <c r="J9" s="143"/>
      <c r="K9" s="143"/>
      <c r="L9" s="143" t="s">
        <v>48</v>
      </c>
      <c r="M9" s="143"/>
      <c r="N9" s="143"/>
      <c r="O9" s="143"/>
      <c r="P9" s="143"/>
      <c r="Q9" s="143"/>
      <c r="R9" s="143" t="s">
        <v>49</v>
      </c>
      <c r="S9" s="143"/>
      <c r="T9" s="143"/>
      <c r="U9" s="143"/>
      <c r="V9" s="143"/>
      <c r="W9" s="143"/>
      <c r="X9" s="143" t="s">
        <v>100</v>
      </c>
      <c r="Y9" s="143"/>
      <c r="Z9" s="143"/>
      <c r="AA9" s="143"/>
      <c r="AB9" s="143"/>
      <c r="AC9" s="143"/>
      <c r="AD9" s="143" t="s">
        <v>50</v>
      </c>
      <c r="AE9" s="143"/>
      <c r="AF9" s="143"/>
      <c r="AG9" s="143"/>
      <c r="AH9" s="143"/>
      <c r="AI9" s="143"/>
      <c r="AJ9" s="143" t="s">
        <v>51</v>
      </c>
      <c r="AK9" s="143"/>
      <c r="AL9" s="143"/>
      <c r="AM9" s="143"/>
      <c r="AN9" s="143"/>
      <c r="AO9" s="143"/>
      <c r="AP9" s="158" t="s">
        <v>34</v>
      </c>
      <c r="AQ9" s="161" t="s">
        <v>31</v>
      </c>
      <c r="AS9" s="2"/>
    </row>
    <row r="10" spans="1:45" ht="16.95" customHeight="1" x14ac:dyDescent="0.2">
      <c r="B10" s="150"/>
      <c r="C10" s="165"/>
      <c r="D10" s="153"/>
      <c r="E10" s="156"/>
      <c r="F10" s="144" t="s">
        <v>96</v>
      </c>
      <c r="G10" s="145"/>
      <c r="H10" s="145"/>
      <c r="I10" s="144" t="s">
        <v>28</v>
      </c>
      <c r="J10" s="145"/>
      <c r="K10" s="145"/>
      <c r="L10" s="144" t="s">
        <v>96</v>
      </c>
      <c r="M10" s="145"/>
      <c r="N10" s="145"/>
      <c r="O10" s="144" t="s">
        <v>28</v>
      </c>
      <c r="P10" s="145"/>
      <c r="Q10" s="145"/>
      <c r="R10" s="144" t="s">
        <v>96</v>
      </c>
      <c r="S10" s="145"/>
      <c r="T10" s="145"/>
      <c r="U10" s="144" t="s">
        <v>28</v>
      </c>
      <c r="V10" s="145"/>
      <c r="W10" s="145"/>
      <c r="X10" s="144" t="s">
        <v>96</v>
      </c>
      <c r="Y10" s="145"/>
      <c r="Z10" s="145"/>
      <c r="AA10" s="144" t="s">
        <v>28</v>
      </c>
      <c r="AB10" s="145"/>
      <c r="AC10" s="145"/>
      <c r="AD10" s="144" t="s">
        <v>96</v>
      </c>
      <c r="AE10" s="145"/>
      <c r="AF10" s="145"/>
      <c r="AG10" s="144" t="s">
        <v>28</v>
      </c>
      <c r="AH10" s="145"/>
      <c r="AI10" s="145"/>
      <c r="AJ10" s="144" t="s">
        <v>96</v>
      </c>
      <c r="AK10" s="145"/>
      <c r="AL10" s="145"/>
      <c r="AM10" s="144" t="s">
        <v>28</v>
      </c>
      <c r="AN10" s="145"/>
      <c r="AO10" s="145"/>
      <c r="AP10" s="159"/>
      <c r="AQ10" s="162"/>
      <c r="AS10" s="2"/>
    </row>
    <row r="11" spans="1:45" ht="18" customHeight="1" x14ac:dyDescent="0.2">
      <c r="B11" s="151"/>
      <c r="C11" s="166"/>
      <c r="D11" s="154"/>
      <c r="E11" s="157"/>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60"/>
      <c r="AQ11" s="163"/>
      <c r="AS11" s="2"/>
    </row>
    <row r="12" spans="1:45" ht="18" customHeight="1" x14ac:dyDescent="0.2">
      <c r="A12" s="5"/>
      <c r="B12" s="10" t="s">
        <v>133</v>
      </c>
      <c r="C12" s="61">
        <v>588</v>
      </c>
      <c r="D12" s="62">
        <v>490</v>
      </c>
      <c r="E12" s="63">
        <v>490</v>
      </c>
      <c r="F12" s="63">
        <f>G12+H12</f>
        <v>574</v>
      </c>
      <c r="G12" s="64">
        <v>0</v>
      </c>
      <c r="H12" s="65">
        <v>574</v>
      </c>
      <c r="I12" s="63">
        <f>J12+K12</f>
        <v>562</v>
      </c>
      <c r="J12" s="64">
        <v>0</v>
      </c>
      <c r="K12" s="65">
        <v>562</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574</v>
      </c>
      <c r="AQ12" s="20">
        <f t="shared" ref="AQ12:AQ32" si="0">AP12/E12</f>
        <v>1.1714285714285715</v>
      </c>
    </row>
    <row r="13" spans="1:45" ht="18" customHeight="1" x14ac:dyDescent="0.2">
      <c r="A13" s="5"/>
      <c r="B13" s="11" t="s">
        <v>134</v>
      </c>
      <c r="C13" s="66">
        <v>306</v>
      </c>
      <c r="D13" s="67"/>
      <c r="E13" s="68">
        <v>288</v>
      </c>
      <c r="F13" s="69">
        <f t="shared" ref="F13:F31" si="1">G13+H13</f>
        <v>2</v>
      </c>
      <c r="G13" s="70">
        <v>0</v>
      </c>
      <c r="H13" s="71">
        <v>2</v>
      </c>
      <c r="I13" s="69">
        <f t="shared" ref="I13:I31" si="2">J13+K13</f>
        <v>2</v>
      </c>
      <c r="J13" s="70">
        <v>0</v>
      </c>
      <c r="K13" s="71">
        <v>2</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2</v>
      </c>
      <c r="AQ13" s="19">
        <f t="shared" si="0"/>
        <v>6.9444444444444441E-3</v>
      </c>
    </row>
    <row r="14" spans="1:45" ht="18" customHeight="1" x14ac:dyDescent="0.2">
      <c r="A14" s="5"/>
      <c r="B14" s="11" t="s">
        <v>135</v>
      </c>
      <c r="C14" s="66">
        <v>181</v>
      </c>
      <c r="D14" s="67"/>
      <c r="E14" s="68">
        <v>153</v>
      </c>
      <c r="F14" s="69">
        <f t="shared" si="1"/>
        <v>2</v>
      </c>
      <c r="G14" s="70">
        <v>0</v>
      </c>
      <c r="H14" s="71">
        <v>2</v>
      </c>
      <c r="I14" s="69">
        <f t="shared" si="2"/>
        <v>2</v>
      </c>
      <c r="J14" s="70">
        <v>0</v>
      </c>
      <c r="K14" s="71">
        <v>2</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2</v>
      </c>
      <c r="AQ14" s="7">
        <f t="shared" si="0"/>
        <v>1.3071895424836602E-2</v>
      </c>
    </row>
    <row r="15" spans="1:45" ht="18" customHeight="1" x14ac:dyDescent="0.2">
      <c r="A15" s="5"/>
      <c r="B15" s="11" t="s">
        <v>136</v>
      </c>
      <c r="C15" s="66">
        <v>170</v>
      </c>
      <c r="D15" s="67"/>
      <c r="E15" s="68">
        <v>171</v>
      </c>
      <c r="F15" s="69">
        <f t="shared" si="1"/>
        <v>0</v>
      </c>
      <c r="G15" s="70">
        <v>0</v>
      </c>
      <c r="H15" s="71"/>
      <c r="I15" s="69">
        <f t="shared" si="2"/>
        <v>0</v>
      </c>
      <c r="J15" s="70">
        <v>0</v>
      </c>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7">
        <f t="shared" si="0"/>
        <v>0</v>
      </c>
    </row>
    <row r="16" spans="1:45" ht="18" customHeight="1" x14ac:dyDescent="0.2">
      <c r="A16" s="5"/>
      <c r="B16" s="11" t="s">
        <v>137</v>
      </c>
      <c r="C16" s="66">
        <v>209</v>
      </c>
      <c r="D16" s="67"/>
      <c r="E16" s="68">
        <v>186</v>
      </c>
      <c r="F16" s="69">
        <f t="shared" si="1"/>
        <v>0</v>
      </c>
      <c r="G16" s="70">
        <v>0</v>
      </c>
      <c r="H16" s="71"/>
      <c r="I16" s="69">
        <f t="shared" si="2"/>
        <v>0</v>
      </c>
      <c r="J16" s="70">
        <v>0</v>
      </c>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7">
        <f t="shared" si="0"/>
        <v>0</v>
      </c>
    </row>
    <row r="17" spans="1:43" ht="18" customHeight="1" x14ac:dyDescent="0.2">
      <c r="A17" s="5"/>
      <c r="B17" s="11" t="s">
        <v>138</v>
      </c>
      <c r="C17" s="66">
        <v>244</v>
      </c>
      <c r="D17" s="67"/>
      <c r="E17" s="68">
        <v>201</v>
      </c>
      <c r="F17" s="69">
        <f t="shared" si="1"/>
        <v>0</v>
      </c>
      <c r="G17" s="70">
        <v>0</v>
      </c>
      <c r="H17" s="71"/>
      <c r="I17" s="69">
        <f t="shared" si="2"/>
        <v>0</v>
      </c>
      <c r="J17" s="70">
        <v>0</v>
      </c>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7">
        <f t="shared" si="0"/>
        <v>0</v>
      </c>
    </row>
    <row r="18" spans="1:43" ht="18" customHeight="1" x14ac:dyDescent="0.2">
      <c r="A18" s="5"/>
      <c r="B18" s="11" t="s">
        <v>139</v>
      </c>
      <c r="C18" s="66">
        <v>145</v>
      </c>
      <c r="D18" s="67"/>
      <c r="E18" s="68">
        <v>132</v>
      </c>
      <c r="F18" s="69">
        <f t="shared" si="1"/>
        <v>0</v>
      </c>
      <c r="G18" s="70">
        <v>0</v>
      </c>
      <c r="H18" s="71"/>
      <c r="I18" s="69">
        <f t="shared" si="2"/>
        <v>0</v>
      </c>
      <c r="J18" s="70">
        <v>0</v>
      </c>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7">
        <f t="shared" si="0"/>
        <v>0</v>
      </c>
    </row>
    <row r="19" spans="1:43" ht="18" customHeight="1" x14ac:dyDescent="0.2">
      <c r="A19" s="5"/>
      <c r="B19" s="11" t="s">
        <v>140</v>
      </c>
      <c r="C19" s="66">
        <v>176</v>
      </c>
      <c r="D19" s="67"/>
      <c r="E19" s="68">
        <v>150</v>
      </c>
      <c r="F19" s="69">
        <f t="shared" si="1"/>
        <v>0</v>
      </c>
      <c r="G19" s="70">
        <v>0</v>
      </c>
      <c r="H19" s="71"/>
      <c r="I19" s="69">
        <f t="shared" si="2"/>
        <v>0</v>
      </c>
      <c r="J19" s="70">
        <v>0</v>
      </c>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7">
        <f t="shared" si="0"/>
        <v>0</v>
      </c>
    </row>
    <row r="20" spans="1:43" ht="18" customHeight="1" x14ac:dyDescent="0.2">
      <c r="A20" s="5"/>
      <c r="B20" s="11" t="s">
        <v>141</v>
      </c>
      <c r="C20" s="66">
        <v>108</v>
      </c>
      <c r="D20" s="67"/>
      <c r="E20" s="68">
        <v>87</v>
      </c>
      <c r="F20" s="69">
        <f t="shared" si="1"/>
        <v>0</v>
      </c>
      <c r="G20" s="70">
        <v>0</v>
      </c>
      <c r="H20" s="71"/>
      <c r="I20" s="69">
        <f t="shared" si="2"/>
        <v>0</v>
      </c>
      <c r="J20" s="70">
        <v>0</v>
      </c>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7">
        <f t="shared" si="0"/>
        <v>0</v>
      </c>
    </row>
    <row r="21" spans="1:43" ht="18" customHeight="1" x14ac:dyDescent="0.2">
      <c r="A21" s="5"/>
      <c r="B21" s="11" t="s">
        <v>142</v>
      </c>
      <c r="C21" s="66">
        <v>226</v>
      </c>
      <c r="D21" s="67"/>
      <c r="E21" s="68">
        <v>192</v>
      </c>
      <c r="F21" s="69">
        <f t="shared" si="1"/>
        <v>0</v>
      </c>
      <c r="G21" s="70">
        <v>0</v>
      </c>
      <c r="H21" s="71"/>
      <c r="I21" s="69">
        <f t="shared" si="2"/>
        <v>0</v>
      </c>
      <c r="J21" s="70">
        <v>0</v>
      </c>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7">
        <f t="shared" si="0"/>
        <v>0</v>
      </c>
    </row>
    <row r="22" spans="1:43" ht="18" customHeight="1" x14ac:dyDescent="0.2">
      <c r="A22" s="5"/>
      <c r="B22" s="11"/>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7" t="e">
        <f t="shared" si="0"/>
        <v>#DIV/0!</v>
      </c>
    </row>
    <row r="23" spans="1:43" ht="18" customHeight="1" x14ac:dyDescent="0.2">
      <c r="A23" s="5"/>
      <c r="B23" s="11"/>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7" t="e">
        <f t="shared" si="0"/>
        <v>#DIV/0!</v>
      </c>
    </row>
    <row r="24" spans="1:43" ht="18" customHeight="1" x14ac:dyDescent="0.2">
      <c r="A24" s="5"/>
      <c r="B24" s="11"/>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7" t="e">
        <f t="shared" si="0"/>
        <v>#DIV/0!</v>
      </c>
    </row>
    <row r="25" spans="1:43" ht="18" customHeight="1" x14ac:dyDescent="0.2">
      <c r="A25" s="5"/>
      <c r="B25" s="11"/>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7" t="e">
        <f t="shared" si="0"/>
        <v>#DIV/0!</v>
      </c>
    </row>
    <row r="26" spans="1:43" ht="18" customHeight="1" x14ac:dyDescent="0.2">
      <c r="A26" s="5"/>
      <c r="B26" s="11"/>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7" t="e">
        <f t="shared" si="0"/>
        <v>#DIV/0!</v>
      </c>
    </row>
    <row r="27" spans="1:43" ht="18" customHeight="1" x14ac:dyDescent="0.2">
      <c r="A27" s="5"/>
      <c r="B27" s="11"/>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7" t="e">
        <f t="shared" si="0"/>
        <v>#DIV/0!</v>
      </c>
    </row>
    <row r="28" spans="1:43" ht="18" customHeight="1" x14ac:dyDescent="0.2">
      <c r="A28" s="5"/>
      <c r="B28" s="11"/>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7" t="e">
        <f t="shared" si="0"/>
        <v>#DIV/0!</v>
      </c>
    </row>
    <row r="29" spans="1:43" ht="18" customHeight="1" x14ac:dyDescent="0.2">
      <c r="A29" s="5"/>
      <c r="B29" s="11"/>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7" t="e">
        <f t="shared" si="0"/>
        <v>#DIV/0!</v>
      </c>
    </row>
    <row r="30" spans="1:43" ht="18" customHeight="1" x14ac:dyDescent="0.2">
      <c r="A30" s="5"/>
      <c r="B30" s="11"/>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7" t="e">
        <f t="shared" si="0"/>
        <v>#DIV/0!</v>
      </c>
    </row>
    <row r="31" spans="1:43" ht="18" customHeight="1" thickBot="1" x14ac:dyDescent="0.25">
      <c r="A31" s="5"/>
      <c r="B31" s="12"/>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6" t="e">
        <f t="shared" si="0"/>
        <v>#DIV/0!</v>
      </c>
    </row>
    <row r="32" spans="1:43" ht="18" customHeight="1" thickTop="1" x14ac:dyDescent="0.2">
      <c r="B32" s="13" t="s">
        <v>32</v>
      </c>
      <c r="C32" s="76">
        <f t="shared" ref="C32" si="14">SUM(C12:C31)</f>
        <v>2353</v>
      </c>
      <c r="D32" s="77">
        <f t="shared" ref="D32:AP32" si="15">SUM(D12:D31)</f>
        <v>490</v>
      </c>
      <c r="E32" s="78">
        <f t="shared" si="15"/>
        <v>2050</v>
      </c>
      <c r="F32" s="78">
        <f t="shared" si="15"/>
        <v>578</v>
      </c>
      <c r="G32" s="79">
        <f t="shared" si="15"/>
        <v>0</v>
      </c>
      <c r="H32" s="80">
        <f t="shared" si="15"/>
        <v>578</v>
      </c>
      <c r="I32" s="78">
        <f t="shared" ref="I32:N32" si="16">SUM(I12:I31)</f>
        <v>566</v>
      </c>
      <c r="J32" s="79">
        <f t="shared" si="16"/>
        <v>0</v>
      </c>
      <c r="K32" s="80">
        <f t="shared" si="16"/>
        <v>566</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578</v>
      </c>
      <c r="AQ32" s="8">
        <f t="shared" si="0"/>
        <v>0.28195121951219509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35" zoomScale="192" zoomScaleNormal="100" zoomScaleSheetLayoutView="100" workbookViewId="0">
      <selection activeCell="B35" sqref="B35:I46"/>
    </sheetView>
  </sheetViews>
  <sheetFormatPr defaultColWidth="11.33203125" defaultRowHeight="18.75" customHeight="1" x14ac:dyDescent="0.2"/>
  <cols>
    <col min="1" max="1" width="2.77734375" style="40" customWidth="1"/>
    <col min="2" max="2" width="16.6640625" style="1" customWidth="1"/>
    <col min="3" max="3" width="8.777343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0" t="s">
        <v>64</v>
      </c>
      <c r="I1" s="34" t="s">
        <v>105</v>
      </c>
    </row>
    <row r="2" spans="1:9" ht="18.75" customHeight="1" x14ac:dyDescent="0.2">
      <c r="G2" s="34" t="s">
        <v>108</v>
      </c>
      <c r="H2" s="93" t="str">
        <f>'様式１　プログラムを構成する授業科目'!C2</f>
        <v>聖心女子大学</v>
      </c>
      <c r="I2" s="95"/>
    </row>
    <row r="3" spans="1:9" ht="18.75" customHeight="1" x14ac:dyDescent="0.2">
      <c r="G3" s="34"/>
      <c r="H3" s="9"/>
      <c r="I3" s="9"/>
    </row>
    <row r="4" spans="1:9" ht="18.45" customHeight="1" x14ac:dyDescent="0.2">
      <c r="A4" s="124" t="s">
        <v>35</v>
      </c>
      <c r="B4" s="124"/>
      <c r="C4" s="124"/>
      <c r="D4" s="124"/>
      <c r="E4" s="124"/>
      <c r="F4" s="124"/>
      <c r="G4" s="124"/>
      <c r="H4" s="124"/>
      <c r="I4" s="124"/>
    </row>
    <row r="5" spans="1:9" ht="13.2" customHeight="1" x14ac:dyDescent="0.2">
      <c r="B5" s="3"/>
      <c r="C5" s="3"/>
      <c r="D5" s="3"/>
      <c r="E5" s="3"/>
      <c r="F5" s="3"/>
      <c r="G5" s="3"/>
      <c r="H5" s="3"/>
      <c r="I5" s="3"/>
    </row>
    <row r="6" spans="1:9" ht="18" customHeight="1" x14ac:dyDescent="0.2">
      <c r="A6" s="1" t="s">
        <v>0</v>
      </c>
      <c r="B6" s="9" t="s">
        <v>90</v>
      </c>
      <c r="C6" s="190" t="s">
        <v>91</v>
      </c>
      <c r="D6" s="190"/>
      <c r="E6" s="33">
        <v>76</v>
      </c>
      <c r="F6" s="3" t="s">
        <v>1</v>
      </c>
      <c r="G6" s="3" t="s">
        <v>2</v>
      </c>
      <c r="H6" s="33">
        <v>267</v>
      </c>
      <c r="I6" s="9" t="s">
        <v>1</v>
      </c>
    </row>
    <row r="7" spans="1:9" ht="12" customHeight="1" x14ac:dyDescent="0.2">
      <c r="C7" s="2"/>
      <c r="D7" s="2"/>
      <c r="E7" s="2"/>
      <c r="F7" s="2"/>
      <c r="G7" s="2"/>
      <c r="H7" s="2"/>
      <c r="I7" s="41"/>
    </row>
    <row r="8" spans="1:9" ht="18" customHeight="1" x14ac:dyDescent="0.2">
      <c r="A8" s="1" t="s">
        <v>3</v>
      </c>
      <c r="B8" s="9" t="s">
        <v>92</v>
      </c>
      <c r="E8" s="3"/>
      <c r="F8" s="3"/>
      <c r="G8" s="3"/>
      <c r="H8" s="33">
        <v>1</v>
      </c>
      <c r="I8" s="9" t="s">
        <v>1</v>
      </c>
    </row>
    <row r="9" spans="1:9" ht="9" customHeight="1" x14ac:dyDescent="0.2">
      <c r="B9" s="3"/>
      <c r="C9" s="3"/>
      <c r="D9" s="3"/>
      <c r="E9" s="3"/>
      <c r="F9" s="3"/>
      <c r="G9" s="3"/>
      <c r="H9" s="3"/>
      <c r="I9" s="3"/>
    </row>
    <row r="10" spans="1:9" ht="18" customHeight="1" x14ac:dyDescent="0.2">
      <c r="A10" s="1" t="s">
        <v>4</v>
      </c>
      <c r="B10" s="9" t="s">
        <v>93</v>
      </c>
      <c r="C10" s="3"/>
      <c r="D10" s="3"/>
      <c r="E10" s="3"/>
      <c r="F10" s="3"/>
      <c r="G10" s="3"/>
      <c r="H10" s="3"/>
      <c r="I10" s="3"/>
    </row>
    <row r="11" spans="1:9" ht="18" customHeight="1" x14ac:dyDescent="0.2">
      <c r="B11" s="34" t="s">
        <v>42</v>
      </c>
      <c r="C11" s="185" t="s">
        <v>166</v>
      </c>
      <c r="D11" s="188"/>
      <c r="E11" s="189"/>
      <c r="F11" s="41"/>
      <c r="G11" s="34" t="s">
        <v>9</v>
      </c>
      <c r="H11" s="185" t="s">
        <v>143</v>
      </c>
      <c r="I11" s="189"/>
    </row>
    <row r="12" spans="1:9" ht="10.199999999999999" customHeight="1" x14ac:dyDescent="0.2">
      <c r="B12" s="34"/>
      <c r="C12" s="9"/>
      <c r="D12" s="41"/>
      <c r="E12" s="41"/>
      <c r="F12" s="41"/>
      <c r="G12" s="34"/>
      <c r="H12" s="9"/>
      <c r="I12" s="41"/>
    </row>
    <row r="13" spans="1:9" ht="18" customHeight="1" x14ac:dyDescent="0.2">
      <c r="A13" s="1" t="s">
        <v>6</v>
      </c>
      <c r="B13" s="9" t="s">
        <v>87</v>
      </c>
      <c r="C13" s="3"/>
      <c r="D13" s="3"/>
      <c r="E13" s="3"/>
      <c r="F13" s="3"/>
      <c r="G13" s="3"/>
      <c r="H13" s="3"/>
      <c r="I13" s="3"/>
    </row>
    <row r="14" spans="1:9" ht="18" customHeight="1" x14ac:dyDescent="0.2">
      <c r="B14" s="185" t="s">
        <v>144</v>
      </c>
      <c r="C14" s="186"/>
      <c r="D14" s="186"/>
      <c r="E14" s="186"/>
      <c r="F14" s="186"/>
      <c r="G14" s="186"/>
      <c r="H14" s="186"/>
      <c r="I14" s="187"/>
    </row>
    <row r="15" spans="1:9" ht="9" customHeight="1" x14ac:dyDescent="0.2">
      <c r="B15" s="3"/>
      <c r="C15" s="3"/>
      <c r="D15" s="3"/>
      <c r="E15" s="3"/>
      <c r="F15" s="3"/>
      <c r="G15" s="3"/>
      <c r="H15" s="3"/>
      <c r="I15" s="3"/>
    </row>
    <row r="16" spans="1:9" ht="18" customHeight="1" x14ac:dyDescent="0.2">
      <c r="B16" s="34" t="s">
        <v>42</v>
      </c>
      <c r="C16" s="185" t="s">
        <v>167</v>
      </c>
      <c r="D16" s="188"/>
      <c r="E16" s="189"/>
      <c r="F16" s="41"/>
      <c r="G16" s="34" t="s">
        <v>9</v>
      </c>
      <c r="H16" s="185" t="s">
        <v>145</v>
      </c>
      <c r="I16" s="189"/>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77" t="s">
        <v>146</v>
      </c>
      <c r="C19" s="178"/>
      <c r="D19" s="178"/>
      <c r="E19" s="178"/>
      <c r="F19" s="178"/>
      <c r="G19" s="178"/>
      <c r="H19" s="178"/>
      <c r="I19" s="179"/>
    </row>
    <row r="20" spans="1:9" ht="7.5" customHeight="1" x14ac:dyDescent="0.2">
      <c r="B20" s="3"/>
      <c r="C20" s="3"/>
      <c r="D20" s="3"/>
      <c r="E20" s="3"/>
      <c r="F20" s="3"/>
      <c r="G20" s="3"/>
      <c r="H20" s="3"/>
      <c r="I20" s="3"/>
    </row>
    <row r="21" spans="1:9" ht="18.75" customHeight="1" x14ac:dyDescent="0.2">
      <c r="A21" s="1" t="s">
        <v>7</v>
      </c>
      <c r="B21" s="1" t="s">
        <v>24</v>
      </c>
    </row>
    <row r="22" spans="1:9" ht="18.75" customHeight="1" x14ac:dyDescent="0.2">
      <c r="A22" s="14"/>
      <c r="B22" s="167" t="s">
        <v>147</v>
      </c>
      <c r="C22" s="168"/>
      <c r="D22" s="168"/>
      <c r="E22" s="168"/>
      <c r="F22" s="168"/>
      <c r="G22" s="168"/>
      <c r="H22" s="168"/>
      <c r="I22" s="169"/>
    </row>
    <row r="23" spans="1:9" ht="18.75" customHeight="1" x14ac:dyDescent="0.2">
      <c r="A23" s="14"/>
      <c r="B23" s="180"/>
      <c r="C23" s="181"/>
      <c r="D23" s="181"/>
      <c r="E23" s="181"/>
      <c r="F23" s="181"/>
      <c r="G23" s="181"/>
      <c r="H23" s="181"/>
      <c r="I23" s="172"/>
    </row>
    <row r="24" spans="1:9" ht="18.75" customHeight="1" x14ac:dyDescent="0.2">
      <c r="A24" s="14"/>
      <c r="B24" s="180"/>
      <c r="C24" s="181"/>
      <c r="D24" s="181"/>
      <c r="E24" s="181"/>
      <c r="F24" s="181"/>
      <c r="G24" s="181"/>
      <c r="H24" s="181"/>
      <c r="I24" s="172"/>
    </row>
    <row r="25" spans="1:9" ht="18.75" customHeight="1" x14ac:dyDescent="0.2">
      <c r="A25" s="14"/>
      <c r="B25" s="180"/>
      <c r="C25" s="181"/>
      <c r="D25" s="181"/>
      <c r="E25" s="181"/>
      <c r="F25" s="181"/>
      <c r="G25" s="181"/>
      <c r="H25" s="181"/>
      <c r="I25" s="172"/>
    </row>
    <row r="26" spans="1:9" ht="18.75" customHeight="1" x14ac:dyDescent="0.2">
      <c r="A26" s="14"/>
      <c r="B26" s="180"/>
      <c r="C26" s="181"/>
      <c r="D26" s="181"/>
      <c r="E26" s="181"/>
      <c r="F26" s="181"/>
      <c r="G26" s="181"/>
      <c r="H26" s="181"/>
      <c r="I26" s="172"/>
    </row>
    <row r="27" spans="1:9" ht="18.75" customHeight="1" x14ac:dyDescent="0.2">
      <c r="A27" s="14"/>
      <c r="B27" s="180"/>
      <c r="C27" s="181"/>
      <c r="D27" s="181"/>
      <c r="E27" s="181"/>
      <c r="F27" s="181"/>
      <c r="G27" s="181"/>
      <c r="H27" s="181"/>
      <c r="I27" s="172"/>
    </row>
    <row r="28" spans="1:9" ht="18.75" customHeight="1" x14ac:dyDescent="0.2">
      <c r="A28" s="14"/>
      <c r="B28" s="180"/>
      <c r="C28" s="181"/>
      <c r="D28" s="181"/>
      <c r="E28" s="181"/>
      <c r="F28" s="181"/>
      <c r="G28" s="181"/>
      <c r="H28" s="181"/>
      <c r="I28" s="172"/>
    </row>
    <row r="29" spans="1:9" ht="18.75" customHeight="1" x14ac:dyDescent="0.2">
      <c r="A29" s="14"/>
      <c r="B29" s="180"/>
      <c r="C29" s="181"/>
      <c r="D29" s="181"/>
      <c r="E29" s="181"/>
      <c r="F29" s="181"/>
      <c r="G29" s="181"/>
      <c r="H29" s="181"/>
      <c r="I29" s="172"/>
    </row>
    <row r="30" spans="1:9" ht="18.75" customHeight="1" x14ac:dyDescent="0.2">
      <c r="A30" s="14"/>
      <c r="B30" s="170"/>
      <c r="C30" s="171"/>
      <c r="D30" s="171"/>
      <c r="E30" s="171"/>
      <c r="F30" s="171"/>
      <c r="G30" s="171"/>
      <c r="H30" s="171"/>
      <c r="I30" s="172"/>
    </row>
    <row r="31" spans="1:9" ht="18.75" customHeight="1" x14ac:dyDescent="0.2">
      <c r="A31" s="14"/>
      <c r="B31" s="170"/>
      <c r="C31" s="171"/>
      <c r="D31" s="171"/>
      <c r="E31" s="171"/>
      <c r="F31" s="171"/>
      <c r="G31" s="171"/>
      <c r="H31" s="171"/>
      <c r="I31" s="172"/>
    </row>
    <row r="32" spans="1:9" ht="18.75" customHeight="1" x14ac:dyDescent="0.2">
      <c r="A32" s="14"/>
      <c r="B32" s="173"/>
      <c r="C32" s="174"/>
      <c r="D32" s="174"/>
      <c r="E32" s="174"/>
      <c r="F32" s="174"/>
      <c r="G32" s="174"/>
      <c r="H32" s="174"/>
      <c r="I32" s="175"/>
    </row>
    <row r="33" spans="1:9" ht="7.5" customHeight="1" x14ac:dyDescent="0.2">
      <c r="A33" s="14"/>
      <c r="B33" s="14"/>
      <c r="C33" s="14"/>
      <c r="D33" s="14"/>
      <c r="E33" s="14"/>
      <c r="F33" s="14"/>
      <c r="G33" s="14"/>
      <c r="H33" s="14"/>
      <c r="I33" s="14"/>
    </row>
    <row r="34" spans="1:9" ht="18.75" customHeight="1" x14ac:dyDescent="0.2">
      <c r="A34" s="15" t="s">
        <v>148</v>
      </c>
      <c r="B34" s="15" t="s">
        <v>8</v>
      </c>
      <c r="C34" s="9"/>
      <c r="D34" s="15"/>
      <c r="E34" s="15"/>
      <c r="F34" s="15"/>
      <c r="G34" s="15"/>
      <c r="H34" s="15"/>
      <c r="I34" s="15"/>
    </row>
    <row r="35" spans="1:9" ht="18.75" customHeight="1" x14ac:dyDescent="0.2">
      <c r="A35" s="14"/>
      <c r="B35" s="167" t="s">
        <v>168</v>
      </c>
      <c r="C35" s="168"/>
      <c r="D35" s="168"/>
      <c r="E35" s="168"/>
      <c r="F35" s="168"/>
      <c r="G35" s="168"/>
      <c r="H35" s="168"/>
      <c r="I35" s="169"/>
    </row>
    <row r="36" spans="1:9" ht="18.75" customHeight="1" x14ac:dyDescent="0.2">
      <c r="A36" s="14"/>
      <c r="B36" s="170"/>
      <c r="C36" s="171"/>
      <c r="D36" s="171"/>
      <c r="E36" s="171"/>
      <c r="F36" s="171"/>
      <c r="G36" s="171"/>
      <c r="H36" s="171"/>
      <c r="I36" s="172"/>
    </row>
    <row r="37" spans="1:9" ht="18.75" customHeight="1" x14ac:dyDescent="0.2">
      <c r="A37" s="14"/>
      <c r="B37" s="170"/>
      <c r="C37" s="171"/>
      <c r="D37" s="171"/>
      <c r="E37" s="171"/>
      <c r="F37" s="171"/>
      <c r="G37" s="171"/>
      <c r="H37" s="171"/>
      <c r="I37" s="172"/>
    </row>
    <row r="38" spans="1:9" ht="18.75" customHeight="1" x14ac:dyDescent="0.2">
      <c r="A38" s="14"/>
      <c r="B38" s="170"/>
      <c r="C38" s="171"/>
      <c r="D38" s="171"/>
      <c r="E38" s="171"/>
      <c r="F38" s="171"/>
      <c r="G38" s="171"/>
      <c r="H38" s="171"/>
      <c r="I38" s="172"/>
    </row>
    <row r="39" spans="1:9" ht="18.75" customHeight="1" x14ac:dyDescent="0.2">
      <c r="A39" s="14"/>
      <c r="B39" s="170"/>
      <c r="C39" s="171"/>
      <c r="D39" s="171"/>
      <c r="E39" s="171"/>
      <c r="F39" s="171"/>
      <c r="G39" s="171"/>
      <c r="H39" s="171"/>
      <c r="I39" s="172"/>
    </row>
    <row r="40" spans="1:9" ht="18.75" customHeight="1" x14ac:dyDescent="0.2">
      <c r="A40" s="14"/>
      <c r="B40" s="170"/>
      <c r="C40" s="171"/>
      <c r="D40" s="171"/>
      <c r="E40" s="171"/>
      <c r="F40" s="171"/>
      <c r="G40" s="171"/>
      <c r="H40" s="171"/>
      <c r="I40" s="172"/>
    </row>
    <row r="41" spans="1:9" ht="18.75" customHeight="1" x14ac:dyDescent="0.2">
      <c r="A41" s="14"/>
      <c r="B41" s="170"/>
      <c r="C41" s="171"/>
      <c r="D41" s="171"/>
      <c r="E41" s="171"/>
      <c r="F41" s="171"/>
      <c r="G41" s="171"/>
      <c r="H41" s="171"/>
      <c r="I41" s="172"/>
    </row>
    <row r="42" spans="1:9" ht="18.75" customHeight="1" x14ac:dyDescent="0.2">
      <c r="A42" s="14"/>
      <c r="B42" s="170"/>
      <c r="C42" s="171"/>
      <c r="D42" s="171"/>
      <c r="E42" s="171"/>
      <c r="F42" s="171"/>
      <c r="G42" s="171"/>
      <c r="H42" s="171"/>
      <c r="I42" s="172"/>
    </row>
    <row r="43" spans="1:9" ht="18.75" customHeight="1" x14ac:dyDescent="0.2">
      <c r="A43" s="14"/>
      <c r="B43" s="170"/>
      <c r="C43" s="171"/>
      <c r="D43" s="171"/>
      <c r="E43" s="171"/>
      <c r="F43" s="171"/>
      <c r="G43" s="171"/>
      <c r="H43" s="171"/>
      <c r="I43" s="172"/>
    </row>
    <row r="44" spans="1:9" ht="18.75" customHeight="1" x14ac:dyDescent="0.2">
      <c r="A44" s="14"/>
      <c r="B44" s="170"/>
      <c r="C44" s="171"/>
      <c r="D44" s="171"/>
      <c r="E44" s="171"/>
      <c r="F44" s="171"/>
      <c r="G44" s="171"/>
      <c r="H44" s="171"/>
      <c r="I44" s="172"/>
    </row>
    <row r="45" spans="1:9" ht="18.75" customHeight="1" x14ac:dyDescent="0.2">
      <c r="A45" s="14"/>
      <c r="B45" s="170"/>
      <c r="C45" s="171"/>
      <c r="D45" s="171"/>
      <c r="E45" s="171"/>
      <c r="F45" s="171"/>
      <c r="G45" s="171"/>
      <c r="H45" s="171"/>
      <c r="I45" s="172"/>
    </row>
    <row r="46" spans="1:9" ht="18.75" customHeight="1" x14ac:dyDescent="0.2">
      <c r="A46" s="14"/>
      <c r="B46" s="173"/>
      <c r="C46" s="174"/>
      <c r="D46" s="174"/>
      <c r="E46" s="174"/>
      <c r="F46" s="174"/>
      <c r="G46" s="174"/>
      <c r="H46" s="174"/>
      <c r="I46" s="175"/>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42" t="s">
        <v>88</v>
      </c>
      <c r="C49" s="208">
        <f>'様式２ 履修者等数の実績'!AQ32</f>
        <v>0.28195121951219509</v>
      </c>
      <c r="D49" s="208"/>
      <c r="E49" s="42" t="s">
        <v>65</v>
      </c>
      <c r="F49" s="208">
        <v>0.5</v>
      </c>
      <c r="G49" s="208"/>
      <c r="H49" s="42" t="s">
        <v>66</v>
      </c>
      <c r="I49" s="43">
        <v>0.75</v>
      </c>
      <c r="J49" s="1"/>
      <c r="M49" s="1"/>
      <c r="N49" s="44"/>
    </row>
    <row r="50" spans="1:15" s="3" customFormat="1" ht="18.75" customHeight="1" x14ac:dyDescent="0.2">
      <c r="B50" s="45" t="s">
        <v>67</v>
      </c>
      <c r="C50" s="191">
        <v>1</v>
      </c>
      <c r="D50" s="191"/>
      <c r="E50" s="45" t="s">
        <v>89</v>
      </c>
      <c r="F50" s="191">
        <v>1</v>
      </c>
      <c r="G50" s="191"/>
      <c r="H50" s="45" t="s">
        <v>68</v>
      </c>
      <c r="I50" s="46">
        <f>'様式２ 履修者等数の実績'!E32</f>
        <v>2050</v>
      </c>
      <c r="J50" s="1"/>
      <c r="M50" s="1"/>
      <c r="N50" s="44"/>
    </row>
    <row r="51" spans="1:15" ht="18.75" customHeight="1" x14ac:dyDescent="0.2">
      <c r="A51" s="1"/>
      <c r="B51" s="182" t="s">
        <v>69</v>
      </c>
      <c r="C51" s="183"/>
      <c r="D51" s="183"/>
      <c r="E51" s="183"/>
      <c r="F51" s="183"/>
      <c r="G51" s="183"/>
      <c r="H51" s="183"/>
      <c r="I51" s="184"/>
      <c r="N51" s="44"/>
      <c r="O51" s="3"/>
    </row>
    <row r="52" spans="1:15" ht="18.75" customHeight="1" x14ac:dyDescent="0.2">
      <c r="A52" s="1"/>
      <c r="B52" s="209" t="s">
        <v>150</v>
      </c>
      <c r="C52" s="210"/>
      <c r="D52" s="210"/>
      <c r="E52" s="210"/>
      <c r="F52" s="210"/>
      <c r="G52" s="210"/>
      <c r="H52" s="210"/>
      <c r="I52" s="211"/>
      <c r="N52" s="44"/>
      <c r="O52" s="3"/>
    </row>
    <row r="53" spans="1:15" ht="18.75" customHeight="1" x14ac:dyDescent="0.2">
      <c r="A53" s="1"/>
      <c r="B53" s="212"/>
      <c r="C53" s="213"/>
      <c r="D53" s="213"/>
      <c r="E53" s="213"/>
      <c r="F53" s="213"/>
      <c r="G53" s="213"/>
      <c r="H53" s="213"/>
      <c r="I53" s="214"/>
      <c r="N53" s="44"/>
      <c r="O53" s="3"/>
    </row>
    <row r="54" spans="1:15" ht="18.75" customHeight="1" x14ac:dyDescent="0.2">
      <c r="A54" s="1"/>
      <c r="B54" s="212"/>
      <c r="C54" s="213"/>
      <c r="D54" s="213"/>
      <c r="E54" s="213"/>
      <c r="F54" s="213"/>
      <c r="G54" s="213"/>
      <c r="H54" s="213"/>
      <c r="I54" s="214"/>
    </row>
    <row r="55" spans="1:15" ht="18.75" customHeight="1" x14ac:dyDescent="0.2">
      <c r="A55" s="1"/>
      <c r="B55" s="212"/>
      <c r="C55" s="213"/>
      <c r="D55" s="213"/>
      <c r="E55" s="213"/>
      <c r="F55" s="213"/>
      <c r="G55" s="213"/>
      <c r="H55" s="213"/>
      <c r="I55" s="214"/>
    </row>
    <row r="56" spans="1:15" ht="18.75" customHeight="1" x14ac:dyDescent="0.2">
      <c r="A56" s="1"/>
      <c r="B56" s="212"/>
      <c r="C56" s="213"/>
      <c r="D56" s="213"/>
      <c r="E56" s="213"/>
      <c r="F56" s="213"/>
      <c r="G56" s="213"/>
      <c r="H56" s="213"/>
      <c r="I56" s="214"/>
    </row>
    <row r="57" spans="1:15" ht="18.75" customHeight="1" x14ac:dyDescent="0.2">
      <c r="A57" s="1"/>
      <c r="B57" s="212"/>
      <c r="C57" s="213"/>
      <c r="D57" s="213"/>
      <c r="E57" s="213"/>
      <c r="F57" s="213"/>
      <c r="G57" s="213"/>
      <c r="H57" s="213"/>
      <c r="I57" s="214"/>
    </row>
    <row r="58" spans="1:15" ht="18.75" customHeight="1" x14ac:dyDescent="0.2">
      <c r="A58" s="1"/>
      <c r="B58" s="212"/>
      <c r="C58" s="213"/>
      <c r="D58" s="213"/>
      <c r="E58" s="213"/>
      <c r="F58" s="213"/>
      <c r="G58" s="213"/>
      <c r="H58" s="213"/>
      <c r="I58" s="214"/>
    </row>
    <row r="59" spans="1:15" ht="18.75" customHeight="1" x14ac:dyDescent="0.2">
      <c r="A59" s="1"/>
      <c r="B59" s="212"/>
      <c r="C59" s="213"/>
      <c r="D59" s="213"/>
      <c r="E59" s="213"/>
      <c r="F59" s="213"/>
      <c r="G59" s="213"/>
      <c r="H59" s="213"/>
      <c r="I59" s="214"/>
    </row>
    <row r="60" spans="1:15" ht="18.75" customHeight="1" x14ac:dyDescent="0.2">
      <c r="A60" s="1"/>
      <c r="B60" s="212"/>
      <c r="C60" s="213"/>
      <c r="D60" s="213"/>
      <c r="E60" s="213"/>
      <c r="F60" s="213"/>
      <c r="G60" s="213"/>
      <c r="H60" s="213"/>
      <c r="I60" s="214"/>
    </row>
    <row r="61" spans="1:15" ht="18.75" customHeight="1" x14ac:dyDescent="0.2">
      <c r="A61" s="1"/>
      <c r="B61" s="212"/>
      <c r="C61" s="213"/>
      <c r="D61" s="213"/>
      <c r="E61" s="213"/>
      <c r="F61" s="213"/>
      <c r="G61" s="213"/>
      <c r="H61" s="213"/>
      <c r="I61" s="214"/>
    </row>
    <row r="62" spans="1:15" ht="18.75" customHeight="1" x14ac:dyDescent="0.2">
      <c r="A62" s="1"/>
      <c r="B62" s="212"/>
      <c r="C62" s="213"/>
      <c r="D62" s="213"/>
      <c r="E62" s="213"/>
      <c r="F62" s="213"/>
      <c r="G62" s="213"/>
      <c r="H62" s="213"/>
      <c r="I62" s="214"/>
    </row>
    <row r="63" spans="1:15" ht="18.75" customHeight="1" x14ac:dyDescent="0.2">
      <c r="A63" s="1"/>
      <c r="B63" s="215"/>
      <c r="C63" s="216"/>
      <c r="D63" s="216"/>
      <c r="E63" s="216"/>
      <c r="F63" s="216"/>
      <c r="G63" s="216"/>
      <c r="H63" s="216"/>
      <c r="I63" s="217"/>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92" t="s">
        <v>157</v>
      </c>
      <c r="C66" s="193"/>
      <c r="D66" s="193"/>
      <c r="E66" s="193"/>
      <c r="F66" s="193"/>
      <c r="G66" s="193"/>
      <c r="H66" s="193"/>
      <c r="I66" s="194"/>
    </row>
    <row r="67" spans="1:9" ht="18.75" customHeight="1" x14ac:dyDescent="0.2">
      <c r="A67" s="4"/>
      <c r="B67" s="195"/>
      <c r="C67" s="196"/>
      <c r="D67" s="196"/>
      <c r="E67" s="196"/>
      <c r="F67" s="196"/>
      <c r="G67" s="196"/>
      <c r="H67" s="196"/>
      <c r="I67" s="197"/>
    </row>
    <row r="68" spans="1:9" ht="18.75" customHeight="1" x14ac:dyDescent="0.2">
      <c r="A68" s="4"/>
      <c r="B68" s="195"/>
      <c r="C68" s="196"/>
      <c r="D68" s="196"/>
      <c r="E68" s="196"/>
      <c r="F68" s="196"/>
      <c r="G68" s="196"/>
      <c r="H68" s="196"/>
      <c r="I68" s="197"/>
    </row>
    <row r="69" spans="1:9" ht="18.75" customHeight="1" x14ac:dyDescent="0.2">
      <c r="A69" s="4"/>
      <c r="B69" s="195"/>
      <c r="C69" s="196"/>
      <c r="D69" s="196"/>
      <c r="E69" s="196"/>
      <c r="F69" s="196"/>
      <c r="G69" s="196"/>
      <c r="H69" s="196"/>
      <c r="I69" s="197"/>
    </row>
    <row r="70" spans="1:9" ht="18.75" customHeight="1" x14ac:dyDescent="0.2">
      <c r="A70" s="4"/>
      <c r="B70" s="195"/>
      <c r="C70" s="196"/>
      <c r="D70" s="196"/>
      <c r="E70" s="196"/>
      <c r="F70" s="196"/>
      <c r="G70" s="196"/>
      <c r="H70" s="196"/>
      <c r="I70" s="197"/>
    </row>
    <row r="71" spans="1:9" ht="18.75" customHeight="1" x14ac:dyDescent="0.2">
      <c r="A71" s="4"/>
      <c r="B71" s="195"/>
      <c r="C71" s="196"/>
      <c r="D71" s="196"/>
      <c r="E71" s="196"/>
      <c r="F71" s="196"/>
      <c r="G71" s="196"/>
      <c r="H71" s="196"/>
      <c r="I71" s="197"/>
    </row>
    <row r="72" spans="1:9" ht="18.75" customHeight="1" x14ac:dyDescent="0.2">
      <c r="A72" s="4"/>
      <c r="B72" s="195"/>
      <c r="C72" s="196"/>
      <c r="D72" s="196"/>
      <c r="E72" s="196"/>
      <c r="F72" s="196"/>
      <c r="G72" s="196"/>
      <c r="H72" s="196"/>
      <c r="I72" s="197"/>
    </row>
    <row r="73" spans="1:9" ht="18.75" customHeight="1" x14ac:dyDescent="0.2">
      <c r="A73" s="4"/>
      <c r="B73" s="195"/>
      <c r="C73" s="196"/>
      <c r="D73" s="196"/>
      <c r="E73" s="196"/>
      <c r="F73" s="196"/>
      <c r="G73" s="196"/>
      <c r="H73" s="196"/>
      <c r="I73" s="197"/>
    </row>
    <row r="74" spans="1:9" ht="18.75" customHeight="1" x14ac:dyDescent="0.2">
      <c r="A74" s="4"/>
      <c r="B74" s="195"/>
      <c r="C74" s="196"/>
      <c r="D74" s="196"/>
      <c r="E74" s="196"/>
      <c r="F74" s="196"/>
      <c r="G74" s="196"/>
      <c r="H74" s="196"/>
      <c r="I74" s="197"/>
    </row>
    <row r="75" spans="1:9" ht="18.75" customHeight="1" x14ac:dyDescent="0.2">
      <c r="A75" s="4"/>
      <c r="B75" s="195"/>
      <c r="C75" s="196"/>
      <c r="D75" s="196"/>
      <c r="E75" s="196"/>
      <c r="F75" s="196"/>
      <c r="G75" s="196"/>
      <c r="H75" s="196"/>
      <c r="I75" s="197"/>
    </row>
    <row r="76" spans="1:9" ht="18.75" customHeight="1" x14ac:dyDescent="0.2">
      <c r="A76" s="4"/>
      <c r="B76" s="195"/>
      <c r="C76" s="196"/>
      <c r="D76" s="196"/>
      <c r="E76" s="196"/>
      <c r="F76" s="196"/>
      <c r="G76" s="196"/>
      <c r="H76" s="196"/>
      <c r="I76" s="197"/>
    </row>
    <row r="77" spans="1:9" ht="18.75" customHeight="1" x14ac:dyDescent="0.2">
      <c r="A77" s="4"/>
      <c r="B77" s="198"/>
      <c r="C77" s="199"/>
      <c r="D77" s="199"/>
      <c r="E77" s="199"/>
      <c r="F77" s="199"/>
      <c r="G77" s="199"/>
      <c r="H77" s="199"/>
      <c r="I77" s="200"/>
    </row>
    <row r="78" spans="1:9" ht="7.5" customHeight="1" x14ac:dyDescent="0.2">
      <c r="A78" s="4"/>
      <c r="B78" s="4"/>
      <c r="C78" s="4"/>
      <c r="D78" s="4"/>
      <c r="E78" s="4"/>
      <c r="F78" s="4"/>
      <c r="G78" s="4"/>
      <c r="H78" s="4"/>
      <c r="I78" s="4"/>
    </row>
    <row r="79" spans="1:9" ht="18.75" customHeight="1" x14ac:dyDescent="0.2">
      <c r="A79" s="1" t="s">
        <v>10</v>
      </c>
      <c r="B79" s="1" t="s">
        <v>40</v>
      </c>
    </row>
    <row r="80" spans="1:9" ht="18.75" customHeight="1" x14ac:dyDescent="0.2">
      <c r="A80" s="1"/>
      <c r="B80" s="192" t="s">
        <v>158</v>
      </c>
      <c r="C80" s="193"/>
      <c r="D80" s="193"/>
      <c r="E80" s="193"/>
      <c r="F80" s="193"/>
      <c r="G80" s="193"/>
      <c r="H80" s="193"/>
      <c r="I80" s="201"/>
    </row>
    <row r="81" spans="1:9" ht="18.75" customHeight="1" x14ac:dyDescent="0.2">
      <c r="A81" s="1"/>
      <c r="B81" s="202"/>
      <c r="C81" s="203"/>
      <c r="D81" s="203"/>
      <c r="E81" s="203"/>
      <c r="F81" s="203"/>
      <c r="G81" s="203"/>
      <c r="H81" s="203"/>
      <c r="I81" s="204"/>
    </row>
    <row r="82" spans="1:9" ht="18.75" customHeight="1" x14ac:dyDescent="0.2">
      <c r="A82" s="1"/>
      <c r="B82" s="202"/>
      <c r="C82" s="203"/>
      <c r="D82" s="203"/>
      <c r="E82" s="203"/>
      <c r="F82" s="203"/>
      <c r="G82" s="203"/>
      <c r="H82" s="203"/>
      <c r="I82" s="204"/>
    </row>
    <row r="83" spans="1:9" ht="18.75" customHeight="1" x14ac:dyDescent="0.2">
      <c r="A83" s="1"/>
      <c r="B83" s="202"/>
      <c r="C83" s="203"/>
      <c r="D83" s="203"/>
      <c r="E83" s="203"/>
      <c r="F83" s="203"/>
      <c r="G83" s="203"/>
      <c r="H83" s="203"/>
      <c r="I83" s="204"/>
    </row>
    <row r="84" spans="1:9" ht="18.75" customHeight="1" x14ac:dyDescent="0.2">
      <c r="A84" s="1"/>
      <c r="B84" s="202"/>
      <c r="C84" s="203"/>
      <c r="D84" s="203"/>
      <c r="E84" s="203"/>
      <c r="F84" s="203"/>
      <c r="G84" s="203"/>
      <c r="H84" s="203"/>
      <c r="I84" s="204"/>
    </row>
    <row r="85" spans="1:9" ht="18.75" customHeight="1" x14ac:dyDescent="0.2">
      <c r="A85" s="1"/>
      <c r="B85" s="202"/>
      <c r="C85" s="203"/>
      <c r="D85" s="203"/>
      <c r="E85" s="203"/>
      <c r="F85" s="203"/>
      <c r="G85" s="203"/>
      <c r="H85" s="203"/>
      <c r="I85" s="204"/>
    </row>
    <row r="86" spans="1:9" ht="18.75" customHeight="1" x14ac:dyDescent="0.2">
      <c r="A86" s="1"/>
      <c r="B86" s="202"/>
      <c r="C86" s="203"/>
      <c r="D86" s="203"/>
      <c r="E86" s="203"/>
      <c r="F86" s="203"/>
      <c r="G86" s="203"/>
      <c r="H86" s="203"/>
      <c r="I86" s="204"/>
    </row>
    <row r="87" spans="1:9" ht="18.75" customHeight="1" x14ac:dyDescent="0.2">
      <c r="A87" s="1"/>
      <c r="B87" s="202"/>
      <c r="C87" s="203"/>
      <c r="D87" s="203"/>
      <c r="E87" s="203"/>
      <c r="F87" s="203"/>
      <c r="G87" s="203"/>
      <c r="H87" s="203"/>
      <c r="I87" s="204"/>
    </row>
    <row r="88" spans="1:9" ht="18.75" customHeight="1" x14ac:dyDescent="0.2">
      <c r="A88" s="1"/>
      <c r="B88" s="202"/>
      <c r="C88" s="203"/>
      <c r="D88" s="203"/>
      <c r="E88" s="203"/>
      <c r="F88" s="203"/>
      <c r="G88" s="203"/>
      <c r="H88" s="203"/>
      <c r="I88" s="204"/>
    </row>
    <row r="89" spans="1:9" ht="18.75" customHeight="1" x14ac:dyDescent="0.2">
      <c r="A89" s="1"/>
      <c r="B89" s="202"/>
      <c r="C89" s="203"/>
      <c r="D89" s="203"/>
      <c r="E89" s="203"/>
      <c r="F89" s="203"/>
      <c r="G89" s="203"/>
      <c r="H89" s="203"/>
      <c r="I89" s="204"/>
    </row>
    <row r="90" spans="1:9" ht="18.75" customHeight="1" x14ac:dyDescent="0.2">
      <c r="A90" s="4"/>
      <c r="B90" s="202"/>
      <c r="C90" s="203"/>
      <c r="D90" s="203"/>
      <c r="E90" s="203"/>
      <c r="F90" s="203"/>
      <c r="G90" s="203"/>
      <c r="H90" s="203"/>
      <c r="I90" s="204"/>
    </row>
    <row r="91" spans="1:9" ht="18.75" customHeight="1" x14ac:dyDescent="0.2">
      <c r="A91" s="4"/>
      <c r="B91" s="205"/>
      <c r="C91" s="206"/>
      <c r="D91" s="206"/>
      <c r="E91" s="206"/>
      <c r="F91" s="206"/>
      <c r="G91" s="206"/>
      <c r="H91" s="206"/>
      <c r="I91" s="207"/>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167" t="s">
        <v>151</v>
      </c>
      <c r="C94" s="168"/>
      <c r="D94" s="168"/>
      <c r="E94" s="168"/>
      <c r="F94" s="168"/>
      <c r="G94" s="168"/>
      <c r="H94" s="168"/>
      <c r="I94" s="169"/>
    </row>
    <row r="95" spans="1:9" ht="18.75" customHeight="1" x14ac:dyDescent="0.2">
      <c r="A95" s="1"/>
      <c r="B95" s="170"/>
      <c r="C95" s="171"/>
      <c r="D95" s="171"/>
      <c r="E95" s="171"/>
      <c r="F95" s="171"/>
      <c r="G95" s="171"/>
      <c r="H95" s="171"/>
      <c r="I95" s="172"/>
    </row>
    <row r="96" spans="1:9" ht="18.75" customHeight="1" x14ac:dyDescent="0.2">
      <c r="A96" s="1"/>
      <c r="B96" s="170"/>
      <c r="C96" s="171"/>
      <c r="D96" s="171"/>
      <c r="E96" s="171"/>
      <c r="F96" s="171"/>
      <c r="G96" s="171"/>
      <c r="H96" s="171"/>
      <c r="I96" s="172"/>
    </row>
    <row r="97" spans="1:9" ht="18.75" customHeight="1" x14ac:dyDescent="0.2">
      <c r="A97" s="1"/>
      <c r="B97" s="170"/>
      <c r="C97" s="171"/>
      <c r="D97" s="171"/>
      <c r="E97" s="171"/>
      <c r="F97" s="171"/>
      <c r="G97" s="171"/>
      <c r="H97" s="171"/>
      <c r="I97" s="172"/>
    </row>
    <row r="98" spans="1:9" ht="18.75" customHeight="1" x14ac:dyDescent="0.2">
      <c r="A98" s="1"/>
      <c r="B98" s="170"/>
      <c r="C98" s="171"/>
      <c r="D98" s="171"/>
      <c r="E98" s="171"/>
      <c r="F98" s="171"/>
      <c r="G98" s="171"/>
      <c r="H98" s="171"/>
      <c r="I98" s="172"/>
    </row>
    <row r="99" spans="1:9" ht="18.75" customHeight="1" x14ac:dyDescent="0.2">
      <c r="A99" s="1"/>
      <c r="B99" s="170"/>
      <c r="C99" s="171"/>
      <c r="D99" s="171"/>
      <c r="E99" s="171"/>
      <c r="F99" s="171"/>
      <c r="G99" s="171"/>
      <c r="H99" s="171"/>
      <c r="I99" s="172"/>
    </row>
    <row r="100" spans="1:9" ht="18.75" customHeight="1" x14ac:dyDescent="0.2">
      <c r="A100" s="1"/>
      <c r="B100" s="170"/>
      <c r="C100" s="171"/>
      <c r="D100" s="171"/>
      <c r="E100" s="171"/>
      <c r="F100" s="171"/>
      <c r="G100" s="171"/>
      <c r="H100" s="171"/>
      <c r="I100" s="172"/>
    </row>
    <row r="101" spans="1:9" ht="18.75" customHeight="1" x14ac:dyDescent="0.2">
      <c r="A101" s="1"/>
      <c r="B101" s="170"/>
      <c r="C101" s="171"/>
      <c r="D101" s="171"/>
      <c r="E101" s="171"/>
      <c r="F101" s="171"/>
      <c r="G101" s="171"/>
      <c r="H101" s="171"/>
      <c r="I101" s="172"/>
    </row>
    <row r="102" spans="1:9" ht="18.75" customHeight="1" x14ac:dyDescent="0.2">
      <c r="A102" s="1"/>
      <c r="B102" s="170"/>
      <c r="C102" s="171"/>
      <c r="D102" s="171"/>
      <c r="E102" s="171"/>
      <c r="F102" s="171"/>
      <c r="G102" s="171"/>
      <c r="H102" s="171"/>
      <c r="I102" s="172"/>
    </row>
    <row r="103" spans="1:9" ht="18.75" customHeight="1" x14ac:dyDescent="0.2">
      <c r="A103" s="1"/>
      <c r="B103" s="170"/>
      <c r="C103" s="171"/>
      <c r="D103" s="171"/>
      <c r="E103" s="171"/>
      <c r="F103" s="171"/>
      <c r="G103" s="171"/>
      <c r="H103" s="171"/>
      <c r="I103" s="172"/>
    </row>
    <row r="104" spans="1:9" ht="18.75" customHeight="1" x14ac:dyDescent="0.2">
      <c r="A104" s="1"/>
      <c r="B104" s="170"/>
      <c r="C104" s="171"/>
      <c r="D104" s="171"/>
      <c r="E104" s="171"/>
      <c r="F104" s="171"/>
      <c r="G104" s="171"/>
      <c r="H104" s="171"/>
      <c r="I104" s="172"/>
    </row>
    <row r="105" spans="1:9" ht="18.75" customHeight="1" x14ac:dyDescent="0.2">
      <c r="A105" s="4"/>
      <c r="B105" s="173"/>
      <c r="C105" s="174"/>
      <c r="D105" s="174"/>
      <c r="E105" s="174"/>
      <c r="F105" s="174"/>
      <c r="G105" s="174"/>
      <c r="H105" s="174"/>
      <c r="I105" s="175"/>
    </row>
    <row r="106" spans="1:9" ht="7.5" customHeight="1" x14ac:dyDescent="0.2">
      <c r="A106" s="4"/>
      <c r="B106" s="4"/>
      <c r="C106" s="4"/>
      <c r="D106" s="4"/>
      <c r="E106" s="4"/>
      <c r="F106" s="4"/>
      <c r="G106" s="4"/>
      <c r="H106" s="4"/>
      <c r="I106" s="4"/>
    </row>
    <row r="107" spans="1:9" ht="18.75" customHeight="1" x14ac:dyDescent="0.2">
      <c r="A107" s="1" t="s">
        <v>29</v>
      </c>
      <c r="B107" s="176" t="s">
        <v>45</v>
      </c>
      <c r="C107" s="176"/>
      <c r="D107" s="176"/>
      <c r="E107" s="176"/>
      <c r="F107" s="176"/>
      <c r="G107" s="176"/>
      <c r="H107" s="176"/>
      <c r="I107" s="176"/>
    </row>
    <row r="108" spans="1:9" ht="18.75" customHeight="1" x14ac:dyDescent="0.2">
      <c r="A108" s="4"/>
      <c r="B108" s="167" t="s">
        <v>152</v>
      </c>
      <c r="C108" s="168"/>
      <c r="D108" s="168"/>
      <c r="E108" s="168"/>
      <c r="F108" s="168"/>
      <c r="G108" s="168"/>
      <c r="H108" s="168"/>
      <c r="I108" s="169"/>
    </row>
    <row r="109" spans="1:9" ht="18.75" customHeight="1" x14ac:dyDescent="0.2">
      <c r="A109" s="4"/>
      <c r="B109" s="170"/>
      <c r="C109" s="171"/>
      <c r="D109" s="171"/>
      <c r="E109" s="171"/>
      <c r="F109" s="171"/>
      <c r="G109" s="171"/>
      <c r="H109" s="171"/>
      <c r="I109" s="172"/>
    </row>
    <row r="110" spans="1:9" ht="18.75" customHeight="1" x14ac:dyDescent="0.2">
      <c r="A110" s="4"/>
      <c r="B110" s="170"/>
      <c r="C110" s="171"/>
      <c r="D110" s="171"/>
      <c r="E110" s="171"/>
      <c r="F110" s="171"/>
      <c r="G110" s="171"/>
      <c r="H110" s="171"/>
      <c r="I110" s="172"/>
    </row>
    <row r="111" spans="1:9" ht="18.75" customHeight="1" x14ac:dyDescent="0.2">
      <c r="A111" s="4"/>
      <c r="B111" s="170"/>
      <c r="C111" s="171"/>
      <c r="D111" s="171"/>
      <c r="E111" s="171"/>
      <c r="F111" s="171"/>
      <c r="G111" s="171"/>
      <c r="H111" s="171"/>
      <c r="I111" s="172"/>
    </row>
    <row r="112" spans="1:9" ht="18.75" customHeight="1" x14ac:dyDescent="0.2">
      <c r="A112" s="4"/>
      <c r="B112" s="170"/>
      <c r="C112" s="171"/>
      <c r="D112" s="171"/>
      <c r="E112" s="171"/>
      <c r="F112" s="171"/>
      <c r="G112" s="171"/>
      <c r="H112" s="171"/>
      <c r="I112" s="172"/>
    </row>
    <row r="113" spans="1:9" ht="18.75" customHeight="1" x14ac:dyDescent="0.2">
      <c r="A113" s="4"/>
      <c r="B113" s="170"/>
      <c r="C113" s="171"/>
      <c r="D113" s="171"/>
      <c r="E113" s="171"/>
      <c r="F113" s="171"/>
      <c r="G113" s="171"/>
      <c r="H113" s="171"/>
      <c r="I113" s="172"/>
    </row>
    <row r="114" spans="1:9" ht="18.75" customHeight="1" x14ac:dyDescent="0.2">
      <c r="A114" s="4"/>
      <c r="B114" s="170"/>
      <c r="C114" s="171"/>
      <c r="D114" s="171"/>
      <c r="E114" s="171"/>
      <c r="F114" s="171"/>
      <c r="G114" s="171"/>
      <c r="H114" s="171"/>
      <c r="I114" s="172"/>
    </row>
    <row r="115" spans="1:9" ht="18.75" customHeight="1" x14ac:dyDescent="0.2">
      <c r="A115" s="4"/>
      <c r="B115" s="170"/>
      <c r="C115" s="171"/>
      <c r="D115" s="171"/>
      <c r="E115" s="171"/>
      <c r="F115" s="171"/>
      <c r="G115" s="171"/>
      <c r="H115" s="171"/>
      <c r="I115" s="172"/>
    </row>
    <row r="116" spans="1:9" ht="18.75" customHeight="1" x14ac:dyDescent="0.2">
      <c r="A116" s="4"/>
      <c r="B116" s="170"/>
      <c r="C116" s="171"/>
      <c r="D116" s="171"/>
      <c r="E116" s="171"/>
      <c r="F116" s="171"/>
      <c r="G116" s="171"/>
      <c r="H116" s="171"/>
      <c r="I116" s="172"/>
    </row>
    <row r="117" spans="1:9" ht="18.75" customHeight="1" x14ac:dyDescent="0.2">
      <c r="A117" s="4"/>
      <c r="B117" s="170"/>
      <c r="C117" s="171"/>
      <c r="D117" s="171"/>
      <c r="E117" s="171"/>
      <c r="F117" s="171"/>
      <c r="G117" s="171"/>
      <c r="H117" s="171"/>
      <c r="I117" s="172"/>
    </row>
    <row r="118" spans="1:9" ht="18.75" customHeight="1" x14ac:dyDescent="0.2">
      <c r="A118" s="4"/>
      <c r="B118" s="170"/>
      <c r="C118" s="171"/>
      <c r="D118" s="171"/>
      <c r="E118" s="171"/>
      <c r="F118" s="171"/>
      <c r="G118" s="171"/>
      <c r="H118" s="171"/>
      <c r="I118" s="172"/>
    </row>
    <row r="119" spans="1:9" ht="18.75" customHeight="1" x14ac:dyDescent="0.2">
      <c r="A119" s="4"/>
      <c r="B119" s="173"/>
      <c r="C119" s="174"/>
      <c r="D119" s="174"/>
      <c r="E119" s="174"/>
      <c r="F119" s="174"/>
      <c r="G119" s="174"/>
      <c r="H119" s="174"/>
      <c r="I119" s="175"/>
    </row>
    <row r="120" spans="1:9" ht="7.5" customHeight="1" x14ac:dyDescent="0.2">
      <c r="A120" s="4"/>
      <c r="B120" s="47"/>
      <c r="C120" s="47"/>
      <c r="D120" s="47"/>
      <c r="E120" s="47"/>
      <c r="F120" s="47"/>
      <c r="G120" s="47"/>
      <c r="H120" s="47"/>
      <c r="I120" s="47"/>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4C95-DD0E-48D1-825E-EF208A91CBB4}">
  <sheetPr>
    <pageSetUpPr fitToPage="1"/>
  </sheetPr>
  <dimension ref="A1:I30"/>
  <sheetViews>
    <sheetView showZeros="0" view="pageBreakPreview" topLeftCell="A20" zoomScaleNormal="100" zoomScaleSheetLayoutView="100" workbookViewId="0">
      <selection activeCell="A21" sqref="A21:XFD21"/>
    </sheetView>
  </sheetViews>
  <sheetFormatPr defaultColWidth="11.33203125" defaultRowHeight="22.5" customHeight="1" x14ac:dyDescent="0.2"/>
  <cols>
    <col min="1" max="3" width="2.77734375" style="84" customWidth="1"/>
    <col min="4" max="4" width="22.109375" style="84" customWidth="1"/>
    <col min="5" max="5" width="30.77734375" style="84" customWidth="1"/>
    <col min="6" max="7" width="7.77734375" style="84" customWidth="1"/>
    <col min="8" max="9" width="30.77734375" style="84" customWidth="1"/>
    <col min="10" max="10" width="4.109375" style="84" customWidth="1"/>
    <col min="11" max="16384" width="11.33203125" style="84"/>
  </cols>
  <sheetData>
    <row r="1" spans="1:9" ht="18.75" customHeight="1" x14ac:dyDescent="0.2">
      <c r="A1" s="84" t="s">
        <v>70</v>
      </c>
      <c r="I1" s="81" t="s">
        <v>104</v>
      </c>
    </row>
    <row r="2" spans="1:9" ht="18.75" customHeight="1" x14ac:dyDescent="0.2">
      <c r="H2" s="81" t="s">
        <v>108</v>
      </c>
      <c r="I2" s="83" t="str">
        <f>'様式１　プログラムを構成する授業科目'!C2</f>
        <v>聖心女子大学</v>
      </c>
    </row>
    <row r="3" spans="1:9" ht="18.75" customHeight="1" x14ac:dyDescent="0.2">
      <c r="A3" s="124" t="s">
        <v>27</v>
      </c>
      <c r="B3" s="124"/>
      <c r="C3" s="124"/>
      <c r="D3" s="124"/>
      <c r="E3" s="124"/>
      <c r="F3" s="124"/>
      <c r="G3" s="124"/>
      <c r="H3" s="124"/>
      <c r="I3" s="124"/>
    </row>
    <row r="4" spans="1:9" ht="18.75" customHeight="1" x14ac:dyDescent="0.2">
      <c r="A4" s="82"/>
      <c r="B4" s="82"/>
      <c r="C4" s="82"/>
      <c r="D4" s="82"/>
      <c r="E4" s="82"/>
      <c r="F4" s="82"/>
      <c r="G4" s="82"/>
      <c r="H4" s="82"/>
      <c r="I4" s="82"/>
    </row>
    <row r="5" spans="1:9" ht="18.75" customHeight="1" x14ac:dyDescent="0.2">
      <c r="A5" s="84" t="s">
        <v>0</v>
      </c>
      <c r="B5" s="9" t="s">
        <v>94</v>
      </c>
      <c r="C5" s="82"/>
      <c r="D5" s="82"/>
      <c r="E5" s="82"/>
      <c r="F5" s="82"/>
      <c r="G5" s="82"/>
      <c r="H5" s="82"/>
      <c r="I5" s="82"/>
    </row>
    <row r="6" spans="1:9" ht="26.25" customHeight="1" x14ac:dyDescent="0.2">
      <c r="A6" s="82"/>
      <c r="B6" s="185" t="s">
        <v>149</v>
      </c>
      <c r="C6" s="243"/>
      <c r="D6" s="243"/>
      <c r="E6" s="243"/>
      <c r="F6" s="243"/>
      <c r="G6" s="243"/>
      <c r="H6" s="244"/>
      <c r="I6" s="85"/>
    </row>
    <row r="7" spans="1:9" ht="9" customHeight="1" x14ac:dyDescent="0.2">
      <c r="A7" s="82"/>
      <c r="B7" s="9"/>
      <c r="C7" s="9"/>
      <c r="D7" s="9"/>
      <c r="E7" s="9"/>
      <c r="F7" s="9"/>
      <c r="G7" s="9"/>
      <c r="H7" s="9"/>
      <c r="I7" s="85"/>
    </row>
    <row r="8" spans="1:9" ht="18.75" customHeight="1" x14ac:dyDescent="0.2">
      <c r="A8" s="82"/>
      <c r="B8" s="85"/>
      <c r="C8" s="85"/>
      <c r="D8" s="81" t="s">
        <v>42</v>
      </c>
      <c r="E8" s="35" t="s">
        <v>159</v>
      </c>
      <c r="F8" s="85"/>
      <c r="G8" s="81" t="s">
        <v>9</v>
      </c>
      <c r="H8" s="35" t="s">
        <v>160</v>
      </c>
      <c r="I8" s="85"/>
    </row>
    <row r="9" spans="1:9" ht="7.5" customHeight="1" x14ac:dyDescent="0.2">
      <c r="A9" s="82"/>
      <c r="B9" s="82"/>
      <c r="C9" s="82"/>
      <c r="D9" s="82"/>
      <c r="E9" s="82"/>
      <c r="F9" s="82"/>
      <c r="G9" s="82"/>
      <c r="H9" s="82"/>
      <c r="I9" s="82"/>
    </row>
    <row r="10" spans="1:9" ht="18.75" customHeight="1" x14ac:dyDescent="0.2">
      <c r="A10" s="84" t="s">
        <v>3</v>
      </c>
      <c r="B10" s="84" t="s">
        <v>26</v>
      </c>
      <c r="C10" s="4"/>
      <c r="D10" s="4"/>
      <c r="E10" s="4"/>
      <c r="F10" s="4"/>
      <c r="G10" s="4"/>
      <c r="H10" s="4"/>
      <c r="I10" s="4"/>
    </row>
    <row r="11" spans="1:9" ht="18.75" customHeight="1" x14ac:dyDescent="0.2">
      <c r="B11" s="93" t="s">
        <v>23</v>
      </c>
      <c r="C11" s="94"/>
      <c r="D11" s="95"/>
      <c r="E11" s="94" t="s">
        <v>25</v>
      </c>
      <c r="F11" s="94"/>
      <c r="G11" s="94"/>
      <c r="H11" s="94"/>
      <c r="I11" s="95"/>
    </row>
    <row r="12" spans="1:9" ht="26.25" customHeight="1" x14ac:dyDescent="0.2">
      <c r="B12" s="49" t="s">
        <v>13</v>
      </c>
      <c r="C12" s="56"/>
      <c r="D12" s="50"/>
      <c r="E12" s="57"/>
      <c r="F12" s="57"/>
      <c r="G12" s="57"/>
      <c r="H12" s="57"/>
      <c r="I12" s="50"/>
    </row>
    <row r="13" spans="1:9" ht="210.75" customHeight="1" x14ac:dyDescent="0.2">
      <c r="B13" s="51"/>
      <c r="C13" s="233" t="s">
        <v>14</v>
      </c>
      <c r="D13" s="234"/>
      <c r="E13" s="242" t="s">
        <v>164</v>
      </c>
      <c r="F13" s="235"/>
      <c r="G13" s="235"/>
      <c r="H13" s="235"/>
      <c r="I13" s="236"/>
    </row>
    <row r="14" spans="1:9" ht="210.75" customHeight="1" x14ac:dyDescent="0.2">
      <c r="B14" s="51"/>
      <c r="C14" s="240" t="s">
        <v>15</v>
      </c>
      <c r="D14" s="241"/>
      <c r="E14" s="242" t="s">
        <v>163</v>
      </c>
      <c r="F14" s="235"/>
      <c r="G14" s="235"/>
      <c r="H14" s="235"/>
      <c r="I14" s="236"/>
    </row>
    <row r="15" spans="1:9" ht="210.75" customHeight="1" x14ac:dyDescent="0.2">
      <c r="B15" s="51"/>
      <c r="C15" s="233" t="s">
        <v>16</v>
      </c>
      <c r="D15" s="234"/>
      <c r="E15" s="242" t="s">
        <v>153</v>
      </c>
      <c r="F15" s="235"/>
      <c r="G15" s="235"/>
      <c r="H15" s="235"/>
      <c r="I15" s="236"/>
    </row>
    <row r="16" spans="1:9" ht="210.75" customHeight="1" x14ac:dyDescent="0.2">
      <c r="B16" s="51"/>
      <c r="C16" s="233" t="s">
        <v>17</v>
      </c>
      <c r="D16" s="234"/>
      <c r="E16" s="242" t="s">
        <v>162</v>
      </c>
      <c r="F16" s="235"/>
      <c r="G16" s="235"/>
      <c r="H16" s="235"/>
      <c r="I16" s="236"/>
    </row>
    <row r="17" spans="2:9" ht="210.75" customHeight="1" x14ac:dyDescent="0.2">
      <c r="B17" s="52"/>
      <c r="C17" s="228" t="s">
        <v>18</v>
      </c>
      <c r="D17" s="229"/>
      <c r="E17" s="230" t="s">
        <v>165</v>
      </c>
      <c r="F17" s="231"/>
      <c r="G17" s="231"/>
      <c r="H17" s="231"/>
      <c r="I17" s="232"/>
    </row>
    <row r="18" spans="2:9" ht="24" customHeight="1" x14ac:dyDescent="0.2">
      <c r="B18" s="49" t="s">
        <v>19</v>
      </c>
      <c r="C18" s="53"/>
      <c r="D18" s="54"/>
      <c r="E18" s="55"/>
      <c r="F18" s="55"/>
      <c r="G18" s="55"/>
      <c r="H18" s="55"/>
      <c r="I18" s="58"/>
    </row>
    <row r="19" spans="2:9" ht="218.25" customHeight="1" x14ac:dyDescent="0.2">
      <c r="B19" s="51"/>
      <c r="C19" s="233" t="s">
        <v>20</v>
      </c>
      <c r="D19" s="234"/>
      <c r="E19" s="235" t="s">
        <v>161</v>
      </c>
      <c r="F19" s="235"/>
      <c r="G19" s="235"/>
      <c r="H19" s="235"/>
      <c r="I19" s="236"/>
    </row>
    <row r="20" spans="2:9" ht="218.25" customHeight="1" x14ac:dyDescent="0.2">
      <c r="B20" s="52"/>
      <c r="C20" s="228" t="s">
        <v>21</v>
      </c>
      <c r="D20" s="229"/>
      <c r="E20" s="237" t="s">
        <v>169</v>
      </c>
      <c r="F20" s="238"/>
      <c r="G20" s="238"/>
      <c r="H20" s="238"/>
      <c r="I20" s="239"/>
    </row>
    <row r="21" spans="2:9" ht="218.25" customHeight="1" x14ac:dyDescent="0.2">
      <c r="B21" s="218" t="s">
        <v>22</v>
      </c>
      <c r="C21" s="219"/>
      <c r="D21" s="220"/>
      <c r="E21" s="221" t="s">
        <v>155</v>
      </c>
      <c r="F21" s="221"/>
      <c r="G21" s="221"/>
      <c r="H21" s="221"/>
      <c r="I21" s="222"/>
    </row>
    <row r="22" spans="2:9" ht="218.25" customHeight="1" x14ac:dyDescent="0.2">
      <c r="B22" s="223" t="s">
        <v>37</v>
      </c>
      <c r="C22" s="224"/>
      <c r="D22" s="225"/>
      <c r="E22" s="226" t="s">
        <v>154</v>
      </c>
      <c r="F22" s="226"/>
      <c r="G22" s="226"/>
      <c r="H22" s="226"/>
      <c r="I22" s="22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86"/>
      <c r="C28" s="86"/>
      <c r="D28" s="86"/>
      <c r="E28" s="86"/>
      <c r="F28" s="86"/>
      <c r="G28" s="86"/>
      <c r="H28" s="86"/>
      <c r="I28" s="86"/>
    </row>
    <row r="29" spans="2:9" ht="22.5" customHeight="1" x14ac:dyDescent="0.2">
      <c r="B29" s="86"/>
      <c r="C29" s="86"/>
      <c r="D29" s="86"/>
      <c r="E29" s="86"/>
      <c r="F29" s="86"/>
      <c r="G29" s="86"/>
      <c r="H29" s="86"/>
      <c r="I29" s="86"/>
    </row>
    <row r="30" spans="2:9" ht="22.5" customHeight="1" x14ac:dyDescent="0.2">
      <c r="B30" s="86"/>
      <c r="C30" s="86"/>
      <c r="D30" s="86"/>
      <c r="E30" s="86"/>
      <c r="F30" s="86"/>
      <c r="G30" s="86"/>
      <c r="H30" s="86"/>
      <c r="I30" s="86"/>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 </vt:lpstr>
      <vt:lpstr>'様式１　プログラムを構成する授業科目'!Print_Area</vt:lpstr>
      <vt:lpstr>'様式２ 履修者等数の実績'!Print_Area</vt:lpstr>
      <vt:lpstr>'様式３ 教育の質・履修者数を向上させるための体制・計画'!Print_Area</vt:lpstr>
      <vt:lpstr>'様式４　自己点検・評価 '!Print_Area</vt:lpstr>
      <vt:lpstr>'様式４　自己点検・評価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関　利男</cp:lastModifiedBy>
  <cp:lastPrinted>2023-07-16T01:03:34Z</cp:lastPrinted>
  <dcterms:created xsi:type="dcterms:W3CDTF">2011-06-14T05:32:50Z</dcterms:created>
  <dcterms:modified xsi:type="dcterms:W3CDTF">2023-07-16T01:14:53Z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