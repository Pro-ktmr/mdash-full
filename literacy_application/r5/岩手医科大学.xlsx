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69.254.132.236\share\01_全学教育推進機構担当\01_全学教育推進機構関連\34_数理・データサイエンス・AI教育専門部会\数理・データサイエンス・AI教育プログラム認定制度\★申請書類\★申請資料最終版\"/>
    </mc:Choice>
  </mc:AlternateContent>
  <bookViews>
    <workbookView xWindow="0" yWindow="0" windowWidth="20550" windowHeight="11310" tabRatio="885" activeTab="4"/>
  </bookViews>
  <sheets>
    <sheet name="様式１-1　プログラムを構成する授業科目" sheetId="45" r:id="rId1"/>
    <sheet name="様式１-2　プログラムを構成する授業科目" sheetId="39" r:id="rId2"/>
    <sheet name="様式１-3　プログラムを構成する授業科目" sheetId="44" r:id="rId3"/>
    <sheet name="様式１-4　プログラムを構成する授業科目" sheetId="43" r:id="rId4"/>
    <sheet name="様式２ 履修者等数の実績" sheetId="40" r:id="rId5"/>
    <sheet name="様式３ 教育の質・履修者数を向上させるための体制・計画" sheetId="41" r:id="rId6"/>
    <sheet name="様式４　自己点検・評価" sheetId="42" r:id="rId7"/>
  </sheets>
  <definedNames>
    <definedName name="_xlnm._FilterDatabase" localSheetId="0" hidden="1">'様式１-1　プログラムを構成する授業科目'!$V$14:$V$16</definedName>
    <definedName name="_xlnm._FilterDatabase" localSheetId="1" hidden="1">'様式１-2　プログラムを構成する授業科目'!$V$14:$V$16</definedName>
    <definedName name="_xlnm._FilterDatabase" localSheetId="2" hidden="1">'様式１-3　プログラムを構成する授業科目'!$V$14:$V$16</definedName>
    <definedName name="_xlnm._FilterDatabase" localSheetId="3" hidden="1">'様式１-4　プログラムを構成する授業科目'!$V$14:$V$16</definedName>
    <definedName name="_xlnm._FilterDatabase" localSheetId="4" hidden="1">'様式２ 履修者等数の実績'!#REF!</definedName>
    <definedName name="_xlnm.Print_Area" localSheetId="0">'様式１-1　プログラムを構成する授業科目'!$A$1:$S$102</definedName>
    <definedName name="_xlnm.Print_Area" localSheetId="1">'様式１-2　プログラムを構成する授業科目'!$A$1:$S$102</definedName>
    <definedName name="_xlnm.Print_Area" localSheetId="2">'様式１-3　プログラムを構成する授業科目'!$A$1:$S$102</definedName>
    <definedName name="_xlnm.Print_Area" localSheetId="3">'様式１-4　プログラムを構成する授業科目'!$A$1:$S$102</definedName>
    <definedName name="_xlnm.Print_Area" localSheetId="4">'様式２ 履修者等数の実績'!$A$1:$AQ$32</definedName>
    <definedName name="_xlnm.Print_Area" localSheetId="5">'様式３ 教育の質・履修者数を向上させるための体制・計画'!$A$1:$I$120</definedName>
    <definedName name="_xlnm.Print_Area" localSheetId="6">'様式４　自己点検・評価'!$A$1:$I$22</definedName>
    <definedName name="_xlnm.Print_Titles" localSheetId="6">'様式４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U14" i="40" l="1"/>
  <c r="AT14" i="40"/>
  <c r="AS12" i="40"/>
  <c r="I50" i="41" l="1"/>
  <c r="AU15" i="40" l="1"/>
  <c r="AU13" i="40"/>
  <c r="AT13" i="40" l="1"/>
  <c r="AT15" i="40"/>
  <c r="AT12" i="40"/>
  <c r="AS13" i="40"/>
  <c r="AS14" i="40"/>
  <c r="AS15" i="40"/>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C32" i="40"/>
  <c r="AP12" i="40" l="1"/>
  <c r="AQ12" i="40" s="1"/>
  <c r="AU12" i="40"/>
  <c r="I32" i="40"/>
  <c r="F32" i="40" l="1"/>
  <c r="E32" i="40"/>
  <c r="D32" i="40"/>
  <c r="AQ31" i="40"/>
  <c r="AQ30" i="40"/>
  <c r="AQ29" i="40"/>
  <c r="AQ28" i="40"/>
  <c r="AQ27" i="40"/>
  <c r="AQ26" i="40"/>
  <c r="AQ25" i="40"/>
  <c r="AQ24" i="40"/>
  <c r="AQ23" i="40"/>
  <c r="AQ22" i="40"/>
  <c r="AQ21" i="40"/>
  <c r="AQ20" i="40"/>
  <c r="AQ19" i="40"/>
  <c r="AQ18" i="40"/>
  <c r="AQ17" i="40"/>
  <c r="AQ16" i="40"/>
  <c r="AQ15" i="40"/>
  <c r="AQ14" i="40"/>
  <c r="AQ13" i="40"/>
  <c r="AP32" i="40" l="1"/>
  <c r="AQ32" i="40" l="1"/>
  <c r="C49" i="41" s="1"/>
</calcChain>
</file>

<file path=xl/sharedStrings.xml><?xml version="1.0" encoding="utf-8"?>
<sst xmlns="http://schemas.openxmlformats.org/spreadsheetml/2006/main" count="852" uniqueCount="228">
  <si>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</si>
  <si>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</si>
  <si>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</si>
  <si>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</si>
  <si>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</si>
  <si>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</si>
  <si>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</si>
  <si>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</si>
  <si>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</si>
  <si>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</si>
  <si>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</si>
  <si>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</si>
  <si>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</si>
  <si>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</si>
  <si>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</si>
  <si>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</si>
  <si>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</si>
  <si>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</si>
  <si>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</si>
  <si>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</si>
  <si>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</si>
  <si>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</si>
  <si>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</si>
  <si>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</si>
  <si>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</si>
  <si>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</si>
  <si>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</si>
  <si>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</si>
  <si>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</si>
  <si>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</si>
  <si>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</si>
  <si>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</si>
  <si>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</si>
  <si>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</si>
  <si>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</si>
  <si>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</si>
  <si>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</si>
  <si>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</si>
  <si>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</si>
  <si>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</si>
  <si>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</si>
  <si>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</si>
  <si>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</si>
  <si>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</si>
  <si>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</si>
  <si>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</si>
  <si>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</si>
  <si>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</si>
  <si>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</si>
  <si>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</si>
  <si>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</si>
  <si>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</si>
  <si>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</si>
  <si>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</si>
  <si>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</si>
  <si>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</si>
  <si>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</si>
  <si>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</si>
  <si>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</si>
  <si>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</si>
  <si>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</si>
  <si>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</si>
  <si>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</si>
  <si>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</si>
  <si>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</si>
  <si>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</si>
  <si>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</si>
  <si>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</si>
  <si>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</si>
  <si>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</si>
  <si>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</si>
  <si>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</si>
  <si>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</si>
  <si>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</si>
  <si>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</si>
  <si>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</si>
  <si>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</si>
  <si>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</si>
  <si>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</si>
  <si>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</si>
  <si>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</si>
  <si>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</si>
  <si>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</si>
  <si>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</si>
  <si>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</si>
  <si>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</si>
  <si>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</si>
  <si>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</si>
  <si>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</si>
  <si>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</si>
  <si>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</si>
  <si>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</si>
  <si>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</si>
  <si>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</si>
  <si>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</si>
  <si>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</si>
  <si>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</si>
  <si>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</si>
  <si>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</si>
  <si>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</si>
  <si>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</si>
  <si>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</si>
  <si>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</si>
  <si>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</si>
  <si>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</si>
  <si>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</si>
  <si>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</si>
  <si>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</si>
  <si>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</si>
  <si>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</si>
  <si>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</si>
  <si>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</si>
  <si>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</si>
  <si>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</si>
  <si>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</si>
  <si>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</si>
  <si>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</si>
  <si>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</si>
  <si>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</si>
  <si>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</si>
  <si>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</si>
  <si>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</si>
  <si>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</si>
  <si>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</si>
  <si>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</si>
  <si>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</si>
  <si>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岩手医科大学</t>
    <rPh sb="0" eb="2">
      <t>イワテ</t>
    </rPh>
    <rPh sb="2" eb="4">
      <t>イカ</t>
    </rPh>
    <rPh sb="4" eb="6">
      <t>ダイガク</t>
    </rPh>
    <phoneticPr fontId="1"/>
  </si>
  <si>
    <t>岩手医科大学　数理・データサイエンス・AI教育プログラム（リテラシーレベル）</t>
    <phoneticPr fontId="1"/>
  </si>
  <si>
    <t>学部・学科によって、修了要件は相違する</t>
  </si>
  <si>
    <t>プログラムを構成する科目のうち、必修科目である「情報リテラシー」「データサイエンス」「生物学実習」「物理学実習」の4科目（各1単位）を履修し、4単位を取得すること。
（「ベーシック数学」「解析学入門」は選択科目につき、履修を必須としない。）</t>
    <phoneticPr fontId="1"/>
  </si>
  <si>
    <t>様式１-１</t>
    <rPh sb="0" eb="2">
      <t>ヨウシキ</t>
    </rPh>
    <phoneticPr fontId="1"/>
  </si>
  <si>
    <t>情報リテラシー</t>
    <rPh sb="0" eb="2">
      <t>ジョウホウ</t>
    </rPh>
    <phoneticPr fontId="1"/>
  </si>
  <si>
    <t>データサイエンス</t>
    <phoneticPr fontId="1"/>
  </si>
  <si>
    <t>物理学実習</t>
    <rPh sb="0" eb="5">
      <t>ブツリガクジッシュウ</t>
    </rPh>
    <phoneticPr fontId="1"/>
  </si>
  <si>
    <t>ベーシック数学</t>
    <rPh sb="5" eb="7">
      <t>スウガク</t>
    </rPh>
    <phoneticPr fontId="1"/>
  </si>
  <si>
    <t>解析学入門</t>
    <rPh sb="0" eb="5">
      <t>カイセキガクニュウモン</t>
    </rPh>
    <phoneticPr fontId="1"/>
  </si>
  <si>
    <t>○</t>
  </si>
  <si>
    <t>データサイエンス</t>
    <phoneticPr fontId="1"/>
  </si>
  <si>
    <t>生物学実習</t>
    <rPh sb="0" eb="5">
      <t>セイブツガクジッシュウ</t>
    </rPh>
    <phoneticPr fontId="1"/>
  </si>
  <si>
    <t>データサイエンス</t>
    <phoneticPr fontId="1"/>
  </si>
  <si>
    <t>データサイエンス</t>
    <phoneticPr fontId="1"/>
  </si>
  <si>
    <t>4‐7データハンドリング</t>
  </si>
  <si>
    <t>4-1統計および数理基礎</t>
  </si>
  <si>
    <t>4‐4時系列データ解析</t>
  </si>
  <si>
    <t>・ビッグデータ，IoT，AI，ロボット「情報リテラシー」（1,2回目），「データサイエンス」（1,2回目）
・データ量の増加「データサイエンス」（2回目）
・第4次産業革命，Society5.0，データ駆動型社会「情報リテラシー」（1,2回目）
・データを起点としたものの見方「データサイエンス」（1回目）</t>
    <phoneticPr fontId="1"/>
  </si>
  <si>
    <t xml:space="preserve">・AI最新技術の活用例（深層生成モデル，敵対的生成ネットワーク，強化学習，転移学習など）「情報リテラシー」（1,2,13,14回目），「データサイエンス」（1,2回目)
</t>
    <phoneticPr fontId="1"/>
  </si>
  <si>
    <t>・調査データ，実験データ，人の行動ログデータ，機械の稼働ログデータなど「情報リテラシー」（3,4回目），「データサイエンス」（1,2,3回目）
・1次データ，2次データ，データのメタ化（メタデータ）「情報リテラシー」（3,4回目）
・構造化データ，非構造化データ（文章，画像／動画，音声／音楽など）「情報リテラシー」（3,4回目）
・データの作成（ビッグデータ）「データサイエンス」（2回目），（アノテーション）「情報リテラシー」（3,4回目）
・データのオープン化（オープンデータ）「情報リテラシー」（3,4回目），「データサイエンス」（2回目)</t>
    <phoneticPr fontId="1"/>
  </si>
  <si>
    <t>・データ・AI活用領域の広がり「データサイエンス」（1,2回目）
・研究開発，製造，物流など「情報リテラシー」（7,8回目），「データサイエンス」（1,2回目）
・仮説検証，知識発見，原因究明，計画策定，判断支援，活動代替，新規生成など「データサイエンス」（1,2回目）</t>
    <phoneticPr fontId="1"/>
  </si>
  <si>
    <t>・データ解析：予測，グルーピング，パターン発見，最適化，シミュレーション，データ同化など「情報リテラシー」（3,4回目)「データサイエンス」（1,2回目）
・データ可視化：「データサイエンス」（1,2回目）
・特化型AIと汎用AI，今のAIで出来ることと出来ないこと，AIとビッグデータ「情報リテラシー」（3,4回目）</t>
    <phoneticPr fontId="1"/>
  </si>
  <si>
    <t>・データサイエンスのサイクル（課題抽出と定式化，データの取得・管理・加工，探索的データ解析，データ解析と推論，結果の共有・伝達，課題解決に向けた提案）「情報リテラシー」（13,14回目）
・流通，製造，金融，サービス，インフラ，公共，ヘルスケア等におけるデータ・AI利活用事例紹介「データサイエンス」（1,2回目）</t>
    <phoneticPr fontId="1"/>
  </si>
  <si>
    <t>・ELSI（Ethical, Legal and Sosial Issues）「情報リテラシー」（11,12回目）
・個人情報保護，EU一般データ保護規則（GDPR），忘れられる権利，オプトアウト「情報リテラシー」（11,12回目）
・データ倫理「データサイエンス」（1回目）
・データバイアス，アルゴリズムバイアス「データサイエンス」（1,2回目）</t>
    <phoneticPr fontId="1"/>
  </si>
  <si>
    <t>・情報セキュリティ：機密性，完全性，可用性「情報リテラシー」（9,10回目）
・匿名加工情報，暗号化，パスワード，悪意ある情報搾取「情報リテラシー」(9,10回目，11,12回目）</t>
    <phoneticPr fontId="1"/>
  </si>
  <si>
    <t>・データの集計（和・平均）「情報リテラシー」（3～8回目），「データサイエンス」（3,4回目），「生物学実習」（16～18回目），「物理学実習」（4～6回目）
・データの並び替え，ランキング「情報リテラシー」（3,4回目)，「物理学実習」（9～12, 19-21回目）
・データ解析ツール（スプレッドシート）「情報リテラシー」（3～8回目），「データサイエンス」（3,4回目），「生物学実習」（16～18回目），「物理学実習」（4～6回目）
・表形式のデータ（CSV）「情報リテラシー」（3～8回目），「データサイエンス」（3,4回目）</t>
    <phoneticPr fontId="1"/>
  </si>
  <si>
    <t>・Society5.0の概念および社会の情報化の現状を理解し，医学・医療分野との関連について説明できる．
・基礎的なデータ処理，データ分析および結果の提示，プレゼンができる．
・データや情報，AIを扱う上で留意すべき情報保護，情報セキュリティ，情報倫理を理解し，必要な対応ができる．</t>
    <phoneticPr fontId="1"/>
  </si>
  <si>
    <t>看護学部</t>
    <rPh sb="0" eb="4">
      <t>カンゴガクブ</t>
    </rPh>
    <phoneticPr fontId="1"/>
  </si>
  <si>
    <t>様式１-２</t>
    <rPh sb="0" eb="2">
      <t>ヨウシキ</t>
    </rPh>
    <phoneticPr fontId="1"/>
  </si>
  <si>
    <t>様式１-３</t>
    <rPh sb="0" eb="2">
      <t>ヨウシキ</t>
    </rPh>
    <phoneticPr fontId="1"/>
  </si>
  <si>
    <t>プログラムを構成する科目のうち、必修科目である「情報科学」「データサイエンス」「生物学実習」「物理学実習」の4科目（各1単位）を履修し、4単位を取得すること。
（「ベーシック数学」「解析学入門」は選択科目につき、履修を必須としない。）</t>
    <rPh sb="26" eb="28">
      <t>カガク</t>
    </rPh>
    <phoneticPr fontId="1"/>
  </si>
  <si>
    <t>情報科学</t>
    <rPh sb="0" eb="2">
      <t>ジョウホウ</t>
    </rPh>
    <rPh sb="2" eb="4">
      <t>カガク</t>
    </rPh>
    <phoneticPr fontId="1"/>
  </si>
  <si>
    <t>・ビッグデータ「情報科学」（1,2回目），「データサイエンス」（14回目）
・IoT，AI，ロボット「情報科学」（1,2回目）
・第4次産業革命，Society5.0，データ駆動型社会「情報科学」（1,2回目）</t>
    <phoneticPr fontId="1"/>
  </si>
  <si>
    <t>・AI最新技術の活用例「情報科学」（1,2,13,14回目）</t>
    <phoneticPr fontId="1"/>
  </si>
  <si>
    <t>・調査データ，実験データ「情報科学」（3,4回目），「データサイエンス」（14回目）
・1次データ，2次データ，データのメタ化（メタデータ）「情報科学」（3,4回目）
・構造化データ，非構造化データ（文章，画像／動画，音声／音楽など）「情報科学」（3,4回目）
・データの作成（アノテーション）「情報科学」（3,4回目）
・データのオープン化（オープンデータ）「情報科学」（3,4回目）</t>
    <phoneticPr fontId="1"/>
  </si>
  <si>
    <t>・研究開発，製造，物流など「情報科学」（7,8回目）</t>
    <phoneticPr fontId="1"/>
  </si>
  <si>
    <t>・データ解析：予測，グルーピング，パターン発見，最適化など「情報科学」（3,4回目)
・特化型AIと汎用AI「情報科学」（3,4回目）</t>
    <phoneticPr fontId="1"/>
  </si>
  <si>
    <t>・データサイエンスのサイクル「情報科学」（13,14回目）
・ヘルスケア等におけるデータ・AI利活用事例紹介「データサイエンス」（14回目）</t>
    <phoneticPr fontId="1"/>
  </si>
  <si>
    <t>・ELSI（Ethical, Legal and Sosial Issues）「情報科学」（11,12回目）
・個人情報保護，EU一般データ保護規則（GDPR），忘れられる権利，オプトアウト「情報科学」（11,12回目）</t>
    <phoneticPr fontId="1"/>
  </si>
  <si>
    <t>・情報セキュリティ：機密性，完全性，可用性「情報科学」（9,10回目）
・匿名加工情報，暗号化，パスワード，悪意ある情報搾取「情報科学」(9,10回目，11,12回目）</t>
    <phoneticPr fontId="1"/>
  </si>
  <si>
    <t>4‐8データ活用実践（教師あり学習）</t>
  </si>
  <si>
    <t>・研究開発，製造，物流など「情報科学」（9,10回目）</t>
    <phoneticPr fontId="1"/>
  </si>
  <si>
    <t>・データ解析：予測，グルーピング，パターン発見，最適化など「情報科学」（5,6回目)
・特化型AIと汎用AI「情報科学」（5,6回目）
・データ可視化：複合グラフ，地図上の可視化「データサイエンス」（2,3回目）</t>
    <phoneticPr fontId="1"/>
  </si>
  <si>
    <t>・データサイエンスのサイクル「情報科学」（19,20回目）
・ヘルスケア等におけるデータ・AI利活用事例紹介「データサイエンス」（1,8～10回）</t>
    <phoneticPr fontId="1"/>
  </si>
  <si>
    <t>・ELSI（Ethical, Legal and Sosial Issues）「情報科学」（17,18回目）
・個人情報保護，EU一般データ保護規則（GDPR），忘れられる権利，オプトアウト「情報科学」（17,18回目）</t>
    <phoneticPr fontId="1"/>
  </si>
  <si>
    <t>・情報セキュリティ：機密性，完全性，可用性「情報科学」（15,16回目）
・匿名加工情報，暗号化，パスワード，悪意ある情報搾取「情報科学」(15～18回目）</t>
    <phoneticPr fontId="1"/>
  </si>
  <si>
    <t>・データの種類（量的変数，質的変数）「データサイエンス」（2回目)
・データの分布（ヒストグラム）と代表値（平均値，中央値，最頻値）「情報科学」（5,6回目），「データサイエンス」（2回目）
・代表値の性質の違い「データサイエンス」（3回目）
・データのばらつき（分散，標準偏差，偏差値）「情報科学」（5,6回目），「データサイエンス」（3回目）
・観測データに含まれる誤差の扱い「データサイエンス」（4回目）
・打ち切りや脱落を含むデータ，層別の必要なデータ「データサイエンス」（4回目）
・相関と因果（相関係数，疑似相関，交絡）「データサイエンス」（5回目）
・母集団と標本抽出（国勢調査，アンケート調査，全数調査，単純無作為抽出，層別抽出，多段抽出）「データサイエンス」（5回目）
・クロス集計表「情報科学」（7,8回目），「データサイエンス」（5,8回目）
・分割表，相関係数行列，散布図行列「データサイエンス」（5,8回目）
・統計情報の正しい理解（誇張表現に惑わされない）「データサイエンス」（6回目）</t>
    <phoneticPr fontId="1"/>
  </si>
  <si>
    <t>・データ表現（棒グラフ，折れ線グラフ，散布図）「情報科学」（5,6回目，7,8回目），「データサイエンス」（7回目）
・データの図表表現（チャート化）「情報科学」（5,6回目），「データサイエンス」（7回目）
・データの比較（条件をそろえた比較）「データサイエンス」（7回目）
・不適切なグラフ表現（チャートジャンク，不必要な視覚的要素）「データサイエンス」（7回目）</t>
    <phoneticPr fontId="1"/>
  </si>
  <si>
    <t>・データの集計（和・平均）「情報科学」（12回目），「データサイエンス」（2回目）
・データの並び替え，ランキング「データサイエンス」（3,9回目)
・データ解析ツール（スプレッドシート）「情報科学」（5～10回目），「データサイエンス」（2～10回目）
・表形式のデータ（CSV）「情報科学」（5～14回目），「データサイエンス」（10回目）</t>
    <phoneticPr fontId="1"/>
  </si>
  <si>
    <t>・データ表現（棒グラフ，折れ線グラフ，散布図，ヒートマップ）「情報リテラシー」（3～6回目），「データサイエンス」（3,4,6,8,10,12,14回目），「生物学実習」（16～18回目），「物理学実習」（4～6, 7～9回目）
・データの図表表現（チャート化）「情報リテラシー」（3,4回目），「データサイエンス」（3,4,6,8,10,12,14回目），「生物学実習」（16～18回目），「物理学実習」（1～3回目）
・データの比較（条件をそろえた比較，処理の前後での比較，A/Bテスト）「データサイエンス」（11～14回目）
・不適切なグラフ表現（チャートジャンク，不必要な視覚的要素）「データサイエンス」（3回目）</t>
    <phoneticPr fontId="1"/>
  </si>
  <si>
    <t>・データ表現（棒グラフ，折れ線グラフ，散布図）「情報科学」（3～6回目），「データサイエンス」（14回目），「生物学実習」（16～18回目），「物理学実習」（4～6, 7～9回目）
・データ表現（ヒートマップ）「データサイエンス」（14回目）
・データの図表表現（チャート化）「情報科学」（3,4回目），「生物学実習」（16～18回目），「物理学実習」（1～3回目）</t>
    <phoneticPr fontId="1"/>
  </si>
  <si>
    <t>・データの集計（和・平均）「情報科学」（3～8回目），「データサイエンス」（14回目），「生物学実習」（16～18回目），「物理学実習」（4～6回目）
・データの並び替え，ランキング「情報科学」（3,4回目)，「物理学実習」（9～12, 19-21回目）
・データ解析ツール（スプレッドシート）「情報科学」（3～8回目），「生物学実習」（16～18回目），「物理学実習」（4～6回目）
・表形式のデータ（CSV）「情報科学」（3～8回目），「データサイエンス」（14回目）</t>
    <phoneticPr fontId="1"/>
  </si>
  <si>
    <t>令和4</t>
    <rPh sb="0" eb="2">
      <t>レイワ</t>
    </rPh>
    <phoneticPr fontId="1"/>
  </si>
  <si>
    <t>医学部　医学科</t>
    <rPh sb="0" eb="3">
      <t>イガクブ</t>
    </rPh>
    <rPh sb="4" eb="7">
      <t>イガッカ</t>
    </rPh>
    <phoneticPr fontId="1"/>
  </si>
  <si>
    <t>歯学部　歯学科</t>
    <rPh sb="0" eb="3">
      <t>シガクブ</t>
    </rPh>
    <rPh sb="4" eb="7">
      <t>シガクカ</t>
    </rPh>
    <phoneticPr fontId="1"/>
  </si>
  <si>
    <t>薬学部　薬学科</t>
    <rPh sb="0" eb="3">
      <t>ヤクガクブ</t>
    </rPh>
    <rPh sb="4" eb="7">
      <t>ヤクガクカ</t>
    </rPh>
    <phoneticPr fontId="1"/>
  </si>
  <si>
    <t>看護学部　看護学科</t>
    <rPh sb="0" eb="4">
      <t>カンゴガクブ</t>
    </rPh>
    <rPh sb="5" eb="9">
      <t>カンゴガッカ</t>
    </rPh>
    <phoneticPr fontId="1"/>
  </si>
  <si>
    <t>田島　克巳</t>
    <rPh sb="0" eb="2">
      <t>タジマ</t>
    </rPh>
    <rPh sb="3" eb="5">
      <t>カツミ</t>
    </rPh>
    <phoneticPr fontId="1"/>
  </si>
  <si>
    <t>全学教育推進機構長</t>
    <rPh sb="0" eb="9">
      <t>ゼンガクキョウイクスイシンキコウチョウ</t>
    </rPh>
    <phoneticPr fontId="1"/>
  </si>
  <si>
    <t>全学教育推進機構委員会、数理・データサイエンス・AI教育専門部会</t>
    <phoneticPr fontId="1"/>
  </si>
  <si>
    <t>本教育プログラムを構成する科目の多くは必修科目であり、令和9年度には全学年の学生が当該プログラムを履修した状態となる予定である。また学生に対しては本教育プログラムの意義を説明し、より有意義なものとなるように働きかけている。</t>
    <phoneticPr fontId="1"/>
  </si>
  <si>
    <t>履修率</t>
    <rPh sb="0" eb="3">
      <t>リシュウリツ</t>
    </rPh>
    <phoneticPr fontId="1"/>
  </si>
  <si>
    <t>修得率</t>
    <rPh sb="0" eb="3">
      <t>シュウトクリツ</t>
    </rPh>
    <phoneticPr fontId="1"/>
  </si>
  <si>
    <t>受講生に対する修得率</t>
    <rPh sb="0" eb="3">
      <t>ジュコウセイ</t>
    </rPh>
    <rPh sb="4" eb="5">
      <t>タイ</t>
    </rPh>
    <rPh sb="7" eb="10">
      <t>シュウトクリツ</t>
    </rPh>
    <phoneticPr fontId="1"/>
  </si>
  <si>
    <t>薬学部</t>
    <rPh sb="0" eb="3">
      <t>ヤクガクブ</t>
    </rPh>
    <phoneticPr fontId="1"/>
  </si>
  <si>
    <t>・ビッグデータ「情報リテラシー」（1,2回目），「データサイエンス」（2回目）
・IoT，AI，ロボット「情報リテラシー」（1,2回目）
・第4次産業革命，Society5.0，データ駆動型社会「情報リテラシー」（1,2回目）</t>
    <phoneticPr fontId="1"/>
  </si>
  <si>
    <t xml:space="preserve">・AI最新技術の活用例（深層生成モデル，敵対的生成ネットワーク，強化学習，転移学習など）「情報リテラシー」（1,2,13,14回目）
</t>
    <phoneticPr fontId="1"/>
  </si>
  <si>
    <t>・調査データ，実験データ「情報リテラシー」（3,4回目），「データサイエンス」（2回目）
・1次データ，2次データ，データのメタ化（メタデータ）「情報リテラシー」（3,4回目）
・構造化データ，非構造化データ（文章，画像／動画，音声／音楽など）「情報リテラシー」（3,4回目）
・データの作成（アノテーション）「情報リテラシー」（3,4回目）
・データのオープン化（オープンデータ）「情報リテラシー」（3,4回目）</t>
    <phoneticPr fontId="1"/>
  </si>
  <si>
    <t>・研究開発，製造，物流など「情報リテラシー」（7,8回目）</t>
    <phoneticPr fontId="1"/>
  </si>
  <si>
    <t>・データ解析：予測，グルーピング，パターン発見，最適化など「情報リテラシー」（3,4回目)
・特化型AIと汎用AI「情報リテラシー」（3,4回目）</t>
    <phoneticPr fontId="1"/>
  </si>
  <si>
    <t>・データサイエンスのサイクル「情報リテラシー」（13,14回目）
・ヘルスケアにおけるデータ・AI利活用事例紹介「データサイエンス」（2回目）</t>
    <phoneticPr fontId="1"/>
  </si>
  <si>
    <t>・ELSI（Ethical, Legal and Sosial Issues）「情報リテラシー」（11,12回目）
・個人情報保護，EU一般データ保護規則（GDPR），忘れられる権利「情報リテラシー」（11,12回目）</t>
    <phoneticPr fontId="1"/>
  </si>
  <si>
    <t>・データ表現（棒グラフ，折れ線グラフ，散布図）「情報リテラシー」（3～6回目），「データサイエンス」（13回目），「生物学実習」（16～18回目），「物理学実習」（4～6、7～9回目）
・データ表現（ヒートマップ）「データサイエンス」（13回目）
・データの図表表現（チャート化）「情報リテラシー」（3,4回目），「生物学実習」（16～18回目），「物理学実習」（1～3回目）</t>
    <phoneticPr fontId="1"/>
  </si>
  <si>
    <t>・データの集計（和・平均）「情報リテラシー」（3～8回目），「データサイエンス」（13回目），「生物学実習」（16～18回目），「物理学実習」（4～6回目）
・データの並び替え，ランキング「情報リテラシー」（3,4回目)，「物理学実習」（9～12、19～21回目）
・データ解析ツール（スプレッドシート）「情報リテラシー」（3～8回目），「生物学実習」（16～18回目），「物理学実習」（4～6回目）
・表形式のデータ（CSV）「情報リテラシー」（3～8回目），「データサイエンス」（13回目）</t>
    <phoneticPr fontId="1"/>
  </si>
  <si>
    <t>プログラムを構成する科目のうち、必修科目である「情報科学」（2単位）「データサイエンス」（1単位）の2科目を履修し、3単位を取得すること。
（「ベーシック数学」「解析学入門」は選択科目につき、履修を必須としない。）</t>
    <rPh sb="31" eb="33">
      <t>タンイ</t>
    </rPh>
    <rPh sb="46" eb="48">
      <t>タンイ</t>
    </rPh>
    <phoneticPr fontId="1"/>
  </si>
  <si>
    <t>様式１-４</t>
    <rPh sb="0" eb="2">
      <t>ヨウシキ</t>
    </rPh>
    <phoneticPr fontId="1"/>
  </si>
  <si>
    <t>医学部</t>
    <rPh sb="0" eb="3">
      <t>イガクブ</t>
    </rPh>
    <phoneticPr fontId="1"/>
  </si>
  <si>
    <t>必要に応じて、定期的に課す課題等の形成的評価および定期試験による客観的評価によって学修成果の把握に務めている。定期的に課す課題によって学生の理解度を把握し、講義またはオンデマンド教材を用いたフィードバックを行っている。最終的には授業アンケート調査を実施し、学生の理解度の把握に務めている。</t>
    <rPh sb="0" eb="2">
      <t>ヒツヨウ</t>
    </rPh>
    <rPh sb="3" eb="4">
      <t>オウ</t>
    </rPh>
    <phoneticPr fontId="1"/>
  </si>
  <si>
    <t>本教育プログラム受講者全員に対して授業アンケートを実施しており、アンケート項目「実社会でのデータ活用の重要性が理解できましたか。」「数理・データサイエンス・AIと医療との結びつきについて理解が深まりましたか。」「実データを扱う技術が向上したと思いますか。」を分析することにより、内容の理解度を把握している。令和4年度は多くの科目で肯定的な評価となっていた。一方で、医学部と看護学部の科目の一つである「データサイエンス」において肯定的な意見が半数程度に留まっていたことについては、今後も継続して傾向を見ていく必要があると考えている。</t>
    <rPh sb="178" eb="180">
      <t>イッポウ</t>
    </rPh>
    <rPh sb="191" eb="193">
      <t>カモク</t>
    </rPh>
    <rPh sb="194" eb="195">
      <t>ヒト</t>
    </rPh>
    <rPh sb="239" eb="241">
      <t>コンゴ</t>
    </rPh>
    <rPh sb="242" eb="244">
      <t>ケイゾク</t>
    </rPh>
    <rPh sb="246" eb="248">
      <t>ケイコウ</t>
    </rPh>
    <rPh sb="249" eb="250">
      <t>ミ</t>
    </rPh>
    <rPh sb="253" eb="255">
      <t>ヒツヨウ</t>
    </rPh>
    <rPh sb="259" eb="260">
      <t>カンガ</t>
    </rPh>
    <phoneticPr fontId="1"/>
  </si>
  <si>
    <t>歯学部</t>
    <rPh sb="0" eb="3">
      <t>シガクブ</t>
    </rPh>
    <phoneticPr fontId="1"/>
  </si>
  <si>
    <t>本学では、プログラムを主として必修科目で構成している。これによって、医学部・歯学部・看護学部では1学年修了時、薬学部では2学年修了時に全員が同プログラムを履修していることとなる。</t>
    <rPh sb="11" eb="12">
      <t>シュ</t>
    </rPh>
    <rPh sb="67" eb="69">
      <t>ゼンイン</t>
    </rPh>
    <rPh sb="77" eb="79">
      <t>リシュウ</t>
    </rPh>
    <phoneticPr fontId="1"/>
  </si>
  <si>
    <t>本学ではプログラムを主として必修科目で構成しており、卒業時に全学生が当該プログラムを修了できるようにしている。科目の履修にあたっては、プログラムの概要等についてHPで周知していくと共に、数理・データサイエンス・AI教育を学ぶ意義についても説明していく予定である。</t>
    <rPh sb="10" eb="11">
      <t>シュ</t>
    </rPh>
    <rPh sb="75" eb="76">
      <t>トウ</t>
    </rPh>
    <rPh sb="83" eb="85">
      <t>シュウチ</t>
    </rPh>
    <rPh sb="90" eb="91">
      <t>トモ</t>
    </rPh>
    <phoneticPr fontId="1"/>
  </si>
  <si>
    <t>本学ではプログラムを主として必修科目で構成しており、卒業時には全学生が当該プログラムを修了することとなる。実際にPCを使用した演習などにおいては、複数の教員が指導にあたり、学生のサポートを充実させる。</t>
    <rPh sb="10" eb="11">
      <t>シュ</t>
    </rPh>
    <phoneticPr fontId="1"/>
  </si>
  <si>
    <t>各年度の履修者数の目標を以下のとおりとする。（（　）内は履修率。）
令和５年度　668名　（29.6％）
令和６年度　1,042名　（46.2％）
令和７年度　1,416名　（62.8％）
令和８年度　1,790名　（79.4％）
令和９年度　2,164名　（100％）
プログラムを構成する科目は主として必修科目で構成されており、医学部・歯学部・看護学部では1年生修了時点、薬学部は2年生修了時点で全員が履修していることとなる。したがって、今後は毎年1学年分ずつ履修者が増加していくこととなり、履修率も毎年15～20%程度増加していくこととなる。令和9年度には在校生全員が履修している状態となり、履修率100％を達成する見込みである。</t>
    <rPh sb="150" eb="151">
      <t>シュ</t>
    </rPh>
    <rPh sb="159" eb="161">
      <t>コウセイ</t>
    </rPh>
    <rPh sb="196" eb="198">
      <t>シュウリョウ</t>
    </rPh>
    <rPh sb="228" eb="231">
      <t>ガクネンブン</t>
    </rPh>
    <rPh sb="233" eb="235">
      <t>リシュウ</t>
    </rPh>
    <rPh sb="235" eb="236">
      <t>シャ</t>
    </rPh>
    <rPh sb="237" eb="239">
      <t>ゾウカ</t>
    </rPh>
    <phoneticPr fontId="1"/>
  </si>
  <si>
    <t>プログラムを構成する科目のうち、必修科目である「情報リテラシー」「データサイエンス」「生物学実習」「物理学実習」の4科目（各1単位）を履修し、4単位を取得すること。
（「ベーシック数学」「解析学入門」は選択科目につき、履修を必須としない。）</t>
    <phoneticPr fontId="1"/>
  </si>
  <si>
    <t>・ビッグデータ，IoT，AI「情報科学」（1,2回目），「データサイエンス」（1回目）
・ロボット「情報科学」（1,2回目）
・第4次産業革命，Society5.0「情報科学」（1,2回目）,「データサイエンス」（1回目）
・データ駆動型社会「情報科学」（1,2回目）</t>
    <rPh sb="17" eb="19">
      <t>カガク</t>
    </rPh>
    <rPh sb="50" eb="54">
      <t>ジョウホウカガク</t>
    </rPh>
    <rPh sb="59" eb="61">
      <t>カイメ</t>
    </rPh>
    <rPh sb="85" eb="87">
      <t>カガク</t>
    </rPh>
    <rPh sb="124" eb="126">
      <t>カガク</t>
    </rPh>
    <phoneticPr fontId="1"/>
  </si>
  <si>
    <t>・AI最新技術の活用例（深層生成モデル，敵対的生成ネットワーク，強化学習，転移学習など）「情報科学」（3,4回目）</t>
    <rPh sb="47" eb="49">
      <t>カガク</t>
    </rPh>
    <phoneticPr fontId="1"/>
  </si>
  <si>
    <t>・調査データ「情報科学」（5,6回目），「データサイエンス」（2回目）
・実験データ「情報科学」（5,6回目）
・1次データ，2次データ，データのメタ化「情報科学」（5,6回目）
・構造化データ，非構造化データ（文章，画像／動画，音声／音楽など）「情報科学」（5,6回目）
・データの作成（ビッグデータとアノテーション）「情報科学」（5,6回目）
・データのオープン化（オープンデータ）「情報科学」（5,6回目），「データサイエンス」（2回目）</t>
    <rPh sb="1" eb="3">
      <t>チョウサ</t>
    </rPh>
    <rPh sb="16" eb="17">
      <t>カイ</t>
    </rPh>
    <rPh sb="17" eb="18">
      <t>メ</t>
    </rPh>
    <rPh sb="32" eb="34">
      <t>カイメ</t>
    </rPh>
    <rPh sb="43" eb="47">
      <t>ジョウホウカガク</t>
    </rPh>
    <rPh sb="52" eb="54">
      <t>カイメ</t>
    </rPh>
    <rPh sb="58" eb="59">
      <t>ジ</t>
    </rPh>
    <rPh sb="64" eb="65">
      <t>ジ</t>
    </rPh>
    <rPh sb="75" eb="76">
      <t>カ</t>
    </rPh>
    <rPh sb="86" eb="87">
      <t>カイ</t>
    </rPh>
    <rPh sb="87" eb="88">
      <t>メ</t>
    </rPh>
    <rPh sb="91" eb="94">
      <t>コウゾウカ</t>
    </rPh>
    <rPh sb="98" eb="102">
      <t>ヒコウゾウカ</t>
    </rPh>
    <rPh sb="106" eb="108">
      <t>ブンショウ</t>
    </rPh>
    <rPh sb="109" eb="111">
      <t>ガゾウ</t>
    </rPh>
    <rPh sb="112" eb="114">
      <t>ドウガ</t>
    </rPh>
    <rPh sb="115" eb="117">
      <t>オンセイ</t>
    </rPh>
    <rPh sb="118" eb="120">
      <t>オンガク</t>
    </rPh>
    <rPh sb="133" eb="135">
      <t>カイメ</t>
    </rPh>
    <rPh sb="142" eb="144">
      <t>サクセイ</t>
    </rPh>
    <rPh sb="170" eb="172">
      <t>カイメ</t>
    </rPh>
    <rPh sb="183" eb="184">
      <t>カ</t>
    </rPh>
    <rPh sb="203" eb="205">
      <t>カイメ</t>
    </rPh>
    <rPh sb="219" eb="221">
      <t>カイメ</t>
    </rPh>
    <phoneticPr fontId="1"/>
  </si>
  <si>
    <t>本教育プログラムは必修科目と選択科目で構成されているが、必修科目のみでもプログラムの履修は可能であり、推奨度については直接的に評価していない。しかし、授業アンケートを用いて全ての科目の満足度を調査しており、令和4年度は概ね高評価を得ている。満足度が比較的低かった科目については、今後も調査を継続し、必要に応じて対策を講じることとする。</t>
    <rPh sb="139" eb="141">
      <t>コンゴ</t>
    </rPh>
    <rPh sb="142" eb="144">
      <t>チョウサ</t>
    </rPh>
    <rPh sb="145" eb="147">
      <t>ケイゾク</t>
    </rPh>
    <rPh sb="149" eb="151">
      <t>ヒツヨウ</t>
    </rPh>
    <rPh sb="152" eb="153">
      <t>オウ</t>
    </rPh>
    <rPh sb="155" eb="157">
      <t>タイサク</t>
    </rPh>
    <rPh sb="158" eb="159">
      <t>コウ</t>
    </rPh>
    <phoneticPr fontId="1"/>
  </si>
  <si>
    <t>全学教育推進機構規程、全学教育推進機構委員会規程、数理・データサイエンス・AI教育専門部会</t>
    <rPh sb="8" eb="10">
      <t>キテイ</t>
    </rPh>
    <rPh sb="11" eb="13">
      <t>ゼンガク</t>
    </rPh>
    <rPh sb="13" eb="15">
      <t>キョウイク</t>
    </rPh>
    <rPh sb="15" eb="17">
      <t>スイシン</t>
    </rPh>
    <rPh sb="17" eb="19">
      <t>キコウ</t>
    </rPh>
    <rPh sb="19" eb="22">
      <t>イインカイ</t>
    </rPh>
    <rPh sb="22" eb="24">
      <t>キテイ</t>
    </rPh>
    <rPh sb="25" eb="27">
      <t>スウリ</t>
    </rPh>
    <rPh sb="39" eb="45">
      <t>キョウイクセンモンブカイ</t>
    </rPh>
    <phoneticPr fontId="1"/>
  </si>
  <si>
    <t>・データの種類（量的変数，質的変数）「データサイエンス」（3,4回目）
・データの分布（ヒストグラム）と代表値（平均値，中央値，最頻値）「情報リテラシー」（3,4回目），「データサイエンス」（3,4回目），「生物学実習」（16～18回目），「物理学実習」（4～6回目）
・代表値の性質の違い「データサイエンス」（3,4,7,9回目）
・データのばらつき（分散，標準偏差，偏差値）「情報リテラシー」（3,4回目），「データサイエンス」（3,4,7,9回目），「生物学実習」（16,17,18回目），「物理学実習」（1～3回目）
・観測データに含まれる誤差の扱い「データサイエンス」（3,7,9回目）
・相関と因果（相関係数，疑似相関，交絡）「データサイエンス」（3,4回目），「生物学実習」（16～18回目），「物理学実習」（4～6回目）
・母集団と標本抽出（国勢調査，アンケート調査，全数調査，単純無作為抽出，層別抽出，多段抽出）「データサイエンス」（1,3,4回目）
・クロス集計表「情報リテラシー」（5,6回目）「データサイエンス」（3,4,9回目），「物理学実習」（1～3回目）
・分割表，相関係数行列，散布図行列「データサイエンス」（3,4,7,9回目）
・統計情報の正しい理解（誇張表現に惑わされない）「データサイエンス」（3,4回目）</t>
    <phoneticPr fontId="1"/>
  </si>
  <si>
    <t>・データの種類（量的変数，質的変数）「データサイエンス」（3～5回目）
・データの分布（ヒストグラム）と代表値（平均値，中央値，最頻値）「情報リテラシー」（3,4回目），「データサイエンス」（3～5回目），「生物学実習」（16～18回目），「物理学実習」（4～6回目）
・代表値の性質の違い「データサイエンス」（3～5回目）
・データのばらつき（分散，標準偏差，偏差値）「情報リテラシー」（3,4回目），「データサイエンス」（3～5回目），「生物学実習」（16,17,18回目），「物理学実習」（1～3回目）
・相関と因果（相関係数，疑似相関），「生物学実習」（16～18回目），「物理学実習」（4～6回目）
・相関と因果（交絡）
・母集団と標本抽出（国勢調査，アンケート調査，全数調査，単純無作為抽出，層別抽出，多段抽出）「データサイエンス」（11,12回目）
・クロス集計表「情報リテラシー」（5,6回目），「物理学実習」（1～3回目）</t>
    <phoneticPr fontId="1"/>
  </si>
  <si>
    <t>・データの分布（ヒストグラム）と代表値（平均値，中央値，最頻値）「情報科学」（3,4回目），「生物学実習」（16～18回目），「物理学実習」（4～6回目）
・データのばらつき（分散，標準偏差，偏差値）「情報科学」（3,4回目），「生物学実習」（16,17,18回目），「物理学実習」（1～3回目）
・相関と因果（相関係数，疑似相関）「データサイエンス」（5～9,12回目），「生物学実習」（16～18回目），「物理学実習」（4～6回目）
・相関と因果（交絡）「データサイエンス」（5～9,12回目）
・母集団と標本抽出（国勢調査，アンケート調査，全数調査，単純無作為抽出，層別抽出，多段抽出）「データサイエンス」（5～9,12回目）
・クロス集計表「情報科学」（5,6回目），「データサイエンス」（5～9,12回目），「物理学実習」（1～3回目）
・分割表「データサイエンス」（5～9,12回目）
・統計情報の正しい理解（誇張表現に惑わされない）「データサイエンス」（5～9,12回目）</t>
    <phoneticPr fontId="1"/>
  </si>
  <si>
    <t>授業アンケートによる難易度の調査では、「難しかった」「どちらかといえば難しかった」と回答する学生が多かったことから、授業方法については今後の検討が必要と考えられる。一方で、受講生に対する修得率は医学部87%、歯学部89%、看護学部98%となっており、結果的には多くの学生が大学が求める水準に達しており、次年度以降もこの水準を維持する必要がある。なお、薬学部は2学年で開講される「データサイエンス」の履修が修了要件となっており、令和4年度時点では教育プログラム自体の修得率は0%となっているが、1学年の科目における修得率は90%となっており、他学部と同様の水準となっている。</t>
    <rPh sb="86" eb="89">
      <t>ジュコウセイ</t>
    </rPh>
    <rPh sb="90" eb="91">
      <t>タイ</t>
    </rPh>
    <rPh sb="93" eb="95">
      <t>シュウトク</t>
    </rPh>
    <rPh sb="175" eb="178">
      <t>ヤクガクブ</t>
    </rPh>
    <rPh sb="180" eb="182">
      <t>ガクネン</t>
    </rPh>
    <rPh sb="183" eb="185">
      <t>カイコウ</t>
    </rPh>
    <rPh sb="199" eb="201">
      <t>リシュウ</t>
    </rPh>
    <rPh sb="213" eb="215">
      <t>レイワ</t>
    </rPh>
    <rPh sb="216" eb="218">
      <t>ネンド</t>
    </rPh>
    <rPh sb="218" eb="220">
      <t>ジテン</t>
    </rPh>
    <rPh sb="247" eb="249">
      <t>ガクネン</t>
    </rPh>
    <rPh sb="250" eb="252">
      <t>カモク</t>
    </rPh>
    <rPh sb="256" eb="259">
      <t>シュウトクリツ</t>
    </rPh>
    <rPh sb="270" eb="273">
      <t>タガクブ</t>
    </rPh>
    <rPh sb="274" eb="276">
      <t>ドウヨウ</t>
    </rPh>
    <rPh sb="277" eb="279">
      <t>スイジュン</t>
    </rPh>
    <phoneticPr fontId="1"/>
  </si>
  <si>
    <t>本教育プログラムは令和4年度に開始しており、まだ修得した卒業生はいない。今後の予定として、卒業時に当該プログラムの効果に対するアンケート調査を行うほか、卒業生調査（卒後5，10年の卒業生対象）を実施し、本教育プログラムを修了した卒業生の活躍状況の把握を実施する予定である。また就職先に対しても同様に本学卒業生に対する評価をアンケートにてお願いしており、本教育プログラムを修了した卒業生の状況が調査できる体制となっている。</t>
    <phoneticPr fontId="1"/>
  </si>
  <si>
    <t>本教育プログラムについての講義資料等をLMSにて管理することで、学生は授業時間以外で自分の都合の良い時に講義の予習・復習を行うことができる。また、全教員にオフィスアワーの設定を義務付けてシラバスに掲載しており、学生が教員に直接質問に行く時間を確保している。また、授業時間内でも不明点は随時確認できるよう学生の質問を促している。</t>
    <phoneticPr fontId="1"/>
  </si>
  <si>
    <t>本学のプログラムは必修科目を中心に構成されており、医学部・歯学部・看護学部では1学年時、薬学部では1～2学年時に全学生が同プログラムを履修した状態となる。また、必修科目の履修は卒業要件ともなることから、いずれの学部でも卒業時には当該プログラムを修了している状態となる。令和4年度の実績は、各学部の全在籍学生に対する履修率が、医学部17%、歯学部13%、薬学部9%、看護学部25%、修得率が医学部15%、歯学部12%、看護学部24%となっている。薬学部については2学年で開講される科目もプログラムに含まれていることから、令和5年度以降毎年およそ15%ずつ増加していく予定である。（2学年の科目も令和4年度から実施している。）</t>
    <rPh sb="14" eb="16">
      <t>チュウシン</t>
    </rPh>
    <rPh sb="17" eb="19">
      <t>コウセイ</t>
    </rPh>
    <rPh sb="56" eb="59">
      <t>ゼンガクセイ</t>
    </rPh>
    <rPh sb="67" eb="69">
      <t>リシュウ</t>
    </rPh>
    <rPh sb="71" eb="73">
      <t>ジョウタイ</t>
    </rPh>
    <rPh sb="80" eb="84">
      <t>ヒッシュウカモク</t>
    </rPh>
    <rPh sb="85" eb="87">
      <t>リシュウ</t>
    </rPh>
    <rPh sb="88" eb="92">
      <t>ソツギョウヨウケン</t>
    </rPh>
    <rPh sb="105" eb="107">
      <t>ガクブ</t>
    </rPh>
    <rPh sb="109" eb="112">
      <t>ソツギョウジ</t>
    </rPh>
    <rPh sb="114" eb="116">
      <t>トウガイ</t>
    </rPh>
    <rPh sb="122" eb="124">
      <t>シュウリョウ</t>
    </rPh>
    <rPh sb="128" eb="130">
      <t>ジョウタイ</t>
    </rPh>
    <rPh sb="144" eb="147">
      <t>カクガクブ</t>
    </rPh>
    <rPh sb="148" eb="149">
      <t>ゼン</t>
    </rPh>
    <rPh sb="149" eb="153">
      <t>ザイセキガクセイ</t>
    </rPh>
    <rPh sb="154" eb="155">
      <t>タイ</t>
    </rPh>
    <rPh sb="157" eb="160">
      <t>リシュウリツ</t>
    </rPh>
    <rPh sb="190" eb="193">
      <t>シュウトクリツ</t>
    </rPh>
    <rPh sb="222" eb="225">
      <t>ヤクガクブ</t>
    </rPh>
    <rPh sb="231" eb="233">
      <t>ガクネン</t>
    </rPh>
    <rPh sb="234" eb="236">
      <t>カイコウ</t>
    </rPh>
    <rPh sb="239" eb="241">
      <t>カモク</t>
    </rPh>
    <rPh sb="248" eb="249">
      <t>フク</t>
    </rPh>
    <rPh sb="259" eb="261">
      <t>レイワ</t>
    </rPh>
    <rPh sb="264" eb="266">
      <t>イコウ</t>
    </rPh>
    <rPh sb="266" eb="268">
      <t>マイトシ</t>
    </rPh>
    <rPh sb="276" eb="278">
      <t>ゾウカ</t>
    </rPh>
    <rPh sb="282" eb="284">
      <t>ヨテイ</t>
    </rPh>
    <rPh sb="290" eb="292">
      <t>ガクネン</t>
    </rPh>
    <rPh sb="293" eb="295">
      <t>カモク</t>
    </rPh>
    <rPh sb="296" eb="298">
      <t>レイワ</t>
    </rPh>
    <rPh sb="299" eb="301">
      <t>ネンド</t>
    </rPh>
    <rPh sb="303" eb="305">
      <t>ジッシ</t>
    </rPh>
    <phoneticPr fontId="1"/>
  </si>
  <si>
    <t>本学が参画する「いわて高等教育地域連携プラットフォーム」を活用し、地域産業界からの意見を伺うことが可能である。令和4年度には、「数理・データサイエンス・AIに関する専門知識」に関して、「非常に期待している」「やや期待している」を合わせて65％程度の回答をいただき、数理・データサイエンス・AI教育に対する期待度が伺えた。また、令和4年度に岩手県との間で「医療ビッグデータの提供に関する覚書」を締結し、教育プログラムにビッグデータを活用できる仕組みを構築した。これによって、成果物等に対する岩手県からのフィードバックや教育プログラムに対する意見聴取等も期待できる。</t>
    <rPh sb="132" eb="134">
      <t>スウリ</t>
    </rPh>
    <rPh sb="149" eb="150">
      <t>タイ</t>
    </rPh>
    <phoneticPr fontId="1"/>
  </si>
  <si>
    <t>本学は医療系大学であり、教育プログラム内で活用する実データも、主として臨床で実際に得られた実データを用いている。また、今後は岩手県から提供される医療ビッグデータの活用も視野に入れている。学生は、将来使用する可能性のあるデータを実際に扱うことで、自分の目指す職業と数理・データサイエンス・ＡＩのつながりや学修する意義を学べる内容となっている。授業アンケートでは、「実社会でのデータ活用の重要性が理解できましたか。」等の項目について、多くの科目で肯定的な評価となっていた。一方で、肯定的な意見が半数程度に留まっていた科目については、理解度と併せて今後も継続して調査する必要があると考えている。</t>
    <rPh sb="206" eb="207">
      <t>トウ</t>
    </rPh>
    <rPh sb="234" eb="236">
      <t>イッポウ</t>
    </rPh>
    <rPh sb="256" eb="258">
      <t>カモク</t>
    </rPh>
    <rPh sb="264" eb="267">
      <t>リカイド</t>
    </rPh>
    <rPh sb="268" eb="269">
      <t>アワ</t>
    </rPh>
    <rPh sb="271" eb="273">
      <t>コンゴ</t>
    </rPh>
    <rPh sb="274" eb="276">
      <t>ケイゾク</t>
    </rPh>
    <rPh sb="278" eb="280">
      <t>チョウサ</t>
    </rPh>
    <rPh sb="282" eb="284">
      <t>ヒツヨウ</t>
    </rPh>
    <rPh sb="288" eb="289">
      <t>カンガ</t>
    </rPh>
    <phoneticPr fontId="1"/>
  </si>
  <si>
    <t>本学では全学的な教育施策や学部横断教育等を所掌する全学教育推進機構委員会を設置している。数理・データサイエンス・AI教育プログラムは、主として全学教育推進機構の下に設置されている教養教育センターに所属する情報科学科教員が企画・運営し、当該学科教員の指導の下実施されており、令和4年度も同様に企画・実施された。
令和4年度途中より、全学教育推進機構長、教養教育センター長、情報科学科の教員および各学部より選出された教員によって構成される「数理・データサイエンス・AI教育検討部会」を設置し、当該プログラムの企画・立案・点検・評価を実施する体制とした。令和4年度実施分のカリキュラムに対する点検・評価から当該専門部会にて実施している。</t>
    <phoneticPr fontId="1"/>
  </si>
  <si>
    <t>（全学教育推進機構委員会）
全学教育推進機構長　田島　克巳　教授
医学部教務委員長　平　英一　教授、教務委員会委員　下沖　収　教授
歯学部教務委員長　岸　光男　教授、教務委員会委員　石崎　明　教授
薬学部教務委員長　奈良場　博昭　教授、教務委員会委員　白石　博久　教授
看護学部教務委員長　髙橋　亮　教授、教務委員会委員　蛎﨑　奈津子　教授
教養教育センター長　松政　正俊　教授、教養教育センター教務専門委員長　中島　理　教授
医学研究科教務委員会委員　齋野　朝幸　教授
シミュレーションセンター運営委員会委員長　伊藤　智範　教授
教学IRセンター運営委員会委員長　髙橋　史朗　教授
学務部長　佐々木　光章
（数理・データサイエンス・AI教育専門部会）
全学教育推進機構長　田島　克巳　教授
教養教育センター長　松政　正俊　教授
情報科学科数学分野　江尻　正一　教授
情報科学科数学分野　長谷川　大　助教
情報科学科医用工学分野　髙橋　史朗　教授
情報科学科医用工学分野　小野　保　講師
医学部　放射線医学講座　吉岡　邦浩　教授
歯学部　関連医学分野予防歯科学分野　岸　光男　教授
薬学部　臨床薬学講座情報薬科学分野　西谷　直之　教授
看護学部　地域包括ケア講座　岩渕　光子　准教授</t>
    <rPh sb="61" eb="62">
      <t>オサム</t>
    </rPh>
    <rPh sb="145" eb="147">
      <t>タカハシ</t>
    </rPh>
    <rPh sb="150" eb="152">
      <t>キョウジュ</t>
    </rPh>
    <rPh sb="223" eb="224">
      <t>カイ</t>
    </rPh>
    <rPh sb="224" eb="226">
      <t>イイン</t>
    </rPh>
    <rPh sb="227" eb="229">
      <t>サイノ</t>
    </rPh>
    <rPh sb="230" eb="232">
      <t>トモユキ</t>
    </rPh>
    <rPh sb="283" eb="285">
      <t>タカハシ</t>
    </rPh>
    <rPh sb="415" eb="417">
      <t>タカハシ</t>
    </rPh>
    <rPh sb="441" eb="443">
      <t>コウシ</t>
    </rPh>
    <rPh sb="456" eb="458">
      <t>ヨシオカ</t>
    </rPh>
    <rPh sb="469" eb="475">
      <t>カンレンイガクブンヤ</t>
    </rPh>
    <rPh sb="475" eb="482">
      <t>ヨボウシカガクブンヤ</t>
    </rPh>
    <rPh sb="483" eb="484">
      <t>キシ</t>
    </rPh>
    <rPh sb="485" eb="487">
      <t>ミツオ</t>
    </rPh>
    <rPh sb="488" eb="490">
      <t>キョウジュ</t>
    </rPh>
    <rPh sb="509" eb="511">
      <t>ニシヤ</t>
    </rPh>
    <rPh sb="512" eb="514">
      <t>ナオユキ</t>
    </rPh>
    <rPh sb="523" eb="527">
      <t>チイキホウカツ</t>
    </rPh>
    <rPh sb="529" eb="531">
      <t>コウザ</t>
    </rPh>
    <rPh sb="532" eb="534">
      <t>イワブチ</t>
    </rPh>
    <rPh sb="535" eb="537">
      <t>ミツコ</t>
    </rPh>
    <rPh sb="538" eb="539">
      <t>ジュン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</si>
</sst>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30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0" xfId="0" applyFont="1" applyAlignment="1">
      <alignment horizontal="right" vertical="center"/>
    </xf>
    <xf numFmtId="0" fontId="2" fillId="0" borderId="1" xfId="0" applyFont="1" applyBorder="1" applyAlignment="1">
      <alignment horizontal="center" vertical="center"/>
    </xf>
    <xf numFmtId="0" fontId="2" fillId="0" borderId="0" xfId="0" applyFont="1" applyAlignment="1">
      <alignment vertical="top" wrapText="1"/>
    </xf>
    <xf numFmtId="0" fontId="2" fillId="0" borderId="0" xfId="0" applyFont="1">
      <alignment vertical="center"/>
    </xf>
    <xf numFmtId="0" fontId="2" fillId="0" borderId="0" xfId="0" applyFont="1" applyAlignment="1">
      <alignment horizontal="center" vertical="center"/>
    </xf>
    <xf numFmtId="9" fontId="2" fillId="0" borderId="14" xfId="0" applyNumberFormat="1" applyFont="1" applyBorder="1" applyAlignment="1">
      <alignment vertical="center" shrinkToFit="1"/>
    </xf>
    <xf numFmtId="9" fontId="2" fillId="0" borderId="0" xfId="1" applyNumberFormat="1" applyFont="1">
      <alignment vertical="center"/>
    </xf>
    <xf numFmtId="0" fontId="2" fillId="0" borderId="0" xfId="0" applyFont="1" applyAlignment="1">
      <alignment horizontal="right" vertical="center"/>
    </xf>
    <xf numFmtId="0" fontId="2" fillId="0" borderId="1" xfId="0" applyFont="1" applyBorder="1" applyAlignment="1">
      <alignment horizontal="center" vertical="center"/>
    </xf>
    <xf numFmtId="0" fontId="2" fillId="0" borderId="0" xfId="0" applyFont="1">
      <alignment vertical="center"/>
    </xf>
    <xf numFmtId="0" fontId="2" fillId="0" borderId="0" xfId="0" applyFont="1" applyAlignment="1">
      <alignment horizontal="center" vertical="center"/>
    </xf>
    <xf numFmtId="0" fontId="2" fillId="0" borderId="0" xfId="0" applyFont="1" applyAlignment="1">
      <alignment vertical="top" wrapText="1"/>
    </xf>
    <xf numFmtId="9" fontId="2" fillId="0" borderId="0" xfId="1" applyFont="1">
      <alignment vertical="center"/>
    </xf>
    <xf numFmtId="0" fontId="2" fillId="0" borderId="1" xfId="0" applyFont="1" applyFill="1" applyBorder="1" applyAlignment="1">
      <alignment horizontal="left" vertical="center"/>
    </xf>
    <xf numFmtId="0" fontId="11" fillId="0" borderId="5" xfId="0" applyFont="1" applyBorder="1" applyAlignment="1">
      <alignment vertical="center" shrinkToFit="1"/>
    </xf>
    <xf numFmtId="0" fontId="11" fillId="0" borderId="0" xfId="0" applyFont="1" applyBorder="1" applyAlignment="1">
      <alignment vertical="center" shrinkToFi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2" fillId="0" borderId="36" xfId="0" applyFont="1" applyBorder="1" applyAlignment="1">
      <alignment vertical="center" wrapText="1"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wrapText="1"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19" xfId="0" applyFont="1" applyBorder="1" applyAlignment="1">
      <alignment horizontal="left" vertical="center" shrinkToFit="1"/>
    </xf>
    <xf numFmtId="0" fontId="2" fillId="0" borderId="20" xfId="0" applyFont="1" applyBorder="1" applyAlignment="1">
      <alignment horizontal="left" vertical="center" shrinkToFit="1"/>
    </xf>
    <xf numFmtId="0" fontId="2" fillId="0" borderId="18" xfId="0" applyFont="1" applyBorder="1" applyAlignment="1">
      <alignment horizontal="left"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vertical="center" shrinkToFit="1"/>
    </xf>
    <xf numFmtId="0" fontId="2" fillId="0" borderId="37" xfId="0" applyFont="1" applyBorder="1" applyAlignment="1">
      <alignment horizontal="left"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34" xfId="0" applyFont="1" applyBorder="1" applyAlignment="1">
      <alignment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vertical="center" wrapText="1"/>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0" xfId="0" applyFont="1" applyAlignment="1">
      <alignment horizontal="right" vertical="center"/>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34" xfId="0" applyFont="1" applyBorder="1" applyAlignment="1">
      <alignment horizontal="left" vertical="center" wrapText="1" shrinkToFit="1"/>
    </xf>
    <xf numFmtId="0" fontId="2" fillId="0" borderId="35" xfId="0" applyFont="1" applyBorder="1" applyAlignment="1">
      <alignment horizontal="left" vertical="center" wrapText="1" shrinkToFit="1"/>
    </xf>
    <xf numFmtId="0" fontId="2" fillId="0" borderId="8" xfId="0" applyFont="1" applyFill="1" applyBorder="1" applyAlignment="1">
      <alignment horizontal="left" vertical="center" wrapText="1" shrinkToFit="1"/>
    </xf>
    <xf numFmtId="0" fontId="2" fillId="0" borderId="8" xfId="0" applyFont="1" applyFill="1" applyBorder="1" applyAlignment="1">
      <alignment horizontal="left" vertical="center" shrinkToFit="1"/>
    </xf>
    <xf numFmtId="0" fontId="2" fillId="0" borderId="9" xfId="0" applyFont="1" applyFill="1" applyBorder="1" applyAlignment="1">
      <alignment horizontal="left" vertical="center" shrinkToFit="1"/>
    </xf>
    <xf numFmtId="0" fontId="2" fillId="0" borderId="22" xfId="0" applyFont="1" applyFill="1" applyBorder="1" applyAlignment="1">
      <alignment horizontal="left" vertical="center" wrapText="1" shrinkToFit="1"/>
    </xf>
    <xf numFmtId="0" fontId="2" fillId="0" borderId="22" xfId="0" applyFont="1" applyFill="1" applyBorder="1" applyAlignment="1">
      <alignment horizontal="left" vertical="center" shrinkToFit="1"/>
    </xf>
    <xf numFmtId="0" fontId="2" fillId="0" borderId="21" xfId="0" applyFont="1" applyFill="1" applyBorder="1" applyAlignment="1">
      <alignment horizontal="left" vertical="center" shrinkToFit="1"/>
    </xf>
    <xf numFmtId="0" fontId="11" fillId="0" borderId="34" xfId="0" applyFont="1" applyFill="1" applyBorder="1" applyAlignment="1">
      <alignment horizontal="left" vertical="center" wrapText="1" shrinkToFit="1"/>
    </xf>
    <xf numFmtId="0" fontId="11" fillId="0" borderId="36" xfId="0" applyFont="1" applyFill="1" applyBorder="1" applyAlignment="1">
      <alignment horizontal="left" vertical="center" wrapText="1" shrinkToFit="1"/>
    </xf>
    <xf numFmtId="0" fontId="11" fillId="0" borderId="35" xfId="0" applyFont="1" applyFill="1" applyBorder="1" applyAlignment="1">
      <alignment horizontal="left" vertical="center" wrapText="1" shrinkToFi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3"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2" fillId="0" borderId="2" xfId="0" applyFont="1" applyFill="1" applyBorder="1" applyAlignment="1">
      <alignment horizontal="left" vertical="center"/>
    </xf>
    <xf numFmtId="0" fontId="5" fillId="0" borderId="3" xfId="0" applyFont="1" applyFill="1" applyBorder="1" applyAlignment="1">
      <alignment horizontal="left" vertical="center"/>
    </xf>
    <xf numFmtId="0" fontId="5" fillId="0" borderId="4" xfId="0" applyFont="1" applyFill="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9" xfId="0" applyFont="1" applyFill="1" applyBorder="1" applyAlignment="1">
      <alignment vertical="top" wrapText="1" shrinkToFit="1"/>
    </xf>
    <xf numFmtId="0" fontId="2" fillId="0" borderId="20" xfId="0" applyFont="1" applyFill="1" applyBorder="1" applyAlignment="1">
      <alignment vertical="top" wrapText="1" shrinkToFit="1"/>
    </xf>
    <xf numFmtId="0" fontId="2" fillId="0" borderId="18" xfId="0" applyFont="1" applyFill="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8" xfId="0" applyFont="1" applyFill="1" applyBorder="1" applyAlignment="1">
      <alignment vertical="top" wrapText="1" shrinkToFit="1"/>
    </xf>
    <xf numFmtId="0" fontId="2" fillId="0" borderId="39" xfId="0" applyFont="1" applyFill="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Fill="1" applyBorder="1" applyAlignment="1">
      <alignment vertical="top" wrapText="1" shrinkToFit="1"/>
    </xf>
    <xf numFmtId="0" fontId="2" fillId="0" borderId="43" xfId="0" applyFont="1" applyFill="1" applyBorder="1" applyAlignment="1">
      <alignment vertical="top" wrapText="1" shrinkToFit="1"/>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view="pageBreakPreview" topLeftCell="A4" zoomScaleNormal="100" zoomScaleSheetLayoutView="100" workbookViewId="0">
      <selection activeCell="X76" sqref="X76"/>
    </sheetView>
  </sheetViews>
  <sheetFormatPr defaultColWidth="9" defaultRowHeight="18.75" customHeight="1" x14ac:dyDescent="0.15"/>
  <cols>
    <col min="1" max="1" width="2.5" style="89" customWidth="1"/>
    <col min="2" max="2" width="16.5" style="89" customWidth="1"/>
    <col min="3" max="19" width="5.625" style="89" customWidth="1"/>
    <col min="20" max="20" width="9" style="89"/>
    <col min="21" max="21" width="3.625" style="89" customWidth="1"/>
    <col min="22" max="22" width="48.625" style="89" hidden="1" customWidth="1"/>
    <col min="23" max="16384" width="9" style="89"/>
  </cols>
  <sheetData>
    <row r="1" spans="1:22" ht="18.600000000000001" customHeight="1" x14ac:dyDescent="0.15">
      <c r="R1" s="165" t="s">
        <v>130</v>
      </c>
      <c r="S1" s="165"/>
      <c r="T1" s="2" t="s">
        <v>109</v>
      </c>
    </row>
    <row r="2" spans="1:22" ht="18.75" customHeight="1" x14ac:dyDescent="0.15">
      <c r="B2" s="88" t="s">
        <v>108</v>
      </c>
      <c r="C2" s="144" t="s">
        <v>126</v>
      </c>
      <c r="D2" s="125"/>
      <c r="E2" s="125"/>
      <c r="F2" s="125"/>
      <c r="G2" s="125"/>
      <c r="H2" s="125"/>
      <c r="I2" s="126"/>
      <c r="J2" s="87"/>
      <c r="K2" s="6"/>
      <c r="L2" s="6"/>
      <c r="M2" s="6"/>
      <c r="N2" s="6"/>
      <c r="O2" s="6"/>
      <c r="P2" s="6"/>
      <c r="Q2" s="6"/>
      <c r="R2" s="6"/>
      <c r="S2" s="6"/>
    </row>
    <row r="3" spans="1:22" ht="18.75" customHeight="1" x14ac:dyDescent="0.15">
      <c r="B3" s="88" t="s">
        <v>102</v>
      </c>
      <c r="C3" s="166" t="s">
        <v>127</v>
      </c>
      <c r="D3" s="167"/>
      <c r="E3" s="167"/>
      <c r="F3" s="167"/>
      <c r="G3" s="167"/>
      <c r="H3" s="167"/>
      <c r="I3" s="168"/>
      <c r="J3" s="87"/>
      <c r="K3" s="6"/>
      <c r="L3" s="6"/>
      <c r="M3" s="6"/>
      <c r="N3" s="6"/>
      <c r="O3" s="6"/>
      <c r="P3" s="6"/>
      <c r="Q3" s="6"/>
      <c r="R3" s="6"/>
      <c r="S3" s="6"/>
    </row>
    <row r="4" spans="1:22" ht="15" customHeight="1" x14ac:dyDescent="0.15">
      <c r="K4" s="87"/>
      <c r="L4" s="35"/>
      <c r="M4" s="35"/>
      <c r="N4" s="35"/>
      <c r="O4" s="35"/>
      <c r="P4" s="35"/>
      <c r="Q4" s="35"/>
      <c r="R4" s="35"/>
      <c r="S4" s="35"/>
    </row>
    <row r="5" spans="1:22" ht="18" customHeight="1" x14ac:dyDescent="0.15">
      <c r="A5" s="169" t="s">
        <v>38</v>
      </c>
      <c r="B5" s="169"/>
      <c r="C5" s="169"/>
      <c r="D5" s="169"/>
      <c r="E5" s="169"/>
      <c r="F5" s="169"/>
      <c r="G5" s="169"/>
      <c r="H5" s="169"/>
      <c r="I5" s="169"/>
      <c r="J5" s="169"/>
      <c r="K5" s="169"/>
      <c r="L5" s="169"/>
      <c r="M5" s="169"/>
      <c r="N5" s="169"/>
      <c r="O5" s="169"/>
      <c r="P5" s="169"/>
      <c r="Q5" s="169"/>
      <c r="R5" s="169"/>
      <c r="S5" s="169"/>
    </row>
    <row r="6" spans="1:22" ht="15" customHeight="1" x14ac:dyDescent="0.15">
      <c r="B6" s="90"/>
      <c r="C6" s="90"/>
      <c r="D6" s="90"/>
      <c r="E6" s="90"/>
      <c r="F6" s="90"/>
      <c r="G6" s="90"/>
      <c r="H6" s="90"/>
      <c r="I6" s="90"/>
      <c r="J6" s="90"/>
      <c r="K6" s="90"/>
      <c r="L6" s="90"/>
      <c r="M6" s="90"/>
      <c r="N6" s="90"/>
      <c r="O6" s="90"/>
      <c r="P6" s="90"/>
      <c r="Q6" s="90"/>
      <c r="R6" s="90"/>
      <c r="S6" s="90"/>
    </row>
    <row r="7" spans="1:22" ht="18" customHeight="1" x14ac:dyDescent="0.15">
      <c r="A7" s="89" t="s">
        <v>124</v>
      </c>
      <c r="C7" s="90"/>
      <c r="J7" s="36" t="s">
        <v>107</v>
      </c>
      <c r="K7" s="170" t="s">
        <v>128</v>
      </c>
      <c r="L7" s="171"/>
      <c r="M7" s="171"/>
      <c r="N7" s="171"/>
      <c r="O7" s="171"/>
      <c r="P7" s="171"/>
      <c r="Q7" s="171"/>
      <c r="R7" s="171"/>
      <c r="S7" s="172"/>
    </row>
    <row r="8" spans="1:22" ht="6" customHeight="1" x14ac:dyDescent="0.15">
      <c r="B8" s="90"/>
      <c r="C8" s="90"/>
      <c r="D8" s="90"/>
      <c r="E8" s="90"/>
      <c r="F8" s="90"/>
      <c r="G8" s="90"/>
      <c r="H8" s="90"/>
      <c r="I8" s="90"/>
      <c r="J8" s="90"/>
      <c r="K8" s="10"/>
      <c r="L8" s="90"/>
      <c r="M8" s="90"/>
      <c r="N8" s="90"/>
      <c r="O8" s="90"/>
      <c r="P8" s="90"/>
      <c r="Q8" s="90"/>
      <c r="R8" s="90"/>
      <c r="S8" s="90"/>
    </row>
    <row r="9" spans="1:22" ht="18" customHeight="1" x14ac:dyDescent="0.15">
      <c r="B9" s="173" t="s">
        <v>203</v>
      </c>
      <c r="C9" s="174"/>
      <c r="D9" s="174"/>
      <c r="E9" s="174"/>
      <c r="F9" s="174"/>
      <c r="G9" s="174"/>
      <c r="H9" s="174"/>
      <c r="I9" s="174"/>
      <c r="J9" s="174"/>
      <c r="K9" s="174"/>
      <c r="L9" s="174"/>
      <c r="M9" s="174"/>
      <c r="N9" s="174"/>
      <c r="O9" s="174"/>
      <c r="P9" s="174"/>
      <c r="Q9" s="174"/>
      <c r="R9" s="174"/>
      <c r="S9" s="175"/>
    </row>
    <row r="10" spans="1:22" ht="18" customHeight="1" x14ac:dyDescent="0.15">
      <c r="B10" s="176"/>
      <c r="C10" s="177"/>
      <c r="D10" s="177"/>
      <c r="E10" s="177"/>
      <c r="F10" s="177"/>
      <c r="G10" s="177"/>
      <c r="H10" s="177"/>
      <c r="I10" s="177"/>
      <c r="J10" s="177"/>
      <c r="K10" s="177"/>
      <c r="L10" s="177"/>
      <c r="M10" s="177"/>
      <c r="N10" s="177"/>
      <c r="O10" s="177"/>
      <c r="P10" s="177"/>
      <c r="Q10" s="177"/>
      <c r="R10" s="177"/>
      <c r="S10" s="178"/>
    </row>
    <row r="11" spans="1:22" ht="6" customHeight="1" x14ac:dyDescent="0.15">
      <c r="B11" s="90"/>
      <c r="C11" s="90"/>
      <c r="D11" s="90"/>
      <c r="E11" s="90"/>
      <c r="F11" s="90"/>
      <c r="G11" s="90"/>
      <c r="H11" s="90"/>
      <c r="I11" s="90"/>
      <c r="J11" s="90"/>
      <c r="K11" s="10"/>
      <c r="L11" s="90"/>
      <c r="M11" s="90"/>
      <c r="N11" s="90"/>
      <c r="O11" s="90"/>
      <c r="P11" s="90"/>
      <c r="Q11" s="90"/>
      <c r="R11" s="90"/>
      <c r="S11" s="90"/>
    </row>
    <row r="12" spans="1:22" ht="18" customHeight="1" x14ac:dyDescent="0.15">
      <c r="A12" s="89" t="s">
        <v>111</v>
      </c>
      <c r="B12" s="90"/>
      <c r="C12" s="90"/>
      <c r="D12" s="87"/>
      <c r="E12" s="87"/>
      <c r="F12" s="87"/>
      <c r="G12" s="87"/>
      <c r="H12" s="87"/>
      <c r="I12" s="87"/>
      <c r="J12" s="87"/>
      <c r="K12" s="37"/>
      <c r="L12" s="37"/>
      <c r="M12" s="37"/>
      <c r="N12" s="37"/>
      <c r="O12" s="37"/>
      <c r="P12" s="37"/>
      <c r="Q12" s="37"/>
      <c r="R12" s="37"/>
      <c r="S12" s="37"/>
    </row>
    <row r="13" spans="1:22" ht="18" customHeight="1" x14ac:dyDescent="0.15">
      <c r="B13" s="153" t="s">
        <v>211</v>
      </c>
      <c r="C13" s="154"/>
      <c r="D13" s="154"/>
      <c r="E13" s="154"/>
      <c r="F13" s="154"/>
      <c r="G13" s="154"/>
      <c r="H13" s="154"/>
      <c r="I13" s="154"/>
      <c r="J13" s="154"/>
      <c r="K13" s="154"/>
      <c r="L13" s="154"/>
      <c r="M13" s="154"/>
      <c r="N13" s="154"/>
      <c r="O13" s="154"/>
      <c r="P13" s="154"/>
      <c r="Q13" s="154"/>
      <c r="R13" s="154"/>
      <c r="S13" s="155"/>
      <c r="V13" s="89" t="s">
        <v>103</v>
      </c>
    </row>
    <row r="14" spans="1:22" ht="18" customHeight="1" x14ac:dyDescent="0.15">
      <c r="B14" s="156"/>
      <c r="C14" s="157"/>
      <c r="D14" s="157"/>
      <c r="E14" s="157"/>
      <c r="F14" s="157"/>
      <c r="G14" s="157"/>
      <c r="H14" s="157"/>
      <c r="I14" s="157"/>
      <c r="J14" s="157"/>
      <c r="K14" s="157"/>
      <c r="L14" s="157"/>
      <c r="M14" s="157"/>
      <c r="N14" s="157"/>
      <c r="O14" s="157"/>
      <c r="P14" s="157"/>
      <c r="Q14" s="157"/>
      <c r="R14" s="157"/>
      <c r="S14" s="158"/>
      <c r="V14" s="89" t="s">
        <v>110</v>
      </c>
    </row>
    <row r="15" spans="1:22" ht="18" customHeight="1" x14ac:dyDescent="0.15">
      <c r="B15" s="156"/>
      <c r="C15" s="157"/>
      <c r="D15" s="157"/>
      <c r="E15" s="157"/>
      <c r="F15" s="157"/>
      <c r="G15" s="157"/>
      <c r="H15" s="157"/>
      <c r="I15" s="157"/>
      <c r="J15" s="157"/>
      <c r="K15" s="157"/>
      <c r="L15" s="157"/>
      <c r="M15" s="157"/>
      <c r="N15" s="157"/>
      <c r="O15" s="157"/>
      <c r="P15" s="157"/>
      <c r="Q15" s="157"/>
      <c r="R15" s="157"/>
      <c r="S15" s="158"/>
      <c r="V15" s="89" t="s">
        <v>123</v>
      </c>
    </row>
    <row r="16" spans="1:22" ht="18" customHeight="1" x14ac:dyDescent="0.15">
      <c r="B16" s="156"/>
      <c r="C16" s="157"/>
      <c r="D16" s="157"/>
      <c r="E16" s="157"/>
      <c r="F16" s="157"/>
      <c r="G16" s="157"/>
      <c r="H16" s="157"/>
      <c r="I16" s="157"/>
      <c r="J16" s="157"/>
      <c r="K16" s="157"/>
      <c r="L16" s="157"/>
      <c r="M16" s="157"/>
      <c r="N16" s="157"/>
      <c r="O16" s="157"/>
      <c r="P16" s="157"/>
      <c r="Q16" s="157"/>
      <c r="R16" s="157"/>
      <c r="S16" s="158"/>
      <c r="V16" s="89" t="s">
        <v>125</v>
      </c>
    </row>
    <row r="17" spans="1:19" ht="18" customHeight="1" x14ac:dyDescent="0.15">
      <c r="B17" s="156"/>
      <c r="C17" s="157"/>
      <c r="D17" s="157"/>
      <c r="E17" s="157"/>
      <c r="F17" s="157"/>
      <c r="G17" s="157"/>
      <c r="H17" s="157"/>
      <c r="I17" s="157"/>
      <c r="J17" s="157"/>
      <c r="K17" s="157"/>
      <c r="L17" s="157"/>
      <c r="M17" s="157"/>
      <c r="N17" s="157"/>
      <c r="O17" s="157"/>
      <c r="P17" s="157"/>
      <c r="Q17" s="157"/>
      <c r="R17" s="157"/>
      <c r="S17" s="158"/>
    </row>
    <row r="18" spans="1:19" ht="18" customHeight="1" x14ac:dyDescent="0.15">
      <c r="B18" s="159"/>
      <c r="C18" s="160"/>
      <c r="D18" s="160"/>
      <c r="E18" s="160"/>
      <c r="F18" s="160"/>
      <c r="G18" s="160"/>
      <c r="H18" s="160"/>
      <c r="I18" s="160"/>
      <c r="J18" s="160"/>
      <c r="K18" s="160"/>
      <c r="L18" s="160"/>
      <c r="M18" s="160"/>
      <c r="N18" s="160"/>
      <c r="O18" s="160"/>
      <c r="P18" s="160"/>
      <c r="Q18" s="160"/>
      <c r="R18" s="160"/>
      <c r="S18" s="161"/>
    </row>
    <row r="19" spans="1:19" ht="7.5" customHeight="1" x14ac:dyDescent="0.15">
      <c r="B19" s="90"/>
      <c r="C19" s="90"/>
      <c r="D19" s="90"/>
      <c r="E19" s="90"/>
      <c r="F19" s="90"/>
      <c r="G19" s="90"/>
      <c r="H19" s="90"/>
      <c r="I19" s="90"/>
      <c r="J19" s="90"/>
      <c r="K19" s="90"/>
      <c r="L19" s="90"/>
      <c r="M19" s="90"/>
      <c r="N19" s="90"/>
      <c r="O19" s="90"/>
      <c r="P19" s="90"/>
      <c r="Q19" s="90"/>
      <c r="R19" s="90"/>
      <c r="S19" s="90"/>
    </row>
    <row r="20" spans="1:19" ht="19.899999999999999" customHeight="1" x14ac:dyDescent="0.15">
      <c r="B20" s="89" t="s">
        <v>112</v>
      </c>
      <c r="C20" s="144">
        <v>4</v>
      </c>
      <c r="D20" s="126"/>
      <c r="E20" s="38" t="s">
        <v>95</v>
      </c>
      <c r="G20" s="10"/>
      <c r="H20" s="90"/>
      <c r="I20" s="90"/>
      <c r="J20" s="87" t="s">
        <v>121</v>
      </c>
      <c r="K20" s="162" t="s">
        <v>110</v>
      </c>
      <c r="L20" s="163"/>
      <c r="M20" s="163"/>
      <c r="N20" s="163"/>
      <c r="O20" s="163"/>
      <c r="P20" s="163"/>
      <c r="Q20" s="163"/>
      <c r="R20" s="163"/>
      <c r="S20" s="164"/>
    </row>
    <row r="21" spans="1:19" ht="7.5" customHeight="1" x14ac:dyDescent="0.15">
      <c r="B21" s="90"/>
      <c r="C21" s="90"/>
      <c r="D21" s="90"/>
      <c r="E21" s="90"/>
      <c r="F21" s="90"/>
      <c r="G21" s="90"/>
      <c r="H21" s="90"/>
      <c r="I21" s="90"/>
      <c r="J21" s="90"/>
      <c r="K21" s="90"/>
      <c r="L21" s="90"/>
      <c r="M21" s="90"/>
      <c r="N21" s="90"/>
      <c r="O21" s="90"/>
      <c r="P21" s="90"/>
      <c r="Q21" s="90"/>
      <c r="R21" s="90"/>
      <c r="S21" s="90"/>
    </row>
    <row r="22" spans="1:19" ht="18" customHeight="1" x14ac:dyDescent="0.15">
      <c r="A22" s="152" t="s">
        <v>113</v>
      </c>
      <c r="B22" s="152"/>
      <c r="C22" s="152"/>
      <c r="D22" s="152"/>
      <c r="E22" s="152"/>
      <c r="F22" s="152"/>
      <c r="G22" s="152"/>
      <c r="H22" s="152"/>
      <c r="I22" s="152"/>
      <c r="J22" s="152"/>
      <c r="K22" s="152"/>
      <c r="L22" s="152"/>
      <c r="M22" s="152"/>
      <c r="N22" s="152"/>
      <c r="O22" s="152"/>
      <c r="P22" s="152"/>
      <c r="Q22" s="152"/>
      <c r="R22" s="152"/>
      <c r="S22" s="152"/>
    </row>
    <row r="23" spans="1:19" ht="18" customHeight="1" x14ac:dyDescent="0.15">
      <c r="A23" s="152"/>
      <c r="B23" s="152"/>
      <c r="C23" s="152"/>
      <c r="D23" s="152"/>
      <c r="E23" s="152"/>
      <c r="F23" s="152"/>
      <c r="G23" s="152"/>
      <c r="H23" s="152"/>
      <c r="I23" s="152"/>
      <c r="J23" s="152"/>
      <c r="K23" s="152"/>
      <c r="L23" s="152"/>
      <c r="M23" s="152"/>
      <c r="N23" s="152"/>
      <c r="O23" s="152"/>
      <c r="P23" s="152"/>
      <c r="Q23" s="152"/>
      <c r="R23" s="152"/>
      <c r="S23" s="152"/>
    </row>
    <row r="24" spans="1:19" ht="18" customHeight="1" x14ac:dyDescent="0.15">
      <c r="B24" s="144" t="s">
        <v>53</v>
      </c>
      <c r="C24" s="125"/>
      <c r="D24" s="125"/>
      <c r="E24" s="126"/>
      <c r="F24" s="59" t="s">
        <v>80</v>
      </c>
      <c r="G24" s="58" t="s">
        <v>84</v>
      </c>
      <c r="H24" s="21" t="s">
        <v>56</v>
      </c>
      <c r="I24" s="21" t="s">
        <v>59</v>
      </c>
      <c r="J24" s="144" t="s">
        <v>53</v>
      </c>
      <c r="K24" s="125"/>
      <c r="L24" s="125"/>
      <c r="M24" s="125"/>
      <c r="N24" s="125"/>
      <c r="O24" s="126"/>
      <c r="P24" s="59" t="s">
        <v>80</v>
      </c>
      <c r="Q24" s="58" t="s">
        <v>84</v>
      </c>
      <c r="R24" s="21" t="s">
        <v>56</v>
      </c>
      <c r="S24" s="21" t="s">
        <v>59</v>
      </c>
    </row>
    <row r="25" spans="1:19" ht="18" customHeight="1" x14ac:dyDescent="0.15">
      <c r="B25" s="148" t="s">
        <v>131</v>
      </c>
      <c r="C25" s="100"/>
      <c r="D25" s="100"/>
      <c r="E25" s="101"/>
      <c r="F25" s="22">
        <v>1</v>
      </c>
      <c r="G25" s="22" t="s">
        <v>136</v>
      </c>
      <c r="H25" s="22" t="s">
        <v>136</v>
      </c>
      <c r="I25" s="22" t="s">
        <v>136</v>
      </c>
      <c r="J25" s="148"/>
      <c r="K25" s="100"/>
      <c r="L25" s="100"/>
      <c r="M25" s="100"/>
      <c r="N25" s="100"/>
      <c r="O25" s="101"/>
      <c r="P25" s="22"/>
      <c r="Q25" s="22"/>
      <c r="R25" s="22"/>
      <c r="S25" s="22"/>
    </row>
    <row r="26" spans="1:19" ht="18" customHeight="1" x14ac:dyDescent="0.15">
      <c r="B26" s="136" t="s">
        <v>132</v>
      </c>
      <c r="C26" s="103"/>
      <c r="D26" s="103"/>
      <c r="E26" s="104"/>
      <c r="F26" s="23">
        <v>1</v>
      </c>
      <c r="G26" s="23" t="s">
        <v>136</v>
      </c>
      <c r="H26" s="23" t="s">
        <v>136</v>
      </c>
      <c r="I26" s="23" t="s">
        <v>136</v>
      </c>
      <c r="J26" s="136"/>
      <c r="K26" s="103"/>
      <c r="L26" s="103"/>
      <c r="M26" s="103"/>
      <c r="N26" s="103"/>
      <c r="O26" s="104"/>
      <c r="P26" s="23"/>
      <c r="Q26" s="23"/>
      <c r="R26" s="23"/>
      <c r="S26" s="23"/>
    </row>
    <row r="27" spans="1:19" ht="18" customHeight="1" x14ac:dyDescent="0.15">
      <c r="B27" s="136"/>
      <c r="C27" s="103"/>
      <c r="D27" s="103"/>
      <c r="E27" s="104"/>
      <c r="F27" s="23"/>
      <c r="G27" s="23"/>
      <c r="H27" s="23"/>
      <c r="I27" s="23"/>
      <c r="J27" s="136"/>
      <c r="K27" s="103"/>
      <c r="L27" s="103"/>
      <c r="M27" s="103"/>
      <c r="N27" s="103"/>
      <c r="O27" s="104"/>
      <c r="P27" s="23"/>
      <c r="Q27" s="23"/>
      <c r="R27" s="23"/>
      <c r="S27" s="23"/>
    </row>
    <row r="28" spans="1:19" ht="18" customHeight="1" x14ac:dyDescent="0.15">
      <c r="B28" s="136"/>
      <c r="C28" s="103"/>
      <c r="D28" s="103"/>
      <c r="E28" s="104"/>
      <c r="F28" s="23"/>
      <c r="G28" s="23"/>
      <c r="H28" s="23"/>
      <c r="I28" s="23"/>
      <c r="J28" s="136"/>
      <c r="K28" s="103"/>
      <c r="L28" s="103"/>
      <c r="M28" s="103"/>
      <c r="N28" s="103"/>
      <c r="O28" s="104"/>
      <c r="P28" s="23"/>
      <c r="Q28" s="23"/>
      <c r="R28" s="23"/>
      <c r="S28" s="23"/>
    </row>
    <row r="29" spans="1:19" ht="18" customHeight="1" x14ac:dyDescent="0.15">
      <c r="B29" s="136"/>
      <c r="C29" s="103"/>
      <c r="D29" s="103"/>
      <c r="E29" s="104"/>
      <c r="F29" s="23"/>
      <c r="G29" s="23"/>
      <c r="H29" s="23"/>
      <c r="I29" s="23"/>
      <c r="J29" s="136"/>
      <c r="K29" s="103"/>
      <c r="L29" s="103"/>
      <c r="M29" s="103"/>
      <c r="N29" s="103"/>
      <c r="O29" s="104"/>
      <c r="P29" s="23"/>
      <c r="Q29" s="23"/>
      <c r="R29" s="23"/>
      <c r="S29" s="23"/>
    </row>
    <row r="30" spans="1:19" ht="18" customHeight="1" x14ac:dyDescent="0.15">
      <c r="A30" s="90"/>
      <c r="B30" s="136"/>
      <c r="C30" s="103"/>
      <c r="D30" s="103"/>
      <c r="E30" s="104"/>
      <c r="F30" s="23"/>
      <c r="G30" s="23"/>
      <c r="H30" s="23"/>
      <c r="I30" s="23"/>
      <c r="J30" s="136"/>
      <c r="K30" s="103"/>
      <c r="L30" s="103"/>
      <c r="M30" s="103"/>
      <c r="N30" s="103"/>
      <c r="O30" s="104"/>
      <c r="P30" s="23"/>
      <c r="Q30" s="23"/>
      <c r="R30" s="23"/>
      <c r="S30" s="23"/>
    </row>
    <row r="31" spans="1:19" ht="18" customHeight="1" x14ac:dyDescent="0.15">
      <c r="A31" s="90"/>
      <c r="B31" s="141"/>
      <c r="C31" s="142"/>
      <c r="D31" s="142"/>
      <c r="E31" s="143"/>
      <c r="F31" s="24"/>
      <c r="G31" s="24"/>
      <c r="H31" s="25"/>
      <c r="I31" s="25"/>
      <c r="J31" s="141"/>
      <c r="K31" s="142"/>
      <c r="L31" s="142"/>
      <c r="M31" s="142"/>
      <c r="N31" s="142"/>
      <c r="O31" s="143"/>
      <c r="P31" s="24"/>
      <c r="Q31" s="24"/>
      <c r="R31" s="25"/>
      <c r="S31" s="25"/>
    </row>
    <row r="32" spans="1:19" ht="7.5" customHeight="1" x14ac:dyDescent="0.15">
      <c r="A32" s="90"/>
      <c r="B32" s="6"/>
      <c r="C32" s="6"/>
      <c r="D32" s="90"/>
      <c r="E32" s="90"/>
      <c r="F32" s="90"/>
      <c r="G32" s="90"/>
      <c r="H32" s="6"/>
      <c r="I32" s="6"/>
      <c r="J32" s="6"/>
      <c r="K32" s="6"/>
      <c r="L32" s="6"/>
      <c r="M32" s="6"/>
      <c r="N32" s="6"/>
      <c r="O32" s="6"/>
      <c r="P32" s="6"/>
      <c r="Q32" s="6"/>
      <c r="R32" s="6"/>
      <c r="S32" s="90"/>
    </row>
    <row r="33" spans="1:19" ht="18" customHeight="1" x14ac:dyDescent="0.15">
      <c r="A33" s="152" t="s">
        <v>114</v>
      </c>
      <c r="B33" s="152"/>
      <c r="C33" s="152"/>
      <c r="D33" s="152"/>
      <c r="E33" s="152"/>
      <c r="F33" s="152"/>
      <c r="G33" s="152"/>
      <c r="H33" s="152"/>
      <c r="I33" s="152"/>
      <c r="J33" s="152"/>
      <c r="K33" s="152"/>
      <c r="L33" s="152"/>
      <c r="M33" s="152"/>
      <c r="N33" s="152"/>
      <c r="O33" s="152"/>
      <c r="P33" s="152"/>
      <c r="Q33" s="152"/>
      <c r="R33" s="152"/>
      <c r="S33" s="152"/>
    </row>
    <row r="34" spans="1:19" ht="18" customHeight="1" x14ac:dyDescent="0.15">
      <c r="A34" s="152"/>
      <c r="B34" s="152"/>
      <c r="C34" s="152"/>
      <c r="D34" s="152"/>
      <c r="E34" s="152"/>
      <c r="F34" s="152"/>
      <c r="G34" s="152"/>
      <c r="H34" s="152"/>
      <c r="I34" s="152"/>
      <c r="J34" s="152"/>
      <c r="K34" s="152"/>
      <c r="L34" s="152"/>
      <c r="M34" s="152"/>
      <c r="N34" s="152"/>
      <c r="O34" s="152"/>
      <c r="P34" s="152"/>
      <c r="Q34" s="152"/>
      <c r="R34" s="152"/>
      <c r="S34" s="152"/>
    </row>
    <row r="35" spans="1:19" ht="18" customHeight="1" x14ac:dyDescent="0.15">
      <c r="B35" s="144" t="s">
        <v>53</v>
      </c>
      <c r="C35" s="125"/>
      <c r="D35" s="125"/>
      <c r="E35" s="126"/>
      <c r="F35" s="59" t="s">
        <v>80</v>
      </c>
      <c r="G35" s="58" t="s">
        <v>84</v>
      </c>
      <c r="H35" s="21" t="s">
        <v>71</v>
      </c>
      <c r="I35" s="21" t="s">
        <v>72</v>
      </c>
      <c r="J35" s="144" t="s">
        <v>53</v>
      </c>
      <c r="K35" s="125"/>
      <c r="L35" s="125"/>
      <c r="M35" s="125"/>
      <c r="N35" s="125"/>
      <c r="O35" s="126"/>
      <c r="P35" s="59" t="s">
        <v>80</v>
      </c>
      <c r="Q35" s="58" t="s">
        <v>84</v>
      </c>
      <c r="R35" s="21" t="s">
        <v>71</v>
      </c>
      <c r="S35" s="21" t="s">
        <v>72</v>
      </c>
    </row>
    <row r="36" spans="1:19" ht="18" customHeight="1" x14ac:dyDescent="0.15">
      <c r="B36" s="148" t="s">
        <v>131</v>
      </c>
      <c r="C36" s="100"/>
      <c r="D36" s="100"/>
      <c r="E36" s="101"/>
      <c r="F36" s="22">
        <v>1</v>
      </c>
      <c r="G36" s="22" t="s">
        <v>136</v>
      </c>
      <c r="H36" s="22" t="s">
        <v>136</v>
      </c>
      <c r="I36" s="22" t="s">
        <v>136</v>
      </c>
      <c r="J36" s="148"/>
      <c r="K36" s="100"/>
      <c r="L36" s="100"/>
      <c r="M36" s="100"/>
      <c r="N36" s="100"/>
      <c r="O36" s="101"/>
      <c r="P36" s="22"/>
      <c r="Q36" s="22"/>
      <c r="R36" s="22"/>
      <c r="S36" s="22"/>
    </row>
    <row r="37" spans="1:19" ht="18" customHeight="1" x14ac:dyDescent="0.15">
      <c r="B37" s="136" t="s">
        <v>132</v>
      </c>
      <c r="C37" s="103"/>
      <c r="D37" s="103"/>
      <c r="E37" s="104"/>
      <c r="F37" s="23">
        <v>1</v>
      </c>
      <c r="G37" s="23" t="s">
        <v>136</v>
      </c>
      <c r="H37" s="23" t="s">
        <v>136</v>
      </c>
      <c r="I37" s="23" t="s">
        <v>136</v>
      </c>
      <c r="J37" s="136"/>
      <c r="K37" s="103"/>
      <c r="L37" s="103"/>
      <c r="M37" s="103"/>
      <c r="N37" s="103"/>
      <c r="O37" s="104"/>
      <c r="P37" s="23"/>
      <c r="Q37" s="23"/>
      <c r="R37" s="23"/>
      <c r="S37" s="23"/>
    </row>
    <row r="38" spans="1:19" ht="18" customHeight="1" x14ac:dyDescent="0.15">
      <c r="B38" s="136"/>
      <c r="C38" s="103"/>
      <c r="D38" s="103"/>
      <c r="E38" s="104"/>
      <c r="F38" s="23"/>
      <c r="G38" s="23"/>
      <c r="H38" s="23"/>
      <c r="I38" s="23"/>
      <c r="J38" s="136"/>
      <c r="K38" s="103"/>
      <c r="L38" s="103"/>
      <c r="M38" s="103"/>
      <c r="N38" s="103"/>
      <c r="O38" s="104"/>
      <c r="P38" s="23"/>
      <c r="Q38" s="23"/>
      <c r="R38" s="23"/>
      <c r="S38" s="23"/>
    </row>
    <row r="39" spans="1:19" ht="18" customHeight="1" x14ac:dyDescent="0.15">
      <c r="B39" s="136"/>
      <c r="C39" s="103"/>
      <c r="D39" s="103"/>
      <c r="E39" s="104"/>
      <c r="F39" s="23"/>
      <c r="G39" s="23"/>
      <c r="H39" s="23"/>
      <c r="I39" s="23"/>
      <c r="J39" s="136"/>
      <c r="K39" s="103"/>
      <c r="L39" s="103"/>
      <c r="M39" s="103"/>
      <c r="N39" s="103"/>
      <c r="O39" s="104"/>
      <c r="P39" s="23"/>
      <c r="Q39" s="23"/>
      <c r="R39" s="23"/>
      <c r="S39" s="23"/>
    </row>
    <row r="40" spans="1:19" ht="18" customHeight="1" x14ac:dyDescent="0.15">
      <c r="B40" s="136"/>
      <c r="C40" s="103"/>
      <c r="D40" s="103"/>
      <c r="E40" s="104"/>
      <c r="F40" s="23"/>
      <c r="G40" s="23"/>
      <c r="H40" s="23"/>
      <c r="I40" s="23"/>
      <c r="J40" s="136"/>
      <c r="K40" s="103"/>
      <c r="L40" s="103"/>
      <c r="M40" s="103"/>
      <c r="N40" s="103"/>
      <c r="O40" s="104"/>
      <c r="P40" s="23"/>
      <c r="Q40" s="23"/>
      <c r="R40" s="23"/>
      <c r="S40" s="23"/>
    </row>
    <row r="41" spans="1:19" ht="18" customHeight="1" x14ac:dyDescent="0.15">
      <c r="B41" s="136"/>
      <c r="C41" s="103"/>
      <c r="D41" s="103"/>
      <c r="E41" s="104"/>
      <c r="F41" s="23"/>
      <c r="G41" s="23"/>
      <c r="H41" s="23"/>
      <c r="I41" s="23"/>
      <c r="J41" s="136"/>
      <c r="K41" s="103"/>
      <c r="L41" s="103"/>
      <c r="M41" s="103"/>
      <c r="N41" s="103"/>
      <c r="O41" s="104"/>
      <c r="P41" s="23"/>
      <c r="Q41" s="23"/>
      <c r="R41" s="23"/>
      <c r="S41" s="23"/>
    </row>
    <row r="42" spans="1:19" ht="18" customHeight="1" x14ac:dyDescent="0.15">
      <c r="B42" s="141"/>
      <c r="C42" s="142"/>
      <c r="D42" s="142"/>
      <c r="E42" s="143"/>
      <c r="F42" s="24"/>
      <c r="G42" s="24"/>
      <c r="H42" s="25"/>
      <c r="I42" s="25"/>
      <c r="J42" s="141"/>
      <c r="K42" s="142"/>
      <c r="L42" s="142"/>
      <c r="M42" s="142"/>
      <c r="N42" s="142"/>
      <c r="O42" s="143"/>
      <c r="P42" s="24"/>
      <c r="Q42" s="24"/>
      <c r="R42" s="25"/>
      <c r="S42" s="25"/>
    </row>
    <row r="43" spans="1:19" ht="7.5" customHeight="1" x14ac:dyDescent="0.15">
      <c r="A43" s="90"/>
      <c r="B43" s="6"/>
      <c r="C43" s="6"/>
      <c r="D43" s="90"/>
      <c r="E43" s="90"/>
      <c r="F43" s="90"/>
      <c r="G43" s="90"/>
      <c r="H43" s="6"/>
      <c r="I43" s="6"/>
      <c r="J43" s="6"/>
      <c r="K43" s="6"/>
      <c r="L43" s="6"/>
      <c r="M43" s="6"/>
      <c r="N43" s="6"/>
      <c r="O43" s="6"/>
      <c r="P43" s="6"/>
      <c r="Q43" s="6"/>
      <c r="R43" s="6"/>
      <c r="S43" s="90"/>
    </row>
    <row r="44" spans="1:19" ht="18" customHeight="1" x14ac:dyDescent="0.15">
      <c r="A44" s="152" t="s">
        <v>115</v>
      </c>
      <c r="B44" s="152"/>
      <c r="C44" s="152"/>
      <c r="D44" s="152"/>
      <c r="E44" s="152"/>
      <c r="F44" s="152"/>
      <c r="G44" s="152"/>
      <c r="H44" s="152"/>
      <c r="I44" s="152"/>
      <c r="J44" s="152"/>
      <c r="K44" s="152"/>
      <c r="L44" s="152"/>
      <c r="M44" s="152"/>
      <c r="N44" s="152"/>
      <c r="O44" s="152"/>
      <c r="P44" s="152"/>
      <c r="Q44" s="152"/>
      <c r="R44" s="152"/>
      <c r="S44" s="152"/>
    </row>
    <row r="45" spans="1:19" ht="18" customHeight="1" x14ac:dyDescent="0.15">
      <c r="A45" s="152"/>
      <c r="B45" s="152"/>
      <c r="C45" s="152"/>
      <c r="D45" s="152"/>
      <c r="E45" s="152"/>
      <c r="F45" s="152"/>
      <c r="G45" s="152"/>
      <c r="H45" s="152"/>
      <c r="I45" s="152"/>
      <c r="J45" s="152"/>
      <c r="K45" s="152"/>
      <c r="L45" s="152"/>
      <c r="M45" s="152"/>
      <c r="N45" s="152"/>
      <c r="O45" s="152"/>
      <c r="P45" s="152"/>
      <c r="Q45" s="152"/>
      <c r="R45" s="152"/>
      <c r="S45" s="152"/>
    </row>
    <row r="46" spans="1:19" ht="18" customHeight="1" x14ac:dyDescent="0.15">
      <c r="B46" s="144" t="s">
        <v>53</v>
      </c>
      <c r="C46" s="125"/>
      <c r="D46" s="125"/>
      <c r="E46" s="126"/>
      <c r="F46" s="59" t="s">
        <v>80</v>
      </c>
      <c r="G46" s="58" t="s">
        <v>84</v>
      </c>
      <c r="H46" s="21" t="s">
        <v>73</v>
      </c>
      <c r="I46" s="21" t="s">
        <v>74</v>
      </c>
      <c r="J46" s="144" t="s">
        <v>53</v>
      </c>
      <c r="K46" s="125"/>
      <c r="L46" s="125"/>
      <c r="M46" s="125"/>
      <c r="N46" s="125"/>
      <c r="O46" s="126"/>
      <c r="P46" s="59" t="s">
        <v>80</v>
      </c>
      <c r="Q46" s="58" t="s">
        <v>84</v>
      </c>
      <c r="R46" s="21" t="s">
        <v>73</v>
      </c>
      <c r="S46" s="21" t="s">
        <v>74</v>
      </c>
    </row>
    <row r="47" spans="1:19" ht="18" customHeight="1" x14ac:dyDescent="0.15">
      <c r="A47" s="90"/>
      <c r="B47" s="148" t="s">
        <v>131</v>
      </c>
      <c r="C47" s="100"/>
      <c r="D47" s="100"/>
      <c r="E47" s="101"/>
      <c r="F47" s="22">
        <v>1</v>
      </c>
      <c r="G47" s="22" t="s">
        <v>136</v>
      </c>
      <c r="H47" s="22" t="s">
        <v>136</v>
      </c>
      <c r="I47" s="22" t="s">
        <v>136</v>
      </c>
      <c r="J47" s="148"/>
      <c r="K47" s="100"/>
      <c r="L47" s="100"/>
      <c r="M47" s="100"/>
      <c r="N47" s="100"/>
      <c r="O47" s="101"/>
      <c r="P47" s="22"/>
      <c r="Q47" s="22"/>
      <c r="R47" s="22"/>
      <c r="S47" s="22"/>
    </row>
    <row r="48" spans="1:19" ht="18" customHeight="1" x14ac:dyDescent="0.15">
      <c r="A48" s="90"/>
      <c r="B48" s="136" t="s">
        <v>132</v>
      </c>
      <c r="C48" s="103"/>
      <c r="D48" s="103"/>
      <c r="E48" s="104"/>
      <c r="F48" s="23">
        <v>1</v>
      </c>
      <c r="G48" s="23" t="s">
        <v>136</v>
      </c>
      <c r="H48" s="23" t="s">
        <v>136</v>
      </c>
      <c r="I48" s="23" t="s">
        <v>136</v>
      </c>
      <c r="J48" s="136"/>
      <c r="K48" s="103"/>
      <c r="L48" s="103"/>
      <c r="M48" s="103"/>
      <c r="N48" s="103"/>
      <c r="O48" s="104"/>
      <c r="P48" s="23"/>
      <c r="Q48" s="23"/>
      <c r="R48" s="23"/>
      <c r="S48" s="23"/>
    </row>
    <row r="49" spans="1:19" ht="18" customHeight="1" x14ac:dyDescent="0.15">
      <c r="A49" s="90"/>
      <c r="B49" s="136"/>
      <c r="C49" s="103"/>
      <c r="D49" s="103"/>
      <c r="E49" s="104"/>
      <c r="F49" s="23"/>
      <c r="G49" s="23"/>
      <c r="H49" s="23"/>
      <c r="I49" s="23"/>
      <c r="J49" s="136"/>
      <c r="K49" s="103"/>
      <c r="L49" s="103"/>
      <c r="M49" s="103"/>
      <c r="N49" s="103"/>
      <c r="O49" s="104"/>
      <c r="P49" s="23"/>
      <c r="Q49" s="23"/>
      <c r="R49" s="23"/>
      <c r="S49" s="23"/>
    </row>
    <row r="50" spans="1:19" ht="18" customHeight="1" x14ac:dyDescent="0.15">
      <c r="A50" s="90"/>
      <c r="B50" s="136"/>
      <c r="C50" s="103"/>
      <c r="D50" s="103"/>
      <c r="E50" s="104"/>
      <c r="F50" s="23"/>
      <c r="G50" s="23"/>
      <c r="H50" s="23"/>
      <c r="I50" s="23"/>
      <c r="J50" s="136"/>
      <c r="K50" s="103"/>
      <c r="L50" s="103"/>
      <c r="M50" s="103"/>
      <c r="N50" s="103"/>
      <c r="O50" s="104"/>
      <c r="P50" s="23"/>
      <c r="Q50" s="23"/>
      <c r="R50" s="23"/>
      <c r="S50" s="23"/>
    </row>
    <row r="51" spans="1:19" ht="18" customHeight="1" x14ac:dyDescent="0.15">
      <c r="A51" s="90"/>
      <c r="B51" s="136"/>
      <c r="C51" s="103"/>
      <c r="D51" s="103"/>
      <c r="E51" s="104"/>
      <c r="F51" s="23"/>
      <c r="G51" s="23"/>
      <c r="H51" s="23"/>
      <c r="I51" s="23"/>
      <c r="J51" s="136"/>
      <c r="K51" s="103"/>
      <c r="L51" s="103"/>
      <c r="M51" s="103"/>
      <c r="N51" s="103"/>
      <c r="O51" s="104"/>
      <c r="P51" s="23"/>
      <c r="Q51" s="23"/>
      <c r="R51" s="23"/>
      <c r="S51" s="23"/>
    </row>
    <row r="52" spans="1:19" ht="18" customHeight="1" x14ac:dyDescent="0.15">
      <c r="A52" s="90"/>
      <c r="B52" s="136"/>
      <c r="C52" s="103"/>
      <c r="D52" s="103"/>
      <c r="E52" s="104"/>
      <c r="F52" s="23"/>
      <c r="G52" s="23"/>
      <c r="H52" s="23"/>
      <c r="I52" s="23"/>
      <c r="J52" s="136"/>
      <c r="K52" s="103"/>
      <c r="L52" s="103"/>
      <c r="M52" s="103"/>
      <c r="N52" s="103"/>
      <c r="O52" s="104"/>
      <c r="P52" s="23"/>
      <c r="Q52" s="23"/>
      <c r="R52" s="23"/>
      <c r="S52" s="23"/>
    </row>
    <row r="53" spans="1:19" ht="18" customHeight="1" x14ac:dyDescent="0.15">
      <c r="A53" s="90"/>
      <c r="B53" s="141"/>
      <c r="C53" s="142"/>
      <c r="D53" s="142"/>
      <c r="E53" s="143"/>
      <c r="F53" s="24"/>
      <c r="G53" s="24"/>
      <c r="H53" s="25"/>
      <c r="I53" s="25"/>
      <c r="J53" s="141"/>
      <c r="K53" s="142"/>
      <c r="L53" s="142"/>
      <c r="M53" s="142"/>
      <c r="N53" s="142"/>
      <c r="O53" s="143"/>
      <c r="P53" s="24"/>
      <c r="Q53" s="24"/>
      <c r="R53" s="25"/>
      <c r="S53" s="25"/>
    </row>
    <row r="54" spans="1:19" ht="7.5" customHeight="1" x14ac:dyDescent="0.15">
      <c r="B54" s="91"/>
      <c r="C54" s="91"/>
      <c r="D54" s="91"/>
      <c r="E54" s="91"/>
      <c r="F54" s="91"/>
      <c r="G54" s="91"/>
      <c r="H54" s="91"/>
      <c r="I54" s="91"/>
      <c r="J54" s="91"/>
      <c r="K54" s="91"/>
      <c r="L54" s="91"/>
      <c r="M54" s="91"/>
      <c r="N54" s="91"/>
      <c r="O54" s="91"/>
      <c r="P54" s="91"/>
      <c r="Q54" s="91"/>
      <c r="R54" s="91"/>
    </row>
    <row r="55" spans="1:19" ht="18" customHeight="1" x14ac:dyDescent="0.15">
      <c r="A55" s="152" t="s">
        <v>116</v>
      </c>
      <c r="B55" s="152"/>
      <c r="C55" s="152"/>
      <c r="D55" s="152"/>
      <c r="E55" s="152"/>
      <c r="F55" s="152"/>
      <c r="G55" s="152"/>
      <c r="H55" s="152"/>
      <c r="I55" s="152"/>
      <c r="J55" s="152"/>
      <c r="K55" s="152"/>
      <c r="L55" s="152"/>
      <c r="M55" s="152"/>
      <c r="N55" s="152"/>
      <c r="O55" s="152"/>
      <c r="P55" s="152"/>
      <c r="Q55" s="152"/>
      <c r="R55" s="152"/>
      <c r="S55" s="152"/>
    </row>
    <row r="56" spans="1:19" ht="18" customHeight="1" x14ac:dyDescent="0.15">
      <c r="A56" s="152"/>
      <c r="B56" s="152"/>
      <c r="C56" s="152"/>
      <c r="D56" s="152"/>
      <c r="E56" s="152"/>
      <c r="F56" s="152"/>
      <c r="G56" s="152"/>
      <c r="H56" s="152"/>
      <c r="I56" s="152"/>
      <c r="J56" s="152"/>
      <c r="K56" s="152"/>
      <c r="L56" s="152"/>
      <c r="M56" s="152"/>
      <c r="N56" s="152"/>
      <c r="O56" s="152"/>
      <c r="P56" s="152"/>
      <c r="Q56" s="152"/>
      <c r="R56" s="152"/>
      <c r="S56" s="152"/>
    </row>
    <row r="57" spans="1:19" ht="18" customHeight="1" x14ac:dyDescent="0.15">
      <c r="B57" s="144" t="s">
        <v>53</v>
      </c>
      <c r="C57" s="125"/>
      <c r="D57" s="125"/>
      <c r="E57" s="126"/>
      <c r="F57" s="59" t="s">
        <v>80</v>
      </c>
      <c r="G57" s="58" t="s">
        <v>84</v>
      </c>
      <c r="H57" s="21" t="s">
        <v>58</v>
      </c>
      <c r="I57" s="21" t="s">
        <v>60</v>
      </c>
      <c r="J57" s="144" t="s">
        <v>53</v>
      </c>
      <c r="K57" s="125"/>
      <c r="L57" s="125"/>
      <c r="M57" s="125"/>
      <c r="N57" s="125"/>
      <c r="O57" s="126"/>
      <c r="P57" s="59" t="s">
        <v>80</v>
      </c>
      <c r="Q57" s="58" t="s">
        <v>84</v>
      </c>
      <c r="R57" s="21" t="s">
        <v>58</v>
      </c>
      <c r="S57" s="21" t="s">
        <v>60</v>
      </c>
    </row>
    <row r="58" spans="1:19" ht="18" customHeight="1" x14ac:dyDescent="0.15">
      <c r="A58" s="90"/>
      <c r="B58" s="148" t="s">
        <v>131</v>
      </c>
      <c r="C58" s="100"/>
      <c r="D58" s="100"/>
      <c r="E58" s="101"/>
      <c r="F58" s="22">
        <v>1</v>
      </c>
      <c r="G58" s="22" t="s">
        <v>136</v>
      </c>
      <c r="H58" s="22" t="s">
        <v>136</v>
      </c>
      <c r="I58" s="22" t="s">
        <v>136</v>
      </c>
      <c r="J58" s="148"/>
      <c r="K58" s="100"/>
      <c r="L58" s="100"/>
      <c r="M58" s="100"/>
      <c r="N58" s="100"/>
      <c r="O58" s="101"/>
      <c r="P58" s="22"/>
      <c r="Q58" s="22"/>
      <c r="R58" s="22"/>
      <c r="S58" s="22"/>
    </row>
    <row r="59" spans="1:19" ht="18" customHeight="1" x14ac:dyDescent="0.15">
      <c r="A59" s="90"/>
      <c r="B59" s="136" t="s">
        <v>132</v>
      </c>
      <c r="C59" s="103"/>
      <c r="D59" s="103"/>
      <c r="E59" s="104"/>
      <c r="F59" s="23">
        <v>1</v>
      </c>
      <c r="G59" s="23" t="s">
        <v>136</v>
      </c>
      <c r="H59" s="23" t="s">
        <v>136</v>
      </c>
      <c r="I59" s="23"/>
      <c r="J59" s="136"/>
      <c r="K59" s="103"/>
      <c r="L59" s="103"/>
      <c r="M59" s="103"/>
      <c r="N59" s="103"/>
      <c r="O59" s="104"/>
      <c r="P59" s="23"/>
      <c r="Q59" s="23"/>
      <c r="R59" s="23"/>
      <c r="S59" s="23"/>
    </row>
    <row r="60" spans="1:19" ht="18" customHeight="1" x14ac:dyDescent="0.15">
      <c r="A60" s="90"/>
      <c r="B60" s="136"/>
      <c r="C60" s="103"/>
      <c r="D60" s="103"/>
      <c r="E60" s="104"/>
      <c r="F60" s="23"/>
      <c r="G60" s="23"/>
      <c r="H60" s="23"/>
      <c r="I60" s="23"/>
      <c r="J60" s="136"/>
      <c r="K60" s="103"/>
      <c r="L60" s="103"/>
      <c r="M60" s="103"/>
      <c r="N60" s="103"/>
      <c r="O60" s="104"/>
      <c r="P60" s="23"/>
      <c r="Q60" s="23"/>
      <c r="R60" s="23"/>
      <c r="S60" s="23"/>
    </row>
    <row r="61" spans="1:19" ht="18" customHeight="1" x14ac:dyDescent="0.15">
      <c r="A61" s="90"/>
      <c r="B61" s="136"/>
      <c r="C61" s="103"/>
      <c r="D61" s="103"/>
      <c r="E61" s="104"/>
      <c r="F61" s="23"/>
      <c r="G61" s="23"/>
      <c r="H61" s="23"/>
      <c r="I61" s="23"/>
      <c r="J61" s="136"/>
      <c r="K61" s="103"/>
      <c r="L61" s="103"/>
      <c r="M61" s="103"/>
      <c r="N61" s="103"/>
      <c r="O61" s="104"/>
      <c r="P61" s="23"/>
      <c r="Q61" s="23"/>
      <c r="R61" s="23"/>
      <c r="S61" s="23"/>
    </row>
    <row r="62" spans="1:19" ht="18" customHeight="1" x14ac:dyDescent="0.15">
      <c r="A62" s="90"/>
      <c r="B62" s="136"/>
      <c r="C62" s="103"/>
      <c r="D62" s="103"/>
      <c r="E62" s="104"/>
      <c r="F62" s="23"/>
      <c r="G62" s="23"/>
      <c r="H62" s="23"/>
      <c r="I62" s="23"/>
      <c r="J62" s="136"/>
      <c r="K62" s="103"/>
      <c r="L62" s="103"/>
      <c r="M62" s="103"/>
      <c r="N62" s="103"/>
      <c r="O62" s="104"/>
      <c r="P62" s="23"/>
      <c r="Q62" s="23"/>
      <c r="R62" s="23"/>
      <c r="S62" s="23"/>
    </row>
    <row r="63" spans="1:19" ht="18" customHeight="1" x14ac:dyDescent="0.15">
      <c r="A63" s="90"/>
      <c r="B63" s="136"/>
      <c r="C63" s="103"/>
      <c r="D63" s="103"/>
      <c r="E63" s="104"/>
      <c r="F63" s="23"/>
      <c r="G63" s="23"/>
      <c r="H63" s="23"/>
      <c r="I63" s="23"/>
      <c r="J63" s="136"/>
      <c r="K63" s="103"/>
      <c r="L63" s="103"/>
      <c r="M63" s="103"/>
      <c r="N63" s="103"/>
      <c r="O63" s="104"/>
      <c r="P63" s="23"/>
      <c r="Q63" s="23"/>
      <c r="R63" s="23"/>
      <c r="S63" s="23"/>
    </row>
    <row r="64" spans="1:19" ht="18" customHeight="1" x14ac:dyDescent="0.15">
      <c r="A64" s="90"/>
      <c r="B64" s="141"/>
      <c r="C64" s="142"/>
      <c r="D64" s="142"/>
      <c r="E64" s="143"/>
      <c r="F64" s="24"/>
      <c r="G64" s="24"/>
      <c r="H64" s="25"/>
      <c r="I64" s="25"/>
      <c r="J64" s="141"/>
      <c r="K64" s="142"/>
      <c r="L64" s="142"/>
      <c r="M64" s="142"/>
      <c r="N64" s="142"/>
      <c r="O64" s="143"/>
      <c r="P64" s="24"/>
      <c r="Q64" s="24"/>
      <c r="R64" s="25"/>
      <c r="S64" s="25"/>
    </row>
    <row r="65" spans="1:19" ht="7.5" customHeight="1" x14ac:dyDescent="0.15">
      <c r="B65" s="91"/>
      <c r="C65" s="91"/>
      <c r="D65" s="91"/>
      <c r="E65" s="91"/>
      <c r="F65" s="91"/>
      <c r="G65" s="91"/>
      <c r="H65" s="91"/>
      <c r="I65" s="91"/>
      <c r="J65" s="91"/>
      <c r="K65" s="91"/>
      <c r="L65" s="91"/>
      <c r="M65" s="91"/>
      <c r="N65" s="91"/>
      <c r="O65" s="91"/>
      <c r="P65" s="91"/>
      <c r="Q65" s="91"/>
      <c r="R65" s="91"/>
    </row>
    <row r="66" spans="1:19" ht="18" customHeight="1" x14ac:dyDescent="0.15">
      <c r="A66" s="152" t="s">
        <v>117</v>
      </c>
      <c r="B66" s="152"/>
      <c r="C66" s="152"/>
      <c r="D66" s="152"/>
      <c r="E66" s="152"/>
      <c r="F66" s="152"/>
      <c r="G66" s="152"/>
      <c r="H66" s="152"/>
      <c r="I66" s="152"/>
      <c r="J66" s="152"/>
      <c r="K66" s="152"/>
      <c r="L66" s="152"/>
      <c r="M66" s="152"/>
      <c r="N66" s="152"/>
      <c r="O66" s="152"/>
      <c r="P66" s="152"/>
      <c r="Q66" s="152"/>
      <c r="R66" s="152"/>
      <c r="S66" s="152"/>
    </row>
    <row r="67" spans="1:19" ht="18" customHeight="1" x14ac:dyDescent="0.15">
      <c r="A67" s="152"/>
      <c r="B67" s="152"/>
      <c r="C67" s="152"/>
      <c r="D67" s="152"/>
      <c r="E67" s="152"/>
      <c r="F67" s="152"/>
      <c r="G67" s="152"/>
      <c r="H67" s="152"/>
      <c r="I67" s="152"/>
      <c r="J67" s="152"/>
      <c r="K67" s="152"/>
      <c r="L67" s="152"/>
      <c r="M67" s="152"/>
      <c r="N67" s="152"/>
      <c r="O67" s="152"/>
      <c r="P67" s="152"/>
      <c r="Q67" s="152"/>
      <c r="R67" s="152"/>
      <c r="S67" s="152"/>
    </row>
    <row r="68" spans="1:19" ht="18" customHeight="1" x14ac:dyDescent="0.15">
      <c r="B68" s="144" t="s">
        <v>53</v>
      </c>
      <c r="C68" s="125"/>
      <c r="D68" s="125"/>
      <c r="E68" s="59" t="s">
        <v>80</v>
      </c>
      <c r="F68" s="58" t="s">
        <v>84</v>
      </c>
      <c r="G68" s="21" t="s">
        <v>101</v>
      </c>
      <c r="H68" s="21" t="s">
        <v>75</v>
      </c>
      <c r="I68" s="21" t="s">
        <v>76</v>
      </c>
      <c r="J68" s="144" t="s">
        <v>53</v>
      </c>
      <c r="K68" s="125"/>
      <c r="L68" s="125"/>
      <c r="M68" s="125"/>
      <c r="N68" s="126"/>
      <c r="O68" s="59" t="s">
        <v>80</v>
      </c>
      <c r="P68" s="58" t="s">
        <v>84</v>
      </c>
      <c r="Q68" s="21" t="s">
        <v>101</v>
      </c>
      <c r="R68" s="21" t="s">
        <v>75</v>
      </c>
      <c r="S68" s="21" t="s">
        <v>76</v>
      </c>
    </row>
    <row r="69" spans="1:19" ht="18" customHeight="1" x14ac:dyDescent="0.15">
      <c r="A69" s="90"/>
      <c r="B69" s="148" t="s">
        <v>131</v>
      </c>
      <c r="C69" s="100"/>
      <c r="D69" s="101"/>
      <c r="E69" s="22">
        <v>1</v>
      </c>
      <c r="F69" s="22" t="s">
        <v>136</v>
      </c>
      <c r="G69" s="22" t="s">
        <v>136</v>
      </c>
      <c r="H69" s="22" t="s">
        <v>136</v>
      </c>
      <c r="I69" s="22" t="s">
        <v>136</v>
      </c>
      <c r="J69" s="148"/>
      <c r="K69" s="100"/>
      <c r="L69" s="100"/>
      <c r="M69" s="100"/>
      <c r="N69" s="101"/>
      <c r="O69" s="22"/>
      <c r="P69" s="22"/>
      <c r="Q69" s="22"/>
      <c r="R69" s="22"/>
      <c r="S69" s="22"/>
    </row>
    <row r="70" spans="1:19" ht="18" customHeight="1" x14ac:dyDescent="0.15">
      <c r="A70" s="90"/>
      <c r="B70" s="136" t="s">
        <v>132</v>
      </c>
      <c r="C70" s="103"/>
      <c r="D70" s="104"/>
      <c r="E70" s="23">
        <v>1</v>
      </c>
      <c r="F70" s="23" t="s">
        <v>136</v>
      </c>
      <c r="G70" s="23" t="s">
        <v>136</v>
      </c>
      <c r="H70" s="23" t="s">
        <v>136</v>
      </c>
      <c r="I70" s="23" t="s">
        <v>136</v>
      </c>
      <c r="J70" s="136"/>
      <c r="K70" s="103"/>
      <c r="L70" s="103"/>
      <c r="M70" s="103"/>
      <c r="N70" s="104"/>
      <c r="O70" s="23"/>
      <c r="P70" s="23"/>
      <c r="Q70" s="23"/>
      <c r="R70" s="23"/>
      <c r="S70" s="23"/>
    </row>
    <row r="71" spans="1:19" ht="18" customHeight="1" x14ac:dyDescent="0.15">
      <c r="A71" s="90"/>
      <c r="B71" s="136" t="s">
        <v>138</v>
      </c>
      <c r="C71" s="103"/>
      <c r="D71" s="104"/>
      <c r="E71" s="23">
        <v>1</v>
      </c>
      <c r="F71" s="23" t="s">
        <v>136</v>
      </c>
      <c r="G71" s="23" t="s">
        <v>136</v>
      </c>
      <c r="H71" s="23" t="s">
        <v>136</v>
      </c>
      <c r="I71" s="23" t="s">
        <v>136</v>
      </c>
      <c r="J71" s="136"/>
      <c r="K71" s="103"/>
      <c r="L71" s="103"/>
      <c r="M71" s="103"/>
      <c r="N71" s="104"/>
      <c r="O71" s="23"/>
      <c r="P71" s="23"/>
      <c r="Q71" s="23"/>
      <c r="R71" s="23"/>
      <c r="S71" s="23"/>
    </row>
    <row r="72" spans="1:19" ht="18" customHeight="1" x14ac:dyDescent="0.15">
      <c r="A72" s="90"/>
      <c r="B72" s="136" t="s">
        <v>133</v>
      </c>
      <c r="C72" s="103"/>
      <c r="D72" s="104"/>
      <c r="E72" s="23">
        <v>1</v>
      </c>
      <c r="F72" s="23" t="s">
        <v>136</v>
      </c>
      <c r="G72" s="23" t="s">
        <v>136</v>
      </c>
      <c r="H72" s="23" t="s">
        <v>136</v>
      </c>
      <c r="I72" s="23" t="s">
        <v>136</v>
      </c>
      <c r="J72" s="136"/>
      <c r="K72" s="103"/>
      <c r="L72" s="103"/>
      <c r="M72" s="103"/>
      <c r="N72" s="104"/>
      <c r="O72" s="23"/>
      <c r="P72" s="23"/>
      <c r="Q72" s="23"/>
      <c r="R72" s="23"/>
      <c r="S72" s="23"/>
    </row>
    <row r="73" spans="1:19" ht="18" customHeight="1" x14ac:dyDescent="0.15">
      <c r="A73" s="90"/>
      <c r="B73" s="136"/>
      <c r="C73" s="103"/>
      <c r="D73" s="104"/>
      <c r="E73" s="23"/>
      <c r="F73" s="23"/>
      <c r="G73" s="23"/>
      <c r="H73" s="23"/>
      <c r="I73" s="23"/>
      <c r="J73" s="136"/>
      <c r="K73" s="103"/>
      <c r="L73" s="103"/>
      <c r="M73" s="103"/>
      <c r="N73" s="104"/>
      <c r="O73" s="23"/>
      <c r="P73" s="23"/>
      <c r="Q73" s="23"/>
      <c r="R73" s="23"/>
      <c r="S73" s="23"/>
    </row>
    <row r="74" spans="1:19" ht="18" customHeight="1" x14ac:dyDescent="0.15">
      <c r="A74" s="90"/>
      <c r="B74" s="136"/>
      <c r="C74" s="103"/>
      <c r="D74" s="104"/>
      <c r="E74" s="23"/>
      <c r="F74" s="23"/>
      <c r="G74" s="23"/>
      <c r="H74" s="23"/>
      <c r="I74" s="23"/>
      <c r="J74" s="136"/>
      <c r="K74" s="103"/>
      <c r="L74" s="103"/>
      <c r="M74" s="103"/>
      <c r="N74" s="104"/>
      <c r="O74" s="23"/>
      <c r="P74" s="23"/>
      <c r="Q74" s="23"/>
      <c r="R74" s="23"/>
      <c r="S74" s="23"/>
    </row>
    <row r="75" spans="1:19" ht="18" customHeight="1" x14ac:dyDescent="0.15">
      <c r="A75" s="90"/>
      <c r="B75" s="141"/>
      <c r="C75" s="142"/>
      <c r="D75" s="142"/>
      <c r="E75" s="24"/>
      <c r="F75" s="24"/>
      <c r="G75" s="25"/>
      <c r="H75" s="25"/>
      <c r="I75" s="25"/>
      <c r="J75" s="141"/>
      <c r="K75" s="142"/>
      <c r="L75" s="142"/>
      <c r="M75" s="142"/>
      <c r="N75" s="143"/>
      <c r="O75" s="24"/>
      <c r="P75" s="24"/>
      <c r="Q75" s="25"/>
      <c r="R75" s="25"/>
      <c r="S75" s="25"/>
    </row>
    <row r="76" spans="1:19" ht="7.5" customHeight="1" x14ac:dyDescent="0.15">
      <c r="B76" s="91"/>
      <c r="C76" s="91"/>
      <c r="D76" s="91"/>
      <c r="E76" s="91"/>
      <c r="F76" s="91"/>
      <c r="G76" s="91"/>
      <c r="H76" s="91"/>
      <c r="I76" s="91"/>
      <c r="J76" s="91"/>
      <c r="K76" s="91"/>
      <c r="L76" s="91"/>
      <c r="M76" s="91"/>
      <c r="N76" s="91"/>
      <c r="O76" s="91"/>
      <c r="P76" s="91"/>
      <c r="Q76" s="91"/>
      <c r="R76" s="91"/>
    </row>
    <row r="77" spans="1:19" ht="18" customHeight="1" x14ac:dyDescent="0.15">
      <c r="A77" s="89" t="s">
        <v>118</v>
      </c>
      <c r="H77" s="90"/>
      <c r="I77" s="90"/>
      <c r="J77" s="90"/>
      <c r="K77" s="90"/>
      <c r="L77" s="90"/>
      <c r="M77" s="90"/>
      <c r="N77" s="90"/>
      <c r="O77" s="90"/>
      <c r="P77" s="90"/>
      <c r="Q77" s="90"/>
      <c r="R77" s="90"/>
      <c r="S77" s="90"/>
    </row>
    <row r="78" spans="1:19" ht="18" customHeight="1" x14ac:dyDescent="0.15">
      <c r="B78" s="144" t="s">
        <v>53</v>
      </c>
      <c r="C78" s="125"/>
      <c r="D78" s="125"/>
      <c r="E78" s="126"/>
      <c r="F78" s="144" t="s">
        <v>82</v>
      </c>
      <c r="G78" s="125"/>
      <c r="H78" s="125"/>
      <c r="I78" s="126"/>
      <c r="J78" s="145" t="s">
        <v>53</v>
      </c>
      <c r="K78" s="146"/>
      <c r="L78" s="146"/>
      <c r="M78" s="146"/>
      <c r="N78" s="146"/>
      <c r="O78" s="147"/>
      <c r="P78" s="144" t="s">
        <v>82</v>
      </c>
      <c r="Q78" s="125"/>
      <c r="R78" s="125"/>
      <c r="S78" s="126"/>
    </row>
    <row r="79" spans="1:19" ht="18" customHeight="1" x14ac:dyDescent="0.15">
      <c r="A79" s="90"/>
      <c r="B79" s="148" t="s">
        <v>131</v>
      </c>
      <c r="C79" s="100"/>
      <c r="D79" s="100"/>
      <c r="E79" s="101"/>
      <c r="F79" s="149" t="s">
        <v>141</v>
      </c>
      <c r="G79" s="150"/>
      <c r="H79" s="150"/>
      <c r="I79" s="151"/>
      <c r="J79" s="148"/>
      <c r="K79" s="100"/>
      <c r="L79" s="100"/>
      <c r="M79" s="100"/>
      <c r="N79" s="100"/>
      <c r="O79" s="101"/>
      <c r="P79" s="149"/>
      <c r="Q79" s="150"/>
      <c r="R79" s="150"/>
      <c r="S79" s="151"/>
    </row>
    <row r="80" spans="1:19" ht="18" customHeight="1" x14ac:dyDescent="0.15">
      <c r="A80" s="90"/>
      <c r="B80" s="136" t="s">
        <v>139</v>
      </c>
      <c r="C80" s="103"/>
      <c r="D80" s="103"/>
      <c r="E80" s="104"/>
      <c r="F80" s="133" t="s">
        <v>142</v>
      </c>
      <c r="G80" s="134"/>
      <c r="H80" s="134"/>
      <c r="I80" s="135"/>
      <c r="J80" s="136"/>
      <c r="K80" s="103"/>
      <c r="L80" s="103"/>
      <c r="M80" s="103"/>
      <c r="N80" s="103"/>
      <c r="O80" s="104"/>
      <c r="P80" s="133"/>
      <c r="Q80" s="134"/>
      <c r="R80" s="134"/>
      <c r="S80" s="135"/>
    </row>
    <row r="81" spans="1:19" ht="18" customHeight="1" x14ac:dyDescent="0.15">
      <c r="A81" s="90"/>
      <c r="B81" s="136" t="s">
        <v>132</v>
      </c>
      <c r="C81" s="103"/>
      <c r="D81" s="103"/>
      <c r="E81" s="104"/>
      <c r="F81" s="133" t="s">
        <v>141</v>
      </c>
      <c r="G81" s="134"/>
      <c r="H81" s="134"/>
      <c r="I81" s="135"/>
      <c r="J81" s="136"/>
      <c r="K81" s="103"/>
      <c r="L81" s="103"/>
      <c r="M81" s="103"/>
      <c r="N81" s="103"/>
      <c r="O81" s="104"/>
      <c r="P81" s="133"/>
      <c r="Q81" s="134"/>
      <c r="R81" s="134"/>
      <c r="S81" s="135"/>
    </row>
    <row r="82" spans="1:19" ht="18" customHeight="1" x14ac:dyDescent="0.15">
      <c r="A82" s="90"/>
      <c r="B82" s="136" t="s">
        <v>138</v>
      </c>
      <c r="C82" s="103"/>
      <c r="D82" s="103"/>
      <c r="E82" s="104"/>
      <c r="F82" s="133" t="s">
        <v>142</v>
      </c>
      <c r="G82" s="134"/>
      <c r="H82" s="134"/>
      <c r="I82" s="135"/>
      <c r="J82" s="136"/>
      <c r="K82" s="103"/>
      <c r="L82" s="103"/>
      <c r="M82" s="103"/>
      <c r="N82" s="103"/>
      <c r="O82" s="104"/>
      <c r="P82" s="133"/>
      <c r="Q82" s="134"/>
      <c r="R82" s="134"/>
      <c r="S82" s="135"/>
    </row>
    <row r="83" spans="1:19" ht="18" customHeight="1" x14ac:dyDescent="0.15">
      <c r="A83" s="90"/>
      <c r="B83" s="130" t="s">
        <v>133</v>
      </c>
      <c r="C83" s="131"/>
      <c r="D83" s="131"/>
      <c r="E83" s="132"/>
      <c r="F83" s="133" t="s">
        <v>143</v>
      </c>
      <c r="G83" s="134"/>
      <c r="H83" s="134"/>
      <c r="I83" s="135"/>
      <c r="J83" s="136"/>
      <c r="K83" s="103"/>
      <c r="L83" s="103"/>
      <c r="M83" s="103"/>
      <c r="N83" s="103"/>
      <c r="O83" s="104"/>
      <c r="P83" s="133"/>
      <c r="Q83" s="134"/>
      <c r="R83" s="134"/>
      <c r="S83" s="135"/>
    </row>
    <row r="84" spans="1:19" ht="18" customHeight="1" x14ac:dyDescent="0.15">
      <c r="A84" s="90"/>
      <c r="B84" s="130" t="s">
        <v>134</v>
      </c>
      <c r="C84" s="131"/>
      <c r="D84" s="131"/>
      <c r="E84" s="132"/>
      <c r="F84" s="133" t="s">
        <v>142</v>
      </c>
      <c r="G84" s="134"/>
      <c r="H84" s="134"/>
      <c r="I84" s="135"/>
      <c r="J84" s="136"/>
      <c r="K84" s="103"/>
      <c r="L84" s="103"/>
      <c r="M84" s="103"/>
      <c r="N84" s="103"/>
      <c r="O84" s="104"/>
      <c r="P84" s="133"/>
      <c r="Q84" s="134"/>
      <c r="R84" s="134"/>
      <c r="S84" s="135"/>
    </row>
    <row r="85" spans="1:19" ht="18" customHeight="1" x14ac:dyDescent="0.15">
      <c r="A85" s="90"/>
      <c r="B85" s="137" t="s">
        <v>135</v>
      </c>
      <c r="C85" s="121"/>
      <c r="D85" s="121"/>
      <c r="E85" s="122"/>
      <c r="F85" s="138" t="s">
        <v>142</v>
      </c>
      <c r="G85" s="139"/>
      <c r="H85" s="139"/>
      <c r="I85" s="140"/>
      <c r="J85" s="141"/>
      <c r="K85" s="142"/>
      <c r="L85" s="142"/>
      <c r="M85" s="142"/>
      <c r="N85" s="142"/>
      <c r="O85" s="143"/>
      <c r="P85" s="138"/>
      <c r="Q85" s="139"/>
      <c r="R85" s="139"/>
      <c r="S85" s="140"/>
    </row>
    <row r="86" spans="1:19" ht="18" customHeight="1" x14ac:dyDescent="0.15">
      <c r="A86" s="90"/>
      <c r="B86" s="6"/>
      <c r="C86" s="6"/>
      <c r="D86" s="6"/>
      <c r="E86" s="6"/>
      <c r="F86" s="26"/>
      <c r="G86" s="26"/>
      <c r="H86" s="26"/>
      <c r="I86" s="26"/>
      <c r="J86" s="6"/>
      <c r="K86" s="6"/>
      <c r="L86" s="6"/>
      <c r="M86" s="6"/>
      <c r="N86" s="6"/>
      <c r="O86" s="6"/>
      <c r="P86" s="26"/>
      <c r="Q86" s="26"/>
      <c r="R86" s="26"/>
      <c r="S86" s="26"/>
    </row>
    <row r="87" spans="1:19" ht="18.75" customHeight="1" x14ac:dyDescent="0.15">
      <c r="A87" s="89" t="s">
        <v>119</v>
      </c>
    </row>
    <row r="88" spans="1:19" ht="18.75" customHeight="1" x14ac:dyDescent="0.15">
      <c r="B88" s="123" t="s">
        <v>54</v>
      </c>
      <c r="C88" s="124"/>
      <c r="D88" s="125" t="s">
        <v>55</v>
      </c>
      <c r="E88" s="125"/>
      <c r="F88" s="125"/>
      <c r="G88" s="125"/>
      <c r="H88" s="125"/>
      <c r="I88" s="125"/>
      <c r="J88" s="125"/>
      <c r="K88" s="125"/>
      <c r="L88" s="125"/>
      <c r="M88" s="125"/>
      <c r="N88" s="125"/>
      <c r="O88" s="125"/>
      <c r="P88" s="125"/>
      <c r="Q88" s="125"/>
      <c r="R88" s="125"/>
      <c r="S88" s="126"/>
    </row>
    <row r="89" spans="1:19" ht="97.5" customHeight="1" x14ac:dyDescent="0.15">
      <c r="B89" s="96" t="s">
        <v>61</v>
      </c>
      <c r="C89" s="27" t="s">
        <v>56</v>
      </c>
      <c r="D89" s="117" t="s">
        <v>144</v>
      </c>
      <c r="E89" s="118"/>
      <c r="F89" s="118"/>
      <c r="G89" s="118"/>
      <c r="H89" s="118"/>
      <c r="I89" s="118"/>
      <c r="J89" s="118"/>
      <c r="K89" s="118"/>
      <c r="L89" s="118"/>
      <c r="M89" s="118"/>
      <c r="N89" s="118"/>
      <c r="O89" s="118"/>
      <c r="P89" s="118"/>
      <c r="Q89" s="118"/>
      <c r="R89" s="118"/>
      <c r="S89" s="119"/>
    </row>
    <row r="90" spans="1:19" ht="97.5" customHeight="1" x14ac:dyDescent="0.15">
      <c r="B90" s="97"/>
      <c r="C90" s="28" t="s">
        <v>77</v>
      </c>
      <c r="D90" s="127" t="s">
        <v>145</v>
      </c>
      <c r="E90" s="128"/>
      <c r="F90" s="128"/>
      <c r="G90" s="128"/>
      <c r="H90" s="128"/>
      <c r="I90" s="128"/>
      <c r="J90" s="128"/>
      <c r="K90" s="128"/>
      <c r="L90" s="128"/>
      <c r="M90" s="128"/>
      <c r="N90" s="128"/>
      <c r="O90" s="128"/>
      <c r="P90" s="128"/>
      <c r="Q90" s="128"/>
      <c r="R90" s="128"/>
      <c r="S90" s="129"/>
    </row>
    <row r="91" spans="1:19" ht="118.5" customHeight="1" x14ac:dyDescent="0.15">
      <c r="B91" s="96" t="s">
        <v>62</v>
      </c>
      <c r="C91" s="29" t="s">
        <v>71</v>
      </c>
      <c r="D91" s="111" t="s">
        <v>146</v>
      </c>
      <c r="E91" s="112"/>
      <c r="F91" s="112"/>
      <c r="G91" s="112"/>
      <c r="H91" s="112"/>
      <c r="I91" s="112"/>
      <c r="J91" s="112"/>
      <c r="K91" s="112"/>
      <c r="L91" s="112"/>
      <c r="M91" s="112"/>
      <c r="N91" s="112"/>
      <c r="O91" s="112"/>
      <c r="P91" s="112"/>
      <c r="Q91" s="112"/>
      <c r="R91" s="112"/>
      <c r="S91" s="113"/>
    </row>
    <row r="92" spans="1:19" ht="97.5" customHeight="1" x14ac:dyDescent="0.15">
      <c r="B92" s="98"/>
      <c r="C92" s="30" t="s">
        <v>72</v>
      </c>
      <c r="D92" s="120" t="s">
        <v>147</v>
      </c>
      <c r="E92" s="121"/>
      <c r="F92" s="121"/>
      <c r="G92" s="121"/>
      <c r="H92" s="121"/>
      <c r="I92" s="121"/>
      <c r="J92" s="121"/>
      <c r="K92" s="121"/>
      <c r="L92" s="121"/>
      <c r="M92" s="121"/>
      <c r="N92" s="121"/>
      <c r="O92" s="121"/>
      <c r="P92" s="121"/>
      <c r="Q92" s="121"/>
      <c r="R92" s="121"/>
      <c r="S92" s="122"/>
    </row>
    <row r="93" spans="1:19" ht="97.5" customHeight="1" x14ac:dyDescent="0.15">
      <c r="B93" s="96" t="s">
        <v>63</v>
      </c>
      <c r="C93" s="29" t="s">
        <v>73</v>
      </c>
      <c r="D93" s="111" t="s">
        <v>148</v>
      </c>
      <c r="E93" s="112"/>
      <c r="F93" s="112"/>
      <c r="G93" s="112"/>
      <c r="H93" s="112"/>
      <c r="I93" s="112"/>
      <c r="J93" s="112"/>
      <c r="K93" s="112"/>
      <c r="L93" s="112"/>
      <c r="M93" s="112"/>
      <c r="N93" s="112"/>
      <c r="O93" s="112"/>
      <c r="P93" s="112"/>
      <c r="Q93" s="112"/>
      <c r="R93" s="112"/>
      <c r="S93" s="113"/>
    </row>
    <row r="94" spans="1:19" ht="97.5" customHeight="1" x14ac:dyDescent="0.15">
      <c r="B94" s="98"/>
      <c r="C94" s="31" t="s">
        <v>74</v>
      </c>
      <c r="D94" s="114" t="s">
        <v>149</v>
      </c>
      <c r="E94" s="115"/>
      <c r="F94" s="115"/>
      <c r="G94" s="115"/>
      <c r="H94" s="115"/>
      <c r="I94" s="115"/>
      <c r="J94" s="115"/>
      <c r="K94" s="115"/>
      <c r="L94" s="115"/>
      <c r="M94" s="115"/>
      <c r="N94" s="115"/>
      <c r="O94" s="115"/>
      <c r="P94" s="115"/>
      <c r="Q94" s="115"/>
      <c r="R94" s="115"/>
      <c r="S94" s="116"/>
    </row>
    <row r="95" spans="1:19" ht="97.5" customHeight="1" x14ac:dyDescent="0.15">
      <c r="B95" s="96" t="s">
        <v>78</v>
      </c>
      <c r="C95" s="27" t="s">
        <v>58</v>
      </c>
      <c r="D95" s="117" t="s">
        <v>150</v>
      </c>
      <c r="E95" s="118"/>
      <c r="F95" s="118"/>
      <c r="G95" s="118"/>
      <c r="H95" s="118"/>
      <c r="I95" s="118"/>
      <c r="J95" s="118"/>
      <c r="K95" s="118"/>
      <c r="L95" s="118"/>
      <c r="M95" s="118"/>
      <c r="N95" s="118"/>
      <c r="O95" s="118"/>
      <c r="P95" s="118"/>
      <c r="Q95" s="118"/>
      <c r="R95" s="118"/>
      <c r="S95" s="119"/>
    </row>
    <row r="96" spans="1:19" ht="97.5" customHeight="1" x14ac:dyDescent="0.15">
      <c r="B96" s="98"/>
      <c r="C96" s="30" t="s">
        <v>60</v>
      </c>
      <c r="D96" s="120" t="s">
        <v>151</v>
      </c>
      <c r="E96" s="121"/>
      <c r="F96" s="121"/>
      <c r="G96" s="121"/>
      <c r="H96" s="121"/>
      <c r="I96" s="121"/>
      <c r="J96" s="121"/>
      <c r="K96" s="121"/>
      <c r="L96" s="121"/>
      <c r="M96" s="121"/>
      <c r="N96" s="121"/>
      <c r="O96" s="121"/>
      <c r="P96" s="121"/>
      <c r="Q96" s="121"/>
      <c r="R96" s="121"/>
      <c r="S96" s="122"/>
    </row>
    <row r="97" spans="1:19" ht="243.75" customHeight="1" x14ac:dyDescent="0.15">
      <c r="B97" s="96" t="s">
        <v>79</v>
      </c>
      <c r="C97" s="29" t="s">
        <v>57</v>
      </c>
      <c r="D97" s="99" t="s">
        <v>217</v>
      </c>
      <c r="E97" s="100"/>
      <c r="F97" s="100"/>
      <c r="G97" s="100"/>
      <c r="H97" s="100"/>
      <c r="I97" s="100"/>
      <c r="J97" s="100"/>
      <c r="K97" s="100"/>
      <c r="L97" s="100"/>
      <c r="M97" s="100"/>
      <c r="N97" s="100"/>
      <c r="O97" s="100"/>
      <c r="P97" s="100"/>
      <c r="Q97" s="100"/>
      <c r="R97" s="100"/>
      <c r="S97" s="101"/>
    </row>
    <row r="98" spans="1:19" ht="129" customHeight="1" x14ac:dyDescent="0.15">
      <c r="B98" s="97"/>
      <c r="C98" s="32" t="s">
        <v>75</v>
      </c>
      <c r="D98" s="102" t="s">
        <v>176</v>
      </c>
      <c r="E98" s="103"/>
      <c r="F98" s="103"/>
      <c r="G98" s="103"/>
      <c r="H98" s="103"/>
      <c r="I98" s="103"/>
      <c r="J98" s="103"/>
      <c r="K98" s="103"/>
      <c r="L98" s="103"/>
      <c r="M98" s="103"/>
      <c r="N98" s="103"/>
      <c r="O98" s="103"/>
      <c r="P98" s="103"/>
      <c r="Q98" s="103"/>
      <c r="R98" s="103"/>
      <c r="S98" s="104"/>
    </row>
    <row r="99" spans="1:19" ht="111" customHeight="1" x14ac:dyDescent="0.15">
      <c r="B99" s="98"/>
      <c r="C99" s="31" t="s">
        <v>76</v>
      </c>
      <c r="D99" s="105" t="s">
        <v>152</v>
      </c>
      <c r="E99" s="106"/>
      <c r="F99" s="106"/>
      <c r="G99" s="106"/>
      <c r="H99" s="106"/>
      <c r="I99" s="106"/>
      <c r="J99" s="106"/>
      <c r="K99" s="106"/>
      <c r="L99" s="106"/>
      <c r="M99" s="106"/>
      <c r="N99" s="106"/>
      <c r="O99" s="106"/>
      <c r="P99" s="106"/>
      <c r="Q99" s="106"/>
      <c r="R99" s="106"/>
      <c r="S99" s="107"/>
    </row>
    <row r="100" spans="1:19" ht="6" customHeight="1" x14ac:dyDescent="0.15"/>
    <row r="101" spans="1:19" ht="18.75" customHeight="1" x14ac:dyDescent="0.15">
      <c r="A101" s="89" t="s">
        <v>120</v>
      </c>
    </row>
    <row r="102" spans="1:19" ht="81.75" customHeight="1" x14ac:dyDescent="0.15">
      <c r="B102" s="108" t="s">
        <v>153</v>
      </c>
      <c r="C102" s="109"/>
      <c r="D102" s="109"/>
      <c r="E102" s="109"/>
      <c r="F102" s="109"/>
      <c r="G102" s="109"/>
      <c r="H102" s="109"/>
      <c r="I102" s="109"/>
      <c r="J102" s="109"/>
      <c r="K102" s="109"/>
      <c r="L102" s="109"/>
      <c r="M102" s="109"/>
      <c r="N102" s="109"/>
      <c r="O102" s="109"/>
      <c r="P102" s="109"/>
      <c r="Q102" s="109"/>
      <c r="R102" s="109"/>
      <c r="S102" s="110"/>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3"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G25:I31 Q25:S31 P69:S75 Q36:S42 G36:I42 Q47:S53 G47:I53 Q58:S64 F69:I75 G58:I64">
      <formula1>"○"</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view="pageBreakPreview" zoomScale="85" zoomScaleNormal="100" zoomScaleSheetLayoutView="85" workbookViewId="0">
      <selection activeCell="X79" sqref="X79"/>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65" t="s">
        <v>155</v>
      </c>
      <c r="S1" s="165"/>
      <c r="T1" s="2" t="s">
        <v>109</v>
      </c>
    </row>
    <row r="2" spans="1:22" ht="18.75" customHeight="1" x14ac:dyDescent="0.15">
      <c r="B2" s="33" t="s">
        <v>108</v>
      </c>
      <c r="C2" s="144" t="s">
        <v>126</v>
      </c>
      <c r="D2" s="125"/>
      <c r="E2" s="125"/>
      <c r="F2" s="125"/>
      <c r="G2" s="125"/>
      <c r="H2" s="125"/>
      <c r="I2" s="126"/>
      <c r="J2" s="34"/>
      <c r="K2" s="6"/>
      <c r="L2" s="6"/>
      <c r="M2" s="6"/>
      <c r="N2" s="6"/>
      <c r="O2" s="6"/>
      <c r="P2" s="6"/>
      <c r="Q2" s="6"/>
      <c r="R2" s="6"/>
      <c r="S2" s="6"/>
    </row>
    <row r="3" spans="1:22" ht="18.75" customHeight="1" x14ac:dyDescent="0.15">
      <c r="B3" s="33" t="s">
        <v>102</v>
      </c>
      <c r="C3" s="166" t="s">
        <v>127</v>
      </c>
      <c r="D3" s="167"/>
      <c r="E3" s="167"/>
      <c r="F3" s="167"/>
      <c r="G3" s="167"/>
      <c r="H3" s="167"/>
      <c r="I3" s="168"/>
      <c r="J3" s="34"/>
      <c r="K3" s="6"/>
      <c r="L3" s="6"/>
      <c r="M3" s="6"/>
      <c r="N3" s="6"/>
      <c r="O3" s="6"/>
      <c r="P3" s="6"/>
      <c r="Q3" s="6"/>
      <c r="R3" s="6"/>
      <c r="S3" s="6"/>
    </row>
    <row r="4" spans="1:22" ht="15" customHeight="1" x14ac:dyDescent="0.15">
      <c r="K4" s="34"/>
      <c r="L4" s="35"/>
      <c r="M4" s="35"/>
      <c r="N4" s="35"/>
      <c r="O4" s="35"/>
      <c r="P4" s="35"/>
      <c r="Q4" s="35"/>
      <c r="R4" s="35"/>
      <c r="S4" s="35"/>
    </row>
    <row r="5" spans="1:22" ht="18" customHeight="1" x14ac:dyDescent="0.15">
      <c r="A5" s="169" t="s">
        <v>38</v>
      </c>
      <c r="B5" s="169"/>
      <c r="C5" s="169"/>
      <c r="D5" s="169"/>
      <c r="E5" s="169"/>
      <c r="F5" s="169"/>
      <c r="G5" s="169"/>
      <c r="H5" s="169"/>
      <c r="I5" s="169"/>
      <c r="J5" s="169"/>
      <c r="K5" s="169"/>
      <c r="L5" s="169"/>
      <c r="M5" s="169"/>
      <c r="N5" s="169"/>
      <c r="O5" s="169"/>
      <c r="P5" s="169"/>
      <c r="Q5" s="169"/>
      <c r="R5" s="169"/>
      <c r="S5" s="169"/>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6" t="s">
        <v>107</v>
      </c>
      <c r="K7" s="170" t="s">
        <v>128</v>
      </c>
      <c r="L7" s="171"/>
      <c r="M7" s="171"/>
      <c r="N7" s="171"/>
      <c r="O7" s="171"/>
      <c r="P7" s="171"/>
      <c r="Q7" s="171"/>
      <c r="R7" s="171"/>
      <c r="S7" s="172"/>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73" t="s">
        <v>206</v>
      </c>
      <c r="C9" s="174"/>
      <c r="D9" s="174"/>
      <c r="E9" s="174"/>
      <c r="F9" s="174"/>
      <c r="G9" s="174"/>
      <c r="H9" s="174"/>
      <c r="I9" s="174"/>
      <c r="J9" s="174"/>
      <c r="K9" s="174"/>
      <c r="L9" s="174"/>
      <c r="M9" s="174"/>
      <c r="N9" s="174"/>
      <c r="O9" s="174"/>
      <c r="P9" s="174"/>
      <c r="Q9" s="174"/>
      <c r="R9" s="174"/>
      <c r="S9" s="175"/>
    </row>
    <row r="10" spans="1:22" ht="18" customHeight="1" x14ac:dyDescent="0.15">
      <c r="B10" s="176"/>
      <c r="C10" s="177"/>
      <c r="D10" s="177"/>
      <c r="E10" s="177"/>
      <c r="F10" s="177"/>
      <c r="G10" s="177"/>
      <c r="H10" s="177"/>
      <c r="I10" s="177"/>
      <c r="J10" s="177"/>
      <c r="K10" s="177"/>
      <c r="L10" s="177"/>
      <c r="M10" s="177"/>
      <c r="N10" s="177"/>
      <c r="O10" s="177"/>
      <c r="P10" s="177"/>
      <c r="Q10" s="177"/>
      <c r="R10" s="177"/>
      <c r="S10" s="178"/>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111</v>
      </c>
      <c r="B12" s="3"/>
      <c r="C12" s="3"/>
      <c r="D12" s="34"/>
      <c r="E12" s="34"/>
      <c r="F12" s="34"/>
      <c r="G12" s="34"/>
      <c r="H12" s="34"/>
      <c r="I12" s="34"/>
      <c r="J12" s="34"/>
      <c r="K12" s="37"/>
      <c r="L12" s="37"/>
      <c r="M12" s="37"/>
      <c r="N12" s="37"/>
      <c r="O12" s="37"/>
      <c r="P12" s="37"/>
      <c r="Q12" s="37"/>
      <c r="R12" s="37"/>
      <c r="S12" s="37"/>
    </row>
    <row r="13" spans="1:22" ht="18" customHeight="1" x14ac:dyDescent="0.15">
      <c r="B13" s="153" t="s">
        <v>129</v>
      </c>
      <c r="C13" s="154"/>
      <c r="D13" s="154"/>
      <c r="E13" s="154"/>
      <c r="F13" s="154"/>
      <c r="G13" s="154"/>
      <c r="H13" s="154"/>
      <c r="I13" s="154"/>
      <c r="J13" s="154"/>
      <c r="K13" s="154"/>
      <c r="L13" s="154"/>
      <c r="M13" s="154"/>
      <c r="N13" s="154"/>
      <c r="O13" s="154"/>
      <c r="P13" s="154"/>
      <c r="Q13" s="154"/>
      <c r="R13" s="154"/>
      <c r="S13" s="155"/>
      <c r="V13" s="1" t="s">
        <v>103</v>
      </c>
    </row>
    <row r="14" spans="1:22" ht="18" customHeight="1" x14ac:dyDescent="0.15">
      <c r="B14" s="156"/>
      <c r="C14" s="157"/>
      <c r="D14" s="157"/>
      <c r="E14" s="157"/>
      <c r="F14" s="157"/>
      <c r="G14" s="157"/>
      <c r="H14" s="157"/>
      <c r="I14" s="157"/>
      <c r="J14" s="157"/>
      <c r="K14" s="157"/>
      <c r="L14" s="157"/>
      <c r="M14" s="157"/>
      <c r="N14" s="157"/>
      <c r="O14" s="157"/>
      <c r="P14" s="157"/>
      <c r="Q14" s="157"/>
      <c r="R14" s="157"/>
      <c r="S14" s="158"/>
      <c r="V14" s="1" t="s">
        <v>110</v>
      </c>
    </row>
    <row r="15" spans="1:22" ht="18" customHeight="1" x14ac:dyDescent="0.15">
      <c r="B15" s="156"/>
      <c r="C15" s="157"/>
      <c r="D15" s="157"/>
      <c r="E15" s="157"/>
      <c r="F15" s="157"/>
      <c r="G15" s="157"/>
      <c r="H15" s="157"/>
      <c r="I15" s="157"/>
      <c r="J15" s="157"/>
      <c r="K15" s="157"/>
      <c r="L15" s="157"/>
      <c r="M15" s="157"/>
      <c r="N15" s="157"/>
      <c r="O15" s="157"/>
      <c r="P15" s="157"/>
      <c r="Q15" s="157"/>
      <c r="R15" s="157"/>
      <c r="S15" s="158"/>
      <c r="V15" s="1" t="s">
        <v>123</v>
      </c>
    </row>
    <row r="16" spans="1:22" ht="18" customHeight="1" x14ac:dyDescent="0.15">
      <c r="B16" s="156"/>
      <c r="C16" s="157"/>
      <c r="D16" s="157"/>
      <c r="E16" s="157"/>
      <c r="F16" s="157"/>
      <c r="G16" s="157"/>
      <c r="H16" s="157"/>
      <c r="I16" s="157"/>
      <c r="J16" s="157"/>
      <c r="K16" s="157"/>
      <c r="L16" s="157"/>
      <c r="M16" s="157"/>
      <c r="N16" s="157"/>
      <c r="O16" s="157"/>
      <c r="P16" s="157"/>
      <c r="Q16" s="157"/>
      <c r="R16" s="157"/>
      <c r="S16" s="158"/>
      <c r="V16" s="1" t="s">
        <v>125</v>
      </c>
    </row>
    <row r="17" spans="1:19" ht="18" customHeight="1" x14ac:dyDescent="0.15">
      <c r="B17" s="156"/>
      <c r="C17" s="157"/>
      <c r="D17" s="157"/>
      <c r="E17" s="157"/>
      <c r="F17" s="157"/>
      <c r="G17" s="157"/>
      <c r="H17" s="157"/>
      <c r="I17" s="157"/>
      <c r="J17" s="157"/>
      <c r="K17" s="157"/>
      <c r="L17" s="157"/>
      <c r="M17" s="157"/>
      <c r="N17" s="157"/>
      <c r="O17" s="157"/>
      <c r="P17" s="157"/>
      <c r="Q17" s="157"/>
      <c r="R17" s="157"/>
      <c r="S17" s="158"/>
    </row>
    <row r="18" spans="1:19" ht="18" customHeight="1" x14ac:dyDescent="0.15">
      <c r="B18" s="159"/>
      <c r="C18" s="160"/>
      <c r="D18" s="160"/>
      <c r="E18" s="160"/>
      <c r="F18" s="160"/>
      <c r="G18" s="160"/>
      <c r="H18" s="160"/>
      <c r="I18" s="160"/>
      <c r="J18" s="160"/>
      <c r="K18" s="160"/>
      <c r="L18" s="160"/>
      <c r="M18" s="160"/>
      <c r="N18" s="160"/>
      <c r="O18" s="160"/>
      <c r="P18" s="160"/>
      <c r="Q18" s="160"/>
      <c r="R18" s="160"/>
      <c r="S18" s="161"/>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112</v>
      </c>
      <c r="C20" s="144">
        <v>4</v>
      </c>
      <c r="D20" s="126"/>
      <c r="E20" s="38" t="s">
        <v>95</v>
      </c>
      <c r="G20" s="10"/>
      <c r="H20" s="3"/>
      <c r="I20" s="3"/>
      <c r="J20" s="34" t="s">
        <v>121</v>
      </c>
      <c r="K20" s="162" t="s">
        <v>110</v>
      </c>
      <c r="L20" s="163"/>
      <c r="M20" s="163"/>
      <c r="N20" s="163"/>
      <c r="O20" s="163"/>
      <c r="P20" s="163"/>
      <c r="Q20" s="163"/>
      <c r="R20" s="163"/>
      <c r="S20" s="164"/>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52" t="s">
        <v>113</v>
      </c>
      <c r="B22" s="152"/>
      <c r="C22" s="152"/>
      <c r="D22" s="152"/>
      <c r="E22" s="152"/>
      <c r="F22" s="152"/>
      <c r="G22" s="152"/>
      <c r="H22" s="152"/>
      <c r="I22" s="152"/>
      <c r="J22" s="152"/>
      <c r="K22" s="152"/>
      <c r="L22" s="152"/>
      <c r="M22" s="152"/>
      <c r="N22" s="152"/>
      <c r="O22" s="152"/>
      <c r="P22" s="152"/>
      <c r="Q22" s="152"/>
      <c r="R22" s="152"/>
      <c r="S22" s="152"/>
    </row>
    <row r="23" spans="1:19" ht="18" customHeight="1" x14ac:dyDescent="0.15">
      <c r="A23" s="152"/>
      <c r="B23" s="152"/>
      <c r="C23" s="152"/>
      <c r="D23" s="152"/>
      <c r="E23" s="152"/>
      <c r="F23" s="152"/>
      <c r="G23" s="152"/>
      <c r="H23" s="152"/>
      <c r="I23" s="152"/>
      <c r="J23" s="152"/>
      <c r="K23" s="152"/>
      <c r="L23" s="152"/>
      <c r="M23" s="152"/>
      <c r="N23" s="152"/>
      <c r="O23" s="152"/>
      <c r="P23" s="152"/>
      <c r="Q23" s="152"/>
      <c r="R23" s="152"/>
      <c r="S23" s="152"/>
    </row>
    <row r="24" spans="1:19" ht="18" customHeight="1" x14ac:dyDescent="0.15">
      <c r="B24" s="144" t="s">
        <v>53</v>
      </c>
      <c r="C24" s="125"/>
      <c r="D24" s="125"/>
      <c r="E24" s="126"/>
      <c r="F24" s="59" t="s">
        <v>80</v>
      </c>
      <c r="G24" s="58" t="s">
        <v>84</v>
      </c>
      <c r="H24" s="21" t="s">
        <v>56</v>
      </c>
      <c r="I24" s="21" t="s">
        <v>59</v>
      </c>
      <c r="J24" s="144" t="s">
        <v>53</v>
      </c>
      <c r="K24" s="125"/>
      <c r="L24" s="125"/>
      <c r="M24" s="125"/>
      <c r="N24" s="125"/>
      <c r="O24" s="126"/>
      <c r="P24" s="59" t="s">
        <v>80</v>
      </c>
      <c r="Q24" s="58" t="s">
        <v>84</v>
      </c>
      <c r="R24" s="21" t="s">
        <v>56</v>
      </c>
      <c r="S24" s="21" t="s">
        <v>59</v>
      </c>
    </row>
    <row r="25" spans="1:19" ht="18" customHeight="1" x14ac:dyDescent="0.15">
      <c r="B25" s="148" t="s">
        <v>131</v>
      </c>
      <c r="C25" s="100"/>
      <c r="D25" s="100"/>
      <c r="E25" s="101"/>
      <c r="F25" s="22">
        <v>1</v>
      </c>
      <c r="G25" s="22" t="s">
        <v>136</v>
      </c>
      <c r="H25" s="22" t="s">
        <v>136</v>
      </c>
      <c r="I25" s="22" t="s">
        <v>136</v>
      </c>
      <c r="J25" s="148"/>
      <c r="K25" s="100"/>
      <c r="L25" s="100"/>
      <c r="M25" s="100"/>
      <c r="N25" s="100"/>
      <c r="O25" s="101"/>
      <c r="P25" s="22"/>
      <c r="Q25" s="22"/>
      <c r="R25" s="22"/>
      <c r="S25" s="22"/>
    </row>
    <row r="26" spans="1:19" ht="18" customHeight="1" x14ac:dyDescent="0.15">
      <c r="B26" s="136" t="s">
        <v>132</v>
      </c>
      <c r="C26" s="103"/>
      <c r="D26" s="103"/>
      <c r="E26" s="104"/>
      <c r="F26" s="23">
        <v>1</v>
      </c>
      <c r="G26" s="23" t="s">
        <v>136</v>
      </c>
      <c r="H26" s="23" t="s">
        <v>136</v>
      </c>
      <c r="I26" s="23"/>
      <c r="J26" s="136"/>
      <c r="K26" s="103"/>
      <c r="L26" s="103"/>
      <c r="M26" s="103"/>
      <c r="N26" s="103"/>
      <c r="O26" s="104"/>
      <c r="P26" s="23"/>
      <c r="Q26" s="23"/>
      <c r="R26" s="23"/>
      <c r="S26" s="23"/>
    </row>
    <row r="27" spans="1:19" ht="18" customHeight="1" x14ac:dyDescent="0.15">
      <c r="B27" s="136"/>
      <c r="C27" s="103"/>
      <c r="D27" s="103"/>
      <c r="E27" s="104"/>
      <c r="F27" s="23"/>
      <c r="G27" s="23"/>
      <c r="H27" s="23"/>
      <c r="I27" s="23"/>
      <c r="J27" s="136"/>
      <c r="K27" s="103"/>
      <c r="L27" s="103"/>
      <c r="M27" s="103"/>
      <c r="N27" s="103"/>
      <c r="O27" s="104"/>
      <c r="P27" s="23"/>
      <c r="Q27" s="23"/>
      <c r="R27" s="23"/>
      <c r="S27" s="23"/>
    </row>
    <row r="28" spans="1:19" ht="18" customHeight="1" x14ac:dyDescent="0.15">
      <c r="B28" s="136"/>
      <c r="C28" s="103"/>
      <c r="D28" s="103"/>
      <c r="E28" s="104"/>
      <c r="F28" s="23"/>
      <c r="G28" s="23"/>
      <c r="H28" s="23"/>
      <c r="I28" s="23"/>
      <c r="J28" s="136"/>
      <c r="K28" s="103"/>
      <c r="L28" s="103"/>
      <c r="M28" s="103"/>
      <c r="N28" s="103"/>
      <c r="O28" s="104"/>
      <c r="P28" s="23"/>
      <c r="Q28" s="23"/>
      <c r="R28" s="23"/>
      <c r="S28" s="23"/>
    </row>
    <row r="29" spans="1:19" ht="18" customHeight="1" x14ac:dyDescent="0.15">
      <c r="B29" s="136"/>
      <c r="C29" s="103"/>
      <c r="D29" s="103"/>
      <c r="E29" s="104"/>
      <c r="F29" s="23"/>
      <c r="G29" s="23"/>
      <c r="H29" s="23"/>
      <c r="I29" s="23"/>
      <c r="J29" s="136"/>
      <c r="K29" s="103"/>
      <c r="L29" s="103"/>
      <c r="M29" s="103"/>
      <c r="N29" s="103"/>
      <c r="O29" s="104"/>
      <c r="P29" s="23"/>
      <c r="Q29" s="23"/>
      <c r="R29" s="23"/>
      <c r="S29" s="23"/>
    </row>
    <row r="30" spans="1:19" ht="18" customHeight="1" x14ac:dyDescent="0.15">
      <c r="A30" s="3"/>
      <c r="B30" s="136"/>
      <c r="C30" s="103"/>
      <c r="D30" s="103"/>
      <c r="E30" s="104"/>
      <c r="F30" s="23"/>
      <c r="G30" s="23"/>
      <c r="H30" s="23"/>
      <c r="I30" s="23"/>
      <c r="J30" s="136"/>
      <c r="K30" s="103"/>
      <c r="L30" s="103"/>
      <c r="M30" s="103"/>
      <c r="N30" s="103"/>
      <c r="O30" s="104"/>
      <c r="P30" s="23"/>
      <c r="Q30" s="23"/>
      <c r="R30" s="23"/>
      <c r="S30" s="23"/>
    </row>
    <row r="31" spans="1:19" ht="18" customHeight="1" x14ac:dyDescent="0.15">
      <c r="A31" s="3"/>
      <c r="B31" s="141"/>
      <c r="C31" s="142"/>
      <c r="D31" s="142"/>
      <c r="E31" s="143"/>
      <c r="F31" s="24"/>
      <c r="G31" s="24"/>
      <c r="H31" s="25"/>
      <c r="I31" s="25"/>
      <c r="J31" s="141"/>
      <c r="K31" s="142"/>
      <c r="L31" s="142"/>
      <c r="M31" s="142"/>
      <c r="N31" s="142"/>
      <c r="O31" s="143"/>
      <c r="P31" s="24"/>
      <c r="Q31" s="24"/>
      <c r="R31" s="25"/>
      <c r="S31" s="25"/>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52" t="s">
        <v>114</v>
      </c>
      <c r="B33" s="152"/>
      <c r="C33" s="152"/>
      <c r="D33" s="152"/>
      <c r="E33" s="152"/>
      <c r="F33" s="152"/>
      <c r="G33" s="152"/>
      <c r="H33" s="152"/>
      <c r="I33" s="152"/>
      <c r="J33" s="152"/>
      <c r="K33" s="152"/>
      <c r="L33" s="152"/>
      <c r="M33" s="152"/>
      <c r="N33" s="152"/>
      <c r="O33" s="152"/>
      <c r="P33" s="152"/>
      <c r="Q33" s="152"/>
      <c r="R33" s="152"/>
      <c r="S33" s="152"/>
    </row>
    <row r="34" spans="1:19" ht="18" customHeight="1" x14ac:dyDescent="0.15">
      <c r="A34" s="152"/>
      <c r="B34" s="152"/>
      <c r="C34" s="152"/>
      <c r="D34" s="152"/>
      <c r="E34" s="152"/>
      <c r="F34" s="152"/>
      <c r="G34" s="152"/>
      <c r="H34" s="152"/>
      <c r="I34" s="152"/>
      <c r="J34" s="152"/>
      <c r="K34" s="152"/>
      <c r="L34" s="152"/>
      <c r="M34" s="152"/>
      <c r="N34" s="152"/>
      <c r="O34" s="152"/>
      <c r="P34" s="152"/>
      <c r="Q34" s="152"/>
      <c r="R34" s="152"/>
      <c r="S34" s="152"/>
    </row>
    <row r="35" spans="1:19" ht="18" customHeight="1" x14ac:dyDescent="0.15">
      <c r="B35" s="144" t="s">
        <v>53</v>
      </c>
      <c r="C35" s="125"/>
      <c r="D35" s="125"/>
      <c r="E35" s="126"/>
      <c r="F35" s="59" t="s">
        <v>80</v>
      </c>
      <c r="G35" s="58" t="s">
        <v>84</v>
      </c>
      <c r="H35" s="21" t="s">
        <v>71</v>
      </c>
      <c r="I35" s="21" t="s">
        <v>72</v>
      </c>
      <c r="J35" s="144" t="s">
        <v>53</v>
      </c>
      <c r="K35" s="125"/>
      <c r="L35" s="125"/>
      <c r="M35" s="125"/>
      <c r="N35" s="125"/>
      <c r="O35" s="126"/>
      <c r="P35" s="59" t="s">
        <v>80</v>
      </c>
      <c r="Q35" s="58" t="s">
        <v>84</v>
      </c>
      <c r="R35" s="21" t="s">
        <v>71</v>
      </c>
      <c r="S35" s="21" t="s">
        <v>72</v>
      </c>
    </row>
    <row r="36" spans="1:19" ht="18" customHeight="1" x14ac:dyDescent="0.15">
      <c r="B36" s="148" t="s">
        <v>131</v>
      </c>
      <c r="C36" s="100"/>
      <c r="D36" s="100"/>
      <c r="E36" s="101"/>
      <c r="F36" s="22">
        <v>1</v>
      </c>
      <c r="G36" s="22" t="s">
        <v>136</v>
      </c>
      <c r="H36" s="22" t="s">
        <v>136</v>
      </c>
      <c r="I36" s="22" t="s">
        <v>136</v>
      </c>
      <c r="J36" s="148"/>
      <c r="K36" s="100"/>
      <c r="L36" s="100"/>
      <c r="M36" s="100"/>
      <c r="N36" s="100"/>
      <c r="O36" s="101"/>
      <c r="P36" s="22"/>
      <c r="Q36" s="22"/>
      <c r="R36" s="22"/>
      <c r="S36" s="22"/>
    </row>
    <row r="37" spans="1:19" ht="18" customHeight="1" x14ac:dyDescent="0.15">
      <c r="B37" s="136" t="s">
        <v>132</v>
      </c>
      <c r="C37" s="103"/>
      <c r="D37" s="103"/>
      <c r="E37" s="104"/>
      <c r="F37" s="23">
        <v>1</v>
      </c>
      <c r="G37" s="23" t="s">
        <v>136</v>
      </c>
      <c r="H37" s="23" t="s">
        <v>136</v>
      </c>
      <c r="I37" s="23"/>
      <c r="J37" s="136"/>
      <c r="K37" s="103"/>
      <c r="L37" s="103"/>
      <c r="M37" s="103"/>
      <c r="N37" s="103"/>
      <c r="O37" s="104"/>
      <c r="P37" s="23"/>
      <c r="Q37" s="23"/>
      <c r="R37" s="23"/>
      <c r="S37" s="23"/>
    </row>
    <row r="38" spans="1:19" ht="18" customHeight="1" x14ac:dyDescent="0.15">
      <c r="B38" s="136"/>
      <c r="C38" s="103"/>
      <c r="D38" s="103"/>
      <c r="E38" s="104"/>
      <c r="F38" s="23"/>
      <c r="G38" s="23"/>
      <c r="H38" s="23"/>
      <c r="I38" s="23"/>
      <c r="J38" s="136"/>
      <c r="K38" s="103"/>
      <c r="L38" s="103"/>
      <c r="M38" s="103"/>
      <c r="N38" s="103"/>
      <c r="O38" s="104"/>
      <c r="P38" s="23"/>
      <c r="Q38" s="23"/>
      <c r="R38" s="23"/>
      <c r="S38" s="23"/>
    </row>
    <row r="39" spans="1:19" ht="18" customHeight="1" x14ac:dyDescent="0.15">
      <c r="B39" s="136"/>
      <c r="C39" s="103"/>
      <c r="D39" s="103"/>
      <c r="E39" s="104"/>
      <c r="F39" s="23"/>
      <c r="G39" s="23"/>
      <c r="H39" s="23"/>
      <c r="I39" s="23"/>
      <c r="J39" s="136"/>
      <c r="K39" s="103"/>
      <c r="L39" s="103"/>
      <c r="M39" s="103"/>
      <c r="N39" s="103"/>
      <c r="O39" s="104"/>
      <c r="P39" s="23"/>
      <c r="Q39" s="23"/>
      <c r="R39" s="23"/>
      <c r="S39" s="23"/>
    </row>
    <row r="40" spans="1:19" ht="18" customHeight="1" x14ac:dyDescent="0.15">
      <c r="B40" s="136"/>
      <c r="C40" s="103"/>
      <c r="D40" s="103"/>
      <c r="E40" s="104"/>
      <c r="F40" s="23"/>
      <c r="G40" s="23"/>
      <c r="H40" s="23"/>
      <c r="I40" s="23"/>
      <c r="J40" s="136"/>
      <c r="K40" s="103"/>
      <c r="L40" s="103"/>
      <c r="M40" s="103"/>
      <c r="N40" s="103"/>
      <c r="O40" s="104"/>
      <c r="P40" s="23"/>
      <c r="Q40" s="23"/>
      <c r="R40" s="23"/>
      <c r="S40" s="23"/>
    </row>
    <row r="41" spans="1:19" ht="18" customHeight="1" x14ac:dyDescent="0.15">
      <c r="B41" s="136"/>
      <c r="C41" s="103"/>
      <c r="D41" s="103"/>
      <c r="E41" s="104"/>
      <c r="F41" s="23"/>
      <c r="G41" s="23"/>
      <c r="H41" s="23"/>
      <c r="I41" s="23"/>
      <c r="J41" s="136"/>
      <c r="K41" s="103"/>
      <c r="L41" s="103"/>
      <c r="M41" s="103"/>
      <c r="N41" s="103"/>
      <c r="O41" s="104"/>
      <c r="P41" s="23"/>
      <c r="Q41" s="23"/>
      <c r="R41" s="23"/>
      <c r="S41" s="23"/>
    </row>
    <row r="42" spans="1:19" ht="18" customHeight="1" x14ac:dyDescent="0.15">
      <c r="B42" s="141"/>
      <c r="C42" s="142"/>
      <c r="D42" s="142"/>
      <c r="E42" s="143"/>
      <c r="F42" s="24"/>
      <c r="G42" s="24"/>
      <c r="H42" s="25"/>
      <c r="I42" s="25"/>
      <c r="J42" s="141"/>
      <c r="K42" s="142"/>
      <c r="L42" s="142"/>
      <c r="M42" s="142"/>
      <c r="N42" s="142"/>
      <c r="O42" s="143"/>
      <c r="P42" s="24"/>
      <c r="Q42" s="24"/>
      <c r="R42" s="25"/>
      <c r="S42" s="25"/>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52" t="s">
        <v>115</v>
      </c>
      <c r="B44" s="152"/>
      <c r="C44" s="152"/>
      <c r="D44" s="152"/>
      <c r="E44" s="152"/>
      <c r="F44" s="152"/>
      <c r="G44" s="152"/>
      <c r="H44" s="152"/>
      <c r="I44" s="152"/>
      <c r="J44" s="152"/>
      <c r="K44" s="152"/>
      <c r="L44" s="152"/>
      <c r="M44" s="152"/>
      <c r="N44" s="152"/>
      <c r="O44" s="152"/>
      <c r="P44" s="152"/>
      <c r="Q44" s="152"/>
      <c r="R44" s="152"/>
      <c r="S44" s="152"/>
    </row>
    <row r="45" spans="1:19" ht="18" customHeight="1" x14ac:dyDescent="0.15">
      <c r="A45" s="152"/>
      <c r="B45" s="152"/>
      <c r="C45" s="152"/>
      <c r="D45" s="152"/>
      <c r="E45" s="152"/>
      <c r="F45" s="152"/>
      <c r="G45" s="152"/>
      <c r="H45" s="152"/>
      <c r="I45" s="152"/>
      <c r="J45" s="152"/>
      <c r="K45" s="152"/>
      <c r="L45" s="152"/>
      <c r="M45" s="152"/>
      <c r="N45" s="152"/>
      <c r="O45" s="152"/>
      <c r="P45" s="152"/>
      <c r="Q45" s="152"/>
      <c r="R45" s="152"/>
      <c r="S45" s="152"/>
    </row>
    <row r="46" spans="1:19" ht="18" customHeight="1" x14ac:dyDescent="0.15">
      <c r="B46" s="144" t="s">
        <v>53</v>
      </c>
      <c r="C46" s="125"/>
      <c r="D46" s="125"/>
      <c r="E46" s="126"/>
      <c r="F46" s="59" t="s">
        <v>80</v>
      </c>
      <c r="G46" s="58" t="s">
        <v>84</v>
      </c>
      <c r="H46" s="21" t="s">
        <v>73</v>
      </c>
      <c r="I46" s="21" t="s">
        <v>74</v>
      </c>
      <c r="J46" s="144" t="s">
        <v>53</v>
      </c>
      <c r="K46" s="125"/>
      <c r="L46" s="125"/>
      <c r="M46" s="125"/>
      <c r="N46" s="125"/>
      <c r="O46" s="126"/>
      <c r="P46" s="59" t="s">
        <v>80</v>
      </c>
      <c r="Q46" s="58" t="s">
        <v>84</v>
      </c>
      <c r="R46" s="21" t="s">
        <v>73</v>
      </c>
      <c r="S46" s="21" t="s">
        <v>74</v>
      </c>
    </row>
    <row r="47" spans="1:19" ht="18" customHeight="1" x14ac:dyDescent="0.15">
      <c r="A47" s="3"/>
      <c r="B47" s="148" t="s">
        <v>131</v>
      </c>
      <c r="C47" s="100"/>
      <c r="D47" s="100"/>
      <c r="E47" s="101"/>
      <c r="F47" s="22">
        <v>1</v>
      </c>
      <c r="G47" s="22" t="s">
        <v>136</v>
      </c>
      <c r="H47" s="22" t="s">
        <v>136</v>
      </c>
      <c r="I47" s="22" t="s">
        <v>136</v>
      </c>
      <c r="J47" s="148"/>
      <c r="K47" s="100"/>
      <c r="L47" s="100"/>
      <c r="M47" s="100"/>
      <c r="N47" s="100"/>
      <c r="O47" s="101"/>
      <c r="P47" s="22"/>
      <c r="Q47" s="22"/>
      <c r="R47" s="22"/>
      <c r="S47" s="22"/>
    </row>
    <row r="48" spans="1:19" ht="18" customHeight="1" x14ac:dyDescent="0.15">
      <c r="A48" s="3"/>
      <c r="B48" s="136" t="s">
        <v>132</v>
      </c>
      <c r="C48" s="103"/>
      <c r="D48" s="103"/>
      <c r="E48" s="104"/>
      <c r="F48" s="23">
        <v>1</v>
      </c>
      <c r="G48" s="23" t="s">
        <v>136</v>
      </c>
      <c r="H48" s="23"/>
      <c r="I48" s="23" t="s">
        <v>136</v>
      </c>
      <c r="J48" s="136"/>
      <c r="K48" s="103"/>
      <c r="L48" s="103"/>
      <c r="M48" s="103"/>
      <c r="N48" s="103"/>
      <c r="O48" s="104"/>
      <c r="P48" s="23"/>
      <c r="Q48" s="23"/>
      <c r="R48" s="23"/>
      <c r="S48" s="23"/>
    </row>
    <row r="49" spans="1:19" ht="18" customHeight="1" x14ac:dyDescent="0.15">
      <c r="A49" s="3"/>
      <c r="B49" s="136"/>
      <c r="C49" s="103"/>
      <c r="D49" s="103"/>
      <c r="E49" s="104"/>
      <c r="F49" s="23"/>
      <c r="G49" s="23"/>
      <c r="H49" s="23"/>
      <c r="I49" s="23"/>
      <c r="J49" s="136"/>
      <c r="K49" s="103"/>
      <c r="L49" s="103"/>
      <c r="M49" s="103"/>
      <c r="N49" s="103"/>
      <c r="O49" s="104"/>
      <c r="P49" s="23"/>
      <c r="Q49" s="23"/>
      <c r="R49" s="23"/>
      <c r="S49" s="23"/>
    </row>
    <row r="50" spans="1:19" ht="18" customHeight="1" x14ac:dyDescent="0.15">
      <c r="A50" s="3"/>
      <c r="B50" s="136"/>
      <c r="C50" s="103"/>
      <c r="D50" s="103"/>
      <c r="E50" s="104"/>
      <c r="F50" s="23"/>
      <c r="G50" s="23"/>
      <c r="H50" s="23"/>
      <c r="I50" s="23"/>
      <c r="J50" s="136"/>
      <c r="K50" s="103"/>
      <c r="L50" s="103"/>
      <c r="M50" s="103"/>
      <c r="N50" s="103"/>
      <c r="O50" s="104"/>
      <c r="P50" s="23"/>
      <c r="Q50" s="23"/>
      <c r="R50" s="23"/>
      <c r="S50" s="23"/>
    </row>
    <row r="51" spans="1:19" ht="18" customHeight="1" x14ac:dyDescent="0.15">
      <c r="A51" s="3"/>
      <c r="B51" s="136"/>
      <c r="C51" s="103"/>
      <c r="D51" s="103"/>
      <c r="E51" s="104"/>
      <c r="F51" s="23"/>
      <c r="G51" s="23"/>
      <c r="H51" s="23"/>
      <c r="I51" s="23"/>
      <c r="J51" s="136"/>
      <c r="K51" s="103"/>
      <c r="L51" s="103"/>
      <c r="M51" s="103"/>
      <c r="N51" s="103"/>
      <c r="O51" s="104"/>
      <c r="P51" s="23"/>
      <c r="Q51" s="23"/>
      <c r="R51" s="23"/>
      <c r="S51" s="23"/>
    </row>
    <row r="52" spans="1:19" ht="18" customHeight="1" x14ac:dyDescent="0.15">
      <c r="A52" s="3"/>
      <c r="B52" s="136"/>
      <c r="C52" s="103"/>
      <c r="D52" s="103"/>
      <c r="E52" s="104"/>
      <c r="F52" s="23"/>
      <c r="G52" s="23"/>
      <c r="H52" s="23"/>
      <c r="I52" s="23"/>
      <c r="J52" s="136"/>
      <c r="K52" s="103"/>
      <c r="L52" s="103"/>
      <c r="M52" s="103"/>
      <c r="N52" s="103"/>
      <c r="O52" s="104"/>
      <c r="P52" s="23"/>
      <c r="Q52" s="23"/>
      <c r="R52" s="23"/>
      <c r="S52" s="23"/>
    </row>
    <row r="53" spans="1:19" ht="18" customHeight="1" x14ac:dyDescent="0.15">
      <c r="A53" s="3"/>
      <c r="B53" s="141"/>
      <c r="C53" s="142"/>
      <c r="D53" s="142"/>
      <c r="E53" s="143"/>
      <c r="F53" s="24"/>
      <c r="G53" s="24"/>
      <c r="H53" s="25"/>
      <c r="I53" s="25"/>
      <c r="J53" s="141"/>
      <c r="K53" s="142"/>
      <c r="L53" s="142"/>
      <c r="M53" s="142"/>
      <c r="N53" s="142"/>
      <c r="O53" s="143"/>
      <c r="P53" s="24"/>
      <c r="Q53" s="24"/>
      <c r="R53" s="25"/>
      <c r="S53" s="25"/>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52" t="s">
        <v>116</v>
      </c>
      <c r="B55" s="152"/>
      <c r="C55" s="152"/>
      <c r="D55" s="152"/>
      <c r="E55" s="152"/>
      <c r="F55" s="152"/>
      <c r="G55" s="152"/>
      <c r="H55" s="152"/>
      <c r="I55" s="152"/>
      <c r="J55" s="152"/>
      <c r="K55" s="152"/>
      <c r="L55" s="152"/>
      <c r="M55" s="152"/>
      <c r="N55" s="152"/>
      <c r="O55" s="152"/>
      <c r="P55" s="152"/>
      <c r="Q55" s="152"/>
      <c r="R55" s="152"/>
      <c r="S55" s="152"/>
    </row>
    <row r="56" spans="1:19" ht="18" customHeight="1" x14ac:dyDescent="0.15">
      <c r="A56" s="152"/>
      <c r="B56" s="152"/>
      <c r="C56" s="152"/>
      <c r="D56" s="152"/>
      <c r="E56" s="152"/>
      <c r="F56" s="152"/>
      <c r="G56" s="152"/>
      <c r="H56" s="152"/>
      <c r="I56" s="152"/>
      <c r="J56" s="152"/>
      <c r="K56" s="152"/>
      <c r="L56" s="152"/>
      <c r="M56" s="152"/>
      <c r="N56" s="152"/>
      <c r="O56" s="152"/>
      <c r="P56" s="152"/>
      <c r="Q56" s="152"/>
      <c r="R56" s="152"/>
      <c r="S56" s="152"/>
    </row>
    <row r="57" spans="1:19" ht="18" customHeight="1" x14ac:dyDescent="0.15">
      <c r="B57" s="144" t="s">
        <v>53</v>
      </c>
      <c r="C57" s="125"/>
      <c r="D57" s="125"/>
      <c r="E57" s="126"/>
      <c r="F57" s="59" t="s">
        <v>80</v>
      </c>
      <c r="G57" s="58" t="s">
        <v>84</v>
      </c>
      <c r="H57" s="21" t="s">
        <v>58</v>
      </c>
      <c r="I57" s="21" t="s">
        <v>60</v>
      </c>
      <c r="J57" s="144" t="s">
        <v>53</v>
      </c>
      <c r="K57" s="125"/>
      <c r="L57" s="125"/>
      <c r="M57" s="125"/>
      <c r="N57" s="125"/>
      <c r="O57" s="126"/>
      <c r="P57" s="59" t="s">
        <v>80</v>
      </c>
      <c r="Q57" s="58" t="s">
        <v>84</v>
      </c>
      <c r="R57" s="21" t="s">
        <v>58</v>
      </c>
      <c r="S57" s="21" t="s">
        <v>60</v>
      </c>
    </row>
    <row r="58" spans="1:19" ht="18" customHeight="1" x14ac:dyDescent="0.15">
      <c r="A58" s="3"/>
      <c r="B58" s="148" t="s">
        <v>131</v>
      </c>
      <c r="C58" s="100"/>
      <c r="D58" s="100"/>
      <c r="E58" s="101"/>
      <c r="F58" s="22">
        <v>1</v>
      </c>
      <c r="G58" s="22" t="s">
        <v>136</v>
      </c>
      <c r="H58" s="22" t="s">
        <v>136</v>
      </c>
      <c r="I58" s="22" t="s">
        <v>136</v>
      </c>
      <c r="J58" s="148"/>
      <c r="K58" s="100"/>
      <c r="L58" s="100"/>
      <c r="M58" s="100"/>
      <c r="N58" s="100"/>
      <c r="O58" s="101"/>
      <c r="P58" s="22"/>
      <c r="Q58" s="22"/>
      <c r="R58" s="22"/>
      <c r="S58" s="22"/>
    </row>
    <row r="59" spans="1:19" ht="18" customHeight="1" x14ac:dyDescent="0.15">
      <c r="A59" s="3"/>
      <c r="B59" s="136"/>
      <c r="C59" s="103"/>
      <c r="D59" s="103"/>
      <c r="E59" s="104"/>
      <c r="F59" s="23"/>
      <c r="G59" s="23"/>
      <c r="H59" s="23"/>
      <c r="I59" s="23"/>
      <c r="J59" s="136"/>
      <c r="K59" s="103"/>
      <c r="L59" s="103"/>
      <c r="M59" s="103"/>
      <c r="N59" s="103"/>
      <c r="O59" s="104"/>
      <c r="P59" s="23"/>
      <c r="Q59" s="23"/>
      <c r="R59" s="23"/>
      <c r="S59" s="23"/>
    </row>
    <row r="60" spans="1:19" ht="18" customHeight="1" x14ac:dyDescent="0.15">
      <c r="A60" s="3"/>
      <c r="B60" s="136"/>
      <c r="C60" s="103"/>
      <c r="D60" s="103"/>
      <c r="E60" s="104"/>
      <c r="F60" s="23"/>
      <c r="G60" s="23"/>
      <c r="H60" s="23"/>
      <c r="I60" s="23"/>
      <c r="J60" s="136"/>
      <c r="K60" s="103"/>
      <c r="L60" s="103"/>
      <c r="M60" s="103"/>
      <c r="N60" s="103"/>
      <c r="O60" s="104"/>
      <c r="P60" s="23"/>
      <c r="Q60" s="23"/>
      <c r="R60" s="23"/>
      <c r="S60" s="23"/>
    </row>
    <row r="61" spans="1:19" ht="18" customHeight="1" x14ac:dyDescent="0.15">
      <c r="A61" s="3"/>
      <c r="B61" s="136"/>
      <c r="C61" s="103"/>
      <c r="D61" s="103"/>
      <c r="E61" s="104"/>
      <c r="F61" s="23"/>
      <c r="G61" s="23"/>
      <c r="H61" s="23"/>
      <c r="I61" s="23"/>
      <c r="J61" s="136"/>
      <c r="K61" s="103"/>
      <c r="L61" s="103"/>
      <c r="M61" s="103"/>
      <c r="N61" s="103"/>
      <c r="O61" s="104"/>
      <c r="P61" s="23"/>
      <c r="Q61" s="23"/>
      <c r="R61" s="23"/>
      <c r="S61" s="23"/>
    </row>
    <row r="62" spans="1:19" ht="18" customHeight="1" x14ac:dyDescent="0.15">
      <c r="A62" s="3"/>
      <c r="B62" s="136"/>
      <c r="C62" s="103"/>
      <c r="D62" s="103"/>
      <c r="E62" s="104"/>
      <c r="F62" s="23"/>
      <c r="G62" s="23"/>
      <c r="H62" s="23"/>
      <c r="I62" s="23"/>
      <c r="J62" s="136"/>
      <c r="K62" s="103"/>
      <c r="L62" s="103"/>
      <c r="M62" s="103"/>
      <c r="N62" s="103"/>
      <c r="O62" s="104"/>
      <c r="P62" s="23"/>
      <c r="Q62" s="23"/>
      <c r="R62" s="23"/>
      <c r="S62" s="23"/>
    </row>
    <row r="63" spans="1:19" ht="18" customHeight="1" x14ac:dyDescent="0.15">
      <c r="A63" s="3"/>
      <c r="B63" s="136"/>
      <c r="C63" s="103"/>
      <c r="D63" s="103"/>
      <c r="E63" s="104"/>
      <c r="F63" s="23"/>
      <c r="G63" s="23"/>
      <c r="H63" s="23"/>
      <c r="I63" s="23"/>
      <c r="J63" s="136"/>
      <c r="K63" s="103"/>
      <c r="L63" s="103"/>
      <c r="M63" s="103"/>
      <c r="N63" s="103"/>
      <c r="O63" s="104"/>
      <c r="P63" s="23"/>
      <c r="Q63" s="23"/>
      <c r="R63" s="23"/>
      <c r="S63" s="23"/>
    </row>
    <row r="64" spans="1:19" ht="18" customHeight="1" x14ac:dyDescent="0.15">
      <c r="A64" s="3"/>
      <c r="B64" s="141"/>
      <c r="C64" s="142"/>
      <c r="D64" s="142"/>
      <c r="E64" s="143"/>
      <c r="F64" s="24"/>
      <c r="G64" s="24"/>
      <c r="H64" s="25"/>
      <c r="I64" s="25"/>
      <c r="J64" s="141"/>
      <c r="K64" s="142"/>
      <c r="L64" s="142"/>
      <c r="M64" s="142"/>
      <c r="N64" s="142"/>
      <c r="O64" s="143"/>
      <c r="P64" s="24"/>
      <c r="Q64" s="24"/>
      <c r="R64" s="25"/>
      <c r="S64" s="25"/>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52" t="s">
        <v>117</v>
      </c>
      <c r="B66" s="152"/>
      <c r="C66" s="152"/>
      <c r="D66" s="152"/>
      <c r="E66" s="152"/>
      <c r="F66" s="152"/>
      <c r="G66" s="152"/>
      <c r="H66" s="152"/>
      <c r="I66" s="152"/>
      <c r="J66" s="152"/>
      <c r="K66" s="152"/>
      <c r="L66" s="152"/>
      <c r="M66" s="152"/>
      <c r="N66" s="152"/>
      <c r="O66" s="152"/>
      <c r="P66" s="152"/>
      <c r="Q66" s="152"/>
      <c r="R66" s="152"/>
      <c r="S66" s="152"/>
    </row>
    <row r="67" spans="1:19" ht="18" customHeight="1" x14ac:dyDescent="0.15">
      <c r="A67" s="152"/>
      <c r="B67" s="152"/>
      <c r="C67" s="152"/>
      <c r="D67" s="152"/>
      <c r="E67" s="152"/>
      <c r="F67" s="152"/>
      <c r="G67" s="152"/>
      <c r="H67" s="152"/>
      <c r="I67" s="152"/>
      <c r="J67" s="152"/>
      <c r="K67" s="152"/>
      <c r="L67" s="152"/>
      <c r="M67" s="152"/>
      <c r="N67" s="152"/>
      <c r="O67" s="152"/>
      <c r="P67" s="152"/>
      <c r="Q67" s="152"/>
      <c r="R67" s="152"/>
      <c r="S67" s="152"/>
    </row>
    <row r="68" spans="1:19" ht="18" customHeight="1" x14ac:dyDescent="0.15">
      <c r="B68" s="144" t="s">
        <v>53</v>
      </c>
      <c r="C68" s="125"/>
      <c r="D68" s="125"/>
      <c r="E68" s="59" t="s">
        <v>80</v>
      </c>
      <c r="F68" s="58" t="s">
        <v>84</v>
      </c>
      <c r="G68" s="21" t="s">
        <v>101</v>
      </c>
      <c r="H68" s="21" t="s">
        <v>75</v>
      </c>
      <c r="I68" s="21" t="s">
        <v>76</v>
      </c>
      <c r="J68" s="144" t="s">
        <v>53</v>
      </c>
      <c r="K68" s="125"/>
      <c r="L68" s="125"/>
      <c r="M68" s="125"/>
      <c r="N68" s="126"/>
      <c r="O68" s="59" t="s">
        <v>80</v>
      </c>
      <c r="P68" s="58" t="s">
        <v>84</v>
      </c>
      <c r="Q68" s="21" t="s">
        <v>101</v>
      </c>
      <c r="R68" s="21" t="s">
        <v>75</v>
      </c>
      <c r="S68" s="21" t="s">
        <v>76</v>
      </c>
    </row>
    <row r="69" spans="1:19" ht="18" customHeight="1" x14ac:dyDescent="0.15">
      <c r="A69" s="3"/>
      <c r="B69" s="148" t="s">
        <v>131</v>
      </c>
      <c r="C69" s="100"/>
      <c r="D69" s="101"/>
      <c r="E69" s="22">
        <v>1</v>
      </c>
      <c r="F69" s="22" t="s">
        <v>136</v>
      </c>
      <c r="G69" s="22" t="s">
        <v>136</v>
      </c>
      <c r="H69" s="22" t="s">
        <v>136</v>
      </c>
      <c r="I69" s="22" t="s">
        <v>136</v>
      </c>
      <c r="J69" s="148"/>
      <c r="K69" s="100"/>
      <c r="L69" s="100"/>
      <c r="M69" s="100"/>
      <c r="N69" s="101"/>
      <c r="O69" s="22"/>
      <c r="P69" s="22"/>
      <c r="Q69" s="22"/>
      <c r="R69" s="22"/>
      <c r="S69" s="22"/>
    </row>
    <row r="70" spans="1:19" ht="18" customHeight="1" x14ac:dyDescent="0.15">
      <c r="A70" s="3"/>
      <c r="B70" s="136" t="s">
        <v>137</v>
      </c>
      <c r="C70" s="103"/>
      <c r="D70" s="104"/>
      <c r="E70" s="23">
        <v>1</v>
      </c>
      <c r="F70" s="23" t="s">
        <v>136</v>
      </c>
      <c r="G70" s="23" t="s">
        <v>136</v>
      </c>
      <c r="H70" s="23" t="s">
        <v>136</v>
      </c>
      <c r="I70" s="23" t="s">
        <v>136</v>
      </c>
      <c r="J70" s="136"/>
      <c r="K70" s="103"/>
      <c r="L70" s="103"/>
      <c r="M70" s="103"/>
      <c r="N70" s="104"/>
      <c r="O70" s="23"/>
      <c r="P70" s="23"/>
      <c r="Q70" s="23"/>
      <c r="R70" s="23"/>
      <c r="S70" s="23"/>
    </row>
    <row r="71" spans="1:19" ht="18" customHeight="1" x14ac:dyDescent="0.15">
      <c r="A71" s="3"/>
      <c r="B71" s="136" t="s">
        <v>138</v>
      </c>
      <c r="C71" s="103"/>
      <c r="D71" s="104"/>
      <c r="E71" s="23">
        <v>1</v>
      </c>
      <c r="F71" s="23" t="s">
        <v>136</v>
      </c>
      <c r="G71" s="23" t="s">
        <v>136</v>
      </c>
      <c r="H71" s="23" t="s">
        <v>136</v>
      </c>
      <c r="I71" s="23" t="s">
        <v>136</v>
      </c>
      <c r="J71" s="136"/>
      <c r="K71" s="103"/>
      <c r="L71" s="103"/>
      <c r="M71" s="103"/>
      <c r="N71" s="104"/>
      <c r="O71" s="23"/>
      <c r="P71" s="23"/>
      <c r="Q71" s="23"/>
      <c r="R71" s="23"/>
      <c r="S71" s="23"/>
    </row>
    <row r="72" spans="1:19" ht="18" customHeight="1" x14ac:dyDescent="0.15">
      <c r="A72" s="3"/>
      <c r="B72" s="136" t="s">
        <v>133</v>
      </c>
      <c r="C72" s="103"/>
      <c r="D72" s="104"/>
      <c r="E72" s="23">
        <v>1</v>
      </c>
      <c r="F72" s="23" t="s">
        <v>136</v>
      </c>
      <c r="G72" s="23" t="s">
        <v>136</v>
      </c>
      <c r="H72" s="23" t="s">
        <v>136</v>
      </c>
      <c r="I72" s="23" t="s">
        <v>136</v>
      </c>
      <c r="J72" s="136"/>
      <c r="K72" s="103"/>
      <c r="L72" s="103"/>
      <c r="M72" s="103"/>
      <c r="N72" s="104"/>
      <c r="O72" s="23"/>
      <c r="P72" s="23"/>
      <c r="Q72" s="23"/>
      <c r="R72" s="23"/>
      <c r="S72" s="23"/>
    </row>
    <row r="73" spans="1:19" ht="18" customHeight="1" x14ac:dyDescent="0.15">
      <c r="A73" s="3"/>
      <c r="B73" s="136"/>
      <c r="C73" s="103"/>
      <c r="D73" s="104"/>
      <c r="E73" s="23"/>
      <c r="F73" s="23"/>
      <c r="G73" s="23"/>
      <c r="H73" s="23"/>
      <c r="I73" s="23"/>
      <c r="J73" s="136"/>
      <c r="K73" s="103"/>
      <c r="L73" s="103"/>
      <c r="M73" s="103"/>
      <c r="N73" s="104"/>
      <c r="O73" s="23"/>
      <c r="P73" s="23"/>
      <c r="Q73" s="23"/>
      <c r="R73" s="23"/>
      <c r="S73" s="23"/>
    </row>
    <row r="74" spans="1:19" ht="18" customHeight="1" x14ac:dyDescent="0.15">
      <c r="A74" s="3"/>
      <c r="B74" s="136"/>
      <c r="C74" s="103"/>
      <c r="D74" s="104"/>
      <c r="E74" s="23"/>
      <c r="F74" s="23"/>
      <c r="G74" s="23"/>
      <c r="H74" s="23"/>
      <c r="I74" s="23"/>
      <c r="J74" s="136"/>
      <c r="K74" s="103"/>
      <c r="L74" s="103"/>
      <c r="M74" s="103"/>
      <c r="N74" s="104"/>
      <c r="O74" s="23"/>
      <c r="P74" s="23"/>
      <c r="Q74" s="23"/>
      <c r="R74" s="23"/>
      <c r="S74" s="23"/>
    </row>
    <row r="75" spans="1:19" ht="18" customHeight="1" x14ac:dyDescent="0.15">
      <c r="A75" s="3"/>
      <c r="B75" s="141"/>
      <c r="C75" s="142"/>
      <c r="D75" s="142"/>
      <c r="E75" s="24"/>
      <c r="F75" s="24"/>
      <c r="G75" s="25"/>
      <c r="H75" s="25"/>
      <c r="I75" s="25"/>
      <c r="J75" s="141"/>
      <c r="K75" s="142"/>
      <c r="L75" s="142"/>
      <c r="M75" s="142"/>
      <c r="N75" s="143"/>
      <c r="O75" s="24"/>
      <c r="P75" s="24"/>
      <c r="Q75" s="25"/>
      <c r="R75" s="25"/>
      <c r="S75" s="25"/>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118</v>
      </c>
      <c r="H77" s="3"/>
      <c r="I77" s="3"/>
      <c r="J77" s="3"/>
      <c r="K77" s="3"/>
      <c r="L77" s="3"/>
      <c r="M77" s="3"/>
      <c r="N77" s="3"/>
      <c r="O77" s="3"/>
      <c r="P77" s="3"/>
      <c r="Q77" s="3"/>
      <c r="R77" s="3"/>
      <c r="S77" s="3"/>
    </row>
    <row r="78" spans="1:19" ht="18" customHeight="1" x14ac:dyDescent="0.15">
      <c r="B78" s="144" t="s">
        <v>53</v>
      </c>
      <c r="C78" s="125"/>
      <c r="D78" s="125"/>
      <c r="E78" s="126"/>
      <c r="F78" s="144" t="s">
        <v>82</v>
      </c>
      <c r="G78" s="125"/>
      <c r="H78" s="125"/>
      <c r="I78" s="126"/>
      <c r="J78" s="145" t="s">
        <v>53</v>
      </c>
      <c r="K78" s="146"/>
      <c r="L78" s="146"/>
      <c r="M78" s="146"/>
      <c r="N78" s="146"/>
      <c r="O78" s="147"/>
      <c r="P78" s="144" t="s">
        <v>82</v>
      </c>
      <c r="Q78" s="125"/>
      <c r="R78" s="125"/>
      <c r="S78" s="126"/>
    </row>
    <row r="79" spans="1:19" ht="18" customHeight="1" x14ac:dyDescent="0.15">
      <c r="A79" s="3"/>
      <c r="B79" s="148" t="s">
        <v>131</v>
      </c>
      <c r="C79" s="100"/>
      <c r="D79" s="100"/>
      <c r="E79" s="101"/>
      <c r="F79" s="149" t="s">
        <v>141</v>
      </c>
      <c r="G79" s="150"/>
      <c r="H79" s="150"/>
      <c r="I79" s="151"/>
      <c r="J79" s="148"/>
      <c r="K79" s="100"/>
      <c r="L79" s="100"/>
      <c r="M79" s="100"/>
      <c r="N79" s="100"/>
      <c r="O79" s="101"/>
      <c r="P79" s="149"/>
      <c r="Q79" s="150"/>
      <c r="R79" s="150"/>
      <c r="S79" s="151"/>
    </row>
    <row r="80" spans="1:19" ht="18" customHeight="1" x14ac:dyDescent="0.15">
      <c r="A80" s="3"/>
      <c r="B80" s="136" t="s">
        <v>139</v>
      </c>
      <c r="C80" s="103"/>
      <c r="D80" s="103"/>
      <c r="E80" s="104"/>
      <c r="F80" s="133" t="s">
        <v>142</v>
      </c>
      <c r="G80" s="134"/>
      <c r="H80" s="134"/>
      <c r="I80" s="135"/>
      <c r="J80" s="136"/>
      <c r="K80" s="103"/>
      <c r="L80" s="103"/>
      <c r="M80" s="103"/>
      <c r="N80" s="103"/>
      <c r="O80" s="104"/>
      <c r="P80" s="133"/>
      <c r="Q80" s="134"/>
      <c r="R80" s="134"/>
      <c r="S80" s="135"/>
    </row>
    <row r="81" spans="1:19" ht="18" customHeight="1" x14ac:dyDescent="0.15">
      <c r="A81" s="3"/>
      <c r="B81" s="136" t="s">
        <v>138</v>
      </c>
      <c r="C81" s="103"/>
      <c r="D81" s="103"/>
      <c r="E81" s="104"/>
      <c r="F81" s="133" t="s">
        <v>142</v>
      </c>
      <c r="G81" s="134"/>
      <c r="H81" s="134"/>
      <c r="I81" s="135"/>
      <c r="J81" s="136"/>
      <c r="K81" s="103"/>
      <c r="L81" s="103"/>
      <c r="M81" s="103"/>
      <c r="N81" s="103"/>
      <c r="O81" s="104"/>
      <c r="P81" s="133"/>
      <c r="Q81" s="134"/>
      <c r="R81" s="134"/>
      <c r="S81" s="135"/>
    </row>
    <row r="82" spans="1:19" ht="18" customHeight="1" x14ac:dyDescent="0.15">
      <c r="A82" s="3"/>
      <c r="B82" s="136" t="s">
        <v>133</v>
      </c>
      <c r="C82" s="103"/>
      <c r="D82" s="103"/>
      <c r="E82" s="104"/>
      <c r="F82" s="133" t="s">
        <v>143</v>
      </c>
      <c r="G82" s="134"/>
      <c r="H82" s="134"/>
      <c r="I82" s="135"/>
      <c r="J82" s="136"/>
      <c r="K82" s="103"/>
      <c r="L82" s="103"/>
      <c r="M82" s="103"/>
      <c r="N82" s="103"/>
      <c r="O82" s="104"/>
      <c r="P82" s="133"/>
      <c r="Q82" s="134"/>
      <c r="R82" s="134"/>
      <c r="S82" s="135"/>
    </row>
    <row r="83" spans="1:19" ht="18" customHeight="1" x14ac:dyDescent="0.15">
      <c r="A83" s="3"/>
      <c r="B83" s="130" t="s">
        <v>134</v>
      </c>
      <c r="C83" s="131"/>
      <c r="D83" s="131"/>
      <c r="E83" s="132"/>
      <c r="F83" s="133" t="s">
        <v>142</v>
      </c>
      <c r="G83" s="134"/>
      <c r="H83" s="134"/>
      <c r="I83" s="135"/>
      <c r="J83" s="136"/>
      <c r="K83" s="103"/>
      <c r="L83" s="103"/>
      <c r="M83" s="103"/>
      <c r="N83" s="103"/>
      <c r="O83" s="104"/>
      <c r="P83" s="133"/>
      <c r="Q83" s="134"/>
      <c r="R83" s="134"/>
      <c r="S83" s="135"/>
    </row>
    <row r="84" spans="1:19" ht="18" customHeight="1" x14ac:dyDescent="0.15">
      <c r="A84" s="3"/>
      <c r="B84" s="130" t="s">
        <v>135</v>
      </c>
      <c r="C84" s="131"/>
      <c r="D84" s="131"/>
      <c r="E84" s="132"/>
      <c r="F84" s="133" t="s">
        <v>142</v>
      </c>
      <c r="G84" s="134"/>
      <c r="H84" s="134"/>
      <c r="I84" s="135"/>
      <c r="J84" s="136"/>
      <c r="K84" s="103"/>
      <c r="L84" s="103"/>
      <c r="M84" s="103"/>
      <c r="N84" s="103"/>
      <c r="O84" s="104"/>
      <c r="P84" s="133"/>
      <c r="Q84" s="134"/>
      <c r="R84" s="134"/>
      <c r="S84" s="135"/>
    </row>
    <row r="85" spans="1:19" ht="18" customHeight="1" x14ac:dyDescent="0.15">
      <c r="A85" s="3"/>
      <c r="B85" s="137"/>
      <c r="C85" s="121"/>
      <c r="D85" s="121"/>
      <c r="E85" s="122"/>
      <c r="F85" s="138"/>
      <c r="G85" s="139"/>
      <c r="H85" s="139"/>
      <c r="I85" s="140"/>
      <c r="J85" s="141"/>
      <c r="K85" s="142"/>
      <c r="L85" s="142"/>
      <c r="M85" s="142"/>
      <c r="N85" s="142"/>
      <c r="O85" s="143"/>
      <c r="P85" s="138"/>
      <c r="Q85" s="139"/>
      <c r="R85" s="139"/>
      <c r="S85" s="140"/>
    </row>
    <row r="86" spans="1:19" ht="18" customHeight="1" x14ac:dyDescent="0.15">
      <c r="A86" s="3"/>
      <c r="B86" s="6"/>
      <c r="C86" s="6"/>
      <c r="D86" s="6"/>
      <c r="E86" s="6"/>
      <c r="F86" s="26"/>
      <c r="G86" s="26"/>
      <c r="H86" s="26"/>
      <c r="I86" s="26"/>
      <c r="J86" s="6"/>
      <c r="K86" s="6"/>
      <c r="L86" s="6"/>
      <c r="M86" s="6"/>
      <c r="N86" s="6"/>
      <c r="O86" s="6"/>
      <c r="P86" s="26"/>
      <c r="Q86" s="26"/>
      <c r="R86" s="26"/>
      <c r="S86" s="26"/>
    </row>
    <row r="87" spans="1:19" ht="18.75" customHeight="1" x14ac:dyDescent="0.15">
      <c r="A87" s="1" t="s">
        <v>119</v>
      </c>
    </row>
    <row r="88" spans="1:19" ht="18.75" customHeight="1" x14ac:dyDescent="0.15">
      <c r="B88" s="123" t="s">
        <v>54</v>
      </c>
      <c r="C88" s="124"/>
      <c r="D88" s="125" t="s">
        <v>55</v>
      </c>
      <c r="E88" s="125"/>
      <c r="F88" s="125"/>
      <c r="G88" s="125"/>
      <c r="H88" s="125"/>
      <c r="I88" s="125"/>
      <c r="J88" s="125"/>
      <c r="K88" s="125"/>
      <c r="L88" s="125"/>
      <c r="M88" s="125"/>
      <c r="N88" s="125"/>
      <c r="O88" s="125"/>
      <c r="P88" s="125"/>
      <c r="Q88" s="125"/>
      <c r="R88" s="125"/>
      <c r="S88" s="126"/>
    </row>
    <row r="89" spans="1:19" ht="97.5" customHeight="1" x14ac:dyDescent="0.15">
      <c r="B89" s="96" t="s">
        <v>61</v>
      </c>
      <c r="C89" s="27" t="s">
        <v>56</v>
      </c>
      <c r="D89" s="179" t="s">
        <v>192</v>
      </c>
      <c r="E89" s="111"/>
      <c r="F89" s="111"/>
      <c r="G89" s="111"/>
      <c r="H89" s="111"/>
      <c r="I89" s="111"/>
      <c r="J89" s="111"/>
      <c r="K89" s="111"/>
      <c r="L89" s="111"/>
      <c r="M89" s="111"/>
      <c r="N89" s="111"/>
      <c r="O89" s="111"/>
      <c r="P89" s="111"/>
      <c r="Q89" s="111"/>
      <c r="R89" s="111"/>
      <c r="S89" s="180"/>
    </row>
    <row r="90" spans="1:19" ht="97.5" customHeight="1" x14ac:dyDescent="0.15">
      <c r="B90" s="97"/>
      <c r="C90" s="28" t="s">
        <v>77</v>
      </c>
      <c r="D90" s="127" t="s">
        <v>193</v>
      </c>
      <c r="E90" s="128"/>
      <c r="F90" s="128"/>
      <c r="G90" s="128"/>
      <c r="H90" s="128"/>
      <c r="I90" s="128"/>
      <c r="J90" s="128"/>
      <c r="K90" s="128"/>
      <c r="L90" s="128"/>
      <c r="M90" s="128"/>
      <c r="N90" s="128"/>
      <c r="O90" s="128"/>
      <c r="P90" s="128"/>
      <c r="Q90" s="128"/>
      <c r="R90" s="128"/>
      <c r="S90" s="129"/>
    </row>
    <row r="91" spans="1:19" ht="97.5" customHeight="1" x14ac:dyDescent="0.15">
      <c r="B91" s="96" t="s">
        <v>62</v>
      </c>
      <c r="C91" s="29" t="s">
        <v>71</v>
      </c>
      <c r="D91" s="111" t="s">
        <v>194</v>
      </c>
      <c r="E91" s="112"/>
      <c r="F91" s="112"/>
      <c r="G91" s="112"/>
      <c r="H91" s="112"/>
      <c r="I91" s="112"/>
      <c r="J91" s="112"/>
      <c r="K91" s="112"/>
      <c r="L91" s="112"/>
      <c r="M91" s="112"/>
      <c r="N91" s="112"/>
      <c r="O91" s="112"/>
      <c r="P91" s="112"/>
      <c r="Q91" s="112"/>
      <c r="R91" s="112"/>
      <c r="S91" s="113"/>
    </row>
    <row r="92" spans="1:19" ht="97.5" customHeight="1" x14ac:dyDescent="0.15">
      <c r="B92" s="98"/>
      <c r="C92" s="30" t="s">
        <v>72</v>
      </c>
      <c r="D92" s="120" t="s">
        <v>195</v>
      </c>
      <c r="E92" s="121"/>
      <c r="F92" s="121"/>
      <c r="G92" s="121"/>
      <c r="H92" s="121"/>
      <c r="I92" s="121"/>
      <c r="J92" s="121"/>
      <c r="K92" s="121"/>
      <c r="L92" s="121"/>
      <c r="M92" s="121"/>
      <c r="N92" s="121"/>
      <c r="O92" s="121"/>
      <c r="P92" s="121"/>
      <c r="Q92" s="121"/>
      <c r="R92" s="121"/>
      <c r="S92" s="122"/>
    </row>
    <row r="93" spans="1:19" ht="97.5" customHeight="1" x14ac:dyDescent="0.15">
      <c r="B93" s="96" t="s">
        <v>63</v>
      </c>
      <c r="C93" s="29" t="s">
        <v>73</v>
      </c>
      <c r="D93" s="111" t="s">
        <v>196</v>
      </c>
      <c r="E93" s="112"/>
      <c r="F93" s="112"/>
      <c r="G93" s="112"/>
      <c r="H93" s="112"/>
      <c r="I93" s="112"/>
      <c r="J93" s="112"/>
      <c r="K93" s="112"/>
      <c r="L93" s="112"/>
      <c r="M93" s="112"/>
      <c r="N93" s="112"/>
      <c r="O93" s="112"/>
      <c r="P93" s="112"/>
      <c r="Q93" s="112"/>
      <c r="R93" s="112"/>
      <c r="S93" s="113"/>
    </row>
    <row r="94" spans="1:19" ht="97.5" customHeight="1" x14ac:dyDescent="0.15">
      <c r="B94" s="98"/>
      <c r="C94" s="31" t="s">
        <v>74</v>
      </c>
      <c r="D94" s="114" t="s">
        <v>197</v>
      </c>
      <c r="E94" s="115"/>
      <c r="F94" s="115"/>
      <c r="G94" s="115"/>
      <c r="H94" s="115"/>
      <c r="I94" s="115"/>
      <c r="J94" s="115"/>
      <c r="K94" s="115"/>
      <c r="L94" s="115"/>
      <c r="M94" s="115"/>
      <c r="N94" s="115"/>
      <c r="O94" s="115"/>
      <c r="P94" s="115"/>
      <c r="Q94" s="115"/>
      <c r="R94" s="115"/>
      <c r="S94" s="116"/>
    </row>
    <row r="95" spans="1:19" ht="97.5" customHeight="1" x14ac:dyDescent="0.15">
      <c r="B95" s="96" t="s">
        <v>78</v>
      </c>
      <c r="C95" s="27" t="s">
        <v>58</v>
      </c>
      <c r="D95" s="117" t="s">
        <v>198</v>
      </c>
      <c r="E95" s="118"/>
      <c r="F95" s="118"/>
      <c r="G95" s="118"/>
      <c r="H95" s="118"/>
      <c r="I95" s="118"/>
      <c r="J95" s="118"/>
      <c r="K95" s="118"/>
      <c r="L95" s="118"/>
      <c r="M95" s="118"/>
      <c r="N95" s="118"/>
      <c r="O95" s="118"/>
      <c r="P95" s="118"/>
      <c r="Q95" s="118"/>
      <c r="R95" s="118"/>
      <c r="S95" s="119"/>
    </row>
    <row r="96" spans="1:19" ht="97.5" customHeight="1" x14ac:dyDescent="0.15">
      <c r="B96" s="98"/>
      <c r="C96" s="30" t="s">
        <v>60</v>
      </c>
      <c r="D96" s="120" t="s">
        <v>151</v>
      </c>
      <c r="E96" s="121"/>
      <c r="F96" s="121"/>
      <c r="G96" s="121"/>
      <c r="H96" s="121"/>
      <c r="I96" s="121"/>
      <c r="J96" s="121"/>
      <c r="K96" s="121"/>
      <c r="L96" s="121"/>
      <c r="M96" s="121"/>
      <c r="N96" s="121"/>
      <c r="O96" s="121"/>
      <c r="P96" s="121"/>
      <c r="Q96" s="121"/>
      <c r="R96" s="121"/>
      <c r="S96" s="122"/>
    </row>
    <row r="97" spans="1:19" ht="213" customHeight="1" x14ac:dyDescent="0.15">
      <c r="B97" s="96" t="s">
        <v>79</v>
      </c>
      <c r="C97" s="29" t="s">
        <v>57</v>
      </c>
      <c r="D97" s="99" t="s">
        <v>218</v>
      </c>
      <c r="E97" s="100"/>
      <c r="F97" s="100"/>
      <c r="G97" s="100"/>
      <c r="H97" s="100"/>
      <c r="I97" s="100"/>
      <c r="J97" s="100"/>
      <c r="K97" s="100"/>
      <c r="L97" s="100"/>
      <c r="M97" s="100"/>
      <c r="N97" s="100"/>
      <c r="O97" s="100"/>
      <c r="P97" s="100"/>
      <c r="Q97" s="100"/>
      <c r="R97" s="100"/>
      <c r="S97" s="101"/>
    </row>
    <row r="98" spans="1:19" ht="108.75" customHeight="1" x14ac:dyDescent="0.15">
      <c r="B98" s="97"/>
      <c r="C98" s="32" t="s">
        <v>75</v>
      </c>
      <c r="D98" s="102" t="s">
        <v>199</v>
      </c>
      <c r="E98" s="103"/>
      <c r="F98" s="103"/>
      <c r="G98" s="103"/>
      <c r="H98" s="103"/>
      <c r="I98" s="103"/>
      <c r="J98" s="103"/>
      <c r="K98" s="103"/>
      <c r="L98" s="103"/>
      <c r="M98" s="103"/>
      <c r="N98" s="103"/>
      <c r="O98" s="103"/>
      <c r="P98" s="103"/>
      <c r="Q98" s="103"/>
      <c r="R98" s="103"/>
      <c r="S98" s="104"/>
    </row>
    <row r="99" spans="1:19" ht="97.5" customHeight="1" x14ac:dyDescent="0.15">
      <c r="B99" s="98"/>
      <c r="C99" s="31" t="s">
        <v>76</v>
      </c>
      <c r="D99" s="105" t="s">
        <v>200</v>
      </c>
      <c r="E99" s="106"/>
      <c r="F99" s="106"/>
      <c r="G99" s="106"/>
      <c r="H99" s="106"/>
      <c r="I99" s="106"/>
      <c r="J99" s="106"/>
      <c r="K99" s="106"/>
      <c r="L99" s="106"/>
      <c r="M99" s="106"/>
      <c r="N99" s="106"/>
      <c r="O99" s="106"/>
      <c r="P99" s="106"/>
      <c r="Q99" s="106"/>
      <c r="R99" s="106"/>
      <c r="S99" s="107"/>
    </row>
    <row r="100" spans="1:19" ht="6" customHeight="1" x14ac:dyDescent="0.15"/>
    <row r="101" spans="1:19" ht="18.75" customHeight="1" x14ac:dyDescent="0.15">
      <c r="A101" s="1" t="s">
        <v>120</v>
      </c>
    </row>
    <row r="102" spans="1:19" ht="81.75" customHeight="1" x14ac:dyDescent="0.15">
      <c r="B102" s="108" t="s">
        <v>153</v>
      </c>
      <c r="C102" s="109"/>
      <c r="D102" s="109"/>
      <c r="E102" s="109"/>
      <c r="F102" s="109"/>
      <c r="G102" s="109"/>
      <c r="H102" s="109"/>
      <c r="I102" s="109"/>
      <c r="J102" s="109"/>
      <c r="K102" s="109"/>
      <c r="L102" s="109"/>
      <c r="M102" s="109"/>
      <c r="N102" s="109"/>
      <c r="O102" s="109"/>
      <c r="P102" s="109"/>
      <c r="Q102" s="109"/>
      <c r="R102" s="109"/>
      <c r="S102" s="110"/>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2" priority="1">
      <formula>$K$7="学部・学科によって、修了要件は相違しない"</formula>
    </cfRule>
  </conditionalFormatting>
  <dataValidations count="5">
    <dataValidation type="list" allowBlank="1" showInputMessage="1" showErrorMessage="1" sqref="G25:I31 Q25:S31 P69:S75 Q36:S42 G36:I42 Q47:S53 G47:I53 Q58:S64 F69:I75 G58:I64">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view="pageBreakPreview" zoomScale="85" zoomScaleNormal="100" zoomScaleSheetLayoutView="85" workbookViewId="0">
      <selection activeCell="W75" sqref="W75"/>
    </sheetView>
  </sheetViews>
  <sheetFormatPr defaultColWidth="9" defaultRowHeight="18.75" customHeight="1" x14ac:dyDescent="0.15"/>
  <cols>
    <col min="1" max="1" width="2.5" style="83" customWidth="1"/>
    <col min="2" max="2" width="16.5" style="83" customWidth="1"/>
    <col min="3" max="19" width="5.625" style="83" customWidth="1"/>
    <col min="20" max="20" width="9" style="83"/>
    <col min="21" max="21" width="3.625" style="83" customWidth="1"/>
    <col min="22" max="22" width="48.625" style="83" hidden="1" customWidth="1"/>
    <col min="23" max="16384" width="9" style="83"/>
  </cols>
  <sheetData>
    <row r="1" spans="1:22" ht="18.600000000000001" customHeight="1" x14ac:dyDescent="0.15">
      <c r="R1" s="165" t="s">
        <v>156</v>
      </c>
      <c r="S1" s="165"/>
      <c r="T1" s="2" t="s">
        <v>109</v>
      </c>
    </row>
    <row r="2" spans="1:22" ht="18.75" customHeight="1" x14ac:dyDescent="0.15">
      <c r="B2" s="81" t="s">
        <v>108</v>
      </c>
      <c r="C2" s="144" t="s">
        <v>126</v>
      </c>
      <c r="D2" s="125"/>
      <c r="E2" s="125"/>
      <c r="F2" s="125"/>
      <c r="G2" s="125"/>
      <c r="H2" s="125"/>
      <c r="I2" s="126"/>
      <c r="J2" s="80"/>
      <c r="K2" s="6"/>
      <c r="L2" s="6"/>
      <c r="M2" s="6"/>
      <c r="N2" s="6"/>
      <c r="O2" s="6"/>
      <c r="P2" s="6"/>
      <c r="Q2" s="6"/>
      <c r="R2" s="6"/>
      <c r="S2" s="6"/>
    </row>
    <row r="3" spans="1:22" ht="18.75" customHeight="1" x14ac:dyDescent="0.15">
      <c r="B3" s="81" t="s">
        <v>102</v>
      </c>
      <c r="C3" s="166" t="s">
        <v>127</v>
      </c>
      <c r="D3" s="167"/>
      <c r="E3" s="167"/>
      <c r="F3" s="167"/>
      <c r="G3" s="167"/>
      <c r="H3" s="167"/>
      <c r="I3" s="168"/>
      <c r="J3" s="80"/>
      <c r="K3" s="6"/>
      <c r="L3" s="6"/>
      <c r="M3" s="6"/>
      <c r="N3" s="6"/>
      <c r="O3" s="6"/>
      <c r="P3" s="6"/>
      <c r="Q3" s="6"/>
      <c r="R3" s="6"/>
      <c r="S3" s="6"/>
    </row>
    <row r="4" spans="1:22" ht="15" customHeight="1" x14ac:dyDescent="0.15">
      <c r="K4" s="80"/>
      <c r="L4" s="35"/>
      <c r="M4" s="35"/>
      <c r="N4" s="35"/>
      <c r="O4" s="35"/>
      <c r="P4" s="35"/>
      <c r="Q4" s="35"/>
      <c r="R4" s="35"/>
      <c r="S4" s="35"/>
    </row>
    <row r="5" spans="1:22" ht="18" customHeight="1" x14ac:dyDescent="0.15">
      <c r="A5" s="169" t="s">
        <v>38</v>
      </c>
      <c r="B5" s="169"/>
      <c r="C5" s="169"/>
      <c r="D5" s="169"/>
      <c r="E5" s="169"/>
      <c r="F5" s="169"/>
      <c r="G5" s="169"/>
      <c r="H5" s="169"/>
      <c r="I5" s="169"/>
      <c r="J5" s="169"/>
      <c r="K5" s="169"/>
      <c r="L5" s="169"/>
      <c r="M5" s="169"/>
      <c r="N5" s="169"/>
      <c r="O5" s="169"/>
      <c r="P5" s="169"/>
      <c r="Q5" s="169"/>
      <c r="R5" s="169"/>
      <c r="S5" s="169"/>
    </row>
    <row r="6" spans="1:22" ht="15" customHeight="1" x14ac:dyDescent="0.15">
      <c r="B6" s="84"/>
      <c r="C6" s="84"/>
      <c r="D6" s="84"/>
      <c r="E6" s="84"/>
      <c r="F6" s="84"/>
      <c r="G6" s="84"/>
      <c r="H6" s="84"/>
      <c r="I6" s="84"/>
      <c r="J6" s="84"/>
      <c r="K6" s="84"/>
      <c r="L6" s="84"/>
      <c r="M6" s="84"/>
      <c r="N6" s="84"/>
      <c r="O6" s="84"/>
      <c r="P6" s="84"/>
      <c r="Q6" s="84"/>
      <c r="R6" s="84"/>
      <c r="S6" s="84"/>
    </row>
    <row r="7" spans="1:22" ht="18" customHeight="1" x14ac:dyDescent="0.15">
      <c r="A7" s="83" t="s">
        <v>124</v>
      </c>
      <c r="C7" s="84"/>
      <c r="J7" s="36" t="s">
        <v>107</v>
      </c>
      <c r="K7" s="170" t="s">
        <v>128</v>
      </c>
      <c r="L7" s="171"/>
      <c r="M7" s="171"/>
      <c r="N7" s="171"/>
      <c r="O7" s="171"/>
      <c r="P7" s="171"/>
      <c r="Q7" s="171"/>
      <c r="R7" s="171"/>
      <c r="S7" s="172"/>
    </row>
    <row r="8" spans="1:22" ht="6" customHeight="1" x14ac:dyDescent="0.15">
      <c r="B8" s="84"/>
      <c r="C8" s="84"/>
      <c r="D8" s="84"/>
      <c r="E8" s="84"/>
      <c r="F8" s="84"/>
      <c r="G8" s="84"/>
      <c r="H8" s="84"/>
      <c r="I8" s="84"/>
      <c r="J8" s="84"/>
      <c r="K8" s="10"/>
      <c r="L8" s="84"/>
      <c r="M8" s="84"/>
      <c r="N8" s="84"/>
      <c r="O8" s="84"/>
      <c r="P8" s="84"/>
      <c r="Q8" s="84"/>
      <c r="R8" s="84"/>
      <c r="S8" s="84"/>
    </row>
    <row r="9" spans="1:22" ht="18" customHeight="1" x14ac:dyDescent="0.15">
      <c r="B9" s="173" t="s">
        <v>191</v>
      </c>
      <c r="C9" s="174"/>
      <c r="D9" s="174"/>
      <c r="E9" s="174"/>
      <c r="F9" s="174"/>
      <c r="G9" s="174"/>
      <c r="H9" s="174"/>
      <c r="I9" s="174"/>
      <c r="J9" s="174"/>
      <c r="K9" s="174"/>
      <c r="L9" s="174"/>
      <c r="M9" s="174"/>
      <c r="N9" s="174"/>
      <c r="O9" s="174"/>
      <c r="P9" s="174"/>
      <c r="Q9" s="174"/>
      <c r="R9" s="174"/>
      <c r="S9" s="175"/>
    </row>
    <row r="10" spans="1:22" ht="18" customHeight="1" x14ac:dyDescent="0.15">
      <c r="B10" s="176"/>
      <c r="C10" s="177"/>
      <c r="D10" s="177"/>
      <c r="E10" s="177"/>
      <c r="F10" s="177"/>
      <c r="G10" s="177"/>
      <c r="H10" s="177"/>
      <c r="I10" s="177"/>
      <c r="J10" s="177"/>
      <c r="K10" s="177"/>
      <c r="L10" s="177"/>
      <c r="M10" s="177"/>
      <c r="N10" s="177"/>
      <c r="O10" s="177"/>
      <c r="P10" s="177"/>
      <c r="Q10" s="177"/>
      <c r="R10" s="177"/>
      <c r="S10" s="178"/>
    </row>
    <row r="11" spans="1:22" ht="6" customHeight="1" x14ac:dyDescent="0.15">
      <c r="B11" s="84"/>
      <c r="C11" s="84"/>
      <c r="D11" s="84"/>
      <c r="E11" s="84"/>
      <c r="F11" s="84"/>
      <c r="G11" s="84"/>
      <c r="H11" s="84"/>
      <c r="I11" s="84"/>
      <c r="J11" s="84"/>
      <c r="K11" s="10"/>
      <c r="L11" s="84"/>
      <c r="M11" s="84"/>
      <c r="N11" s="84"/>
      <c r="O11" s="84"/>
      <c r="P11" s="84"/>
      <c r="Q11" s="84"/>
      <c r="R11" s="84"/>
      <c r="S11" s="84"/>
    </row>
    <row r="12" spans="1:22" ht="18" customHeight="1" x14ac:dyDescent="0.15">
      <c r="A12" s="83" t="s">
        <v>111</v>
      </c>
      <c r="B12" s="84"/>
      <c r="C12" s="84"/>
      <c r="D12" s="80"/>
      <c r="E12" s="80"/>
      <c r="F12" s="80"/>
      <c r="G12" s="80"/>
      <c r="H12" s="80"/>
      <c r="I12" s="80"/>
      <c r="J12" s="80"/>
      <c r="K12" s="37"/>
      <c r="L12" s="37"/>
      <c r="M12" s="37"/>
      <c r="N12" s="37"/>
      <c r="O12" s="37"/>
      <c r="P12" s="37"/>
      <c r="Q12" s="37"/>
      <c r="R12" s="37"/>
      <c r="S12" s="37"/>
    </row>
    <row r="13" spans="1:22" ht="18" customHeight="1" x14ac:dyDescent="0.15">
      <c r="B13" s="153" t="s">
        <v>157</v>
      </c>
      <c r="C13" s="154"/>
      <c r="D13" s="154"/>
      <c r="E13" s="154"/>
      <c r="F13" s="154"/>
      <c r="G13" s="154"/>
      <c r="H13" s="154"/>
      <c r="I13" s="154"/>
      <c r="J13" s="154"/>
      <c r="K13" s="154"/>
      <c r="L13" s="154"/>
      <c r="M13" s="154"/>
      <c r="N13" s="154"/>
      <c r="O13" s="154"/>
      <c r="P13" s="154"/>
      <c r="Q13" s="154"/>
      <c r="R13" s="154"/>
      <c r="S13" s="155"/>
      <c r="V13" s="83" t="s">
        <v>103</v>
      </c>
    </row>
    <row r="14" spans="1:22" ht="18" customHeight="1" x14ac:dyDescent="0.15">
      <c r="B14" s="156"/>
      <c r="C14" s="157"/>
      <c r="D14" s="157"/>
      <c r="E14" s="157"/>
      <c r="F14" s="157"/>
      <c r="G14" s="157"/>
      <c r="H14" s="157"/>
      <c r="I14" s="157"/>
      <c r="J14" s="157"/>
      <c r="K14" s="157"/>
      <c r="L14" s="157"/>
      <c r="M14" s="157"/>
      <c r="N14" s="157"/>
      <c r="O14" s="157"/>
      <c r="P14" s="157"/>
      <c r="Q14" s="157"/>
      <c r="R14" s="157"/>
      <c r="S14" s="158"/>
      <c r="V14" s="83" t="s">
        <v>110</v>
      </c>
    </row>
    <row r="15" spans="1:22" ht="18" customHeight="1" x14ac:dyDescent="0.15">
      <c r="B15" s="156"/>
      <c r="C15" s="157"/>
      <c r="D15" s="157"/>
      <c r="E15" s="157"/>
      <c r="F15" s="157"/>
      <c r="G15" s="157"/>
      <c r="H15" s="157"/>
      <c r="I15" s="157"/>
      <c r="J15" s="157"/>
      <c r="K15" s="157"/>
      <c r="L15" s="157"/>
      <c r="M15" s="157"/>
      <c r="N15" s="157"/>
      <c r="O15" s="157"/>
      <c r="P15" s="157"/>
      <c r="Q15" s="157"/>
      <c r="R15" s="157"/>
      <c r="S15" s="158"/>
      <c r="V15" s="83" t="s">
        <v>123</v>
      </c>
    </row>
    <row r="16" spans="1:22" ht="18" customHeight="1" x14ac:dyDescent="0.15">
      <c r="B16" s="156"/>
      <c r="C16" s="157"/>
      <c r="D16" s="157"/>
      <c r="E16" s="157"/>
      <c r="F16" s="157"/>
      <c r="G16" s="157"/>
      <c r="H16" s="157"/>
      <c r="I16" s="157"/>
      <c r="J16" s="157"/>
      <c r="K16" s="157"/>
      <c r="L16" s="157"/>
      <c r="M16" s="157"/>
      <c r="N16" s="157"/>
      <c r="O16" s="157"/>
      <c r="P16" s="157"/>
      <c r="Q16" s="157"/>
      <c r="R16" s="157"/>
      <c r="S16" s="158"/>
      <c r="V16" s="83" t="s">
        <v>125</v>
      </c>
    </row>
    <row r="17" spans="1:19" ht="18" customHeight="1" x14ac:dyDescent="0.15">
      <c r="B17" s="156"/>
      <c r="C17" s="157"/>
      <c r="D17" s="157"/>
      <c r="E17" s="157"/>
      <c r="F17" s="157"/>
      <c r="G17" s="157"/>
      <c r="H17" s="157"/>
      <c r="I17" s="157"/>
      <c r="J17" s="157"/>
      <c r="K17" s="157"/>
      <c r="L17" s="157"/>
      <c r="M17" s="157"/>
      <c r="N17" s="157"/>
      <c r="O17" s="157"/>
      <c r="P17" s="157"/>
      <c r="Q17" s="157"/>
      <c r="R17" s="157"/>
      <c r="S17" s="158"/>
    </row>
    <row r="18" spans="1:19" ht="18" customHeight="1" x14ac:dyDescent="0.15">
      <c r="B18" s="159"/>
      <c r="C18" s="160"/>
      <c r="D18" s="160"/>
      <c r="E18" s="160"/>
      <c r="F18" s="160"/>
      <c r="G18" s="160"/>
      <c r="H18" s="160"/>
      <c r="I18" s="160"/>
      <c r="J18" s="160"/>
      <c r="K18" s="160"/>
      <c r="L18" s="160"/>
      <c r="M18" s="160"/>
      <c r="N18" s="160"/>
      <c r="O18" s="160"/>
      <c r="P18" s="160"/>
      <c r="Q18" s="160"/>
      <c r="R18" s="160"/>
      <c r="S18" s="161"/>
    </row>
    <row r="19" spans="1:19" ht="7.5" customHeight="1" x14ac:dyDescent="0.15">
      <c r="B19" s="84"/>
      <c r="C19" s="84"/>
      <c r="D19" s="84"/>
      <c r="E19" s="84"/>
      <c r="F19" s="84"/>
      <c r="G19" s="84"/>
      <c r="H19" s="84"/>
      <c r="I19" s="84"/>
      <c r="J19" s="84"/>
      <c r="K19" s="84"/>
      <c r="L19" s="84"/>
      <c r="M19" s="84"/>
      <c r="N19" s="84"/>
      <c r="O19" s="84"/>
      <c r="P19" s="84"/>
      <c r="Q19" s="84"/>
      <c r="R19" s="84"/>
      <c r="S19" s="84"/>
    </row>
    <row r="20" spans="1:19" ht="19.899999999999999" customHeight="1" x14ac:dyDescent="0.15">
      <c r="B20" s="83" t="s">
        <v>112</v>
      </c>
      <c r="C20" s="144">
        <v>4</v>
      </c>
      <c r="D20" s="126"/>
      <c r="E20" s="38" t="s">
        <v>95</v>
      </c>
      <c r="G20" s="10"/>
      <c r="H20" s="84"/>
      <c r="I20" s="84"/>
      <c r="J20" s="80" t="s">
        <v>121</v>
      </c>
      <c r="K20" s="162" t="s">
        <v>110</v>
      </c>
      <c r="L20" s="163"/>
      <c r="M20" s="163"/>
      <c r="N20" s="163"/>
      <c r="O20" s="163"/>
      <c r="P20" s="163"/>
      <c r="Q20" s="163"/>
      <c r="R20" s="163"/>
      <c r="S20" s="164"/>
    </row>
    <row r="21" spans="1:19" ht="7.5" customHeight="1" x14ac:dyDescent="0.15">
      <c r="B21" s="84"/>
      <c r="C21" s="84"/>
      <c r="D21" s="84"/>
      <c r="E21" s="84"/>
      <c r="F21" s="84"/>
      <c r="G21" s="84"/>
      <c r="H21" s="84"/>
      <c r="I21" s="84"/>
      <c r="J21" s="84"/>
      <c r="K21" s="84"/>
      <c r="L21" s="84"/>
      <c r="M21" s="84"/>
      <c r="N21" s="84"/>
      <c r="O21" s="84"/>
      <c r="P21" s="84"/>
      <c r="Q21" s="84"/>
      <c r="R21" s="84"/>
      <c r="S21" s="84"/>
    </row>
    <row r="22" spans="1:19" ht="18" customHeight="1" x14ac:dyDescent="0.15">
      <c r="A22" s="152" t="s">
        <v>113</v>
      </c>
      <c r="B22" s="152"/>
      <c r="C22" s="152"/>
      <c r="D22" s="152"/>
      <c r="E22" s="152"/>
      <c r="F22" s="152"/>
      <c r="G22" s="152"/>
      <c r="H22" s="152"/>
      <c r="I22" s="152"/>
      <c r="J22" s="152"/>
      <c r="K22" s="152"/>
      <c r="L22" s="152"/>
      <c r="M22" s="152"/>
      <c r="N22" s="152"/>
      <c r="O22" s="152"/>
      <c r="P22" s="152"/>
      <c r="Q22" s="152"/>
      <c r="R22" s="152"/>
      <c r="S22" s="152"/>
    </row>
    <row r="23" spans="1:19" ht="18" customHeight="1" x14ac:dyDescent="0.15">
      <c r="A23" s="152"/>
      <c r="B23" s="152"/>
      <c r="C23" s="152"/>
      <c r="D23" s="152"/>
      <c r="E23" s="152"/>
      <c r="F23" s="152"/>
      <c r="G23" s="152"/>
      <c r="H23" s="152"/>
      <c r="I23" s="152"/>
      <c r="J23" s="152"/>
      <c r="K23" s="152"/>
      <c r="L23" s="152"/>
      <c r="M23" s="152"/>
      <c r="N23" s="152"/>
      <c r="O23" s="152"/>
      <c r="P23" s="152"/>
      <c r="Q23" s="152"/>
      <c r="R23" s="152"/>
      <c r="S23" s="152"/>
    </row>
    <row r="24" spans="1:19" ht="18" customHeight="1" x14ac:dyDescent="0.15">
      <c r="B24" s="144" t="s">
        <v>53</v>
      </c>
      <c r="C24" s="125"/>
      <c r="D24" s="125"/>
      <c r="E24" s="126"/>
      <c r="F24" s="59" t="s">
        <v>80</v>
      </c>
      <c r="G24" s="58" t="s">
        <v>84</v>
      </c>
      <c r="H24" s="21" t="s">
        <v>56</v>
      </c>
      <c r="I24" s="21" t="s">
        <v>59</v>
      </c>
      <c r="J24" s="144" t="s">
        <v>53</v>
      </c>
      <c r="K24" s="125"/>
      <c r="L24" s="125"/>
      <c r="M24" s="125"/>
      <c r="N24" s="125"/>
      <c r="O24" s="126"/>
      <c r="P24" s="59" t="s">
        <v>80</v>
      </c>
      <c r="Q24" s="58" t="s">
        <v>84</v>
      </c>
      <c r="R24" s="21" t="s">
        <v>56</v>
      </c>
      <c r="S24" s="21" t="s">
        <v>59</v>
      </c>
    </row>
    <row r="25" spans="1:19" ht="18" customHeight="1" x14ac:dyDescent="0.15">
      <c r="B25" s="148" t="s">
        <v>158</v>
      </c>
      <c r="C25" s="100"/>
      <c r="D25" s="100"/>
      <c r="E25" s="101"/>
      <c r="F25" s="22">
        <v>1</v>
      </c>
      <c r="G25" s="22" t="s">
        <v>136</v>
      </c>
      <c r="H25" s="22" t="s">
        <v>136</v>
      </c>
      <c r="I25" s="22" t="s">
        <v>136</v>
      </c>
      <c r="J25" s="148"/>
      <c r="K25" s="100"/>
      <c r="L25" s="100"/>
      <c r="M25" s="100"/>
      <c r="N25" s="100"/>
      <c r="O25" s="101"/>
      <c r="P25" s="22"/>
      <c r="Q25" s="22"/>
      <c r="R25" s="22"/>
      <c r="S25" s="22"/>
    </row>
    <row r="26" spans="1:19" ht="18" customHeight="1" x14ac:dyDescent="0.15">
      <c r="B26" s="136" t="s">
        <v>132</v>
      </c>
      <c r="C26" s="103"/>
      <c r="D26" s="103"/>
      <c r="E26" s="104"/>
      <c r="F26" s="23">
        <v>1</v>
      </c>
      <c r="G26" s="23" t="s">
        <v>136</v>
      </c>
      <c r="H26" s="23" t="s">
        <v>136</v>
      </c>
      <c r="I26" s="23"/>
      <c r="J26" s="136"/>
      <c r="K26" s="103"/>
      <c r="L26" s="103"/>
      <c r="M26" s="103"/>
      <c r="N26" s="103"/>
      <c r="O26" s="104"/>
      <c r="P26" s="23"/>
      <c r="Q26" s="23"/>
      <c r="R26" s="23"/>
      <c r="S26" s="23"/>
    </row>
    <row r="27" spans="1:19" ht="18" customHeight="1" x14ac:dyDescent="0.15">
      <c r="B27" s="136"/>
      <c r="C27" s="103"/>
      <c r="D27" s="103"/>
      <c r="E27" s="104"/>
      <c r="F27" s="23"/>
      <c r="G27" s="23"/>
      <c r="H27" s="23"/>
      <c r="I27" s="23"/>
      <c r="J27" s="136"/>
      <c r="K27" s="103"/>
      <c r="L27" s="103"/>
      <c r="M27" s="103"/>
      <c r="N27" s="103"/>
      <c r="O27" s="104"/>
      <c r="P27" s="23"/>
      <c r="Q27" s="23"/>
      <c r="R27" s="23"/>
      <c r="S27" s="23"/>
    </row>
    <row r="28" spans="1:19" ht="18" customHeight="1" x14ac:dyDescent="0.15">
      <c r="B28" s="136"/>
      <c r="C28" s="103"/>
      <c r="D28" s="103"/>
      <c r="E28" s="104"/>
      <c r="F28" s="23"/>
      <c r="G28" s="23"/>
      <c r="H28" s="23"/>
      <c r="I28" s="23"/>
      <c r="J28" s="136"/>
      <c r="K28" s="103"/>
      <c r="L28" s="103"/>
      <c r="M28" s="103"/>
      <c r="N28" s="103"/>
      <c r="O28" s="104"/>
      <c r="P28" s="23"/>
      <c r="Q28" s="23"/>
      <c r="R28" s="23"/>
      <c r="S28" s="23"/>
    </row>
    <row r="29" spans="1:19" ht="18" customHeight="1" x14ac:dyDescent="0.15">
      <c r="B29" s="136"/>
      <c r="C29" s="103"/>
      <c r="D29" s="103"/>
      <c r="E29" s="104"/>
      <c r="F29" s="23"/>
      <c r="G29" s="23"/>
      <c r="H29" s="23"/>
      <c r="I29" s="23"/>
      <c r="J29" s="136"/>
      <c r="K29" s="103"/>
      <c r="L29" s="103"/>
      <c r="M29" s="103"/>
      <c r="N29" s="103"/>
      <c r="O29" s="104"/>
      <c r="P29" s="23"/>
      <c r="Q29" s="23"/>
      <c r="R29" s="23"/>
      <c r="S29" s="23"/>
    </row>
    <row r="30" spans="1:19" ht="18" customHeight="1" x14ac:dyDescent="0.15">
      <c r="A30" s="84"/>
      <c r="B30" s="136"/>
      <c r="C30" s="103"/>
      <c r="D30" s="103"/>
      <c r="E30" s="104"/>
      <c r="F30" s="23"/>
      <c r="G30" s="23"/>
      <c r="H30" s="23"/>
      <c r="I30" s="23"/>
      <c r="J30" s="136"/>
      <c r="K30" s="103"/>
      <c r="L30" s="103"/>
      <c r="M30" s="103"/>
      <c r="N30" s="103"/>
      <c r="O30" s="104"/>
      <c r="P30" s="23"/>
      <c r="Q30" s="23"/>
      <c r="R30" s="23"/>
      <c r="S30" s="23"/>
    </row>
    <row r="31" spans="1:19" ht="18" customHeight="1" x14ac:dyDescent="0.15">
      <c r="A31" s="84"/>
      <c r="B31" s="141"/>
      <c r="C31" s="142"/>
      <c r="D31" s="142"/>
      <c r="E31" s="143"/>
      <c r="F31" s="24"/>
      <c r="G31" s="24"/>
      <c r="H31" s="25"/>
      <c r="I31" s="25"/>
      <c r="J31" s="141"/>
      <c r="K31" s="142"/>
      <c r="L31" s="142"/>
      <c r="M31" s="142"/>
      <c r="N31" s="142"/>
      <c r="O31" s="143"/>
      <c r="P31" s="24"/>
      <c r="Q31" s="24"/>
      <c r="R31" s="25"/>
      <c r="S31" s="25"/>
    </row>
    <row r="32" spans="1:19" ht="7.5" customHeight="1" x14ac:dyDescent="0.15">
      <c r="A32" s="84"/>
      <c r="B32" s="6"/>
      <c r="C32" s="6"/>
      <c r="D32" s="84"/>
      <c r="E32" s="84"/>
      <c r="F32" s="84"/>
      <c r="G32" s="84"/>
      <c r="H32" s="6"/>
      <c r="I32" s="6"/>
      <c r="J32" s="6"/>
      <c r="K32" s="6"/>
      <c r="L32" s="6"/>
      <c r="M32" s="6"/>
      <c r="N32" s="6"/>
      <c r="O32" s="6"/>
      <c r="P32" s="6"/>
      <c r="Q32" s="6"/>
      <c r="R32" s="6"/>
      <c r="S32" s="84"/>
    </row>
    <row r="33" spans="1:19" ht="18" customHeight="1" x14ac:dyDescent="0.15">
      <c r="A33" s="152" t="s">
        <v>114</v>
      </c>
      <c r="B33" s="152"/>
      <c r="C33" s="152"/>
      <c r="D33" s="152"/>
      <c r="E33" s="152"/>
      <c r="F33" s="152"/>
      <c r="G33" s="152"/>
      <c r="H33" s="152"/>
      <c r="I33" s="152"/>
      <c r="J33" s="152"/>
      <c r="K33" s="152"/>
      <c r="L33" s="152"/>
      <c r="M33" s="152"/>
      <c r="N33" s="152"/>
      <c r="O33" s="152"/>
      <c r="P33" s="152"/>
      <c r="Q33" s="152"/>
      <c r="R33" s="152"/>
      <c r="S33" s="152"/>
    </row>
    <row r="34" spans="1:19" ht="18" customHeight="1" x14ac:dyDescent="0.15">
      <c r="A34" s="152"/>
      <c r="B34" s="152"/>
      <c r="C34" s="152"/>
      <c r="D34" s="152"/>
      <c r="E34" s="152"/>
      <c r="F34" s="152"/>
      <c r="G34" s="152"/>
      <c r="H34" s="152"/>
      <c r="I34" s="152"/>
      <c r="J34" s="152"/>
      <c r="K34" s="152"/>
      <c r="L34" s="152"/>
      <c r="M34" s="152"/>
      <c r="N34" s="152"/>
      <c r="O34" s="152"/>
      <c r="P34" s="152"/>
      <c r="Q34" s="152"/>
      <c r="R34" s="152"/>
      <c r="S34" s="152"/>
    </row>
    <row r="35" spans="1:19" ht="18" customHeight="1" x14ac:dyDescent="0.15">
      <c r="B35" s="144" t="s">
        <v>53</v>
      </c>
      <c r="C35" s="125"/>
      <c r="D35" s="125"/>
      <c r="E35" s="126"/>
      <c r="F35" s="59" t="s">
        <v>80</v>
      </c>
      <c r="G35" s="58" t="s">
        <v>84</v>
      </c>
      <c r="H35" s="21" t="s">
        <v>71</v>
      </c>
      <c r="I35" s="21" t="s">
        <v>72</v>
      </c>
      <c r="J35" s="144" t="s">
        <v>53</v>
      </c>
      <c r="K35" s="125"/>
      <c r="L35" s="125"/>
      <c r="M35" s="125"/>
      <c r="N35" s="125"/>
      <c r="O35" s="126"/>
      <c r="P35" s="59" t="s">
        <v>80</v>
      </c>
      <c r="Q35" s="58" t="s">
        <v>84</v>
      </c>
      <c r="R35" s="21" t="s">
        <v>71</v>
      </c>
      <c r="S35" s="21" t="s">
        <v>72</v>
      </c>
    </row>
    <row r="36" spans="1:19" ht="18" customHeight="1" x14ac:dyDescent="0.15">
      <c r="B36" s="148" t="s">
        <v>158</v>
      </c>
      <c r="C36" s="100"/>
      <c r="D36" s="100"/>
      <c r="E36" s="101"/>
      <c r="F36" s="22">
        <v>1</v>
      </c>
      <c r="G36" s="22" t="s">
        <v>136</v>
      </c>
      <c r="H36" s="22" t="s">
        <v>136</v>
      </c>
      <c r="I36" s="22" t="s">
        <v>136</v>
      </c>
      <c r="J36" s="148"/>
      <c r="K36" s="100"/>
      <c r="L36" s="100"/>
      <c r="M36" s="100"/>
      <c r="N36" s="100"/>
      <c r="O36" s="101"/>
      <c r="P36" s="22"/>
      <c r="Q36" s="22"/>
      <c r="R36" s="22"/>
      <c r="S36" s="22"/>
    </row>
    <row r="37" spans="1:19" ht="18" customHeight="1" x14ac:dyDescent="0.15">
      <c r="B37" s="136" t="s">
        <v>132</v>
      </c>
      <c r="C37" s="103"/>
      <c r="D37" s="103"/>
      <c r="E37" s="104"/>
      <c r="F37" s="23">
        <v>1</v>
      </c>
      <c r="G37" s="23" t="s">
        <v>136</v>
      </c>
      <c r="H37" s="23" t="s">
        <v>136</v>
      </c>
      <c r="I37" s="23"/>
      <c r="J37" s="136"/>
      <c r="K37" s="103"/>
      <c r="L37" s="103"/>
      <c r="M37" s="103"/>
      <c r="N37" s="103"/>
      <c r="O37" s="104"/>
      <c r="P37" s="23"/>
      <c r="Q37" s="23"/>
      <c r="R37" s="23"/>
      <c r="S37" s="23"/>
    </row>
    <row r="38" spans="1:19" ht="18" customHeight="1" x14ac:dyDescent="0.15">
      <c r="B38" s="136"/>
      <c r="C38" s="103"/>
      <c r="D38" s="103"/>
      <c r="E38" s="104"/>
      <c r="F38" s="23"/>
      <c r="G38" s="23"/>
      <c r="H38" s="23"/>
      <c r="I38" s="23"/>
      <c r="J38" s="136"/>
      <c r="K38" s="103"/>
      <c r="L38" s="103"/>
      <c r="M38" s="103"/>
      <c r="N38" s="103"/>
      <c r="O38" s="104"/>
      <c r="P38" s="23"/>
      <c r="Q38" s="23"/>
      <c r="R38" s="23"/>
      <c r="S38" s="23"/>
    </row>
    <row r="39" spans="1:19" ht="18" customHeight="1" x14ac:dyDescent="0.15">
      <c r="B39" s="136"/>
      <c r="C39" s="103"/>
      <c r="D39" s="103"/>
      <c r="E39" s="104"/>
      <c r="F39" s="23"/>
      <c r="G39" s="23"/>
      <c r="H39" s="23"/>
      <c r="I39" s="23"/>
      <c r="J39" s="136"/>
      <c r="K39" s="103"/>
      <c r="L39" s="103"/>
      <c r="M39" s="103"/>
      <c r="N39" s="103"/>
      <c r="O39" s="104"/>
      <c r="P39" s="23"/>
      <c r="Q39" s="23"/>
      <c r="R39" s="23"/>
      <c r="S39" s="23"/>
    </row>
    <row r="40" spans="1:19" ht="18" customHeight="1" x14ac:dyDescent="0.15">
      <c r="B40" s="136"/>
      <c r="C40" s="103"/>
      <c r="D40" s="103"/>
      <c r="E40" s="104"/>
      <c r="F40" s="23"/>
      <c r="G40" s="23"/>
      <c r="H40" s="23"/>
      <c r="I40" s="23"/>
      <c r="J40" s="136"/>
      <c r="K40" s="103"/>
      <c r="L40" s="103"/>
      <c r="M40" s="103"/>
      <c r="N40" s="103"/>
      <c r="O40" s="104"/>
      <c r="P40" s="23"/>
      <c r="Q40" s="23"/>
      <c r="R40" s="23"/>
      <c r="S40" s="23"/>
    </row>
    <row r="41" spans="1:19" ht="18" customHeight="1" x14ac:dyDescent="0.15">
      <c r="B41" s="136"/>
      <c r="C41" s="103"/>
      <c r="D41" s="103"/>
      <c r="E41" s="104"/>
      <c r="F41" s="23"/>
      <c r="G41" s="23"/>
      <c r="H41" s="23"/>
      <c r="I41" s="23"/>
      <c r="J41" s="136"/>
      <c r="K41" s="103"/>
      <c r="L41" s="103"/>
      <c r="M41" s="103"/>
      <c r="N41" s="103"/>
      <c r="O41" s="104"/>
      <c r="P41" s="23"/>
      <c r="Q41" s="23"/>
      <c r="R41" s="23"/>
      <c r="S41" s="23"/>
    </row>
    <row r="42" spans="1:19" ht="18" customHeight="1" x14ac:dyDescent="0.15">
      <c r="B42" s="141"/>
      <c r="C42" s="142"/>
      <c r="D42" s="142"/>
      <c r="E42" s="143"/>
      <c r="F42" s="24"/>
      <c r="G42" s="24"/>
      <c r="H42" s="25"/>
      <c r="I42" s="25"/>
      <c r="J42" s="141"/>
      <c r="K42" s="142"/>
      <c r="L42" s="142"/>
      <c r="M42" s="142"/>
      <c r="N42" s="142"/>
      <c r="O42" s="143"/>
      <c r="P42" s="24"/>
      <c r="Q42" s="24"/>
      <c r="R42" s="25"/>
      <c r="S42" s="25"/>
    </row>
    <row r="43" spans="1:19" ht="7.5" customHeight="1" x14ac:dyDescent="0.15">
      <c r="A43" s="84"/>
      <c r="B43" s="6"/>
      <c r="C43" s="6"/>
      <c r="D43" s="84"/>
      <c r="E43" s="84"/>
      <c r="F43" s="84"/>
      <c r="G43" s="84"/>
      <c r="H43" s="6"/>
      <c r="I43" s="6"/>
      <c r="J43" s="6"/>
      <c r="K43" s="6"/>
      <c r="L43" s="6"/>
      <c r="M43" s="6"/>
      <c r="N43" s="6"/>
      <c r="O43" s="6"/>
      <c r="P43" s="6"/>
      <c r="Q43" s="6"/>
      <c r="R43" s="6"/>
      <c r="S43" s="84"/>
    </row>
    <row r="44" spans="1:19" ht="18" customHeight="1" x14ac:dyDescent="0.15">
      <c r="A44" s="152" t="s">
        <v>115</v>
      </c>
      <c r="B44" s="152"/>
      <c r="C44" s="152"/>
      <c r="D44" s="152"/>
      <c r="E44" s="152"/>
      <c r="F44" s="152"/>
      <c r="G44" s="152"/>
      <c r="H44" s="152"/>
      <c r="I44" s="152"/>
      <c r="J44" s="152"/>
      <c r="K44" s="152"/>
      <c r="L44" s="152"/>
      <c r="M44" s="152"/>
      <c r="N44" s="152"/>
      <c r="O44" s="152"/>
      <c r="P44" s="152"/>
      <c r="Q44" s="152"/>
      <c r="R44" s="152"/>
      <c r="S44" s="152"/>
    </row>
    <row r="45" spans="1:19" ht="18" customHeight="1" x14ac:dyDescent="0.15">
      <c r="A45" s="152"/>
      <c r="B45" s="152"/>
      <c r="C45" s="152"/>
      <c r="D45" s="152"/>
      <c r="E45" s="152"/>
      <c r="F45" s="152"/>
      <c r="G45" s="152"/>
      <c r="H45" s="152"/>
      <c r="I45" s="152"/>
      <c r="J45" s="152"/>
      <c r="K45" s="152"/>
      <c r="L45" s="152"/>
      <c r="M45" s="152"/>
      <c r="N45" s="152"/>
      <c r="O45" s="152"/>
      <c r="P45" s="152"/>
      <c r="Q45" s="152"/>
      <c r="R45" s="152"/>
      <c r="S45" s="152"/>
    </row>
    <row r="46" spans="1:19" ht="18" customHeight="1" x14ac:dyDescent="0.15">
      <c r="B46" s="144" t="s">
        <v>53</v>
      </c>
      <c r="C46" s="125"/>
      <c r="D46" s="125"/>
      <c r="E46" s="126"/>
      <c r="F46" s="59" t="s">
        <v>80</v>
      </c>
      <c r="G46" s="58" t="s">
        <v>84</v>
      </c>
      <c r="H46" s="21" t="s">
        <v>73</v>
      </c>
      <c r="I46" s="21" t="s">
        <v>74</v>
      </c>
      <c r="J46" s="144" t="s">
        <v>53</v>
      </c>
      <c r="K46" s="125"/>
      <c r="L46" s="125"/>
      <c r="M46" s="125"/>
      <c r="N46" s="125"/>
      <c r="O46" s="126"/>
      <c r="P46" s="59" t="s">
        <v>80</v>
      </c>
      <c r="Q46" s="58" t="s">
        <v>84</v>
      </c>
      <c r="R46" s="21" t="s">
        <v>73</v>
      </c>
      <c r="S46" s="21" t="s">
        <v>74</v>
      </c>
    </row>
    <row r="47" spans="1:19" ht="18" customHeight="1" x14ac:dyDescent="0.15">
      <c r="A47" s="84"/>
      <c r="B47" s="148" t="s">
        <v>158</v>
      </c>
      <c r="C47" s="100"/>
      <c r="D47" s="100"/>
      <c r="E47" s="101"/>
      <c r="F47" s="22">
        <v>1</v>
      </c>
      <c r="G47" s="22" t="s">
        <v>136</v>
      </c>
      <c r="H47" s="22" t="s">
        <v>136</v>
      </c>
      <c r="I47" s="22" t="s">
        <v>136</v>
      </c>
      <c r="J47" s="148"/>
      <c r="K47" s="100"/>
      <c r="L47" s="100"/>
      <c r="M47" s="100"/>
      <c r="N47" s="100"/>
      <c r="O47" s="101"/>
      <c r="P47" s="22"/>
      <c r="Q47" s="22"/>
      <c r="R47" s="22"/>
      <c r="S47" s="22"/>
    </row>
    <row r="48" spans="1:19" ht="18" customHeight="1" x14ac:dyDescent="0.15">
      <c r="A48" s="84"/>
      <c r="B48" s="136" t="s">
        <v>132</v>
      </c>
      <c r="C48" s="103"/>
      <c r="D48" s="103"/>
      <c r="E48" s="104"/>
      <c r="F48" s="23">
        <v>1</v>
      </c>
      <c r="G48" s="23" t="s">
        <v>136</v>
      </c>
      <c r="H48" s="23"/>
      <c r="I48" s="23" t="s">
        <v>136</v>
      </c>
      <c r="J48" s="136"/>
      <c r="K48" s="103"/>
      <c r="L48" s="103"/>
      <c r="M48" s="103"/>
      <c r="N48" s="103"/>
      <c r="O48" s="104"/>
      <c r="P48" s="23"/>
      <c r="Q48" s="23"/>
      <c r="R48" s="23"/>
      <c r="S48" s="23"/>
    </row>
    <row r="49" spans="1:19" ht="18" customHeight="1" x14ac:dyDescent="0.15">
      <c r="A49" s="84"/>
      <c r="B49" s="136"/>
      <c r="C49" s="103"/>
      <c r="D49" s="103"/>
      <c r="E49" s="104"/>
      <c r="F49" s="23"/>
      <c r="G49" s="23"/>
      <c r="H49" s="23"/>
      <c r="I49" s="23"/>
      <c r="J49" s="136"/>
      <c r="K49" s="103"/>
      <c r="L49" s="103"/>
      <c r="M49" s="103"/>
      <c r="N49" s="103"/>
      <c r="O49" s="104"/>
      <c r="P49" s="23"/>
      <c r="Q49" s="23"/>
      <c r="R49" s="23"/>
      <c r="S49" s="23"/>
    </row>
    <row r="50" spans="1:19" ht="18" customHeight="1" x14ac:dyDescent="0.15">
      <c r="A50" s="84"/>
      <c r="B50" s="136"/>
      <c r="C50" s="103"/>
      <c r="D50" s="103"/>
      <c r="E50" s="104"/>
      <c r="F50" s="23"/>
      <c r="G50" s="23"/>
      <c r="H50" s="23"/>
      <c r="I50" s="23"/>
      <c r="J50" s="136"/>
      <c r="K50" s="103"/>
      <c r="L50" s="103"/>
      <c r="M50" s="103"/>
      <c r="N50" s="103"/>
      <c r="O50" s="104"/>
      <c r="P50" s="23"/>
      <c r="Q50" s="23"/>
      <c r="R50" s="23"/>
      <c r="S50" s="23"/>
    </row>
    <row r="51" spans="1:19" ht="18" customHeight="1" x14ac:dyDescent="0.15">
      <c r="A51" s="84"/>
      <c r="B51" s="136"/>
      <c r="C51" s="103"/>
      <c r="D51" s="103"/>
      <c r="E51" s="104"/>
      <c r="F51" s="23"/>
      <c r="G51" s="23"/>
      <c r="H51" s="23"/>
      <c r="I51" s="23"/>
      <c r="J51" s="136"/>
      <c r="K51" s="103"/>
      <c r="L51" s="103"/>
      <c r="M51" s="103"/>
      <c r="N51" s="103"/>
      <c r="O51" s="104"/>
      <c r="P51" s="23"/>
      <c r="Q51" s="23"/>
      <c r="R51" s="23"/>
      <c r="S51" s="23"/>
    </row>
    <row r="52" spans="1:19" ht="18" customHeight="1" x14ac:dyDescent="0.15">
      <c r="A52" s="84"/>
      <c r="B52" s="136"/>
      <c r="C52" s="103"/>
      <c r="D52" s="103"/>
      <c r="E52" s="104"/>
      <c r="F52" s="23"/>
      <c r="G52" s="23"/>
      <c r="H52" s="23"/>
      <c r="I52" s="23"/>
      <c r="J52" s="136"/>
      <c r="K52" s="103"/>
      <c r="L52" s="103"/>
      <c r="M52" s="103"/>
      <c r="N52" s="103"/>
      <c r="O52" s="104"/>
      <c r="P52" s="23"/>
      <c r="Q52" s="23"/>
      <c r="R52" s="23"/>
      <c r="S52" s="23"/>
    </row>
    <row r="53" spans="1:19" ht="18" customHeight="1" x14ac:dyDescent="0.15">
      <c r="A53" s="84"/>
      <c r="B53" s="141"/>
      <c r="C53" s="142"/>
      <c r="D53" s="142"/>
      <c r="E53" s="143"/>
      <c r="F53" s="24"/>
      <c r="G53" s="24"/>
      <c r="H53" s="25"/>
      <c r="I53" s="25"/>
      <c r="J53" s="141"/>
      <c r="K53" s="142"/>
      <c r="L53" s="142"/>
      <c r="M53" s="142"/>
      <c r="N53" s="142"/>
      <c r="O53" s="143"/>
      <c r="P53" s="24"/>
      <c r="Q53" s="24"/>
      <c r="R53" s="25"/>
      <c r="S53" s="25"/>
    </row>
    <row r="54" spans="1:19" ht="7.5" customHeight="1" x14ac:dyDescent="0.15">
      <c r="B54" s="82"/>
      <c r="C54" s="82"/>
      <c r="D54" s="82"/>
      <c r="E54" s="82"/>
      <c r="F54" s="82"/>
      <c r="G54" s="82"/>
      <c r="H54" s="82"/>
      <c r="I54" s="82"/>
      <c r="J54" s="82"/>
      <c r="K54" s="82"/>
      <c r="L54" s="82"/>
      <c r="M54" s="82"/>
      <c r="N54" s="82"/>
      <c r="O54" s="82"/>
      <c r="P54" s="82"/>
      <c r="Q54" s="82"/>
      <c r="R54" s="82"/>
    </row>
    <row r="55" spans="1:19" ht="18" customHeight="1" x14ac:dyDescent="0.15">
      <c r="A55" s="152" t="s">
        <v>116</v>
      </c>
      <c r="B55" s="152"/>
      <c r="C55" s="152"/>
      <c r="D55" s="152"/>
      <c r="E55" s="152"/>
      <c r="F55" s="152"/>
      <c r="G55" s="152"/>
      <c r="H55" s="152"/>
      <c r="I55" s="152"/>
      <c r="J55" s="152"/>
      <c r="K55" s="152"/>
      <c r="L55" s="152"/>
      <c r="M55" s="152"/>
      <c r="N55" s="152"/>
      <c r="O55" s="152"/>
      <c r="P55" s="152"/>
      <c r="Q55" s="152"/>
      <c r="R55" s="152"/>
      <c r="S55" s="152"/>
    </row>
    <row r="56" spans="1:19" ht="18" customHeight="1" x14ac:dyDescent="0.15">
      <c r="A56" s="152"/>
      <c r="B56" s="152"/>
      <c r="C56" s="152"/>
      <c r="D56" s="152"/>
      <c r="E56" s="152"/>
      <c r="F56" s="152"/>
      <c r="G56" s="152"/>
      <c r="H56" s="152"/>
      <c r="I56" s="152"/>
      <c r="J56" s="152"/>
      <c r="K56" s="152"/>
      <c r="L56" s="152"/>
      <c r="M56" s="152"/>
      <c r="N56" s="152"/>
      <c r="O56" s="152"/>
      <c r="P56" s="152"/>
      <c r="Q56" s="152"/>
      <c r="R56" s="152"/>
      <c r="S56" s="152"/>
    </row>
    <row r="57" spans="1:19" ht="18" customHeight="1" x14ac:dyDescent="0.15">
      <c r="B57" s="144" t="s">
        <v>53</v>
      </c>
      <c r="C57" s="125"/>
      <c r="D57" s="125"/>
      <c r="E57" s="126"/>
      <c r="F57" s="59" t="s">
        <v>80</v>
      </c>
      <c r="G57" s="58" t="s">
        <v>84</v>
      </c>
      <c r="H57" s="21" t="s">
        <v>58</v>
      </c>
      <c r="I57" s="21" t="s">
        <v>60</v>
      </c>
      <c r="J57" s="144" t="s">
        <v>53</v>
      </c>
      <c r="K57" s="125"/>
      <c r="L57" s="125"/>
      <c r="M57" s="125"/>
      <c r="N57" s="125"/>
      <c r="O57" s="126"/>
      <c r="P57" s="59" t="s">
        <v>80</v>
      </c>
      <c r="Q57" s="58" t="s">
        <v>84</v>
      </c>
      <c r="R57" s="21" t="s">
        <v>58</v>
      </c>
      <c r="S57" s="21" t="s">
        <v>60</v>
      </c>
    </row>
    <row r="58" spans="1:19" ht="18" customHeight="1" x14ac:dyDescent="0.15">
      <c r="A58" s="84"/>
      <c r="B58" s="148" t="s">
        <v>158</v>
      </c>
      <c r="C58" s="100"/>
      <c r="D58" s="100"/>
      <c r="E58" s="101"/>
      <c r="F58" s="22">
        <v>1</v>
      </c>
      <c r="G58" s="22" t="s">
        <v>136</v>
      </c>
      <c r="H58" s="22" t="s">
        <v>136</v>
      </c>
      <c r="I58" s="22" t="s">
        <v>136</v>
      </c>
      <c r="J58" s="148"/>
      <c r="K58" s="100"/>
      <c r="L58" s="100"/>
      <c r="M58" s="100"/>
      <c r="N58" s="100"/>
      <c r="O58" s="101"/>
      <c r="P58" s="22"/>
      <c r="Q58" s="22"/>
      <c r="R58" s="22"/>
      <c r="S58" s="22"/>
    </row>
    <row r="59" spans="1:19" ht="18" customHeight="1" x14ac:dyDescent="0.15">
      <c r="A59" s="84"/>
      <c r="B59" s="136"/>
      <c r="C59" s="103"/>
      <c r="D59" s="103"/>
      <c r="E59" s="104"/>
      <c r="F59" s="23"/>
      <c r="G59" s="23"/>
      <c r="H59" s="23"/>
      <c r="I59" s="23"/>
      <c r="J59" s="136"/>
      <c r="K59" s="103"/>
      <c r="L59" s="103"/>
      <c r="M59" s="103"/>
      <c r="N59" s="103"/>
      <c r="O59" s="104"/>
      <c r="P59" s="23"/>
      <c r="Q59" s="23"/>
      <c r="R59" s="23"/>
      <c r="S59" s="23"/>
    </row>
    <row r="60" spans="1:19" ht="18" customHeight="1" x14ac:dyDescent="0.15">
      <c r="A60" s="84"/>
      <c r="B60" s="136"/>
      <c r="C60" s="103"/>
      <c r="D60" s="103"/>
      <c r="E60" s="104"/>
      <c r="F60" s="23"/>
      <c r="G60" s="23"/>
      <c r="H60" s="23"/>
      <c r="I60" s="23"/>
      <c r="J60" s="136"/>
      <c r="K60" s="103"/>
      <c r="L60" s="103"/>
      <c r="M60" s="103"/>
      <c r="N60" s="103"/>
      <c r="O60" s="104"/>
      <c r="P60" s="23"/>
      <c r="Q60" s="23"/>
      <c r="R60" s="23"/>
      <c r="S60" s="23"/>
    </row>
    <row r="61" spans="1:19" ht="18" customHeight="1" x14ac:dyDescent="0.15">
      <c r="A61" s="84"/>
      <c r="B61" s="136"/>
      <c r="C61" s="103"/>
      <c r="D61" s="103"/>
      <c r="E61" s="104"/>
      <c r="F61" s="23"/>
      <c r="G61" s="23"/>
      <c r="H61" s="23"/>
      <c r="I61" s="23"/>
      <c r="J61" s="136"/>
      <c r="K61" s="103"/>
      <c r="L61" s="103"/>
      <c r="M61" s="103"/>
      <c r="N61" s="103"/>
      <c r="O61" s="104"/>
      <c r="P61" s="23"/>
      <c r="Q61" s="23"/>
      <c r="R61" s="23"/>
      <c r="S61" s="23"/>
    </row>
    <row r="62" spans="1:19" ht="18" customHeight="1" x14ac:dyDescent="0.15">
      <c r="A62" s="84"/>
      <c r="B62" s="136"/>
      <c r="C62" s="103"/>
      <c r="D62" s="103"/>
      <c r="E62" s="104"/>
      <c r="F62" s="23"/>
      <c r="G62" s="23"/>
      <c r="H62" s="23"/>
      <c r="I62" s="23"/>
      <c r="J62" s="136"/>
      <c r="K62" s="103"/>
      <c r="L62" s="103"/>
      <c r="M62" s="103"/>
      <c r="N62" s="103"/>
      <c r="O62" s="104"/>
      <c r="P62" s="23"/>
      <c r="Q62" s="23"/>
      <c r="R62" s="23"/>
      <c r="S62" s="23"/>
    </row>
    <row r="63" spans="1:19" ht="18" customHeight="1" x14ac:dyDescent="0.15">
      <c r="A63" s="84"/>
      <c r="B63" s="136"/>
      <c r="C63" s="103"/>
      <c r="D63" s="103"/>
      <c r="E63" s="104"/>
      <c r="F63" s="23"/>
      <c r="G63" s="23"/>
      <c r="H63" s="23"/>
      <c r="I63" s="23"/>
      <c r="J63" s="136"/>
      <c r="K63" s="103"/>
      <c r="L63" s="103"/>
      <c r="M63" s="103"/>
      <c r="N63" s="103"/>
      <c r="O63" s="104"/>
      <c r="P63" s="23"/>
      <c r="Q63" s="23"/>
      <c r="R63" s="23"/>
      <c r="S63" s="23"/>
    </row>
    <row r="64" spans="1:19" ht="18" customHeight="1" x14ac:dyDescent="0.15">
      <c r="A64" s="84"/>
      <c r="B64" s="141"/>
      <c r="C64" s="142"/>
      <c r="D64" s="142"/>
      <c r="E64" s="143"/>
      <c r="F64" s="24"/>
      <c r="G64" s="24"/>
      <c r="H64" s="25"/>
      <c r="I64" s="25"/>
      <c r="J64" s="141"/>
      <c r="K64" s="142"/>
      <c r="L64" s="142"/>
      <c r="M64" s="142"/>
      <c r="N64" s="142"/>
      <c r="O64" s="143"/>
      <c r="P64" s="24"/>
      <c r="Q64" s="24"/>
      <c r="R64" s="25"/>
      <c r="S64" s="25"/>
    </row>
    <row r="65" spans="1:19" ht="7.5" customHeight="1" x14ac:dyDescent="0.15">
      <c r="B65" s="82"/>
      <c r="C65" s="82"/>
      <c r="D65" s="82"/>
      <c r="E65" s="82"/>
      <c r="F65" s="82"/>
      <c r="G65" s="82"/>
      <c r="H65" s="82"/>
      <c r="I65" s="82"/>
      <c r="J65" s="82"/>
      <c r="K65" s="82"/>
      <c r="L65" s="82"/>
      <c r="M65" s="82"/>
      <c r="N65" s="82"/>
      <c r="O65" s="82"/>
      <c r="P65" s="82"/>
      <c r="Q65" s="82"/>
      <c r="R65" s="82"/>
    </row>
    <row r="66" spans="1:19" ht="18" customHeight="1" x14ac:dyDescent="0.15">
      <c r="A66" s="152" t="s">
        <v>117</v>
      </c>
      <c r="B66" s="152"/>
      <c r="C66" s="152"/>
      <c r="D66" s="152"/>
      <c r="E66" s="152"/>
      <c r="F66" s="152"/>
      <c r="G66" s="152"/>
      <c r="H66" s="152"/>
      <c r="I66" s="152"/>
      <c r="J66" s="152"/>
      <c r="K66" s="152"/>
      <c r="L66" s="152"/>
      <c r="M66" s="152"/>
      <c r="N66" s="152"/>
      <c r="O66" s="152"/>
      <c r="P66" s="152"/>
      <c r="Q66" s="152"/>
      <c r="R66" s="152"/>
      <c r="S66" s="152"/>
    </row>
    <row r="67" spans="1:19" ht="18" customHeight="1" x14ac:dyDescent="0.15">
      <c r="A67" s="152"/>
      <c r="B67" s="152"/>
      <c r="C67" s="152"/>
      <c r="D67" s="152"/>
      <c r="E67" s="152"/>
      <c r="F67" s="152"/>
      <c r="G67" s="152"/>
      <c r="H67" s="152"/>
      <c r="I67" s="152"/>
      <c r="J67" s="152"/>
      <c r="K67" s="152"/>
      <c r="L67" s="152"/>
      <c r="M67" s="152"/>
      <c r="N67" s="152"/>
      <c r="O67" s="152"/>
      <c r="P67" s="152"/>
      <c r="Q67" s="152"/>
      <c r="R67" s="152"/>
      <c r="S67" s="152"/>
    </row>
    <row r="68" spans="1:19" ht="18" customHeight="1" x14ac:dyDescent="0.15">
      <c r="B68" s="144" t="s">
        <v>53</v>
      </c>
      <c r="C68" s="125"/>
      <c r="D68" s="125"/>
      <c r="E68" s="59" t="s">
        <v>80</v>
      </c>
      <c r="F68" s="58" t="s">
        <v>84</v>
      </c>
      <c r="G68" s="21" t="s">
        <v>101</v>
      </c>
      <c r="H68" s="21" t="s">
        <v>75</v>
      </c>
      <c r="I68" s="21" t="s">
        <v>76</v>
      </c>
      <c r="J68" s="144" t="s">
        <v>53</v>
      </c>
      <c r="K68" s="125"/>
      <c r="L68" s="125"/>
      <c r="M68" s="125"/>
      <c r="N68" s="126"/>
      <c r="O68" s="59" t="s">
        <v>80</v>
      </c>
      <c r="P68" s="58" t="s">
        <v>84</v>
      </c>
      <c r="Q68" s="21" t="s">
        <v>101</v>
      </c>
      <c r="R68" s="21" t="s">
        <v>75</v>
      </c>
      <c r="S68" s="21" t="s">
        <v>76</v>
      </c>
    </row>
    <row r="69" spans="1:19" ht="18" customHeight="1" x14ac:dyDescent="0.15">
      <c r="A69" s="84"/>
      <c r="B69" s="148" t="s">
        <v>158</v>
      </c>
      <c r="C69" s="100"/>
      <c r="D69" s="101"/>
      <c r="E69" s="22">
        <v>1</v>
      </c>
      <c r="F69" s="22" t="s">
        <v>136</v>
      </c>
      <c r="G69" s="22" t="s">
        <v>136</v>
      </c>
      <c r="H69" s="22" t="s">
        <v>136</v>
      </c>
      <c r="I69" s="22" t="s">
        <v>136</v>
      </c>
      <c r="J69" s="148"/>
      <c r="K69" s="100"/>
      <c r="L69" s="100"/>
      <c r="M69" s="100"/>
      <c r="N69" s="101"/>
      <c r="O69" s="22"/>
      <c r="P69" s="22"/>
      <c r="Q69" s="22"/>
      <c r="R69" s="22"/>
      <c r="S69" s="22"/>
    </row>
    <row r="70" spans="1:19" ht="18" customHeight="1" x14ac:dyDescent="0.15">
      <c r="A70" s="84"/>
      <c r="B70" s="136" t="s">
        <v>137</v>
      </c>
      <c r="C70" s="103"/>
      <c r="D70" s="104"/>
      <c r="E70" s="23">
        <v>1</v>
      </c>
      <c r="F70" s="23" t="s">
        <v>136</v>
      </c>
      <c r="G70" s="23" t="s">
        <v>136</v>
      </c>
      <c r="H70" s="23" t="s">
        <v>136</v>
      </c>
      <c r="I70" s="23" t="s">
        <v>136</v>
      </c>
      <c r="J70" s="136"/>
      <c r="K70" s="103"/>
      <c r="L70" s="103"/>
      <c r="M70" s="103"/>
      <c r="N70" s="104"/>
      <c r="O70" s="23"/>
      <c r="P70" s="23"/>
      <c r="Q70" s="23"/>
      <c r="R70" s="23"/>
      <c r="S70" s="23"/>
    </row>
    <row r="71" spans="1:19" ht="18" customHeight="1" x14ac:dyDescent="0.15">
      <c r="A71" s="84"/>
      <c r="B71" s="136" t="s">
        <v>138</v>
      </c>
      <c r="C71" s="103"/>
      <c r="D71" s="104"/>
      <c r="E71" s="23">
        <v>1</v>
      </c>
      <c r="F71" s="23" t="s">
        <v>136</v>
      </c>
      <c r="G71" s="23" t="s">
        <v>136</v>
      </c>
      <c r="H71" s="23" t="s">
        <v>136</v>
      </c>
      <c r="I71" s="23" t="s">
        <v>136</v>
      </c>
      <c r="J71" s="136"/>
      <c r="K71" s="103"/>
      <c r="L71" s="103"/>
      <c r="M71" s="103"/>
      <c r="N71" s="104"/>
      <c r="O71" s="23"/>
      <c r="P71" s="23"/>
      <c r="Q71" s="23"/>
      <c r="R71" s="23"/>
      <c r="S71" s="23"/>
    </row>
    <row r="72" spans="1:19" ht="18" customHeight="1" x14ac:dyDescent="0.15">
      <c r="A72" s="84"/>
      <c r="B72" s="136" t="s">
        <v>133</v>
      </c>
      <c r="C72" s="103"/>
      <c r="D72" s="104"/>
      <c r="E72" s="23">
        <v>1</v>
      </c>
      <c r="F72" s="23" t="s">
        <v>136</v>
      </c>
      <c r="G72" s="23" t="s">
        <v>136</v>
      </c>
      <c r="H72" s="23" t="s">
        <v>136</v>
      </c>
      <c r="I72" s="23" t="s">
        <v>136</v>
      </c>
      <c r="J72" s="136"/>
      <c r="K72" s="103"/>
      <c r="L72" s="103"/>
      <c r="M72" s="103"/>
      <c r="N72" s="104"/>
      <c r="O72" s="23"/>
      <c r="P72" s="23"/>
      <c r="Q72" s="23"/>
      <c r="R72" s="23"/>
      <c r="S72" s="23"/>
    </row>
    <row r="73" spans="1:19" ht="18" customHeight="1" x14ac:dyDescent="0.15">
      <c r="A73" s="84"/>
      <c r="B73" s="136"/>
      <c r="C73" s="103"/>
      <c r="D73" s="104"/>
      <c r="E73" s="23"/>
      <c r="F73" s="23"/>
      <c r="G73" s="23"/>
      <c r="H73" s="23"/>
      <c r="I73" s="23"/>
      <c r="J73" s="136"/>
      <c r="K73" s="103"/>
      <c r="L73" s="103"/>
      <c r="M73" s="103"/>
      <c r="N73" s="104"/>
      <c r="O73" s="23"/>
      <c r="P73" s="23"/>
      <c r="Q73" s="23"/>
      <c r="R73" s="23"/>
      <c r="S73" s="23"/>
    </row>
    <row r="74" spans="1:19" ht="18" customHeight="1" x14ac:dyDescent="0.15">
      <c r="A74" s="84"/>
      <c r="B74" s="136"/>
      <c r="C74" s="103"/>
      <c r="D74" s="104"/>
      <c r="E74" s="23"/>
      <c r="F74" s="23"/>
      <c r="G74" s="23"/>
      <c r="H74" s="23"/>
      <c r="I74" s="23"/>
      <c r="J74" s="136"/>
      <c r="K74" s="103"/>
      <c r="L74" s="103"/>
      <c r="M74" s="103"/>
      <c r="N74" s="104"/>
      <c r="O74" s="23"/>
      <c r="P74" s="23"/>
      <c r="Q74" s="23"/>
      <c r="R74" s="23"/>
      <c r="S74" s="23"/>
    </row>
    <row r="75" spans="1:19" ht="18" customHeight="1" x14ac:dyDescent="0.15">
      <c r="A75" s="84"/>
      <c r="B75" s="141"/>
      <c r="C75" s="142"/>
      <c r="D75" s="142"/>
      <c r="E75" s="24"/>
      <c r="F75" s="24"/>
      <c r="G75" s="25"/>
      <c r="H75" s="25"/>
      <c r="I75" s="25"/>
      <c r="J75" s="141"/>
      <c r="K75" s="142"/>
      <c r="L75" s="142"/>
      <c r="M75" s="142"/>
      <c r="N75" s="143"/>
      <c r="O75" s="24"/>
      <c r="P75" s="24"/>
      <c r="Q75" s="25"/>
      <c r="R75" s="25"/>
      <c r="S75" s="25"/>
    </row>
    <row r="76" spans="1:19" ht="7.5" customHeight="1" x14ac:dyDescent="0.15">
      <c r="B76" s="82"/>
      <c r="C76" s="82"/>
      <c r="D76" s="82"/>
      <c r="E76" s="82"/>
      <c r="F76" s="82"/>
      <c r="G76" s="82"/>
      <c r="H76" s="82"/>
      <c r="I76" s="82"/>
      <c r="J76" s="82"/>
      <c r="K76" s="82"/>
      <c r="L76" s="82"/>
      <c r="M76" s="82"/>
      <c r="N76" s="82"/>
      <c r="O76" s="82"/>
      <c r="P76" s="82"/>
      <c r="Q76" s="82"/>
      <c r="R76" s="82"/>
    </row>
    <row r="77" spans="1:19" ht="18" customHeight="1" x14ac:dyDescent="0.15">
      <c r="A77" s="83" t="s">
        <v>118</v>
      </c>
      <c r="H77" s="84"/>
      <c r="I77" s="84"/>
      <c r="J77" s="84"/>
      <c r="K77" s="84"/>
      <c r="L77" s="84"/>
      <c r="M77" s="84"/>
      <c r="N77" s="84"/>
      <c r="O77" s="84"/>
      <c r="P77" s="84"/>
      <c r="Q77" s="84"/>
      <c r="R77" s="84"/>
      <c r="S77" s="84"/>
    </row>
    <row r="78" spans="1:19" ht="18" customHeight="1" x14ac:dyDescent="0.15">
      <c r="B78" s="144" t="s">
        <v>53</v>
      </c>
      <c r="C78" s="125"/>
      <c r="D78" s="125"/>
      <c r="E78" s="126"/>
      <c r="F78" s="144" t="s">
        <v>82</v>
      </c>
      <c r="G78" s="125"/>
      <c r="H78" s="125"/>
      <c r="I78" s="126"/>
      <c r="J78" s="145" t="s">
        <v>53</v>
      </c>
      <c r="K78" s="146"/>
      <c r="L78" s="146"/>
      <c r="M78" s="146"/>
      <c r="N78" s="146"/>
      <c r="O78" s="147"/>
      <c r="P78" s="144" t="s">
        <v>82</v>
      </c>
      <c r="Q78" s="125"/>
      <c r="R78" s="125"/>
      <c r="S78" s="126"/>
    </row>
    <row r="79" spans="1:19" ht="18" customHeight="1" x14ac:dyDescent="0.15">
      <c r="A79" s="84"/>
      <c r="B79" s="148" t="s">
        <v>158</v>
      </c>
      <c r="C79" s="100"/>
      <c r="D79" s="100"/>
      <c r="E79" s="101"/>
      <c r="F79" s="149" t="s">
        <v>141</v>
      </c>
      <c r="G79" s="150"/>
      <c r="H79" s="150"/>
      <c r="I79" s="151"/>
      <c r="J79" s="148"/>
      <c r="K79" s="100"/>
      <c r="L79" s="100"/>
      <c r="M79" s="100"/>
      <c r="N79" s="100"/>
      <c r="O79" s="101"/>
      <c r="P79" s="149"/>
      <c r="Q79" s="150"/>
      <c r="R79" s="150"/>
      <c r="S79" s="151"/>
    </row>
    <row r="80" spans="1:19" ht="18" customHeight="1" x14ac:dyDescent="0.15">
      <c r="A80" s="84"/>
      <c r="B80" s="136" t="s">
        <v>139</v>
      </c>
      <c r="C80" s="103"/>
      <c r="D80" s="103"/>
      <c r="E80" s="104"/>
      <c r="F80" s="133" t="s">
        <v>142</v>
      </c>
      <c r="G80" s="134"/>
      <c r="H80" s="134"/>
      <c r="I80" s="135"/>
      <c r="J80" s="136"/>
      <c r="K80" s="103"/>
      <c r="L80" s="103"/>
      <c r="M80" s="103"/>
      <c r="N80" s="103"/>
      <c r="O80" s="104"/>
      <c r="P80" s="133"/>
      <c r="Q80" s="134"/>
      <c r="R80" s="134"/>
      <c r="S80" s="135"/>
    </row>
    <row r="81" spans="1:19" ht="18" customHeight="1" x14ac:dyDescent="0.15">
      <c r="A81" s="84"/>
      <c r="B81" s="136" t="s">
        <v>138</v>
      </c>
      <c r="C81" s="103"/>
      <c r="D81" s="103"/>
      <c r="E81" s="104"/>
      <c r="F81" s="133" t="s">
        <v>142</v>
      </c>
      <c r="G81" s="134"/>
      <c r="H81" s="134"/>
      <c r="I81" s="135"/>
      <c r="J81" s="136"/>
      <c r="K81" s="103"/>
      <c r="L81" s="103"/>
      <c r="M81" s="103"/>
      <c r="N81" s="103"/>
      <c r="O81" s="104"/>
      <c r="P81" s="133"/>
      <c r="Q81" s="134"/>
      <c r="R81" s="134"/>
      <c r="S81" s="135"/>
    </row>
    <row r="82" spans="1:19" ht="18" customHeight="1" x14ac:dyDescent="0.15">
      <c r="A82" s="84"/>
      <c r="B82" s="136" t="s">
        <v>133</v>
      </c>
      <c r="C82" s="103"/>
      <c r="D82" s="103"/>
      <c r="E82" s="104"/>
      <c r="F82" s="133" t="s">
        <v>143</v>
      </c>
      <c r="G82" s="134"/>
      <c r="H82" s="134"/>
      <c r="I82" s="135"/>
      <c r="J82" s="136"/>
      <c r="K82" s="103"/>
      <c r="L82" s="103"/>
      <c r="M82" s="103"/>
      <c r="N82" s="103"/>
      <c r="O82" s="104"/>
      <c r="P82" s="133"/>
      <c r="Q82" s="134"/>
      <c r="R82" s="134"/>
      <c r="S82" s="135"/>
    </row>
    <row r="83" spans="1:19" ht="18" customHeight="1" x14ac:dyDescent="0.15">
      <c r="A83" s="84"/>
      <c r="B83" s="130" t="s">
        <v>134</v>
      </c>
      <c r="C83" s="131"/>
      <c r="D83" s="131"/>
      <c r="E83" s="132"/>
      <c r="F83" s="133" t="s">
        <v>142</v>
      </c>
      <c r="G83" s="134"/>
      <c r="H83" s="134"/>
      <c r="I83" s="135"/>
      <c r="J83" s="136"/>
      <c r="K83" s="103"/>
      <c r="L83" s="103"/>
      <c r="M83" s="103"/>
      <c r="N83" s="103"/>
      <c r="O83" s="104"/>
      <c r="P83" s="133"/>
      <c r="Q83" s="134"/>
      <c r="R83" s="134"/>
      <c r="S83" s="135"/>
    </row>
    <row r="84" spans="1:19" ht="18" customHeight="1" x14ac:dyDescent="0.15">
      <c r="A84" s="84"/>
      <c r="B84" s="130" t="s">
        <v>135</v>
      </c>
      <c r="C84" s="131"/>
      <c r="D84" s="131"/>
      <c r="E84" s="132"/>
      <c r="F84" s="133" t="s">
        <v>142</v>
      </c>
      <c r="G84" s="134"/>
      <c r="H84" s="134"/>
      <c r="I84" s="135"/>
      <c r="J84" s="136"/>
      <c r="K84" s="103"/>
      <c r="L84" s="103"/>
      <c r="M84" s="103"/>
      <c r="N84" s="103"/>
      <c r="O84" s="104"/>
      <c r="P84" s="133"/>
      <c r="Q84" s="134"/>
      <c r="R84" s="134"/>
      <c r="S84" s="135"/>
    </row>
    <row r="85" spans="1:19" ht="18" customHeight="1" x14ac:dyDescent="0.15">
      <c r="A85" s="84"/>
      <c r="B85" s="137"/>
      <c r="C85" s="121"/>
      <c r="D85" s="121"/>
      <c r="E85" s="122"/>
      <c r="F85" s="138"/>
      <c r="G85" s="139"/>
      <c r="H85" s="139"/>
      <c r="I85" s="140"/>
      <c r="J85" s="141"/>
      <c r="K85" s="142"/>
      <c r="L85" s="142"/>
      <c r="M85" s="142"/>
      <c r="N85" s="142"/>
      <c r="O85" s="143"/>
      <c r="P85" s="138"/>
      <c r="Q85" s="139"/>
      <c r="R85" s="139"/>
      <c r="S85" s="140"/>
    </row>
    <row r="86" spans="1:19" ht="18" customHeight="1" x14ac:dyDescent="0.15">
      <c r="A86" s="84"/>
      <c r="B86" s="6"/>
      <c r="C86" s="6"/>
      <c r="D86" s="6"/>
      <c r="E86" s="6"/>
      <c r="F86" s="26"/>
      <c r="G86" s="26"/>
      <c r="H86" s="26"/>
      <c r="I86" s="26"/>
      <c r="J86" s="6"/>
      <c r="K86" s="6"/>
      <c r="L86" s="6"/>
      <c r="M86" s="6"/>
      <c r="N86" s="6"/>
      <c r="O86" s="6"/>
      <c r="P86" s="26"/>
      <c r="Q86" s="26"/>
      <c r="R86" s="26"/>
      <c r="S86" s="26"/>
    </row>
    <row r="87" spans="1:19" ht="18.75" customHeight="1" x14ac:dyDescent="0.15">
      <c r="A87" s="83" t="s">
        <v>119</v>
      </c>
    </row>
    <row r="88" spans="1:19" ht="18.75" customHeight="1" x14ac:dyDescent="0.15">
      <c r="B88" s="123" t="s">
        <v>54</v>
      </c>
      <c r="C88" s="124"/>
      <c r="D88" s="125" t="s">
        <v>55</v>
      </c>
      <c r="E88" s="125"/>
      <c r="F88" s="125"/>
      <c r="G88" s="125"/>
      <c r="H88" s="125"/>
      <c r="I88" s="125"/>
      <c r="J88" s="125"/>
      <c r="K88" s="125"/>
      <c r="L88" s="125"/>
      <c r="M88" s="125"/>
      <c r="N88" s="125"/>
      <c r="O88" s="125"/>
      <c r="P88" s="125"/>
      <c r="Q88" s="125"/>
      <c r="R88" s="125"/>
      <c r="S88" s="126"/>
    </row>
    <row r="89" spans="1:19" ht="97.5" customHeight="1" x14ac:dyDescent="0.15">
      <c r="B89" s="96" t="s">
        <v>61</v>
      </c>
      <c r="C89" s="27" t="s">
        <v>56</v>
      </c>
      <c r="D89" s="117" t="s">
        <v>159</v>
      </c>
      <c r="E89" s="118"/>
      <c r="F89" s="118"/>
      <c r="G89" s="118"/>
      <c r="H89" s="118"/>
      <c r="I89" s="118"/>
      <c r="J89" s="118"/>
      <c r="K89" s="118"/>
      <c r="L89" s="118"/>
      <c r="M89" s="118"/>
      <c r="N89" s="118"/>
      <c r="O89" s="118"/>
      <c r="P89" s="118"/>
      <c r="Q89" s="118"/>
      <c r="R89" s="118"/>
      <c r="S89" s="119"/>
    </row>
    <row r="90" spans="1:19" ht="97.5" customHeight="1" x14ac:dyDescent="0.15">
      <c r="B90" s="97"/>
      <c r="C90" s="28" t="s">
        <v>77</v>
      </c>
      <c r="D90" s="127" t="s">
        <v>160</v>
      </c>
      <c r="E90" s="128"/>
      <c r="F90" s="128"/>
      <c r="G90" s="128"/>
      <c r="H90" s="128"/>
      <c r="I90" s="128"/>
      <c r="J90" s="128"/>
      <c r="K90" s="128"/>
      <c r="L90" s="128"/>
      <c r="M90" s="128"/>
      <c r="N90" s="128"/>
      <c r="O90" s="128"/>
      <c r="P90" s="128"/>
      <c r="Q90" s="128"/>
      <c r="R90" s="128"/>
      <c r="S90" s="129"/>
    </row>
    <row r="91" spans="1:19" ht="97.5" customHeight="1" x14ac:dyDescent="0.15">
      <c r="B91" s="96" t="s">
        <v>62</v>
      </c>
      <c r="C91" s="29" t="s">
        <v>71</v>
      </c>
      <c r="D91" s="111" t="s">
        <v>161</v>
      </c>
      <c r="E91" s="112"/>
      <c r="F91" s="112"/>
      <c r="G91" s="112"/>
      <c r="H91" s="112"/>
      <c r="I91" s="112"/>
      <c r="J91" s="112"/>
      <c r="K91" s="112"/>
      <c r="L91" s="112"/>
      <c r="M91" s="112"/>
      <c r="N91" s="112"/>
      <c r="O91" s="112"/>
      <c r="P91" s="112"/>
      <c r="Q91" s="112"/>
      <c r="R91" s="112"/>
      <c r="S91" s="113"/>
    </row>
    <row r="92" spans="1:19" ht="97.5" customHeight="1" x14ac:dyDescent="0.15">
      <c r="B92" s="98"/>
      <c r="C92" s="30" t="s">
        <v>72</v>
      </c>
      <c r="D92" s="120" t="s">
        <v>162</v>
      </c>
      <c r="E92" s="121"/>
      <c r="F92" s="121"/>
      <c r="G92" s="121"/>
      <c r="H92" s="121"/>
      <c r="I92" s="121"/>
      <c r="J92" s="121"/>
      <c r="K92" s="121"/>
      <c r="L92" s="121"/>
      <c r="M92" s="121"/>
      <c r="N92" s="121"/>
      <c r="O92" s="121"/>
      <c r="P92" s="121"/>
      <c r="Q92" s="121"/>
      <c r="R92" s="121"/>
      <c r="S92" s="122"/>
    </row>
    <row r="93" spans="1:19" ht="97.5" customHeight="1" x14ac:dyDescent="0.15">
      <c r="B93" s="96" t="s">
        <v>63</v>
      </c>
      <c r="C93" s="29" t="s">
        <v>73</v>
      </c>
      <c r="D93" s="111" t="s">
        <v>163</v>
      </c>
      <c r="E93" s="112"/>
      <c r="F93" s="112"/>
      <c r="G93" s="112"/>
      <c r="H93" s="112"/>
      <c r="I93" s="112"/>
      <c r="J93" s="112"/>
      <c r="K93" s="112"/>
      <c r="L93" s="112"/>
      <c r="M93" s="112"/>
      <c r="N93" s="112"/>
      <c r="O93" s="112"/>
      <c r="P93" s="112"/>
      <c r="Q93" s="112"/>
      <c r="R93" s="112"/>
      <c r="S93" s="113"/>
    </row>
    <row r="94" spans="1:19" ht="97.5" customHeight="1" x14ac:dyDescent="0.15">
      <c r="B94" s="98"/>
      <c r="C94" s="31" t="s">
        <v>74</v>
      </c>
      <c r="D94" s="114" t="s">
        <v>164</v>
      </c>
      <c r="E94" s="115"/>
      <c r="F94" s="115"/>
      <c r="G94" s="115"/>
      <c r="H94" s="115"/>
      <c r="I94" s="115"/>
      <c r="J94" s="115"/>
      <c r="K94" s="115"/>
      <c r="L94" s="115"/>
      <c r="M94" s="115"/>
      <c r="N94" s="115"/>
      <c r="O94" s="115"/>
      <c r="P94" s="115"/>
      <c r="Q94" s="115"/>
      <c r="R94" s="115"/>
      <c r="S94" s="116"/>
    </row>
    <row r="95" spans="1:19" ht="97.5" customHeight="1" x14ac:dyDescent="0.15">
      <c r="B95" s="96" t="s">
        <v>78</v>
      </c>
      <c r="C95" s="27" t="s">
        <v>58</v>
      </c>
      <c r="D95" s="117" t="s">
        <v>165</v>
      </c>
      <c r="E95" s="118"/>
      <c r="F95" s="118"/>
      <c r="G95" s="118"/>
      <c r="H95" s="118"/>
      <c r="I95" s="118"/>
      <c r="J95" s="118"/>
      <c r="K95" s="118"/>
      <c r="L95" s="118"/>
      <c r="M95" s="118"/>
      <c r="N95" s="118"/>
      <c r="O95" s="118"/>
      <c r="P95" s="118"/>
      <c r="Q95" s="118"/>
      <c r="R95" s="118"/>
      <c r="S95" s="119"/>
    </row>
    <row r="96" spans="1:19" ht="97.5" customHeight="1" x14ac:dyDescent="0.15">
      <c r="B96" s="98"/>
      <c r="C96" s="30" t="s">
        <v>60</v>
      </c>
      <c r="D96" s="120" t="s">
        <v>166</v>
      </c>
      <c r="E96" s="121"/>
      <c r="F96" s="121"/>
      <c r="G96" s="121"/>
      <c r="H96" s="121"/>
      <c r="I96" s="121"/>
      <c r="J96" s="121"/>
      <c r="K96" s="121"/>
      <c r="L96" s="121"/>
      <c r="M96" s="121"/>
      <c r="N96" s="121"/>
      <c r="O96" s="121"/>
      <c r="P96" s="121"/>
      <c r="Q96" s="121"/>
      <c r="R96" s="121"/>
      <c r="S96" s="122"/>
    </row>
    <row r="97" spans="1:19" ht="206.25" customHeight="1" x14ac:dyDescent="0.15">
      <c r="B97" s="96" t="s">
        <v>79</v>
      </c>
      <c r="C97" s="29" t="s">
        <v>57</v>
      </c>
      <c r="D97" s="99" t="s">
        <v>219</v>
      </c>
      <c r="E97" s="100"/>
      <c r="F97" s="100"/>
      <c r="G97" s="100"/>
      <c r="H97" s="100"/>
      <c r="I97" s="100"/>
      <c r="J97" s="100"/>
      <c r="K97" s="100"/>
      <c r="L97" s="100"/>
      <c r="M97" s="100"/>
      <c r="N97" s="100"/>
      <c r="O97" s="100"/>
      <c r="P97" s="100"/>
      <c r="Q97" s="100"/>
      <c r="R97" s="100"/>
      <c r="S97" s="101"/>
    </row>
    <row r="98" spans="1:19" ht="97.5" customHeight="1" x14ac:dyDescent="0.15">
      <c r="B98" s="97"/>
      <c r="C98" s="32" t="s">
        <v>75</v>
      </c>
      <c r="D98" s="102" t="s">
        <v>177</v>
      </c>
      <c r="E98" s="103"/>
      <c r="F98" s="103"/>
      <c r="G98" s="103"/>
      <c r="H98" s="103"/>
      <c r="I98" s="103"/>
      <c r="J98" s="103"/>
      <c r="K98" s="103"/>
      <c r="L98" s="103"/>
      <c r="M98" s="103"/>
      <c r="N98" s="103"/>
      <c r="O98" s="103"/>
      <c r="P98" s="103"/>
      <c r="Q98" s="103"/>
      <c r="R98" s="103"/>
      <c r="S98" s="104"/>
    </row>
    <row r="99" spans="1:19" ht="97.5" customHeight="1" x14ac:dyDescent="0.15">
      <c r="B99" s="98"/>
      <c r="C99" s="31" t="s">
        <v>76</v>
      </c>
      <c r="D99" s="105" t="s">
        <v>178</v>
      </c>
      <c r="E99" s="106"/>
      <c r="F99" s="106"/>
      <c r="G99" s="106"/>
      <c r="H99" s="106"/>
      <c r="I99" s="106"/>
      <c r="J99" s="106"/>
      <c r="K99" s="106"/>
      <c r="L99" s="106"/>
      <c r="M99" s="106"/>
      <c r="N99" s="106"/>
      <c r="O99" s="106"/>
      <c r="P99" s="106"/>
      <c r="Q99" s="106"/>
      <c r="R99" s="106"/>
      <c r="S99" s="107"/>
    </row>
    <row r="100" spans="1:19" ht="6" customHeight="1" x14ac:dyDescent="0.15"/>
    <row r="101" spans="1:19" ht="18.75" customHeight="1" x14ac:dyDescent="0.15">
      <c r="A101" s="83" t="s">
        <v>120</v>
      </c>
    </row>
    <row r="102" spans="1:19" ht="81.75" customHeight="1" x14ac:dyDescent="0.15">
      <c r="B102" s="108" t="s">
        <v>153</v>
      </c>
      <c r="C102" s="109"/>
      <c r="D102" s="109"/>
      <c r="E102" s="109"/>
      <c r="F102" s="109"/>
      <c r="G102" s="109"/>
      <c r="H102" s="109"/>
      <c r="I102" s="109"/>
      <c r="J102" s="109"/>
      <c r="K102" s="109"/>
      <c r="L102" s="109"/>
      <c r="M102" s="109"/>
      <c r="N102" s="109"/>
      <c r="O102" s="109"/>
      <c r="P102" s="109"/>
      <c r="Q102" s="109"/>
      <c r="R102" s="109"/>
      <c r="S102" s="110"/>
    </row>
    <row r="110" spans="1:19" ht="18" customHeight="1" x14ac:dyDescent="0.15"/>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G25:I31 Q25:S31 P69:S75 Q36:S42 G36:I42 Q47:S53 G47:I53 Q58:S64 F69:I75 G58:I64">
      <formula1>"○"</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10"/>
  <sheetViews>
    <sheetView showZeros="0" view="pageBreakPreview" zoomScale="85" zoomScaleNormal="100" zoomScaleSheetLayoutView="85" workbookViewId="0">
      <selection activeCell="Y29" sqref="Y29"/>
    </sheetView>
  </sheetViews>
  <sheetFormatPr defaultColWidth="9" defaultRowHeight="18.75" customHeight="1" x14ac:dyDescent="0.15"/>
  <cols>
    <col min="1" max="1" width="2.5" style="83" customWidth="1"/>
    <col min="2" max="2" width="16.5" style="83" customWidth="1"/>
    <col min="3" max="19" width="5.625" style="83" customWidth="1"/>
    <col min="20" max="20" width="9" style="83"/>
    <col min="21" max="21" width="3.625" style="83" customWidth="1"/>
    <col min="22" max="22" width="48.625" style="83" hidden="1" customWidth="1"/>
    <col min="23" max="16384" width="9" style="83"/>
  </cols>
  <sheetData>
    <row r="1" spans="1:22" ht="18.600000000000001" customHeight="1" x14ac:dyDescent="0.15">
      <c r="R1" s="165" t="s">
        <v>202</v>
      </c>
      <c r="S1" s="165"/>
      <c r="T1" s="2" t="s">
        <v>109</v>
      </c>
    </row>
    <row r="2" spans="1:22" ht="18.75" customHeight="1" x14ac:dyDescent="0.15">
      <c r="B2" s="81" t="s">
        <v>108</v>
      </c>
      <c r="C2" s="144" t="s">
        <v>126</v>
      </c>
      <c r="D2" s="125"/>
      <c r="E2" s="125"/>
      <c r="F2" s="125"/>
      <c r="G2" s="125"/>
      <c r="H2" s="125"/>
      <c r="I2" s="126"/>
      <c r="J2" s="80"/>
      <c r="K2" s="6"/>
      <c r="L2" s="6"/>
      <c r="M2" s="6"/>
      <c r="N2" s="6"/>
      <c r="O2" s="6"/>
      <c r="P2" s="6"/>
      <c r="Q2" s="6"/>
      <c r="R2" s="6"/>
      <c r="S2" s="6"/>
    </row>
    <row r="3" spans="1:22" ht="18.75" customHeight="1" x14ac:dyDescent="0.15">
      <c r="B3" s="81" t="s">
        <v>102</v>
      </c>
      <c r="C3" s="166" t="s">
        <v>127</v>
      </c>
      <c r="D3" s="167"/>
      <c r="E3" s="167"/>
      <c r="F3" s="167"/>
      <c r="G3" s="167"/>
      <c r="H3" s="167"/>
      <c r="I3" s="168"/>
      <c r="J3" s="80"/>
      <c r="K3" s="6"/>
      <c r="L3" s="6"/>
      <c r="M3" s="6"/>
      <c r="N3" s="6"/>
      <c r="O3" s="6"/>
      <c r="P3" s="6"/>
      <c r="Q3" s="6"/>
      <c r="R3" s="6"/>
      <c r="S3" s="6"/>
    </row>
    <row r="4" spans="1:22" ht="15" customHeight="1" x14ac:dyDescent="0.15">
      <c r="K4" s="80"/>
      <c r="L4" s="35"/>
      <c r="M4" s="35"/>
      <c r="N4" s="35"/>
      <c r="O4" s="35"/>
      <c r="P4" s="35"/>
      <c r="Q4" s="35"/>
      <c r="R4" s="35"/>
      <c r="S4" s="35"/>
    </row>
    <row r="5" spans="1:22" ht="18" customHeight="1" x14ac:dyDescent="0.15">
      <c r="A5" s="169" t="s">
        <v>38</v>
      </c>
      <c r="B5" s="169"/>
      <c r="C5" s="169"/>
      <c r="D5" s="169"/>
      <c r="E5" s="169"/>
      <c r="F5" s="169"/>
      <c r="G5" s="169"/>
      <c r="H5" s="169"/>
      <c r="I5" s="169"/>
      <c r="J5" s="169"/>
      <c r="K5" s="169"/>
      <c r="L5" s="169"/>
      <c r="M5" s="169"/>
      <c r="N5" s="169"/>
      <c r="O5" s="169"/>
      <c r="P5" s="169"/>
      <c r="Q5" s="169"/>
      <c r="R5" s="169"/>
      <c r="S5" s="169"/>
    </row>
    <row r="6" spans="1:22" ht="15" customHeight="1" x14ac:dyDescent="0.15">
      <c r="B6" s="84"/>
      <c r="C6" s="84"/>
      <c r="D6" s="84"/>
      <c r="E6" s="84"/>
      <c r="F6" s="84"/>
      <c r="G6" s="84"/>
      <c r="H6" s="84"/>
      <c r="I6" s="84"/>
      <c r="J6" s="84"/>
      <c r="K6" s="84"/>
      <c r="L6" s="84"/>
      <c r="M6" s="84"/>
      <c r="N6" s="84"/>
      <c r="O6" s="84"/>
      <c r="P6" s="84"/>
      <c r="Q6" s="84"/>
      <c r="R6" s="84"/>
      <c r="S6" s="84"/>
    </row>
    <row r="7" spans="1:22" ht="18" customHeight="1" x14ac:dyDescent="0.15">
      <c r="A7" s="83" t="s">
        <v>124</v>
      </c>
      <c r="C7" s="84"/>
      <c r="J7" s="36" t="s">
        <v>107</v>
      </c>
      <c r="K7" s="170" t="s">
        <v>128</v>
      </c>
      <c r="L7" s="171"/>
      <c r="M7" s="171"/>
      <c r="N7" s="171"/>
      <c r="O7" s="171"/>
      <c r="P7" s="171"/>
      <c r="Q7" s="171"/>
      <c r="R7" s="171"/>
      <c r="S7" s="172"/>
    </row>
    <row r="8" spans="1:22" ht="6" customHeight="1" x14ac:dyDescent="0.15">
      <c r="B8" s="84"/>
      <c r="C8" s="84"/>
      <c r="D8" s="84"/>
      <c r="E8" s="84"/>
      <c r="F8" s="84"/>
      <c r="G8" s="84"/>
      <c r="H8" s="84"/>
      <c r="I8" s="84"/>
      <c r="J8" s="84"/>
      <c r="K8" s="10"/>
      <c r="L8" s="84"/>
      <c r="M8" s="84"/>
      <c r="N8" s="84"/>
      <c r="O8" s="84"/>
      <c r="P8" s="84"/>
      <c r="Q8" s="84"/>
      <c r="R8" s="84"/>
      <c r="S8" s="84"/>
    </row>
    <row r="9" spans="1:22" ht="18" customHeight="1" x14ac:dyDescent="0.15">
      <c r="B9" s="173" t="s">
        <v>154</v>
      </c>
      <c r="C9" s="174"/>
      <c r="D9" s="174"/>
      <c r="E9" s="174"/>
      <c r="F9" s="174"/>
      <c r="G9" s="174"/>
      <c r="H9" s="174"/>
      <c r="I9" s="174"/>
      <c r="J9" s="174"/>
      <c r="K9" s="174"/>
      <c r="L9" s="174"/>
      <c r="M9" s="174"/>
      <c r="N9" s="174"/>
      <c r="O9" s="174"/>
      <c r="P9" s="174"/>
      <c r="Q9" s="174"/>
      <c r="R9" s="174"/>
      <c r="S9" s="175"/>
    </row>
    <row r="10" spans="1:22" ht="18" customHeight="1" x14ac:dyDescent="0.15">
      <c r="B10" s="176"/>
      <c r="C10" s="177"/>
      <c r="D10" s="177"/>
      <c r="E10" s="177"/>
      <c r="F10" s="177"/>
      <c r="G10" s="177"/>
      <c r="H10" s="177"/>
      <c r="I10" s="177"/>
      <c r="J10" s="177"/>
      <c r="K10" s="177"/>
      <c r="L10" s="177"/>
      <c r="M10" s="177"/>
      <c r="N10" s="177"/>
      <c r="O10" s="177"/>
      <c r="P10" s="177"/>
      <c r="Q10" s="177"/>
      <c r="R10" s="177"/>
      <c r="S10" s="178"/>
    </row>
    <row r="11" spans="1:22" ht="6" customHeight="1" x14ac:dyDescent="0.15">
      <c r="B11" s="84"/>
      <c r="C11" s="84"/>
      <c r="D11" s="84"/>
      <c r="E11" s="84"/>
      <c r="F11" s="84"/>
      <c r="G11" s="84"/>
      <c r="H11" s="84"/>
      <c r="I11" s="84"/>
      <c r="J11" s="84"/>
      <c r="K11" s="10"/>
      <c r="L11" s="84"/>
      <c r="M11" s="84"/>
      <c r="N11" s="84"/>
      <c r="O11" s="84"/>
      <c r="P11" s="84"/>
      <c r="Q11" s="84"/>
      <c r="R11" s="84"/>
      <c r="S11" s="84"/>
    </row>
    <row r="12" spans="1:22" ht="18" customHeight="1" x14ac:dyDescent="0.15">
      <c r="A12" s="83" t="s">
        <v>111</v>
      </c>
      <c r="B12" s="84"/>
      <c r="C12" s="84"/>
      <c r="D12" s="80"/>
      <c r="E12" s="80"/>
      <c r="F12" s="80"/>
      <c r="G12" s="80"/>
      <c r="H12" s="80"/>
      <c r="I12" s="80"/>
      <c r="J12" s="80"/>
      <c r="K12" s="37"/>
      <c r="L12" s="37"/>
      <c r="M12" s="37"/>
      <c r="N12" s="37"/>
      <c r="O12" s="37"/>
      <c r="P12" s="37"/>
      <c r="Q12" s="37"/>
      <c r="R12" s="37"/>
      <c r="S12" s="37"/>
    </row>
    <row r="13" spans="1:22" ht="18" customHeight="1" x14ac:dyDescent="0.15">
      <c r="B13" s="153" t="s">
        <v>201</v>
      </c>
      <c r="C13" s="154"/>
      <c r="D13" s="154"/>
      <c r="E13" s="154"/>
      <c r="F13" s="154"/>
      <c r="G13" s="154"/>
      <c r="H13" s="154"/>
      <c r="I13" s="154"/>
      <c r="J13" s="154"/>
      <c r="K13" s="154"/>
      <c r="L13" s="154"/>
      <c r="M13" s="154"/>
      <c r="N13" s="154"/>
      <c r="O13" s="154"/>
      <c r="P13" s="154"/>
      <c r="Q13" s="154"/>
      <c r="R13" s="154"/>
      <c r="S13" s="155"/>
      <c r="V13" s="83" t="s">
        <v>103</v>
      </c>
    </row>
    <row r="14" spans="1:22" ht="18" customHeight="1" x14ac:dyDescent="0.15">
      <c r="B14" s="156"/>
      <c r="C14" s="157"/>
      <c r="D14" s="157"/>
      <c r="E14" s="157"/>
      <c r="F14" s="157"/>
      <c r="G14" s="157"/>
      <c r="H14" s="157"/>
      <c r="I14" s="157"/>
      <c r="J14" s="157"/>
      <c r="K14" s="157"/>
      <c r="L14" s="157"/>
      <c r="M14" s="157"/>
      <c r="N14" s="157"/>
      <c r="O14" s="157"/>
      <c r="P14" s="157"/>
      <c r="Q14" s="157"/>
      <c r="R14" s="157"/>
      <c r="S14" s="158"/>
      <c r="V14" s="83" t="s">
        <v>110</v>
      </c>
    </row>
    <row r="15" spans="1:22" ht="18" customHeight="1" x14ac:dyDescent="0.15">
      <c r="B15" s="156"/>
      <c r="C15" s="157"/>
      <c r="D15" s="157"/>
      <c r="E15" s="157"/>
      <c r="F15" s="157"/>
      <c r="G15" s="157"/>
      <c r="H15" s="157"/>
      <c r="I15" s="157"/>
      <c r="J15" s="157"/>
      <c r="K15" s="157"/>
      <c r="L15" s="157"/>
      <c r="M15" s="157"/>
      <c r="N15" s="157"/>
      <c r="O15" s="157"/>
      <c r="P15" s="157"/>
      <c r="Q15" s="157"/>
      <c r="R15" s="157"/>
      <c r="S15" s="158"/>
      <c r="V15" s="83" t="s">
        <v>123</v>
      </c>
    </row>
    <row r="16" spans="1:22" ht="18" customHeight="1" x14ac:dyDescent="0.15">
      <c r="B16" s="156"/>
      <c r="C16" s="157"/>
      <c r="D16" s="157"/>
      <c r="E16" s="157"/>
      <c r="F16" s="157"/>
      <c r="G16" s="157"/>
      <c r="H16" s="157"/>
      <c r="I16" s="157"/>
      <c r="J16" s="157"/>
      <c r="K16" s="157"/>
      <c r="L16" s="157"/>
      <c r="M16" s="157"/>
      <c r="N16" s="157"/>
      <c r="O16" s="157"/>
      <c r="P16" s="157"/>
      <c r="Q16" s="157"/>
      <c r="R16" s="157"/>
      <c r="S16" s="158"/>
      <c r="V16" s="83" t="s">
        <v>125</v>
      </c>
    </row>
    <row r="17" spans="1:19" ht="18" customHeight="1" x14ac:dyDescent="0.15">
      <c r="B17" s="156"/>
      <c r="C17" s="157"/>
      <c r="D17" s="157"/>
      <c r="E17" s="157"/>
      <c r="F17" s="157"/>
      <c r="G17" s="157"/>
      <c r="H17" s="157"/>
      <c r="I17" s="157"/>
      <c r="J17" s="157"/>
      <c r="K17" s="157"/>
      <c r="L17" s="157"/>
      <c r="M17" s="157"/>
      <c r="N17" s="157"/>
      <c r="O17" s="157"/>
      <c r="P17" s="157"/>
      <c r="Q17" s="157"/>
      <c r="R17" s="157"/>
      <c r="S17" s="158"/>
    </row>
    <row r="18" spans="1:19" ht="18" customHeight="1" x14ac:dyDescent="0.15">
      <c r="B18" s="159"/>
      <c r="C18" s="160"/>
      <c r="D18" s="160"/>
      <c r="E18" s="160"/>
      <c r="F18" s="160"/>
      <c r="G18" s="160"/>
      <c r="H18" s="160"/>
      <c r="I18" s="160"/>
      <c r="J18" s="160"/>
      <c r="K18" s="160"/>
      <c r="L18" s="160"/>
      <c r="M18" s="160"/>
      <c r="N18" s="160"/>
      <c r="O18" s="160"/>
      <c r="P18" s="160"/>
      <c r="Q18" s="160"/>
      <c r="R18" s="160"/>
      <c r="S18" s="161"/>
    </row>
    <row r="19" spans="1:19" ht="7.5" customHeight="1" x14ac:dyDescent="0.15">
      <c r="B19" s="84"/>
      <c r="C19" s="84"/>
      <c r="D19" s="84"/>
      <c r="E19" s="84"/>
      <c r="F19" s="84"/>
      <c r="G19" s="84"/>
      <c r="H19" s="84"/>
      <c r="I19" s="84"/>
      <c r="J19" s="84"/>
      <c r="K19" s="84"/>
      <c r="L19" s="84"/>
      <c r="M19" s="84"/>
      <c r="N19" s="84"/>
      <c r="O19" s="84"/>
      <c r="P19" s="84"/>
      <c r="Q19" s="84"/>
      <c r="R19" s="84"/>
      <c r="S19" s="84"/>
    </row>
    <row r="20" spans="1:19" ht="19.899999999999999" customHeight="1" x14ac:dyDescent="0.15">
      <c r="B20" s="83" t="s">
        <v>112</v>
      </c>
      <c r="C20" s="144">
        <v>3</v>
      </c>
      <c r="D20" s="126"/>
      <c r="E20" s="38" t="s">
        <v>95</v>
      </c>
      <c r="G20" s="10"/>
      <c r="H20" s="84"/>
      <c r="I20" s="84"/>
      <c r="J20" s="80" t="s">
        <v>121</v>
      </c>
      <c r="K20" s="162" t="s">
        <v>110</v>
      </c>
      <c r="L20" s="163"/>
      <c r="M20" s="163"/>
      <c r="N20" s="163"/>
      <c r="O20" s="163"/>
      <c r="P20" s="163"/>
      <c r="Q20" s="163"/>
      <c r="R20" s="163"/>
      <c r="S20" s="164"/>
    </row>
    <row r="21" spans="1:19" ht="7.5" customHeight="1" x14ac:dyDescent="0.15">
      <c r="B21" s="84"/>
      <c r="C21" s="84"/>
      <c r="D21" s="84"/>
      <c r="E21" s="84"/>
      <c r="F21" s="84"/>
      <c r="G21" s="84"/>
      <c r="H21" s="84"/>
      <c r="I21" s="84"/>
      <c r="J21" s="84"/>
      <c r="K21" s="84"/>
      <c r="L21" s="84"/>
      <c r="M21" s="84"/>
      <c r="N21" s="84"/>
      <c r="O21" s="84"/>
      <c r="P21" s="84"/>
      <c r="Q21" s="84"/>
      <c r="R21" s="84"/>
      <c r="S21" s="84"/>
    </row>
    <row r="22" spans="1:19" ht="18" customHeight="1" x14ac:dyDescent="0.15">
      <c r="A22" s="152" t="s">
        <v>113</v>
      </c>
      <c r="B22" s="152"/>
      <c r="C22" s="152"/>
      <c r="D22" s="152"/>
      <c r="E22" s="152"/>
      <c r="F22" s="152"/>
      <c r="G22" s="152"/>
      <c r="H22" s="152"/>
      <c r="I22" s="152"/>
      <c r="J22" s="152"/>
      <c r="K22" s="152"/>
      <c r="L22" s="152"/>
      <c r="M22" s="152"/>
      <c r="N22" s="152"/>
      <c r="O22" s="152"/>
      <c r="P22" s="152"/>
      <c r="Q22" s="152"/>
      <c r="R22" s="152"/>
      <c r="S22" s="152"/>
    </row>
    <row r="23" spans="1:19" ht="18" customHeight="1" x14ac:dyDescent="0.15">
      <c r="A23" s="152"/>
      <c r="B23" s="152"/>
      <c r="C23" s="152"/>
      <c r="D23" s="152"/>
      <c r="E23" s="152"/>
      <c r="F23" s="152"/>
      <c r="G23" s="152"/>
      <c r="H23" s="152"/>
      <c r="I23" s="152"/>
      <c r="J23" s="152"/>
      <c r="K23" s="152"/>
      <c r="L23" s="152"/>
      <c r="M23" s="152"/>
      <c r="N23" s="152"/>
      <c r="O23" s="152"/>
      <c r="P23" s="152"/>
      <c r="Q23" s="152"/>
      <c r="R23" s="152"/>
      <c r="S23" s="152"/>
    </row>
    <row r="24" spans="1:19" ht="18" customHeight="1" x14ac:dyDescent="0.15">
      <c r="B24" s="144" t="s">
        <v>53</v>
      </c>
      <c r="C24" s="125"/>
      <c r="D24" s="125"/>
      <c r="E24" s="126"/>
      <c r="F24" s="59" t="s">
        <v>80</v>
      </c>
      <c r="G24" s="58" t="s">
        <v>84</v>
      </c>
      <c r="H24" s="21" t="s">
        <v>56</v>
      </c>
      <c r="I24" s="21" t="s">
        <v>59</v>
      </c>
      <c r="J24" s="144" t="s">
        <v>53</v>
      </c>
      <c r="K24" s="125"/>
      <c r="L24" s="125"/>
      <c r="M24" s="125"/>
      <c r="N24" s="125"/>
      <c r="O24" s="126"/>
      <c r="P24" s="59" t="s">
        <v>80</v>
      </c>
      <c r="Q24" s="58" t="s">
        <v>84</v>
      </c>
      <c r="R24" s="21" t="s">
        <v>56</v>
      </c>
      <c r="S24" s="21" t="s">
        <v>59</v>
      </c>
    </row>
    <row r="25" spans="1:19" ht="18" customHeight="1" x14ac:dyDescent="0.15">
      <c r="B25" s="148" t="s">
        <v>158</v>
      </c>
      <c r="C25" s="100"/>
      <c r="D25" s="100"/>
      <c r="E25" s="101"/>
      <c r="F25" s="22">
        <v>2</v>
      </c>
      <c r="G25" s="22" t="s">
        <v>136</v>
      </c>
      <c r="H25" s="22" t="s">
        <v>136</v>
      </c>
      <c r="I25" s="22" t="s">
        <v>136</v>
      </c>
      <c r="J25" s="148"/>
      <c r="K25" s="100"/>
      <c r="L25" s="100"/>
      <c r="M25" s="100"/>
      <c r="N25" s="100"/>
      <c r="O25" s="101"/>
      <c r="P25" s="22"/>
      <c r="Q25" s="22"/>
      <c r="R25" s="22"/>
      <c r="S25" s="22"/>
    </row>
    <row r="26" spans="1:19" ht="18" customHeight="1" x14ac:dyDescent="0.15">
      <c r="B26" s="136" t="s">
        <v>132</v>
      </c>
      <c r="C26" s="103"/>
      <c r="D26" s="103"/>
      <c r="E26" s="104"/>
      <c r="F26" s="23">
        <v>1</v>
      </c>
      <c r="G26" s="23" t="s">
        <v>136</v>
      </c>
      <c r="H26" s="23" t="s">
        <v>136</v>
      </c>
      <c r="I26" s="23"/>
      <c r="J26" s="136"/>
      <c r="K26" s="103"/>
      <c r="L26" s="103"/>
      <c r="M26" s="103"/>
      <c r="N26" s="103"/>
      <c r="O26" s="104"/>
      <c r="P26" s="23"/>
      <c r="Q26" s="23"/>
      <c r="R26" s="23"/>
      <c r="S26" s="23"/>
    </row>
    <row r="27" spans="1:19" ht="18" customHeight="1" x14ac:dyDescent="0.15">
      <c r="B27" s="136"/>
      <c r="C27" s="103"/>
      <c r="D27" s="103"/>
      <c r="E27" s="104"/>
      <c r="F27" s="23"/>
      <c r="G27" s="23"/>
      <c r="H27" s="23"/>
      <c r="I27" s="23"/>
      <c r="J27" s="136"/>
      <c r="K27" s="103"/>
      <c r="L27" s="103"/>
      <c r="M27" s="103"/>
      <c r="N27" s="103"/>
      <c r="O27" s="104"/>
      <c r="P27" s="23"/>
      <c r="Q27" s="23"/>
      <c r="R27" s="23"/>
      <c r="S27" s="23"/>
    </row>
    <row r="28" spans="1:19" ht="18" customHeight="1" x14ac:dyDescent="0.15">
      <c r="B28" s="136"/>
      <c r="C28" s="103"/>
      <c r="D28" s="103"/>
      <c r="E28" s="104"/>
      <c r="F28" s="23"/>
      <c r="G28" s="23"/>
      <c r="H28" s="23"/>
      <c r="I28" s="23"/>
      <c r="J28" s="136"/>
      <c r="K28" s="103"/>
      <c r="L28" s="103"/>
      <c r="M28" s="103"/>
      <c r="N28" s="103"/>
      <c r="O28" s="104"/>
      <c r="P28" s="23"/>
      <c r="Q28" s="23"/>
      <c r="R28" s="23"/>
      <c r="S28" s="23"/>
    </row>
    <row r="29" spans="1:19" ht="18" customHeight="1" x14ac:dyDescent="0.15">
      <c r="B29" s="136"/>
      <c r="C29" s="103"/>
      <c r="D29" s="103"/>
      <c r="E29" s="104"/>
      <c r="F29" s="23"/>
      <c r="G29" s="23"/>
      <c r="H29" s="23"/>
      <c r="I29" s="23"/>
      <c r="J29" s="136"/>
      <c r="K29" s="103"/>
      <c r="L29" s="103"/>
      <c r="M29" s="103"/>
      <c r="N29" s="103"/>
      <c r="O29" s="104"/>
      <c r="P29" s="23"/>
      <c r="Q29" s="23"/>
      <c r="R29" s="23"/>
      <c r="S29" s="23"/>
    </row>
    <row r="30" spans="1:19" ht="18" customHeight="1" x14ac:dyDescent="0.15">
      <c r="A30" s="84"/>
      <c r="B30" s="136"/>
      <c r="C30" s="103"/>
      <c r="D30" s="103"/>
      <c r="E30" s="104"/>
      <c r="F30" s="23"/>
      <c r="G30" s="23"/>
      <c r="H30" s="23"/>
      <c r="I30" s="23"/>
      <c r="J30" s="136"/>
      <c r="K30" s="103"/>
      <c r="L30" s="103"/>
      <c r="M30" s="103"/>
      <c r="N30" s="103"/>
      <c r="O30" s="104"/>
      <c r="P30" s="23"/>
      <c r="Q30" s="23"/>
      <c r="R30" s="23"/>
      <c r="S30" s="23"/>
    </row>
    <row r="31" spans="1:19" ht="18" customHeight="1" x14ac:dyDescent="0.15">
      <c r="A31" s="84"/>
      <c r="B31" s="141"/>
      <c r="C31" s="142"/>
      <c r="D31" s="142"/>
      <c r="E31" s="143"/>
      <c r="F31" s="24"/>
      <c r="G31" s="24"/>
      <c r="H31" s="25"/>
      <c r="I31" s="25"/>
      <c r="J31" s="141"/>
      <c r="K31" s="142"/>
      <c r="L31" s="142"/>
      <c r="M31" s="142"/>
      <c r="N31" s="142"/>
      <c r="O31" s="143"/>
      <c r="P31" s="24"/>
      <c r="Q31" s="24"/>
      <c r="R31" s="25"/>
      <c r="S31" s="25"/>
    </row>
    <row r="32" spans="1:19" ht="7.5" customHeight="1" x14ac:dyDescent="0.15">
      <c r="A32" s="84"/>
      <c r="B32" s="6"/>
      <c r="C32" s="6"/>
      <c r="D32" s="84"/>
      <c r="E32" s="84"/>
      <c r="F32" s="84"/>
      <c r="G32" s="84"/>
      <c r="H32" s="6"/>
      <c r="I32" s="6"/>
      <c r="J32" s="6"/>
      <c r="K32" s="6"/>
      <c r="L32" s="6"/>
      <c r="M32" s="6"/>
      <c r="N32" s="6"/>
      <c r="O32" s="6"/>
      <c r="P32" s="6"/>
      <c r="Q32" s="6"/>
      <c r="R32" s="6"/>
      <c r="S32" s="84"/>
    </row>
    <row r="33" spans="1:19" ht="18" customHeight="1" x14ac:dyDescent="0.15">
      <c r="A33" s="152" t="s">
        <v>114</v>
      </c>
      <c r="B33" s="152"/>
      <c r="C33" s="152"/>
      <c r="D33" s="152"/>
      <c r="E33" s="152"/>
      <c r="F33" s="152"/>
      <c r="G33" s="152"/>
      <c r="H33" s="152"/>
      <c r="I33" s="152"/>
      <c r="J33" s="152"/>
      <c r="K33" s="152"/>
      <c r="L33" s="152"/>
      <c r="M33" s="152"/>
      <c r="N33" s="152"/>
      <c r="O33" s="152"/>
      <c r="P33" s="152"/>
      <c r="Q33" s="152"/>
      <c r="R33" s="152"/>
      <c r="S33" s="152"/>
    </row>
    <row r="34" spans="1:19" ht="18" customHeight="1" x14ac:dyDescent="0.15">
      <c r="A34" s="152"/>
      <c r="B34" s="152"/>
      <c r="C34" s="152"/>
      <c r="D34" s="152"/>
      <c r="E34" s="152"/>
      <c r="F34" s="152"/>
      <c r="G34" s="152"/>
      <c r="H34" s="152"/>
      <c r="I34" s="152"/>
      <c r="J34" s="152"/>
      <c r="K34" s="152"/>
      <c r="L34" s="152"/>
      <c r="M34" s="152"/>
      <c r="N34" s="152"/>
      <c r="O34" s="152"/>
      <c r="P34" s="152"/>
      <c r="Q34" s="152"/>
      <c r="R34" s="152"/>
      <c r="S34" s="152"/>
    </row>
    <row r="35" spans="1:19" ht="18" customHeight="1" x14ac:dyDescent="0.15">
      <c r="B35" s="144" t="s">
        <v>53</v>
      </c>
      <c r="C35" s="125"/>
      <c r="D35" s="125"/>
      <c r="E35" s="126"/>
      <c r="F35" s="59" t="s">
        <v>80</v>
      </c>
      <c r="G35" s="58" t="s">
        <v>84</v>
      </c>
      <c r="H35" s="21" t="s">
        <v>71</v>
      </c>
      <c r="I35" s="21" t="s">
        <v>72</v>
      </c>
      <c r="J35" s="144" t="s">
        <v>53</v>
      </c>
      <c r="K35" s="125"/>
      <c r="L35" s="125"/>
      <c r="M35" s="125"/>
      <c r="N35" s="125"/>
      <c r="O35" s="126"/>
      <c r="P35" s="59" t="s">
        <v>80</v>
      </c>
      <c r="Q35" s="58" t="s">
        <v>84</v>
      </c>
      <c r="R35" s="21" t="s">
        <v>71</v>
      </c>
      <c r="S35" s="21" t="s">
        <v>72</v>
      </c>
    </row>
    <row r="36" spans="1:19" ht="18" customHeight="1" x14ac:dyDescent="0.15">
      <c r="B36" s="148" t="s">
        <v>158</v>
      </c>
      <c r="C36" s="100"/>
      <c r="D36" s="100"/>
      <c r="E36" s="101"/>
      <c r="F36" s="22">
        <v>2</v>
      </c>
      <c r="G36" s="22" t="s">
        <v>136</v>
      </c>
      <c r="H36" s="22" t="s">
        <v>136</v>
      </c>
      <c r="I36" s="22" t="s">
        <v>136</v>
      </c>
      <c r="J36" s="148"/>
      <c r="K36" s="100"/>
      <c r="L36" s="100"/>
      <c r="M36" s="100"/>
      <c r="N36" s="100"/>
      <c r="O36" s="101"/>
      <c r="P36" s="22"/>
      <c r="Q36" s="22"/>
      <c r="R36" s="22"/>
      <c r="S36" s="22"/>
    </row>
    <row r="37" spans="1:19" ht="18" customHeight="1" x14ac:dyDescent="0.15">
      <c r="B37" s="136" t="s">
        <v>132</v>
      </c>
      <c r="C37" s="103"/>
      <c r="D37" s="103"/>
      <c r="E37" s="104"/>
      <c r="F37" s="23">
        <v>1</v>
      </c>
      <c r="G37" s="23" t="s">
        <v>136</v>
      </c>
      <c r="H37" s="23" t="s">
        <v>136</v>
      </c>
      <c r="I37" s="23"/>
      <c r="J37" s="136"/>
      <c r="K37" s="103"/>
      <c r="L37" s="103"/>
      <c r="M37" s="103"/>
      <c r="N37" s="103"/>
      <c r="O37" s="104"/>
      <c r="P37" s="23"/>
      <c r="Q37" s="23"/>
      <c r="R37" s="23"/>
      <c r="S37" s="23"/>
    </row>
    <row r="38" spans="1:19" ht="18" customHeight="1" x14ac:dyDescent="0.15">
      <c r="B38" s="136"/>
      <c r="C38" s="103"/>
      <c r="D38" s="103"/>
      <c r="E38" s="104"/>
      <c r="F38" s="23"/>
      <c r="G38" s="23"/>
      <c r="H38" s="23"/>
      <c r="I38" s="23"/>
      <c r="J38" s="136"/>
      <c r="K38" s="103"/>
      <c r="L38" s="103"/>
      <c r="M38" s="103"/>
      <c r="N38" s="103"/>
      <c r="O38" s="104"/>
      <c r="P38" s="23"/>
      <c r="Q38" s="23"/>
      <c r="R38" s="23"/>
      <c r="S38" s="23"/>
    </row>
    <row r="39" spans="1:19" ht="18" customHeight="1" x14ac:dyDescent="0.15">
      <c r="B39" s="136"/>
      <c r="C39" s="103"/>
      <c r="D39" s="103"/>
      <c r="E39" s="104"/>
      <c r="F39" s="23"/>
      <c r="G39" s="23"/>
      <c r="H39" s="23"/>
      <c r="I39" s="23"/>
      <c r="J39" s="136"/>
      <c r="K39" s="103"/>
      <c r="L39" s="103"/>
      <c r="M39" s="103"/>
      <c r="N39" s="103"/>
      <c r="O39" s="104"/>
      <c r="P39" s="23"/>
      <c r="Q39" s="23"/>
      <c r="R39" s="23"/>
      <c r="S39" s="23"/>
    </row>
    <row r="40" spans="1:19" ht="18" customHeight="1" x14ac:dyDescent="0.15">
      <c r="B40" s="136"/>
      <c r="C40" s="103"/>
      <c r="D40" s="103"/>
      <c r="E40" s="104"/>
      <c r="F40" s="23"/>
      <c r="G40" s="23"/>
      <c r="H40" s="23"/>
      <c r="I40" s="23"/>
      <c r="J40" s="136"/>
      <c r="K40" s="103"/>
      <c r="L40" s="103"/>
      <c r="M40" s="103"/>
      <c r="N40" s="103"/>
      <c r="O40" s="104"/>
      <c r="P40" s="23"/>
      <c r="Q40" s="23"/>
      <c r="R40" s="23"/>
      <c r="S40" s="23"/>
    </row>
    <row r="41" spans="1:19" ht="18" customHeight="1" x14ac:dyDescent="0.15">
      <c r="B41" s="136"/>
      <c r="C41" s="103"/>
      <c r="D41" s="103"/>
      <c r="E41" s="104"/>
      <c r="F41" s="23"/>
      <c r="G41" s="23"/>
      <c r="H41" s="23"/>
      <c r="I41" s="23"/>
      <c r="J41" s="136"/>
      <c r="K41" s="103"/>
      <c r="L41" s="103"/>
      <c r="M41" s="103"/>
      <c r="N41" s="103"/>
      <c r="O41" s="104"/>
      <c r="P41" s="23"/>
      <c r="Q41" s="23"/>
      <c r="R41" s="23"/>
      <c r="S41" s="23"/>
    </row>
    <row r="42" spans="1:19" ht="18" customHeight="1" x14ac:dyDescent="0.15">
      <c r="B42" s="141"/>
      <c r="C42" s="142"/>
      <c r="D42" s="142"/>
      <c r="E42" s="143"/>
      <c r="F42" s="24"/>
      <c r="G42" s="24"/>
      <c r="H42" s="25"/>
      <c r="I42" s="25"/>
      <c r="J42" s="141"/>
      <c r="K42" s="142"/>
      <c r="L42" s="142"/>
      <c r="M42" s="142"/>
      <c r="N42" s="142"/>
      <c r="O42" s="143"/>
      <c r="P42" s="24"/>
      <c r="Q42" s="24"/>
      <c r="R42" s="25"/>
      <c r="S42" s="25"/>
    </row>
    <row r="43" spans="1:19" ht="7.5" customHeight="1" x14ac:dyDescent="0.15">
      <c r="A43" s="84"/>
      <c r="B43" s="6"/>
      <c r="C43" s="6"/>
      <c r="D43" s="84"/>
      <c r="E43" s="84"/>
      <c r="F43" s="84"/>
      <c r="G43" s="84"/>
      <c r="H43" s="6"/>
      <c r="I43" s="6"/>
      <c r="J43" s="6"/>
      <c r="K43" s="6"/>
      <c r="L43" s="6"/>
      <c r="M43" s="6"/>
      <c r="N43" s="6"/>
      <c r="O43" s="6"/>
      <c r="P43" s="6"/>
      <c r="Q43" s="6"/>
      <c r="R43" s="6"/>
      <c r="S43" s="84"/>
    </row>
    <row r="44" spans="1:19" ht="18" customHeight="1" x14ac:dyDescent="0.15">
      <c r="A44" s="152" t="s">
        <v>115</v>
      </c>
      <c r="B44" s="152"/>
      <c r="C44" s="152"/>
      <c r="D44" s="152"/>
      <c r="E44" s="152"/>
      <c r="F44" s="152"/>
      <c r="G44" s="152"/>
      <c r="H44" s="152"/>
      <c r="I44" s="152"/>
      <c r="J44" s="152"/>
      <c r="K44" s="152"/>
      <c r="L44" s="152"/>
      <c r="M44" s="152"/>
      <c r="N44" s="152"/>
      <c r="O44" s="152"/>
      <c r="P44" s="152"/>
      <c r="Q44" s="152"/>
      <c r="R44" s="152"/>
      <c r="S44" s="152"/>
    </row>
    <row r="45" spans="1:19" ht="18" customHeight="1" x14ac:dyDescent="0.15">
      <c r="A45" s="152"/>
      <c r="B45" s="152"/>
      <c r="C45" s="152"/>
      <c r="D45" s="152"/>
      <c r="E45" s="152"/>
      <c r="F45" s="152"/>
      <c r="G45" s="152"/>
      <c r="H45" s="152"/>
      <c r="I45" s="152"/>
      <c r="J45" s="152"/>
      <c r="K45" s="152"/>
      <c r="L45" s="152"/>
      <c r="M45" s="152"/>
      <c r="N45" s="152"/>
      <c r="O45" s="152"/>
      <c r="P45" s="152"/>
      <c r="Q45" s="152"/>
      <c r="R45" s="152"/>
      <c r="S45" s="152"/>
    </row>
    <row r="46" spans="1:19" ht="18" customHeight="1" x14ac:dyDescent="0.15">
      <c r="B46" s="144" t="s">
        <v>53</v>
      </c>
      <c r="C46" s="125"/>
      <c r="D46" s="125"/>
      <c r="E46" s="126"/>
      <c r="F46" s="59" t="s">
        <v>80</v>
      </c>
      <c r="G46" s="58" t="s">
        <v>84</v>
      </c>
      <c r="H46" s="21" t="s">
        <v>73</v>
      </c>
      <c r="I46" s="21" t="s">
        <v>74</v>
      </c>
      <c r="J46" s="144" t="s">
        <v>53</v>
      </c>
      <c r="K46" s="125"/>
      <c r="L46" s="125"/>
      <c r="M46" s="125"/>
      <c r="N46" s="125"/>
      <c r="O46" s="126"/>
      <c r="P46" s="59" t="s">
        <v>80</v>
      </c>
      <c r="Q46" s="58" t="s">
        <v>84</v>
      </c>
      <c r="R46" s="21" t="s">
        <v>73</v>
      </c>
      <c r="S46" s="21" t="s">
        <v>74</v>
      </c>
    </row>
    <row r="47" spans="1:19" ht="18" customHeight="1" x14ac:dyDescent="0.15">
      <c r="A47" s="84"/>
      <c r="B47" s="148" t="s">
        <v>158</v>
      </c>
      <c r="C47" s="100"/>
      <c r="D47" s="100"/>
      <c r="E47" s="101"/>
      <c r="F47" s="22">
        <v>2</v>
      </c>
      <c r="G47" s="22" t="s">
        <v>136</v>
      </c>
      <c r="H47" s="22" t="s">
        <v>136</v>
      </c>
      <c r="I47" s="22" t="s">
        <v>136</v>
      </c>
      <c r="J47" s="148"/>
      <c r="K47" s="100"/>
      <c r="L47" s="100"/>
      <c r="M47" s="100"/>
      <c r="N47" s="100"/>
      <c r="O47" s="101"/>
      <c r="P47" s="22"/>
      <c r="Q47" s="22"/>
      <c r="R47" s="22"/>
      <c r="S47" s="22"/>
    </row>
    <row r="48" spans="1:19" ht="18" customHeight="1" x14ac:dyDescent="0.15">
      <c r="A48" s="84"/>
      <c r="B48" s="136" t="s">
        <v>132</v>
      </c>
      <c r="C48" s="103"/>
      <c r="D48" s="103"/>
      <c r="E48" s="104"/>
      <c r="F48" s="23">
        <v>1</v>
      </c>
      <c r="G48" s="23" t="s">
        <v>136</v>
      </c>
      <c r="H48" s="23" t="s">
        <v>136</v>
      </c>
      <c r="I48" s="23" t="s">
        <v>136</v>
      </c>
      <c r="J48" s="136"/>
      <c r="K48" s="103"/>
      <c r="L48" s="103"/>
      <c r="M48" s="103"/>
      <c r="N48" s="103"/>
      <c r="O48" s="104"/>
      <c r="P48" s="23"/>
      <c r="Q48" s="23"/>
      <c r="R48" s="23"/>
      <c r="S48" s="23"/>
    </row>
    <row r="49" spans="1:19" ht="18" customHeight="1" x14ac:dyDescent="0.15">
      <c r="A49" s="84"/>
      <c r="B49" s="136"/>
      <c r="C49" s="103"/>
      <c r="D49" s="103"/>
      <c r="E49" s="104"/>
      <c r="F49" s="23"/>
      <c r="G49" s="23"/>
      <c r="H49" s="23"/>
      <c r="I49" s="23"/>
      <c r="J49" s="136"/>
      <c r="K49" s="103"/>
      <c r="L49" s="103"/>
      <c r="M49" s="103"/>
      <c r="N49" s="103"/>
      <c r="O49" s="104"/>
      <c r="P49" s="23"/>
      <c r="Q49" s="23"/>
      <c r="R49" s="23"/>
      <c r="S49" s="23"/>
    </row>
    <row r="50" spans="1:19" ht="18" customHeight="1" x14ac:dyDescent="0.15">
      <c r="A50" s="84"/>
      <c r="B50" s="136"/>
      <c r="C50" s="103"/>
      <c r="D50" s="103"/>
      <c r="E50" s="104"/>
      <c r="F50" s="23"/>
      <c r="G50" s="23"/>
      <c r="H50" s="23"/>
      <c r="I50" s="23"/>
      <c r="J50" s="136"/>
      <c r="K50" s="103"/>
      <c r="L50" s="103"/>
      <c r="M50" s="103"/>
      <c r="N50" s="103"/>
      <c r="O50" s="104"/>
      <c r="P50" s="23"/>
      <c r="Q50" s="23"/>
      <c r="R50" s="23"/>
      <c r="S50" s="23"/>
    </row>
    <row r="51" spans="1:19" ht="18" customHeight="1" x14ac:dyDescent="0.15">
      <c r="A51" s="84"/>
      <c r="B51" s="136"/>
      <c r="C51" s="103"/>
      <c r="D51" s="103"/>
      <c r="E51" s="104"/>
      <c r="F51" s="23"/>
      <c r="G51" s="23"/>
      <c r="H51" s="23"/>
      <c r="I51" s="23"/>
      <c r="J51" s="136"/>
      <c r="K51" s="103"/>
      <c r="L51" s="103"/>
      <c r="M51" s="103"/>
      <c r="N51" s="103"/>
      <c r="O51" s="104"/>
      <c r="P51" s="23"/>
      <c r="Q51" s="23"/>
      <c r="R51" s="23"/>
      <c r="S51" s="23"/>
    </row>
    <row r="52" spans="1:19" ht="18" customHeight="1" x14ac:dyDescent="0.15">
      <c r="A52" s="84"/>
      <c r="B52" s="136"/>
      <c r="C52" s="103"/>
      <c r="D52" s="103"/>
      <c r="E52" s="104"/>
      <c r="F52" s="23"/>
      <c r="G52" s="23"/>
      <c r="H52" s="23"/>
      <c r="I52" s="23"/>
      <c r="J52" s="136"/>
      <c r="K52" s="103"/>
      <c r="L52" s="103"/>
      <c r="M52" s="103"/>
      <c r="N52" s="103"/>
      <c r="O52" s="104"/>
      <c r="P52" s="23"/>
      <c r="Q52" s="23"/>
      <c r="R52" s="23"/>
      <c r="S52" s="23"/>
    </row>
    <row r="53" spans="1:19" ht="18" customHeight="1" x14ac:dyDescent="0.15">
      <c r="A53" s="84"/>
      <c r="B53" s="141"/>
      <c r="C53" s="142"/>
      <c r="D53" s="142"/>
      <c r="E53" s="143"/>
      <c r="F53" s="24"/>
      <c r="G53" s="24"/>
      <c r="H53" s="25"/>
      <c r="I53" s="25"/>
      <c r="J53" s="141"/>
      <c r="K53" s="142"/>
      <c r="L53" s="142"/>
      <c r="M53" s="142"/>
      <c r="N53" s="142"/>
      <c r="O53" s="143"/>
      <c r="P53" s="24"/>
      <c r="Q53" s="24"/>
      <c r="R53" s="25"/>
      <c r="S53" s="25"/>
    </row>
    <row r="54" spans="1:19" ht="7.5" customHeight="1" x14ac:dyDescent="0.15">
      <c r="B54" s="82"/>
      <c r="C54" s="82"/>
      <c r="D54" s="82"/>
      <c r="E54" s="82"/>
      <c r="F54" s="82"/>
      <c r="G54" s="82"/>
      <c r="H54" s="82"/>
      <c r="I54" s="82"/>
      <c r="J54" s="82"/>
      <c r="K54" s="82"/>
      <c r="L54" s="82"/>
      <c r="M54" s="82"/>
      <c r="N54" s="82"/>
      <c r="O54" s="82"/>
      <c r="P54" s="82"/>
      <c r="Q54" s="82"/>
      <c r="R54" s="82"/>
    </row>
    <row r="55" spans="1:19" ht="18" customHeight="1" x14ac:dyDescent="0.15">
      <c r="A55" s="152" t="s">
        <v>116</v>
      </c>
      <c r="B55" s="152"/>
      <c r="C55" s="152"/>
      <c r="D55" s="152"/>
      <c r="E55" s="152"/>
      <c r="F55" s="152"/>
      <c r="G55" s="152"/>
      <c r="H55" s="152"/>
      <c r="I55" s="152"/>
      <c r="J55" s="152"/>
      <c r="K55" s="152"/>
      <c r="L55" s="152"/>
      <c r="M55" s="152"/>
      <c r="N55" s="152"/>
      <c r="O55" s="152"/>
      <c r="P55" s="152"/>
      <c r="Q55" s="152"/>
      <c r="R55" s="152"/>
      <c r="S55" s="152"/>
    </row>
    <row r="56" spans="1:19" ht="18" customHeight="1" x14ac:dyDescent="0.15">
      <c r="A56" s="152"/>
      <c r="B56" s="152"/>
      <c r="C56" s="152"/>
      <c r="D56" s="152"/>
      <c r="E56" s="152"/>
      <c r="F56" s="152"/>
      <c r="G56" s="152"/>
      <c r="H56" s="152"/>
      <c r="I56" s="152"/>
      <c r="J56" s="152"/>
      <c r="K56" s="152"/>
      <c r="L56" s="152"/>
      <c r="M56" s="152"/>
      <c r="N56" s="152"/>
      <c r="O56" s="152"/>
      <c r="P56" s="152"/>
      <c r="Q56" s="152"/>
      <c r="R56" s="152"/>
      <c r="S56" s="152"/>
    </row>
    <row r="57" spans="1:19" ht="18" customHeight="1" x14ac:dyDescent="0.15">
      <c r="B57" s="144" t="s">
        <v>53</v>
      </c>
      <c r="C57" s="125"/>
      <c r="D57" s="125"/>
      <c r="E57" s="126"/>
      <c r="F57" s="59" t="s">
        <v>80</v>
      </c>
      <c r="G57" s="58" t="s">
        <v>84</v>
      </c>
      <c r="H57" s="21" t="s">
        <v>58</v>
      </c>
      <c r="I57" s="21" t="s">
        <v>60</v>
      </c>
      <c r="J57" s="144" t="s">
        <v>53</v>
      </c>
      <c r="K57" s="125"/>
      <c r="L57" s="125"/>
      <c r="M57" s="125"/>
      <c r="N57" s="125"/>
      <c r="O57" s="126"/>
      <c r="P57" s="59" t="s">
        <v>80</v>
      </c>
      <c r="Q57" s="58" t="s">
        <v>84</v>
      </c>
      <c r="R57" s="21" t="s">
        <v>58</v>
      </c>
      <c r="S57" s="21" t="s">
        <v>60</v>
      </c>
    </row>
    <row r="58" spans="1:19" ht="18" customHeight="1" x14ac:dyDescent="0.15">
      <c r="A58" s="84"/>
      <c r="B58" s="148" t="s">
        <v>158</v>
      </c>
      <c r="C58" s="100"/>
      <c r="D58" s="100"/>
      <c r="E58" s="101"/>
      <c r="F58" s="22">
        <v>2</v>
      </c>
      <c r="G58" s="22" t="s">
        <v>136</v>
      </c>
      <c r="H58" s="22" t="s">
        <v>136</v>
      </c>
      <c r="I58" s="22" t="s">
        <v>136</v>
      </c>
      <c r="J58" s="148"/>
      <c r="K58" s="100"/>
      <c r="L58" s="100"/>
      <c r="M58" s="100"/>
      <c r="N58" s="100"/>
      <c r="O58" s="101"/>
      <c r="P58" s="22"/>
      <c r="Q58" s="22"/>
      <c r="R58" s="22"/>
      <c r="S58" s="22"/>
    </row>
    <row r="59" spans="1:19" ht="18" customHeight="1" x14ac:dyDescent="0.15">
      <c r="A59" s="84"/>
      <c r="B59" s="136"/>
      <c r="C59" s="103"/>
      <c r="D59" s="103"/>
      <c r="E59" s="104"/>
      <c r="F59" s="23"/>
      <c r="G59" s="23"/>
      <c r="H59" s="23"/>
      <c r="I59" s="23"/>
      <c r="J59" s="136"/>
      <c r="K59" s="103"/>
      <c r="L59" s="103"/>
      <c r="M59" s="103"/>
      <c r="N59" s="103"/>
      <c r="O59" s="104"/>
      <c r="P59" s="23"/>
      <c r="Q59" s="23"/>
      <c r="R59" s="23"/>
      <c r="S59" s="23"/>
    </row>
    <row r="60" spans="1:19" ht="18" customHeight="1" x14ac:dyDescent="0.15">
      <c r="A60" s="84"/>
      <c r="B60" s="136"/>
      <c r="C60" s="103"/>
      <c r="D60" s="103"/>
      <c r="E60" s="104"/>
      <c r="F60" s="23"/>
      <c r="G60" s="23"/>
      <c r="H60" s="23"/>
      <c r="I60" s="23"/>
      <c r="J60" s="136"/>
      <c r="K60" s="103"/>
      <c r="L60" s="103"/>
      <c r="M60" s="103"/>
      <c r="N60" s="103"/>
      <c r="O60" s="104"/>
      <c r="P60" s="23"/>
      <c r="Q60" s="23"/>
      <c r="R60" s="23"/>
      <c r="S60" s="23"/>
    </row>
    <row r="61" spans="1:19" ht="18" customHeight="1" x14ac:dyDescent="0.15">
      <c r="A61" s="84"/>
      <c r="B61" s="136"/>
      <c r="C61" s="103"/>
      <c r="D61" s="103"/>
      <c r="E61" s="104"/>
      <c r="F61" s="23"/>
      <c r="G61" s="23"/>
      <c r="H61" s="23"/>
      <c r="I61" s="23"/>
      <c r="J61" s="136"/>
      <c r="K61" s="103"/>
      <c r="L61" s="103"/>
      <c r="M61" s="103"/>
      <c r="N61" s="103"/>
      <c r="O61" s="104"/>
      <c r="P61" s="23"/>
      <c r="Q61" s="23"/>
      <c r="R61" s="23"/>
      <c r="S61" s="23"/>
    </row>
    <row r="62" spans="1:19" ht="18" customHeight="1" x14ac:dyDescent="0.15">
      <c r="A62" s="84"/>
      <c r="B62" s="136"/>
      <c r="C62" s="103"/>
      <c r="D62" s="103"/>
      <c r="E62" s="104"/>
      <c r="F62" s="23"/>
      <c r="G62" s="23"/>
      <c r="H62" s="23"/>
      <c r="I62" s="23"/>
      <c r="J62" s="136"/>
      <c r="K62" s="103"/>
      <c r="L62" s="103"/>
      <c r="M62" s="103"/>
      <c r="N62" s="103"/>
      <c r="O62" s="104"/>
      <c r="P62" s="23"/>
      <c r="Q62" s="23"/>
      <c r="R62" s="23"/>
      <c r="S62" s="23"/>
    </row>
    <row r="63" spans="1:19" ht="18" customHeight="1" x14ac:dyDescent="0.15">
      <c r="A63" s="84"/>
      <c r="B63" s="136"/>
      <c r="C63" s="103"/>
      <c r="D63" s="103"/>
      <c r="E63" s="104"/>
      <c r="F63" s="23"/>
      <c r="G63" s="23"/>
      <c r="H63" s="23"/>
      <c r="I63" s="23"/>
      <c r="J63" s="136"/>
      <c r="K63" s="103"/>
      <c r="L63" s="103"/>
      <c r="M63" s="103"/>
      <c r="N63" s="103"/>
      <c r="O63" s="104"/>
      <c r="P63" s="23"/>
      <c r="Q63" s="23"/>
      <c r="R63" s="23"/>
      <c r="S63" s="23"/>
    </row>
    <row r="64" spans="1:19" ht="18" customHeight="1" x14ac:dyDescent="0.15">
      <c r="A64" s="84"/>
      <c r="B64" s="141"/>
      <c r="C64" s="142"/>
      <c r="D64" s="142"/>
      <c r="E64" s="143"/>
      <c r="F64" s="24"/>
      <c r="G64" s="24"/>
      <c r="H64" s="25"/>
      <c r="I64" s="25"/>
      <c r="J64" s="141"/>
      <c r="K64" s="142"/>
      <c r="L64" s="142"/>
      <c r="M64" s="142"/>
      <c r="N64" s="142"/>
      <c r="O64" s="143"/>
      <c r="P64" s="24"/>
      <c r="Q64" s="24"/>
      <c r="R64" s="25"/>
      <c r="S64" s="25"/>
    </row>
    <row r="65" spans="1:19" ht="7.5" customHeight="1" x14ac:dyDescent="0.15">
      <c r="B65" s="82"/>
      <c r="C65" s="82"/>
      <c r="D65" s="82"/>
      <c r="E65" s="82"/>
      <c r="F65" s="82"/>
      <c r="G65" s="82"/>
      <c r="H65" s="82"/>
      <c r="I65" s="82"/>
      <c r="J65" s="82"/>
      <c r="K65" s="82"/>
      <c r="L65" s="82"/>
      <c r="M65" s="82"/>
      <c r="N65" s="82"/>
      <c r="O65" s="82"/>
      <c r="P65" s="82"/>
      <c r="Q65" s="82"/>
      <c r="R65" s="82"/>
    </row>
    <row r="66" spans="1:19" ht="18" customHeight="1" x14ac:dyDescent="0.15">
      <c r="A66" s="152" t="s">
        <v>117</v>
      </c>
      <c r="B66" s="152"/>
      <c r="C66" s="152"/>
      <c r="D66" s="152"/>
      <c r="E66" s="152"/>
      <c r="F66" s="152"/>
      <c r="G66" s="152"/>
      <c r="H66" s="152"/>
      <c r="I66" s="152"/>
      <c r="J66" s="152"/>
      <c r="K66" s="152"/>
      <c r="L66" s="152"/>
      <c r="M66" s="152"/>
      <c r="N66" s="152"/>
      <c r="O66" s="152"/>
      <c r="P66" s="152"/>
      <c r="Q66" s="152"/>
      <c r="R66" s="152"/>
      <c r="S66" s="152"/>
    </row>
    <row r="67" spans="1:19" ht="18" customHeight="1" x14ac:dyDescent="0.15">
      <c r="A67" s="152"/>
      <c r="B67" s="152"/>
      <c r="C67" s="152"/>
      <c r="D67" s="152"/>
      <c r="E67" s="152"/>
      <c r="F67" s="152"/>
      <c r="G67" s="152"/>
      <c r="H67" s="152"/>
      <c r="I67" s="152"/>
      <c r="J67" s="152"/>
      <c r="K67" s="152"/>
      <c r="L67" s="152"/>
      <c r="M67" s="152"/>
      <c r="N67" s="152"/>
      <c r="O67" s="152"/>
      <c r="P67" s="152"/>
      <c r="Q67" s="152"/>
      <c r="R67" s="152"/>
      <c r="S67" s="152"/>
    </row>
    <row r="68" spans="1:19" ht="18" customHeight="1" x14ac:dyDescent="0.15">
      <c r="B68" s="144" t="s">
        <v>53</v>
      </c>
      <c r="C68" s="125"/>
      <c r="D68" s="125"/>
      <c r="E68" s="59" t="s">
        <v>80</v>
      </c>
      <c r="F68" s="58" t="s">
        <v>84</v>
      </c>
      <c r="G68" s="21" t="s">
        <v>101</v>
      </c>
      <c r="H68" s="21" t="s">
        <v>75</v>
      </c>
      <c r="I68" s="21" t="s">
        <v>76</v>
      </c>
      <c r="J68" s="144" t="s">
        <v>53</v>
      </c>
      <c r="K68" s="125"/>
      <c r="L68" s="125"/>
      <c r="M68" s="125"/>
      <c r="N68" s="126"/>
      <c r="O68" s="59" t="s">
        <v>80</v>
      </c>
      <c r="P68" s="58" t="s">
        <v>84</v>
      </c>
      <c r="Q68" s="21" t="s">
        <v>101</v>
      </c>
      <c r="R68" s="21" t="s">
        <v>75</v>
      </c>
      <c r="S68" s="21" t="s">
        <v>76</v>
      </c>
    </row>
    <row r="69" spans="1:19" ht="18" customHeight="1" x14ac:dyDescent="0.15">
      <c r="A69" s="84"/>
      <c r="B69" s="148" t="s">
        <v>158</v>
      </c>
      <c r="C69" s="100"/>
      <c r="D69" s="101"/>
      <c r="E69" s="22">
        <v>2</v>
      </c>
      <c r="F69" s="22" t="s">
        <v>136</v>
      </c>
      <c r="G69" s="22" t="s">
        <v>136</v>
      </c>
      <c r="H69" s="22" t="s">
        <v>136</v>
      </c>
      <c r="I69" s="22" t="s">
        <v>136</v>
      </c>
      <c r="J69" s="148"/>
      <c r="K69" s="100"/>
      <c r="L69" s="100"/>
      <c r="M69" s="100"/>
      <c r="N69" s="101"/>
      <c r="O69" s="22"/>
      <c r="P69" s="22"/>
      <c r="Q69" s="22"/>
      <c r="R69" s="22"/>
      <c r="S69" s="22"/>
    </row>
    <row r="70" spans="1:19" ht="18" customHeight="1" x14ac:dyDescent="0.15">
      <c r="A70" s="84"/>
      <c r="B70" s="136" t="s">
        <v>137</v>
      </c>
      <c r="C70" s="103"/>
      <c r="D70" s="104"/>
      <c r="E70" s="23">
        <v>1</v>
      </c>
      <c r="F70" s="23" t="s">
        <v>136</v>
      </c>
      <c r="G70" s="23" t="s">
        <v>136</v>
      </c>
      <c r="H70" s="23" t="s">
        <v>136</v>
      </c>
      <c r="I70" s="23" t="s">
        <v>136</v>
      </c>
      <c r="J70" s="136"/>
      <c r="K70" s="103"/>
      <c r="L70" s="103"/>
      <c r="M70" s="103"/>
      <c r="N70" s="104"/>
      <c r="O70" s="23"/>
      <c r="P70" s="23"/>
      <c r="Q70" s="23"/>
      <c r="R70" s="23"/>
      <c r="S70" s="23"/>
    </row>
    <row r="71" spans="1:19" ht="18" customHeight="1" x14ac:dyDescent="0.15">
      <c r="A71" s="84"/>
      <c r="B71" s="136"/>
      <c r="C71" s="103"/>
      <c r="D71" s="104"/>
      <c r="E71" s="23"/>
      <c r="F71" s="23"/>
      <c r="G71" s="23"/>
      <c r="H71" s="23"/>
      <c r="I71" s="23"/>
      <c r="J71" s="136"/>
      <c r="K71" s="103"/>
      <c r="L71" s="103"/>
      <c r="M71" s="103"/>
      <c r="N71" s="104"/>
      <c r="O71" s="23"/>
      <c r="P71" s="23"/>
      <c r="Q71" s="23"/>
      <c r="R71" s="23"/>
      <c r="S71" s="23"/>
    </row>
    <row r="72" spans="1:19" ht="18" customHeight="1" x14ac:dyDescent="0.15">
      <c r="A72" s="84"/>
      <c r="B72" s="136"/>
      <c r="C72" s="103"/>
      <c r="D72" s="104"/>
      <c r="E72" s="23"/>
      <c r="F72" s="23"/>
      <c r="G72" s="23"/>
      <c r="H72" s="23"/>
      <c r="I72" s="23"/>
      <c r="J72" s="136"/>
      <c r="K72" s="103"/>
      <c r="L72" s="103"/>
      <c r="M72" s="103"/>
      <c r="N72" s="104"/>
      <c r="O72" s="23"/>
      <c r="P72" s="23"/>
      <c r="Q72" s="23"/>
      <c r="R72" s="23"/>
      <c r="S72" s="23"/>
    </row>
    <row r="73" spans="1:19" ht="18" customHeight="1" x14ac:dyDescent="0.15">
      <c r="A73" s="84"/>
      <c r="B73" s="136"/>
      <c r="C73" s="103"/>
      <c r="D73" s="104"/>
      <c r="E73" s="23"/>
      <c r="F73" s="23"/>
      <c r="G73" s="23"/>
      <c r="H73" s="23"/>
      <c r="I73" s="23"/>
      <c r="J73" s="136"/>
      <c r="K73" s="103"/>
      <c r="L73" s="103"/>
      <c r="M73" s="103"/>
      <c r="N73" s="104"/>
      <c r="O73" s="23"/>
      <c r="P73" s="23"/>
      <c r="Q73" s="23"/>
      <c r="R73" s="23"/>
      <c r="S73" s="23"/>
    </row>
    <row r="74" spans="1:19" ht="18" customHeight="1" x14ac:dyDescent="0.15">
      <c r="A74" s="84"/>
      <c r="B74" s="136"/>
      <c r="C74" s="103"/>
      <c r="D74" s="104"/>
      <c r="E74" s="23"/>
      <c r="F74" s="23"/>
      <c r="G74" s="23"/>
      <c r="H74" s="23"/>
      <c r="I74" s="23"/>
      <c r="J74" s="136"/>
      <c r="K74" s="103"/>
      <c r="L74" s="103"/>
      <c r="M74" s="103"/>
      <c r="N74" s="104"/>
      <c r="O74" s="23"/>
      <c r="P74" s="23"/>
      <c r="Q74" s="23"/>
      <c r="R74" s="23"/>
      <c r="S74" s="23"/>
    </row>
    <row r="75" spans="1:19" ht="18" customHeight="1" x14ac:dyDescent="0.15">
      <c r="A75" s="84"/>
      <c r="B75" s="141"/>
      <c r="C75" s="142"/>
      <c r="D75" s="142"/>
      <c r="E75" s="24"/>
      <c r="F75" s="24"/>
      <c r="G75" s="25"/>
      <c r="H75" s="25"/>
      <c r="I75" s="25"/>
      <c r="J75" s="141"/>
      <c r="K75" s="142"/>
      <c r="L75" s="142"/>
      <c r="M75" s="142"/>
      <c r="N75" s="143"/>
      <c r="O75" s="24"/>
      <c r="P75" s="24"/>
      <c r="Q75" s="25"/>
      <c r="R75" s="25"/>
      <c r="S75" s="25"/>
    </row>
    <row r="76" spans="1:19" ht="7.5" customHeight="1" x14ac:dyDescent="0.15">
      <c r="B76" s="82"/>
      <c r="C76" s="82"/>
      <c r="D76" s="82"/>
      <c r="E76" s="82"/>
      <c r="F76" s="82"/>
      <c r="G76" s="82"/>
      <c r="H76" s="82"/>
      <c r="I76" s="82"/>
      <c r="J76" s="82"/>
      <c r="K76" s="82"/>
      <c r="L76" s="82"/>
      <c r="M76" s="82"/>
      <c r="N76" s="82"/>
      <c r="O76" s="82"/>
      <c r="P76" s="82"/>
      <c r="Q76" s="82"/>
      <c r="R76" s="82"/>
    </row>
    <row r="77" spans="1:19" ht="18" customHeight="1" x14ac:dyDescent="0.15">
      <c r="A77" s="83" t="s">
        <v>118</v>
      </c>
      <c r="H77" s="84"/>
      <c r="I77" s="84"/>
      <c r="J77" s="84"/>
      <c r="K77" s="84"/>
      <c r="L77" s="84"/>
      <c r="M77" s="84"/>
      <c r="N77" s="84"/>
      <c r="O77" s="84"/>
      <c r="P77" s="84"/>
      <c r="Q77" s="84"/>
      <c r="R77" s="84"/>
      <c r="S77" s="84"/>
    </row>
    <row r="78" spans="1:19" ht="18" customHeight="1" x14ac:dyDescent="0.15">
      <c r="B78" s="144" t="s">
        <v>53</v>
      </c>
      <c r="C78" s="125"/>
      <c r="D78" s="125"/>
      <c r="E78" s="126"/>
      <c r="F78" s="144" t="s">
        <v>82</v>
      </c>
      <c r="G78" s="125"/>
      <c r="H78" s="125"/>
      <c r="I78" s="126"/>
      <c r="J78" s="145" t="s">
        <v>53</v>
      </c>
      <c r="K78" s="146"/>
      <c r="L78" s="146"/>
      <c r="M78" s="146"/>
      <c r="N78" s="146"/>
      <c r="O78" s="147"/>
      <c r="P78" s="144" t="s">
        <v>82</v>
      </c>
      <c r="Q78" s="125"/>
      <c r="R78" s="125"/>
      <c r="S78" s="126"/>
    </row>
    <row r="79" spans="1:19" ht="18" customHeight="1" x14ac:dyDescent="0.15">
      <c r="A79" s="84"/>
      <c r="B79" s="148" t="s">
        <v>158</v>
      </c>
      <c r="C79" s="100"/>
      <c r="D79" s="100"/>
      <c r="E79" s="101"/>
      <c r="F79" s="149" t="s">
        <v>141</v>
      </c>
      <c r="G79" s="150"/>
      <c r="H79" s="150"/>
      <c r="I79" s="151"/>
      <c r="J79" s="148"/>
      <c r="K79" s="100"/>
      <c r="L79" s="100"/>
      <c r="M79" s="100"/>
      <c r="N79" s="100"/>
      <c r="O79" s="101"/>
      <c r="P79" s="149"/>
      <c r="Q79" s="150"/>
      <c r="R79" s="150"/>
      <c r="S79" s="151"/>
    </row>
    <row r="80" spans="1:19" ht="18" customHeight="1" x14ac:dyDescent="0.15">
      <c r="A80" s="84"/>
      <c r="B80" s="136" t="s">
        <v>139</v>
      </c>
      <c r="C80" s="103"/>
      <c r="D80" s="103"/>
      <c r="E80" s="104"/>
      <c r="F80" s="133" t="s">
        <v>141</v>
      </c>
      <c r="G80" s="134"/>
      <c r="H80" s="134"/>
      <c r="I80" s="135"/>
      <c r="J80" s="136"/>
      <c r="K80" s="103"/>
      <c r="L80" s="103"/>
      <c r="M80" s="103"/>
      <c r="N80" s="103"/>
      <c r="O80" s="104"/>
      <c r="P80" s="133"/>
      <c r="Q80" s="134"/>
      <c r="R80" s="134"/>
      <c r="S80" s="135"/>
    </row>
    <row r="81" spans="1:26" ht="18" customHeight="1" x14ac:dyDescent="0.15">
      <c r="A81" s="84"/>
      <c r="B81" s="136" t="s">
        <v>140</v>
      </c>
      <c r="C81" s="103"/>
      <c r="D81" s="103"/>
      <c r="E81" s="104"/>
      <c r="F81" s="133" t="s">
        <v>167</v>
      </c>
      <c r="G81" s="134"/>
      <c r="H81" s="134"/>
      <c r="I81" s="135"/>
      <c r="J81" s="136"/>
      <c r="K81" s="103"/>
      <c r="L81" s="103"/>
      <c r="M81" s="103"/>
      <c r="N81" s="103"/>
      <c r="O81" s="104"/>
      <c r="P81" s="133"/>
      <c r="Q81" s="134"/>
      <c r="R81" s="134"/>
      <c r="S81" s="135"/>
    </row>
    <row r="82" spans="1:26" ht="18" customHeight="1" x14ac:dyDescent="0.15">
      <c r="A82" s="84"/>
      <c r="B82" s="136" t="s">
        <v>134</v>
      </c>
      <c r="C82" s="103"/>
      <c r="D82" s="103"/>
      <c r="E82" s="104"/>
      <c r="F82" s="133" t="s">
        <v>142</v>
      </c>
      <c r="G82" s="134"/>
      <c r="H82" s="134"/>
      <c r="I82" s="135"/>
      <c r="J82" s="136"/>
      <c r="K82" s="103"/>
      <c r="L82" s="103"/>
      <c r="M82" s="103"/>
      <c r="N82" s="103"/>
      <c r="O82" s="104"/>
      <c r="P82" s="133"/>
      <c r="Q82" s="134"/>
      <c r="R82" s="134"/>
      <c r="S82" s="135"/>
    </row>
    <row r="83" spans="1:26" ht="18" customHeight="1" x14ac:dyDescent="0.15">
      <c r="A83" s="84"/>
      <c r="B83" s="130" t="s">
        <v>135</v>
      </c>
      <c r="C83" s="131"/>
      <c r="D83" s="131"/>
      <c r="E83" s="132"/>
      <c r="F83" s="133" t="s">
        <v>142</v>
      </c>
      <c r="G83" s="134"/>
      <c r="H83" s="134"/>
      <c r="I83" s="135"/>
      <c r="J83" s="136"/>
      <c r="K83" s="103"/>
      <c r="L83" s="103"/>
      <c r="M83" s="103"/>
      <c r="N83" s="103"/>
      <c r="O83" s="104"/>
      <c r="P83" s="133"/>
      <c r="Q83" s="134"/>
      <c r="R83" s="134"/>
      <c r="S83" s="135"/>
    </row>
    <row r="84" spans="1:26" ht="18" customHeight="1" x14ac:dyDescent="0.15">
      <c r="A84" s="84"/>
      <c r="B84" s="130"/>
      <c r="C84" s="131"/>
      <c r="D84" s="131"/>
      <c r="E84" s="132"/>
      <c r="F84" s="133"/>
      <c r="G84" s="134"/>
      <c r="H84" s="134"/>
      <c r="I84" s="135"/>
      <c r="J84" s="136"/>
      <c r="K84" s="103"/>
      <c r="L84" s="103"/>
      <c r="M84" s="103"/>
      <c r="N84" s="103"/>
      <c r="O84" s="104"/>
      <c r="P84" s="133"/>
      <c r="Q84" s="134"/>
      <c r="R84" s="134"/>
      <c r="S84" s="135"/>
    </row>
    <row r="85" spans="1:26" ht="18" customHeight="1" x14ac:dyDescent="0.15">
      <c r="A85" s="84"/>
      <c r="B85" s="137"/>
      <c r="C85" s="121"/>
      <c r="D85" s="121"/>
      <c r="E85" s="122"/>
      <c r="F85" s="138"/>
      <c r="G85" s="139"/>
      <c r="H85" s="139"/>
      <c r="I85" s="140"/>
      <c r="J85" s="141"/>
      <c r="K85" s="142"/>
      <c r="L85" s="142"/>
      <c r="M85" s="142"/>
      <c r="N85" s="142"/>
      <c r="O85" s="143"/>
      <c r="P85" s="138"/>
      <c r="Q85" s="139"/>
      <c r="R85" s="139"/>
      <c r="S85" s="140"/>
    </row>
    <row r="86" spans="1:26" ht="18" customHeight="1" x14ac:dyDescent="0.15">
      <c r="A86" s="84"/>
      <c r="B86" s="6"/>
      <c r="C86" s="6"/>
      <c r="D86" s="6"/>
      <c r="E86" s="6"/>
      <c r="F86" s="26"/>
      <c r="G86" s="26"/>
      <c r="H86" s="26"/>
      <c r="I86" s="26"/>
      <c r="J86" s="6"/>
      <c r="K86" s="6"/>
      <c r="L86" s="6"/>
      <c r="M86" s="6"/>
      <c r="N86" s="6"/>
      <c r="O86" s="6"/>
      <c r="P86" s="26"/>
      <c r="Q86" s="26"/>
      <c r="R86" s="26"/>
      <c r="S86" s="26"/>
    </row>
    <row r="87" spans="1:26" ht="18.75" customHeight="1" x14ac:dyDescent="0.15">
      <c r="A87" s="83" t="s">
        <v>119</v>
      </c>
    </row>
    <row r="88" spans="1:26" ht="18.75" customHeight="1" x14ac:dyDescent="0.15">
      <c r="B88" s="123" t="s">
        <v>54</v>
      </c>
      <c r="C88" s="124"/>
      <c r="D88" s="125" t="s">
        <v>55</v>
      </c>
      <c r="E88" s="125"/>
      <c r="F88" s="125"/>
      <c r="G88" s="125"/>
      <c r="H88" s="125"/>
      <c r="I88" s="125"/>
      <c r="J88" s="125"/>
      <c r="K88" s="125"/>
      <c r="L88" s="125"/>
      <c r="M88" s="125"/>
      <c r="N88" s="125"/>
      <c r="O88" s="125"/>
      <c r="P88" s="125"/>
      <c r="Q88" s="125"/>
      <c r="R88" s="125"/>
      <c r="S88" s="126"/>
    </row>
    <row r="89" spans="1:26" ht="97.5" customHeight="1" x14ac:dyDescent="0.15">
      <c r="B89" s="96" t="s">
        <v>61</v>
      </c>
      <c r="C89" s="27" t="s">
        <v>56</v>
      </c>
      <c r="D89" s="181" t="s">
        <v>212</v>
      </c>
      <c r="E89" s="182"/>
      <c r="F89" s="182"/>
      <c r="G89" s="182"/>
      <c r="H89" s="182"/>
      <c r="I89" s="182"/>
      <c r="J89" s="182"/>
      <c r="K89" s="182"/>
      <c r="L89" s="182"/>
      <c r="M89" s="182"/>
      <c r="N89" s="182"/>
      <c r="O89" s="182"/>
      <c r="P89" s="182"/>
      <c r="Q89" s="182"/>
      <c r="R89" s="182"/>
      <c r="S89" s="183"/>
    </row>
    <row r="90" spans="1:26" ht="97.5" customHeight="1" x14ac:dyDescent="0.15">
      <c r="B90" s="97"/>
      <c r="C90" s="28" t="s">
        <v>77</v>
      </c>
      <c r="D90" s="184" t="s">
        <v>213</v>
      </c>
      <c r="E90" s="185"/>
      <c r="F90" s="185"/>
      <c r="G90" s="185"/>
      <c r="H90" s="185"/>
      <c r="I90" s="185"/>
      <c r="J90" s="185"/>
      <c r="K90" s="185"/>
      <c r="L90" s="185"/>
      <c r="M90" s="185"/>
      <c r="N90" s="185"/>
      <c r="O90" s="185"/>
      <c r="P90" s="185"/>
      <c r="Q90" s="185"/>
      <c r="R90" s="185"/>
      <c r="S90" s="186"/>
    </row>
    <row r="91" spans="1:26" ht="137.25" customHeight="1" x14ac:dyDescent="0.15">
      <c r="B91" s="96" t="s">
        <v>62</v>
      </c>
      <c r="C91" s="29" t="s">
        <v>71</v>
      </c>
      <c r="D91" s="187" t="s">
        <v>214</v>
      </c>
      <c r="E91" s="188"/>
      <c r="F91" s="188"/>
      <c r="G91" s="188"/>
      <c r="H91" s="188"/>
      <c r="I91" s="188"/>
      <c r="J91" s="188"/>
      <c r="K91" s="188"/>
      <c r="L91" s="188"/>
      <c r="M91" s="188"/>
      <c r="N91" s="188"/>
      <c r="O91" s="188"/>
      <c r="P91" s="188"/>
      <c r="Q91" s="188"/>
      <c r="R91" s="188"/>
      <c r="S91" s="189"/>
      <c r="T91" s="94"/>
      <c r="U91" s="95"/>
      <c r="V91" s="95"/>
      <c r="W91" s="95"/>
      <c r="X91" s="95"/>
      <c r="Y91" s="95"/>
      <c r="Z91" s="95"/>
    </row>
    <row r="92" spans="1:26" ht="97.5" customHeight="1" x14ac:dyDescent="0.15">
      <c r="B92" s="98"/>
      <c r="C92" s="30" t="s">
        <v>72</v>
      </c>
      <c r="D92" s="120" t="s">
        <v>168</v>
      </c>
      <c r="E92" s="121"/>
      <c r="F92" s="121"/>
      <c r="G92" s="121"/>
      <c r="H92" s="121"/>
      <c r="I92" s="121"/>
      <c r="J92" s="121"/>
      <c r="K92" s="121"/>
      <c r="L92" s="121"/>
      <c r="M92" s="121"/>
      <c r="N92" s="121"/>
      <c r="O92" s="121"/>
      <c r="P92" s="121"/>
      <c r="Q92" s="121"/>
      <c r="R92" s="121"/>
      <c r="S92" s="122"/>
    </row>
    <row r="93" spans="1:26" ht="97.5" customHeight="1" x14ac:dyDescent="0.15">
      <c r="B93" s="96" t="s">
        <v>63</v>
      </c>
      <c r="C93" s="29" t="s">
        <v>73</v>
      </c>
      <c r="D93" s="111" t="s">
        <v>169</v>
      </c>
      <c r="E93" s="112"/>
      <c r="F93" s="112"/>
      <c r="G93" s="112"/>
      <c r="H93" s="112"/>
      <c r="I93" s="112"/>
      <c r="J93" s="112"/>
      <c r="K93" s="112"/>
      <c r="L93" s="112"/>
      <c r="M93" s="112"/>
      <c r="N93" s="112"/>
      <c r="O93" s="112"/>
      <c r="P93" s="112"/>
      <c r="Q93" s="112"/>
      <c r="R93" s="112"/>
      <c r="S93" s="113"/>
    </row>
    <row r="94" spans="1:26" ht="97.5" customHeight="1" x14ac:dyDescent="0.15">
      <c r="B94" s="98"/>
      <c r="C94" s="31" t="s">
        <v>74</v>
      </c>
      <c r="D94" s="114" t="s">
        <v>170</v>
      </c>
      <c r="E94" s="115"/>
      <c r="F94" s="115"/>
      <c r="G94" s="115"/>
      <c r="H94" s="115"/>
      <c r="I94" s="115"/>
      <c r="J94" s="115"/>
      <c r="K94" s="115"/>
      <c r="L94" s="115"/>
      <c r="M94" s="115"/>
      <c r="N94" s="115"/>
      <c r="O94" s="115"/>
      <c r="P94" s="115"/>
      <c r="Q94" s="115"/>
      <c r="R94" s="115"/>
      <c r="S94" s="116"/>
    </row>
    <row r="95" spans="1:26" ht="97.5" customHeight="1" x14ac:dyDescent="0.15">
      <c r="B95" s="96" t="s">
        <v>78</v>
      </c>
      <c r="C95" s="27" t="s">
        <v>58</v>
      </c>
      <c r="D95" s="117" t="s">
        <v>171</v>
      </c>
      <c r="E95" s="118"/>
      <c r="F95" s="118"/>
      <c r="G95" s="118"/>
      <c r="H95" s="118"/>
      <c r="I95" s="118"/>
      <c r="J95" s="118"/>
      <c r="K95" s="118"/>
      <c r="L95" s="118"/>
      <c r="M95" s="118"/>
      <c r="N95" s="118"/>
      <c r="O95" s="118"/>
      <c r="P95" s="118"/>
      <c r="Q95" s="118"/>
      <c r="R95" s="118"/>
      <c r="S95" s="119"/>
    </row>
    <row r="96" spans="1:26" ht="97.5" customHeight="1" x14ac:dyDescent="0.15">
      <c r="B96" s="98"/>
      <c r="C96" s="30" t="s">
        <v>60</v>
      </c>
      <c r="D96" s="120" t="s">
        <v>172</v>
      </c>
      <c r="E96" s="121"/>
      <c r="F96" s="121"/>
      <c r="G96" s="121"/>
      <c r="H96" s="121"/>
      <c r="I96" s="121"/>
      <c r="J96" s="121"/>
      <c r="K96" s="121"/>
      <c r="L96" s="121"/>
      <c r="M96" s="121"/>
      <c r="N96" s="121"/>
      <c r="O96" s="121"/>
      <c r="P96" s="121"/>
      <c r="Q96" s="121"/>
      <c r="R96" s="121"/>
      <c r="S96" s="122"/>
    </row>
    <row r="97" spans="1:19" ht="209.25" customHeight="1" x14ac:dyDescent="0.15">
      <c r="B97" s="96" t="s">
        <v>79</v>
      </c>
      <c r="C97" s="29" t="s">
        <v>57</v>
      </c>
      <c r="D97" s="99" t="s">
        <v>173</v>
      </c>
      <c r="E97" s="100"/>
      <c r="F97" s="100"/>
      <c r="G97" s="100"/>
      <c r="H97" s="100"/>
      <c r="I97" s="100"/>
      <c r="J97" s="100"/>
      <c r="K97" s="100"/>
      <c r="L97" s="100"/>
      <c r="M97" s="100"/>
      <c r="N97" s="100"/>
      <c r="O97" s="100"/>
      <c r="P97" s="100"/>
      <c r="Q97" s="100"/>
      <c r="R97" s="100"/>
      <c r="S97" s="101"/>
    </row>
    <row r="98" spans="1:19" ht="97.5" customHeight="1" x14ac:dyDescent="0.15">
      <c r="B98" s="97"/>
      <c r="C98" s="32" t="s">
        <v>75</v>
      </c>
      <c r="D98" s="102" t="s">
        <v>174</v>
      </c>
      <c r="E98" s="103"/>
      <c r="F98" s="103"/>
      <c r="G98" s="103"/>
      <c r="H98" s="103"/>
      <c r="I98" s="103"/>
      <c r="J98" s="103"/>
      <c r="K98" s="103"/>
      <c r="L98" s="103"/>
      <c r="M98" s="103"/>
      <c r="N98" s="103"/>
      <c r="O98" s="103"/>
      <c r="P98" s="103"/>
      <c r="Q98" s="103"/>
      <c r="R98" s="103"/>
      <c r="S98" s="104"/>
    </row>
    <row r="99" spans="1:19" ht="97.5" customHeight="1" x14ac:dyDescent="0.15">
      <c r="B99" s="98"/>
      <c r="C99" s="31" t="s">
        <v>76</v>
      </c>
      <c r="D99" s="105" t="s">
        <v>175</v>
      </c>
      <c r="E99" s="106"/>
      <c r="F99" s="106"/>
      <c r="G99" s="106"/>
      <c r="H99" s="106"/>
      <c r="I99" s="106"/>
      <c r="J99" s="106"/>
      <c r="K99" s="106"/>
      <c r="L99" s="106"/>
      <c r="M99" s="106"/>
      <c r="N99" s="106"/>
      <c r="O99" s="106"/>
      <c r="P99" s="106"/>
      <c r="Q99" s="106"/>
      <c r="R99" s="106"/>
      <c r="S99" s="107"/>
    </row>
    <row r="100" spans="1:19" ht="6" customHeight="1" x14ac:dyDescent="0.15"/>
    <row r="101" spans="1:19" ht="18.75" customHeight="1" x14ac:dyDescent="0.15">
      <c r="A101" s="83" t="s">
        <v>120</v>
      </c>
    </row>
    <row r="102" spans="1:19" ht="81.75" customHeight="1" x14ac:dyDescent="0.15">
      <c r="B102" s="108" t="s">
        <v>153</v>
      </c>
      <c r="C102" s="109"/>
      <c r="D102" s="109"/>
      <c r="E102" s="109"/>
      <c r="F102" s="109"/>
      <c r="G102" s="109"/>
      <c r="H102" s="109"/>
      <c r="I102" s="109"/>
      <c r="J102" s="109"/>
      <c r="K102" s="109"/>
      <c r="L102" s="109"/>
      <c r="M102" s="109"/>
      <c r="N102" s="109"/>
      <c r="O102" s="109"/>
      <c r="P102" s="109"/>
      <c r="Q102" s="109"/>
      <c r="R102" s="109"/>
      <c r="S102" s="110"/>
    </row>
    <row r="110" spans="1:19" ht="18" customHeight="1" x14ac:dyDescent="0.15"/>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G25:I31 Q25:S31 P69:S75 Q36:S42 G36:I42 Q47:S53 G47:I53 Q58:S64 F69:I75 G58:I64">
      <formula1>"○"</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U32"/>
  <sheetViews>
    <sheetView tabSelected="1" view="pageBreakPreview" zoomScale="85" zoomScaleNormal="100" zoomScaleSheetLayoutView="85" workbookViewId="0">
      <selection activeCell="B36" sqref="B36"/>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7" ht="18" customHeight="1" x14ac:dyDescent="0.15">
      <c r="AQ1" s="1" t="s">
        <v>106</v>
      </c>
    </row>
    <row r="2" spans="1:47" ht="18" customHeight="1" x14ac:dyDescent="0.15">
      <c r="K2" s="34"/>
      <c r="Q2" s="34"/>
      <c r="W2" s="34"/>
      <c r="AC2" s="34"/>
      <c r="AI2" s="34"/>
      <c r="AL2" s="34" t="s">
        <v>108</v>
      </c>
      <c r="AM2" s="193" t="str">
        <f>'様式１-2　プログラムを構成する授業科目'!C2</f>
        <v>岩手医科大学</v>
      </c>
      <c r="AN2" s="193"/>
      <c r="AO2" s="193"/>
      <c r="AP2" s="193"/>
      <c r="AQ2" s="193"/>
    </row>
    <row r="3" spans="1:47" ht="18" customHeight="1" x14ac:dyDescent="0.15">
      <c r="A3" s="169" t="s">
        <v>47</v>
      </c>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row>
    <row r="4" spans="1:47"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7" ht="18" customHeight="1" x14ac:dyDescent="0.15">
      <c r="A5" s="1" t="s">
        <v>83</v>
      </c>
      <c r="C5" s="166" t="s">
        <v>179</v>
      </c>
      <c r="D5" s="168"/>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7"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7" ht="18" customHeight="1" x14ac:dyDescent="0.15">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7"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7" ht="18" customHeight="1" x14ac:dyDescent="0.15">
      <c r="B9" s="194" t="s">
        <v>44</v>
      </c>
      <c r="C9" s="209" t="s">
        <v>86</v>
      </c>
      <c r="D9" s="197" t="s">
        <v>46</v>
      </c>
      <c r="E9" s="200" t="s">
        <v>39</v>
      </c>
      <c r="F9" s="190" t="s">
        <v>85</v>
      </c>
      <c r="G9" s="190"/>
      <c r="H9" s="190"/>
      <c r="I9" s="190"/>
      <c r="J9" s="190"/>
      <c r="K9" s="190"/>
      <c r="L9" s="190" t="s">
        <v>48</v>
      </c>
      <c r="M9" s="190"/>
      <c r="N9" s="190"/>
      <c r="O9" s="190"/>
      <c r="P9" s="190"/>
      <c r="Q9" s="190"/>
      <c r="R9" s="190" t="s">
        <v>49</v>
      </c>
      <c r="S9" s="190"/>
      <c r="T9" s="190"/>
      <c r="U9" s="190"/>
      <c r="V9" s="190"/>
      <c r="W9" s="190"/>
      <c r="X9" s="190" t="s">
        <v>100</v>
      </c>
      <c r="Y9" s="190"/>
      <c r="Z9" s="190"/>
      <c r="AA9" s="190"/>
      <c r="AB9" s="190"/>
      <c r="AC9" s="190"/>
      <c r="AD9" s="190" t="s">
        <v>50</v>
      </c>
      <c r="AE9" s="190"/>
      <c r="AF9" s="190"/>
      <c r="AG9" s="190"/>
      <c r="AH9" s="190"/>
      <c r="AI9" s="190"/>
      <c r="AJ9" s="190" t="s">
        <v>51</v>
      </c>
      <c r="AK9" s="190"/>
      <c r="AL9" s="190"/>
      <c r="AM9" s="190"/>
      <c r="AN9" s="190"/>
      <c r="AO9" s="190"/>
      <c r="AP9" s="203" t="s">
        <v>34</v>
      </c>
      <c r="AQ9" s="206" t="s">
        <v>31</v>
      </c>
      <c r="AS9" s="2"/>
    </row>
    <row r="10" spans="1:47" ht="16.899999999999999" customHeight="1" x14ac:dyDescent="0.15">
      <c r="B10" s="195"/>
      <c r="C10" s="210"/>
      <c r="D10" s="198"/>
      <c r="E10" s="201"/>
      <c r="F10" s="191" t="s">
        <v>96</v>
      </c>
      <c r="G10" s="192"/>
      <c r="H10" s="192"/>
      <c r="I10" s="191" t="s">
        <v>28</v>
      </c>
      <c r="J10" s="192"/>
      <c r="K10" s="192"/>
      <c r="L10" s="191" t="s">
        <v>96</v>
      </c>
      <c r="M10" s="192"/>
      <c r="N10" s="192"/>
      <c r="O10" s="191" t="s">
        <v>28</v>
      </c>
      <c r="P10" s="192"/>
      <c r="Q10" s="192"/>
      <c r="R10" s="191" t="s">
        <v>96</v>
      </c>
      <c r="S10" s="192"/>
      <c r="T10" s="192"/>
      <c r="U10" s="191" t="s">
        <v>28</v>
      </c>
      <c r="V10" s="192"/>
      <c r="W10" s="192"/>
      <c r="X10" s="191" t="s">
        <v>96</v>
      </c>
      <c r="Y10" s="192"/>
      <c r="Z10" s="192"/>
      <c r="AA10" s="191" t="s">
        <v>28</v>
      </c>
      <c r="AB10" s="192"/>
      <c r="AC10" s="192"/>
      <c r="AD10" s="191" t="s">
        <v>96</v>
      </c>
      <c r="AE10" s="192"/>
      <c r="AF10" s="192"/>
      <c r="AG10" s="191" t="s">
        <v>28</v>
      </c>
      <c r="AH10" s="192"/>
      <c r="AI10" s="192"/>
      <c r="AJ10" s="191" t="s">
        <v>96</v>
      </c>
      <c r="AK10" s="192"/>
      <c r="AL10" s="192"/>
      <c r="AM10" s="191" t="s">
        <v>28</v>
      </c>
      <c r="AN10" s="192"/>
      <c r="AO10" s="192"/>
      <c r="AP10" s="204"/>
      <c r="AQ10" s="207"/>
      <c r="AS10" s="2"/>
    </row>
    <row r="11" spans="1:47" ht="18" customHeight="1" x14ac:dyDescent="0.15">
      <c r="B11" s="196"/>
      <c r="C11" s="211"/>
      <c r="D11" s="199"/>
      <c r="E11" s="202"/>
      <c r="F11" s="17" t="s">
        <v>97</v>
      </c>
      <c r="G11" s="18" t="s">
        <v>98</v>
      </c>
      <c r="H11" s="19" t="s">
        <v>99</v>
      </c>
      <c r="I11" s="17" t="s">
        <v>97</v>
      </c>
      <c r="J11" s="18" t="s">
        <v>98</v>
      </c>
      <c r="K11" s="19" t="s">
        <v>99</v>
      </c>
      <c r="L11" s="17" t="s">
        <v>97</v>
      </c>
      <c r="M11" s="18" t="s">
        <v>98</v>
      </c>
      <c r="N11" s="19" t="s">
        <v>99</v>
      </c>
      <c r="O11" s="17" t="s">
        <v>97</v>
      </c>
      <c r="P11" s="18" t="s">
        <v>98</v>
      </c>
      <c r="Q11" s="19" t="s">
        <v>99</v>
      </c>
      <c r="R11" s="17" t="s">
        <v>97</v>
      </c>
      <c r="S11" s="18" t="s">
        <v>98</v>
      </c>
      <c r="T11" s="19" t="s">
        <v>99</v>
      </c>
      <c r="U11" s="17" t="s">
        <v>97</v>
      </c>
      <c r="V11" s="18" t="s">
        <v>98</v>
      </c>
      <c r="W11" s="19" t="s">
        <v>99</v>
      </c>
      <c r="X11" s="17" t="s">
        <v>97</v>
      </c>
      <c r="Y11" s="18" t="s">
        <v>98</v>
      </c>
      <c r="Z11" s="19" t="s">
        <v>99</v>
      </c>
      <c r="AA11" s="17" t="s">
        <v>97</v>
      </c>
      <c r="AB11" s="18" t="s">
        <v>98</v>
      </c>
      <c r="AC11" s="19" t="s">
        <v>99</v>
      </c>
      <c r="AD11" s="17" t="s">
        <v>97</v>
      </c>
      <c r="AE11" s="18" t="s">
        <v>98</v>
      </c>
      <c r="AF11" s="19" t="s">
        <v>99</v>
      </c>
      <c r="AG11" s="17" t="s">
        <v>97</v>
      </c>
      <c r="AH11" s="18" t="s">
        <v>98</v>
      </c>
      <c r="AI11" s="19" t="s">
        <v>99</v>
      </c>
      <c r="AJ11" s="17" t="s">
        <v>97</v>
      </c>
      <c r="AK11" s="18" t="s">
        <v>98</v>
      </c>
      <c r="AL11" s="19" t="s">
        <v>99</v>
      </c>
      <c r="AM11" s="17" t="s">
        <v>97</v>
      </c>
      <c r="AN11" s="18" t="s">
        <v>98</v>
      </c>
      <c r="AO11" s="19" t="s">
        <v>99</v>
      </c>
      <c r="AP11" s="205"/>
      <c r="AQ11" s="208"/>
      <c r="AS11" s="2" t="s">
        <v>188</v>
      </c>
      <c r="AT11" s="1" t="s">
        <v>189</v>
      </c>
      <c r="AU11" s="1" t="s">
        <v>190</v>
      </c>
    </row>
    <row r="12" spans="1:47" ht="18" customHeight="1" x14ac:dyDescent="0.15">
      <c r="A12" s="6"/>
      <c r="B12" s="11" t="s">
        <v>180</v>
      </c>
      <c r="C12" s="60">
        <v>779</v>
      </c>
      <c r="D12" s="61">
        <v>126</v>
      </c>
      <c r="E12" s="62">
        <v>766</v>
      </c>
      <c r="F12" s="62">
        <f>G12+H12</f>
        <v>138</v>
      </c>
      <c r="G12" s="63">
        <v>92</v>
      </c>
      <c r="H12" s="64">
        <v>46</v>
      </c>
      <c r="I12" s="62">
        <f>J12+K12</f>
        <v>120</v>
      </c>
      <c r="J12" s="63">
        <v>76</v>
      </c>
      <c r="K12" s="64">
        <v>44</v>
      </c>
      <c r="L12" s="62">
        <f>M12+N12</f>
        <v>0</v>
      </c>
      <c r="M12" s="63"/>
      <c r="N12" s="64"/>
      <c r="O12" s="62">
        <f>P12+Q12</f>
        <v>0</v>
      </c>
      <c r="P12" s="63"/>
      <c r="Q12" s="64"/>
      <c r="R12" s="62">
        <f>S12+T12</f>
        <v>0</v>
      </c>
      <c r="S12" s="63"/>
      <c r="T12" s="64"/>
      <c r="U12" s="62">
        <f>V12+W12</f>
        <v>0</v>
      </c>
      <c r="V12" s="63"/>
      <c r="W12" s="64"/>
      <c r="X12" s="62">
        <f>Y12+Z12</f>
        <v>0</v>
      </c>
      <c r="Y12" s="63"/>
      <c r="Z12" s="64"/>
      <c r="AA12" s="62">
        <f>AB12+AC12</f>
        <v>0</v>
      </c>
      <c r="AB12" s="63"/>
      <c r="AC12" s="64"/>
      <c r="AD12" s="62">
        <f>AE12+AF12</f>
        <v>0</v>
      </c>
      <c r="AE12" s="63"/>
      <c r="AF12" s="64"/>
      <c r="AG12" s="62">
        <f>AH12+AI12</f>
        <v>0</v>
      </c>
      <c r="AH12" s="63"/>
      <c r="AI12" s="64"/>
      <c r="AJ12" s="62">
        <f>AK12+AL12</f>
        <v>0</v>
      </c>
      <c r="AK12" s="63"/>
      <c r="AL12" s="64"/>
      <c r="AM12" s="62">
        <f>AN12+AO12</f>
        <v>0</v>
      </c>
      <c r="AN12" s="63"/>
      <c r="AO12" s="64"/>
      <c r="AP12" s="61">
        <f>F12+L12+R12+X12+AD12+AJ12</f>
        <v>138</v>
      </c>
      <c r="AQ12" s="85">
        <f>AP12/E12</f>
        <v>0.18015665796344649</v>
      </c>
      <c r="AS12" s="86">
        <f>+F12/C12</f>
        <v>0.17715019255455713</v>
      </c>
      <c r="AT12" s="86">
        <f>+I12/C12</f>
        <v>0.1540436456996149</v>
      </c>
      <c r="AU12" s="92">
        <f>+I12/F12</f>
        <v>0.86956521739130432</v>
      </c>
    </row>
    <row r="13" spans="1:47" ht="18" customHeight="1" x14ac:dyDescent="0.15">
      <c r="A13" s="6"/>
      <c r="B13" s="12" t="s">
        <v>181</v>
      </c>
      <c r="C13" s="65">
        <v>281</v>
      </c>
      <c r="D13" s="66">
        <v>73</v>
      </c>
      <c r="E13" s="67">
        <v>438</v>
      </c>
      <c r="F13" s="68">
        <f t="shared" ref="F13:F31" si="0">G13+H13</f>
        <v>37</v>
      </c>
      <c r="G13" s="69">
        <v>20</v>
      </c>
      <c r="H13" s="70">
        <v>17</v>
      </c>
      <c r="I13" s="68">
        <f t="shared" ref="I13:I31" si="1">J13+K13</f>
        <v>33</v>
      </c>
      <c r="J13" s="69">
        <v>20</v>
      </c>
      <c r="K13" s="70">
        <v>13</v>
      </c>
      <c r="L13" s="68">
        <f t="shared" ref="L13:L31" si="2">M13+N13</f>
        <v>0</v>
      </c>
      <c r="M13" s="69"/>
      <c r="N13" s="70"/>
      <c r="O13" s="68">
        <f t="shared" ref="O13:O31" si="3">P13+Q13</f>
        <v>0</v>
      </c>
      <c r="P13" s="69"/>
      <c r="Q13" s="70"/>
      <c r="R13" s="68">
        <f t="shared" ref="R13:R31" si="4">S13+T13</f>
        <v>0</v>
      </c>
      <c r="S13" s="69"/>
      <c r="T13" s="70"/>
      <c r="U13" s="68">
        <f t="shared" ref="U13:U31" si="5">V13+W13</f>
        <v>0</v>
      </c>
      <c r="V13" s="69"/>
      <c r="W13" s="70"/>
      <c r="X13" s="68">
        <f t="shared" ref="X13:X31" si="6">Y13+Z13</f>
        <v>0</v>
      </c>
      <c r="Y13" s="69"/>
      <c r="Z13" s="70"/>
      <c r="AA13" s="68">
        <f t="shared" ref="AA13:AA31" si="7">AB13+AC13</f>
        <v>0</v>
      </c>
      <c r="AB13" s="69"/>
      <c r="AC13" s="70"/>
      <c r="AD13" s="68">
        <f t="shared" ref="AD13:AD31" si="8">AE13+AF13</f>
        <v>0</v>
      </c>
      <c r="AE13" s="69"/>
      <c r="AF13" s="70"/>
      <c r="AG13" s="68">
        <f t="shared" ref="AG13:AG31" si="9">AH13+AI13</f>
        <v>0</v>
      </c>
      <c r="AH13" s="69"/>
      <c r="AI13" s="70"/>
      <c r="AJ13" s="68">
        <f t="shared" ref="AJ13:AJ31" si="10">AK13+AL13</f>
        <v>0</v>
      </c>
      <c r="AK13" s="69"/>
      <c r="AL13" s="70"/>
      <c r="AM13" s="68">
        <f t="shared" ref="AM13:AM31" si="11">AN13+AO13</f>
        <v>0</v>
      </c>
      <c r="AN13" s="69"/>
      <c r="AO13" s="70"/>
      <c r="AP13" s="66">
        <f t="shared" ref="AP13:AP31" si="12">F13+L13+R13+X13+AD13+AJ13</f>
        <v>37</v>
      </c>
      <c r="AQ13" s="20">
        <f t="shared" ref="AQ13:AQ31" si="13">AP13/E13</f>
        <v>8.4474885844748854E-2</v>
      </c>
      <c r="AS13" s="86">
        <f t="shared" ref="AS13:AS15" si="14">+F13/C13</f>
        <v>0.13167259786476868</v>
      </c>
      <c r="AT13" s="86">
        <f t="shared" ref="AT13:AT15" si="15">+I13/C13</f>
        <v>0.11743772241992882</v>
      </c>
      <c r="AU13" s="92">
        <f t="shared" ref="AU13" si="16">+I13/F13</f>
        <v>0.89189189189189189</v>
      </c>
    </row>
    <row r="14" spans="1:47" ht="18" customHeight="1" x14ac:dyDescent="0.15">
      <c r="A14" s="6"/>
      <c r="B14" s="12" t="s">
        <v>182</v>
      </c>
      <c r="C14" s="65">
        <v>361</v>
      </c>
      <c r="D14" s="66">
        <v>80</v>
      </c>
      <c r="E14" s="67">
        <v>680</v>
      </c>
      <c r="F14" s="68">
        <f t="shared" si="0"/>
        <v>31</v>
      </c>
      <c r="G14" s="69">
        <v>15</v>
      </c>
      <c r="H14" s="70">
        <v>16</v>
      </c>
      <c r="I14" s="68">
        <f t="shared" si="1"/>
        <v>0</v>
      </c>
      <c r="J14" s="69">
        <v>0</v>
      </c>
      <c r="K14" s="70">
        <v>0</v>
      </c>
      <c r="L14" s="68">
        <f t="shared" si="2"/>
        <v>0</v>
      </c>
      <c r="M14" s="69"/>
      <c r="N14" s="70"/>
      <c r="O14" s="68">
        <f t="shared" si="3"/>
        <v>0</v>
      </c>
      <c r="P14" s="69"/>
      <c r="Q14" s="70"/>
      <c r="R14" s="68">
        <f t="shared" si="4"/>
        <v>0</v>
      </c>
      <c r="S14" s="69"/>
      <c r="T14" s="70"/>
      <c r="U14" s="68">
        <f t="shared" si="5"/>
        <v>0</v>
      </c>
      <c r="V14" s="69"/>
      <c r="W14" s="70"/>
      <c r="X14" s="68">
        <f t="shared" si="6"/>
        <v>0</v>
      </c>
      <c r="Y14" s="69"/>
      <c r="Z14" s="70"/>
      <c r="AA14" s="68">
        <f t="shared" si="7"/>
        <v>0</v>
      </c>
      <c r="AB14" s="69"/>
      <c r="AC14" s="70"/>
      <c r="AD14" s="68">
        <f t="shared" si="8"/>
        <v>0</v>
      </c>
      <c r="AE14" s="69"/>
      <c r="AF14" s="70"/>
      <c r="AG14" s="68">
        <f t="shared" si="9"/>
        <v>0</v>
      </c>
      <c r="AH14" s="69"/>
      <c r="AI14" s="70"/>
      <c r="AJ14" s="68">
        <f t="shared" si="10"/>
        <v>0</v>
      </c>
      <c r="AK14" s="69"/>
      <c r="AL14" s="70"/>
      <c r="AM14" s="68">
        <f t="shared" si="11"/>
        <v>0</v>
      </c>
      <c r="AN14" s="69"/>
      <c r="AO14" s="70"/>
      <c r="AP14" s="66">
        <f t="shared" si="12"/>
        <v>31</v>
      </c>
      <c r="AQ14" s="8">
        <f t="shared" si="13"/>
        <v>4.5588235294117645E-2</v>
      </c>
      <c r="AS14" s="86">
        <f t="shared" si="14"/>
        <v>8.5872576177285317E-2</v>
      </c>
      <c r="AT14" s="86">
        <f>+I14/C14</f>
        <v>0</v>
      </c>
      <c r="AU14" s="92">
        <f>28/F14</f>
        <v>0.90322580645161288</v>
      </c>
    </row>
    <row r="15" spans="1:47" ht="18" customHeight="1" x14ac:dyDescent="0.15">
      <c r="A15" s="6"/>
      <c r="B15" s="12" t="s">
        <v>183</v>
      </c>
      <c r="C15" s="65">
        <v>363</v>
      </c>
      <c r="D15" s="66">
        <v>90</v>
      </c>
      <c r="E15" s="67">
        <v>370</v>
      </c>
      <c r="F15" s="68">
        <f t="shared" si="0"/>
        <v>90</v>
      </c>
      <c r="G15" s="69">
        <v>10</v>
      </c>
      <c r="H15" s="70">
        <v>80</v>
      </c>
      <c r="I15" s="68">
        <f t="shared" si="1"/>
        <v>88</v>
      </c>
      <c r="J15" s="69">
        <v>9</v>
      </c>
      <c r="K15" s="70">
        <v>79</v>
      </c>
      <c r="L15" s="68">
        <f t="shared" si="2"/>
        <v>0</v>
      </c>
      <c r="M15" s="69"/>
      <c r="N15" s="70"/>
      <c r="O15" s="68">
        <f t="shared" si="3"/>
        <v>0</v>
      </c>
      <c r="P15" s="69"/>
      <c r="Q15" s="70"/>
      <c r="R15" s="68">
        <f t="shared" si="4"/>
        <v>0</v>
      </c>
      <c r="S15" s="69"/>
      <c r="T15" s="70"/>
      <c r="U15" s="68">
        <f t="shared" si="5"/>
        <v>0</v>
      </c>
      <c r="V15" s="69"/>
      <c r="W15" s="70"/>
      <c r="X15" s="68">
        <f t="shared" si="6"/>
        <v>0</v>
      </c>
      <c r="Y15" s="69"/>
      <c r="Z15" s="70"/>
      <c r="AA15" s="68">
        <f t="shared" si="7"/>
        <v>0</v>
      </c>
      <c r="AB15" s="69"/>
      <c r="AC15" s="70"/>
      <c r="AD15" s="68">
        <f t="shared" si="8"/>
        <v>0</v>
      </c>
      <c r="AE15" s="69"/>
      <c r="AF15" s="70"/>
      <c r="AG15" s="68">
        <f t="shared" si="9"/>
        <v>0</v>
      </c>
      <c r="AH15" s="69"/>
      <c r="AI15" s="70"/>
      <c r="AJ15" s="68">
        <f t="shared" si="10"/>
        <v>0</v>
      </c>
      <c r="AK15" s="69"/>
      <c r="AL15" s="70"/>
      <c r="AM15" s="68">
        <f t="shared" si="11"/>
        <v>0</v>
      </c>
      <c r="AN15" s="69"/>
      <c r="AO15" s="70"/>
      <c r="AP15" s="66">
        <f t="shared" si="12"/>
        <v>90</v>
      </c>
      <c r="AQ15" s="8">
        <f t="shared" si="13"/>
        <v>0.24324324324324326</v>
      </c>
      <c r="AS15" s="86">
        <f t="shared" si="14"/>
        <v>0.24793388429752067</v>
      </c>
      <c r="AT15" s="86">
        <f t="shared" si="15"/>
        <v>0.24242424242424243</v>
      </c>
      <c r="AU15" s="92">
        <f>+I15/F15</f>
        <v>0.97777777777777775</v>
      </c>
    </row>
    <row r="16" spans="1:47" ht="18" customHeight="1" x14ac:dyDescent="0.15">
      <c r="A16" s="6"/>
      <c r="B16" s="12"/>
      <c r="C16" s="65"/>
      <c r="D16" s="66"/>
      <c r="E16" s="67"/>
      <c r="F16" s="68">
        <f t="shared" si="0"/>
        <v>0</v>
      </c>
      <c r="G16" s="69"/>
      <c r="H16" s="70"/>
      <c r="I16" s="68">
        <f t="shared" si="1"/>
        <v>0</v>
      </c>
      <c r="J16" s="69"/>
      <c r="K16" s="70"/>
      <c r="L16" s="68">
        <f t="shared" si="2"/>
        <v>0</v>
      </c>
      <c r="M16" s="69"/>
      <c r="N16" s="70"/>
      <c r="O16" s="68">
        <f t="shared" si="3"/>
        <v>0</v>
      </c>
      <c r="P16" s="69"/>
      <c r="Q16" s="70"/>
      <c r="R16" s="68">
        <f t="shared" si="4"/>
        <v>0</v>
      </c>
      <c r="S16" s="69"/>
      <c r="T16" s="70"/>
      <c r="U16" s="68">
        <f t="shared" si="5"/>
        <v>0</v>
      </c>
      <c r="V16" s="69"/>
      <c r="W16" s="70"/>
      <c r="X16" s="68">
        <f t="shared" si="6"/>
        <v>0</v>
      </c>
      <c r="Y16" s="69"/>
      <c r="Z16" s="70"/>
      <c r="AA16" s="68">
        <f t="shared" si="7"/>
        <v>0</v>
      </c>
      <c r="AB16" s="69"/>
      <c r="AC16" s="70"/>
      <c r="AD16" s="68">
        <f t="shared" si="8"/>
        <v>0</v>
      </c>
      <c r="AE16" s="69"/>
      <c r="AF16" s="70"/>
      <c r="AG16" s="68">
        <f t="shared" si="9"/>
        <v>0</v>
      </c>
      <c r="AH16" s="69"/>
      <c r="AI16" s="70"/>
      <c r="AJ16" s="68">
        <f t="shared" si="10"/>
        <v>0</v>
      </c>
      <c r="AK16" s="69"/>
      <c r="AL16" s="70"/>
      <c r="AM16" s="68">
        <f t="shared" si="11"/>
        <v>0</v>
      </c>
      <c r="AN16" s="69"/>
      <c r="AO16" s="70"/>
      <c r="AP16" s="66">
        <f t="shared" si="12"/>
        <v>0</v>
      </c>
      <c r="AQ16" s="8" t="e">
        <f t="shared" si="13"/>
        <v>#DIV/0!</v>
      </c>
    </row>
    <row r="17" spans="1:43" ht="18" customHeight="1" x14ac:dyDescent="0.15">
      <c r="A17" s="6"/>
      <c r="B17" s="12"/>
      <c r="C17" s="65"/>
      <c r="D17" s="66"/>
      <c r="E17" s="67"/>
      <c r="F17" s="68">
        <f t="shared" si="0"/>
        <v>0</v>
      </c>
      <c r="G17" s="69"/>
      <c r="H17" s="70"/>
      <c r="I17" s="68">
        <f t="shared" si="1"/>
        <v>0</v>
      </c>
      <c r="J17" s="69"/>
      <c r="K17" s="70"/>
      <c r="L17" s="68">
        <f t="shared" si="2"/>
        <v>0</v>
      </c>
      <c r="M17" s="69"/>
      <c r="N17" s="70"/>
      <c r="O17" s="68">
        <f t="shared" si="3"/>
        <v>0</v>
      </c>
      <c r="P17" s="69"/>
      <c r="Q17" s="70"/>
      <c r="R17" s="68">
        <f t="shared" si="4"/>
        <v>0</v>
      </c>
      <c r="S17" s="69"/>
      <c r="T17" s="70"/>
      <c r="U17" s="68">
        <f t="shared" si="5"/>
        <v>0</v>
      </c>
      <c r="V17" s="69"/>
      <c r="W17" s="70"/>
      <c r="X17" s="68">
        <f t="shared" si="6"/>
        <v>0</v>
      </c>
      <c r="Y17" s="69"/>
      <c r="Z17" s="70"/>
      <c r="AA17" s="68">
        <f t="shared" si="7"/>
        <v>0</v>
      </c>
      <c r="AB17" s="69"/>
      <c r="AC17" s="70"/>
      <c r="AD17" s="68">
        <f t="shared" si="8"/>
        <v>0</v>
      </c>
      <c r="AE17" s="69"/>
      <c r="AF17" s="70"/>
      <c r="AG17" s="68">
        <f t="shared" si="9"/>
        <v>0</v>
      </c>
      <c r="AH17" s="69"/>
      <c r="AI17" s="70"/>
      <c r="AJ17" s="68">
        <f t="shared" si="10"/>
        <v>0</v>
      </c>
      <c r="AK17" s="69"/>
      <c r="AL17" s="70"/>
      <c r="AM17" s="68">
        <f t="shared" si="11"/>
        <v>0</v>
      </c>
      <c r="AN17" s="69"/>
      <c r="AO17" s="70"/>
      <c r="AP17" s="66">
        <f t="shared" si="12"/>
        <v>0</v>
      </c>
      <c r="AQ17" s="8" t="e">
        <f t="shared" si="13"/>
        <v>#DIV/0!</v>
      </c>
    </row>
    <row r="18" spans="1:43" ht="18" customHeight="1" x14ac:dyDescent="0.15">
      <c r="A18" s="6"/>
      <c r="B18" s="12"/>
      <c r="C18" s="65"/>
      <c r="D18" s="66"/>
      <c r="E18" s="67"/>
      <c r="F18" s="68">
        <f t="shared" si="0"/>
        <v>0</v>
      </c>
      <c r="G18" s="69"/>
      <c r="H18" s="70"/>
      <c r="I18" s="68">
        <f t="shared" si="1"/>
        <v>0</v>
      </c>
      <c r="J18" s="69"/>
      <c r="K18" s="70"/>
      <c r="L18" s="68">
        <f t="shared" si="2"/>
        <v>0</v>
      </c>
      <c r="M18" s="69"/>
      <c r="N18" s="70"/>
      <c r="O18" s="68">
        <f t="shared" si="3"/>
        <v>0</v>
      </c>
      <c r="P18" s="69"/>
      <c r="Q18" s="70"/>
      <c r="R18" s="68">
        <f t="shared" si="4"/>
        <v>0</v>
      </c>
      <c r="S18" s="69"/>
      <c r="T18" s="70"/>
      <c r="U18" s="68">
        <f t="shared" si="5"/>
        <v>0</v>
      </c>
      <c r="V18" s="69"/>
      <c r="W18" s="70"/>
      <c r="X18" s="68">
        <f t="shared" si="6"/>
        <v>0</v>
      </c>
      <c r="Y18" s="69"/>
      <c r="Z18" s="70"/>
      <c r="AA18" s="68">
        <f t="shared" si="7"/>
        <v>0</v>
      </c>
      <c r="AB18" s="69"/>
      <c r="AC18" s="70"/>
      <c r="AD18" s="68">
        <f t="shared" si="8"/>
        <v>0</v>
      </c>
      <c r="AE18" s="69"/>
      <c r="AF18" s="70"/>
      <c r="AG18" s="68">
        <f t="shared" si="9"/>
        <v>0</v>
      </c>
      <c r="AH18" s="69"/>
      <c r="AI18" s="70"/>
      <c r="AJ18" s="68">
        <f t="shared" si="10"/>
        <v>0</v>
      </c>
      <c r="AK18" s="69"/>
      <c r="AL18" s="70"/>
      <c r="AM18" s="68">
        <f t="shared" si="11"/>
        <v>0</v>
      </c>
      <c r="AN18" s="69"/>
      <c r="AO18" s="70"/>
      <c r="AP18" s="66">
        <f t="shared" si="12"/>
        <v>0</v>
      </c>
      <c r="AQ18" s="8" t="e">
        <f t="shared" si="13"/>
        <v>#DIV/0!</v>
      </c>
    </row>
    <row r="19" spans="1:43" ht="18" customHeight="1" x14ac:dyDescent="0.15">
      <c r="A19" s="6"/>
      <c r="B19" s="12"/>
      <c r="C19" s="65"/>
      <c r="D19" s="66"/>
      <c r="E19" s="67"/>
      <c r="F19" s="68">
        <f t="shared" si="0"/>
        <v>0</v>
      </c>
      <c r="G19" s="69"/>
      <c r="H19" s="70"/>
      <c r="I19" s="68">
        <f t="shared" si="1"/>
        <v>0</v>
      </c>
      <c r="J19" s="69"/>
      <c r="K19" s="70"/>
      <c r="L19" s="68">
        <f t="shared" si="2"/>
        <v>0</v>
      </c>
      <c r="M19" s="69"/>
      <c r="N19" s="70"/>
      <c r="O19" s="68">
        <f t="shared" si="3"/>
        <v>0</v>
      </c>
      <c r="P19" s="69"/>
      <c r="Q19" s="70"/>
      <c r="R19" s="68">
        <f t="shared" si="4"/>
        <v>0</v>
      </c>
      <c r="S19" s="69"/>
      <c r="T19" s="70"/>
      <c r="U19" s="68">
        <f t="shared" si="5"/>
        <v>0</v>
      </c>
      <c r="V19" s="69"/>
      <c r="W19" s="70"/>
      <c r="X19" s="68">
        <f t="shared" si="6"/>
        <v>0</v>
      </c>
      <c r="Y19" s="69"/>
      <c r="Z19" s="70"/>
      <c r="AA19" s="68">
        <f t="shared" si="7"/>
        <v>0</v>
      </c>
      <c r="AB19" s="69"/>
      <c r="AC19" s="70"/>
      <c r="AD19" s="68">
        <f t="shared" si="8"/>
        <v>0</v>
      </c>
      <c r="AE19" s="69"/>
      <c r="AF19" s="70"/>
      <c r="AG19" s="68">
        <f t="shared" si="9"/>
        <v>0</v>
      </c>
      <c r="AH19" s="69"/>
      <c r="AI19" s="70"/>
      <c r="AJ19" s="68">
        <f t="shared" si="10"/>
        <v>0</v>
      </c>
      <c r="AK19" s="69"/>
      <c r="AL19" s="70"/>
      <c r="AM19" s="68">
        <f t="shared" si="11"/>
        <v>0</v>
      </c>
      <c r="AN19" s="69"/>
      <c r="AO19" s="70"/>
      <c r="AP19" s="66">
        <f t="shared" si="12"/>
        <v>0</v>
      </c>
      <c r="AQ19" s="8" t="e">
        <f t="shared" si="13"/>
        <v>#DIV/0!</v>
      </c>
    </row>
    <row r="20" spans="1:43" ht="18" customHeight="1" x14ac:dyDescent="0.15">
      <c r="A20" s="6"/>
      <c r="B20" s="12"/>
      <c r="C20" s="65"/>
      <c r="D20" s="66"/>
      <c r="E20" s="67"/>
      <c r="F20" s="68">
        <f t="shared" si="0"/>
        <v>0</v>
      </c>
      <c r="G20" s="69"/>
      <c r="H20" s="70"/>
      <c r="I20" s="68">
        <f t="shared" si="1"/>
        <v>0</v>
      </c>
      <c r="J20" s="69"/>
      <c r="K20" s="70"/>
      <c r="L20" s="68">
        <f t="shared" si="2"/>
        <v>0</v>
      </c>
      <c r="M20" s="69"/>
      <c r="N20" s="70"/>
      <c r="O20" s="68">
        <f t="shared" si="3"/>
        <v>0</v>
      </c>
      <c r="P20" s="69"/>
      <c r="Q20" s="70"/>
      <c r="R20" s="68">
        <f t="shared" si="4"/>
        <v>0</v>
      </c>
      <c r="S20" s="69"/>
      <c r="T20" s="70"/>
      <c r="U20" s="68">
        <f t="shared" si="5"/>
        <v>0</v>
      </c>
      <c r="V20" s="69"/>
      <c r="W20" s="70"/>
      <c r="X20" s="68">
        <f t="shared" si="6"/>
        <v>0</v>
      </c>
      <c r="Y20" s="69"/>
      <c r="Z20" s="70"/>
      <c r="AA20" s="68">
        <f t="shared" si="7"/>
        <v>0</v>
      </c>
      <c r="AB20" s="69"/>
      <c r="AC20" s="70"/>
      <c r="AD20" s="68">
        <f t="shared" si="8"/>
        <v>0</v>
      </c>
      <c r="AE20" s="69"/>
      <c r="AF20" s="70"/>
      <c r="AG20" s="68">
        <f t="shared" si="9"/>
        <v>0</v>
      </c>
      <c r="AH20" s="69"/>
      <c r="AI20" s="70"/>
      <c r="AJ20" s="68">
        <f t="shared" si="10"/>
        <v>0</v>
      </c>
      <c r="AK20" s="69"/>
      <c r="AL20" s="70"/>
      <c r="AM20" s="68">
        <f t="shared" si="11"/>
        <v>0</v>
      </c>
      <c r="AN20" s="69"/>
      <c r="AO20" s="70"/>
      <c r="AP20" s="66">
        <f t="shared" si="12"/>
        <v>0</v>
      </c>
      <c r="AQ20" s="8" t="e">
        <f t="shared" si="13"/>
        <v>#DIV/0!</v>
      </c>
    </row>
    <row r="21" spans="1:43" ht="18" customHeight="1" x14ac:dyDescent="0.15">
      <c r="A21" s="6"/>
      <c r="B21" s="12"/>
      <c r="C21" s="65"/>
      <c r="D21" s="66"/>
      <c r="E21" s="67"/>
      <c r="F21" s="68">
        <f t="shared" si="0"/>
        <v>0</v>
      </c>
      <c r="G21" s="69"/>
      <c r="H21" s="70"/>
      <c r="I21" s="68">
        <f t="shared" si="1"/>
        <v>0</v>
      </c>
      <c r="J21" s="69"/>
      <c r="K21" s="70"/>
      <c r="L21" s="68">
        <f t="shared" si="2"/>
        <v>0</v>
      </c>
      <c r="M21" s="69"/>
      <c r="N21" s="70"/>
      <c r="O21" s="68">
        <f t="shared" si="3"/>
        <v>0</v>
      </c>
      <c r="P21" s="69"/>
      <c r="Q21" s="70"/>
      <c r="R21" s="68">
        <f t="shared" si="4"/>
        <v>0</v>
      </c>
      <c r="S21" s="69"/>
      <c r="T21" s="70"/>
      <c r="U21" s="68">
        <f t="shared" si="5"/>
        <v>0</v>
      </c>
      <c r="V21" s="69"/>
      <c r="W21" s="70"/>
      <c r="X21" s="68">
        <f t="shared" si="6"/>
        <v>0</v>
      </c>
      <c r="Y21" s="69"/>
      <c r="Z21" s="70"/>
      <c r="AA21" s="68">
        <f t="shared" si="7"/>
        <v>0</v>
      </c>
      <c r="AB21" s="69"/>
      <c r="AC21" s="70"/>
      <c r="AD21" s="68">
        <f t="shared" si="8"/>
        <v>0</v>
      </c>
      <c r="AE21" s="69"/>
      <c r="AF21" s="70"/>
      <c r="AG21" s="68">
        <f t="shared" si="9"/>
        <v>0</v>
      </c>
      <c r="AH21" s="69"/>
      <c r="AI21" s="70"/>
      <c r="AJ21" s="68">
        <f t="shared" si="10"/>
        <v>0</v>
      </c>
      <c r="AK21" s="69"/>
      <c r="AL21" s="70"/>
      <c r="AM21" s="68">
        <f t="shared" si="11"/>
        <v>0</v>
      </c>
      <c r="AN21" s="69"/>
      <c r="AO21" s="70"/>
      <c r="AP21" s="66">
        <f t="shared" si="12"/>
        <v>0</v>
      </c>
      <c r="AQ21" s="8" t="e">
        <f t="shared" si="13"/>
        <v>#DIV/0!</v>
      </c>
    </row>
    <row r="22" spans="1:43" ht="18" customHeight="1" x14ac:dyDescent="0.15">
      <c r="A22" s="6"/>
      <c r="B22" s="12"/>
      <c r="C22" s="65"/>
      <c r="D22" s="66"/>
      <c r="E22" s="67"/>
      <c r="F22" s="68">
        <f t="shared" si="0"/>
        <v>0</v>
      </c>
      <c r="G22" s="69"/>
      <c r="H22" s="70"/>
      <c r="I22" s="68">
        <f t="shared" si="1"/>
        <v>0</v>
      </c>
      <c r="J22" s="69"/>
      <c r="K22" s="70"/>
      <c r="L22" s="68">
        <f t="shared" si="2"/>
        <v>0</v>
      </c>
      <c r="M22" s="69"/>
      <c r="N22" s="70"/>
      <c r="O22" s="68">
        <f t="shared" si="3"/>
        <v>0</v>
      </c>
      <c r="P22" s="69"/>
      <c r="Q22" s="70"/>
      <c r="R22" s="68">
        <f t="shared" si="4"/>
        <v>0</v>
      </c>
      <c r="S22" s="69"/>
      <c r="T22" s="70"/>
      <c r="U22" s="68">
        <f t="shared" si="5"/>
        <v>0</v>
      </c>
      <c r="V22" s="69"/>
      <c r="W22" s="70"/>
      <c r="X22" s="68">
        <f t="shared" si="6"/>
        <v>0</v>
      </c>
      <c r="Y22" s="69"/>
      <c r="Z22" s="70"/>
      <c r="AA22" s="68">
        <f t="shared" si="7"/>
        <v>0</v>
      </c>
      <c r="AB22" s="69"/>
      <c r="AC22" s="70"/>
      <c r="AD22" s="68">
        <f t="shared" si="8"/>
        <v>0</v>
      </c>
      <c r="AE22" s="69"/>
      <c r="AF22" s="70"/>
      <c r="AG22" s="68">
        <f t="shared" si="9"/>
        <v>0</v>
      </c>
      <c r="AH22" s="69"/>
      <c r="AI22" s="70"/>
      <c r="AJ22" s="68">
        <f t="shared" si="10"/>
        <v>0</v>
      </c>
      <c r="AK22" s="69"/>
      <c r="AL22" s="70"/>
      <c r="AM22" s="68">
        <f t="shared" si="11"/>
        <v>0</v>
      </c>
      <c r="AN22" s="69"/>
      <c r="AO22" s="70"/>
      <c r="AP22" s="66">
        <f t="shared" si="12"/>
        <v>0</v>
      </c>
      <c r="AQ22" s="8" t="e">
        <f t="shared" si="13"/>
        <v>#DIV/0!</v>
      </c>
    </row>
    <row r="23" spans="1:43" ht="18" customHeight="1" x14ac:dyDescent="0.15">
      <c r="A23" s="6"/>
      <c r="B23" s="12"/>
      <c r="C23" s="65"/>
      <c r="D23" s="66"/>
      <c r="E23" s="67"/>
      <c r="F23" s="68">
        <f t="shared" si="0"/>
        <v>0</v>
      </c>
      <c r="G23" s="69"/>
      <c r="H23" s="70"/>
      <c r="I23" s="68">
        <f t="shared" si="1"/>
        <v>0</v>
      </c>
      <c r="J23" s="69"/>
      <c r="K23" s="70"/>
      <c r="L23" s="68">
        <f t="shared" si="2"/>
        <v>0</v>
      </c>
      <c r="M23" s="69"/>
      <c r="N23" s="70"/>
      <c r="O23" s="68">
        <f t="shared" si="3"/>
        <v>0</v>
      </c>
      <c r="P23" s="69"/>
      <c r="Q23" s="70"/>
      <c r="R23" s="68">
        <f t="shared" si="4"/>
        <v>0</v>
      </c>
      <c r="S23" s="69"/>
      <c r="T23" s="70"/>
      <c r="U23" s="68">
        <f t="shared" si="5"/>
        <v>0</v>
      </c>
      <c r="V23" s="69"/>
      <c r="W23" s="70"/>
      <c r="X23" s="68">
        <f t="shared" si="6"/>
        <v>0</v>
      </c>
      <c r="Y23" s="69"/>
      <c r="Z23" s="70"/>
      <c r="AA23" s="68">
        <f t="shared" si="7"/>
        <v>0</v>
      </c>
      <c r="AB23" s="69"/>
      <c r="AC23" s="70"/>
      <c r="AD23" s="68">
        <f t="shared" si="8"/>
        <v>0</v>
      </c>
      <c r="AE23" s="69"/>
      <c r="AF23" s="70"/>
      <c r="AG23" s="68">
        <f t="shared" si="9"/>
        <v>0</v>
      </c>
      <c r="AH23" s="69"/>
      <c r="AI23" s="70"/>
      <c r="AJ23" s="68">
        <f t="shared" si="10"/>
        <v>0</v>
      </c>
      <c r="AK23" s="69"/>
      <c r="AL23" s="70"/>
      <c r="AM23" s="68">
        <f t="shared" si="11"/>
        <v>0</v>
      </c>
      <c r="AN23" s="69"/>
      <c r="AO23" s="70"/>
      <c r="AP23" s="66">
        <f t="shared" si="12"/>
        <v>0</v>
      </c>
      <c r="AQ23" s="8" t="e">
        <f t="shared" si="13"/>
        <v>#DIV/0!</v>
      </c>
    </row>
    <row r="24" spans="1:43" ht="18" customHeight="1" x14ac:dyDescent="0.15">
      <c r="A24" s="6"/>
      <c r="B24" s="12"/>
      <c r="C24" s="65"/>
      <c r="D24" s="66"/>
      <c r="E24" s="67"/>
      <c r="F24" s="68">
        <f t="shared" si="0"/>
        <v>0</v>
      </c>
      <c r="G24" s="69"/>
      <c r="H24" s="70"/>
      <c r="I24" s="68">
        <f t="shared" si="1"/>
        <v>0</v>
      </c>
      <c r="J24" s="69"/>
      <c r="K24" s="70"/>
      <c r="L24" s="68">
        <f t="shared" si="2"/>
        <v>0</v>
      </c>
      <c r="M24" s="69"/>
      <c r="N24" s="70"/>
      <c r="O24" s="68">
        <f t="shared" si="3"/>
        <v>0</v>
      </c>
      <c r="P24" s="69"/>
      <c r="Q24" s="70"/>
      <c r="R24" s="68">
        <f t="shared" si="4"/>
        <v>0</v>
      </c>
      <c r="S24" s="69"/>
      <c r="T24" s="70"/>
      <c r="U24" s="68">
        <f t="shared" si="5"/>
        <v>0</v>
      </c>
      <c r="V24" s="69"/>
      <c r="W24" s="70"/>
      <c r="X24" s="68">
        <f t="shared" si="6"/>
        <v>0</v>
      </c>
      <c r="Y24" s="69"/>
      <c r="Z24" s="70"/>
      <c r="AA24" s="68">
        <f t="shared" si="7"/>
        <v>0</v>
      </c>
      <c r="AB24" s="69"/>
      <c r="AC24" s="70"/>
      <c r="AD24" s="68">
        <f t="shared" si="8"/>
        <v>0</v>
      </c>
      <c r="AE24" s="69"/>
      <c r="AF24" s="70"/>
      <c r="AG24" s="68">
        <f t="shared" si="9"/>
        <v>0</v>
      </c>
      <c r="AH24" s="69"/>
      <c r="AI24" s="70"/>
      <c r="AJ24" s="68">
        <f t="shared" si="10"/>
        <v>0</v>
      </c>
      <c r="AK24" s="69"/>
      <c r="AL24" s="70"/>
      <c r="AM24" s="68">
        <f t="shared" si="11"/>
        <v>0</v>
      </c>
      <c r="AN24" s="69"/>
      <c r="AO24" s="70"/>
      <c r="AP24" s="66">
        <f t="shared" si="12"/>
        <v>0</v>
      </c>
      <c r="AQ24" s="8" t="e">
        <f t="shared" si="13"/>
        <v>#DIV/0!</v>
      </c>
    </row>
    <row r="25" spans="1:43" ht="18" customHeight="1" x14ac:dyDescent="0.15">
      <c r="A25" s="6"/>
      <c r="B25" s="12"/>
      <c r="C25" s="65"/>
      <c r="D25" s="66"/>
      <c r="E25" s="67"/>
      <c r="F25" s="68">
        <f t="shared" si="0"/>
        <v>0</v>
      </c>
      <c r="G25" s="69"/>
      <c r="H25" s="70"/>
      <c r="I25" s="68">
        <f t="shared" si="1"/>
        <v>0</v>
      </c>
      <c r="J25" s="69"/>
      <c r="K25" s="70"/>
      <c r="L25" s="68">
        <f t="shared" si="2"/>
        <v>0</v>
      </c>
      <c r="M25" s="69"/>
      <c r="N25" s="70"/>
      <c r="O25" s="68">
        <f t="shared" si="3"/>
        <v>0</v>
      </c>
      <c r="P25" s="69"/>
      <c r="Q25" s="70"/>
      <c r="R25" s="68">
        <f t="shared" si="4"/>
        <v>0</v>
      </c>
      <c r="S25" s="69"/>
      <c r="T25" s="70"/>
      <c r="U25" s="68">
        <f t="shared" si="5"/>
        <v>0</v>
      </c>
      <c r="V25" s="69"/>
      <c r="W25" s="70"/>
      <c r="X25" s="68">
        <f t="shared" si="6"/>
        <v>0</v>
      </c>
      <c r="Y25" s="69"/>
      <c r="Z25" s="70"/>
      <c r="AA25" s="68">
        <f t="shared" si="7"/>
        <v>0</v>
      </c>
      <c r="AB25" s="69"/>
      <c r="AC25" s="70"/>
      <c r="AD25" s="68">
        <f t="shared" si="8"/>
        <v>0</v>
      </c>
      <c r="AE25" s="69"/>
      <c r="AF25" s="70"/>
      <c r="AG25" s="68">
        <f t="shared" si="9"/>
        <v>0</v>
      </c>
      <c r="AH25" s="69"/>
      <c r="AI25" s="70"/>
      <c r="AJ25" s="68">
        <f t="shared" si="10"/>
        <v>0</v>
      </c>
      <c r="AK25" s="69"/>
      <c r="AL25" s="70"/>
      <c r="AM25" s="68">
        <f t="shared" si="11"/>
        <v>0</v>
      </c>
      <c r="AN25" s="69"/>
      <c r="AO25" s="70"/>
      <c r="AP25" s="66">
        <f t="shared" si="12"/>
        <v>0</v>
      </c>
      <c r="AQ25" s="8" t="e">
        <f t="shared" si="13"/>
        <v>#DIV/0!</v>
      </c>
    </row>
    <row r="26" spans="1:43" ht="18" customHeight="1" x14ac:dyDescent="0.15">
      <c r="A26" s="6"/>
      <c r="B26" s="12"/>
      <c r="C26" s="65"/>
      <c r="D26" s="66"/>
      <c r="E26" s="67"/>
      <c r="F26" s="68">
        <f t="shared" si="0"/>
        <v>0</v>
      </c>
      <c r="G26" s="69"/>
      <c r="H26" s="70"/>
      <c r="I26" s="68">
        <f t="shared" si="1"/>
        <v>0</v>
      </c>
      <c r="J26" s="69"/>
      <c r="K26" s="70"/>
      <c r="L26" s="68">
        <f t="shared" si="2"/>
        <v>0</v>
      </c>
      <c r="M26" s="69"/>
      <c r="N26" s="70"/>
      <c r="O26" s="68">
        <f t="shared" si="3"/>
        <v>0</v>
      </c>
      <c r="P26" s="69"/>
      <c r="Q26" s="70"/>
      <c r="R26" s="68">
        <f t="shared" si="4"/>
        <v>0</v>
      </c>
      <c r="S26" s="69"/>
      <c r="T26" s="70"/>
      <c r="U26" s="68">
        <f t="shared" si="5"/>
        <v>0</v>
      </c>
      <c r="V26" s="69"/>
      <c r="W26" s="70"/>
      <c r="X26" s="68">
        <f t="shared" si="6"/>
        <v>0</v>
      </c>
      <c r="Y26" s="69"/>
      <c r="Z26" s="70"/>
      <c r="AA26" s="68">
        <f t="shared" si="7"/>
        <v>0</v>
      </c>
      <c r="AB26" s="69"/>
      <c r="AC26" s="70"/>
      <c r="AD26" s="68">
        <f t="shared" si="8"/>
        <v>0</v>
      </c>
      <c r="AE26" s="69"/>
      <c r="AF26" s="70"/>
      <c r="AG26" s="68">
        <f t="shared" si="9"/>
        <v>0</v>
      </c>
      <c r="AH26" s="69"/>
      <c r="AI26" s="70"/>
      <c r="AJ26" s="68">
        <f t="shared" si="10"/>
        <v>0</v>
      </c>
      <c r="AK26" s="69"/>
      <c r="AL26" s="70"/>
      <c r="AM26" s="68">
        <f t="shared" si="11"/>
        <v>0</v>
      </c>
      <c r="AN26" s="69"/>
      <c r="AO26" s="70"/>
      <c r="AP26" s="66">
        <f t="shared" si="12"/>
        <v>0</v>
      </c>
      <c r="AQ26" s="8" t="e">
        <f t="shared" si="13"/>
        <v>#DIV/0!</v>
      </c>
    </row>
    <row r="27" spans="1:43" ht="18" customHeight="1" x14ac:dyDescent="0.15">
      <c r="A27" s="6"/>
      <c r="B27" s="12"/>
      <c r="C27" s="65"/>
      <c r="D27" s="66"/>
      <c r="E27" s="67"/>
      <c r="F27" s="68">
        <f t="shared" si="0"/>
        <v>0</v>
      </c>
      <c r="G27" s="69"/>
      <c r="H27" s="70"/>
      <c r="I27" s="68">
        <f t="shared" si="1"/>
        <v>0</v>
      </c>
      <c r="J27" s="69"/>
      <c r="K27" s="70"/>
      <c r="L27" s="68">
        <f t="shared" si="2"/>
        <v>0</v>
      </c>
      <c r="M27" s="69"/>
      <c r="N27" s="70"/>
      <c r="O27" s="68">
        <f t="shared" si="3"/>
        <v>0</v>
      </c>
      <c r="P27" s="69"/>
      <c r="Q27" s="70"/>
      <c r="R27" s="68">
        <f t="shared" si="4"/>
        <v>0</v>
      </c>
      <c r="S27" s="69"/>
      <c r="T27" s="70"/>
      <c r="U27" s="68">
        <f t="shared" si="5"/>
        <v>0</v>
      </c>
      <c r="V27" s="69"/>
      <c r="W27" s="70"/>
      <c r="X27" s="68">
        <f t="shared" si="6"/>
        <v>0</v>
      </c>
      <c r="Y27" s="69"/>
      <c r="Z27" s="70"/>
      <c r="AA27" s="68">
        <f t="shared" si="7"/>
        <v>0</v>
      </c>
      <c r="AB27" s="69"/>
      <c r="AC27" s="70"/>
      <c r="AD27" s="68">
        <f t="shared" si="8"/>
        <v>0</v>
      </c>
      <c r="AE27" s="69"/>
      <c r="AF27" s="70"/>
      <c r="AG27" s="68">
        <f t="shared" si="9"/>
        <v>0</v>
      </c>
      <c r="AH27" s="69"/>
      <c r="AI27" s="70"/>
      <c r="AJ27" s="68">
        <f t="shared" si="10"/>
        <v>0</v>
      </c>
      <c r="AK27" s="69"/>
      <c r="AL27" s="70"/>
      <c r="AM27" s="68">
        <f t="shared" si="11"/>
        <v>0</v>
      </c>
      <c r="AN27" s="69"/>
      <c r="AO27" s="70"/>
      <c r="AP27" s="66">
        <f t="shared" si="12"/>
        <v>0</v>
      </c>
      <c r="AQ27" s="8" t="e">
        <f t="shared" si="13"/>
        <v>#DIV/0!</v>
      </c>
    </row>
    <row r="28" spans="1:43" ht="18" customHeight="1" x14ac:dyDescent="0.15">
      <c r="A28" s="6"/>
      <c r="B28" s="12"/>
      <c r="C28" s="65"/>
      <c r="D28" s="66"/>
      <c r="E28" s="67"/>
      <c r="F28" s="68">
        <f t="shared" si="0"/>
        <v>0</v>
      </c>
      <c r="G28" s="69"/>
      <c r="H28" s="70"/>
      <c r="I28" s="68">
        <f t="shared" si="1"/>
        <v>0</v>
      </c>
      <c r="J28" s="69"/>
      <c r="K28" s="70"/>
      <c r="L28" s="68">
        <f t="shared" si="2"/>
        <v>0</v>
      </c>
      <c r="M28" s="69"/>
      <c r="N28" s="70"/>
      <c r="O28" s="68">
        <f t="shared" si="3"/>
        <v>0</v>
      </c>
      <c r="P28" s="69"/>
      <c r="Q28" s="70"/>
      <c r="R28" s="68">
        <f t="shared" si="4"/>
        <v>0</v>
      </c>
      <c r="S28" s="69"/>
      <c r="T28" s="70"/>
      <c r="U28" s="68">
        <f t="shared" si="5"/>
        <v>0</v>
      </c>
      <c r="V28" s="69"/>
      <c r="W28" s="70"/>
      <c r="X28" s="68">
        <f t="shared" si="6"/>
        <v>0</v>
      </c>
      <c r="Y28" s="69"/>
      <c r="Z28" s="70"/>
      <c r="AA28" s="68">
        <f t="shared" si="7"/>
        <v>0</v>
      </c>
      <c r="AB28" s="69"/>
      <c r="AC28" s="70"/>
      <c r="AD28" s="68">
        <f t="shared" si="8"/>
        <v>0</v>
      </c>
      <c r="AE28" s="69"/>
      <c r="AF28" s="70"/>
      <c r="AG28" s="68">
        <f t="shared" si="9"/>
        <v>0</v>
      </c>
      <c r="AH28" s="69"/>
      <c r="AI28" s="70"/>
      <c r="AJ28" s="68">
        <f t="shared" si="10"/>
        <v>0</v>
      </c>
      <c r="AK28" s="69"/>
      <c r="AL28" s="70"/>
      <c r="AM28" s="68">
        <f t="shared" si="11"/>
        <v>0</v>
      </c>
      <c r="AN28" s="69"/>
      <c r="AO28" s="70"/>
      <c r="AP28" s="66">
        <f t="shared" si="12"/>
        <v>0</v>
      </c>
      <c r="AQ28" s="8" t="e">
        <f t="shared" si="13"/>
        <v>#DIV/0!</v>
      </c>
    </row>
    <row r="29" spans="1:43" ht="18" customHeight="1" x14ac:dyDescent="0.15">
      <c r="A29" s="6"/>
      <c r="B29" s="12"/>
      <c r="C29" s="65"/>
      <c r="D29" s="71"/>
      <c r="E29" s="67"/>
      <c r="F29" s="68">
        <f t="shared" si="0"/>
        <v>0</v>
      </c>
      <c r="G29" s="69"/>
      <c r="H29" s="70"/>
      <c r="I29" s="68">
        <f t="shared" si="1"/>
        <v>0</v>
      </c>
      <c r="J29" s="69"/>
      <c r="K29" s="70"/>
      <c r="L29" s="68">
        <f t="shared" si="2"/>
        <v>0</v>
      </c>
      <c r="M29" s="69"/>
      <c r="N29" s="70"/>
      <c r="O29" s="68">
        <f t="shared" si="3"/>
        <v>0</v>
      </c>
      <c r="P29" s="69"/>
      <c r="Q29" s="70"/>
      <c r="R29" s="68">
        <f t="shared" si="4"/>
        <v>0</v>
      </c>
      <c r="S29" s="69"/>
      <c r="T29" s="70"/>
      <c r="U29" s="68">
        <f t="shared" si="5"/>
        <v>0</v>
      </c>
      <c r="V29" s="69"/>
      <c r="W29" s="70"/>
      <c r="X29" s="68">
        <f t="shared" si="6"/>
        <v>0</v>
      </c>
      <c r="Y29" s="69"/>
      <c r="Z29" s="70"/>
      <c r="AA29" s="68">
        <f t="shared" si="7"/>
        <v>0</v>
      </c>
      <c r="AB29" s="69"/>
      <c r="AC29" s="70"/>
      <c r="AD29" s="68">
        <f t="shared" si="8"/>
        <v>0</v>
      </c>
      <c r="AE29" s="69"/>
      <c r="AF29" s="70"/>
      <c r="AG29" s="68">
        <f t="shared" si="9"/>
        <v>0</v>
      </c>
      <c r="AH29" s="69"/>
      <c r="AI29" s="70"/>
      <c r="AJ29" s="68">
        <f t="shared" si="10"/>
        <v>0</v>
      </c>
      <c r="AK29" s="69"/>
      <c r="AL29" s="70"/>
      <c r="AM29" s="68">
        <f t="shared" si="11"/>
        <v>0</v>
      </c>
      <c r="AN29" s="69"/>
      <c r="AO29" s="70"/>
      <c r="AP29" s="71">
        <f t="shared" si="12"/>
        <v>0</v>
      </c>
      <c r="AQ29" s="8" t="e">
        <f t="shared" si="13"/>
        <v>#DIV/0!</v>
      </c>
    </row>
    <row r="30" spans="1:43" ht="18" customHeight="1" x14ac:dyDescent="0.15">
      <c r="A30" s="6"/>
      <c r="B30" s="12"/>
      <c r="C30" s="65"/>
      <c r="D30" s="71"/>
      <c r="E30" s="67"/>
      <c r="F30" s="68">
        <f t="shared" si="0"/>
        <v>0</v>
      </c>
      <c r="G30" s="69"/>
      <c r="H30" s="70"/>
      <c r="I30" s="68">
        <f t="shared" si="1"/>
        <v>0</v>
      </c>
      <c r="J30" s="69"/>
      <c r="K30" s="70"/>
      <c r="L30" s="68">
        <f t="shared" si="2"/>
        <v>0</v>
      </c>
      <c r="M30" s="69"/>
      <c r="N30" s="70"/>
      <c r="O30" s="68">
        <f t="shared" si="3"/>
        <v>0</v>
      </c>
      <c r="P30" s="69"/>
      <c r="Q30" s="70"/>
      <c r="R30" s="68">
        <f t="shared" si="4"/>
        <v>0</v>
      </c>
      <c r="S30" s="69"/>
      <c r="T30" s="70"/>
      <c r="U30" s="68">
        <f t="shared" si="5"/>
        <v>0</v>
      </c>
      <c r="V30" s="69"/>
      <c r="W30" s="70"/>
      <c r="X30" s="68">
        <f t="shared" si="6"/>
        <v>0</v>
      </c>
      <c r="Y30" s="69"/>
      <c r="Z30" s="70"/>
      <c r="AA30" s="68">
        <f t="shared" si="7"/>
        <v>0</v>
      </c>
      <c r="AB30" s="69"/>
      <c r="AC30" s="70"/>
      <c r="AD30" s="68">
        <f t="shared" si="8"/>
        <v>0</v>
      </c>
      <c r="AE30" s="69"/>
      <c r="AF30" s="70"/>
      <c r="AG30" s="68">
        <f t="shared" si="9"/>
        <v>0</v>
      </c>
      <c r="AH30" s="69"/>
      <c r="AI30" s="70"/>
      <c r="AJ30" s="68">
        <f t="shared" si="10"/>
        <v>0</v>
      </c>
      <c r="AK30" s="69"/>
      <c r="AL30" s="70"/>
      <c r="AM30" s="68">
        <f t="shared" si="11"/>
        <v>0</v>
      </c>
      <c r="AN30" s="69"/>
      <c r="AO30" s="70"/>
      <c r="AP30" s="71">
        <f t="shared" si="12"/>
        <v>0</v>
      </c>
      <c r="AQ30" s="8" t="e">
        <f t="shared" si="13"/>
        <v>#DIV/0!</v>
      </c>
    </row>
    <row r="31" spans="1:43" ht="18" customHeight="1" thickBot="1" x14ac:dyDescent="0.2">
      <c r="A31" s="6"/>
      <c r="B31" s="13"/>
      <c r="C31" s="60"/>
      <c r="D31" s="72"/>
      <c r="E31" s="62"/>
      <c r="F31" s="62">
        <f t="shared" si="0"/>
        <v>0</v>
      </c>
      <c r="G31" s="73"/>
      <c r="H31" s="74"/>
      <c r="I31" s="62">
        <f t="shared" si="1"/>
        <v>0</v>
      </c>
      <c r="J31" s="73"/>
      <c r="K31" s="74"/>
      <c r="L31" s="62">
        <f t="shared" si="2"/>
        <v>0</v>
      </c>
      <c r="M31" s="73"/>
      <c r="N31" s="74"/>
      <c r="O31" s="62">
        <f t="shared" si="3"/>
        <v>0</v>
      </c>
      <c r="P31" s="73"/>
      <c r="Q31" s="74"/>
      <c r="R31" s="62">
        <f t="shared" si="4"/>
        <v>0</v>
      </c>
      <c r="S31" s="73"/>
      <c r="T31" s="74"/>
      <c r="U31" s="62">
        <f t="shared" si="5"/>
        <v>0</v>
      </c>
      <c r="V31" s="73"/>
      <c r="W31" s="74"/>
      <c r="X31" s="62">
        <f t="shared" si="6"/>
        <v>0</v>
      </c>
      <c r="Y31" s="73"/>
      <c r="Z31" s="74"/>
      <c r="AA31" s="62">
        <f t="shared" si="7"/>
        <v>0</v>
      </c>
      <c r="AB31" s="73"/>
      <c r="AC31" s="74"/>
      <c r="AD31" s="62">
        <f t="shared" si="8"/>
        <v>0</v>
      </c>
      <c r="AE31" s="73"/>
      <c r="AF31" s="74"/>
      <c r="AG31" s="62">
        <f t="shared" si="9"/>
        <v>0</v>
      </c>
      <c r="AH31" s="73"/>
      <c r="AI31" s="74"/>
      <c r="AJ31" s="62">
        <f t="shared" si="10"/>
        <v>0</v>
      </c>
      <c r="AK31" s="73"/>
      <c r="AL31" s="74"/>
      <c r="AM31" s="62">
        <f t="shared" si="11"/>
        <v>0</v>
      </c>
      <c r="AN31" s="73"/>
      <c r="AO31" s="74"/>
      <c r="AP31" s="72">
        <f t="shared" si="12"/>
        <v>0</v>
      </c>
      <c r="AQ31" s="7" t="e">
        <f t="shared" si="13"/>
        <v>#DIV/0!</v>
      </c>
    </row>
    <row r="32" spans="1:43" ht="18" customHeight="1" thickTop="1" x14ac:dyDescent="0.15">
      <c r="B32" s="14" t="s">
        <v>32</v>
      </c>
      <c r="C32" s="75">
        <f t="shared" ref="C32" si="17">SUM(C12:C31)</f>
        <v>1784</v>
      </c>
      <c r="D32" s="76">
        <f t="shared" ref="D32:AP32" si="18">SUM(D12:D31)</f>
        <v>369</v>
      </c>
      <c r="E32" s="77">
        <f t="shared" si="18"/>
        <v>2254</v>
      </c>
      <c r="F32" s="77">
        <f t="shared" si="18"/>
        <v>296</v>
      </c>
      <c r="G32" s="78">
        <f t="shared" si="18"/>
        <v>137</v>
      </c>
      <c r="H32" s="79">
        <f t="shared" si="18"/>
        <v>159</v>
      </c>
      <c r="I32" s="77">
        <f t="shared" ref="I32:N32" si="19">SUM(I12:I31)</f>
        <v>241</v>
      </c>
      <c r="J32" s="78">
        <f t="shared" si="19"/>
        <v>105</v>
      </c>
      <c r="K32" s="79">
        <f t="shared" si="19"/>
        <v>136</v>
      </c>
      <c r="L32" s="77">
        <f t="shared" si="19"/>
        <v>0</v>
      </c>
      <c r="M32" s="78">
        <f t="shared" si="19"/>
        <v>0</v>
      </c>
      <c r="N32" s="79">
        <f t="shared" si="19"/>
        <v>0</v>
      </c>
      <c r="O32" s="77">
        <f t="shared" ref="O32:T32" si="20">SUM(O12:O31)</f>
        <v>0</v>
      </c>
      <c r="P32" s="78">
        <f t="shared" si="20"/>
        <v>0</v>
      </c>
      <c r="Q32" s="79">
        <f t="shared" si="20"/>
        <v>0</v>
      </c>
      <c r="R32" s="77">
        <f t="shared" si="20"/>
        <v>0</v>
      </c>
      <c r="S32" s="78">
        <f t="shared" si="20"/>
        <v>0</v>
      </c>
      <c r="T32" s="79">
        <f t="shared" si="20"/>
        <v>0</v>
      </c>
      <c r="U32" s="77">
        <f t="shared" ref="U32:AI32" si="21">SUM(U12:U31)</f>
        <v>0</v>
      </c>
      <c r="V32" s="78">
        <f t="shared" si="21"/>
        <v>0</v>
      </c>
      <c r="W32" s="79">
        <f t="shared" si="21"/>
        <v>0</v>
      </c>
      <c r="X32" s="77">
        <f t="shared" si="21"/>
        <v>0</v>
      </c>
      <c r="Y32" s="78">
        <f t="shared" si="21"/>
        <v>0</v>
      </c>
      <c r="Z32" s="79">
        <f t="shared" si="21"/>
        <v>0</v>
      </c>
      <c r="AA32" s="77">
        <f t="shared" si="21"/>
        <v>0</v>
      </c>
      <c r="AB32" s="78">
        <f t="shared" si="21"/>
        <v>0</v>
      </c>
      <c r="AC32" s="79">
        <f t="shared" si="21"/>
        <v>0</v>
      </c>
      <c r="AD32" s="77">
        <f t="shared" si="21"/>
        <v>0</v>
      </c>
      <c r="AE32" s="78">
        <f t="shared" si="21"/>
        <v>0</v>
      </c>
      <c r="AF32" s="79">
        <f t="shared" si="21"/>
        <v>0</v>
      </c>
      <c r="AG32" s="77">
        <f t="shared" si="21"/>
        <v>0</v>
      </c>
      <c r="AH32" s="78">
        <f t="shared" si="21"/>
        <v>0</v>
      </c>
      <c r="AI32" s="79">
        <f t="shared" si="21"/>
        <v>0</v>
      </c>
      <c r="AJ32" s="77">
        <f t="shared" ref="AJ32:AO32" si="22">SUM(AJ12:AJ31)</f>
        <v>0</v>
      </c>
      <c r="AK32" s="78">
        <f t="shared" si="22"/>
        <v>0</v>
      </c>
      <c r="AL32" s="79">
        <f t="shared" si="22"/>
        <v>0</v>
      </c>
      <c r="AM32" s="77">
        <f t="shared" si="22"/>
        <v>0</v>
      </c>
      <c r="AN32" s="78">
        <f t="shared" si="22"/>
        <v>0</v>
      </c>
      <c r="AO32" s="79">
        <f t="shared" si="22"/>
        <v>0</v>
      </c>
      <c r="AP32" s="76">
        <f t="shared" si="18"/>
        <v>296</v>
      </c>
      <c r="AQ32" s="9">
        <f>AP32/E32</f>
        <v>0.1313220940550133</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zoomScaleNormal="100" zoomScaleSheetLayoutView="100" workbookViewId="0">
      <selection activeCell="L17" sqref="L17"/>
    </sheetView>
  </sheetViews>
  <sheetFormatPr defaultColWidth="11.375" defaultRowHeight="18.75" customHeight="1" x14ac:dyDescent="0.15"/>
  <cols>
    <col min="1" max="1" width="2.75" style="39"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9" t="s">
        <v>64</v>
      </c>
      <c r="I1" s="34" t="s">
        <v>105</v>
      </c>
    </row>
    <row r="2" spans="1:9" ht="18.75" customHeight="1" x14ac:dyDescent="0.15">
      <c r="G2" s="34" t="s">
        <v>108</v>
      </c>
      <c r="H2" s="144" t="str">
        <f>'様式１-2　プログラムを構成する授業科目'!C2</f>
        <v>岩手医科大学</v>
      </c>
      <c r="I2" s="126"/>
    </row>
    <row r="3" spans="1:9" ht="18.75" customHeight="1" x14ac:dyDescent="0.15">
      <c r="G3" s="34"/>
      <c r="H3" s="10"/>
      <c r="I3" s="10"/>
    </row>
    <row r="4" spans="1:9" ht="18.600000000000001" customHeight="1" x14ac:dyDescent="0.15">
      <c r="A4" s="169" t="s">
        <v>35</v>
      </c>
      <c r="B4" s="169"/>
      <c r="C4" s="169"/>
      <c r="D4" s="169"/>
      <c r="E4" s="169"/>
      <c r="F4" s="169"/>
      <c r="G4" s="169"/>
      <c r="H4" s="169"/>
      <c r="I4" s="169"/>
    </row>
    <row r="5" spans="1:9" ht="13.15" customHeight="1" x14ac:dyDescent="0.15">
      <c r="B5" s="3"/>
      <c r="C5" s="3"/>
      <c r="D5" s="3"/>
      <c r="E5" s="3"/>
      <c r="F5" s="3"/>
      <c r="G5" s="3"/>
      <c r="H5" s="3"/>
      <c r="I5" s="3"/>
    </row>
    <row r="6" spans="1:9" ht="18" customHeight="1" x14ac:dyDescent="0.15">
      <c r="A6" s="1" t="s">
        <v>0</v>
      </c>
      <c r="B6" s="10" t="s">
        <v>90</v>
      </c>
      <c r="C6" s="247" t="s">
        <v>91</v>
      </c>
      <c r="D6" s="247"/>
      <c r="E6" s="33">
        <v>628</v>
      </c>
      <c r="F6" s="3" t="s">
        <v>1</v>
      </c>
      <c r="G6" s="3" t="s">
        <v>2</v>
      </c>
      <c r="H6" s="33">
        <v>496</v>
      </c>
      <c r="I6" s="10" t="s">
        <v>1</v>
      </c>
    </row>
    <row r="7" spans="1:9" ht="12" customHeight="1" x14ac:dyDescent="0.15">
      <c r="C7" s="2"/>
      <c r="D7" s="2"/>
      <c r="E7" s="2"/>
      <c r="F7" s="2"/>
      <c r="G7" s="2"/>
      <c r="H7" s="2"/>
      <c r="I7" s="40"/>
    </row>
    <row r="8" spans="1:9" ht="18" customHeight="1" x14ac:dyDescent="0.15">
      <c r="A8" s="1" t="s">
        <v>3</v>
      </c>
      <c r="B8" s="10" t="s">
        <v>92</v>
      </c>
      <c r="E8" s="3"/>
      <c r="F8" s="3"/>
      <c r="G8" s="3"/>
      <c r="H8" s="33">
        <v>13</v>
      </c>
      <c r="I8" s="10" t="s">
        <v>1</v>
      </c>
    </row>
    <row r="9" spans="1:9" ht="9" customHeight="1" x14ac:dyDescent="0.15">
      <c r="B9" s="3"/>
      <c r="C9" s="3"/>
      <c r="D9" s="3"/>
      <c r="E9" s="3"/>
      <c r="F9" s="3"/>
      <c r="G9" s="3"/>
      <c r="H9" s="3"/>
      <c r="I9" s="3"/>
    </row>
    <row r="10" spans="1:9" ht="18" customHeight="1" x14ac:dyDescent="0.15">
      <c r="A10" s="1" t="s">
        <v>4</v>
      </c>
      <c r="B10" s="10" t="s">
        <v>93</v>
      </c>
      <c r="C10" s="3"/>
      <c r="D10" s="3"/>
      <c r="E10" s="3"/>
      <c r="F10" s="3"/>
      <c r="G10" s="3"/>
      <c r="H10" s="3"/>
      <c r="I10" s="3"/>
    </row>
    <row r="11" spans="1:9" ht="18" customHeight="1" x14ac:dyDescent="0.15">
      <c r="B11" s="34" t="s">
        <v>42</v>
      </c>
      <c r="C11" s="239" t="s">
        <v>184</v>
      </c>
      <c r="D11" s="245"/>
      <c r="E11" s="246"/>
      <c r="F11" s="40"/>
      <c r="G11" s="34" t="s">
        <v>10</v>
      </c>
      <c r="H11" s="239" t="s">
        <v>185</v>
      </c>
      <c r="I11" s="246"/>
    </row>
    <row r="12" spans="1:9" ht="10.15" customHeight="1" x14ac:dyDescent="0.15">
      <c r="B12" s="34"/>
      <c r="C12" s="10"/>
      <c r="D12" s="40"/>
      <c r="E12" s="40"/>
      <c r="F12" s="40"/>
      <c r="G12" s="34"/>
      <c r="H12" s="10"/>
      <c r="I12" s="40"/>
    </row>
    <row r="13" spans="1:9" ht="18" customHeight="1" x14ac:dyDescent="0.15">
      <c r="A13" s="1" t="s">
        <v>7</v>
      </c>
      <c r="B13" s="10" t="s">
        <v>87</v>
      </c>
      <c r="C13" s="3"/>
      <c r="D13" s="3"/>
      <c r="E13" s="3"/>
      <c r="F13" s="3"/>
      <c r="G13" s="3"/>
      <c r="H13" s="3"/>
      <c r="I13" s="3"/>
    </row>
    <row r="14" spans="1:9" ht="18" customHeight="1" x14ac:dyDescent="0.15">
      <c r="B14" s="239" t="s">
        <v>186</v>
      </c>
      <c r="C14" s="240"/>
      <c r="D14" s="240"/>
      <c r="E14" s="240"/>
      <c r="F14" s="240"/>
      <c r="G14" s="240"/>
      <c r="H14" s="240"/>
      <c r="I14" s="241"/>
    </row>
    <row r="15" spans="1:9" ht="9" customHeight="1" x14ac:dyDescent="0.15">
      <c r="B15" s="3"/>
      <c r="C15" s="3"/>
      <c r="D15" s="3"/>
      <c r="E15" s="3"/>
      <c r="F15" s="3"/>
      <c r="G15" s="3"/>
      <c r="H15" s="3"/>
      <c r="I15" s="3"/>
    </row>
    <row r="16" spans="1:9" ht="18" customHeight="1" x14ac:dyDescent="0.15">
      <c r="B16" s="34" t="s">
        <v>42</v>
      </c>
      <c r="C16" s="242" t="s">
        <v>184</v>
      </c>
      <c r="D16" s="243"/>
      <c r="E16" s="244"/>
      <c r="F16" s="40"/>
      <c r="G16" s="34" t="s">
        <v>10</v>
      </c>
      <c r="H16" s="242" t="s">
        <v>185</v>
      </c>
      <c r="I16" s="244"/>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222" t="s">
        <v>216</v>
      </c>
      <c r="C19" s="223"/>
      <c r="D19" s="223"/>
      <c r="E19" s="223"/>
      <c r="F19" s="223"/>
      <c r="G19" s="223"/>
      <c r="H19" s="223"/>
      <c r="I19" s="224"/>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5"/>
      <c r="B22" s="212" t="s">
        <v>226</v>
      </c>
      <c r="C22" s="213"/>
      <c r="D22" s="213"/>
      <c r="E22" s="213"/>
      <c r="F22" s="213"/>
      <c r="G22" s="213"/>
      <c r="H22" s="213"/>
      <c r="I22" s="214"/>
    </row>
    <row r="23" spans="1:9" ht="18.75" customHeight="1" x14ac:dyDescent="0.15">
      <c r="A23" s="15"/>
      <c r="B23" s="225"/>
      <c r="C23" s="226"/>
      <c r="D23" s="226"/>
      <c r="E23" s="226"/>
      <c r="F23" s="226"/>
      <c r="G23" s="226"/>
      <c r="H23" s="226"/>
      <c r="I23" s="217"/>
    </row>
    <row r="24" spans="1:9" ht="18.75" customHeight="1" x14ac:dyDescent="0.15">
      <c r="A24" s="15"/>
      <c r="B24" s="225"/>
      <c r="C24" s="226"/>
      <c r="D24" s="226"/>
      <c r="E24" s="226"/>
      <c r="F24" s="226"/>
      <c r="G24" s="226"/>
      <c r="H24" s="226"/>
      <c r="I24" s="217"/>
    </row>
    <row r="25" spans="1:9" ht="18.75" customHeight="1" x14ac:dyDescent="0.15">
      <c r="A25" s="15"/>
      <c r="B25" s="225"/>
      <c r="C25" s="226"/>
      <c r="D25" s="226"/>
      <c r="E25" s="226"/>
      <c r="F25" s="226"/>
      <c r="G25" s="226"/>
      <c r="H25" s="226"/>
      <c r="I25" s="217"/>
    </row>
    <row r="26" spans="1:9" ht="18.75" customHeight="1" x14ac:dyDescent="0.15">
      <c r="A26" s="15"/>
      <c r="B26" s="225"/>
      <c r="C26" s="226"/>
      <c r="D26" s="226"/>
      <c r="E26" s="226"/>
      <c r="F26" s="226"/>
      <c r="G26" s="226"/>
      <c r="H26" s="226"/>
      <c r="I26" s="217"/>
    </row>
    <row r="27" spans="1:9" ht="18.75" customHeight="1" x14ac:dyDescent="0.15">
      <c r="A27" s="15"/>
      <c r="B27" s="225"/>
      <c r="C27" s="226"/>
      <c r="D27" s="226"/>
      <c r="E27" s="226"/>
      <c r="F27" s="226"/>
      <c r="G27" s="226"/>
      <c r="H27" s="226"/>
      <c r="I27" s="217"/>
    </row>
    <row r="28" spans="1:9" ht="18.75" customHeight="1" x14ac:dyDescent="0.15">
      <c r="A28" s="15"/>
      <c r="B28" s="225"/>
      <c r="C28" s="226"/>
      <c r="D28" s="226"/>
      <c r="E28" s="226"/>
      <c r="F28" s="226"/>
      <c r="G28" s="226"/>
      <c r="H28" s="226"/>
      <c r="I28" s="217"/>
    </row>
    <row r="29" spans="1:9" ht="18.75" customHeight="1" x14ac:dyDescent="0.15">
      <c r="A29" s="15"/>
      <c r="B29" s="225"/>
      <c r="C29" s="226"/>
      <c r="D29" s="226"/>
      <c r="E29" s="226"/>
      <c r="F29" s="226"/>
      <c r="G29" s="226"/>
      <c r="H29" s="226"/>
      <c r="I29" s="217"/>
    </row>
    <row r="30" spans="1:9" ht="18.75" customHeight="1" x14ac:dyDescent="0.15">
      <c r="A30" s="15"/>
      <c r="B30" s="215"/>
      <c r="C30" s="216"/>
      <c r="D30" s="216"/>
      <c r="E30" s="216"/>
      <c r="F30" s="216"/>
      <c r="G30" s="216"/>
      <c r="H30" s="216"/>
      <c r="I30" s="217"/>
    </row>
    <row r="31" spans="1:9" ht="18.75" customHeight="1" x14ac:dyDescent="0.15">
      <c r="A31" s="15"/>
      <c r="B31" s="215"/>
      <c r="C31" s="216"/>
      <c r="D31" s="216"/>
      <c r="E31" s="216"/>
      <c r="F31" s="216"/>
      <c r="G31" s="216"/>
      <c r="H31" s="216"/>
      <c r="I31" s="217"/>
    </row>
    <row r="32" spans="1:9" ht="18.75" customHeight="1" x14ac:dyDescent="0.15">
      <c r="A32" s="15"/>
      <c r="B32" s="218"/>
      <c r="C32" s="219"/>
      <c r="D32" s="219"/>
      <c r="E32" s="219"/>
      <c r="F32" s="219"/>
      <c r="G32" s="219"/>
      <c r="H32" s="219"/>
      <c r="I32" s="220"/>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27" t="s">
        <v>227</v>
      </c>
      <c r="C35" s="228"/>
      <c r="D35" s="228"/>
      <c r="E35" s="228"/>
      <c r="F35" s="228"/>
      <c r="G35" s="228"/>
      <c r="H35" s="228"/>
      <c r="I35" s="229"/>
    </row>
    <row r="36" spans="1:9" ht="18.75" customHeight="1" x14ac:dyDescent="0.15">
      <c r="A36" s="15"/>
      <c r="B36" s="230"/>
      <c r="C36" s="231"/>
      <c r="D36" s="231"/>
      <c r="E36" s="231"/>
      <c r="F36" s="231"/>
      <c r="G36" s="231"/>
      <c r="H36" s="231"/>
      <c r="I36" s="232"/>
    </row>
    <row r="37" spans="1:9" ht="18.75" customHeight="1" x14ac:dyDescent="0.15">
      <c r="A37" s="15"/>
      <c r="B37" s="230"/>
      <c r="C37" s="231"/>
      <c r="D37" s="231"/>
      <c r="E37" s="231"/>
      <c r="F37" s="231"/>
      <c r="G37" s="231"/>
      <c r="H37" s="231"/>
      <c r="I37" s="232"/>
    </row>
    <row r="38" spans="1:9" ht="18.75" customHeight="1" x14ac:dyDescent="0.15">
      <c r="A38" s="15"/>
      <c r="B38" s="230"/>
      <c r="C38" s="231"/>
      <c r="D38" s="231"/>
      <c r="E38" s="231"/>
      <c r="F38" s="231"/>
      <c r="G38" s="231"/>
      <c r="H38" s="231"/>
      <c r="I38" s="232"/>
    </row>
    <row r="39" spans="1:9" ht="18.75" customHeight="1" x14ac:dyDescent="0.15">
      <c r="A39" s="15"/>
      <c r="B39" s="230"/>
      <c r="C39" s="231"/>
      <c r="D39" s="231"/>
      <c r="E39" s="231"/>
      <c r="F39" s="231"/>
      <c r="G39" s="231"/>
      <c r="H39" s="231"/>
      <c r="I39" s="232"/>
    </row>
    <row r="40" spans="1:9" ht="18.75" customHeight="1" x14ac:dyDescent="0.15">
      <c r="A40" s="15"/>
      <c r="B40" s="230"/>
      <c r="C40" s="231"/>
      <c r="D40" s="231"/>
      <c r="E40" s="231"/>
      <c r="F40" s="231"/>
      <c r="G40" s="231"/>
      <c r="H40" s="231"/>
      <c r="I40" s="232"/>
    </row>
    <row r="41" spans="1:9" ht="18.75" customHeight="1" x14ac:dyDescent="0.15">
      <c r="A41" s="15"/>
      <c r="B41" s="230"/>
      <c r="C41" s="231"/>
      <c r="D41" s="231"/>
      <c r="E41" s="231"/>
      <c r="F41" s="231"/>
      <c r="G41" s="231"/>
      <c r="H41" s="231"/>
      <c r="I41" s="232"/>
    </row>
    <row r="42" spans="1:9" ht="18.75" customHeight="1" x14ac:dyDescent="0.15">
      <c r="A42" s="15"/>
      <c r="B42" s="230"/>
      <c r="C42" s="231"/>
      <c r="D42" s="231"/>
      <c r="E42" s="231"/>
      <c r="F42" s="231"/>
      <c r="G42" s="231"/>
      <c r="H42" s="231"/>
      <c r="I42" s="232"/>
    </row>
    <row r="43" spans="1:9" ht="18.75" customHeight="1" x14ac:dyDescent="0.15">
      <c r="A43" s="15"/>
      <c r="B43" s="230"/>
      <c r="C43" s="231"/>
      <c r="D43" s="231"/>
      <c r="E43" s="231"/>
      <c r="F43" s="231"/>
      <c r="G43" s="231"/>
      <c r="H43" s="231"/>
      <c r="I43" s="232"/>
    </row>
    <row r="44" spans="1:9" ht="18.75" customHeight="1" x14ac:dyDescent="0.15">
      <c r="A44" s="15"/>
      <c r="B44" s="230"/>
      <c r="C44" s="231"/>
      <c r="D44" s="231"/>
      <c r="E44" s="231"/>
      <c r="F44" s="231"/>
      <c r="G44" s="231"/>
      <c r="H44" s="231"/>
      <c r="I44" s="232"/>
    </row>
    <row r="45" spans="1:9" ht="18.75" customHeight="1" x14ac:dyDescent="0.15">
      <c r="A45" s="15"/>
      <c r="B45" s="230"/>
      <c r="C45" s="231"/>
      <c r="D45" s="231"/>
      <c r="E45" s="231"/>
      <c r="F45" s="231"/>
      <c r="G45" s="231"/>
      <c r="H45" s="231"/>
      <c r="I45" s="232"/>
    </row>
    <row r="46" spans="1:9" ht="49.5" customHeight="1" x14ac:dyDescent="0.15">
      <c r="A46" s="15"/>
      <c r="B46" s="233"/>
      <c r="C46" s="234"/>
      <c r="D46" s="234"/>
      <c r="E46" s="234"/>
      <c r="F46" s="234"/>
      <c r="G46" s="234"/>
      <c r="H46" s="234"/>
      <c r="I46" s="235"/>
    </row>
    <row r="47" spans="1:9" ht="7.5" customHeight="1" x14ac:dyDescent="0.15">
      <c r="A47" s="4"/>
      <c r="B47" s="4"/>
      <c r="C47" s="4"/>
      <c r="D47" s="4"/>
      <c r="E47" s="4"/>
      <c r="F47" s="4"/>
      <c r="G47" s="4"/>
      <c r="H47" s="4"/>
      <c r="I47" s="4"/>
    </row>
    <row r="48" spans="1:9" ht="18.75" customHeight="1" x14ac:dyDescent="0.15">
      <c r="A48" s="1" t="s">
        <v>30</v>
      </c>
      <c r="B48" s="1" t="s">
        <v>122</v>
      </c>
    </row>
    <row r="49" spans="1:15" s="3" customFormat="1" ht="18.75" customHeight="1" x14ac:dyDescent="0.15">
      <c r="B49" s="41" t="s">
        <v>88</v>
      </c>
      <c r="C49" s="265">
        <f>'様式２ 履修者等数の実績'!AQ32</f>
        <v>0.1313220940550133</v>
      </c>
      <c r="D49" s="265"/>
      <c r="E49" s="41" t="s">
        <v>65</v>
      </c>
      <c r="F49" s="265">
        <v>0.3</v>
      </c>
      <c r="G49" s="265"/>
      <c r="H49" s="41" t="s">
        <v>66</v>
      </c>
      <c r="I49" s="42">
        <v>0.45</v>
      </c>
      <c r="J49" s="1"/>
      <c r="M49" s="1"/>
      <c r="N49" s="43"/>
    </row>
    <row r="50" spans="1:15" s="3" customFormat="1" ht="18.75" customHeight="1" x14ac:dyDescent="0.15">
      <c r="B50" s="44" t="s">
        <v>67</v>
      </c>
      <c r="C50" s="248">
        <v>0.63</v>
      </c>
      <c r="D50" s="248"/>
      <c r="E50" s="44" t="s">
        <v>89</v>
      </c>
      <c r="F50" s="248">
        <v>0.8</v>
      </c>
      <c r="G50" s="248"/>
      <c r="H50" s="44" t="s">
        <v>68</v>
      </c>
      <c r="I50" s="45">
        <f>'様式２ 履修者等数の実績'!E32</f>
        <v>2254</v>
      </c>
      <c r="J50" s="1"/>
      <c r="M50" s="1"/>
      <c r="N50" s="43"/>
    </row>
    <row r="51" spans="1:15" ht="18.75" customHeight="1" x14ac:dyDescent="0.15">
      <c r="A51" s="1"/>
      <c r="B51" s="236" t="s">
        <v>69</v>
      </c>
      <c r="C51" s="237"/>
      <c r="D51" s="237"/>
      <c r="E51" s="237"/>
      <c r="F51" s="237"/>
      <c r="G51" s="237"/>
      <c r="H51" s="237"/>
      <c r="I51" s="238"/>
      <c r="N51" s="43"/>
      <c r="O51" s="3"/>
    </row>
    <row r="52" spans="1:15" ht="18.75" customHeight="1" x14ac:dyDescent="0.15">
      <c r="A52" s="1"/>
      <c r="B52" s="266" t="s">
        <v>210</v>
      </c>
      <c r="C52" s="267"/>
      <c r="D52" s="267"/>
      <c r="E52" s="267"/>
      <c r="F52" s="267"/>
      <c r="G52" s="267"/>
      <c r="H52" s="267"/>
      <c r="I52" s="268"/>
      <c r="N52" s="43"/>
      <c r="O52" s="3"/>
    </row>
    <row r="53" spans="1:15" ht="18.75" customHeight="1" x14ac:dyDescent="0.15">
      <c r="A53" s="1"/>
      <c r="B53" s="269"/>
      <c r="C53" s="270"/>
      <c r="D53" s="270"/>
      <c r="E53" s="270"/>
      <c r="F53" s="270"/>
      <c r="G53" s="270"/>
      <c r="H53" s="270"/>
      <c r="I53" s="271"/>
      <c r="N53" s="43"/>
      <c r="O53" s="3"/>
    </row>
    <row r="54" spans="1:15" ht="18.75" customHeight="1" x14ac:dyDescent="0.15">
      <c r="A54" s="1"/>
      <c r="B54" s="269"/>
      <c r="C54" s="270"/>
      <c r="D54" s="270"/>
      <c r="E54" s="270"/>
      <c r="F54" s="270"/>
      <c r="G54" s="270"/>
      <c r="H54" s="270"/>
      <c r="I54" s="271"/>
    </row>
    <row r="55" spans="1:15" ht="18.75" customHeight="1" x14ac:dyDescent="0.15">
      <c r="A55" s="1"/>
      <c r="B55" s="269"/>
      <c r="C55" s="270"/>
      <c r="D55" s="270"/>
      <c r="E55" s="270"/>
      <c r="F55" s="270"/>
      <c r="G55" s="270"/>
      <c r="H55" s="270"/>
      <c r="I55" s="271"/>
    </row>
    <row r="56" spans="1:15" ht="18.75" customHeight="1" x14ac:dyDescent="0.15">
      <c r="A56" s="1"/>
      <c r="B56" s="269"/>
      <c r="C56" s="270"/>
      <c r="D56" s="270"/>
      <c r="E56" s="270"/>
      <c r="F56" s="270"/>
      <c r="G56" s="270"/>
      <c r="H56" s="270"/>
      <c r="I56" s="271"/>
    </row>
    <row r="57" spans="1:15" ht="18.75" customHeight="1" x14ac:dyDescent="0.15">
      <c r="A57" s="1"/>
      <c r="B57" s="269"/>
      <c r="C57" s="270"/>
      <c r="D57" s="270"/>
      <c r="E57" s="270"/>
      <c r="F57" s="270"/>
      <c r="G57" s="270"/>
      <c r="H57" s="270"/>
      <c r="I57" s="271"/>
    </row>
    <row r="58" spans="1:15" ht="18.75" customHeight="1" x14ac:dyDescent="0.15">
      <c r="A58" s="1"/>
      <c r="B58" s="269"/>
      <c r="C58" s="270"/>
      <c r="D58" s="270"/>
      <c r="E58" s="270"/>
      <c r="F58" s="270"/>
      <c r="G58" s="270"/>
      <c r="H58" s="270"/>
      <c r="I58" s="271"/>
    </row>
    <row r="59" spans="1:15" ht="18.75" customHeight="1" x14ac:dyDescent="0.15">
      <c r="A59" s="1"/>
      <c r="B59" s="269"/>
      <c r="C59" s="270"/>
      <c r="D59" s="270"/>
      <c r="E59" s="270"/>
      <c r="F59" s="270"/>
      <c r="G59" s="270"/>
      <c r="H59" s="270"/>
      <c r="I59" s="271"/>
    </row>
    <row r="60" spans="1:15" ht="18.75" customHeight="1" x14ac:dyDescent="0.15">
      <c r="A60" s="1"/>
      <c r="B60" s="269"/>
      <c r="C60" s="270"/>
      <c r="D60" s="270"/>
      <c r="E60" s="270"/>
      <c r="F60" s="270"/>
      <c r="G60" s="270"/>
      <c r="H60" s="270"/>
      <c r="I60" s="271"/>
    </row>
    <row r="61" spans="1:15" ht="18.75" customHeight="1" x14ac:dyDescent="0.15">
      <c r="A61" s="1"/>
      <c r="B61" s="269"/>
      <c r="C61" s="270"/>
      <c r="D61" s="270"/>
      <c r="E61" s="270"/>
      <c r="F61" s="270"/>
      <c r="G61" s="270"/>
      <c r="H61" s="270"/>
      <c r="I61" s="271"/>
    </row>
    <row r="62" spans="1:15" ht="18.75" customHeight="1" x14ac:dyDescent="0.15">
      <c r="A62" s="1"/>
      <c r="B62" s="269"/>
      <c r="C62" s="270"/>
      <c r="D62" s="270"/>
      <c r="E62" s="270"/>
      <c r="F62" s="270"/>
      <c r="G62" s="270"/>
      <c r="H62" s="270"/>
      <c r="I62" s="271"/>
    </row>
    <row r="63" spans="1:15" ht="18.75" customHeight="1" x14ac:dyDescent="0.15">
      <c r="A63" s="1"/>
      <c r="B63" s="272"/>
      <c r="C63" s="273"/>
      <c r="D63" s="273"/>
      <c r="E63" s="273"/>
      <c r="F63" s="273"/>
      <c r="G63" s="273"/>
      <c r="H63" s="273"/>
      <c r="I63" s="274"/>
    </row>
    <row r="64" spans="1:15" ht="7.5" customHeight="1" x14ac:dyDescent="0.15">
      <c r="A64" s="15"/>
      <c r="B64" s="15"/>
      <c r="C64" s="15"/>
      <c r="D64" s="15"/>
      <c r="E64" s="15"/>
      <c r="F64" s="15"/>
      <c r="G64" s="15"/>
      <c r="H64" s="15"/>
      <c r="I64" s="15"/>
    </row>
    <row r="65" spans="1:9" ht="18.75" customHeight="1" x14ac:dyDescent="0.15">
      <c r="A65" s="16" t="s">
        <v>33</v>
      </c>
      <c r="B65" s="1" t="s">
        <v>36</v>
      </c>
      <c r="I65" s="16"/>
    </row>
    <row r="66" spans="1:9" ht="18.75" customHeight="1" x14ac:dyDescent="0.15">
      <c r="A66" s="4"/>
      <c r="B66" s="249" t="s">
        <v>207</v>
      </c>
      <c r="C66" s="250"/>
      <c r="D66" s="250"/>
      <c r="E66" s="250"/>
      <c r="F66" s="250"/>
      <c r="G66" s="250"/>
      <c r="H66" s="250"/>
      <c r="I66" s="251"/>
    </row>
    <row r="67" spans="1:9" ht="18.75" customHeight="1" x14ac:dyDescent="0.15">
      <c r="A67" s="4"/>
      <c r="B67" s="252"/>
      <c r="C67" s="253"/>
      <c r="D67" s="253"/>
      <c r="E67" s="253"/>
      <c r="F67" s="253"/>
      <c r="G67" s="253"/>
      <c r="H67" s="253"/>
      <c r="I67" s="254"/>
    </row>
    <row r="68" spans="1:9" ht="18.75" customHeight="1" x14ac:dyDescent="0.15">
      <c r="A68" s="4"/>
      <c r="B68" s="252"/>
      <c r="C68" s="253"/>
      <c r="D68" s="253"/>
      <c r="E68" s="253"/>
      <c r="F68" s="253"/>
      <c r="G68" s="253"/>
      <c r="H68" s="253"/>
      <c r="I68" s="254"/>
    </row>
    <row r="69" spans="1:9" ht="18.75" customHeight="1" x14ac:dyDescent="0.15">
      <c r="A69" s="4"/>
      <c r="B69" s="252"/>
      <c r="C69" s="253"/>
      <c r="D69" s="253"/>
      <c r="E69" s="253"/>
      <c r="F69" s="253"/>
      <c r="G69" s="253"/>
      <c r="H69" s="253"/>
      <c r="I69" s="254"/>
    </row>
    <row r="70" spans="1:9" ht="18.75" customHeight="1" x14ac:dyDescent="0.15">
      <c r="A70" s="4"/>
      <c r="B70" s="252"/>
      <c r="C70" s="253"/>
      <c r="D70" s="253"/>
      <c r="E70" s="253"/>
      <c r="F70" s="253"/>
      <c r="G70" s="253"/>
      <c r="H70" s="253"/>
      <c r="I70" s="254"/>
    </row>
    <row r="71" spans="1:9" ht="18.75" customHeight="1" x14ac:dyDescent="0.15">
      <c r="A71" s="4"/>
      <c r="B71" s="252"/>
      <c r="C71" s="253"/>
      <c r="D71" s="253"/>
      <c r="E71" s="253"/>
      <c r="F71" s="253"/>
      <c r="G71" s="253"/>
      <c r="H71" s="253"/>
      <c r="I71" s="254"/>
    </row>
    <row r="72" spans="1:9" ht="18.75" customHeight="1" x14ac:dyDescent="0.15">
      <c r="A72" s="4"/>
      <c r="B72" s="252"/>
      <c r="C72" s="253"/>
      <c r="D72" s="253"/>
      <c r="E72" s="253"/>
      <c r="F72" s="253"/>
      <c r="G72" s="253"/>
      <c r="H72" s="253"/>
      <c r="I72" s="254"/>
    </row>
    <row r="73" spans="1:9" ht="18.75" customHeight="1" x14ac:dyDescent="0.15">
      <c r="A73" s="4"/>
      <c r="B73" s="252"/>
      <c r="C73" s="253"/>
      <c r="D73" s="253"/>
      <c r="E73" s="253"/>
      <c r="F73" s="253"/>
      <c r="G73" s="253"/>
      <c r="H73" s="253"/>
      <c r="I73" s="254"/>
    </row>
    <row r="74" spans="1:9" ht="18.75" customHeight="1" x14ac:dyDescent="0.15">
      <c r="A74" s="4"/>
      <c r="B74" s="252"/>
      <c r="C74" s="253"/>
      <c r="D74" s="253"/>
      <c r="E74" s="253"/>
      <c r="F74" s="253"/>
      <c r="G74" s="253"/>
      <c r="H74" s="253"/>
      <c r="I74" s="254"/>
    </row>
    <row r="75" spans="1:9" ht="18.75" customHeight="1" x14ac:dyDescent="0.15">
      <c r="A75" s="4"/>
      <c r="B75" s="252"/>
      <c r="C75" s="253"/>
      <c r="D75" s="253"/>
      <c r="E75" s="253"/>
      <c r="F75" s="253"/>
      <c r="G75" s="253"/>
      <c r="H75" s="253"/>
      <c r="I75" s="254"/>
    </row>
    <row r="76" spans="1:9" ht="18.75" customHeight="1" x14ac:dyDescent="0.15">
      <c r="A76" s="4"/>
      <c r="B76" s="252"/>
      <c r="C76" s="253"/>
      <c r="D76" s="253"/>
      <c r="E76" s="253"/>
      <c r="F76" s="253"/>
      <c r="G76" s="253"/>
      <c r="H76" s="253"/>
      <c r="I76" s="254"/>
    </row>
    <row r="77" spans="1:9" ht="18.75" customHeight="1" x14ac:dyDescent="0.15">
      <c r="A77" s="4"/>
      <c r="B77" s="255"/>
      <c r="C77" s="256"/>
      <c r="D77" s="256"/>
      <c r="E77" s="256"/>
      <c r="F77" s="256"/>
      <c r="G77" s="256"/>
      <c r="H77" s="256"/>
      <c r="I77" s="257"/>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249" t="s">
        <v>208</v>
      </c>
      <c r="C80" s="250"/>
      <c r="D80" s="250"/>
      <c r="E80" s="250"/>
      <c r="F80" s="250"/>
      <c r="G80" s="250"/>
      <c r="H80" s="250"/>
      <c r="I80" s="258"/>
    </row>
    <row r="81" spans="1:9" ht="18.75" customHeight="1" x14ac:dyDescent="0.15">
      <c r="A81" s="1"/>
      <c r="B81" s="259"/>
      <c r="C81" s="260"/>
      <c r="D81" s="260"/>
      <c r="E81" s="260"/>
      <c r="F81" s="260"/>
      <c r="G81" s="260"/>
      <c r="H81" s="260"/>
      <c r="I81" s="261"/>
    </row>
    <row r="82" spans="1:9" ht="18.75" customHeight="1" x14ac:dyDescent="0.15">
      <c r="A82" s="1"/>
      <c r="B82" s="259"/>
      <c r="C82" s="260"/>
      <c r="D82" s="260"/>
      <c r="E82" s="260"/>
      <c r="F82" s="260"/>
      <c r="G82" s="260"/>
      <c r="H82" s="260"/>
      <c r="I82" s="261"/>
    </row>
    <row r="83" spans="1:9" ht="18.75" customHeight="1" x14ac:dyDescent="0.15">
      <c r="A83" s="1"/>
      <c r="B83" s="259"/>
      <c r="C83" s="260"/>
      <c r="D83" s="260"/>
      <c r="E83" s="260"/>
      <c r="F83" s="260"/>
      <c r="G83" s="260"/>
      <c r="H83" s="260"/>
      <c r="I83" s="261"/>
    </row>
    <row r="84" spans="1:9" ht="18.75" customHeight="1" x14ac:dyDescent="0.15">
      <c r="A84" s="1"/>
      <c r="B84" s="259"/>
      <c r="C84" s="260"/>
      <c r="D84" s="260"/>
      <c r="E84" s="260"/>
      <c r="F84" s="260"/>
      <c r="G84" s="260"/>
      <c r="H84" s="260"/>
      <c r="I84" s="261"/>
    </row>
    <row r="85" spans="1:9" ht="18.75" customHeight="1" x14ac:dyDescent="0.15">
      <c r="A85" s="1"/>
      <c r="B85" s="259"/>
      <c r="C85" s="260"/>
      <c r="D85" s="260"/>
      <c r="E85" s="260"/>
      <c r="F85" s="260"/>
      <c r="G85" s="260"/>
      <c r="H85" s="260"/>
      <c r="I85" s="261"/>
    </row>
    <row r="86" spans="1:9" ht="18.75" customHeight="1" x14ac:dyDescent="0.15">
      <c r="A86" s="1"/>
      <c r="B86" s="259"/>
      <c r="C86" s="260"/>
      <c r="D86" s="260"/>
      <c r="E86" s="260"/>
      <c r="F86" s="260"/>
      <c r="G86" s="260"/>
      <c r="H86" s="260"/>
      <c r="I86" s="261"/>
    </row>
    <row r="87" spans="1:9" ht="18.75" customHeight="1" x14ac:dyDescent="0.15">
      <c r="A87" s="1"/>
      <c r="B87" s="259"/>
      <c r="C87" s="260"/>
      <c r="D87" s="260"/>
      <c r="E87" s="260"/>
      <c r="F87" s="260"/>
      <c r="G87" s="260"/>
      <c r="H87" s="260"/>
      <c r="I87" s="261"/>
    </row>
    <row r="88" spans="1:9" ht="18.75" customHeight="1" x14ac:dyDescent="0.15">
      <c r="A88" s="1"/>
      <c r="B88" s="259"/>
      <c r="C88" s="260"/>
      <c r="D88" s="260"/>
      <c r="E88" s="260"/>
      <c r="F88" s="260"/>
      <c r="G88" s="260"/>
      <c r="H88" s="260"/>
      <c r="I88" s="261"/>
    </row>
    <row r="89" spans="1:9" ht="18.75" customHeight="1" x14ac:dyDescent="0.15">
      <c r="A89" s="1"/>
      <c r="B89" s="259"/>
      <c r="C89" s="260"/>
      <c r="D89" s="260"/>
      <c r="E89" s="260"/>
      <c r="F89" s="260"/>
      <c r="G89" s="260"/>
      <c r="H89" s="260"/>
      <c r="I89" s="261"/>
    </row>
    <row r="90" spans="1:9" ht="18.75" customHeight="1" x14ac:dyDescent="0.15">
      <c r="A90" s="4"/>
      <c r="B90" s="259"/>
      <c r="C90" s="260"/>
      <c r="D90" s="260"/>
      <c r="E90" s="260"/>
      <c r="F90" s="260"/>
      <c r="G90" s="260"/>
      <c r="H90" s="260"/>
      <c r="I90" s="261"/>
    </row>
    <row r="91" spans="1:9" ht="18.75" customHeight="1" x14ac:dyDescent="0.15">
      <c r="A91" s="4"/>
      <c r="B91" s="262"/>
      <c r="C91" s="263"/>
      <c r="D91" s="263"/>
      <c r="E91" s="263"/>
      <c r="F91" s="263"/>
      <c r="G91" s="263"/>
      <c r="H91" s="263"/>
      <c r="I91" s="264"/>
    </row>
    <row r="92" spans="1:9" ht="7.5" customHeight="1" x14ac:dyDescent="0.15">
      <c r="A92" s="4"/>
      <c r="B92" s="4"/>
      <c r="C92" s="4"/>
      <c r="D92" s="4"/>
      <c r="E92" s="4"/>
      <c r="F92" s="4"/>
      <c r="G92" s="4"/>
      <c r="H92" s="4"/>
      <c r="I92" s="4"/>
    </row>
    <row r="93" spans="1:9" ht="18.75" customHeight="1" x14ac:dyDescent="0.15">
      <c r="A93" s="1" t="s">
        <v>43</v>
      </c>
      <c r="B93" s="1" t="s">
        <v>12</v>
      </c>
    </row>
    <row r="94" spans="1:9" ht="18.75" customHeight="1" x14ac:dyDescent="0.15">
      <c r="A94" s="1"/>
      <c r="B94" s="212" t="s">
        <v>209</v>
      </c>
      <c r="C94" s="213"/>
      <c r="D94" s="213"/>
      <c r="E94" s="213"/>
      <c r="F94" s="213"/>
      <c r="G94" s="213"/>
      <c r="H94" s="213"/>
      <c r="I94" s="214"/>
    </row>
    <row r="95" spans="1:9" ht="18.75" customHeight="1" x14ac:dyDescent="0.15">
      <c r="A95" s="1"/>
      <c r="B95" s="215"/>
      <c r="C95" s="216"/>
      <c r="D95" s="216"/>
      <c r="E95" s="216"/>
      <c r="F95" s="216"/>
      <c r="G95" s="216"/>
      <c r="H95" s="216"/>
      <c r="I95" s="217"/>
    </row>
    <row r="96" spans="1:9" ht="18.75" customHeight="1" x14ac:dyDescent="0.15">
      <c r="A96" s="1"/>
      <c r="B96" s="215"/>
      <c r="C96" s="216"/>
      <c r="D96" s="216"/>
      <c r="E96" s="216"/>
      <c r="F96" s="216"/>
      <c r="G96" s="216"/>
      <c r="H96" s="216"/>
      <c r="I96" s="217"/>
    </row>
    <row r="97" spans="1:9" ht="18.75" customHeight="1" x14ac:dyDescent="0.15">
      <c r="A97" s="1"/>
      <c r="B97" s="215"/>
      <c r="C97" s="216"/>
      <c r="D97" s="216"/>
      <c r="E97" s="216"/>
      <c r="F97" s="216"/>
      <c r="G97" s="216"/>
      <c r="H97" s="216"/>
      <c r="I97" s="217"/>
    </row>
    <row r="98" spans="1:9" ht="18.75" customHeight="1" x14ac:dyDescent="0.15">
      <c r="A98" s="1"/>
      <c r="B98" s="215"/>
      <c r="C98" s="216"/>
      <c r="D98" s="216"/>
      <c r="E98" s="216"/>
      <c r="F98" s="216"/>
      <c r="G98" s="216"/>
      <c r="H98" s="216"/>
      <c r="I98" s="217"/>
    </row>
    <row r="99" spans="1:9" ht="18.75" customHeight="1" x14ac:dyDescent="0.15">
      <c r="A99" s="1"/>
      <c r="B99" s="215"/>
      <c r="C99" s="216"/>
      <c r="D99" s="216"/>
      <c r="E99" s="216"/>
      <c r="F99" s="216"/>
      <c r="G99" s="216"/>
      <c r="H99" s="216"/>
      <c r="I99" s="217"/>
    </row>
    <row r="100" spans="1:9" ht="18.75" customHeight="1" x14ac:dyDescent="0.15">
      <c r="A100" s="1"/>
      <c r="B100" s="215"/>
      <c r="C100" s="216"/>
      <c r="D100" s="216"/>
      <c r="E100" s="216"/>
      <c r="F100" s="216"/>
      <c r="G100" s="216"/>
      <c r="H100" s="216"/>
      <c r="I100" s="217"/>
    </row>
    <row r="101" spans="1:9" ht="18.75" customHeight="1" x14ac:dyDescent="0.15">
      <c r="A101" s="1"/>
      <c r="B101" s="215"/>
      <c r="C101" s="216"/>
      <c r="D101" s="216"/>
      <c r="E101" s="216"/>
      <c r="F101" s="216"/>
      <c r="G101" s="216"/>
      <c r="H101" s="216"/>
      <c r="I101" s="217"/>
    </row>
    <row r="102" spans="1:9" ht="18.75" customHeight="1" x14ac:dyDescent="0.15">
      <c r="A102" s="1"/>
      <c r="B102" s="215"/>
      <c r="C102" s="216"/>
      <c r="D102" s="216"/>
      <c r="E102" s="216"/>
      <c r="F102" s="216"/>
      <c r="G102" s="216"/>
      <c r="H102" s="216"/>
      <c r="I102" s="217"/>
    </row>
    <row r="103" spans="1:9" ht="18.75" customHeight="1" x14ac:dyDescent="0.15">
      <c r="A103" s="1"/>
      <c r="B103" s="215"/>
      <c r="C103" s="216"/>
      <c r="D103" s="216"/>
      <c r="E103" s="216"/>
      <c r="F103" s="216"/>
      <c r="G103" s="216"/>
      <c r="H103" s="216"/>
      <c r="I103" s="217"/>
    </row>
    <row r="104" spans="1:9" ht="18.75" customHeight="1" x14ac:dyDescent="0.15">
      <c r="A104" s="1"/>
      <c r="B104" s="215"/>
      <c r="C104" s="216"/>
      <c r="D104" s="216"/>
      <c r="E104" s="216"/>
      <c r="F104" s="216"/>
      <c r="G104" s="216"/>
      <c r="H104" s="216"/>
      <c r="I104" s="217"/>
    </row>
    <row r="105" spans="1:9" ht="18.75" customHeight="1" x14ac:dyDescent="0.15">
      <c r="A105" s="4"/>
      <c r="B105" s="218"/>
      <c r="C105" s="219"/>
      <c r="D105" s="219"/>
      <c r="E105" s="219"/>
      <c r="F105" s="219"/>
      <c r="G105" s="219"/>
      <c r="H105" s="219"/>
      <c r="I105" s="220"/>
    </row>
    <row r="106" spans="1:9" ht="7.5" customHeight="1" x14ac:dyDescent="0.15">
      <c r="A106" s="4"/>
      <c r="B106" s="4"/>
      <c r="C106" s="4"/>
      <c r="D106" s="4"/>
      <c r="E106" s="4"/>
      <c r="F106" s="4"/>
      <c r="G106" s="4"/>
      <c r="H106" s="4"/>
      <c r="I106" s="4"/>
    </row>
    <row r="107" spans="1:9" ht="18.75" customHeight="1" x14ac:dyDescent="0.15">
      <c r="A107" s="1" t="s">
        <v>29</v>
      </c>
      <c r="B107" s="221" t="s">
        <v>45</v>
      </c>
      <c r="C107" s="221"/>
      <c r="D107" s="221"/>
      <c r="E107" s="221"/>
      <c r="F107" s="221"/>
      <c r="G107" s="221"/>
      <c r="H107" s="221"/>
      <c r="I107" s="221"/>
    </row>
    <row r="108" spans="1:9" ht="18.75" customHeight="1" x14ac:dyDescent="0.15">
      <c r="A108" s="4"/>
      <c r="B108" s="212" t="s">
        <v>222</v>
      </c>
      <c r="C108" s="213"/>
      <c r="D108" s="213"/>
      <c r="E108" s="213"/>
      <c r="F108" s="213"/>
      <c r="G108" s="213"/>
      <c r="H108" s="213"/>
      <c r="I108" s="214"/>
    </row>
    <row r="109" spans="1:9" ht="18.75" customHeight="1" x14ac:dyDescent="0.15">
      <c r="A109" s="4"/>
      <c r="B109" s="215"/>
      <c r="C109" s="216"/>
      <c r="D109" s="216"/>
      <c r="E109" s="216"/>
      <c r="F109" s="216"/>
      <c r="G109" s="216"/>
      <c r="H109" s="216"/>
      <c r="I109" s="217"/>
    </row>
    <row r="110" spans="1:9" ht="18.75" customHeight="1" x14ac:dyDescent="0.15">
      <c r="A110" s="4"/>
      <c r="B110" s="215"/>
      <c r="C110" s="216"/>
      <c r="D110" s="216"/>
      <c r="E110" s="216"/>
      <c r="F110" s="216"/>
      <c r="G110" s="216"/>
      <c r="H110" s="216"/>
      <c r="I110" s="217"/>
    </row>
    <row r="111" spans="1:9" ht="18.75" customHeight="1" x14ac:dyDescent="0.15">
      <c r="A111" s="4"/>
      <c r="B111" s="215"/>
      <c r="C111" s="216"/>
      <c r="D111" s="216"/>
      <c r="E111" s="216"/>
      <c r="F111" s="216"/>
      <c r="G111" s="216"/>
      <c r="H111" s="216"/>
      <c r="I111" s="217"/>
    </row>
    <row r="112" spans="1:9" ht="18.75" customHeight="1" x14ac:dyDescent="0.15">
      <c r="A112" s="4"/>
      <c r="B112" s="215"/>
      <c r="C112" s="216"/>
      <c r="D112" s="216"/>
      <c r="E112" s="216"/>
      <c r="F112" s="216"/>
      <c r="G112" s="216"/>
      <c r="H112" s="216"/>
      <c r="I112" s="217"/>
    </row>
    <row r="113" spans="1:9" ht="18.75" customHeight="1" x14ac:dyDescent="0.15">
      <c r="A113" s="4"/>
      <c r="B113" s="215"/>
      <c r="C113" s="216"/>
      <c r="D113" s="216"/>
      <c r="E113" s="216"/>
      <c r="F113" s="216"/>
      <c r="G113" s="216"/>
      <c r="H113" s="216"/>
      <c r="I113" s="217"/>
    </row>
    <row r="114" spans="1:9" ht="18.75" customHeight="1" x14ac:dyDescent="0.15">
      <c r="A114" s="4"/>
      <c r="B114" s="215"/>
      <c r="C114" s="216"/>
      <c r="D114" s="216"/>
      <c r="E114" s="216"/>
      <c r="F114" s="216"/>
      <c r="G114" s="216"/>
      <c r="H114" s="216"/>
      <c r="I114" s="217"/>
    </row>
    <row r="115" spans="1:9" ht="18.75" customHeight="1" x14ac:dyDescent="0.15">
      <c r="A115" s="4"/>
      <c r="B115" s="215"/>
      <c r="C115" s="216"/>
      <c r="D115" s="216"/>
      <c r="E115" s="216"/>
      <c r="F115" s="216"/>
      <c r="G115" s="216"/>
      <c r="H115" s="216"/>
      <c r="I115" s="217"/>
    </row>
    <row r="116" spans="1:9" ht="18.75" customHeight="1" x14ac:dyDescent="0.15">
      <c r="A116" s="4"/>
      <c r="B116" s="215"/>
      <c r="C116" s="216"/>
      <c r="D116" s="216"/>
      <c r="E116" s="216"/>
      <c r="F116" s="216"/>
      <c r="G116" s="216"/>
      <c r="H116" s="216"/>
      <c r="I116" s="217"/>
    </row>
    <row r="117" spans="1:9" ht="18.75" customHeight="1" x14ac:dyDescent="0.15">
      <c r="A117" s="4"/>
      <c r="B117" s="215"/>
      <c r="C117" s="216"/>
      <c r="D117" s="216"/>
      <c r="E117" s="216"/>
      <c r="F117" s="216"/>
      <c r="G117" s="216"/>
      <c r="H117" s="216"/>
      <c r="I117" s="217"/>
    </row>
    <row r="118" spans="1:9" ht="18.75" customHeight="1" x14ac:dyDescent="0.15">
      <c r="A118" s="4"/>
      <c r="B118" s="215"/>
      <c r="C118" s="216"/>
      <c r="D118" s="216"/>
      <c r="E118" s="216"/>
      <c r="F118" s="216"/>
      <c r="G118" s="216"/>
      <c r="H118" s="216"/>
      <c r="I118" s="217"/>
    </row>
    <row r="119" spans="1:9" ht="18.75" customHeight="1" x14ac:dyDescent="0.15">
      <c r="A119" s="4"/>
      <c r="B119" s="218"/>
      <c r="C119" s="219"/>
      <c r="D119" s="219"/>
      <c r="E119" s="219"/>
      <c r="F119" s="219"/>
      <c r="G119" s="219"/>
      <c r="H119" s="219"/>
      <c r="I119" s="220"/>
    </row>
    <row r="120" spans="1:9" ht="7.5" customHeight="1" x14ac:dyDescent="0.15">
      <c r="A120" s="4"/>
      <c r="B120" s="46"/>
      <c r="C120" s="46"/>
      <c r="D120" s="46"/>
      <c r="E120" s="46"/>
      <c r="F120" s="46"/>
      <c r="G120" s="46"/>
      <c r="H120" s="46"/>
      <c r="I120" s="46"/>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7"/>
      <c r="B134" s="47"/>
      <c r="C134" s="47"/>
      <c r="D134" s="47"/>
      <c r="E134" s="47"/>
      <c r="F134" s="47"/>
      <c r="G134" s="47"/>
      <c r="H134" s="47"/>
      <c r="I134" s="47"/>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85" zoomScaleNormal="100" zoomScaleSheetLayoutView="85" workbookViewId="0">
      <selection activeCell="E22" sqref="E22:I22"/>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70</v>
      </c>
      <c r="I1" s="34" t="s">
        <v>104</v>
      </c>
    </row>
    <row r="2" spans="1:9" ht="18.75" customHeight="1" x14ac:dyDescent="0.15">
      <c r="H2" s="34" t="s">
        <v>108</v>
      </c>
      <c r="I2" s="33" t="str">
        <f>'様式１-2　プログラムを構成する授業科目'!C2</f>
        <v>岩手医科大学</v>
      </c>
    </row>
    <row r="3" spans="1:9" ht="18.75" customHeight="1" x14ac:dyDescent="0.15">
      <c r="A3" s="169" t="s">
        <v>27</v>
      </c>
      <c r="B3" s="169"/>
      <c r="C3" s="169"/>
      <c r="D3" s="169"/>
      <c r="E3" s="169"/>
      <c r="F3" s="169"/>
      <c r="G3" s="169"/>
      <c r="H3" s="169"/>
      <c r="I3" s="169"/>
    </row>
    <row r="4" spans="1:9" ht="18.75" customHeight="1" x14ac:dyDescent="0.15">
      <c r="A4" s="5"/>
      <c r="B4" s="5"/>
      <c r="C4" s="5"/>
      <c r="D4" s="5"/>
      <c r="E4" s="5"/>
      <c r="F4" s="5"/>
      <c r="G4" s="5"/>
      <c r="H4" s="5"/>
      <c r="I4" s="5"/>
    </row>
    <row r="5" spans="1:9" ht="18.75" customHeight="1" x14ac:dyDescent="0.15">
      <c r="A5" s="1" t="s">
        <v>0</v>
      </c>
      <c r="B5" s="10" t="s">
        <v>94</v>
      </c>
      <c r="C5" s="5"/>
      <c r="D5" s="5"/>
      <c r="E5" s="5"/>
      <c r="F5" s="5"/>
      <c r="G5" s="5"/>
      <c r="H5" s="5"/>
      <c r="I5" s="5"/>
    </row>
    <row r="6" spans="1:9" ht="26.25" customHeight="1" x14ac:dyDescent="0.15">
      <c r="A6" s="5"/>
      <c r="B6" s="239" t="s">
        <v>186</v>
      </c>
      <c r="C6" s="240"/>
      <c r="D6" s="240"/>
      <c r="E6" s="240"/>
      <c r="F6" s="240"/>
      <c r="G6" s="240"/>
      <c r="H6" s="240"/>
      <c r="I6" s="241"/>
    </row>
    <row r="7" spans="1:9" ht="9" customHeight="1" x14ac:dyDescent="0.15">
      <c r="A7" s="5"/>
      <c r="B7" s="10"/>
      <c r="C7" s="10"/>
      <c r="D7" s="10"/>
      <c r="E7" s="10"/>
      <c r="F7" s="10"/>
      <c r="G7" s="10"/>
      <c r="H7" s="10"/>
      <c r="I7" s="3"/>
    </row>
    <row r="8" spans="1:9" ht="18.75" customHeight="1" x14ac:dyDescent="0.15">
      <c r="A8" s="5"/>
      <c r="B8" s="3"/>
      <c r="C8" s="3"/>
      <c r="D8" s="34" t="s">
        <v>42</v>
      </c>
      <c r="E8" s="93" t="s">
        <v>184</v>
      </c>
      <c r="F8" s="3"/>
      <c r="G8" s="34" t="s">
        <v>10</v>
      </c>
      <c r="H8" s="93" t="s">
        <v>185</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144" t="s">
        <v>23</v>
      </c>
      <c r="C11" s="125"/>
      <c r="D11" s="126"/>
      <c r="E11" s="125" t="s">
        <v>25</v>
      </c>
      <c r="F11" s="125"/>
      <c r="G11" s="125"/>
      <c r="H11" s="125"/>
      <c r="I11" s="126"/>
    </row>
    <row r="12" spans="1:9" ht="26.25" customHeight="1" x14ac:dyDescent="0.15">
      <c r="B12" s="48" t="s">
        <v>13</v>
      </c>
      <c r="C12" s="55"/>
      <c r="D12" s="49"/>
      <c r="E12" s="56"/>
      <c r="F12" s="56"/>
      <c r="G12" s="56"/>
      <c r="H12" s="56"/>
      <c r="I12" s="49"/>
    </row>
    <row r="13" spans="1:9" ht="210.75" customHeight="1" x14ac:dyDescent="0.15">
      <c r="B13" s="50"/>
      <c r="C13" s="280" t="s">
        <v>14</v>
      </c>
      <c r="D13" s="281"/>
      <c r="E13" s="282" t="s">
        <v>223</v>
      </c>
      <c r="F13" s="283"/>
      <c r="G13" s="283"/>
      <c r="H13" s="283"/>
      <c r="I13" s="284"/>
    </row>
    <row r="14" spans="1:9" ht="210.75" customHeight="1" x14ac:dyDescent="0.15">
      <c r="B14" s="50"/>
      <c r="C14" s="275" t="s">
        <v>15</v>
      </c>
      <c r="D14" s="276"/>
      <c r="E14" s="277" t="s">
        <v>204</v>
      </c>
      <c r="F14" s="278"/>
      <c r="G14" s="278"/>
      <c r="H14" s="278"/>
      <c r="I14" s="279"/>
    </row>
    <row r="15" spans="1:9" ht="210.75" customHeight="1" x14ac:dyDescent="0.15">
      <c r="B15" s="50"/>
      <c r="C15" s="280" t="s">
        <v>16</v>
      </c>
      <c r="D15" s="281"/>
      <c r="E15" s="277" t="s">
        <v>205</v>
      </c>
      <c r="F15" s="278"/>
      <c r="G15" s="278"/>
      <c r="H15" s="278"/>
      <c r="I15" s="279"/>
    </row>
    <row r="16" spans="1:9" ht="210.75" customHeight="1" x14ac:dyDescent="0.15">
      <c r="B16" s="50"/>
      <c r="C16" s="280" t="s">
        <v>17</v>
      </c>
      <c r="D16" s="281"/>
      <c r="E16" s="277" t="s">
        <v>215</v>
      </c>
      <c r="F16" s="278"/>
      <c r="G16" s="278"/>
      <c r="H16" s="278"/>
      <c r="I16" s="279"/>
    </row>
    <row r="17" spans="2:9" ht="210.75" customHeight="1" x14ac:dyDescent="0.15">
      <c r="B17" s="51"/>
      <c r="C17" s="285" t="s">
        <v>18</v>
      </c>
      <c r="D17" s="286"/>
      <c r="E17" s="287" t="s">
        <v>187</v>
      </c>
      <c r="F17" s="288"/>
      <c r="G17" s="288"/>
      <c r="H17" s="288"/>
      <c r="I17" s="289"/>
    </row>
    <row r="18" spans="2:9" ht="24" customHeight="1" x14ac:dyDescent="0.15">
      <c r="B18" s="48" t="s">
        <v>19</v>
      </c>
      <c r="C18" s="52"/>
      <c r="D18" s="53"/>
      <c r="E18" s="54"/>
      <c r="F18" s="54"/>
      <c r="G18" s="54"/>
      <c r="H18" s="54"/>
      <c r="I18" s="57"/>
    </row>
    <row r="19" spans="2:9" ht="218.25" customHeight="1" x14ac:dyDescent="0.15">
      <c r="B19" s="50"/>
      <c r="C19" s="280" t="s">
        <v>20</v>
      </c>
      <c r="D19" s="281"/>
      <c r="E19" s="278" t="s">
        <v>221</v>
      </c>
      <c r="F19" s="278"/>
      <c r="G19" s="278"/>
      <c r="H19" s="278"/>
      <c r="I19" s="279"/>
    </row>
    <row r="20" spans="2:9" ht="218.25" customHeight="1" x14ac:dyDescent="0.15">
      <c r="B20" s="51"/>
      <c r="C20" s="285" t="s">
        <v>21</v>
      </c>
      <c r="D20" s="286"/>
      <c r="E20" s="295" t="s">
        <v>224</v>
      </c>
      <c r="F20" s="295"/>
      <c r="G20" s="295"/>
      <c r="H20" s="295"/>
      <c r="I20" s="296"/>
    </row>
    <row r="21" spans="2:9" ht="218.25" customHeight="1" x14ac:dyDescent="0.15">
      <c r="B21" s="297" t="s">
        <v>22</v>
      </c>
      <c r="C21" s="298"/>
      <c r="D21" s="299"/>
      <c r="E21" s="300" t="s">
        <v>225</v>
      </c>
      <c r="F21" s="300"/>
      <c r="G21" s="300"/>
      <c r="H21" s="300"/>
      <c r="I21" s="301"/>
    </row>
    <row r="22" spans="2:9" ht="218.25" customHeight="1" x14ac:dyDescent="0.15">
      <c r="B22" s="290" t="s">
        <v>37</v>
      </c>
      <c r="C22" s="291"/>
      <c r="D22" s="292"/>
      <c r="E22" s="293" t="s">
        <v>220</v>
      </c>
      <c r="F22" s="293"/>
      <c r="G22" s="293"/>
      <c r="H22" s="293"/>
      <c r="I22" s="294"/>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I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8</vt:i4>
      </vt:variant>
    </vt:vector>
  </HeadingPairs>
  <TitlesOfParts>
    <vt:vector size="15" baseType="lpstr">
      <vt:lpstr>様式１-1　プログラムを構成する授業科目</vt:lpstr>
      <vt:lpstr>様式１-2　プログラムを構成する授業科目</vt:lpstr>
      <vt:lpstr>様式１-3　プログラムを構成する授業科目</vt:lpstr>
      <vt:lpstr>様式１-4　プログラムを構成する授業科目</vt:lpstr>
      <vt:lpstr>様式２ 履修者等数の実績</vt:lpstr>
      <vt:lpstr>様式３ 教育の質・履修者数を向上させるための体制・計画</vt:lpstr>
      <vt:lpstr>様式４　自己点検・評価</vt:lpstr>
      <vt:lpstr>'様式１-1　プログラムを構成する授業科目'!Print_Area</vt:lpstr>
      <vt:lpstr>'様式１-2　プログラムを構成する授業科目'!Print_Area</vt:lpstr>
      <vt:lpstr>'様式１-3　プログラムを構成する授業科目'!Print_Area</vt:lpstr>
      <vt:lpstr>'様式１-4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jimu</cp:lastModifiedBy>
  <cp:lastPrinted>2023-05-08T02:43:43Z</cp:lastPrinted>
  <dcterms:created xsi:type="dcterms:W3CDTF">2011-06-14T05:32:50Z</dcterms:created>
  <dcterms:modified xsi:type="dcterms:W3CDTF">2023-05-12T05:01:31Z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