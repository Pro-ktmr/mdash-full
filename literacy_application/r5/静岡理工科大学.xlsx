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10.2.10.201\大学事務\gakumu\(認定校)数理・データサイエンス・AI教育プログラム認定制度\★提出書類★\"/>
    </mc:Choice>
  </mc:AlternateContent>
  <xr:revisionPtr revIDLastSave="0" documentId="13_ncr:1_{ECB9BEA6-A1D9-47F8-9C1D-F65C054015B0}" xr6:coauthVersionLast="47" xr6:coauthVersionMax="47" xr10:uidLastSave="{00000000-0000-0000-0000-000000000000}"/>
  <bookViews>
    <workbookView xWindow="-120" yWindow="-120" windowWidth="28080" windowHeight="164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<sst xmlns="http://schemas.openxmlformats.org/spreadsheetml/2006/main" count="305" uniqueCount="178">
  <si>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</si>
  <si>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</si>
  <si>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</si>
  <si>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</si>
  <si>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</si>
  <si>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</si>
  <si>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</si>
  <si>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</si>
  <si>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</si>
  <si>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</si>
  <si>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</si>
  <si>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</si>
  <si>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</si>
  <si>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</si>
  <si>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</si>
  <si>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</si>
  <si>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</si>
  <si>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</si>
  <si>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</si>
  <si>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</si>
  <si>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</si>
  <si>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</si>
  <si>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</si>
  <si>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</si>
  <si>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</si>
  <si>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</si>
  <si>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</si>
  <si>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</si>
  <si>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</si>
  <si>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</si>
  <si>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</si>
  <si>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</si>
  <si>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</si>
  <si>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</si>
  <si>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</si>
  <si>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</si>
  <si>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</si>
  <si>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</si>
  <si>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</si>
  <si>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</si>
  <si>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</si>
  <si>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</si>
  <si>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</si>
  <si>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</si>
  <si>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</si>
  <si>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</si>
  <si>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</si>
  <si>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</si>
  <si>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</si>
  <si>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</si>
  <si>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</si>
  <si>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</si>
  <si>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</si>
  <si>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</si>
  <si>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</si>
  <si>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</si>
  <si>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</si>
  <si>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</si>
  <si>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</si>
  <si>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</si>
  <si>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</si>
  <si>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</si>
  <si>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</si>
  <si>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</si>
  <si>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</si>
  <si>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</si>
  <si>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</si>
  <si>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</si>
  <si>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</si>
  <si>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</si>
  <si>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</si>
  <si>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</si>
  <si>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</si>
  <si>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</si>
  <si>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</si>
  <si>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</si>
  <si>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</si>
  <si>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</si>
  <si>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</si>
  <si>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</si>
  <si>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</si>
  <si>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</si>
  <si>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</si>
  <si>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</si>
  <si>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</si>
  <si>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</si>
  <si>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</si>
  <si>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</si>
  <si>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</si>
  <si>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</si>
  <si>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</si>
  <si>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</si>
  <si>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</si>
  <si>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</si>
  <si>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</si>
  <si>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</si>
  <si>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</si>
  <si>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</si>
  <si>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</si>
  <si>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</si>
  <si>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</si>
  <si>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</si>
  <si>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</si>
  <si>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</si>
  <si>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</si>
  <si>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</si>
  <si>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</si>
  <si>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</si>
  <si>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</si>
  <si>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</si>
  <si>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</si>
  <si>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</si>
  <si>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</si>
  <si>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</si>
  <si>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</si>
  <si>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</si>
  <si>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</si>
  <si>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</si>
  <si>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</si>
  <si>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</si>
  <si>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</si>
  <si>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</si>
  <si>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</si>
  <si>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</si>
  <si>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</si>
  <si>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</si>
  <si>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</si>
  <si>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静岡理工科大学</t>
    <phoneticPr fontId="1"/>
  </si>
  <si>
    <t>数理・データサイエンス・AI教育プログラム</t>
    <phoneticPr fontId="1"/>
  </si>
  <si>
    <t>学部・学科によって、修了要件は相違しない</t>
  </si>
  <si>
    <t>全学部・全学科で開講されている科目「データサイエンス概論」２単位を取得すること。</t>
    <phoneticPr fontId="1"/>
  </si>
  <si>
    <t>データサイエンス概論</t>
    <phoneticPr fontId="1"/>
  </si>
  <si>
    <t>理工学部</t>
    <rPh sb="0" eb="2">
      <t>リコウ</t>
    </rPh>
    <rPh sb="2" eb="4">
      <t>ガクブ</t>
    </rPh>
    <phoneticPr fontId="1"/>
  </si>
  <si>
    <t>情報学部</t>
    <rPh sb="0" eb="4">
      <t>ジョウホウガクブ</t>
    </rPh>
    <phoneticPr fontId="1"/>
  </si>
  <si>
    <t>教育統括</t>
    <phoneticPr fontId="1"/>
  </si>
  <si>
    <t>情報教育研究センター</t>
    <phoneticPr fontId="1"/>
  </si>
  <si>
    <t>センター長</t>
    <rPh sb="4" eb="5">
      <t>チョウ</t>
    </rPh>
    <phoneticPr fontId="1"/>
  </si>
  <si>
    <t>教育部会</t>
    <rPh sb="0" eb="4">
      <t>キョウイクブカイ</t>
    </rPh>
    <phoneticPr fontId="1"/>
  </si>
  <si>
    <t>部会長</t>
    <rPh sb="0" eb="3">
      <t>ブカイチョウ</t>
    </rPh>
    <phoneticPr fontId="1"/>
  </si>
  <si>
    <t>本教育プログラムの科目「データサイエンス概論」は2022年度前期に初開講され、履修状況・修得状況は様式2記載の通り。
理工学部・・・履修者数96名、修了者数73名
情報学部・・・履修者数96名、修了者数77名</t>
    <phoneticPr fontId="1"/>
  </si>
  <si>
    <t>本教育プログラムの科目「データサイエンス概論」において、受講者全員に対して授業改善学生アンケートを実施して、学生の理解度を教育部会において分析している。</t>
    <phoneticPr fontId="1"/>
  </si>
  <si>
    <t>授業改善学生アンケートの自由記述欄の回答内容をピックアップし、「学生の生の声」として教育プログラムのホームページや次年度のガイダンスなどで紹介し、後輩学生や他の学生への推奨に活かす予定。</t>
    <phoneticPr fontId="1"/>
  </si>
  <si>
    <t>目標を達成するために、前期履修ガイダンス等の機会を利用してすべての学生に対して周知し、SNSでの周知や、本学Webサイトに本プログラムのページを設置して関連情報を掲載し在学生が情報を得やすい環境の整備に取り組んでいる。また、教務委員会や教授会において、本学における当プログラムの重要性を説明し、教職員の意識付けを行うことで前述の周知取組みを全学体制で行っている。
引き続き履修者数、履修率向上に向けた取り組みを行っていく。</t>
    <phoneticPr fontId="1"/>
  </si>
  <si>
    <t>まだ修了者の多くが在学中であり、進路は決定していないが、修了者の中には、情報関連分野の企業への就職を志望する学生も出てきている。情報関連分野以外の民間企業や公務員志望の学生においても本教育プログラムで学んだ知識を活かせると考えているようである。</t>
    <phoneticPr fontId="1"/>
  </si>
  <si>
    <t>第11～12回目の授業時に、大手建設会社と静岡県の土木行政における第1人者を特別講師として招聘し、企業や行政におけるデータサイエンスの利活用について実際のケースを交えて講義を実施している。
講師打ち合わせの際、当該教育プログラムの内容や実施方法について意見交換を行っており、収集した意見を情報教育研究センターへ提供し、プログラムの改善に活用していく予定。</t>
    <phoneticPr fontId="1"/>
  </si>
  <si>
    <t>第1回目の授業時に「データの利活用を中心としたデータサイエンスを学ぶ意義」について説明している。また、第5～14回にかけて各学科の専門性に沿った事例紹介を行うことで学生の興味関心を喚起している。</t>
    <phoneticPr fontId="1"/>
  </si>
  <si>
    <t>○</t>
  </si>
  <si>
    <t>データサイエンス概論</t>
    <phoneticPr fontId="1"/>
  </si>
  <si>
    <t>データサイエンス概論</t>
    <rPh sb="8" eb="10">
      <t>ガイロン</t>
    </rPh>
    <phoneticPr fontId="1"/>
  </si>
  <si>
    <t>4-1統計および数理基礎</t>
  </si>
  <si>
    <t>4‐3データ構造とプログラミング基礎</t>
  </si>
  <si>
    <t>4‐4時系列データ解析</t>
  </si>
  <si>
    <t>4‐6画像解析</t>
  </si>
  <si>
    <t>a) データサイエンスの基礎について理解できる
b) 数理的・論理的な思考について理解できる
c) 確率・統計の基礎について理解できる
d) データから客観的な情報を読み取れる
e) データから数理的・論理的に分析できる</t>
    <phoneticPr fontId="1"/>
  </si>
  <si>
    <t>Ⅱ類(学部共通専門基礎科目)は教育部会が主導し全学体制で実施しており、本プログラム修了のために必要な科目である「データサイエンス概論」は、学部・学科関係なく、希望する学生全員が受講可能である。また、オンライン(オンデマンド型)授業とすることで、対面授業の履修科目との重複を避けることができる。また、「データサイエンス概論」の講義内容において、各学科(全学科)の分野、学修内容に則したデータの利活用や取扱い、有用性などを1～2コマずつ設定しており、どの学科からも敷居の低いものとし、専門科目の学修に繋げるようにしている。</t>
    <phoneticPr fontId="1"/>
  </si>
  <si>
    <t>・前期ガイダンスにおいて、すべての学生に対して周知している。また、SNSでの周知や、本学Webサイトに本プログラムのページを設置して関連情報を掲載し在学生が情報を得やすい環境の整備に取り組んでいる。また、教務委員会や教授会において、本学における当プログラムの重要性を説明し、教職員の意識付けを行うことで前述の周知取組みを全学体制で行っている。</t>
    <phoneticPr fontId="1"/>
  </si>
  <si>
    <t xml:space="preserve">静岡理工科大学情報教育研究センター規程 </t>
    <phoneticPr fontId="1"/>
  </si>
  <si>
    <t>大学全体のITインフラ（ネットワーク、ソフトウェア、ハードウェア）の統括、情報収集及び管理運用を担い、教育並びに研究のための円滑かつ効果的な利用を推進することを目的とした上で、「情報教育に関する人材育成の推進」業務として数理・データサイエンス・AI教育プログラムに関して、プログラムの推進、点検・評価、改善・進化に関することを検討・実施していく。</t>
    <rPh sb="0" eb="2">
      <t>ダイガク</t>
    </rPh>
    <rPh sb="89" eb="93">
      <t>ジョウホウキョウイク</t>
    </rPh>
    <rPh sb="94" eb="95">
      <t>カン</t>
    </rPh>
    <rPh sb="97" eb="101">
      <t>ジンザイイクセイ</t>
    </rPh>
    <rPh sb="102" eb="104">
      <t>スイシン</t>
    </rPh>
    <rPh sb="105" eb="107">
      <t>ギョウム</t>
    </rPh>
    <phoneticPr fontId="1"/>
  </si>
  <si>
    <t>目標を達成するために、前期始めの履修ガイダンス等の機会やwebサイト等を利用して周知を行う。さらに、授業時間内外での学習指導、質問を受け付ける仕組みや教育上の工夫、学生指導・支援等の学修サポートを情報教育研究センター及び学務課にて実施し、学生のプログラム履修を促進している。履修の重複の回避や様々な学科の専門性に促した授業内容とすることで学生の履修を促進する。また、学生への授業改善学生アンケートを等を継続的に実施し、授業内容・方法の改善を図り、学生の履修を促進する。</t>
    <rPh sb="11" eb="14">
      <t>ゼンキハジ</t>
    </rPh>
    <rPh sb="16" eb="18">
      <t>リシュウ</t>
    </rPh>
    <rPh sb="34" eb="35">
      <t>ナド</t>
    </rPh>
    <rPh sb="137" eb="139">
      <t>リシュウ</t>
    </rPh>
    <rPh sb="140" eb="142">
      <t>チョウフク</t>
    </rPh>
    <rPh sb="143" eb="145">
      <t>カイヒ</t>
    </rPh>
    <rPh sb="146" eb="148">
      <t>サマザマ</t>
    </rPh>
    <rPh sb="149" eb="151">
      <t>ガッカ</t>
    </rPh>
    <rPh sb="152" eb="155">
      <t>センモンセイ</t>
    </rPh>
    <rPh sb="159" eb="163">
      <t>ジュギョウナイヨウ</t>
    </rPh>
    <rPh sb="169" eb="171">
      <t>ガクセイ</t>
    </rPh>
    <rPh sb="172" eb="174">
      <t>リシュウ</t>
    </rPh>
    <rPh sb="175" eb="177">
      <t>ソクシン</t>
    </rPh>
    <phoneticPr fontId="1"/>
  </si>
  <si>
    <t>・本教育プログラムの授業「データサイエンス概論」について、LMSであるActiveAcademyAdvanceをMicrosoft one drive上にアーカイブを蓄積し、履修者がいつでも講義の閲覧が可能な環境を構築している。また、毎回の授業内容に関する小テストを実施しているが、実施可能な期間を動画配信後1週間に限定することにより、学習を先延ばししないようにしている。</t>
    <phoneticPr fontId="1"/>
  </si>
  <si>
    <t>履修者は電子メール(全学生と全教職員は大学メールアドレスを所有)及び授業後の課題レポート提出用フォームやオフィスアワーの活用によって授業内容についての不明点などを質問し、できるだけすみやかに授業担当教員からの回答を確認できるような体制を構築している。</t>
    <rPh sb="60" eb="62">
      <t>カツヨウ</t>
    </rPh>
    <phoneticPr fontId="1"/>
  </si>
  <si>
    <t>教育部会において、科目ごとの成績評価分布状況を分析し、授業内容の学生の理解度を把握する。また、LMSその結果を情報教育研究センターと共有し、本教育プログラムの評価・改善に活用している。</t>
    <phoneticPr fontId="1"/>
  </si>
  <si>
    <t>モデルカリキュラムとの照合、学生アンケート、産業界からの意見、プログラム担当教員間の意見交換などから、内容・水準を維持・向上させるとともに、学生の「分かりやすさ」の観点を重要視し、授業内容・実施方法等の見直しを検討している。</t>
    <rPh sb="11" eb="13">
      <t>ショウゴウ</t>
    </rPh>
    <rPh sb="51" eb="53">
      <t>ナイヨウ</t>
    </rPh>
    <rPh sb="54" eb="56">
      <t>スイジュン</t>
    </rPh>
    <rPh sb="57" eb="59">
      <t>イジ</t>
    </rPh>
    <rPh sb="60" eb="62">
      <t>コウジョウ</t>
    </rPh>
    <phoneticPr fontId="1"/>
  </si>
  <si>
    <t>石田　隆弘</t>
    <rPh sb="0" eb="2">
      <t>イシダ</t>
    </rPh>
    <rPh sb="3" eb="5">
      <t>タカヒロ</t>
    </rPh>
    <phoneticPr fontId="1"/>
  </si>
  <si>
    <t>水野　信也</t>
    <rPh sb="0" eb="2">
      <t>ミズノ</t>
    </rPh>
    <rPh sb="3" eb="5">
      <t>シンヤ</t>
    </rPh>
    <phoneticPr fontId="1"/>
  </si>
  <si>
    <t>情報教育研究センター長/情報学部　教授　水野 信也
情報教育研究副センター長/情報学部　准教授　高野 敏明
情報教育研究センター/情報学部　特任教授　富樫 敦
情報教育研究センター/情報学部　教授　櫻井 将人
情報教育研究センター/情報学部　講師　山岸 祐己
情報教育研究センター/課長　水野 善裕</t>
    <phoneticPr fontId="1"/>
  </si>
  <si>
    <t>令和4</t>
    <rPh sb="0" eb="2">
      <t>レイワ</t>
    </rPh>
    <phoneticPr fontId="1"/>
  </si>
  <si>
    <t>・AIなどを活用した新しいビジネスモデル：「データサイエンス概論」(11、12回目)
・AI最新技術の活用例：「データサイエンス概論」(2回目)</t>
    <rPh sb="6" eb="8">
      <t>カツヨウ</t>
    </rPh>
    <rPh sb="10" eb="11">
      <t>アタラ</t>
    </rPh>
    <rPh sb="46" eb="48">
      <t>サイシン</t>
    </rPh>
    <rPh sb="48" eb="50">
      <t>ギジュツ</t>
    </rPh>
    <rPh sb="51" eb="54">
      <t>カツヨウレイ</t>
    </rPh>
    <phoneticPr fontId="1"/>
  </si>
  <si>
    <t>・ビッグデータ、IoT、AI、ロボット：「データサイエンス概論」(1、5、6、7、8、9、10回目)
・データ量の増加、計算機の処理性能の向上、AIの非連続的進化：「データサイエンス概論」(1、2回目)
・第4次産業革命、Society 5.0、データ駆動型社会：「データサイエンス概論」(1回目)
・複数技術を組み込んだAIサービス：「データサイエンス概論」(2回目)
・データを起点としたものの見方，人間の知的活動を起点としたものの見方：「データサイエンス概論」(2回目)</t>
    <rPh sb="29" eb="31">
      <t>ガイロン</t>
    </rPh>
    <rPh sb="47" eb="49">
      <t>カイメ</t>
    </rPh>
    <rPh sb="55" eb="56">
      <t>リョウ</t>
    </rPh>
    <rPh sb="57" eb="59">
      <t>ゾウカ</t>
    </rPh>
    <rPh sb="60" eb="63">
      <t>ケイサンキ</t>
    </rPh>
    <rPh sb="64" eb="66">
      <t>ショリ</t>
    </rPh>
    <rPh sb="66" eb="68">
      <t>セイノウ</t>
    </rPh>
    <rPh sb="69" eb="71">
      <t>コウジョウ</t>
    </rPh>
    <rPh sb="75" eb="79">
      <t>ヒレンゾクテキ</t>
    </rPh>
    <rPh sb="79" eb="81">
      <t>シンカ</t>
    </rPh>
    <rPh sb="151" eb="155">
      <t>フクスウギジュツ</t>
    </rPh>
    <rPh sb="156" eb="157">
      <t>ク</t>
    </rPh>
    <rPh sb="158" eb="159">
      <t>コ</t>
    </rPh>
    <rPh sb="191" eb="193">
      <t>キテン</t>
    </rPh>
    <rPh sb="199" eb="201">
      <t>ミカタ</t>
    </rPh>
    <rPh sb="202" eb="204">
      <t>ニンゲン</t>
    </rPh>
    <rPh sb="205" eb="209">
      <t>チテキカツドウ</t>
    </rPh>
    <rPh sb="210" eb="212">
      <t>キテン</t>
    </rPh>
    <rPh sb="218" eb="220">
      <t>ミカタ</t>
    </rPh>
    <phoneticPr fontId="1"/>
  </si>
  <si>
    <t>・調査データ、実験データ、人の行動ログデータ、機械の稼働ログデータ：「データサイエンス概論」(5、6、7、8、9、10、13、14回目)
・1次データ、2次データ、データのメタ化：(5、6、7、8、9、10、13、14回目)
・データのオープン化：「データサイエンス概論」(11、12回目)</t>
    <rPh sb="1" eb="3">
      <t>チョウサ</t>
    </rPh>
    <rPh sb="7" eb="9">
      <t>ジッケン</t>
    </rPh>
    <rPh sb="13" eb="14">
      <t>ヒト</t>
    </rPh>
    <rPh sb="15" eb="17">
      <t>コウドウ</t>
    </rPh>
    <rPh sb="23" eb="25">
      <t>キカイ</t>
    </rPh>
    <rPh sb="26" eb="28">
      <t>カドウ</t>
    </rPh>
    <rPh sb="71" eb="72">
      <t>ジ</t>
    </rPh>
    <rPh sb="77" eb="78">
      <t>ジ</t>
    </rPh>
    <rPh sb="88" eb="89">
      <t>カ</t>
    </rPh>
    <rPh sb="121" eb="122">
      <t>カ</t>
    </rPh>
    <phoneticPr fontId="1"/>
  </si>
  <si>
    <t>・データ・AI活用領域の広がり：「データサイエンス概論」(1、2、5、6、7、8、9、10、11、12、13、14回目)
・研究開発、調達、製造、物流、販売、マーケティング、サービスなど：「データサイエンス概論」(5、6、7、8、9、10、13、14回目)</t>
    <rPh sb="7" eb="11">
      <t>カツヨウリョウイキ</t>
    </rPh>
    <rPh sb="12" eb="13">
      <t>ヒロ</t>
    </rPh>
    <rPh sb="62" eb="66">
      <t>ケンキュウカイハツ</t>
    </rPh>
    <rPh sb="67" eb="69">
      <t>チョウタツ</t>
    </rPh>
    <rPh sb="70" eb="72">
      <t>セイゾウ</t>
    </rPh>
    <rPh sb="73" eb="75">
      <t>ブツリュウ</t>
    </rPh>
    <rPh sb="76" eb="78">
      <t>ハンバイ</t>
    </rPh>
    <phoneticPr fontId="1"/>
  </si>
  <si>
    <t>・データ解析：「データサイエンス概論」(3、4回目)
・データ可視化：「データサイエンス概論」(3、4回目)
・特化型AIと汎用型AI、今のAIでできること、AIとビッグデータ：「データサイエンス概論」(2回目)</t>
    <rPh sb="4" eb="6">
      <t>カイセキ</t>
    </rPh>
    <rPh sb="31" eb="34">
      <t>カシカ</t>
    </rPh>
    <rPh sb="56" eb="59">
      <t>トッカガタ</t>
    </rPh>
    <rPh sb="62" eb="65">
      <t>ハンヨウガタ</t>
    </rPh>
    <rPh sb="68" eb="69">
      <t>イマ</t>
    </rPh>
    <rPh sb="98" eb="100">
      <t>ガイロン</t>
    </rPh>
    <rPh sb="103" eb="105">
      <t>カイメ</t>
    </rPh>
    <phoneticPr fontId="1"/>
  </si>
  <si>
    <t>・流通、製造、金融、サービス、インフラ、公共、ヘルスケア等におけるAI利活用事例：「データサイエンス概論」(2、5、6、7、8、9、10、13、14回目)</t>
    <rPh sb="1" eb="3">
      <t>リュウツウ</t>
    </rPh>
    <rPh sb="4" eb="6">
      <t>セイゾウ</t>
    </rPh>
    <rPh sb="7" eb="9">
      <t>キンユウ</t>
    </rPh>
    <rPh sb="20" eb="22">
      <t>コウキョウ</t>
    </rPh>
    <rPh sb="28" eb="29">
      <t>ナド</t>
    </rPh>
    <rPh sb="35" eb="40">
      <t>リカツヨウジレイ</t>
    </rPh>
    <phoneticPr fontId="1"/>
  </si>
  <si>
    <t>・ELSI：「データサイエンス概論」(15回目)
・個人情報保護、EU一般データ保護規則、忘れられる権利、オプトアウト：「データサイエンス概論」(15回目)
・データ倫理：「データサイエンス概論」(15回目)
・データバイアス、アルゴリズムバイアス：「データサイエンス概論」(15回目)</t>
    <rPh sb="26" eb="30">
      <t>コジンジョウホウ</t>
    </rPh>
    <rPh sb="30" eb="32">
      <t>ホゴ</t>
    </rPh>
    <rPh sb="35" eb="37">
      <t>イッパン</t>
    </rPh>
    <rPh sb="40" eb="44">
      <t>ホゴキソク</t>
    </rPh>
    <rPh sb="45" eb="46">
      <t>ワス</t>
    </rPh>
    <rPh sb="50" eb="52">
      <t>ケンリ</t>
    </rPh>
    <rPh sb="83" eb="85">
      <t>リンリ</t>
    </rPh>
    <phoneticPr fontId="1"/>
  </si>
  <si>
    <t>・情報セキュリティ：「データサイエンス概論」(15回目)
・匿名加工情報、暗号化、パスワード、悪意ある情報搾取：「データサイエンス概論」(15回目)</t>
    <rPh sb="1" eb="3">
      <t>ジョウホウ</t>
    </rPh>
    <rPh sb="30" eb="36">
      <t>トクメイカコウジョウホウ</t>
    </rPh>
    <rPh sb="37" eb="40">
      <t>アンゴウカ</t>
    </rPh>
    <rPh sb="47" eb="49">
      <t>アクイ</t>
    </rPh>
    <rPh sb="51" eb="55">
      <t>ジョウホウサクシュ</t>
    </rPh>
    <phoneticPr fontId="1"/>
  </si>
  <si>
    <t>・データの種類：「データサイエンス概論」(5、6、7、8、9、10、11、12、13、14回目)
・データの分布と代表値：「データサイエンス概論」(3、4回目)
・データのばらつき：「データサイエンス概論」(3、4回目)
・母集団と標本抽出：「データサイエンス概論」(3、4回目)
・統計情報の正しい理解：「データサイエンス概論」(3、4回目)</t>
    <rPh sb="5" eb="7">
      <t>シュルイ</t>
    </rPh>
    <rPh sb="45" eb="46">
      <t>カイ</t>
    </rPh>
    <rPh sb="54" eb="56">
      <t>ブンプ</t>
    </rPh>
    <rPh sb="57" eb="60">
      <t>ダイヒョウチ</t>
    </rPh>
    <rPh sb="112" eb="115">
      <t>ボシュウダン</t>
    </rPh>
    <rPh sb="116" eb="118">
      <t>ヒョウホン</t>
    </rPh>
    <rPh sb="118" eb="120">
      <t>チュウシュツ</t>
    </rPh>
    <rPh sb="142" eb="146">
      <t>トウケイジョウホウ</t>
    </rPh>
    <rPh sb="147" eb="148">
      <t>タダ</t>
    </rPh>
    <rPh sb="150" eb="152">
      <t>リカイ</t>
    </rPh>
    <phoneticPr fontId="1"/>
  </si>
  <si>
    <t>・データ表現：「データサイエンス概論」(5、6、7、8、9、10、11、12、13、14回目)
・データの図表表現：「データサイエンス概論」(5、6、7、8、9、10、11、12、13、14回目)
・データの比較：「データサイエンス概論」(5、6、7、8、9、10、11、12、13、14回目)
・優れた可視化事例の紹介：(5、6、7、8、9、10、11、12、13、14回目)</t>
    <rPh sb="4" eb="6">
      <t>ヒョウゲン</t>
    </rPh>
    <rPh sb="44" eb="45">
      <t>カイ</t>
    </rPh>
    <rPh sb="53" eb="57">
      <t>ズヒョウヒョウゲン</t>
    </rPh>
    <rPh sb="95" eb="96">
      <t>カイ</t>
    </rPh>
    <rPh sb="104" eb="106">
      <t>ヒカク</t>
    </rPh>
    <rPh sb="144" eb="145">
      <t>カイ</t>
    </rPh>
    <rPh sb="149" eb="150">
      <t>スグ</t>
    </rPh>
    <rPh sb="152" eb="155">
      <t>カシカ</t>
    </rPh>
    <rPh sb="155" eb="157">
      <t>ジレイ</t>
    </rPh>
    <rPh sb="158" eb="160">
      <t>ショウカイ</t>
    </rPh>
    <rPh sb="186" eb="187">
      <t>カイ</t>
    </rPh>
    <phoneticPr fontId="1"/>
  </si>
  <si>
    <t>・データの集計：「データサイエンス概論」(3、4回目)
・データの並び替え、ランキング：「データサイエンス概論」(3、4回目)</t>
    <rPh sb="5" eb="7">
      <t>シュウケイ</t>
    </rPh>
    <rPh sb="33" eb="34">
      <t>ナラ</t>
    </rPh>
    <rPh sb="35" eb="36">
      <t>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</si>
</sst>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0" xfId="2" applyFont="1" applyFill="1" applyBorder="1" applyAlignment="1">
      <alignment vertical="center" shrinkToFit="1"/>
    </xf>
    <xf numFmtId="38" fontId="2" fillId="0" borderId="23" xfId="2" applyFont="1" applyFill="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11" fillId="0" borderId="8" xfId="0" applyFont="1" applyFill="1" applyBorder="1" applyAlignment="1">
      <alignment horizontal="left" vertical="center" wrapText="1" shrinkToFit="1"/>
    </xf>
    <xf numFmtId="0" fontId="11" fillId="0" borderId="8" xfId="0" applyFont="1" applyFill="1" applyBorder="1" applyAlignment="1">
      <alignment horizontal="left" vertical="center" shrinkToFit="1"/>
    </xf>
    <xf numFmtId="0" fontId="11" fillId="0" borderId="9" xfId="0" applyFont="1" applyFill="1" applyBorder="1" applyAlignment="1">
      <alignment horizontal="left" vertical="center" shrinkToFit="1"/>
    </xf>
    <xf numFmtId="0" fontId="11" fillId="0" borderId="22" xfId="0" applyFont="1" applyFill="1" applyBorder="1" applyAlignment="1">
      <alignment horizontal="left" vertical="center" wrapText="1" shrinkToFit="1"/>
    </xf>
    <xf numFmtId="0" fontId="11" fillId="0" borderId="22" xfId="0" applyFont="1" applyFill="1" applyBorder="1" applyAlignment="1">
      <alignment horizontal="left" vertical="center" shrinkToFit="1"/>
    </xf>
    <xf numFmtId="0" fontId="11" fillId="0" borderId="21" xfId="0" applyFont="1" applyFill="1" applyBorder="1" applyAlignment="1">
      <alignment horizontal="left" vertical="center" shrinkToFit="1"/>
    </xf>
    <xf numFmtId="0" fontId="11" fillId="0" borderId="36" xfId="0" applyFont="1" applyFill="1" applyBorder="1" applyAlignment="1">
      <alignment horizontal="left" vertical="center" wrapText="1" shrinkToFit="1"/>
    </xf>
    <xf numFmtId="0" fontId="11" fillId="0" borderId="36" xfId="0" applyFont="1" applyFill="1" applyBorder="1" applyAlignment="1">
      <alignment horizontal="left" vertical="center" shrinkToFit="1"/>
    </xf>
    <xf numFmtId="0" fontId="11" fillId="0" borderId="35" xfId="0" applyFont="1" applyFill="1" applyBorder="1" applyAlignment="1">
      <alignment horizontal="left" vertical="center" shrinkToFit="1"/>
    </xf>
    <xf numFmtId="0" fontId="11" fillId="0" borderId="38" xfId="0" applyFont="1" applyFill="1" applyBorder="1" applyAlignment="1">
      <alignment horizontal="left" vertical="center" wrapText="1" shrinkToFit="1"/>
    </xf>
    <xf numFmtId="0" fontId="11" fillId="0" borderId="38" xfId="0" applyFont="1" applyFill="1" applyBorder="1" applyAlignment="1">
      <alignment horizontal="left" vertical="center" shrinkToFit="1"/>
    </xf>
    <xf numFmtId="0" fontId="11" fillId="0" borderId="39" xfId="0" applyFont="1" applyFill="1" applyBorder="1" applyAlignment="1">
      <alignment horizontal="left" vertical="center" shrinkToFit="1"/>
    </xf>
    <xf numFmtId="0" fontId="11" fillId="0" borderId="6" xfId="0" applyFont="1" applyFill="1" applyBorder="1" applyAlignment="1">
      <alignment horizontal="left" vertical="center" wrapText="1" shrinkToFit="1"/>
    </xf>
    <xf numFmtId="0" fontId="11" fillId="0" borderId="6" xfId="0" applyFont="1" applyFill="1" applyBorder="1" applyAlignment="1">
      <alignment horizontal="left" vertical="center" shrinkToFit="1"/>
    </xf>
    <xf numFmtId="0" fontId="11" fillId="0" borderId="12" xfId="0" applyFont="1" applyFill="1" applyBorder="1" applyAlignment="1">
      <alignment horizontal="left" vertical="center" shrinkToFit="1"/>
    </xf>
    <xf numFmtId="0" fontId="11" fillId="0" borderId="36" xfId="0" applyFont="1" applyFill="1" applyBorder="1" applyAlignment="1">
      <alignment vertical="center" wrapText="1" shrinkToFit="1"/>
    </xf>
    <xf numFmtId="0" fontId="11" fillId="0" borderId="36" xfId="0" applyFont="1" applyFill="1" applyBorder="1" applyAlignment="1">
      <alignment vertical="center" shrinkToFit="1"/>
    </xf>
    <xf numFmtId="0" fontId="11" fillId="0" borderId="35" xfId="0" applyFont="1" applyFill="1" applyBorder="1" applyAlignment="1">
      <alignment vertical="center" shrinkToFit="1"/>
    </xf>
    <xf numFmtId="0" fontId="11" fillId="0" borderId="19" xfId="0" applyFont="1" applyFill="1" applyBorder="1" applyAlignment="1">
      <alignment vertical="center" wrapText="1" shrinkToFit="1"/>
    </xf>
    <xf numFmtId="0" fontId="11" fillId="0" borderId="20" xfId="0" applyFont="1" applyFill="1" applyBorder="1" applyAlignment="1">
      <alignment vertical="center" shrinkToFit="1"/>
    </xf>
    <xf numFmtId="0" fontId="11" fillId="0" borderId="18" xfId="0" applyFont="1" applyFill="1" applyBorder="1" applyAlignment="1">
      <alignment vertical="center" shrinkToFit="1"/>
    </xf>
    <xf numFmtId="0" fontId="11" fillId="0" borderId="6" xfId="0" applyFont="1" applyFill="1" applyBorder="1" applyAlignment="1">
      <alignment vertical="center" wrapText="1" shrinkToFit="1"/>
    </xf>
    <xf numFmtId="0" fontId="11" fillId="0" borderId="6" xfId="0" applyFont="1" applyFill="1" applyBorder="1" applyAlignment="1">
      <alignment vertical="center" shrinkToFit="1"/>
    </xf>
    <xf numFmtId="0" fontId="11" fillId="0" borderId="12" xfId="0" applyFont="1" applyFill="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D91" sqref="D91:S9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17" t="s">
        <v>12</v>
      </c>
      <c r="S1" s="117"/>
      <c r="T1" s="2" t="s">
        <v>110</v>
      </c>
    </row>
    <row r="2" spans="1:22" ht="18.75" customHeight="1" x14ac:dyDescent="0.15">
      <c r="B2" s="34" t="s">
        <v>109</v>
      </c>
      <c r="C2" s="90" t="s">
        <v>127</v>
      </c>
      <c r="D2" s="91"/>
      <c r="E2" s="91"/>
      <c r="F2" s="91"/>
      <c r="G2" s="91"/>
      <c r="H2" s="91"/>
      <c r="I2" s="92"/>
      <c r="J2" s="35"/>
      <c r="K2" s="6"/>
      <c r="L2" s="6"/>
      <c r="M2" s="6"/>
      <c r="N2" s="6"/>
      <c r="O2" s="6"/>
      <c r="P2" s="6"/>
      <c r="Q2" s="6"/>
      <c r="R2" s="6"/>
      <c r="S2" s="6"/>
    </row>
    <row r="3" spans="1:22" ht="18.75" customHeight="1" x14ac:dyDescent="0.15">
      <c r="B3" s="34" t="s">
        <v>103</v>
      </c>
      <c r="C3" s="90" t="s">
        <v>128</v>
      </c>
      <c r="D3" s="91"/>
      <c r="E3" s="91"/>
      <c r="F3" s="91"/>
      <c r="G3" s="91"/>
      <c r="H3" s="91"/>
      <c r="I3" s="92"/>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21" t="s">
        <v>39</v>
      </c>
      <c r="B5" s="121"/>
      <c r="C5" s="121"/>
      <c r="D5" s="121"/>
      <c r="E5" s="121"/>
      <c r="F5" s="121"/>
      <c r="G5" s="121"/>
      <c r="H5" s="121"/>
      <c r="I5" s="121"/>
      <c r="J5" s="121"/>
      <c r="K5" s="121"/>
      <c r="L5" s="121"/>
      <c r="M5" s="121"/>
      <c r="N5" s="121"/>
      <c r="O5" s="121"/>
      <c r="P5" s="121"/>
      <c r="Q5" s="121"/>
      <c r="R5" s="121"/>
      <c r="S5" s="12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31" t="s">
        <v>129</v>
      </c>
      <c r="L7" s="132"/>
      <c r="M7" s="132"/>
      <c r="N7" s="132"/>
      <c r="O7" s="132"/>
      <c r="P7" s="132"/>
      <c r="Q7" s="132"/>
      <c r="R7" s="132"/>
      <c r="S7" s="133"/>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34"/>
      <c r="C9" s="135"/>
      <c r="D9" s="135"/>
      <c r="E9" s="135"/>
      <c r="F9" s="135"/>
      <c r="G9" s="135"/>
      <c r="H9" s="135"/>
      <c r="I9" s="135"/>
      <c r="J9" s="135"/>
      <c r="K9" s="135"/>
      <c r="L9" s="135"/>
      <c r="M9" s="135"/>
      <c r="N9" s="135"/>
      <c r="O9" s="135"/>
      <c r="P9" s="135"/>
      <c r="Q9" s="135"/>
      <c r="R9" s="135"/>
      <c r="S9" s="136"/>
    </row>
    <row r="10" spans="1:22" ht="18" customHeight="1" x14ac:dyDescent="0.15">
      <c r="B10" s="137"/>
      <c r="C10" s="138"/>
      <c r="D10" s="138"/>
      <c r="E10" s="138"/>
      <c r="F10" s="138"/>
      <c r="G10" s="138"/>
      <c r="H10" s="138"/>
      <c r="I10" s="138"/>
      <c r="J10" s="138"/>
      <c r="K10" s="138"/>
      <c r="L10" s="138"/>
      <c r="M10" s="138"/>
      <c r="N10" s="138"/>
      <c r="O10" s="138"/>
      <c r="P10" s="138"/>
      <c r="Q10" s="138"/>
      <c r="R10" s="138"/>
      <c r="S10" s="139"/>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22" t="s">
        <v>130</v>
      </c>
      <c r="C13" s="123"/>
      <c r="D13" s="123"/>
      <c r="E13" s="123"/>
      <c r="F13" s="123"/>
      <c r="G13" s="123"/>
      <c r="H13" s="123"/>
      <c r="I13" s="123"/>
      <c r="J13" s="123"/>
      <c r="K13" s="123"/>
      <c r="L13" s="123"/>
      <c r="M13" s="123"/>
      <c r="N13" s="123"/>
      <c r="O13" s="123"/>
      <c r="P13" s="123"/>
      <c r="Q13" s="123"/>
      <c r="R13" s="123"/>
      <c r="S13" s="124"/>
      <c r="V13" s="1" t="s">
        <v>104</v>
      </c>
    </row>
    <row r="14" spans="1:22" ht="18" customHeight="1" x14ac:dyDescent="0.15">
      <c r="B14" s="125"/>
      <c r="C14" s="126"/>
      <c r="D14" s="126"/>
      <c r="E14" s="126"/>
      <c r="F14" s="126"/>
      <c r="G14" s="126"/>
      <c r="H14" s="126"/>
      <c r="I14" s="126"/>
      <c r="J14" s="126"/>
      <c r="K14" s="126"/>
      <c r="L14" s="126"/>
      <c r="M14" s="126"/>
      <c r="N14" s="126"/>
      <c r="O14" s="126"/>
      <c r="P14" s="126"/>
      <c r="Q14" s="126"/>
      <c r="R14" s="126"/>
      <c r="S14" s="127"/>
      <c r="V14" s="1" t="s">
        <v>111</v>
      </c>
    </row>
    <row r="15" spans="1:22" ht="18" customHeight="1" x14ac:dyDescent="0.15">
      <c r="B15" s="125"/>
      <c r="C15" s="126"/>
      <c r="D15" s="126"/>
      <c r="E15" s="126"/>
      <c r="F15" s="126"/>
      <c r="G15" s="126"/>
      <c r="H15" s="126"/>
      <c r="I15" s="126"/>
      <c r="J15" s="126"/>
      <c r="K15" s="126"/>
      <c r="L15" s="126"/>
      <c r="M15" s="126"/>
      <c r="N15" s="126"/>
      <c r="O15" s="126"/>
      <c r="P15" s="126"/>
      <c r="Q15" s="126"/>
      <c r="R15" s="126"/>
      <c r="S15" s="127"/>
      <c r="V15" s="1" t="s">
        <v>124</v>
      </c>
    </row>
    <row r="16" spans="1:22" ht="18" customHeight="1" x14ac:dyDescent="0.15">
      <c r="B16" s="125"/>
      <c r="C16" s="126"/>
      <c r="D16" s="126"/>
      <c r="E16" s="126"/>
      <c r="F16" s="126"/>
      <c r="G16" s="126"/>
      <c r="H16" s="126"/>
      <c r="I16" s="126"/>
      <c r="J16" s="126"/>
      <c r="K16" s="126"/>
      <c r="L16" s="126"/>
      <c r="M16" s="126"/>
      <c r="N16" s="126"/>
      <c r="O16" s="126"/>
      <c r="P16" s="126"/>
      <c r="Q16" s="126"/>
      <c r="R16" s="126"/>
      <c r="S16" s="127"/>
      <c r="V16" s="1" t="s">
        <v>126</v>
      </c>
    </row>
    <row r="17" spans="1:19" ht="18" customHeight="1" x14ac:dyDescent="0.15">
      <c r="B17" s="125"/>
      <c r="C17" s="126"/>
      <c r="D17" s="126"/>
      <c r="E17" s="126"/>
      <c r="F17" s="126"/>
      <c r="G17" s="126"/>
      <c r="H17" s="126"/>
      <c r="I17" s="126"/>
      <c r="J17" s="126"/>
      <c r="K17" s="126"/>
      <c r="L17" s="126"/>
      <c r="M17" s="126"/>
      <c r="N17" s="126"/>
      <c r="O17" s="126"/>
      <c r="P17" s="126"/>
      <c r="Q17" s="126"/>
      <c r="R17" s="126"/>
      <c r="S17" s="127"/>
    </row>
    <row r="18" spans="1:19" ht="18" customHeight="1" x14ac:dyDescent="0.15">
      <c r="B18" s="128"/>
      <c r="C18" s="129"/>
      <c r="D18" s="129"/>
      <c r="E18" s="129"/>
      <c r="F18" s="129"/>
      <c r="G18" s="129"/>
      <c r="H18" s="129"/>
      <c r="I18" s="129"/>
      <c r="J18" s="129"/>
      <c r="K18" s="129"/>
      <c r="L18" s="129"/>
      <c r="M18" s="129"/>
      <c r="N18" s="129"/>
      <c r="O18" s="129"/>
      <c r="P18" s="129"/>
      <c r="Q18" s="129"/>
      <c r="R18" s="129"/>
      <c r="S18" s="13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0">
        <v>2</v>
      </c>
      <c r="D20" s="92"/>
      <c r="E20" s="40" t="s">
        <v>96</v>
      </c>
      <c r="G20" s="10"/>
      <c r="H20" s="3"/>
      <c r="I20" s="3"/>
      <c r="J20" s="35" t="s">
        <v>122</v>
      </c>
      <c r="K20" s="118" t="s">
        <v>126</v>
      </c>
      <c r="L20" s="119"/>
      <c r="M20" s="119"/>
      <c r="N20" s="119"/>
      <c r="O20" s="119"/>
      <c r="P20" s="119"/>
      <c r="Q20" s="119"/>
      <c r="R20" s="119"/>
      <c r="S20" s="120"/>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6" t="s">
        <v>114</v>
      </c>
      <c r="B22" s="96"/>
      <c r="C22" s="96"/>
      <c r="D22" s="96"/>
      <c r="E22" s="96"/>
      <c r="F22" s="96"/>
      <c r="G22" s="96"/>
      <c r="H22" s="96"/>
      <c r="I22" s="96"/>
      <c r="J22" s="96"/>
      <c r="K22" s="96"/>
      <c r="L22" s="96"/>
      <c r="M22" s="96"/>
      <c r="N22" s="96"/>
      <c r="O22" s="96"/>
      <c r="P22" s="96"/>
      <c r="Q22" s="96"/>
      <c r="R22" s="96"/>
      <c r="S22" s="96"/>
    </row>
    <row r="23" spans="1:19" ht="18" customHeight="1" x14ac:dyDescent="0.15">
      <c r="A23" s="96"/>
      <c r="B23" s="96"/>
      <c r="C23" s="96"/>
      <c r="D23" s="96"/>
      <c r="E23" s="96"/>
      <c r="F23" s="96"/>
      <c r="G23" s="96"/>
      <c r="H23" s="96"/>
      <c r="I23" s="96"/>
      <c r="J23" s="96"/>
      <c r="K23" s="96"/>
      <c r="L23" s="96"/>
      <c r="M23" s="96"/>
      <c r="N23" s="96"/>
      <c r="O23" s="96"/>
      <c r="P23" s="96"/>
      <c r="Q23" s="96"/>
      <c r="R23" s="96"/>
      <c r="S23" s="96"/>
    </row>
    <row r="24" spans="1:19" ht="18" customHeight="1" x14ac:dyDescent="0.15">
      <c r="B24" s="90" t="s">
        <v>54</v>
      </c>
      <c r="C24" s="91"/>
      <c r="D24" s="91"/>
      <c r="E24" s="92"/>
      <c r="F24" s="61" t="s">
        <v>81</v>
      </c>
      <c r="G24" s="60" t="s">
        <v>85</v>
      </c>
      <c r="H24" s="22" t="s">
        <v>57</v>
      </c>
      <c r="I24" s="22" t="s">
        <v>60</v>
      </c>
      <c r="J24" s="90" t="s">
        <v>54</v>
      </c>
      <c r="K24" s="91"/>
      <c r="L24" s="91"/>
      <c r="M24" s="91"/>
      <c r="N24" s="91"/>
      <c r="O24" s="92"/>
      <c r="P24" s="61" t="s">
        <v>81</v>
      </c>
      <c r="Q24" s="60" t="s">
        <v>85</v>
      </c>
      <c r="R24" s="22" t="s">
        <v>57</v>
      </c>
      <c r="S24" s="22" t="s">
        <v>60</v>
      </c>
    </row>
    <row r="25" spans="1:19" ht="18" customHeight="1" x14ac:dyDescent="0.15">
      <c r="B25" s="84" t="s">
        <v>131</v>
      </c>
      <c r="C25" s="85"/>
      <c r="D25" s="85"/>
      <c r="E25" s="86"/>
      <c r="F25" s="23">
        <v>2</v>
      </c>
      <c r="G25" s="23" t="s">
        <v>146</v>
      </c>
      <c r="H25" s="23" t="s">
        <v>146</v>
      </c>
      <c r="I25" s="23" t="s">
        <v>146</v>
      </c>
      <c r="J25" s="84"/>
      <c r="K25" s="85"/>
      <c r="L25" s="85"/>
      <c r="M25" s="85"/>
      <c r="N25" s="85"/>
      <c r="O25" s="86"/>
      <c r="P25" s="23"/>
      <c r="Q25" s="23"/>
      <c r="R25" s="23"/>
      <c r="S25" s="23"/>
    </row>
    <row r="26" spans="1:19" ht="18" customHeight="1" x14ac:dyDescent="0.15">
      <c r="B26" s="87"/>
      <c r="C26" s="88"/>
      <c r="D26" s="88"/>
      <c r="E26" s="89"/>
      <c r="F26" s="24"/>
      <c r="G26" s="24"/>
      <c r="H26" s="24"/>
      <c r="I26" s="24"/>
      <c r="J26" s="87"/>
      <c r="K26" s="88"/>
      <c r="L26" s="88"/>
      <c r="M26" s="88"/>
      <c r="N26" s="88"/>
      <c r="O26" s="89"/>
      <c r="P26" s="24"/>
      <c r="Q26" s="24"/>
      <c r="R26" s="24"/>
      <c r="S26" s="24"/>
    </row>
    <row r="27" spans="1:19" ht="18" customHeight="1" x14ac:dyDescent="0.15">
      <c r="B27" s="87"/>
      <c r="C27" s="88"/>
      <c r="D27" s="88"/>
      <c r="E27" s="89"/>
      <c r="F27" s="24"/>
      <c r="G27" s="24"/>
      <c r="H27" s="24"/>
      <c r="I27" s="24"/>
      <c r="J27" s="87"/>
      <c r="K27" s="88"/>
      <c r="L27" s="88"/>
      <c r="M27" s="88"/>
      <c r="N27" s="88"/>
      <c r="O27" s="89"/>
      <c r="P27" s="24"/>
      <c r="Q27" s="24"/>
      <c r="R27" s="24"/>
      <c r="S27" s="24"/>
    </row>
    <row r="28" spans="1:19" ht="18" customHeight="1" x14ac:dyDescent="0.15">
      <c r="B28" s="87"/>
      <c r="C28" s="88"/>
      <c r="D28" s="88"/>
      <c r="E28" s="89"/>
      <c r="F28" s="24"/>
      <c r="G28" s="24"/>
      <c r="H28" s="24"/>
      <c r="I28" s="24"/>
      <c r="J28" s="87"/>
      <c r="K28" s="88"/>
      <c r="L28" s="88"/>
      <c r="M28" s="88"/>
      <c r="N28" s="88"/>
      <c r="O28" s="89"/>
      <c r="P28" s="24"/>
      <c r="Q28" s="24"/>
      <c r="R28" s="24"/>
      <c r="S28" s="24"/>
    </row>
    <row r="29" spans="1:19" ht="18" customHeight="1" x14ac:dyDescent="0.15">
      <c r="B29" s="87"/>
      <c r="C29" s="88"/>
      <c r="D29" s="88"/>
      <c r="E29" s="89"/>
      <c r="F29" s="24"/>
      <c r="G29" s="24"/>
      <c r="H29" s="24"/>
      <c r="I29" s="24"/>
      <c r="J29" s="87"/>
      <c r="K29" s="88"/>
      <c r="L29" s="88"/>
      <c r="M29" s="88"/>
      <c r="N29" s="88"/>
      <c r="O29" s="89"/>
      <c r="P29" s="24"/>
      <c r="Q29" s="24"/>
      <c r="R29" s="24"/>
      <c r="S29" s="24"/>
    </row>
    <row r="30" spans="1:19" ht="18" customHeight="1" x14ac:dyDescent="0.15">
      <c r="A30" s="3"/>
      <c r="B30" s="87"/>
      <c r="C30" s="88"/>
      <c r="D30" s="88"/>
      <c r="E30" s="89"/>
      <c r="F30" s="24"/>
      <c r="G30" s="24"/>
      <c r="H30" s="24"/>
      <c r="I30" s="24"/>
      <c r="J30" s="87"/>
      <c r="K30" s="88"/>
      <c r="L30" s="88"/>
      <c r="M30" s="88"/>
      <c r="N30" s="88"/>
      <c r="O30" s="89"/>
      <c r="P30" s="24"/>
      <c r="Q30" s="24"/>
      <c r="R30" s="24"/>
      <c r="S30" s="24"/>
    </row>
    <row r="31" spans="1:19" ht="18" customHeight="1" x14ac:dyDescent="0.15">
      <c r="A31" s="3"/>
      <c r="B31" s="93"/>
      <c r="C31" s="94"/>
      <c r="D31" s="94"/>
      <c r="E31" s="95"/>
      <c r="F31" s="25"/>
      <c r="G31" s="25"/>
      <c r="H31" s="26"/>
      <c r="I31" s="26"/>
      <c r="J31" s="93"/>
      <c r="K31" s="94"/>
      <c r="L31" s="94"/>
      <c r="M31" s="94"/>
      <c r="N31" s="94"/>
      <c r="O31" s="95"/>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6" t="s">
        <v>115</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0" t="s">
        <v>54</v>
      </c>
      <c r="C35" s="91"/>
      <c r="D35" s="91"/>
      <c r="E35" s="92"/>
      <c r="F35" s="61" t="s">
        <v>81</v>
      </c>
      <c r="G35" s="60" t="s">
        <v>85</v>
      </c>
      <c r="H35" s="22" t="s">
        <v>72</v>
      </c>
      <c r="I35" s="22" t="s">
        <v>73</v>
      </c>
      <c r="J35" s="90" t="s">
        <v>54</v>
      </c>
      <c r="K35" s="91"/>
      <c r="L35" s="91"/>
      <c r="M35" s="91"/>
      <c r="N35" s="91"/>
      <c r="O35" s="92"/>
      <c r="P35" s="61" t="s">
        <v>81</v>
      </c>
      <c r="Q35" s="60" t="s">
        <v>85</v>
      </c>
      <c r="R35" s="22" t="s">
        <v>72</v>
      </c>
      <c r="S35" s="22" t="s">
        <v>73</v>
      </c>
    </row>
    <row r="36" spans="1:19" ht="18" customHeight="1" x14ac:dyDescent="0.15">
      <c r="B36" s="84" t="s">
        <v>147</v>
      </c>
      <c r="C36" s="85"/>
      <c r="D36" s="85"/>
      <c r="E36" s="86"/>
      <c r="F36" s="23">
        <v>2</v>
      </c>
      <c r="G36" s="23" t="s">
        <v>146</v>
      </c>
      <c r="H36" s="23" t="s">
        <v>146</v>
      </c>
      <c r="I36" s="23" t="s">
        <v>146</v>
      </c>
      <c r="J36" s="84"/>
      <c r="K36" s="85"/>
      <c r="L36" s="85"/>
      <c r="M36" s="85"/>
      <c r="N36" s="85"/>
      <c r="O36" s="86"/>
      <c r="P36" s="23"/>
      <c r="Q36" s="23"/>
      <c r="R36" s="23"/>
      <c r="S36" s="23"/>
    </row>
    <row r="37" spans="1:19" ht="18" customHeight="1" x14ac:dyDescent="0.15">
      <c r="B37" s="87"/>
      <c r="C37" s="88"/>
      <c r="D37" s="88"/>
      <c r="E37" s="89"/>
      <c r="F37" s="24"/>
      <c r="G37" s="24"/>
      <c r="H37" s="24"/>
      <c r="I37" s="24"/>
      <c r="J37" s="87"/>
      <c r="K37" s="88"/>
      <c r="L37" s="88"/>
      <c r="M37" s="88"/>
      <c r="N37" s="88"/>
      <c r="O37" s="89"/>
      <c r="P37" s="24"/>
      <c r="Q37" s="24"/>
      <c r="R37" s="24"/>
      <c r="S37" s="24"/>
    </row>
    <row r="38" spans="1:19" ht="18" customHeight="1" x14ac:dyDescent="0.15">
      <c r="B38" s="87"/>
      <c r="C38" s="88"/>
      <c r="D38" s="88"/>
      <c r="E38" s="89"/>
      <c r="F38" s="24"/>
      <c r="G38" s="24"/>
      <c r="H38" s="24"/>
      <c r="I38" s="24"/>
      <c r="J38" s="87"/>
      <c r="K38" s="88"/>
      <c r="L38" s="88"/>
      <c r="M38" s="88"/>
      <c r="N38" s="88"/>
      <c r="O38" s="89"/>
      <c r="P38" s="24"/>
      <c r="Q38" s="24"/>
      <c r="R38" s="24"/>
      <c r="S38" s="24"/>
    </row>
    <row r="39" spans="1:19" ht="18" customHeight="1" x14ac:dyDescent="0.15">
      <c r="B39" s="87"/>
      <c r="C39" s="88"/>
      <c r="D39" s="88"/>
      <c r="E39" s="89"/>
      <c r="F39" s="24"/>
      <c r="G39" s="24"/>
      <c r="H39" s="24"/>
      <c r="I39" s="24"/>
      <c r="J39" s="87"/>
      <c r="K39" s="88"/>
      <c r="L39" s="88"/>
      <c r="M39" s="88"/>
      <c r="N39" s="88"/>
      <c r="O39" s="89"/>
      <c r="P39" s="24"/>
      <c r="Q39" s="24"/>
      <c r="R39" s="24"/>
      <c r="S39" s="24"/>
    </row>
    <row r="40" spans="1:19" ht="18" customHeight="1" x14ac:dyDescent="0.15">
      <c r="B40" s="87"/>
      <c r="C40" s="88"/>
      <c r="D40" s="88"/>
      <c r="E40" s="89"/>
      <c r="F40" s="24"/>
      <c r="G40" s="24"/>
      <c r="H40" s="24"/>
      <c r="I40" s="24"/>
      <c r="J40" s="87"/>
      <c r="K40" s="88"/>
      <c r="L40" s="88"/>
      <c r="M40" s="88"/>
      <c r="N40" s="88"/>
      <c r="O40" s="89"/>
      <c r="P40" s="24"/>
      <c r="Q40" s="24"/>
      <c r="R40" s="24"/>
      <c r="S40" s="24"/>
    </row>
    <row r="41" spans="1:19" ht="18" customHeight="1" x14ac:dyDescent="0.15">
      <c r="B41" s="87"/>
      <c r="C41" s="88"/>
      <c r="D41" s="88"/>
      <c r="E41" s="89"/>
      <c r="F41" s="24"/>
      <c r="G41" s="24"/>
      <c r="H41" s="24"/>
      <c r="I41" s="24"/>
      <c r="J41" s="87"/>
      <c r="K41" s="88"/>
      <c r="L41" s="88"/>
      <c r="M41" s="88"/>
      <c r="N41" s="88"/>
      <c r="O41" s="89"/>
      <c r="P41" s="24"/>
      <c r="Q41" s="24"/>
      <c r="R41" s="24"/>
      <c r="S41" s="24"/>
    </row>
    <row r="42" spans="1:19" ht="18" customHeight="1" x14ac:dyDescent="0.15">
      <c r="B42" s="93"/>
      <c r="C42" s="94"/>
      <c r="D42" s="94"/>
      <c r="E42" s="95"/>
      <c r="F42" s="25"/>
      <c r="G42" s="25"/>
      <c r="H42" s="26"/>
      <c r="I42" s="26"/>
      <c r="J42" s="93"/>
      <c r="K42" s="94"/>
      <c r="L42" s="94"/>
      <c r="M42" s="94"/>
      <c r="N42" s="94"/>
      <c r="O42" s="95"/>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6" t="s">
        <v>116</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0" t="s">
        <v>54</v>
      </c>
      <c r="C46" s="91"/>
      <c r="D46" s="91"/>
      <c r="E46" s="92"/>
      <c r="F46" s="61" t="s">
        <v>81</v>
      </c>
      <c r="G46" s="60" t="s">
        <v>85</v>
      </c>
      <c r="H46" s="22" t="s">
        <v>74</v>
      </c>
      <c r="I46" s="22" t="s">
        <v>75</v>
      </c>
      <c r="J46" s="90" t="s">
        <v>54</v>
      </c>
      <c r="K46" s="91"/>
      <c r="L46" s="91"/>
      <c r="M46" s="91"/>
      <c r="N46" s="91"/>
      <c r="O46" s="92"/>
      <c r="P46" s="61" t="s">
        <v>81</v>
      </c>
      <c r="Q46" s="60" t="s">
        <v>85</v>
      </c>
      <c r="R46" s="22" t="s">
        <v>74</v>
      </c>
      <c r="S46" s="22" t="s">
        <v>75</v>
      </c>
    </row>
    <row r="47" spans="1:19" ht="18" customHeight="1" x14ac:dyDescent="0.15">
      <c r="A47" s="3"/>
      <c r="B47" s="84" t="s">
        <v>147</v>
      </c>
      <c r="C47" s="85"/>
      <c r="D47" s="85"/>
      <c r="E47" s="86"/>
      <c r="F47" s="23">
        <v>2</v>
      </c>
      <c r="G47" s="23" t="s">
        <v>146</v>
      </c>
      <c r="H47" s="23" t="s">
        <v>146</v>
      </c>
      <c r="I47" s="23" t="s">
        <v>146</v>
      </c>
      <c r="J47" s="84"/>
      <c r="K47" s="85"/>
      <c r="L47" s="85"/>
      <c r="M47" s="85"/>
      <c r="N47" s="85"/>
      <c r="O47" s="86"/>
      <c r="P47" s="23"/>
      <c r="Q47" s="23"/>
      <c r="R47" s="23"/>
      <c r="S47" s="23"/>
    </row>
    <row r="48" spans="1:19" ht="18" customHeight="1" x14ac:dyDescent="0.15">
      <c r="A48" s="3"/>
      <c r="B48" s="87"/>
      <c r="C48" s="88"/>
      <c r="D48" s="88"/>
      <c r="E48" s="89"/>
      <c r="F48" s="24"/>
      <c r="G48" s="24"/>
      <c r="H48" s="24"/>
      <c r="I48" s="24"/>
      <c r="J48" s="87"/>
      <c r="K48" s="88"/>
      <c r="L48" s="88"/>
      <c r="M48" s="88"/>
      <c r="N48" s="88"/>
      <c r="O48" s="89"/>
      <c r="P48" s="24"/>
      <c r="Q48" s="24"/>
      <c r="R48" s="24"/>
      <c r="S48" s="24"/>
    </row>
    <row r="49" spans="1:19" ht="18" customHeight="1" x14ac:dyDescent="0.15">
      <c r="A49" s="3"/>
      <c r="B49" s="87"/>
      <c r="C49" s="88"/>
      <c r="D49" s="88"/>
      <c r="E49" s="89"/>
      <c r="F49" s="24"/>
      <c r="G49" s="24"/>
      <c r="H49" s="24"/>
      <c r="I49" s="24"/>
      <c r="J49" s="87"/>
      <c r="K49" s="88"/>
      <c r="L49" s="88"/>
      <c r="M49" s="88"/>
      <c r="N49" s="88"/>
      <c r="O49" s="89"/>
      <c r="P49" s="24"/>
      <c r="Q49" s="24"/>
      <c r="R49" s="24"/>
      <c r="S49" s="24"/>
    </row>
    <row r="50" spans="1:19" ht="18" customHeight="1" x14ac:dyDescent="0.15">
      <c r="A50" s="3"/>
      <c r="B50" s="87"/>
      <c r="C50" s="88"/>
      <c r="D50" s="88"/>
      <c r="E50" s="89"/>
      <c r="F50" s="24"/>
      <c r="G50" s="24"/>
      <c r="H50" s="24"/>
      <c r="I50" s="24"/>
      <c r="J50" s="87"/>
      <c r="K50" s="88"/>
      <c r="L50" s="88"/>
      <c r="M50" s="88"/>
      <c r="N50" s="88"/>
      <c r="O50" s="89"/>
      <c r="P50" s="24"/>
      <c r="Q50" s="24"/>
      <c r="R50" s="24"/>
      <c r="S50" s="24"/>
    </row>
    <row r="51" spans="1:19" ht="18" customHeight="1" x14ac:dyDescent="0.15">
      <c r="A51" s="3"/>
      <c r="B51" s="87"/>
      <c r="C51" s="88"/>
      <c r="D51" s="88"/>
      <c r="E51" s="89"/>
      <c r="F51" s="24"/>
      <c r="G51" s="24"/>
      <c r="H51" s="24"/>
      <c r="I51" s="24"/>
      <c r="J51" s="87"/>
      <c r="K51" s="88"/>
      <c r="L51" s="88"/>
      <c r="M51" s="88"/>
      <c r="N51" s="88"/>
      <c r="O51" s="89"/>
      <c r="P51" s="24"/>
      <c r="Q51" s="24"/>
      <c r="R51" s="24"/>
      <c r="S51" s="24"/>
    </row>
    <row r="52" spans="1:19" ht="18" customHeight="1" x14ac:dyDescent="0.15">
      <c r="A52" s="3"/>
      <c r="B52" s="87"/>
      <c r="C52" s="88"/>
      <c r="D52" s="88"/>
      <c r="E52" s="89"/>
      <c r="F52" s="24"/>
      <c r="G52" s="24"/>
      <c r="H52" s="24"/>
      <c r="I52" s="24"/>
      <c r="J52" s="87"/>
      <c r="K52" s="88"/>
      <c r="L52" s="88"/>
      <c r="M52" s="88"/>
      <c r="N52" s="88"/>
      <c r="O52" s="89"/>
      <c r="P52" s="24"/>
      <c r="Q52" s="24"/>
      <c r="R52" s="24"/>
      <c r="S52" s="24"/>
    </row>
    <row r="53" spans="1:19" ht="18" customHeight="1" x14ac:dyDescent="0.15">
      <c r="A53" s="3"/>
      <c r="B53" s="93"/>
      <c r="C53" s="94"/>
      <c r="D53" s="94"/>
      <c r="E53" s="95"/>
      <c r="F53" s="25"/>
      <c r="G53" s="25"/>
      <c r="H53" s="26"/>
      <c r="I53" s="26"/>
      <c r="J53" s="93"/>
      <c r="K53" s="94"/>
      <c r="L53" s="94"/>
      <c r="M53" s="94"/>
      <c r="N53" s="94"/>
      <c r="O53" s="95"/>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6" t="s">
        <v>117</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0" t="s">
        <v>54</v>
      </c>
      <c r="C57" s="91"/>
      <c r="D57" s="91"/>
      <c r="E57" s="92"/>
      <c r="F57" s="61" t="s">
        <v>81</v>
      </c>
      <c r="G57" s="60" t="s">
        <v>85</v>
      </c>
      <c r="H57" s="22" t="s">
        <v>59</v>
      </c>
      <c r="I57" s="22" t="s">
        <v>61</v>
      </c>
      <c r="J57" s="90" t="s">
        <v>54</v>
      </c>
      <c r="K57" s="91"/>
      <c r="L57" s="91"/>
      <c r="M57" s="91"/>
      <c r="N57" s="91"/>
      <c r="O57" s="92"/>
      <c r="P57" s="61" t="s">
        <v>81</v>
      </c>
      <c r="Q57" s="60" t="s">
        <v>85</v>
      </c>
      <c r="R57" s="22" t="s">
        <v>59</v>
      </c>
      <c r="S57" s="22" t="s">
        <v>61</v>
      </c>
    </row>
    <row r="58" spans="1:19" ht="18" customHeight="1" x14ac:dyDescent="0.15">
      <c r="A58" s="3"/>
      <c r="B58" s="84" t="s">
        <v>147</v>
      </c>
      <c r="C58" s="85"/>
      <c r="D58" s="85"/>
      <c r="E58" s="86"/>
      <c r="F58" s="23">
        <v>2</v>
      </c>
      <c r="G58" s="23" t="s">
        <v>146</v>
      </c>
      <c r="H58" s="23" t="s">
        <v>146</v>
      </c>
      <c r="I58" s="23" t="s">
        <v>146</v>
      </c>
      <c r="J58" s="84"/>
      <c r="K58" s="85"/>
      <c r="L58" s="85"/>
      <c r="M58" s="85"/>
      <c r="N58" s="85"/>
      <c r="O58" s="86"/>
      <c r="P58" s="23"/>
      <c r="Q58" s="23"/>
      <c r="R58" s="23"/>
      <c r="S58" s="23"/>
    </row>
    <row r="59" spans="1:19" ht="18" customHeight="1" x14ac:dyDescent="0.15">
      <c r="A59" s="3"/>
      <c r="B59" s="87"/>
      <c r="C59" s="88"/>
      <c r="D59" s="88"/>
      <c r="E59" s="89"/>
      <c r="F59" s="24"/>
      <c r="G59" s="24"/>
      <c r="H59" s="24"/>
      <c r="I59" s="24"/>
      <c r="J59" s="87"/>
      <c r="K59" s="88"/>
      <c r="L59" s="88"/>
      <c r="M59" s="88"/>
      <c r="N59" s="88"/>
      <c r="O59" s="89"/>
      <c r="P59" s="24"/>
      <c r="Q59" s="24"/>
      <c r="R59" s="24"/>
      <c r="S59" s="24"/>
    </row>
    <row r="60" spans="1:19" ht="18" customHeight="1" x14ac:dyDescent="0.15">
      <c r="A60" s="3"/>
      <c r="B60" s="87"/>
      <c r="C60" s="88"/>
      <c r="D60" s="88"/>
      <c r="E60" s="89"/>
      <c r="F60" s="24"/>
      <c r="G60" s="24"/>
      <c r="H60" s="24"/>
      <c r="I60" s="24"/>
      <c r="J60" s="87"/>
      <c r="K60" s="88"/>
      <c r="L60" s="88"/>
      <c r="M60" s="88"/>
      <c r="N60" s="88"/>
      <c r="O60" s="89"/>
      <c r="P60" s="24"/>
      <c r="Q60" s="24"/>
      <c r="R60" s="24"/>
      <c r="S60" s="24"/>
    </row>
    <row r="61" spans="1:19" ht="18" customHeight="1" x14ac:dyDescent="0.15">
      <c r="A61" s="3"/>
      <c r="B61" s="87"/>
      <c r="C61" s="88"/>
      <c r="D61" s="88"/>
      <c r="E61" s="89"/>
      <c r="F61" s="24"/>
      <c r="G61" s="24"/>
      <c r="H61" s="24"/>
      <c r="I61" s="24"/>
      <c r="J61" s="87"/>
      <c r="K61" s="88"/>
      <c r="L61" s="88"/>
      <c r="M61" s="88"/>
      <c r="N61" s="88"/>
      <c r="O61" s="89"/>
      <c r="P61" s="24"/>
      <c r="Q61" s="24"/>
      <c r="R61" s="24"/>
      <c r="S61" s="24"/>
    </row>
    <row r="62" spans="1:19" ht="18" customHeight="1" x14ac:dyDescent="0.15">
      <c r="A62" s="3"/>
      <c r="B62" s="87"/>
      <c r="C62" s="88"/>
      <c r="D62" s="88"/>
      <c r="E62" s="89"/>
      <c r="F62" s="24"/>
      <c r="G62" s="24"/>
      <c r="H62" s="24"/>
      <c r="I62" s="24"/>
      <c r="J62" s="87"/>
      <c r="K62" s="88"/>
      <c r="L62" s="88"/>
      <c r="M62" s="88"/>
      <c r="N62" s="88"/>
      <c r="O62" s="89"/>
      <c r="P62" s="24"/>
      <c r="Q62" s="24"/>
      <c r="R62" s="24"/>
      <c r="S62" s="24"/>
    </row>
    <row r="63" spans="1:19" ht="18" customHeight="1" x14ac:dyDescent="0.15">
      <c r="A63" s="3"/>
      <c r="B63" s="87"/>
      <c r="C63" s="88"/>
      <c r="D63" s="88"/>
      <c r="E63" s="89"/>
      <c r="F63" s="24"/>
      <c r="G63" s="24"/>
      <c r="H63" s="24"/>
      <c r="I63" s="24"/>
      <c r="J63" s="87"/>
      <c r="K63" s="88"/>
      <c r="L63" s="88"/>
      <c r="M63" s="88"/>
      <c r="N63" s="88"/>
      <c r="O63" s="89"/>
      <c r="P63" s="24"/>
      <c r="Q63" s="24"/>
      <c r="R63" s="24"/>
      <c r="S63" s="24"/>
    </row>
    <row r="64" spans="1:19" ht="18" customHeight="1" x14ac:dyDescent="0.15">
      <c r="A64" s="3"/>
      <c r="B64" s="93"/>
      <c r="C64" s="94"/>
      <c r="D64" s="94"/>
      <c r="E64" s="95"/>
      <c r="F64" s="25"/>
      <c r="G64" s="25"/>
      <c r="H64" s="26"/>
      <c r="I64" s="26"/>
      <c r="J64" s="93"/>
      <c r="K64" s="94"/>
      <c r="L64" s="94"/>
      <c r="M64" s="94"/>
      <c r="N64" s="94"/>
      <c r="O64" s="95"/>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6" t="s">
        <v>118</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0" t="s">
        <v>54</v>
      </c>
      <c r="C68" s="91"/>
      <c r="D68" s="91"/>
      <c r="E68" s="61" t="s">
        <v>81</v>
      </c>
      <c r="F68" s="60" t="s">
        <v>85</v>
      </c>
      <c r="G68" s="22" t="s">
        <v>102</v>
      </c>
      <c r="H68" s="22" t="s">
        <v>76</v>
      </c>
      <c r="I68" s="22" t="s">
        <v>77</v>
      </c>
      <c r="J68" s="90" t="s">
        <v>54</v>
      </c>
      <c r="K68" s="91"/>
      <c r="L68" s="91"/>
      <c r="M68" s="91"/>
      <c r="N68" s="92"/>
      <c r="O68" s="61" t="s">
        <v>81</v>
      </c>
      <c r="P68" s="60" t="s">
        <v>85</v>
      </c>
      <c r="Q68" s="22" t="s">
        <v>102</v>
      </c>
      <c r="R68" s="22" t="s">
        <v>76</v>
      </c>
      <c r="S68" s="22" t="s">
        <v>77</v>
      </c>
    </row>
    <row r="69" spans="1:19" ht="18" customHeight="1" x14ac:dyDescent="0.15">
      <c r="A69" s="3"/>
      <c r="B69" s="84" t="s">
        <v>147</v>
      </c>
      <c r="C69" s="85"/>
      <c r="D69" s="85"/>
      <c r="E69" s="23">
        <v>2</v>
      </c>
      <c r="F69" s="23" t="s">
        <v>146</v>
      </c>
      <c r="G69" s="23" t="s">
        <v>146</v>
      </c>
      <c r="H69" s="23" t="s">
        <v>146</v>
      </c>
      <c r="I69" s="23" t="s">
        <v>146</v>
      </c>
      <c r="J69" s="84"/>
      <c r="K69" s="85"/>
      <c r="L69" s="85"/>
      <c r="M69" s="85"/>
      <c r="N69" s="86"/>
      <c r="O69" s="23"/>
      <c r="P69" s="23"/>
      <c r="Q69" s="23"/>
      <c r="R69" s="23"/>
      <c r="S69" s="23"/>
    </row>
    <row r="70" spans="1:19" ht="18" customHeight="1" x14ac:dyDescent="0.15">
      <c r="A70" s="3"/>
      <c r="B70" s="87"/>
      <c r="C70" s="88"/>
      <c r="D70" s="88"/>
      <c r="E70" s="24"/>
      <c r="F70" s="24"/>
      <c r="G70" s="24"/>
      <c r="H70" s="24"/>
      <c r="I70" s="24"/>
      <c r="J70" s="87"/>
      <c r="K70" s="88"/>
      <c r="L70" s="88"/>
      <c r="M70" s="88"/>
      <c r="N70" s="89"/>
      <c r="O70" s="24"/>
      <c r="P70" s="24"/>
      <c r="Q70" s="24"/>
      <c r="R70" s="24"/>
      <c r="S70" s="24"/>
    </row>
    <row r="71" spans="1:19" ht="18" customHeight="1" x14ac:dyDescent="0.15">
      <c r="A71" s="3"/>
      <c r="B71" s="87"/>
      <c r="C71" s="88"/>
      <c r="D71" s="88"/>
      <c r="E71" s="24"/>
      <c r="F71" s="24"/>
      <c r="G71" s="24"/>
      <c r="H71" s="24"/>
      <c r="I71" s="24"/>
      <c r="J71" s="87"/>
      <c r="K71" s="88"/>
      <c r="L71" s="88"/>
      <c r="M71" s="88"/>
      <c r="N71" s="89"/>
      <c r="O71" s="24"/>
      <c r="P71" s="24"/>
      <c r="Q71" s="24"/>
      <c r="R71" s="24"/>
      <c r="S71" s="24"/>
    </row>
    <row r="72" spans="1:19" ht="18" customHeight="1" x14ac:dyDescent="0.15">
      <c r="A72" s="3"/>
      <c r="B72" s="87"/>
      <c r="C72" s="88"/>
      <c r="D72" s="88"/>
      <c r="E72" s="24"/>
      <c r="F72" s="24"/>
      <c r="G72" s="24"/>
      <c r="H72" s="24"/>
      <c r="I72" s="24"/>
      <c r="J72" s="87"/>
      <c r="K72" s="88"/>
      <c r="L72" s="88"/>
      <c r="M72" s="88"/>
      <c r="N72" s="89"/>
      <c r="O72" s="24"/>
      <c r="P72" s="24"/>
      <c r="Q72" s="24"/>
      <c r="R72" s="24"/>
      <c r="S72" s="24"/>
    </row>
    <row r="73" spans="1:19" ht="18" customHeight="1" x14ac:dyDescent="0.15">
      <c r="A73" s="3"/>
      <c r="B73" s="87"/>
      <c r="C73" s="88"/>
      <c r="D73" s="88"/>
      <c r="E73" s="24"/>
      <c r="F73" s="24"/>
      <c r="G73" s="24"/>
      <c r="H73" s="24"/>
      <c r="I73" s="24"/>
      <c r="J73" s="87"/>
      <c r="K73" s="88"/>
      <c r="L73" s="88"/>
      <c r="M73" s="88"/>
      <c r="N73" s="89"/>
      <c r="O73" s="24"/>
      <c r="P73" s="24"/>
      <c r="Q73" s="24"/>
      <c r="R73" s="24"/>
      <c r="S73" s="24"/>
    </row>
    <row r="74" spans="1:19" ht="18" customHeight="1" x14ac:dyDescent="0.15">
      <c r="A74" s="3"/>
      <c r="B74" s="87"/>
      <c r="C74" s="88"/>
      <c r="D74" s="88"/>
      <c r="E74" s="24"/>
      <c r="F74" s="24"/>
      <c r="G74" s="24"/>
      <c r="H74" s="24"/>
      <c r="I74" s="24"/>
      <c r="J74" s="87"/>
      <c r="K74" s="88"/>
      <c r="L74" s="88"/>
      <c r="M74" s="88"/>
      <c r="N74" s="89"/>
      <c r="O74" s="24"/>
      <c r="P74" s="24"/>
      <c r="Q74" s="24"/>
      <c r="R74" s="24"/>
      <c r="S74" s="24"/>
    </row>
    <row r="75" spans="1:19" ht="18" customHeight="1" x14ac:dyDescent="0.15">
      <c r="A75" s="3"/>
      <c r="B75" s="93"/>
      <c r="C75" s="94"/>
      <c r="D75" s="94"/>
      <c r="E75" s="25"/>
      <c r="F75" s="25"/>
      <c r="G75" s="26"/>
      <c r="H75" s="26"/>
      <c r="I75" s="26"/>
      <c r="J75" s="93"/>
      <c r="K75" s="94"/>
      <c r="L75" s="94"/>
      <c r="M75" s="94"/>
      <c r="N75" s="95"/>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0" t="s">
        <v>54</v>
      </c>
      <c r="C78" s="91"/>
      <c r="D78" s="91"/>
      <c r="E78" s="92"/>
      <c r="F78" s="90" t="s">
        <v>83</v>
      </c>
      <c r="G78" s="91"/>
      <c r="H78" s="91"/>
      <c r="I78" s="92"/>
      <c r="J78" s="108" t="s">
        <v>54</v>
      </c>
      <c r="K78" s="109"/>
      <c r="L78" s="109"/>
      <c r="M78" s="109"/>
      <c r="N78" s="109"/>
      <c r="O78" s="110"/>
      <c r="P78" s="90" t="s">
        <v>83</v>
      </c>
      <c r="Q78" s="91"/>
      <c r="R78" s="91"/>
      <c r="S78" s="92"/>
    </row>
    <row r="79" spans="1:19" ht="18" customHeight="1" x14ac:dyDescent="0.15">
      <c r="A79" s="3"/>
      <c r="B79" s="84" t="s">
        <v>148</v>
      </c>
      <c r="C79" s="85"/>
      <c r="D79" s="85"/>
      <c r="E79" s="86"/>
      <c r="F79" s="102" t="s">
        <v>149</v>
      </c>
      <c r="G79" s="103"/>
      <c r="H79" s="103"/>
      <c r="I79" s="104"/>
      <c r="J79" s="84"/>
      <c r="K79" s="85"/>
      <c r="L79" s="85"/>
      <c r="M79" s="85"/>
      <c r="N79" s="85"/>
      <c r="O79" s="86"/>
      <c r="P79" s="102"/>
      <c r="Q79" s="103"/>
      <c r="R79" s="103"/>
      <c r="S79" s="104"/>
    </row>
    <row r="80" spans="1:19" ht="18" customHeight="1" x14ac:dyDescent="0.15">
      <c r="A80" s="3"/>
      <c r="B80" s="87" t="s">
        <v>148</v>
      </c>
      <c r="C80" s="88"/>
      <c r="D80" s="88"/>
      <c r="E80" s="89"/>
      <c r="F80" s="105" t="s">
        <v>150</v>
      </c>
      <c r="G80" s="106"/>
      <c r="H80" s="106"/>
      <c r="I80" s="107"/>
      <c r="J80" s="87"/>
      <c r="K80" s="88"/>
      <c r="L80" s="88"/>
      <c r="M80" s="88"/>
      <c r="N80" s="88"/>
      <c r="O80" s="89"/>
      <c r="P80" s="105"/>
      <c r="Q80" s="106"/>
      <c r="R80" s="106"/>
      <c r="S80" s="107"/>
    </row>
    <row r="81" spans="1:19" ht="18" customHeight="1" x14ac:dyDescent="0.15">
      <c r="A81" s="3"/>
      <c r="B81" s="87" t="s">
        <v>148</v>
      </c>
      <c r="C81" s="88"/>
      <c r="D81" s="88"/>
      <c r="E81" s="89"/>
      <c r="F81" s="105" t="s">
        <v>151</v>
      </c>
      <c r="G81" s="106"/>
      <c r="H81" s="106"/>
      <c r="I81" s="107"/>
      <c r="J81" s="87"/>
      <c r="K81" s="88"/>
      <c r="L81" s="88"/>
      <c r="M81" s="88"/>
      <c r="N81" s="88"/>
      <c r="O81" s="89"/>
      <c r="P81" s="105"/>
      <c r="Q81" s="106"/>
      <c r="R81" s="106"/>
      <c r="S81" s="107"/>
    </row>
    <row r="82" spans="1:19" ht="18" customHeight="1" x14ac:dyDescent="0.15">
      <c r="A82" s="3"/>
      <c r="B82" s="87" t="s">
        <v>148</v>
      </c>
      <c r="C82" s="88"/>
      <c r="D82" s="88"/>
      <c r="E82" s="89"/>
      <c r="F82" s="105" t="s">
        <v>152</v>
      </c>
      <c r="G82" s="106"/>
      <c r="H82" s="106"/>
      <c r="I82" s="107"/>
      <c r="J82" s="87"/>
      <c r="K82" s="88"/>
      <c r="L82" s="88"/>
      <c r="M82" s="88"/>
      <c r="N82" s="88"/>
      <c r="O82" s="89"/>
      <c r="P82" s="105"/>
      <c r="Q82" s="106"/>
      <c r="R82" s="106"/>
      <c r="S82" s="107"/>
    </row>
    <row r="83" spans="1:19" ht="18" customHeight="1" x14ac:dyDescent="0.15">
      <c r="A83" s="3"/>
      <c r="B83" s="87"/>
      <c r="C83" s="88"/>
      <c r="D83" s="88"/>
      <c r="E83" s="89"/>
      <c r="F83" s="105"/>
      <c r="G83" s="106"/>
      <c r="H83" s="106"/>
      <c r="I83" s="107"/>
      <c r="J83" s="87"/>
      <c r="K83" s="88"/>
      <c r="L83" s="88"/>
      <c r="M83" s="88"/>
      <c r="N83" s="88"/>
      <c r="O83" s="89"/>
      <c r="P83" s="105"/>
      <c r="Q83" s="106"/>
      <c r="R83" s="106"/>
      <c r="S83" s="107"/>
    </row>
    <row r="84" spans="1:19" ht="18" customHeight="1" x14ac:dyDescent="0.15">
      <c r="A84" s="3"/>
      <c r="B84" s="87"/>
      <c r="C84" s="88"/>
      <c r="D84" s="88"/>
      <c r="E84" s="89"/>
      <c r="F84" s="105"/>
      <c r="G84" s="106"/>
      <c r="H84" s="106"/>
      <c r="I84" s="107"/>
      <c r="J84" s="87"/>
      <c r="K84" s="88"/>
      <c r="L84" s="88"/>
      <c r="M84" s="88"/>
      <c r="N84" s="88"/>
      <c r="O84" s="89"/>
      <c r="P84" s="105"/>
      <c r="Q84" s="106"/>
      <c r="R84" s="106"/>
      <c r="S84" s="107"/>
    </row>
    <row r="85" spans="1:19" ht="18" customHeight="1" x14ac:dyDescent="0.15">
      <c r="A85" s="3"/>
      <c r="B85" s="93"/>
      <c r="C85" s="94"/>
      <c r="D85" s="94"/>
      <c r="E85" s="95"/>
      <c r="F85" s="114"/>
      <c r="G85" s="115"/>
      <c r="H85" s="115"/>
      <c r="I85" s="116"/>
      <c r="J85" s="93"/>
      <c r="K85" s="94"/>
      <c r="L85" s="94"/>
      <c r="M85" s="94"/>
      <c r="N85" s="94"/>
      <c r="O85" s="95"/>
      <c r="P85" s="114"/>
      <c r="Q85" s="115"/>
      <c r="R85" s="115"/>
      <c r="S85" s="116"/>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0" t="s">
        <v>55</v>
      </c>
      <c r="C88" s="101"/>
      <c r="D88" s="91" t="s">
        <v>56</v>
      </c>
      <c r="E88" s="91"/>
      <c r="F88" s="91"/>
      <c r="G88" s="91"/>
      <c r="H88" s="91"/>
      <c r="I88" s="91"/>
      <c r="J88" s="91"/>
      <c r="K88" s="91"/>
      <c r="L88" s="91"/>
      <c r="M88" s="91"/>
      <c r="N88" s="91"/>
      <c r="O88" s="91"/>
      <c r="P88" s="91"/>
      <c r="Q88" s="91"/>
      <c r="R88" s="91"/>
      <c r="S88" s="92"/>
    </row>
    <row r="89" spans="1:19" ht="120.75" customHeight="1" x14ac:dyDescent="0.15">
      <c r="B89" s="97" t="s">
        <v>62</v>
      </c>
      <c r="C89" s="28" t="s">
        <v>57</v>
      </c>
      <c r="D89" s="239" t="s">
        <v>168</v>
      </c>
      <c r="E89" s="240"/>
      <c r="F89" s="240"/>
      <c r="G89" s="240"/>
      <c r="H89" s="240"/>
      <c r="I89" s="240"/>
      <c r="J89" s="240"/>
      <c r="K89" s="240"/>
      <c r="L89" s="240"/>
      <c r="M89" s="240"/>
      <c r="N89" s="240"/>
      <c r="O89" s="240"/>
      <c r="P89" s="240"/>
      <c r="Q89" s="240"/>
      <c r="R89" s="240"/>
      <c r="S89" s="241"/>
    </row>
    <row r="90" spans="1:19" ht="97.5" customHeight="1" x14ac:dyDescent="0.15">
      <c r="B90" s="98"/>
      <c r="C90" s="29" t="s">
        <v>78</v>
      </c>
      <c r="D90" s="242" t="s">
        <v>167</v>
      </c>
      <c r="E90" s="243"/>
      <c r="F90" s="243"/>
      <c r="G90" s="243"/>
      <c r="H90" s="243"/>
      <c r="I90" s="243"/>
      <c r="J90" s="243"/>
      <c r="K90" s="243"/>
      <c r="L90" s="243"/>
      <c r="M90" s="243"/>
      <c r="N90" s="243"/>
      <c r="O90" s="243"/>
      <c r="P90" s="243"/>
      <c r="Q90" s="243"/>
      <c r="R90" s="243"/>
      <c r="S90" s="244"/>
    </row>
    <row r="91" spans="1:19" ht="102" customHeight="1" x14ac:dyDescent="0.15">
      <c r="B91" s="97" t="s">
        <v>63</v>
      </c>
      <c r="C91" s="30" t="s">
        <v>72</v>
      </c>
      <c r="D91" s="245" t="s">
        <v>169</v>
      </c>
      <c r="E91" s="246"/>
      <c r="F91" s="246"/>
      <c r="G91" s="246"/>
      <c r="H91" s="246"/>
      <c r="I91" s="246"/>
      <c r="J91" s="246"/>
      <c r="K91" s="246"/>
      <c r="L91" s="246"/>
      <c r="M91" s="246"/>
      <c r="N91" s="246"/>
      <c r="O91" s="246"/>
      <c r="P91" s="246"/>
      <c r="Q91" s="246"/>
      <c r="R91" s="246"/>
      <c r="S91" s="247"/>
    </row>
    <row r="92" spans="1:19" ht="97.5" customHeight="1" x14ac:dyDescent="0.15">
      <c r="B92" s="99"/>
      <c r="C92" s="31" t="s">
        <v>73</v>
      </c>
      <c r="D92" s="248" t="s">
        <v>170</v>
      </c>
      <c r="E92" s="249"/>
      <c r="F92" s="249"/>
      <c r="G92" s="249"/>
      <c r="H92" s="249"/>
      <c r="I92" s="249"/>
      <c r="J92" s="249"/>
      <c r="K92" s="249"/>
      <c r="L92" s="249"/>
      <c r="M92" s="249"/>
      <c r="N92" s="249"/>
      <c r="O92" s="249"/>
      <c r="P92" s="249"/>
      <c r="Q92" s="249"/>
      <c r="R92" s="249"/>
      <c r="S92" s="250"/>
    </row>
    <row r="93" spans="1:19" ht="97.5" customHeight="1" x14ac:dyDescent="0.15">
      <c r="B93" s="97" t="s">
        <v>64</v>
      </c>
      <c r="C93" s="30" t="s">
        <v>74</v>
      </c>
      <c r="D93" s="245" t="s">
        <v>171</v>
      </c>
      <c r="E93" s="246"/>
      <c r="F93" s="246"/>
      <c r="G93" s="246"/>
      <c r="H93" s="246"/>
      <c r="I93" s="246"/>
      <c r="J93" s="246"/>
      <c r="K93" s="246"/>
      <c r="L93" s="246"/>
      <c r="M93" s="246"/>
      <c r="N93" s="246"/>
      <c r="O93" s="246"/>
      <c r="P93" s="246"/>
      <c r="Q93" s="246"/>
      <c r="R93" s="246"/>
      <c r="S93" s="247"/>
    </row>
    <row r="94" spans="1:19" ht="97.5" customHeight="1" x14ac:dyDescent="0.15">
      <c r="B94" s="99"/>
      <c r="C94" s="32" t="s">
        <v>75</v>
      </c>
      <c r="D94" s="251" t="s">
        <v>172</v>
      </c>
      <c r="E94" s="252"/>
      <c r="F94" s="252"/>
      <c r="G94" s="252"/>
      <c r="H94" s="252"/>
      <c r="I94" s="252"/>
      <c r="J94" s="252"/>
      <c r="K94" s="252"/>
      <c r="L94" s="252"/>
      <c r="M94" s="252"/>
      <c r="N94" s="252"/>
      <c r="O94" s="252"/>
      <c r="P94" s="252"/>
      <c r="Q94" s="252"/>
      <c r="R94" s="252"/>
      <c r="S94" s="253"/>
    </row>
    <row r="95" spans="1:19" ht="120.75" customHeight="1" x14ac:dyDescent="0.15">
      <c r="B95" s="97" t="s">
        <v>79</v>
      </c>
      <c r="C95" s="28" t="s">
        <v>59</v>
      </c>
      <c r="D95" s="239" t="s">
        <v>173</v>
      </c>
      <c r="E95" s="240"/>
      <c r="F95" s="240"/>
      <c r="G95" s="240"/>
      <c r="H95" s="240"/>
      <c r="I95" s="240"/>
      <c r="J95" s="240"/>
      <c r="K95" s="240"/>
      <c r="L95" s="240"/>
      <c r="M95" s="240"/>
      <c r="N95" s="240"/>
      <c r="O95" s="240"/>
      <c r="P95" s="240"/>
      <c r="Q95" s="240"/>
      <c r="R95" s="240"/>
      <c r="S95" s="241"/>
    </row>
    <row r="96" spans="1:19" ht="97.5" customHeight="1" x14ac:dyDescent="0.15">
      <c r="B96" s="99"/>
      <c r="C96" s="31" t="s">
        <v>61</v>
      </c>
      <c r="D96" s="248" t="s">
        <v>174</v>
      </c>
      <c r="E96" s="249"/>
      <c r="F96" s="249"/>
      <c r="G96" s="249"/>
      <c r="H96" s="249"/>
      <c r="I96" s="249"/>
      <c r="J96" s="249"/>
      <c r="K96" s="249"/>
      <c r="L96" s="249"/>
      <c r="M96" s="249"/>
      <c r="N96" s="249"/>
      <c r="O96" s="249"/>
      <c r="P96" s="249"/>
      <c r="Q96" s="249"/>
      <c r="R96" s="249"/>
      <c r="S96" s="250"/>
    </row>
    <row r="97" spans="1:19" ht="164.25" customHeight="1" x14ac:dyDescent="0.15">
      <c r="B97" s="97" t="s">
        <v>80</v>
      </c>
      <c r="C97" s="30" t="s">
        <v>58</v>
      </c>
      <c r="D97" s="254" t="s">
        <v>175</v>
      </c>
      <c r="E97" s="255"/>
      <c r="F97" s="255"/>
      <c r="G97" s="255"/>
      <c r="H97" s="255"/>
      <c r="I97" s="255"/>
      <c r="J97" s="255"/>
      <c r="K97" s="255"/>
      <c r="L97" s="255"/>
      <c r="M97" s="255"/>
      <c r="N97" s="255"/>
      <c r="O97" s="255"/>
      <c r="P97" s="255"/>
      <c r="Q97" s="255"/>
      <c r="R97" s="255"/>
      <c r="S97" s="256"/>
    </row>
    <row r="98" spans="1:19" ht="105" customHeight="1" x14ac:dyDescent="0.15">
      <c r="B98" s="98"/>
      <c r="C98" s="33" t="s">
        <v>76</v>
      </c>
      <c r="D98" s="257" t="s">
        <v>176</v>
      </c>
      <c r="E98" s="258"/>
      <c r="F98" s="258"/>
      <c r="G98" s="258"/>
      <c r="H98" s="258"/>
      <c r="I98" s="258"/>
      <c r="J98" s="258"/>
      <c r="K98" s="258"/>
      <c r="L98" s="258"/>
      <c r="M98" s="258"/>
      <c r="N98" s="258"/>
      <c r="O98" s="258"/>
      <c r="P98" s="258"/>
      <c r="Q98" s="258"/>
      <c r="R98" s="258"/>
      <c r="S98" s="259"/>
    </row>
    <row r="99" spans="1:19" ht="97.5" customHeight="1" x14ac:dyDescent="0.15">
      <c r="B99" s="99"/>
      <c r="C99" s="32" t="s">
        <v>77</v>
      </c>
      <c r="D99" s="260" t="s">
        <v>177</v>
      </c>
      <c r="E99" s="261"/>
      <c r="F99" s="261"/>
      <c r="G99" s="261"/>
      <c r="H99" s="261"/>
      <c r="I99" s="261"/>
      <c r="J99" s="261"/>
      <c r="K99" s="261"/>
      <c r="L99" s="261"/>
      <c r="M99" s="261"/>
      <c r="N99" s="261"/>
      <c r="O99" s="261"/>
      <c r="P99" s="261"/>
      <c r="Q99" s="261"/>
      <c r="R99" s="261"/>
      <c r="S99" s="262"/>
    </row>
    <row r="100" spans="1:19" ht="6" customHeight="1" x14ac:dyDescent="0.15"/>
    <row r="101" spans="1:19" ht="18.75" customHeight="1" x14ac:dyDescent="0.15">
      <c r="A101" s="1" t="s">
        <v>121</v>
      </c>
    </row>
    <row r="102" spans="1:19" ht="81.75" customHeight="1" x14ac:dyDescent="0.15">
      <c r="B102" s="111" t="s">
        <v>153</v>
      </c>
      <c r="C102" s="112"/>
      <c r="D102" s="112"/>
      <c r="E102" s="112"/>
      <c r="F102" s="112"/>
      <c r="G102" s="112"/>
      <c r="H102" s="112"/>
      <c r="I102" s="112"/>
      <c r="J102" s="112"/>
      <c r="K102" s="112"/>
      <c r="L102" s="112"/>
      <c r="M102" s="112"/>
      <c r="N102" s="112"/>
      <c r="O102" s="112"/>
      <c r="P102" s="112"/>
      <c r="Q102" s="112"/>
      <c r="R102" s="112"/>
      <c r="S102" s="113"/>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C6" sqref="C6"/>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43" t="str">
        <f>'様式１　プログラムを構成する授業科目'!C2</f>
        <v>静岡理工科大学</v>
      </c>
      <c r="AN2" s="143"/>
      <c r="AO2" s="143"/>
      <c r="AP2" s="143"/>
      <c r="AQ2" s="143"/>
    </row>
    <row r="3" spans="1:45" ht="18" customHeight="1" x14ac:dyDescent="0.15">
      <c r="A3" s="121" t="s">
        <v>48</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4" t="s">
        <v>166</v>
      </c>
      <c r="D5" s="145"/>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46" t="s">
        <v>45</v>
      </c>
      <c r="C9" s="161" t="s">
        <v>87</v>
      </c>
      <c r="D9" s="149" t="s">
        <v>47</v>
      </c>
      <c r="E9" s="152" t="s">
        <v>40</v>
      </c>
      <c r="F9" s="140" t="s">
        <v>86</v>
      </c>
      <c r="G9" s="140"/>
      <c r="H9" s="140"/>
      <c r="I9" s="140"/>
      <c r="J9" s="140"/>
      <c r="K9" s="140"/>
      <c r="L9" s="140" t="s">
        <v>49</v>
      </c>
      <c r="M9" s="140"/>
      <c r="N9" s="140"/>
      <c r="O9" s="140"/>
      <c r="P9" s="140"/>
      <c r="Q9" s="140"/>
      <c r="R9" s="140" t="s">
        <v>50</v>
      </c>
      <c r="S9" s="140"/>
      <c r="T9" s="140"/>
      <c r="U9" s="140"/>
      <c r="V9" s="140"/>
      <c r="W9" s="140"/>
      <c r="X9" s="140" t="s">
        <v>101</v>
      </c>
      <c r="Y9" s="140"/>
      <c r="Z9" s="140"/>
      <c r="AA9" s="140"/>
      <c r="AB9" s="140"/>
      <c r="AC9" s="140"/>
      <c r="AD9" s="140" t="s">
        <v>51</v>
      </c>
      <c r="AE9" s="140"/>
      <c r="AF9" s="140"/>
      <c r="AG9" s="140"/>
      <c r="AH9" s="140"/>
      <c r="AI9" s="140"/>
      <c r="AJ9" s="140" t="s">
        <v>52</v>
      </c>
      <c r="AK9" s="140"/>
      <c r="AL9" s="140"/>
      <c r="AM9" s="140"/>
      <c r="AN9" s="140"/>
      <c r="AO9" s="140"/>
      <c r="AP9" s="155" t="s">
        <v>35</v>
      </c>
      <c r="AQ9" s="158" t="s">
        <v>32</v>
      </c>
      <c r="AS9" s="2"/>
    </row>
    <row r="10" spans="1:45" ht="16.899999999999999" customHeight="1" x14ac:dyDescent="0.15">
      <c r="B10" s="147"/>
      <c r="C10" s="162"/>
      <c r="D10" s="150"/>
      <c r="E10" s="153"/>
      <c r="F10" s="141" t="s">
        <v>97</v>
      </c>
      <c r="G10" s="142"/>
      <c r="H10" s="142"/>
      <c r="I10" s="141" t="s">
        <v>29</v>
      </c>
      <c r="J10" s="142"/>
      <c r="K10" s="142"/>
      <c r="L10" s="141" t="s">
        <v>97</v>
      </c>
      <c r="M10" s="142"/>
      <c r="N10" s="142"/>
      <c r="O10" s="141" t="s">
        <v>29</v>
      </c>
      <c r="P10" s="142"/>
      <c r="Q10" s="142"/>
      <c r="R10" s="141" t="s">
        <v>97</v>
      </c>
      <c r="S10" s="142"/>
      <c r="T10" s="142"/>
      <c r="U10" s="141" t="s">
        <v>29</v>
      </c>
      <c r="V10" s="142"/>
      <c r="W10" s="142"/>
      <c r="X10" s="141" t="s">
        <v>97</v>
      </c>
      <c r="Y10" s="142"/>
      <c r="Z10" s="142"/>
      <c r="AA10" s="141" t="s">
        <v>29</v>
      </c>
      <c r="AB10" s="142"/>
      <c r="AC10" s="142"/>
      <c r="AD10" s="141" t="s">
        <v>97</v>
      </c>
      <c r="AE10" s="142"/>
      <c r="AF10" s="142"/>
      <c r="AG10" s="141" t="s">
        <v>29</v>
      </c>
      <c r="AH10" s="142"/>
      <c r="AI10" s="142"/>
      <c r="AJ10" s="141" t="s">
        <v>97</v>
      </c>
      <c r="AK10" s="142"/>
      <c r="AL10" s="142"/>
      <c r="AM10" s="141" t="s">
        <v>29</v>
      </c>
      <c r="AN10" s="142"/>
      <c r="AO10" s="142"/>
      <c r="AP10" s="156"/>
      <c r="AQ10" s="159"/>
      <c r="AS10" s="2"/>
    </row>
    <row r="11" spans="1:45" ht="18" customHeight="1" x14ac:dyDescent="0.15">
      <c r="B11" s="148"/>
      <c r="C11" s="163"/>
      <c r="D11" s="151"/>
      <c r="E11" s="154"/>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57"/>
      <c r="AQ11" s="160"/>
      <c r="AS11" s="2"/>
    </row>
    <row r="12" spans="1:45" ht="18" customHeight="1" x14ac:dyDescent="0.15">
      <c r="A12" s="6"/>
      <c r="B12" s="11" t="s">
        <v>132</v>
      </c>
      <c r="C12" s="82">
        <v>922</v>
      </c>
      <c r="D12" s="63">
        <v>290</v>
      </c>
      <c r="E12" s="64">
        <v>1020</v>
      </c>
      <c r="F12" s="64">
        <f>G12+H12</f>
        <v>96</v>
      </c>
      <c r="G12" s="65">
        <v>87</v>
      </c>
      <c r="H12" s="66">
        <v>9</v>
      </c>
      <c r="I12" s="64">
        <f>J12+K12</f>
        <v>73</v>
      </c>
      <c r="J12" s="65">
        <v>69</v>
      </c>
      <c r="K12" s="66">
        <v>4</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96</v>
      </c>
      <c r="AQ12" s="21">
        <f>AP12/E12</f>
        <v>9.4117647058823528E-2</v>
      </c>
    </row>
    <row r="13" spans="1:45" ht="18" customHeight="1" x14ac:dyDescent="0.15">
      <c r="A13" s="6"/>
      <c r="B13" s="12" t="s">
        <v>133</v>
      </c>
      <c r="C13" s="83">
        <v>507</v>
      </c>
      <c r="D13" s="68">
        <v>130</v>
      </c>
      <c r="E13" s="69">
        <v>510</v>
      </c>
      <c r="F13" s="70">
        <f t="shared" ref="F13:F31" si="0">G13+H13</f>
        <v>96</v>
      </c>
      <c r="G13" s="71">
        <v>86</v>
      </c>
      <c r="H13" s="72">
        <v>10</v>
      </c>
      <c r="I13" s="70">
        <f t="shared" ref="I13:I31" si="1">J13+K13</f>
        <v>77</v>
      </c>
      <c r="J13" s="71">
        <v>68</v>
      </c>
      <c r="K13" s="72">
        <v>9</v>
      </c>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96</v>
      </c>
      <c r="AQ13" s="20">
        <f t="shared" ref="AQ13:AQ32" si="13">AP13/E13</f>
        <v>0.18823529411764706</v>
      </c>
    </row>
    <row r="14" spans="1:45" ht="18" customHeight="1" x14ac:dyDescent="0.15">
      <c r="A14" s="6"/>
      <c r="B14" s="12"/>
      <c r="C14" s="67"/>
      <c r="D14" s="68"/>
      <c r="E14" s="69"/>
      <c r="F14" s="70">
        <f t="shared" si="0"/>
        <v>0</v>
      </c>
      <c r="G14" s="71"/>
      <c r="H14" s="72"/>
      <c r="I14" s="70">
        <f t="shared" si="1"/>
        <v>0</v>
      </c>
      <c r="J14" s="71"/>
      <c r="K14" s="72"/>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0</v>
      </c>
      <c r="AQ14" s="8" t="e">
        <f t="shared" si="13"/>
        <v>#DIV/0!</v>
      </c>
    </row>
    <row r="15" spans="1:45" ht="18" customHeight="1" x14ac:dyDescent="0.15">
      <c r="A15" s="6"/>
      <c r="B15" s="12"/>
      <c r="C15" s="67"/>
      <c r="D15" s="68"/>
      <c r="E15" s="69"/>
      <c r="F15" s="70">
        <f t="shared" si="0"/>
        <v>0</v>
      </c>
      <c r="G15" s="71"/>
      <c r="H15" s="72"/>
      <c r="I15" s="70">
        <f t="shared" si="1"/>
        <v>0</v>
      </c>
      <c r="J15" s="71"/>
      <c r="K15" s="72"/>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0</v>
      </c>
      <c r="AQ15" s="8" t="e">
        <f t="shared" si="13"/>
        <v>#DIV/0!</v>
      </c>
    </row>
    <row r="16" spans="1:45" ht="18" customHeight="1" x14ac:dyDescent="0.15">
      <c r="A16" s="6"/>
      <c r="B16" s="12"/>
      <c r="C16" s="67"/>
      <c r="D16" s="68"/>
      <c r="E16" s="69"/>
      <c r="F16" s="70">
        <f t="shared" si="0"/>
        <v>0</v>
      </c>
      <c r="G16" s="71"/>
      <c r="H16" s="72"/>
      <c r="I16" s="70">
        <f t="shared" si="1"/>
        <v>0</v>
      </c>
      <c r="J16" s="71"/>
      <c r="K16" s="72"/>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0</v>
      </c>
      <c r="AQ16" s="8" t="e">
        <f t="shared" si="13"/>
        <v>#DIV/0!</v>
      </c>
    </row>
    <row r="17" spans="1:43" ht="18" customHeight="1" x14ac:dyDescent="0.15">
      <c r="A17" s="6"/>
      <c r="B17" s="12"/>
      <c r="C17" s="67"/>
      <c r="D17" s="68"/>
      <c r="E17" s="69"/>
      <c r="F17" s="70">
        <f t="shared" si="0"/>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0</v>
      </c>
      <c r="AQ17" s="8" t="e">
        <f t="shared" si="13"/>
        <v>#DIV/0!</v>
      </c>
    </row>
    <row r="18" spans="1:43" ht="18" customHeight="1" x14ac:dyDescent="0.15">
      <c r="A18" s="6"/>
      <c r="B18" s="12"/>
      <c r="C18" s="67"/>
      <c r="D18" s="68"/>
      <c r="E18" s="69"/>
      <c r="F18" s="70">
        <f t="shared" si="0"/>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0</v>
      </c>
      <c r="AQ18" s="8" t="e">
        <f t="shared" si="13"/>
        <v>#DIV/0!</v>
      </c>
    </row>
    <row r="19" spans="1:43" ht="18" customHeight="1" x14ac:dyDescent="0.15">
      <c r="A19" s="6"/>
      <c r="B19" s="12"/>
      <c r="C19" s="67"/>
      <c r="D19" s="68"/>
      <c r="E19" s="69"/>
      <c r="F19" s="70">
        <f t="shared" si="0"/>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t="e">
        <f t="shared" si="13"/>
        <v>#DIV/0!</v>
      </c>
    </row>
    <row r="20" spans="1:43" ht="18" customHeight="1" x14ac:dyDescent="0.15">
      <c r="A20" s="6"/>
      <c r="B20" s="12"/>
      <c r="C20" s="67"/>
      <c r="D20" s="68"/>
      <c r="E20" s="69"/>
      <c r="F20" s="70">
        <f t="shared" si="0"/>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0</v>
      </c>
      <c r="AQ20" s="8" t="e">
        <f t="shared" si="13"/>
        <v>#DIV/0!</v>
      </c>
    </row>
    <row r="21" spans="1:43" ht="18" customHeight="1" x14ac:dyDescent="0.15">
      <c r="A21" s="6"/>
      <c r="B21" s="12"/>
      <c r="C21" s="67"/>
      <c r="D21" s="68"/>
      <c r="E21" s="69"/>
      <c r="F21" s="70">
        <f t="shared" si="0"/>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13"/>
        <v>#DIV/0!</v>
      </c>
    </row>
    <row r="22" spans="1:43" ht="18" customHeight="1" x14ac:dyDescent="0.15">
      <c r="A22" s="6"/>
      <c r="B22" s="12"/>
      <c r="C22" s="67"/>
      <c r="D22" s="68"/>
      <c r="E22" s="69"/>
      <c r="F22" s="70">
        <f t="shared" si="0"/>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13"/>
        <v>#DIV/0!</v>
      </c>
    </row>
    <row r="23" spans="1:43" ht="18" customHeight="1" x14ac:dyDescent="0.15">
      <c r="A23" s="6"/>
      <c r="B23" s="12"/>
      <c r="C23" s="67"/>
      <c r="D23" s="68"/>
      <c r="E23" s="69"/>
      <c r="F23" s="70">
        <f t="shared" si="0"/>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13"/>
        <v>#DIV/0!</v>
      </c>
    </row>
    <row r="24" spans="1:43" ht="18" customHeight="1" x14ac:dyDescent="0.15">
      <c r="A24" s="6"/>
      <c r="B24" s="12"/>
      <c r="C24" s="67"/>
      <c r="D24" s="68"/>
      <c r="E24" s="69"/>
      <c r="F24" s="70">
        <f t="shared" si="0"/>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13"/>
        <v>#DIV/0!</v>
      </c>
    </row>
    <row r="25" spans="1:43" ht="18" customHeight="1" x14ac:dyDescent="0.15">
      <c r="A25" s="6"/>
      <c r="B25" s="12"/>
      <c r="C25" s="67"/>
      <c r="D25" s="68"/>
      <c r="E25" s="69"/>
      <c r="F25" s="70">
        <f t="shared" si="0"/>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13"/>
        <v>#DIV/0!</v>
      </c>
    </row>
    <row r="26" spans="1:43" ht="18" customHeight="1" x14ac:dyDescent="0.15">
      <c r="A26" s="6"/>
      <c r="B26" s="12"/>
      <c r="C26" s="67"/>
      <c r="D26" s="68"/>
      <c r="E26" s="69"/>
      <c r="F26" s="70">
        <f t="shared" si="0"/>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13"/>
        <v>#DIV/0!</v>
      </c>
    </row>
    <row r="27" spans="1:43" ht="18" customHeight="1" x14ac:dyDescent="0.15">
      <c r="A27" s="6"/>
      <c r="B27" s="12"/>
      <c r="C27" s="67"/>
      <c r="D27" s="68"/>
      <c r="E27" s="69"/>
      <c r="F27" s="70">
        <f t="shared" si="0"/>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13"/>
        <v>#DIV/0!</v>
      </c>
    </row>
    <row r="28" spans="1:43" ht="18" customHeight="1" x14ac:dyDescent="0.15">
      <c r="A28" s="6"/>
      <c r="B28" s="12"/>
      <c r="C28" s="67"/>
      <c r="D28" s="68"/>
      <c r="E28" s="69"/>
      <c r="F28" s="70">
        <f t="shared" si="0"/>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13"/>
        <v>#DIV/0!</v>
      </c>
    </row>
    <row r="29" spans="1:43" ht="18" customHeight="1" x14ac:dyDescent="0.15">
      <c r="A29" s="6"/>
      <c r="B29" s="12"/>
      <c r="C29" s="67"/>
      <c r="D29" s="73"/>
      <c r="E29" s="69"/>
      <c r="F29" s="70">
        <f t="shared" si="0"/>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13"/>
        <v>#DIV/0!</v>
      </c>
    </row>
    <row r="30" spans="1:43" ht="18" customHeight="1" x14ac:dyDescent="0.15">
      <c r="A30" s="6"/>
      <c r="B30" s="12"/>
      <c r="C30" s="67"/>
      <c r="D30" s="73"/>
      <c r="E30" s="69"/>
      <c r="F30" s="70">
        <f t="shared" si="0"/>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13"/>
        <v>#DIV/0!</v>
      </c>
    </row>
    <row r="31" spans="1:43" ht="18" customHeight="1" thickBot="1" x14ac:dyDescent="0.2">
      <c r="A31" s="6"/>
      <c r="B31" s="13"/>
      <c r="C31" s="62"/>
      <c r="D31" s="74"/>
      <c r="E31" s="64"/>
      <c r="F31" s="64">
        <f t="shared" si="0"/>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13"/>
        <v>#DIV/0!</v>
      </c>
    </row>
    <row r="32" spans="1:43" ht="18" customHeight="1" thickTop="1" x14ac:dyDescent="0.15">
      <c r="B32" s="14" t="s">
        <v>33</v>
      </c>
      <c r="C32" s="77">
        <f t="shared" ref="C32" si="14">SUM(C12:C31)</f>
        <v>1429</v>
      </c>
      <c r="D32" s="78">
        <f t="shared" ref="D32:AP32" si="15">SUM(D12:D31)</f>
        <v>420</v>
      </c>
      <c r="E32" s="79">
        <f t="shared" si="15"/>
        <v>1530</v>
      </c>
      <c r="F32" s="79">
        <f t="shared" si="15"/>
        <v>192</v>
      </c>
      <c r="G32" s="80">
        <f t="shared" si="15"/>
        <v>173</v>
      </c>
      <c r="H32" s="81">
        <f t="shared" si="15"/>
        <v>19</v>
      </c>
      <c r="I32" s="79">
        <f t="shared" ref="I32:N32" si="16">SUM(I12:I31)</f>
        <v>150</v>
      </c>
      <c r="J32" s="80">
        <f t="shared" si="16"/>
        <v>137</v>
      </c>
      <c r="K32" s="81">
        <f t="shared" si="16"/>
        <v>13</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192</v>
      </c>
      <c r="AQ32" s="9">
        <f t="shared" si="13"/>
        <v>0.12549019607843137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I50" sqref="I50"/>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90" t="str">
        <f>'様式１　プログラムを構成する授業科目'!C2</f>
        <v>静岡理工科大学</v>
      </c>
      <c r="I2" s="92"/>
    </row>
    <row r="3" spans="1:9" ht="18.75" customHeight="1" x14ac:dyDescent="0.15">
      <c r="G3" s="35"/>
      <c r="H3" s="10"/>
      <c r="I3" s="10"/>
    </row>
    <row r="4" spans="1:9" ht="18.600000000000001" customHeight="1" x14ac:dyDescent="0.15">
      <c r="A4" s="121" t="s">
        <v>36</v>
      </c>
      <c r="B4" s="121"/>
      <c r="C4" s="121"/>
      <c r="D4" s="121"/>
      <c r="E4" s="121"/>
      <c r="F4" s="121"/>
      <c r="G4" s="121"/>
      <c r="H4" s="121"/>
      <c r="I4" s="121"/>
    </row>
    <row r="5" spans="1:9" ht="13.15" customHeight="1" x14ac:dyDescent="0.15">
      <c r="B5" s="3"/>
      <c r="C5" s="3"/>
      <c r="D5" s="3"/>
      <c r="E5" s="3"/>
      <c r="F5" s="3"/>
      <c r="G5" s="3"/>
      <c r="H5" s="3"/>
      <c r="I5" s="3"/>
    </row>
    <row r="6" spans="1:9" ht="18" customHeight="1" x14ac:dyDescent="0.15">
      <c r="A6" s="1" t="s">
        <v>0</v>
      </c>
      <c r="B6" s="10" t="s">
        <v>91</v>
      </c>
      <c r="C6" s="187" t="s">
        <v>92</v>
      </c>
      <c r="D6" s="187"/>
      <c r="E6" s="34">
        <v>77</v>
      </c>
      <c r="F6" s="3" t="s">
        <v>1</v>
      </c>
      <c r="G6" s="3" t="s">
        <v>2</v>
      </c>
      <c r="H6" s="34">
        <v>55</v>
      </c>
      <c r="I6" s="10" t="s">
        <v>1</v>
      </c>
    </row>
    <row r="7" spans="1:9" ht="12" customHeight="1" x14ac:dyDescent="0.15">
      <c r="C7" s="2"/>
      <c r="D7" s="2"/>
      <c r="E7" s="2"/>
      <c r="F7" s="2"/>
      <c r="G7" s="2"/>
      <c r="H7" s="2"/>
      <c r="I7" s="42"/>
    </row>
    <row r="8" spans="1:9" ht="18" customHeight="1" x14ac:dyDescent="0.15">
      <c r="A8" s="1" t="s">
        <v>3</v>
      </c>
      <c r="B8" s="10" t="s">
        <v>93</v>
      </c>
      <c r="E8" s="3"/>
      <c r="F8" s="3"/>
      <c r="G8" s="3"/>
      <c r="H8" s="34">
        <v>10</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182" t="s">
        <v>163</v>
      </c>
      <c r="D11" s="185"/>
      <c r="E11" s="186"/>
      <c r="F11" s="42"/>
      <c r="G11" s="35" t="s">
        <v>10</v>
      </c>
      <c r="H11" s="182" t="s">
        <v>134</v>
      </c>
      <c r="I11" s="186"/>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182" t="s">
        <v>135</v>
      </c>
      <c r="C14" s="183"/>
      <c r="D14" s="183"/>
      <c r="E14" s="183"/>
      <c r="F14" s="183"/>
      <c r="G14" s="183"/>
      <c r="H14" s="183"/>
      <c r="I14" s="184"/>
    </row>
    <row r="15" spans="1:9" ht="9" customHeight="1" x14ac:dyDescent="0.15">
      <c r="B15" s="3"/>
      <c r="C15" s="3"/>
      <c r="D15" s="3"/>
      <c r="E15" s="3"/>
      <c r="F15" s="3"/>
      <c r="G15" s="3"/>
      <c r="H15" s="3"/>
      <c r="I15" s="3"/>
    </row>
    <row r="16" spans="1:9" ht="18" customHeight="1" x14ac:dyDescent="0.15">
      <c r="B16" s="35" t="s">
        <v>43</v>
      </c>
      <c r="C16" s="182" t="s">
        <v>164</v>
      </c>
      <c r="D16" s="185"/>
      <c r="E16" s="186"/>
      <c r="F16" s="42"/>
      <c r="G16" s="35" t="s">
        <v>10</v>
      </c>
      <c r="H16" s="182" t="s">
        <v>136</v>
      </c>
      <c r="I16" s="186"/>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74" t="s">
        <v>156</v>
      </c>
      <c r="C19" s="175"/>
      <c r="D19" s="175"/>
      <c r="E19" s="175"/>
      <c r="F19" s="175"/>
      <c r="G19" s="175"/>
      <c r="H19" s="175"/>
      <c r="I19" s="17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64" t="s">
        <v>157</v>
      </c>
      <c r="C22" s="165"/>
      <c r="D22" s="165"/>
      <c r="E22" s="165"/>
      <c r="F22" s="165"/>
      <c r="G22" s="165"/>
      <c r="H22" s="165"/>
      <c r="I22" s="166"/>
    </row>
    <row r="23" spans="1:9" ht="18.75" customHeight="1" x14ac:dyDescent="0.15">
      <c r="A23" s="15"/>
      <c r="B23" s="177"/>
      <c r="C23" s="178"/>
      <c r="D23" s="178"/>
      <c r="E23" s="178"/>
      <c r="F23" s="178"/>
      <c r="G23" s="178"/>
      <c r="H23" s="178"/>
      <c r="I23" s="169"/>
    </row>
    <row r="24" spans="1:9" ht="18.75" customHeight="1" x14ac:dyDescent="0.15">
      <c r="A24" s="15"/>
      <c r="B24" s="177"/>
      <c r="C24" s="178"/>
      <c r="D24" s="178"/>
      <c r="E24" s="178"/>
      <c r="F24" s="178"/>
      <c r="G24" s="178"/>
      <c r="H24" s="178"/>
      <c r="I24" s="169"/>
    </row>
    <row r="25" spans="1:9" ht="18.75" customHeight="1" x14ac:dyDescent="0.15">
      <c r="A25" s="15"/>
      <c r="B25" s="177"/>
      <c r="C25" s="178"/>
      <c r="D25" s="178"/>
      <c r="E25" s="178"/>
      <c r="F25" s="178"/>
      <c r="G25" s="178"/>
      <c r="H25" s="178"/>
      <c r="I25" s="169"/>
    </row>
    <row r="26" spans="1:9" ht="18.75" customHeight="1" x14ac:dyDescent="0.15">
      <c r="A26" s="15"/>
      <c r="B26" s="177"/>
      <c r="C26" s="178"/>
      <c r="D26" s="178"/>
      <c r="E26" s="178"/>
      <c r="F26" s="178"/>
      <c r="G26" s="178"/>
      <c r="H26" s="178"/>
      <c r="I26" s="169"/>
    </row>
    <row r="27" spans="1:9" ht="18.75" customHeight="1" x14ac:dyDescent="0.15">
      <c r="A27" s="15"/>
      <c r="B27" s="177"/>
      <c r="C27" s="178"/>
      <c r="D27" s="178"/>
      <c r="E27" s="178"/>
      <c r="F27" s="178"/>
      <c r="G27" s="178"/>
      <c r="H27" s="178"/>
      <c r="I27" s="169"/>
    </row>
    <row r="28" spans="1:9" ht="18.75" customHeight="1" x14ac:dyDescent="0.15">
      <c r="A28" s="15"/>
      <c r="B28" s="177"/>
      <c r="C28" s="178"/>
      <c r="D28" s="178"/>
      <c r="E28" s="178"/>
      <c r="F28" s="178"/>
      <c r="G28" s="178"/>
      <c r="H28" s="178"/>
      <c r="I28" s="169"/>
    </row>
    <row r="29" spans="1:9" ht="18.75" customHeight="1" x14ac:dyDescent="0.15">
      <c r="A29" s="15"/>
      <c r="B29" s="177"/>
      <c r="C29" s="178"/>
      <c r="D29" s="178"/>
      <c r="E29" s="178"/>
      <c r="F29" s="178"/>
      <c r="G29" s="178"/>
      <c r="H29" s="178"/>
      <c r="I29" s="169"/>
    </row>
    <row r="30" spans="1:9" ht="18.75" customHeight="1" x14ac:dyDescent="0.15">
      <c r="A30" s="15"/>
      <c r="B30" s="167"/>
      <c r="C30" s="168"/>
      <c r="D30" s="168"/>
      <c r="E30" s="168"/>
      <c r="F30" s="168"/>
      <c r="G30" s="168"/>
      <c r="H30" s="168"/>
      <c r="I30" s="169"/>
    </row>
    <row r="31" spans="1:9" ht="18.75" customHeight="1" x14ac:dyDescent="0.15">
      <c r="A31" s="15"/>
      <c r="B31" s="167"/>
      <c r="C31" s="168"/>
      <c r="D31" s="168"/>
      <c r="E31" s="168"/>
      <c r="F31" s="168"/>
      <c r="G31" s="168"/>
      <c r="H31" s="168"/>
      <c r="I31" s="169"/>
    </row>
    <row r="32" spans="1:9" ht="18.75" customHeight="1" x14ac:dyDescent="0.15">
      <c r="A32" s="15"/>
      <c r="B32" s="170"/>
      <c r="C32" s="171"/>
      <c r="D32" s="171"/>
      <c r="E32" s="171"/>
      <c r="F32" s="171"/>
      <c r="G32" s="171"/>
      <c r="H32" s="171"/>
      <c r="I32" s="17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64" t="s">
        <v>165</v>
      </c>
      <c r="C35" s="165"/>
      <c r="D35" s="165"/>
      <c r="E35" s="165"/>
      <c r="F35" s="165"/>
      <c r="G35" s="165"/>
      <c r="H35" s="165"/>
      <c r="I35" s="166"/>
    </row>
    <row r="36" spans="1:9" ht="18.75" customHeight="1" x14ac:dyDescent="0.15">
      <c r="A36" s="15"/>
      <c r="B36" s="167"/>
      <c r="C36" s="168"/>
      <c r="D36" s="168"/>
      <c r="E36" s="168"/>
      <c r="F36" s="168"/>
      <c r="G36" s="168"/>
      <c r="H36" s="168"/>
      <c r="I36" s="169"/>
    </row>
    <row r="37" spans="1:9" ht="18.75" customHeight="1" x14ac:dyDescent="0.15">
      <c r="A37" s="15"/>
      <c r="B37" s="167"/>
      <c r="C37" s="168"/>
      <c r="D37" s="168"/>
      <c r="E37" s="168"/>
      <c r="F37" s="168"/>
      <c r="G37" s="168"/>
      <c r="H37" s="168"/>
      <c r="I37" s="169"/>
    </row>
    <row r="38" spans="1:9" ht="18.75" customHeight="1" x14ac:dyDescent="0.15">
      <c r="A38" s="15"/>
      <c r="B38" s="167"/>
      <c r="C38" s="168"/>
      <c r="D38" s="168"/>
      <c r="E38" s="168"/>
      <c r="F38" s="168"/>
      <c r="G38" s="168"/>
      <c r="H38" s="168"/>
      <c r="I38" s="169"/>
    </row>
    <row r="39" spans="1:9" ht="18.75" customHeight="1" x14ac:dyDescent="0.15">
      <c r="A39" s="15"/>
      <c r="B39" s="167"/>
      <c r="C39" s="168"/>
      <c r="D39" s="168"/>
      <c r="E39" s="168"/>
      <c r="F39" s="168"/>
      <c r="G39" s="168"/>
      <c r="H39" s="168"/>
      <c r="I39" s="169"/>
    </row>
    <row r="40" spans="1:9" ht="18.75" customHeight="1" x14ac:dyDescent="0.15">
      <c r="A40" s="15"/>
      <c r="B40" s="167"/>
      <c r="C40" s="168"/>
      <c r="D40" s="168"/>
      <c r="E40" s="168"/>
      <c r="F40" s="168"/>
      <c r="G40" s="168"/>
      <c r="H40" s="168"/>
      <c r="I40" s="169"/>
    </row>
    <row r="41" spans="1:9" ht="18.75" customHeight="1" x14ac:dyDescent="0.15">
      <c r="A41" s="15"/>
      <c r="B41" s="167"/>
      <c r="C41" s="168"/>
      <c r="D41" s="168"/>
      <c r="E41" s="168"/>
      <c r="F41" s="168"/>
      <c r="G41" s="168"/>
      <c r="H41" s="168"/>
      <c r="I41" s="169"/>
    </row>
    <row r="42" spans="1:9" ht="18.75" customHeight="1" x14ac:dyDescent="0.15">
      <c r="A42" s="15"/>
      <c r="B42" s="167"/>
      <c r="C42" s="168"/>
      <c r="D42" s="168"/>
      <c r="E42" s="168"/>
      <c r="F42" s="168"/>
      <c r="G42" s="168"/>
      <c r="H42" s="168"/>
      <c r="I42" s="169"/>
    </row>
    <row r="43" spans="1:9" ht="18.75" customHeight="1" x14ac:dyDescent="0.15">
      <c r="A43" s="15"/>
      <c r="B43" s="167"/>
      <c r="C43" s="168"/>
      <c r="D43" s="168"/>
      <c r="E43" s="168"/>
      <c r="F43" s="168"/>
      <c r="G43" s="168"/>
      <c r="H43" s="168"/>
      <c r="I43" s="169"/>
    </row>
    <row r="44" spans="1:9" ht="18.75" customHeight="1" x14ac:dyDescent="0.15">
      <c r="A44" s="15"/>
      <c r="B44" s="167"/>
      <c r="C44" s="168"/>
      <c r="D44" s="168"/>
      <c r="E44" s="168"/>
      <c r="F44" s="168"/>
      <c r="G44" s="168"/>
      <c r="H44" s="168"/>
      <c r="I44" s="169"/>
    </row>
    <row r="45" spans="1:9" ht="18.75" customHeight="1" x14ac:dyDescent="0.15">
      <c r="A45" s="15"/>
      <c r="B45" s="167"/>
      <c r="C45" s="168"/>
      <c r="D45" s="168"/>
      <c r="E45" s="168"/>
      <c r="F45" s="168"/>
      <c r="G45" s="168"/>
      <c r="H45" s="168"/>
      <c r="I45" s="169"/>
    </row>
    <row r="46" spans="1:9" ht="18.75" customHeight="1" x14ac:dyDescent="0.15">
      <c r="A46" s="15"/>
      <c r="B46" s="170"/>
      <c r="C46" s="171"/>
      <c r="D46" s="171"/>
      <c r="E46" s="171"/>
      <c r="F46" s="171"/>
      <c r="G46" s="171"/>
      <c r="H46" s="171"/>
      <c r="I46" s="172"/>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05">
        <f>'様式２ 履修者等数の実績'!AQ32</f>
        <v>0.12549019607843137</v>
      </c>
      <c r="D49" s="205"/>
      <c r="E49" s="43" t="s">
        <v>66</v>
      </c>
      <c r="F49" s="205">
        <v>0.22</v>
      </c>
      <c r="G49" s="205"/>
      <c r="H49" s="43" t="s">
        <v>67</v>
      </c>
      <c r="I49" s="44">
        <v>0.33</v>
      </c>
      <c r="J49" s="1"/>
      <c r="M49" s="1"/>
      <c r="N49" s="45"/>
    </row>
    <row r="50" spans="1:15" s="3" customFormat="1" ht="18.75" customHeight="1" x14ac:dyDescent="0.15">
      <c r="B50" s="46" t="s">
        <v>68</v>
      </c>
      <c r="C50" s="188">
        <v>0.44</v>
      </c>
      <c r="D50" s="188"/>
      <c r="E50" s="46" t="s">
        <v>90</v>
      </c>
      <c r="F50" s="188">
        <v>0.45</v>
      </c>
      <c r="G50" s="188"/>
      <c r="H50" s="46" t="s">
        <v>69</v>
      </c>
      <c r="I50" s="47">
        <f>'様式２ 履修者等数の実績'!E32</f>
        <v>1530</v>
      </c>
      <c r="J50" s="1"/>
      <c r="M50" s="1"/>
      <c r="N50" s="45"/>
    </row>
    <row r="51" spans="1:15" ht="18.75" customHeight="1" x14ac:dyDescent="0.15">
      <c r="A51" s="1"/>
      <c r="B51" s="179" t="s">
        <v>70</v>
      </c>
      <c r="C51" s="180"/>
      <c r="D51" s="180"/>
      <c r="E51" s="180"/>
      <c r="F51" s="180"/>
      <c r="G51" s="180"/>
      <c r="H51" s="180"/>
      <c r="I51" s="181"/>
      <c r="N51" s="45"/>
      <c r="O51" s="3"/>
    </row>
    <row r="52" spans="1:15" ht="18.75" customHeight="1" x14ac:dyDescent="0.15">
      <c r="A52" s="1"/>
      <c r="B52" s="206" t="s">
        <v>158</v>
      </c>
      <c r="C52" s="207"/>
      <c r="D52" s="207"/>
      <c r="E52" s="207"/>
      <c r="F52" s="207"/>
      <c r="G52" s="207"/>
      <c r="H52" s="207"/>
      <c r="I52" s="208"/>
      <c r="N52" s="45"/>
      <c r="O52" s="3"/>
    </row>
    <row r="53" spans="1:15" ht="18.75" customHeight="1" x14ac:dyDescent="0.15">
      <c r="A53" s="1"/>
      <c r="B53" s="209"/>
      <c r="C53" s="210"/>
      <c r="D53" s="210"/>
      <c r="E53" s="210"/>
      <c r="F53" s="210"/>
      <c r="G53" s="210"/>
      <c r="H53" s="210"/>
      <c r="I53" s="211"/>
      <c r="N53" s="45"/>
      <c r="O53" s="3"/>
    </row>
    <row r="54" spans="1:15" ht="18.75" customHeight="1" x14ac:dyDescent="0.15">
      <c r="A54" s="1"/>
      <c r="B54" s="209"/>
      <c r="C54" s="210"/>
      <c r="D54" s="210"/>
      <c r="E54" s="210"/>
      <c r="F54" s="210"/>
      <c r="G54" s="210"/>
      <c r="H54" s="210"/>
      <c r="I54" s="211"/>
    </row>
    <row r="55" spans="1:15" ht="18.75" customHeight="1" x14ac:dyDescent="0.15">
      <c r="A55" s="1"/>
      <c r="B55" s="209"/>
      <c r="C55" s="210"/>
      <c r="D55" s="210"/>
      <c r="E55" s="210"/>
      <c r="F55" s="210"/>
      <c r="G55" s="210"/>
      <c r="H55" s="210"/>
      <c r="I55" s="211"/>
    </row>
    <row r="56" spans="1:15" ht="18.75" customHeight="1" x14ac:dyDescent="0.15">
      <c r="A56" s="1"/>
      <c r="B56" s="209"/>
      <c r="C56" s="210"/>
      <c r="D56" s="210"/>
      <c r="E56" s="210"/>
      <c r="F56" s="210"/>
      <c r="G56" s="210"/>
      <c r="H56" s="210"/>
      <c r="I56" s="211"/>
    </row>
    <row r="57" spans="1:15" ht="18.75" customHeight="1" x14ac:dyDescent="0.15">
      <c r="A57" s="1"/>
      <c r="B57" s="209"/>
      <c r="C57" s="210"/>
      <c r="D57" s="210"/>
      <c r="E57" s="210"/>
      <c r="F57" s="210"/>
      <c r="G57" s="210"/>
      <c r="H57" s="210"/>
      <c r="I57" s="211"/>
    </row>
    <row r="58" spans="1:15" ht="18.75" customHeight="1" x14ac:dyDescent="0.15">
      <c r="A58" s="1"/>
      <c r="B58" s="209"/>
      <c r="C58" s="210"/>
      <c r="D58" s="210"/>
      <c r="E58" s="210"/>
      <c r="F58" s="210"/>
      <c r="G58" s="210"/>
      <c r="H58" s="210"/>
      <c r="I58" s="211"/>
    </row>
    <row r="59" spans="1:15" ht="18.75" customHeight="1" x14ac:dyDescent="0.15">
      <c r="A59" s="1"/>
      <c r="B59" s="209"/>
      <c r="C59" s="210"/>
      <c r="D59" s="210"/>
      <c r="E59" s="210"/>
      <c r="F59" s="210"/>
      <c r="G59" s="210"/>
      <c r="H59" s="210"/>
      <c r="I59" s="211"/>
    </row>
    <row r="60" spans="1:15" ht="18.75" customHeight="1" x14ac:dyDescent="0.15">
      <c r="A60" s="1"/>
      <c r="B60" s="209"/>
      <c r="C60" s="210"/>
      <c r="D60" s="210"/>
      <c r="E60" s="210"/>
      <c r="F60" s="210"/>
      <c r="G60" s="210"/>
      <c r="H60" s="210"/>
      <c r="I60" s="211"/>
    </row>
    <row r="61" spans="1:15" ht="18.75" customHeight="1" x14ac:dyDescent="0.15">
      <c r="A61" s="1"/>
      <c r="B61" s="209"/>
      <c r="C61" s="210"/>
      <c r="D61" s="210"/>
      <c r="E61" s="210"/>
      <c r="F61" s="210"/>
      <c r="G61" s="210"/>
      <c r="H61" s="210"/>
      <c r="I61" s="211"/>
    </row>
    <row r="62" spans="1:15" ht="18.75" customHeight="1" x14ac:dyDescent="0.15">
      <c r="A62" s="1"/>
      <c r="B62" s="209"/>
      <c r="C62" s="210"/>
      <c r="D62" s="210"/>
      <c r="E62" s="210"/>
      <c r="F62" s="210"/>
      <c r="G62" s="210"/>
      <c r="H62" s="210"/>
      <c r="I62" s="211"/>
    </row>
    <row r="63" spans="1:15" ht="18.75" customHeight="1" x14ac:dyDescent="0.15">
      <c r="A63" s="1"/>
      <c r="B63" s="212"/>
      <c r="C63" s="213"/>
      <c r="D63" s="213"/>
      <c r="E63" s="213"/>
      <c r="F63" s="213"/>
      <c r="G63" s="213"/>
      <c r="H63" s="213"/>
      <c r="I63" s="214"/>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9" t="s">
        <v>154</v>
      </c>
      <c r="C66" s="190"/>
      <c r="D66" s="190"/>
      <c r="E66" s="190"/>
      <c r="F66" s="190"/>
      <c r="G66" s="190"/>
      <c r="H66" s="190"/>
      <c r="I66" s="191"/>
    </row>
    <row r="67" spans="1:9" ht="18.75" customHeight="1" x14ac:dyDescent="0.15">
      <c r="A67" s="4"/>
      <c r="B67" s="192"/>
      <c r="C67" s="193"/>
      <c r="D67" s="193"/>
      <c r="E67" s="193"/>
      <c r="F67" s="193"/>
      <c r="G67" s="193"/>
      <c r="H67" s="193"/>
      <c r="I67" s="194"/>
    </row>
    <row r="68" spans="1:9" ht="18.75" customHeight="1" x14ac:dyDescent="0.15">
      <c r="A68" s="4"/>
      <c r="B68" s="192"/>
      <c r="C68" s="193"/>
      <c r="D68" s="193"/>
      <c r="E68" s="193"/>
      <c r="F68" s="193"/>
      <c r="G68" s="193"/>
      <c r="H68" s="193"/>
      <c r="I68" s="194"/>
    </row>
    <row r="69" spans="1:9" ht="18.75" customHeight="1" x14ac:dyDescent="0.15">
      <c r="A69" s="4"/>
      <c r="B69" s="192"/>
      <c r="C69" s="193"/>
      <c r="D69" s="193"/>
      <c r="E69" s="193"/>
      <c r="F69" s="193"/>
      <c r="G69" s="193"/>
      <c r="H69" s="193"/>
      <c r="I69" s="194"/>
    </row>
    <row r="70" spans="1:9" ht="18.75" customHeight="1" x14ac:dyDescent="0.15">
      <c r="A70" s="4"/>
      <c r="B70" s="192"/>
      <c r="C70" s="193"/>
      <c r="D70" s="193"/>
      <c r="E70" s="193"/>
      <c r="F70" s="193"/>
      <c r="G70" s="193"/>
      <c r="H70" s="193"/>
      <c r="I70" s="194"/>
    </row>
    <row r="71" spans="1:9" ht="18.75" customHeight="1" x14ac:dyDescent="0.15">
      <c r="A71" s="4"/>
      <c r="B71" s="192"/>
      <c r="C71" s="193"/>
      <c r="D71" s="193"/>
      <c r="E71" s="193"/>
      <c r="F71" s="193"/>
      <c r="G71" s="193"/>
      <c r="H71" s="193"/>
      <c r="I71" s="194"/>
    </row>
    <row r="72" spans="1:9" ht="18.75" customHeight="1" x14ac:dyDescent="0.15">
      <c r="A72" s="4"/>
      <c r="B72" s="192"/>
      <c r="C72" s="193"/>
      <c r="D72" s="193"/>
      <c r="E72" s="193"/>
      <c r="F72" s="193"/>
      <c r="G72" s="193"/>
      <c r="H72" s="193"/>
      <c r="I72" s="194"/>
    </row>
    <row r="73" spans="1:9" ht="18.75" customHeight="1" x14ac:dyDescent="0.15">
      <c r="A73" s="4"/>
      <c r="B73" s="192"/>
      <c r="C73" s="193"/>
      <c r="D73" s="193"/>
      <c r="E73" s="193"/>
      <c r="F73" s="193"/>
      <c r="G73" s="193"/>
      <c r="H73" s="193"/>
      <c r="I73" s="194"/>
    </row>
    <row r="74" spans="1:9" ht="18.75" customHeight="1" x14ac:dyDescent="0.15">
      <c r="A74" s="4"/>
      <c r="B74" s="192"/>
      <c r="C74" s="193"/>
      <c r="D74" s="193"/>
      <c r="E74" s="193"/>
      <c r="F74" s="193"/>
      <c r="G74" s="193"/>
      <c r="H74" s="193"/>
      <c r="I74" s="194"/>
    </row>
    <row r="75" spans="1:9" ht="18.75" customHeight="1" x14ac:dyDescent="0.15">
      <c r="A75" s="4"/>
      <c r="B75" s="192"/>
      <c r="C75" s="193"/>
      <c r="D75" s="193"/>
      <c r="E75" s="193"/>
      <c r="F75" s="193"/>
      <c r="G75" s="193"/>
      <c r="H75" s="193"/>
      <c r="I75" s="194"/>
    </row>
    <row r="76" spans="1:9" ht="18.75" customHeight="1" x14ac:dyDescent="0.15">
      <c r="A76" s="4"/>
      <c r="B76" s="192"/>
      <c r="C76" s="193"/>
      <c r="D76" s="193"/>
      <c r="E76" s="193"/>
      <c r="F76" s="193"/>
      <c r="G76" s="193"/>
      <c r="H76" s="193"/>
      <c r="I76" s="194"/>
    </row>
    <row r="77" spans="1:9" ht="18.75" customHeight="1" x14ac:dyDescent="0.15">
      <c r="A77" s="4"/>
      <c r="B77" s="195"/>
      <c r="C77" s="196"/>
      <c r="D77" s="196"/>
      <c r="E77" s="196"/>
      <c r="F77" s="196"/>
      <c r="G77" s="196"/>
      <c r="H77" s="196"/>
      <c r="I77" s="197"/>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9" t="s">
        <v>155</v>
      </c>
      <c r="C80" s="190"/>
      <c r="D80" s="190"/>
      <c r="E80" s="190"/>
      <c r="F80" s="190"/>
      <c r="G80" s="190"/>
      <c r="H80" s="190"/>
      <c r="I80" s="198"/>
    </row>
    <row r="81" spans="1:9" ht="18.75" customHeight="1" x14ac:dyDescent="0.15">
      <c r="A81" s="1"/>
      <c r="B81" s="199"/>
      <c r="C81" s="200"/>
      <c r="D81" s="200"/>
      <c r="E81" s="200"/>
      <c r="F81" s="200"/>
      <c r="G81" s="200"/>
      <c r="H81" s="200"/>
      <c r="I81" s="201"/>
    </row>
    <row r="82" spans="1:9" ht="18.75" customHeight="1" x14ac:dyDescent="0.15">
      <c r="A82" s="1"/>
      <c r="B82" s="199"/>
      <c r="C82" s="200"/>
      <c r="D82" s="200"/>
      <c r="E82" s="200"/>
      <c r="F82" s="200"/>
      <c r="G82" s="200"/>
      <c r="H82" s="200"/>
      <c r="I82" s="201"/>
    </row>
    <row r="83" spans="1:9" ht="18.75" customHeight="1" x14ac:dyDescent="0.15">
      <c r="A83" s="1"/>
      <c r="B83" s="199"/>
      <c r="C83" s="200"/>
      <c r="D83" s="200"/>
      <c r="E83" s="200"/>
      <c r="F83" s="200"/>
      <c r="G83" s="200"/>
      <c r="H83" s="200"/>
      <c r="I83" s="201"/>
    </row>
    <row r="84" spans="1:9" ht="18.75" customHeight="1" x14ac:dyDescent="0.15">
      <c r="A84" s="1"/>
      <c r="B84" s="199"/>
      <c r="C84" s="200"/>
      <c r="D84" s="200"/>
      <c r="E84" s="200"/>
      <c r="F84" s="200"/>
      <c r="G84" s="200"/>
      <c r="H84" s="200"/>
      <c r="I84" s="201"/>
    </row>
    <row r="85" spans="1:9" ht="18.75" customHeight="1" x14ac:dyDescent="0.15">
      <c r="A85" s="1"/>
      <c r="B85" s="199"/>
      <c r="C85" s="200"/>
      <c r="D85" s="200"/>
      <c r="E85" s="200"/>
      <c r="F85" s="200"/>
      <c r="G85" s="200"/>
      <c r="H85" s="200"/>
      <c r="I85" s="201"/>
    </row>
    <row r="86" spans="1:9" ht="18.75" customHeight="1" x14ac:dyDescent="0.15">
      <c r="A86" s="1"/>
      <c r="B86" s="199"/>
      <c r="C86" s="200"/>
      <c r="D86" s="200"/>
      <c r="E86" s="200"/>
      <c r="F86" s="200"/>
      <c r="G86" s="200"/>
      <c r="H86" s="200"/>
      <c r="I86" s="201"/>
    </row>
    <row r="87" spans="1:9" ht="18.75" customHeight="1" x14ac:dyDescent="0.15">
      <c r="A87" s="1"/>
      <c r="B87" s="199"/>
      <c r="C87" s="200"/>
      <c r="D87" s="200"/>
      <c r="E87" s="200"/>
      <c r="F87" s="200"/>
      <c r="G87" s="200"/>
      <c r="H87" s="200"/>
      <c r="I87" s="201"/>
    </row>
    <row r="88" spans="1:9" ht="18.75" customHeight="1" x14ac:dyDescent="0.15">
      <c r="A88" s="1"/>
      <c r="B88" s="199"/>
      <c r="C88" s="200"/>
      <c r="D88" s="200"/>
      <c r="E88" s="200"/>
      <c r="F88" s="200"/>
      <c r="G88" s="200"/>
      <c r="H88" s="200"/>
      <c r="I88" s="201"/>
    </row>
    <row r="89" spans="1:9" ht="18.75" customHeight="1" x14ac:dyDescent="0.15">
      <c r="A89" s="1"/>
      <c r="B89" s="199"/>
      <c r="C89" s="200"/>
      <c r="D89" s="200"/>
      <c r="E89" s="200"/>
      <c r="F89" s="200"/>
      <c r="G89" s="200"/>
      <c r="H89" s="200"/>
      <c r="I89" s="201"/>
    </row>
    <row r="90" spans="1:9" ht="18.75" customHeight="1" x14ac:dyDescent="0.15">
      <c r="A90" s="4"/>
      <c r="B90" s="199"/>
      <c r="C90" s="200"/>
      <c r="D90" s="200"/>
      <c r="E90" s="200"/>
      <c r="F90" s="200"/>
      <c r="G90" s="200"/>
      <c r="H90" s="200"/>
      <c r="I90" s="201"/>
    </row>
    <row r="91" spans="1:9" ht="18.75" customHeight="1" x14ac:dyDescent="0.15">
      <c r="A91" s="4"/>
      <c r="B91" s="202"/>
      <c r="C91" s="203"/>
      <c r="D91" s="203"/>
      <c r="E91" s="203"/>
      <c r="F91" s="203"/>
      <c r="G91" s="203"/>
      <c r="H91" s="203"/>
      <c r="I91" s="204"/>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64" t="s">
        <v>159</v>
      </c>
      <c r="C94" s="165"/>
      <c r="D94" s="165"/>
      <c r="E94" s="165"/>
      <c r="F94" s="165"/>
      <c r="G94" s="165"/>
      <c r="H94" s="165"/>
      <c r="I94" s="166"/>
    </row>
    <row r="95" spans="1:9" ht="18.75" customHeight="1" x14ac:dyDescent="0.15">
      <c r="A95" s="1"/>
      <c r="B95" s="167"/>
      <c r="C95" s="168"/>
      <c r="D95" s="168"/>
      <c r="E95" s="168"/>
      <c r="F95" s="168"/>
      <c r="G95" s="168"/>
      <c r="H95" s="168"/>
      <c r="I95" s="169"/>
    </row>
    <row r="96" spans="1:9" ht="18.75" customHeight="1" x14ac:dyDescent="0.15">
      <c r="A96" s="1"/>
      <c r="B96" s="167"/>
      <c r="C96" s="168"/>
      <c r="D96" s="168"/>
      <c r="E96" s="168"/>
      <c r="F96" s="168"/>
      <c r="G96" s="168"/>
      <c r="H96" s="168"/>
      <c r="I96" s="169"/>
    </row>
    <row r="97" spans="1:9" ht="18.75" customHeight="1" x14ac:dyDescent="0.15">
      <c r="A97" s="1"/>
      <c r="B97" s="167"/>
      <c r="C97" s="168"/>
      <c r="D97" s="168"/>
      <c r="E97" s="168"/>
      <c r="F97" s="168"/>
      <c r="G97" s="168"/>
      <c r="H97" s="168"/>
      <c r="I97" s="169"/>
    </row>
    <row r="98" spans="1:9" ht="18.75" customHeight="1" x14ac:dyDescent="0.15">
      <c r="A98" s="1"/>
      <c r="B98" s="167"/>
      <c r="C98" s="168"/>
      <c r="D98" s="168"/>
      <c r="E98" s="168"/>
      <c r="F98" s="168"/>
      <c r="G98" s="168"/>
      <c r="H98" s="168"/>
      <c r="I98" s="169"/>
    </row>
    <row r="99" spans="1:9" ht="18.75" customHeight="1" x14ac:dyDescent="0.15">
      <c r="A99" s="1"/>
      <c r="B99" s="167"/>
      <c r="C99" s="168"/>
      <c r="D99" s="168"/>
      <c r="E99" s="168"/>
      <c r="F99" s="168"/>
      <c r="G99" s="168"/>
      <c r="H99" s="168"/>
      <c r="I99" s="169"/>
    </row>
    <row r="100" spans="1:9" ht="18.75" customHeight="1" x14ac:dyDescent="0.15">
      <c r="A100" s="1"/>
      <c r="B100" s="167"/>
      <c r="C100" s="168"/>
      <c r="D100" s="168"/>
      <c r="E100" s="168"/>
      <c r="F100" s="168"/>
      <c r="G100" s="168"/>
      <c r="H100" s="168"/>
      <c r="I100" s="169"/>
    </row>
    <row r="101" spans="1:9" ht="18.75" customHeight="1" x14ac:dyDescent="0.15">
      <c r="A101" s="1"/>
      <c r="B101" s="167"/>
      <c r="C101" s="168"/>
      <c r="D101" s="168"/>
      <c r="E101" s="168"/>
      <c r="F101" s="168"/>
      <c r="G101" s="168"/>
      <c r="H101" s="168"/>
      <c r="I101" s="169"/>
    </row>
    <row r="102" spans="1:9" ht="18.75" customHeight="1" x14ac:dyDescent="0.15">
      <c r="A102" s="1"/>
      <c r="B102" s="167"/>
      <c r="C102" s="168"/>
      <c r="D102" s="168"/>
      <c r="E102" s="168"/>
      <c r="F102" s="168"/>
      <c r="G102" s="168"/>
      <c r="H102" s="168"/>
      <c r="I102" s="169"/>
    </row>
    <row r="103" spans="1:9" ht="18.75" customHeight="1" x14ac:dyDescent="0.15">
      <c r="A103" s="1"/>
      <c r="B103" s="167"/>
      <c r="C103" s="168"/>
      <c r="D103" s="168"/>
      <c r="E103" s="168"/>
      <c r="F103" s="168"/>
      <c r="G103" s="168"/>
      <c r="H103" s="168"/>
      <c r="I103" s="169"/>
    </row>
    <row r="104" spans="1:9" ht="18.75" customHeight="1" x14ac:dyDescent="0.15">
      <c r="A104" s="1"/>
      <c r="B104" s="167"/>
      <c r="C104" s="168"/>
      <c r="D104" s="168"/>
      <c r="E104" s="168"/>
      <c r="F104" s="168"/>
      <c r="G104" s="168"/>
      <c r="H104" s="168"/>
      <c r="I104" s="169"/>
    </row>
    <row r="105" spans="1:9" ht="18.75" customHeight="1" x14ac:dyDescent="0.15">
      <c r="A105" s="4"/>
      <c r="B105" s="170"/>
      <c r="C105" s="171"/>
      <c r="D105" s="171"/>
      <c r="E105" s="171"/>
      <c r="F105" s="171"/>
      <c r="G105" s="171"/>
      <c r="H105" s="171"/>
      <c r="I105" s="172"/>
    </row>
    <row r="106" spans="1:9" ht="7.5" customHeight="1" x14ac:dyDescent="0.15">
      <c r="A106" s="4"/>
      <c r="B106" s="4"/>
      <c r="C106" s="4"/>
      <c r="D106" s="4"/>
      <c r="E106" s="4"/>
      <c r="F106" s="4"/>
      <c r="G106" s="4"/>
      <c r="H106" s="4"/>
      <c r="I106" s="4"/>
    </row>
    <row r="107" spans="1:9" ht="18.75" customHeight="1" x14ac:dyDescent="0.15">
      <c r="A107" s="1" t="s">
        <v>30</v>
      </c>
      <c r="B107" s="173" t="s">
        <v>46</v>
      </c>
      <c r="C107" s="173"/>
      <c r="D107" s="173"/>
      <c r="E107" s="173"/>
      <c r="F107" s="173"/>
      <c r="G107" s="173"/>
      <c r="H107" s="173"/>
      <c r="I107" s="173"/>
    </row>
    <row r="108" spans="1:9" ht="18.75" customHeight="1" x14ac:dyDescent="0.15">
      <c r="A108" s="4"/>
      <c r="B108" s="164" t="s">
        <v>160</v>
      </c>
      <c r="C108" s="165"/>
      <c r="D108" s="165"/>
      <c r="E108" s="165"/>
      <c r="F108" s="165"/>
      <c r="G108" s="165"/>
      <c r="H108" s="165"/>
      <c r="I108" s="166"/>
    </row>
    <row r="109" spans="1:9" ht="18.75" customHeight="1" x14ac:dyDescent="0.15">
      <c r="A109" s="4"/>
      <c r="B109" s="167"/>
      <c r="C109" s="168"/>
      <c r="D109" s="168"/>
      <c r="E109" s="168"/>
      <c r="F109" s="168"/>
      <c r="G109" s="168"/>
      <c r="H109" s="168"/>
      <c r="I109" s="169"/>
    </row>
    <row r="110" spans="1:9" ht="18.75" customHeight="1" x14ac:dyDescent="0.15">
      <c r="A110" s="4"/>
      <c r="B110" s="167"/>
      <c r="C110" s="168"/>
      <c r="D110" s="168"/>
      <c r="E110" s="168"/>
      <c r="F110" s="168"/>
      <c r="G110" s="168"/>
      <c r="H110" s="168"/>
      <c r="I110" s="169"/>
    </row>
    <row r="111" spans="1:9" ht="18.75" customHeight="1" x14ac:dyDescent="0.15">
      <c r="A111" s="4"/>
      <c r="B111" s="167"/>
      <c r="C111" s="168"/>
      <c r="D111" s="168"/>
      <c r="E111" s="168"/>
      <c r="F111" s="168"/>
      <c r="G111" s="168"/>
      <c r="H111" s="168"/>
      <c r="I111" s="169"/>
    </row>
    <row r="112" spans="1:9" ht="18.75" customHeight="1" x14ac:dyDescent="0.15">
      <c r="A112" s="4"/>
      <c r="B112" s="167"/>
      <c r="C112" s="168"/>
      <c r="D112" s="168"/>
      <c r="E112" s="168"/>
      <c r="F112" s="168"/>
      <c r="G112" s="168"/>
      <c r="H112" s="168"/>
      <c r="I112" s="169"/>
    </row>
    <row r="113" spans="1:9" ht="18.75" customHeight="1" x14ac:dyDescent="0.15">
      <c r="A113" s="4"/>
      <c r="B113" s="167"/>
      <c r="C113" s="168"/>
      <c r="D113" s="168"/>
      <c r="E113" s="168"/>
      <c r="F113" s="168"/>
      <c r="G113" s="168"/>
      <c r="H113" s="168"/>
      <c r="I113" s="169"/>
    </row>
    <row r="114" spans="1:9" ht="18.75" customHeight="1" x14ac:dyDescent="0.15">
      <c r="A114" s="4"/>
      <c r="B114" s="167"/>
      <c r="C114" s="168"/>
      <c r="D114" s="168"/>
      <c r="E114" s="168"/>
      <c r="F114" s="168"/>
      <c r="G114" s="168"/>
      <c r="H114" s="168"/>
      <c r="I114" s="169"/>
    </row>
    <row r="115" spans="1:9" ht="18.75" customHeight="1" x14ac:dyDescent="0.15">
      <c r="A115" s="4"/>
      <c r="B115" s="167"/>
      <c r="C115" s="168"/>
      <c r="D115" s="168"/>
      <c r="E115" s="168"/>
      <c r="F115" s="168"/>
      <c r="G115" s="168"/>
      <c r="H115" s="168"/>
      <c r="I115" s="169"/>
    </row>
    <row r="116" spans="1:9" ht="18.75" customHeight="1" x14ac:dyDescent="0.15">
      <c r="A116" s="4"/>
      <c r="B116" s="167"/>
      <c r="C116" s="168"/>
      <c r="D116" s="168"/>
      <c r="E116" s="168"/>
      <c r="F116" s="168"/>
      <c r="G116" s="168"/>
      <c r="H116" s="168"/>
      <c r="I116" s="169"/>
    </row>
    <row r="117" spans="1:9" ht="18.75" customHeight="1" x14ac:dyDescent="0.15">
      <c r="A117" s="4"/>
      <c r="B117" s="167"/>
      <c r="C117" s="168"/>
      <c r="D117" s="168"/>
      <c r="E117" s="168"/>
      <c r="F117" s="168"/>
      <c r="G117" s="168"/>
      <c r="H117" s="168"/>
      <c r="I117" s="169"/>
    </row>
    <row r="118" spans="1:9" ht="18.75" customHeight="1" x14ac:dyDescent="0.15">
      <c r="A118" s="4"/>
      <c r="B118" s="167"/>
      <c r="C118" s="168"/>
      <c r="D118" s="168"/>
      <c r="E118" s="168"/>
      <c r="F118" s="168"/>
      <c r="G118" s="168"/>
      <c r="H118" s="168"/>
      <c r="I118" s="169"/>
    </row>
    <row r="119" spans="1:9" ht="18.75" customHeight="1" x14ac:dyDescent="0.15">
      <c r="A119" s="4"/>
      <c r="B119" s="170"/>
      <c r="C119" s="171"/>
      <c r="D119" s="171"/>
      <c r="E119" s="171"/>
      <c r="F119" s="171"/>
      <c r="G119" s="171"/>
      <c r="H119" s="171"/>
      <c r="I119" s="172"/>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E9" sqref="E9"/>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静岡理工科大学</v>
      </c>
    </row>
    <row r="3" spans="1:9" ht="18.75" customHeight="1" x14ac:dyDescent="0.15">
      <c r="A3" s="121" t="s">
        <v>28</v>
      </c>
      <c r="B3" s="121"/>
      <c r="C3" s="121"/>
      <c r="D3" s="121"/>
      <c r="E3" s="121"/>
      <c r="F3" s="121"/>
      <c r="G3" s="121"/>
      <c r="H3" s="121"/>
      <c r="I3" s="121"/>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182" t="s">
        <v>137</v>
      </c>
      <c r="C6" s="222"/>
      <c r="D6" s="222"/>
      <c r="E6" s="222"/>
      <c r="F6" s="222"/>
      <c r="G6" s="222"/>
      <c r="H6" s="223"/>
      <c r="I6" s="3"/>
    </row>
    <row r="7" spans="1:9" ht="9" customHeight="1" x14ac:dyDescent="0.15">
      <c r="A7" s="5"/>
      <c r="B7" s="10"/>
      <c r="C7" s="10"/>
      <c r="D7" s="10"/>
      <c r="E7" s="10"/>
      <c r="F7" s="10"/>
      <c r="G7" s="10"/>
      <c r="H7" s="10"/>
      <c r="I7" s="3"/>
    </row>
    <row r="8" spans="1:9" ht="18.75" customHeight="1" x14ac:dyDescent="0.15">
      <c r="A8" s="5"/>
      <c r="B8" s="3"/>
      <c r="C8" s="3"/>
      <c r="D8" s="35" t="s">
        <v>43</v>
      </c>
      <c r="E8" s="36" t="s">
        <v>163</v>
      </c>
      <c r="F8" s="3"/>
      <c r="G8" s="35" t="s">
        <v>10</v>
      </c>
      <c r="H8" s="36" t="s">
        <v>138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0" t="s">
        <v>24</v>
      </c>
      <c r="C11" s="91"/>
      <c r="D11" s="92"/>
      <c r="E11" s="91" t="s">
        <v>26</v>
      </c>
      <c r="F11" s="91"/>
      <c r="G11" s="91"/>
      <c r="H11" s="91"/>
      <c r="I11" s="92"/>
    </row>
    <row r="12" spans="1:9" ht="26.25" customHeight="1" x14ac:dyDescent="0.15">
      <c r="B12" s="50" t="s">
        <v>14</v>
      </c>
      <c r="C12" s="57"/>
      <c r="D12" s="51"/>
      <c r="E12" s="58"/>
      <c r="F12" s="58"/>
      <c r="G12" s="58"/>
      <c r="H12" s="58"/>
      <c r="I12" s="51"/>
    </row>
    <row r="13" spans="1:9" ht="210.75" customHeight="1" x14ac:dyDescent="0.15">
      <c r="B13" s="52"/>
      <c r="C13" s="220" t="s">
        <v>15</v>
      </c>
      <c r="D13" s="221"/>
      <c r="E13" s="217" t="s">
        <v>139</v>
      </c>
      <c r="F13" s="218"/>
      <c r="G13" s="218"/>
      <c r="H13" s="218"/>
      <c r="I13" s="219"/>
    </row>
    <row r="14" spans="1:9" ht="210.75" customHeight="1" x14ac:dyDescent="0.15">
      <c r="B14" s="52"/>
      <c r="C14" s="215" t="s">
        <v>16</v>
      </c>
      <c r="D14" s="216"/>
      <c r="E14" s="217" t="s">
        <v>161</v>
      </c>
      <c r="F14" s="218"/>
      <c r="G14" s="218"/>
      <c r="H14" s="218"/>
      <c r="I14" s="219"/>
    </row>
    <row r="15" spans="1:9" ht="210.75" customHeight="1" x14ac:dyDescent="0.15">
      <c r="B15" s="52"/>
      <c r="C15" s="220" t="s">
        <v>17</v>
      </c>
      <c r="D15" s="221"/>
      <c r="E15" s="217" t="s">
        <v>140</v>
      </c>
      <c r="F15" s="218"/>
      <c r="G15" s="218"/>
      <c r="H15" s="218"/>
      <c r="I15" s="219"/>
    </row>
    <row r="16" spans="1:9" ht="210.75" customHeight="1" x14ac:dyDescent="0.15">
      <c r="B16" s="52"/>
      <c r="C16" s="220" t="s">
        <v>18</v>
      </c>
      <c r="D16" s="221"/>
      <c r="E16" s="217" t="s">
        <v>141</v>
      </c>
      <c r="F16" s="218"/>
      <c r="G16" s="218"/>
      <c r="H16" s="218"/>
      <c r="I16" s="219"/>
    </row>
    <row r="17" spans="2:9" ht="210.75" customHeight="1" x14ac:dyDescent="0.15">
      <c r="B17" s="53"/>
      <c r="C17" s="224" t="s">
        <v>19</v>
      </c>
      <c r="D17" s="225"/>
      <c r="E17" s="226" t="s">
        <v>142</v>
      </c>
      <c r="F17" s="227"/>
      <c r="G17" s="227"/>
      <c r="H17" s="227"/>
      <c r="I17" s="228"/>
    </row>
    <row r="18" spans="2:9" ht="24" customHeight="1" x14ac:dyDescent="0.15">
      <c r="B18" s="50" t="s">
        <v>20</v>
      </c>
      <c r="C18" s="54"/>
      <c r="D18" s="55"/>
      <c r="E18" s="56"/>
      <c r="F18" s="56"/>
      <c r="G18" s="56"/>
      <c r="H18" s="56"/>
      <c r="I18" s="59"/>
    </row>
    <row r="19" spans="2:9" ht="218.25" customHeight="1" x14ac:dyDescent="0.15">
      <c r="B19" s="52"/>
      <c r="C19" s="220" t="s">
        <v>21</v>
      </c>
      <c r="D19" s="221"/>
      <c r="E19" s="218" t="s">
        <v>143</v>
      </c>
      <c r="F19" s="218"/>
      <c r="G19" s="218"/>
      <c r="H19" s="218"/>
      <c r="I19" s="219"/>
    </row>
    <row r="20" spans="2:9" ht="218.25" customHeight="1" x14ac:dyDescent="0.15">
      <c r="B20" s="53"/>
      <c r="C20" s="224" t="s">
        <v>22</v>
      </c>
      <c r="D20" s="225"/>
      <c r="E20" s="227" t="s">
        <v>144</v>
      </c>
      <c r="F20" s="227"/>
      <c r="G20" s="227"/>
      <c r="H20" s="227"/>
      <c r="I20" s="228"/>
    </row>
    <row r="21" spans="2:9" ht="218.25" customHeight="1" x14ac:dyDescent="0.15">
      <c r="B21" s="234" t="s">
        <v>23</v>
      </c>
      <c r="C21" s="235"/>
      <c r="D21" s="236"/>
      <c r="E21" s="237" t="s">
        <v>145</v>
      </c>
      <c r="F21" s="237"/>
      <c r="G21" s="237"/>
      <c r="H21" s="237"/>
      <c r="I21" s="238"/>
    </row>
    <row r="22" spans="2:9" ht="218.25" customHeight="1" x14ac:dyDescent="0.15">
      <c r="B22" s="229" t="s">
        <v>38</v>
      </c>
      <c r="C22" s="230"/>
      <c r="D22" s="231"/>
      <c r="E22" s="232" t="s">
        <v>162</v>
      </c>
      <c r="F22" s="232"/>
      <c r="G22" s="232"/>
      <c r="H22" s="232"/>
      <c r="I22" s="23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坂田 義之</cp:lastModifiedBy>
  <cp:lastPrinted>2023-06-27T10:03:04Z</cp:lastPrinted>
  <dcterms:created xsi:type="dcterms:W3CDTF">2011-06-14T05:32:50Z</dcterms:created>
  <dcterms:modified xsi:type="dcterms:W3CDTF">2023-06-28T00:40:44Z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