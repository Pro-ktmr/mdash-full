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Seireimbsvr2\教務事務センター（07年度以降）\教務\数理・データサイエンス教育\リテラシーレベル申請\提出\01_聖隷クリストファー大学_リテラシー\"/>
    </mc:Choice>
  </mc:AlternateContent>
  <xr:revisionPtr revIDLastSave="0" documentId="13_ncr:1_{96690642-C5D9-4328-9BCC-1A9A7E3E465A}" xr6:coauthVersionLast="36" xr6:coauthVersionMax="36" xr10:uidLastSave="{00000000-0000-0000-0000-000000000000}"/>
  <bookViews>
    <workbookView xWindow="-105" yWindow="-105" windowWidth="23250" windowHeight="1257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AQ13" i="40" l="1"/>
  <c r="F1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F32" i="40" l="1"/>
  <c r="E32" i="40"/>
  <c r="I50" i="41" s="1"/>
  <c r="D32" i="40"/>
  <c r="AQ31" i="40"/>
  <c r="AQ30" i="40"/>
  <c r="AQ29" i="40"/>
  <c r="AQ28" i="40"/>
  <c r="AQ27" i="40"/>
  <c r="AQ26" i="40"/>
  <c r="AQ25" i="40"/>
  <c r="AQ24" i="40"/>
  <c r="AQ23" i="40"/>
  <c r="AQ22" i="40"/>
  <c r="AQ21" i="40"/>
  <c r="AQ20" i="40"/>
  <c r="AQ19" i="40"/>
  <c r="AQ18" i="40"/>
  <c r="AQ17" i="40"/>
  <c r="AQ16" i="40"/>
  <c r="AQ15" i="40"/>
  <c r="AQ14" i="40"/>
  <c r="AP32" i="40" l="1"/>
  <c r="AQ32" i="40" s="1"/>
  <c r="C49" i="41" s="1"/>
</calcChain>
</file>

<file path=xl/sharedStrings.xml><?xml version="1.0" encoding="utf-8"?>
<sst xmlns="http://schemas.openxmlformats.org/spreadsheetml/2006/main" count="301" uniqueCount="170">
  <si>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</si>
  <si>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</si>
  <si>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</si>
  <si>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</si>
  <si>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</si>
  <si>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</si>
  <si>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</si>
  <si>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</si>
  <si>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</si>
  <si>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</si>
  <si>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</si>
  <si>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</si>
  <si>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</si>
  <si>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</si>
  <si>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</si>
  <si>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</si>
  <si>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</si>
  <si>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</si>
  <si>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</si>
  <si>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</si>
  <si>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</si>
  <si>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</si>
  <si>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</si>
  <si>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</si>
  <si>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</si>
  <si>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</si>
  <si>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</si>
  <si>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</si>
  <si>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</si>
  <si>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</si>
  <si>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</si>
  <si>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</si>
  <si>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</si>
  <si>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</si>
  <si>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</si>
  <si>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</si>
  <si>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</si>
  <si>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</si>
  <si>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</si>
  <si>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</si>
  <si>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</si>
  <si>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</si>
  <si>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</si>
  <si>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</si>
  <si>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</si>
  <si>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</si>
  <si>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</si>
  <si>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</si>
  <si>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</si>
  <si>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</si>
  <si>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</si>
  <si>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</si>
  <si>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</si>
  <si>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</si>
  <si>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</si>
  <si>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</si>
  <si>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</si>
  <si>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</si>
  <si>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</si>
  <si>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</si>
  <si>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</si>
  <si>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</si>
  <si>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</si>
  <si>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</si>
  <si>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</si>
  <si>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</si>
  <si>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</si>
  <si>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</si>
  <si>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</si>
  <si>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</si>
  <si>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</si>
  <si>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</si>
  <si>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</si>
  <si>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</si>
  <si>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</si>
  <si>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</si>
  <si>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</si>
  <si>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</si>
  <si>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</si>
  <si>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</si>
  <si>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</si>
  <si>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</si>
  <si>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</si>
  <si>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</si>
  <si>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</si>
  <si>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</si>
  <si>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</si>
  <si>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</si>
  <si>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</si>
  <si>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</si>
  <si>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</si>
  <si>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</si>
  <si>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</si>
  <si>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</si>
  <si>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</si>
  <si>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</si>
  <si>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</si>
  <si>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</si>
  <si>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</si>
  <si>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</si>
  <si>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</si>
  <si>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</si>
  <si>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</si>
  <si>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</si>
  <si>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</si>
  <si>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</si>
  <si>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</si>
  <si>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</si>
  <si>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</si>
  <si>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</si>
  <si>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</si>
  <si>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</si>
  <si>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</si>
  <si>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</si>
  <si>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</si>
  <si>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</si>
  <si>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</si>
  <si>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</si>
  <si>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</si>
  <si>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</si>
  <si>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</si>
  <si>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</si>
  <si>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</si>
  <si>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</si>
  <si>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</si>
  <si>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</si>
  <si>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</si>
  <si>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</si>
  <si>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看護学部</t>
    <rPh sb="0" eb="2">
      <t>カンゴ</t>
    </rPh>
    <rPh sb="2" eb="4">
      <t>ガクブ</t>
    </rPh>
    <phoneticPr fontId="1"/>
  </si>
  <si>
    <t>聖隷クリストファー大学</t>
    <rPh sb="0" eb="2">
      <t>セイレイ</t>
    </rPh>
    <rPh sb="9" eb="11">
      <t>ダイガク</t>
    </rPh>
    <phoneticPr fontId="1"/>
  </si>
  <si>
    <t>情報処理</t>
    <rPh sb="0" eb="2">
      <t>ジョウホウ</t>
    </rPh>
    <rPh sb="2" eb="4">
      <t>ショリ</t>
    </rPh>
    <phoneticPr fontId="1"/>
  </si>
  <si>
    <t>データサイエンス入門</t>
    <rPh sb="8" eb="10">
      <t>ニュウモン</t>
    </rPh>
    <phoneticPr fontId="1"/>
  </si>
  <si>
    <t>○</t>
  </si>
  <si>
    <t>1. データ・AI活用領域の広がりを理解し、データ・AIを活用する価値を説明できる。
2. データ・AIを利活用する際に求められるモラルや倫理について理解できる。
3. データの特徴を読み解き、起きている事象の背景や意味合いを理解できる。
4. 適切なデータ可視化手法を選択し、他者にデータを説明できる。
5. R言語を用いた基礎的なデータ解析・可視化ができる。
6．PC操作とOfficeソフトの基本的な操作</t>
    <rPh sb="186" eb="188">
      <t>ソウサ</t>
    </rPh>
    <rPh sb="199" eb="202">
      <t>キホンテキ</t>
    </rPh>
    <rPh sb="203" eb="205">
      <t>ソウサ</t>
    </rPh>
    <phoneticPr fontId="1"/>
  </si>
  <si>
    <t>社会福祉学部</t>
    <rPh sb="0" eb="2">
      <t>シャカイ</t>
    </rPh>
    <rPh sb="2" eb="4">
      <t>フクシ</t>
    </rPh>
    <rPh sb="4" eb="6">
      <t>ガクブ</t>
    </rPh>
    <phoneticPr fontId="1"/>
  </si>
  <si>
    <t>リハビリテーション学部</t>
    <rPh sb="9" eb="11">
      <t>ガクブ</t>
    </rPh>
    <phoneticPr fontId="1"/>
  </si>
  <si>
    <t>矢倉　千昭</t>
    <rPh sb="0" eb="2">
      <t>ヤグラ</t>
    </rPh>
    <rPh sb="3" eb="5">
      <t>チアキ</t>
    </rPh>
    <phoneticPr fontId="1"/>
  </si>
  <si>
    <t>教務部長</t>
    <rPh sb="0" eb="2">
      <t>キョウム</t>
    </rPh>
    <rPh sb="2" eb="4">
      <t>ブチョウ</t>
    </rPh>
    <phoneticPr fontId="1"/>
  </si>
  <si>
    <t>教務運営会議</t>
    <rPh sb="0" eb="2">
      <t>キョウム</t>
    </rPh>
    <rPh sb="2" eb="4">
      <t>ウンエイ</t>
    </rPh>
    <rPh sb="4" eb="6">
      <t>カイギ</t>
    </rPh>
    <phoneticPr fontId="1"/>
  </si>
  <si>
    <t>教務運営会議規程</t>
    <phoneticPr fontId="1"/>
  </si>
  <si>
    <t xml:space="preserve">
　授業評価の「Q5.あなたは、総合的にみて、この授業を受講したことに満足していますか。」の状況は、情報処理、データサイエンス入門ともに、そう思う、ややそう思うの回答率が90%を超え、ほぼ全ての学生が受講に満足しており、他の学生への推奨度も高いことが伺える。
　引き続き、高い満足度を得られる授業を継続していく。　</t>
    <rPh sb="100" eb="102">
      <t>ジュコウ</t>
    </rPh>
    <rPh sb="103" eb="105">
      <t>マンゾク</t>
    </rPh>
    <rPh sb="110" eb="111">
      <t>タ</t>
    </rPh>
    <rPh sb="112" eb="114">
      <t>ガクセイ</t>
    </rPh>
    <rPh sb="116" eb="118">
      <t>スイショウ</t>
    </rPh>
    <rPh sb="118" eb="119">
      <t>ド</t>
    </rPh>
    <rPh sb="120" eb="121">
      <t>タカ</t>
    </rPh>
    <rPh sb="125" eb="126">
      <t>ウカガ</t>
    </rPh>
    <rPh sb="131" eb="132">
      <t>ヒ</t>
    </rPh>
    <rPh sb="133" eb="134">
      <t>ツヅ</t>
    </rPh>
    <rPh sb="136" eb="137">
      <t>タカ</t>
    </rPh>
    <rPh sb="138" eb="140">
      <t>マンゾク</t>
    </rPh>
    <rPh sb="140" eb="141">
      <t>ド</t>
    </rPh>
    <rPh sb="142" eb="143">
      <t>エ</t>
    </rPh>
    <rPh sb="146" eb="148">
      <t>ジュギョウ</t>
    </rPh>
    <rPh sb="149" eb="151">
      <t>ケイゾク</t>
    </rPh>
    <phoneticPr fontId="1"/>
  </si>
  <si>
    <t xml:space="preserve">
　授業評価の「Q4.あなたは、この授業の到達目標を達成することができましたか。」の状況は、情報処理、データサイエンス入門ともに、そう思う、ややそう思うの回答率が90%を超え、ほぼ全ての学生が学修成果を実感している。
　引き続き、高い満足度を得られる授業を継続していく。　</t>
    <rPh sb="2" eb="4">
      <t>ジュギョウ</t>
    </rPh>
    <rPh sb="4" eb="6">
      <t>ヒョウカ</t>
    </rPh>
    <rPh sb="42" eb="44">
      <t>ジョウキョウ</t>
    </rPh>
    <rPh sb="46" eb="48">
      <t>ジョウホウ</t>
    </rPh>
    <rPh sb="48" eb="50">
      <t>ショリ</t>
    </rPh>
    <rPh sb="59" eb="61">
      <t>ニュウモン</t>
    </rPh>
    <rPh sb="67" eb="68">
      <t>オモ</t>
    </rPh>
    <rPh sb="74" eb="75">
      <t>オモ</t>
    </rPh>
    <rPh sb="77" eb="79">
      <t>カイトウ</t>
    </rPh>
    <rPh sb="79" eb="80">
      <t>リツ</t>
    </rPh>
    <rPh sb="85" eb="86">
      <t>コ</t>
    </rPh>
    <rPh sb="90" eb="91">
      <t>スベ</t>
    </rPh>
    <rPh sb="93" eb="95">
      <t>ガクセイ</t>
    </rPh>
    <rPh sb="96" eb="98">
      <t>ガクシュウ</t>
    </rPh>
    <rPh sb="98" eb="100">
      <t>セイカ</t>
    </rPh>
    <rPh sb="101" eb="103">
      <t>ジッカン</t>
    </rPh>
    <phoneticPr fontId="1"/>
  </si>
  <si>
    <t xml:space="preserve">
　入学生の80%がプログラムに該当する2科目を修得しており、今後、この人数の受講を継続していくよう、情報処理の科目が、高校を卒業した学生が受講するに見合う科目であるかの確認、内容の見直しを継続する。
　また、今後リテラシーレベルに認定されることができれば、さらに学生にPRすることができ、履修者数等も上昇すると考えている。</t>
    <rPh sb="2" eb="4">
      <t>ニュウガク</t>
    </rPh>
    <rPh sb="4" eb="5">
      <t>セイ</t>
    </rPh>
    <rPh sb="16" eb="18">
      <t>ガイトウ</t>
    </rPh>
    <rPh sb="21" eb="23">
      <t>カモク</t>
    </rPh>
    <rPh sb="24" eb="26">
      <t>シュウトク</t>
    </rPh>
    <rPh sb="31" eb="33">
      <t>コンゴ</t>
    </rPh>
    <rPh sb="36" eb="38">
      <t>ニンズウ</t>
    </rPh>
    <rPh sb="39" eb="41">
      <t>ジュコウ</t>
    </rPh>
    <rPh sb="42" eb="44">
      <t>ケイゾク</t>
    </rPh>
    <rPh sb="51" eb="53">
      <t>ジョウホウ</t>
    </rPh>
    <rPh sb="53" eb="55">
      <t>ショリ</t>
    </rPh>
    <rPh sb="56" eb="58">
      <t>カモク</t>
    </rPh>
    <rPh sb="60" eb="62">
      <t>コウコウ</t>
    </rPh>
    <rPh sb="63" eb="65">
      <t>ソツギョウ</t>
    </rPh>
    <rPh sb="67" eb="69">
      <t>ガクセイ</t>
    </rPh>
    <rPh sb="70" eb="72">
      <t>ジュコウ</t>
    </rPh>
    <rPh sb="75" eb="77">
      <t>ミア</t>
    </rPh>
    <rPh sb="78" eb="80">
      <t>カモク</t>
    </rPh>
    <rPh sb="85" eb="87">
      <t>カクニン</t>
    </rPh>
    <rPh sb="88" eb="90">
      <t>ナイヨウ</t>
    </rPh>
    <rPh sb="91" eb="93">
      <t>ミナオ</t>
    </rPh>
    <rPh sb="95" eb="97">
      <t>ケイゾク</t>
    </rPh>
    <rPh sb="105" eb="107">
      <t>コンゴ</t>
    </rPh>
    <rPh sb="116" eb="118">
      <t>ニンテイ</t>
    </rPh>
    <rPh sb="132" eb="134">
      <t>ガクセイ</t>
    </rPh>
    <rPh sb="145" eb="147">
      <t>リシュウ</t>
    </rPh>
    <rPh sb="147" eb="148">
      <t>シャ</t>
    </rPh>
    <rPh sb="148" eb="149">
      <t>スウ</t>
    </rPh>
    <rPh sb="149" eb="150">
      <t>トウ</t>
    </rPh>
    <rPh sb="151" eb="153">
      <t>ジョウショウ</t>
    </rPh>
    <rPh sb="156" eb="157">
      <t>カンガ</t>
    </rPh>
    <phoneticPr fontId="1"/>
  </si>
  <si>
    <t>　LMSシステムによって、毎回の授業のリアクションペーパーを提出させることで、学生の疑問や理解の状況を把握しています。
　また、担当教員のオフィスアワーを設定し、授業時間外で学修指導、質問に対応しています。</t>
    <rPh sb="13" eb="15">
      <t>マイカイ</t>
    </rPh>
    <rPh sb="16" eb="18">
      <t>ジュギョウ</t>
    </rPh>
    <rPh sb="30" eb="32">
      <t>テイシュツ</t>
    </rPh>
    <rPh sb="39" eb="41">
      <t>ガクセイ</t>
    </rPh>
    <rPh sb="42" eb="44">
      <t>ギモン</t>
    </rPh>
    <rPh sb="45" eb="47">
      <t>リカイ</t>
    </rPh>
    <rPh sb="48" eb="50">
      <t>ジョウキョウ</t>
    </rPh>
    <rPh sb="51" eb="53">
      <t>ハアク</t>
    </rPh>
    <rPh sb="87" eb="89">
      <t>ガクシュウ</t>
    </rPh>
    <rPh sb="89" eb="91">
      <t>シドウ</t>
    </rPh>
    <rPh sb="92" eb="94">
      <t>シツモン</t>
    </rPh>
    <rPh sb="95" eb="97">
      <t>タイオウ</t>
    </rPh>
    <phoneticPr fontId="1"/>
  </si>
  <si>
    <t xml:space="preserve">
　2022年度から開講しているプログラムで、修了者が出ていないため、評価を得ていないが、プログラム開始から4年後に予定している共通科目教育課程の見直しに合わせて、外部からの評価を得る予定である。
　卒業生及び採用先に対して、人材養成に対する評価を得る調査を実施しており、その仕組みを利用して行う。</t>
    <rPh sb="6" eb="7">
      <t>ネン</t>
    </rPh>
    <rPh sb="7" eb="8">
      <t>ド</t>
    </rPh>
    <rPh sb="10" eb="12">
      <t>カイコウ</t>
    </rPh>
    <rPh sb="23" eb="26">
      <t>シュウリョウシャ</t>
    </rPh>
    <rPh sb="27" eb="28">
      <t>デ</t>
    </rPh>
    <rPh sb="35" eb="37">
      <t>ヒョウカ</t>
    </rPh>
    <rPh sb="38" eb="39">
      <t>エ</t>
    </rPh>
    <rPh sb="100" eb="103">
      <t>ソツギョウセイ</t>
    </rPh>
    <rPh sb="103" eb="104">
      <t>オヨ</t>
    </rPh>
    <rPh sb="105" eb="107">
      <t>サイヨウ</t>
    </rPh>
    <rPh sb="107" eb="108">
      <t>サキ</t>
    </rPh>
    <rPh sb="109" eb="110">
      <t>タイ</t>
    </rPh>
    <rPh sb="113" eb="115">
      <t>ジンザイ</t>
    </rPh>
    <rPh sb="115" eb="117">
      <t>ヨウセイ</t>
    </rPh>
    <rPh sb="118" eb="119">
      <t>タイ</t>
    </rPh>
    <rPh sb="121" eb="123">
      <t>ヒョウカ</t>
    </rPh>
    <rPh sb="124" eb="125">
      <t>エ</t>
    </rPh>
    <rPh sb="126" eb="128">
      <t>チョウサ</t>
    </rPh>
    <rPh sb="129" eb="131">
      <t>ジッシ</t>
    </rPh>
    <rPh sb="138" eb="140">
      <t>シク</t>
    </rPh>
    <rPh sb="142" eb="144">
      <t>リヨウ</t>
    </rPh>
    <rPh sb="146" eb="147">
      <t>オコナ</t>
    </rPh>
    <phoneticPr fontId="1"/>
  </si>
  <si>
    <t xml:space="preserve">
　現時点では外部評価を得ていないが、プログラム開始から4年後に予定している共通科目教育課程の見直しに合わせて、外部からの評価を得る予定である。
　卒業生及び採用先に対して、人材養成に対する評価を得る調査を実施しており、その仕組みを利用して行う。</t>
    <rPh sb="2" eb="5">
      <t>ゲンジテン</t>
    </rPh>
    <rPh sb="7" eb="9">
      <t>ガイブ</t>
    </rPh>
    <rPh sb="9" eb="11">
      <t>ヒョウカ</t>
    </rPh>
    <rPh sb="12" eb="13">
      <t>エ</t>
    </rPh>
    <rPh sb="24" eb="26">
      <t>カイシ</t>
    </rPh>
    <rPh sb="29" eb="31">
      <t>ネンゴ</t>
    </rPh>
    <rPh sb="32" eb="34">
      <t>ヨテイ</t>
    </rPh>
    <rPh sb="38" eb="40">
      <t>キョウツウ</t>
    </rPh>
    <rPh sb="40" eb="42">
      <t>カモク</t>
    </rPh>
    <rPh sb="42" eb="44">
      <t>キョウイク</t>
    </rPh>
    <rPh sb="44" eb="46">
      <t>カテイ</t>
    </rPh>
    <rPh sb="47" eb="49">
      <t>ミナオ</t>
    </rPh>
    <rPh sb="51" eb="52">
      <t>ア</t>
    </rPh>
    <rPh sb="56" eb="58">
      <t>ガイブ</t>
    </rPh>
    <rPh sb="61" eb="63">
      <t>ヒョウカ</t>
    </rPh>
    <rPh sb="64" eb="65">
      <t>エ</t>
    </rPh>
    <rPh sb="66" eb="68">
      <t>ヨテイ</t>
    </rPh>
    <phoneticPr fontId="1"/>
  </si>
  <si>
    <t xml:space="preserve">
　データを取り扱うにあたってのEZRという新しいソフトに触れることで、学生にとって、データに触るという体験が増える。この取り組みを通じて新しい発見があり、学ぶ楽しさ、意義に繋がると考えている。また、科目「データサイエンス入門」は学部毎に実施しており、学生の好奇心を促す工夫として、学部教員がその分野におけるデータサイエンスの実例を紹介する教材を作成、紹介する時間を設けている。今後、上位学年、また、卒業した後に、活用の状況等を改めて確認する。</t>
    <rPh sb="8" eb="9">
      <t>ト</t>
    </rPh>
    <rPh sb="10" eb="11">
      <t>アツカ</t>
    </rPh>
    <rPh sb="24" eb="25">
      <t>アタラ</t>
    </rPh>
    <rPh sb="31" eb="32">
      <t>フ</t>
    </rPh>
    <rPh sb="38" eb="40">
      <t>ガクセイ</t>
    </rPh>
    <rPh sb="49" eb="50">
      <t>サワ</t>
    </rPh>
    <rPh sb="54" eb="56">
      <t>タイケン</t>
    </rPh>
    <rPh sb="57" eb="58">
      <t>フ</t>
    </rPh>
    <rPh sb="63" eb="64">
      <t>ト</t>
    </rPh>
    <rPh sb="65" eb="66">
      <t>ク</t>
    </rPh>
    <rPh sb="68" eb="69">
      <t>ツウ</t>
    </rPh>
    <rPh sb="71" eb="72">
      <t>アタラ</t>
    </rPh>
    <rPh sb="74" eb="76">
      <t>ハッケン</t>
    </rPh>
    <rPh sb="80" eb="81">
      <t>マナ</t>
    </rPh>
    <rPh sb="82" eb="83">
      <t>タノ</t>
    </rPh>
    <rPh sb="86" eb="88">
      <t>イギ</t>
    </rPh>
    <rPh sb="89" eb="90">
      <t>ツナ</t>
    </rPh>
    <rPh sb="93" eb="94">
      <t>カンガ</t>
    </rPh>
    <rPh sb="102" eb="104">
      <t>カモク</t>
    </rPh>
    <rPh sb="113" eb="115">
      <t>ニュウモン</t>
    </rPh>
    <rPh sb="117" eb="119">
      <t>ガクブ</t>
    </rPh>
    <rPh sb="119" eb="120">
      <t>ゴト</t>
    </rPh>
    <rPh sb="121" eb="123">
      <t>ジッシ</t>
    </rPh>
    <rPh sb="143" eb="145">
      <t>ガクブ</t>
    </rPh>
    <rPh sb="145" eb="147">
      <t>キョウイン</t>
    </rPh>
    <rPh sb="150" eb="152">
      <t>ブンヤ</t>
    </rPh>
    <rPh sb="165" eb="167">
      <t>ジツレイ</t>
    </rPh>
    <rPh sb="168" eb="170">
      <t>ショウカイ</t>
    </rPh>
    <rPh sb="172" eb="174">
      <t>キョウザイ</t>
    </rPh>
    <rPh sb="175" eb="177">
      <t>サクセイ</t>
    </rPh>
    <rPh sb="178" eb="180">
      <t>ショウカイ</t>
    </rPh>
    <rPh sb="182" eb="184">
      <t>ジカン</t>
    </rPh>
    <rPh sb="185" eb="186">
      <t>モウ</t>
    </rPh>
    <rPh sb="191" eb="193">
      <t>コンゴ</t>
    </rPh>
    <rPh sb="194" eb="196">
      <t>ジョウイ</t>
    </rPh>
    <rPh sb="196" eb="198">
      <t>ガクネン</t>
    </rPh>
    <rPh sb="202" eb="204">
      <t>ソツギョウ</t>
    </rPh>
    <rPh sb="206" eb="207">
      <t>アト</t>
    </rPh>
    <rPh sb="209" eb="211">
      <t>カツヨウ</t>
    </rPh>
    <rPh sb="212" eb="214">
      <t>ジョウキョウ</t>
    </rPh>
    <rPh sb="214" eb="215">
      <t>トウ</t>
    </rPh>
    <rPh sb="216" eb="217">
      <t>アラタ</t>
    </rPh>
    <rPh sb="219" eb="221">
      <t>カクニン</t>
    </rPh>
    <phoneticPr fontId="1"/>
  </si>
  <si>
    <t xml:space="preserve">
　授業において、毎回、リアクションペーパーを提出させて、学生の理解度を確認しながら、実施している。
　また、授業評価、特に自由記述欄を通じて、学生の授業に対する要望を確認し、授業資料の見直しを行い、より「わかりやすい授業を行うよう改善を進めている。</t>
    <rPh sb="2" eb="4">
      <t>ジュギョウ</t>
    </rPh>
    <rPh sb="9" eb="11">
      <t>マイカイ</t>
    </rPh>
    <rPh sb="23" eb="25">
      <t>テイシュツ</t>
    </rPh>
    <rPh sb="29" eb="31">
      <t>ガクセイ</t>
    </rPh>
    <rPh sb="32" eb="35">
      <t>リカイド</t>
    </rPh>
    <rPh sb="36" eb="38">
      <t>カクニン</t>
    </rPh>
    <rPh sb="43" eb="45">
      <t>ジッシ</t>
    </rPh>
    <rPh sb="55" eb="57">
      <t>ジュギョウ</t>
    </rPh>
    <rPh sb="57" eb="59">
      <t>ヒョウカ</t>
    </rPh>
    <rPh sb="60" eb="61">
      <t>トク</t>
    </rPh>
    <rPh sb="62" eb="64">
      <t>ジユウ</t>
    </rPh>
    <rPh sb="64" eb="66">
      <t>キジュツ</t>
    </rPh>
    <rPh sb="66" eb="67">
      <t>ラン</t>
    </rPh>
    <rPh sb="68" eb="69">
      <t>ツウ</t>
    </rPh>
    <rPh sb="72" eb="74">
      <t>ガクセイ</t>
    </rPh>
    <rPh sb="75" eb="77">
      <t>ジュギョウ</t>
    </rPh>
    <rPh sb="78" eb="79">
      <t>タイ</t>
    </rPh>
    <rPh sb="81" eb="83">
      <t>ヨウボウ</t>
    </rPh>
    <rPh sb="84" eb="86">
      <t>カクニン</t>
    </rPh>
    <rPh sb="88" eb="90">
      <t>ジュギョウ</t>
    </rPh>
    <rPh sb="90" eb="92">
      <t>シリョウ</t>
    </rPh>
    <rPh sb="93" eb="95">
      <t>ミナオ</t>
    </rPh>
    <rPh sb="97" eb="98">
      <t>オコナ</t>
    </rPh>
    <rPh sb="109" eb="111">
      <t>ジュギョウ</t>
    </rPh>
    <rPh sb="112" eb="113">
      <t>オコナ</t>
    </rPh>
    <rPh sb="116" eb="118">
      <t>カイゼン</t>
    </rPh>
    <rPh sb="119" eb="120">
      <t>スス</t>
    </rPh>
    <phoneticPr fontId="1"/>
  </si>
  <si>
    <t>データサイエンス入門プログラム</t>
    <rPh sb="8" eb="10">
      <t>ニュウモン</t>
    </rPh>
    <phoneticPr fontId="1"/>
  </si>
  <si>
    <t>　
　修了要件は1年次秋セメスターに開講する全学共通科目　「データサイエンス入門」（15コマ、1単位）の単位を修得することとする。
　合わせて1年次春セメスターに開講する科目「情報処理」をプログラムの選択科目として開講し、「データサイエンス入門」を受講する前に、自分の能力に応じて履修することを推奨する。</t>
    <rPh sb="3" eb="5">
      <t>シュウリョウ</t>
    </rPh>
    <rPh sb="5" eb="7">
      <t>ヨウケン</t>
    </rPh>
    <rPh sb="9" eb="10">
      <t>ネン</t>
    </rPh>
    <rPh sb="10" eb="11">
      <t>ジ</t>
    </rPh>
    <rPh sb="11" eb="12">
      <t>アキ</t>
    </rPh>
    <rPh sb="18" eb="20">
      <t>カイコウ</t>
    </rPh>
    <rPh sb="22" eb="24">
      <t>ゼンガク</t>
    </rPh>
    <rPh sb="24" eb="26">
      <t>キョウツウ</t>
    </rPh>
    <rPh sb="26" eb="28">
      <t>カモク</t>
    </rPh>
    <rPh sb="38" eb="40">
      <t>ニュウモン</t>
    </rPh>
    <rPh sb="48" eb="50">
      <t>タンイ</t>
    </rPh>
    <rPh sb="52" eb="54">
      <t>タンイ</t>
    </rPh>
    <rPh sb="55" eb="57">
      <t>シュウトク</t>
    </rPh>
    <rPh sb="67" eb="68">
      <t>ア</t>
    </rPh>
    <rPh sb="81" eb="83">
      <t>カイコウ</t>
    </rPh>
    <rPh sb="85" eb="87">
      <t>カモク</t>
    </rPh>
    <rPh sb="88" eb="90">
      <t>ジョウホウ</t>
    </rPh>
    <rPh sb="90" eb="92">
      <t>ショリ</t>
    </rPh>
    <rPh sb="100" eb="102">
      <t>センタク</t>
    </rPh>
    <rPh sb="102" eb="104">
      <t>カモク</t>
    </rPh>
    <rPh sb="107" eb="109">
      <t>カイコウ</t>
    </rPh>
    <rPh sb="120" eb="122">
      <t>ニュウモン</t>
    </rPh>
    <rPh sb="124" eb="126">
      <t>ジュコウ</t>
    </rPh>
    <rPh sb="128" eb="129">
      <t>マエ</t>
    </rPh>
    <rPh sb="131" eb="133">
      <t>ジブン</t>
    </rPh>
    <rPh sb="134" eb="136">
      <t>ノウリョク</t>
    </rPh>
    <rPh sb="137" eb="138">
      <t>オウ</t>
    </rPh>
    <rPh sb="140" eb="142">
      <t>リシュウ</t>
    </rPh>
    <rPh sb="147" eb="149">
      <t>スイショウ</t>
    </rPh>
    <phoneticPr fontId="1"/>
  </si>
  <si>
    <t>令和4</t>
    <rPh sb="0" eb="2">
      <t>レイワ</t>
    </rPh>
    <phoneticPr fontId="1"/>
  </si>
  <si>
    <t xml:space="preserve">
　教務運営会議は、大学の教務について、大学の運営機関である部長会の方針を受けて、学年暦、時間割、履修要項・シラバス、試験・成績、学部共通科目の検討を行う機関です。
　この度、プログラムの中核となる科目「データサイエンス入門」について、教育課程の見直しの中で、社会が求める能力を身に付けるための科目として開設し、PDCAサイクルに基づく改善を進めています。</t>
    <rPh sb="23" eb="25">
      <t>ウンエイ</t>
    </rPh>
    <rPh sb="25" eb="27">
      <t>キカン</t>
    </rPh>
    <rPh sb="41" eb="43">
      <t>ガクネン</t>
    </rPh>
    <rPh sb="43" eb="44">
      <t>レキ</t>
    </rPh>
    <rPh sb="45" eb="48">
      <t>ジカンワリ</t>
    </rPh>
    <rPh sb="49" eb="51">
      <t>リシュウ</t>
    </rPh>
    <rPh sb="51" eb="53">
      <t>ヨウコウ</t>
    </rPh>
    <rPh sb="59" eb="61">
      <t>シケン</t>
    </rPh>
    <rPh sb="62" eb="64">
      <t>セイセキ</t>
    </rPh>
    <rPh sb="65" eb="67">
      <t>ガクブ</t>
    </rPh>
    <rPh sb="67" eb="69">
      <t>キョウツウ</t>
    </rPh>
    <rPh sb="69" eb="71">
      <t>カモク</t>
    </rPh>
    <rPh sb="72" eb="74">
      <t>ケントウ</t>
    </rPh>
    <rPh sb="75" eb="76">
      <t>オコナキカン</t>
    </rPh>
    <rPh sb="136" eb="138">
      <t>ノウリョク</t>
    </rPh>
    <rPh sb="139" eb="140">
      <t>ミ</t>
    </rPh>
    <rPh sb="141" eb="142">
      <t>ツ</t>
    </rPh>
    <phoneticPr fontId="1"/>
  </si>
  <si>
    <t>　本プログラムは学生全員が受講可能となるよう、全学共通科目として、開設しました。
　「データサイエンス入門」は必修科目とし、「情報処理」は1年次生の履修がしやすい、共通科目のみを開講する時限へ設定しています。
　また、教務運営会議を構成する教務委員が、共通科目の履修を支援・促進しています。</t>
    <rPh sb="1" eb="2">
      <t>ホン</t>
    </rPh>
    <rPh sb="8" eb="10">
      <t>ガクセイ</t>
    </rPh>
    <rPh sb="10" eb="12">
      <t>ゼンイン</t>
    </rPh>
    <rPh sb="13" eb="15">
      <t>ジュコウ</t>
    </rPh>
    <rPh sb="15" eb="17">
      <t>カノウ</t>
    </rPh>
    <rPh sb="23" eb="25">
      <t>ゼンガク</t>
    </rPh>
    <rPh sb="25" eb="27">
      <t>キョウツウ</t>
    </rPh>
    <rPh sb="27" eb="29">
      <t>カモク</t>
    </rPh>
    <rPh sb="33" eb="35">
      <t>カイセツ</t>
    </rPh>
    <rPh sb="51" eb="53">
      <t>ニュウモン</t>
    </rPh>
    <rPh sb="55" eb="57">
      <t>ヒッシュウ</t>
    </rPh>
    <rPh sb="57" eb="59">
      <t>カモク</t>
    </rPh>
    <rPh sb="63" eb="65">
      <t>ジョウホウ</t>
    </rPh>
    <rPh sb="65" eb="67">
      <t>ショリ</t>
    </rPh>
    <rPh sb="70" eb="71">
      <t>ネン</t>
    </rPh>
    <rPh sb="71" eb="73">
      <t>ジセイ</t>
    </rPh>
    <rPh sb="74" eb="76">
      <t>リシュウ</t>
    </rPh>
    <rPh sb="82" eb="84">
      <t>キョウツウ</t>
    </rPh>
    <rPh sb="84" eb="86">
      <t>カモク</t>
    </rPh>
    <rPh sb="89" eb="91">
      <t>カイコウ</t>
    </rPh>
    <rPh sb="93" eb="95">
      <t>ジゲン</t>
    </rPh>
    <rPh sb="96" eb="98">
      <t>セッテイ</t>
    </rPh>
    <rPh sb="109" eb="111">
      <t>キョウム</t>
    </rPh>
    <rPh sb="111" eb="113">
      <t>ウンエイ</t>
    </rPh>
    <rPh sb="113" eb="115">
      <t>カイギ</t>
    </rPh>
    <rPh sb="116" eb="118">
      <t>コウセイ</t>
    </rPh>
    <rPh sb="120" eb="122">
      <t>キョウム</t>
    </rPh>
    <rPh sb="122" eb="124">
      <t>イイン</t>
    </rPh>
    <rPh sb="126" eb="128">
      <t>キョウツウ</t>
    </rPh>
    <rPh sb="128" eb="130">
      <t>カモク</t>
    </rPh>
    <rPh sb="131" eb="133">
      <t>リシュウ</t>
    </rPh>
    <rPh sb="134" eb="136">
      <t>シエン</t>
    </rPh>
    <rPh sb="137" eb="139">
      <t>ソクシン</t>
    </rPh>
    <phoneticPr fontId="1"/>
  </si>
  <si>
    <t>　本プログラムは、1年次秋セメスター必修科目「データサイエンス入門」の単位修得を修了要件とするプログラムで、令和4年度から開講し、現在1年次生の入学定員に対して99.7%が修得しており、年度を重なるにつれ、この率は上がり、4年後の令和7年度には100%の学生がプログラム修了者となる予定です。
　プログラムを構成するもう一つの科目、「情報処理」1年次春セメスターに開講し、「データサイエンス入門」に向けて、PC操作や計算ソフトの知識・技術に自信がない学生は、基本的に受講するよう勧めている科目ですが、対象学生のうち、83%の学生が受講し、導入科目として効果を発揮していると捉えています。</t>
    <rPh sb="1" eb="2">
      <t>ホン</t>
    </rPh>
    <rPh sb="10" eb="11">
      <t>ネン</t>
    </rPh>
    <rPh sb="11" eb="12">
      <t>ジ</t>
    </rPh>
    <rPh sb="12" eb="13">
      <t>アキ</t>
    </rPh>
    <rPh sb="18" eb="20">
      <t>ヒッシュウ</t>
    </rPh>
    <rPh sb="31" eb="33">
      <t>ニュウモン</t>
    </rPh>
    <rPh sb="35" eb="37">
      <t>タンイ</t>
    </rPh>
    <rPh sb="37" eb="39">
      <t>シュウトク</t>
    </rPh>
    <rPh sb="40" eb="42">
      <t>シュウリョウ</t>
    </rPh>
    <rPh sb="42" eb="44">
      <t>ヨウケン</t>
    </rPh>
    <rPh sb="54" eb="56">
      <t>レイワ</t>
    </rPh>
    <rPh sb="57" eb="58">
      <t>ネン</t>
    </rPh>
    <rPh sb="58" eb="59">
      <t>ド</t>
    </rPh>
    <rPh sb="61" eb="63">
      <t>カイコウ</t>
    </rPh>
    <rPh sb="65" eb="67">
      <t>ゲンザイ</t>
    </rPh>
    <rPh sb="68" eb="69">
      <t>ネン</t>
    </rPh>
    <rPh sb="69" eb="71">
      <t>ジセイ</t>
    </rPh>
    <rPh sb="72" eb="74">
      <t>ニュウガク</t>
    </rPh>
    <rPh sb="74" eb="76">
      <t>テイイン</t>
    </rPh>
    <rPh sb="77" eb="78">
      <t>タイ</t>
    </rPh>
    <rPh sb="86" eb="88">
      <t>シュウトク</t>
    </rPh>
    <rPh sb="93" eb="95">
      <t>ネンド</t>
    </rPh>
    <rPh sb="96" eb="97">
      <t>カサ</t>
    </rPh>
    <rPh sb="105" eb="106">
      <t>リツ</t>
    </rPh>
    <rPh sb="107" eb="108">
      <t>ア</t>
    </rPh>
    <rPh sb="112" eb="114">
      <t>ネンゴ</t>
    </rPh>
    <rPh sb="115" eb="117">
      <t>レイワ</t>
    </rPh>
    <rPh sb="118" eb="119">
      <t>ネン</t>
    </rPh>
    <rPh sb="119" eb="120">
      <t>ド</t>
    </rPh>
    <rPh sb="127" eb="129">
      <t>ガクセイ</t>
    </rPh>
    <rPh sb="135" eb="138">
      <t>シュウリョウシャ</t>
    </rPh>
    <rPh sb="141" eb="143">
      <t>ヨテイ</t>
    </rPh>
    <rPh sb="154" eb="156">
      <t>コウセイ</t>
    </rPh>
    <rPh sb="160" eb="161">
      <t>ヒト</t>
    </rPh>
    <rPh sb="163" eb="165">
      <t>カモク</t>
    </rPh>
    <rPh sb="167" eb="169">
      <t>ジョウホウ</t>
    </rPh>
    <rPh sb="169" eb="171">
      <t>ショリ</t>
    </rPh>
    <rPh sb="173" eb="174">
      <t>ネン</t>
    </rPh>
    <rPh sb="174" eb="175">
      <t>ジ</t>
    </rPh>
    <rPh sb="175" eb="176">
      <t>ハル</t>
    </rPh>
    <rPh sb="182" eb="184">
      <t>カイコウ</t>
    </rPh>
    <rPh sb="195" eb="197">
      <t>ニュウモン</t>
    </rPh>
    <rPh sb="199" eb="200">
      <t>ム</t>
    </rPh>
    <rPh sb="205" eb="207">
      <t>ソウサ</t>
    </rPh>
    <rPh sb="208" eb="210">
      <t>ケイサン</t>
    </rPh>
    <rPh sb="214" eb="216">
      <t>チシキ</t>
    </rPh>
    <rPh sb="217" eb="219">
      <t>ギジュツ</t>
    </rPh>
    <rPh sb="220" eb="222">
      <t>ジシン</t>
    </rPh>
    <rPh sb="225" eb="227">
      <t>ガクセイ</t>
    </rPh>
    <rPh sb="229" eb="232">
      <t>キホンテキ</t>
    </rPh>
    <rPh sb="233" eb="235">
      <t>ジュコウ</t>
    </rPh>
    <rPh sb="244" eb="246">
      <t>カモク</t>
    </rPh>
    <rPh sb="250" eb="252">
      <t>タイショウ</t>
    </rPh>
    <rPh sb="252" eb="254">
      <t>ガクセイ</t>
    </rPh>
    <rPh sb="262" eb="264">
      <t>ガクセイ</t>
    </rPh>
    <rPh sb="265" eb="267">
      <t>ジュコウ</t>
    </rPh>
    <rPh sb="269" eb="271">
      <t>ドウニュウ</t>
    </rPh>
    <rPh sb="271" eb="273">
      <t>カモク</t>
    </rPh>
    <rPh sb="276" eb="278">
      <t>コウカ</t>
    </rPh>
    <rPh sb="279" eb="281">
      <t>ハッキ</t>
    </rPh>
    <rPh sb="286" eb="287">
      <t>トラ</t>
    </rPh>
    <phoneticPr fontId="1"/>
  </si>
  <si>
    <t>　プログラムの修了要件となる「データサイエンス入門」は全学必修科目のため、2022年度入学生以降、全ての学生が1年次秋セメスターに履修し、卒業までに修得する予定です。入学ガイダンスにおいて、多くの学生に「情報処理」の科目と履修するよう、声掛けをするとともに、春セメスターは共通科目開校日の月曜日を中心に8クラスを開講、秋セメスターは1クラスを開講しています。
　リテラシーレベルのプログラム認定がされましたら、HPへの掲載、メール連絡等で更なる周知を行います。</t>
    <rPh sb="7" eb="9">
      <t>シュウリョウ</t>
    </rPh>
    <rPh sb="9" eb="11">
      <t>ヨウケン</t>
    </rPh>
    <rPh sb="23" eb="25">
      <t>ニュウモン</t>
    </rPh>
    <rPh sb="27" eb="29">
      <t>ゼンガク</t>
    </rPh>
    <rPh sb="29" eb="31">
      <t>ヒッシュウ</t>
    </rPh>
    <rPh sb="31" eb="33">
      <t>カモク</t>
    </rPh>
    <rPh sb="41" eb="42">
      <t>ネン</t>
    </rPh>
    <rPh sb="42" eb="43">
      <t>ド</t>
    </rPh>
    <rPh sb="43" eb="46">
      <t>ニュウガクセイ</t>
    </rPh>
    <rPh sb="46" eb="48">
      <t>イコウ</t>
    </rPh>
    <rPh sb="49" eb="50">
      <t>スベ</t>
    </rPh>
    <rPh sb="52" eb="54">
      <t>ガクセイ</t>
    </rPh>
    <rPh sb="56" eb="57">
      <t>ネン</t>
    </rPh>
    <rPh sb="57" eb="58">
      <t>ジ</t>
    </rPh>
    <rPh sb="58" eb="59">
      <t>アキ</t>
    </rPh>
    <rPh sb="65" eb="67">
      <t>リシュウ</t>
    </rPh>
    <rPh sb="69" eb="71">
      <t>ソツギョウ</t>
    </rPh>
    <rPh sb="74" eb="76">
      <t>シュウトク</t>
    </rPh>
    <rPh sb="78" eb="80">
      <t>ヨテイ</t>
    </rPh>
    <rPh sb="83" eb="85">
      <t>ニュウガク</t>
    </rPh>
    <rPh sb="95" eb="96">
      <t>オオ</t>
    </rPh>
    <rPh sb="98" eb="100">
      <t>ガクセイ</t>
    </rPh>
    <rPh sb="102" eb="104">
      <t>ジョウホウ</t>
    </rPh>
    <rPh sb="104" eb="106">
      <t>ショリ</t>
    </rPh>
    <rPh sb="108" eb="110">
      <t>カモク</t>
    </rPh>
    <rPh sb="111" eb="113">
      <t>リシュウ</t>
    </rPh>
    <rPh sb="118" eb="120">
      <t>コエカ</t>
    </rPh>
    <rPh sb="129" eb="130">
      <t>ハル</t>
    </rPh>
    <rPh sb="136" eb="138">
      <t>キョウツウ</t>
    </rPh>
    <rPh sb="138" eb="140">
      <t>カモク</t>
    </rPh>
    <rPh sb="140" eb="143">
      <t>カイコウビ</t>
    </rPh>
    <rPh sb="144" eb="147">
      <t>ゲツヨウビ</t>
    </rPh>
    <rPh sb="148" eb="150">
      <t>チュウシン</t>
    </rPh>
    <rPh sb="156" eb="158">
      <t>カイコウ</t>
    </rPh>
    <rPh sb="159" eb="160">
      <t>アキ</t>
    </rPh>
    <rPh sb="171" eb="173">
      <t>カイコウ</t>
    </rPh>
    <rPh sb="195" eb="197">
      <t>ニンテイ</t>
    </rPh>
    <rPh sb="209" eb="211">
      <t>ケイサイ</t>
    </rPh>
    <rPh sb="215" eb="217">
      <t>レンラク</t>
    </rPh>
    <rPh sb="217" eb="218">
      <t>トウ</t>
    </rPh>
    <rPh sb="219" eb="220">
      <t>サラ</t>
    </rPh>
    <rPh sb="222" eb="224">
      <t>シュウチ</t>
    </rPh>
    <rPh sb="225" eb="226">
      <t>オコナ</t>
    </rPh>
    <phoneticPr fontId="1"/>
  </si>
  <si>
    <t>　情報処理はクラス数を多くし、履修しやすいように時間割配置を教務事務センターが調整しています。
　また、クラス数を多くすることで、学生が分散し、授業当たりの学生数を少なくし、教員の指導がしやすいようにしています。</t>
    <rPh sb="1" eb="3">
      <t>ジョウホウ</t>
    </rPh>
    <rPh sb="3" eb="5">
      <t>ショリ</t>
    </rPh>
    <rPh sb="9" eb="10">
      <t>スウ</t>
    </rPh>
    <rPh sb="11" eb="12">
      <t>オオ</t>
    </rPh>
    <rPh sb="15" eb="17">
      <t>リシュウ</t>
    </rPh>
    <rPh sb="24" eb="27">
      <t>ジカンワリ</t>
    </rPh>
    <rPh sb="27" eb="29">
      <t>ハイチ</t>
    </rPh>
    <rPh sb="30" eb="32">
      <t>キョウム</t>
    </rPh>
    <rPh sb="32" eb="34">
      <t>ジム</t>
    </rPh>
    <rPh sb="39" eb="41">
      <t>チョウセイ</t>
    </rPh>
    <rPh sb="55" eb="56">
      <t>スウ</t>
    </rPh>
    <rPh sb="57" eb="58">
      <t>オオ</t>
    </rPh>
    <rPh sb="65" eb="67">
      <t>ガクセイ</t>
    </rPh>
    <rPh sb="68" eb="70">
      <t>ブンサン</t>
    </rPh>
    <rPh sb="72" eb="74">
      <t>ジュギョウ</t>
    </rPh>
    <rPh sb="74" eb="75">
      <t>ア</t>
    </rPh>
    <rPh sb="78" eb="80">
      <t>ガクセイ</t>
    </rPh>
    <rPh sb="80" eb="81">
      <t>スウ</t>
    </rPh>
    <rPh sb="82" eb="83">
      <t>スク</t>
    </rPh>
    <rPh sb="87" eb="89">
      <t>キョウイン</t>
    </rPh>
    <rPh sb="90" eb="92">
      <t>シドウ</t>
    </rPh>
    <phoneticPr fontId="1"/>
  </si>
  <si>
    <t>　学生の課題の実施状況等はLMSシステムによって把握することができる。
　また、教務事務センターにおいて、プログラムの履修・修得状況を確認し、教務運営会議に報告している。
　本プログラムは、2022年度入学生から開始した。
　修了要件となる「データサイエンス入門」は入学生350名全員が履修し、349名が単位を修得した。1名の未修得者は進路変更を希望し退学をした学生であり、実質的な修得率は100%である。
　今後、選択科目の情報処理について、高校での情報の履修状況により、内容を変更するなどして、学生が有益と感じ、履修できるよう設定し、履修率を維持、向上させていく。
　適切な課題と評価を今後も継続していく。　</t>
    <rPh sb="1" eb="3">
      <t>ガクセイ</t>
    </rPh>
    <rPh sb="4" eb="6">
      <t>カダイ</t>
    </rPh>
    <rPh sb="7" eb="9">
      <t>ジッシ</t>
    </rPh>
    <rPh sb="9" eb="11">
      <t>ジョウキョウ</t>
    </rPh>
    <rPh sb="11" eb="12">
      <t>トウ</t>
    </rPh>
    <rPh sb="24" eb="26">
      <t>ハアク</t>
    </rPh>
    <rPh sb="40" eb="42">
      <t>キョウム</t>
    </rPh>
    <rPh sb="42" eb="44">
      <t>ジム</t>
    </rPh>
    <rPh sb="59" eb="61">
      <t>リシュウ</t>
    </rPh>
    <rPh sb="62" eb="64">
      <t>シュウトク</t>
    </rPh>
    <rPh sb="64" eb="66">
      <t>ジョウキョウ</t>
    </rPh>
    <rPh sb="67" eb="69">
      <t>カクニン</t>
    </rPh>
    <rPh sb="71" eb="73">
      <t>キョウム</t>
    </rPh>
    <rPh sb="73" eb="75">
      <t>ウンエイ</t>
    </rPh>
    <rPh sb="75" eb="77">
      <t>カイギ</t>
    </rPh>
    <rPh sb="78" eb="80">
      <t>ホウコク</t>
    </rPh>
    <rPh sb="87" eb="88">
      <t>ホン</t>
    </rPh>
    <rPh sb="99" eb="100">
      <t>ネン</t>
    </rPh>
    <rPh sb="100" eb="101">
      <t>ド</t>
    </rPh>
    <rPh sb="101" eb="104">
      <t>ニュウガクセイ</t>
    </rPh>
    <rPh sb="106" eb="108">
      <t>カイシ</t>
    </rPh>
    <rPh sb="113" eb="115">
      <t>シュウリョウ</t>
    </rPh>
    <rPh sb="115" eb="117">
      <t>ヨウケン</t>
    </rPh>
    <rPh sb="129" eb="131">
      <t>ニュウモン</t>
    </rPh>
    <rPh sb="133" eb="136">
      <t>ニュウガクセイ</t>
    </rPh>
    <rPh sb="139" eb="140">
      <t>メイ</t>
    </rPh>
    <rPh sb="140" eb="142">
      <t>ゼンイン</t>
    </rPh>
    <rPh sb="143" eb="145">
      <t>リシュウ</t>
    </rPh>
    <rPh sb="150" eb="151">
      <t>メイ</t>
    </rPh>
    <rPh sb="152" eb="154">
      <t>タンイ</t>
    </rPh>
    <rPh sb="155" eb="157">
      <t>シュウトク</t>
    </rPh>
    <rPh sb="205" eb="207">
      <t>コンゴ</t>
    </rPh>
    <rPh sb="208" eb="210">
      <t>センタク</t>
    </rPh>
    <rPh sb="210" eb="212">
      <t>カモク</t>
    </rPh>
    <rPh sb="213" eb="215">
      <t>ジョウホウ</t>
    </rPh>
    <rPh sb="215" eb="217">
      <t>ショリ</t>
    </rPh>
    <rPh sb="222" eb="224">
      <t>コウコウ</t>
    </rPh>
    <rPh sb="226" eb="228">
      <t>ジョウホウ</t>
    </rPh>
    <rPh sb="229" eb="231">
      <t>リシュウ</t>
    </rPh>
    <rPh sb="231" eb="233">
      <t>ジョウキョウ</t>
    </rPh>
    <rPh sb="237" eb="239">
      <t>ナイヨウ</t>
    </rPh>
    <rPh sb="240" eb="242">
      <t>ヘンコウ</t>
    </rPh>
    <rPh sb="249" eb="251">
      <t>ガクセイ</t>
    </rPh>
    <rPh sb="252" eb="254">
      <t>ユウエキ</t>
    </rPh>
    <rPh sb="255" eb="256">
      <t>カン</t>
    </rPh>
    <rPh sb="258" eb="260">
      <t>リシュウ</t>
    </rPh>
    <rPh sb="265" eb="267">
      <t>セッテイ</t>
    </rPh>
    <rPh sb="269" eb="271">
      <t>リシュウ</t>
    </rPh>
    <rPh sb="271" eb="272">
      <t>リツ</t>
    </rPh>
    <rPh sb="273" eb="275">
      <t>イジ</t>
    </rPh>
    <rPh sb="276" eb="278">
      <t>コウジョウ</t>
    </rPh>
    <rPh sb="288" eb="290">
      <t>テキセツ</t>
    </rPh>
    <rPh sb="291" eb="293">
      <t>カダイ</t>
    </rPh>
    <rPh sb="294" eb="296">
      <t>ヒョウカ</t>
    </rPh>
    <rPh sb="297" eb="299">
      <t>コンゴ</t>
    </rPh>
    <rPh sb="300" eb="302">
      <t>ケイゾク</t>
    </rPh>
    <phoneticPr fontId="1"/>
  </si>
  <si>
    <t>　
　成績評価の分布と授業評価における「Q4.あなたは、この授業の到達目標を達成することができましたか。」の回答状況を分析することによって、学生の理解度を把握することができる。
　2022年度は、共に、一定の学修成果を達成していることが確認できた。
　一方で、情報処理と比べるとデータサイエンス入門の達成状況が低いことが判明している。
　これは、統計や統計ソフト（EZR）を利用することが理由であり、2023年度に向けて授業資料等の改善を進めている。</t>
    <rPh sb="3" eb="5">
      <t>セイセキ</t>
    </rPh>
    <rPh sb="5" eb="7">
      <t>ヒョウカ</t>
    </rPh>
    <rPh sb="8" eb="10">
      <t>ブンプ</t>
    </rPh>
    <rPh sb="11" eb="13">
      <t>ジュギョウ</t>
    </rPh>
    <rPh sb="13" eb="15">
      <t>ヒョウカ</t>
    </rPh>
    <rPh sb="54" eb="56">
      <t>カイトウ</t>
    </rPh>
    <rPh sb="56" eb="58">
      <t>ジョウキョウ</t>
    </rPh>
    <rPh sb="59" eb="61">
      <t>ブンセキ</t>
    </rPh>
    <rPh sb="70" eb="72">
      <t>ガクセイ</t>
    </rPh>
    <rPh sb="73" eb="76">
      <t>リカイド</t>
    </rPh>
    <rPh sb="77" eb="79">
      <t>ハアク</t>
    </rPh>
    <rPh sb="94" eb="95">
      <t>ネン</t>
    </rPh>
    <rPh sb="95" eb="96">
      <t>ド</t>
    </rPh>
    <rPh sb="98" eb="99">
      <t>トモ</t>
    </rPh>
    <rPh sb="101" eb="103">
      <t>イッテイ</t>
    </rPh>
    <rPh sb="104" eb="106">
      <t>ガクシュウ</t>
    </rPh>
    <rPh sb="106" eb="108">
      <t>セイカ</t>
    </rPh>
    <rPh sb="109" eb="111">
      <t>タッセイ</t>
    </rPh>
    <rPh sb="118" eb="120">
      <t>カクニン</t>
    </rPh>
    <rPh sb="126" eb="128">
      <t>イッポウ</t>
    </rPh>
    <rPh sb="130" eb="132">
      <t>ジョウホウ</t>
    </rPh>
    <rPh sb="132" eb="134">
      <t>ショリ</t>
    </rPh>
    <rPh sb="135" eb="136">
      <t>クラ</t>
    </rPh>
    <rPh sb="147" eb="149">
      <t>ニュウモン</t>
    </rPh>
    <rPh sb="150" eb="152">
      <t>タッセイ</t>
    </rPh>
    <rPh sb="152" eb="154">
      <t>ジョウキョウ</t>
    </rPh>
    <rPh sb="155" eb="156">
      <t>ヒク</t>
    </rPh>
    <rPh sb="160" eb="162">
      <t>ハンメイ</t>
    </rPh>
    <rPh sb="173" eb="175">
      <t>トウケイ</t>
    </rPh>
    <rPh sb="176" eb="178">
      <t>トウケイ</t>
    </rPh>
    <rPh sb="187" eb="189">
      <t>リヨウ</t>
    </rPh>
    <rPh sb="194" eb="196">
      <t>リユウ</t>
    </rPh>
    <rPh sb="204" eb="206">
      <t>ネンド</t>
    </rPh>
    <rPh sb="207" eb="208">
      <t>ム</t>
    </rPh>
    <rPh sb="210" eb="212">
      <t>ジュギョウ</t>
    </rPh>
    <rPh sb="212" eb="214">
      <t>シリョウ</t>
    </rPh>
    <rPh sb="214" eb="215">
      <t>トウ</t>
    </rPh>
    <rPh sb="216" eb="218">
      <t>カイゼン</t>
    </rPh>
    <rPh sb="219" eb="220">
      <t>スス</t>
    </rPh>
    <phoneticPr fontId="1"/>
  </si>
  <si>
    <t xml:space="preserve">
　教務部長　リハビリテーション学部　教授　矢倉千昭
　看護学部　教務･実習委員長　准教授　田口実里　准教授　神﨑江利子　准教授　江口晶子
　社会福祉学部　教務委員長 　教授　和久田佳代　教授　大場義貴　准教授　泉谷朋子　
　リハビリテーション学部教務委員長　准教授　藤田さより　准教授　俵祐一　教授　大原重洋
　専門学校教務主任　髙山暢子
　教学事務統括センター長　藤田正人　
　教務事務センター　センター長　諏訪部啓 　センター長補佐　岡本良男　センター長補佐　藤田康仁</t>
    <rPh sb="16" eb="18">
      <t>ガクブ</t>
    </rPh>
    <rPh sb="19" eb="21">
      <t>キョウジュ</t>
    </rPh>
    <rPh sb="42" eb="43">
      <t>ジュン</t>
    </rPh>
    <rPh sb="43" eb="45">
      <t>キョウジュ</t>
    </rPh>
    <rPh sb="51" eb="54">
      <t>ジュンキョウジュ</t>
    </rPh>
    <rPh sb="61" eb="64">
      <t>ジュンキョウジュ</t>
    </rPh>
    <rPh sb="85" eb="87">
      <t>キョウジュ</t>
    </rPh>
    <rPh sb="94" eb="96">
      <t>キョウジュ</t>
    </rPh>
    <rPh sb="102" eb="105">
      <t>ジュンキョウジュ</t>
    </rPh>
    <rPh sb="130" eb="133">
      <t>ジュンキョウジュ</t>
    </rPh>
    <rPh sb="140" eb="141">
      <t>ジュン</t>
    </rPh>
    <rPh sb="141" eb="143">
      <t>キョウジュ</t>
    </rPh>
    <rPh sb="148" eb="150">
      <t>キョウジュ</t>
    </rPh>
    <phoneticPr fontId="1"/>
  </si>
  <si>
    <t>ビッグデータ、IoT、AI、ロボット、第4次産業革命、Society5.0、複数技術を組みわせたAIサービス、人間の知的活動とAIの関係性、人間の知的活動を起点としたものの見方　「データサイエンス入門」　1回目</t>
    <rPh sb="98" eb="100">
      <t>ニュウモン</t>
    </rPh>
    <rPh sb="103" eb="105">
      <t>カイメ</t>
    </rPh>
    <phoneticPr fontId="1"/>
  </si>
  <si>
    <t>AIを活用した新しいビジネスモデル(学習支援、生活支援)　「データサイエンス入門」　5回目</t>
    <rPh sb="3" eb="5">
      <t>カツヨウ</t>
    </rPh>
    <rPh sb="7" eb="8">
      <t>アタラ</t>
    </rPh>
    <rPh sb="18" eb="20">
      <t>ガクシュウ</t>
    </rPh>
    <rPh sb="20" eb="22">
      <t>シエン</t>
    </rPh>
    <rPh sb="23" eb="25">
      <t>セイカツ</t>
    </rPh>
    <rPh sb="25" eb="27">
      <t>シエン</t>
    </rPh>
    <rPh sb="38" eb="40">
      <t>ニュウモン</t>
    </rPh>
    <rPh sb="43" eb="45">
      <t>カイメ</t>
    </rPh>
    <phoneticPr fontId="1"/>
  </si>
  <si>
    <t>調査データ、ログデータ、実験データ、観測データ、構造化データ、非構造化データ(文章、画像/動画、音声/音楽）　「データサイエンス入門」　2回目</t>
    <phoneticPr fontId="1"/>
  </si>
  <si>
    <t>データ・AI活用領域の広がり、研究開発、購買物流、調達、製造、出荷物流、マーケティング、販売、サービス、仮説検証、知識発見、原因究明、計画策定、判断支援、活動代替、新規作成　「データサイエンス入門」　2回目</t>
    <phoneticPr fontId="1"/>
  </si>
  <si>
    <t>データ解析：予測、グルーピング、パターン発見、最適化、シミュレーション・データ同化、非構造化データ処理：言語処理、画像/動画処理、音声/音楽処理、データ可視化：複合グラフ、2位j九グラフ、下司玄雄可視化、関係性の可視化、地図上の可視化、認識技術、特化型AIと汎用型AI　「データサイエンス入門」　3回目</t>
    <phoneticPr fontId="1"/>
  </si>
  <si>
    <t>ヘルスケア等におけるデータ・AI利活用事例紹介　「データサイエンス入門」　5回目</t>
    <phoneticPr fontId="1"/>
  </si>
  <si>
    <t>ELSI、GDPR、個人情報保護、AI社会原則（公平性、説明責任、透明性、人間中心の判断）、データ・AI活用における負の事例紹介　「データサイエンス入門」　4回目</t>
    <phoneticPr fontId="1"/>
  </si>
  <si>
    <t>情報セキュリティ：気密性、完全性、可用性、匿名加工情報、暗号化、パスワード、悪意ある情報搾取、情報漏洩等によるセキュリティ事故の事例紹介　「データサイエンス入門」　4回目</t>
    <phoneticPr fontId="1"/>
  </si>
  <si>
    <t>データの種類（量的変数、質的変数）、打ち切りや脱落を含むデータ、母集団と標本抽出（アンケート調査、全数調査、単純無作為抽出、送別抽出法、多段抽出法）「データサイエンス入門」　8回目
データの分布(ヒストグラム)と代表値(平均値、中央値、最頻値）、代表値の性質の違い「データサイエンス入門」　9回目
データのばらつき(分散、標準偏差、偏差値)「データサイエンス入門」　10回目
相関と因果（相関係数、議事相関、交絡）「データサイエンス入門」　11回目
クロス集計、分割表、相関関係数行列、散布図行列、統計情報の正しい理解「データサイエンス入門」　12回目</t>
    <rPh sb="4" eb="6">
      <t>シュルイ</t>
    </rPh>
    <rPh sb="7" eb="9">
      <t>リョウテキ</t>
    </rPh>
    <rPh sb="9" eb="11">
      <t>ヘンスウ</t>
    </rPh>
    <rPh sb="12" eb="14">
      <t>シツテキ</t>
    </rPh>
    <rPh sb="14" eb="16">
      <t>ヘンスウ</t>
    </rPh>
    <rPh sb="18" eb="19">
      <t>ウ</t>
    </rPh>
    <rPh sb="20" eb="21">
      <t>キ</t>
    </rPh>
    <rPh sb="23" eb="25">
      <t>ダツラク</t>
    </rPh>
    <rPh sb="26" eb="27">
      <t>フク</t>
    </rPh>
    <rPh sb="49" eb="52">
      <t>ボシュウダン</t>
    </rPh>
    <rPh sb="53" eb="55">
      <t>ヒョウホン</t>
    </rPh>
    <rPh sb="55" eb="57">
      <t>チュウシュツ</t>
    </rPh>
    <rPh sb="63" eb="65">
      <t>チョウサ</t>
    </rPh>
    <rPh sb="66" eb="67">
      <t>ゼン</t>
    </rPh>
    <rPh sb="67" eb="68">
      <t>スウ</t>
    </rPh>
    <rPh sb="68" eb="70">
      <t>チョウサ</t>
    </rPh>
    <rPh sb="71" eb="73">
      <t>タンジュン</t>
    </rPh>
    <rPh sb="73" eb="76">
      <t>ムサクイ</t>
    </rPh>
    <rPh sb="76" eb="78">
      <t>チュウシュツ</t>
    </rPh>
    <rPh sb="79" eb="81">
      <t>ソウベツ</t>
    </rPh>
    <rPh sb="81" eb="84">
      <t>チュウシュツホウ</t>
    </rPh>
    <rPh sb="85" eb="89">
      <t>タダンチュウシュツ</t>
    </rPh>
    <rPh sb="89" eb="90">
      <t>ホウ</t>
    </rPh>
    <phoneticPr fontId="1"/>
  </si>
  <si>
    <t>データの集計（和、平均）、データ解析ツール　「データサイエンス入門」　6回目
表形式のデータ(csv)　「データサイエンス入門」　7回目
データの集計、データの並び替え　「データサイエンス入門」15回目
データの集計(和、平均）　「情報処理」　13、14回目</t>
    <rPh sb="31" eb="33">
      <t>ニュウモン</t>
    </rPh>
    <rPh sb="36" eb="38">
      <t>カイメ</t>
    </rPh>
    <rPh sb="116" eb="118">
      <t>ジョウホウ</t>
    </rPh>
    <rPh sb="118" eb="120">
      <t>ショリ</t>
    </rPh>
    <rPh sb="127" eb="129">
      <t>カイメ</t>
    </rPh>
    <phoneticPr fontId="1"/>
  </si>
  <si>
    <t>データ表現（棒グラフ、折線グラフ、円グラフ、散布図、ヒートマップ）、データの図表表現(チャート化）、データの比較、不適切なグラフ表現、優れた可視化事例の紹介「データサイエンス入門」　13～15回目
データ表現(棒グラフ、折れ線グラフ、円グラフ)「情報処理」15回目</t>
    <rPh sb="3" eb="5">
      <t>ヒョウゲン</t>
    </rPh>
    <rPh sb="6" eb="7">
      <t>ボウ</t>
    </rPh>
    <rPh sb="11" eb="13">
      <t>オレセン</t>
    </rPh>
    <rPh sb="17" eb="18">
      <t>エン</t>
    </rPh>
    <rPh sb="22" eb="24">
      <t>サンプ</t>
    </rPh>
    <rPh sb="24" eb="25">
      <t>ズ</t>
    </rPh>
    <rPh sb="38" eb="40">
      <t>ズヒョウ</t>
    </rPh>
    <rPh sb="40" eb="42">
      <t>ヒョウゲン</t>
    </rPh>
    <rPh sb="47" eb="48">
      <t>カ</t>
    </rPh>
    <rPh sb="54" eb="56">
      <t>ヒカク</t>
    </rPh>
    <rPh sb="57" eb="60">
      <t>フテキセツ</t>
    </rPh>
    <rPh sb="64" eb="66">
      <t>ヒョウゲン</t>
    </rPh>
    <rPh sb="67" eb="68">
      <t>スグ</t>
    </rPh>
    <rPh sb="70" eb="73">
      <t>カシカ</t>
    </rPh>
    <rPh sb="73" eb="75">
      <t>ジレイ</t>
    </rPh>
    <rPh sb="76" eb="78">
      <t>ショウカイ</t>
    </rPh>
    <rPh sb="123" eb="125">
      <t>ジョウホウ</t>
    </rPh>
    <rPh sb="125" eb="127">
      <t>ショリ</t>
    </rPh>
    <rPh sb="130" eb="132">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</si>
</sst>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6" xfId="0" applyFont="1" applyFill="1" applyBorder="1" applyAlignment="1">
      <alignment horizontal="left" vertical="center" shrinkToFit="1"/>
    </xf>
    <xf numFmtId="0" fontId="2" fillId="0" borderId="12" xfId="0" applyFont="1" applyFill="1" applyBorder="1" applyAlignment="1">
      <alignment horizontal="left" vertical="center"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2" fillId="0" borderId="6" xfId="0" applyFont="1" applyFill="1" applyBorder="1" applyAlignment="1">
      <alignment vertical="center" wrapText="1" shrinkToFit="1"/>
    </xf>
    <xf numFmtId="0" fontId="2" fillId="0" borderId="6" xfId="0" applyFont="1" applyFill="1" applyBorder="1" applyAlignment="1">
      <alignment vertical="center" shrinkToFit="1"/>
    </xf>
    <xf numFmtId="0" fontId="2" fillId="0" borderId="12" xfId="0" applyFont="1" applyFill="1" applyBorder="1" applyAlignment="1">
      <alignment vertical="center" shrinkToFit="1"/>
    </xf>
    <xf numFmtId="0" fontId="2" fillId="0" borderId="8" xfId="0" applyFont="1" applyFill="1" applyBorder="1" applyAlignment="1">
      <alignment horizontal="left" vertical="center" wrapText="1" shrinkToFit="1"/>
    </xf>
    <xf numFmtId="0" fontId="2" fillId="0" borderId="9" xfId="0" applyFont="1" applyFill="1" applyBorder="1" applyAlignment="1">
      <alignment horizontal="left" vertical="center" wrapText="1" shrinkToFit="1"/>
    </xf>
    <xf numFmtId="0" fontId="2" fillId="0" borderId="36" xfId="0" applyFont="1" applyFill="1" applyBorder="1" applyAlignment="1">
      <alignment horizontal="left" vertical="center" wrapText="1" shrinkToFit="1"/>
    </xf>
    <xf numFmtId="0" fontId="2" fillId="0" borderId="35" xfId="0" applyFont="1" applyFill="1" applyBorder="1" applyAlignment="1">
      <alignment horizontal="left" vertical="center" wrapText="1" shrinkToFit="1"/>
    </xf>
    <xf numFmtId="0" fontId="2" fillId="0" borderId="38" xfId="0" applyFont="1" applyFill="1" applyBorder="1" applyAlignment="1">
      <alignment horizontal="left" vertical="center" wrapText="1" shrinkToFit="1"/>
    </xf>
    <xf numFmtId="0" fontId="2" fillId="0" borderId="39" xfId="0" applyFont="1" applyFill="1" applyBorder="1" applyAlignment="1">
      <alignment horizontal="left" vertical="center" wrapText="1" shrinkToFit="1"/>
    </xf>
    <xf numFmtId="0" fontId="2" fillId="0" borderId="36" xfId="0" applyFont="1" applyFill="1" applyBorder="1" applyAlignment="1">
      <alignment vertical="center" wrapText="1" shrinkToFit="1"/>
    </xf>
    <xf numFmtId="0" fontId="2" fillId="0" borderId="35" xfId="0" applyFont="1" applyFill="1" applyBorder="1" applyAlignment="1">
      <alignment vertical="center" wrapText="1" shrinkToFit="1"/>
    </xf>
    <xf numFmtId="0" fontId="2" fillId="0" borderId="19" xfId="0" applyFont="1" applyFill="1" applyBorder="1" applyAlignment="1">
      <alignment vertical="center" wrapText="1" shrinkToFit="1"/>
    </xf>
    <xf numFmtId="0" fontId="2" fillId="0" borderId="20" xfId="0" applyFont="1" applyFill="1" applyBorder="1" applyAlignment="1">
      <alignment vertical="center" wrapText="1" shrinkToFit="1"/>
    </xf>
    <xf numFmtId="0" fontId="2" fillId="0" borderId="18" xfId="0" applyFont="1" applyFill="1" applyBorder="1" applyAlignment="1">
      <alignmen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B75" zoomScaleNormal="100" zoomScaleSheetLayoutView="100" workbookViewId="0">
      <selection activeCell="J81" sqref="J81:O8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1" t="s">
        <v>12</v>
      </c>
      <c r="S1" s="101"/>
      <c r="T1" s="2" t="s">
        <v>110</v>
      </c>
    </row>
    <row r="2" spans="1:22" ht="18.75" customHeight="1" x14ac:dyDescent="0.15">
      <c r="B2" s="33" t="s">
        <v>109</v>
      </c>
      <c r="C2" s="94" t="s">
        <v>129</v>
      </c>
      <c r="D2" s="95"/>
      <c r="E2" s="95"/>
      <c r="F2" s="95"/>
      <c r="G2" s="95"/>
      <c r="H2" s="95"/>
      <c r="I2" s="96"/>
      <c r="J2" s="34"/>
      <c r="K2" s="6"/>
      <c r="L2" s="6"/>
      <c r="M2" s="6"/>
      <c r="N2" s="6"/>
      <c r="O2" s="6"/>
      <c r="P2" s="6"/>
      <c r="Q2" s="6"/>
      <c r="R2" s="6"/>
      <c r="S2" s="6"/>
    </row>
    <row r="3" spans="1:22" ht="18.75" customHeight="1" x14ac:dyDescent="0.15">
      <c r="B3" s="33" t="s">
        <v>103</v>
      </c>
      <c r="C3" s="94" t="s">
        <v>148</v>
      </c>
      <c r="D3" s="95"/>
      <c r="E3" s="95"/>
      <c r="F3" s="95"/>
      <c r="G3" s="95"/>
      <c r="H3" s="95"/>
      <c r="I3" s="96"/>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05" t="s">
        <v>39</v>
      </c>
      <c r="B5" s="105"/>
      <c r="C5" s="105"/>
      <c r="D5" s="105"/>
      <c r="E5" s="105"/>
      <c r="F5" s="105"/>
      <c r="G5" s="105"/>
      <c r="H5" s="105"/>
      <c r="I5" s="105"/>
      <c r="J5" s="105"/>
      <c r="K5" s="105"/>
      <c r="L5" s="105"/>
      <c r="M5" s="105"/>
      <c r="N5" s="105"/>
      <c r="O5" s="105"/>
      <c r="P5" s="105"/>
      <c r="Q5" s="105"/>
      <c r="R5" s="105"/>
      <c r="S5" s="10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15" t="s">
        <v>127</v>
      </c>
      <c r="L7" s="116"/>
      <c r="M7" s="116"/>
      <c r="N7" s="116"/>
      <c r="O7" s="116"/>
      <c r="P7" s="116"/>
      <c r="Q7" s="116"/>
      <c r="R7" s="116"/>
      <c r="S7" s="11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2"/>
      <c r="C9" s="83"/>
      <c r="D9" s="83"/>
      <c r="E9" s="83"/>
      <c r="F9" s="83"/>
      <c r="G9" s="83"/>
      <c r="H9" s="83"/>
      <c r="I9" s="83"/>
      <c r="J9" s="83"/>
      <c r="K9" s="83"/>
      <c r="L9" s="83"/>
      <c r="M9" s="83"/>
      <c r="N9" s="83"/>
      <c r="O9" s="83"/>
      <c r="P9" s="83"/>
      <c r="Q9" s="83"/>
      <c r="R9" s="83"/>
      <c r="S9" s="84"/>
    </row>
    <row r="10" spans="1:22" ht="18" customHeight="1" x14ac:dyDescent="0.15">
      <c r="B10" s="85"/>
      <c r="C10" s="86"/>
      <c r="D10" s="86"/>
      <c r="E10" s="86"/>
      <c r="F10" s="86"/>
      <c r="G10" s="86"/>
      <c r="H10" s="86"/>
      <c r="I10" s="86"/>
      <c r="J10" s="86"/>
      <c r="K10" s="86"/>
      <c r="L10" s="86"/>
      <c r="M10" s="86"/>
      <c r="N10" s="86"/>
      <c r="O10" s="86"/>
      <c r="P10" s="86"/>
      <c r="Q10" s="86"/>
      <c r="R10" s="86"/>
      <c r="S10" s="8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8"/>
      <c r="L12" s="38"/>
      <c r="M12" s="38"/>
      <c r="N12" s="38"/>
      <c r="O12" s="38"/>
      <c r="P12" s="38"/>
      <c r="Q12" s="38"/>
      <c r="R12" s="38"/>
      <c r="S12" s="38"/>
    </row>
    <row r="13" spans="1:22" ht="18" customHeight="1" x14ac:dyDescent="0.15">
      <c r="B13" s="106" t="s">
        <v>149</v>
      </c>
      <c r="C13" s="107"/>
      <c r="D13" s="107"/>
      <c r="E13" s="107"/>
      <c r="F13" s="107"/>
      <c r="G13" s="107"/>
      <c r="H13" s="107"/>
      <c r="I13" s="107"/>
      <c r="J13" s="107"/>
      <c r="K13" s="107"/>
      <c r="L13" s="107"/>
      <c r="M13" s="107"/>
      <c r="N13" s="107"/>
      <c r="O13" s="107"/>
      <c r="P13" s="107"/>
      <c r="Q13" s="107"/>
      <c r="R13" s="107"/>
      <c r="S13" s="108"/>
      <c r="V13" s="1" t="s">
        <v>104</v>
      </c>
    </row>
    <row r="14" spans="1:22" ht="18" customHeight="1" x14ac:dyDescent="0.15">
      <c r="B14" s="109"/>
      <c r="C14" s="110"/>
      <c r="D14" s="110"/>
      <c r="E14" s="110"/>
      <c r="F14" s="110"/>
      <c r="G14" s="110"/>
      <c r="H14" s="110"/>
      <c r="I14" s="110"/>
      <c r="J14" s="110"/>
      <c r="K14" s="110"/>
      <c r="L14" s="110"/>
      <c r="M14" s="110"/>
      <c r="N14" s="110"/>
      <c r="O14" s="110"/>
      <c r="P14" s="110"/>
      <c r="Q14" s="110"/>
      <c r="R14" s="110"/>
      <c r="S14" s="111"/>
      <c r="V14" s="1" t="s">
        <v>111</v>
      </c>
    </row>
    <row r="15" spans="1:22" ht="18" customHeight="1" x14ac:dyDescent="0.15">
      <c r="B15" s="109"/>
      <c r="C15" s="110"/>
      <c r="D15" s="110"/>
      <c r="E15" s="110"/>
      <c r="F15" s="110"/>
      <c r="G15" s="110"/>
      <c r="H15" s="110"/>
      <c r="I15" s="110"/>
      <c r="J15" s="110"/>
      <c r="K15" s="110"/>
      <c r="L15" s="110"/>
      <c r="M15" s="110"/>
      <c r="N15" s="110"/>
      <c r="O15" s="110"/>
      <c r="P15" s="110"/>
      <c r="Q15" s="110"/>
      <c r="R15" s="110"/>
      <c r="S15" s="111"/>
      <c r="V15" s="1" t="s">
        <v>124</v>
      </c>
    </row>
    <row r="16" spans="1:22" ht="18" customHeight="1" x14ac:dyDescent="0.15">
      <c r="B16" s="109"/>
      <c r="C16" s="110"/>
      <c r="D16" s="110"/>
      <c r="E16" s="110"/>
      <c r="F16" s="110"/>
      <c r="G16" s="110"/>
      <c r="H16" s="110"/>
      <c r="I16" s="110"/>
      <c r="J16" s="110"/>
      <c r="K16" s="110"/>
      <c r="L16" s="110"/>
      <c r="M16" s="110"/>
      <c r="N16" s="110"/>
      <c r="O16" s="110"/>
      <c r="P16" s="110"/>
      <c r="Q16" s="110"/>
      <c r="R16" s="110"/>
      <c r="S16" s="111"/>
      <c r="V16" s="1" t="s">
        <v>126</v>
      </c>
    </row>
    <row r="17" spans="1:19" ht="18" customHeight="1" x14ac:dyDescent="0.15">
      <c r="B17" s="109"/>
      <c r="C17" s="110"/>
      <c r="D17" s="110"/>
      <c r="E17" s="110"/>
      <c r="F17" s="110"/>
      <c r="G17" s="110"/>
      <c r="H17" s="110"/>
      <c r="I17" s="110"/>
      <c r="J17" s="110"/>
      <c r="K17" s="110"/>
      <c r="L17" s="110"/>
      <c r="M17" s="110"/>
      <c r="N17" s="110"/>
      <c r="O17" s="110"/>
      <c r="P17" s="110"/>
      <c r="Q17" s="110"/>
      <c r="R17" s="110"/>
      <c r="S17" s="111"/>
    </row>
    <row r="18" spans="1:19" ht="18" customHeight="1" x14ac:dyDescent="0.15">
      <c r="B18" s="112"/>
      <c r="C18" s="113"/>
      <c r="D18" s="113"/>
      <c r="E18" s="113"/>
      <c r="F18" s="113"/>
      <c r="G18" s="113"/>
      <c r="H18" s="113"/>
      <c r="I18" s="113"/>
      <c r="J18" s="113"/>
      <c r="K18" s="113"/>
      <c r="L18" s="113"/>
      <c r="M18" s="113"/>
      <c r="N18" s="113"/>
      <c r="O18" s="113"/>
      <c r="P18" s="113"/>
      <c r="Q18" s="113"/>
      <c r="R18" s="113"/>
      <c r="S18" s="11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4">
        <v>1</v>
      </c>
      <c r="D20" s="96"/>
      <c r="E20" s="39" t="s">
        <v>96</v>
      </c>
      <c r="G20" s="10"/>
      <c r="H20" s="3"/>
      <c r="I20" s="3"/>
      <c r="J20" s="34" t="s">
        <v>122</v>
      </c>
      <c r="K20" s="102" t="s">
        <v>111</v>
      </c>
      <c r="L20" s="103"/>
      <c r="M20" s="103"/>
      <c r="N20" s="103"/>
      <c r="O20" s="103"/>
      <c r="P20" s="103"/>
      <c r="Q20" s="103"/>
      <c r="R20" s="103"/>
      <c r="S20" s="10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114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4" t="s">
        <v>54</v>
      </c>
      <c r="C24" s="95"/>
      <c r="D24" s="95"/>
      <c r="E24" s="96"/>
      <c r="F24" s="60" t="s">
        <v>81</v>
      </c>
      <c r="G24" s="59" t="s">
        <v>85</v>
      </c>
      <c r="H24" s="21" t="s">
        <v>57</v>
      </c>
      <c r="I24" s="21" t="s">
        <v>60</v>
      </c>
      <c r="J24" s="94" t="s">
        <v>54</v>
      </c>
      <c r="K24" s="95"/>
      <c r="L24" s="95"/>
      <c r="M24" s="95"/>
      <c r="N24" s="95"/>
      <c r="O24" s="96"/>
      <c r="P24" s="60" t="s">
        <v>81</v>
      </c>
      <c r="Q24" s="59" t="s">
        <v>85</v>
      </c>
      <c r="R24" s="21" t="s">
        <v>57</v>
      </c>
      <c r="S24" s="21" t="s">
        <v>60</v>
      </c>
    </row>
    <row r="25" spans="1:19" ht="18" customHeight="1" x14ac:dyDescent="0.15">
      <c r="B25" s="98" t="s">
        <v>131</v>
      </c>
      <c r="C25" s="99"/>
      <c r="D25" s="99"/>
      <c r="E25" s="100"/>
      <c r="F25" s="22">
        <v>1</v>
      </c>
      <c r="G25" s="22" t="s">
        <v>132</v>
      </c>
      <c r="H25" s="22" t="s">
        <v>132</v>
      </c>
      <c r="I25" s="22" t="s">
        <v>132</v>
      </c>
      <c r="J25" s="98"/>
      <c r="K25" s="99"/>
      <c r="L25" s="99"/>
      <c r="M25" s="99"/>
      <c r="N25" s="99"/>
      <c r="O25" s="100"/>
      <c r="P25" s="22"/>
      <c r="Q25" s="22"/>
      <c r="R25" s="22"/>
      <c r="S25" s="22"/>
    </row>
    <row r="26" spans="1:19" ht="18" customHeight="1" x14ac:dyDescent="0.15">
      <c r="B26" s="88"/>
      <c r="C26" s="89"/>
      <c r="D26" s="89"/>
      <c r="E26" s="90"/>
      <c r="F26" s="23"/>
      <c r="G26" s="23"/>
      <c r="H26" s="23"/>
      <c r="I26" s="23"/>
      <c r="J26" s="88"/>
      <c r="K26" s="89"/>
      <c r="L26" s="89"/>
      <c r="M26" s="89"/>
      <c r="N26" s="89"/>
      <c r="O26" s="90"/>
      <c r="P26" s="23"/>
      <c r="Q26" s="23"/>
      <c r="R26" s="23"/>
      <c r="S26" s="23"/>
    </row>
    <row r="27" spans="1:19" ht="18" customHeight="1" x14ac:dyDescent="0.15">
      <c r="B27" s="88"/>
      <c r="C27" s="89"/>
      <c r="D27" s="89"/>
      <c r="E27" s="90"/>
      <c r="F27" s="23"/>
      <c r="G27" s="23"/>
      <c r="H27" s="23"/>
      <c r="I27" s="23"/>
      <c r="J27" s="88"/>
      <c r="K27" s="89"/>
      <c r="L27" s="89"/>
      <c r="M27" s="89"/>
      <c r="N27" s="89"/>
      <c r="O27" s="90"/>
      <c r="P27" s="23"/>
      <c r="Q27" s="23"/>
      <c r="R27" s="23"/>
      <c r="S27" s="23"/>
    </row>
    <row r="28" spans="1:19" ht="18" customHeight="1" x14ac:dyDescent="0.15">
      <c r="B28" s="88"/>
      <c r="C28" s="89"/>
      <c r="D28" s="89"/>
      <c r="E28" s="90"/>
      <c r="F28" s="23"/>
      <c r="G28" s="23"/>
      <c r="H28" s="23"/>
      <c r="I28" s="23"/>
      <c r="J28" s="88"/>
      <c r="K28" s="89"/>
      <c r="L28" s="89"/>
      <c r="M28" s="89"/>
      <c r="N28" s="89"/>
      <c r="O28" s="90"/>
      <c r="P28" s="23"/>
      <c r="Q28" s="23"/>
      <c r="R28" s="23"/>
      <c r="S28" s="23"/>
    </row>
    <row r="29" spans="1:19" ht="18" customHeight="1" x14ac:dyDescent="0.15">
      <c r="B29" s="88"/>
      <c r="C29" s="89"/>
      <c r="D29" s="89"/>
      <c r="E29" s="90"/>
      <c r="F29" s="23"/>
      <c r="G29" s="23"/>
      <c r="H29" s="23"/>
      <c r="I29" s="23"/>
      <c r="J29" s="88"/>
      <c r="K29" s="89"/>
      <c r="L29" s="89"/>
      <c r="M29" s="89"/>
      <c r="N29" s="89"/>
      <c r="O29" s="90"/>
      <c r="P29" s="23"/>
      <c r="Q29" s="23"/>
      <c r="R29" s="23"/>
      <c r="S29" s="23"/>
    </row>
    <row r="30" spans="1:19" ht="18" customHeight="1" x14ac:dyDescent="0.15">
      <c r="A30" s="3"/>
      <c r="B30" s="88"/>
      <c r="C30" s="89"/>
      <c r="D30" s="89"/>
      <c r="E30" s="90"/>
      <c r="F30" s="23"/>
      <c r="G30" s="23"/>
      <c r="H30" s="23"/>
      <c r="I30" s="23"/>
      <c r="J30" s="88"/>
      <c r="K30" s="89"/>
      <c r="L30" s="89"/>
      <c r="M30" s="89"/>
      <c r="N30" s="89"/>
      <c r="O30" s="90"/>
      <c r="P30" s="23"/>
      <c r="Q30" s="23"/>
      <c r="R30" s="23"/>
      <c r="S30" s="23"/>
    </row>
    <row r="31" spans="1:19" ht="18" customHeight="1" x14ac:dyDescent="0.15">
      <c r="A31" s="3"/>
      <c r="B31" s="91"/>
      <c r="C31" s="92"/>
      <c r="D31" s="92"/>
      <c r="E31" s="93"/>
      <c r="F31" s="24"/>
      <c r="G31" s="24"/>
      <c r="H31" s="25"/>
      <c r="I31" s="25"/>
      <c r="J31" s="91"/>
      <c r="K31" s="92"/>
      <c r="L31" s="92"/>
      <c r="M31" s="92"/>
      <c r="N31" s="92"/>
      <c r="O31" s="93"/>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115</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4" t="s">
        <v>54</v>
      </c>
      <c r="C35" s="95"/>
      <c r="D35" s="95"/>
      <c r="E35" s="96"/>
      <c r="F35" s="60" t="s">
        <v>81</v>
      </c>
      <c r="G35" s="59" t="s">
        <v>85</v>
      </c>
      <c r="H35" s="21" t="s">
        <v>72</v>
      </c>
      <c r="I35" s="21" t="s">
        <v>73</v>
      </c>
      <c r="J35" s="94" t="s">
        <v>54</v>
      </c>
      <c r="K35" s="95"/>
      <c r="L35" s="95"/>
      <c r="M35" s="95"/>
      <c r="N35" s="95"/>
      <c r="O35" s="96"/>
      <c r="P35" s="60" t="s">
        <v>81</v>
      </c>
      <c r="Q35" s="59" t="s">
        <v>85</v>
      </c>
      <c r="R35" s="21" t="s">
        <v>72</v>
      </c>
      <c r="S35" s="21" t="s">
        <v>73</v>
      </c>
    </row>
    <row r="36" spans="1:19" ht="18" customHeight="1" x14ac:dyDescent="0.15">
      <c r="B36" s="98" t="s">
        <v>131</v>
      </c>
      <c r="C36" s="99"/>
      <c r="D36" s="99"/>
      <c r="E36" s="100"/>
      <c r="F36" s="22">
        <v>1</v>
      </c>
      <c r="G36" s="22" t="s">
        <v>132</v>
      </c>
      <c r="H36" s="22" t="s">
        <v>132</v>
      </c>
      <c r="I36" s="22" t="s">
        <v>132</v>
      </c>
      <c r="J36" s="98"/>
      <c r="K36" s="99"/>
      <c r="L36" s="99"/>
      <c r="M36" s="99"/>
      <c r="N36" s="99"/>
      <c r="O36" s="100"/>
      <c r="P36" s="22"/>
      <c r="Q36" s="22"/>
      <c r="R36" s="22"/>
      <c r="S36" s="22"/>
    </row>
    <row r="37" spans="1:19" ht="18" customHeight="1" x14ac:dyDescent="0.15">
      <c r="B37" s="88"/>
      <c r="C37" s="89"/>
      <c r="D37" s="89"/>
      <c r="E37" s="90"/>
      <c r="F37" s="23"/>
      <c r="G37" s="23"/>
      <c r="H37" s="23"/>
      <c r="I37" s="23"/>
      <c r="J37" s="88"/>
      <c r="K37" s="89"/>
      <c r="L37" s="89"/>
      <c r="M37" s="89"/>
      <c r="N37" s="89"/>
      <c r="O37" s="90"/>
      <c r="P37" s="23"/>
      <c r="Q37" s="23"/>
      <c r="R37" s="23"/>
      <c r="S37" s="23"/>
    </row>
    <row r="38" spans="1:19" ht="18" customHeight="1" x14ac:dyDescent="0.15">
      <c r="B38" s="88"/>
      <c r="C38" s="89"/>
      <c r="D38" s="89"/>
      <c r="E38" s="90"/>
      <c r="F38" s="23"/>
      <c r="G38" s="23"/>
      <c r="H38" s="23"/>
      <c r="I38" s="23"/>
      <c r="J38" s="88"/>
      <c r="K38" s="89"/>
      <c r="L38" s="89"/>
      <c r="M38" s="89"/>
      <c r="N38" s="89"/>
      <c r="O38" s="90"/>
      <c r="P38" s="23"/>
      <c r="Q38" s="23"/>
      <c r="R38" s="23"/>
      <c r="S38" s="23"/>
    </row>
    <row r="39" spans="1:19" ht="18" customHeight="1" x14ac:dyDescent="0.15">
      <c r="B39" s="88"/>
      <c r="C39" s="89"/>
      <c r="D39" s="89"/>
      <c r="E39" s="90"/>
      <c r="F39" s="23"/>
      <c r="G39" s="23"/>
      <c r="H39" s="23"/>
      <c r="I39" s="23"/>
      <c r="J39" s="88"/>
      <c r="K39" s="89"/>
      <c r="L39" s="89"/>
      <c r="M39" s="89"/>
      <c r="N39" s="89"/>
      <c r="O39" s="90"/>
      <c r="P39" s="23"/>
      <c r="Q39" s="23"/>
      <c r="R39" s="23"/>
      <c r="S39" s="23"/>
    </row>
    <row r="40" spans="1:19" ht="18" customHeight="1" x14ac:dyDescent="0.15">
      <c r="B40" s="88"/>
      <c r="C40" s="89"/>
      <c r="D40" s="89"/>
      <c r="E40" s="90"/>
      <c r="F40" s="23"/>
      <c r="G40" s="23"/>
      <c r="H40" s="23"/>
      <c r="I40" s="23"/>
      <c r="J40" s="88"/>
      <c r="K40" s="89"/>
      <c r="L40" s="89"/>
      <c r="M40" s="89"/>
      <c r="N40" s="89"/>
      <c r="O40" s="90"/>
      <c r="P40" s="23"/>
      <c r="Q40" s="23"/>
      <c r="R40" s="23"/>
      <c r="S40" s="23"/>
    </row>
    <row r="41" spans="1:19" ht="18" customHeight="1" x14ac:dyDescent="0.15">
      <c r="B41" s="88"/>
      <c r="C41" s="89"/>
      <c r="D41" s="89"/>
      <c r="E41" s="90"/>
      <c r="F41" s="23"/>
      <c r="G41" s="23"/>
      <c r="H41" s="23"/>
      <c r="I41" s="23"/>
      <c r="J41" s="88"/>
      <c r="K41" s="89"/>
      <c r="L41" s="89"/>
      <c r="M41" s="89"/>
      <c r="N41" s="89"/>
      <c r="O41" s="90"/>
      <c r="P41" s="23"/>
      <c r="Q41" s="23"/>
      <c r="R41" s="23"/>
      <c r="S41" s="23"/>
    </row>
    <row r="42" spans="1:19" ht="18" customHeight="1" x14ac:dyDescent="0.15">
      <c r="B42" s="91"/>
      <c r="C42" s="92"/>
      <c r="D42" s="92"/>
      <c r="E42" s="93"/>
      <c r="F42" s="24"/>
      <c r="G42" s="24"/>
      <c r="H42" s="25"/>
      <c r="I42" s="25"/>
      <c r="J42" s="91"/>
      <c r="K42" s="92"/>
      <c r="L42" s="92"/>
      <c r="M42" s="92"/>
      <c r="N42" s="92"/>
      <c r="O42" s="93"/>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116</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4" t="s">
        <v>54</v>
      </c>
      <c r="C46" s="95"/>
      <c r="D46" s="95"/>
      <c r="E46" s="96"/>
      <c r="F46" s="60" t="s">
        <v>81</v>
      </c>
      <c r="G46" s="59" t="s">
        <v>85</v>
      </c>
      <c r="H46" s="21" t="s">
        <v>74</v>
      </c>
      <c r="I46" s="21" t="s">
        <v>75</v>
      </c>
      <c r="J46" s="94" t="s">
        <v>54</v>
      </c>
      <c r="K46" s="95"/>
      <c r="L46" s="95"/>
      <c r="M46" s="95"/>
      <c r="N46" s="95"/>
      <c r="O46" s="96"/>
      <c r="P46" s="60" t="s">
        <v>81</v>
      </c>
      <c r="Q46" s="59" t="s">
        <v>85</v>
      </c>
      <c r="R46" s="21" t="s">
        <v>74</v>
      </c>
      <c r="S46" s="21" t="s">
        <v>75</v>
      </c>
    </row>
    <row r="47" spans="1:19" ht="18" customHeight="1" x14ac:dyDescent="0.15">
      <c r="A47" s="3"/>
      <c r="B47" s="98" t="s">
        <v>131</v>
      </c>
      <c r="C47" s="99"/>
      <c r="D47" s="99"/>
      <c r="E47" s="100"/>
      <c r="F47" s="22">
        <v>1</v>
      </c>
      <c r="G47" s="22" t="s">
        <v>132</v>
      </c>
      <c r="H47" s="22" t="s">
        <v>132</v>
      </c>
      <c r="I47" s="22" t="s">
        <v>132</v>
      </c>
      <c r="J47" s="98"/>
      <c r="K47" s="99"/>
      <c r="L47" s="99"/>
      <c r="M47" s="99"/>
      <c r="N47" s="99"/>
      <c r="O47" s="100"/>
      <c r="P47" s="22"/>
      <c r="Q47" s="22"/>
      <c r="R47" s="22"/>
      <c r="S47" s="22"/>
    </row>
    <row r="48" spans="1:19" ht="18" customHeight="1" x14ac:dyDescent="0.15">
      <c r="A48" s="3"/>
      <c r="B48" s="88"/>
      <c r="C48" s="89"/>
      <c r="D48" s="89"/>
      <c r="E48" s="90"/>
      <c r="F48" s="23"/>
      <c r="G48" s="23"/>
      <c r="H48" s="23"/>
      <c r="I48" s="23"/>
      <c r="J48" s="88"/>
      <c r="K48" s="89"/>
      <c r="L48" s="89"/>
      <c r="M48" s="89"/>
      <c r="N48" s="89"/>
      <c r="O48" s="90"/>
      <c r="P48" s="23"/>
      <c r="Q48" s="23"/>
      <c r="R48" s="23"/>
      <c r="S48" s="23"/>
    </row>
    <row r="49" spans="1:19" ht="18" customHeight="1" x14ac:dyDescent="0.15">
      <c r="A49" s="3"/>
      <c r="B49" s="88"/>
      <c r="C49" s="89"/>
      <c r="D49" s="89"/>
      <c r="E49" s="90"/>
      <c r="F49" s="23"/>
      <c r="G49" s="23"/>
      <c r="H49" s="23"/>
      <c r="I49" s="23"/>
      <c r="J49" s="88"/>
      <c r="K49" s="89"/>
      <c r="L49" s="89"/>
      <c r="M49" s="89"/>
      <c r="N49" s="89"/>
      <c r="O49" s="90"/>
      <c r="P49" s="23"/>
      <c r="Q49" s="23"/>
      <c r="R49" s="23"/>
      <c r="S49" s="23"/>
    </row>
    <row r="50" spans="1:19" ht="18" customHeight="1" x14ac:dyDescent="0.15">
      <c r="A50" s="3"/>
      <c r="B50" s="88"/>
      <c r="C50" s="89"/>
      <c r="D50" s="89"/>
      <c r="E50" s="90"/>
      <c r="F50" s="23"/>
      <c r="G50" s="23"/>
      <c r="H50" s="23"/>
      <c r="I50" s="23"/>
      <c r="J50" s="88"/>
      <c r="K50" s="89"/>
      <c r="L50" s="89"/>
      <c r="M50" s="89"/>
      <c r="N50" s="89"/>
      <c r="O50" s="90"/>
      <c r="P50" s="23"/>
      <c r="Q50" s="23"/>
      <c r="R50" s="23"/>
      <c r="S50" s="23"/>
    </row>
    <row r="51" spans="1:19" ht="18" customHeight="1" x14ac:dyDescent="0.15">
      <c r="A51" s="3"/>
      <c r="B51" s="88"/>
      <c r="C51" s="89"/>
      <c r="D51" s="89"/>
      <c r="E51" s="90"/>
      <c r="F51" s="23"/>
      <c r="G51" s="23"/>
      <c r="H51" s="23"/>
      <c r="I51" s="23"/>
      <c r="J51" s="88"/>
      <c r="K51" s="89"/>
      <c r="L51" s="89"/>
      <c r="M51" s="89"/>
      <c r="N51" s="89"/>
      <c r="O51" s="90"/>
      <c r="P51" s="23"/>
      <c r="Q51" s="23"/>
      <c r="R51" s="23"/>
      <c r="S51" s="23"/>
    </row>
    <row r="52" spans="1:19" ht="18" customHeight="1" x14ac:dyDescent="0.15">
      <c r="A52" s="3"/>
      <c r="B52" s="88"/>
      <c r="C52" s="89"/>
      <c r="D52" s="89"/>
      <c r="E52" s="90"/>
      <c r="F52" s="23"/>
      <c r="G52" s="23"/>
      <c r="H52" s="23"/>
      <c r="I52" s="23"/>
      <c r="J52" s="88"/>
      <c r="K52" s="89"/>
      <c r="L52" s="89"/>
      <c r="M52" s="89"/>
      <c r="N52" s="89"/>
      <c r="O52" s="90"/>
      <c r="P52" s="23"/>
      <c r="Q52" s="23"/>
      <c r="R52" s="23"/>
      <c r="S52" s="23"/>
    </row>
    <row r="53" spans="1:19" ht="18" customHeight="1" x14ac:dyDescent="0.15">
      <c r="A53" s="3"/>
      <c r="B53" s="91"/>
      <c r="C53" s="92"/>
      <c r="D53" s="92"/>
      <c r="E53" s="93"/>
      <c r="F53" s="24"/>
      <c r="G53" s="24"/>
      <c r="H53" s="25"/>
      <c r="I53" s="25"/>
      <c r="J53" s="91"/>
      <c r="K53" s="92"/>
      <c r="L53" s="92"/>
      <c r="M53" s="92"/>
      <c r="N53" s="92"/>
      <c r="O53" s="93"/>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117</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4" t="s">
        <v>54</v>
      </c>
      <c r="C57" s="95"/>
      <c r="D57" s="95"/>
      <c r="E57" s="96"/>
      <c r="F57" s="60" t="s">
        <v>81</v>
      </c>
      <c r="G57" s="59" t="s">
        <v>85</v>
      </c>
      <c r="H57" s="21" t="s">
        <v>59</v>
      </c>
      <c r="I57" s="21" t="s">
        <v>61</v>
      </c>
      <c r="J57" s="94" t="s">
        <v>54</v>
      </c>
      <c r="K57" s="95"/>
      <c r="L57" s="95"/>
      <c r="M57" s="95"/>
      <c r="N57" s="95"/>
      <c r="O57" s="96"/>
      <c r="P57" s="60" t="s">
        <v>81</v>
      </c>
      <c r="Q57" s="59" t="s">
        <v>85</v>
      </c>
      <c r="R57" s="21" t="s">
        <v>59</v>
      </c>
      <c r="S57" s="21" t="s">
        <v>61</v>
      </c>
    </row>
    <row r="58" spans="1:19" ht="18" customHeight="1" x14ac:dyDescent="0.15">
      <c r="A58" s="3"/>
      <c r="B58" s="98" t="s">
        <v>131</v>
      </c>
      <c r="C58" s="99"/>
      <c r="D58" s="99"/>
      <c r="E58" s="100"/>
      <c r="F58" s="22">
        <v>1</v>
      </c>
      <c r="G58" s="22" t="s">
        <v>132</v>
      </c>
      <c r="H58" s="22" t="s">
        <v>132</v>
      </c>
      <c r="I58" s="22" t="s">
        <v>132</v>
      </c>
      <c r="J58" s="98"/>
      <c r="K58" s="99"/>
      <c r="L58" s="99"/>
      <c r="M58" s="99"/>
      <c r="N58" s="99"/>
      <c r="O58" s="100"/>
      <c r="P58" s="22"/>
      <c r="Q58" s="22"/>
      <c r="R58" s="22"/>
      <c r="S58" s="22"/>
    </row>
    <row r="59" spans="1:19" ht="18" customHeight="1" x14ac:dyDescent="0.15">
      <c r="A59" s="3"/>
      <c r="B59" s="88"/>
      <c r="C59" s="89"/>
      <c r="D59" s="89"/>
      <c r="E59" s="90"/>
      <c r="F59" s="23"/>
      <c r="G59" s="23"/>
      <c r="H59" s="23"/>
      <c r="I59" s="23"/>
      <c r="J59" s="88"/>
      <c r="K59" s="89"/>
      <c r="L59" s="89"/>
      <c r="M59" s="89"/>
      <c r="N59" s="89"/>
      <c r="O59" s="90"/>
      <c r="P59" s="23"/>
      <c r="Q59" s="23"/>
      <c r="R59" s="23"/>
      <c r="S59" s="23"/>
    </row>
    <row r="60" spans="1:19" ht="18" customHeight="1" x14ac:dyDescent="0.15">
      <c r="A60" s="3"/>
      <c r="B60" s="88"/>
      <c r="C60" s="89"/>
      <c r="D60" s="89"/>
      <c r="E60" s="90"/>
      <c r="F60" s="23"/>
      <c r="G60" s="23"/>
      <c r="H60" s="23"/>
      <c r="I60" s="23"/>
      <c r="J60" s="88"/>
      <c r="K60" s="89"/>
      <c r="L60" s="89"/>
      <c r="M60" s="89"/>
      <c r="N60" s="89"/>
      <c r="O60" s="90"/>
      <c r="P60" s="23"/>
      <c r="Q60" s="23"/>
      <c r="R60" s="23"/>
      <c r="S60" s="23"/>
    </row>
    <row r="61" spans="1:19" ht="18" customHeight="1" x14ac:dyDescent="0.15">
      <c r="A61" s="3"/>
      <c r="B61" s="88"/>
      <c r="C61" s="89"/>
      <c r="D61" s="89"/>
      <c r="E61" s="90"/>
      <c r="F61" s="23"/>
      <c r="G61" s="23"/>
      <c r="H61" s="23"/>
      <c r="I61" s="23"/>
      <c r="J61" s="88"/>
      <c r="K61" s="89"/>
      <c r="L61" s="89"/>
      <c r="M61" s="89"/>
      <c r="N61" s="89"/>
      <c r="O61" s="90"/>
      <c r="P61" s="23"/>
      <c r="Q61" s="23"/>
      <c r="R61" s="23"/>
      <c r="S61" s="23"/>
    </row>
    <row r="62" spans="1:19" ht="18" customHeight="1" x14ac:dyDescent="0.15">
      <c r="A62" s="3"/>
      <c r="B62" s="88"/>
      <c r="C62" s="89"/>
      <c r="D62" s="89"/>
      <c r="E62" s="90"/>
      <c r="F62" s="23"/>
      <c r="G62" s="23"/>
      <c r="H62" s="23"/>
      <c r="I62" s="23"/>
      <c r="J62" s="88"/>
      <c r="K62" s="89"/>
      <c r="L62" s="89"/>
      <c r="M62" s="89"/>
      <c r="N62" s="89"/>
      <c r="O62" s="90"/>
      <c r="P62" s="23"/>
      <c r="Q62" s="23"/>
      <c r="R62" s="23"/>
      <c r="S62" s="23"/>
    </row>
    <row r="63" spans="1:19" ht="18" customHeight="1" x14ac:dyDescent="0.15">
      <c r="A63" s="3"/>
      <c r="B63" s="88"/>
      <c r="C63" s="89"/>
      <c r="D63" s="89"/>
      <c r="E63" s="90"/>
      <c r="F63" s="23"/>
      <c r="G63" s="23"/>
      <c r="H63" s="23"/>
      <c r="I63" s="23"/>
      <c r="J63" s="88"/>
      <c r="K63" s="89"/>
      <c r="L63" s="89"/>
      <c r="M63" s="89"/>
      <c r="N63" s="89"/>
      <c r="O63" s="90"/>
      <c r="P63" s="23"/>
      <c r="Q63" s="23"/>
      <c r="R63" s="23"/>
      <c r="S63" s="23"/>
    </row>
    <row r="64" spans="1:19" ht="18" customHeight="1" x14ac:dyDescent="0.15">
      <c r="A64" s="3"/>
      <c r="B64" s="91"/>
      <c r="C64" s="92"/>
      <c r="D64" s="92"/>
      <c r="E64" s="93"/>
      <c r="F64" s="24"/>
      <c r="G64" s="24"/>
      <c r="H64" s="25"/>
      <c r="I64" s="25"/>
      <c r="J64" s="91"/>
      <c r="K64" s="92"/>
      <c r="L64" s="92"/>
      <c r="M64" s="92"/>
      <c r="N64" s="92"/>
      <c r="O64" s="93"/>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118</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4" t="s">
        <v>54</v>
      </c>
      <c r="C68" s="95"/>
      <c r="D68" s="95"/>
      <c r="E68" s="60" t="s">
        <v>81</v>
      </c>
      <c r="F68" s="59" t="s">
        <v>85</v>
      </c>
      <c r="G68" s="21" t="s">
        <v>102</v>
      </c>
      <c r="H68" s="21" t="s">
        <v>76</v>
      </c>
      <c r="I68" s="21" t="s">
        <v>77</v>
      </c>
      <c r="J68" s="94" t="s">
        <v>54</v>
      </c>
      <c r="K68" s="95"/>
      <c r="L68" s="95"/>
      <c r="M68" s="95"/>
      <c r="N68" s="96"/>
      <c r="O68" s="60" t="s">
        <v>81</v>
      </c>
      <c r="P68" s="59" t="s">
        <v>85</v>
      </c>
      <c r="Q68" s="21" t="s">
        <v>102</v>
      </c>
      <c r="R68" s="21" t="s">
        <v>76</v>
      </c>
      <c r="S68" s="21" t="s">
        <v>77</v>
      </c>
    </row>
    <row r="69" spans="1:19" ht="18" customHeight="1" x14ac:dyDescent="0.15">
      <c r="A69" s="3"/>
      <c r="B69" s="98" t="s">
        <v>131</v>
      </c>
      <c r="C69" s="99"/>
      <c r="D69" s="100"/>
      <c r="E69" s="22">
        <v>1</v>
      </c>
      <c r="F69" s="22" t="s">
        <v>132</v>
      </c>
      <c r="G69" s="22" t="s">
        <v>132</v>
      </c>
      <c r="H69" s="22" t="s">
        <v>132</v>
      </c>
      <c r="I69" s="22" t="s">
        <v>132</v>
      </c>
      <c r="J69" s="98"/>
      <c r="K69" s="99"/>
      <c r="L69" s="99"/>
      <c r="M69" s="99"/>
      <c r="N69" s="100"/>
      <c r="O69" s="22"/>
      <c r="P69" s="22"/>
      <c r="Q69" s="22"/>
      <c r="R69" s="22"/>
      <c r="S69" s="22"/>
    </row>
    <row r="70" spans="1:19" ht="18" customHeight="1" x14ac:dyDescent="0.15">
      <c r="A70" s="3"/>
      <c r="B70" s="88" t="s">
        <v>130</v>
      </c>
      <c r="C70" s="89"/>
      <c r="D70" s="89"/>
      <c r="E70" s="23">
        <v>1</v>
      </c>
      <c r="F70" s="23"/>
      <c r="G70" s="23"/>
      <c r="H70" s="23" t="s">
        <v>132</v>
      </c>
      <c r="I70" s="23" t="s">
        <v>132</v>
      </c>
      <c r="J70" s="88"/>
      <c r="K70" s="89"/>
      <c r="L70" s="89"/>
      <c r="M70" s="89"/>
      <c r="N70" s="90"/>
      <c r="O70" s="23"/>
      <c r="P70" s="23"/>
      <c r="Q70" s="23"/>
      <c r="R70" s="23"/>
      <c r="S70" s="23"/>
    </row>
    <row r="71" spans="1:19" ht="18" customHeight="1" x14ac:dyDescent="0.15">
      <c r="A71" s="3"/>
      <c r="B71" s="88"/>
      <c r="C71" s="89"/>
      <c r="D71" s="89"/>
      <c r="E71" s="23"/>
      <c r="F71" s="23"/>
      <c r="G71" s="23"/>
      <c r="H71" s="23"/>
      <c r="I71" s="23"/>
      <c r="J71" s="88"/>
      <c r="K71" s="89"/>
      <c r="L71" s="89"/>
      <c r="M71" s="89"/>
      <c r="N71" s="90"/>
      <c r="O71" s="23"/>
      <c r="P71" s="23"/>
      <c r="Q71" s="23"/>
      <c r="R71" s="23"/>
      <c r="S71" s="23"/>
    </row>
    <row r="72" spans="1:19" ht="18" customHeight="1" x14ac:dyDescent="0.15">
      <c r="A72" s="3"/>
      <c r="B72" s="88"/>
      <c r="C72" s="89"/>
      <c r="D72" s="89"/>
      <c r="E72" s="23"/>
      <c r="F72" s="23"/>
      <c r="G72" s="23"/>
      <c r="H72" s="23"/>
      <c r="I72" s="23"/>
      <c r="J72" s="88"/>
      <c r="K72" s="89"/>
      <c r="L72" s="89"/>
      <c r="M72" s="89"/>
      <c r="N72" s="90"/>
      <c r="O72" s="23"/>
      <c r="P72" s="23"/>
      <c r="Q72" s="23"/>
      <c r="R72" s="23"/>
      <c r="S72" s="23"/>
    </row>
    <row r="73" spans="1:19" ht="18" customHeight="1" x14ac:dyDescent="0.15">
      <c r="A73" s="3"/>
      <c r="B73" s="88"/>
      <c r="C73" s="89"/>
      <c r="D73" s="89"/>
      <c r="E73" s="23"/>
      <c r="F73" s="23"/>
      <c r="G73" s="23"/>
      <c r="H73" s="23"/>
      <c r="I73" s="23"/>
      <c r="J73" s="88"/>
      <c r="K73" s="89"/>
      <c r="L73" s="89"/>
      <c r="M73" s="89"/>
      <c r="N73" s="90"/>
      <c r="O73" s="23"/>
      <c r="P73" s="23"/>
      <c r="Q73" s="23"/>
      <c r="R73" s="23"/>
      <c r="S73" s="23"/>
    </row>
    <row r="74" spans="1:19" ht="18" customHeight="1" x14ac:dyDescent="0.15">
      <c r="A74" s="3"/>
      <c r="B74" s="88"/>
      <c r="C74" s="89"/>
      <c r="D74" s="89"/>
      <c r="E74" s="23"/>
      <c r="F74" s="23"/>
      <c r="G74" s="23"/>
      <c r="H74" s="23"/>
      <c r="I74" s="23"/>
      <c r="J74" s="88"/>
      <c r="K74" s="89"/>
      <c r="L74" s="89"/>
      <c r="M74" s="89"/>
      <c r="N74" s="90"/>
      <c r="O74" s="23"/>
      <c r="P74" s="23"/>
      <c r="Q74" s="23"/>
      <c r="R74" s="23"/>
      <c r="S74" s="23"/>
    </row>
    <row r="75" spans="1:19" ht="18" customHeight="1" x14ac:dyDescent="0.15">
      <c r="A75" s="3"/>
      <c r="B75" s="91"/>
      <c r="C75" s="92"/>
      <c r="D75" s="92"/>
      <c r="E75" s="24"/>
      <c r="F75" s="24"/>
      <c r="G75" s="25"/>
      <c r="H75" s="25"/>
      <c r="I75" s="25"/>
      <c r="J75" s="91"/>
      <c r="K75" s="92"/>
      <c r="L75" s="92"/>
      <c r="M75" s="92"/>
      <c r="N75" s="93"/>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4" t="s">
        <v>54</v>
      </c>
      <c r="C78" s="95"/>
      <c r="D78" s="95"/>
      <c r="E78" s="96"/>
      <c r="F78" s="94" t="s">
        <v>83</v>
      </c>
      <c r="G78" s="95"/>
      <c r="H78" s="95"/>
      <c r="I78" s="96"/>
      <c r="J78" s="127" t="s">
        <v>54</v>
      </c>
      <c r="K78" s="128"/>
      <c r="L78" s="128"/>
      <c r="M78" s="128"/>
      <c r="N78" s="128"/>
      <c r="O78" s="129"/>
      <c r="P78" s="94" t="s">
        <v>83</v>
      </c>
      <c r="Q78" s="95"/>
      <c r="R78" s="95"/>
      <c r="S78" s="96"/>
    </row>
    <row r="79" spans="1:19" ht="18" customHeight="1" x14ac:dyDescent="0.15">
      <c r="A79" s="3"/>
      <c r="B79" s="98"/>
      <c r="C79" s="99"/>
      <c r="D79" s="99"/>
      <c r="E79" s="100"/>
      <c r="F79" s="135"/>
      <c r="G79" s="136"/>
      <c r="H79" s="136"/>
      <c r="I79" s="137"/>
      <c r="J79" s="98"/>
      <c r="K79" s="99"/>
      <c r="L79" s="99"/>
      <c r="M79" s="99"/>
      <c r="N79" s="99"/>
      <c r="O79" s="100"/>
      <c r="P79" s="135"/>
      <c r="Q79" s="136"/>
      <c r="R79" s="136"/>
      <c r="S79" s="137"/>
    </row>
    <row r="80" spans="1:19" ht="18" customHeight="1" x14ac:dyDescent="0.15">
      <c r="A80" s="3"/>
      <c r="B80" s="88"/>
      <c r="C80" s="89"/>
      <c r="D80" s="89"/>
      <c r="E80" s="90"/>
      <c r="F80" s="124"/>
      <c r="G80" s="125"/>
      <c r="H80" s="125"/>
      <c r="I80" s="126"/>
      <c r="J80" s="88"/>
      <c r="K80" s="89"/>
      <c r="L80" s="89"/>
      <c r="M80" s="89"/>
      <c r="N80" s="89"/>
      <c r="O80" s="90"/>
      <c r="P80" s="124"/>
      <c r="Q80" s="125"/>
      <c r="R80" s="125"/>
      <c r="S80" s="126"/>
    </row>
    <row r="81" spans="1:19" ht="18" customHeight="1" x14ac:dyDescent="0.15">
      <c r="A81" s="3"/>
      <c r="B81" s="88"/>
      <c r="C81" s="89"/>
      <c r="D81" s="89"/>
      <c r="E81" s="90"/>
      <c r="F81" s="124"/>
      <c r="G81" s="125"/>
      <c r="H81" s="125"/>
      <c r="I81" s="126"/>
      <c r="J81" s="88"/>
      <c r="K81" s="89"/>
      <c r="L81" s="89"/>
      <c r="M81" s="89"/>
      <c r="N81" s="89"/>
      <c r="O81" s="90"/>
      <c r="P81" s="124"/>
      <c r="Q81" s="125"/>
      <c r="R81" s="125"/>
      <c r="S81" s="126"/>
    </row>
    <row r="82" spans="1:19" ht="18" customHeight="1" x14ac:dyDescent="0.15">
      <c r="A82" s="3"/>
      <c r="B82" s="88"/>
      <c r="C82" s="89"/>
      <c r="D82" s="89"/>
      <c r="E82" s="90"/>
      <c r="F82" s="124"/>
      <c r="G82" s="125"/>
      <c r="H82" s="125"/>
      <c r="I82" s="126"/>
      <c r="J82" s="88"/>
      <c r="K82" s="89"/>
      <c r="L82" s="89"/>
      <c r="M82" s="89"/>
      <c r="N82" s="89"/>
      <c r="O82" s="90"/>
      <c r="P82" s="124"/>
      <c r="Q82" s="125"/>
      <c r="R82" s="125"/>
      <c r="S82" s="126"/>
    </row>
    <row r="83" spans="1:19" ht="18" customHeight="1" x14ac:dyDescent="0.15">
      <c r="A83" s="3"/>
      <c r="B83" s="88"/>
      <c r="C83" s="89"/>
      <c r="D83" s="89"/>
      <c r="E83" s="90"/>
      <c r="F83" s="124"/>
      <c r="G83" s="125"/>
      <c r="H83" s="125"/>
      <c r="I83" s="126"/>
      <c r="J83" s="88"/>
      <c r="K83" s="89"/>
      <c r="L83" s="89"/>
      <c r="M83" s="89"/>
      <c r="N83" s="89"/>
      <c r="O83" s="90"/>
      <c r="P83" s="124"/>
      <c r="Q83" s="125"/>
      <c r="R83" s="125"/>
      <c r="S83" s="126"/>
    </row>
    <row r="84" spans="1:19" ht="18" customHeight="1" x14ac:dyDescent="0.15">
      <c r="A84" s="3"/>
      <c r="B84" s="88"/>
      <c r="C84" s="89"/>
      <c r="D84" s="89"/>
      <c r="E84" s="90"/>
      <c r="F84" s="124"/>
      <c r="G84" s="125"/>
      <c r="H84" s="125"/>
      <c r="I84" s="126"/>
      <c r="J84" s="88"/>
      <c r="K84" s="89"/>
      <c r="L84" s="89"/>
      <c r="M84" s="89"/>
      <c r="N84" s="89"/>
      <c r="O84" s="90"/>
      <c r="P84" s="124"/>
      <c r="Q84" s="125"/>
      <c r="R84" s="125"/>
      <c r="S84" s="126"/>
    </row>
    <row r="85" spans="1:19" ht="18" customHeight="1" x14ac:dyDescent="0.15">
      <c r="A85" s="3"/>
      <c r="B85" s="91"/>
      <c r="C85" s="92"/>
      <c r="D85" s="92"/>
      <c r="E85" s="93"/>
      <c r="F85" s="121"/>
      <c r="G85" s="122"/>
      <c r="H85" s="122"/>
      <c r="I85" s="123"/>
      <c r="J85" s="91"/>
      <c r="K85" s="92"/>
      <c r="L85" s="92"/>
      <c r="M85" s="92"/>
      <c r="N85" s="92"/>
      <c r="O85" s="93"/>
      <c r="P85" s="121"/>
      <c r="Q85" s="122"/>
      <c r="R85" s="122"/>
      <c r="S85" s="12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33" t="s">
        <v>55</v>
      </c>
      <c r="C88" s="134"/>
      <c r="D88" s="95" t="s">
        <v>56</v>
      </c>
      <c r="E88" s="95"/>
      <c r="F88" s="95"/>
      <c r="G88" s="95"/>
      <c r="H88" s="95"/>
      <c r="I88" s="95"/>
      <c r="J88" s="95"/>
      <c r="K88" s="95"/>
      <c r="L88" s="95"/>
      <c r="M88" s="95"/>
      <c r="N88" s="95"/>
      <c r="O88" s="95"/>
      <c r="P88" s="95"/>
      <c r="Q88" s="95"/>
      <c r="R88" s="95"/>
      <c r="S88" s="96"/>
    </row>
    <row r="89" spans="1:19" ht="97.5" customHeight="1" x14ac:dyDescent="0.15">
      <c r="B89" s="130" t="s">
        <v>62</v>
      </c>
      <c r="C89" s="27" t="s">
        <v>57</v>
      </c>
      <c r="D89" s="244" t="s">
        <v>159</v>
      </c>
      <c r="E89" s="244"/>
      <c r="F89" s="244"/>
      <c r="G89" s="244"/>
      <c r="H89" s="244"/>
      <c r="I89" s="244"/>
      <c r="J89" s="244"/>
      <c r="K89" s="244"/>
      <c r="L89" s="244"/>
      <c r="M89" s="244"/>
      <c r="N89" s="244"/>
      <c r="O89" s="244"/>
      <c r="P89" s="244"/>
      <c r="Q89" s="244"/>
      <c r="R89" s="244"/>
      <c r="S89" s="245"/>
    </row>
    <row r="90" spans="1:19" ht="97.5" customHeight="1" x14ac:dyDescent="0.15">
      <c r="B90" s="132"/>
      <c r="C90" s="28" t="s">
        <v>78</v>
      </c>
      <c r="D90" s="239" t="s">
        <v>160</v>
      </c>
      <c r="E90" s="239"/>
      <c r="F90" s="239"/>
      <c r="G90" s="239"/>
      <c r="H90" s="239"/>
      <c r="I90" s="239"/>
      <c r="J90" s="239"/>
      <c r="K90" s="239"/>
      <c r="L90" s="239"/>
      <c r="M90" s="239"/>
      <c r="N90" s="239"/>
      <c r="O90" s="239"/>
      <c r="P90" s="239"/>
      <c r="Q90" s="239"/>
      <c r="R90" s="239"/>
      <c r="S90" s="240"/>
    </row>
    <row r="91" spans="1:19" ht="97.5" customHeight="1" x14ac:dyDescent="0.15">
      <c r="B91" s="130" t="s">
        <v>63</v>
      </c>
      <c r="C91" s="29" t="s">
        <v>72</v>
      </c>
      <c r="D91" s="246" t="s">
        <v>161</v>
      </c>
      <c r="E91" s="246"/>
      <c r="F91" s="246"/>
      <c r="G91" s="246"/>
      <c r="H91" s="246"/>
      <c r="I91" s="246"/>
      <c r="J91" s="246"/>
      <c r="K91" s="246"/>
      <c r="L91" s="246"/>
      <c r="M91" s="246"/>
      <c r="N91" s="246"/>
      <c r="O91" s="246"/>
      <c r="P91" s="246"/>
      <c r="Q91" s="246"/>
      <c r="R91" s="246"/>
      <c r="S91" s="247"/>
    </row>
    <row r="92" spans="1:19" ht="97.5" customHeight="1" x14ac:dyDescent="0.15">
      <c r="B92" s="131"/>
      <c r="C92" s="30" t="s">
        <v>73</v>
      </c>
      <c r="D92" s="248" t="s">
        <v>162</v>
      </c>
      <c r="E92" s="248"/>
      <c r="F92" s="248"/>
      <c r="G92" s="248"/>
      <c r="H92" s="248"/>
      <c r="I92" s="248"/>
      <c r="J92" s="248"/>
      <c r="K92" s="248"/>
      <c r="L92" s="248"/>
      <c r="M92" s="248"/>
      <c r="N92" s="248"/>
      <c r="O92" s="248"/>
      <c r="P92" s="248"/>
      <c r="Q92" s="248"/>
      <c r="R92" s="248"/>
      <c r="S92" s="249"/>
    </row>
    <row r="93" spans="1:19" ht="97.5" customHeight="1" x14ac:dyDescent="0.15">
      <c r="B93" s="130" t="s">
        <v>64</v>
      </c>
      <c r="C93" s="29" t="s">
        <v>74</v>
      </c>
      <c r="D93" s="246" t="s">
        <v>163</v>
      </c>
      <c r="E93" s="246"/>
      <c r="F93" s="246"/>
      <c r="G93" s="246"/>
      <c r="H93" s="246"/>
      <c r="I93" s="246"/>
      <c r="J93" s="246"/>
      <c r="K93" s="246"/>
      <c r="L93" s="246"/>
      <c r="M93" s="246"/>
      <c r="N93" s="246"/>
      <c r="O93" s="246"/>
      <c r="P93" s="246"/>
      <c r="Q93" s="246"/>
      <c r="R93" s="246"/>
      <c r="S93" s="247"/>
    </row>
    <row r="94" spans="1:19" ht="97.5" customHeight="1" x14ac:dyDescent="0.15">
      <c r="B94" s="131"/>
      <c r="C94" s="31" t="s">
        <v>75</v>
      </c>
      <c r="D94" s="237" t="s">
        <v>164</v>
      </c>
      <c r="E94" s="237"/>
      <c r="F94" s="237"/>
      <c r="G94" s="237"/>
      <c r="H94" s="237"/>
      <c r="I94" s="237"/>
      <c r="J94" s="237"/>
      <c r="K94" s="237"/>
      <c r="L94" s="237"/>
      <c r="M94" s="237"/>
      <c r="N94" s="237"/>
      <c r="O94" s="237"/>
      <c r="P94" s="237"/>
      <c r="Q94" s="237"/>
      <c r="R94" s="237"/>
      <c r="S94" s="238"/>
    </row>
    <row r="95" spans="1:19" ht="62.25" customHeight="1" x14ac:dyDescent="0.15">
      <c r="B95" s="130" t="s">
        <v>79</v>
      </c>
      <c r="C95" s="27" t="s">
        <v>59</v>
      </c>
      <c r="D95" s="244" t="s">
        <v>165</v>
      </c>
      <c r="E95" s="244"/>
      <c r="F95" s="244"/>
      <c r="G95" s="244"/>
      <c r="H95" s="244"/>
      <c r="I95" s="244"/>
      <c r="J95" s="244"/>
      <c r="K95" s="244"/>
      <c r="L95" s="244"/>
      <c r="M95" s="244"/>
      <c r="N95" s="244"/>
      <c r="O95" s="244"/>
      <c r="P95" s="244"/>
      <c r="Q95" s="244"/>
      <c r="R95" s="244"/>
      <c r="S95" s="245"/>
    </row>
    <row r="96" spans="1:19" ht="71.25" customHeight="1" x14ac:dyDescent="0.15">
      <c r="B96" s="131"/>
      <c r="C96" s="30" t="s">
        <v>61</v>
      </c>
      <c r="D96" s="248" t="s">
        <v>166</v>
      </c>
      <c r="E96" s="248"/>
      <c r="F96" s="248"/>
      <c r="G96" s="248"/>
      <c r="H96" s="248"/>
      <c r="I96" s="248"/>
      <c r="J96" s="248"/>
      <c r="K96" s="248"/>
      <c r="L96" s="248"/>
      <c r="M96" s="248"/>
      <c r="N96" s="248"/>
      <c r="O96" s="248"/>
      <c r="P96" s="248"/>
      <c r="Q96" s="248"/>
      <c r="R96" s="248"/>
      <c r="S96" s="249"/>
    </row>
    <row r="97" spans="1:19" ht="156.75" customHeight="1" x14ac:dyDescent="0.15">
      <c r="B97" s="130" t="s">
        <v>80</v>
      </c>
      <c r="C97" s="29" t="s">
        <v>58</v>
      </c>
      <c r="D97" s="250" t="s">
        <v>167</v>
      </c>
      <c r="E97" s="250"/>
      <c r="F97" s="250"/>
      <c r="G97" s="250"/>
      <c r="H97" s="250"/>
      <c r="I97" s="250"/>
      <c r="J97" s="250"/>
      <c r="K97" s="250"/>
      <c r="L97" s="250"/>
      <c r="M97" s="250"/>
      <c r="N97" s="250"/>
      <c r="O97" s="250"/>
      <c r="P97" s="250"/>
      <c r="Q97" s="250"/>
      <c r="R97" s="250"/>
      <c r="S97" s="251"/>
    </row>
    <row r="98" spans="1:19" ht="97.5" customHeight="1" x14ac:dyDescent="0.15">
      <c r="B98" s="132"/>
      <c r="C98" s="32" t="s">
        <v>76</v>
      </c>
      <c r="D98" s="252" t="s">
        <v>169</v>
      </c>
      <c r="E98" s="253"/>
      <c r="F98" s="253"/>
      <c r="G98" s="253"/>
      <c r="H98" s="253"/>
      <c r="I98" s="253"/>
      <c r="J98" s="253"/>
      <c r="K98" s="253"/>
      <c r="L98" s="253"/>
      <c r="M98" s="253"/>
      <c r="N98" s="253"/>
      <c r="O98" s="253"/>
      <c r="P98" s="253"/>
      <c r="Q98" s="253"/>
      <c r="R98" s="253"/>
      <c r="S98" s="254"/>
    </row>
    <row r="99" spans="1:19" ht="97.5" customHeight="1" x14ac:dyDescent="0.15">
      <c r="B99" s="131"/>
      <c r="C99" s="31" t="s">
        <v>77</v>
      </c>
      <c r="D99" s="241" t="s">
        <v>168</v>
      </c>
      <c r="E99" s="242"/>
      <c r="F99" s="242"/>
      <c r="G99" s="242"/>
      <c r="H99" s="242"/>
      <c r="I99" s="242"/>
      <c r="J99" s="242"/>
      <c r="K99" s="242"/>
      <c r="L99" s="242"/>
      <c r="M99" s="242"/>
      <c r="N99" s="242"/>
      <c r="O99" s="242"/>
      <c r="P99" s="242"/>
      <c r="Q99" s="242"/>
      <c r="R99" s="242"/>
      <c r="S99" s="243"/>
    </row>
    <row r="100" spans="1:19" ht="6" customHeight="1" x14ac:dyDescent="0.15"/>
    <row r="101" spans="1:19" ht="18.75" customHeight="1" x14ac:dyDescent="0.15">
      <c r="A101" s="1" t="s">
        <v>121</v>
      </c>
    </row>
    <row r="102" spans="1:19" ht="119.25" customHeight="1" x14ac:dyDescent="0.15">
      <c r="B102" s="118" t="s">
        <v>133</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E20" sqref="E20:I20"/>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41" t="str">
        <f>'様式１　プログラムを構成する授業科目'!C2</f>
        <v>聖隷クリストファー大学</v>
      </c>
      <c r="AN2" s="141"/>
      <c r="AO2" s="141"/>
      <c r="AP2" s="141"/>
      <c r="AQ2" s="141"/>
    </row>
    <row r="3" spans="1:45" ht="18" customHeight="1" x14ac:dyDescent="0.15">
      <c r="A3" s="105" t="s">
        <v>48</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2" t="s">
        <v>150</v>
      </c>
      <c r="D5" s="14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44" t="s">
        <v>45</v>
      </c>
      <c r="C9" s="159" t="s">
        <v>87</v>
      </c>
      <c r="D9" s="147" t="s">
        <v>47</v>
      </c>
      <c r="E9" s="150" t="s">
        <v>40</v>
      </c>
      <c r="F9" s="140" t="s">
        <v>86</v>
      </c>
      <c r="G9" s="140"/>
      <c r="H9" s="140"/>
      <c r="I9" s="140"/>
      <c r="J9" s="140"/>
      <c r="K9" s="140"/>
      <c r="L9" s="140" t="s">
        <v>49</v>
      </c>
      <c r="M9" s="140"/>
      <c r="N9" s="140"/>
      <c r="O9" s="140"/>
      <c r="P9" s="140"/>
      <c r="Q9" s="140"/>
      <c r="R9" s="140" t="s">
        <v>50</v>
      </c>
      <c r="S9" s="140"/>
      <c r="T9" s="140"/>
      <c r="U9" s="140"/>
      <c r="V9" s="140"/>
      <c r="W9" s="140"/>
      <c r="X9" s="140" t="s">
        <v>101</v>
      </c>
      <c r="Y9" s="140"/>
      <c r="Z9" s="140"/>
      <c r="AA9" s="140"/>
      <c r="AB9" s="140"/>
      <c r="AC9" s="140"/>
      <c r="AD9" s="140" t="s">
        <v>51</v>
      </c>
      <c r="AE9" s="140"/>
      <c r="AF9" s="140"/>
      <c r="AG9" s="140"/>
      <c r="AH9" s="140"/>
      <c r="AI9" s="140"/>
      <c r="AJ9" s="140" t="s">
        <v>52</v>
      </c>
      <c r="AK9" s="140"/>
      <c r="AL9" s="140"/>
      <c r="AM9" s="140"/>
      <c r="AN9" s="140"/>
      <c r="AO9" s="140"/>
      <c r="AP9" s="153" t="s">
        <v>35</v>
      </c>
      <c r="AQ9" s="156" t="s">
        <v>32</v>
      </c>
      <c r="AS9" s="2"/>
    </row>
    <row r="10" spans="1:45" ht="16.899999999999999" customHeight="1" x14ac:dyDescent="0.15">
      <c r="B10" s="145"/>
      <c r="C10" s="160"/>
      <c r="D10" s="148"/>
      <c r="E10" s="151"/>
      <c r="F10" s="138" t="s">
        <v>97</v>
      </c>
      <c r="G10" s="139"/>
      <c r="H10" s="139"/>
      <c r="I10" s="138" t="s">
        <v>29</v>
      </c>
      <c r="J10" s="139"/>
      <c r="K10" s="139"/>
      <c r="L10" s="138" t="s">
        <v>97</v>
      </c>
      <c r="M10" s="139"/>
      <c r="N10" s="139"/>
      <c r="O10" s="138" t="s">
        <v>29</v>
      </c>
      <c r="P10" s="139"/>
      <c r="Q10" s="139"/>
      <c r="R10" s="138" t="s">
        <v>97</v>
      </c>
      <c r="S10" s="139"/>
      <c r="T10" s="139"/>
      <c r="U10" s="138" t="s">
        <v>29</v>
      </c>
      <c r="V10" s="139"/>
      <c r="W10" s="139"/>
      <c r="X10" s="138" t="s">
        <v>97</v>
      </c>
      <c r="Y10" s="139"/>
      <c r="Z10" s="139"/>
      <c r="AA10" s="138" t="s">
        <v>29</v>
      </c>
      <c r="AB10" s="139"/>
      <c r="AC10" s="139"/>
      <c r="AD10" s="138" t="s">
        <v>97</v>
      </c>
      <c r="AE10" s="139"/>
      <c r="AF10" s="139"/>
      <c r="AG10" s="138" t="s">
        <v>29</v>
      </c>
      <c r="AH10" s="139"/>
      <c r="AI10" s="139"/>
      <c r="AJ10" s="138" t="s">
        <v>97</v>
      </c>
      <c r="AK10" s="139"/>
      <c r="AL10" s="139"/>
      <c r="AM10" s="138" t="s">
        <v>29</v>
      </c>
      <c r="AN10" s="139"/>
      <c r="AO10" s="139"/>
      <c r="AP10" s="154"/>
      <c r="AQ10" s="157"/>
      <c r="AS10" s="2"/>
    </row>
    <row r="11" spans="1:45" ht="18" customHeight="1" x14ac:dyDescent="0.15">
      <c r="B11" s="146"/>
      <c r="C11" s="161"/>
      <c r="D11" s="149"/>
      <c r="E11" s="15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55"/>
      <c r="AQ11" s="158"/>
      <c r="AS11" s="2"/>
    </row>
    <row r="12" spans="1:45" ht="18" customHeight="1" x14ac:dyDescent="0.15">
      <c r="A12" s="6"/>
      <c r="B12" s="11" t="s">
        <v>128</v>
      </c>
      <c r="C12" s="61">
        <v>622</v>
      </c>
      <c r="D12" s="62">
        <v>150</v>
      </c>
      <c r="E12" s="63">
        <v>600</v>
      </c>
      <c r="F12" s="63">
        <f>G12+H12</f>
        <v>160</v>
      </c>
      <c r="G12" s="64">
        <v>19</v>
      </c>
      <c r="H12" s="65">
        <v>141</v>
      </c>
      <c r="I12" s="63">
        <f>J12+K12</f>
        <v>160</v>
      </c>
      <c r="J12" s="64">
        <v>19</v>
      </c>
      <c r="K12" s="65">
        <v>141</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160</v>
      </c>
      <c r="AQ12" s="81">
        <f t="shared" ref="AQ12:AQ32" si="0">AP12/E12</f>
        <v>0.26666666666666666</v>
      </c>
    </row>
    <row r="13" spans="1:45" ht="18" customHeight="1" x14ac:dyDescent="0.15">
      <c r="A13" s="6"/>
      <c r="B13" s="12" t="s">
        <v>134</v>
      </c>
      <c r="C13" s="66">
        <v>354</v>
      </c>
      <c r="D13" s="67">
        <v>105</v>
      </c>
      <c r="E13" s="68">
        <v>450</v>
      </c>
      <c r="F13" s="69">
        <f t="shared" ref="F13:F31" si="1">G13+H13</f>
        <v>85</v>
      </c>
      <c r="G13" s="70">
        <v>32</v>
      </c>
      <c r="H13" s="71">
        <v>53</v>
      </c>
      <c r="I13" s="69">
        <f t="shared" ref="I13:I31" si="2">J13+K13</f>
        <v>85</v>
      </c>
      <c r="J13" s="70">
        <v>32</v>
      </c>
      <c r="K13" s="71">
        <v>53</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85</v>
      </c>
      <c r="AQ13" s="20">
        <f>AP13/E13</f>
        <v>0.18888888888888888</v>
      </c>
    </row>
    <row r="14" spans="1:45" ht="18" customHeight="1" x14ac:dyDescent="0.15">
      <c r="A14" s="6"/>
      <c r="B14" s="12" t="s">
        <v>135</v>
      </c>
      <c r="C14" s="66">
        <v>439</v>
      </c>
      <c r="D14" s="67">
        <v>95</v>
      </c>
      <c r="E14" s="68">
        <v>380</v>
      </c>
      <c r="F14" s="69">
        <f t="shared" si="1"/>
        <v>105</v>
      </c>
      <c r="G14" s="70">
        <v>42</v>
      </c>
      <c r="H14" s="71">
        <v>63</v>
      </c>
      <c r="I14" s="69">
        <f t="shared" si="2"/>
        <v>105</v>
      </c>
      <c r="J14" s="70">
        <v>42</v>
      </c>
      <c r="K14" s="71">
        <v>63</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105</v>
      </c>
      <c r="AQ14" s="8">
        <f t="shared" si="0"/>
        <v>0.27631578947368424</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1415</v>
      </c>
      <c r="D32" s="77">
        <f t="shared" ref="D32:AP32" si="15">SUM(D12:D31)</f>
        <v>350</v>
      </c>
      <c r="E32" s="78">
        <f t="shared" si="15"/>
        <v>1430</v>
      </c>
      <c r="F32" s="78">
        <f t="shared" si="15"/>
        <v>350</v>
      </c>
      <c r="G32" s="79">
        <f t="shared" si="15"/>
        <v>93</v>
      </c>
      <c r="H32" s="80">
        <f t="shared" si="15"/>
        <v>257</v>
      </c>
      <c r="I32" s="78"/>
      <c r="J32" s="79">
        <f t="shared" ref="I32:N32" si="16">SUM(J12:J31)</f>
        <v>93</v>
      </c>
      <c r="K32" s="80">
        <f t="shared" si="16"/>
        <v>257</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350</v>
      </c>
      <c r="AQ32" s="9">
        <f t="shared" si="0"/>
        <v>0.24475524475524477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9" zoomScaleNormal="100" zoomScaleSheetLayoutView="100" workbookViewId="0">
      <selection activeCell="E20" sqref="E20:I20"/>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4" t="s">
        <v>106</v>
      </c>
    </row>
    <row r="2" spans="1:9" ht="18.75" customHeight="1" x14ac:dyDescent="0.15">
      <c r="G2" s="34" t="s">
        <v>109</v>
      </c>
      <c r="H2" s="94" t="str">
        <f>'様式１　プログラムを構成する授業科目'!C2</f>
        <v>聖隷クリストファー大学</v>
      </c>
      <c r="I2" s="96"/>
    </row>
    <row r="3" spans="1:9" ht="18.75" customHeight="1" x14ac:dyDescent="0.15">
      <c r="G3" s="34"/>
      <c r="H3" s="10"/>
      <c r="I3" s="10"/>
    </row>
    <row r="4" spans="1:9" ht="18.600000000000001" customHeight="1" x14ac:dyDescent="0.15">
      <c r="A4" s="105" t="s">
        <v>36</v>
      </c>
      <c r="B4" s="105"/>
      <c r="C4" s="105"/>
      <c r="D4" s="105"/>
      <c r="E4" s="105"/>
      <c r="F4" s="105"/>
      <c r="G4" s="105"/>
      <c r="H4" s="105"/>
      <c r="I4" s="105"/>
    </row>
    <row r="5" spans="1:9" ht="13.15" customHeight="1" x14ac:dyDescent="0.15">
      <c r="B5" s="3"/>
      <c r="C5" s="3"/>
      <c r="D5" s="3"/>
      <c r="E5" s="3"/>
      <c r="F5" s="3"/>
      <c r="G5" s="3"/>
      <c r="H5" s="3"/>
      <c r="I5" s="3"/>
    </row>
    <row r="6" spans="1:9" ht="18" customHeight="1" x14ac:dyDescent="0.15">
      <c r="A6" s="1" t="s">
        <v>0</v>
      </c>
      <c r="B6" s="10" t="s">
        <v>91</v>
      </c>
      <c r="C6" s="212" t="s">
        <v>92</v>
      </c>
      <c r="D6" s="212"/>
      <c r="E6" s="33">
        <v>105</v>
      </c>
      <c r="F6" s="3" t="s">
        <v>1</v>
      </c>
      <c r="G6" s="3" t="s">
        <v>2</v>
      </c>
      <c r="H6" s="33">
        <v>146</v>
      </c>
      <c r="I6" s="10" t="s">
        <v>1</v>
      </c>
    </row>
    <row r="7" spans="1:9" ht="12" customHeight="1" x14ac:dyDescent="0.15">
      <c r="C7" s="2"/>
      <c r="D7" s="2"/>
      <c r="E7" s="2"/>
      <c r="F7" s="2"/>
      <c r="G7" s="2"/>
      <c r="H7" s="2"/>
      <c r="I7" s="41"/>
    </row>
    <row r="8" spans="1:9" ht="18" customHeight="1" x14ac:dyDescent="0.15">
      <c r="A8" s="1" t="s">
        <v>3</v>
      </c>
      <c r="B8" s="10" t="s">
        <v>93</v>
      </c>
      <c r="E8" s="3"/>
      <c r="F8" s="3"/>
      <c r="G8" s="3"/>
      <c r="H8" s="33">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207" t="s">
        <v>136</v>
      </c>
      <c r="D11" s="210"/>
      <c r="E11" s="211"/>
      <c r="F11" s="41"/>
      <c r="G11" s="34" t="s">
        <v>10</v>
      </c>
      <c r="H11" s="207" t="s">
        <v>137</v>
      </c>
      <c r="I11" s="211"/>
    </row>
    <row r="12" spans="1:9" ht="10.15" customHeight="1" x14ac:dyDescent="0.15">
      <c r="B12" s="34"/>
      <c r="C12" s="10"/>
      <c r="D12" s="41"/>
      <c r="E12" s="41"/>
      <c r="F12" s="41"/>
      <c r="G12" s="34"/>
      <c r="H12" s="10"/>
      <c r="I12" s="41"/>
    </row>
    <row r="13" spans="1:9" ht="18" customHeight="1" x14ac:dyDescent="0.15">
      <c r="A13" s="1" t="s">
        <v>7</v>
      </c>
      <c r="B13" s="10" t="s">
        <v>88</v>
      </c>
      <c r="C13" s="3"/>
      <c r="D13" s="3"/>
      <c r="E13" s="3"/>
      <c r="F13" s="3"/>
      <c r="G13" s="3"/>
      <c r="H13" s="3"/>
      <c r="I13" s="3"/>
    </row>
    <row r="14" spans="1:9" ht="18" customHeight="1" x14ac:dyDescent="0.15">
      <c r="B14" s="207" t="s">
        <v>138</v>
      </c>
      <c r="C14" s="208"/>
      <c r="D14" s="208"/>
      <c r="E14" s="208"/>
      <c r="F14" s="208"/>
      <c r="G14" s="208"/>
      <c r="H14" s="208"/>
      <c r="I14" s="209"/>
    </row>
    <row r="15" spans="1:9" ht="9" customHeight="1" x14ac:dyDescent="0.15">
      <c r="B15" s="3"/>
      <c r="C15" s="3"/>
      <c r="D15" s="3"/>
      <c r="E15" s="3"/>
      <c r="F15" s="3"/>
      <c r="G15" s="3"/>
      <c r="H15" s="3"/>
      <c r="I15" s="3"/>
    </row>
    <row r="16" spans="1:9" ht="18" customHeight="1" x14ac:dyDescent="0.15">
      <c r="B16" s="34" t="s">
        <v>43</v>
      </c>
      <c r="C16" s="207" t="s">
        <v>136</v>
      </c>
      <c r="D16" s="210"/>
      <c r="E16" s="211"/>
      <c r="F16" s="41"/>
      <c r="G16" s="34" t="s">
        <v>10</v>
      </c>
      <c r="H16" s="207" t="s">
        <v>137</v>
      </c>
      <c r="I16" s="21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9" t="s">
        <v>139</v>
      </c>
      <c r="C19" s="200"/>
      <c r="D19" s="200"/>
      <c r="E19" s="200"/>
      <c r="F19" s="200"/>
      <c r="G19" s="200"/>
      <c r="H19" s="200"/>
      <c r="I19" s="20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89" t="s">
        <v>151</v>
      </c>
      <c r="C22" s="190"/>
      <c r="D22" s="190"/>
      <c r="E22" s="190"/>
      <c r="F22" s="190"/>
      <c r="G22" s="190"/>
      <c r="H22" s="190"/>
      <c r="I22" s="191"/>
    </row>
    <row r="23" spans="1:9" ht="18.75" customHeight="1" x14ac:dyDescent="0.15">
      <c r="A23" s="15"/>
      <c r="B23" s="202"/>
      <c r="C23" s="203"/>
      <c r="D23" s="203"/>
      <c r="E23" s="203"/>
      <c r="F23" s="203"/>
      <c r="G23" s="203"/>
      <c r="H23" s="203"/>
      <c r="I23" s="194"/>
    </row>
    <row r="24" spans="1:9" ht="18.75" customHeight="1" x14ac:dyDescent="0.15">
      <c r="A24" s="15"/>
      <c r="B24" s="202"/>
      <c r="C24" s="203"/>
      <c r="D24" s="203"/>
      <c r="E24" s="203"/>
      <c r="F24" s="203"/>
      <c r="G24" s="203"/>
      <c r="H24" s="203"/>
      <c r="I24" s="194"/>
    </row>
    <row r="25" spans="1:9" ht="18.75" customHeight="1" x14ac:dyDescent="0.15">
      <c r="A25" s="15"/>
      <c r="B25" s="202"/>
      <c r="C25" s="203"/>
      <c r="D25" s="203"/>
      <c r="E25" s="203"/>
      <c r="F25" s="203"/>
      <c r="G25" s="203"/>
      <c r="H25" s="203"/>
      <c r="I25" s="194"/>
    </row>
    <row r="26" spans="1:9" ht="18.75" customHeight="1" x14ac:dyDescent="0.15">
      <c r="A26" s="15"/>
      <c r="B26" s="202"/>
      <c r="C26" s="203"/>
      <c r="D26" s="203"/>
      <c r="E26" s="203"/>
      <c r="F26" s="203"/>
      <c r="G26" s="203"/>
      <c r="H26" s="203"/>
      <c r="I26" s="194"/>
    </row>
    <row r="27" spans="1:9" ht="18.75" customHeight="1" x14ac:dyDescent="0.15">
      <c r="A27" s="15"/>
      <c r="B27" s="202"/>
      <c r="C27" s="203"/>
      <c r="D27" s="203"/>
      <c r="E27" s="203"/>
      <c r="F27" s="203"/>
      <c r="G27" s="203"/>
      <c r="H27" s="203"/>
      <c r="I27" s="194"/>
    </row>
    <row r="28" spans="1:9" ht="18.75" customHeight="1" x14ac:dyDescent="0.15">
      <c r="A28" s="15"/>
      <c r="B28" s="202"/>
      <c r="C28" s="203"/>
      <c r="D28" s="203"/>
      <c r="E28" s="203"/>
      <c r="F28" s="203"/>
      <c r="G28" s="203"/>
      <c r="H28" s="203"/>
      <c r="I28" s="194"/>
    </row>
    <row r="29" spans="1:9" ht="18.75" customHeight="1" x14ac:dyDescent="0.15">
      <c r="A29" s="15"/>
      <c r="B29" s="202"/>
      <c r="C29" s="203"/>
      <c r="D29" s="203"/>
      <c r="E29" s="203"/>
      <c r="F29" s="203"/>
      <c r="G29" s="203"/>
      <c r="H29" s="203"/>
      <c r="I29" s="194"/>
    </row>
    <row r="30" spans="1:9" ht="18.75" customHeight="1" x14ac:dyDescent="0.15">
      <c r="A30" s="15"/>
      <c r="B30" s="192"/>
      <c r="C30" s="193"/>
      <c r="D30" s="193"/>
      <c r="E30" s="193"/>
      <c r="F30" s="193"/>
      <c r="G30" s="193"/>
      <c r="H30" s="193"/>
      <c r="I30" s="194"/>
    </row>
    <row r="31" spans="1:9" ht="18.75" customHeight="1" x14ac:dyDescent="0.15">
      <c r="A31" s="15"/>
      <c r="B31" s="192"/>
      <c r="C31" s="193"/>
      <c r="D31" s="193"/>
      <c r="E31" s="193"/>
      <c r="F31" s="193"/>
      <c r="G31" s="193"/>
      <c r="H31" s="193"/>
      <c r="I31" s="194"/>
    </row>
    <row r="32" spans="1:9" ht="18.75" customHeight="1" x14ac:dyDescent="0.15">
      <c r="A32" s="15"/>
      <c r="B32" s="195"/>
      <c r="C32" s="196"/>
      <c r="D32" s="196"/>
      <c r="E32" s="196"/>
      <c r="F32" s="196"/>
      <c r="G32" s="196"/>
      <c r="H32" s="196"/>
      <c r="I32" s="19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9" t="s">
        <v>158</v>
      </c>
      <c r="C35" s="190"/>
      <c r="D35" s="190"/>
      <c r="E35" s="190"/>
      <c r="F35" s="190"/>
      <c r="G35" s="190"/>
      <c r="H35" s="190"/>
      <c r="I35" s="191"/>
    </row>
    <row r="36" spans="1:9" ht="18.75" customHeight="1" x14ac:dyDescent="0.15">
      <c r="A36" s="15"/>
      <c r="B36" s="192"/>
      <c r="C36" s="193"/>
      <c r="D36" s="193"/>
      <c r="E36" s="193"/>
      <c r="F36" s="193"/>
      <c r="G36" s="193"/>
      <c r="H36" s="193"/>
      <c r="I36" s="194"/>
    </row>
    <row r="37" spans="1:9" ht="18.75" customHeight="1" x14ac:dyDescent="0.15">
      <c r="A37" s="15"/>
      <c r="B37" s="192"/>
      <c r="C37" s="193"/>
      <c r="D37" s="193"/>
      <c r="E37" s="193"/>
      <c r="F37" s="193"/>
      <c r="G37" s="193"/>
      <c r="H37" s="193"/>
      <c r="I37" s="194"/>
    </row>
    <row r="38" spans="1:9" ht="18.75" customHeight="1" x14ac:dyDescent="0.15">
      <c r="A38" s="15"/>
      <c r="B38" s="192"/>
      <c r="C38" s="193"/>
      <c r="D38" s="193"/>
      <c r="E38" s="193"/>
      <c r="F38" s="193"/>
      <c r="G38" s="193"/>
      <c r="H38" s="193"/>
      <c r="I38" s="194"/>
    </row>
    <row r="39" spans="1:9" ht="18.75" customHeight="1" x14ac:dyDescent="0.15">
      <c r="A39" s="15"/>
      <c r="B39" s="192"/>
      <c r="C39" s="193"/>
      <c r="D39" s="193"/>
      <c r="E39" s="193"/>
      <c r="F39" s="193"/>
      <c r="G39" s="193"/>
      <c r="H39" s="193"/>
      <c r="I39" s="194"/>
    </row>
    <row r="40" spans="1:9" ht="18.75" customHeight="1" x14ac:dyDescent="0.15">
      <c r="A40" s="15"/>
      <c r="B40" s="192"/>
      <c r="C40" s="193"/>
      <c r="D40" s="193"/>
      <c r="E40" s="193"/>
      <c r="F40" s="193"/>
      <c r="G40" s="193"/>
      <c r="H40" s="193"/>
      <c r="I40" s="194"/>
    </row>
    <row r="41" spans="1:9" ht="18.75" customHeight="1" x14ac:dyDescent="0.15">
      <c r="A41" s="15"/>
      <c r="B41" s="192"/>
      <c r="C41" s="193"/>
      <c r="D41" s="193"/>
      <c r="E41" s="193"/>
      <c r="F41" s="193"/>
      <c r="G41" s="193"/>
      <c r="H41" s="193"/>
      <c r="I41" s="194"/>
    </row>
    <row r="42" spans="1:9" ht="18.75" customHeight="1" x14ac:dyDescent="0.15">
      <c r="A42" s="15"/>
      <c r="B42" s="192"/>
      <c r="C42" s="193"/>
      <c r="D42" s="193"/>
      <c r="E42" s="193"/>
      <c r="F42" s="193"/>
      <c r="G42" s="193"/>
      <c r="H42" s="193"/>
      <c r="I42" s="194"/>
    </row>
    <row r="43" spans="1:9" ht="18.75" customHeight="1" x14ac:dyDescent="0.15">
      <c r="A43" s="15"/>
      <c r="B43" s="192"/>
      <c r="C43" s="193"/>
      <c r="D43" s="193"/>
      <c r="E43" s="193"/>
      <c r="F43" s="193"/>
      <c r="G43" s="193"/>
      <c r="H43" s="193"/>
      <c r="I43" s="194"/>
    </row>
    <row r="44" spans="1:9" ht="18.75" customHeight="1" x14ac:dyDescent="0.15">
      <c r="A44" s="15"/>
      <c r="B44" s="192"/>
      <c r="C44" s="193"/>
      <c r="D44" s="193"/>
      <c r="E44" s="193"/>
      <c r="F44" s="193"/>
      <c r="G44" s="193"/>
      <c r="H44" s="193"/>
      <c r="I44" s="194"/>
    </row>
    <row r="45" spans="1:9" ht="18.75" customHeight="1" x14ac:dyDescent="0.15">
      <c r="A45" s="15"/>
      <c r="B45" s="192"/>
      <c r="C45" s="193"/>
      <c r="D45" s="193"/>
      <c r="E45" s="193"/>
      <c r="F45" s="193"/>
      <c r="G45" s="193"/>
      <c r="H45" s="193"/>
      <c r="I45" s="194"/>
    </row>
    <row r="46" spans="1:9" ht="18.75" customHeight="1" x14ac:dyDescent="0.15">
      <c r="A46" s="15"/>
      <c r="B46" s="195"/>
      <c r="C46" s="196"/>
      <c r="D46" s="196"/>
      <c r="E46" s="196"/>
      <c r="F46" s="196"/>
      <c r="G46" s="196"/>
      <c r="H46" s="196"/>
      <c r="I46" s="197"/>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178">
        <f>'様式２ 履修者等数の実績'!AQ32</f>
        <v>0.24475524475524477</v>
      </c>
      <c r="D49" s="178"/>
      <c r="E49" s="42" t="s">
        <v>66</v>
      </c>
      <c r="F49" s="178">
        <v>0.5</v>
      </c>
      <c r="G49" s="178"/>
      <c r="H49" s="42" t="s">
        <v>67</v>
      </c>
      <c r="I49" s="43">
        <v>0.75</v>
      </c>
      <c r="J49" s="1"/>
      <c r="M49" s="1"/>
      <c r="N49" s="44"/>
    </row>
    <row r="50" spans="1:15" s="3" customFormat="1" ht="18.75" customHeight="1" x14ac:dyDescent="0.15">
      <c r="B50" s="45" t="s">
        <v>68</v>
      </c>
      <c r="C50" s="179">
        <v>1</v>
      </c>
      <c r="D50" s="179"/>
      <c r="E50" s="45" t="s">
        <v>90</v>
      </c>
      <c r="F50" s="179">
        <v>1</v>
      </c>
      <c r="G50" s="179"/>
      <c r="H50" s="45" t="s">
        <v>69</v>
      </c>
      <c r="I50" s="46">
        <f>'様式２ 履修者等数の実績'!E32</f>
        <v>1430</v>
      </c>
      <c r="J50" s="1"/>
      <c r="M50" s="1"/>
      <c r="N50" s="44"/>
    </row>
    <row r="51" spans="1:15" ht="18.75" customHeight="1" x14ac:dyDescent="0.15">
      <c r="A51" s="1"/>
      <c r="B51" s="204" t="s">
        <v>70</v>
      </c>
      <c r="C51" s="205"/>
      <c r="D51" s="205"/>
      <c r="E51" s="205"/>
      <c r="F51" s="205"/>
      <c r="G51" s="205"/>
      <c r="H51" s="205"/>
      <c r="I51" s="206"/>
      <c r="N51" s="44"/>
      <c r="O51" s="3"/>
    </row>
    <row r="52" spans="1:15" ht="18.75" customHeight="1" x14ac:dyDescent="0.15">
      <c r="A52" s="1"/>
      <c r="B52" s="180" t="s">
        <v>153</v>
      </c>
      <c r="C52" s="181"/>
      <c r="D52" s="181"/>
      <c r="E52" s="181"/>
      <c r="F52" s="181"/>
      <c r="G52" s="181"/>
      <c r="H52" s="181"/>
      <c r="I52" s="182"/>
      <c r="N52" s="44"/>
      <c r="O52" s="3"/>
    </row>
    <row r="53" spans="1:15" ht="18.75" customHeight="1" x14ac:dyDescent="0.15">
      <c r="A53" s="1"/>
      <c r="B53" s="183"/>
      <c r="C53" s="184"/>
      <c r="D53" s="184"/>
      <c r="E53" s="184"/>
      <c r="F53" s="184"/>
      <c r="G53" s="184"/>
      <c r="H53" s="184"/>
      <c r="I53" s="185"/>
      <c r="N53" s="44"/>
      <c r="O53" s="3"/>
    </row>
    <row r="54" spans="1:15" ht="18.75" customHeight="1" x14ac:dyDescent="0.15">
      <c r="A54" s="1"/>
      <c r="B54" s="183"/>
      <c r="C54" s="184"/>
      <c r="D54" s="184"/>
      <c r="E54" s="184"/>
      <c r="F54" s="184"/>
      <c r="G54" s="184"/>
      <c r="H54" s="184"/>
      <c r="I54" s="185"/>
    </row>
    <row r="55" spans="1:15" ht="18.75" customHeight="1" x14ac:dyDescent="0.15">
      <c r="A55" s="1"/>
      <c r="B55" s="183"/>
      <c r="C55" s="184"/>
      <c r="D55" s="184"/>
      <c r="E55" s="184"/>
      <c r="F55" s="184"/>
      <c r="G55" s="184"/>
      <c r="H55" s="184"/>
      <c r="I55" s="185"/>
    </row>
    <row r="56" spans="1:15" ht="18.75" customHeight="1" x14ac:dyDescent="0.15">
      <c r="A56" s="1"/>
      <c r="B56" s="183"/>
      <c r="C56" s="184"/>
      <c r="D56" s="184"/>
      <c r="E56" s="184"/>
      <c r="F56" s="184"/>
      <c r="G56" s="184"/>
      <c r="H56" s="184"/>
      <c r="I56" s="185"/>
    </row>
    <row r="57" spans="1:15" ht="18.75" customHeight="1" x14ac:dyDescent="0.15">
      <c r="A57" s="1"/>
      <c r="B57" s="183"/>
      <c r="C57" s="184"/>
      <c r="D57" s="184"/>
      <c r="E57" s="184"/>
      <c r="F57" s="184"/>
      <c r="G57" s="184"/>
      <c r="H57" s="184"/>
      <c r="I57" s="185"/>
    </row>
    <row r="58" spans="1:15" ht="18.75" customHeight="1" x14ac:dyDescent="0.15">
      <c r="A58" s="1"/>
      <c r="B58" s="183"/>
      <c r="C58" s="184"/>
      <c r="D58" s="184"/>
      <c r="E58" s="184"/>
      <c r="F58" s="184"/>
      <c r="G58" s="184"/>
      <c r="H58" s="184"/>
      <c r="I58" s="185"/>
    </row>
    <row r="59" spans="1:15" ht="18.75" customHeight="1" x14ac:dyDescent="0.15">
      <c r="A59" s="1"/>
      <c r="B59" s="183"/>
      <c r="C59" s="184"/>
      <c r="D59" s="184"/>
      <c r="E59" s="184"/>
      <c r="F59" s="184"/>
      <c r="G59" s="184"/>
      <c r="H59" s="184"/>
      <c r="I59" s="185"/>
    </row>
    <row r="60" spans="1:15" ht="18.75" customHeight="1" x14ac:dyDescent="0.15">
      <c r="A60" s="1"/>
      <c r="B60" s="183"/>
      <c r="C60" s="184"/>
      <c r="D60" s="184"/>
      <c r="E60" s="184"/>
      <c r="F60" s="184"/>
      <c r="G60" s="184"/>
      <c r="H60" s="184"/>
      <c r="I60" s="185"/>
    </row>
    <row r="61" spans="1:15" ht="18.75" customHeight="1" x14ac:dyDescent="0.15">
      <c r="A61" s="1"/>
      <c r="B61" s="183"/>
      <c r="C61" s="184"/>
      <c r="D61" s="184"/>
      <c r="E61" s="184"/>
      <c r="F61" s="184"/>
      <c r="G61" s="184"/>
      <c r="H61" s="184"/>
      <c r="I61" s="185"/>
    </row>
    <row r="62" spans="1:15" ht="18.75" customHeight="1" x14ac:dyDescent="0.15">
      <c r="A62" s="1"/>
      <c r="B62" s="183"/>
      <c r="C62" s="184"/>
      <c r="D62" s="184"/>
      <c r="E62" s="184"/>
      <c r="F62" s="184"/>
      <c r="G62" s="184"/>
      <c r="H62" s="184"/>
      <c r="I62" s="185"/>
    </row>
    <row r="63" spans="1:15" ht="18.75" customHeight="1" x14ac:dyDescent="0.15">
      <c r="A63" s="1"/>
      <c r="B63" s="186"/>
      <c r="C63" s="187"/>
      <c r="D63" s="187"/>
      <c r="E63" s="187"/>
      <c r="F63" s="187"/>
      <c r="G63" s="187"/>
      <c r="H63" s="187"/>
      <c r="I63" s="188"/>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62" t="s">
        <v>152</v>
      </c>
      <c r="C66" s="163"/>
      <c r="D66" s="163"/>
      <c r="E66" s="163"/>
      <c r="F66" s="163"/>
      <c r="G66" s="163"/>
      <c r="H66" s="163"/>
      <c r="I66" s="164"/>
    </row>
    <row r="67" spans="1:9" ht="18.75" customHeight="1" x14ac:dyDescent="0.15">
      <c r="A67" s="4"/>
      <c r="B67" s="165"/>
      <c r="C67" s="166"/>
      <c r="D67" s="166"/>
      <c r="E67" s="166"/>
      <c r="F67" s="166"/>
      <c r="G67" s="166"/>
      <c r="H67" s="166"/>
      <c r="I67" s="167"/>
    </row>
    <row r="68" spans="1:9" ht="18.75" customHeight="1" x14ac:dyDescent="0.15">
      <c r="A68" s="4"/>
      <c r="B68" s="165"/>
      <c r="C68" s="166"/>
      <c r="D68" s="166"/>
      <c r="E68" s="166"/>
      <c r="F68" s="166"/>
      <c r="G68" s="166"/>
      <c r="H68" s="166"/>
      <c r="I68" s="167"/>
    </row>
    <row r="69" spans="1:9" ht="18.75" customHeight="1" x14ac:dyDescent="0.15">
      <c r="A69" s="4"/>
      <c r="B69" s="165"/>
      <c r="C69" s="166"/>
      <c r="D69" s="166"/>
      <c r="E69" s="166"/>
      <c r="F69" s="166"/>
      <c r="G69" s="166"/>
      <c r="H69" s="166"/>
      <c r="I69" s="167"/>
    </row>
    <row r="70" spans="1:9" ht="18.75" customHeight="1" x14ac:dyDescent="0.15">
      <c r="A70" s="4"/>
      <c r="B70" s="165"/>
      <c r="C70" s="166"/>
      <c r="D70" s="166"/>
      <c r="E70" s="166"/>
      <c r="F70" s="166"/>
      <c r="G70" s="166"/>
      <c r="H70" s="166"/>
      <c r="I70" s="167"/>
    </row>
    <row r="71" spans="1:9" ht="18.75" customHeight="1" x14ac:dyDescent="0.15">
      <c r="A71" s="4"/>
      <c r="B71" s="165"/>
      <c r="C71" s="166"/>
      <c r="D71" s="166"/>
      <c r="E71" s="166"/>
      <c r="F71" s="166"/>
      <c r="G71" s="166"/>
      <c r="H71" s="166"/>
      <c r="I71" s="167"/>
    </row>
    <row r="72" spans="1:9" ht="18.75" customHeight="1" x14ac:dyDescent="0.15">
      <c r="A72" s="4"/>
      <c r="B72" s="165"/>
      <c r="C72" s="166"/>
      <c r="D72" s="166"/>
      <c r="E72" s="166"/>
      <c r="F72" s="166"/>
      <c r="G72" s="166"/>
      <c r="H72" s="166"/>
      <c r="I72" s="167"/>
    </row>
    <row r="73" spans="1:9" ht="18.75" customHeight="1" x14ac:dyDescent="0.15">
      <c r="A73" s="4"/>
      <c r="B73" s="165"/>
      <c r="C73" s="166"/>
      <c r="D73" s="166"/>
      <c r="E73" s="166"/>
      <c r="F73" s="166"/>
      <c r="G73" s="166"/>
      <c r="H73" s="166"/>
      <c r="I73" s="167"/>
    </row>
    <row r="74" spans="1:9" ht="18.75" customHeight="1" x14ac:dyDescent="0.15">
      <c r="A74" s="4"/>
      <c r="B74" s="165"/>
      <c r="C74" s="166"/>
      <c r="D74" s="166"/>
      <c r="E74" s="166"/>
      <c r="F74" s="166"/>
      <c r="G74" s="166"/>
      <c r="H74" s="166"/>
      <c r="I74" s="167"/>
    </row>
    <row r="75" spans="1:9" ht="18.75" customHeight="1" x14ac:dyDescent="0.15">
      <c r="A75" s="4"/>
      <c r="B75" s="165"/>
      <c r="C75" s="166"/>
      <c r="D75" s="166"/>
      <c r="E75" s="166"/>
      <c r="F75" s="166"/>
      <c r="G75" s="166"/>
      <c r="H75" s="166"/>
      <c r="I75" s="167"/>
    </row>
    <row r="76" spans="1:9" ht="18.75" customHeight="1" x14ac:dyDescent="0.15">
      <c r="A76" s="4"/>
      <c r="B76" s="165"/>
      <c r="C76" s="166"/>
      <c r="D76" s="166"/>
      <c r="E76" s="166"/>
      <c r="F76" s="166"/>
      <c r="G76" s="166"/>
      <c r="H76" s="166"/>
      <c r="I76" s="167"/>
    </row>
    <row r="77" spans="1:9" ht="18.75" customHeight="1" x14ac:dyDescent="0.15">
      <c r="A77" s="4"/>
      <c r="B77" s="168"/>
      <c r="C77" s="169"/>
      <c r="D77" s="169"/>
      <c r="E77" s="169"/>
      <c r="F77" s="169"/>
      <c r="G77" s="169"/>
      <c r="H77" s="169"/>
      <c r="I77" s="17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62" t="s">
        <v>154</v>
      </c>
      <c r="C80" s="163"/>
      <c r="D80" s="163"/>
      <c r="E80" s="163"/>
      <c r="F80" s="163"/>
      <c r="G80" s="163"/>
      <c r="H80" s="163"/>
      <c r="I80" s="171"/>
    </row>
    <row r="81" spans="1:9" ht="18.75" customHeight="1" x14ac:dyDescent="0.15">
      <c r="A81" s="1"/>
      <c r="B81" s="172"/>
      <c r="C81" s="173"/>
      <c r="D81" s="173"/>
      <c r="E81" s="173"/>
      <c r="F81" s="173"/>
      <c r="G81" s="173"/>
      <c r="H81" s="173"/>
      <c r="I81" s="174"/>
    </row>
    <row r="82" spans="1:9" ht="18.75" customHeight="1" x14ac:dyDescent="0.15">
      <c r="A82" s="1"/>
      <c r="B82" s="172"/>
      <c r="C82" s="173"/>
      <c r="D82" s="173"/>
      <c r="E82" s="173"/>
      <c r="F82" s="173"/>
      <c r="G82" s="173"/>
      <c r="H82" s="173"/>
      <c r="I82" s="174"/>
    </row>
    <row r="83" spans="1:9" ht="18.75" customHeight="1" x14ac:dyDescent="0.15">
      <c r="A83" s="1"/>
      <c r="B83" s="172"/>
      <c r="C83" s="173"/>
      <c r="D83" s="173"/>
      <c r="E83" s="173"/>
      <c r="F83" s="173"/>
      <c r="G83" s="173"/>
      <c r="H83" s="173"/>
      <c r="I83" s="174"/>
    </row>
    <row r="84" spans="1:9" ht="18.75" customHeight="1" x14ac:dyDescent="0.15">
      <c r="A84" s="1"/>
      <c r="B84" s="172"/>
      <c r="C84" s="173"/>
      <c r="D84" s="173"/>
      <c r="E84" s="173"/>
      <c r="F84" s="173"/>
      <c r="G84" s="173"/>
      <c r="H84" s="173"/>
      <c r="I84" s="174"/>
    </row>
    <row r="85" spans="1:9" ht="18.75" customHeight="1" x14ac:dyDescent="0.15">
      <c r="A85" s="1"/>
      <c r="B85" s="172"/>
      <c r="C85" s="173"/>
      <c r="D85" s="173"/>
      <c r="E85" s="173"/>
      <c r="F85" s="173"/>
      <c r="G85" s="173"/>
      <c r="H85" s="173"/>
      <c r="I85" s="174"/>
    </row>
    <row r="86" spans="1:9" ht="18.75" customHeight="1" x14ac:dyDescent="0.15">
      <c r="A86" s="1"/>
      <c r="B86" s="172"/>
      <c r="C86" s="173"/>
      <c r="D86" s="173"/>
      <c r="E86" s="173"/>
      <c r="F86" s="173"/>
      <c r="G86" s="173"/>
      <c r="H86" s="173"/>
      <c r="I86" s="174"/>
    </row>
    <row r="87" spans="1:9" ht="18.75" customHeight="1" x14ac:dyDescent="0.15">
      <c r="A87" s="1"/>
      <c r="B87" s="172"/>
      <c r="C87" s="173"/>
      <c r="D87" s="173"/>
      <c r="E87" s="173"/>
      <c r="F87" s="173"/>
      <c r="G87" s="173"/>
      <c r="H87" s="173"/>
      <c r="I87" s="174"/>
    </row>
    <row r="88" spans="1:9" ht="18.75" customHeight="1" x14ac:dyDescent="0.15">
      <c r="A88" s="1"/>
      <c r="B88" s="172"/>
      <c r="C88" s="173"/>
      <c r="D88" s="173"/>
      <c r="E88" s="173"/>
      <c r="F88" s="173"/>
      <c r="G88" s="173"/>
      <c r="H88" s="173"/>
      <c r="I88" s="174"/>
    </row>
    <row r="89" spans="1:9" ht="18.75" customHeight="1" x14ac:dyDescent="0.15">
      <c r="A89" s="1"/>
      <c r="B89" s="172"/>
      <c r="C89" s="173"/>
      <c r="D89" s="173"/>
      <c r="E89" s="173"/>
      <c r="F89" s="173"/>
      <c r="G89" s="173"/>
      <c r="H89" s="173"/>
      <c r="I89" s="174"/>
    </row>
    <row r="90" spans="1:9" ht="18.75" customHeight="1" x14ac:dyDescent="0.15">
      <c r="A90" s="4"/>
      <c r="B90" s="172"/>
      <c r="C90" s="173"/>
      <c r="D90" s="173"/>
      <c r="E90" s="173"/>
      <c r="F90" s="173"/>
      <c r="G90" s="173"/>
      <c r="H90" s="173"/>
      <c r="I90" s="174"/>
    </row>
    <row r="91" spans="1:9" ht="18.75" customHeight="1" x14ac:dyDescent="0.15">
      <c r="A91" s="4"/>
      <c r="B91" s="175"/>
      <c r="C91" s="176"/>
      <c r="D91" s="176"/>
      <c r="E91" s="176"/>
      <c r="F91" s="176"/>
      <c r="G91" s="176"/>
      <c r="H91" s="176"/>
      <c r="I91" s="17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9" t="s">
        <v>155</v>
      </c>
      <c r="C94" s="190"/>
      <c r="D94" s="190"/>
      <c r="E94" s="190"/>
      <c r="F94" s="190"/>
      <c r="G94" s="190"/>
      <c r="H94" s="190"/>
      <c r="I94" s="191"/>
    </row>
    <row r="95" spans="1:9" ht="18.75" customHeight="1" x14ac:dyDescent="0.15">
      <c r="A95" s="1"/>
      <c r="B95" s="192"/>
      <c r="C95" s="193"/>
      <c r="D95" s="193"/>
      <c r="E95" s="193"/>
      <c r="F95" s="193"/>
      <c r="G95" s="193"/>
      <c r="H95" s="193"/>
      <c r="I95" s="194"/>
    </row>
    <row r="96" spans="1:9" ht="18.75" customHeight="1" x14ac:dyDescent="0.15">
      <c r="A96" s="1"/>
      <c r="B96" s="192"/>
      <c r="C96" s="193"/>
      <c r="D96" s="193"/>
      <c r="E96" s="193"/>
      <c r="F96" s="193"/>
      <c r="G96" s="193"/>
      <c r="H96" s="193"/>
      <c r="I96" s="194"/>
    </row>
    <row r="97" spans="1:9" ht="18.75" customHeight="1" x14ac:dyDescent="0.15">
      <c r="A97" s="1"/>
      <c r="B97" s="192"/>
      <c r="C97" s="193"/>
      <c r="D97" s="193"/>
      <c r="E97" s="193"/>
      <c r="F97" s="193"/>
      <c r="G97" s="193"/>
      <c r="H97" s="193"/>
      <c r="I97" s="194"/>
    </row>
    <row r="98" spans="1:9" ht="18.75" customHeight="1" x14ac:dyDescent="0.15">
      <c r="A98" s="1"/>
      <c r="B98" s="192"/>
      <c r="C98" s="193"/>
      <c r="D98" s="193"/>
      <c r="E98" s="193"/>
      <c r="F98" s="193"/>
      <c r="G98" s="193"/>
      <c r="H98" s="193"/>
      <c r="I98" s="194"/>
    </row>
    <row r="99" spans="1:9" ht="18.75" customHeight="1" x14ac:dyDescent="0.15">
      <c r="A99" s="1"/>
      <c r="B99" s="192"/>
      <c r="C99" s="193"/>
      <c r="D99" s="193"/>
      <c r="E99" s="193"/>
      <c r="F99" s="193"/>
      <c r="G99" s="193"/>
      <c r="H99" s="193"/>
      <c r="I99" s="194"/>
    </row>
    <row r="100" spans="1:9" ht="18.75" customHeight="1" x14ac:dyDescent="0.15">
      <c r="A100" s="1"/>
      <c r="B100" s="192"/>
      <c r="C100" s="193"/>
      <c r="D100" s="193"/>
      <c r="E100" s="193"/>
      <c r="F100" s="193"/>
      <c r="G100" s="193"/>
      <c r="H100" s="193"/>
      <c r="I100" s="194"/>
    </row>
    <row r="101" spans="1:9" ht="18.75" customHeight="1" x14ac:dyDescent="0.15">
      <c r="A101" s="1"/>
      <c r="B101" s="192"/>
      <c r="C101" s="193"/>
      <c r="D101" s="193"/>
      <c r="E101" s="193"/>
      <c r="F101" s="193"/>
      <c r="G101" s="193"/>
      <c r="H101" s="193"/>
      <c r="I101" s="194"/>
    </row>
    <row r="102" spans="1:9" ht="18.75" customHeight="1" x14ac:dyDescent="0.15">
      <c r="A102" s="1"/>
      <c r="B102" s="192"/>
      <c r="C102" s="193"/>
      <c r="D102" s="193"/>
      <c r="E102" s="193"/>
      <c r="F102" s="193"/>
      <c r="G102" s="193"/>
      <c r="H102" s="193"/>
      <c r="I102" s="194"/>
    </row>
    <row r="103" spans="1:9" ht="18.75" customHeight="1" x14ac:dyDescent="0.15">
      <c r="A103" s="1"/>
      <c r="B103" s="192"/>
      <c r="C103" s="193"/>
      <c r="D103" s="193"/>
      <c r="E103" s="193"/>
      <c r="F103" s="193"/>
      <c r="G103" s="193"/>
      <c r="H103" s="193"/>
      <c r="I103" s="194"/>
    </row>
    <row r="104" spans="1:9" ht="18.75" customHeight="1" x14ac:dyDescent="0.15">
      <c r="A104" s="1"/>
      <c r="B104" s="192"/>
      <c r="C104" s="193"/>
      <c r="D104" s="193"/>
      <c r="E104" s="193"/>
      <c r="F104" s="193"/>
      <c r="G104" s="193"/>
      <c r="H104" s="193"/>
      <c r="I104" s="194"/>
    </row>
    <row r="105" spans="1:9" ht="18.75" customHeight="1" x14ac:dyDescent="0.15">
      <c r="A105" s="4"/>
      <c r="B105" s="195"/>
      <c r="C105" s="196"/>
      <c r="D105" s="196"/>
      <c r="E105" s="196"/>
      <c r="F105" s="196"/>
      <c r="G105" s="196"/>
      <c r="H105" s="196"/>
      <c r="I105" s="197"/>
    </row>
    <row r="106" spans="1:9" ht="7.5" customHeight="1" x14ac:dyDescent="0.15">
      <c r="A106" s="4"/>
      <c r="B106" s="4"/>
      <c r="C106" s="4"/>
      <c r="D106" s="4"/>
      <c r="E106" s="4"/>
      <c r="F106" s="4"/>
      <c r="G106" s="4"/>
      <c r="H106" s="4"/>
      <c r="I106" s="4"/>
    </row>
    <row r="107" spans="1:9" ht="18.75" customHeight="1" x14ac:dyDescent="0.15">
      <c r="A107" s="1" t="s">
        <v>30</v>
      </c>
      <c r="B107" s="198" t="s">
        <v>46</v>
      </c>
      <c r="C107" s="198"/>
      <c r="D107" s="198"/>
      <c r="E107" s="198"/>
      <c r="F107" s="198"/>
      <c r="G107" s="198"/>
      <c r="H107" s="198"/>
      <c r="I107" s="198"/>
    </row>
    <row r="108" spans="1:9" ht="18.75" customHeight="1" x14ac:dyDescent="0.15">
      <c r="A108" s="4"/>
      <c r="B108" s="189" t="s">
        <v>143</v>
      </c>
      <c r="C108" s="190"/>
      <c r="D108" s="190"/>
      <c r="E108" s="190"/>
      <c r="F108" s="190"/>
      <c r="G108" s="190"/>
      <c r="H108" s="190"/>
      <c r="I108" s="191"/>
    </row>
    <row r="109" spans="1:9" ht="18.75" customHeight="1" x14ac:dyDescent="0.15">
      <c r="A109" s="4"/>
      <c r="B109" s="192"/>
      <c r="C109" s="193"/>
      <c r="D109" s="193"/>
      <c r="E109" s="193"/>
      <c r="F109" s="193"/>
      <c r="G109" s="193"/>
      <c r="H109" s="193"/>
      <c r="I109" s="194"/>
    </row>
    <row r="110" spans="1:9" ht="18.75" customHeight="1" x14ac:dyDescent="0.15">
      <c r="A110" s="4"/>
      <c r="B110" s="192"/>
      <c r="C110" s="193"/>
      <c r="D110" s="193"/>
      <c r="E110" s="193"/>
      <c r="F110" s="193"/>
      <c r="G110" s="193"/>
      <c r="H110" s="193"/>
      <c r="I110" s="194"/>
    </row>
    <row r="111" spans="1:9" ht="18.75" customHeight="1" x14ac:dyDescent="0.15">
      <c r="A111" s="4"/>
      <c r="B111" s="192"/>
      <c r="C111" s="193"/>
      <c r="D111" s="193"/>
      <c r="E111" s="193"/>
      <c r="F111" s="193"/>
      <c r="G111" s="193"/>
      <c r="H111" s="193"/>
      <c r="I111" s="194"/>
    </row>
    <row r="112" spans="1:9" ht="18.75" customHeight="1" x14ac:dyDescent="0.15">
      <c r="A112" s="4"/>
      <c r="B112" s="192"/>
      <c r="C112" s="193"/>
      <c r="D112" s="193"/>
      <c r="E112" s="193"/>
      <c r="F112" s="193"/>
      <c r="G112" s="193"/>
      <c r="H112" s="193"/>
      <c r="I112" s="194"/>
    </row>
    <row r="113" spans="1:9" ht="18.75" customHeight="1" x14ac:dyDescent="0.15">
      <c r="A113" s="4"/>
      <c r="B113" s="192"/>
      <c r="C113" s="193"/>
      <c r="D113" s="193"/>
      <c r="E113" s="193"/>
      <c r="F113" s="193"/>
      <c r="G113" s="193"/>
      <c r="H113" s="193"/>
      <c r="I113" s="194"/>
    </row>
    <row r="114" spans="1:9" ht="18.75" customHeight="1" x14ac:dyDescent="0.15">
      <c r="A114" s="4"/>
      <c r="B114" s="192"/>
      <c r="C114" s="193"/>
      <c r="D114" s="193"/>
      <c r="E114" s="193"/>
      <c r="F114" s="193"/>
      <c r="G114" s="193"/>
      <c r="H114" s="193"/>
      <c r="I114" s="194"/>
    </row>
    <row r="115" spans="1:9" ht="18.75" customHeight="1" x14ac:dyDescent="0.15">
      <c r="A115" s="4"/>
      <c r="B115" s="192"/>
      <c r="C115" s="193"/>
      <c r="D115" s="193"/>
      <c r="E115" s="193"/>
      <c r="F115" s="193"/>
      <c r="G115" s="193"/>
      <c r="H115" s="193"/>
      <c r="I115" s="194"/>
    </row>
    <row r="116" spans="1:9" ht="18.75" customHeight="1" x14ac:dyDescent="0.15">
      <c r="A116" s="4"/>
      <c r="B116" s="192"/>
      <c r="C116" s="193"/>
      <c r="D116" s="193"/>
      <c r="E116" s="193"/>
      <c r="F116" s="193"/>
      <c r="G116" s="193"/>
      <c r="H116" s="193"/>
      <c r="I116" s="194"/>
    </row>
    <row r="117" spans="1:9" ht="18.75" customHeight="1" x14ac:dyDescent="0.15">
      <c r="A117" s="4"/>
      <c r="B117" s="192"/>
      <c r="C117" s="193"/>
      <c r="D117" s="193"/>
      <c r="E117" s="193"/>
      <c r="F117" s="193"/>
      <c r="G117" s="193"/>
      <c r="H117" s="193"/>
      <c r="I117" s="194"/>
    </row>
    <row r="118" spans="1:9" ht="18.75" customHeight="1" x14ac:dyDescent="0.15">
      <c r="A118" s="4"/>
      <c r="B118" s="192"/>
      <c r="C118" s="193"/>
      <c r="D118" s="193"/>
      <c r="E118" s="193"/>
      <c r="F118" s="193"/>
      <c r="G118" s="193"/>
      <c r="H118" s="193"/>
      <c r="I118" s="194"/>
    </row>
    <row r="119" spans="1:9" ht="18.75" customHeight="1" x14ac:dyDescent="0.15">
      <c r="A119" s="4"/>
      <c r="B119" s="195"/>
      <c r="C119" s="196"/>
      <c r="D119" s="196"/>
      <c r="E119" s="196"/>
      <c r="F119" s="196"/>
      <c r="G119" s="196"/>
      <c r="H119" s="196"/>
      <c r="I119" s="197"/>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7" zoomScale="90" zoomScaleNormal="100" zoomScaleSheetLayoutView="9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聖隷クリストファー大学</v>
      </c>
    </row>
    <row r="3" spans="1:9" ht="18.75" customHeight="1" x14ac:dyDescent="0.15">
      <c r="A3" s="105" t="s">
        <v>28</v>
      </c>
      <c r="B3" s="105"/>
      <c r="C3" s="105"/>
      <c r="D3" s="105"/>
      <c r="E3" s="105"/>
      <c r="F3" s="105"/>
      <c r="G3" s="105"/>
      <c r="H3" s="105"/>
      <c r="I3" s="105"/>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7" t="s">
        <v>138</v>
      </c>
      <c r="C6" s="235"/>
      <c r="D6" s="235"/>
      <c r="E6" s="235"/>
      <c r="F6" s="235"/>
      <c r="G6" s="235"/>
      <c r="H6" s="236"/>
      <c r="I6" s="3"/>
    </row>
    <row r="7" spans="1:9" ht="9" customHeight="1" x14ac:dyDescent="0.15">
      <c r="A7" s="5"/>
      <c r="B7" s="10"/>
      <c r="C7" s="10"/>
      <c r="D7" s="10"/>
      <c r="E7" s="10"/>
      <c r="F7" s="10"/>
      <c r="G7" s="10"/>
      <c r="H7" s="10"/>
      <c r="I7" s="3"/>
    </row>
    <row r="8" spans="1:9" ht="18.75" customHeight="1" x14ac:dyDescent="0.15">
      <c r="A8" s="5"/>
      <c r="B8" s="3"/>
      <c r="C8" s="3"/>
      <c r="D8" s="34" t="s">
        <v>43</v>
      </c>
      <c r="E8" s="35" t="s">
        <v>136</v>
      </c>
      <c r="F8" s="3"/>
      <c r="G8" s="34" t="s">
        <v>10</v>
      </c>
      <c r="H8" s="35" t="s">
        <v>137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49" t="s">
        <v>14</v>
      </c>
      <c r="C12" s="56"/>
      <c r="D12" s="50"/>
      <c r="E12" s="57"/>
      <c r="F12" s="57"/>
      <c r="G12" s="57"/>
      <c r="H12" s="57"/>
      <c r="I12" s="50"/>
    </row>
    <row r="13" spans="1:9" ht="210.75" customHeight="1" x14ac:dyDescent="0.15">
      <c r="B13" s="51"/>
      <c r="C13" s="218" t="s">
        <v>15</v>
      </c>
      <c r="D13" s="219"/>
      <c r="E13" s="229" t="s">
        <v>156</v>
      </c>
      <c r="F13" s="220"/>
      <c r="G13" s="220"/>
      <c r="H13" s="220"/>
      <c r="I13" s="221"/>
    </row>
    <row r="14" spans="1:9" ht="210.75" customHeight="1" x14ac:dyDescent="0.15">
      <c r="B14" s="51"/>
      <c r="C14" s="233" t="s">
        <v>16</v>
      </c>
      <c r="D14" s="234"/>
      <c r="E14" s="229" t="s">
        <v>157</v>
      </c>
      <c r="F14" s="220"/>
      <c r="G14" s="220"/>
      <c r="H14" s="220"/>
      <c r="I14" s="221"/>
    </row>
    <row r="15" spans="1:9" ht="210.75" customHeight="1" x14ac:dyDescent="0.15">
      <c r="B15" s="51"/>
      <c r="C15" s="218" t="s">
        <v>17</v>
      </c>
      <c r="D15" s="219"/>
      <c r="E15" s="229" t="s">
        <v>141</v>
      </c>
      <c r="F15" s="220"/>
      <c r="G15" s="220"/>
      <c r="H15" s="220"/>
      <c r="I15" s="221"/>
    </row>
    <row r="16" spans="1:9" ht="210.75" customHeight="1" x14ac:dyDescent="0.15">
      <c r="B16" s="51"/>
      <c r="C16" s="218" t="s">
        <v>18</v>
      </c>
      <c r="D16" s="219"/>
      <c r="E16" s="229" t="s">
        <v>140</v>
      </c>
      <c r="F16" s="220"/>
      <c r="G16" s="220"/>
      <c r="H16" s="220"/>
      <c r="I16" s="221"/>
    </row>
    <row r="17" spans="2:9" ht="210.75" customHeight="1" x14ac:dyDescent="0.15">
      <c r="B17" s="52"/>
      <c r="C17" s="222" t="s">
        <v>19</v>
      </c>
      <c r="D17" s="223"/>
      <c r="E17" s="230" t="s">
        <v>142</v>
      </c>
      <c r="F17" s="231"/>
      <c r="G17" s="231"/>
      <c r="H17" s="231"/>
      <c r="I17" s="232"/>
    </row>
    <row r="18" spans="2:9" ht="24" customHeight="1" x14ac:dyDescent="0.15">
      <c r="B18" s="49" t="s">
        <v>20</v>
      </c>
      <c r="C18" s="53"/>
      <c r="D18" s="54"/>
      <c r="E18" s="55"/>
      <c r="F18" s="55"/>
      <c r="G18" s="55"/>
      <c r="H18" s="55"/>
      <c r="I18" s="58"/>
    </row>
    <row r="19" spans="2:9" ht="218.25" customHeight="1" x14ac:dyDescent="0.15">
      <c r="B19" s="51"/>
      <c r="C19" s="218" t="s">
        <v>21</v>
      </c>
      <c r="D19" s="219"/>
      <c r="E19" s="220" t="s">
        <v>144</v>
      </c>
      <c r="F19" s="220"/>
      <c r="G19" s="220"/>
      <c r="H19" s="220"/>
      <c r="I19" s="221"/>
    </row>
    <row r="20" spans="2:9" ht="218.25" customHeight="1" x14ac:dyDescent="0.15">
      <c r="B20" s="52"/>
      <c r="C20" s="222" t="s">
        <v>22</v>
      </c>
      <c r="D20" s="223"/>
      <c r="E20" s="220" t="s">
        <v>145</v>
      </c>
      <c r="F20" s="220"/>
      <c r="G20" s="220"/>
      <c r="H20" s="220"/>
      <c r="I20" s="221"/>
    </row>
    <row r="21" spans="2:9" ht="218.25" customHeight="1" x14ac:dyDescent="0.15">
      <c r="B21" s="224" t="s">
        <v>23</v>
      </c>
      <c r="C21" s="225"/>
      <c r="D21" s="226"/>
      <c r="E21" s="227" t="s">
        <v>146</v>
      </c>
      <c r="F21" s="227"/>
      <c r="G21" s="227"/>
      <c r="H21" s="227"/>
      <c r="I21" s="228"/>
    </row>
    <row r="22" spans="2:9" ht="218.25" customHeight="1" x14ac:dyDescent="0.15">
      <c r="B22" s="213" t="s">
        <v>38</v>
      </c>
      <c r="C22" s="214"/>
      <c r="D22" s="215"/>
      <c r="E22" s="216" t="s">
        <v>147</v>
      </c>
      <c r="F22" s="216"/>
      <c r="G22" s="216"/>
      <c r="H22" s="216"/>
      <c r="I22" s="21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hiroshi suwabe</cp:lastModifiedBy>
  <cp:lastPrinted>2023-06-23T09:41:52Z</cp:lastPrinted>
  <dcterms:created xsi:type="dcterms:W3CDTF">2011-06-14T05:32:50Z</dcterms:created>
  <dcterms:modified xsi:type="dcterms:W3CDTF">2023-06-23T09:41:56Z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