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ANDISK-EEC3F0\jim25\02.未回答調査\20230719 確認事項：申請：数理・データサイエンス・AI教育プログラム認定制度\"/>
    </mc:Choice>
  </mc:AlternateContent>
  <bookViews>
    <workbookView xWindow="0" yWindow="0" windowWidth="2160" windowHeight="0" tabRatio="885"/>
  </bookViews>
  <sheets>
    <sheet name="様式１　プログラムを構成する授業科目(ME)" sheetId="39" r:id="rId1"/>
    <sheet name="様式１　プログラムを構成する授業科目(IE)" sheetId="44" r:id="rId2"/>
    <sheet name="様式１　プログラムを構成する授業科目(CA) " sheetId="45"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2" hidden="1">'様式１　プログラムを構成する授業科目(CA) '!$V$14:$V$16</definedName>
    <definedName name="_xlnm._FilterDatabase" localSheetId="1" hidden="1">'様式１　プログラムを構成する授業科目(IE)'!$V$14:$V$16</definedName>
    <definedName name="_xlnm._FilterDatabase" localSheetId="0" hidden="1">'様式１　プログラムを構成する授業科目(ME)'!$V$14:$V$16</definedName>
    <definedName name="_xlnm._FilterDatabase" localSheetId="3" hidden="1">'様式２ 履修者等数の実績'!#REF!</definedName>
    <definedName name="_xlnm.Print_Area" localSheetId="1">'様式１　プログラムを構成する授業科目(IE)'!$A$1:$S$102</definedName>
    <definedName name="_xlnm.Print_Area" localSheetId="0">'様式１　プログラムを構成する授業科目(ME)'!$A$1:$S$102</definedName>
    <definedName name="_xlnm.Print_Area" localSheetId="3">'様式２ 履修者等数の実績'!$A$1:$AQ$32</definedName>
    <definedName name="_xlnm.Print_Area" localSheetId="4">'様式３ 教育の質・履修者数を向上させるための体制・計画'!$A$1:$I$120</definedName>
    <definedName name="_xlnm.Print_Area" localSheetId="5">'様式４　自己点検・評価'!$A$1:$I$22</definedName>
    <definedName name="_xlnm.Print_Titles" localSheetId="5">'様式４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alcChain>
</file>

<file path=xl/sharedStrings.xml><?xml version="1.0" encoding="utf-8"?>
<sst xmlns="http://schemas.openxmlformats.org/spreadsheetml/2006/main" count="613" uniqueCount="216">
  <si>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</si>
  <si>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</si>
  <si>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徳山工業高等専門学校</t>
    <phoneticPr fontId="1"/>
  </si>
  <si>
    <t>プログラム名</t>
    <rPh sb="5" eb="6">
      <t>メイ</t>
    </rPh>
    <phoneticPr fontId="1"/>
  </si>
  <si>
    <t>徳山工業高等専門学校数理・データサイエンス・AI教育プログラム</t>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</si>
  <si>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</si>
  <si>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</si>
  <si>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</si>
  <si>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学部・学科によって、修了要件は相違する</t>
  </si>
  <si>
    <t>機械電気工学科</t>
    <rPh sb="0" eb="2">
      <t>キカイ</t>
    </rPh>
    <rPh sb="2" eb="4">
      <t>デンキ</t>
    </rPh>
    <rPh sb="4" eb="7">
      <t>コウガッカ</t>
    </rPh>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</si>
  <si>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</si>
  <si>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</si>
  <si>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</si>
  <si>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</si>
  <si>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</si>
  <si>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</si>
  <si>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</si>
  <si>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</si>
  <si>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</si>
  <si>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</si>
  <si>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</si>
  <si>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</si>
  <si>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</si>
  <si>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</si>
  <si>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技術発達史論 (機械電気工学科)</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</si>
  <si>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</si>
  <si>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</si>
  <si>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</si>
  <si>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</si>
  <si>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コンピュータ基礎 (機械電気工学科)</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</si>
  <si>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</si>
  <si>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</si>
  <si>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</si>
  <si>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</si>
  <si>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</si>
  <si>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</si>
  <si>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</si>
  <si>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</si>
  <si>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</si>
  <si>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</si>
  <si>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工学実験Ⅰ (機械電気工学科)</t>
    <phoneticPr fontId="1"/>
  </si>
  <si>
    <t>確率・統計 (機械電気工学科)</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</si>
  <si>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</si>
  <si>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</si>
  <si>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</si>
  <si>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</si>
  <si>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</si>
  <si>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</si>
  <si>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　「技術発達史論 (機械電気工学科)」（９回目）
・データ量の増加、計算機の処理性能の向上、AI の非連続的進化　「技術発達史論 (機械電気工学科)」（９回目）
・第4 次産業革命、 Society 5.0 、 データ駆動型社会　「技術発達史論 (機械電気工学科)」（９回目、１０回目）
・複数技術を組み合わせたAIサービス　「技術発達史論 (機械電気工学科)」（９回目）
・人間の知的活動とAIの関係性　「技術発達史論 (機械電気工学科)」（９回目）
・データを起点としたものの見方、人間の知的活動を起点としたものの見方　「技術発達史論 (機械電気工学科)」（９回目）</t>
    <phoneticPr fontId="1"/>
  </si>
  <si>
    <t>1-6</t>
    <phoneticPr fontId="1"/>
  </si>
  <si>
    <t>・AI等を活用した新しいビジネスモデル　「技術発達史論 (機械電気工学科)」（１０回目）
・AI最新技術の活用例　「技術発達史論 (機械電気工学科)」（１０回目）</t>
    <phoneticPr fontId="1"/>
  </si>
  <si>
    <t>（２）「社会で活用されているデータ」や「データの活用領域」は非常に広範囲であって、日常生活や社会の課題を解決する有用なツールになり得るもの</t>
    <phoneticPr fontId="1"/>
  </si>
  <si>
    <t>・調査データ、実験データなど　「コンピュータ基礎 (機械電気工学科)」（１１～１４回目）
・１次データ、２次データ　「コンピュータ基礎 (機械電気工学科)」（１１～１４回目）
・データサイエンスの基礎：適切な方法で意図したデータを収集し、収集したデータを統計的手法を使って適切に利用できるようにする。　「コンピュータ基礎 (機械電気工学科)」（１１～１４回目）
・ビックデータ　「技術発達史論 (機械電気工学科)」（９回目）</t>
    <phoneticPr fontId="1"/>
  </si>
  <si>
    <t>・データサイエンスの基礎：適切な方法で意図したデータを収集し、収集したデータを統計的手法を使って適切に利用できるようにする。　「コンピュータ基礎 (機械電気工学科)」（１１～１４回目）
・AI、機械学習、深層学習の広がり　「技術発達史論 (機械電気工学科)」（９回目、１０回目）
・研究開発、製造、物流、販売、マーケティング、など　「技術発達史論 (機械電気工学科)」（１０回目）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</si>
  <si>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</si>
  <si>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　「コンピュータ基礎 (機械電気工学科)」（１１～１４回目）
・データ可視化　「コンピュータ基礎 (機械電気工学科)」（１１～１４回目）
・データサイエンスの基礎：適切な方法で意図したデータを収集し、収集したデータを統計的手法を使って適切に利用できるようにする。　「コンピュータ基礎 (機械電気工学科)」（１１～１４回目）
・認識技術　「技術発達史論 (機械電気工学科)」（９回目）</t>
    <phoneticPr fontId="1"/>
  </si>
  <si>
    <t>・データサイエンスの基礎：適切な方法で意図したデータを収集し、収集したデータを統計的手法を使って適切に利用できるようにする。　「コンピュータ基礎 (機械電気工学科)」（１１～１４回目）
・流通、製造、金融、サービス、インフラ、公共、ヘルスケア等におけるAI活用事例紹介　「技術発達史論 (機械電気工学科)」（１０回目）</t>
    <phoneticPr fontId="1"/>
  </si>
  <si>
    <t>（４）活用に当たっての様々な留意事項（ELSI、個人情報、データ倫理、ＡＩ社会原則等）を考慮し、情報セキュリティや情報漏洩等、データを守る上での留意事項への理解をする</t>
    <phoneticPr fontId="1"/>
  </si>
  <si>
    <t>・データ倫理：データのねつ造、改ざん、盗用、プライバシー保護　「コンピュータ基礎 (機械電気工学科)」（１回目、３回目、４回目）</t>
    <phoneticPr fontId="1"/>
  </si>
  <si>
    <t>・情報セキュリティ：機密性、完全性、可用性　「コンピュータ基礎 (機械電気工学科)」（１回目、３回目、４回目）
・匿名加工情報、暗号化、パスワード、悪意ある情報搾取　「コンピュータ基礎 (機械電気工学科)」（１回目、３回目、４回目）
・情報漏洩等によるセキュリティ事故の事例紹介　「コンピュータ基礎 (機械電気工学科)」（１回目、３回目、４回目）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</si>
  <si>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</si>
  <si>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</si>
  <si>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　「工学実験Ⅰ (機械電気工学科)」（２回目）
・データの分布（ヒストグラム）と代表値（平均値、中央値、最頻値）　「工学実験Ⅰ (機械電気工学科)」（２回目）、　「確率・統計 (機械電気工学科)」（８回目）
・代表値の性質の違い　「工学実験Ⅰ  (機械電気工学科)」（２回目）、「確率・統計 (機械電気工学科)」（８回目）
・データのばらつき（分散。標準偏差、偏差値）　「工学実験Ⅰ (機械電気工学科)」（２回目）、　「確率・統計 (機械電気工学科)」（３回目）、「確率・統計 (機械電気工学科)」（８回目）
・観測データに含まれるデータ、層別の必要なデータ　「工学実験Ⅰ (機械電気工学科)」（２回目）、「確率・統計 (機械電気工学科)」（１５回目）
・打ち切りや脱落を含むデータ、層別の必要なデータ　「工学実験Ⅰ (機械電気工学科)」（２回目）
・相関と因果（相関係数、疑似相関、交絡）　「工学実験Ⅰ  (機械電気工学科)」（２回目）、「確率・統計 (機械電気工学科)」（１３回目）
・母集団と標本抽出（国税調査、アンケート調査ほか）　「工学実験Ⅰ (機械電気工学科)」（２回目）
・クロス集計、分割表、相関行列、散布図行列　「工学実験Ⅰ (機械電気工学科)」（２回目）
・統計情報の正しい理解（誇張表現に惑わされない）　「工学実験Ⅰ  (機械電気工学科)」（２回目）</t>
    <phoneticPr fontId="1"/>
  </si>
  <si>
    <t>・データ表現（棒グラフ、折り線グラフ、散布図、ヒートマップ）　「工学実験Ⅰ (機械電気工学科)」（２回目）
・データの図表表現（チャート化）　「工学実験Ⅰ  (機械電気工学科)」（２回目）
・データの比較（条件をそろえた比較、処理の前後での比較、A／Bテスト）　「工学実験Ⅰ (機械電気工学科)」（２回目）
・不適切なグラフ表現（チャートジャンク、不必要な視覚的要素）　「工学実験Ⅰ (機械電気工学科)」（２回目）
・優れた可視化事例の紹介　「工学実験Ⅰ  (機械電気工学科)」（２回目）</t>
    <phoneticPr fontId="1"/>
  </si>
  <si>
    <t>・データの集計（和、平均）　「工学実験Ⅰ (機械電気工学科)」（２回目）、「確率・統計 (機械電気工学科)」（８回目）
・データの並び替え、ランキング　「工学実験Ⅰ (機械電気工学科)」（２回目）
・データ解析ツール（スプレッドシート）　「工学実験Ⅰ  (機械電気工学科)」（２回目）
・表形式のデータ（csv）　「工学実験Ⅰ  (機械電気工学科)」（２回目）</t>
    <phoneticPr fontId="1"/>
  </si>
  <si>
    <t>⑪ プログラムの学修成果（学生等が身に付けられる能力等）</t>
    <phoneticPr fontId="1"/>
  </si>
  <si>
    <t>・数理・データサイエンス・AIを日常の生活、仕事等の場で使いこなすことができる基礎的素養を有する。
・人間中心の適切な判断ができ、数理・データサイエンス・AIを活用して価値を創造できるようになる。
・データを守る上での留意事項を理解し、データを適切に「読む、説明する、扱う」ことができる。</t>
    <phoneticPr fontId="1"/>
  </si>
  <si>
    <t>情報電子工学科</t>
    <rPh sb="0" eb="2">
      <t>ジョウホウ</t>
    </rPh>
    <rPh sb="2" eb="4">
      <t>デンシ</t>
    </rPh>
    <rPh sb="4" eb="7">
      <t>コウガッカ</t>
    </rPh>
    <phoneticPr fontId="1"/>
  </si>
  <si>
    <t>コンピュータの基礎知識（情報電子工学科）</t>
    <phoneticPr fontId="1"/>
  </si>
  <si>
    <t>コンピュータ演習（情報電子工学科）</t>
    <phoneticPr fontId="1"/>
  </si>
  <si>
    <t>創造演習(情報電子工学科)</t>
    <phoneticPr fontId="1"/>
  </si>
  <si>
    <t>確率（情報電子工学科）</t>
    <phoneticPr fontId="1"/>
  </si>
  <si>
    <t>・ビッグデータ、IoT、AI、ロボット　「コンピュータの基礎知識 (情報電子工学科)」（１、２，１１，１４回目）
・データ量の増加、計算機の処理性能の向上、AIの非連続的進化　「コンピュータの基礎知識 (情報電子工学科)」（１，２，７，１１，１４回目）
・第4次産業革命、Society 5.0、データ駆動型社会　「コンピュータの基礎知識 (情報電子工学科)」（１，２，１１，１４回目）
・複数技術を組み合わせたAIサービス　「コンピュータの基礎知識 (情報電子工学科)」（１１，１４回目）
・人間の知的活動とAIの関係性　「コンピュータの基礎知識 (情報電子工学科)」（１１，１４回目）</t>
  </si>
  <si>
    <t>・AI最新技術の活用例　「コンピュータの基礎知識 (情報電子工学科)」（１回目）
・AI等を活用した新しいビジネスモデル　「コンピュータの基礎知識（情報電子工学科）」（１１回目、１４回目）</t>
  </si>
  <si>
    <t>・調査データ、実験データ、人の行動ログデータ、機械の稼働ログデータなど　「コンピュータ演習 (情報電子工学科)」（４・５回目）
・1次データ、2次データ、データのメタ化　「コンピュータ演習 (情報電子工学科)」（４・５回目）
・構造化データ、非構造化データ　「コンピュータ演習 (情報電子工学科)」（４・５回目）
・データのオープン化（オープンデータ）　「コンピュータ演習 (情報電子工学科)」（４・５回目）</t>
  </si>
  <si>
    <t>・データ・AI活用領域の広がり　「コンピュータ演習 (情報電子工学科)」（４・５回目）
・研究開発、調達、製造、物流、販売、マーケティング、サービスなど　「コンピュータ演習 (情報電子工学科)」（４・５回目）
・仮説検証、知識発見、原因究明、計画策定、判断支援、活動代替、新規生成など　「コンピュータ演習 (情報電子工学科)」（４・５回目）</t>
  </si>
  <si>
    <t>・データ解析　「創造演習（情報電子工学科）」（1～１５回）
・データ可視化　「創造演習（情報電子工学科）」（1～１５回）
・非構造化データ処理　「創造演習（情報電子工学科）」（1～１５回）
・特化型AIと汎用AI、今のAIで出来ることと出来ないこと、AIとビッグデータ　　「創造演習（情報電子工学科）」（1～１５回）
・認識技術、ルールベース、自動化技術　「創造演習（情報電子工学科）」（1～１５回）</t>
  </si>
  <si>
    <t>・データサイエンスのサイクル　「創造演習（情報電子工学科）」（1～１５回）
・流通、製造、金融、サービス、インフラ、公共、ヘルスケア等におけるデータ・AI利活用事例紹介　「創造演習（情報電子工学科）」（1～１５回）</t>
  </si>
  <si>
    <t>・ELSI（Ethical, Legal and Social Issues）　「コンピュータの基礎知識 (情報電子工学科)」（１２・１３回目）
・個人情報保護、EU一般データ保護規則(GDPR)、忘れられる権利、オプトアウト　「コンピュータの基礎知識 (情報電子工学科)」（１２・１３回目）
・データ倫理：データのねつ造、改ざん、盗用、プライバシー保護　「コンピュータの基礎知識 (情報電子工学科)」（１２・１３回目）
・データ・AI活用における負の事例紹介　「コンピュータの基礎知識 (情報電子工学科)」（１２・１３回目）</t>
  </si>
  <si>
    <t>・情報セキュリティ：機密性、完全性、可用性　「コンピュータの基礎知識 (情報電子工学科)」（１２・１３回目）
・匿名加工情報、暗号化、パスワード、悪意ある情報搾取　「コンピュータの基礎知識 (情報電子工学科)」（１２・１３回目）
・情報漏洩等によるセキュリティ事故の事例紹介　「コンピュータの基礎知識 (情報電子工学科)」（１２・１３回目）</t>
  </si>
  <si>
    <t>・データの種類（量的変数、質的変数）「確率（情報電子工学科）」（１回目）
・データの分布(ヒストグラム)と代表値（平均値、中央値、最頻値）「確率（情報電子工学科）」（２回目）
・代表値の性質の違い「確率（情報電子工学科）」（２回目）
・データのばらつき（分散、標準偏差、偏差値）「確率（情報電子工学科）」（３回目）
・観測データに含まれる誤差の扱い　「コンピュータ演習 情報電子工学科)」（４回目、５回目）
・打ち切りや脱落を含むデータ、層別の必要なデータ偏差値）「確率（情報電子工学科）」（３回目）
・観測データに含まれる誤差の扱い　「コンピュータ演習 情報電子工学科)」（４回目、５回目）
・相関と因果（相関係数、擬似相関、交絡）「確率（情報電子工学科）」（４回目）</t>
  </si>
  <si>
    <t>・データ表現（棒グラフ、折れ線グラフ、散布図、ヒートマップ）　「コンピュータ演習 (情報電子工学科)」（４回目、５回目）「確率（情報電子工学科）」（４回目、５回目）
・データの図表表現（チャート化）　「コンピュータ演習 (情報電子工学科)」（４回目、５回目）
・データの比較（条件をそろえた比較、処理の前後での比較、A／Bテスト）　「コンピュータ演習 (情報電子工学科)」（４回目、５回目）
・不適切なグラフ表現（チャートジャンク、不必要な視覚的要素）　「コンピュータ演習 (情報電子工学科)」（４回目、５回目）
・優れた可視化事例の紹介　「コンピュータ演習 (情報電子工学科)」（４回目、５回目）</t>
  </si>
  <si>
    <t>・データの集計（和、平均）　「コンピュータ演習 (情報電子工学科)」（４回目、５回目）
・データの並べ替え、ランキング　「コンピュータ演習 (情報電子工学科)」（４回目、５回目）
・表形式のデータ(csv)　「コンピュータ演習 (情報電子工学科)」（４回目、５回目）</t>
  </si>
  <si>
    <t>プログラムを構成する授業科目について</t>
  </si>
  <si>
    <t>土木建築工学科</t>
    <rPh sb="0" eb="2">
      <t>ドボク</t>
    </rPh>
    <rPh sb="2" eb="4">
      <t>ケンチク</t>
    </rPh>
    <rPh sb="4" eb="7">
      <t>コウガッカ</t>
    </rPh>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</si>
  <si>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</si>
  <si>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</si>
  <si>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</si>
  <si>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</si>
  <si>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</si>
  <si>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</si>
  <si>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</si>
  <si>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</si>
  <si>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</si>
  <si>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</si>
  <si>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</si>
  <si>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</si>
  <si>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</si>
  <si>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</si>
  <si>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</si>
  <si>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</si>
  <si>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</si>
  <si>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</si>
  <si>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</si>
  <si>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</si>
  <si>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</si>
  <si>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</si>
  <si>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機械電気工学科</t>
  </si>
  <si>
    <t>情報電子工学科</t>
  </si>
  <si>
    <t>土木建築工学科</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</si>
  <si>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</si>
  <si>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</si>
  <si>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</si>
  <si>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</si>
  <si>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</si>
  <si>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</si>
  <si>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</si>
  <si>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</si>
  <si>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</si>
  <si>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</si>
  <si>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</si>
  <si>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</si>
  <si>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</si>
  <si>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</si>
  <si>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</si>
  <si>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校長</t>
    <phoneticPr fontId="1"/>
  </si>
  <si>
    <t>④</t>
    <phoneticPr fontId="1"/>
  </si>
  <si>
    <t>プログラムを改善・進化させるための体制（委員会・組織等）</t>
    <phoneticPr fontId="1"/>
  </si>
  <si>
    <t>教務委員会</t>
    <phoneticPr fontId="1"/>
  </si>
  <si>
    <t>西村太志</t>
    <phoneticPr fontId="1"/>
  </si>
  <si>
    <t>副校長（教務主事）</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</si>
  <si>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</si>
  <si>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</si>
  <si>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</si>
  <si>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</si>
  <si>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</si>
  <si>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</si>
  <si>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</si>
  <si>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</si>
  <si>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</si>
  <si>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</si>
  <si>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</si>
  <si>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</si>
  <si>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</si>
  <si>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</si>
  <si>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</si>
  <si>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</si>
  <si>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</si>
  <si>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に関わる科目は、すべて必修科目に設定することで、履修および修得を促す形式となっている。学校全体の共通ディプロマポリシーの下で、数理・データサイエンス・ＡＩを学ぶ意義を設定した各教科の中で周知していく。</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</si>
  <si>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</si>
  <si>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</si>
  <si>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本プログラムに関わる科目は、すべて必修科目に設定することで、履修および修得を促す形式となっている。今後は年度初めのガイダンスで学生に周知するとともに、本校のWEBサイトでも掲載する。</t>
  </si>
  <si>
    <t>⑪</t>
    <phoneticPr fontId="1"/>
  </si>
  <si>
    <t>できる限り多くの学生が履修・修得できるようなサポート体制</t>
    <rPh sb="26" eb="28">
      <t>タイセイ</t>
    </rPh>
    <phoneticPr fontId="1"/>
  </si>
  <si>
    <t>本プログラムに関わる科目は、すべて必修科目に設定することで、履修および修得を促す形式となっている。Microsoft 365 のTeams・OneNoteなどを活用し、学生が学びやすい環境を構築している。</t>
  </si>
  <si>
    <t>⑫</t>
    <phoneticPr fontId="1"/>
  </si>
  <si>
    <t>授業時間内外で学習指導、質問を受け付ける具体的な仕組み</t>
    <rPh sb="20" eb="23">
      <t>グタイテキ</t>
    </rPh>
    <phoneticPr fontId="1"/>
  </si>
  <si>
    <t>Microsoft 365 のTeams等を用いて、学生は授業時間以外に不明点を教員に質問することができる。匿名のインタラクティブアンケート、ライブ投票サービスを活用している科目もある。また、全ての教員がオフィスアワーを設定して質問しすくしている。さらに放課後に学習ルームを開催し、教員や先輩に質問できるようにしてい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</si>
  <si>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</si>
  <si>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</si>
  <si>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</si>
  <si>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</si>
  <si>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教育改善IR室</t>
  </si>
  <si>
    <t>新田貴之</t>
    <phoneticPr fontId="1"/>
  </si>
  <si>
    <t>教育改善IR室長</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</si>
  <si>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</si>
  <si>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</si>
  <si>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</si>
  <si>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</si>
  <si>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</si>
  <si>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</si>
  <si>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</si>
  <si>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</si>
  <si>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</si>
  <si>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本プログラムに関わる科目は、すべて第4学年以下の必履修科目を設定することで、履修および修得を促す形式となっており、関係科目の学年ごとの履修率としては１００％となっている。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</si>
  <si>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</si>
  <si>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</si>
  <si>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</si>
  <si>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</si>
  <si>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</si>
  <si>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r>
      <t>本プログラムに関わる科目は、すべて必修科目に設定することで、履修および修得を促す形式となっており、関係科目の履修率は100％となっているため，卒業時のリテラシーレベル修得率が１００％となる。</t>
    </r>
    <r>
      <rPr>
        <strike/>
        <sz val="12"/>
        <rFont val="ＭＳ Ｐゴシック (本文)"/>
        <family val="3"/>
        <charset val="128"/>
      </rPr>
      <t xml:space="preserve">
</t>
    </r>
    <r>
      <rPr>
        <sz val="12"/>
        <rFont val="ＭＳ Ｐゴシック (本文)"/>
        <family val="3"/>
        <charset val="128"/>
      </rPr>
      <t>このように新設科目を設定する必要がないが，本プログラムに関わる科目は，各学科毎に科目名や担当者が異なるため，シラバスの内容表現が若干異なる．本プログラムのモデルカリキュラムのキーワードに合わせた表現を統一的に用いるといった改善を行っていく。
Microsoft 365 のTeamsなどを活用して受講者毎の講義演習進捗状況や課題への回答状況を把握できるようにしている。OneNoteなどを用いてポートフォリオを構築している科目もある。ポートフォリオの活用は広げていきたい。今後はLMS（Learning Management System）としてWebClassも活用できるようになる。</t>
    </r>
    <phoneticPr fontId="1"/>
  </si>
  <si>
    <t xml:space="preserve">本プログラムに関わる科目は全て必修科目あるいは必履修科目であり全員が履修する形式となっているため、受講した学生が後輩に受講を推奨するということ自体は無いが理解度等調査アンケートでは以下の結果も得られており、受講した学生が該当科目について概ね有意義で推奨できる科目として捉えているようである。
１．「学ぶことの意義」は理解できましたか？
　　「よく理解できた」と「まあまあ理解できた」を合わせて79％
２．「学ぶ楽しさ」を感じましたか？
　　「とても「学ぶ楽しさ」を感じた」と「まあまあ「学ぶ楽しさ」を感じた」を合わせて73％
</t>
    <phoneticPr fontId="1"/>
  </si>
  <si>
    <t xml:space="preserve">プログラムを構成する授業科目を対象に理解度等調査アンケートを実施した（延べ329名）。教育改善IR室が分析した。プログラムを構成する授業科目全体として以下の回答が得られており、これらの結果から概ね良好な理解度となっていると考える。
１．この授業の内容は理解できましたか？
　「よく理解できた」と「まあまあ理解できた」を合わせて82％
２．分かりやすい授業でしたか？
　「とても分かりやすかった」と「まあまあ分かりやすかった」を合わせて74％
３．理解できるような準備や工夫はなされている授業でしたか？
　　「よく準備や工夫がなされた授業であった」と「まあまあ準備や工夫がなされた授業であった」を合わせて75％
</t>
    <rPh sb="78" eb="80">
      <t>カイトウ</t>
    </rPh>
    <phoneticPr fontId="1"/>
  </si>
  <si>
    <t>令和４年度時点で教育プログラムの修了者で卒業した学生はいない。
本校とつながりのある企業等に対して5年おきにアンケート調査を行っており（令和5年度実施予定）、その中で、本プログラムを修了した学生の活躍状況や企業等からの評価などについても調査する予定である。</t>
    <rPh sb="47" eb="48">
      <t>タイセィ</t>
    </rPh>
    <rPh sb="69" eb="71">
      <t>レイワ</t>
    </rPh>
    <rPh sb="74" eb="78">
      <t>ジッセィ</t>
    </rPh>
    <phoneticPr fontId="1"/>
  </si>
  <si>
    <t>本校では、「情報技術をベースに、それぞれ得意とする複合技術を生かして、技術的課題を解決できる技術者」の育成をディプロマポリシーとして掲げており、数理・データサイエンス・ＡＩを学ぶ意義を、各教科の中で周知し、AI・データサイエンスに関する情報科学の素養を身に付け，新たな価値の創造に挑戦できる技術者の育成を目指している。
学習成果に関しては、教育改善IR室のよる学習調査の分析によって、授業内容の理解度を把握するとともに、教務委員会数理・データサイエンス・AI専門部会と連携し、本プログラムの評価・改善を行う予定である。</t>
    <rPh sb="0" eb="2">
      <t>ホンコウ</t>
    </rPh>
    <rPh sb="51" eb="53">
      <t>イクセイ</t>
    </rPh>
    <rPh sb="66" eb="67">
      <t>カカゲ</t>
    </rPh>
    <rPh sb="145" eb="148">
      <t>ギジュテゥ</t>
    </rPh>
    <rPh sb="149" eb="151">
      <t>イクセイ</t>
    </rPh>
    <rPh sb="160" eb="164">
      <t>ガクシュウ</t>
    </rPh>
    <rPh sb="253" eb="255">
      <t>_x0000__x0000__x0002__x0004_3_x0002__x0008_B_x0001__x000B__x0003__x0010__x0002__x0014_ _x0004__x0019_ý_x0002__x001C_ý_x0002__x001F_ý_x0002_"ý_x0002_</t>
    </rPh>
    <phoneticPr fontId="1"/>
  </si>
  <si>
    <t>本校の理念・目的・教育目標の実現のため、教育活動を中心とした学校の総合的な活動の状況について、毎年度自ら点検・評価を行い、その結果を社会に公表することを通じ、継続的な質の保証、改善及び向上に務めており、教育研究活動に関しても、産業界の評価委員を含む顧問会議の外部評価を毎年受け、教育プログラムの内容・手法の確認、改善を行っている。</t>
    <rPh sb="31" eb="35">
      <t>ガイブ</t>
    </rPh>
    <rPh sb="100" eb="106">
      <t>キョウイク</t>
    </rPh>
    <rPh sb="113" eb="115">
      <t>サンギョウ</t>
    </rPh>
    <rPh sb="116" eb="120">
      <t>ヒョウカ</t>
    </rPh>
    <rPh sb="123" eb="127">
      <t>コモn</t>
    </rPh>
    <rPh sb="129" eb="133">
      <t>ガイブ</t>
    </rPh>
    <rPh sb="134" eb="136">
      <t>マイトセィ</t>
    </rPh>
    <rPh sb="136" eb="137">
      <t>マイトセィ</t>
    </rPh>
    <rPh sb="139" eb="141">
      <t>キョウイク</t>
    </rPh>
    <rPh sb="150" eb="152">
      <t>シュホウ</t>
    </rPh>
    <rPh sb="156" eb="158">
      <t>カイゼn</t>
    </rPh>
    <phoneticPr fontId="1"/>
  </si>
  <si>
    <t>「情報技術をベースに、それぞれ得意とする複合技術を生かして、技術的課題を解決できる技術者」の育成をディプロマポリシーのもと、各授業の冒頭で到達目標を示すことや、単なる知識の詰め込みではなく実際のデータを使うなどの工夫をしている。前述のとおり、理解度等調査アンケートでは良好な結果が得られており、受講した学生は概ね数理・データサイエンス・ＡＩを「学ぶ楽しさ」「学ぶことの意義」を理解していると考える。</t>
    <phoneticPr fontId="1"/>
  </si>
  <si>
    <t>自由に授業見学できるオープンクラスウィークを年に複数回設け、教員間で相互にフィードバックできるようにし、教育力の向上を図っている。さらに、放課後の学習ルームを基本的に毎週開催し、授業内容の理解度を上げる取り組みを行っている。学習ルームでは上級生から学ぶ機会も設けている。各教員はTeamsやOneNoteなどを活用し、自学自習しやすい環境を整えている。前述のとおり、理解度等調査アンケートでは良好な結果が得られており、概ね分かりやすい授業ができていると考える。</t>
    <phoneticPr fontId="1"/>
  </si>
  <si>
    <t>様式１―１</t>
    <rPh sb="0" eb="2">
      <t>ヨウシキ</t>
    </rPh>
    <phoneticPr fontId="1"/>
  </si>
  <si>
    <t>様式１―２</t>
    <rPh sb="0" eb="2">
      <t>ヨウシキ</t>
    </rPh>
    <phoneticPr fontId="1"/>
  </si>
  <si>
    <t>様式１－３</t>
    <rPh sb="0" eb="2">
      <t>ヨウシキ</t>
    </rPh>
    <phoneticPr fontId="1"/>
  </si>
  <si>
    <t>勇　秀憲</t>
    <phoneticPr fontId="1"/>
  </si>
  <si>
    <t>教務委員会数理・データサイエンス・AI専門部会申合せ</t>
    <rPh sb="23" eb="25">
      <t>モウシアワ</t>
    </rPh>
    <phoneticPr fontId="1"/>
  </si>
  <si>
    <t xml:space="preserve">各年度の履修者数の目標を以下のとおりとする。
令和４年度　１２２名　（１００％）  
令和５年度　１２９名　（１００％）  
令和６年度　１２０名　（１００％）　
令和７年度　１２０名　（１００％）  
令和８年度　１２０名　（１００％）  
全学科必履修で開講。全学生の履修率および卒業時のリテラシーレベル修得率１００％を目指す. </t>
    <phoneticPr fontId="1"/>
  </si>
  <si>
    <t>情報処理（1年次）</t>
    <rPh sb="6" eb="8">
      <t>ネンジ</t>
    </rPh>
    <phoneticPr fontId="1"/>
  </si>
  <si>
    <t>情報処理（2年次）</t>
    <rPh sb="6" eb="8">
      <t>ネンジ</t>
    </rPh>
    <phoneticPr fontId="1"/>
  </si>
  <si>
    <t>情報処理（3年次）</t>
    <rPh sb="0" eb="4">
      <t>ジョウホウショリ</t>
    </rPh>
    <rPh sb="6" eb="8">
      <t>ネンジ</t>
    </rPh>
    <phoneticPr fontId="1"/>
  </si>
  <si>
    <t>情報処理（1年次）</t>
    <rPh sb="0" eb="4">
      <t>ジョウホウショリ</t>
    </rPh>
    <rPh sb="6" eb="8">
      <t>ネンジ</t>
    </rPh>
    <phoneticPr fontId="1"/>
  </si>
  <si>
    <t>・データ・AI最新技術の活用例(情報処理（2年次）：１２，１３回)
（情報処理（3年次）：２，１７，２５，２６，２７，２８，２９，３０，３１回)</t>
    <rPh sb="7" eb="11">
      <t>サイシンギジュツ</t>
    </rPh>
    <rPh sb="12" eb="15">
      <t>カツヨウレイ</t>
    </rPh>
    <rPh sb="16" eb="20">
      <t>ジョウホウショリ</t>
    </rPh>
    <rPh sb="31" eb="32">
      <t>カイ</t>
    </rPh>
    <rPh sb="35" eb="39">
      <t>ジョウホウショリ</t>
    </rPh>
    <rPh sb="70" eb="71">
      <t>カイ</t>
    </rPh>
    <phoneticPr fontId="1"/>
  </si>
  <si>
    <t xml:space="preserve">・調査データ、実験データ、人の行動ログデータ、機械の稼働ログデータなど(情報処理（1年次）：１１，１２，１３回)(情報処理（2年次）：１，２，３，１２，１３，１４回)
・データ作成(情報処理（1年次）：１１，１２，１３，２０，２２，２３，２４，２５，２７，２８回)
・1次データ、2次データ、非構造化データ（文章、画像/動画、音声/音楽など）(情報処理（2年次）：１，２，３，１２，１３，１４回)
・オープンデータ(情報処理（2年次）：１，２，３，１２，１３，１４回)
</t>
    <rPh sb="36" eb="40">
      <t>ジョウホウショリ</t>
    </rPh>
    <rPh sb="54" eb="55">
      <t>カイ</t>
    </rPh>
    <rPh sb="88" eb="90">
      <t>サクセイ</t>
    </rPh>
    <rPh sb="91" eb="95">
      <t>ジョウホウショリ</t>
    </rPh>
    <rPh sb="130" eb="131">
      <t>カイジョウホウショリカイ</t>
    </rPh>
    <phoneticPr fontId="1"/>
  </si>
  <si>
    <t>・データ活用上、知るべき内容とモラル、負の事例、事例紹介、AI社会原則としての公平性、説明責任、プライバシーの保護(情報処理（1年次）：１，１６回)(情報処理（2年次）：１回)</t>
    <rPh sb="4" eb="6">
      <t>カツヨウ</t>
    </rPh>
    <rPh sb="6" eb="7">
      <t>ジョウ</t>
    </rPh>
    <rPh sb="8" eb="9">
      <t>シ</t>
    </rPh>
    <rPh sb="12" eb="14">
      <t>ナイヨウ</t>
    </rPh>
    <rPh sb="19" eb="20">
      <t>フ</t>
    </rPh>
    <rPh sb="21" eb="23">
      <t>ジレイ</t>
    </rPh>
    <rPh sb="24" eb="28">
      <t>ジレイショウカイ</t>
    </rPh>
    <rPh sb="31" eb="33">
      <t>シャカイ</t>
    </rPh>
    <rPh sb="33" eb="35">
      <t>ゲンソク</t>
    </rPh>
    <rPh sb="39" eb="42">
      <t>コウヘイセイ</t>
    </rPh>
    <rPh sb="43" eb="47">
      <t>セツメイセキニン</t>
    </rPh>
    <rPh sb="55" eb="57">
      <t>ホゴ</t>
    </rPh>
    <rPh sb="58" eb="60">
      <t>ジョウホウ</t>
    </rPh>
    <rPh sb="60" eb="62">
      <t>ショリ</t>
    </rPh>
    <rPh sb="72" eb="73">
      <t>カイ</t>
    </rPh>
    <rPh sb="75" eb="79">
      <t>ジョウホウショリ</t>
    </rPh>
    <rPh sb="86" eb="87">
      <t>カイ</t>
    </rPh>
    <phoneticPr fontId="1"/>
  </si>
  <si>
    <t>・流通、製造、金融、サービス、インフラ、公共、ヘルスケア等におけるデータ・AI利活用事例紹介(情報処理（1年次）：２５，２６，２７，２８，２９回)(情報処理（2年次）：１２，１３，１４，１６回)
・データサイエンスのサイクル（データの取得・管理・加工、結果の共有・伝達、課題解決に向けた提案）(情報処理（2年次）：１２，１３，１４回)</t>
    <rPh sb="47" eb="51">
      <t>ジョウホウショリ</t>
    </rPh>
    <rPh sb="71" eb="72">
      <t>カイ</t>
    </rPh>
    <rPh sb="74" eb="78">
      <t>ジョウホウショリ</t>
    </rPh>
    <rPh sb="95" eb="96">
      <t>カイ</t>
    </rPh>
    <rPh sb="147" eb="151">
      <t>ジョウホウショリ</t>
    </rPh>
    <rPh sb="165" eb="166">
      <t>カイ</t>
    </rPh>
    <phoneticPr fontId="1"/>
  </si>
  <si>
    <t>・データを起点としたものの見方、人間の知的活動を起点としたものの見方(情報処理（1年次）：２，１３，１４，２０，２４，２９回)
・ビッグデータ(情報処理（2年次）：１２，１３回)(情報処理（3年次）：１，３１回)
・IoT・第4次産業革命(情報処理（2年次）：１２，１３回)(情報処理（3年次）：１，３１回)
・Society 5.0(情報処理（2年次）：１２，１３回)(情報処理（3年次）：１，３１回)
・データ駆動型社会(情報処理（2年次）：１２，１３回)(情報処理（3年次）：１，３１回)</t>
    <rPh sb="5" eb="7">
      <t>キテン</t>
    </rPh>
    <rPh sb="13" eb="15">
      <t>ミカタ</t>
    </rPh>
    <rPh sb="16" eb="18">
      <t>ニンゲン</t>
    </rPh>
    <rPh sb="19" eb="21">
      <t>チテキ</t>
    </rPh>
    <rPh sb="21" eb="23">
      <t>カツドウ</t>
    </rPh>
    <rPh sb="24" eb="26">
      <t>キテン</t>
    </rPh>
    <rPh sb="32" eb="34">
      <t>ミカタ</t>
    </rPh>
    <rPh sb="35" eb="39">
      <t>ジョウホウショリ</t>
    </rPh>
    <rPh sb="61" eb="62">
      <t>カイ</t>
    </rPh>
    <rPh sb="213" eb="217">
      <t>ジョウホウショリ</t>
    </rPh>
    <rPh sb="228" eb="229">
      <t>カイ</t>
    </rPh>
    <rPh sb="231" eb="235">
      <t>ジョウホウショリ</t>
    </rPh>
    <rPh sb="245" eb="246">
      <t>カイ</t>
    </rPh>
    <phoneticPr fontId="1"/>
  </si>
  <si>
    <t xml:space="preserve">・仮説検証、知識発見、原因究明、計画策定、判断支援、活動代替、新規生成（情報処理（1年次）：４，５，１１，１２，１３，１８，２２，２３，２４，２５，２６，２７，２８，２９回）
</t>
    <rPh sb="36" eb="40">
      <t>ジョウホウショリ</t>
    </rPh>
    <rPh sb="85" eb="86">
      <t>カイ</t>
    </rPh>
    <phoneticPr fontId="1"/>
  </si>
  <si>
    <t>土木工学実験Ⅱ</t>
    <rPh sb="0" eb="2">
      <t>ドボク</t>
    </rPh>
    <rPh sb="4" eb="6">
      <t>ジッケン</t>
    </rPh>
    <phoneticPr fontId="1"/>
  </si>
  <si>
    <t>建築工学実験Ⅱ</t>
    <rPh sb="0" eb="4">
      <t>ケンチクコウガク</t>
    </rPh>
    <rPh sb="4" eb="6">
      <t>ジッケン</t>
    </rPh>
    <phoneticPr fontId="1"/>
  </si>
  <si>
    <t>・データの集計（和、平均）：(情報処理（1年次）：３，４，５回)(土木工学実験Ⅱ：１０，１１，１４回)（建築工学実験Ⅱ：１１，１２，１３，１４回）
・データの並び替え、ランキング（情報処理（1年次）：１４，１５回）(土木工学実験Ⅱ：１０，１１，１４回)（建築工学実験Ⅱ：１１，１２，１３，１４回）
・データ解析ツール（スプレッドシート）(情報処理（1年次）：７，８，１１，１２，１３回)(土木工学実験Ⅱ）：１０，１１，１４回)（建築工学実験Ⅱ：１１，１２，１３，１４回）
・表形式のデータ（csv）(情報処理（1年次）：１０，１１，１２，１３回)(土木工学実験Ⅱ：１０，１１，１４回)（建築工学実験Ⅱ：１１，１２，１３，１４回）</t>
    <rPh sb="15" eb="19">
      <t>ジョウホウショリ</t>
    </rPh>
    <rPh sb="30" eb="31">
      <t>カイ</t>
    </rPh>
    <rPh sb="33" eb="35">
      <t>ドボク</t>
    </rPh>
    <rPh sb="52" eb="54">
      <t>ケンチク</t>
    </rPh>
    <rPh sb="90" eb="94">
      <t>ジョウホウショリ</t>
    </rPh>
    <rPh sb="105" eb="106">
      <t>カイ</t>
    </rPh>
    <rPh sb="108" eb="110">
      <t>ドボク</t>
    </rPh>
    <rPh sb="127" eb="129">
      <t>ケンチク</t>
    </rPh>
    <rPh sb="194" eb="196">
      <t>ドボク</t>
    </rPh>
    <rPh sb="214" eb="216">
      <t>ケンチク</t>
    </rPh>
    <rPh sb="250" eb="254">
      <t>ジョウホウショリ</t>
    </rPh>
    <rPh sb="271" eb="272">
      <t>カイ</t>
    </rPh>
    <rPh sb="274" eb="276">
      <t>ドボク</t>
    </rPh>
    <rPh sb="293" eb="295">
      <t>ケンチク</t>
    </rPh>
    <phoneticPr fontId="1"/>
  </si>
  <si>
    <t>数理・データサイエンス・AIの基礎的素養を全ての学生に対して修得させるとともに，意欲ある学生に対して自らの専門分野に応用できる力を修得させることを目的とした徳山工業高等専門学校数理・データサイエンス・AI教育プログラムを改善・進化させるために，教務委員会に数理・データサイエンス・AI専門部会を設置</t>
    <rPh sb="80" eb="82">
      <t>コウギョウ</t>
    </rPh>
    <phoneticPr fontId="1"/>
  </si>
  <si>
    <t>・データ解析：予測、グルーピング、パターン発見、最適化(情報処理（1年次）： ７，９，１１，１２，１３回)
・データ可視化：複合グラフ、2軸グラフ、多次元の可視化、関係性の可視化、地図上の可視化(情報処理（1年次）：６，７，９，１４，２１，２２，２３，２４回)(情報処理（2年次）：１２，１３，１４回)
・非構造化データ処理：言語処理、画像/動画処理(情報処理（1年次）：１７，１８，１９，２０，３０回)(情報処理（2年次）：１２，１３，１４回)</t>
    <rPh sb="51" eb="52">
      <t>カイ</t>
    </rPh>
    <rPh sb="98" eb="102">
      <t>ジョウホウショリ</t>
    </rPh>
    <rPh sb="128" eb="129">
      <t>カイ</t>
    </rPh>
    <rPh sb="131" eb="135">
      <t>ジョウホウショリ</t>
    </rPh>
    <rPh sb="149" eb="150">
      <t>カイ</t>
    </rPh>
    <rPh sb="176" eb="178">
      <t>ジョウホウ</t>
    </rPh>
    <rPh sb="178" eb="180">
      <t>ショリ</t>
    </rPh>
    <rPh sb="200" eb="201">
      <t>カイ</t>
    </rPh>
    <rPh sb="203" eb="207">
      <t>ジョウホウショリ</t>
    </rPh>
    <rPh sb="221" eb="222">
      <t>カイ</t>
    </rPh>
    <phoneticPr fontId="1"/>
  </si>
  <si>
    <t>・データを守る上で知っておくべきこと、情報セキュリティ、パスワード、匿名性(情報処理（1年次）：２，１６回)
・匿名加工情報、暗号化、パスワード・情報漏洩等によるセキュリティ事故の事例紹介(情報処理（2年次）：１回)</t>
    <rPh sb="5" eb="6">
      <t>マモ</t>
    </rPh>
    <rPh sb="7" eb="8">
      <t>ウエ</t>
    </rPh>
    <rPh sb="9" eb="10">
      <t>シ</t>
    </rPh>
    <rPh sb="19" eb="21">
      <t>ジョウホウ</t>
    </rPh>
    <rPh sb="34" eb="37">
      <t>トクメイセイ</t>
    </rPh>
    <rPh sb="38" eb="42">
      <t>ジョウホウショリ</t>
    </rPh>
    <rPh sb="52" eb="53">
      <t>カイ</t>
    </rPh>
    <rPh sb="95" eb="99">
      <t>ジョウホウショリ</t>
    </rPh>
    <rPh sb="106" eb="107">
      <t>カイ</t>
    </rPh>
    <phoneticPr fontId="1"/>
  </si>
  <si>
    <t>・データの種類、分布、ばらつき、誤差と誤差の取り扱い(情報処理（1年次）：３，４，１３回)
　(土木工学実験Ⅱ：１０，１４回)（建築工学実験Ⅱ：１１回）
・相関と因果(情報処理（1年次）：６，７回)（建築工学実験Ⅱ：１２，１３，１４回）
・打ち切りや脱落を含むデータ、層別の必要なデータ・統計情報の正しい理解（建築工学実験Ⅱ：１４，１５回）
・データの種類（量的変数、質的変数）(建築工学実験Ⅱ：１１回)
・データの分布(ヒストグラム)と代表値（平均値、中央値、最頻値）・代表値の性質の違い・データのばらつき（分散、標準偏差、偏差値）(建築工学実験Ⅱ：１１，１２，１３，１４回)
・母集団と標本抽出（国勢調査、アンケート調査、全数調査、単純無作為抽出、層別抽出、多段抽出）・クロス集計表、分割表、相関係数行列、散布図行列・統計情報の正しい理解（誇張表現に惑わされない）（建築工学実験Ⅱ：１１，１２，１３，１４回）</t>
    <rPh sb="5" eb="7">
      <t>シュルイ</t>
    </rPh>
    <rPh sb="8" eb="10">
      <t>ブンプ</t>
    </rPh>
    <rPh sb="16" eb="18">
      <t>ゴサ</t>
    </rPh>
    <rPh sb="19" eb="21">
      <t>ゴサ</t>
    </rPh>
    <rPh sb="22" eb="23">
      <t>ト</t>
    </rPh>
    <rPh sb="24" eb="25">
      <t>アツカ</t>
    </rPh>
    <rPh sb="27" eb="31">
      <t>ジョウホウショリ</t>
    </rPh>
    <rPh sb="43" eb="44">
      <t>カイ</t>
    </rPh>
    <rPh sb="48" eb="50">
      <t>ドボク</t>
    </rPh>
    <rPh sb="50" eb="54">
      <t>コウガクジッケン</t>
    </rPh>
    <rPh sb="61" eb="62">
      <t>カイ</t>
    </rPh>
    <rPh sb="64" eb="66">
      <t>ケンチク</t>
    </rPh>
    <rPh sb="66" eb="70">
      <t>コウガクジッケン</t>
    </rPh>
    <rPh sb="74" eb="75">
      <t>カイ</t>
    </rPh>
    <rPh sb="78" eb="80">
      <t>ソウカン</t>
    </rPh>
    <rPh sb="81" eb="83">
      <t>インガ</t>
    </rPh>
    <rPh sb="84" eb="86">
      <t>ジョウホウ</t>
    </rPh>
    <rPh sb="86" eb="88">
      <t>ショリ</t>
    </rPh>
    <rPh sb="97" eb="98">
      <t>カイ</t>
    </rPh>
    <rPh sb="100" eb="102">
      <t>ケンチク</t>
    </rPh>
    <rPh sb="102" eb="106">
      <t>コウガクジッケン</t>
    </rPh>
    <rPh sb="116" eb="117">
      <t>カイ</t>
    </rPh>
    <rPh sb="155" eb="157">
      <t>ケンチク</t>
    </rPh>
    <rPh sb="157" eb="161">
      <t>コウガクジッケン</t>
    </rPh>
    <rPh sb="168" eb="169">
      <t>カイ</t>
    </rPh>
    <rPh sb="190" eb="192">
      <t>ケンチク</t>
    </rPh>
    <rPh sb="192" eb="196">
      <t>コウガクジッケン</t>
    </rPh>
    <rPh sb="200" eb="201">
      <t>カイ</t>
    </rPh>
    <rPh sb="268" eb="270">
      <t>ケンチク</t>
    </rPh>
    <rPh sb="270" eb="274">
      <t>コウガクジッケン</t>
    </rPh>
    <rPh sb="287" eb="288">
      <t>カイ</t>
    </rPh>
    <rPh sb="385" eb="387">
      <t>ケンチク</t>
    </rPh>
    <rPh sb="387" eb="391">
      <t>コウガクジッケン</t>
    </rPh>
    <rPh sb="404" eb="405">
      <t>カイ</t>
    </rPh>
    <phoneticPr fontId="1"/>
  </si>
  <si>
    <t>・データ表現（情報処理（1年次）：６，７，１４回）(土木工学実験Ⅱ：１０，１１，１４回)（建築工学実験Ⅱ：１１，１２，１３，１４回）
・図表表現、比較(情報処理（1年次）：６，７，１４回)(土木工学実験Ⅱ：１０，１１，１４回)（建築工学実験Ⅱ：１１，１２，１３，１４回）
・優れた可視化事例の紹介（可視化することによって新たな気づきがあった事例など）(土木工学実験Ⅱ：１０，１１，１４回)（建築工学実験Ⅱ：１１，１２，１３，１４回）</t>
    <rPh sb="4" eb="6">
      <t>ヒョウゲン</t>
    </rPh>
    <rPh sb="7" eb="11">
      <t>ジョウホウショリ</t>
    </rPh>
    <rPh sb="23" eb="24">
      <t>カイ</t>
    </rPh>
    <rPh sb="26" eb="28">
      <t>ドボク</t>
    </rPh>
    <rPh sb="28" eb="33">
      <t>コウガクジッケン2</t>
    </rPh>
    <rPh sb="42" eb="43">
      <t>カイ</t>
    </rPh>
    <rPh sb="45" eb="47">
      <t>ケンチク</t>
    </rPh>
    <rPh sb="47" eb="51">
      <t>コウガクジッケン</t>
    </rPh>
    <rPh sb="64" eb="65">
      <t>カイ</t>
    </rPh>
    <rPh sb="68" eb="70">
      <t>ズヒョウ</t>
    </rPh>
    <rPh sb="70" eb="72">
      <t>ヒョウゲン</t>
    </rPh>
    <rPh sb="73" eb="75">
      <t>ヒカク</t>
    </rPh>
    <rPh sb="76" eb="80">
      <t>ジョウホウショリ</t>
    </rPh>
    <rPh sb="92" eb="93">
      <t>カイ</t>
    </rPh>
    <rPh sb="95" eb="97">
      <t>ドボク</t>
    </rPh>
    <rPh sb="114" eb="116">
      <t>ケンチク</t>
    </rPh>
    <rPh sb="176" eb="178">
      <t>ドボク</t>
    </rPh>
    <rPh sb="195" eb="197">
      <t>ケンチク</t>
    </rPh>
    <phoneticPr fontId="1"/>
  </si>
  <si>
    <t>機械電気工学科の入学生について、所定の科目「技術発達史論」、「コンピュータ基礎」、「工学実験Ⅰ」、「確率・統計」を全て修得していること。</t>
    <phoneticPr fontId="1"/>
  </si>
  <si>
    <t>情報電子工学科の入学生について、所定の科目「コンピュータの基礎知識」、「コンピュータ演習」、「確率」、「創造演習」を全て修得していること</t>
    <rPh sb="52" eb="56">
      <t>ソウゾウエンシュウ</t>
    </rPh>
    <phoneticPr fontId="1"/>
  </si>
  <si>
    <t>土木建築工学科の入学生について、所定の科目「情報処理（1年次）」、「情報処理（2年次）」、「情報処理（3年次）」、「工学実験Ⅱ」を全て修得していること</t>
    <rPh sb="58" eb="62">
      <t>コウガクジッケン</t>
    </rPh>
    <phoneticPr fontId="1"/>
  </si>
  <si>
    <t>副校長（教務主事）：西村太志
一般科目教務主事補：菊地右馬
機械電気工学科教務主事補：鈴木厚行
情報電子工学科教務主事補：室谷英彰
土木建築工学科教務主事補：江本晃美
学生課長：久保拓史</t>
    <rPh sb="10" eb="14">
      <t>ニシ</t>
    </rPh>
    <rPh sb="25" eb="29">
      <t>キク</t>
    </rPh>
    <rPh sb="43" eb="47">
      <t>スズ</t>
    </rPh>
    <rPh sb="61" eb="65">
      <t>ムロ</t>
    </rPh>
    <rPh sb="79" eb="83">
      <t>エモ</t>
    </rPh>
    <rPh sb="84" eb="88">
      <t>ガクセイカチョウ</t>
    </rPh>
    <rPh sb="89" eb="91">
      <t>クボ</t>
    </rPh>
    <rPh sb="91" eb="92">
      <t>タク</t>
    </rPh>
    <rPh sb="92" eb="93">
      <t>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</si>
</sst>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0">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0070C0"/>
      <name val="ＭＳ Ｐゴシック"/>
      <family val="3"/>
      <charset val="128"/>
    </font>
    <font>
      <sz val="12"/>
      <color rgb="FF0070C0"/>
      <name val="ＭＳ Ｐゴシック"/>
      <family val="3"/>
      <charset val="128"/>
      <scheme val="minor"/>
    </font>
    <font>
      <sz val="12"/>
      <color rgb="FF000000"/>
      <name val="ＭＳ Ｐゴシック"/>
      <family val="3"/>
      <charset val="128"/>
    </font>
    <font>
      <sz val="12"/>
      <name val="ＭＳ Ｐゴシック"/>
      <family val="3"/>
      <charset val="128"/>
      <scheme val="minor"/>
    </font>
    <font>
      <sz val="12"/>
      <name val="ＭＳ Ｐゴシック"/>
      <family val="2"/>
      <charset val="128"/>
      <scheme val="minor"/>
    </font>
    <font>
      <sz val="12"/>
      <name val="ＭＳ Ｐゴシック (本文)"/>
      <family val="3"/>
      <charset val="128"/>
    </font>
    <font>
      <strike/>
      <sz val="12"/>
      <name val="ＭＳ Ｐゴシック (本文)"/>
      <family val="3"/>
      <charset val="128"/>
    </font>
    <font>
      <sz val="12"/>
      <name val="ＭＳ Ｐゴシック"/>
      <family val="3"/>
      <charset val="128"/>
    </font>
    <font>
      <sz val="12"/>
      <color theme="1"/>
      <name val="ＭＳ Ｐゴシック"/>
      <family val="2"/>
      <charset val="128"/>
      <scheme val="minor"/>
    </font>
  </fonts>
  <fills count="3">
    <fill>
      <patternFill patternType="none"/>
    </fill>
    <fill>
      <patternFill patternType="gray125"/>
    </fill>
    <fill>
      <patternFill patternType="solid">
        <fgColor theme="0" tint="-4.9989318521683403E-2"/>
        <bgColor indexed="64"/>
      </patternFill>
    </fill>
  </fills>
  <borders count="6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rgb="FF000000"/>
      </right>
      <top style="thin">
        <color indexed="64"/>
      </top>
      <bottom/>
      <diagonal/>
    </border>
    <border>
      <left/>
      <right style="thin">
        <color rgb="FF000000"/>
      </right>
      <top style="hair">
        <color indexed="64"/>
      </top>
      <bottom/>
      <diagonal/>
    </border>
    <border>
      <left/>
      <right style="thin">
        <color rgb="FF000000"/>
      </right>
      <top style="thin">
        <color indexed="64"/>
      </top>
      <bottom style="hair">
        <color indexed="64"/>
      </bottom>
      <diagonal/>
    </border>
    <border>
      <left/>
      <right style="thin">
        <color rgb="FF000000"/>
      </right>
      <top style="hair">
        <color indexed="64"/>
      </top>
      <bottom style="thin">
        <color indexed="64"/>
      </bottom>
      <diagonal/>
    </border>
    <border>
      <left/>
      <right style="thin">
        <color rgb="FF000000"/>
      </right>
      <top/>
      <bottom style="thin">
        <color indexed="64"/>
      </bottom>
      <diagonal/>
    </border>
    <border>
      <left/>
      <right style="thin">
        <color rgb="FF000000"/>
      </right>
      <top style="hair">
        <color indexed="64"/>
      </top>
      <bottom style="hair">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2" fillId="0" borderId="0" xfId="0" applyFont="1">
      <alignment vertical="center"/>
    </xf>
    <xf numFmtId="0" fontId="12" fillId="0" borderId="0" xfId="0" applyFont="1" applyAlignment="1">
      <alignment vertical="center" wrapTex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14" fillId="0" borderId="1"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7"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4"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4" xfId="0" applyFont="1" applyBorder="1" applyAlignment="1">
      <alignment vertical="center" wrapText="1" shrinkToFit="1"/>
    </xf>
    <xf numFmtId="0" fontId="2" fillId="0" borderId="37" xfId="0" applyFont="1" applyBorder="1" applyAlignment="1">
      <alignment vertical="center" wrapText="1" shrinkToFit="1"/>
    </xf>
    <xf numFmtId="0" fontId="2" fillId="0" borderId="34" xfId="0" applyFont="1" applyBorder="1" applyAlignment="1">
      <alignment horizontal="left" vertical="center" wrapText="1"/>
    </xf>
    <xf numFmtId="0" fontId="2" fillId="0" borderId="36" xfId="0" applyFont="1" applyBorder="1" applyAlignment="1">
      <alignment horizontal="left" vertical="center" wrapText="1"/>
    </xf>
    <xf numFmtId="0" fontId="2" fillId="0" borderId="35" xfId="0" applyFont="1" applyBorder="1" applyAlignment="1">
      <alignment horizontal="lef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13" fillId="0" borderId="8" xfId="0" applyFont="1" applyBorder="1" applyAlignment="1">
      <alignment vertical="center" wrapText="1"/>
    </xf>
    <xf numFmtId="0" fontId="13" fillId="0" borderId="61" xfId="0" applyFont="1" applyBorder="1" applyAlignment="1">
      <alignment vertical="center" wrapText="1"/>
    </xf>
    <xf numFmtId="0" fontId="13" fillId="0" borderId="22" xfId="0" applyFont="1" applyBorder="1" applyAlignment="1">
      <alignment vertical="center" wrapText="1"/>
    </xf>
    <xf numFmtId="0" fontId="13" fillId="0" borderId="62" xfId="0" applyFont="1" applyBorder="1" applyAlignment="1">
      <alignment vertical="center" wrapText="1"/>
    </xf>
    <xf numFmtId="0" fontId="13" fillId="0" borderId="36" xfId="0" applyFont="1" applyBorder="1" applyAlignment="1">
      <alignment vertical="center" wrapText="1"/>
    </xf>
    <xf numFmtId="0" fontId="13" fillId="0" borderId="63" xfId="0" applyFont="1" applyBorder="1" applyAlignment="1">
      <alignment vertical="center" wrapText="1"/>
    </xf>
    <xf numFmtId="0" fontId="13" fillId="0" borderId="38" xfId="0" applyFont="1" applyBorder="1" applyAlignment="1">
      <alignment vertical="center" wrapText="1"/>
    </xf>
    <xf numFmtId="0" fontId="13" fillId="0" borderId="64" xfId="0" applyFont="1" applyBorder="1" applyAlignment="1">
      <alignment vertical="center" wrapText="1"/>
    </xf>
    <xf numFmtId="0" fontId="13" fillId="0" borderId="19" xfId="0" applyFont="1" applyBorder="1" applyAlignment="1">
      <alignment vertical="center" wrapText="1"/>
    </xf>
    <xf numFmtId="0" fontId="13" fillId="0" borderId="20" xfId="0" applyFont="1" applyBorder="1" applyAlignment="1">
      <alignment vertical="center" wrapText="1"/>
    </xf>
    <xf numFmtId="0" fontId="13" fillId="0" borderId="66" xfId="0" applyFont="1" applyBorder="1" applyAlignment="1">
      <alignment vertical="center" wrapText="1"/>
    </xf>
    <xf numFmtId="0" fontId="13" fillId="0" borderId="6" xfId="0" applyFont="1" applyBorder="1" applyAlignment="1">
      <alignment vertical="center" wrapText="1"/>
    </xf>
    <xf numFmtId="0" fontId="13" fillId="0" borderId="65"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19" fillId="0" borderId="3" xfId="0" applyFont="1" applyBorder="1" applyAlignment="1">
      <alignment vertical="center" wrapText="1" shrinkToFit="1"/>
    </xf>
    <xf numFmtId="0" fontId="19" fillId="0" borderId="4" xfId="0" applyFont="1" applyBorder="1" applyAlignment="1">
      <alignmen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4" fillId="0" borderId="7" xfId="0" applyFont="1" applyBorder="1" applyAlignment="1">
      <alignment vertical="top" wrapText="1"/>
    </xf>
    <xf numFmtId="0" fontId="15" fillId="0" borderId="8" xfId="0" applyFont="1" applyBorder="1" applyAlignment="1">
      <alignment vertical="top" wrapText="1"/>
    </xf>
    <xf numFmtId="0" fontId="15" fillId="0" borderId="9" xfId="0" applyFont="1" applyBorder="1" applyAlignment="1">
      <alignment vertical="top" wrapText="1"/>
    </xf>
    <xf numFmtId="0" fontId="15" fillId="0" borderId="5" xfId="0" applyFont="1" applyBorder="1" applyAlignment="1">
      <alignment vertical="top" wrapText="1"/>
    </xf>
    <xf numFmtId="0" fontId="15" fillId="0" borderId="0" xfId="0" applyFont="1" applyAlignment="1">
      <alignment vertical="top" wrapText="1"/>
    </xf>
    <xf numFmtId="0" fontId="15" fillId="0" borderId="10" xfId="0" applyFont="1" applyBorder="1" applyAlignment="1">
      <alignment vertical="top" wrapText="1"/>
    </xf>
    <xf numFmtId="0" fontId="15" fillId="0" borderId="11" xfId="0" applyFont="1" applyBorder="1" applyAlignment="1">
      <alignment vertical="top" wrapText="1"/>
    </xf>
    <xf numFmtId="0" fontId="15" fillId="0" borderId="6" xfId="0" applyFont="1" applyBorder="1" applyAlignment="1">
      <alignment vertical="top" wrapText="1"/>
    </xf>
    <xf numFmtId="0" fontId="15" fillId="0" borderId="12" xfId="0" applyFont="1" applyBorder="1" applyAlignment="1">
      <alignment vertical="top" wrapText="1"/>
    </xf>
    <xf numFmtId="0" fontId="16" fillId="0" borderId="7" xfId="0" applyFont="1" applyBorder="1" applyAlignment="1">
      <alignment vertical="top" wrapText="1"/>
    </xf>
    <xf numFmtId="0" fontId="16" fillId="0" borderId="8" xfId="0" applyFont="1" applyBorder="1" applyAlignment="1">
      <alignment vertical="top" wrapText="1"/>
    </xf>
    <xf numFmtId="0" fontId="16" fillId="0" borderId="9" xfId="0" applyFont="1" applyBorder="1" applyAlignment="1">
      <alignment vertical="top"/>
    </xf>
    <xf numFmtId="0" fontId="16" fillId="0" borderId="5" xfId="0" applyFont="1" applyBorder="1" applyAlignment="1">
      <alignment vertical="top"/>
    </xf>
    <xf numFmtId="0" fontId="16" fillId="0" borderId="0" xfId="0" applyFont="1" applyAlignment="1">
      <alignment vertical="top"/>
    </xf>
    <xf numFmtId="0" fontId="16" fillId="0" borderId="10" xfId="0" applyFont="1" applyBorder="1" applyAlignment="1">
      <alignment vertical="top"/>
    </xf>
    <xf numFmtId="0" fontId="16" fillId="0" borderId="11" xfId="0" applyFont="1" applyBorder="1" applyAlignment="1">
      <alignment vertical="top"/>
    </xf>
    <xf numFmtId="0" fontId="16" fillId="0" borderId="6" xfId="0" applyFont="1" applyBorder="1" applyAlignment="1">
      <alignment vertical="top"/>
    </xf>
    <xf numFmtId="0" fontId="16"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14" fillId="0" borderId="7" xfId="0" applyFont="1" applyBorder="1" applyAlignment="1">
      <alignment horizontal="left" vertical="top" wrapText="1"/>
    </xf>
    <xf numFmtId="0" fontId="15" fillId="0" borderId="8" xfId="0" applyFont="1" applyBorder="1" applyAlignment="1">
      <alignment horizontal="left" vertical="top" wrapText="1"/>
    </xf>
    <xf numFmtId="0" fontId="15" fillId="0" borderId="9" xfId="0" applyFont="1" applyBorder="1" applyAlignment="1">
      <alignment horizontal="left" vertical="top" wrapText="1"/>
    </xf>
    <xf numFmtId="0" fontId="15" fillId="0" borderId="5" xfId="0" applyFont="1" applyBorder="1" applyAlignment="1">
      <alignment horizontal="left" vertical="top" wrapText="1"/>
    </xf>
    <xf numFmtId="0" fontId="15" fillId="0" borderId="0" xfId="0" applyFont="1" applyAlignment="1">
      <alignment horizontal="left" vertical="top" wrapText="1"/>
    </xf>
    <xf numFmtId="0" fontId="15" fillId="0" borderId="10" xfId="0" applyFont="1" applyBorder="1" applyAlignment="1">
      <alignment horizontal="left" vertical="top" wrapText="1"/>
    </xf>
    <xf numFmtId="0" fontId="15" fillId="0" borderId="11" xfId="0" applyFont="1" applyBorder="1" applyAlignment="1">
      <alignment horizontal="left" vertical="top" wrapText="1"/>
    </xf>
    <xf numFmtId="0" fontId="15" fillId="0" borderId="6" xfId="0" applyFont="1" applyBorder="1" applyAlignment="1">
      <alignment horizontal="left" vertical="top" wrapText="1"/>
    </xf>
    <xf numFmtId="0" fontId="15" fillId="0" borderId="12" xfId="0" applyFont="1" applyBorder="1" applyAlignment="1">
      <alignment horizontal="left" vertical="top" wrapText="1"/>
    </xf>
    <xf numFmtId="0" fontId="14" fillId="0" borderId="7" xfId="0" applyFont="1" applyBorder="1" applyAlignment="1">
      <alignment vertical="top" wrapText="1" shrinkToFit="1"/>
    </xf>
    <xf numFmtId="0" fontId="15" fillId="0" borderId="8" xfId="0" applyFont="1" applyBorder="1" applyAlignment="1">
      <alignment vertical="top" wrapText="1" shrinkToFit="1"/>
    </xf>
    <xf numFmtId="0" fontId="15" fillId="0" borderId="9" xfId="0" applyFont="1" applyBorder="1" applyAlignment="1">
      <alignment vertical="top" shrinkToFit="1"/>
    </xf>
    <xf numFmtId="0" fontId="15" fillId="0" borderId="5" xfId="0" applyFont="1" applyBorder="1" applyAlignment="1">
      <alignment vertical="top" shrinkToFit="1"/>
    </xf>
    <xf numFmtId="0" fontId="15" fillId="0" borderId="0" xfId="0" applyFont="1" applyAlignment="1">
      <alignment vertical="top" shrinkToFit="1"/>
    </xf>
    <xf numFmtId="0" fontId="15" fillId="0" borderId="10" xfId="0" applyFont="1" applyBorder="1" applyAlignment="1">
      <alignment vertical="top" shrinkToFit="1"/>
    </xf>
    <xf numFmtId="0" fontId="15" fillId="0" borderId="11" xfId="0" applyFont="1" applyBorder="1" applyAlignment="1">
      <alignment vertical="top" shrinkToFit="1"/>
    </xf>
    <xf numFmtId="0" fontId="15" fillId="0" borderId="6" xfId="0" applyFont="1" applyBorder="1" applyAlignment="1">
      <alignment vertical="top" shrinkToFit="1"/>
    </xf>
    <xf numFmtId="0" fontId="15" fillId="0" borderId="12" xfId="0" applyFont="1" applyBorder="1" applyAlignment="1">
      <alignment vertical="top" shrinkToFit="1"/>
    </xf>
    <xf numFmtId="0" fontId="2" fillId="0" borderId="0" xfId="0" applyFont="1">
      <alignment vertical="center"/>
    </xf>
    <xf numFmtId="0" fontId="15" fillId="0" borderId="2" xfId="0" applyFont="1" applyBorder="1" applyAlignment="1">
      <alignment vertical="center" shrinkToFit="1"/>
    </xf>
    <xf numFmtId="0" fontId="14" fillId="0" borderId="3" xfId="0" applyFont="1" applyBorder="1" applyAlignment="1">
      <alignment vertical="center" shrinkToFit="1"/>
    </xf>
    <xf numFmtId="0" fontId="14" fillId="0" borderId="4" xfId="0" applyFont="1" applyBorder="1" applyAlignment="1">
      <alignment vertical="center" shrinkToFit="1"/>
    </xf>
    <xf numFmtId="0" fontId="15" fillId="0" borderId="5" xfId="0" applyFont="1" applyBorder="1" applyAlignment="1">
      <alignment vertical="top" wrapText="1" shrinkToFit="1"/>
    </xf>
    <xf numFmtId="0" fontId="15"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1" fillId="0" borderId="0" xfId="0" applyFont="1" applyAlignment="1">
      <alignment horizontal="lef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6" fillId="0" borderId="6" xfId="0" applyFont="1" applyBorder="1" applyAlignment="1">
      <alignment vertical="top" wrapText="1" shrinkToFit="1"/>
    </xf>
    <xf numFmtId="0" fontId="16"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8" fillId="0" borderId="20" xfId="0" applyFont="1" applyBorder="1" applyAlignment="1">
      <alignment vertical="top" wrapText="1" shrinkToFit="1"/>
    </xf>
    <xf numFmtId="0" fontId="16" fillId="0" borderId="20" xfId="0" applyFont="1" applyBorder="1" applyAlignment="1">
      <alignment vertical="top" wrapText="1" shrinkToFit="1"/>
    </xf>
    <xf numFmtId="0" fontId="16"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6" fillId="0" borderId="38" xfId="0" applyFont="1" applyBorder="1" applyAlignment="1">
      <alignment vertical="top" wrapText="1" shrinkToFit="1"/>
    </xf>
    <xf numFmtId="0" fontId="16"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6" fillId="0" borderId="42" xfId="0" applyFont="1" applyBorder="1" applyAlignment="1">
      <alignment vertical="top" wrapText="1" shrinkToFit="1"/>
    </xf>
    <xf numFmtId="0" fontId="16" fillId="0" borderId="43" xfId="0" applyFont="1" applyBorder="1" applyAlignment="1">
      <alignment vertical="top" wrapText="1" shrinkToFit="1"/>
    </xf>
    <xf numFmtId="0" fontId="18" fillId="0" borderId="19" xfId="0" applyFont="1" applyBorder="1" applyAlignment="1">
      <alignment vertical="top" wrapText="1" shrinkToFit="1"/>
    </xf>
    <xf numFmtId="0" fontId="14" fillId="0" borderId="19" xfId="0" applyFont="1" applyBorder="1" applyAlignment="1">
      <alignment vertical="top" wrapText="1" shrinkToFit="1"/>
    </xf>
    <xf numFmtId="0" fontId="15" fillId="0" borderId="20" xfId="0" applyFont="1" applyBorder="1" applyAlignment="1">
      <alignment vertical="top" wrapText="1" shrinkToFit="1"/>
    </xf>
    <xf numFmtId="0" fontId="15" fillId="0" borderId="18" xfId="0" applyFont="1" applyBorder="1" applyAlignment="1">
      <alignment vertical="top" wrapText="1" shrinkToFit="1"/>
    </xf>
    <xf numFmtId="0" fontId="14" fillId="0" borderId="37" xfId="0" applyFont="1" applyBorder="1" applyAlignment="1">
      <alignment vertical="top" wrapText="1" shrinkToFit="1"/>
    </xf>
    <xf numFmtId="0" fontId="15" fillId="0" borderId="38" xfId="0" applyFont="1" applyBorder="1" applyAlignment="1">
      <alignment vertical="top" wrapText="1" shrinkToFit="1"/>
    </xf>
    <xf numFmtId="0" fontId="15"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16" fillId="0" borderId="19"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38" fontId="14" fillId="0" borderId="0" xfId="2" applyFont="1" applyAlignment="1">
      <alignment vertical="center" shrinkToFit="1"/>
    </xf>
    <xf numFmtId="38" fontId="14" fillId="0" borderId="5" xfId="2" applyFont="1" applyBorder="1" applyAlignment="1">
      <alignment vertical="center" shrinkToFit="1"/>
    </xf>
    <xf numFmtId="38" fontId="14" fillId="0" borderId="20" xfId="2" applyFont="1" applyBorder="1" applyAlignment="1">
      <alignment vertical="center" shrinkToFit="1"/>
    </xf>
    <xf numFmtId="38" fontId="14" fillId="0" borderId="19" xfId="2" applyFont="1" applyBorder="1" applyAlignment="1">
      <alignment vertical="center" shrinkToFit="1"/>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B19" sqref="B19"/>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08" t="s">
        <v>188</v>
      </c>
      <c r="S1" s="108"/>
      <c r="T1" s="2" t="s">
        <v>0</v>
      </c>
    </row>
    <row r="2" spans="1:22" ht="18.75" customHeight="1">
      <c r="B2" s="34" t="s">
        <v>1</v>
      </c>
      <c r="C2" s="101" t="s">
        <v>2</v>
      </c>
      <c r="D2" s="102"/>
      <c r="E2" s="102"/>
      <c r="F2" s="102"/>
      <c r="G2" s="102"/>
      <c r="H2" s="102"/>
      <c r="I2" s="103"/>
      <c r="J2" s="35"/>
      <c r="K2" s="6"/>
      <c r="L2" s="6"/>
      <c r="M2" s="6"/>
      <c r="N2" s="6"/>
      <c r="O2" s="6"/>
      <c r="P2" s="6"/>
      <c r="Q2" s="6"/>
      <c r="R2" s="6"/>
      <c r="S2" s="6"/>
    </row>
    <row r="3" spans="1:22" ht="18.75" customHeight="1">
      <c r="B3" s="34" t="s">
        <v>3</v>
      </c>
      <c r="C3" s="112" t="s">
        <v>4</v>
      </c>
      <c r="D3" s="113"/>
      <c r="E3" s="113"/>
      <c r="F3" s="113"/>
      <c r="G3" s="113"/>
      <c r="H3" s="113"/>
      <c r="I3" s="114"/>
      <c r="J3" s="35"/>
      <c r="K3" s="6"/>
      <c r="L3" s="6"/>
      <c r="M3" s="6"/>
      <c r="N3" s="6"/>
      <c r="O3" s="6"/>
      <c r="P3" s="6"/>
      <c r="Q3" s="6"/>
      <c r="R3" s="6"/>
      <c r="S3" s="6"/>
    </row>
    <row r="4" spans="1:22" ht="15" customHeight="1">
      <c r="K4" s="35"/>
      <c r="L4" s="37"/>
      <c r="M4" s="37"/>
      <c r="N4" s="37"/>
      <c r="O4" s="37"/>
      <c r="P4" s="37"/>
      <c r="Q4" s="37"/>
      <c r="R4" s="37"/>
      <c r="S4" s="37"/>
    </row>
    <row r="5" spans="1:22" ht="18" customHeight="1">
      <c r="A5" s="115" t="s">
        <v>5</v>
      </c>
      <c r="B5" s="115"/>
      <c r="C5" s="115"/>
      <c r="D5" s="115"/>
      <c r="E5" s="115"/>
      <c r="F5" s="115"/>
      <c r="G5" s="115"/>
      <c r="H5" s="115"/>
      <c r="I5" s="115"/>
      <c r="J5" s="115"/>
      <c r="K5" s="115"/>
      <c r="L5" s="115"/>
      <c r="M5" s="115"/>
      <c r="N5" s="115"/>
      <c r="O5" s="115"/>
      <c r="P5" s="115"/>
      <c r="Q5" s="115"/>
      <c r="R5" s="115"/>
      <c r="S5" s="115"/>
    </row>
    <row r="6" spans="1:22" ht="15" customHeight="1">
      <c r="B6" s="3"/>
      <c r="C6" s="3"/>
      <c r="D6" s="3"/>
      <c r="E6" s="3"/>
      <c r="F6" s="3"/>
      <c r="G6" s="3"/>
      <c r="H6" s="3"/>
      <c r="I6" s="3"/>
      <c r="J6" s="3"/>
      <c r="K6" s="3"/>
      <c r="L6" s="3"/>
      <c r="M6" s="3"/>
      <c r="N6" s="3"/>
      <c r="O6" s="3"/>
      <c r="P6" s="3"/>
      <c r="Q6" s="3"/>
      <c r="R6" s="3"/>
      <c r="S6" s="3"/>
    </row>
    <row r="7" spans="1:22" ht="18" customHeight="1">
      <c r="A7" s="1" t="s">
        <v>6</v>
      </c>
      <c r="C7" s="3"/>
      <c r="J7" s="38" t="s">
        <v>7</v>
      </c>
      <c r="K7" s="125" t="s">
        <v>8</v>
      </c>
      <c r="L7" s="126"/>
      <c r="M7" s="126"/>
      <c r="N7" s="126"/>
      <c r="O7" s="126"/>
      <c r="P7" s="126"/>
      <c r="Q7" s="126"/>
      <c r="R7" s="126"/>
      <c r="S7" s="127"/>
    </row>
    <row r="8" spans="1:22" ht="6" customHeight="1">
      <c r="B8" s="3"/>
      <c r="C8" s="3"/>
      <c r="D8" s="3"/>
      <c r="E8" s="3"/>
      <c r="F8" s="3"/>
      <c r="G8" s="3"/>
      <c r="H8" s="3"/>
      <c r="I8" s="3"/>
      <c r="J8" s="3"/>
      <c r="K8" s="10"/>
      <c r="L8" s="3"/>
      <c r="M8" s="3"/>
      <c r="N8" s="3"/>
      <c r="O8" s="3"/>
      <c r="P8" s="3"/>
      <c r="Q8" s="3"/>
      <c r="R8" s="3"/>
      <c r="S8" s="3"/>
    </row>
    <row r="9" spans="1:22" ht="18" customHeight="1">
      <c r="B9" s="89" t="s">
        <v>9</v>
      </c>
      <c r="C9" s="90"/>
      <c r="D9" s="90"/>
      <c r="E9" s="90"/>
      <c r="F9" s="90"/>
      <c r="G9" s="90"/>
      <c r="H9" s="90"/>
      <c r="I9" s="90"/>
      <c r="J9" s="90"/>
      <c r="K9" s="90"/>
      <c r="L9" s="90"/>
      <c r="M9" s="90"/>
      <c r="N9" s="90"/>
      <c r="O9" s="90"/>
      <c r="P9" s="90"/>
      <c r="Q9" s="90"/>
      <c r="R9" s="90"/>
      <c r="S9" s="91"/>
    </row>
    <row r="10" spans="1:22" ht="18" customHeight="1">
      <c r="B10" s="92"/>
      <c r="C10" s="93"/>
      <c r="D10" s="93"/>
      <c r="E10" s="93"/>
      <c r="F10" s="93"/>
      <c r="G10" s="93"/>
      <c r="H10" s="93"/>
      <c r="I10" s="93"/>
      <c r="J10" s="93"/>
      <c r="K10" s="93"/>
      <c r="L10" s="93"/>
      <c r="M10" s="93"/>
      <c r="N10" s="93"/>
      <c r="O10" s="93"/>
      <c r="P10" s="93"/>
      <c r="Q10" s="93"/>
      <c r="R10" s="93"/>
      <c r="S10" s="94"/>
    </row>
    <row r="11" spans="1:22" ht="6" customHeight="1">
      <c r="B11" s="3"/>
      <c r="C11" s="3"/>
      <c r="D11" s="3"/>
      <c r="E11" s="3"/>
      <c r="F11" s="3"/>
      <c r="G11" s="3"/>
      <c r="H11" s="3"/>
      <c r="I11" s="3"/>
      <c r="J11" s="3"/>
      <c r="K11" s="10"/>
      <c r="L11" s="3"/>
      <c r="M11" s="3"/>
      <c r="N11" s="3"/>
      <c r="O11" s="3"/>
      <c r="P11" s="3"/>
      <c r="Q11" s="3"/>
      <c r="R11" s="3"/>
      <c r="S11" s="3"/>
    </row>
    <row r="12" spans="1:22" ht="18" customHeight="1">
      <c r="A12" s="1" t="s">
        <v>10</v>
      </c>
      <c r="B12" s="3"/>
      <c r="C12" s="3"/>
      <c r="D12" s="35"/>
      <c r="E12" s="35"/>
      <c r="F12" s="35"/>
      <c r="G12" s="35"/>
      <c r="H12" s="35"/>
      <c r="I12" s="35"/>
      <c r="J12" s="35"/>
      <c r="K12" s="39"/>
      <c r="L12" s="39"/>
      <c r="M12" s="39"/>
      <c r="N12" s="39"/>
      <c r="O12" s="39"/>
      <c r="P12" s="39"/>
      <c r="Q12" s="39"/>
      <c r="R12" s="39"/>
      <c r="S12" s="39"/>
    </row>
    <row r="13" spans="1:22" ht="18" customHeight="1">
      <c r="B13" s="116" t="s">
        <v>212</v>
      </c>
      <c r="C13" s="117"/>
      <c r="D13" s="117"/>
      <c r="E13" s="117"/>
      <c r="F13" s="117"/>
      <c r="G13" s="117"/>
      <c r="H13" s="117"/>
      <c r="I13" s="117"/>
      <c r="J13" s="117"/>
      <c r="K13" s="117"/>
      <c r="L13" s="117"/>
      <c r="M13" s="117"/>
      <c r="N13" s="117"/>
      <c r="O13" s="117"/>
      <c r="P13" s="117"/>
      <c r="Q13" s="117"/>
      <c r="R13" s="117"/>
      <c r="S13" s="118"/>
      <c r="V13" s="1" t="s">
        <v>11</v>
      </c>
    </row>
    <row r="14" spans="1:22" ht="18" customHeight="1">
      <c r="B14" s="119"/>
      <c r="C14" s="120"/>
      <c r="D14" s="120"/>
      <c r="E14" s="120"/>
      <c r="F14" s="120"/>
      <c r="G14" s="120"/>
      <c r="H14" s="120"/>
      <c r="I14" s="120"/>
      <c r="J14" s="120"/>
      <c r="K14" s="120"/>
      <c r="L14" s="120"/>
      <c r="M14" s="120"/>
      <c r="N14" s="120"/>
      <c r="O14" s="120"/>
      <c r="P14" s="120"/>
      <c r="Q14" s="120"/>
      <c r="R14" s="120"/>
      <c r="S14" s="121"/>
      <c r="V14" s="1" t="s">
        <v>12</v>
      </c>
    </row>
    <row r="15" spans="1:22" ht="18" customHeight="1">
      <c r="B15" s="119"/>
      <c r="C15" s="120"/>
      <c r="D15" s="120"/>
      <c r="E15" s="120"/>
      <c r="F15" s="120"/>
      <c r="G15" s="120"/>
      <c r="H15" s="120"/>
      <c r="I15" s="120"/>
      <c r="J15" s="120"/>
      <c r="K15" s="120"/>
      <c r="L15" s="120"/>
      <c r="M15" s="120"/>
      <c r="N15" s="120"/>
      <c r="O15" s="120"/>
      <c r="P15" s="120"/>
      <c r="Q15" s="120"/>
      <c r="R15" s="120"/>
      <c r="S15" s="121"/>
      <c r="V15" s="1" t="s">
        <v>13</v>
      </c>
    </row>
    <row r="16" spans="1:22" ht="18" customHeight="1">
      <c r="B16" s="119"/>
      <c r="C16" s="120"/>
      <c r="D16" s="120"/>
      <c r="E16" s="120"/>
      <c r="F16" s="120"/>
      <c r="G16" s="120"/>
      <c r="H16" s="120"/>
      <c r="I16" s="120"/>
      <c r="J16" s="120"/>
      <c r="K16" s="120"/>
      <c r="L16" s="120"/>
      <c r="M16" s="120"/>
      <c r="N16" s="120"/>
      <c r="O16" s="120"/>
      <c r="P16" s="120"/>
      <c r="Q16" s="120"/>
      <c r="R16" s="120"/>
      <c r="S16" s="121"/>
      <c r="V16" s="1" t="s">
        <v>14</v>
      </c>
    </row>
    <row r="17" spans="1:19" ht="18" customHeight="1">
      <c r="B17" s="119"/>
      <c r="C17" s="120"/>
      <c r="D17" s="120"/>
      <c r="E17" s="120"/>
      <c r="F17" s="120"/>
      <c r="G17" s="120"/>
      <c r="H17" s="120"/>
      <c r="I17" s="120"/>
      <c r="J17" s="120"/>
      <c r="K17" s="120"/>
      <c r="L17" s="120"/>
      <c r="M17" s="120"/>
      <c r="N17" s="120"/>
      <c r="O17" s="120"/>
      <c r="P17" s="120"/>
      <c r="Q17" s="120"/>
      <c r="R17" s="120"/>
      <c r="S17" s="121"/>
    </row>
    <row r="18" spans="1:19" ht="18" customHeight="1">
      <c r="B18" s="122"/>
      <c r="C18" s="123"/>
      <c r="D18" s="123"/>
      <c r="E18" s="123"/>
      <c r="F18" s="123"/>
      <c r="G18" s="123"/>
      <c r="H18" s="123"/>
      <c r="I18" s="123"/>
      <c r="J18" s="123"/>
      <c r="K18" s="123"/>
      <c r="L18" s="123"/>
      <c r="M18" s="123"/>
      <c r="N18" s="123"/>
      <c r="O18" s="123"/>
      <c r="P18" s="123"/>
      <c r="Q18" s="123"/>
      <c r="R18" s="123"/>
      <c r="S18" s="124"/>
    </row>
    <row r="19" spans="1:19" ht="7.5" customHeight="1">
      <c r="B19" s="3"/>
      <c r="C19" s="3"/>
      <c r="D19" s="3"/>
      <c r="E19" s="3"/>
      <c r="F19" s="3"/>
      <c r="G19" s="3"/>
      <c r="H19" s="3"/>
      <c r="I19" s="3"/>
      <c r="J19" s="3"/>
      <c r="K19" s="3"/>
      <c r="L19" s="3"/>
      <c r="M19" s="3"/>
      <c r="N19" s="3"/>
      <c r="O19" s="3"/>
      <c r="P19" s="3"/>
      <c r="Q19" s="3"/>
      <c r="R19" s="3"/>
      <c r="S19" s="3"/>
    </row>
    <row r="20" spans="1:19" ht="20.100000000000001" customHeight="1">
      <c r="B20" s="1" t="s">
        <v>15</v>
      </c>
      <c r="C20" s="101">
        <v>4</v>
      </c>
      <c r="D20" s="103"/>
      <c r="E20" s="40" t="s">
        <v>16</v>
      </c>
      <c r="G20" s="10"/>
      <c r="H20" s="3"/>
      <c r="I20" s="3"/>
      <c r="J20" s="35" t="s">
        <v>17</v>
      </c>
      <c r="K20" s="109" t="s">
        <v>12</v>
      </c>
      <c r="L20" s="110"/>
      <c r="M20" s="110"/>
      <c r="N20" s="110"/>
      <c r="O20" s="110"/>
      <c r="P20" s="110"/>
      <c r="Q20" s="110"/>
      <c r="R20" s="110"/>
      <c r="S20" s="111"/>
    </row>
    <row r="21" spans="1:19" ht="7.5" customHeight="1">
      <c r="B21" s="3"/>
      <c r="C21" s="3"/>
      <c r="D21" s="3"/>
      <c r="E21" s="3"/>
      <c r="F21" s="3"/>
      <c r="G21" s="3"/>
      <c r="H21" s="3"/>
      <c r="I21" s="3"/>
      <c r="J21" s="3"/>
      <c r="K21" s="3"/>
      <c r="L21" s="3"/>
      <c r="M21" s="3"/>
      <c r="N21" s="3"/>
      <c r="O21" s="3"/>
      <c r="P21" s="3"/>
      <c r="Q21" s="3"/>
      <c r="R21" s="3"/>
      <c r="S21" s="3"/>
    </row>
    <row r="22" spans="1:19" ht="18" customHeight="1">
      <c r="A22" s="104" t="s">
        <v>18</v>
      </c>
      <c r="B22" s="104"/>
      <c r="C22" s="104"/>
      <c r="D22" s="104"/>
      <c r="E22" s="104"/>
      <c r="F22" s="104"/>
      <c r="G22" s="104"/>
      <c r="H22" s="104"/>
      <c r="I22" s="104"/>
      <c r="J22" s="104"/>
      <c r="K22" s="104"/>
      <c r="L22" s="104"/>
      <c r="M22" s="104"/>
      <c r="N22" s="104"/>
      <c r="O22" s="104"/>
      <c r="P22" s="104"/>
      <c r="Q22" s="104"/>
      <c r="R22" s="104"/>
      <c r="S22" s="104"/>
    </row>
    <row r="23" spans="1:19" ht="18" customHeight="1">
      <c r="A23" s="104"/>
      <c r="B23" s="104"/>
      <c r="C23" s="104"/>
      <c r="D23" s="104"/>
      <c r="E23" s="104"/>
      <c r="F23" s="104"/>
      <c r="G23" s="104"/>
      <c r="H23" s="104"/>
      <c r="I23" s="104"/>
      <c r="J23" s="104"/>
      <c r="K23" s="104"/>
      <c r="L23" s="104"/>
      <c r="M23" s="104"/>
      <c r="N23" s="104"/>
      <c r="O23" s="104"/>
      <c r="P23" s="104"/>
      <c r="Q23" s="104"/>
      <c r="R23" s="104"/>
      <c r="S23" s="104"/>
    </row>
    <row r="24" spans="1:19" ht="18" customHeight="1">
      <c r="B24" s="101" t="s">
        <v>19</v>
      </c>
      <c r="C24" s="102"/>
      <c r="D24" s="102"/>
      <c r="E24" s="103"/>
      <c r="F24" s="61" t="s">
        <v>20</v>
      </c>
      <c r="G24" s="60" t="s">
        <v>21</v>
      </c>
      <c r="H24" s="22" t="s">
        <v>22</v>
      </c>
      <c r="I24" s="22" t="s">
        <v>23</v>
      </c>
      <c r="J24" s="101" t="s">
        <v>19</v>
      </c>
      <c r="K24" s="102"/>
      <c r="L24" s="102"/>
      <c r="M24" s="102"/>
      <c r="N24" s="102"/>
      <c r="O24" s="103"/>
      <c r="P24" s="61" t="s">
        <v>20</v>
      </c>
      <c r="Q24" s="60" t="s">
        <v>21</v>
      </c>
      <c r="R24" s="22" t="s">
        <v>22</v>
      </c>
      <c r="S24" s="22" t="s">
        <v>23</v>
      </c>
    </row>
    <row r="25" spans="1:19" ht="18" customHeight="1">
      <c r="B25" s="105" t="s">
        <v>24</v>
      </c>
      <c r="C25" s="106"/>
      <c r="D25" s="106"/>
      <c r="E25" s="107"/>
      <c r="F25" s="23">
        <v>1</v>
      </c>
      <c r="G25" s="23" t="s">
        <v>25</v>
      </c>
      <c r="H25" s="23" t="s">
        <v>25</v>
      </c>
      <c r="I25" s="23" t="s">
        <v>25</v>
      </c>
      <c r="J25" s="105"/>
      <c r="K25" s="106"/>
      <c r="L25" s="106"/>
      <c r="M25" s="106"/>
      <c r="N25" s="106"/>
      <c r="O25" s="107"/>
      <c r="P25" s="23"/>
      <c r="Q25" s="23"/>
      <c r="R25" s="23"/>
      <c r="S25" s="23"/>
    </row>
    <row r="26" spans="1:19" ht="18" customHeight="1">
      <c r="B26" s="95"/>
      <c r="C26" s="96"/>
      <c r="D26" s="96"/>
      <c r="E26" s="97"/>
      <c r="F26" s="24"/>
      <c r="G26" s="24"/>
      <c r="H26" s="24"/>
      <c r="I26" s="24"/>
      <c r="J26" s="95"/>
      <c r="K26" s="96"/>
      <c r="L26" s="96"/>
      <c r="M26" s="96"/>
      <c r="N26" s="96"/>
      <c r="O26" s="97"/>
      <c r="P26" s="24"/>
      <c r="Q26" s="24"/>
      <c r="R26" s="24"/>
      <c r="S26" s="24"/>
    </row>
    <row r="27" spans="1:19" ht="18" customHeight="1">
      <c r="B27" s="95"/>
      <c r="C27" s="96"/>
      <c r="D27" s="96"/>
      <c r="E27" s="97"/>
      <c r="F27" s="24"/>
      <c r="G27" s="24"/>
      <c r="H27" s="24"/>
      <c r="I27" s="24"/>
      <c r="J27" s="95"/>
      <c r="K27" s="96"/>
      <c r="L27" s="96"/>
      <c r="M27" s="96"/>
      <c r="N27" s="96"/>
      <c r="O27" s="97"/>
      <c r="P27" s="24"/>
      <c r="Q27" s="24"/>
      <c r="R27" s="24"/>
      <c r="S27" s="24"/>
    </row>
    <row r="28" spans="1:19" ht="18" customHeight="1">
      <c r="B28" s="95"/>
      <c r="C28" s="96"/>
      <c r="D28" s="96"/>
      <c r="E28" s="97"/>
      <c r="F28" s="24"/>
      <c r="G28" s="24"/>
      <c r="H28" s="24"/>
      <c r="I28" s="24"/>
      <c r="J28" s="95"/>
      <c r="K28" s="96"/>
      <c r="L28" s="96"/>
      <c r="M28" s="96"/>
      <c r="N28" s="96"/>
      <c r="O28" s="97"/>
      <c r="P28" s="24"/>
      <c r="Q28" s="24"/>
      <c r="R28" s="24"/>
      <c r="S28" s="24"/>
    </row>
    <row r="29" spans="1:19" ht="18" customHeight="1">
      <c r="B29" s="95"/>
      <c r="C29" s="96"/>
      <c r="D29" s="96"/>
      <c r="E29" s="97"/>
      <c r="F29" s="24"/>
      <c r="G29" s="24"/>
      <c r="H29" s="24"/>
      <c r="I29" s="24"/>
      <c r="J29" s="95"/>
      <c r="K29" s="96"/>
      <c r="L29" s="96"/>
      <c r="M29" s="96"/>
      <c r="N29" s="96"/>
      <c r="O29" s="97"/>
      <c r="P29" s="24"/>
      <c r="Q29" s="24"/>
      <c r="R29" s="24"/>
      <c r="S29" s="24"/>
    </row>
    <row r="30" spans="1:19" ht="18" customHeight="1">
      <c r="A30" s="3"/>
      <c r="B30" s="95"/>
      <c r="C30" s="96"/>
      <c r="D30" s="96"/>
      <c r="E30" s="97"/>
      <c r="F30" s="24"/>
      <c r="G30" s="24"/>
      <c r="H30" s="24"/>
      <c r="I30" s="24"/>
      <c r="J30" s="95"/>
      <c r="K30" s="96"/>
      <c r="L30" s="96"/>
      <c r="M30" s="96"/>
      <c r="N30" s="96"/>
      <c r="O30" s="97"/>
      <c r="P30" s="24"/>
      <c r="Q30" s="24"/>
      <c r="R30" s="24"/>
      <c r="S30" s="24"/>
    </row>
    <row r="31" spans="1:19" ht="18" customHeight="1">
      <c r="A31" s="3"/>
      <c r="B31" s="98"/>
      <c r="C31" s="99"/>
      <c r="D31" s="99"/>
      <c r="E31" s="100"/>
      <c r="F31" s="25"/>
      <c r="G31" s="25"/>
      <c r="H31" s="26"/>
      <c r="I31" s="26"/>
      <c r="J31" s="98"/>
      <c r="K31" s="99"/>
      <c r="L31" s="99"/>
      <c r="M31" s="99"/>
      <c r="N31" s="99"/>
      <c r="O31" s="100"/>
      <c r="P31" s="25"/>
      <c r="Q31" s="25"/>
      <c r="R31" s="26"/>
      <c r="S31" s="26"/>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4" t="s">
        <v>26</v>
      </c>
      <c r="B33" s="104"/>
      <c r="C33" s="104"/>
      <c r="D33" s="104"/>
      <c r="E33" s="104"/>
      <c r="F33" s="104"/>
      <c r="G33" s="104"/>
      <c r="H33" s="104"/>
      <c r="I33" s="104"/>
      <c r="J33" s="104"/>
      <c r="K33" s="104"/>
      <c r="L33" s="104"/>
      <c r="M33" s="104"/>
      <c r="N33" s="104"/>
      <c r="O33" s="104"/>
      <c r="P33" s="104"/>
      <c r="Q33" s="104"/>
      <c r="R33" s="104"/>
      <c r="S33" s="104"/>
    </row>
    <row r="34" spans="1:19" ht="18" customHeight="1">
      <c r="A34" s="104"/>
      <c r="B34" s="104"/>
      <c r="C34" s="104"/>
      <c r="D34" s="104"/>
      <c r="E34" s="104"/>
      <c r="F34" s="104"/>
      <c r="G34" s="104"/>
      <c r="H34" s="104"/>
      <c r="I34" s="104"/>
      <c r="J34" s="104"/>
      <c r="K34" s="104"/>
      <c r="L34" s="104"/>
      <c r="M34" s="104"/>
      <c r="N34" s="104"/>
      <c r="O34" s="104"/>
      <c r="P34" s="104"/>
      <c r="Q34" s="104"/>
      <c r="R34" s="104"/>
      <c r="S34" s="104"/>
    </row>
    <row r="35" spans="1:19" ht="18" customHeight="1">
      <c r="B35" s="101" t="s">
        <v>19</v>
      </c>
      <c r="C35" s="102"/>
      <c r="D35" s="102"/>
      <c r="E35" s="103"/>
      <c r="F35" s="61" t="s">
        <v>20</v>
      </c>
      <c r="G35" s="60" t="s">
        <v>21</v>
      </c>
      <c r="H35" s="22" t="s">
        <v>27</v>
      </c>
      <c r="I35" s="22" t="s">
        <v>28</v>
      </c>
      <c r="J35" s="101" t="s">
        <v>19</v>
      </c>
      <c r="K35" s="102"/>
      <c r="L35" s="102"/>
      <c r="M35" s="102"/>
      <c r="N35" s="102"/>
      <c r="O35" s="103"/>
      <c r="P35" s="61" t="s">
        <v>20</v>
      </c>
      <c r="Q35" s="60" t="s">
        <v>21</v>
      </c>
      <c r="R35" s="22" t="s">
        <v>27</v>
      </c>
      <c r="S35" s="22" t="s">
        <v>28</v>
      </c>
    </row>
    <row r="36" spans="1:19" ht="18" customHeight="1">
      <c r="B36" s="105" t="s">
        <v>29</v>
      </c>
      <c r="C36" s="106"/>
      <c r="D36" s="106"/>
      <c r="E36" s="107"/>
      <c r="F36" s="23">
        <v>1</v>
      </c>
      <c r="G36" s="23" t="s">
        <v>25</v>
      </c>
      <c r="H36" s="23" t="s">
        <v>25</v>
      </c>
      <c r="I36" s="23" t="s">
        <v>25</v>
      </c>
      <c r="J36" s="105"/>
      <c r="K36" s="106"/>
      <c r="L36" s="106"/>
      <c r="M36" s="106"/>
      <c r="N36" s="106"/>
      <c r="O36" s="107"/>
      <c r="P36" s="23"/>
      <c r="Q36" s="23"/>
      <c r="R36" s="23"/>
      <c r="S36" s="23"/>
    </row>
    <row r="37" spans="1:19" ht="18" customHeight="1">
      <c r="B37" s="95" t="s">
        <v>24</v>
      </c>
      <c r="C37" s="96"/>
      <c r="D37" s="96"/>
      <c r="E37" s="97"/>
      <c r="F37" s="24">
        <v>1</v>
      </c>
      <c r="G37" s="24" t="s">
        <v>25</v>
      </c>
      <c r="H37" s="24" t="s">
        <v>25</v>
      </c>
      <c r="I37" s="24" t="s">
        <v>25</v>
      </c>
      <c r="J37" s="95"/>
      <c r="K37" s="96"/>
      <c r="L37" s="96"/>
      <c r="M37" s="96"/>
      <c r="N37" s="96"/>
      <c r="O37" s="97"/>
      <c r="P37" s="24"/>
      <c r="Q37" s="24"/>
      <c r="R37" s="24"/>
      <c r="S37" s="24"/>
    </row>
    <row r="38" spans="1:19" ht="18" customHeight="1">
      <c r="B38" s="95"/>
      <c r="C38" s="96"/>
      <c r="D38" s="96"/>
      <c r="E38" s="97"/>
      <c r="F38" s="24"/>
      <c r="G38" s="24"/>
      <c r="H38" s="24"/>
      <c r="I38" s="24"/>
      <c r="J38" s="95"/>
      <c r="K38" s="96"/>
      <c r="L38" s="96"/>
      <c r="M38" s="96"/>
      <c r="N38" s="96"/>
      <c r="O38" s="97"/>
      <c r="P38" s="24"/>
      <c r="Q38" s="24"/>
      <c r="R38" s="24"/>
      <c r="S38" s="24"/>
    </row>
    <row r="39" spans="1:19" ht="18" customHeight="1">
      <c r="B39" s="95"/>
      <c r="C39" s="96"/>
      <c r="D39" s="96"/>
      <c r="E39" s="97"/>
      <c r="F39" s="24"/>
      <c r="G39" s="24"/>
      <c r="H39" s="24"/>
      <c r="I39" s="24"/>
      <c r="J39" s="95"/>
      <c r="K39" s="96"/>
      <c r="L39" s="96"/>
      <c r="M39" s="96"/>
      <c r="N39" s="96"/>
      <c r="O39" s="97"/>
      <c r="P39" s="24"/>
      <c r="Q39" s="24"/>
      <c r="R39" s="24"/>
      <c r="S39" s="24"/>
    </row>
    <row r="40" spans="1:19" ht="18" customHeight="1">
      <c r="B40" s="95"/>
      <c r="C40" s="96"/>
      <c r="D40" s="96"/>
      <c r="E40" s="97"/>
      <c r="F40" s="24"/>
      <c r="G40" s="24"/>
      <c r="H40" s="24"/>
      <c r="I40" s="24"/>
      <c r="J40" s="95"/>
      <c r="K40" s="96"/>
      <c r="L40" s="96"/>
      <c r="M40" s="96"/>
      <c r="N40" s="96"/>
      <c r="O40" s="97"/>
      <c r="P40" s="24"/>
      <c r="Q40" s="24"/>
      <c r="R40" s="24"/>
      <c r="S40" s="24"/>
    </row>
    <row r="41" spans="1:19" ht="18" customHeight="1">
      <c r="B41" s="95"/>
      <c r="C41" s="96"/>
      <c r="D41" s="96"/>
      <c r="E41" s="97"/>
      <c r="F41" s="24"/>
      <c r="G41" s="24"/>
      <c r="H41" s="24"/>
      <c r="I41" s="24"/>
      <c r="J41" s="95"/>
      <c r="K41" s="96"/>
      <c r="L41" s="96"/>
      <c r="M41" s="96"/>
      <c r="N41" s="96"/>
      <c r="O41" s="97"/>
      <c r="P41" s="24"/>
      <c r="Q41" s="24"/>
      <c r="R41" s="24"/>
      <c r="S41" s="24"/>
    </row>
    <row r="42" spans="1:19" ht="18" customHeight="1">
      <c r="B42" s="98"/>
      <c r="C42" s="99"/>
      <c r="D42" s="99"/>
      <c r="E42" s="100"/>
      <c r="F42" s="25"/>
      <c r="G42" s="25"/>
      <c r="H42" s="26"/>
      <c r="I42" s="26"/>
      <c r="J42" s="98"/>
      <c r="K42" s="99"/>
      <c r="L42" s="99"/>
      <c r="M42" s="99"/>
      <c r="N42" s="99"/>
      <c r="O42" s="100"/>
      <c r="P42" s="25"/>
      <c r="Q42" s="25"/>
      <c r="R42" s="26"/>
      <c r="S42" s="26"/>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4" t="s">
        <v>30</v>
      </c>
      <c r="B44" s="104"/>
      <c r="C44" s="104"/>
      <c r="D44" s="104"/>
      <c r="E44" s="104"/>
      <c r="F44" s="104"/>
      <c r="G44" s="104"/>
      <c r="H44" s="104"/>
      <c r="I44" s="104"/>
      <c r="J44" s="104"/>
      <c r="K44" s="104"/>
      <c r="L44" s="104"/>
      <c r="M44" s="104"/>
      <c r="N44" s="104"/>
      <c r="O44" s="104"/>
      <c r="P44" s="104"/>
      <c r="Q44" s="104"/>
      <c r="R44" s="104"/>
      <c r="S44" s="104"/>
    </row>
    <row r="45" spans="1:19" ht="18" customHeight="1">
      <c r="A45" s="104"/>
      <c r="B45" s="104"/>
      <c r="C45" s="104"/>
      <c r="D45" s="104"/>
      <c r="E45" s="104"/>
      <c r="F45" s="104"/>
      <c r="G45" s="104"/>
      <c r="H45" s="104"/>
      <c r="I45" s="104"/>
      <c r="J45" s="104"/>
      <c r="K45" s="104"/>
      <c r="L45" s="104"/>
      <c r="M45" s="104"/>
      <c r="N45" s="104"/>
      <c r="O45" s="104"/>
      <c r="P45" s="104"/>
      <c r="Q45" s="104"/>
      <c r="R45" s="104"/>
      <c r="S45" s="104"/>
    </row>
    <row r="46" spans="1:19" ht="18" customHeight="1">
      <c r="B46" s="101" t="s">
        <v>19</v>
      </c>
      <c r="C46" s="102"/>
      <c r="D46" s="102"/>
      <c r="E46" s="103"/>
      <c r="F46" s="61" t="s">
        <v>20</v>
      </c>
      <c r="G46" s="60" t="s">
        <v>21</v>
      </c>
      <c r="H46" s="22" t="s">
        <v>31</v>
      </c>
      <c r="I46" s="22" t="s">
        <v>32</v>
      </c>
      <c r="J46" s="101" t="s">
        <v>19</v>
      </c>
      <c r="K46" s="102"/>
      <c r="L46" s="102"/>
      <c r="M46" s="102"/>
      <c r="N46" s="102"/>
      <c r="O46" s="103"/>
      <c r="P46" s="61" t="s">
        <v>20</v>
      </c>
      <c r="Q46" s="60" t="s">
        <v>21</v>
      </c>
      <c r="R46" s="22" t="s">
        <v>31</v>
      </c>
      <c r="S46" s="22" t="s">
        <v>32</v>
      </c>
    </row>
    <row r="47" spans="1:19" ht="18" customHeight="1">
      <c r="A47" s="3"/>
      <c r="B47" s="105" t="s">
        <v>29</v>
      </c>
      <c r="C47" s="106"/>
      <c r="D47" s="106"/>
      <c r="E47" s="107"/>
      <c r="F47" s="23">
        <v>1</v>
      </c>
      <c r="G47" s="23" t="s">
        <v>25</v>
      </c>
      <c r="H47" s="23" t="s">
        <v>25</v>
      </c>
      <c r="I47" s="23" t="s">
        <v>25</v>
      </c>
      <c r="J47" s="105"/>
      <c r="K47" s="106"/>
      <c r="L47" s="106"/>
      <c r="M47" s="106"/>
      <c r="N47" s="106"/>
      <c r="O47" s="107"/>
      <c r="P47" s="23"/>
      <c r="Q47" s="23"/>
      <c r="R47" s="23"/>
      <c r="S47" s="23"/>
    </row>
    <row r="48" spans="1:19" ht="18" customHeight="1">
      <c r="A48" s="3"/>
      <c r="B48" s="95" t="s">
        <v>24</v>
      </c>
      <c r="C48" s="96"/>
      <c r="D48" s="96"/>
      <c r="E48" s="97"/>
      <c r="F48" s="24">
        <v>1</v>
      </c>
      <c r="G48" s="24" t="s">
        <v>25</v>
      </c>
      <c r="H48" s="24" t="s">
        <v>25</v>
      </c>
      <c r="I48" s="24" t="s">
        <v>25</v>
      </c>
      <c r="J48" s="95"/>
      <c r="K48" s="96"/>
      <c r="L48" s="96"/>
      <c r="M48" s="96"/>
      <c r="N48" s="96"/>
      <c r="O48" s="97"/>
      <c r="P48" s="24"/>
      <c r="Q48" s="24"/>
      <c r="R48" s="24"/>
      <c r="S48" s="24"/>
    </row>
    <row r="49" spans="1:19" ht="18" customHeight="1">
      <c r="A49" s="3"/>
      <c r="B49" s="95"/>
      <c r="C49" s="96"/>
      <c r="D49" s="96"/>
      <c r="E49" s="97"/>
      <c r="F49" s="24"/>
      <c r="G49" s="24"/>
      <c r="H49" s="24"/>
      <c r="I49" s="24"/>
      <c r="J49" s="95"/>
      <c r="K49" s="96"/>
      <c r="L49" s="96"/>
      <c r="M49" s="96"/>
      <c r="N49" s="96"/>
      <c r="O49" s="97"/>
      <c r="P49" s="24"/>
      <c r="Q49" s="24"/>
      <c r="R49" s="24"/>
      <c r="S49" s="24"/>
    </row>
    <row r="50" spans="1:19" ht="18" customHeight="1">
      <c r="A50" s="3"/>
      <c r="B50" s="95"/>
      <c r="C50" s="96"/>
      <c r="D50" s="96"/>
      <c r="E50" s="97"/>
      <c r="F50" s="24"/>
      <c r="G50" s="24"/>
      <c r="H50" s="24"/>
      <c r="I50" s="24"/>
      <c r="J50" s="95"/>
      <c r="K50" s="96"/>
      <c r="L50" s="96"/>
      <c r="M50" s="96"/>
      <c r="N50" s="96"/>
      <c r="O50" s="97"/>
      <c r="P50" s="24"/>
      <c r="Q50" s="24"/>
      <c r="R50" s="24"/>
      <c r="S50" s="24"/>
    </row>
    <row r="51" spans="1:19" ht="18" customHeight="1">
      <c r="A51" s="3"/>
      <c r="B51" s="95"/>
      <c r="C51" s="96"/>
      <c r="D51" s="96"/>
      <c r="E51" s="97"/>
      <c r="F51" s="24"/>
      <c r="G51" s="24"/>
      <c r="H51" s="24"/>
      <c r="I51" s="24"/>
      <c r="J51" s="95"/>
      <c r="K51" s="96"/>
      <c r="L51" s="96"/>
      <c r="M51" s="96"/>
      <c r="N51" s="96"/>
      <c r="O51" s="97"/>
      <c r="P51" s="24"/>
      <c r="Q51" s="24"/>
      <c r="R51" s="24"/>
      <c r="S51" s="24"/>
    </row>
    <row r="52" spans="1:19" ht="18" customHeight="1">
      <c r="A52" s="3"/>
      <c r="B52" s="95"/>
      <c r="C52" s="96"/>
      <c r="D52" s="96"/>
      <c r="E52" s="97"/>
      <c r="F52" s="24"/>
      <c r="G52" s="24"/>
      <c r="H52" s="24"/>
      <c r="I52" s="24"/>
      <c r="J52" s="95"/>
      <c r="K52" s="96"/>
      <c r="L52" s="96"/>
      <c r="M52" s="96"/>
      <c r="N52" s="96"/>
      <c r="O52" s="97"/>
      <c r="P52" s="24"/>
      <c r="Q52" s="24"/>
      <c r="R52" s="24"/>
      <c r="S52" s="24"/>
    </row>
    <row r="53" spans="1:19" ht="18" customHeight="1">
      <c r="A53" s="3"/>
      <c r="B53" s="98"/>
      <c r="C53" s="99"/>
      <c r="D53" s="99"/>
      <c r="E53" s="100"/>
      <c r="F53" s="25"/>
      <c r="G53" s="25"/>
      <c r="H53" s="26"/>
      <c r="I53" s="26"/>
      <c r="J53" s="98"/>
      <c r="K53" s="99"/>
      <c r="L53" s="99"/>
      <c r="M53" s="99"/>
      <c r="N53" s="99"/>
      <c r="O53" s="100"/>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104" t="s">
        <v>33</v>
      </c>
      <c r="B55" s="104"/>
      <c r="C55" s="104"/>
      <c r="D55" s="104"/>
      <c r="E55" s="104"/>
      <c r="F55" s="104"/>
      <c r="G55" s="104"/>
      <c r="H55" s="104"/>
      <c r="I55" s="104"/>
      <c r="J55" s="104"/>
      <c r="K55" s="104"/>
      <c r="L55" s="104"/>
      <c r="M55" s="104"/>
      <c r="N55" s="104"/>
      <c r="O55" s="104"/>
      <c r="P55" s="104"/>
      <c r="Q55" s="104"/>
      <c r="R55" s="104"/>
      <c r="S55" s="104"/>
    </row>
    <row r="56" spans="1:19" ht="18" customHeight="1">
      <c r="A56" s="104"/>
      <c r="B56" s="104"/>
      <c r="C56" s="104"/>
      <c r="D56" s="104"/>
      <c r="E56" s="104"/>
      <c r="F56" s="104"/>
      <c r="G56" s="104"/>
      <c r="H56" s="104"/>
      <c r="I56" s="104"/>
      <c r="J56" s="104"/>
      <c r="K56" s="104"/>
      <c r="L56" s="104"/>
      <c r="M56" s="104"/>
      <c r="N56" s="104"/>
      <c r="O56" s="104"/>
      <c r="P56" s="104"/>
      <c r="Q56" s="104"/>
      <c r="R56" s="104"/>
      <c r="S56" s="104"/>
    </row>
    <row r="57" spans="1:19" ht="18" customHeight="1">
      <c r="B57" s="101" t="s">
        <v>19</v>
      </c>
      <c r="C57" s="102"/>
      <c r="D57" s="102"/>
      <c r="E57" s="103"/>
      <c r="F57" s="61" t="s">
        <v>20</v>
      </c>
      <c r="G57" s="60" t="s">
        <v>21</v>
      </c>
      <c r="H57" s="22" t="s">
        <v>34</v>
      </c>
      <c r="I57" s="22" t="s">
        <v>35</v>
      </c>
      <c r="J57" s="101" t="s">
        <v>19</v>
      </c>
      <c r="K57" s="102"/>
      <c r="L57" s="102"/>
      <c r="M57" s="102"/>
      <c r="N57" s="102"/>
      <c r="O57" s="103"/>
      <c r="P57" s="61" t="s">
        <v>20</v>
      </c>
      <c r="Q57" s="60" t="s">
        <v>21</v>
      </c>
      <c r="R57" s="22" t="s">
        <v>34</v>
      </c>
      <c r="S57" s="22" t="s">
        <v>35</v>
      </c>
    </row>
    <row r="58" spans="1:19" ht="18" customHeight="1">
      <c r="A58" s="3"/>
      <c r="B58" s="105" t="s">
        <v>29</v>
      </c>
      <c r="C58" s="106"/>
      <c r="D58" s="106"/>
      <c r="E58" s="107"/>
      <c r="F58" s="23">
        <v>1</v>
      </c>
      <c r="G58" s="23" t="s">
        <v>25</v>
      </c>
      <c r="H58" s="23" t="s">
        <v>25</v>
      </c>
      <c r="I58" s="23" t="s">
        <v>25</v>
      </c>
      <c r="J58" s="105"/>
      <c r="K58" s="106"/>
      <c r="L58" s="106"/>
      <c r="M58" s="106"/>
      <c r="N58" s="106"/>
      <c r="O58" s="107"/>
      <c r="P58" s="23"/>
      <c r="Q58" s="23"/>
      <c r="R58" s="23"/>
      <c r="S58" s="23"/>
    </row>
    <row r="59" spans="1:19" ht="18" customHeight="1">
      <c r="A59" s="3"/>
      <c r="B59" s="95"/>
      <c r="C59" s="96"/>
      <c r="D59" s="96"/>
      <c r="E59" s="97"/>
      <c r="F59" s="24"/>
      <c r="G59" s="24"/>
      <c r="H59" s="24"/>
      <c r="I59" s="24"/>
      <c r="J59" s="95"/>
      <c r="K59" s="96"/>
      <c r="L59" s="96"/>
      <c r="M59" s="96"/>
      <c r="N59" s="96"/>
      <c r="O59" s="97"/>
      <c r="P59" s="24"/>
      <c r="Q59" s="24"/>
      <c r="R59" s="24"/>
      <c r="S59" s="24"/>
    </row>
    <row r="60" spans="1:19" ht="18" customHeight="1">
      <c r="A60" s="3"/>
      <c r="B60" s="95"/>
      <c r="C60" s="96"/>
      <c r="D60" s="96"/>
      <c r="E60" s="97"/>
      <c r="F60" s="24"/>
      <c r="G60" s="24"/>
      <c r="H60" s="24"/>
      <c r="I60" s="24"/>
      <c r="J60" s="95"/>
      <c r="K60" s="96"/>
      <c r="L60" s="96"/>
      <c r="M60" s="96"/>
      <c r="N60" s="96"/>
      <c r="O60" s="97"/>
      <c r="P60" s="24"/>
      <c r="Q60" s="24"/>
      <c r="R60" s="24"/>
      <c r="S60" s="24"/>
    </row>
    <row r="61" spans="1:19" ht="18" customHeight="1">
      <c r="A61" s="3"/>
      <c r="B61" s="95"/>
      <c r="C61" s="96"/>
      <c r="D61" s="96"/>
      <c r="E61" s="97"/>
      <c r="F61" s="24"/>
      <c r="G61" s="24"/>
      <c r="H61" s="24"/>
      <c r="I61" s="24"/>
      <c r="J61" s="95"/>
      <c r="K61" s="96"/>
      <c r="L61" s="96"/>
      <c r="M61" s="96"/>
      <c r="N61" s="96"/>
      <c r="O61" s="97"/>
      <c r="P61" s="24"/>
      <c r="Q61" s="24"/>
      <c r="R61" s="24"/>
      <c r="S61" s="24"/>
    </row>
    <row r="62" spans="1:19" ht="18" customHeight="1">
      <c r="A62" s="3"/>
      <c r="B62" s="95"/>
      <c r="C62" s="96"/>
      <c r="D62" s="96"/>
      <c r="E62" s="97"/>
      <c r="F62" s="24"/>
      <c r="G62" s="24"/>
      <c r="H62" s="24"/>
      <c r="I62" s="24"/>
      <c r="J62" s="95"/>
      <c r="K62" s="96"/>
      <c r="L62" s="96"/>
      <c r="M62" s="96"/>
      <c r="N62" s="96"/>
      <c r="O62" s="97"/>
      <c r="P62" s="24"/>
      <c r="Q62" s="24"/>
      <c r="R62" s="24"/>
      <c r="S62" s="24"/>
    </row>
    <row r="63" spans="1:19" ht="18" customHeight="1">
      <c r="A63" s="3"/>
      <c r="B63" s="95"/>
      <c r="C63" s="96"/>
      <c r="D63" s="96"/>
      <c r="E63" s="97"/>
      <c r="F63" s="24"/>
      <c r="G63" s="24"/>
      <c r="H63" s="24"/>
      <c r="I63" s="24"/>
      <c r="J63" s="95"/>
      <c r="K63" s="96"/>
      <c r="L63" s="96"/>
      <c r="M63" s="96"/>
      <c r="N63" s="96"/>
      <c r="O63" s="97"/>
      <c r="P63" s="24"/>
      <c r="Q63" s="24"/>
      <c r="R63" s="24"/>
      <c r="S63" s="24"/>
    </row>
    <row r="64" spans="1:19" ht="18" customHeight="1">
      <c r="A64" s="3"/>
      <c r="B64" s="98"/>
      <c r="C64" s="99"/>
      <c r="D64" s="99"/>
      <c r="E64" s="100"/>
      <c r="F64" s="25"/>
      <c r="G64" s="25"/>
      <c r="H64" s="26"/>
      <c r="I64" s="26"/>
      <c r="J64" s="98"/>
      <c r="K64" s="99"/>
      <c r="L64" s="99"/>
      <c r="M64" s="99"/>
      <c r="N64" s="99"/>
      <c r="O64" s="100"/>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104" t="s">
        <v>36</v>
      </c>
      <c r="B66" s="104"/>
      <c r="C66" s="104"/>
      <c r="D66" s="104"/>
      <c r="E66" s="104"/>
      <c r="F66" s="104"/>
      <c r="G66" s="104"/>
      <c r="H66" s="104"/>
      <c r="I66" s="104"/>
      <c r="J66" s="104"/>
      <c r="K66" s="104"/>
      <c r="L66" s="104"/>
      <c r="M66" s="104"/>
      <c r="N66" s="104"/>
      <c r="O66" s="104"/>
      <c r="P66" s="104"/>
      <c r="Q66" s="104"/>
      <c r="R66" s="104"/>
      <c r="S66" s="104"/>
    </row>
    <row r="67" spans="1:19" ht="18" customHeight="1">
      <c r="A67" s="104"/>
      <c r="B67" s="104"/>
      <c r="C67" s="104"/>
      <c r="D67" s="104"/>
      <c r="E67" s="104"/>
      <c r="F67" s="104"/>
      <c r="G67" s="104"/>
      <c r="H67" s="104"/>
      <c r="I67" s="104"/>
      <c r="J67" s="104"/>
      <c r="K67" s="104"/>
      <c r="L67" s="104"/>
      <c r="M67" s="104"/>
      <c r="N67" s="104"/>
      <c r="O67" s="104"/>
      <c r="P67" s="104"/>
      <c r="Q67" s="104"/>
      <c r="R67" s="104"/>
      <c r="S67" s="104"/>
    </row>
    <row r="68" spans="1:19" ht="18" customHeight="1">
      <c r="B68" s="101" t="s">
        <v>19</v>
      </c>
      <c r="C68" s="102"/>
      <c r="D68" s="102"/>
      <c r="E68" s="61" t="s">
        <v>20</v>
      </c>
      <c r="F68" s="60" t="s">
        <v>21</v>
      </c>
      <c r="G68" s="22" t="s">
        <v>37</v>
      </c>
      <c r="H68" s="22" t="s">
        <v>38</v>
      </c>
      <c r="I68" s="22" t="s">
        <v>39</v>
      </c>
      <c r="J68" s="101" t="s">
        <v>19</v>
      </c>
      <c r="K68" s="102"/>
      <c r="L68" s="102"/>
      <c r="M68" s="102"/>
      <c r="N68" s="103"/>
      <c r="O68" s="61" t="s">
        <v>20</v>
      </c>
      <c r="P68" s="60" t="s">
        <v>21</v>
      </c>
      <c r="Q68" s="22" t="s">
        <v>37</v>
      </c>
      <c r="R68" s="22" t="s">
        <v>38</v>
      </c>
      <c r="S68" s="22" t="s">
        <v>39</v>
      </c>
    </row>
    <row r="69" spans="1:19" ht="18" customHeight="1">
      <c r="A69" s="3"/>
      <c r="B69" s="105" t="s">
        <v>40</v>
      </c>
      <c r="C69" s="106"/>
      <c r="D69" s="106"/>
      <c r="E69" s="23">
        <v>1</v>
      </c>
      <c r="F69" s="23" t="s">
        <v>25</v>
      </c>
      <c r="G69" s="23" t="s">
        <v>25</v>
      </c>
      <c r="H69" s="23" t="s">
        <v>25</v>
      </c>
      <c r="I69" s="23" t="s">
        <v>25</v>
      </c>
      <c r="J69" s="105"/>
      <c r="K69" s="106"/>
      <c r="L69" s="106"/>
      <c r="M69" s="106"/>
      <c r="N69" s="107"/>
      <c r="O69" s="23"/>
      <c r="P69" s="23"/>
      <c r="Q69" s="23"/>
      <c r="R69" s="23"/>
      <c r="S69" s="23"/>
    </row>
    <row r="70" spans="1:19" ht="18" customHeight="1">
      <c r="A70" s="3"/>
      <c r="B70" s="95" t="s">
        <v>41</v>
      </c>
      <c r="C70" s="96"/>
      <c r="D70" s="96"/>
      <c r="E70" s="24">
        <v>1</v>
      </c>
      <c r="F70" s="24" t="s">
        <v>25</v>
      </c>
      <c r="G70" s="24" t="s">
        <v>25</v>
      </c>
      <c r="H70" s="24"/>
      <c r="I70" s="24" t="s">
        <v>25</v>
      </c>
      <c r="J70" s="95"/>
      <c r="K70" s="96"/>
      <c r="L70" s="96"/>
      <c r="M70" s="96"/>
      <c r="N70" s="97"/>
      <c r="O70" s="24"/>
      <c r="P70" s="24"/>
      <c r="Q70" s="24"/>
      <c r="R70" s="24"/>
      <c r="S70" s="24"/>
    </row>
    <row r="71" spans="1:19" ht="18" customHeight="1">
      <c r="A71" s="3"/>
      <c r="B71" s="95"/>
      <c r="C71" s="96"/>
      <c r="D71" s="96"/>
      <c r="E71" s="24"/>
      <c r="F71" s="24"/>
      <c r="G71" s="24"/>
      <c r="H71" s="24"/>
      <c r="I71" s="24"/>
      <c r="J71" s="95"/>
      <c r="K71" s="96"/>
      <c r="L71" s="96"/>
      <c r="M71" s="96"/>
      <c r="N71" s="97"/>
      <c r="O71" s="24"/>
      <c r="P71" s="24"/>
      <c r="Q71" s="24"/>
      <c r="R71" s="24"/>
      <c r="S71" s="24"/>
    </row>
    <row r="72" spans="1:19" ht="18" customHeight="1">
      <c r="A72" s="3"/>
      <c r="B72" s="95"/>
      <c r="C72" s="96"/>
      <c r="D72" s="96"/>
      <c r="E72" s="24"/>
      <c r="F72" s="24"/>
      <c r="G72" s="24"/>
      <c r="H72" s="24"/>
      <c r="I72" s="24"/>
      <c r="J72" s="95"/>
      <c r="K72" s="96"/>
      <c r="L72" s="96"/>
      <c r="M72" s="96"/>
      <c r="N72" s="97"/>
      <c r="O72" s="24"/>
      <c r="P72" s="24"/>
      <c r="Q72" s="24"/>
      <c r="R72" s="24"/>
      <c r="S72" s="24"/>
    </row>
    <row r="73" spans="1:19" ht="18" customHeight="1">
      <c r="A73" s="3"/>
      <c r="B73" s="95"/>
      <c r="C73" s="96"/>
      <c r="D73" s="96"/>
      <c r="E73" s="24"/>
      <c r="F73" s="24"/>
      <c r="G73" s="24"/>
      <c r="H73" s="24"/>
      <c r="I73" s="24"/>
      <c r="J73" s="95"/>
      <c r="K73" s="96"/>
      <c r="L73" s="96"/>
      <c r="M73" s="96"/>
      <c r="N73" s="97"/>
      <c r="O73" s="24"/>
      <c r="P73" s="24"/>
      <c r="Q73" s="24"/>
      <c r="R73" s="24"/>
      <c r="S73" s="24"/>
    </row>
    <row r="74" spans="1:19" ht="18" customHeight="1">
      <c r="A74" s="3"/>
      <c r="B74" s="95"/>
      <c r="C74" s="96"/>
      <c r="D74" s="96"/>
      <c r="E74" s="24"/>
      <c r="F74" s="24"/>
      <c r="G74" s="24"/>
      <c r="H74" s="24"/>
      <c r="I74" s="24"/>
      <c r="J74" s="95"/>
      <c r="K74" s="96"/>
      <c r="L74" s="96"/>
      <c r="M74" s="96"/>
      <c r="N74" s="97"/>
      <c r="O74" s="24"/>
      <c r="P74" s="24"/>
      <c r="Q74" s="24"/>
      <c r="R74" s="24"/>
      <c r="S74" s="24"/>
    </row>
    <row r="75" spans="1:19" ht="18" customHeight="1">
      <c r="A75" s="3"/>
      <c r="B75" s="98"/>
      <c r="C75" s="99"/>
      <c r="D75" s="99"/>
      <c r="E75" s="25"/>
      <c r="F75" s="25"/>
      <c r="G75" s="26"/>
      <c r="H75" s="26"/>
      <c r="I75" s="26"/>
      <c r="J75" s="98"/>
      <c r="K75" s="99"/>
      <c r="L75" s="99"/>
      <c r="M75" s="99"/>
      <c r="N75" s="100"/>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42</v>
      </c>
      <c r="H77" s="3"/>
      <c r="I77" s="3"/>
      <c r="J77" s="3"/>
      <c r="K77" s="3"/>
      <c r="L77" s="3"/>
      <c r="M77" s="3"/>
      <c r="N77" s="3"/>
      <c r="O77" s="3"/>
      <c r="P77" s="3"/>
      <c r="Q77" s="3"/>
      <c r="R77" s="3"/>
      <c r="S77" s="3"/>
    </row>
    <row r="78" spans="1:19" ht="18" customHeight="1">
      <c r="B78" s="101" t="s">
        <v>19</v>
      </c>
      <c r="C78" s="102"/>
      <c r="D78" s="102"/>
      <c r="E78" s="103"/>
      <c r="F78" s="101" t="s">
        <v>43</v>
      </c>
      <c r="G78" s="102"/>
      <c r="H78" s="102"/>
      <c r="I78" s="103"/>
      <c r="J78" s="149" t="s">
        <v>19</v>
      </c>
      <c r="K78" s="150"/>
      <c r="L78" s="150"/>
      <c r="M78" s="150"/>
      <c r="N78" s="150"/>
      <c r="O78" s="151"/>
      <c r="P78" s="101" t="s">
        <v>43</v>
      </c>
      <c r="Q78" s="102"/>
      <c r="R78" s="102"/>
      <c r="S78" s="103"/>
    </row>
    <row r="79" spans="1:19" ht="18" customHeight="1">
      <c r="A79" s="3"/>
      <c r="B79" s="105"/>
      <c r="C79" s="106"/>
      <c r="D79" s="106"/>
      <c r="E79" s="107"/>
      <c r="F79" s="165"/>
      <c r="G79" s="166"/>
      <c r="H79" s="166"/>
      <c r="I79" s="167"/>
      <c r="J79" s="105"/>
      <c r="K79" s="106"/>
      <c r="L79" s="106"/>
      <c r="M79" s="106"/>
      <c r="N79" s="106"/>
      <c r="O79" s="107"/>
      <c r="P79" s="165"/>
      <c r="Q79" s="166"/>
      <c r="R79" s="166"/>
      <c r="S79" s="167"/>
    </row>
    <row r="80" spans="1:19" ht="18" customHeight="1">
      <c r="A80" s="3"/>
      <c r="B80" s="95"/>
      <c r="C80" s="96"/>
      <c r="D80" s="96"/>
      <c r="E80" s="97"/>
      <c r="F80" s="134"/>
      <c r="G80" s="135"/>
      <c r="H80" s="135"/>
      <c r="I80" s="136"/>
      <c r="J80" s="95"/>
      <c r="K80" s="96"/>
      <c r="L80" s="96"/>
      <c r="M80" s="96"/>
      <c r="N80" s="96"/>
      <c r="O80" s="97"/>
      <c r="P80" s="134"/>
      <c r="Q80" s="135"/>
      <c r="R80" s="135"/>
      <c r="S80" s="136"/>
    </row>
    <row r="81" spans="1:19" ht="18" customHeight="1">
      <c r="A81" s="3"/>
      <c r="B81" s="95"/>
      <c r="C81" s="96"/>
      <c r="D81" s="96"/>
      <c r="E81" s="97"/>
      <c r="F81" s="134"/>
      <c r="G81" s="135"/>
      <c r="H81" s="135"/>
      <c r="I81" s="136"/>
      <c r="J81" s="95"/>
      <c r="K81" s="96"/>
      <c r="L81" s="96"/>
      <c r="M81" s="96"/>
      <c r="N81" s="96"/>
      <c r="O81" s="97"/>
      <c r="P81" s="134"/>
      <c r="Q81" s="135"/>
      <c r="R81" s="135"/>
      <c r="S81" s="136"/>
    </row>
    <row r="82" spans="1:19" ht="18" customHeight="1">
      <c r="A82" s="3"/>
      <c r="B82" s="95"/>
      <c r="C82" s="96"/>
      <c r="D82" s="96"/>
      <c r="E82" s="97"/>
      <c r="F82" s="134"/>
      <c r="G82" s="135"/>
      <c r="H82" s="135"/>
      <c r="I82" s="136"/>
      <c r="J82" s="95"/>
      <c r="K82" s="96"/>
      <c r="L82" s="96"/>
      <c r="M82" s="96"/>
      <c r="N82" s="96"/>
      <c r="O82" s="97"/>
      <c r="P82" s="134"/>
      <c r="Q82" s="135"/>
      <c r="R82" s="135"/>
      <c r="S82" s="136"/>
    </row>
    <row r="83" spans="1:19" ht="18" customHeight="1">
      <c r="A83" s="3"/>
      <c r="B83" s="95"/>
      <c r="C83" s="96"/>
      <c r="D83" s="96"/>
      <c r="E83" s="97"/>
      <c r="F83" s="134"/>
      <c r="G83" s="135"/>
      <c r="H83" s="135"/>
      <c r="I83" s="136"/>
      <c r="J83" s="95"/>
      <c r="K83" s="96"/>
      <c r="L83" s="96"/>
      <c r="M83" s="96"/>
      <c r="N83" s="96"/>
      <c r="O83" s="97"/>
      <c r="P83" s="134"/>
      <c r="Q83" s="135"/>
      <c r="R83" s="135"/>
      <c r="S83" s="136"/>
    </row>
    <row r="84" spans="1:19" ht="18" customHeight="1">
      <c r="A84" s="3"/>
      <c r="B84" s="95"/>
      <c r="C84" s="96"/>
      <c r="D84" s="96"/>
      <c r="E84" s="97"/>
      <c r="F84" s="134"/>
      <c r="G84" s="135"/>
      <c r="H84" s="135"/>
      <c r="I84" s="136"/>
      <c r="J84" s="95"/>
      <c r="K84" s="96"/>
      <c r="L84" s="96"/>
      <c r="M84" s="96"/>
      <c r="N84" s="96"/>
      <c r="O84" s="97"/>
      <c r="P84" s="134"/>
      <c r="Q84" s="135"/>
      <c r="R84" s="135"/>
      <c r="S84" s="136"/>
    </row>
    <row r="85" spans="1:19" ht="18" customHeight="1">
      <c r="A85" s="3"/>
      <c r="B85" s="98"/>
      <c r="C85" s="99"/>
      <c r="D85" s="99"/>
      <c r="E85" s="100"/>
      <c r="F85" s="131"/>
      <c r="G85" s="132"/>
      <c r="H85" s="132"/>
      <c r="I85" s="133"/>
      <c r="J85" s="98"/>
      <c r="K85" s="99"/>
      <c r="L85" s="99"/>
      <c r="M85" s="99"/>
      <c r="N85" s="99"/>
      <c r="O85" s="100"/>
      <c r="P85" s="131"/>
      <c r="Q85" s="132"/>
      <c r="R85" s="132"/>
      <c r="S85" s="133"/>
    </row>
    <row r="86" spans="1:19" ht="18" customHeight="1">
      <c r="A86" s="3"/>
      <c r="B86" s="6"/>
      <c r="C86" s="6"/>
      <c r="D86" s="6"/>
      <c r="E86" s="6"/>
      <c r="F86" s="27"/>
      <c r="G86" s="27"/>
      <c r="H86" s="27"/>
      <c r="I86" s="27"/>
      <c r="J86" s="6"/>
      <c r="K86" s="6"/>
      <c r="L86" s="6"/>
      <c r="M86" s="6"/>
      <c r="N86" s="6"/>
      <c r="O86" s="6"/>
      <c r="P86" s="27"/>
      <c r="Q86" s="27"/>
      <c r="R86" s="27"/>
      <c r="S86" s="27"/>
    </row>
    <row r="87" spans="1:19" ht="18.75" customHeight="1">
      <c r="A87" s="1" t="s">
        <v>44</v>
      </c>
    </row>
    <row r="88" spans="1:19" ht="18.75" customHeight="1">
      <c r="B88" s="160" t="s">
        <v>45</v>
      </c>
      <c r="C88" s="161"/>
      <c r="D88" s="102" t="s">
        <v>46</v>
      </c>
      <c r="E88" s="102"/>
      <c r="F88" s="102"/>
      <c r="G88" s="102"/>
      <c r="H88" s="102"/>
      <c r="I88" s="102"/>
      <c r="J88" s="102"/>
      <c r="K88" s="102"/>
      <c r="L88" s="102"/>
      <c r="M88" s="102"/>
      <c r="N88" s="102"/>
      <c r="O88" s="102"/>
      <c r="P88" s="102"/>
      <c r="Q88" s="102"/>
      <c r="R88" s="102"/>
      <c r="S88" s="103"/>
    </row>
    <row r="89" spans="1:19" ht="145.5" customHeight="1">
      <c r="B89" s="152" t="s">
        <v>47</v>
      </c>
      <c r="C89" s="28" t="s">
        <v>22</v>
      </c>
      <c r="D89" s="162" t="s">
        <v>48</v>
      </c>
      <c r="E89" s="163"/>
      <c r="F89" s="163"/>
      <c r="G89" s="163"/>
      <c r="H89" s="163"/>
      <c r="I89" s="163"/>
      <c r="J89" s="163"/>
      <c r="K89" s="163"/>
      <c r="L89" s="163"/>
      <c r="M89" s="163"/>
      <c r="N89" s="163"/>
      <c r="O89" s="163"/>
      <c r="P89" s="163"/>
      <c r="Q89" s="163"/>
      <c r="R89" s="163"/>
      <c r="S89" s="164"/>
    </row>
    <row r="90" spans="1:19" ht="60.6" customHeight="1">
      <c r="B90" s="154"/>
      <c r="C90" s="29" t="s">
        <v>49</v>
      </c>
      <c r="D90" s="137" t="s">
        <v>50</v>
      </c>
      <c r="E90" s="138"/>
      <c r="F90" s="138"/>
      <c r="G90" s="138"/>
      <c r="H90" s="138"/>
      <c r="I90" s="138"/>
      <c r="J90" s="138"/>
      <c r="K90" s="138"/>
      <c r="L90" s="138"/>
      <c r="M90" s="138"/>
      <c r="N90" s="138"/>
      <c r="O90" s="138"/>
      <c r="P90" s="138"/>
      <c r="Q90" s="138"/>
      <c r="R90" s="138"/>
      <c r="S90" s="139"/>
    </row>
    <row r="91" spans="1:19" ht="97.5" customHeight="1">
      <c r="B91" s="152" t="s">
        <v>51</v>
      </c>
      <c r="C91" s="30" t="s">
        <v>27</v>
      </c>
      <c r="D91" s="140" t="s">
        <v>52</v>
      </c>
      <c r="E91" s="141"/>
      <c r="F91" s="141"/>
      <c r="G91" s="141"/>
      <c r="H91" s="141"/>
      <c r="I91" s="141"/>
      <c r="J91" s="141"/>
      <c r="K91" s="141"/>
      <c r="L91" s="141"/>
      <c r="M91" s="141"/>
      <c r="N91" s="141"/>
      <c r="O91" s="141"/>
      <c r="P91" s="141"/>
      <c r="Q91" s="141"/>
      <c r="R91" s="141"/>
      <c r="S91" s="142"/>
    </row>
    <row r="92" spans="1:19" ht="85.5" customHeight="1">
      <c r="B92" s="153"/>
      <c r="C92" s="31" t="s">
        <v>28</v>
      </c>
      <c r="D92" s="146" t="s">
        <v>53</v>
      </c>
      <c r="E92" s="144"/>
      <c r="F92" s="144"/>
      <c r="G92" s="144"/>
      <c r="H92" s="144"/>
      <c r="I92" s="144"/>
      <c r="J92" s="144"/>
      <c r="K92" s="144"/>
      <c r="L92" s="144"/>
      <c r="M92" s="144"/>
      <c r="N92" s="144"/>
      <c r="O92" s="144"/>
      <c r="P92" s="144"/>
      <c r="Q92" s="144"/>
      <c r="R92" s="144"/>
      <c r="S92" s="145"/>
    </row>
    <row r="93" spans="1:19" ht="91.5" customHeight="1">
      <c r="B93" s="152" t="s">
        <v>54</v>
      </c>
      <c r="C93" s="30" t="s">
        <v>31</v>
      </c>
      <c r="D93" s="147" t="s">
        <v>55</v>
      </c>
      <c r="E93" s="141"/>
      <c r="F93" s="141"/>
      <c r="G93" s="141"/>
      <c r="H93" s="141"/>
      <c r="I93" s="141"/>
      <c r="J93" s="141"/>
      <c r="K93" s="141"/>
      <c r="L93" s="141"/>
      <c r="M93" s="141"/>
      <c r="N93" s="141"/>
      <c r="O93" s="141"/>
      <c r="P93" s="141"/>
      <c r="Q93" s="141"/>
      <c r="R93" s="141"/>
      <c r="S93" s="142"/>
    </row>
    <row r="94" spans="1:19" ht="97.5" customHeight="1">
      <c r="B94" s="153"/>
      <c r="C94" s="32" t="s">
        <v>32</v>
      </c>
      <c r="D94" s="143" t="s">
        <v>56</v>
      </c>
      <c r="E94" s="144"/>
      <c r="F94" s="144"/>
      <c r="G94" s="144"/>
      <c r="H94" s="144"/>
      <c r="I94" s="144"/>
      <c r="J94" s="144"/>
      <c r="K94" s="144"/>
      <c r="L94" s="144"/>
      <c r="M94" s="144"/>
      <c r="N94" s="144"/>
      <c r="O94" s="144"/>
      <c r="P94" s="144"/>
      <c r="Q94" s="144"/>
      <c r="R94" s="144"/>
      <c r="S94" s="145"/>
    </row>
    <row r="95" spans="1:19" ht="69.599999999999994" customHeight="1">
      <c r="B95" s="152" t="s">
        <v>57</v>
      </c>
      <c r="C95" s="28" t="s">
        <v>34</v>
      </c>
      <c r="D95" s="157" t="s">
        <v>58</v>
      </c>
      <c r="E95" s="158"/>
      <c r="F95" s="158"/>
      <c r="G95" s="158"/>
      <c r="H95" s="158"/>
      <c r="I95" s="158"/>
      <c r="J95" s="158"/>
      <c r="K95" s="158"/>
      <c r="L95" s="158"/>
      <c r="M95" s="158"/>
      <c r="N95" s="158"/>
      <c r="O95" s="158"/>
      <c r="P95" s="158"/>
      <c r="Q95" s="158"/>
      <c r="R95" s="158"/>
      <c r="S95" s="159"/>
    </row>
    <row r="96" spans="1:19" ht="97.5" customHeight="1">
      <c r="B96" s="153"/>
      <c r="C96" s="31" t="s">
        <v>35</v>
      </c>
      <c r="D96" s="143" t="s">
        <v>59</v>
      </c>
      <c r="E96" s="144"/>
      <c r="F96" s="144"/>
      <c r="G96" s="144"/>
      <c r="H96" s="144"/>
      <c r="I96" s="144"/>
      <c r="J96" s="144"/>
      <c r="K96" s="144"/>
      <c r="L96" s="144"/>
      <c r="M96" s="144"/>
      <c r="N96" s="144"/>
      <c r="O96" s="144"/>
      <c r="P96" s="144"/>
      <c r="Q96" s="144"/>
      <c r="R96" s="144"/>
      <c r="S96" s="145"/>
    </row>
    <row r="97" spans="1:19" ht="240.95" customHeight="1">
      <c r="B97" s="152" t="s">
        <v>60</v>
      </c>
      <c r="C97" s="30" t="s">
        <v>61</v>
      </c>
      <c r="D97" s="155" t="s">
        <v>62</v>
      </c>
      <c r="E97" s="106"/>
      <c r="F97" s="106"/>
      <c r="G97" s="106"/>
      <c r="H97" s="106"/>
      <c r="I97" s="106"/>
      <c r="J97" s="106"/>
      <c r="K97" s="106"/>
      <c r="L97" s="106"/>
      <c r="M97" s="106"/>
      <c r="N97" s="106"/>
      <c r="O97" s="106"/>
      <c r="P97" s="106"/>
      <c r="Q97" s="106"/>
      <c r="R97" s="106"/>
      <c r="S97" s="107"/>
    </row>
    <row r="98" spans="1:19" ht="146.1" customHeight="1">
      <c r="B98" s="154"/>
      <c r="C98" s="33" t="s">
        <v>38</v>
      </c>
      <c r="D98" s="148" t="s">
        <v>63</v>
      </c>
      <c r="E98" s="96"/>
      <c r="F98" s="96"/>
      <c r="G98" s="96"/>
      <c r="H98" s="96"/>
      <c r="I98" s="96"/>
      <c r="J98" s="96"/>
      <c r="K98" s="96"/>
      <c r="L98" s="96"/>
      <c r="M98" s="96"/>
      <c r="N98" s="96"/>
      <c r="O98" s="96"/>
      <c r="P98" s="96"/>
      <c r="Q98" s="96"/>
      <c r="R98" s="96"/>
      <c r="S98" s="97"/>
    </row>
    <row r="99" spans="1:19" ht="97.5" customHeight="1">
      <c r="B99" s="153"/>
      <c r="C99" s="32" t="s">
        <v>39</v>
      </c>
      <c r="D99" s="156" t="s">
        <v>64</v>
      </c>
      <c r="E99" s="99"/>
      <c r="F99" s="99"/>
      <c r="G99" s="99"/>
      <c r="H99" s="99"/>
      <c r="I99" s="99"/>
      <c r="J99" s="99"/>
      <c r="K99" s="99"/>
      <c r="L99" s="99"/>
      <c r="M99" s="99"/>
      <c r="N99" s="99"/>
      <c r="O99" s="99"/>
      <c r="P99" s="99"/>
      <c r="Q99" s="99"/>
      <c r="R99" s="99"/>
      <c r="S99" s="100"/>
    </row>
    <row r="100" spans="1:19" ht="6" customHeight="1"/>
    <row r="101" spans="1:19" ht="18.75" customHeight="1">
      <c r="A101" s="1" t="s">
        <v>65</v>
      </c>
    </row>
    <row r="102" spans="1:19" ht="81.75" customHeight="1">
      <c r="B102" s="128" t="s">
        <v>66</v>
      </c>
      <c r="C102" s="129"/>
      <c r="D102" s="129"/>
      <c r="E102" s="129"/>
      <c r="F102" s="129"/>
      <c r="G102" s="129"/>
      <c r="H102" s="129"/>
      <c r="I102" s="129"/>
      <c r="J102" s="129"/>
      <c r="K102" s="129"/>
      <c r="L102" s="129"/>
      <c r="M102" s="129"/>
      <c r="N102" s="129"/>
      <c r="O102" s="129"/>
      <c r="P102" s="129"/>
      <c r="Q102" s="129"/>
      <c r="R102" s="129"/>
      <c r="S102" s="130"/>
    </row>
    <row r="110" spans="1:19" ht="18" customHeight="1"/>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G36:I42 Q36:S42 P69:S75 Q47:S53 G47:I53 Q58:S64 F69:I75 G58:I64">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19" zoomScale="85" zoomScaleNormal="100" zoomScaleSheetLayoutView="85" workbookViewId="0">
      <selection activeCell="W47" sqref="W47"/>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08" t="s">
        <v>189</v>
      </c>
      <c r="S1" s="108"/>
      <c r="T1" s="2" t="s">
        <v>0</v>
      </c>
    </row>
    <row r="2" spans="1:22" ht="18.75" customHeight="1">
      <c r="B2" s="34" t="s">
        <v>1</v>
      </c>
      <c r="C2" s="101" t="s">
        <v>2</v>
      </c>
      <c r="D2" s="102"/>
      <c r="E2" s="102"/>
      <c r="F2" s="102"/>
      <c r="G2" s="102"/>
      <c r="H2" s="102"/>
      <c r="I2" s="103"/>
      <c r="J2" s="35"/>
      <c r="K2" s="6"/>
      <c r="L2" s="6"/>
      <c r="M2" s="6"/>
      <c r="N2" s="6"/>
      <c r="O2" s="6"/>
      <c r="P2" s="6"/>
      <c r="Q2" s="6"/>
      <c r="R2" s="6"/>
      <c r="S2" s="6"/>
    </row>
    <row r="3" spans="1:22" ht="18.75" customHeight="1">
      <c r="B3" s="34" t="s">
        <v>3</v>
      </c>
      <c r="C3" s="112" t="s">
        <v>4</v>
      </c>
      <c r="D3" s="113"/>
      <c r="E3" s="113"/>
      <c r="F3" s="113"/>
      <c r="G3" s="113"/>
      <c r="H3" s="113"/>
      <c r="I3" s="114"/>
      <c r="J3" s="35"/>
      <c r="K3" s="6"/>
      <c r="L3" s="6"/>
      <c r="M3" s="6"/>
      <c r="N3" s="6"/>
      <c r="O3" s="6"/>
      <c r="P3" s="6"/>
      <c r="Q3" s="6"/>
      <c r="R3" s="6"/>
      <c r="S3" s="6"/>
    </row>
    <row r="4" spans="1:22" ht="15" customHeight="1">
      <c r="K4" s="35"/>
      <c r="L4" s="37"/>
      <c r="M4" s="37"/>
      <c r="N4" s="37"/>
      <c r="O4" s="37"/>
      <c r="P4" s="37"/>
      <c r="Q4" s="37"/>
      <c r="R4" s="37"/>
      <c r="S4" s="37"/>
    </row>
    <row r="5" spans="1:22" ht="18" customHeight="1">
      <c r="A5" s="115" t="s">
        <v>5</v>
      </c>
      <c r="B5" s="115"/>
      <c r="C5" s="115"/>
      <c r="D5" s="115"/>
      <c r="E5" s="115"/>
      <c r="F5" s="115"/>
      <c r="G5" s="115"/>
      <c r="H5" s="115"/>
      <c r="I5" s="115"/>
      <c r="J5" s="115"/>
      <c r="K5" s="115"/>
      <c r="L5" s="115"/>
      <c r="M5" s="115"/>
      <c r="N5" s="115"/>
      <c r="O5" s="115"/>
      <c r="P5" s="115"/>
      <c r="Q5" s="115"/>
      <c r="R5" s="115"/>
      <c r="S5" s="115"/>
    </row>
    <row r="6" spans="1:22" ht="15" customHeight="1">
      <c r="B6" s="3"/>
      <c r="C6" s="3"/>
      <c r="D6" s="3"/>
      <c r="E6" s="3"/>
      <c r="F6" s="3"/>
      <c r="G6" s="3"/>
      <c r="H6" s="3"/>
      <c r="I6" s="3"/>
      <c r="J6" s="3"/>
      <c r="K6" s="3"/>
      <c r="L6" s="3"/>
      <c r="M6" s="3"/>
      <c r="N6" s="3"/>
      <c r="O6" s="3"/>
      <c r="P6" s="3"/>
      <c r="Q6" s="3"/>
      <c r="R6" s="3"/>
      <c r="S6" s="3"/>
    </row>
    <row r="7" spans="1:22" ht="18" customHeight="1">
      <c r="A7" s="1" t="s">
        <v>6</v>
      </c>
      <c r="C7" s="3"/>
      <c r="J7" s="38" t="s">
        <v>7</v>
      </c>
      <c r="K7" s="125" t="s">
        <v>8</v>
      </c>
      <c r="L7" s="126"/>
      <c r="M7" s="126"/>
      <c r="N7" s="126"/>
      <c r="O7" s="126"/>
      <c r="P7" s="126"/>
      <c r="Q7" s="126"/>
      <c r="R7" s="126"/>
      <c r="S7" s="127"/>
    </row>
    <row r="8" spans="1:22" ht="6" customHeight="1">
      <c r="B8" s="3"/>
      <c r="C8" s="3"/>
      <c r="D8" s="3"/>
      <c r="E8" s="3"/>
      <c r="F8" s="3"/>
      <c r="G8" s="3"/>
      <c r="H8" s="3"/>
      <c r="I8" s="3"/>
      <c r="J8" s="3"/>
      <c r="K8" s="10"/>
      <c r="L8" s="3"/>
      <c r="M8" s="3"/>
      <c r="N8" s="3"/>
      <c r="O8" s="3"/>
      <c r="P8" s="3"/>
      <c r="Q8" s="3"/>
      <c r="R8" s="3"/>
      <c r="S8" s="3"/>
    </row>
    <row r="9" spans="1:22" ht="18" customHeight="1">
      <c r="B9" s="89" t="s">
        <v>67</v>
      </c>
      <c r="C9" s="90"/>
      <c r="D9" s="90"/>
      <c r="E9" s="90"/>
      <c r="F9" s="90"/>
      <c r="G9" s="90"/>
      <c r="H9" s="90"/>
      <c r="I9" s="90"/>
      <c r="J9" s="90"/>
      <c r="K9" s="90"/>
      <c r="L9" s="90"/>
      <c r="M9" s="90"/>
      <c r="N9" s="90"/>
      <c r="O9" s="90"/>
      <c r="P9" s="90"/>
      <c r="Q9" s="90"/>
      <c r="R9" s="90"/>
      <c r="S9" s="91"/>
    </row>
    <row r="10" spans="1:22" ht="18" customHeight="1">
      <c r="B10" s="92"/>
      <c r="C10" s="93"/>
      <c r="D10" s="93"/>
      <c r="E10" s="93"/>
      <c r="F10" s="93"/>
      <c r="G10" s="93"/>
      <c r="H10" s="93"/>
      <c r="I10" s="93"/>
      <c r="J10" s="93"/>
      <c r="K10" s="93"/>
      <c r="L10" s="93"/>
      <c r="M10" s="93"/>
      <c r="N10" s="93"/>
      <c r="O10" s="93"/>
      <c r="P10" s="93"/>
      <c r="Q10" s="93"/>
      <c r="R10" s="93"/>
      <c r="S10" s="94"/>
    </row>
    <row r="11" spans="1:22" ht="6" customHeight="1">
      <c r="B11" s="3"/>
      <c r="C11" s="3"/>
      <c r="D11" s="3"/>
      <c r="E11" s="3"/>
      <c r="F11" s="3"/>
      <c r="G11" s="3"/>
      <c r="H11" s="3"/>
      <c r="I11" s="3"/>
      <c r="J11" s="3"/>
      <c r="K11" s="10"/>
      <c r="L11" s="3"/>
      <c r="M11" s="3"/>
      <c r="N11" s="3"/>
      <c r="O11" s="3"/>
      <c r="P11" s="3"/>
      <c r="Q11" s="3"/>
      <c r="R11" s="3"/>
      <c r="S11" s="3"/>
    </row>
    <row r="12" spans="1:22" ht="18" customHeight="1">
      <c r="A12" s="1" t="s">
        <v>10</v>
      </c>
      <c r="B12" s="3"/>
      <c r="C12" s="3"/>
      <c r="D12" s="35"/>
      <c r="E12" s="35"/>
      <c r="F12" s="35"/>
      <c r="G12" s="35"/>
      <c r="H12" s="35"/>
      <c r="I12" s="35"/>
      <c r="J12" s="35"/>
      <c r="K12" s="39"/>
      <c r="L12" s="39"/>
      <c r="M12" s="39"/>
      <c r="N12" s="39"/>
      <c r="O12" s="39"/>
      <c r="P12" s="39"/>
      <c r="Q12" s="39"/>
      <c r="R12" s="39"/>
      <c r="S12" s="39"/>
    </row>
    <row r="13" spans="1:22" ht="18" customHeight="1">
      <c r="B13" s="116" t="s">
        <v>213</v>
      </c>
      <c r="C13" s="117"/>
      <c r="D13" s="117"/>
      <c r="E13" s="117"/>
      <c r="F13" s="117"/>
      <c r="G13" s="117"/>
      <c r="H13" s="117"/>
      <c r="I13" s="117"/>
      <c r="J13" s="117"/>
      <c r="K13" s="117"/>
      <c r="L13" s="117"/>
      <c r="M13" s="117"/>
      <c r="N13" s="117"/>
      <c r="O13" s="117"/>
      <c r="P13" s="117"/>
      <c r="Q13" s="117"/>
      <c r="R13" s="117"/>
      <c r="S13" s="118"/>
      <c r="V13" s="1" t="s">
        <v>11</v>
      </c>
    </row>
    <row r="14" spans="1:22" ht="18" customHeight="1">
      <c r="B14" s="119"/>
      <c r="C14" s="120"/>
      <c r="D14" s="120"/>
      <c r="E14" s="120"/>
      <c r="F14" s="120"/>
      <c r="G14" s="120"/>
      <c r="H14" s="120"/>
      <c r="I14" s="120"/>
      <c r="J14" s="120"/>
      <c r="K14" s="120"/>
      <c r="L14" s="120"/>
      <c r="M14" s="120"/>
      <c r="N14" s="120"/>
      <c r="O14" s="120"/>
      <c r="P14" s="120"/>
      <c r="Q14" s="120"/>
      <c r="R14" s="120"/>
      <c r="S14" s="121"/>
      <c r="V14" s="1" t="s">
        <v>12</v>
      </c>
    </row>
    <row r="15" spans="1:22" ht="18" customHeight="1">
      <c r="B15" s="119"/>
      <c r="C15" s="120"/>
      <c r="D15" s="120"/>
      <c r="E15" s="120"/>
      <c r="F15" s="120"/>
      <c r="G15" s="120"/>
      <c r="H15" s="120"/>
      <c r="I15" s="120"/>
      <c r="J15" s="120"/>
      <c r="K15" s="120"/>
      <c r="L15" s="120"/>
      <c r="M15" s="120"/>
      <c r="N15" s="120"/>
      <c r="O15" s="120"/>
      <c r="P15" s="120"/>
      <c r="Q15" s="120"/>
      <c r="R15" s="120"/>
      <c r="S15" s="121"/>
      <c r="V15" s="1" t="s">
        <v>13</v>
      </c>
    </row>
    <row r="16" spans="1:22" ht="18" customHeight="1">
      <c r="B16" s="119"/>
      <c r="C16" s="120"/>
      <c r="D16" s="120"/>
      <c r="E16" s="120"/>
      <c r="F16" s="120"/>
      <c r="G16" s="120"/>
      <c r="H16" s="120"/>
      <c r="I16" s="120"/>
      <c r="J16" s="120"/>
      <c r="K16" s="120"/>
      <c r="L16" s="120"/>
      <c r="M16" s="120"/>
      <c r="N16" s="120"/>
      <c r="O16" s="120"/>
      <c r="P16" s="120"/>
      <c r="Q16" s="120"/>
      <c r="R16" s="120"/>
      <c r="S16" s="121"/>
      <c r="V16" s="1" t="s">
        <v>14</v>
      </c>
    </row>
    <row r="17" spans="1:19" ht="18" customHeight="1">
      <c r="B17" s="119"/>
      <c r="C17" s="120"/>
      <c r="D17" s="120"/>
      <c r="E17" s="120"/>
      <c r="F17" s="120"/>
      <c r="G17" s="120"/>
      <c r="H17" s="120"/>
      <c r="I17" s="120"/>
      <c r="J17" s="120"/>
      <c r="K17" s="120"/>
      <c r="L17" s="120"/>
      <c r="M17" s="120"/>
      <c r="N17" s="120"/>
      <c r="O17" s="120"/>
      <c r="P17" s="120"/>
      <c r="Q17" s="120"/>
      <c r="R17" s="120"/>
      <c r="S17" s="121"/>
    </row>
    <row r="18" spans="1:19" ht="18" customHeight="1">
      <c r="B18" s="122"/>
      <c r="C18" s="123"/>
      <c r="D18" s="123"/>
      <c r="E18" s="123"/>
      <c r="F18" s="123"/>
      <c r="G18" s="123"/>
      <c r="H18" s="123"/>
      <c r="I18" s="123"/>
      <c r="J18" s="123"/>
      <c r="K18" s="123"/>
      <c r="L18" s="123"/>
      <c r="M18" s="123"/>
      <c r="N18" s="123"/>
      <c r="O18" s="123"/>
      <c r="P18" s="123"/>
      <c r="Q18" s="123"/>
      <c r="R18" s="123"/>
      <c r="S18" s="124"/>
    </row>
    <row r="19" spans="1:19" ht="7.5" customHeight="1">
      <c r="B19" s="3"/>
      <c r="C19" s="3"/>
      <c r="D19" s="3"/>
      <c r="E19" s="3"/>
      <c r="F19" s="3"/>
      <c r="G19" s="3"/>
      <c r="H19" s="3"/>
      <c r="I19" s="3"/>
      <c r="J19" s="3"/>
      <c r="K19" s="3"/>
      <c r="L19" s="3"/>
      <c r="M19" s="3"/>
      <c r="N19" s="3"/>
      <c r="O19" s="3"/>
      <c r="P19" s="3"/>
      <c r="Q19" s="3"/>
      <c r="R19" s="3"/>
      <c r="S19" s="3"/>
    </row>
    <row r="20" spans="1:19" ht="20.100000000000001" customHeight="1">
      <c r="B20" s="1" t="s">
        <v>15</v>
      </c>
      <c r="C20" s="101">
        <v>5</v>
      </c>
      <c r="D20" s="103"/>
      <c r="E20" s="40" t="s">
        <v>16</v>
      </c>
      <c r="G20" s="10"/>
      <c r="H20" s="3"/>
      <c r="I20" s="3"/>
      <c r="J20" s="35" t="s">
        <v>17</v>
      </c>
      <c r="K20" s="109" t="s">
        <v>12</v>
      </c>
      <c r="L20" s="110"/>
      <c r="M20" s="110"/>
      <c r="N20" s="110"/>
      <c r="O20" s="110"/>
      <c r="P20" s="110"/>
      <c r="Q20" s="110"/>
      <c r="R20" s="110"/>
      <c r="S20" s="111"/>
    </row>
    <row r="21" spans="1:19" ht="7.5" customHeight="1">
      <c r="B21" s="3"/>
      <c r="C21" s="3"/>
      <c r="D21" s="3"/>
      <c r="E21" s="3"/>
      <c r="F21" s="3"/>
      <c r="G21" s="3"/>
      <c r="H21" s="3"/>
      <c r="I21" s="3"/>
      <c r="J21" s="3"/>
      <c r="K21" s="3"/>
      <c r="L21" s="3"/>
      <c r="M21" s="3"/>
      <c r="N21" s="3"/>
      <c r="O21" s="3"/>
      <c r="P21" s="3"/>
      <c r="Q21" s="3"/>
      <c r="R21" s="3"/>
      <c r="S21" s="3"/>
    </row>
    <row r="22" spans="1:19" ht="18" customHeight="1">
      <c r="A22" s="104" t="s">
        <v>18</v>
      </c>
      <c r="B22" s="104"/>
      <c r="C22" s="104"/>
      <c r="D22" s="104"/>
      <c r="E22" s="104"/>
      <c r="F22" s="104"/>
      <c r="G22" s="104"/>
      <c r="H22" s="104"/>
      <c r="I22" s="104"/>
      <c r="J22" s="104"/>
      <c r="K22" s="104"/>
      <c r="L22" s="104"/>
      <c r="M22" s="104"/>
      <c r="N22" s="104"/>
      <c r="O22" s="104"/>
      <c r="P22" s="104"/>
      <c r="Q22" s="104"/>
      <c r="R22" s="104"/>
      <c r="S22" s="104"/>
    </row>
    <row r="23" spans="1:19" ht="18" customHeight="1">
      <c r="A23" s="104"/>
      <c r="B23" s="104"/>
      <c r="C23" s="104"/>
      <c r="D23" s="104"/>
      <c r="E23" s="104"/>
      <c r="F23" s="104"/>
      <c r="G23" s="104"/>
      <c r="H23" s="104"/>
      <c r="I23" s="104"/>
      <c r="J23" s="104"/>
      <c r="K23" s="104"/>
      <c r="L23" s="104"/>
      <c r="M23" s="104"/>
      <c r="N23" s="104"/>
      <c r="O23" s="104"/>
      <c r="P23" s="104"/>
      <c r="Q23" s="104"/>
      <c r="R23" s="104"/>
      <c r="S23" s="104"/>
    </row>
    <row r="24" spans="1:19" ht="18" customHeight="1">
      <c r="B24" s="101" t="s">
        <v>19</v>
      </c>
      <c r="C24" s="102"/>
      <c r="D24" s="102"/>
      <c r="E24" s="103"/>
      <c r="F24" s="61" t="s">
        <v>20</v>
      </c>
      <c r="G24" s="60" t="s">
        <v>21</v>
      </c>
      <c r="H24" s="22" t="s">
        <v>22</v>
      </c>
      <c r="I24" s="22" t="s">
        <v>23</v>
      </c>
      <c r="J24" s="101" t="s">
        <v>19</v>
      </c>
      <c r="K24" s="102"/>
      <c r="L24" s="102"/>
      <c r="M24" s="102"/>
      <c r="N24" s="102"/>
      <c r="O24" s="103"/>
      <c r="P24" s="61" t="s">
        <v>20</v>
      </c>
      <c r="Q24" s="60" t="s">
        <v>21</v>
      </c>
      <c r="R24" s="22" t="s">
        <v>22</v>
      </c>
      <c r="S24" s="22" t="s">
        <v>23</v>
      </c>
    </row>
    <row r="25" spans="1:19" ht="18" customHeight="1">
      <c r="B25" s="105" t="s">
        <v>68</v>
      </c>
      <c r="C25" s="106"/>
      <c r="D25" s="106"/>
      <c r="E25" s="107"/>
      <c r="F25" s="23">
        <v>1</v>
      </c>
      <c r="G25" s="23" t="s">
        <v>25</v>
      </c>
      <c r="H25" s="23" t="s">
        <v>25</v>
      </c>
      <c r="I25" s="23" t="s">
        <v>25</v>
      </c>
      <c r="J25" s="105"/>
      <c r="K25" s="106"/>
      <c r="L25" s="106"/>
      <c r="M25" s="106"/>
      <c r="N25" s="106"/>
      <c r="O25" s="107"/>
      <c r="P25" s="23"/>
      <c r="Q25" s="23"/>
      <c r="R25" s="23"/>
      <c r="S25" s="23"/>
    </row>
    <row r="26" spans="1:19" ht="18" customHeight="1">
      <c r="B26" s="95"/>
      <c r="C26" s="96"/>
      <c r="D26" s="96"/>
      <c r="E26" s="97"/>
      <c r="F26" s="24"/>
      <c r="G26" s="24"/>
      <c r="H26" s="24"/>
      <c r="I26" s="24"/>
      <c r="J26" s="95"/>
      <c r="K26" s="96"/>
      <c r="L26" s="96"/>
      <c r="M26" s="96"/>
      <c r="N26" s="96"/>
      <c r="O26" s="97"/>
      <c r="P26" s="24"/>
      <c r="Q26" s="24"/>
      <c r="R26" s="24"/>
      <c r="S26" s="24"/>
    </row>
    <row r="27" spans="1:19" ht="18" customHeight="1">
      <c r="B27" s="95"/>
      <c r="C27" s="96"/>
      <c r="D27" s="96"/>
      <c r="E27" s="97"/>
      <c r="F27" s="24"/>
      <c r="G27" s="24"/>
      <c r="H27" s="24"/>
      <c r="I27" s="24"/>
      <c r="J27" s="95"/>
      <c r="K27" s="96"/>
      <c r="L27" s="96"/>
      <c r="M27" s="96"/>
      <c r="N27" s="96"/>
      <c r="O27" s="97"/>
      <c r="P27" s="24"/>
      <c r="Q27" s="24"/>
      <c r="R27" s="24"/>
      <c r="S27" s="24"/>
    </row>
    <row r="28" spans="1:19" ht="18" customHeight="1">
      <c r="B28" s="95"/>
      <c r="C28" s="96"/>
      <c r="D28" s="96"/>
      <c r="E28" s="97"/>
      <c r="F28" s="24"/>
      <c r="G28" s="24"/>
      <c r="H28" s="24"/>
      <c r="I28" s="24"/>
      <c r="J28" s="95"/>
      <c r="K28" s="96"/>
      <c r="L28" s="96"/>
      <c r="M28" s="96"/>
      <c r="N28" s="96"/>
      <c r="O28" s="97"/>
      <c r="P28" s="24"/>
      <c r="Q28" s="24"/>
      <c r="R28" s="24"/>
      <c r="S28" s="24"/>
    </row>
    <row r="29" spans="1:19" ht="18" customHeight="1">
      <c r="B29" s="95"/>
      <c r="C29" s="96"/>
      <c r="D29" s="96"/>
      <c r="E29" s="97"/>
      <c r="F29" s="24"/>
      <c r="G29" s="24"/>
      <c r="H29" s="24"/>
      <c r="I29" s="24"/>
      <c r="J29" s="95"/>
      <c r="K29" s="96"/>
      <c r="L29" s="96"/>
      <c r="M29" s="96"/>
      <c r="N29" s="96"/>
      <c r="O29" s="97"/>
      <c r="P29" s="24"/>
      <c r="Q29" s="24"/>
      <c r="R29" s="24"/>
      <c r="S29" s="24"/>
    </row>
    <row r="30" spans="1:19" ht="18" customHeight="1">
      <c r="A30" s="3"/>
      <c r="B30" s="95"/>
      <c r="C30" s="96"/>
      <c r="D30" s="96"/>
      <c r="E30" s="97"/>
      <c r="F30" s="24"/>
      <c r="G30" s="24"/>
      <c r="H30" s="24"/>
      <c r="I30" s="24"/>
      <c r="J30" s="95"/>
      <c r="K30" s="96"/>
      <c r="L30" s="96"/>
      <c r="M30" s="96"/>
      <c r="N30" s="96"/>
      <c r="O30" s="97"/>
      <c r="P30" s="24"/>
      <c r="Q30" s="24"/>
      <c r="R30" s="24"/>
      <c r="S30" s="24"/>
    </row>
    <row r="31" spans="1:19" ht="18" customHeight="1">
      <c r="A31" s="3"/>
      <c r="B31" s="98"/>
      <c r="C31" s="99"/>
      <c r="D31" s="99"/>
      <c r="E31" s="100"/>
      <c r="F31" s="25"/>
      <c r="G31" s="25"/>
      <c r="H31" s="26"/>
      <c r="I31" s="26"/>
      <c r="J31" s="98"/>
      <c r="K31" s="99"/>
      <c r="L31" s="99"/>
      <c r="M31" s="99"/>
      <c r="N31" s="99"/>
      <c r="O31" s="100"/>
      <c r="P31" s="25"/>
      <c r="Q31" s="25"/>
      <c r="R31" s="26"/>
      <c r="S31" s="26"/>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4" t="s">
        <v>26</v>
      </c>
      <c r="B33" s="104"/>
      <c r="C33" s="104"/>
      <c r="D33" s="104"/>
      <c r="E33" s="104"/>
      <c r="F33" s="104"/>
      <c r="G33" s="104"/>
      <c r="H33" s="104"/>
      <c r="I33" s="104"/>
      <c r="J33" s="104"/>
      <c r="K33" s="104"/>
      <c r="L33" s="104"/>
      <c r="M33" s="104"/>
      <c r="N33" s="104"/>
      <c r="O33" s="104"/>
      <c r="P33" s="104"/>
      <c r="Q33" s="104"/>
      <c r="R33" s="104"/>
      <c r="S33" s="104"/>
    </row>
    <row r="34" spans="1:19" ht="18" customHeight="1">
      <c r="A34" s="104"/>
      <c r="B34" s="104"/>
      <c r="C34" s="104"/>
      <c r="D34" s="104"/>
      <c r="E34" s="104"/>
      <c r="F34" s="104"/>
      <c r="G34" s="104"/>
      <c r="H34" s="104"/>
      <c r="I34" s="104"/>
      <c r="J34" s="104"/>
      <c r="K34" s="104"/>
      <c r="L34" s="104"/>
      <c r="M34" s="104"/>
      <c r="N34" s="104"/>
      <c r="O34" s="104"/>
      <c r="P34" s="104"/>
      <c r="Q34" s="104"/>
      <c r="R34" s="104"/>
      <c r="S34" s="104"/>
    </row>
    <row r="35" spans="1:19" ht="18" customHeight="1">
      <c r="B35" s="101" t="s">
        <v>19</v>
      </c>
      <c r="C35" s="102"/>
      <c r="D35" s="102"/>
      <c r="E35" s="103"/>
      <c r="F35" s="61" t="s">
        <v>20</v>
      </c>
      <c r="G35" s="60" t="s">
        <v>21</v>
      </c>
      <c r="H35" s="22" t="s">
        <v>27</v>
      </c>
      <c r="I35" s="22" t="s">
        <v>28</v>
      </c>
      <c r="J35" s="101" t="s">
        <v>19</v>
      </c>
      <c r="K35" s="102"/>
      <c r="L35" s="102"/>
      <c r="M35" s="102"/>
      <c r="N35" s="102"/>
      <c r="O35" s="103"/>
      <c r="P35" s="61" t="s">
        <v>20</v>
      </c>
      <c r="Q35" s="60" t="s">
        <v>21</v>
      </c>
      <c r="R35" s="22" t="s">
        <v>27</v>
      </c>
      <c r="S35" s="22" t="s">
        <v>28</v>
      </c>
    </row>
    <row r="36" spans="1:19" ht="18" customHeight="1">
      <c r="B36" s="105" t="s">
        <v>69</v>
      </c>
      <c r="C36" s="106"/>
      <c r="D36" s="106"/>
      <c r="E36" s="107"/>
      <c r="F36" s="23">
        <v>1</v>
      </c>
      <c r="G36" s="23" t="s">
        <v>25</v>
      </c>
      <c r="H36" s="23" t="s">
        <v>25</v>
      </c>
      <c r="I36" s="23" t="s">
        <v>25</v>
      </c>
      <c r="J36" s="105"/>
      <c r="K36" s="106"/>
      <c r="L36" s="106"/>
      <c r="M36" s="106"/>
      <c r="N36" s="106"/>
      <c r="O36" s="107"/>
      <c r="P36" s="23"/>
      <c r="Q36" s="23"/>
      <c r="R36" s="23"/>
      <c r="S36" s="23"/>
    </row>
    <row r="37" spans="1:19" ht="18" customHeight="1">
      <c r="B37" s="95"/>
      <c r="C37" s="96"/>
      <c r="D37" s="96"/>
      <c r="E37" s="97"/>
      <c r="F37" s="24"/>
      <c r="G37" s="24"/>
      <c r="H37" s="24"/>
      <c r="I37" s="24"/>
      <c r="J37" s="95"/>
      <c r="K37" s="96"/>
      <c r="L37" s="96"/>
      <c r="M37" s="96"/>
      <c r="N37" s="96"/>
      <c r="O37" s="97"/>
      <c r="P37" s="24"/>
      <c r="Q37" s="24"/>
      <c r="R37" s="24"/>
      <c r="S37" s="24"/>
    </row>
    <row r="38" spans="1:19" ht="18" customHeight="1">
      <c r="B38" s="95"/>
      <c r="C38" s="96"/>
      <c r="D38" s="96"/>
      <c r="E38" s="97"/>
      <c r="F38" s="24"/>
      <c r="G38" s="24"/>
      <c r="H38" s="24"/>
      <c r="I38" s="24"/>
      <c r="J38" s="95"/>
      <c r="K38" s="96"/>
      <c r="L38" s="96"/>
      <c r="M38" s="96"/>
      <c r="N38" s="96"/>
      <c r="O38" s="97"/>
      <c r="P38" s="24"/>
      <c r="Q38" s="24"/>
      <c r="R38" s="24"/>
      <c r="S38" s="24"/>
    </row>
    <row r="39" spans="1:19" ht="18" customHeight="1">
      <c r="B39" s="95"/>
      <c r="C39" s="96"/>
      <c r="D39" s="96"/>
      <c r="E39" s="97"/>
      <c r="F39" s="24"/>
      <c r="G39" s="24"/>
      <c r="H39" s="24"/>
      <c r="I39" s="24"/>
      <c r="J39" s="95"/>
      <c r="K39" s="96"/>
      <c r="L39" s="96"/>
      <c r="M39" s="96"/>
      <c r="N39" s="96"/>
      <c r="O39" s="97"/>
      <c r="P39" s="24"/>
      <c r="Q39" s="24"/>
      <c r="R39" s="24"/>
      <c r="S39" s="24"/>
    </row>
    <row r="40" spans="1:19" ht="18" customHeight="1">
      <c r="B40" s="95"/>
      <c r="C40" s="96"/>
      <c r="D40" s="96"/>
      <c r="E40" s="97"/>
      <c r="F40" s="24"/>
      <c r="G40" s="24"/>
      <c r="H40" s="24"/>
      <c r="I40" s="24"/>
      <c r="J40" s="95"/>
      <c r="K40" s="96"/>
      <c r="L40" s="96"/>
      <c r="M40" s="96"/>
      <c r="N40" s="96"/>
      <c r="O40" s="97"/>
      <c r="P40" s="24"/>
      <c r="Q40" s="24"/>
      <c r="R40" s="24"/>
      <c r="S40" s="24"/>
    </row>
    <row r="41" spans="1:19" ht="18" customHeight="1">
      <c r="B41" s="95"/>
      <c r="C41" s="96"/>
      <c r="D41" s="96"/>
      <c r="E41" s="97"/>
      <c r="F41" s="24"/>
      <c r="G41" s="24"/>
      <c r="H41" s="24"/>
      <c r="I41" s="24"/>
      <c r="J41" s="95"/>
      <c r="K41" s="96"/>
      <c r="L41" s="96"/>
      <c r="M41" s="96"/>
      <c r="N41" s="96"/>
      <c r="O41" s="97"/>
      <c r="P41" s="24"/>
      <c r="Q41" s="24"/>
      <c r="R41" s="24"/>
      <c r="S41" s="24"/>
    </row>
    <row r="42" spans="1:19" ht="18" customHeight="1">
      <c r="B42" s="98"/>
      <c r="C42" s="99"/>
      <c r="D42" s="99"/>
      <c r="E42" s="100"/>
      <c r="F42" s="25"/>
      <c r="G42" s="25"/>
      <c r="H42" s="26"/>
      <c r="I42" s="26"/>
      <c r="J42" s="98"/>
      <c r="K42" s="99"/>
      <c r="L42" s="99"/>
      <c r="M42" s="99"/>
      <c r="N42" s="99"/>
      <c r="O42" s="100"/>
      <c r="P42" s="25"/>
      <c r="Q42" s="25"/>
      <c r="R42" s="26"/>
      <c r="S42" s="26"/>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4" t="s">
        <v>30</v>
      </c>
      <c r="B44" s="104"/>
      <c r="C44" s="104"/>
      <c r="D44" s="104"/>
      <c r="E44" s="104"/>
      <c r="F44" s="104"/>
      <c r="G44" s="104"/>
      <c r="H44" s="104"/>
      <c r="I44" s="104"/>
      <c r="J44" s="104"/>
      <c r="K44" s="104"/>
      <c r="L44" s="104"/>
      <c r="M44" s="104"/>
      <c r="N44" s="104"/>
      <c r="O44" s="104"/>
      <c r="P44" s="104"/>
      <c r="Q44" s="104"/>
      <c r="R44" s="104"/>
      <c r="S44" s="104"/>
    </row>
    <row r="45" spans="1:19" ht="18" customHeight="1">
      <c r="A45" s="104"/>
      <c r="B45" s="104"/>
      <c r="C45" s="104"/>
      <c r="D45" s="104"/>
      <c r="E45" s="104"/>
      <c r="F45" s="104"/>
      <c r="G45" s="104"/>
      <c r="H45" s="104"/>
      <c r="I45" s="104"/>
      <c r="J45" s="104"/>
      <c r="K45" s="104"/>
      <c r="L45" s="104"/>
      <c r="M45" s="104"/>
      <c r="N45" s="104"/>
      <c r="O45" s="104"/>
      <c r="P45" s="104"/>
      <c r="Q45" s="104"/>
      <c r="R45" s="104"/>
      <c r="S45" s="104"/>
    </row>
    <row r="46" spans="1:19" ht="18" customHeight="1">
      <c r="B46" s="101" t="s">
        <v>19</v>
      </c>
      <c r="C46" s="102"/>
      <c r="D46" s="102"/>
      <c r="E46" s="103"/>
      <c r="F46" s="61" t="s">
        <v>20</v>
      </c>
      <c r="G46" s="60" t="s">
        <v>21</v>
      </c>
      <c r="H46" s="22" t="s">
        <v>31</v>
      </c>
      <c r="I46" s="22" t="s">
        <v>32</v>
      </c>
      <c r="J46" s="101" t="s">
        <v>19</v>
      </c>
      <c r="K46" s="102"/>
      <c r="L46" s="102"/>
      <c r="M46" s="102"/>
      <c r="N46" s="102"/>
      <c r="O46" s="103"/>
      <c r="P46" s="61" t="s">
        <v>20</v>
      </c>
      <c r="Q46" s="60" t="s">
        <v>21</v>
      </c>
      <c r="R46" s="22" t="s">
        <v>31</v>
      </c>
      <c r="S46" s="22" t="s">
        <v>32</v>
      </c>
    </row>
    <row r="47" spans="1:19" ht="18" customHeight="1">
      <c r="A47" s="3"/>
      <c r="B47" s="105" t="s">
        <v>70</v>
      </c>
      <c r="C47" s="106"/>
      <c r="D47" s="106"/>
      <c r="E47" s="107"/>
      <c r="F47" s="23">
        <v>1</v>
      </c>
      <c r="G47" s="23" t="s">
        <v>25</v>
      </c>
      <c r="H47" s="23" t="s">
        <v>25</v>
      </c>
      <c r="I47" s="23" t="s">
        <v>25</v>
      </c>
      <c r="J47" s="105"/>
      <c r="K47" s="106"/>
      <c r="L47" s="106"/>
      <c r="M47" s="106"/>
      <c r="N47" s="106"/>
      <c r="O47" s="107"/>
      <c r="P47" s="23"/>
      <c r="Q47" s="23"/>
      <c r="R47" s="23"/>
      <c r="S47" s="23"/>
    </row>
    <row r="48" spans="1:19" ht="18" customHeight="1">
      <c r="A48" s="3"/>
      <c r="B48" s="95"/>
      <c r="C48" s="96"/>
      <c r="D48" s="96"/>
      <c r="E48" s="97"/>
      <c r="F48" s="24"/>
      <c r="G48" s="24"/>
      <c r="H48" s="24"/>
      <c r="I48" s="24"/>
      <c r="J48" s="95"/>
      <c r="K48" s="96"/>
      <c r="L48" s="96"/>
      <c r="M48" s="96"/>
      <c r="N48" s="96"/>
      <c r="O48" s="97"/>
      <c r="P48" s="24"/>
      <c r="Q48" s="24"/>
      <c r="R48" s="24"/>
      <c r="S48" s="24"/>
    </row>
    <row r="49" spans="1:19" ht="18" customHeight="1">
      <c r="A49" s="3"/>
      <c r="B49" s="95"/>
      <c r="C49" s="96"/>
      <c r="D49" s="96"/>
      <c r="E49" s="97"/>
      <c r="F49" s="24"/>
      <c r="G49" s="24"/>
      <c r="H49" s="24"/>
      <c r="I49" s="24"/>
      <c r="J49" s="95"/>
      <c r="K49" s="96"/>
      <c r="L49" s="96"/>
      <c r="M49" s="96"/>
      <c r="N49" s="96"/>
      <c r="O49" s="97"/>
      <c r="P49" s="24"/>
      <c r="Q49" s="24"/>
      <c r="R49" s="24"/>
      <c r="S49" s="24"/>
    </row>
    <row r="50" spans="1:19" ht="18" customHeight="1">
      <c r="A50" s="3"/>
      <c r="B50" s="95"/>
      <c r="C50" s="96"/>
      <c r="D50" s="96"/>
      <c r="E50" s="97"/>
      <c r="F50" s="24"/>
      <c r="G50" s="24"/>
      <c r="H50" s="24"/>
      <c r="I50" s="24"/>
      <c r="J50" s="95"/>
      <c r="K50" s="96"/>
      <c r="L50" s="96"/>
      <c r="M50" s="96"/>
      <c r="N50" s="96"/>
      <c r="O50" s="97"/>
      <c r="P50" s="24"/>
      <c r="Q50" s="24"/>
      <c r="R50" s="24"/>
      <c r="S50" s="24"/>
    </row>
    <row r="51" spans="1:19" ht="18" customHeight="1">
      <c r="A51" s="3"/>
      <c r="B51" s="95"/>
      <c r="C51" s="96"/>
      <c r="D51" s="96"/>
      <c r="E51" s="97"/>
      <c r="F51" s="24"/>
      <c r="G51" s="24"/>
      <c r="H51" s="24"/>
      <c r="I51" s="24"/>
      <c r="J51" s="95"/>
      <c r="K51" s="96"/>
      <c r="L51" s="96"/>
      <c r="M51" s="96"/>
      <c r="N51" s="96"/>
      <c r="O51" s="97"/>
      <c r="P51" s="24"/>
      <c r="Q51" s="24"/>
      <c r="R51" s="24"/>
      <c r="S51" s="24"/>
    </row>
    <row r="52" spans="1:19" ht="18" customHeight="1">
      <c r="A52" s="3"/>
      <c r="B52" s="95"/>
      <c r="C52" s="96"/>
      <c r="D52" s="96"/>
      <c r="E52" s="97"/>
      <c r="F52" s="24"/>
      <c r="G52" s="24"/>
      <c r="H52" s="24"/>
      <c r="I52" s="24"/>
      <c r="J52" s="95"/>
      <c r="K52" s="96"/>
      <c r="L52" s="96"/>
      <c r="M52" s="96"/>
      <c r="N52" s="96"/>
      <c r="O52" s="97"/>
      <c r="P52" s="24"/>
      <c r="Q52" s="24"/>
      <c r="R52" s="24"/>
      <c r="S52" s="24"/>
    </row>
    <row r="53" spans="1:19" ht="18" customHeight="1">
      <c r="A53" s="3"/>
      <c r="B53" s="98"/>
      <c r="C53" s="99"/>
      <c r="D53" s="99"/>
      <c r="E53" s="100"/>
      <c r="F53" s="25"/>
      <c r="G53" s="25"/>
      <c r="H53" s="26"/>
      <c r="I53" s="26"/>
      <c r="J53" s="98"/>
      <c r="K53" s="99"/>
      <c r="L53" s="99"/>
      <c r="M53" s="99"/>
      <c r="N53" s="99"/>
      <c r="O53" s="100"/>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104" t="s">
        <v>33</v>
      </c>
      <c r="B55" s="104"/>
      <c r="C55" s="104"/>
      <c r="D55" s="104"/>
      <c r="E55" s="104"/>
      <c r="F55" s="104"/>
      <c r="G55" s="104"/>
      <c r="H55" s="104"/>
      <c r="I55" s="104"/>
      <c r="J55" s="104"/>
      <c r="K55" s="104"/>
      <c r="L55" s="104"/>
      <c r="M55" s="104"/>
      <c r="N55" s="104"/>
      <c r="O55" s="104"/>
      <c r="P55" s="104"/>
      <c r="Q55" s="104"/>
      <c r="R55" s="104"/>
      <c r="S55" s="104"/>
    </row>
    <row r="56" spans="1:19" ht="18" customHeight="1">
      <c r="A56" s="104"/>
      <c r="B56" s="104"/>
      <c r="C56" s="104"/>
      <c r="D56" s="104"/>
      <c r="E56" s="104"/>
      <c r="F56" s="104"/>
      <c r="G56" s="104"/>
      <c r="H56" s="104"/>
      <c r="I56" s="104"/>
      <c r="J56" s="104"/>
      <c r="K56" s="104"/>
      <c r="L56" s="104"/>
      <c r="M56" s="104"/>
      <c r="N56" s="104"/>
      <c r="O56" s="104"/>
      <c r="P56" s="104"/>
      <c r="Q56" s="104"/>
      <c r="R56" s="104"/>
      <c r="S56" s="104"/>
    </row>
    <row r="57" spans="1:19" ht="18" customHeight="1">
      <c r="B57" s="101" t="s">
        <v>19</v>
      </c>
      <c r="C57" s="102"/>
      <c r="D57" s="102"/>
      <c r="E57" s="103"/>
      <c r="F57" s="61" t="s">
        <v>20</v>
      </c>
      <c r="G57" s="60" t="s">
        <v>21</v>
      </c>
      <c r="H57" s="22" t="s">
        <v>34</v>
      </c>
      <c r="I57" s="22" t="s">
        <v>35</v>
      </c>
      <c r="J57" s="101" t="s">
        <v>19</v>
      </c>
      <c r="K57" s="102"/>
      <c r="L57" s="102"/>
      <c r="M57" s="102"/>
      <c r="N57" s="102"/>
      <c r="O57" s="103"/>
      <c r="P57" s="61" t="s">
        <v>20</v>
      </c>
      <c r="Q57" s="60" t="s">
        <v>21</v>
      </c>
      <c r="R57" s="22" t="s">
        <v>34</v>
      </c>
      <c r="S57" s="22" t="s">
        <v>35</v>
      </c>
    </row>
    <row r="58" spans="1:19" ht="18" customHeight="1">
      <c r="A58" s="3"/>
      <c r="B58" s="105" t="s">
        <v>68</v>
      </c>
      <c r="C58" s="106"/>
      <c r="D58" s="106"/>
      <c r="E58" s="107"/>
      <c r="F58" s="23">
        <v>1</v>
      </c>
      <c r="G58" s="23" t="s">
        <v>25</v>
      </c>
      <c r="H58" s="23" t="s">
        <v>25</v>
      </c>
      <c r="I58" s="23" t="s">
        <v>25</v>
      </c>
      <c r="J58" s="105"/>
      <c r="K58" s="106"/>
      <c r="L58" s="106"/>
      <c r="M58" s="106"/>
      <c r="N58" s="106"/>
      <c r="O58" s="107"/>
      <c r="P58" s="23"/>
      <c r="Q58" s="23"/>
      <c r="R58" s="23"/>
      <c r="S58" s="23"/>
    </row>
    <row r="59" spans="1:19" ht="18" customHeight="1">
      <c r="A59" s="3"/>
      <c r="B59" s="95"/>
      <c r="C59" s="96"/>
      <c r="D59" s="96"/>
      <c r="E59" s="97"/>
      <c r="F59" s="24"/>
      <c r="G59" s="24"/>
      <c r="H59" s="24"/>
      <c r="I59" s="24"/>
      <c r="J59" s="95"/>
      <c r="K59" s="96"/>
      <c r="L59" s="96"/>
      <c r="M59" s="96"/>
      <c r="N59" s="96"/>
      <c r="O59" s="97"/>
      <c r="P59" s="24"/>
      <c r="Q59" s="24"/>
      <c r="R59" s="24"/>
      <c r="S59" s="24"/>
    </row>
    <row r="60" spans="1:19" ht="18" customHeight="1">
      <c r="A60" s="3"/>
      <c r="B60" s="95"/>
      <c r="C60" s="96"/>
      <c r="D60" s="96"/>
      <c r="E60" s="97"/>
      <c r="F60" s="24"/>
      <c r="G60" s="24"/>
      <c r="H60" s="24"/>
      <c r="I60" s="24"/>
      <c r="J60" s="95"/>
      <c r="K60" s="96"/>
      <c r="L60" s="96"/>
      <c r="M60" s="96"/>
      <c r="N60" s="96"/>
      <c r="O60" s="97"/>
      <c r="P60" s="24"/>
      <c r="Q60" s="24"/>
      <c r="R60" s="24"/>
      <c r="S60" s="24"/>
    </row>
    <row r="61" spans="1:19" ht="18" customHeight="1">
      <c r="A61" s="3"/>
      <c r="B61" s="95"/>
      <c r="C61" s="96"/>
      <c r="D61" s="96"/>
      <c r="E61" s="97"/>
      <c r="F61" s="24"/>
      <c r="G61" s="24"/>
      <c r="H61" s="24"/>
      <c r="I61" s="24"/>
      <c r="J61" s="95"/>
      <c r="K61" s="96"/>
      <c r="L61" s="96"/>
      <c r="M61" s="96"/>
      <c r="N61" s="96"/>
      <c r="O61" s="97"/>
      <c r="P61" s="24"/>
      <c r="Q61" s="24"/>
      <c r="R61" s="24"/>
      <c r="S61" s="24"/>
    </row>
    <row r="62" spans="1:19" ht="18" customHeight="1">
      <c r="A62" s="3"/>
      <c r="B62" s="95"/>
      <c r="C62" s="96"/>
      <c r="D62" s="96"/>
      <c r="E62" s="97"/>
      <c r="F62" s="24"/>
      <c r="G62" s="24"/>
      <c r="H62" s="24"/>
      <c r="I62" s="24"/>
      <c r="J62" s="95"/>
      <c r="K62" s="96"/>
      <c r="L62" s="96"/>
      <c r="M62" s="96"/>
      <c r="N62" s="96"/>
      <c r="O62" s="97"/>
      <c r="P62" s="24"/>
      <c r="Q62" s="24"/>
      <c r="R62" s="24"/>
      <c r="S62" s="24"/>
    </row>
    <row r="63" spans="1:19" ht="18" customHeight="1">
      <c r="A63" s="3"/>
      <c r="B63" s="95"/>
      <c r="C63" s="96"/>
      <c r="D63" s="96"/>
      <c r="E63" s="97"/>
      <c r="F63" s="24"/>
      <c r="G63" s="24"/>
      <c r="H63" s="24"/>
      <c r="I63" s="24"/>
      <c r="J63" s="95"/>
      <c r="K63" s="96"/>
      <c r="L63" s="96"/>
      <c r="M63" s="96"/>
      <c r="N63" s="96"/>
      <c r="O63" s="97"/>
      <c r="P63" s="24"/>
      <c r="Q63" s="24"/>
      <c r="R63" s="24"/>
      <c r="S63" s="24"/>
    </row>
    <row r="64" spans="1:19" ht="18" customHeight="1">
      <c r="A64" s="3"/>
      <c r="B64" s="98"/>
      <c r="C64" s="99"/>
      <c r="D64" s="99"/>
      <c r="E64" s="100"/>
      <c r="F64" s="25"/>
      <c r="G64" s="25"/>
      <c r="H64" s="26"/>
      <c r="I64" s="26"/>
      <c r="J64" s="98"/>
      <c r="K64" s="99"/>
      <c r="L64" s="99"/>
      <c r="M64" s="99"/>
      <c r="N64" s="99"/>
      <c r="O64" s="100"/>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104" t="s">
        <v>36</v>
      </c>
      <c r="B66" s="104"/>
      <c r="C66" s="104"/>
      <c r="D66" s="104"/>
      <c r="E66" s="104"/>
      <c r="F66" s="104"/>
      <c r="G66" s="104"/>
      <c r="H66" s="104"/>
      <c r="I66" s="104"/>
      <c r="J66" s="104"/>
      <c r="K66" s="104"/>
      <c r="L66" s="104"/>
      <c r="M66" s="104"/>
      <c r="N66" s="104"/>
      <c r="O66" s="104"/>
      <c r="P66" s="104"/>
      <c r="Q66" s="104"/>
      <c r="R66" s="104"/>
      <c r="S66" s="104"/>
    </row>
    <row r="67" spans="1:19" ht="18" customHeight="1">
      <c r="A67" s="104"/>
      <c r="B67" s="104"/>
      <c r="C67" s="104"/>
      <c r="D67" s="104"/>
      <c r="E67" s="104"/>
      <c r="F67" s="104"/>
      <c r="G67" s="104"/>
      <c r="H67" s="104"/>
      <c r="I67" s="104"/>
      <c r="J67" s="104"/>
      <c r="K67" s="104"/>
      <c r="L67" s="104"/>
      <c r="M67" s="104"/>
      <c r="N67" s="104"/>
      <c r="O67" s="104"/>
      <c r="P67" s="104"/>
      <c r="Q67" s="104"/>
      <c r="R67" s="104"/>
      <c r="S67" s="104"/>
    </row>
    <row r="68" spans="1:19" ht="18" customHeight="1">
      <c r="B68" s="101" t="s">
        <v>19</v>
      </c>
      <c r="C68" s="102"/>
      <c r="D68" s="102"/>
      <c r="E68" s="61" t="s">
        <v>20</v>
      </c>
      <c r="F68" s="60" t="s">
        <v>21</v>
      </c>
      <c r="G68" s="22" t="s">
        <v>37</v>
      </c>
      <c r="H68" s="22" t="s">
        <v>38</v>
      </c>
      <c r="I68" s="22" t="s">
        <v>39</v>
      </c>
      <c r="J68" s="101" t="s">
        <v>19</v>
      </c>
      <c r="K68" s="102"/>
      <c r="L68" s="102"/>
      <c r="M68" s="102"/>
      <c r="N68" s="103"/>
      <c r="O68" s="61" t="s">
        <v>20</v>
      </c>
      <c r="P68" s="60" t="s">
        <v>21</v>
      </c>
      <c r="Q68" s="22" t="s">
        <v>37</v>
      </c>
      <c r="R68" s="22" t="s">
        <v>38</v>
      </c>
      <c r="S68" s="22" t="s">
        <v>39</v>
      </c>
    </row>
    <row r="69" spans="1:19" ht="18" customHeight="1">
      <c r="A69" s="3"/>
      <c r="B69" s="105" t="s">
        <v>71</v>
      </c>
      <c r="C69" s="106"/>
      <c r="D69" s="106"/>
      <c r="E69" s="23">
        <v>1</v>
      </c>
      <c r="F69" s="23" t="s">
        <v>25</v>
      </c>
      <c r="G69" s="23" t="s">
        <v>25</v>
      </c>
      <c r="H69" s="23" t="s">
        <v>25</v>
      </c>
      <c r="I69" s="23"/>
      <c r="J69" s="105"/>
      <c r="K69" s="106"/>
      <c r="L69" s="106"/>
      <c r="M69" s="106"/>
      <c r="N69" s="107"/>
      <c r="O69" s="23"/>
      <c r="P69" s="23"/>
      <c r="Q69" s="23"/>
      <c r="R69" s="23"/>
      <c r="S69" s="23"/>
    </row>
    <row r="70" spans="1:19" ht="18" customHeight="1">
      <c r="A70" s="3"/>
      <c r="B70" s="95" t="s">
        <v>69</v>
      </c>
      <c r="C70" s="96"/>
      <c r="D70" s="96"/>
      <c r="E70" s="24">
        <v>1</v>
      </c>
      <c r="F70" s="24" t="s">
        <v>25</v>
      </c>
      <c r="G70" s="24" t="s">
        <v>25</v>
      </c>
      <c r="H70" s="24" t="s">
        <v>25</v>
      </c>
      <c r="I70" s="24" t="s">
        <v>25</v>
      </c>
      <c r="J70" s="95"/>
      <c r="K70" s="96"/>
      <c r="L70" s="96"/>
      <c r="M70" s="96"/>
      <c r="N70" s="97"/>
      <c r="O70" s="24"/>
      <c r="P70" s="24"/>
      <c r="Q70" s="24"/>
      <c r="R70" s="24"/>
      <c r="S70" s="24"/>
    </row>
    <row r="71" spans="1:19" ht="18" customHeight="1">
      <c r="A71" s="3"/>
      <c r="B71" s="95"/>
      <c r="C71" s="96"/>
      <c r="D71" s="96"/>
      <c r="E71" s="24"/>
      <c r="F71" s="24"/>
      <c r="G71" s="24"/>
      <c r="H71" s="24"/>
      <c r="I71" s="24"/>
      <c r="J71" s="95"/>
      <c r="K71" s="96"/>
      <c r="L71" s="96"/>
      <c r="M71" s="96"/>
      <c r="N71" s="97"/>
      <c r="O71" s="24"/>
      <c r="P71" s="24"/>
      <c r="Q71" s="24"/>
      <c r="R71" s="24"/>
      <c r="S71" s="24"/>
    </row>
    <row r="72" spans="1:19" ht="18" customHeight="1">
      <c r="A72" s="3"/>
      <c r="B72" s="95"/>
      <c r="C72" s="96"/>
      <c r="D72" s="96"/>
      <c r="E72" s="24"/>
      <c r="F72" s="24"/>
      <c r="G72" s="24"/>
      <c r="H72" s="24"/>
      <c r="I72" s="24"/>
      <c r="J72" s="95"/>
      <c r="K72" s="96"/>
      <c r="L72" s="96"/>
      <c r="M72" s="96"/>
      <c r="N72" s="97"/>
      <c r="O72" s="24"/>
      <c r="P72" s="24"/>
      <c r="Q72" s="24"/>
      <c r="R72" s="24"/>
      <c r="S72" s="24"/>
    </row>
    <row r="73" spans="1:19" ht="18" customHeight="1">
      <c r="A73" s="3"/>
      <c r="B73" s="95"/>
      <c r="C73" s="96"/>
      <c r="D73" s="96"/>
      <c r="E73" s="24"/>
      <c r="F73" s="24"/>
      <c r="G73" s="24"/>
      <c r="H73" s="24"/>
      <c r="I73" s="24"/>
      <c r="J73" s="95"/>
      <c r="K73" s="96"/>
      <c r="L73" s="96"/>
      <c r="M73" s="96"/>
      <c r="N73" s="97"/>
      <c r="O73" s="24"/>
      <c r="P73" s="24"/>
      <c r="Q73" s="24"/>
      <c r="R73" s="24"/>
      <c r="S73" s="24"/>
    </row>
    <row r="74" spans="1:19" ht="18" customHeight="1">
      <c r="A74" s="3"/>
      <c r="B74" s="95"/>
      <c r="C74" s="96"/>
      <c r="D74" s="96"/>
      <c r="E74" s="24"/>
      <c r="F74" s="24"/>
      <c r="G74" s="24"/>
      <c r="H74" s="24"/>
      <c r="I74" s="24"/>
      <c r="J74" s="95"/>
      <c r="K74" s="96"/>
      <c r="L74" s="96"/>
      <c r="M74" s="96"/>
      <c r="N74" s="97"/>
      <c r="O74" s="24"/>
      <c r="P74" s="24"/>
      <c r="Q74" s="24"/>
      <c r="R74" s="24"/>
      <c r="S74" s="24"/>
    </row>
    <row r="75" spans="1:19" ht="18" customHeight="1">
      <c r="A75" s="3"/>
      <c r="B75" s="98"/>
      <c r="C75" s="99"/>
      <c r="D75" s="99"/>
      <c r="E75" s="25"/>
      <c r="F75" s="25"/>
      <c r="G75" s="26"/>
      <c r="H75" s="26"/>
      <c r="I75" s="26"/>
      <c r="J75" s="98"/>
      <c r="K75" s="99"/>
      <c r="L75" s="99"/>
      <c r="M75" s="99"/>
      <c r="N75" s="100"/>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42</v>
      </c>
      <c r="H77" s="3"/>
      <c r="I77" s="3"/>
      <c r="J77" s="3"/>
      <c r="K77" s="3"/>
      <c r="L77" s="3"/>
      <c r="M77" s="3"/>
      <c r="N77" s="3"/>
      <c r="O77" s="3"/>
      <c r="P77" s="3"/>
      <c r="Q77" s="3"/>
      <c r="R77" s="3"/>
      <c r="S77" s="3"/>
    </row>
    <row r="78" spans="1:19" ht="18" customHeight="1">
      <c r="B78" s="101" t="s">
        <v>19</v>
      </c>
      <c r="C78" s="102"/>
      <c r="D78" s="102"/>
      <c r="E78" s="103"/>
      <c r="F78" s="101" t="s">
        <v>43</v>
      </c>
      <c r="G78" s="102"/>
      <c r="H78" s="102"/>
      <c r="I78" s="103"/>
      <c r="J78" s="149" t="s">
        <v>19</v>
      </c>
      <c r="K78" s="150"/>
      <c r="L78" s="150"/>
      <c r="M78" s="150"/>
      <c r="N78" s="150"/>
      <c r="O78" s="151"/>
      <c r="P78" s="101" t="s">
        <v>43</v>
      </c>
      <c r="Q78" s="102"/>
      <c r="R78" s="102"/>
      <c r="S78" s="103"/>
    </row>
    <row r="79" spans="1:19" ht="18" customHeight="1">
      <c r="A79" s="3"/>
      <c r="B79" s="105"/>
      <c r="C79" s="106"/>
      <c r="D79" s="106"/>
      <c r="E79" s="107"/>
      <c r="F79" s="165"/>
      <c r="G79" s="166"/>
      <c r="H79" s="166"/>
      <c r="I79" s="167"/>
      <c r="J79" s="105"/>
      <c r="K79" s="106"/>
      <c r="L79" s="106"/>
      <c r="M79" s="106"/>
      <c r="N79" s="106"/>
      <c r="O79" s="107"/>
      <c r="P79" s="165"/>
      <c r="Q79" s="166"/>
      <c r="R79" s="166"/>
      <c r="S79" s="167"/>
    </row>
    <row r="80" spans="1:19" ht="18" customHeight="1">
      <c r="A80" s="3"/>
      <c r="B80" s="95"/>
      <c r="C80" s="96"/>
      <c r="D80" s="96"/>
      <c r="E80" s="97"/>
      <c r="F80" s="134"/>
      <c r="G80" s="135"/>
      <c r="H80" s="135"/>
      <c r="I80" s="136"/>
      <c r="J80" s="95"/>
      <c r="K80" s="96"/>
      <c r="L80" s="96"/>
      <c r="M80" s="96"/>
      <c r="N80" s="96"/>
      <c r="O80" s="97"/>
      <c r="P80" s="134"/>
      <c r="Q80" s="135"/>
      <c r="R80" s="135"/>
      <c r="S80" s="136"/>
    </row>
    <row r="81" spans="1:19" ht="18" customHeight="1">
      <c r="A81" s="3"/>
      <c r="B81" s="95"/>
      <c r="C81" s="96"/>
      <c r="D81" s="96"/>
      <c r="E81" s="97"/>
      <c r="F81" s="134"/>
      <c r="G81" s="135"/>
      <c r="H81" s="135"/>
      <c r="I81" s="136"/>
      <c r="J81" s="95"/>
      <c r="K81" s="96"/>
      <c r="L81" s="96"/>
      <c r="M81" s="96"/>
      <c r="N81" s="96"/>
      <c r="O81" s="97"/>
      <c r="P81" s="134"/>
      <c r="Q81" s="135"/>
      <c r="R81" s="135"/>
      <c r="S81" s="136"/>
    </row>
    <row r="82" spans="1:19" ht="18" customHeight="1">
      <c r="A82" s="3"/>
      <c r="B82" s="95"/>
      <c r="C82" s="96"/>
      <c r="D82" s="96"/>
      <c r="E82" s="97"/>
      <c r="F82" s="134"/>
      <c r="G82" s="135"/>
      <c r="H82" s="135"/>
      <c r="I82" s="136"/>
      <c r="J82" s="95"/>
      <c r="K82" s="96"/>
      <c r="L82" s="96"/>
      <c r="M82" s="96"/>
      <c r="N82" s="96"/>
      <c r="O82" s="97"/>
      <c r="P82" s="134"/>
      <c r="Q82" s="135"/>
      <c r="R82" s="135"/>
      <c r="S82" s="136"/>
    </row>
    <row r="83" spans="1:19" ht="18" customHeight="1">
      <c r="A83" s="3"/>
      <c r="B83" s="95"/>
      <c r="C83" s="96"/>
      <c r="D83" s="96"/>
      <c r="E83" s="97"/>
      <c r="F83" s="134"/>
      <c r="G83" s="135"/>
      <c r="H83" s="135"/>
      <c r="I83" s="136"/>
      <c r="J83" s="95"/>
      <c r="K83" s="96"/>
      <c r="L83" s="96"/>
      <c r="M83" s="96"/>
      <c r="N83" s="96"/>
      <c r="O83" s="97"/>
      <c r="P83" s="134"/>
      <c r="Q83" s="135"/>
      <c r="R83" s="135"/>
      <c r="S83" s="136"/>
    </row>
    <row r="84" spans="1:19" ht="18" customHeight="1">
      <c r="A84" s="3"/>
      <c r="B84" s="95"/>
      <c r="C84" s="96"/>
      <c r="D84" s="96"/>
      <c r="E84" s="97"/>
      <c r="F84" s="134"/>
      <c r="G84" s="135"/>
      <c r="H84" s="135"/>
      <c r="I84" s="136"/>
      <c r="J84" s="95"/>
      <c r="K84" s="96"/>
      <c r="L84" s="96"/>
      <c r="M84" s="96"/>
      <c r="N84" s="96"/>
      <c r="O84" s="97"/>
      <c r="P84" s="134"/>
      <c r="Q84" s="135"/>
      <c r="R84" s="135"/>
      <c r="S84" s="136"/>
    </row>
    <row r="85" spans="1:19" ht="18" customHeight="1">
      <c r="A85" s="3"/>
      <c r="B85" s="98"/>
      <c r="C85" s="99"/>
      <c r="D85" s="99"/>
      <c r="E85" s="100"/>
      <c r="F85" s="131"/>
      <c r="G85" s="132"/>
      <c r="H85" s="132"/>
      <c r="I85" s="133"/>
      <c r="J85" s="98"/>
      <c r="K85" s="99"/>
      <c r="L85" s="99"/>
      <c r="M85" s="99"/>
      <c r="N85" s="99"/>
      <c r="O85" s="100"/>
      <c r="P85" s="131"/>
      <c r="Q85" s="132"/>
      <c r="R85" s="132"/>
      <c r="S85" s="133"/>
    </row>
    <row r="86" spans="1:19" ht="18" customHeight="1">
      <c r="A86" s="3"/>
      <c r="B86" s="6"/>
      <c r="C86" s="6"/>
      <c r="D86" s="6"/>
      <c r="E86" s="6"/>
      <c r="F86" s="27"/>
      <c r="G86" s="27"/>
      <c r="H86" s="27"/>
      <c r="I86" s="27"/>
      <c r="J86" s="6"/>
      <c r="K86" s="6"/>
      <c r="L86" s="6"/>
      <c r="M86" s="6"/>
      <c r="N86" s="6"/>
      <c r="O86" s="6"/>
      <c r="P86" s="27"/>
      <c r="Q86" s="27"/>
      <c r="R86" s="27"/>
      <c r="S86" s="27"/>
    </row>
    <row r="87" spans="1:19" ht="18.75" customHeight="1">
      <c r="A87" s="1" t="s">
        <v>44</v>
      </c>
    </row>
    <row r="88" spans="1:19" ht="18.75" customHeight="1">
      <c r="B88" s="160" t="s">
        <v>45</v>
      </c>
      <c r="C88" s="161"/>
      <c r="D88" s="102" t="s">
        <v>46</v>
      </c>
      <c r="E88" s="102"/>
      <c r="F88" s="102"/>
      <c r="G88" s="102"/>
      <c r="H88" s="102"/>
      <c r="I88" s="102"/>
      <c r="J88" s="102"/>
      <c r="K88" s="102"/>
      <c r="L88" s="102"/>
      <c r="M88" s="102"/>
      <c r="N88" s="102"/>
      <c r="O88" s="102"/>
      <c r="P88" s="102"/>
      <c r="Q88" s="102"/>
      <c r="R88" s="102"/>
      <c r="S88" s="103"/>
    </row>
    <row r="89" spans="1:19" ht="122.25" customHeight="1">
      <c r="B89" s="152" t="s">
        <v>47</v>
      </c>
      <c r="C89" s="28" t="s">
        <v>22</v>
      </c>
      <c r="D89" s="168" t="s">
        <v>72</v>
      </c>
      <c r="E89" s="168"/>
      <c r="F89" s="168"/>
      <c r="G89" s="168"/>
      <c r="H89" s="168"/>
      <c r="I89" s="168"/>
      <c r="J89" s="168"/>
      <c r="K89" s="168"/>
      <c r="L89" s="168"/>
      <c r="M89" s="168"/>
      <c r="N89" s="168"/>
      <c r="O89" s="168"/>
      <c r="P89" s="168"/>
      <c r="Q89" s="168"/>
      <c r="R89" s="168"/>
      <c r="S89" s="169"/>
    </row>
    <row r="90" spans="1:19" ht="87" customHeight="1">
      <c r="B90" s="154"/>
      <c r="C90" s="29" t="s">
        <v>49</v>
      </c>
      <c r="D90" s="170" t="s">
        <v>73</v>
      </c>
      <c r="E90" s="170"/>
      <c r="F90" s="170"/>
      <c r="G90" s="170"/>
      <c r="H90" s="170"/>
      <c r="I90" s="170"/>
      <c r="J90" s="170"/>
      <c r="K90" s="170"/>
      <c r="L90" s="170"/>
      <c r="M90" s="170"/>
      <c r="N90" s="170"/>
      <c r="O90" s="170"/>
      <c r="P90" s="170"/>
      <c r="Q90" s="170"/>
      <c r="R90" s="170"/>
      <c r="S90" s="171"/>
    </row>
    <row r="91" spans="1:19" ht="97.5" customHeight="1">
      <c r="B91" s="152" t="s">
        <v>51</v>
      </c>
      <c r="C91" s="30" t="s">
        <v>27</v>
      </c>
      <c r="D91" s="172" t="s">
        <v>74</v>
      </c>
      <c r="E91" s="172"/>
      <c r="F91" s="172"/>
      <c r="G91" s="172"/>
      <c r="H91" s="172"/>
      <c r="I91" s="172"/>
      <c r="J91" s="172"/>
      <c r="K91" s="172"/>
      <c r="L91" s="172"/>
      <c r="M91" s="172"/>
      <c r="N91" s="172"/>
      <c r="O91" s="172"/>
      <c r="P91" s="172"/>
      <c r="Q91" s="172"/>
      <c r="R91" s="172"/>
      <c r="S91" s="173"/>
    </row>
    <row r="92" spans="1:19" ht="97.5" customHeight="1">
      <c r="B92" s="153"/>
      <c r="C92" s="31" t="s">
        <v>28</v>
      </c>
      <c r="D92" s="174" t="s">
        <v>75</v>
      </c>
      <c r="E92" s="174"/>
      <c r="F92" s="174"/>
      <c r="G92" s="174"/>
      <c r="H92" s="174"/>
      <c r="I92" s="174"/>
      <c r="J92" s="174"/>
      <c r="K92" s="174"/>
      <c r="L92" s="174"/>
      <c r="M92" s="174"/>
      <c r="N92" s="174"/>
      <c r="O92" s="174"/>
      <c r="P92" s="174"/>
      <c r="Q92" s="174"/>
      <c r="R92" s="174"/>
      <c r="S92" s="175"/>
    </row>
    <row r="93" spans="1:19" ht="97.5" customHeight="1">
      <c r="B93" s="152" t="s">
        <v>54</v>
      </c>
      <c r="C93" s="30" t="s">
        <v>31</v>
      </c>
      <c r="D93" s="172" t="s">
        <v>76</v>
      </c>
      <c r="E93" s="172"/>
      <c r="F93" s="172"/>
      <c r="G93" s="172"/>
      <c r="H93" s="172"/>
      <c r="I93" s="172"/>
      <c r="J93" s="172"/>
      <c r="K93" s="172"/>
      <c r="L93" s="172"/>
      <c r="M93" s="172"/>
      <c r="N93" s="172"/>
      <c r="O93" s="172"/>
      <c r="P93" s="172"/>
      <c r="Q93" s="172"/>
      <c r="R93" s="172"/>
      <c r="S93" s="173"/>
    </row>
    <row r="94" spans="1:19" ht="97.5" customHeight="1">
      <c r="B94" s="153"/>
      <c r="C94" s="32" t="s">
        <v>32</v>
      </c>
      <c r="D94" s="179" t="s">
        <v>77</v>
      </c>
      <c r="E94" s="179"/>
      <c r="F94" s="179"/>
      <c r="G94" s="179"/>
      <c r="H94" s="179"/>
      <c r="I94" s="179"/>
      <c r="J94" s="179"/>
      <c r="K94" s="179"/>
      <c r="L94" s="179"/>
      <c r="M94" s="179"/>
      <c r="N94" s="179"/>
      <c r="O94" s="179"/>
      <c r="P94" s="179"/>
      <c r="Q94" s="179"/>
      <c r="R94" s="179"/>
      <c r="S94" s="180"/>
    </row>
    <row r="95" spans="1:19" ht="112.5" customHeight="1">
      <c r="B95" s="152" t="s">
        <v>57</v>
      </c>
      <c r="C95" s="28" t="s">
        <v>34</v>
      </c>
      <c r="D95" s="168" t="s">
        <v>78</v>
      </c>
      <c r="E95" s="168"/>
      <c r="F95" s="168"/>
      <c r="G95" s="168"/>
      <c r="H95" s="168"/>
      <c r="I95" s="168"/>
      <c r="J95" s="168"/>
      <c r="K95" s="168"/>
      <c r="L95" s="168"/>
      <c r="M95" s="168"/>
      <c r="N95" s="168"/>
      <c r="O95" s="168"/>
      <c r="P95" s="168"/>
      <c r="Q95" s="168"/>
      <c r="R95" s="168"/>
      <c r="S95" s="169"/>
    </row>
    <row r="96" spans="1:19" ht="114.75" customHeight="1">
      <c r="B96" s="153"/>
      <c r="C96" s="31" t="s">
        <v>35</v>
      </c>
      <c r="D96" s="174" t="s">
        <v>79</v>
      </c>
      <c r="E96" s="174"/>
      <c r="F96" s="174"/>
      <c r="G96" s="174"/>
      <c r="H96" s="174"/>
      <c r="I96" s="174"/>
      <c r="J96" s="174"/>
      <c r="K96" s="174"/>
      <c r="L96" s="174"/>
      <c r="M96" s="174"/>
      <c r="N96" s="174"/>
      <c r="O96" s="174"/>
      <c r="P96" s="174"/>
      <c r="Q96" s="174"/>
      <c r="R96" s="174"/>
      <c r="S96" s="175"/>
    </row>
    <row r="97" spans="1:19" ht="156.75" customHeight="1">
      <c r="B97" s="152" t="s">
        <v>60</v>
      </c>
      <c r="C97" s="30" t="s">
        <v>61</v>
      </c>
      <c r="D97" s="172" t="s">
        <v>80</v>
      </c>
      <c r="E97" s="172"/>
      <c r="F97" s="172"/>
      <c r="G97" s="172"/>
      <c r="H97" s="172"/>
      <c r="I97" s="172"/>
      <c r="J97" s="172"/>
      <c r="K97" s="172"/>
      <c r="L97" s="172"/>
      <c r="M97" s="172"/>
      <c r="N97" s="172"/>
      <c r="O97" s="172"/>
      <c r="P97" s="172"/>
      <c r="Q97" s="172"/>
      <c r="R97" s="172"/>
      <c r="S97" s="173"/>
    </row>
    <row r="98" spans="1:19" ht="136.5" customHeight="1">
      <c r="B98" s="154"/>
      <c r="C98" s="33" t="s">
        <v>38</v>
      </c>
      <c r="D98" s="176" t="s">
        <v>81</v>
      </c>
      <c r="E98" s="177"/>
      <c r="F98" s="177"/>
      <c r="G98" s="177"/>
      <c r="H98" s="177"/>
      <c r="I98" s="177"/>
      <c r="J98" s="177"/>
      <c r="K98" s="177"/>
      <c r="L98" s="177"/>
      <c r="M98" s="177"/>
      <c r="N98" s="177"/>
      <c r="O98" s="177"/>
      <c r="P98" s="177"/>
      <c r="Q98" s="177"/>
      <c r="R98" s="177"/>
      <c r="S98" s="178"/>
    </row>
    <row r="99" spans="1:19" ht="97.5" customHeight="1">
      <c r="B99" s="153"/>
      <c r="C99" s="32" t="s">
        <v>39</v>
      </c>
      <c r="D99" s="179" t="s">
        <v>82</v>
      </c>
      <c r="E99" s="179"/>
      <c r="F99" s="179"/>
      <c r="G99" s="179"/>
      <c r="H99" s="179"/>
      <c r="I99" s="179"/>
      <c r="J99" s="179"/>
      <c r="K99" s="179"/>
      <c r="L99" s="179"/>
      <c r="M99" s="179"/>
      <c r="N99" s="179"/>
      <c r="O99" s="179"/>
      <c r="P99" s="179"/>
      <c r="Q99" s="179"/>
      <c r="R99" s="179"/>
      <c r="S99" s="180"/>
    </row>
    <row r="100" spans="1:19" ht="6" customHeight="1"/>
    <row r="101" spans="1:19" ht="18.75" customHeight="1">
      <c r="A101" s="1" t="s">
        <v>65</v>
      </c>
    </row>
    <row r="102" spans="1:19" ht="81.75" customHeight="1">
      <c r="B102" s="128" t="s">
        <v>66</v>
      </c>
      <c r="C102" s="129"/>
      <c r="D102" s="129"/>
      <c r="E102" s="129"/>
      <c r="F102" s="129"/>
      <c r="G102" s="129"/>
      <c r="H102" s="129"/>
      <c r="I102" s="129"/>
      <c r="J102" s="129"/>
      <c r="K102" s="129"/>
      <c r="L102" s="129"/>
      <c r="M102" s="129"/>
      <c r="N102" s="129"/>
      <c r="O102" s="129"/>
      <c r="P102" s="129"/>
      <c r="Q102" s="129"/>
      <c r="R102" s="129"/>
      <c r="S102" s="130"/>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P69:S75 Q25:S31 G25:I31 Q36:S42 G36:I42 Q47:S53 G47:I53 Q58:S64 F69:I75 G58:I64">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0"/>
  <sheetViews>
    <sheetView showZeros="0" view="pageBreakPreview" zoomScale="85" zoomScaleNormal="100" zoomScaleSheetLayoutView="85" workbookViewId="0">
      <selection activeCell="B19" sqref="B19"/>
    </sheetView>
  </sheetViews>
  <sheetFormatPr defaultColWidth="9" defaultRowHeight="18.75" customHeight="1"/>
  <cols>
    <col min="1" max="1" width="2.5" style="86" customWidth="1"/>
    <col min="2" max="2" width="16.5" style="86" customWidth="1"/>
    <col min="3" max="19" width="5.625" style="86" customWidth="1"/>
    <col min="20" max="20" width="9" style="86"/>
    <col min="21" max="21" width="3.625" style="86" customWidth="1"/>
    <col min="22" max="22" width="48.625" style="86" hidden="1" customWidth="1"/>
    <col min="23" max="16384" width="9" style="86"/>
  </cols>
  <sheetData>
    <row r="1" spans="1:22" ht="18.600000000000001" customHeight="1">
      <c r="R1" s="108" t="s">
        <v>190</v>
      </c>
      <c r="S1" s="108"/>
      <c r="T1" s="2"/>
    </row>
    <row r="2" spans="1:22" ht="18.75" customHeight="1">
      <c r="B2" s="85" t="s">
        <v>1</v>
      </c>
      <c r="C2" s="101" t="s">
        <v>2</v>
      </c>
      <c r="D2" s="102"/>
      <c r="E2" s="102"/>
      <c r="F2" s="102"/>
      <c r="G2" s="102"/>
      <c r="H2" s="102"/>
      <c r="I2" s="103"/>
      <c r="J2" s="84"/>
      <c r="K2" s="6"/>
      <c r="L2" s="6"/>
      <c r="M2" s="6"/>
      <c r="N2" s="6"/>
      <c r="O2" s="6"/>
      <c r="P2" s="6"/>
      <c r="Q2" s="6"/>
      <c r="R2" s="6"/>
      <c r="S2" s="6"/>
    </row>
    <row r="3" spans="1:22" ht="18.75" customHeight="1">
      <c r="B3" s="85" t="s">
        <v>3</v>
      </c>
      <c r="C3" s="112" t="s">
        <v>4</v>
      </c>
      <c r="D3" s="113"/>
      <c r="E3" s="113"/>
      <c r="F3" s="113"/>
      <c r="G3" s="113"/>
      <c r="H3" s="113"/>
      <c r="I3" s="114"/>
      <c r="J3" s="84"/>
      <c r="K3" s="6"/>
      <c r="L3" s="6"/>
      <c r="M3" s="6"/>
      <c r="N3" s="6"/>
      <c r="O3" s="6"/>
      <c r="P3" s="6"/>
      <c r="Q3" s="6"/>
      <c r="R3" s="6"/>
      <c r="S3" s="6"/>
    </row>
    <row r="4" spans="1:22" ht="15" customHeight="1">
      <c r="K4" s="84"/>
      <c r="L4" s="37"/>
      <c r="M4" s="37"/>
      <c r="N4" s="37"/>
      <c r="O4" s="37"/>
      <c r="P4" s="37"/>
      <c r="Q4" s="37"/>
      <c r="R4" s="37"/>
      <c r="S4" s="37"/>
    </row>
    <row r="5" spans="1:22" ht="18" customHeight="1">
      <c r="A5" s="115" t="s">
        <v>83</v>
      </c>
      <c r="B5" s="115"/>
      <c r="C5" s="115"/>
      <c r="D5" s="115"/>
      <c r="E5" s="115"/>
      <c r="F5" s="115"/>
      <c r="G5" s="115"/>
      <c r="H5" s="115"/>
      <c r="I5" s="115"/>
      <c r="J5" s="115"/>
      <c r="K5" s="115"/>
      <c r="L5" s="115"/>
      <c r="M5" s="115"/>
      <c r="N5" s="115"/>
      <c r="O5" s="115"/>
      <c r="P5" s="115"/>
      <c r="Q5" s="115"/>
      <c r="R5" s="115"/>
      <c r="S5" s="115"/>
    </row>
    <row r="6" spans="1:22" ht="15" customHeight="1">
      <c r="B6" s="87"/>
      <c r="C6" s="87"/>
      <c r="D6" s="87"/>
      <c r="E6" s="87"/>
      <c r="F6" s="87"/>
      <c r="G6" s="87"/>
      <c r="H6" s="87"/>
      <c r="I6" s="87"/>
      <c r="J6" s="87"/>
      <c r="K6" s="87"/>
      <c r="L6" s="87"/>
      <c r="M6" s="87"/>
      <c r="N6" s="87"/>
      <c r="O6" s="87"/>
      <c r="P6" s="87"/>
      <c r="Q6" s="87"/>
      <c r="R6" s="87"/>
      <c r="S6" s="87"/>
    </row>
    <row r="7" spans="1:22" ht="18" customHeight="1">
      <c r="A7" s="86" t="s">
        <v>6</v>
      </c>
      <c r="C7" s="87"/>
      <c r="J7" s="38" t="s">
        <v>7</v>
      </c>
      <c r="K7" s="125" t="s">
        <v>8</v>
      </c>
      <c r="L7" s="126"/>
      <c r="M7" s="126"/>
      <c r="N7" s="126"/>
      <c r="O7" s="126"/>
      <c r="P7" s="126"/>
      <c r="Q7" s="126"/>
      <c r="R7" s="126"/>
      <c r="S7" s="127"/>
    </row>
    <row r="8" spans="1:22" ht="6" customHeight="1">
      <c r="B8" s="87"/>
      <c r="C8" s="87"/>
      <c r="D8" s="87"/>
      <c r="E8" s="87"/>
      <c r="F8" s="87"/>
      <c r="G8" s="87"/>
      <c r="H8" s="87"/>
      <c r="I8" s="87"/>
      <c r="J8" s="87"/>
      <c r="K8" s="10"/>
      <c r="L8" s="87"/>
      <c r="M8" s="87"/>
      <c r="N8" s="87"/>
      <c r="O8" s="87"/>
      <c r="P8" s="87"/>
      <c r="Q8" s="87"/>
      <c r="R8" s="87"/>
      <c r="S8" s="87"/>
    </row>
    <row r="9" spans="1:22" ht="18" customHeight="1">
      <c r="B9" s="89" t="s">
        <v>84</v>
      </c>
      <c r="C9" s="90"/>
      <c r="D9" s="90"/>
      <c r="E9" s="90"/>
      <c r="F9" s="90"/>
      <c r="G9" s="90"/>
      <c r="H9" s="90"/>
      <c r="I9" s="90"/>
      <c r="J9" s="90"/>
      <c r="K9" s="90"/>
      <c r="L9" s="90"/>
      <c r="M9" s="90"/>
      <c r="N9" s="90"/>
      <c r="O9" s="90"/>
      <c r="P9" s="90"/>
      <c r="Q9" s="90"/>
      <c r="R9" s="90"/>
      <c r="S9" s="91"/>
    </row>
    <row r="10" spans="1:22" ht="18" customHeight="1">
      <c r="B10" s="92"/>
      <c r="C10" s="93"/>
      <c r="D10" s="93"/>
      <c r="E10" s="93"/>
      <c r="F10" s="93"/>
      <c r="G10" s="93"/>
      <c r="H10" s="93"/>
      <c r="I10" s="93"/>
      <c r="J10" s="93"/>
      <c r="K10" s="93"/>
      <c r="L10" s="93"/>
      <c r="M10" s="93"/>
      <c r="N10" s="93"/>
      <c r="O10" s="93"/>
      <c r="P10" s="93"/>
      <c r="Q10" s="93"/>
      <c r="R10" s="93"/>
      <c r="S10" s="94"/>
    </row>
    <row r="11" spans="1:22" ht="6" customHeight="1">
      <c r="B11" s="87"/>
      <c r="C11" s="87"/>
      <c r="D11" s="87"/>
      <c r="E11" s="87"/>
      <c r="F11" s="87"/>
      <c r="G11" s="87"/>
      <c r="H11" s="87"/>
      <c r="I11" s="87"/>
      <c r="J11" s="87"/>
      <c r="K11" s="10"/>
      <c r="L11" s="87"/>
      <c r="M11" s="87"/>
      <c r="N11" s="87"/>
      <c r="O11" s="87"/>
      <c r="P11" s="87"/>
      <c r="Q11" s="87"/>
      <c r="R11" s="87"/>
      <c r="S11" s="87"/>
    </row>
    <row r="12" spans="1:22" ht="18" customHeight="1">
      <c r="A12" s="86" t="s">
        <v>10</v>
      </c>
      <c r="B12" s="87"/>
      <c r="C12" s="87"/>
      <c r="D12" s="84"/>
      <c r="E12" s="84"/>
      <c r="F12" s="84"/>
      <c r="G12" s="84"/>
      <c r="H12" s="84"/>
      <c r="I12" s="84"/>
      <c r="J12" s="84"/>
      <c r="K12" s="39"/>
      <c r="L12" s="39"/>
      <c r="M12" s="39"/>
      <c r="N12" s="39"/>
      <c r="O12" s="39"/>
      <c r="P12" s="39"/>
      <c r="Q12" s="39"/>
      <c r="R12" s="39"/>
      <c r="S12" s="39"/>
    </row>
    <row r="13" spans="1:22" ht="18" customHeight="1">
      <c r="B13" s="116" t="s">
        <v>214</v>
      </c>
      <c r="C13" s="117"/>
      <c r="D13" s="117"/>
      <c r="E13" s="117"/>
      <c r="F13" s="117"/>
      <c r="G13" s="117"/>
      <c r="H13" s="117"/>
      <c r="I13" s="117"/>
      <c r="J13" s="117"/>
      <c r="K13" s="117"/>
      <c r="L13" s="117"/>
      <c r="M13" s="117"/>
      <c r="N13" s="117"/>
      <c r="O13" s="117"/>
      <c r="P13" s="117"/>
      <c r="Q13" s="117"/>
      <c r="R13" s="117"/>
      <c r="S13" s="118"/>
      <c r="V13" s="86" t="s">
        <v>11</v>
      </c>
    </row>
    <row r="14" spans="1:22" ht="18" customHeight="1">
      <c r="B14" s="119"/>
      <c r="C14" s="120"/>
      <c r="D14" s="120"/>
      <c r="E14" s="120"/>
      <c r="F14" s="120"/>
      <c r="G14" s="120"/>
      <c r="H14" s="120"/>
      <c r="I14" s="120"/>
      <c r="J14" s="120"/>
      <c r="K14" s="120"/>
      <c r="L14" s="120"/>
      <c r="M14" s="120"/>
      <c r="N14" s="120"/>
      <c r="O14" s="120"/>
      <c r="P14" s="120"/>
      <c r="Q14" s="120"/>
      <c r="R14" s="120"/>
      <c r="S14" s="121"/>
      <c r="V14" s="86" t="s">
        <v>12</v>
      </c>
    </row>
    <row r="15" spans="1:22" ht="18" customHeight="1">
      <c r="B15" s="119"/>
      <c r="C15" s="120"/>
      <c r="D15" s="120"/>
      <c r="E15" s="120"/>
      <c r="F15" s="120"/>
      <c r="G15" s="120"/>
      <c r="H15" s="120"/>
      <c r="I15" s="120"/>
      <c r="J15" s="120"/>
      <c r="K15" s="120"/>
      <c r="L15" s="120"/>
      <c r="M15" s="120"/>
      <c r="N15" s="120"/>
      <c r="O15" s="120"/>
      <c r="P15" s="120"/>
      <c r="Q15" s="120"/>
      <c r="R15" s="120"/>
      <c r="S15" s="121"/>
      <c r="V15" s="86" t="s">
        <v>13</v>
      </c>
    </row>
    <row r="16" spans="1:22" ht="18" customHeight="1">
      <c r="B16" s="119"/>
      <c r="C16" s="120"/>
      <c r="D16" s="120"/>
      <c r="E16" s="120"/>
      <c r="F16" s="120"/>
      <c r="G16" s="120"/>
      <c r="H16" s="120"/>
      <c r="I16" s="120"/>
      <c r="J16" s="120"/>
      <c r="K16" s="120"/>
      <c r="L16" s="120"/>
      <c r="M16" s="120"/>
      <c r="N16" s="120"/>
      <c r="O16" s="120"/>
      <c r="P16" s="120"/>
      <c r="Q16" s="120"/>
      <c r="R16" s="120"/>
      <c r="S16" s="121"/>
      <c r="V16" s="86" t="s">
        <v>14</v>
      </c>
    </row>
    <row r="17" spans="1:19" ht="18" customHeight="1">
      <c r="B17" s="119"/>
      <c r="C17" s="120"/>
      <c r="D17" s="120"/>
      <c r="E17" s="120"/>
      <c r="F17" s="120"/>
      <c r="G17" s="120"/>
      <c r="H17" s="120"/>
      <c r="I17" s="120"/>
      <c r="J17" s="120"/>
      <c r="K17" s="120"/>
      <c r="L17" s="120"/>
      <c r="M17" s="120"/>
      <c r="N17" s="120"/>
      <c r="O17" s="120"/>
      <c r="P17" s="120"/>
      <c r="Q17" s="120"/>
      <c r="R17" s="120"/>
      <c r="S17" s="121"/>
    </row>
    <row r="18" spans="1:19" ht="18" customHeight="1">
      <c r="B18" s="122"/>
      <c r="C18" s="123"/>
      <c r="D18" s="123"/>
      <c r="E18" s="123"/>
      <c r="F18" s="123"/>
      <c r="G18" s="123"/>
      <c r="H18" s="123"/>
      <c r="I18" s="123"/>
      <c r="J18" s="123"/>
      <c r="K18" s="123"/>
      <c r="L18" s="123"/>
      <c r="M18" s="123"/>
      <c r="N18" s="123"/>
      <c r="O18" s="123"/>
      <c r="P18" s="123"/>
      <c r="Q18" s="123"/>
      <c r="R18" s="123"/>
      <c r="S18" s="124"/>
    </row>
    <row r="19" spans="1:19" ht="7.5" customHeight="1">
      <c r="B19" s="87"/>
      <c r="C19" s="87"/>
      <c r="D19" s="87"/>
      <c r="E19" s="87"/>
      <c r="F19" s="87"/>
      <c r="G19" s="87"/>
      <c r="H19" s="87"/>
      <c r="I19" s="87"/>
      <c r="J19" s="87"/>
      <c r="K19" s="87"/>
      <c r="L19" s="87"/>
      <c r="M19" s="87"/>
      <c r="N19" s="87"/>
      <c r="O19" s="87"/>
      <c r="P19" s="87"/>
      <c r="Q19" s="87"/>
      <c r="R19" s="87"/>
      <c r="S19" s="87"/>
    </row>
    <row r="20" spans="1:19" ht="20.100000000000001" customHeight="1">
      <c r="B20" s="86" t="s">
        <v>15</v>
      </c>
      <c r="C20" s="101">
        <v>6</v>
      </c>
      <c r="D20" s="103"/>
      <c r="E20" s="40" t="s">
        <v>16</v>
      </c>
      <c r="G20" s="10"/>
      <c r="H20" s="87"/>
      <c r="I20" s="87"/>
      <c r="J20" s="84" t="s">
        <v>17</v>
      </c>
      <c r="K20" s="109" t="s">
        <v>12</v>
      </c>
      <c r="L20" s="110"/>
      <c r="M20" s="110"/>
      <c r="N20" s="110"/>
      <c r="O20" s="110"/>
      <c r="P20" s="110"/>
      <c r="Q20" s="110"/>
      <c r="R20" s="110"/>
      <c r="S20" s="111"/>
    </row>
    <row r="21" spans="1:19" ht="7.5" customHeight="1">
      <c r="B21" s="87"/>
      <c r="C21" s="87"/>
      <c r="D21" s="87"/>
      <c r="E21" s="87"/>
      <c r="F21" s="87"/>
      <c r="G21" s="87"/>
      <c r="H21" s="87"/>
      <c r="I21" s="87"/>
      <c r="J21" s="87"/>
      <c r="K21" s="87"/>
      <c r="L21" s="87"/>
      <c r="M21" s="87"/>
      <c r="N21" s="87"/>
      <c r="O21" s="87"/>
      <c r="P21" s="87"/>
      <c r="Q21" s="87"/>
      <c r="R21" s="87"/>
      <c r="S21" s="87"/>
    </row>
    <row r="22" spans="1:19" ht="18" customHeight="1">
      <c r="A22" s="104" t="s">
        <v>18</v>
      </c>
      <c r="B22" s="104"/>
      <c r="C22" s="104"/>
      <c r="D22" s="104"/>
      <c r="E22" s="104"/>
      <c r="F22" s="104"/>
      <c r="G22" s="104"/>
      <c r="H22" s="104"/>
      <c r="I22" s="104"/>
      <c r="J22" s="104"/>
      <c r="K22" s="104"/>
      <c r="L22" s="104"/>
      <c r="M22" s="104"/>
      <c r="N22" s="104"/>
      <c r="O22" s="104"/>
      <c r="P22" s="104"/>
      <c r="Q22" s="104"/>
      <c r="R22" s="104"/>
      <c r="S22" s="104"/>
    </row>
    <row r="23" spans="1:19" ht="18" customHeight="1">
      <c r="A23" s="104"/>
      <c r="B23" s="104"/>
      <c r="C23" s="104"/>
      <c r="D23" s="104"/>
      <c r="E23" s="104"/>
      <c r="F23" s="104"/>
      <c r="G23" s="104"/>
      <c r="H23" s="104"/>
      <c r="I23" s="104"/>
      <c r="J23" s="104"/>
      <c r="K23" s="104"/>
      <c r="L23" s="104"/>
      <c r="M23" s="104"/>
      <c r="N23" s="104"/>
      <c r="O23" s="104"/>
      <c r="P23" s="104"/>
      <c r="Q23" s="104"/>
      <c r="R23" s="104"/>
      <c r="S23" s="104"/>
    </row>
    <row r="24" spans="1:19" ht="18" customHeight="1">
      <c r="B24" s="101" t="s">
        <v>19</v>
      </c>
      <c r="C24" s="102"/>
      <c r="D24" s="102"/>
      <c r="E24" s="103"/>
      <c r="F24" s="61" t="s">
        <v>20</v>
      </c>
      <c r="G24" s="60" t="s">
        <v>21</v>
      </c>
      <c r="H24" s="22" t="s">
        <v>22</v>
      </c>
      <c r="I24" s="22" t="s">
        <v>23</v>
      </c>
      <c r="J24" s="101" t="s">
        <v>19</v>
      </c>
      <c r="K24" s="102"/>
      <c r="L24" s="102"/>
      <c r="M24" s="102"/>
      <c r="N24" s="102"/>
      <c r="O24" s="103"/>
      <c r="P24" s="61" t="s">
        <v>20</v>
      </c>
      <c r="Q24" s="60" t="s">
        <v>21</v>
      </c>
      <c r="R24" s="22" t="s">
        <v>22</v>
      </c>
      <c r="S24" s="22" t="s">
        <v>23</v>
      </c>
    </row>
    <row r="25" spans="1:19" ht="18" customHeight="1">
      <c r="B25" s="105" t="s">
        <v>194</v>
      </c>
      <c r="C25" s="106"/>
      <c r="D25" s="106"/>
      <c r="E25" s="107"/>
      <c r="F25" s="23">
        <v>2</v>
      </c>
      <c r="G25" s="23" t="s">
        <v>25</v>
      </c>
      <c r="H25" s="23" t="s">
        <v>25</v>
      </c>
      <c r="I25" s="23"/>
      <c r="J25" s="105"/>
      <c r="K25" s="106"/>
      <c r="L25" s="106"/>
      <c r="M25" s="106"/>
      <c r="N25" s="106"/>
      <c r="O25" s="107"/>
      <c r="P25" s="23"/>
      <c r="Q25" s="23"/>
      <c r="R25" s="23"/>
      <c r="S25" s="23"/>
    </row>
    <row r="26" spans="1:19" ht="18" customHeight="1">
      <c r="B26" s="95" t="s">
        <v>195</v>
      </c>
      <c r="C26" s="96"/>
      <c r="D26" s="96"/>
      <c r="E26" s="97"/>
      <c r="F26" s="24">
        <v>1</v>
      </c>
      <c r="G26" s="24" t="s">
        <v>25</v>
      </c>
      <c r="H26" s="24" t="s">
        <v>25</v>
      </c>
      <c r="I26" s="24" t="s">
        <v>25</v>
      </c>
      <c r="J26" s="95"/>
      <c r="K26" s="96"/>
      <c r="L26" s="96"/>
      <c r="M26" s="96"/>
      <c r="N26" s="96"/>
      <c r="O26" s="97"/>
      <c r="P26" s="24"/>
      <c r="Q26" s="24"/>
      <c r="R26" s="24"/>
      <c r="S26" s="24"/>
    </row>
    <row r="27" spans="1:19" ht="18" customHeight="1">
      <c r="B27" s="95" t="s">
        <v>196</v>
      </c>
      <c r="C27" s="96"/>
      <c r="D27" s="96"/>
      <c r="E27" s="97"/>
      <c r="F27" s="24">
        <v>2</v>
      </c>
      <c r="G27" s="24" t="s">
        <v>25</v>
      </c>
      <c r="H27" s="24" t="s">
        <v>25</v>
      </c>
      <c r="I27" s="24" t="s">
        <v>25</v>
      </c>
      <c r="J27" s="95"/>
      <c r="K27" s="96"/>
      <c r="L27" s="96"/>
      <c r="M27" s="96"/>
      <c r="N27" s="96"/>
      <c r="O27" s="97"/>
      <c r="P27" s="24"/>
      <c r="Q27" s="24"/>
      <c r="R27" s="24"/>
      <c r="S27" s="24"/>
    </row>
    <row r="28" spans="1:19" ht="18" customHeight="1">
      <c r="B28" s="95"/>
      <c r="C28" s="96"/>
      <c r="D28" s="96"/>
      <c r="E28" s="97"/>
      <c r="F28" s="24"/>
      <c r="G28" s="24"/>
      <c r="H28" s="24"/>
      <c r="I28" s="24"/>
      <c r="J28" s="95"/>
      <c r="K28" s="96"/>
      <c r="L28" s="96"/>
      <c r="M28" s="96"/>
      <c r="N28" s="96"/>
      <c r="O28" s="97"/>
      <c r="P28" s="24"/>
      <c r="Q28" s="24"/>
      <c r="R28" s="24"/>
      <c r="S28" s="24"/>
    </row>
    <row r="29" spans="1:19" ht="18" customHeight="1">
      <c r="B29" s="95"/>
      <c r="C29" s="96"/>
      <c r="D29" s="96"/>
      <c r="E29" s="97"/>
      <c r="F29" s="24"/>
      <c r="G29" s="24"/>
      <c r="H29" s="24"/>
      <c r="I29" s="24"/>
      <c r="J29" s="95"/>
      <c r="K29" s="96"/>
      <c r="L29" s="96"/>
      <c r="M29" s="96"/>
      <c r="N29" s="96"/>
      <c r="O29" s="97"/>
      <c r="P29" s="24"/>
      <c r="Q29" s="24"/>
      <c r="R29" s="24"/>
      <c r="S29" s="24"/>
    </row>
    <row r="30" spans="1:19" ht="18" customHeight="1">
      <c r="A30" s="87"/>
      <c r="B30" s="95"/>
      <c r="C30" s="96"/>
      <c r="D30" s="96"/>
      <c r="E30" s="97"/>
      <c r="F30" s="24"/>
      <c r="G30" s="24"/>
      <c r="H30" s="24"/>
      <c r="I30" s="24"/>
      <c r="J30" s="95"/>
      <c r="K30" s="96"/>
      <c r="L30" s="96"/>
      <c r="M30" s="96"/>
      <c r="N30" s="96"/>
      <c r="O30" s="97"/>
      <c r="P30" s="24"/>
      <c r="Q30" s="24"/>
      <c r="R30" s="24"/>
      <c r="S30" s="24"/>
    </row>
    <row r="31" spans="1:19" ht="18" customHeight="1">
      <c r="A31" s="87"/>
      <c r="B31" s="98"/>
      <c r="C31" s="99"/>
      <c r="D31" s="99"/>
      <c r="E31" s="100"/>
      <c r="F31" s="25"/>
      <c r="G31" s="25"/>
      <c r="H31" s="26"/>
      <c r="I31" s="26"/>
      <c r="J31" s="98"/>
      <c r="K31" s="99"/>
      <c r="L31" s="99"/>
      <c r="M31" s="99"/>
      <c r="N31" s="99"/>
      <c r="O31" s="100"/>
      <c r="P31" s="25"/>
      <c r="Q31" s="25"/>
      <c r="R31" s="26"/>
      <c r="S31" s="26"/>
    </row>
    <row r="32" spans="1:19" ht="7.5" customHeight="1">
      <c r="A32" s="87"/>
      <c r="B32" s="6"/>
      <c r="C32" s="6"/>
      <c r="D32" s="87"/>
      <c r="E32" s="87"/>
      <c r="F32" s="87"/>
      <c r="G32" s="87"/>
      <c r="H32" s="6"/>
      <c r="I32" s="6"/>
      <c r="J32" s="6"/>
      <c r="K32" s="6"/>
      <c r="L32" s="6"/>
      <c r="M32" s="6"/>
      <c r="N32" s="6"/>
      <c r="O32" s="6"/>
      <c r="P32" s="6"/>
      <c r="Q32" s="6"/>
      <c r="R32" s="6"/>
      <c r="S32" s="87"/>
    </row>
    <row r="33" spans="1:19" ht="18" customHeight="1">
      <c r="A33" s="104" t="s">
        <v>26</v>
      </c>
      <c r="B33" s="104"/>
      <c r="C33" s="104"/>
      <c r="D33" s="104"/>
      <c r="E33" s="104"/>
      <c r="F33" s="104"/>
      <c r="G33" s="104"/>
      <c r="H33" s="104"/>
      <c r="I33" s="104"/>
      <c r="J33" s="104"/>
      <c r="K33" s="104"/>
      <c r="L33" s="104"/>
      <c r="M33" s="104"/>
      <c r="N33" s="104"/>
      <c r="O33" s="104"/>
      <c r="P33" s="104"/>
      <c r="Q33" s="104"/>
      <c r="R33" s="104"/>
      <c r="S33" s="104"/>
    </row>
    <row r="34" spans="1:19" ht="18" customHeight="1">
      <c r="A34" s="104"/>
      <c r="B34" s="104"/>
      <c r="C34" s="104"/>
      <c r="D34" s="104"/>
      <c r="E34" s="104"/>
      <c r="F34" s="104"/>
      <c r="G34" s="104"/>
      <c r="H34" s="104"/>
      <c r="I34" s="104"/>
      <c r="J34" s="104"/>
      <c r="K34" s="104"/>
      <c r="L34" s="104"/>
      <c r="M34" s="104"/>
      <c r="N34" s="104"/>
      <c r="O34" s="104"/>
      <c r="P34" s="104"/>
      <c r="Q34" s="104"/>
      <c r="R34" s="104"/>
      <c r="S34" s="104"/>
    </row>
    <row r="35" spans="1:19" ht="18" customHeight="1">
      <c r="B35" s="101" t="s">
        <v>19</v>
      </c>
      <c r="C35" s="102"/>
      <c r="D35" s="102"/>
      <c r="E35" s="103"/>
      <c r="F35" s="61" t="s">
        <v>20</v>
      </c>
      <c r="G35" s="60" t="s">
        <v>21</v>
      </c>
      <c r="H35" s="22" t="s">
        <v>27</v>
      </c>
      <c r="I35" s="22" t="s">
        <v>28</v>
      </c>
      <c r="J35" s="101" t="s">
        <v>19</v>
      </c>
      <c r="K35" s="102"/>
      <c r="L35" s="102"/>
      <c r="M35" s="102"/>
      <c r="N35" s="102"/>
      <c r="O35" s="103"/>
      <c r="P35" s="61" t="s">
        <v>20</v>
      </c>
      <c r="Q35" s="60" t="s">
        <v>21</v>
      </c>
      <c r="R35" s="22" t="s">
        <v>27</v>
      </c>
      <c r="S35" s="22" t="s">
        <v>28</v>
      </c>
    </row>
    <row r="36" spans="1:19" ht="18" customHeight="1">
      <c r="B36" s="105" t="s">
        <v>194</v>
      </c>
      <c r="C36" s="106"/>
      <c r="D36" s="106"/>
      <c r="E36" s="107"/>
      <c r="F36" s="23">
        <v>2</v>
      </c>
      <c r="G36" s="23" t="s">
        <v>25</v>
      </c>
      <c r="H36" s="23" t="s">
        <v>25</v>
      </c>
      <c r="I36" s="23" t="s">
        <v>25</v>
      </c>
      <c r="J36" s="105"/>
      <c r="K36" s="106"/>
      <c r="L36" s="106"/>
      <c r="M36" s="106"/>
      <c r="N36" s="106"/>
      <c r="O36" s="107"/>
      <c r="P36" s="23"/>
      <c r="Q36" s="23"/>
      <c r="R36" s="23"/>
      <c r="S36" s="23"/>
    </row>
    <row r="37" spans="1:19" ht="18" customHeight="1">
      <c r="B37" s="95" t="s">
        <v>195</v>
      </c>
      <c r="C37" s="96"/>
      <c r="D37" s="96"/>
      <c r="E37" s="97"/>
      <c r="F37" s="24">
        <v>1</v>
      </c>
      <c r="G37" s="24" t="s">
        <v>25</v>
      </c>
      <c r="H37" s="24" t="s">
        <v>25</v>
      </c>
      <c r="I37" s="24"/>
      <c r="J37" s="95"/>
      <c r="K37" s="96"/>
      <c r="L37" s="96"/>
      <c r="M37" s="96"/>
      <c r="N37" s="96"/>
      <c r="O37" s="97"/>
      <c r="P37" s="24"/>
      <c r="Q37" s="24"/>
      <c r="R37" s="24"/>
      <c r="S37" s="24"/>
    </row>
    <row r="38" spans="1:19" ht="18" customHeight="1">
      <c r="B38" s="95"/>
      <c r="C38" s="96"/>
      <c r="D38" s="96"/>
      <c r="E38" s="97"/>
      <c r="F38" s="24"/>
      <c r="G38" s="24"/>
      <c r="H38" s="24"/>
      <c r="I38" s="24"/>
      <c r="J38" s="95"/>
      <c r="K38" s="96"/>
      <c r="L38" s="96"/>
      <c r="M38" s="96"/>
      <c r="N38" s="96"/>
      <c r="O38" s="97"/>
      <c r="P38" s="24"/>
      <c r="Q38" s="24"/>
      <c r="R38" s="24"/>
      <c r="S38" s="24"/>
    </row>
    <row r="39" spans="1:19" ht="18" customHeight="1">
      <c r="B39" s="95"/>
      <c r="C39" s="96"/>
      <c r="D39" s="96"/>
      <c r="E39" s="97"/>
      <c r="F39" s="24"/>
      <c r="G39" s="24"/>
      <c r="H39" s="24"/>
      <c r="I39" s="24"/>
      <c r="J39" s="95"/>
      <c r="K39" s="96"/>
      <c r="L39" s="96"/>
      <c r="M39" s="96"/>
      <c r="N39" s="96"/>
      <c r="O39" s="97"/>
      <c r="P39" s="24"/>
      <c r="Q39" s="24"/>
      <c r="R39" s="24"/>
      <c r="S39" s="24"/>
    </row>
    <row r="40" spans="1:19" ht="18" customHeight="1">
      <c r="B40" s="95"/>
      <c r="C40" s="96"/>
      <c r="D40" s="96"/>
      <c r="E40" s="97"/>
      <c r="F40" s="24"/>
      <c r="G40" s="24"/>
      <c r="H40" s="24"/>
      <c r="I40" s="24"/>
      <c r="J40" s="95"/>
      <c r="K40" s="96"/>
      <c r="L40" s="96"/>
      <c r="M40" s="96"/>
      <c r="N40" s="96"/>
      <c r="O40" s="97"/>
      <c r="P40" s="24"/>
      <c r="Q40" s="24"/>
      <c r="R40" s="24"/>
      <c r="S40" s="24"/>
    </row>
    <row r="41" spans="1:19" ht="18" customHeight="1">
      <c r="B41" s="95"/>
      <c r="C41" s="96"/>
      <c r="D41" s="96"/>
      <c r="E41" s="97"/>
      <c r="F41" s="24"/>
      <c r="G41" s="24"/>
      <c r="H41" s="24"/>
      <c r="I41" s="24"/>
      <c r="J41" s="95"/>
      <c r="K41" s="96"/>
      <c r="L41" s="96"/>
      <c r="M41" s="96"/>
      <c r="N41" s="96"/>
      <c r="O41" s="97"/>
      <c r="P41" s="24"/>
      <c r="Q41" s="24"/>
      <c r="R41" s="24"/>
      <c r="S41" s="24"/>
    </row>
    <row r="42" spans="1:19" ht="18" customHeight="1">
      <c r="B42" s="98"/>
      <c r="C42" s="99"/>
      <c r="D42" s="99"/>
      <c r="E42" s="100"/>
      <c r="F42" s="25"/>
      <c r="G42" s="25"/>
      <c r="H42" s="26"/>
      <c r="I42" s="26"/>
      <c r="J42" s="98"/>
      <c r="K42" s="99"/>
      <c r="L42" s="99"/>
      <c r="M42" s="99"/>
      <c r="N42" s="99"/>
      <c r="O42" s="100"/>
      <c r="P42" s="25"/>
      <c r="Q42" s="25"/>
      <c r="R42" s="26"/>
      <c r="S42" s="26"/>
    </row>
    <row r="43" spans="1:19" ht="7.5" customHeight="1">
      <c r="A43" s="87"/>
      <c r="B43" s="6"/>
      <c r="C43" s="6"/>
      <c r="D43" s="87"/>
      <c r="E43" s="87"/>
      <c r="F43" s="87"/>
      <c r="G43" s="87"/>
      <c r="H43" s="6"/>
      <c r="I43" s="6"/>
      <c r="J43" s="6"/>
      <c r="K43" s="6"/>
      <c r="L43" s="6"/>
      <c r="M43" s="6"/>
      <c r="N43" s="6"/>
      <c r="O43" s="6"/>
      <c r="P43" s="6"/>
      <c r="Q43" s="6"/>
      <c r="R43" s="6"/>
      <c r="S43" s="87"/>
    </row>
    <row r="44" spans="1:19" ht="18" customHeight="1">
      <c r="A44" s="104" t="s">
        <v>30</v>
      </c>
      <c r="B44" s="104"/>
      <c r="C44" s="104"/>
      <c r="D44" s="104"/>
      <c r="E44" s="104"/>
      <c r="F44" s="104"/>
      <c r="G44" s="104"/>
      <c r="H44" s="104"/>
      <c r="I44" s="104"/>
      <c r="J44" s="104"/>
      <c r="K44" s="104"/>
      <c r="L44" s="104"/>
      <c r="M44" s="104"/>
      <c r="N44" s="104"/>
      <c r="O44" s="104"/>
      <c r="P44" s="104"/>
      <c r="Q44" s="104"/>
      <c r="R44" s="104"/>
      <c r="S44" s="104"/>
    </row>
    <row r="45" spans="1:19" ht="18" customHeight="1">
      <c r="A45" s="104"/>
      <c r="B45" s="104"/>
      <c r="C45" s="104"/>
      <c r="D45" s="104"/>
      <c r="E45" s="104"/>
      <c r="F45" s="104"/>
      <c r="G45" s="104"/>
      <c r="H45" s="104"/>
      <c r="I45" s="104"/>
      <c r="J45" s="104"/>
      <c r="K45" s="104"/>
      <c r="L45" s="104"/>
      <c r="M45" s="104"/>
      <c r="N45" s="104"/>
      <c r="O45" s="104"/>
      <c r="P45" s="104"/>
      <c r="Q45" s="104"/>
      <c r="R45" s="104"/>
      <c r="S45" s="104"/>
    </row>
    <row r="46" spans="1:19" ht="18" customHeight="1">
      <c r="B46" s="101" t="s">
        <v>19</v>
      </c>
      <c r="C46" s="102"/>
      <c r="D46" s="102"/>
      <c r="E46" s="103"/>
      <c r="F46" s="61" t="s">
        <v>20</v>
      </c>
      <c r="G46" s="60" t="s">
        <v>21</v>
      </c>
      <c r="H46" s="22" t="s">
        <v>31</v>
      </c>
      <c r="I46" s="22" t="s">
        <v>32</v>
      </c>
      <c r="J46" s="101" t="s">
        <v>19</v>
      </c>
      <c r="K46" s="102"/>
      <c r="L46" s="102"/>
      <c r="M46" s="102"/>
      <c r="N46" s="102"/>
      <c r="O46" s="103"/>
      <c r="P46" s="61" t="s">
        <v>20</v>
      </c>
      <c r="Q46" s="60" t="s">
        <v>21</v>
      </c>
      <c r="R46" s="22" t="s">
        <v>31</v>
      </c>
      <c r="S46" s="22" t="s">
        <v>32</v>
      </c>
    </row>
    <row r="47" spans="1:19" ht="18" customHeight="1">
      <c r="A47" s="87"/>
      <c r="B47" s="105" t="s">
        <v>194</v>
      </c>
      <c r="C47" s="106"/>
      <c r="D47" s="106"/>
      <c r="E47" s="107"/>
      <c r="F47" s="23">
        <v>2</v>
      </c>
      <c r="G47" s="23" t="s">
        <v>25</v>
      </c>
      <c r="H47" s="23" t="s">
        <v>25</v>
      </c>
      <c r="I47" s="23" t="s">
        <v>25</v>
      </c>
      <c r="J47" s="105"/>
      <c r="K47" s="106"/>
      <c r="L47" s="106"/>
      <c r="M47" s="106"/>
      <c r="N47" s="106"/>
      <c r="O47" s="107"/>
      <c r="P47" s="23"/>
      <c r="Q47" s="23"/>
      <c r="R47" s="23"/>
      <c r="S47" s="23"/>
    </row>
    <row r="48" spans="1:19" ht="18" customHeight="1">
      <c r="A48" s="87"/>
      <c r="B48" s="95" t="s">
        <v>195</v>
      </c>
      <c r="C48" s="96"/>
      <c r="D48" s="96"/>
      <c r="E48" s="97"/>
      <c r="F48" s="24">
        <v>1</v>
      </c>
      <c r="G48" s="24" t="s">
        <v>25</v>
      </c>
      <c r="H48" s="24" t="s">
        <v>25</v>
      </c>
      <c r="I48" s="24" t="s">
        <v>25</v>
      </c>
      <c r="J48" s="95"/>
      <c r="K48" s="96"/>
      <c r="L48" s="96"/>
      <c r="M48" s="96"/>
      <c r="N48" s="96"/>
      <c r="O48" s="97"/>
      <c r="P48" s="24"/>
      <c r="Q48" s="24"/>
      <c r="R48" s="24"/>
      <c r="S48" s="24"/>
    </row>
    <row r="49" spans="1:19" ht="18" customHeight="1">
      <c r="A49" s="87"/>
      <c r="B49" s="95"/>
      <c r="C49" s="96"/>
      <c r="D49" s="96"/>
      <c r="E49" s="97"/>
      <c r="F49" s="24"/>
      <c r="G49" s="24"/>
      <c r="H49" s="24"/>
      <c r="I49" s="24"/>
      <c r="J49" s="95"/>
      <c r="K49" s="96"/>
      <c r="L49" s="96"/>
      <c r="M49" s="96"/>
      <c r="N49" s="96"/>
      <c r="O49" s="97"/>
      <c r="P49" s="24"/>
      <c r="Q49" s="24"/>
      <c r="R49" s="24"/>
      <c r="S49" s="24"/>
    </row>
    <row r="50" spans="1:19" ht="18" customHeight="1">
      <c r="A50" s="87"/>
      <c r="B50" s="95"/>
      <c r="C50" s="96"/>
      <c r="D50" s="96"/>
      <c r="E50" s="97"/>
      <c r="F50" s="24"/>
      <c r="G50" s="24"/>
      <c r="H50" s="24"/>
      <c r="I50" s="24"/>
      <c r="J50" s="95"/>
      <c r="K50" s="96"/>
      <c r="L50" s="96"/>
      <c r="M50" s="96"/>
      <c r="N50" s="96"/>
      <c r="O50" s="97"/>
      <c r="P50" s="24"/>
      <c r="Q50" s="24"/>
      <c r="R50" s="24"/>
      <c r="S50" s="24"/>
    </row>
    <row r="51" spans="1:19" ht="18" customHeight="1">
      <c r="A51" s="87"/>
      <c r="B51" s="95"/>
      <c r="C51" s="96"/>
      <c r="D51" s="96"/>
      <c r="E51" s="97"/>
      <c r="F51" s="24"/>
      <c r="G51" s="24"/>
      <c r="H51" s="24"/>
      <c r="I51" s="24"/>
      <c r="J51" s="95"/>
      <c r="K51" s="96"/>
      <c r="L51" s="96"/>
      <c r="M51" s="96"/>
      <c r="N51" s="96"/>
      <c r="O51" s="97"/>
      <c r="P51" s="24"/>
      <c r="Q51" s="24"/>
      <c r="R51" s="24"/>
      <c r="S51" s="24"/>
    </row>
    <row r="52" spans="1:19" ht="18" customHeight="1">
      <c r="A52" s="87"/>
      <c r="B52" s="95"/>
      <c r="C52" s="96"/>
      <c r="D52" s="96"/>
      <c r="E52" s="97"/>
      <c r="F52" s="24"/>
      <c r="G52" s="24"/>
      <c r="H52" s="24"/>
      <c r="I52" s="24"/>
      <c r="J52" s="95"/>
      <c r="K52" s="96"/>
      <c r="L52" s="96"/>
      <c r="M52" s="96"/>
      <c r="N52" s="96"/>
      <c r="O52" s="97"/>
      <c r="P52" s="24"/>
      <c r="Q52" s="24"/>
      <c r="R52" s="24"/>
      <c r="S52" s="24"/>
    </row>
    <row r="53" spans="1:19" ht="18" customHeight="1">
      <c r="A53" s="87"/>
      <c r="B53" s="98"/>
      <c r="C53" s="99"/>
      <c r="D53" s="99"/>
      <c r="E53" s="100"/>
      <c r="F53" s="25"/>
      <c r="G53" s="25"/>
      <c r="H53" s="26"/>
      <c r="I53" s="26"/>
      <c r="J53" s="98"/>
      <c r="K53" s="99"/>
      <c r="L53" s="99"/>
      <c r="M53" s="99"/>
      <c r="N53" s="99"/>
      <c r="O53" s="100"/>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104" t="s">
        <v>33</v>
      </c>
      <c r="B55" s="104"/>
      <c r="C55" s="104"/>
      <c r="D55" s="104"/>
      <c r="E55" s="104"/>
      <c r="F55" s="104"/>
      <c r="G55" s="104"/>
      <c r="H55" s="104"/>
      <c r="I55" s="104"/>
      <c r="J55" s="104"/>
      <c r="K55" s="104"/>
      <c r="L55" s="104"/>
      <c r="M55" s="104"/>
      <c r="N55" s="104"/>
      <c r="O55" s="104"/>
      <c r="P55" s="104"/>
      <c r="Q55" s="104"/>
      <c r="R55" s="104"/>
      <c r="S55" s="104"/>
    </row>
    <row r="56" spans="1:19" ht="18" customHeight="1">
      <c r="A56" s="104"/>
      <c r="B56" s="104"/>
      <c r="C56" s="104"/>
      <c r="D56" s="104"/>
      <c r="E56" s="104"/>
      <c r="F56" s="104"/>
      <c r="G56" s="104"/>
      <c r="H56" s="104"/>
      <c r="I56" s="104"/>
      <c r="J56" s="104"/>
      <c r="K56" s="104"/>
      <c r="L56" s="104"/>
      <c r="M56" s="104"/>
      <c r="N56" s="104"/>
      <c r="O56" s="104"/>
      <c r="P56" s="104"/>
      <c r="Q56" s="104"/>
      <c r="R56" s="104"/>
      <c r="S56" s="104"/>
    </row>
    <row r="57" spans="1:19" ht="18" customHeight="1">
      <c r="B57" s="101" t="s">
        <v>19</v>
      </c>
      <c r="C57" s="102"/>
      <c r="D57" s="102"/>
      <c r="E57" s="103"/>
      <c r="F57" s="61" t="s">
        <v>20</v>
      </c>
      <c r="G57" s="60" t="s">
        <v>21</v>
      </c>
      <c r="H57" s="22" t="s">
        <v>34</v>
      </c>
      <c r="I57" s="22" t="s">
        <v>35</v>
      </c>
      <c r="J57" s="101" t="s">
        <v>19</v>
      </c>
      <c r="K57" s="102"/>
      <c r="L57" s="102"/>
      <c r="M57" s="102"/>
      <c r="N57" s="102"/>
      <c r="O57" s="103"/>
      <c r="P57" s="61" t="s">
        <v>20</v>
      </c>
      <c r="Q57" s="60" t="s">
        <v>21</v>
      </c>
      <c r="R57" s="22" t="s">
        <v>34</v>
      </c>
      <c r="S57" s="22" t="s">
        <v>35</v>
      </c>
    </row>
    <row r="58" spans="1:19" ht="18" customHeight="1">
      <c r="A58" s="87"/>
      <c r="B58" s="105" t="s">
        <v>194</v>
      </c>
      <c r="C58" s="106"/>
      <c r="D58" s="106"/>
      <c r="E58" s="107"/>
      <c r="F58" s="23">
        <v>2</v>
      </c>
      <c r="G58" s="23" t="s">
        <v>25</v>
      </c>
      <c r="H58" s="23" t="s">
        <v>25</v>
      </c>
      <c r="I58" s="23" t="s">
        <v>25</v>
      </c>
      <c r="J58" s="105"/>
      <c r="K58" s="106"/>
      <c r="L58" s="106"/>
      <c r="M58" s="106"/>
      <c r="N58" s="106"/>
      <c r="O58" s="107"/>
      <c r="P58" s="23"/>
      <c r="Q58" s="23"/>
      <c r="R58" s="23"/>
      <c r="S58" s="23"/>
    </row>
    <row r="59" spans="1:19" ht="18" customHeight="1">
      <c r="A59" s="87"/>
      <c r="B59" s="95" t="s">
        <v>195</v>
      </c>
      <c r="C59" s="96"/>
      <c r="D59" s="96"/>
      <c r="E59" s="97"/>
      <c r="F59" s="24">
        <v>1</v>
      </c>
      <c r="G59" s="24" t="s">
        <v>25</v>
      </c>
      <c r="H59" s="24" t="s">
        <v>25</v>
      </c>
      <c r="I59" s="24" t="s">
        <v>25</v>
      </c>
      <c r="J59" s="95"/>
      <c r="K59" s="96"/>
      <c r="L59" s="96"/>
      <c r="M59" s="96"/>
      <c r="N59" s="96"/>
      <c r="O59" s="97"/>
      <c r="P59" s="24"/>
      <c r="Q59" s="24"/>
      <c r="R59" s="24"/>
      <c r="S59" s="24"/>
    </row>
    <row r="60" spans="1:19" ht="18" customHeight="1">
      <c r="A60" s="87"/>
      <c r="B60" s="95"/>
      <c r="C60" s="96"/>
      <c r="D60" s="96"/>
      <c r="E60" s="97"/>
      <c r="F60" s="24"/>
      <c r="G60" s="24"/>
      <c r="H60" s="24"/>
      <c r="I60" s="24"/>
      <c r="J60" s="95"/>
      <c r="K60" s="96"/>
      <c r="L60" s="96"/>
      <c r="M60" s="96"/>
      <c r="N60" s="96"/>
      <c r="O60" s="97"/>
      <c r="P60" s="24"/>
      <c r="Q60" s="24"/>
      <c r="R60" s="24"/>
      <c r="S60" s="24"/>
    </row>
    <row r="61" spans="1:19" ht="18" customHeight="1">
      <c r="A61" s="87"/>
      <c r="B61" s="95"/>
      <c r="C61" s="96"/>
      <c r="D61" s="96"/>
      <c r="E61" s="97"/>
      <c r="F61" s="24"/>
      <c r="G61" s="24"/>
      <c r="H61" s="24"/>
      <c r="I61" s="24"/>
      <c r="J61" s="95"/>
      <c r="K61" s="96"/>
      <c r="L61" s="96"/>
      <c r="M61" s="96"/>
      <c r="N61" s="96"/>
      <c r="O61" s="97"/>
      <c r="P61" s="24"/>
      <c r="Q61" s="24"/>
      <c r="R61" s="24"/>
      <c r="S61" s="24"/>
    </row>
    <row r="62" spans="1:19" ht="18" customHeight="1">
      <c r="A62" s="87"/>
      <c r="B62" s="95"/>
      <c r="C62" s="96"/>
      <c r="D62" s="96"/>
      <c r="E62" s="97"/>
      <c r="F62" s="24"/>
      <c r="G62" s="24"/>
      <c r="H62" s="24"/>
      <c r="I62" s="24"/>
      <c r="J62" s="95"/>
      <c r="K62" s="96"/>
      <c r="L62" s="96"/>
      <c r="M62" s="96"/>
      <c r="N62" s="96"/>
      <c r="O62" s="97"/>
      <c r="P62" s="24"/>
      <c r="Q62" s="24"/>
      <c r="R62" s="24"/>
      <c r="S62" s="24"/>
    </row>
    <row r="63" spans="1:19" ht="18" customHeight="1">
      <c r="A63" s="87"/>
      <c r="B63" s="95"/>
      <c r="C63" s="96"/>
      <c r="D63" s="96"/>
      <c r="E63" s="97"/>
      <c r="F63" s="24"/>
      <c r="G63" s="24"/>
      <c r="H63" s="24"/>
      <c r="I63" s="24"/>
      <c r="J63" s="95"/>
      <c r="K63" s="96"/>
      <c r="L63" s="96"/>
      <c r="M63" s="96"/>
      <c r="N63" s="96"/>
      <c r="O63" s="97"/>
      <c r="P63" s="24"/>
      <c r="Q63" s="24"/>
      <c r="R63" s="24"/>
      <c r="S63" s="24"/>
    </row>
    <row r="64" spans="1:19" ht="18" customHeight="1">
      <c r="A64" s="87"/>
      <c r="B64" s="98"/>
      <c r="C64" s="99"/>
      <c r="D64" s="99"/>
      <c r="E64" s="100"/>
      <c r="F64" s="25"/>
      <c r="G64" s="25"/>
      <c r="H64" s="26"/>
      <c r="I64" s="26"/>
      <c r="J64" s="98"/>
      <c r="K64" s="99"/>
      <c r="L64" s="99"/>
      <c r="M64" s="99"/>
      <c r="N64" s="99"/>
      <c r="O64" s="100"/>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104" t="s">
        <v>36</v>
      </c>
      <c r="B66" s="104"/>
      <c r="C66" s="104"/>
      <c r="D66" s="104"/>
      <c r="E66" s="104"/>
      <c r="F66" s="104"/>
      <c r="G66" s="104"/>
      <c r="H66" s="104"/>
      <c r="I66" s="104"/>
      <c r="J66" s="104"/>
      <c r="K66" s="104"/>
      <c r="L66" s="104"/>
      <c r="M66" s="104"/>
      <c r="N66" s="104"/>
      <c r="O66" s="104"/>
      <c r="P66" s="104"/>
      <c r="Q66" s="104"/>
      <c r="R66" s="104"/>
      <c r="S66" s="104"/>
    </row>
    <row r="67" spans="1:19" ht="18" customHeight="1">
      <c r="A67" s="104"/>
      <c r="B67" s="104"/>
      <c r="C67" s="104"/>
      <c r="D67" s="104"/>
      <c r="E67" s="104"/>
      <c r="F67" s="104"/>
      <c r="G67" s="104"/>
      <c r="H67" s="104"/>
      <c r="I67" s="104"/>
      <c r="J67" s="104"/>
      <c r="K67" s="104"/>
      <c r="L67" s="104"/>
      <c r="M67" s="104"/>
      <c r="N67" s="104"/>
      <c r="O67" s="104"/>
      <c r="P67" s="104"/>
      <c r="Q67" s="104"/>
      <c r="R67" s="104"/>
      <c r="S67" s="104"/>
    </row>
    <row r="68" spans="1:19" ht="18" customHeight="1">
      <c r="B68" s="101" t="s">
        <v>19</v>
      </c>
      <c r="C68" s="102"/>
      <c r="D68" s="102"/>
      <c r="E68" s="61" t="s">
        <v>20</v>
      </c>
      <c r="F68" s="60" t="s">
        <v>21</v>
      </c>
      <c r="G68" s="22" t="s">
        <v>37</v>
      </c>
      <c r="H68" s="22" t="s">
        <v>38</v>
      </c>
      <c r="I68" s="22" t="s">
        <v>39</v>
      </c>
      <c r="J68" s="101" t="s">
        <v>19</v>
      </c>
      <c r="K68" s="102"/>
      <c r="L68" s="102"/>
      <c r="M68" s="102"/>
      <c r="N68" s="103"/>
      <c r="O68" s="61" t="s">
        <v>20</v>
      </c>
      <c r="P68" s="60" t="s">
        <v>21</v>
      </c>
      <c r="Q68" s="22" t="s">
        <v>37</v>
      </c>
      <c r="R68" s="22" t="s">
        <v>38</v>
      </c>
      <c r="S68" s="22" t="s">
        <v>39</v>
      </c>
    </row>
    <row r="69" spans="1:19" ht="18" customHeight="1">
      <c r="A69" s="87"/>
      <c r="B69" s="105" t="s">
        <v>204</v>
      </c>
      <c r="C69" s="106"/>
      <c r="D69" s="106"/>
      <c r="E69" s="23">
        <v>1</v>
      </c>
      <c r="F69" s="23" t="s">
        <v>25</v>
      </c>
      <c r="G69" s="23" t="s">
        <v>25</v>
      </c>
      <c r="H69" s="23" t="s">
        <v>25</v>
      </c>
      <c r="I69" s="23" t="s">
        <v>25</v>
      </c>
      <c r="J69" s="105"/>
      <c r="K69" s="106"/>
      <c r="L69" s="106"/>
      <c r="M69" s="106"/>
      <c r="N69" s="107"/>
      <c r="O69" s="23"/>
      <c r="P69" s="23"/>
      <c r="Q69" s="23"/>
      <c r="R69" s="23"/>
      <c r="S69" s="23"/>
    </row>
    <row r="70" spans="1:19" ht="18" customHeight="1">
      <c r="A70" s="87"/>
      <c r="B70" s="95" t="s">
        <v>205</v>
      </c>
      <c r="C70" s="96"/>
      <c r="D70" s="96"/>
      <c r="E70" s="24">
        <v>1</v>
      </c>
      <c r="F70" s="24" t="s">
        <v>25</v>
      </c>
      <c r="G70" s="24" t="s">
        <v>25</v>
      </c>
      <c r="H70" s="24" t="s">
        <v>25</v>
      </c>
      <c r="I70" s="24" t="s">
        <v>25</v>
      </c>
      <c r="J70" s="95"/>
      <c r="K70" s="96"/>
      <c r="L70" s="96"/>
      <c r="M70" s="96"/>
      <c r="N70" s="97"/>
      <c r="O70" s="24"/>
      <c r="P70" s="24"/>
      <c r="Q70" s="24"/>
      <c r="R70" s="24"/>
      <c r="S70" s="24"/>
    </row>
    <row r="71" spans="1:19" ht="18" customHeight="1">
      <c r="A71" s="87"/>
      <c r="B71" s="95" t="s">
        <v>197</v>
      </c>
      <c r="C71" s="96"/>
      <c r="D71" s="96"/>
      <c r="E71" s="24">
        <v>2</v>
      </c>
      <c r="F71" s="24" t="s">
        <v>25</v>
      </c>
      <c r="G71" s="24" t="s">
        <v>25</v>
      </c>
      <c r="H71" s="24" t="s">
        <v>25</v>
      </c>
      <c r="I71" s="24" t="s">
        <v>25</v>
      </c>
      <c r="J71" s="95"/>
      <c r="K71" s="96"/>
      <c r="L71" s="96"/>
      <c r="M71" s="96"/>
      <c r="N71" s="97"/>
      <c r="O71" s="24"/>
      <c r="P71" s="24"/>
      <c r="Q71" s="24"/>
      <c r="R71" s="24"/>
      <c r="S71" s="24"/>
    </row>
    <row r="72" spans="1:19" ht="18" customHeight="1">
      <c r="A72" s="87"/>
      <c r="B72" s="95"/>
      <c r="C72" s="96"/>
      <c r="D72" s="97"/>
      <c r="E72" s="24"/>
      <c r="F72" s="24"/>
      <c r="G72" s="24"/>
      <c r="H72" s="24"/>
      <c r="I72" s="24"/>
      <c r="J72" s="95"/>
      <c r="K72" s="96"/>
      <c r="L72" s="96"/>
      <c r="M72" s="96"/>
      <c r="N72" s="97"/>
      <c r="O72" s="24"/>
      <c r="P72" s="24"/>
      <c r="Q72" s="24"/>
      <c r="R72" s="24"/>
      <c r="S72" s="24"/>
    </row>
    <row r="73" spans="1:19" ht="18" customHeight="1">
      <c r="A73" s="87"/>
      <c r="B73" s="95"/>
      <c r="C73" s="96"/>
      <c r="D73" s="96"/>
      <c r="E73" s="24"/>
      <c r="F73" s="24"/>
      <c r="G73" s="24"/>
      <c r="H73" s="24"/>
      <c r="I73" s="24"/>
      <c r="J73" s="95"/>
      <c r="K73" s="96"/>
      <c r="L73" s="96"/>
      <c r="M73" s="96"/>
      <c r="N73" s="97"/>
      <c r="O73" s="24"/>
      <c r="P73" s="24"/>
      <c r="Q73" s="24"/>
      <c r="R73" s="24"/>
      <c r="S73" s="24"/>
    </row>
    <row r="74" spans="1:19" ht="18" customHeight="1">
      <c r="A74" s="87"/>
      <c r="B74" s="95"/>
      <c r="C74" s="96"/>
      <c r="D74" s="96"/>
      <c r="E74" s="24"/>
      <c r="F74" s="24"/>
      <c r="G74" s="24"/>
      <c r="H74" s="24"/>
      <c r="I74" s="24"/>
      <c r="J74" s="95"/>
      <c r="K74" s="96"/>
      <c r="L74" s="96"/>
      <c r="M74" s="96"/>
      <c r="N74" s="97"/>
      <c r="O74" s="24"/>
      <c r="P74" s="24"/>
      <c r="Q74" s="24"/>
      <c r="R74" s="24"/>
      <c r="S74" s="24"/>
    </row>
    <row r="75" spans="1:19" ht="18" customHeight="1">
      <c r="A75" s="87"/>
      <c r="B75" s="98"/>
      <c r="C75" s="99"/>
      <c r="D75" s="99"/>
      <c r="E75" s="25"/>
      <c r="F75" s="25"/>
      <c r="G75" s="26"/>
      <c r="H75" s="26"/>
      <c r="I75" s="26"/>
      <c r="J75" s="98"/>
      <c r="K75" s="99"/>
      <c r="L75" s="99"/>
      <c r="M75" s="99"/>
      <c r="N75" s="100"/>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86" t="s">
        <v>42</v>
      </c>
      <c r="H77" s="87"/>
      <c r="I77" s="87"/>
      <c r="J77" s="87"/>
      <c r="K77" s="87"/>
      <c r="L77" s="87"/>
      <c r="M77" s="87"/>
      <c r="N77" s="87"/>
      <c r="O77" s="87"/>
      <c r="P77" s="87"/>
      <c r="Q77" s="87"/>
      <c r="R77" s="87"/>
      <c r="S77" s="87"/>
    </row>
    <row r="78" spans="1:19" ht="18" customHeight="1">
      <c r="B78" s="101" t="s">
        <v>19</v>
      </c>
      <c r="C78" s="102"/>
      <c r="D78" s="102"/>
      <c r="E78" s="103"/>
      <c r="F78" s="101" t="s">
        <v>43</v>
      </c>
      <c r="G78" s="102"/>
      <c r="H78" s="102"/>
      <c r="I78" s="103"/>
      <c r="J78" s="149" t="s">
        <v>19</v>
      </c>
      <c r="K78" s="150"/>
      <c r="L78" s="150"/>
      <c r="M78" s="150"/>
      <c r="N78" s="150"/>
      <c r="O78" s="151"/>
      <c r="P78" s="101" t="s">
        <v>43</v>
      </c>
      <c r="Q78" s="102"/>
      <c r="R78" s="102"/>
      <c r="S78" s="103"/>
    </row>
    <row r="79" spans="1:19" ht="18" customHeight="1">
      <c r="A79" s="87"/>
      <c r="B79" s="105"/>
      <c r="C79" s="106"/>
      <c r="D79" s="106"/>
      <c r="E79" s="107"/>
      <c r="F79" s="165"/>
      <c r="G79" s="166"/>
      <c r="H79" s="166"/>
      <c r="I79" s="167"/>
      <c r="J79" s="105"/>
      <c r="K79" s="106"/>
      <c r="L79" s="106"/>
      <c r="M79" s="106"/>
      <c r="N79" s="106"/>
      <c r="O79" s="107"/>
      <c r="P79" s="165"/>
      <c r="Q79" s="166"/>
      <c r="R79" s="166"/>
      <c r="S79" s="167"/>
    </row>
    <row r="80" spans="1:19" ht="18" customHeight="1">
      <c r="A80" s="87"/>
      <c r="B80" s="95"/>
      <c r="C80" s="96"/>
      <c r="D80" s="96"/>
      <c r="E80" s="97"/>
      <c r="F80" s="134"/>
      <c r="G80" s="135"/>
      <c r="H80" s="135"/>
      <c r="I80" s="136"/>
      <c r="J80" s="95"/>
      <c r="K80" s="96"/>
      <c r="L80" s="96"/>
      <c r="M80" s="96"/>
      <c r="N80" s="96"/>
      <c r="O80" s="97"/>
      <c r="P80" s="134"/>
      <c r="Q80" s="135"/>
      <c r="R80" s="135"/>
      <c r="S80" s="136"/>
    </row>
    <row r="81" spans="1:19" ht="18" customHeight="1">
      <c r="A81" s="87"/>
      <c r="B81" s="95"/>
      <c r="C81" s="96"/>
      <c r="D81" s="96"/>
      <c r="E81" s="97"/>
      <c r="F81" s="134"/>
      <c r="G81" s="135"/>
      <c r="H81" s="135"/>
      <c r="I81" s="136"/>
      <c r="J81" s="95"/>
      <c r="K81" s="96"/>
      <c r="L81" s="96"/>
      <c r="M81" s="96"/>
      <c r="N81" s="96"/>
      <c r="O81" s="97"/>
      <c r="P81" s="134"/>
      <c r="Q81" s="135"/>
      <c r="R81" s="135"/>
      <c r="S81" s="136"/>
    </row>
    <row r="82" spans="1:19" ht="18" customHeight="1">
      <c r="A82" s="87"/>
      <c r="B82" s="95"/>
      <c r="C82" s="96"/>
      <c r="D82" s="96"/>
      <c r="E82" s="97"/>
      <c r="F82" s="134"/>
      <c r="G82" s="135"/>
      <c r="H82" s="135"/>
      <c r="I82" s="136"/>
      <c r="J82" s="95"/>
      <c r="K82" s="96"/>
      <c r="L82" s="96"/>
      <c r="M82" s="96"/>
      <c r="N82" s="96"/>
      <c r="O82" s="97"/>
      <c r="P82" s="134"/>
      <c r="Q82" s="135"/>
      <c r="R82" s="135"/>
      <c r="S82" s="136"/>
    </row>
    <row r="83" spans="1:19" ht="18" customHeight="1">
      <c r="A83" s="87"/>
      <c r="B83" s="95"/>
      <c r="C83" s="96"/>
      <c r="D83" s="96"/>
      <c r="E83" s="97"/>
      <c r="F83" s="134"/>
      <c r="G83" s="135"/>
      <c r="H83" s="135"/>
      <c r="I83" s="136"/>
      <c r="J83" s="95"/>
      <c r="K83" s="96"/>
      <c r="L83" s="96"/>
      <c r="M83" s="96"/>
      <c r="N83" s="96"/>
      <c r="O83" s="97"/>
      <c r="P83" s="134"/>
      <c r="Q83" s="135"/>
      <c r="R83" s="135"/>
      <c r="S83" s="136"/>
    </row>
    <row r="84" spans="1:19" ht="18" customHeight="1">
      <c r="A84" s="87"/>
      <c r="B84" s="95"/>
      <c r="C84" s="96"/>
      <c r="D84" s="96"/>
      <c r="E84" s="97"/>
      <c r="F84" s="134"/>
      <c r="G84" s="135"/>
      <c r="H84" s="135"/>
      <c r="I84" s="136"/>
      <c r="J84" s="95"/>
      <c r="K84" s="96"/>
      <c r="L84" s="96"/>
      <c r="M84" s="96"/>
      <c r="N84" s="96"/>
      <c r="O84" s="97"/>
      <c r="P84" s="134"/>
      <c r="Q84" s="135"/>
      <c r="R84" s="135"/>
      <c r="S84" s="136"/>
    </row>
    <row r="85" spans="1:19" ht="18" customHeight="1">
      <c r="A85" s="87"/>
      <c r="B85" s="98"/>
      <c r="C85" s="99"/>
      <c r="D85" s="99"/>
      <c r="E85" s="100"/>
      <c r="F85" s="131"/>
      <c r="G85" s="132"/>
      <c r="H85" s="132"/>
      <c r="I85" s="133"/>
      <c r="J85" s="98"/>
      <c r="K85" s="99"/>
      <c r="L85" s="99"/>
      <c r="M85" s="99"/>
      <c r="N85" s="99"/>
      <c r="O85" s="100"/>
      <c r="P85" s="131"/>
      <c r="Q85" s="132"/>
      <c r="R85" s="132"/>
      <c r="S85" s="133"/>
    </row>
    <row r="86" spans="1:19" ht="18" customHeight="1">
      <c r="A86" s="87"/>
      <c r="B86" s="6"/>
      <c r="C86" s="6"/>
      <c r="D86" s="6"/>
      <c r="E86" s="6"/>
      <c r="F86" s="27"/>
      <c r="G86" s="27"/>
      <c r="H86" s="27"/>
      <c r="I86" s="27"/>
      <c r="J86" s="6"/>
      <c r="K86" s="6"/>
      <c r="L86" s="6"/>
      <c r="M86" s="6"/>
      <c r="N86" s="6"/>
      <c r="O86" s="6"/>
      <c r="P86" s="27"/>
      <c r="Q86" s="27"/>
      <c r="R86" s="27"/>
      <c r="S86" s="27"/>
    </row>
    <row r="87" spans="1:19" ht="18.75" customHeight="1">
      <c r="A87" s="86" t="s">
        <v>44</v>
      </c>
    </row>
    <row r="88" spans="1:19" ht="18.75" customHeight="1">
      <c r="B88" s="160" t="s">
        <v>45</v>
      </c>
      <c r="C88" s="161"/>
      <c r="D88" s="102" t="s">
        <v>46</v>
      </c>
      <c r="E88" s="102"/>
      <c r="F88" s="102"/>
      <c r="G88" s="102"/>
      <c r="H88" s="102"/>
      <c r="I88" s="102"/>
      <c r="J88" s="102"/>
      <c r="K88" s="102"/>
      <c r="L88" s="102"/>
      <c r="M88" s="102"/>
      <c r="N88" s="102"/>
      <c r="O88" s="102"/>
      <c r="P88" s="102"/>
      <c r="Q88" s="102"/>
      <c r="R88" s="102"/>
      <c r="S88" s="103"/>
    </row>
    <row r="89" spans="1:19" ht="98.25" customHeight="1">
      <c r="B89" s="152" t="s">
        <v>47</v>
      </c>
      <c r="C89" s="28" t="s">
        <v>22</v>
      </c>
      <c r="D89" s="162" t="s">
        <v>202</v>
      </c>
      <c r="E89" s="163"/>
      <c r="F89" s="163"/>
      <c r="G89" s="163"/>
      <c r="H89" s="163"/>
      <c r="I89" s="163"/>
      <c r="J89" s="163"/>
      <c r="K89" s="163"/>
      <c r="L89" s="163"/>
      <c r="M89" s="163"/>
      <c r="N89" s="163"/>
      <c r="O89" s="163"/>
      <c r="P89" s="163"/>
      <c r="Q89" s="163"/>
      <c r="R89" s="163"/>
      <c r="S89" s="164"/>
    </row>
    <row r="90" spans="1:19" ht="89.25" customHeight="1">
      <c r="B90" s="154"/>
      <c r="C90" s="29" t="s">
        <v>49</v>
      </c>
      <c r="D90" s="137" t="s">
        <v>198</v>
      </c>
      <c r="E90" s="138"/>
      <c r="F90" s="138"/>
      <c r="G90" s="138"/>
      <c r="H90" s="138"/>
      <c r="I90" s="138"/>
      <c r="J90" s="138"/>
      <c r="K90" s="138"/>
      <c r="L90" s="138"/>
      <c r="M90" s="138"/>
      <c r="N90" s="138"/>
      <c r="O90" s="138"/>
      <c r="P90" s="138"/>
      <c r="Q90" s="138"/>
      <c r="R90" s="138"/>
      <c r="S90" s="139"/>
    </row>
    <row r="91" spans="1:19" ht="101.25" customHeight="1">
      <c r="B91" s="152" t="s">
        <v>51</v>
      </c>
      <c r="C91" s="30" t="s">
        <v>27</v>
      </c>
      <c r="D91" s="140" t="s">
        <v>199</v>
      </c>
      <c r="E91" s="141"/>
      <c r="F91" s="141"/>
      <c r="G91" s="141"/>
      <c r="H91" s="141"/>
      <c r="I91" s="141"/>
      <c r="J91" s="141"/>
      <c r="K91" s="141"/>
      <c r="L91" s="141"/>
      <c r="M91" s="141"/>
      <c r="N91" s="141"/>
      <c r="O91" s="141"/>
      <c r="P91" s="141"/>
      <c r="Q91" s="141"/>
      <c r="R91" s="141"/>
      <c r="S91" s="142"/>
    </row>
    <row r="92" spans="1:19" ht="90.75" customHeight="1">
      <c r="B92" s="153"/>
      <c r="C92" s="31" t="s">
        <v>28</v>
      </c>
      <c r="D92" s="146" t="s">
        <v>203</v>
      </c>
      <c r="E92" s="146"/>
      <c r="F92" s="146"/>
      <c r="G92" s="146"/>
      <c r="H92" s="146"/>
      <c r="I92" s="146"/>
      <c r="J92" s="146"/>
      <c r="K92" s="146"/>
      <c r="L92" s="146"/>
      <c r="M92" s="146"/>
      <c r="N92" s="146"/>
      <c r="O92" s="146"/>
      <c r="P92" s="146"/>
      <c r="Q92" s="146"/>
      <c r="R92" s="146"/>
      <c r="S92" s="190"/>
    </row>
    <row r="93" spans="1:19" ht="97.5" customHeight="1">
      <c r="B93" s="152" t="s">
        <v>54</v>
      </c>
      <c r="C93" s="30" t="s">
        <v>31</v>
      </c>
      <c r="D93" s="140" t="s">
        <v>208</v>
      </c>
      <c r="E93" s="141"/>
      <c r="F93" s="141"/>
      <c r="G93" s="141"/>
      <c r="H93" s="141"/>
      <c r="I93" s="141"/>
      <c r="J93" s="141"/>
      <c r="K93" s="141"/>
      <c r="L93" s="141"/>
      <c r="M93" s="141"/>
      <c r="N93" s="141"/>
      <c r="O93" s="141"/>
      <c r="P93" s="141"/>
      <c r="Q93" s="141"/>
      <c r="R93" s="141"/>
      <c r="S93" s="142"/>
    </row>
    <row r="94" spans="1:19" ht="97.5" customHeight="1">
      <c r="B94" s="153"/>
      <c r="C94" s="32" t="s">
        <v>32</v>
      </c>
      <c r="D94" s="187" t="s">
        <v>201</v>
      </c>
      <c r="E94" s="187"/>
      <c r="F94" s="187"/>
      <c r="G94" s="187"/>
      <c r="H94" s="187"/>
      <c r="I94" s="187"/>
      <c r="J94" s="187"/>
      <c r="K94" s="187"/>
      <c r="L94" s="187"/>
      <c r="M94" s="187"/>
      <c r="N94" s="187"/>
      <c r="O94" s="187"/>
      <c r="P94" s="187"/>
      <c r="Q94" s="187"/>
      <c r="R94" s="187"/>
      <c r="S94" s="188"/>
    </row>
    <row r="95" spans="1:19" ht="90.75" customHeight="1">
      <c r="B95" s="152" t="s">
        <v>57</v>
      </c>
      <c r="C95" s="28" t="s">
        <v>34</v>
      </c>
      <c r="D95" s="162" t="s">
        <v>200</v>
      </c>
      <c r="E95" s="162"/>
      <c r="F95" s="162"/>
      <c r="G95" s="162"/>
      <c r="H95" s="162"/>
      <c r="I95" s="162"/>
      <c r="J95" s="162"/>
      <c r="K95" s="162"/>
      <c r="L95" s="162"/>
      <c r="M95" s="162"/>
      <c r="N95" s="162"/>
      <c r="O95" s="162"/>
      <c r="P95" s="162"/>
      <c r="Q95" s="162"/>
      <c r="R95" s="162"/>
      <c r="S95" s="189"/>
    </row>
    <row r="96" spans="1:19" ht="86.25" customHeight="1">
      <c r="B96" s="153"/>
      <c r="C96" s="31" t="s">
        <v>35</v>
      </c>
      <c r="D96" s="146" t="s">
        <v>209</v>
      </c>
      <c r="E96" s="144"/>
      <c r="F96" s="144"/>
      <c r="G96" s="144"/>
      <c r="H96" s="144"/>
      <c r="I96" s="144"/>
      <c r="J96" s="144"/>
      <c r="K96" s="144"/>
      <c r="L96" s="144"/>
      <c r="M96" s="144"/>
      <c r="N96" s="144"/>
      <c r="O96" s="144"/>
      <c r="P96" s="144"/>
      <c r="Q96" s="144"/>
      <c r="R96" s="144"/>
      <c r="S96" s="145"/>
    </row>
    <row r="97" spans="1:19" ht="174" customHeight="1">
      <c r="B97" s="152" t="s">
        <v>60</v>
      </c>
      <c r="C97" s="30" t="s">
        <v>61</v>
      </c>
      <c r="D97" s="181" t="s">
        <v>210</v>
      </c>
      <c r="E97" s="106"/>
      <c r="F97" s="106"/>
      <c r="G97" s="106"/>
      <c r="H97" s="106"/>
      <c r="I97" s="106"/>
      <c r="J97" s="106"/>
      <c r="K97" s="106"/>
      <c r="L97" s="106"/>
      <c r="M97" s="106"/>
      <c r="N97" s="106"/>
      <c r="O97" s="106"/>
      <c r="P97" s="106"/>
      <c r="Q97" s="106"/>
      <c r="R97" s="106"/>
      <c r="S97" s="107"/>
    </row>
    <row r="98" spans="1:19" ht="105.75" customHeight="1">
      <c r="B98" s="154"/>
      <c r="C98" s="33" t="s">
        <v>38</v>
      </c>
      <c r="D98" s="148" t="s">
        <v>211</v>
      </c>
      <c r="E98" s="96"/>
      <c r="F98" s="96"/>
      <c r="G98" s="96"/>
      <c r="H98" s="96"/>
      <c r="I98" s="96"/>
      <c r="J98" s="96"/>
      <c r="K98" s="96"/>
      <c r="L98" s="96"/>
      <c r="M98" s="96"/>
      <c r="N98" s="96"/>
      <c r="O98" s="96"/>
      <c r="P98" s="96"/>
      <c r="Q98" s="96"/>
      <c r="R98" s="96"/>
      <c r="S98" s="97"/>
    </row>
    <row r="99" spans="1:19" ht="131.25" customHeight="1">
      <c r="B99" s="153"/>
      <c r="C99" s="32" t="s">
        <v>39</v>
      </c>
      <c r="D99" s="182" t="s">
        <v>206</v>
      </c>
      <c r="E99" s="183"/>
      <c r="F99" s="183"/>
      <c r="G99" s="183"/>
      <c r="H99" s="183"/>
      <c r="I99" s="183"/>
      <c r="J99" s="183"/>
      <c r="K99" s="183"/>
      <c r="L99" s="183"/>
      <c r="M99" s="183"/>
      <c r="N99" s="183"/>
      <c r="O99" s="183"/>
      <c r="P99" s="183"/>
      <c r="Q99" s="183"/>
      <c r="R99" s="183"/>
      <c r="S99" s="184"/>
    </row>
    <row r="100" spans="1:19" ht="6" customHeight="1"/>
    <row r="101" spans="1:19" ht="18.75" customHeight="1">
      <c r="A101" s="86" t="s">
        <v>65</v>
      </c>
    </row>
    <row r="102" spans="1:19" ht="81.75" customHeight="1">
      <c r="B102" s="128" t="s">
        <v>66</v>
      </c>
      <c r="C102" s="185"/>
      <c r="D102" s="185"/>
      <c r="E102" s="185"/>
      <c r="F102" s="185"/>
      <c r="G102" s="185"/>
      <c r="H102" s="185"/>
      <c r="I102" s="185"/>
      <c r="J102" s="185"/>
      <c r="K102" s="185"/>
      <c r="L102" s="185"/>
      <c r="M102" s="185"/>
      <c r="N102" s="185"/>
      <c r="O102" s="185"/>
      <c r="P102" s="185"/>
      <c r="Q102" s="185"/>
      <c r="R102" s="185"/>
      <c r="S102" s="186"/>
    </row>
    <row r="110" spans="1:19" ht="18" customHeight="1"/>
  </sheetData>
  <mergeCells count="145">
    <mergeCell ref="R1:S1"/>
    <mergeCell ref="C2:I2"/>
    <mergeCell ref="C3:I3"/>
    <mergeCell ref="A5:S5"/>
    <mergeCell ref="K7:S7"/>
    <mergeCell ref="B9:S10"/>
    <mergeCell ref="B51:E51"/>
    <mergeCell ref="B25:E25"/>
    <mergeCell ref="J25:O25"/>
    <mergeCell ref="B26:E26"/>
    <mergeCell ref="J26:O26"/>
    <mergeCell ref="B27:E27"/>
    <mergeCell ref="J27:O27"/>
    <mergeCell ref="B13:S18"/>
    <mergeCell ref="C20:D20"/>
    <mergeCell ref="K20:S20"/>
    <mergeCell ref="A22:S23"/>
    <mergeCell ref="B24:E24"/>
    <mergeCell ref="J24:O24"/>
    <mergeCell ref="B31:E31"/>
    <mergeCell ref="J31:O31"/>
    <mergeCell ref="A33:S34"/>
    <mergeCell ref="B35:E35"/>
    <mergeCell ref="J35:O35"/>
    <mergeCell ref="B36:E36"/>
    <mergeCell ref="J36:O36"/>
    <mergeCell ref="B28:E28"/>
    <mergeCell ref="J28:O28"/>
    <mergeCell ref="B29:E29"/>
    <mergeCell ref="J29:O29"/>
    <mergeCell ref="B30:E30"/>
    <mergeCell ref="J30:O30"/>
    <mergeCell ref="B40:E40"/>
    <mergeCell ref="J40:O40"/>
    <mergeCell ref="B41:E41"/>
    <mergeCell ref="J41:O41"/>
    <mergeCell ref="B42:E42"/>
    <mergeCell ref="J42:O42"/>
    <mergeCell ref="B37:E37"/>
    <mergeCell ref="J37:O37"/>
    <mergeCell ref="B38:E38"/>
    <mergeCell ref="J38:O38"/>
    <mergeCell ref="B39:E39"/>
    <mergeCell ref="J39:O39"/>
    <mergeCell ref="B49:E49"/>
    <mergeCell ref="J49:O49"/>
    <mergeCell ref="B50:E50"/>
    <mergeCell ref="J50:O50"/>
    <mergeCell ref="J51:O51"/>
    <mergeCell ref="B52:E52"/>
    <mergeCell ref="J52:O52"/>
    <mergeCell ref="A44:S45"/>
    <mergeCell ref="B46:E46"/>
    <mergeCell ref="J46:O46"/>
    <mergeCell ref="B47:E47"/>
    <mergeCell ref="J47:O47"/>
    <mergeCell ref="B48:E48"/>
    <mergeCell ref="J48:O48"/>
    <mergeCell ref="B59:E59"/>
    <mergeCell ref="J59:O59"/>
    <mergeCell ref="B60:E60"/>
    <mergeCell ref="J60:O60"/>
    <mergeCell ref="B61:E61"/>
    <mergeCell ref="J61:O61"/>
    <mergeCell ref="B53:E53"/>
    <mergeCell ref="J53:O53"/>
    <mergeCell ref="A55:S56"/>
    <mergeCell ref="B57:E57"/>
    <mergeCell ref="J57:O57"/>
    <mergeCell ref="B58:E58"/>
    <mergeCell ref="J58:O58"/>
    <mergeCell ref="A66:S67"/>
    <mergeCell ref="B68:D68"/>
    <mergeCell ref="J68:N68"/>
    <mergeCell ref="B69:D69"/>
    <mergeCell ref="J69:N69"/>
    <mergeCell ref="B70:D70"/>
    <mergeCell ref="J70:N70"/>
    <mergeCell ref="B62:E62"/>
    <mergeCell ref="J62:O62"/>
    <mergeCell ref="B63:E63"/>
    <mergeCell ref="J63:O63"/>
    <mergeCell ref="B64:E64"/>
    <mergeCell ref="J64:O64"/>
    <mergeCell ref="B74:D74"/>
    <mergeCell ref="J74:N74"/>
    <mergeCell ref="B75:D75"/>
    <mergeCell ref="J75:N75"/>
    <mergeCell ref="B78:E78"/>
    <mergeCell ref="F78:I78"/>
    <mergeCell ref="J78:O78"/>
    <mergeCell ref="B71:D71"/>
    <mergeCell ref="J71:N71"/>
    <mergeCell ref="B72:D72"/>
    <mergeCell ref="J72:N72"/>
    <mergeCell ref="B73:D73"/>
    <mergeCell ref="J73:N73"/>
    <mergeCell ref="P78:S78"/>
    <mergeCell ref="B79:E79"/>
    <mergeCell ref="F79:I79"/>
    <mergeCell ref="J79:O79"/>
    <mergeCell ref="P79:S79"/>
    <mergeCell ref="B80:E80"/>
    <mergeCell ref="F80:I80"/>
    <mergeCell ref="J80:O80"/>
    <mergeCell ref="P80:S80"/>
    <mergeCell ref="B83:E83"/>
    <mergeCell ref="F83:I83"/>
    <mergeCell ref="J83:O83"/>
    <mergeCell ref="P83:S83"/>
    <mergeCell ref="B84:E84"/>
    <mergeCell ref="F84:I84"/>
    <mergeCell ref="J84:O84"/>
    <mergeCell ref="P84:S84"/>
    <mergeCell ref="B81:E81"/>
    <mergeCell ref="F81:I81"/>
    <mergeCell ref="J81:O81"/>
    <mergeCell ref="P81:S81"/>
    <mergeCell ref="B82:E82"/>
    <mergeCell ref="F82:I82"/>
    <mergeCell ref="J82:O82"/>
    <mergeCell ref="P82:S82"/>
    <mergeCell ref="B89:B90"/>
    <mergeCell ref="D89:S89"/>
    <mergeCell ref="D90:S90"/>
    <mergeCell ref="B91:B92"/>
    <mergeCell ref="D91:S91"/>
    <mergeCell ref="D92:S92"/>
    <mergeCell ref="B85:E85"/>
    <mergeCell ref="F85:I85"/>
    <mergeCell ref="J85:O85"/>
    <mergeCell ref="P85:S85"/>
    <mergeCell ref="B88:C88"/>
    <mergeCell ref="D88:S88"/>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47:I53 Q36:S42 G25:I31 Q47:S53 G36:I42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6383" man="1"/>
    <brk id="94" max="16383" man="1"/>
  </rowBreaks>
  <colBreaks count="1" manualBreakCount="1">
    <brk id="1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D12" sqref="D12:E14"/>
    </sheetView>
  </sheetViews>
  <sheetFormatPr defaultColWidth="9" defaultRowHeight="18.75" customHeight="1"/>
  <cols>
    <col min="1" max="1" width="2.625" style="1" customWidth="1"/>
    <col min="2" max="2" width="20.625" style="1" customWidth="1"/>
    <col min="3" max="5" width="6.125" style="1" customWidth="1"/>
    <col min="6" max="42" width="4.875" style="1" customWidth="1"/>
    <col min="43" max="43" width="6.625" style="1" customWidth="1"/>
    <col min="44" max="16384" width="9" style="1"/>
  </cols>
  <sheetData>
    <row r="1" spans="1:45" ht="18" customHeight="1">
      <c r="AQ1" s="1" t="s">
        <v>85</v>
      </c>
    </row>
    <row r="2" spans="1:45" ht="18" customHeight="1">
      <c r="K2" s="35"/>
      <c r="Q2" s="35"/>
      <c r="W2" s="35"/>
      <c r="AC2" s="35"/>
      <c r="AI2" s="35"/>
      <c r="AL2" s="35" t="s">
        <v>1</v>
      </c>
      <c r="AM2" s="194" t="str">
        <f>'様式１　プログラムを構成する授業科目(ME)'!C2</f>
        <v>徳山工業高等専門学校</v>
      </c>
      <c r="AN2" s="194"/>
      <c r="AO2" s="194"/>
      <c r="AP2" s="194"/>
      <c r="AQ2" s="194"/>
    </row>
    <row r="3" spans="1:45" ht="18" customHeight="1">
      <c r="A3" s="115" t="s">
        <v>86</v>
      </c>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87</v>
      </c>
      <c r="C5" s="112">
        <v>4</v>
      </c>
      <c r="D5" s="114"/>
      <c r="E5" s="3" t="s">
        <v>88</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89</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95" t="s">
        <v>90</v>
      </c>
      <c r="C9" s="210" t="s">
        <v>91</v>
      </c>
      <c r="D9" s="198" t="s">
        <v>92</v>
      </c>
      <c r="E9" s="201" t="s">
        <v>93</v>
      </c>
      <c r="F9" s="193" t="s">
        <v>94</v>
      </c>
      <c r="G9" s="193"/>
      <c r="H9" s="193"/>
      <c r="I9" s="193"/>
      <c r="J9" s="193"/>
      <c r="K9" s="193"/>
      <c r="L9" s="193" t="s">
        <v>95</v>
      </c>
      <c r="M9" s="193"/>
      <c r="N9" s="193"/>
      <c r="O9" s="193"/>
      <c r="P9" s="193"/>
      <c r="Q9" s="193"/>
      <c r="R9" s="193" t="s">
        <v>96</v>
      </c>
      <c r="S9" s="193"/>
      <c r="T9" s="193"/>
      <c r="U9" s="193"/>
      <c r="V9" s="193"/>
      <c r="W9" s="193"/>
      <c r="X9" s="193" t="s">
        <v>97</v>
      </c>
      <c r="Y9" s="193"/>
      <c r="Z9" s="193"/>
      <c r="AA9" s="193"/>
      <c r="AB9" s="193"/>
      <c r="AC9" s="193"/>
      <c r="AD9" s="193" t="s">
        <v>98</v>
      </c>
      <c r="AE9" s="193"/>
      <c r="AF9" s="193"/>
      <c r="AG9" s="193"/>
      <c r="AH9" s="193"/>
      <c r="AI9" s="193"/>
      <c r="AJ9" s="193" t="s">
        <v>99</v>
      </c>
      <c r="AK9" s="193"/>
      <c r="AL9" s="193"/>
      <c r="AM9" s="193"/>
      <c r="AN9" s="193"/>
      <c r="AO9" s="193"/>
      <c r="AP9" s="204" t="s">
        <v>100</v>
      </c>
      <c r="AQ9" s="207" t="s">
        <v>101</v>
      </c>
      <c r="AS9" s="2"/>
    </row>
    <row r="10" spans="1:45" ht="17.100000000000001" customHeight="1">
      <c r="B10" s="196"/>
      <c r="C10" s="211"/>
      <c r="D10" s="199"/>
      <c r="E10" s="202"/>
      <c r="F10" s="191" t="s">
        <v>102</v>
      </c>
      <c r="G10" s="192"/>
      <c r="H10" s="192"/>
      <c r="I10" s="191" t="s">
        <v>103</v>
      </c>
      <c r="J10" s="192"/>
      <c r="K10" s="192"/>
      <c r="L10" s="191" t="s">
        <v>102</v>
      </c>
      <c r="M10" s="192"/>
      <c r="N10" s="192"/>
      <c r="O10" s="191" t="s">
        <v>103</v>
      </c>
      <c r="P10" s="192"/>
      <c r="Q10" s="192"/>
      <c r="R10" s="191" t="s">
        <v>102</v>
      </c>
      <c r="S10" s="192"/>
      <c r="T10" s="192"/>
      <c r="U10" s="191" t="s">
        <v>103</v>
      </c>
      <c r="V10" s="192"/>
      <c r="W10" s="192"/>
      <c r="X10" s="191" t="s">
        <v>102</v>
      </c>
      <c r="Y10" s="192"/>
      <c r="Z10" s="192"/>
      <c r="AA10" s="191" t="s">
        <v>103</v>
      </c>
      <c r="AB10" s="192"/>
      <c r="AC10" s="192"/>
      <c r="AD10" s="191" t="s">
        <v>102</v>
      </c>
      <c r="AE10" s="192"/>
      <c r="AF10" s="192"/>
      <c r="AG10" s="191" t="s">
        <v>103</v>
      </c>
      <c r="AH10" s="192"/>
      <c r="AI10" s="192"/>
      <c r="AJ10" s="191" t="s">
        <v>102</v>
      </c>
      <c r="AK10" s="192"/>
      <c r="AL10" s="192"/>
      <c r="AM10" s="191" t="s">
        <v>103</v>
      </c>
      <c r="AN10" s="192"/>
      <c r="AO10" s="192"/>
      <c r="AP10" s="205"/>
      <c r="AQ10" s="208"/>
      <c r="AS10" s="2"/>
    </row>
    <row r="11" spans="1:45" ht="18" customHeight="1">
      <c r="B11" s="197"/>
      <c r="C11" s="212"/>
      <c r="D11" s="200"/>
      <c r="E11" s="203"/>
      <c r="F11" s="17" t="s">
        <v>104</v>
      </c>
      <c r="G11" s="18" t="s">
        <v>105</v>
      </c>
      <c r="H11" s="19" t="s">
        <v>106</v>
      </c>
      <c r="I11" s="17" t="s">
        <v>104</v>
      </c>
      <c r="J11" s="18" t="s">
        <v>105</v>
      </c>
      <c r="K11" s="19" t="s">
        <v>106</v>
      </c>
      <c r="L11" s="17" t="s">
        <v>104</v>
      </c>
      <c r="M11" s="18" t="s">
        <v>105</v>
      </c>
      <c r="N11" s="19" t="s">
        <v>106</v>
      </c>
      <c r="O11" s="17" t="s">
        <v>104</v>
      </c>
      <c r="P11" s="18" t="s">
        <v>105</v>
      </c>
      <c r="Q11" s="19" t="s">
        <v>106</v>
      </c>
      <c r="R11" s="17" t="s">
        <v>104</v>
      </c>
      <c r="S11" s="18" t="s">
        <v>105</v>
      </c>
      <c r="T11" s="19" t="s">
        <v>106</v>
      </c>
      <c r="U11" s="17" t="s">
        <v>104</v>
      </c>
      <c r="V11" s="18" t="s">
        <v>105</v>
      </c>
      <c r="W11" s="19" t="s">
        <v>106</v>
      </c>
      <c r="X11" s="17" t="s">
        <v>104</v>
      </c>
      <c r="Y11" s="18" t="s">
        <v>105</v>
      </c>
      <c r="Z11" s="19" t="s">
        <v>106</v>
      </c>
      <c r="AA11" s="17" t="s">
        <v>104</v>
      </c>
      <c r="AB11" s="18" t="s">
        <v>105</v>
      </c>
      <c r="AC11" s="19" t="s">
        <v>106</v>
      </c>
      <c r="AD11" s="17" t="s">
        <v>104</v>
      </c>
      <c r="AE11" s="18" t="s">
        <v>105</v>
      </c>
      <c r="AF11" s="19" t="s">
        <v>106</v>
      </c>
      <c r="AG11" s="17" t="s">
        <v>104</v>
      </c>
      <c r="AH11" s="18" t="s">
        <v>105</v>
      </c>
      <c r="AI11" s="19" t="s">
        <v>106</v>
      </c>
      <c r="AJ11" s="17" t="s">
        <v>104</v>
      </c>
      <c r="AK11" s="18" t="s">
        <v>105</v>
      </c>
      <c r="AL11" s="19" t="s">
        <v>106</v>
      </c>
      <c r="AM11" s="17" t="s">
        <v>104</v>
      </c>
      <c r="AN11" s="18" t="s">
        <v>105</v>
      </c>
      <c r="AO11" s="19" t="s">
        <v>106</v>
      </c>
      <c r="AP11" s="206"/>
      <c r="AQ11" s="209"/>
      <c r="AS11" s="2"/>
    </row>
    <row r="12" spans="1:45" ht="18" customHeight="1">
      <c r="A12" s="6"/>
      <c r="B12" s="11" t="s">
        <v>107</v>
      </c>
      <c r="C12" s="62">
        <v>222</v>
      </c>
      <c r="D12" s="298">
        <v>40</v>
      </c>
      <c r="E12" s="299">
        <v>200</v>
      </c>
      <c r="F12" s="64">
        <f>G12+H12</f>
        <v>40</v>
      </c>
      <c r="G12" s="65">
        <v>34</v>
      </c>
      <c r="H12" s="66">
        <v>6</v>
      </c>
      <c r="I12" s="64">
        <f>J12+K12</f>
        <v>0</v>
      </c>
      <c r="J12" s="65"/>
      <c r="K12" s="66"/>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40</v>
      </c>
      <c r="AQ12" s="21">
        <f t="shared" ref="AQ12:AQ32" si="0">AP12/E12</f>
        <v>0.2</v>
      </c>
    </row>
    <row r="13" spans="1:45" ht="18" customHeight="1">
      <c r="A13" s="6"/>
      <c r="B13" s="12" t="s">
        <v>108</v>
      </c>
      <c r="C13" s="67">
        <v>210</v>
      </c>
      <c r="D13" s="300">
        <v>40</v>
      </c>
      <c r="E13" s="301">
        <v>200</v>
      </c>
      <c r="F13" s="70">
        <f t="shared" ref="F13:F31" si="1">G13+H13</f>
        <v>40</v>
      </c>
      <c r="G13" s="71">
        <v>33</v>
      </c>
      <c r="H13" s="72">
        <v>7</v>
      </c>
      <c r="I13" s="70">
        <f t="shared" ref="I13:I31" si="2">J13+K13</f>
        <v>0</v>
      </c>
      <c r="J13" s="71"/>
      <c r="K13" s="72"/>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40</v>
      </c>
      <c r="AQ13" s="20">
        <f t="shared" si="0"/>
        <v>0.2</v>
      </c>
    </row>
    <row r="14" spans="1:45" ht="18" customHeight="1">
      <c r="A14" s="6"/>
      <c r="B14" s="12" t="s">
        <v>109</v>
      </c>
      <c r="C14" s="67">
        <v>214</v>
      </c>
      <c r="D14" s="300">
        <v>40</v>
      </c>
      <c r="E14" s="301">
        <v>200</v>
      </c>
      <c r="F14" s="70">
        <f t="shared" si="1"/>
        <v>42</v>
      </c>
      <c r="G14" s="71">
        <v>23</v>
      </c>
      <c r="H14" s="72">
        <v>19</v>
      </c>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42</v>
      </c>
      <c r="AQ14" s="8">
        <f t="shared" si="0"/>
        <v>0.21</v>
      </c>
    </row>
    <row r="15" spans="1:45" ht="18" customHeight="1">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c r="B32" s="14" t="s">
        <v>110</v>
      </c>
      <c r="C32" s="77">
        <f t="shared" ref="C32" si="14">SUM(C12:C31)</f>
        <v>646</v>
      </c>
      <c r="D32" s="78">
        <f t="shared" ref="D32:AP32" si="15">SUM(D12:D31)</f>
        <v>120</v>
      </c>
      <c r="E32" s="79">
        <f t="shared" si="15"/>
        <v>600</v>
      </c>
      <c r="F32" s="79">
        <f t="shared" si="15"/>
        <v>122</v>
      </c>
      <c r="G32" s="80">
        <f t="shared" si="15"/>
        <v>90</v>
      </c>
      <c r="H32" s="81">
        <f t="shared" si="15"/>
        <v>32</v>
      </c>
      <c r="I32" s="79">
        <f t="shared" ref="I32:N32" si="16">SUM(I12:I31)</f>
        <v>0</v>
      </c>
      <c r="J32" s="80">
        <f t="shared" si="16"/>
        <v>0</v>
      </c>
      <c r="K32" s="81">
        <f t="shared" si="16"/>
        <v>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122</v>
      </c>
      <c r="AQ32" s="9">
        <f t="shared" si="0"/>
        <v>0.20333333333333334</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25" zoomScaleNormal="100" zoomScaleSheetLayoutView="100" workbookViewId="0">
      <selection activeCell="K38" sqref="K38"/>
    </sheetView>
  </sheetViews>
  <sheetFormatPr defaultColWidth="11.375" defaultRowHeight="18.75" customHeight="1"/>
  <cols>
    <col min="1" max="1" width="2.625" style="41"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41" t="s">
        <v>111</v>
      </c>
      <c r="I1" s="35" t="s">
        <v>112</v>
      </c>
    </row>
    <row r="2" spans="1:9" ht="18.75" customHeight="1">
      <c r="G2" s="35" t="s">
        <v>1</v>
      </c>
      <c r="H2" s="101" t="str">
        <f>'様式１　プログラムを構成する授業科目(ME)'!C2</f>
        <v>徳山工業高等専門学校</v>
      </c>
      <c r="I2" s="103"/>
    </row>
    <row r="3" spans="1:9" ht="18.75" customHeight="1">
      <c r="G3" s="35"/>
      <c r="H3" s="10"/>
      <c r="I3" s="10"/>
    </row>
    <row r="4" spans="1:9" ht="18.600000000000001" customHeight="1">
      <c r="A4" s="115" t="s">
        <v>113</v>
      </c>
      <c r="B4" s="115"/>
      <c r="C4" s="115"/>
      <c r="D4" s="115"/>
      <c r="E4" s="115"/>
      <c r="F4" s="115"/>
      <c r="G4" s="115"/>
      <c r="H4" s="115"/>
      <c r="I4" s="115"/>
    </row>
    <row r="5" spans="1:9" ht="13.35" customHeight="1">
      <c r="B5" s="3"/>
      <c r="C5" s="3"/>
      <c r="D5" s="3"/>
      <c r="E5" s="3"/>
      <c r="F5" s="3"/>
      <c r="G5" s="3"/>
      <c r="H5" s="3"/>
      <c r="I5" s="3"/>
    </row>
    <row r="6" spans="1:9" ht="18" customHeight="1">
      <c r="A6" s="1" t="s">
        <v>114</v>
      </c>
      <c r="B6" s="10" t="s">
        <v>115</v>
      </c>
      <c r="C6" s="265" t="s">
        <v>116</v>
      </c>
      <c r="D6" s="265"/>
      <c r="E6" s="34">
        <v>58</v>
      </c>
      <c r="F6" s="3" t="s">
        <v>117</v>
      </c>
      <c r="G6" s="3" t="s">
        <v>118</v>
      </c>
      <c r="H6" s="88">
        <v>40</v>
      </c>
      <c r="I6" s="10" t="s">
        <v>117</v>
      </c>
    </row>
    <row r="7" spans="1:9" ht="12" customHeight="1">
      <c r="C7" s="2"/>
      <c r="D7" s="2"/>
      <c r="E7" s="2"/>
      <c r="F7" s="2"/>
      <c r="G7" s="2"/>
      <c r="H7" s="2"/>
      <c r="I7" s="42"/>
    </row>
    <row r="8" spans="1:9" ht="18" customHeight="1">
      <c r="A8" s="1" t="s">
        <v>119</v>
      </c>
      <c r="B8" s="10" t="s">
        <v>120</v>
      </c>
      <c r="E8" s="3"/>
      <c r="F8" s="3"/>
      <c r="G8" s="3"/>
      <c r="H8" s="34">
        <v>27</v>
      </c>
      <c r="I8" s="10" t="s">
        <v>117</v>
      </c>
    </row>
    <row r="9" spans="1:9" ht="9" customHeight="1">
      <c r="B9" s="3"/>
      <c r="C9" s="3"/>
      <c r="D9" s="3"/>
      <c r="E9" s="3"/>
      <c r="F9" s="3"/>
      <c r="G9" s="3"/>
      <c r="H9" s="3"/>
      <c r="I9" s="3"/>
    </row>
    <row r="10" spans="1:9" ht="18" customHeight="1">
      <c r="A10" s="1" t="s">
        <v>121</v>
      </c>
      <c r="B10" s="10" t="s">
        <v>122</v>
      </c>
      <c r="C10" s="3"/>
      <c r="D10" s="3"/>
      <c r="E10" s="3"/>
      <c r="F10" s="3"/>
      <c r="G10" s="3"/>
      <c r="H10" s="3"/>
      <c r="I10" s="3"/>
    </row>
    <row r="11" spans="1:9" ht="18" customHeight="1">
      <c r="B11" s="35" t="s">
        <v>123</v>
      </c>
      <c r="C11" s="260" t="s">
        <v>191</v>
      </c>
      <c r="D11" s="263"/>
      <c r="E11" s="264"/>
      <c r="F11" s="42"/>
      <c r="G11" s="35" t="s">
        <v>124</v>
      </c>
      <c r="H11" s="260" t="s">
        <v>125</v>
      </c>
      <c r="I11" s="264"/>
    </row>
    <row r="12" spans="1:9" ht="10.35" customHeight="1">
      <c r="B12" s="35"/>
      <c r="C12" s="10"/>
      <c r="D12" s="42"/>
      <c r="E12" s="42"/>
      <c r="F12" s="42"/>
      <c r="G12" s="35"/>
      <c r="H12" s="10"/>
      <c r="I12" s="42"/>
    </row>
    <row r="13" spans="1:9" ht="18" customHeight="1">
      <c r="A13" s="1" t="s">
        <v>126</v>
      </c>
      <c r="B13" s="10" t="s">
        <v>127</v>
      </c>
      <c r="C13" s="3"/>
      <c r="D13" s="3"/>
      <c r="E13" s="3"/>
      <c r="F13" s="3"/>
      <c r="G13" s="3"/>
      <c r="H13" s="3"/>
      <c r="I13" s="3"/>
    </row>
    <row r="14" spans="1:9" ht="18" customHeight="1">
      <c r="B14" s="260" t="s">
        <v>128</v>
      </c>
      <c r="C14" s="261"/>
      <c r="D14" s="261"/>
      <c r="E14" s="261"/>
      <c r="F14" s="261"/>
      <c r="G14" s="261"/>
      <c r="H14" s="261"/>
      <c r="I14" s="262"/>
    </row>
    <row r="15" spans="1:9" ht="9" customHeight="1">
      <c r="B15" s="3"/>
      <c r="C15" s="3"/>
      <c r="D15" s="3"/>
      <c r="E15" s="3"/>
      <c r="F15" s="3"/>
      <c r="G15" s="3"/>
      <c r="H15" s="3"/>
      <c r="I15" s="3"/>
    </row>
    <row r="16" spans="1:9" ht="18" customHeight="1">
      <c r="B16" s="35" t="s">
        <v>123</v>
      </c>
      <c r="C16" s="260" t="s">
        <v>129</v>
      </c>
      <c r="D16" s="263"/>
      <c r="E16" s="264"/>
      <c r="F16" s="42"/>
      <c r="G16" s="35" t="s">
        <v>124</v>
      </c>
      <c r="H16" s="260" t="s">
        <v>130</v>
      </c>
      <c r="I16" s="264"/>
    </row>
    <row r="17" spans="1:9" ht="18" customHeight="1">
      <c r="B17" s="3"/>
      <c r="C17" s="3"/>
      <c r="D17" s="3"/>
      <c r="E17" s="3"/>
      <c r="F17" s="3"/>
      <c r="G17" s="3"/>
      <c r="H17" s="3"/>
      <c r="I17" s="3"/>
    </row>
    <row r="18" spans="1:9" ht="18.75" customHeight="1">
      <c r="A18" s="1" t="s">
        <v>131</v>
      </c>
      <c r="B18" s="1" t="s">
        <v>132</v>
      </c>
      <c r="I18" s="3"/>
    </row>
    <row r="19" spans="1:9" ht="18.75" customHeight="1">
      <c r="A19" s="1"/>
      <c r="B19" s="252" t="s">
        <v>192</v>
      </c>
      <c r="C19" s="253"/>
      <c r="D19" s="253"/>
      <c r="E19" s="253"/>
      <c r="F19" s="253"/>
      <c r="G19" s="253"/>
      <c r="H19" s="253"/>
      <c r="I19" s="254"/>
    </row>
    <row r="20" spans="1:9" ht="7.5" customHeight="1">
      <c r="B20" s="3"/>
      <c r="C20" s="3"/>
      <c r="D20" s="3"/>
      <c r="E20" s="3"/>
      <c r="F20" s="3"/>
      <c r="G20" s="3"/>
      <c r="H20" s="3"/>
      <c r="I20" s="3"/>
    </row>
    <row r="21" spans="1:9" ht="18.75" customHeight="1">
      <c r="A21" s="1" t="s">
        <v>133</v>
      </c>
      <c r="B21" s="1" t="s">
        <v>134</v>
      </c>
    </row>
    <row r="22" spans="1:9" ht="18.75" customHeight="1">
      <c r="A22" s="15"/>
      <c r="B22" s="242" t="s">
        <v>207</v>
      </c>
      <c r="C22" s="243"/>
      <c r="D22" s="243"/>
      <c r="E22" s="243"/>
      <c r="F22" s="243"/>
      <c r="G22" s="243"/>
      <c r="H22" s="243"/>
      <c r="I22" s="244"/>
    </row>
    <row r="23" spans="1:9" ht="18.75" customHeight="1">
      <c r="A23" s="15"/>
      <c r="B23" s="255"/>
      <c r="C23" s="256"/>
      <c r="D23" s="256"/>
      <c r="E23" s="256"/>
      <c r="F23" s="256"/>
      <c r="G23" s="256"/>
      <c r="H23" s="256"/>
      <c r="I23" s="247"/>
    </row>
    <row r="24" spans="1:9" ht="18.75" customHeight="1">
      <c r="A24" s="15"/>
      <c r="B24" s="255"/>
      <c r="C24" s="256"/>
      <c r="D24" s="256"/>
      <c r="E24" s="256"/>
      <c r="F24" s="256"/>
      <c r="G24" s="256"/>
      <c r="H24" s="256"/>
      <c r="I24" s="247"/>
    </row>
    <row r="25" spans="1:9" ht="18.75" customHeight="1">
      <c r="A25" s="15"/>
      <c r="B25" s="255"/>
      <c r="C25" s="256"/>
      <c r="D25" s="256"/>
      <c r="E25" s="256"/>
      <c r="F25" s="256"/>
      <c r="G25" s="256"/>
      <c r="H25" s="256"/>
      <c r="I25" s="247"/>
    </row>
    <row r="26" spans="1:9" ht="18.75" customHeight="1">
      <c r="A26" s="15"/>
      <c r="B26" s="255"/>
      <c r="C26" s="256"/>
      <c r="D26" s="256"/>
      <c r="E26" s="256"/>
      <c r="F26" s="256"/>
      <c r="G26" s="256"/>
      <c r="H26" s="256"/>
      <c r="I26" s="247"/>
    </row>
    <row r="27" spans="1:9" ht="18.75" customHeight="1">
      <c r="A27" s="15"/>
      <c r="B27" s="255"/>
      <c r="C27" s="256"/>
      <c r="D27" s="256"/>
      <c r="E27" s="256"/>
      <c r="F27" s="256"/>
      <c r="G27" s="256"/>
      <c r="H27" s="256"/>
      <c r="I27" s="247"/>
    </row>
    <row r="28" spans="1:9" ht="18.75" customHeight="1">
      <c r="A28" s="15"/>
      <c r="B28" s="255"/>
      <c r="C28" s="256"/>
      <c r="D28" s="256"/>
      <c r="E28" s="256"/>
      <c r="F28" s="256"/>
      <c r="G28" s="256"/>
      <c r="H28" s="256"/>
      <c r="I28" s="247"/>
    </row>
    <row r="29" spans="1:9" ht="18.75" customHeight="1">
      <c r="A29" s="15"/>
      <c r="B29" s="255"/>
      <c r="C29" s="256"/>
      <c r="D29" s="256"/>
      <c r="E29" s="256"/>
      <c r="F29" s="256"/>
      <c r="G29" s="256"/>
      <c r="H29" s="256"/>
      <c r="I29" s="247"/>
    </row>
    <row r="30" spans="1:9" ht="18.75" customHeight="1">
      <c r="A30" s="15"/>
      <c r="B30" s="245"/>
      <c r="C30" s="246"/>
      <c r="D30" s="246"/>
      <c r="E30" s="246"/>
      <c r="F30" s="246"/>
      <c r="G30" s="246"/>
      <c r="H30" s="246"/>
      <c r="I30" s="247"/>
    </row>
    <row r="31" spans="1:9" ht="18.75" customHeight="1">
      <c r="A31" s="15"/>
      <c r="B31" s="245"/>
      <c r="C31" s="246"/>
      <c r="D31" s="246"/>
      <c r="E31" s="246"/>
      <c r="F31" s="246"/>
      <c r="G31" s="246"/>
      <c r="H31" s="246"/>
      <c r="I31" s="247"/>
    </row>
    <row r="32" spans="1:9" ht="18.75" customHeight="1">
      <c r="A32" s="15"/>
      <c r="B32" s="248"/>
      <c r="C32" s="249"/>
      <c r="D32" s="249"/>
      <c r="E32" s="249"/>
      <c r="F32" s="249"/>
      <c r="G32" s="249"/>
      <c r="H32" s="249"/>
      <c r="I32" s="250"/>
    </row>
    <row r="33" spans="1:9" ht="7.5" customHeight="1">
      <c r="A33" s="15"/>
      <c r="B33" s="15"/>
      <c r="C33" s="15"/>
      <c r="D33" s="15"/>
      <c r="E33" s="15"/>
      <c r="F33" s="15"/>
      <c r="G33" s="15"/>
      <c r="H33" s="15"/>
      <c r="I33" s="15"/>
    </row>
    <row r="34" spans="1:9" ht="18.75" customHeight="1">
      <c r="A34" s="16" t="s">
        <v>135</v>
      </c>
      <c r="B34" s="16" t="s">
        <v>136</v>
      </c>
      <c r="C34" s="10"/>
      <c r="D34" s="16"/>
      <c r="E34" s="16"/>
      <c r="F34" s="16"/>
      <c r="G34" s="16"/>
      <c r="H34" s="16"/>
      <c r="I34" s="16"/>
    </row>
    <row r="35" spans="1:9" ht="18.75" customHeight="1">
      <c r="A35" s="15"/>
      <c r="B35" s="242" t="s">
        <v>215</v>
      </c>
      <c r="C35" s="243"/>
      <c r="D35" s="243"/>
      <c r="E35" s="243"/>
      <c r="F35" s="243"/>
      <c r="G35" s="243"/>
      <c r="H35" s="243"/>
      <c r="I35" s="244"/>
    </row>
    <row r="36" spans="1:9" ht="18.75" customHeight="1">
      <c r="A36" s="15"/>
      <c r="B36" s="245"/>
      <c r="C36" s="246"/>
      <c r="D36" s="246"/>
      <c r="E36" s="246"/>
      <c r="F36" s="246"/>
      <c r="G36" s="246"/>
      <c r="H36" s="246"/>
      <c r="I36" s="247"/>
    </row>
    <row r="37" spans="1:9" ht="18.75" customHeight="1">
      <c r="A37" s="15"/>
      <c r="B37" s="245"/>
      <c r="C37" s="246"/>
      <c r="D37" s="246"/>
      <c r="E37" s="246"/>
      <c r="F37" s="246"/>
      <c r="G37" s="246"/>
      <c r="H37" s="246"/>
      <c r="I37" s="247"/>
    </row>
    <row r="38" spans="1:9" ht="18.75" customHeight="1">
      <c r="A38" s="15"/>
      <c r="B38" s="245"/>
      <c r="C38" s="246"/>
      <c r="D38" s="246"/>
      <c r="E38" s="246"/>
      <c r="F38" s="246"/>
      <c r="G38" s="246"/>
      <c r="H38" s="246"/>
      <c r="I38" s="247"/>
    </row>
    <row r="39" spans="1:9" ht="18.75" customHeight="1">
      <c r="A39" s="15"/>
      <c r="B39" s="245"/>
      <c r="C39" s="246"/>
      <c r="D39" s="246"/>
      <c r="E39" s="246"/>
      <c r="F39" s="246"/>
      <c r="G39" s="246"/>
      <c r="H39" s="246"/>
      <c r="I39" s="247"/>
    </row>
    <row r="40" spans="1:9" ht="18.75" customHeight="1">
      <c r="A40" s="15"/>
      <c r="B40" s="245"/>
      <c r="C40" s="246"/>
      <c r="D40" s="246"/>
      <c r="E40" s="246"/>
      <c r="F40" s="246"/>
      <c r="G40" s="246"/>
      <c r="H40" s="246"/>
      <c r="I40" s="247"/>
    </row>
    <row r="41" spans="1:9" ht="18.75" customHeight="1">
      <c r="A41" s="15"/>
      <c r="B41" s="245"/>
      <c r="C41" s="246"/>
      <c r="D41" s="246"/>
      <c r="E41" s="246"/>
      <c r="F41" s="246"/>
      <c r="G41" s="246"/>
      <c r="H41" s="246"/>
      <c r="I41" s="247"/>
    </row>
    <row r="42" spans="1:9" ht="18.75" customHeight="1">
      <c r="A42" s="15"/>
      <c r="B42" s="245"/>
      <c r="C42" s="246"/>
      <c r="D42" s="246"/>
      <c r="E42" s="246"/>
      <c r="F42" s="246"/>
      <c r="G42" s="246"/>
      <c r="H42" s="246"/>
      <c r="I42" s="247"/>
    </row>
    <row r="43" spans="1:9" ht="18.75" customHeight="1">
      <c r="A43" s="15"/>
      <c r="B43" s="245"/>
      <c r="C43" s="246"/>
      <c r="D43" s="246"/>
      <c r="E43" s="246"/>
      <c r="F43" s="246"/>
      <c r="G43" s="246"/>
      <c r="H43" s="246"/>
      <c r="I43" s="247"/>
    </row>
    <row r="44" spans="1:9" ht="18.75" customHeight="1">
      <c r="A44" s="15"/>
      <c r="B44" s="245"/>
      <c r="C44" s="246"/>
      <c r="D44" s="246"/>
      <c r="E44" s="246"/>
      <c r="F44" s="246"/>
      <c r="G44" s="246"/>
      <c r="H44" s="246"/>
      <c r="I44" s="247"/>
    </row>
    <row r="45" spans="1:9" ht="18.75" customHeight="1">
      <c r="A45" s="15"/>
      <c r="B45" s="245"/>
      <c r="C45" s="246"/>
      <c r="D45" s="246"/>
      <c r="E45" s="246"/>
      <c r="F45" s="246"/>
      <c r="G45" s="246"/>
      <c r="H45" s="246"/>
      <c r="I45" s="247"/>
    </row>
    <row r="46" spans="1:9" ht="18.75" customHeight="1">
      <c r="A46" s="15"/>
      <c r="B46" s="248"/>
      <c r="C46" s="249"/>
      <c r="D46" s="249"/>
      <c r="E46" s="249"/>
      <c r="F46" s="249"/>
      <c r="G46" s="249"/>
      <c r="H46" s="249"/>
      <c r="I46" s="250"/>
    </row>
    <row r="47" spans="1:9" ht="7.5" customHeight="1">
      <c r="A47" s="4"/>
      <c r="B47" s="4"/>
      <c r="C47" s="4"/>
      <c r="D47" s="4"/>
      <c r="E47" s="4"/>
      <c r="F47" s="4"/>
      <c r="G47" s="4"/>
      <c r="H47" s="4"/>
      <c r="I47" s="4"/>
    </row>
    <row r="48" spans="1:9" ht="18.75" customHeight="1">
      <c r="A48" s="1" t="s">
        <v>137</v>
      </c>
      <c r="B48" s="1" t="s">
        <v>138</v>
      </c>
    </row>
    <row r="49" spans="1:15" s="3" customFormat="1" ht="18.75" customHeight="1">
      <c r="B49" s="43" t="s">
        <v>139</v>
      </c>
      <c r="C49" s="231">
        <v>1</v>
      </c>
      <c r="D49" s="231"/>
      <c r="E49" s="43" t="s">
        <v>140</v>
      </c>
      <c r="F49" s="231">
        <v>1</v>
      </c>
      <c r="G49" s="231"/>
      <c r="H49" s="43" t="s">
        <v>141</v>
      </c>
      <c r="I49" s="44">
        <v>1</v>
      </c>
      <c r="J49" s="1"/>
      <c r="M49" s="1"/>
      <c r="N49" s="45"/>
    </row>
    <row r="50" spans="1:15" s="3" customFormat="1" ht="18.75" customHeight="1">
      <c r="B50" s="46" t="s">
        <v>142</v>
      </c>
      <c r="C50" s="232">
        <v>1</v>
      </c>
      <c r="D50" s="232"/>
      <c r="E50" s="46" t="s">
        <v>143</v>
      </c>
      <c r="F50" s="232">
        <v>1</v>
      </c>
      <c r="G50" s="232"/>
      <c r="H50" s="46" t="s">
        <v>144</v>
      </c>
      <c r="I50" s="47">
        <f>'様式２ 履修者等数の実績'!E32</f>
        <v>600</v>
      </c>
      <c r="J50" s="1"/>
      <c r="M50" s="1"/>
      <c r="N50" s="45"/>
    </row>
    <row r="51" spans="1:15" ht="18.75" customHeight="1">
      <c r="A51" s="1"/>
      <c r="B51" s="257" t="s">
        <v>145</v>
      </c>
      <c r="C51" s="258"/>
      <c r="D51" s="258"/>
      <c r="E51" s="258"/>
      <c r="F51" s="258"/>
      <c r="G51" s="258"/>
      <c r="H51" s="258"/>
      <c r="I51" s="259"/>
      <c r="N51" s="45"/>
      <c r="O51" s="3"/>
    </row>
    <row r="52" spans="1:15" ht="18.75" customHeight="1">
      <c r="A52" s="1"/>
      <c r="B52" s="233" t="s">
        <v>193</v>
      </c>
      <c r="C52" s="234"/>
      <c r="D52" s="234"/>
      <c r="E52" s="234"/>
      <c r="F52" s="234"/>
      <c r="G52" s="234"/>
      <c r="H52" s="234"/>
      <c r="I52" s="235"/>
      <c r="N52" s="45"/>
      <c r="O52" s="3"/>
    </row>
    <row r="53" spans="1:15" ht="18.75" customHeight="1">
      <c r="A53" s="1"/>
      <c r="B53" s="236"/>
      <c r="C53" s="237"/>
      <c r="D53" s="237"/>
      <c r="E53" s="237"/>
      <c r="F53" s="237"/>
      <c r="G53" s="237"/>
      <c r="H53" s="237"/>
      <c r="I53" s="238"/>
      <c r="N53" s="45"/>
      <c r="O53" s="3"/>
    </row>
    <row r="54" spans="1:15" ht="18.75" customHeight="1">
      <c r="A54" s="1"/>
      <c r="B54" s="236"/>
      <c r="C54" s="237"/>
      <c r="D54" s="237"/>
      <c r="E54" s="237"/>
      <c r="F54" s="237"/>
      <c r="G54" s="237"/>
      <c r="H54" s="237"/>
      <c r="I54" s="238"/>
    </row>
    <row r="55" spans="1:15" ht="18.75" customHeight="1">
      <c r="A55" s="1"/>
      <c r="B55" s="236"/>
      <c r="C55" s="237"/>
      <c r="D55" s="237"/>
      <c r="E55" s="237"/>
      <c r="F55" s="237"/>
      <c r="G55" s="237"/>
      <c r="H55" s="237"/>
      <c r="I55" s="238"/>
    </row>
    <row r="56" spans="1:15" ht="18.75" customHeight="1">
      <c r="A56" s="1"/>
      <c r="B56" s="236"/>
      <c r="C56" s="237"/>
      <c r="D56" s="237"/>
      <c r="E56" s="237"/>
      <c r="F56" s="237"/>
      <c r="G56" s="237"/>
      <c r="H56" s="237"/>
      <c r="I56" s="238"/>
    </row>
    <row r="57" spans="1:15" ht="18.75" customHeight="1">
      <c r="A57" s="1"/>
      <c r="B57" s="236"/>
      <c r="C57" s="237"/>
      <c r="D57" s="237"/>
      <c r="E57" s="237"/>
      <c r="F57" s="237"/>
      <c r="G57" s="237"/>
      <c r="H57" s="237"/>
      <c r="I57" s="238"/>
    </row>
    <row r="58" spans="1:15" ht="18.75" customHeight="1">
      <c r="A58" s="1"/>
      <c r="B58" s="236"/>
      <c r="C58" s="237"/>
      <c r="D58" s="237"/>
      <c r="E58" s="237"/>
      <c r="F58" s="237"/>
      <c r="G58" s="237"/>
      <c r="H58" s="237"/>
      <c r="I58" s="238"/>
    </row>
    <row r="59" spans="1:15" ht="18.75" customHeight="1">
      <c r="A59" s="1"/>
      <c r="B59" s="236"/>
      <c r="C59" s="237"/>
      <c r="D59" s="237"/>
      <c r="E59" s="237"/>
      <c r="F59" s="237"/>
      <c r="G59" s="237"/>
      <c r="H59" s="237"/>
      <c r="I59" s="238"/>
    </row>
    <row r="60" spans="1:15" ht="18.75" customHeight="1">
      <c r="A60" s="1"/>
      <c r="B60" s="236"/>
      <c r="C60" s="237"/>
      <c r="D60" s="237"/>
      <c r="E60" s="237"/>
      <c r="F60" s="237"/>
      <c r="G60" s="237"/>
      <c r="H60" s="237"/>
      <c r="I60" s="238"/>
    </row>
    <row r="61" spans="1:15" ht="18.75" customHeight="1">
      <c r="A61" s="1"/>
      <c r="B61" s="236"/>
      <c r="C61" s="237"/>
      <c r="D61" s="237"/>
      <c r="E61" s="237"/>
      <c r="F61" s="237"/>
      <c r="G61" s="237"/>
      <c r="H61" s="237"/>
      <c r="I61" s="238"/>
    </row>
    <row r="62" spans="1:15" ht="18.75" customHeight="1">
      <c r="A62" s="1"/>
      <c r="B62" s="236"/>
      <c r="C62" s="237"/>
      <c r="D62" s="237"/>
      <c r="E62" s="237"/>
      <c r="F62" s="237"/>
      <c r="G62" s="237"/>
      <c r="H62" s="237"/>
      <c r="I62" s="238"/>
    </row>
    <row r="63" spans="1:15" ht="18.75" customHeight="1">
      <c r="A63" s="1"/>
      <c r="B63" s="239"/>
      <c r="C63" s="240"/>
      <c r="D63" s="240"/>
      <c r="E63" s="240"/>
      <c r="F63" s="240"/>
      <c r="G63" s="240"/>
      <c r="H63" s="240"/>
      <c r="I63" s="241"/>
    </row>
    <row r="64" spans="1:15" ht="7.5" customHeight="1">
      <c r="A64" s="15"/>
      <c r="B64" s="15"/>
      <c r="C64" s="15"/>
      <c r="D64" s="15"/>
      <c r="E64" s="15"/>
      <c r="F64" s="15"/>
      <c r="G64" s="15"/>
      <c r="H64" s="15"/>
      <c r="I64" s="15"/>
    </row>
    <row r="65" spans="1:9" ht="18.75" customHeight="1">
      <c r="A65" s="16" t="s">
        <v>146</v>
      </c>
      <c r="B65" s="1" t="s">
        <v>147</v>
      </c>
      <c r="I65" s="16"/>
    </row>
    <row r="66" spans="1:9" ht="18.75" customHeight="1">
      <c r="A66" s="4"/>
      <c r="B66" s="213" t="s">
        <v>148</v>
      </c>
      <c r="C66" s="214"/>
      <c r="D66" s="214"/>
      <c r="E66" s="214"/>
      <c r="F66" s="214"/>
      <c r="G66" s="214"/>
      <c r="H66" s="214"/>
      <c r="I66" s="215"/>
    </row>
    <row r="67" spans="1:9" ht="18.75" customHeight="1">
      <c r="A67" s="4"/>
      <c r="B67" s="216"/>
      <c r="C67" s="217"/>
      <c r="D67" s="217"/>
      <c r="E67" s="217"/>
      <c r="F67" s="217"/>
      <c r="G67" s="217"/>
      <c r="H67" s="217"/>
      <c r="I67" s="218"/>
    </row>
    <row r="68" spans="1:9" ht="18.75" customHeight="1">
      <c r="A68" s="4"/>
      <c r="B68" s="216"/>
      <c r="C68" s="217"/>
      <c r="D68" s="217"/>
      <c r="E68" s="217"/>
      <c r="F68" s="217"/>
      <c r="G68" s="217"/>
      <c r="H68" s="217"/>
      <c r="I68" s="218"/>
    </row>
    <row r="69" spans="1:9" ht="18.75" customHeight="1">
      <c r="A69" s="4"/>
      <c r="B69" s="216"/>
      <c r="C69" s="217"/>
      <c r="D69" s="217"/>
      <c r="E69" s="217"/>
      <c r="F69" s="217"/>
      <c r="G69" s="217"/>
      <c r="H69" s="217"/>
      <c r="I69" s="218"/>
    </row>
    <row r="70" spans="1:9" ht="18.75" customHeight="1">
      <c r="A70" s="4"/>
      <c r="B70" s="216"/>
      <c r="C70" s="217"/>
      <c r="D70" s="217"/>
      <c r="E70" s="217"/>
      <c r="F70" s="217"/>
      <c r="G70" s="217"/>
      <c r="H70" s="217"/>
      <c r="I70" s="218"/>
    </row>
    <row r="71" spans="1:9" ht="18.75" customHeight="1">
      <c r="A71" s="4"/>
      <c r="B71" s="216"/>
      <c r="C71" s="217"/>
      <c r="D71" s="217"/>
      <c r="E71" s="217"/>
      <c r="F71" s="217"/>
      <c r="G71" s="217"/>
      <c r="H71" s="217"/>
      <c r="I71" s="218"/>
    </row>
    <row r="72" spans="1:9" ht="18.75" customHeight="1">
      <c r="A72" s="4"/>
      <c r="B72" s="216"/>
      <c r="C72" s="217"/>
      <c r="D72" s="217"/>
      <c r="E72" s="217"/>
      <c r="F72" s="217"/>
      <c r="G72" s="217"/>
      <c r="H72" s="217"/>
      <c r="I72" s="218"/>
    </row>
    <row r="73" spans="1:9" ht="18.75" customHeight="1">
      <c r="A73" s="4"/>
      <c r="B73" s="216"/>
      <c r="C73" s="217"/>
      <c r="D73" s="217"/>
      <c r="E73" s="217"/>
      <c r="F73" s="217"/>
      <c r="G73" s="217"/>
      <c r="H73" s="217"/>
      <c r="I73" s="218"/>
    </row>
    <row r="74" spans="1:9" ht="18.75" customHeight="1">
      <c r="A74" s="4"/>
      <c r="B74" s="216"/>
      <c r="C74" s="217"/>
      <c r="D74" s="217"/>
      <c r="E74" s="217"/>
      <c r="F74" s="217"/>
      <c r="G74" s="217"/>
      <c r="H74" s="217"/>
      <c r="I74" s="218"/>
    </row>
    <row r="75" spans="1:9" ht="18.75" customHeight="1">
      <c r="A75" s="4"/>
      <c r="B75" s="216"/>
      <c r="C75" s="217"/>
      <c r="D75" s="217"/>
      <c r="E75" s="217"/>
      <c r="F75" s="217"/>
      <c r="G75" s="217"/>
      <c r="H75" s="217"/>
      <c r="I75" s="218"/>
    </row>
    <row r="76" spans="1:9" ht="18.75" customHeight="1">
      <c r="A76" s="4"/>
      <c r="B76" s="216"/>
      <c r="C76" s="217"/>
      <c r="D76" s="217"/>
      <c r="E76" s="217"/>
      <c r="F76" s="217"/>
      <c r="G76" s="217"/>
      <c r="H76" s="217"/>
      <c r="I76" s="218"/>
    </row>
    <row r="77" spans="1:9" ht="18.75" customHeight="1">
      <c r="A77" s="4"/>
      <c r="B77" s="219"/>
      <c r="C77" s="220"/>
      <c r="D77" s="220"/>
      <c r="E77" s="220"/>
      <c r="F77" s="220"/>
      <c r="G77" s="220"/>
      <c r="H77" s="220"/>
      <c r="I77" s="221"/>
    </row>
    <row r="78" spans="1:9" ht="7.5" customHeight="1">
      <c r="A78" s="4"/>
      <c r="B78" s="4"/>
      <c r="C78" s="4"/>
      <c r="D78" s="4"/>
      <c r="E78" s="4"/>
      <c r="F78" s="4"/>
      <c r="G78" s="4"/>
      <c r="H78" s="4"/>
      <c r="I78" s="4"/>
    </row>
    <row r="79" spans="1:9" ht="18.75" customHeight="1">
      <c r="A79" s="1" t="s">
        <v>149</v>
      </c>
      <c r="B79" s="1" t="s">
        <v>150</v>
      </c>
    </row>
    <row r="80" spans="1:9" ht="18.75" customHeight="1">
      <c r="A80" s="1"/>
      <c r="B80" s="222" t="s">
        <v>151</v>
      </c>
      <c r="C80" s="223"/>
      <c r="D80" s="223"/>
      <c r="E80" s="223"/>
      <c r="F80" s="223"/>
      <c r="G80" s="223"/>
      <c r="H80" s="223"/>
      <c r="I80" s="224"/>
    </row>
    <row r="81" spans="1:11" ht="18.75" customHeight="1">
      <c r="A81" s="1"/>
      <c r="B81" s="225"/>
      <c r="C81" s="226"/>
      <c r="D81" s="226"/>
      <c r="E81" s="226"/>
      <c r="F81" s="226"/>
      <c r="G81" s="226"/>
      <c r="H81" s="226"/>
      <c r="I81" s="227"/>
      <c r="K81" s="82"/>
    </row>
    <row r="82" spans="1:11" ht="18.75" customHeight="1">
      <c r="A82" s="1"/>
      <c r="B82" s="225"/>
      <c r="C82" s="226"/>
      <c r="D82" s="226"/>
      <c r="E82" s="226"/>
      <c r="F82" s="226"/>
      <c r="G82" s="226"/>
      <c r="H82" s="226"/>
      <c r="I82" s="227"/>
    </row>
    <row r="83" spans="1:11" ht="18.75" customHeight="1">
      <c r="A83" s="1"/>
      <c r="B83" s="225"/>
      <c r="C83" s="226"/>
      <c r="D83" s="226"/>
      <c r="E83" s="226"/>
      <c r="F83" s="226"/>
      <c r="G83" s="226"/>
      <c r="H83" s="226"/>
      <c r="I83" s="227"/>
    </row>
    <row r="84" spans="1:11" ht="18.75" customHeight="1">
      <c r="A84" s="1"/>
      <c r="B84" s="225"/>
      <c r="C84" s="226"/>
      <c r="D84" s="226"/>
      <c r="E84" s="226"/>
      <c r="F84" s="226"/>
      <c r="G84" s="226"/>
      <c r="H84" s="226"/>
      <c r="I84" s="227"/>
    </row>
    <row r="85" spans="1:11" ht="18.75" customHeight="1">
      <c r="A85" s="1"/>
      <c r="B85" s="225"/>
      <c r="C85" s="226"/>
      <c r="D85" s="226"/>
      <c r="E85" s="226"/>
      <c r="F85" s="226"/>
      <c r="G85" s="226"/>
      <c r="H85" s="226"/>
      <c r="I85" s="227"/>
    </row>
    <row r="86" spans="1:11" ht="18.75" customHeight="1">
      <c r="A86" s="1"/>
      <c r="B86" s="225"/>
      <c r="C86" s="226"/>
      <c r="D86" s="226"/>
      <c r="E86" s="226"/>
      <c r="F86" s="226"/>
      <c r="G86" s="226"/>
      <c r="H86" s="226"/>
      <c r="I86" s="227"/>
    </row>
    <row r="87" spans="1:11" ht="18.75" customHeight="1">
      <c r="A87" s="1"/>
      <c r="B87" s="225"/>
      <c r="C87" s="226"/>
      <c r="D87" s="226"/>
      <c r="E87" s="226"/>
      <c r="F87" s="226"/>
      <c r="G87" s="226"/>
      <c r="H87" s="226"/>
      <c r="I87" s="227"/>
    </row>
    <row r="88" spans="1:11" ht="18.75" customHeight="1">
      <c r="A88" s="1"/>
      <c r="B88" s="225"/>
      <c r="C88" s="226"/>
      <c r="D88" s="226"/>
      <c r="E88" s="226"/>
      <c r="F88" s="226"/>
      <c r="G88" s="226"/>
      <c r="H88" s="226"/>
      <c r="I88" s="227"/>
    </row>
    <row r="89" spans="1:11" ht="18.75" customHeight="1">
      <c r="A89" s="1"/>
      <c r="B89" s="225"/>
      <c r="C89" s="226"/>
      <c r="D89" s="226"/>
      <c r="E89" s="226"/>
      <c r="F89" s="226"/>
      <c r="G89" s="226"/>
      <c r="H89" s="226"/>
      <c r="I89" s="227"/>
    </row>
    <row r="90" spans="1:11" ht="18.75" customHeight="1">
      <c r="A90" s="4"/>
      <c r="B90" s="225"/>
      <c r="C90" s="226"/>
      <c r="D90" s="226"/>
      <c r="E90" s="226"/>
      <c r="F90" s="226"/>
      <c r="G90" s="226"/>
      <c r="H90" s="226"/>
      <c r="I90" s="227"/>
    </row>
    <row r="91" spans="1:11" ht="18.75" customHeight="1">
      <c r="A91" s="4"/>
      <c r="B91" s="228"/>
      <c r="C91" s="229"/>
      <c r="D91" s="229"/>
      <c r="E91" s="229"/>
      <c r="F91" s="229"/>
      <c r="G91" s="229"/>
      <c r="H91" s="229"/>
      <c r="I91" s="230"/>
    </row>
    <row r="92" spans="1:11" ht="7.5" customHeight="1">
      <c r="A92" s="4"/>
      <c r="B92" s="4"/>
      <c r="C92" s="4"/>
      <c r="D92" s="4"/>
      <c r="E92" s="4"/>
      <c r="F92" s="4"/>
      <c r="G92" s="4"/>
      <c r="H92" s="4"/>
      <c r="I92" s="4"/>
    </row>
    <row r="93" spans="1:11" ht="18.75" customHeight="1">
      <c r="A93" s="1" t="s">
        <v>152</v>
      </c>
      <c r="B93" s="1" t="s">
        <v>153</v>
      </c>
    </row>
    <row r="94" spans="1:11" ht="18.75" customHeight="1">
      <c r="A94" s="1"/>
      <c r="B94" s="242" t="s">
        <v>154</v>
      </c>
      <c r="C94" s="243"/>
      <c r="D94" s="243"/>
      <c r="E94" s="243"/>
      <c r="F94" s="243"/>
      <c r="G94" s="243"/>
      <c r="H94" s="243"/>
      <c r="I94" s="244"/>
    </row>
    <row r="95" spans="1:11" ht="18.75" customHeight="1">
      <c r="A95" s="1"/>
      <c r="B95" s="245"/>
      <c r="C95" s="246"/>
      <c r="D95" s="246"/>
      <c r="E95" s="246"/>
      <c r="F95" s="246"/>
      <c r="G95" s="246"/>
      <c r="H95" s="246"/>
      <c r="I95" s="247"/>
    </row>
    <row r="96" spans="1:11" ht="18.75" customHeight="1">
      <c r="A96" s="1"/>
      <c r="B96" s="245"/>
      <c r="C96" s="246"/>
      <c r="D96" s="246"/>
      <c r="E96" s="246"/>
      <c r="F96" s="246"/>
      <c r="G96" s="246"/>
      <c r="H96" s="246"/>
      <c r="I96" s="247"/>
      <c r="K96" s="82"/>
    </row>
    <row r="97" spans="1:11" ht="18.75" customHeight="1">
      <c r="A97" s="1"/>
      <c r="B97" s="245"/>
      <c r="C97" s="246"/>
      <c r="D97" s="246"/>
      <c r="E97" s="246"/>
      <c r="F97" s="246"/>
      <c r="G97" s="246"/>
      <c r="H97" s="246"/>
      <c r="I97" s="247"/>
    </row>
    <row r="98" spans="1:11" ht="18.75" customHeight="1">
      <c r="A98" s="1"/>
      <c r="B98" s="245"/>
      <c r="C98" s="246"/>
      <c r="D98" s="246"/>
      <c r="E98" s="246"/>
      <c r="F98" s="246"/>
      <c r="G98" s="246"/>
      <c r="H98" s="246"/>
      <c r="I98" s="247"/>
    </row>
    <row r="99" spans="1:11" ht="18.75" customHeight="1">
      <c r="A99" s="1"/>
      <c r="B99" s="245"/>
      <c r="C99" s="246"/>
      <c r="D99" s="246"/>
      <c r="E99" s="246"/>
      <c r="F99" s="246"/>
      <c r="G99" s="246"/>
      <c r="H99" s="246"/>
      <c r="I99" s="247"/>
    </row>
    <row r="100" spans="1:11" ht="18.75" customHeight="1">
      <c r="A100" s="1"/>
      <c r="B100" s="245"/>
      <c r="C100" s="246"/>
      <c r="D100" s="246"/>
      <c r="E100" s="246"/>
      <c r="F100" s="246"/>
      <c r="G100" s="246"/>
      <c r="H100" s="246"/>
      <c r="I100" s="247"/>
    </row>
    <row r="101" spans="1:11" ht="18.75" customHeight="1">
      <c r="A101" s="1"/>
      <c r="B101" s="245"/>
      <c r="C101" s="246"/>
      <c r="D101" s="246"/>
      <c r="E101" s="246"/>
      <c r="F101" s="246"/>
      <c r="G101" s="246"/>
      <c r="H101" s="246"/>
      <c r="I101" s="247"/>
    </row>
    <row r="102" spans="1:11" ht="18.75" customHeight="1">
      <c r="A102" s="1"/>
      <c r="B102" s="245"/>
      <c r="C102" s="246"/>
      <c r="D102" s="246"/>
      <c r="E102" s="246"/>
      <c r="F102" s="246"/>
      <c r="G102" s="246"/>
      <c r="H102" s="246"/>
      <c r="I102" s="247"/>
    </row>
    <row r="103" spans="1:11" ht="18.75" customHeight="1">
      <c r="A103" s="1"/>
      <c r="B103" s="245"/>
      <c r="C103" s="246"/>
      <c r="D103" s="246"/>
      <c r="E103" s="246"/>
      <c r="F103" s="246"/>
      <c r="G103" s="246"/>
      <c r="H103" s="246"/>
      <c r="I103" s="247"/>
    </row>
    <row r="104" spans="1:11" ht="18.75" customHeight="1">
      <c r="A104" s="1"/>
      <c r="B104" s="245"/>
      <c r="C104" s="246"/>
      <c r="D104" s="246"/>
      <c r="E104" s="246"/>
      <c r="F104" s="246"/>
      <c r="G104" s="246"/>
      <c r="H104" s="246"/>
      <c r="I104" s="247"/>
    </row>
    <row r="105" spans="1:11" ht="18.75" customHeight="1">
      <c r="A105" s="4"/>
      <c r="B105" s="248"/>
      <c r="C105" s="249"/>
      <c r="D105" s="249"/>
      <c r="E105" s="249"/>
      <c r="F105" s="249"/>
      <c r="G105" s="249"/>
      <c r="H105" s="249"/>
      <c r="I105" s="250"/>
    </row>
    <row r="106" spans="1:11" ht="7.5" customHeight="1">
      <c r="A106" s="4"/>
      <c r="B106" s="4"/>
      <c r="C106" s="4"/>
      <c r="D106" s="4"/>
      <c r="E106" s="4"/>
      <c r="F106" s="4"/>
      <c r="G106" s="4"/>
      <c r="H106" s="4"/>
      <c r="I106" s="4"/>
    </row>
    <row r="107" spans="1:11" ht="18.75" customHeight="1">
      <c r="A107" s="1" t="s">
        <v>155</v>
      </c>
      <c r="B107" s="251" t="s">
        <v>156</v>
      </c>
      <c r="C107" s="251"/>
      <c r="D107" s="251"/>
      <c r="E107" s="251"/>
      <c r="F107" s="251"/>
      <c r="G107" s="251"/>
      <c r="H107" s="251"/>
      <c r="I107" s="251"/>
    </row>
    <row r="108" spans="1:11" ht="18.75" customHeight="1">
      <c r="A108" s="4"/>
      <c r="B108" s="242" t="s">
        <v>157</v>
      </c>
      <c r="C108" s="243"/>
      <c r="D108" s="243"/>
      <c r="E108" s="243"/>
      <c r="F108" s="243"/>
      <c r="G108" s="243"/>
      <c r="H108" s="243"/>
      <c r="I108" s="244"/>
    </row>
    <row r="109" spans="1:11" ht="18.75" customHeight="1">
      <c r="A109" s="4"/>
      <c r="B109" s="245"/>
      <c r="C109" s="246"/>
      <c r="D109" s="246"/>
      <c r="E109" s="246"/>
      <c r="F109" s="246"/>
      <c r="G109" s="246"/>
      <c r="H109" s="246"/>
      <c r="I109" s="247"/>
      <c r="K109" s="82"/>
    </row>
    <row r="110" spans="1:11" ht="18.75" customHeight="1">
      <c r="A110" s="4"/>
      <c r="B110" s="245"/>
      <c r="C110" s="246"/>
      <c r="D110" s="246"/>
      <c r="E110" s="246"/>
      <c r="F110" s="246"/>
      <c r="G110" s="246"/>
      <c r="H110" s="246"/>
      <c r="I110" s="247"/>
    </row>
    <row r="111" spans="1:11" ht="18.75" customHeight="1">
      <c r="A111" s="4"/>
      <c r="B111" s="245"/>
      <c r="C111" s="246"/>
      <c r="D111" s="246"/>
      <c r="E111" s="246"/>
      <c r="F111" s="246"/>
      <c r="G111" s="246"/>
      <c r="H111" s="246"/>
      <c r="I111" s="247"/>
    </row>
    <row r="112" spans="1:11" ht="18.75" customHeight="1">
      <c r="A112" s="4"/>
      <c r="B112" s="245"/>
      <c r="C112" s="246"/>
      <c r="D112" s="246"/>
      <c r="E112" s="246"/>
      <c r="F112" s="246"/>
      <c r="G112" s="246"/>
      <c r="H112" s="246"/>
      <c r="I112" s="247"/>
    </row>
    <row r="113" spans="1:9" ht="18.75" customHeight="1">
      <c r="A113" s="4"/>
      <c r="B113" s="245"/>
      <c r="C113" s="246"/>
      <c r="D113" s="246"/>
      <c r="E113" s="246"/>
      <c r="F113" s="246"/>
      <c r="G113" s="246"/>
      <c r="H113" s="246"/>
      <c r="I113" s="247"/>
    </row>
    <row r="114" spans="1:9" ht="18.75" customHeight="1">
      <c r="A114" s="4"/>
      <c r="B114" s="245"/>
      <c r="C114" s="246"/>
      <c r="D114" s="246"/>
      <c r="E114" s="246"/>
      <c r="F114" s="246"/>
      <c r="G114" s="246"/>
      <c r="H114" s="246"/>
      <c r="I114" s="247"/>
    </row>
    <row r="115" spans="1:9" ht="18.75" customHeight="1">
      <c r="A115" s="4"/>
      <c r="B115" s="245"/>
      <c r="C115" s="246"/>
      <c r="D115" s="246"/>
      <c r="E115" s="246"/>
      <c r="F115" s="246"/>
      <c r="G115" s="246"/>
      <c r="H115" s="246"/>
      <c r="I115" s="247"/>
    </row>
    <row r="116" spans="1:9" ht="18.75" customHeight="1">
      <c r="A116" s="4"/>
      <c r="B116" s="245"/>
      <c r="C116" s="246"/>
      <c r="D116" s="246"/>
      <c r="E116" s="246"/>
      <c r="F116" s="246"/>
      <c r="G116" s="246"/>
      <c r="H116" s="246"/>
      <c r="I116" s="247"/>
    </row>
    <row r="117" spans="1:9" ht="18.75" customHeight="1">
      <c r="A117" s="4"/>
      <c r="B117" s="245"/>
      <c r="C117" s="246"/>
      <c r="D117" s="246"/>
      <c r="E117" s="246"/>
      <c r="F117" s="246"/>
      <c r="G117" s="246"/>
      <c r="H117" s="246"/>
      <c r="I117" s="247"/>
    </row>
    <row r="118" spans="1:9" ht="18.75" customHeight="1">
      <c r="A118" s="4"/>
      <c r="B118" s="245"/>
      <c r="C118" s="246"/>
      <c r="D118" s="246"/>
      <c r="E118" s="246"/>
      <c r="F118" s="246"/>
      <c r="G118" s="246"/>
      <c r="H118" s="246"/>
      <c r="I118" s="247"/>
    </row>
    <row r="119" spans="1:9" ht="18.75" customHeight="1">
      <c r="A119" s="4"/>
      <c r="B119" s="248"/>
      <c r="C119" s="249"/>
      <c r="D119" s="249"/>
      <c r="E119" s="249"/>
      <c r="F119" s="249"/>
      <c r="G119" s="249"/>
      <c r="H119" s="249"/>
      <c r="I119" s="250"/>
    </row>
    <row r="120" spans="1:9" ht="7.5" customHeight="1">
      <c r="A120" s="4"/>
      <c r="B120" s="48"/>
      <c r="C120" s="48"/>
      <c r="D120" s="48"/>
      <c r="E120" s="48"/>
      <c r="F120" s="48"/>
      <c r="G120" s="48"/>
      <c r="H120" s="48"/>
      <c r="I120" s="48"/>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showZeros="0" view="pageBreakPreview" zoomScale="90" zoomScaleNormal="100" zoomScaleSheetLayoutView="90" workbookViewId="0">
      <selection activeCell="E21" sqref="E21:I21"/>
    </sheetView>
  </sheetViews>
  <sheetFormatPr defaultColWidth="11.375" defaultRowHeight="22.5" customHeight="1"/>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11" ht="18.75" customHeight="1">
      <c r="A1" s="1" t="s">
        <v>158</v>
      </c>
      <c r="I1" s="35" t="s">
        <v>159</v>
      </c>
    </row>
    <row r="2" spans="1:11" ht="18.75" customHeight="1">
      <c r="H2" s="35" t="s">
        <v>1</v>
      </c>
      <c r="I2" s="34" t="str">
        <f>'様式１　プログラムを構成する授業科目(ME)'!C2</f>
        <v>徳山工業高等専門学校</v>
      </c>
    </row>
    <row r="3" spans="1:11" ht="18.75" customHeight="1">
      <c r="A3" s="115" t="s">
        <v>160</v>
      </c>
      <c r="B3" s="115"/>
      <c r="C3" s="115"/>
      <c r="D3" s="115"/>
      <c r="E3" s="115"/>
      <c r="F3" s="115"/>
      <c r="G3" s="115"/>
      <c r="H3" s="115"/>
      <c r="I3" s="115"/>
    </row>
    <row r="4" spans="1:11" ht="18.75" customHeight="1">
      <c r="A4" s="5"/>
      <c r="B4" s="5"/>
      <c r="C4" s="5"/>
      <c r="D4" s="5"/>
      <c r="E4" s="5"/>
      <c r="F4" s="5"/>
      <c r="G4" s="5"/>
      <c r="H4" s="5"/>
      <c r="I4" s="5"/>
    </row>
    <row r="5" spans="1:11" ht="18.75" customHeight="1">
      <c r="A5" s="1" t="s">
        <v>114</v>
      </c>
      <c r="B5" s="10" t="s">
        <v>161</v>
      </c>
      <c r="C5" s="5"/>
      <c r="D5" s="5"/>
      <c r="E5" s="5"/>
      <c r="F5" s="5"/>
      <c r="G5" s="5"/>
      <c r="H5" s="5"/>
      <c r="I5" s="5"/>
    </row>
    <row r="6" spans="1:11" ht="26.25" customHeight="1">
      <c r="A6" s="5"/>
      <c r="B6" s="260" t="s">
        <v>162</v>
      </c>
      <c r="C6" s="296"/>
      <c r="D6" s="296"/>
      <c r="E6" s="296"/>
      <c r="F6" s="296"/>
      <c r="G6" s="296"/>
      <c r="H6" s="297"/>
      <c r="I6" s="3"/>
    </row>
    <row r="7" spans="1:11" ht="9" customHeight="1">
      <c r="A7" s="5"/>
      <c r="B7" s="10"/>
      <c r="C7" s="10"/>
      <c r="D7" s="10"/>
      <c r="E7" s="10"/>
      <c r="F7" s="10"/>
      <c r="G7" s="10"/>
      <c r="H7" s="10"/>
      <c r="I7" s="3"/>
    </row>
    <row r="8" spans="1:11" ht="18.75" customHeight="1">
      <c r="A8" s="5"/>
      <c r="B8" s="3"/>
      <c r="C8" s="3"/>
      <c r="D8" s="35" t="s">
        <v>123</v>
      </c>
      <c r="E8" s="36" t="s">
        <v>163</v>
      </c>
      <c r="F8" s="3"/>
      <c r="G8" s="35" t="s">
        <v>124</v>
      </c>
      <c r="H8" s="36" t="s">
        <v>164</v>
      </c>
      <c r="I8" s="3"/>
    </row>
    <row r="9" spans="1:11" ht="7.5" customHeight="1">
      <c r="A9" s="5"/>
      <c r="B9" s="5"/>
      <c r="C9" s="5"/>
      <c r="D9" s="5"/>
      <c r="E9" s="5"/>
      <c r="F9" s="5"/>
      <c r="G9" s="5"/>
      <c r="H9" s="5"/>
      <c r="I9" s="5"/>
    </row>
    <row r="10" spans="1:11" ht="18.75" customHeight="1">
      <c r="A10" s="1" t="s">
        <v>119</v>
      </c>
      <c r="B10" s="1" t="s">
        <v>165</v>
      </c>
      <c r="C10" s="4"/>
      <c r="D10" s="4"/>
      <c r="E10" s="4"/>
      <c r="F10" s="4"/>
      <c r="G10" s="4"/>
      <c r="H10" s="4"/>
      <c r="I10" s="4"/>
    </row>
    <row r="11" spans="1:11" ht="18.75" customHeight="1">
      <c r="B11" s="101" t="s">
        <v>166</v>
      </c>
      <c r="C11" s="102"/>
      <c r="D11" s="103"/>
      <c r="E11" s="102" t="s">
        <v>167</v>
      </c>
      <c r="F11" s="102"/>
      <c r="G11" s="102"/>
      <c r="H11" s="102"/>
      <c r="I11" s="103"/>
    </row>
    <row r="12" spans="1:11" ht="26.25" customHeight="1">
      <c r="B12" s="50" t="s">
        <v>168</v>
      </c>
      <c r="C12" s="57"/>
      <c r="D12" s="51"/>
      <c r="E12" s="58"/>
      <c r="F12" s="58"/>
      <c r="G12" s="58"/>
      <c r="H12" s="58"/>
      <c r="I12" s="51"/>
    </row>
    <row r="13" spans="1:11" ht="162.75" customHeight="1">
      <c r="B13" s="52"/>
      <c r="C13" s="272" t="s">
        <v>169</v>
      </c>
      <c r="D13" s="273"/>
      <c r="E13" s="295" t="s">
        <v>180</v>
      </c>
      <c r="F13" s="275"/>
      <c r="G13" s="275"/>
      <c r="H13" s="275"/>
      <c r="I13" s="276"/>
      <c r="K13" s="83"/>
    </row>
    <row r="14" spans="1:11" ht="112.5" customHeight="1">
      <c r="B14" s="52"/>
      <c r="C14" s="293" t="s">
        <v>170</v>
      </c>
      <c r="D14" s="294"/>
      <c r="E14" s="286" t="s">
        <v>184</v>
      </c>
      <c r="F14" s="275"/>
      <c r="G14" s="275"/>
      <c r="H14" s="275"/>
      <c r="I14" s="276"/>
      <c r="K14" s="83"/>
    </row>
    <row r="15" spans="1:11" ht="210.75" customHeight="1">
      <c r="B15" s="52"/>
      <c r="C15" s="272" t="s">
        <v>171</v>
      </c>
      <c r="D15" s="273"/>
      <c r="E15" s="286" t="s">
        <v>182</v>
      </c>
      <c r="F15" s="275"/>
      <c r="G15" s="275"/>
      <c r="H15" s="275"/>
      <c r="I15" s="276"/>
      <c r="K15" s="82"/>
    </row>
    <row r="16" spans="1:11" ht="189" customHeight="1">
      <c r="B16" s="52"/>
      <c r="C16" s="272" t="s">
        <v>172</v>
      </c>
      <c r="D16" s="273"/>
      <c r="E16" s="287" t="s">
        <v>181</v>
      </c>
      <c r="F16" s="288"/>
      <c r="G16" s="288"/>
      <c r="H16" s="288"/>
      <c r="I16" s="289"/>
      <c r="K16" s="82"/>
    </row>
    <row r="17" spans="2:12" ht="131.25" customHeight="1">
      <c r="B17" s="53"/>
      <c r="C17" s="277" t="s">
        <v>173</v>
      </c>
      <c r="D17" s="278"/>
      <c r="E17" s="290" t="s">
        <v>174</v>
      </c>
      <c r="F17" s="291"/>
      <c r="G17" s="291"/>
      <c r="H17" s="291"/>
      <c r="I17" s="292"/>
    </row>
    <row r="18" spans="2:12" ht="24" customHeight="1">
      <c r="B18" s="50" t="s">
        <v>175</v>
      </c>
      <c r="C18" s="54"/>
      <c r="D18" s="55"/>
      <c r="E18" s="56"/>
      <c r="F18" s="56"/>
      <c r="G18" s="56"/>
      <c r="H18" s="56"/>
      <c r="I18" s="59"/>
    </row>
    <row r="19" spans="2:12" ht="152.25" customHeight="1">
      <c r="B19" s="52"/>
      <c r="C19" s="272" t="s">
        <v>176</v>
      </c>
      <c r="D19" s="273"/>
      <c r="E19" s="274" t="s">
        <v>183</v>
      </c>
      <c r="F19" s="275"/>
      <c r="G19" s="275"/>
      <c r="H19" s="275"/>
      <c r="I19" s="276"/>
      <c r="K19" s="266"/>
      <c r="L19" s="266"/>
    </row>
    <row r="20" spans="2:12" ht="114" customHeight="1">
      <c r="B20" s="53"/>
      <c r="C20" s="277" t="s">
        <v>177</v>
      </c>
      <c r="D20" s="278"/>
      <c r="E20" s="279" t="s">
        <v>185</v>
      </c>
      <c r="F20" s="279"/>
      <c r="G20" s="279"/>
      <c r="H20" s="279"/>
      <c r="I20" s="280"/>
      <c r="K20" s="266"/>
      <c r="L20" s="266"/>
    </row>
    <row r="21" spans="2:12" ht="200.25" customHeight="1">
      <c r="B21" s="281" t="s">
        <v>178</v>
      </c>
      <c r="C21" s="282"/>
      <c r="D21" s="283"/>
      <c r="E21" s="284" t="s">
        <v>186</v>
      </c>
      <c r="F21" s="284"/>
      <c r="G21" s="284"/>
      <c r="H21" s="284"/>
      <c r="I21" s="285"/>
      <c r="K21" s="266"/>
      <c r="L21" s="266"/>
    </row>
    <row r="22" spans="2:12" ht="160.5" customHeight="1">
      <c r="B22" s="267" t="s">
        <v>179</v>
      </c>
      <c r="C22" s="268"/>
      <c r="D22" s="269"/>
      <c r="E22" s="270" t="s">
        <v>187</v>
      </c>
      <c r="F22" s="270"/>
      <c r="G22" s="270"/>
      <c r="H22" s="270"/>
      <c r="I22" s="271"/>
      <c r="K22" s="266"/>
      <c r="L22" s="266"/>
    </row>
    <row r="23" spans="2:12" ht="22.5" customHeight="1">
      <c r="B23" s="4"/>
      <c r="C23" s="4"/>
      <c r="D23" s="4"/>
      <c r="E23" s="4"/>
      <c r="F23" s="4"/>
      <c r="G23" s="4"/>
      <c r="H23" s="4"/>
      <c r="I23" s="4"/>
    </row>
    <row r="24" spans="2:12" ht="22.5" customHeight="1">
      <c r="B24" s="4"/>
      <c r="C24" s="4"/>
      <c r="D24" s="4"/>
      <c r="E24" s="4"/>
      <c r="F24" s="4"/>
      <c r="G24" s="4"/>
      <c r="H24" s="4"/>
      <c r="I24" s="4"/>
    </row>
    <row r="25" spans="2:12" ht="22.5" customHeight="1">
      <c r="B25" s="4"/>
      <c r="C25" s="4"/>
      <c r="D25" s="4"/>
      <c r="E25" s="4"/>
      <c r="F25" s="4"/>
      <c r="G25" s="4"/>
      <c r="H25" s="4"/>
      <c r="I25" s="4"/>
    </row>
    <row r="26" spans="2:12" ht="22.5" customHeight="1">
      <c r="B26" s="4"/>
      <c r="C26" s="4"/>
      <c r="D26" s="4"/>
      <c r="E26" s="4"/>
      <c r="F26" s="4"/>
      <c r="G26" s="4"/>
      <c r="H26" s="4"/>
      <c r="I26" s="4"/>
    </row>
    <row r="27" spans="2:12" ht="22.5" customHeight="1">
      <c r="B27" s="4"/>
      <c r="C27" s="4"/>
      <c r="D27" s="4"/>
      <c r="E27" s="4"/>
      <c r="F27" s="4"/>
      <c r="G27" s="4"/>
      <c r="H27" s="4"/>
      <c r="I27" s="4"/>
    </row>
    <row r="28" spans="2:12" ht="22.5" customHeight="1">
      <c r="B28" s="15"/>
      <c r="C28" s="15"/>
      <c r="D28" s="15"/>
      <c r="E28" s="15"/>
      <c r="F28" s="15"/>
      <c r="G28" s="15"/>
      <c r="H28" s="15"/>
      <c r="I28" s="15"/>
    </row>
    <row r="29" spans="2:12" ht="22.5" customHeight="1">
      <c r="B29" s="15"/>
      <c r="C29" s="15"/>
      <c r="D29" s="15"/>
      <c r="E29" s="15"/>
      <c r="F29" s="15"/>
      <c r="G29" s="15"/>
      <c r="H29" s="15"/>
      <c r="I29" s="15"/>
    </row>
    <row r="30" spans="2:12" ht="22.5" customHeight="1">
      <c r="B30" s="15"/>
      <c r="C30" s="15"/>
      <c r="D30" s="15"/>
      <c r="E30" s="15"/>
      <c r="F30" s="15"/>
      <c r="G30" s="15"/>
      <c r="H30" s="15"/>
      <c r="I30" s="15"/>
    </row>
  </sheetData>
  <mergeCells count="26">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K19:L19"/>
    <mergeCell ref="K20:L20"/>
    <mergeCell ref="K21:L21"/>
    <mergeCell ref="K22:L22"/>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0BC46C803148C4B8A714F2D54FB67AB" ma:contentTypeVersion="16" ma:contentTypeDescription="新しいドキュメントを作成します。" ma:contentTypeScope="" ma:versionID="52377a0fdd78f753c348e3d42a590ed5">
  <xsd:schema xmlns:xsd="http://www.w3.org/2001/XMLSchema" xmlns:xs="http://www.w3.org/2001/XMLSchema" xmlns:p="http://schemas.microsoft.com/office/2006/metadata/properties" xmlns:ns2="9b106c93-a3a1-4e5d-ae0d-88fe434fbaef" xmlns:ns3="c3c6ae1a-adc1-4287-8fe6-1bedb4b5f5c1" targetNamespace="http://schemas.microsoft.com/office/2006/metadata/properties" ma:root="true" ma:fieldsID="1e4be39d7586377beebb0aec77fa3c59" ns2:_="" ns3:_="">
    <xsd:import namespace="9b106c93-a3a1-4e5d-ae0d-88fe434fbaef"/>
    <xsd:import namespace="c3c6ae1a-adc1-4287-8fe6-1bedb4b5f5c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106c93-a3a1-4e5d-ae0d-88fe434fba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c1ec0f05-8db9-4cb4-a53b-b8806002f24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3c6ae1a-adc1-4287-8fe6-1bedb4b5f5c1"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c80a7d5-b313-4e56-a7ab-70c1b13051e3}" ma:internalName="TaxCatchAll" ma:showField="CatchAllData" ma:web="c3c6ae1a-adc1-4287-8fe6-1bedb4b5f5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c6ae1a-adc1-4287-8fe6-1bedb4b5f5c1" xsi:nil="true"/>
    <lcf76f155ced4ddcb4097134ff3c332f xmlns="9b106c93-a3a1-4e5d-ae0d-88fe434fbaef">
      <Terms xmlns="http://schemas.microsoft.com/office/infopath/2007/PartnerControls"/>
    </lcf76f155ced4ddcb4097134ff3c332f>
    <SharedWithUsers xmlns="c3c6ae1a-adc1-4287-8fe6-1bedb4b5f5c1">
      <UserInfo>
        <DisplayName>教務連絡会 メンバー</DisplayName>
        <AccountId>7</AccountId>
        <AccountType/>
      </UserInfo>
    </SharedWithUsers>
  </documentManagement>
</p:properties>
</file>

<file path=customXml/itemProps1.xml><?xml version="1.0" encoding="utf-8"?>
<ds:datastoreItem xmlns:ds="http://schemas.openxmlformats.org/officeDocument/2006/customXml" ds:itemID="{80918E95-6B12-4306-87A5-473CDC8ED2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106c93-a3a1-4e5d-ae0d-88fe434fbaef"/>
    <ds:schemaRef ds:uri="c3c6ae1a-adc1-4287-8fe6-1bedb4b5f5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867F92-5970-4832-970C-0AAD0C718EB3}">
  <ds:schemaRefs>
    <ds:schemaRef ds:uri="http://schemas.microsoft.com/sharepoint/v3/contenttype/forms"/>
  </ds:schemaRefs>
</ds:datastoreItem>
</file>

<file path=customXml/itemProps3.xml><?xml version="1.0" encoding="utf-8"?>
<ds:datastoreItem xmlns:ds="http://schemas.openxmlformats.org/officeDocument/2006/customXml" ds:itemID="{F2D5D2EA-A9F4-4948-94AA-35862A66D83A}">
  <ds:schemaRefs>
    <ds:schemaRef ds:uri="http://www.w3.org/XML/1998/namespace"/>
    <ds:schemaRef ds:uri="http://purl.org/dc/elements/1.1/"/>
    <ds:schemaRef ds:uri="http://schemas.microsoft.com/office/infopath/2007/PartnerControls"/>
    <ds:schemaRef ds:uri="http://purl.org/dc/dcmitype/"/>
    <ds:schemaRef ds:uri="http://schemas.microsoft.com/office/2006/documentManagement/types"/>
    <ds:schemaRef ds:uri="http://schemas.microsoft.com/office/2006/metadata/properties"/>
    <ds:schemaRef ds:uri="http://schemas.openxmlformats.org/package/2006/metadata/core-properties"/>
    <ds:schemaRef ds:uri="c3c6ae1a-adc1-4287-8fe6-1bedb4b5f5c1"/>
    <ds:schemaRef ds:uri="9b106c93-a3a1-4e5d-ae0d-88fe434fbae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プログラムを構成する授業科目(ME)</vt:lpstr>
      <vt:lpstr>様式１　プログラムを構成する授業科目(IE)</vt:lpstr>
      <vt:lpstr>様式１　プログラムを構成する授業科目(CA) </vt:lpstr>
      <vt:lpstr>様式２ 履修者等数の実績</vt:lpstr>
      <vt:lpstr>様式３ 教育の質・履修者数を向上させるための体制・計画</vt:lpstr>
      <vt:lpstr>様式４　自己点検・評価</vt:lpstr>
      <vt:lpstr>'様式１　プログラムを構成する授業科目(IE)'!Print_Area</vt:lpstr>
      <vt:lpstr>'様式１　プログラムを構成する授業科目(ME)'!Print_Area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jim25</cp:lastModifiedBy>
  <cp:revision/>
  <cp:lastPrinted>2023-07-20T10:49:12Z</cp:lastPrinted>
  <dcterms:created xsi:type="dcterms:W3CDTF">2011-06-14T05:32:50Z</dcterms:created>
  <dcterms:modified xsi:type="dcterms:W3CDTF">2023-07-20T10:49:20Z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0x01010090BC46C803148C4B8A714F2D54FB67AB</vt:lpwstr>
  </property>
  <property fmtid="{D5CDD505-2E9C-101B-9397-08002B2CF9AE}" pid="10" name="MediaServiceImageTags">
    <vt:lpwstr/>
  </property>
</Properties>
</file>