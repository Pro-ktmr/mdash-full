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H:\Kyoumu\資格関係\09_数理・データサイエンスＡＩ\提出用\"/>
    </mc:Choice>
  </mc:AlternateContent>
  <xr:revisionPtr revIDLastSave="0" documentId="13_ncr:1_{5F369670-9EA7-4C4C-BC28-A1F6A56E72A3}"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教育の質・履修者数を向上させるための体制・計画'!$A$1:$I$114</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44"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3" i="41" s="1"/>
</calcChain>
</file>

<file path=xl/sharedStrings.xml><?xml version="1.0" encoding="utf-8"?>
<sst xmlns="http://schemas.openxmlformats.org/spreadsheetml/2006/main" count="326" uniqueCount="179">
  <si>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</si>
  <si>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</si>
  <si>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</si>
  <si>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</si>
  <si>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</si>
  <si>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</si>
  <si>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</si>
  <si>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</si>
  <si>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</si>
  <si>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</si>
  <si>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</si>
  <si>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</si>
  <si>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</si>
  <si>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</si>
  <si>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</si>
  <si>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</si>
  <si>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</si>
  <si>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</si>
  <si>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</si>
  <si>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</si>
  <si>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</si>
  <si>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</si>
  <si>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</si>
  <si>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</si>
  <si>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</si>
  <si>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</si>
  <si>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</si>
  <si>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</si>
  <si>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</si>
  <si>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</si>
  <si>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</si>
  <si>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</si>
  <si>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</si>
  <si>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</si>
  <si>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</si>
  <si>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</si>
  <si>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</si>
  <si>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</si>
  <si>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</si>
  <si>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</si>
  <si>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</si>
  <si>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</si>
  <si>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</si>
  <si>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</si>
  <si>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</si>
  <si>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</si>
  <si>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</si>
  <si>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</si>
  <si>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</si>
  <si>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</si>
  <si>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</si>
  <si>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</si>
  <si>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</si>
  <si>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</si>
  <si>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</si>
  <si>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</si>
  <si>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</si>
  <si>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</si>
  <si>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</si>
  <si>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</si>
  <si>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</si>
  <si>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</si>
  <si>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</si>
  <si>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</si>
  <si>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</si>
  <si>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</si>
  <si>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</si>
  <si>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</si>
  <si>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</si>
  <si>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</si>
  <si>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</si>
  <si>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</si>
  <si>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</si>
  <si>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</si>
  <si>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</si>
  <si>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</si>
  <si>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</si>
  <si>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</si>
  <si>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</si>
  <si>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</si>
  <si>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</si>
  <si>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</si>
  <si>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</si>
  <si>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</si>
  <si>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</si>
  <si>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</si>
  <si>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</si>
  <si>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</si>
  <si>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</si>
  <si>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</si>
  <si>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</si>
  <si>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</si>
  <si>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</si>
  <si>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</si>
  <si>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</si>
  <si>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</si>
  <si>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</si>
  <si>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</si>
  <si>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</si>
  <si>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</si>
  <si>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</si>
  <si>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</si>
  <si>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</si>
  <si>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</si>
  <si>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</si>
  <si>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</si>
  <si>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</si>
  <si>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</si>
  <si>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</si>
  <si>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</si>
  <si>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</si>
  <si>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</si>
  <si>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</si>
  <si>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</si>
  <si>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</si>
  <si>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</si>
  <si>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</si>
  <si>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</si>
  <si>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</si>
  <si>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</si>
  <si>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</si>
  <si>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</si>
  <si>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</si>
  <si>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</si>
  <si>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</si>
  <si>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</si>
  <si>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</si>
  <si>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高松大学</t>
    <rPh sb="0" eb="2">
      <t>タカマツ</t>
    </rPh>
    <rPh sb="2" eb="4">
      <t>ダイガク</t>
    </rPh>
    <phoneticPr fontId="1"/>
  </si>
  <si>
    <t>経営学部経営学科</t>
    <rPh sb="0" eb="2">
      <t>ケイエイ</t>
    </rPh>
    <rPh sb="2" eb="4">
      <t>ガクブ</t>
    </rPh>
    <rPh sb="4" eb="6">
      <t>ケイエイ</t>
    </rPh>
    <rPh sb="6" eb="8">
      <t>ガッカ</t>
    </rPh>
    <phoneticPr fontId="1"/>
  </si>
  <si>
    <t>経営学部経営学科、発達科学部子ども発達学科</t>
    <rPh sb="0" eb="2">
      <t>ケイエイ</t>
    </rPh>
    <rPh sb="2" eb="4">
      <t>ガクブ</t>
    </rPh>
    <rPh sb="4" eb="6">
      <t>ケイエイ</t>
    </rPh>
    <rPh sb="6" eb="8">
      <t>ガッカ</t>
    </rPh>
    <rPh sb="9" eb="11">
      <t>ハッタツ</t>
    </rPh>
    <rPh sb="11" eb="14">
      <t>カガクブ</t>
    </rPh>
    <rPh sb="14" eb="15">
      <t>コ</t>
    </rPh>
    <rPh sb="17" eb="19">
      <t>ハッタツ</t>
    </rPh>
    <rPh sb="19" eb="21">
      <t>ガッカ</t>
    </rPh>
    <phoneticPr fontId="1"/>
  </si>
  <si>
    <t>発達科学部子ども発達学科</t>
    <rPh sb="0" eb="2">
      <t>ハッタツ</t>
    </rPh>
    <rPh sb="2" eb="5">
      <t>カガクブ</t>
    </rPh>
    <rPh sb="5" eb="6">
      <t>コ</t>
    </rPh>
    <rPh sb="8" eb="10">
      <t>ハッタツ</t>
    </rPh>
    <rPh sb="10" eb="12">
      <t>ガッカ</t>
    </rPh>
    <phoneticPr fontId="1"/>
  </si>
  <si>
    <t>学部・学科によって、修了要件は相違しない</t>
  </si>
  <si>
    <t>佃　昌道</t>
    <rPh sb="0" eb="1">
      <t>ツクダ</t>
    </rPh>
    <rPh sb="2" eb="4">
      <t>マサミチ</t>
    </rPh>
    <phoneticPr fontId="1"/>
  </si>
  <si>
    <t>学長</t>
    <rPh sb="0" eb="2">
      <t>ガクチョウ</t>
    </rPh>
    <phoneticPr fontId="1"/>
  </si>
  <si>
    <t>令和３</t>
    <rPh sb="0" eb="2">
      <t>レイワ</t>
    </rPh>
    <phoneticPr fontId="1"/>
  </si>
  <si>
    <t>数理データサイエンスと未来</t>
    <rPh sb="0" eb="2">
      <t>スウリ</t>
    </rPh>
    <rPh sb="11" eb="13">
      <t>ミライ</t>
    </rPh>
    <phoneticPr fontId="1"/>
  </si>
  <si>
    <t>○</t>
  </si>
  <si>
    <t>情報基礎</t>
    <rPh sb="0" eb="2">
      <t>ジョウホウ</t>
    </rPh>
    <rPh sb="2" eb="4">
      <t>キソ</t>
    </rPh>
    <phoneticPr fontId="1"/>
  </si>
  <si>
    <t>情報基礎演習</t>
    <rPh sb="0" eb="2">
      <t>ジョウホウ</t>
    </rPh>
    <rPh sb="2" eb="4">
      <t>キソ</t>
    </rPh>
    <rPh sb="4" eb="6">
      <t>エンシュウ</t>
    </rPh>
    <phoneticPr fontId="1"/>
  </si>
  <si>
    <t>情報応用演習</t>
    <rPh sb="0" eb="2">
      <t>ジョウホウ</t>
    </rPh>
    <rPh sb="2" eb="4">
      <t>オウヨウ</t>
    </rPh>
    <rPh sb="4" eb="6">
      <t>エンシュウ</t>
    </rPh>
    <phoneticPr fontId="1"/>
  </si>
  <si>
    <t>データ分析活用法</t>
    <rPh sb="3" eb="5">
      <t>ブンセキ</t>
    </rPh>
    <rPh sb="5" eb="8">
      <t>カツヨウホウ</t>
    </rPh>
    <phoneticPr fontId="1"/>
  </si>
  <si>
    <t>数理データサイエンス基礎</t>
    <rPh sb="0" eb="2">
      <t>スウリ</t>
    </rPh>
    <rPh sb="10" eb="12">
      <t>キソ</t>
    </rPh>
    <phoneticPr fontId="1"/>
  </si>
  <si>
    <t>教務委員会</t>
    <rPh sb="0" eb="2">
      <t>キョウム</t>
    </rPh>
    <rPh sb="2" eb="5">
      <t>イインカイ</t>
    </rPh>
    <phoneticPr fontId="1"/>
  </si>
  <si>
    <t>浮穴　学慈</t>
    <rPh sb="0" eb="2">
      <t>ウケナ</t>
    </rPh>
    <rPh sb="3" eb="5">
      <t>サトシゲ</t>
    </rPh>
    <phoneticPr fontId="1"/>
  </si>
  <si>
    <t>学生支援部次長(教務担当)</t>
    <rPh sb="0" eb="2">
      <t>ガクセイ</t>
    </rPh>
    <rPh sb="2" eb="4">
      <t>シエン</t>
    </rPh>
    <rPh sb="4" eb="5">
      <t>ブ</t>
    </rPh>
    <rPh sb="5" eb="7">
      <t>ジチョウ</t>
    </rPh>
    <rPh sb="8" eb="10">
      <t>キョウム</t>
    </rPh>
    <rPh sb="10" eb="12">
      <t>タントウ</t>
    </rPh>
    <phoneticPr fontId="1"/>
  </si>
  <si>
    <t>高松大学・高松短期大学教務委員会規程</t>
    <phoneticPr fontId="1"/>
  </si>
  <si>
    <t>数理・データサイエンス・AI教育プログラム（リテラシーレベル）</t>
    <rPh sb="0" eb="2">
      <t>スウリ</t>
    </rPh>
    <rPh sb="14" eb="16">
      <t>キョウイク</t>
    </rPh>
    <phoneticPr fontId="1"/>
  </si>
  <si>
    <t>授業科目「数理データサイエンスと未来」「情報基礎」「情報基礎演習」「情報応用演習」の単位修得をもって、本教育プログラムを修了したものする。</t>
    <rPh sb="0" eb="2">
      <t>ジュギョウ</t>
    </rPh>
    <rPh sb="2" eb="4">
      <t>カモク</t>
    </rPh>
    <phoneticPr fontId="1"/>
  </si>
  <si>
    <t>　未来社会「Society5.0」のなかで必要不可欠だと考えられる、数理・データサイエンス・AIに関する基礎学力について、学生が身につける学修成果を次の(A)-(E)の5項目に分類している。
(A)技術概要の把握：未来社会の基盤になると考えられている、数理・データサイエンス・AI技術の概要を理解し、利点・欠点を説明できる。
(B)社会課題の検討：未来社会の実現までに解決すべき課題を把握し、様々な観点から数理・データサイエンス・AIの技術の活用を検討できる。
(C)データ活用の流れ：データを活用するために必要な、問題分析と目的設定（なぜデータ分析したいのか、データ分析により何を知りたいのか）、データ収集、データ分析と可視化、分析結果の意味の解釈、報告について理解し、実践できる。
(D)考察対象の理解とアプローチ：考察対象を理解し説明するために有用な数式や図式を用いたモデル化や、多量のデータを取扱い分析するために必要な基礎知識と方法論を身に付け、実践できる。
(E)セキュリティと情報倫理：情報セキュリティや情報倫理の観点から、数理・データサイエンス・AI技術のあるべき活用のあり方を理解し、不適切な利用を防止できる。</t>
    <rPh sb="49" eb="50">
      <t>カン</t>
    </rPh>
    <rPh sb="99" eb="101">
      <t>ギジュツ</t>
    </rPh>
    <rPh sb="101" eb="103">
      <t>ガイヨウ</t>
    </rPh>
    <rPh sb="104" eb="106">
      <t>ハアク</t>
    </rPh>
    <rPh sb="107" eb="109">
      <t>ミライ</t>
    </rPh>
    <rPh sb="109" eb="111">
      <t>シャカイ</t>
    </rPh>
    <rPh sb="112" eb="114">
      <t>キバン</t>
    </rPh>
    <rPh sb="118" eb="119">
      <t>カンガ</t>
    </rPh>
    <rPh sb="126" eb="128">
      <t>スウリ</t>
    </rPh>
    <rPh sb="140" eb="142">
      <t>ギジュツ</t>
    </rPh>
    <rPh sb="143" eb="145">
      <t>ガイヨウ</t>
    </rPh>
    <rPh sb="146" eb="148">
      <t>リカイ</t>
    </rPh>
    <rPh sb="150" eb="152">
      <t>リテン</t>
    </rPh>
    <rPh sb="153" eb="155">
      <t>ケッテン</t>
    </rPh>
    <rPh sb="156" eb="158">
      <t>セツメイ</t>
    </rPh>
    <rPh sb="166" eb="168">
      <t>シャカイ</t>
    </rPh>
    <rPh sb="168" eb="170">
      <t>カダイ</t>
    </rPh>
    <rPh sb="171" eb="173">
      <t>ケントウ</t>
    </rPh>
    <rPh sb="174" eb="176">
      <t>ミライ</t>
    </rPh>
    <rPh sb="176" eb="178">
      <t>シャカイ</t>
    </rPh>
    <rPh sb="179" eb="181">
      <t>ジツゲン</t>
    </rPh>
    <rPh sb="184" eb="186">
      <t>カイケツ</t>
    </rPh>
    <rPh sb="189" eb="191">
      <t>カダイ</t>
    </rPh>
    <rPh sb="192" eb="194">
      <t>ハアク</t>
    </rPh>
    <rPh sb="196" eb="198">
      <t>サマザマ</t>
    </rPh>
    <rPh sb="199" eb="201">
      <t>カンテン</t>
    </rPh>
    <rPh sb="203" eb="205">
      <t>スウリ</t>
    </rPh>
    <rPh sb="218" eb="220">
      <t>ギジュツ</t>
    </rPh>
    <rPh sb="221" eb="223">
      <t>カツヨウ</t>
    </rPh>
    <rPh sb="224" eb="226">
      <t>ケントウ</t>
    </rPh>
    <rPh sb="240" eb="241">
      <t>ナガ</t>
    </rPh>
    <rPh sb="247" eb="249">
      <t>カツヨウ</t>
    </rPh>
    <rPh sb="254" eb="256">
      <t>ヒツヨウ</t>
    </rPh>
    <rPh sb="258" eb="260">
      <t>モンダイ</t>
    </rPh>
    <rPh sb="260" eb="262">
      <t>ブンセキ</t>
    </rPh>
    <rPh sb="263" eb="265">
      <t>モクテキ</t>
    </rPh>
    <rPh sb="265" eb="267">
      <t>セッテイ</t>
    </rPh>
    <rPh sb="273" eb="275">
      <t>ブンセキ</t>
    </rPh>
    <rPh sb="284" eb="286">
      <t>ブンセキ</t>
    </rPh>
    <rPh sb="289" eb="290">
      <t>ナニ</t>
    </rPh>
    <rPh sb="291" eb="292">
      <t>シ</t>
    </rPh>
    <rPh sb="302" eb="304">
      <t>シュウシュウ</t>
    </rPh>
    <rPh sb="308" eb="310">
      <t>ブンセキ</t>
    </rPh>
    <rPh sb="311" eb="314">
      <t>カシカ</t>
    </rPh>
    <rPh sb="315" eb="317">
      <t>ブンセキ</t>
    </rPh>
    <rPh sb="317" eb="319">
      <t>ケッカ</t>
    </rPh>
    <rPh sb="320" eb="322">
      <t>イミ</t>
    </rPh>
    <rPh sb="323" eb="325">
      <t>カイシャク</t>
    </rPh>
    <rPh sb="326" eb="328">
      <t>ホウコク</t>
    </rPh>
    <rPh sb="332" eb="334">
      <t>リカイ</t>
    </rPh>
    <rPh sb="336" eb="338">
      <t>ジッセン</t>
    </rPh>
    <rPh sb="346" eb="348">
      <t>コウサツ</t>
    </rPh>
    <rPh sb="348" eb="350">
      <t>タイショウ</t>
    </rPh>
    <rPh sb="351" eb="353">
      <t>リカイ</t>
    </rPh>
    <rPh sb="360" eb="362">
      <t>コウサツ</t>
    </rPh>
    <rPh sb="362" eb="364">
      <t>タイショウ</t>
    </rPh>
    <rPh sb="365" eb="367">
      <t>リカイ</t>
    </rPh>
    <rPh sb="368" eb="370">
      <t>セツメイ</t>
    </rPh>
    <rPh sb="375" eb="377">
      <t>ユウヨウ</t>
    </rPh>
    <rPh sb="378" eb="380">
      <t>スウシキ</t>
    </rPh>
    <rPh sb="381" eb="383">
      <t>ズシキ</t>
    </rPh>
    <rPh sb="384" eb="385">
      <t>モチ</t>
    </rPh>
    <rPh sb="390" eb="391">
      <t>カ</t>
    </rPh>
    <rPh sb="393" eb="395">
      <t>タリョウ</t>
    </rPh>
    <rPh sb="400" eb="402">
      <t>トリアツカ</t>
    </rPh>
    <rPh sb="403" eb="405">
      <t>ブンセキ</t>
    </rPh>
    <rPh sb="410" eb="412">
      <t>ヒツヨウ</t>
    </rPh>
    <rPh sb="413" eb="415">
      <t>キソ</t>
    </rPh>
    <rPh sb="415" eb="417">
      <t>チシキ</t>
    </rPh>
    <rPh sb="418" eb="421">
      <t>ホウホウロン</t>
    </rPh>
    <rPh sb="422" eb="423">
      <t>ミ</t>
    </rPh>
    <rPh sb="424" eb="425">
      <t>ツ</t>
    </rPh>
    <rPh sb="427" eb="429">
      <t>ジッセン</t>
    </rPh>
    <rPh sb="444" eb="446">
      <t>ジョウホウ</t>
    </rPh>
    <rPh sb="446" eb="448">
      <t>リンリ</t>
    </rPh>
    <rPh sb="449" eb="451">
      <t>ジョウホウ</t>
    </rPh>
    <rPh sb="458" eb="460">
      <t>ジョウホウ</t>
    </rPh>
    <rPh sb="460" eb="462">
      <t>リンリ</t>
    </rPh>
    <rPh sb="463" eb="465">
      <t>カンテン</t>
    </rPh>
    <rPh sb="468" eb="470">
      <t>スウリ</t>
    </rPh>
    <rPh sb="482" eb="484">
      <t>ギジュツ</t>
    </rPh>
    <rPh sb="489" eb="491">
      <t>カツヨウ</t>
    </rPh>
    <rPh sb="494" eb="495">
      <t>カタ</t>
    </rPh>
    <rPh sb="496" eb="498">
      <t>リカイ</t>
    </rPh>
    <rPh sb="500" eb="503">
      <t>フテキセツ</t>
    </rPh>
    <rPh sb="504" eb="506">
      <t>リヨウ</t>
    </rPh>
    <rPh sb="507" eb="509">
      <t>ボウシ</t>
    </rPh>
    <phoneticPr fontId="1"/>
  </si>
  <si>
    <t>　現時点において本教育プログラム修了者は在学中であり、本項目の評価は得られていない。今後の予定として、定期的に開催される本学同窓会において実施している卒業生対象のアンケート調査において、本教育プログラム修了者の状況を把握する見込みである。また、企業の採用担当者を対象としての聞き取り調査の一環として、本教育プログラム修了者の評価等の調査を行っていく。</t>
    <rPh sb="1" eb="4">
      <t>ゲンジテン</t>
    </rPh>
    <rPh sb="8" eb="9">
      <t>ホン</t>
    </rPh>
    <rPh sb="9" eb="11">
      <t>キョウイク</t>
    </rPh>
    <rPh sb="16" eb="19">
      <t>シュウリョウシャ</t>
    </rPh>
    <rPh sb="20" eb="23">
      <t>ザイガクチュウ</t>
    </rPh>
    <rPh sb="27" eb="28">
      <t>ホン</t>
    </rPh>
    <rPh sb="28" eb="30">
      <t>コウモク</t>
    </rPh>
    <rPh sb="31" eb="33">
      <t>ヒョウカ</t>
    </rPh>
    <rPh sb="34" eb="35">
      <t>エ</t>
    </rPh>
    <rPh sb="42" eb="44">
      <t>コンゴ</t>
    </rPh>
    <rPh sb="45" eb="47">
      <t>ヨテイ</t>
    </rPh>
    <rPh sb="69" eb="71">
      <t>ジッシ</t>
    </rPh>
    <rPh sb="75" eb="78">
      <t>ソツギョウセイ</t>
    </rPh>
    <rPh sb="78" eb="80">
      <t>タイショウ</t>
    </rPh>
    <rPh sb="86" eb="88">
      <t>チョウサ</t>
    </rPh>
    <rPh sb="93" eb="94">
      <t>ホン</t>
    </rPh>
    <rPh sb="94" eb="96">
      <t>キョウイク</t>
    </rPh>
    <rPh sb="101" eb="104">
      <t>シュウリョウシャ</t>
    </rPh>
    <rPh sb="105" eb="107">
      <t>ジョウキョウ</t>
    </rPh>
    <rPh sb="108" eb="110">
      <t>ハアク</t>
    </rPh>
    <rPh sb="112" eb="114">
      <t>ミコ</t>
    </rPh>
    <rPh sb="122" eb="124">
      <t>キギョウ</t>
    </rPh>
    <rPh sb="125" eb="127">
      <t>サイヨウ</t>
    </rPh>
    <rPh sb="127" eb="130">
      <t>タントウシャ</t>
    </rPh>
    <rPh sb="131" eb="133">
      <t>タイショウ</t>
    </rPh>
    <rPh sb="137" eb="138">
      <t>キ</t>
    </rPh>
    <rPh sb="139" eb="140">
      <t>ト</t>
    </rPh>
    <rPh sb="141" eb="143">
      <t>チョウサ</t>
    </rPh>
    <rPh sb="144" eb="146">
      <t>イッカン</t>
    </rPh>
    <rPh sb="150" eb="151">
      <t>ホン</t>
    </rPh>
    <rPh sb="151" eb="153">
      <t>キョウイク</t>
    </rPh>
    <rPh sb="158" eb="161">
      <t>シュウリョウシャ</t>
    </rPh>
    <rPh sb="162" eb="164">
      <t>ヒョウカ</t>
    </rPh>
    <rPh sb="164" eb="165">
      <t>トウ</t>
    </rPh>
    <rPh sb="166" eb="168">
      <t>チョウサ</t>
    </rPh>
    <rPh sb="169" eb="170">
      <t>オコナ</t>
    </rPh>
    <phoneticPr fontId="1"/>
  </si>
  <si>
    <t xml:space="preserve">　令和4年度において、教務委員会を構成する人員は次のとおりであった。
高松大学・高松短期大学　学生支援部長　正岡利朗
委員長　高松大学・高松短期大学　学生支援部次長（教務担当）　浮穴学慈
高松大学経営学部委員　岡本丈彦
高松大学経営学部委員　石田裕明
高松大学発達科学部委員　田中美季
高松大学発達科学部委員　竹田忠弘
高松短期大学保育学科委員　柴田玲子
高松短期大学保育学科委員　相馬宗胤
高松短期大学秘書科委員　関　由佳利
高松短期大学秘書科委員　西岡達哉
高松大学・高松短期大学　学生支援部教務課課長補佐　武本隆治
　令和4年度において、Society5.0ワーキンググループに参加した人員は次のとおりであった。なお、本教育プログラムに関する事項に係るスクワッド構成員には○印を付している。
高松大学学長　佃昌道　○
高松短期大学副学長　出木浦孝
高松大学経営学部　神部順子　○
高松大学経営学部　山口直木　○
高松大学経営学部　浮穴学慈　○
高松大学発達科学部　川口めぐみ
高松大学発達科学部　藤本駿
高松短期大学秘書科学科長　森靖之
高松短期大学秘書科　松田圭司
高松短期大学秘書科　佐藤麻衣
高松短期大学保育学科　相馬宗胤
</t>
    <rPh sb="1" eb="2">
      <t>レイ</t>
    </rPh>
    <rPh sb="2" eb="3">
      <t>ワ</t>
    </rPh>
    <rPh sb="4" eb="6">
      <t>ネンド</t>
    </rPh>
    <rPh sb="11" eb="13">
      <t>キョウム</t>
    </rPh>
    <rPh sb="13" eb="15">
      <t>イイン</t>
    </rPh>
    <rPh sb="15" eb="16">
      <t>カイ</t>
    </rPh>
    <rPh sb="17" eb="19">
      <t>コウセイ</t>
    </rPh>
    <rPh sb="21" eb="23">
      <t>ジンイン</t>
    </rPh>
    <rPh sb="24" eb="25">
      <t>ツギ</t>
    </rPh>
    <rPh sb="35" eb="37">
      <t>タカマツ</t>
    </rPh>
    <rPh sb="37" eb="39">
      <t>ダイガク</t>
    </rPh>
    <rPh sb="40" eb="42">
      <t>タカマツ</t>
    </rPh>
    <rPh sb="42" eb="44">
      <t>タンキ</t>
    </rPh>
    <rPh sb="44" eb="46">
      <t>ダイガク</t>
    </rPh>
    <rPh sb="75" eb="77">
      <t>ガクセイ</t>
    </rPh>
    <rPh sb="77" eb="79">
      <t>シエン</t>
    </rPh>
    <rPh sb="79" eb="80">
      <t>ブ</t>
    </rPh>
    <rPh sb="80" eb="82">
      <t>ジチョウ</t>
    </rPh>
    <rPh sb="83" eb="85">
      <t>キョウム</t>
    </rPh>
    <rPh sb="85" eb="87">
      <t>タントウ</t>
    </rPh>
    <rPh sb="94" eb="96">
      <t>タカマツ</t>
    </rPh>
    <rPh sb="96" eb="98">
      <t>ダイガク</t>
    </rPh>
    <rPh sb="98" eb="100">
      <t>ケイエイ</t>
    </rPh>
    <rPh sb="100" eb="102">
      <t>ガクブ</t>
    </rPh>
    <rPh sb="102" eb="104">
      <t>イイン</t>
    </rPh>
    <rPh sb="130" eb="132">
      <t>ハッタツ</t>
    </rPh>
    <rPh sb="132" eb="135">
      <t>カガクブ</t>
    </rPh>
    <rPh sb="160" eb="162">
      <t>タカマツ</t>
    </rPh>
    <rPh sb="162" eb="164">
      <t>タンキ</t>
    </rPh>
    <rPh sb="164" eb="166">
      <t>ダイガク</t>
    </rPh>
    <rPh sb="166" eb="168">
      <t>ホイク</t>
    </rPh>
    <rPh sb="168" eb="170">
      <t>ガッカ</t>
    </rPh>
    <rPh sb="188" eb="190">
      <t>イイン</t>
    </rPh>
    <rPh sb="205" eb="207">
      <t>イイン</t>
    </rPh>
    <rPh sb="231" eb="233">
      <t>タカマツ</t>
    </rPh>
    <rPh sb="233" eb="235">
      <t>ダイガク</t>
    </rPh>
    <rPh sb="236" eb="238">
      <t>タカマツ</t>
    </rPh>
    <rPh sb="238" eb="240">
      <t>タンキ</t>
    </rPh>
    <rPh sb="240" eb="242">
      <t>ダイガク</t>
    </rPh>
    <rPh sb="243" eb="245">
      <t>ガクセイ</t>
    </rPh>
    <rPh sb="245" eb="247">
      <t>シエン</t>
    </rPh>
    <rPh sb="247" eb="248">
      <t>ブ</t>
    </rPh>
    <rPh sb="248" eb="250">
      <t>キョウム</t>
    </rPh>
    <rPh sb="253" eb="255">
      <t>ホサ</t>
    </rPh>
    <rPh sb="256" eb="258">
      <t>タケモト</t>
    </rPh>
    <rPh sb="293" eb="295">
      <t>サンカ</t>
    </rPh>
    <rPh sb="300" eb="301">
      <t>ツギ</t>
    </rPh>
    <rPh sb="313" eb="314">
      <t>ホン</t>
    </rPh>
    <rPh sb="314" eb="316">
      <t>キョウイク</t>
    </rPh>
    <rPh sb="322" eb="323">
      <t>カン</t>
    </rPh>
    <rPh sb="325" eb="327">
      <t>ジコウ</t>
    </rPh>
    <rPh sb="328" eb="329">
      <t>カカ</t>
    </rPh>
    <rPh sb="335" eb="338">
      <t>コウセイイン</t>
    </rPh>
    <rPh sb="343" eb="344">
      <t>フ</t>
    </rPh>
    <rPh sb="350" eb="352">
      <t>タカマツ</t>
    </rPh>
    <rPh sb="352" eb="354">
      <t>ダイガク</t>
    </rPh>
    <rPh sb="354" eb="356">
      <t>ガクチョウ</t>
    </rPh>
    <rPh sb="450" eb="452">
      <t>ガッカ</t>
    </rPh>
    <rPh sb="452" eb="453">
      <t>チョウ</t>
    </rPh>
    <phoneticPr fontId="1"/>
  </si>
  <si>
    <t>　高松大学・高松短期大学教務委員会は、教育課程に関する事項をはじめとして教務に関する事項を審議し、決定された事項を円滑に実施することを目的とする。本プログラムの改善・進化にあたっては、学長直属の諮問部会であるSociety5.0ワーキンググループとの連携・協力のもとで実施している。Society5.0ワーキンググループは、その時々の課題に対して迅速な対応を行うことを目的としており、アジャイル型の考え方に基づき問題意識を共有する人員を随時招集して開催している。</t>
    <rPh sb="1" eb="3">
      <t>タカマツ</t>
    </rPh>
    <rPh sb="3" eb="5">
      <t>ダイガク</t>
    </rPh>
    <rPh sb="6" eb="8">
      <t>タカマツ</t>
    </rPh>
    <rPh sb="8" eb="10">
      <t>タンキ</t>
    </rPh>
    <rPh sb="10" eb="12">
      <t>ダイガク</t>
    </rPh>
    <rPh sb="12" eb="14">
      <t>キョウム</t>
    </rPh>
    <rPh sb="14" eb="17">
      <t>イインカイ</t>
    </rPh>
    <rPh sb="19" eb="21">
      <t>キョウイク</t>
    </rPh>
    <rPh sb="21" eb="23">
      <t>カテイ</t>
    </rPh>
    <rPh sb="24" eb="25">
      <t>カン</t>
    </rPh>
    <rPh sb="27" eb="29">
      <t>ジコウ</t>
    </rPh>
    <rPh sb="36" eb="38">
      <t>キョウム</t>
    </rPh>
    <rPh sb="39" eb="40">
      <t>カン</t>
    </rPh>
    <rPh sb="42" eb="44">
      <t>ジコウ</t>
    </rPh>
    <rPh sb="45" eb="47">
      <t>シンギ</t>
    </rPh>
    <rPh sb="49" eb="51">
      <t>ケッテイ</t>
    </rPh>
    <rPh sb="54" eb="56">
      <t>ジコウ</t>
    </rPh>
    <rPh sb="57" eb="59">
      <t>エンカツ</t>
    </rPh>
    <rPh sb="60" eb="62">
      <t>ジッシ</t>
    </rPh>
    <rPh sb="67" eb="69">
      <t>モクテキ</t>
    </rPh>
    <rPh sb="73" eb="74">
      <t>ホン</t>
    </rPh>
    <rPh sb="80" eb="82">
      <t>カイゼン</t>
    </rPh>
    <rPh sb="83" eb="85">
      <t>シンカ</t>
    </rPh>
    <rPh sb="92" eb="94">
      <t>ガクチョウ</t>
    </rPh>
    <rPh sb="94" eb="96">
      <t>チョクゾク</t>
    </rPh>
    <rPh sb="97" eb="99">
      <t>シモン</t>
    </rPh>
    <rPh sb="99" eb="101">
      <t>ブカイ</t>
    </rPh>
    <rPh sb="125" eb="127">
      <t>レンケイ</t>
    </rPh>
    <rPh sb="128" eb="130">
      <t>キョウリョク</t>
    </rPh>
    <rPh sb="134" eb="136">
      <t>ジッシ</t>
    </rPh>
    <rPh sb="173" eb="175">
      <t>ジンソク</t>
    </rPh>
    <rPh sb="176" eb="178">
      <t>タイオウ</t>
    </rPh>
    <rPh sb="179" eb="180">
      <t>オコナ</t>
    </rPh>
    <rPh sb="184" eb="186">
      <t>モクテキ</t>
    </rPh>
    <rPh sb="197" eb="198">
      <t>ガタ</t>
    </rPh>
    <rPh sb="199" eb="200">
      <t>カンガ</t>
    </rPh>
    <rPh sb="201" eb="202">
      <t>カタ</t>
    </rPh>
    <rPh sb="203" eb="204">
      <t>モト</t>
    </rPh>
    <rPh sb="206" eb="208">
      <t>モンダイ</t>
    </rPh>
    <rPh sb="208" eb="210">
      <t>イシキ</t>
    </rPh>
    <rPh sb="211" eb="213">
      <t>キョウユウ</t>
    </rPh>
    <rPh sb="215" eb="217">
      <t>ジンイン</t>
    </rPh>
    <rPh sb="218" eb="220">
      <t>ズイジ</t>
    </rPh>
    <rPh sb="220" eb="222">
      <t>ショウシュウ</t>
    </rPh>
    <rPh sb="224" eb="226">
      <t>カイサイ</t>
    </rPh>
    <phoneticPr fontId="1"/>
  </si>
  <si>
    <t>　本教育プログラムを構成する科目については、全学共通科目に設けた科目区分「数理データサイエンス科目」に属する科目として履修ガイドに明示している。また、学部毎の履修指導において早期履修を強く推奨し、受講に向けた働きかけを行っている。</t>
    <rPh sb="1" eb="2">
      <t>ホン</t>
    </rPh>
    <rPh sb="2" eb="4">
      <t>キョウイク</t>
    </rPh>
    <rPh sb="10" eb="12">
      <t>コウセイ</t>
    </rPh>
    <rPh sb="14" eb="16">
      <t>カモク</t>
    </rPh>
    <rPh sb="22" eb="24">
      <t>ゼンガク</t>
    </rPh>
    <rPh sb="24" eb="26">
      <t>キョウツウ</t>
    </rPh>
    <rPh sb="26" eb="28">
      <t>カモク</t>
    </rPh>
    <rPh sb="29" eb="30">
      <t>モウ</t>
    </rPh>
    <rPh sb="32" eb="34">
      <t>カモク</t>
    </rPh>
    <rPh sb="34" eb="36">
      <t>クブン</t>
    </rPh>
    <rPh sb="37" eb="39">
      <t>スウリ</t>
    </rPh>
    <rPh sb="47" eb="49">
      <t>カモク</t>
    </rPh>
    <rPh sb="51" eb="52">
      <t>ゾク</t>
    </rPh>
    <rPh sb="54" eb="56">
      <t>カモク</t>
    </rPh>
    <rPh sb="59" eb="61">
      <t>リシュウ</t>
    </rPh>
    <rPh sb="65" eb="67">
      <t>メイジ</t>
    </rPh>
    <rPh sb="87" eb="89">
      <t>ソウキ</t>
    </rPh>
    <rPh sb="89" eb="91">
      <t>リシュウ</t>
    </rPh>
    <rPh sb="92" eb="93">
      <t>ツヨ</t>
    </rPh>
    <rPh sb="94" eb="96">
      <t>スイショウ</t>
    </rPh>
    <phoneticPr fontId="1"/>
  </si>
  <si>
    <t>　卒業必修科目の「数理データサイエンスと未来」については、教務課において履修登録期間中に登録状況のモニタリングを行い、未登録の学生及びその学生が所属するゼミナール担当教員に対して注意喚起を行っている。
　また修得に向けたサポートとして、Google Classroomを活用している。常時、学生は配布資料の閲覧及び取得が可能であり、個々の学生に応じた適切な場所及びデバイスからの課題提出が可能である。授業担当教員は受講する学生の課題提出状況を把握し、小テストなどにより理解及び習熟の状況を随時把握することで、学生の単位修得に向けて適切な指導を行うことができる。</t>
    <rPh sb="29" eb="32">
      <t>キョウムカ</t>
    </rPh>
    <rPh sb="36" eb="38">
      <t>リシュウ</t>
    </rPh>
    <rPh sb="38" eb="40">
      <t>トウロク</t>
    </rPh>
    <rPh sb="40" eb="42">
      <t>キカン</t>
    </rPh>
    <rPh sb="42" eb="43">
      <t>チュウ</t>
    </rPh>
    <rPh sb="44" eb="46">
      <t>トウロク</t>
    </rPh>
    <rPh sb="46" eb="48">
      <t>ジョウキョウ</t>
    </rPh>
    <rPh sb="56" eb="57">
      <t>オコナ</t>
    </rPh>
    <rPh sb="59" eb="60">
      <t>ミ</t>
    </rPh>
    <rPh sb="60" eb="62">
      <t>トウロク</t>
    </rPh>
    <rPh sb="63" eb="65">
      <t>ガクセイ</t>
    </rPh>
    <rPh sb="65" eb="66">
      <t>オヨ</t>
    </rPh>
    <rPh sb="69" eb="71">
      <t>ガクセイ</t>
    </rPh>
    <rPh sb="72" eb="74">
      <t>ショゾク</t>
    </rPh>
    <rPh sb="81" eb="83">
      <t>タントウ</t>
    </rPh>
    <rPh sb="83" eb="85">
      <t>キョウイン</t>
    </rPh>
    <rPh sb="86" eb="87">
      <t>タイ</t>
    </rPh>
    <rPh sb="89" eb="91">
      <t>チュウイ</t>
    </rPh>
    <rPh sb="91" eb="93">
      <t>カンキ</t>
    </rPh>
    <rPh sb="94" eb="95">
      <t>オコナ</t>
    </rPh>
    <rPh sb="104" eb="106">
      <t>シュウトク</t>
    </rPh>
    <rPh sb="107" eb="108">
      <t>ム</t>
    </rPh>
    <rPh sb="135" eb="137">
      <t>カツヨウ</t>
    </rPh>
    <rPh sb="142" eb="144">
      <t>ジョウジ</t>
    </rPh>
    <rPh sb="145" eb="147">
      <t>ガクセイ</t>
    </rPh>
    <rPh sb="148" eb="150">
      <t>ハイフ</t>
    </rPh>
    <rPh sb="150" eb="152">
      <t>シリョウ</t>
    </rPh>
    <rPh sb="153" eb="155">
      <t>エツラン</t>
    </rPh>
    <rPh sb="155" eb="156">
      <t>オヨ</t>
    </rPh>
    <rPh sb="157" eb="159">
      <t>シュトク</t>
    </rPh>
    <rPh sb="160" eb="162">
      <t>カノウ</t>
    </rPh>
    <rPh sb="166" eb="168">
      <t>ココ</t>
    </rPh>
    <rPh sb="169" eb="171">
      <t>ガクセイ</t>
    </rPh>
    <rPh sb="172" eb="173">
      <t>オウ</t>
    </rPh>
    <rPh sb="175" eb="177">
      <t>テキセツ</t>
    </rPh>
    <rPh sb="178" eb="180">
      <t>バショ</t>
    </rPh>
    <rPh sb="180" eb="181">
      <t>オヨ</t>
    </rPh>
    <rPh sb="189" eb="191">
      <t>カダイ</t>
    </rPh>
    <rPh sb="191" eb="193">
      <t>テイシュツ</t>
    </rPh>
    <rPh sb="194" eb="196">
      <t>カノウ</t>
    </rPh>
    <rPh sb="200" eb="202">
      <t>ジュギョウ</t>
    </rPh>
    <rPh sb="202" eb="204">
      <t>タントウ</t>
    </rPh>
    <rPh sb="204" eb="206">
      <t>キョウイン</t>
    </rPh>
    <rPh sb="207" eb="209">
      <t>ジュコウ</t>
    </rPh>
    <rPh sb="211" eb="213">
      <t>ガクセイ</t>
    </rPh>
    <rPh sb="214" eb="216">
      <t>カダイ</t>
    </rPh>
    <rPh sb="216" eb="218">
      <t>テイシュツ</t>
    </rPh>
    <rPh sb="218" eb="220">
      <t>ジョウキョウ</t>
    </rPh>
    <rPh sb="221" eb="223">
      <t>ハアク</t>
    </rPh>
    <rPh sb="225" eb="226">
      <t>ショウ</t>
    </rPh>
    <rPh sb="234" eb="236">
      <t>リカイ</t>
    </rPh>
    <rPh sb="236" eb="237">
      <t>オヨ</t>
    </rPh>
    <rPh sb="238" eb="240">
      <t>シュウジュク</t>
    </rPh>
    <rPh sb="241" eb="243">
      <t>ジョウキョウ</t>
    </rPh>
    <rPh sb="244" eb="246">
      <t>ズイジ</t>
    </rPh>
    <rPh sb="246" eb="248">
      <t>ハアク</t>
    </rPh>
    <rPh sb="254" eb="256">
      <t>ガクセイ</t>
    </rPh>
    <rPh sb="257" eb="259">
      <t>タンイ</t>
    </rPh>
    <rPh sb="259" eb="261">
      <t>シュウトク</t>
    </rPh>
    <rPh sb="262" eb="263">
      <t>ム</t>
    </rPh>
    <rPh sb="265" eb="267">
      <t>テキセツ</t>
    </rPh>
    <rPh sb="268" eb="270">
      <t>シドウ</t>
    </rPh>
    <rPh sb="271" eb="272">
      <t>オコナ</t>
    </rPh>
    <phoneticPr fontId="1"/>
  </si>
  <si>
    <t>　授業時間外における学習指導及び質問受付の取組みとして、オフィスアワーの実施及び Google Classroomの活用が挙げられる。
　授業担当教員はオフィスアワーとして週1回以上の時間枠を設定し、対面による相談に応じている。また、Google Classroomのコメント機能を活用することで、学生は時間を選ばすに質問を投稿することができ、授業担当教員や同じ授業を受講する他の学生とのコミュニケーションを通じて疑問点の解消を図ったうえで、自主的に学習をすすめることができる。また、授業時間外における課題等の取組みにあたっては、授業担当教員のほか、ゼミナール担当教員のアドバイスを受けることも可能である。</t>
    <rPh sb="1" eb="3">
      <t>ジュギョウ</t>
    </rPh>
    <rPh sb="3" eb="5">
      <t>ジカン</t>
    </rPh>
    <rPh sb="5" eb="6">
      <t>ガイ</t>
    </rPh>
    <rPh sb="10" eb="12">
      <t>ガクシュウ</t>
    </rPh>
    <rPh sb="12" eb="14">
      <t>シドウ</t>
    </rPh>
    <rPh sb="14" eb="15">
      <t>オヨ</t>
    </rPh>
    <rPh sb="16" eb="18">
      <t>シツモン</t>
    </rPh>
    <rPh sb="18" eb="20">
      <t>ウケツケ</t>
    </rPh>
    <rPh sb="21" eb="22">
      <t>ト</t>
    </rPh>
    <rPh sb="22" eb="23">
      <t>ク</t>
    </rPh>
    <rPh sb="36" eb="38">
      <t>ジッシ</t>
    </rPh>
    <rPh sb="38" eb="39">
      <t>オヨ</t>
    </rPh>
    <rPh sb="58" eb="60">
      <t>カツヨウ</t>
    </rPh>
    <rPh sb="61" eb="62">
      <t>ア</t>
    </rPh>
    <rPh sb="86" eb="87">
      <t>シュウ</t>
    </rPh>
    <rPh sb="88" eb="89">
      <t>カイ</t>
    </rPh>
    <rPh sb="89" eb="91">
      <t>イジョウ</t>
    </rPh>
    <rPh sb="92" eb="95">
      <t>ジカンワク</t>
    </rPh>
    <rPh sb="96" eb="98">
      <t>セッテイ</t>
    </rPh>
    <rPh sb="100" eb="102">
      <t>タイメン</t>
    </rPh>
    <rPh sb="105" eb="107">
      <t>ソウダン</t>
    </rPh>
    <rPh sb="108" eb="109">
      <t>オウ</t>
    </rPh>
    <rPh sb="138" eb="140">
      <t>キノウ</t>
    </rPh>
    <rPh sb="141" eb="143">
      <t>カツヨウ</t>
    </rPh>
    <rPh sb="149" eb="151">
      <t>ガクセイ</t>
    </rPh>
    <rPh sb="152" eb="154">
      <t>ジカン</t>
    </rPh>
    <rPh sb="155" eb="156">
      <t>エラ</t>
    </rPh>
    <rPh sb="159" eb="161">
      <t>シツモン</t>
    </rPh>
    <rPh sb="162" eb="164">
      <t>トウコウ</t>
    </rPh>
    <rPh sb="172" eb="174">
      <t>ジュギョウ</t>
    </rPh>
    <rPh sb="174" eb="176">
      <t>タントウ</t>
    </rPh>
    <rPh sb="176" eb="178">
      <t>キョウイン</t>
    </rPh>
    <rPh sb="179" eb="180">
      <t>オナ</t>
    </rPh>
    <rPh sb="181" eb="183">
      <t>ジュギョウ</t>
    </rPh>
    <rPh sb="184" eb="186">
      <t>ジュコウ</t>
    </rPh>
    <rPh sb="188" eb="189">
      <t>タ</t>
    </rPh>
    <rPh sb="190" eb="192">
      <t>ガクセイ</t>
    </rPh>
    <rPh sb="204" eb="205">
      <t>ツウ</t>
    </rPh>
    <rPh sb="207" eb="210">
      <t>ギモンテン</t>
    </rPh>
    <rPh sb="211" eb="213">
      <t>カイショウ</t>
    </rPh>
    <rPh sb="214" eb="215">
      <t>ハカ</t>
    </rPh>
    <rPh sb="225" eb="227">
      <t>ガクシュウ</t>
    </rPh>
    <rPh sb="242" eb="244">
      <t>ジュギョウ</t>
    </rPh>
    <rPh sb="244" eb="246">
      <t>ジカン</t>
    </rPh>
    <rPh sb="246" eb="247">
      <t>ガイ</t>
    </rPh>
    <rPh sb="251" eb="253">
      <t>カダイ</t>
    </rPh>
    <rPh sb="253" eb="254">
      <t>トウ</t>
    </rPh>
    <rPh sb="255" eb="256">
      <t>トリ</t>
    </rPh>
    <rPh sb="256" eb="257">
      <t>ク</t>
    </rPh>
    <rPh sb="265" eb="267">
      <t>ジュギョウ</t>
    </rPh>
    <rPh sb="267" eb="269">
      <t>タントウ</t>
    </rPh>
    <rPh sb="269" eb="271">
      <t>キョウイン</t>
    </rPh>
    <rPh sb="280" eb="282">
      <t>タントウ</t>
    </rPh>
    <rPh sb="282" eb="284">
      <t>キョウイン</t>
    </rPh>
    <rPh sb="291" eb="292">
      <t>ウ</t>
    </rPh>
    <rPh sb="297" eb="299">
      <t>カノウ</t>
    </rPh>
    <phoneticPr fontId="1"/>
  </si>
  <si>
    <t>　卒業必修科目であり本教育プログラムの核となっている「数理データサイエンスと未来」については、現在２クラスの構成とし、各学部の学生が必ず受講できるように時間割編成上の配慮を行っている。また、本教育プログラム修了要件の必修である「情報基礎」「情報基礎演習」「情報応用演習」について、学部毎の履修指導において早期履修を強く推奨している。「情報基礎演習」「情報応用演習」については、学部別に２～４クラスに分け、クラスあたりの受講者が適切な人数に収まるよう配慮するとともに、時間割編成にあたっては他の重要科目のクラス分け及び時間割配置と対応させるなどの配慮を取組みとして実施している。</t>
    <rPh sb="1" eb="3">
      <t>ソツギョウ</t>
    </rPh>
    <rPh sb="3" eb="5">
      <t>ヒッシュウ</t>
    </rPh>
    <rPh sb="5" eb="7">
      <t>カモク</t>
    </rPh>
    <rPh sb="10" eb="11">
      <t>ホン</t>
    </rPh>
    <rPh sb="11" eb="13">
      <t>キョウイク</t>
    </rPh>
    <rPh sb="19" eb="20">
      <t>カク</t>
    </rPh>
    <rPh sb="47" eb="49">
      <t>ゲンザイ</t>
    </rPh>
    <rPh sb="54" eb="56">
      <t>コウセイ</t>
    </rPh>
    <rPh sb="63" eb="65">
      <t>ガクセイ</t>
    </rPh>
    <rPh sb="66" eb="67">
      <t>カナラ</t>
    </rPh>
    <rPh sb="68" eb="70">
      <t>ジュコウ</t>
    </rPh>
    <rPh sb="81" eb="82">
      <t>ジョウ</t>
    </rPh>
    <rPh sb="83" eb="85">
      <t>ハイリョ</t>
    </rPh>
    <rPh sb="86" eb="87">
      <t>オコナ</t>
    </rPh>
    <rPh sb="152" eb="154">
      <t>ソウキ</t>
    </rPh>
    <rPh sb="154" eb="156">
      <t>リシュウ</t>
    </rPh>
    <rPh sb="157" eb="158">
      <t>ツヨ</t>
    </rPh>
    <rPh sb="159" eb="161">
      <t>スイショウ</t>
    </rPh>
    <rPh sb="167" eb="169">
      <t>ジョウホウ</t>
    </rPh>
    <rPh sb="169" eb="171">
      <t>キソ</t>
    </rPh>
    <rPh sb="171" eb="173">
      <t>エンシュウ</t>
    </rPh>
    <rPh sb="175" eb="177">
      <t>ジョウホウ</t>
    </rPh>
    <rPh sb="177" eb="179">
      <t>オウヨウ</t>
    </rPh>
    <rPh sb="179" eb="181">
      <t>エンシュウ</t>
    </rPh>
    <rPh sb="188" eb="190">
      <t>ガクブ</t>
    </rPh>
    <rPh sb="190" eb="191">
      <t>ベツ</t>
    </rPh>
    <rPh sb="199" eb="200">
      <t>ワ</t>
    </rPh>
    <rPh sb="209" eb="212">
      <t>ジュコウシャ</t>
    </rPh>
    <rPh sb="213" eb="215">
      <t>テキセツ</t>
    </rPh>
    <rPh sb="216" eb="218">
      <t>ニンズウ</t>
    </rPh>
    <rPh sb="219" eb="220">
      <t>オサ</t>
    </rPh>
    <rPh sb="224" eb="226">
      <t>ハイリョ</t>
    </rPh>
    <rPh sb="233" eb="236">
      <t>ジカンワリ</t>
    </rPh>
    <rPh sb="236" eb="238">
      <t>ヘンセイ</t>
    </rPh>
    <rPh sb="244" eb="245">
      <t>タ</t>
    </rPh>
    <rPh sb="246" eb="248">
      <t>ジュウヨウ</t>
    </rPh>
    <rPh sb="248" eb="250">
      <t>カモク</t>
    </rPh>
    <rPh sb="254" eb="255">
      <t>ワ</t>
    </rPh>
    <rPh sb="256" eb="257">
      <t>オヨ</t>
    </rPh>
    <rPh sb="258" eb="261">
      <t>ジカンワリ</t>
    </rPh>
    <rPh sb="261" eb="263">
      <t>ハイチ</t>
    </rPh>
    <rPh sb="264" eb="266">
      <t>タイオウ</t>
    </rPh>
    <rPh sb="272" eb="274">
      <t>ハイリョ</t>
    </rPh>
    <rPh sb="275" eb="277">
      <t>トリク</t>
    </rPh>
    <rPh sb="281" eb="283">
      <t>ジッシ</t>
    </rPh>
    <phoneticPr fontId="1"/>
  </si>
  <si>
    <t>　本教育プログラムでは、未来社会Society5.0において活躍できる人材にとって必要不可欠だと考えられる、数理・データサイエンス・AIについての基礎学力を身につけ、価値創造や課題解決に向けた実践的能力を身に付け、また、情報セキュリティや情報倫理の観点から、数理・データサイエンス・AI技術のあるべき活用のあり方を理解し、不適切な利用を防止できることを目的としている。外部評価委員からは、地域社会にとって欠かせない能力を備えた人材を育成する本教育プログラムについて、高い評価を得ている。産業界における姿勢についても言及があり、これらの能力を備えた人材が、社会において相応しい評価・処遇を受けることができるよう、本学では地域社会に対して本教育プログラムの意義について周知を図ることを計画している。今後も外部評価委員会やその他の方法を通じて産業界からの意見を収集し、本教育プログラムの改善に向けて取り組む。</t>
    <rPh sb="347" eb="349">
      <t>コンゴ</t>
    </rPh>
    <rPh sb="350" eb="352">
      <t>ガイブ</t>
    </rPh>
    <rPh sb="352" eb="354">
      <t>ヒョウカ</t>
    </rPh>
    <rPh sb="354" eb="357">
      <t>イインカイ</t>
    </rPh>
    <rPh sb="360" eb="361">
      <t>タ</t>
    </rPh>
    <rPh sb="362" eb="364">
      <t>ホウホウ</t>
    </rPh>
    <rPh sb="365" eb="366">
      <t>ツウ</t>
    </rPh>
    <rPh sb="368" eb="371">
      <t>サンギョウカイ</t>
    </rPh>
    <rPh sb="374" eb="376">
      <t>イケン</t>
    </rPh>
    <rPh sb="377" eb="379">
      <t>シュウシュウ</t>
    </rPh>
    <rPh sb="381" eb="382">
      <t>ホン</t>
    </rPh>
    <rPh sb="382" eb="384">
      <t>キョウイク</t>
    </rPh>
    <rPh sb="390" eb="392">
      <t>カイゼン</t>
    </rPh>
    <rPh sb="393" eb="394">
      <t>ム</t>
    </rPh>
    <rPh sb="396" eb="397">
      <t>ト</t>
    </rPh>
    <rPh sb="398" eb="399">
      <t>ク</t>
    </rPh>
    <phoneticPr fontId="1"/>
  </si>
  <si>
    <t>　Google Classroomを活用することで、学生は随時反復学習を行うことができるようになっている。また、授業改善の取組みとして、学生による授業評価アンケート調査の結果に対して、授業担当教員がフィードバックコメントを回答するとともに、次の5項目の観点をもとに次年度の授業の改善を図っている。1. 具体例やアナロジーを用いる、2. タスク指向の学習を採用する、3. グラフや図、動画などの視覚的補助を用いる、4. フィードバックを積極的に行い、学生が正確に理解しているかどうかを確認できるようにする、5. シミュレーションなどで実験的・試行錯誤的な要素を用いる。これらの改善の取組みに加え、令和5年度入学生からはBYOD(持込PC)の活用を図っていく予定である。</t>
    <rPh sb="18" eb="20">
      <t>カツヨウ</t>
    </rPh>
    <rPh sb="26" eb="28">
      <t>ガクセイ</t>
    </rPh>
    <rPh sb="29" eb="31">
      <t>ズイジ</t>
    </rPh>
    <rPh sb="31" eb="33">
      <t>ハンプク</t>
    </rPh>
    <rPh sb="33" eb="35">
      <t>ガクシュウ</t>
    </rPh>
    <rPh sb="36" eb="37">
      <t>オコナ</t>
    </rPh>
    <rPh sb="56" eb="58">
      <t>ジュギョウ</t>
    </rPh>
    <rPh sb="58" eb="60">
      <t>カイゼン</t>
    </rPh>
    <rPh sb="68" eb="70">
      <t>ガクセイ</t>
    </rPh>
    <rPh sb="73" eb="75">
      <t>ジュギョウ</t>
    </rPh>
    <rPh sb="75" eb="77">
      <t>ヒョウカ</t>
    </rPh>
    <rPh sb="82" eb="84">
      <t>チョウサ</t>
    </rPh>
    <rPh sb="85" eb="87">
      <t>ケッカ</t>
    </rPh>
    <rPh sb="88" eb="89">
      <t>タイ</t>
    </rPh>
    <rPh sb="92" eb="94">
      <t>ジュギョウ</t>
    </rPh>
    <rPh sb="94" eb="96">
      <t>タントウ</t>
    </rPh>
    <rPh sb="96" eb="98">
      <t>キョウイン</t>
    </rPh>
    <rPh sb="111" eb="113">
      <t>カイトウ</t>
    </rPh>
    <rPh sb="120" eb="121">
      <t>ツギ</t>
    </rPh>
    <rPh sb="123" eb="125">
      <t>コウモク</t>
    </rPh>
    <rPh sb="126" eb="128">
      <t>カンテン</t>
    </rPh>
    <rPh sb="151" eb="153">
      <t>グタイ</t>
    </rPh>
    <rPh sb="153" eb="154">
      <t>レイ</t>
    </rPh>
    <rPh sb="161" eb="162">
      <t>モチ</t>
    </rPh>
    <rPh sb="171" eb="173">
      <t>シコウ</t>
    </rPh>
    <rPh sb="174" eb="176">
      <t>ガクシュウ</t>
    </rPh>
    <rPh sb="177" eb="179">
      <t>サイヨウ</t>
    </rPh>
    <rPh sb="189" eb="190">
      <t>ズ</t>
    </rPh>
    <rPh sb="191" eb="193">
      <t>ドウガ</t>
    </rPh>
    <rPh sb="196" eb="198">
      <t>シカク</t>
    </rPh>
    <rPh sb="198" eb="199">
      <t>テキ</t>
    </rPh>
    <rPh sb="199" eb="201">
      <t>ホジョ</t>
    </rPh>
    <rPh sb="202" eb="203">
      <t>モチ</t>
    </rPh>
    <rPh sb="217" eb="220">
      <t>セッキョクテキ</t>
    </rPh>
    <rPh sb="221" eb="222">
      <t>オコナ</t>
    </rPh>
    <rPh sb="224" eb="226">
      <t>ガクセイ</t>
    </rPh>
    <rPh sb="227" eb="229">
      <t>セイカク</t>
    </rPh>
    <rPh sb="230" eb="232">
      <t>リカイ</t>
    </rPh>
    <rPh sb="241" eb="243">
      <t>カクニン</t>
    </rPh>
    <rPh sb="266" eb="269">
      <t>ジッケンテキ</t>
    </rPh>
    <rPh sb="270" eb="272">
      <t>シコウ</t>
    </rPh>
    <rPh sb="272" eb="274">
      <t>サクゴ</t>
    </rPh>
    <rPh sb="274" eb="275">
      <t>テキ</t>
    </rPh>
    <rPh sb="276" eb="278">
      <t>ヨウソ</t>
    </rPh>
    <rPh sb="279" eb="280">
      <t>モチ</t>
    </rPh>
    <rPh sb="287" eb="289">
      <t>カイゼン</t>
    </rPh>
    <rPh sb="290" eb="291">
      <t>ト</t>
    </rPh>
    <rPh sb="291" eb="292">
      <t>ク</t>
    </rPh>
    <rPh sb="294" eb="295">
      <t>クワ</t>
    </rPh>
    <rPh sb="297" eb="298">
      <t>レイ</t>
    </rPh>
    <rPh sb="298" eb="299">
      <t>ワ</t>
    </rPh>
    <rPh sb="300" eb="302">
      <t>ネンド</t>
    </rPh>
    <rPh sb="302" eb="304">
      <t>ニュウガク</t>
    </rPh>
    <rPh sb="304" eb="305">
      <t>セイ</t>
    </rPh>
    <rPh sb="313" eb="315">
      <t>モチコミ</t>
    </rPh>
    <rPh sb="319" eb="321">
      <t>カツヨウ</t>
    </rPh>
    <rPh sb="322" eb="323">
      <t>ハカ</t>
    </rPh>
    <rPh sb="327" eb="329">
      <t>ヨテイ</t>
    </rPh>
    <phoneticPr fontId="1"/>
  </si>
  <si>
    <t>　各授業科目においては、身近で具体的な事例を題材とすることや近未来の社会像を具体的に提示することで、学生にとって分かりやすく学ぶ意義を理解できるよう工夫をしている。また、学生には授業内で小さなタスクを課し、それができるようになるまで個々の学生に対し粘り強く向き合う授業展開を行うことで、学生が達成感を積み重ねることができるよう配慮をしている。学生同士が相互にコミュニケーションを図りながらタスクに取り組むことを奨励し、躓きがちな学生に対応しながら学修を進めている。</t>
    <rPh sb="1" eb="2">
      <t>カク</t>
    </rPh>
    <rPh sb="2" eb="4">
      <t>ジュギョウ</t>
    </rPh>
    <rPh sb="4" eb="6">
      <t>カモク</t>
    </rPh>
    <rPh sb="12" eb="14">
      <t>ミジカ</t>
    </rPh>
    <rPh sb="15" eb="18">
      <t>グタイテキ</t>
    </rPh>
    <rPh sb="19" eb="21">
      <t>ジレイ</t>
    </rPh>
    <rPh sb="22" eb="24">
      <t>ダイザイ</t>
    </rPh>
    <rPh sb="30" eb="33">
      <t>キンミライ</t>
    </rPh>
    <rPh sb="34" eb="37">
      <t>シャカイゾウ</t>
    </rPh>
    <rPh sb="38" eb="41">
      <t>グタイテキ</t>
    </rPh>
    <rPh sb="42" eb="44">
      <t>テイジ</t>
    </rPh>
    <rPh sb="50" eb="52">
      <t>ガクセイ</t>
    </rPh>
    <rPh sb="56" eb="57">
      <t>ワ</t>
    </rPh>
    <rPh sb="62" eb="63">
      <t>マナ</t>
    </rPh>
    <rPh sb="64" eb="66">
      <t>イギ</t>
    </rPh>
    <rPh sb="67" eb="69">
      <t>リカイ</t>
    </rPh>
    <rPh sb="74" eb="76">
      <t>クフウ</t>
    </rPh>
    <rPh sb="85" eb="87">
      <t>ガクセイ</t>
    </rPh>
    <rPh sb="89" eb="91">
      <t>ジュギョウ</t>
    </rPh>
    <rPh sb="91" eb="92">
      <t>ナイ</t>
    </rPh>
    <rPh sb="93" eb="94">
      <t>チイ</t>
    </rPh>
    <rPh sb="100" eb="101">
      <t>カ</t>
    </rPh>
    <rPh sb="122" eb="123">
      <t>タイ</t>
    </rPh>
    <rPh sb="124" eb="125">
      <t>ネバ</t>
    </rPh>
    <rPh sb="126" eb="127">
      <t>ヅヨ</t>
    </rPh>
    <rPh sb="128" eb="129">
      <t>ム</t>
    </rPh>
    <rPh sb="130" eb="131">
      <t>ア</t>
    </rPh>
    <rPh sb="132" eb="134">
      <t>ジュギョウ</t>
    </rPh>
    <rPh sb="134" eb="136">
      <t>テンカイ</t>
    </rPh>
    <rPh sb="137" eb="138">
      <t>オコナ</t>
    </rPh>
    <rPh sb="143" eb="145">
      <t>ガクセイ</t>
    </rPh>
    <rPh sb="146" eb="149">
      <t>タッセイカン</t>
    </rPh>
    <rPh sb="150" eb="151">
      <t>ツ</t>
    </rPh>
    <rPh sb="152" eb="153">
      <t>カサ</t>
    </rPh>
    <rPh sb="163" eb="165">
      <t>ハイリョ</t>
    </rPh>
    <rPh sb="171" eb="173">
      <t>ガクセイ</t>
    </rPh>
    <rPh sb="173" eb="175">
      <t>ドウシ</t>
    </rPh>
    <rPh sb="176" eb="178">
      <t>ソウゴ</t>
    </rPh>
    <rPh sb="205" eb="207">
      <t>ショウレイ</t>
    </rPh>
    <rPh sb="209" eb="210">
      <t>ツマヅ</t>
    </rPh>
    <rPh sb="214" eb="216">
      <t>ガクセイ</t>
    </rPh>
    <rPh sb="217" eb="219">
      <t>タイオウ</t>
    </rPh>
    <rPh sb="223" eb="225">
      <t>ガクシュウ</t>
    </rPh>
    <rPh sb="226" eb="227">
      <t>スス</t>
    </rPh>
    <phoneticPr fontId="1"/>
  </si>
  <si>
    <t>　本教育プログラムでは、100%の学生が履修する卒業必修科目の「数理データサイエンスと未来」を核とし、本教育プログラム修了要件の必修である「情報基礎」「情報基礎演習」「情報応用演習」についても早期履修を推奨している。修了者数については、「数理データサイエンスと未来」が卒業必修科目であることから、卒業者数の90％が本教育プログラムを修了することを目標としている。
　令和4年度の実績として修了者は全学で126名に留まった。経営学部は履修者113名中107名（95％）が各授業科目の到達目標に達し、本教育プログラム修了要件を満たした。発達科学部は履修者64名中19名（30％）が各授業科目の到達目標に達し、本教育プログラム修了要件を満たした。経営学部においては令和3年度修了者48名から令和4年度修了者107名と大きく改善しているが、発達科学部においては、令和3年度修了者21名に対し令和4年度修了者19名であり、改善がみられていない。「情報基礎」の履修者数に学部間の差があったことが原因であるが、詳細については現在調査中である。</t>
    <rPh sb="211" eb="213">
      <t>ケイエイ</t>
    </rPh>
    <rPh sb="213" eb="215">
      <t>ガクブ</t>
    </rPh>
    <rPh sb="216" eb="218">
      <t>リシュウ</t>
    </rPh>
    <rPh sb="218" eb="219">
      <t>シャ</t>
    </rPh>
    <rPh sb="222" eb="223">
      <t>メイ</t>
    </rPh>
    <rPh sb="223" eb="224">
      <t>チュウ</t>
    </rPh>
    <rPh sb="227" eb="228">
      <t>メイ</t>
    </rPh>
    <rPh sb="234" eb="235">
      <t>カク</t>
    </rPh>
    <rPh sb="235" eb="237">
      <t>ジュギョウ</t>
    </rPh>
    <rPh sb="237" eb="239">
      <t>カモク</t>
    </rPh>
    <rPh sb="240" eb="242">
      <t>トウタツ</t>
    </rPh>
    <rPh sb="242" eb="244">
      <t>モクヒョウ</t>
    </rPh>
    <rPh sb="245" eb="246">
      <t>タッ</t>
    </rPh>
    <rPh sb="248" eb="249">
      <t>ホン</t>
    </rPh>
    <rPh sb="249" eb="251">
      <t>キョウイク</t>
    </rPh>
    <rPh sb="256" eb="258">
      <t>シュウリョウ</t>
    </rPh>
    <rPh sb="258" eb="260">
      <t>ヨウケン</t>
    </rPh>
    <rPh sb="261" eb="262">
      <t>ミ</t>
    </rPh>
    <rPh sb="266" eb="268">
      <t>ハッタツ</t>
    </rPh>
    <rPh sb="268" eb="271">
      <t>カガクブ</t>
    </rPh>
    <rPh sb="272" eb="274">
      <t>リシュウ</t>
    </rPh>
    <rPh sb="274" eb="275">
      <t>シャ</t>
    </rPh>
    <rPh sb="277" eb="278">
      <t>メイ</t>
    </rPh>
    <rPh sb="278" eb="279">
      <t>チュウ</t>
    </rPh>
    <rPh sb="281" eb="282">
      <t>メイ</t>
    </rPh>
    <rPh sb="303" eb="305">
      <t>キョウイク</t>
    </rPh>
    <rPh sb="429" eb="431">
      <t>ガクブ</t>
    </rPh>
    <rPh sb="431" eb="432">
      <t>アイダ</t>
    </rPh>
    <rPh sb="433" eb="434">
      <t>サ</t>
    </rPh>
    <rPh sb="441" eb="443">
      <t>ゲンイン</t>
    </rPh>
    <rPh sb="448" eb="450">
      <t>ショウサイ</t>
    </rPh>
    <phoneticPr fontId="1"/>
  </si>
  <si>
    <t>　本教育プログラムを構成する各授業科目について、成績データを分析している。これにより、本教育プログラムの修了者は学修成果を達成しているという認識を得ている。また、学生による授業評価アンケート調査の結果も、これを裏付けているといえる。これらをもとに個々の授業内容や本教育プログラムの構成について、改善に向けた取組みを行う。</t>
    <rPh sb="1" eb="2">
      <t>ホン</t>
    </rPh>
    <rPh sb="2" eb="4">
      <t>キョウイク</t>
    </rPh>
    <rPh sb="10" eb="12">
      <t>コウセイ</t>
    </rPh>
    <rPh sb="14" eb="17">
      <t>カクジュギョウ</t>
    </rPh>
    <rPh sb="17" eb="19">
      <t>カモク</t>
    </rPh>
    <rPh sb="24" eb="26">
      <t>セイセキ</t>
    </rPh>
    <rPh sb="30" eb="32">
      <t>ブンセキ</t>
    </rPh>
    <rPh sb="43" eb="44">
      <t>ホン</t>
    </rPh>
    <rPh sb="44" eb="46">
      <t>キョウイク</t>
    </rPh>
    <rPh sb="52" eb="55">
      <t>シュウリョウシャ</t>
    </rPh>
    <rPh sb="56" eb="58">
      <t>ガクシュウ</t>
    </rPh>
    <rPh sb="58" eb="60">
      <t>セイカ</t>
    </rPh>
    <rPh sb="61" eb="63">
      <t>タッセイ</t>
    </rPh>
    <rPh sb="70" eb="72">
      <t>ニンシキ</t>
    </rPh>
    <rPh sb="73" eb="74">
      <t>エ</t>
    </rPh>
    <rPh sb="81" eb="83">
      <t>ガクセイ</t>
    </rPh>
    <rPh sb="86" eb="88">
      <t>ジュギョウ</t>
    </rPh>
    <rPh sb="88" eb="90">
      <t>ヒョウカ</t>
    </rPh>
    <rPh sb="95" eb="97">
      <t>チョウサ</t>
    </rPh>
    <rPh sb="98" eb="100">
      <t>ケッカ</t>
    </rPh>
    <rPh sb="105" eb="107">
      <t>ウラヅ</t>
    </rPh>
    <rPh sb="123" eb="125">
      <t>ココ</t>
    </rPh>
    <rPh sb="126" eb="128">
      <t>ジュギョウ</t>
    </rPh>
    <rPh sb="128" eb="130">
      <t>ナイヨウ</t>
    </rPh>
    <rPh sb="131" eb="132">
      <t>ホン</t>
    </rPh>
    <rPh sb="132" eb="134">
      <t>キョウイク</t>
    </rPh>
    <rPh sb="140" eb="142">
      <t>コウセイ</t>
    </rPh>
    <rPh sb="147" eb="149">
      <t>カイゼン</t>
    </rPh>
    <rPh sb="150" eb="151">
      <t>ム</t>
    </rPh>
    <rPh sb="153" eb="155">
      <t>トリク</t>
    </rPh>
    <rPh sb="157" eb="158">
      <t>オコナ</t>
    </rPh>
    <phoneticPr fontId="1"/>
  </si>
  <si>
    <t>　本教育プログラムの核となっている卒業必修科目「数理データサイエンスと未来」について、学生による授業評価アンケート調査では、設問「授業を通して学問や勉強に対する意欲・興味が増しましたか」に対して「非常にそうである」「そうである」と回答した学生は、経営学部では53％、発達科学部では53%に達している。また、設問「総合的に判断して、この授業に満足していますか」に対して「非常にそうである」「そうである」と回答した学生は、経営学部では58％、発達科学部では63%に達している。これらから、後輩学生に対する推奨度については、否定的な考えを有する学生は少ないものと推測できる。他の科目についても状況は良好である。
　今後の授業改善にあたって、内容の精選や教授法及び教材の工夫により、学生にとって、より分かりやすく意義の感じられる授業を目指している。本教育プログラムを構成する他の科目についても、同様の授業改善により、優れた教育プログラムとなるよう取組む。</t>
    <rPh sb="17" eb="19">
      <t>ソツギョウ</t>
    </rPh>
    <rPh sb="19" eb="21">
      <t>ヒッシュウ</t>
    </rPh>
    <rPh sb="21" eb="23">
      <t>カモク</t>
    </rPh>
    <rPh sb="43" eb="45">
      <t>ガクセイ</t>
    </rPh>
    <rPh sb="48" eb="50">
      <t>ジュギョウ</t>
    </rPh>
    <rPh sb="50" eb="52">
      <t>ヒョウカ</t>
    </rPh>
    <rPh sb="57" eb="59">
      <t>チョウサ</t>
    </rPh>
    <rPh sb="62" eb="64">
      <t>セツモン</t>
    </rPh>
    <rPh sb="94" eb="95">
      <t>タイ</t>
    </rPh>
    <rPh sb="242" eb="244">
      <t>コウハイ</t>
    </rPh>
    <rPh sb="244" eb="246">
      <t>ガクセイ</t>
    </rPh>
    <rPh sb="247" eb="248">
      <t>タイ</t>
    </rPh>
    <rPh sb="250" eb="252">
      <t>スイショウ</t>
    </rPh>
    <rPh sb="252" eb="253">
      <t>ド</t>
    </rPh>
    <rPh sb="263" eb="264">
      <t>カンガ</t>
    </rPh>
    <rPh sb="266" eb="267">
      <t>ユウ</t>
    </rPh>
    <rPh sb="278" eb="280">
      <t>スイソク</t>
    </rPh>
    <rPh sb="284" eb="285">
      <t>タ</t>
    </rPh>
    <rPh sb="286" eb="288">
      <t>カモク</t>
    </rPh>
    <rPh sb="293" eb="295">
      <t>ジョウキョウ</t>
    </rPh>
    <rPh sb="296" eb="298">
      <t>リョウコウ</t>
    </rPh>
    <rPh sb="419" eb="421">
      <t>トリク</t>
    </rPh>
    <phoneticPr fontId="1"/>
  </si>
  <si>
    <t>　学生による授業評価アンケート調査の結果、本教育プログラムの核となっている卒業必修科目「数理データサイエンスと未来」について、設問「授業内容は分かりやすかったですか」に対して「非常にそうである」「そうである」と回答した学生は、経営学部では54％、発達科学部では52%に達しており、内容の理解度について否定的な回答は少なかった。他の科目についても理解度の状況は良好である。
　今後の授業改善にあたって、内容の精選や教授法及び教材の工夫により、学生にとって、より分かりやすく意義の感じられる授業を目指している。本教育プログラムを構成する他の科目についても、同様の授業改善により、優れた教育プログラムとなるよう取組む。</t>
    <rPh sb="1" eb="3">
      <t>ガクセイ</t>
    </rPh>
    <rPh sb="6" eb="8">
      <t>ジュギョウ</t>
    </rPh>
    <rPh sb="8" eb="10">
      <t>ヒョウカ</t>
    </rPh>
    <rPh sb="15" eb="17">
      <t>チョウサ</t>
    </rPh>
    <rPh sb="18" eb="20">
      <t>ケッカ</t>
    </rPh>
    <rPh sb="21" eb="22">
      <t>ホン</t>
    </rPh>
    <rPh sb="22" eb="24">
      <t>キョウイク</t>
    </rPh>
    <rPh sb="30" eb="31">
      <t>カク</t>
    </rPh>
    <rPh sb="37" eb="39">
      <t>ソツギョウ</t>
    </rPh>
    <rPh sb="39" eb="41">
      <t>ヒッシュウ</t>
    </rPh>
    <rPh sb="41" eb="43">
      <t>カモク</t>
    </rPh>
    <rPh sb="44" eb="46">
      <t>スウリ</t>
    </rPh>
    <rPh sb="55" eb="57">
      <t>ミライ</t>
    </rPh>
    <rPh sb="63" eb="65">
      <t>セツモン</t>
    </rPh>
    <rPh sb="66" eb="68">
      <t>ジュギョウ</t>
    </rPh>
    <rPh sb="68" eb="70">
      <t>ナイヨウ</t>
    </rPh>
    <rPh sb="71" eb="72">
      <t>ワ</t>
    </rPh>
    <rPh sb="84" eb="85">
      <t>タイ</t>
    </rPh>
    <rPh sb="88" eb="90">
      <t>ヒジョウ</t>
    </rPh>
    <rPh sb="105" eb="107">
      <t>カイトウ</t>
    </rPh>
    <rPh sb="109" eb="111">
      <t>ガクセイ</t>
    </rPh>
    <rPh sb="113" eb="115">
      <t>ケイエイ</t>
    </rPh>
    <rPh sb="115" eb="117">
      <t>ガクブ</t>
    </rPh>
    <rPh sb="123" eb="125">
      <t>ハッタツ</t>
    </rPh>
    <rPh sb="125" eb="128">
      <t>カガクブ</t>
    </rPh>
    <rPh sb="134" eb="135">
      <t>タッ</t>
    </rPh>
    <rPh sb="140" eb="142">
      <t>ナイヨウ</t>
    </rPh>
    <rPh sb="143" eb="146">
      <t>リカイド</t>
    </rPh>
    <rPh sb="150" eb="153">
      <t>ヒテイテキ</t>
    </rPh>
    <rPh sb="154" eb="156">
      <t>カイトウ</t>
    </rPh>
    <rPh sb="157" eb="158">
      <t>スク</t>
    </rPh>
    <rPh sb="163" eb="164">
      <t>タ</t>
    </rPh>
    <rPh sb="165" eb="167">
      <t>カモク</t>
    </rPh>
    <rPh sb="172" eb="175">
      <t>リカイド</t>
    </rPh>
    <rPh sb="176" eb="178">
      <t>ジョウキョウ</t>
    </rPh>
    <rPh sb="179" eb="181">
      <t>リョウコウ</t>
    </rPh>
    <rPh sb="187" eb="189">
      <t>コンゴ</t>
    </rPh>
    <rPh sb="190" eb="192">
      <t>ジュギョウ</t>
    </rPh>
    <rPh sb="192" eb="194">
      <t>カイゼン</t>
    </rPh>
    <rPh sb="200" eb="202">
      <t>ナイヨウ</t>
    </rPh>
    <rPh sb="203" eb="205">
      <t>セイセン</t>
    </rPh>
    <rPh sb="206" eb="209">
      <t>キョウジュホウ</t>
    </rPh>
    <rPh sb="209" eb="210">
      <t>オヨ</t>
    </rPh>
    <rPh sb="211" eb="213">
      <t>キョウザイ</t>
    </rPh>
    <rPh sb="214" eb="216">
      <t>クフウ</t>
    </rPh>
    <rPh sb="220" eb="222">
      <t>ガクセイ</t>
    </rPh>
    <rPh sb="229" eb="230">
      <t>ワ</t>
    </rPh>
    <rPh sb="235" eb="237">
      <t>イギ</t>
    </rPh>
    <rPh sb="238" eb="239">
      <t>カン</t>
    </rPh>
    <rPh sb="243" eb="245">
      <t>ジュギョウ</t>
    </rPh>
    <rPh sb="246" eb="248">
      <t>メザ</t>
    </rPh>
    <rPh sb="253" eb="254">
      <t>ホン</t>
    </rPh>
    <rPh sb="254" eb="256">
      <t>キョウイク</t>
    </rPh>
    <rPh sb="262" eb="264">
      <t>コウセイ</t>
    </rPh>
    <rPh sb="266" eb="267">
      <t>タ</t>
    </rPh>
    <rPh sb="268" eb="270">
      <t>カモク</t>
    </rPh>
    <rPh sb="276" eb="278">
      <t>ドウヨウ</t>
    </rPh>
    <rPh sb="279" eb="281">
      <t>ジュギョウ</t>
    </rPh>
    <rPh sb="281" eb="283">
      <t>カイゼン</t>
    </rPh>
    <rPh sb="287" eb="288">
      <t>スグ</t>
    </rPh>
    <rPh sb="290" eb="292">
      <t>キョウイク</t>
    </rPh>
    <phoneticPr fontId="1"/>
  </si>
  <si>
    <t>　本教育プログラム修了要件を構成する「数理データサイエンスと未来」「情報基礎」「情報基礎演習」「情報応用演習」は、4科目すべてを1年次配当科目として設定している。本教育プログラムの履修率は、「様式2 履修者等数の実績」における定義に基づき、分母として収容定員、分子として前述の4科目いずれかを履修した学生数を用いて算出している。本教育プログラム開始後の年度の進行に加え、収容定員及び充足率の推移を考慮すると、履修率は計画通りの進捗であるといえる。
　一方で修了者数については、「数理データサイエンスと未来」が卒業必修科目であることから、卒業者の90％が本教育プログラムを修了することを目標としている。令和4年度修了者は両学部合わせて126名（当該年次学生の71％）に留まった。経営学部においては令和3年度修了者48名から令和4年度修了者107名と大きく改善しているが、発達科学部においては、令和3年度修了者21名に対し令和4年度修了者19名であり、改善がみられていない。
　この原因としては、「情報基礎」の履修者数に学部間の偏りがあったことが挙げられる。しかし、学生による授業評価アンケート調査では、設問「授業内容は分かりやすかったですか」に対して「非常にそうである」「そうである」と回答した学生は、両学部合わせて87％に達している。また、設問「授業を通して学問や勉強に対する意欲・興味が増しましたか」に対して「非常にそうである」「そうである」と回答した学生は、両学部合わせて77％、設問「総合的に判断して、この授業に満足していますか」に対して「非常にそうである」「そうである」と回答した学生は、両学部合わせて86％に達している。このことから、受講した学生にとって、「情報基礎」は極めて充実した授業だったことが分かる。受講者数に学部間の差が生じた詳細については現在調査中であるが、推測のひとつに、「情報基礎」が1クラスのみの編成であり、発達科学部の学生の便宜に沿えなかった可能性が挙げられる。なお、学生による授業評価アンケート調査は、当該科目を履修した学生のみを対象とする調査であり、詳細な調査のためには授業科目を履修しなかった学生が何故履修しなかったのかを調べる必要がある。さらには、学部毎の履修指導における本教育プログラムの説明内容や推奨指導の在り方、入学前教育などにおいて学生の興味関心を惹起する方法など、様々な観点からの検討を必要としている。</t>
    <rPh sb="1" eb="2">
      <t>ホン</t>
    </rPh>
    <rPh sb="2" eb="4">
      <t>キョウイク</t>
    </rPh>
    <rPh sb="9" eb="11">
      <t>シュウリョウ</t>
    </rPh>
    <rPh sb="11" eb="13">
      <t>ヨウケン</t>
    </rPh>
    <rPh sb="14" eb="16">
      <t>コウセイ</t>
    </rPh>
    <rPh sb="58" eb="60">
      <t>カモク</t>
    </rPh>
    <rPh sb="65" eb="67">
      <t>ネンジ</t>
    </rPh>
    <rPh sb="67" eb="69">
      <t>ハイトウ</t>
    </rPh>
    <rPh sb="69" eb="71">
      <t>カモク</t>
    </rPh>
    <rPh sb="74" eb="76">
      <t>セッテイ</t>
    </rPh>
    <rPh sb="96" eb="98">
      <t>ヨウシキ</t>
    </rPh>
    <rPh sb="100" eb="102">
      <t>リシュウ</t>
    </rPh>
    <rPh sb="102" eb="103">
      <t>シャ</t>
    </rPh>
    <rPh sb="103" eb="104">
      <t>トウ</t>
    </rPh>
    <rPh sb="104" eb="105">
      <t>スウ</t>
    </rPh>
    <rPh sb="106" eb="108">
      <t>ジッセキ</t>
    </rPh>
    <rPh sb="113" eb="115">
      <t>テイギ</t>
    </rPh>
    <rPh sb="116" eb="117">
      <t>モト</t>
    </rPh>
    <rPh sb="120" eb="122">
      <t>ブンボ</t>
    </rPh>
    <rPh sb="125" eb="127">
      <t>シュウヨウ</t>
    </rPh>
    <rPh sb="127" eb="129">
      <t>テイイン</t>
    </rPh>
    <rPh sb="130" eb="132">
      <t>ブンシ</t>
    </rPh>
    <rPh sb="135" eb="137">
      <t>ゼンジュツ</t>
    </rPh>
    <rPh sb="139" eb="141">
      <t>カモク</t>
    </rPh>
    <rPh sb="146" eb="148">
      <t>リシュウ</t>
    </rPh>
    <rPh sb="150" eb="152">
      <t>ガクセイ</t>
    </rPh>
    <rPh sb="152" eb="153">
      <t>スウ</t>
    </rPh>
    <rPh sb="154" eb="155">
      <t>モチ</t>
    </rPh>
    <rPh sb="157" eb="159">
      <t>サンシュツ</t>
    </rPh>
    <rPh sb="164" eb="165">
      <t>ホン</t>
    </rPh>
    <rPh sb="165" eb="167">
      <t>キョウイク</t>
    </rPh>
    <rPh sb="172" eb="174">
      <t>カイシ</t>
    </rPh>
    <rPh sb="174" eb="175">
      <t>ゴ</t>
    </rPh>
    <rPh sb="176" eb="178">
      <t>ネンド</t>
    </rPh>
    <rPh sb="179" eb="181">
      <t>シンコウ</t>
    </rPh>
    <rPh sb="182" eb="183">
      <t>クワ</t>
    </rPh>
    <rPh sb="185" eb="187">
      <t>シュウヨウ</t>
    </rPh>
    <rPh sb="187" eb="189">
      <t>テイイン</t>
    </rPh>
    <rPh sb="189" eb="190">
      <t>オヨ</t>
    </rPh>
    <rPh sb="191" eb="194">
      <t>ジュウソクリツ</t>
    </rPh>
    <rPh sb="195" eb="197">
      <t>スイイ</t>
    </rPh>
    <rPh sb="198" eb="200">
      <t>コウリョ</t>
    </rPh>
    <rPh sb="204" eb="206">
      <t>リシュウ</t>
    </rPh>
    <rPh sb="206" eb="207">
      <t>リツ</t>
    </rPh>
    <rPh sb="208" eb="210">
      <t>ケイカク</t>
    </rPh>
    <rPh sb="210" eb="211">
      <t>ドオ</t>
    </rPh>
    <rPh sb="213" eb="215">
      <t>シンチョク</t>
    </rPh>
    <rPh sb="225" eb="227">
      <t>イッポウ</t>
    </rPh>
    <rPh sb="228" eb="231">
      <t>シュウリョウシャ</t>
    </rPh>
    <rPh sb="231" eb="232">
      <t>スウ</t>
    </rPh>
    <rPh sb="268" eb="270">
      <t>ソツギョウ</t>
    </rPh>
    <rPh sb="270" eb="271">
      <t>シャ</t>
    </rPh>
    <rPh sb="276" eb="277">
      <t>ホン</t>
    </rPh>
    <rPh sb="277" eb="279">
      <t>キョウイク</t>
    </rPh>
    <rPh sb="285" eb="287">
      <t>シュウリョウ</t>
    </rPh>
    <rPh sb="292" eb="294">
      <t>モクヒョウ</t>
    </rPh>
    <rPh sb="300" eb="301">
      <t>レイ</t>
    </rPh>
    <rPh sb="301" eb="302">
      <t>ワ</t>
    </rPh>
    <rPh sb="303" eb="305">
      <t>ネンド</t>
    </rPh>
    <rPh sb="305" eb="308">
      <t>シュウリョウシャ</t>
    </rPh>
    <rPh sb="309" eb="310">
      <t>リョウ</t>
    </rPh>
    <rPh sb="310" eb="312">
      <t>ガクブ</t>
    </rPh>
    <rPh sb="312" eb="313">
      <t>ア</t>
    </rPh>
    <rPh sb="319" eb="320">
      <t>メイ</t>
    </rPh>
    <rPh sb="321" eb="323">
      <t>トウガイ</t>
    </rPh>
    <rPh sb="323" eb="325">
      <t>ネンジ</t>
    </rPh>
    <rPh sb="325" eb="327">
      <t>ガクセイ</t>
    </rPh>
    <rPh sb="333" eb="334">
      <t>トド</t>
    </rPh>
    <rPh sb="338" eb="340">
      <t>ケイエイ</t>
    </rPh>
    <rPh sb="340" eb="342">
      <t>ガクブ</t>
    </rPh>
    <rPh sb="347" eb="348">
      <t>レイ</t>
    </rPh>
    <rPh sb="348" eb="349">
      <t>ワ</t>
    </rPh>
    <rPh sb="350" eb="352">
      <t>ネンド</t>
    </rPh>
    <rPh sb="352" eb="355">
      <t>シュウリョウシャ</t>
    </rPh>
    <rPh sb="357" eb="358">
      <t>メイ</t>
    </rPh>
    <rPh sb="360" eb="361">
      <t>レイ</t>
    </rPh>
    <rPh sb="361" eb="362">
      <t>ワ</t>
    </rPh>
    <rPh sb="363" eb="365">
      <t>ネンド</t>
    </rPh>
    <rPh sb="365" eb="368">
      <t>シュウリョウシャ</t>
    </rPh>
    <rPh sb="371" eb="372">
      <t>メイ</t>
    </rPh>
    <rPh sb="373" eb="374">
      <t>オオ</t>
    </rPh>
    <rPh sb="376" eb="378">
      <t>カイゼン</t>
    </rPh>
    <rPh sb="384" eb="386">
      <t>ハッタツ</t>
    </rPh>
    <rPh sb="386" eb="389">
      <t>カガクブ</t>
    </rPh>
    <rPh sb="407" eb="408">
      <t>タイ</t>
    </rPh>
    <rPh sb="424" eb="426">
      <t>カイゼン</t>
    </rPh>
    <rPh sb="439" eb="441">
      <t>ゲンイン</t>
    </rPh>
    <rPh sb="458" eb="460">
      <t>ガクブ</t>
    </rPh>
    <rPh sb="460" eb="461">
      <t>カン</t>
    </rPh>
    <rPh sb="462" eb="463">
      <t>カタヨ</t>
    </rPh>
    <rPh sb="471" eb="472">
      <t>ア</t>
    </rPh>
    <rPh sb="722" eb="724">
      <t>ジュコウ</t>
    </rPh>
    <rPh sb="726" eb="728">
      <t>ガクセイ</t>
    </rPh>
    <rPh sb="740" eb="741">
      <t>キワ</t>
    </rPh>
    <rPh sb="743" eb="745">
      <t>ジュウジツ</t>
    </rPh>
    <rPh sb="747" eb="749">
      <t>ジュギョウ</t>
    </rPh>
    <rPh sb="755" eb="756">
      <t>ワ</t>
    </rPh>
    <rPh sb="759" eb="762">
      <t>ジュコウシャ</t>
    </rPh>
    <rPh sb="762" eb="763">
      <t>スウ</t>
    </rPh>
    <rPh sb="764" eb="766">
      <t>ガクブ</t>
    </rPh>
    <rPh sb="766" eb="767">
      <t>アイダ</t>
    </rPh>
    <rPh sb="768" eb="769">
      <t>サ</t>
    </rPh>
    <rPh sb="770" eb="771">
      <t>ショウ</t>
    </rPh>
    <rPh sb="849" eb="851">
      <t>ガクセイ</t>
    </rPh>
    <rPh sb="863" eb="865">
      <t>チョウサ</t>
    </rPh>
    <rPh sb="886" eb="888">
      <t>チョウサ</t>
    </rPh>
    <rPh sb="892" eb="894">
      <t>ショウサイ</t>
    </rPh>
    <rPh sb="895" eb="897">
      <t>チョウサ</t>
    </rPh>
    <rPh sb="917" eb="919">
      <t>ナゼ</t>
    </rPh>
    <rPh sb="919" eb="921">
      <t>リシュウ</t>
    </rPh>
    <rPh sb="929" eb="930">
      <t>シラ</t>
    </rPh>
    <rPh sb="943" eb="945">
      <t>ガクブ</t>
    </rPh>
    <rPh sb="945" eb="946">
      <t>ゴト</t>
    </rPh>
    <rPh sb="947" eb="949">
      <t>リシュウ</t>
    </rPh>
    <rPh sb="949" eb="951">
      <t>シドウ</t>
    </rPh>
    <rPh sb="955" eb="956">
      <t>ホン</t>
    </rPh>
    <rPh sb="956" eb="958">
      <t>キョウイク</t>
    </rPh>
    <rPh sb="964" eb="966">
      <t>セツメイ</t>
    </rPh>
    <rPh sb="966" eb="968">
      <t>ナイヨウ</t>
    </rPh>
    <rPh sb="969" eb="971">
      <t>スイショウ</t>
    </rPh>
    <rPh sb="971" eb="973">
      <t>シドウ</t>
    </rPh>
    <rPh sb="978" eb="981">
      <t>ニュウガクマエ</t>
    </rPh>
    <rPh sb="981" eb="983">
      <t>キョウイク</t>
    </rPh>
    <rPh sb="989" eb="991">
      <t>ガクセイ</t>
    </rPh>
    <rPh sb="992" eb="994">
      <t>キョウミ</t>
    </rPh>
    <rPh sb="994" eb="996">
      <t>カンシン</t>
    </rPh>
    <rPh sb="997" eb="999">
      <t>ジャッキ</t>
    </rPh>
    <rPh sb="1001" eb="1003">
      <t>ホウホウ</t>
    </rPh>
    <rPh sb="1006" eb="1008">
      <t>サマザマ</t>
    </rPh>
    <rPh sb="1009" eb="1011">
      <t>カンテン</t>
    </rPh>
    <rPh sb="1014" eb="1016">
      <t>ケントウ</t>
    </rPh>
    <rPh sb="1017" eb="1019">
      <t>ヒツヨウ</t>
    </rPh>
    <phoneticPr fontId="1"/>
  </si>
  <si>
    <t>　本教育プログラム修了要件を構成する「数理データサイエンスと未来」「情報基礎」「情報基礎演習」「情報応用演習」は、4科目すべてを1年次配当科目として設定している。本教育プログラムの履修率は、「様式2 履修者等数の実績」における定義に基づき、分母として収容定員、分子として前述の4科目いずれかを履修した学生数を用いて算出している。本教育プログラム開始後の年度の進行に加え、収容定員及び充足率の推移を考慮すると、履修率は計画通りの進捗であるといえる。
　本教育プログラムでは、100%の学生が履修する卒業必修科目の「数理データサイエンスと未来」を核とし、本教育プログラム修了要件の必修である「情報基礎」「情報基礎演習」「情報応用演習」についても早期履修を推奨している。修了者数については、「数理データサイエンスと未来」が卒業必修科目であることから、卒業者数の90％が本教育プログラムを修了することを目標としている。
　上記目標を達成するため、特に「情報基礎」を受講する発達科学部学生を増やしていく必要を認識している。このため「情報基礎」の複数クラス化について検討し、時間割編成において配慮を行う。また、学部毎の履修指導において説明内容や推奨指導の在り方を検討する。</t>
    <rPh sb="241" eb="243">
      <t>ガクセイ</t>
    </rPh>
    <rPh sb="244" eb="246">
      <t>リシュウ</t>
    </rPh>
    <rPh sb="248" eb="250">
      <t>ソツギョウ</t>
    </rPh>
    <rPh sb="250" eb="252">
      <t>ヒッシュウ</t>
    </rPh>
    <rPh sb="252" eb="254">
      <t>カモク</t>
    </rPh>
    <rPh sb="271" eb="272">
      <t>カク</t>
    </rPh>
    <rPh sb="275" eb="276">
      <t>ホン</t>
    </rPh>
    <rPh sb="276" eb="278">
      <t>キョウイク</t>
    </rPh>
    <rPh sb="283" eb="285">
      <t>シュウリョウ</t>
    </rPh>
    <rPh sb="285" eb="287">
      <t>ヨウケン</t>
    </rPh>
    <rPh sb="288" eb="290">
      <t>ヒッシュウ</t>
    </rPh>
    <rPh sb="320" eb="322">
      <t>ソウキ</t>
    </rPh>
    <rPh sb="322" eb="324">
      <t>リシュウ</t>
    </rPh>
    <rPh sb="325" eb="327">
      <t>スイショウ</t>
    </rPh>
    <rPh sb="407" eb="409">
      <t>ジョウキ</t>
    </rPh>
    <rPh sb="409" eb="411">
      <t>モクヒョウ</t>
    </rPh>
    <rPh sb="412" eb="414">
      <t>タッセイ</t>
    </rPh>
    <rPh sb="419" eb="420">
      <t>トク</t>
    </rPh>
    <rPh sb="422" eb="424">
      <t>ジョウホウ</t>
    </rPh>
    <rPh sb="424" eb="426">
      <t>キソ</t>
    </rPh>
    <rPh sb="428" eb="430">
      <t>ジュコウ</t>
    </rPh>
    <rPh sb="432" eb="434">
      <t>ハッタツ</t>
    </rPh>
    <rPh sb="434" eb="437">
      <t>カガクブ</t>
    </rPh>
    <rPh sb="437" eb="439">
      <t>ガクセイ</t>
    </rPh>
    <rPh sb="440" eb="441">
      <t>フ</t>
    </rPh>
    <rPh sb="446" eb="448">
      <t>ヒツヨウ</t>
    </rPh>
    <rPh sb="449" eb="451">
      <t>ニンシキ</t>
    </rPh>
    <rPh sb="499" eb="501">
      <t>ガクブ</t>
    </rPh>
    <rPh sb="501" eb="502">
      <t>ゴト</t>
    </rPh>
    <rPh sb="503" eb="505">
      <t>リシュウ</t>
    </rPh>
    <rPh sb="505" eb="507">
      <t>シドウ</t>
    </rPh>
    <rPh sb="511" eb="513">
      <t>セツメイ</t>
    </rPh>
    <rPh sb="513" eb="515">
      <t>ナイヨウ</t>
    </rPh>
    <rPh sb="516" eb="518">
      <t>スイショウ</t>
    </rPh>
    <rPh sb="518" eb="520">
      <t>シドウ</t>
    </rPh>
    <rPh sb="525" eb="527">
      <t>ケントウ</t>
    </rPh>
    <phoneticPr fontId="1"/>
  </si>
  <si>
    <t>自己点検・評価委員会</t>
    <rPh sb="0" eb="2">
      <t>ジコ</t>
    </rPh>
    <rPh sb="2" eb="4">
      <t>テンケン</t>
    </rPh>
    <rPh sb="5" eb="7">
      <t>ヒョウカ</t>
    </rPh>
    <rPh sb="7" eb="10">
      <t>イインカイ</t>
    </rPh>
    <phoneticPr fontId="1"/>
  </si>
  <si>
    <t>澤田　文男</t>
    <rPh sb="0" eb="2">
      <t>サワダ</t>
    </rPh>
    <rPh sb="3" eb="5">
      <t>フミオ</t>
    </rPh>
    <phoneticPr fontId="1"/>
  </si>
  <si>
    <t>副学長</t>
    <rPh sb="0" eb="3">
      <t>フクガクチョウ</t>
    </rPh>
    <phoneticPr fontId="1"/>
  </si>
  <si>
    <t>・AI最新技術の活用例（深層生成モデル、敵対的生成ネットワーク、強化学習、転移学習など）「数理データサイエンスと未来（経営クラス）」（２回目）
・AI最新技術の活用例（深層生成モデル、敵対的生成ネットワーク、強化学習、転移学習など）「数理データサイエンスと未来（発達クラス）」（２回目）
・AI等を活用した新しいビジネスモデル(シェアリングエコノミー、商品のレコメンデーションなど)「情報基礎」（１回目）</t>
    <rPh sb="59" eb="61">
      <t>ケイエイ</t>
    </rPh>
    <rPh sb="117" eb="119">
      <t>スウリ</t>
    </rPh>
    <rPh sb="128" eb="130">
      <t>ミライ</t>
    </rPh>
    <rPh sb="140" eb="142">
      <t>カイメ</t>
    </rPh>
    <rPh sb="192" eb="194">
      <t>ジョウホウ</t>
    </rPh>
    <rPh sb="194" eb="196">
      <t>キソ</t>
    </rPh>
    <rPh sb="199" eb="200">
      <t>カイ</t>
    </rPh>
    <rPh sb="200" eb="201">
      <t>メ</t>
    </rPh>
    <phoneticPr fontId="1"/>
  </si>
  <si>
    <t>・ビッグデータ、IoT、AI、ロボット「数理データサイエンスと未来（経営クラス）」（１回目）
・ビッグデータ、IoT、AI、ロボット「数理データサイエンスと未来（発達クラス）」（１回目）
・データ量の増加、計算機の処理性能の向上、AIの非連続的進化「数理データサイエンスと未来（経営クラス）」（１回目）
・データ量の増加、計算機の処理性能の向上、AIの非連続的進化「数理データサイエンスと未来（発達クラス）」（１回目）
・第4次産業革命、Society 5.0、データ駆動型社会「数理データサイエンスと未来（経営クラス）」（３回目）
・第4次産業革命、Society 5.0、データ駆動型社会「数理データサイエンスと未来（発達クラス）」（３回目）</t>
    <phoneticPr fontId="1"/>
  </si>
  <si>
    <t>・調査データ、実験データ、人の行動ログデータ、機械の稼働ログデータなど「数理データサイエンスと未来（経営クラス）」（４回目、６回目）
・調査データ、実験データ、人の行動ログデータ、機械の稼働ログデータなど「数理データサイエンスと未来（発達クラス）」（４回目、６回目）
・データのオープン化（オープンデータ）「数理データサイエンスと未来（経営クラス）」（４回目、７回目）
・データのオープン化（オープンデータ）「数理データサイエンスと未来（発達クラス）」（４回目、７回目）</t>
    <rPh sb="63" eb="65">
      <t>カイメ</t>
    </rPh>
    <rPh sb="181" eb="183">
      <t>カイメ</t>
    </rPh>
    <rPh sb="232" eb="234">
      <t>カイメ</t>
    </rPh>
    <phoneticPr fontId="1"/>
  </si>
  <si>
    <t>・データ・AI活用領域の広がり(生産、消費、文化活動など)「数理データサイエンスと未来（経営クラス）」（８回目）
・データ・AI活用領域の広がり(生産、消費、文化活動など)「数理データサイエンスと未来（発達クラス）」（８回目）
・研究開発、調達、製造、物流、販売、マーケティング、サービスなど「数理データサイエンスと未来（経営クラス）」（９回目）
・研究開発、調達、製造、物流、販売、マーケティング、サービスなど「数理データサイエンスと未来（発達クラス）」（９回目）</t>
    <rPh sb="53" eb="54">
      <t>カイ</t>
    </rPh>
    <rPh sb="54" eb="55">
      <t>メ</t>
    </rPh>
    <rPh sb="110" eb="112">
      <t>カイメ</t>
    </rPh>
    <phoneticPr fontId="1"/>
  </si>
  <si>
    <t>・データの種類（量的変数、質的変数）「数理データサイエンス基礎」（２回目）
・データの種類（量的変数、質的変数）「データ分析活用法」（４、９、10回目）
・データの分布(ヒストグラム)と代表値（平均値、中央値、最頻値）「数理データサイエンス基礎」（３回目）
・データの分布(ヒストグラム)と代表値（平均値、中央値、最頻値）「データ分析活用法」（４、９、10回目）
・代表値の性質の違い（実社会では平均値＝最頻値でないことが多い）「数理データサイエンス基礎」（３回目）
・代表値の性質の違い（実社会では平均値＝最頻値でないことが多い）「データ分析活用法」（４、９、10回目）
・データのばらつき（分散、標準偏差、偏差値）「数理データサイエンス基礎」（３回目）
・データのばらつき（分散、標準偏差、偏差値）「データ分析活用法」（４、９、10回目）
・観測データに含まれる誤差の扱い「データ分析活用法」（４、９、10回目）
・打ち切りや脱落を含むデータ、層別の必要なデータ「データ分析活用法」（４、９、10回目）
・打ち切りや脱落を含むデータ、層別の必要なデータ「情報応用演習（経営クラスA～Ｄ）」（９、11回目）
・打ち切りや脱落を含むデータ、層別の必要なデータ「情報応用演習（発達クラスA～Ｂ）」（６、７回目）
・相関と因果（相関係数、擬似相関、交絡）「データ分析活用法」（４、９、10回目）
・母集団と標本抽出（国勢調査、アンケート調査、全数調査、単純無作為抽出、層別抽出、多段抽出）「データ分析活用法」（４、９、10回目）
・クロス集計表「情報応用演習（経営クラスＡ～Ｄ）」（11回目）
・クロス集計表「情報応用演習（発達クラスA～Ｂ）」（９回目）
・クロス集計表「データ分析活用法」（９、10回目）</t>
    <phoneticPr fontId="1"/>
  </si>
  <si>
    <t>・流通、製造、金融、サービス、インフラ、公共、ヘルスケア等におけるデータ・AI利活用事例紹介「数理データサイエンスと未来（経営クラス）」（12、13、14回目）
・流通、製造、金融、サービス、インフラ、公共、ヘルスケア等におけるデータ・AI利活用事例紹介「数理データサイエンスと未来（発達クラス）」（12、13、14回目）</t>
    <phoneticPr fontId="1"/>
  </si>
  <si>
    <t>・データの集計（和、平均）「情報応用演習（経営クラスＡ～Ｄ）」（5回目）
・データの集計（和、平均）「情報応用演習（発達クラスA～Ｂ）」（4回目）
・データの並び替え、ランキング「情報応用演習（経営クラスＡ～Ｄ）」（6回目）
・データの並び替え、ランキング「情報応用演習（発達クラスA～Ｂ）」（5回目）
・データ解析ツール（スプレッドシート）「情報応用演習（経営クラスＡ～Ｄ）」（3～10回目）
・データ解析ツール（スプレッドシート）「情報応用演習（発達クラスA～Ｂ）」（１～9回目）
・データ解析ツール（スプレッドシート）「データ分析活用法」（９、10回目）
・データ解析ツール（スプレッドシート）「数理データサイエンス基礎」（５、６回目）</t>
    <phoneticPr fontId="1"/>
  </si>
  <si>
    <t>・データ表現（棒グラフ、折線グラフ、散布図、ヒートマップ）「情報応用演習（経営クラスＡ～Ｄ）」（４、11回目）
・データ表現（棒グラフ、折線グラフ、散布図、ヒートマップ）「情報応用演習（発達クラスA～Ｂ）」（８、12回目）
・データ表現（棒グラフ、折線グラフ、散布図、ヒートマップ）「データ分析活用法」（12回目）
・データの比較（条件をそろえた比較、処理の前後での比較、A/Bテスト)「データ分析活用法」（13回目）
・不適切なグラフ表現（チャートジャンク、不必要な視覚的要素）「情報応用演習（経営クラスＡ～Ｄ）」（１回目）
・不適切なグラフ表現（チャートジャンク、不必要な視覚的要素）「情報応用演習（発達クラスA～Ｂ）」（15回目）
・不適切なグラフ表現（チャートジャンク、不必要な視覚的要素）「数理データサイエンス基礎」（３回目）
・不適切なグラフ表現（チャートジャンク、不必要な視覚的要素）「データ分析活用法」（13回目）
・優れた可視化事例の紹介（可視化することによって新たな気づきがあった事例など）「数理データサイエンス基礎」（３回目）
・優れた可視化事例の紹介（可視化することによって新たな気づきがあった事例など）「データ分析活用法」（13回目）</t>
    <phoneticPr fontId="1"/>
  </si>
  <si>
    <t>・ELSI（Ethical, Legal and Social Issues）「数理データサイエンスと未来（経営クラス）」（12、13、14回目）
・ELSI（Ethical, Legal and Social Issues）「数理データサイエンスと未来（発達クラス）」（12、13、14回目）
・ELSI（Ethical, Legal and Social Issues）「情報応用演習（経営クラスＡ～Ｄ）」（１回目）
・ELSI（Ethical, Legal and Social Issues）「情報応用演習（発達クラスA～Ｂ）」（15回目）
・個人情報保護「数理データサイエンスと未来（経営クラス）」（12、13、14回目）
・個人情報保護「数理データサイエンスと未来（発達クラス）」（12、13、14回目）
・個人情報保護、忘れられる権利、オプトアウト「情報基礎」（14回目）
・個人情報保護、忘れられる権利、オプトアウト「情報基礎演習（経営クラスＡ～Ｄ）」(７回目)
・個人情報保護、忘れられる権利、オプトアウト「情報基礎演習（発達クラスA～Ｂ）」(10回目)
・データ倫理：データのねつ造、改ざん、盗用、プライバシー保護「情報基礎演習（経営クラスＡ～Ｄ）」(８回目)
・データ倫理：データのねつ造、改ざん、盗用、プライバシー保護「情報基礎演習（発達クラスA～Ｂ）」(11回目)
・データ倫理：データのねつ造、改ざん、盗用、プライバシー保護「情報基礎」（14回目）
・データ倫理：データのねつ造、改ざん、盗用、プライバシー保護「データ分析活用法」（11回目）
・AI社会原則（公平性、説明責任、透明性、人間中心の判断）「情報基礎」（15回目）
・データバイアス、アルゴリズムバイアス「データ分析活用法」（11回目）
・データ・AI活用における負の事例紹介「情報基礎」（15回目）
・データ・AI活用における負の事例紹介「数理データサイエンスと未来（経営クラス）」（12、13、14回目）
・データ・AI活用における負の事例紹介「数理データサイエンスと未来（発達クラス）」（12、13、14回目）</t>
    <rPh sb="382" eb="384">
      <t>ジョウホウ</t>
    </rPh>
    <rPh sb="384" eb="386">
      <t>キソ</t>
    </rPh>
    <rPh sb="390" eb="392">
      <t>カイメ</t>
    </rPh>
    <rPh sb="469" eb="471">
      <t>ハッタツ</t>
    </rPh>
    <phoneticPr fontId="1"/>
  </si>
  <si>
    <t>・データ解析：予測、グルーピング、パターン発見、最適化、シミュレーション・データ同化「数理データサイエンスと未来（経営クラス）」（10回目）
・データ解析：予測、グルーピング、パターン発見、最適化、シミュレーション・データ同化「数理データサイエンスと未来（発達クラス）」（10回目）
・データ解析：予測、グルーピング、パターン発見、最適化、シミュレーション・データ同化「情報基礎」（１回目）
・データ可視化：複合グラフ、2軸グラフ、多次元の可視化、関係性の可視化、地図上の可視化「数理データサイエンスと未来（経営クラス）」（11回目）
・データ可視化：複合グラフ、2軸グラフ、多次元の可視化、関係性の可視化、地図上の可視化「数理データサイエンスと未来（発達クラス）」（11回目）
・データ可視化：複合グラフ、2軸グラフ、多次元の可視化、関係性の可視化、地図上の可視化「情報基礎」（１回目）</t>
    <rPh sb="43" eb="45">
      <t>スウリ</t>
    </rPh>
    <rPh sb="54" eb="56">
      <t>ミライ</t>
    </rPh>
    <rPh sb="67" eb="69">
      <t>カイメ</t>
    </rPh>
    <phoneticPr fontId="1"/>
  </si>
  <si>
    <t>・情報セキュリティ：機密性、完全性、可用性「情報基礎」（11回目)
・情報セキュリティ：機密性、完全性、可用性「情報応用演習（経営クラスＡ～Ｄ）」（２回目）
・匿名加工情報、暗号化、パスワード、悪意ある情報搾取「情報基礎」（11回目)
・匿名加工情報、暗号化、パスワード、悪意ある情報搾取「情報基礎演習（経営クラスＡ～Ｄ）」(６回目)
・匿名加工情報、暗号化、パスワード、悪意ある情報搾取「情報基礎演習（発達クラスA～Ｂ）」(14回目)
・匿名加工情報、暗号化、パスワード、悪意ある情報搾取「情報応用演習（経営クラスＡ～Ｄ）」（２回目）
・情報漏洩等によるセキュリティ事故の事例紹介「数理データサイエンスと未来（経営クラス）」（12、13、14回目）
・情報漏洩等によるセキュリティ事故の事例紹介「数理データサイエンスと未来（発達クラス）」（12、13、14回目）
・情報漏洩等によるセキュリティ事故の事例紹介「情報基礎」（11回目)
・情報漏洩等によるセキュリティ事故の事例紹介「情報基礎」（15回目）
・情報漏洩等によるセキュリティ事故の事例紹介「情報基礎演習（経営クラスＡ～Ｄ）」(６回目)</t>
    <rPh sb="363" eb="365">
      <t>ハッタツ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</si>
</sst>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horizontal="justify" vertical="top" wrapText="1"/>
    </xf>
    <xf numFmtId="0" fontId="2" fillId="0" borderId="8" xfId="0" applyFont="1" applyBorder="1" applyAlignment="1">
      <alignment horizontal="justify" vertical="top" wrapText="1"/>
    </xf>
    <xf numFmtId="0" fontId="2" fillId="0" borderId="9" xfId="0" applyFont="1" applyBorder="1" applyAlignment="1">
      <alignment horizontal="justify" vertical="top" wrapText="1"/>
    </xf>
    <xf numFmtId="0" fontId="2" fillId="0" borderId="5" xfId="0" applyFont="1" applyBorder="1" applyAlignment="1">
      <alignment horizontal="justify" vertical="top" wrapText="1"/>
    </xf>
    <xf numFmtId="0" fontId="2" fillId="0" borderId="0" xfId="0" applyFont="1" applyAlignment="1">
      <alignment horizontal="justify" vertical="top" wrapText="1"/>
    </xf>
    <xf numFmtId="0" fontId="2" fillId="0" borderId="10" xfId="0" applyFont="1" applyBorder="1" applyAlignment="1">
      <alignment horizontal="justify" vertical="top" wrapText="1"/>
    </xf>
    <xf numFmtId="0" fontId="2" fillId="0" borderId="11" xfId="0" applyFont="1" applyBorder="1" applyAlignment="1">
      <alignment horizontal="justify" vertical="top" wrapText="1"/>
    </xf>
    <xf numFmtId="0" fontId="2" fillId="0" borderId="6" xfId="0" applyFont="1" applyBorder="1" applyAlignment="1">
      <alignment horizontal="justify" vertical="top" wrapText="1"/>
    </xf>
    <xf numFmtId="0" fontId="2" fillId="0" borderId="12" xfId="0" applyFont="1" applyBorder="1" applyAlignment="1">
      <alignment horizontal="justify" vertical="top" wrapText="1"/>
    </xf>
    <xf numFmtId="0" fontId="2" fillId="0" borderId="9" xfId="0" applyFont="1" applyBorder="1" applyAlignment="1">
      <alignment horizontal="justify" vertical="top"/>
    </xf>
    <xf numFmtId="0" fontId="2" fillId="0" borderId="5" xfId="0" applyFont="1" applyBorder="1" applyAlignment="1">
      <alignment horizontal="justify" vertical="top"/>
    </xf>
    <xf numFmtId="0" fontId="2" fillId="0" borderId="0" xfId="0" applyFont="1" applyAlignment="1">
      <alignment horizontal="justify" vertical="top"/>
    </xf>
    <xf numFmtId="0" fontId="2" fillId="0" borderId="10" xfId="0" applyFont="1" applyBorder="1" applyAlignment="1">
      <alignment horizontal="justify" vertical="top"/>
    </xf>
    <xf numFmtId="0" fontId="2" fillId="0" borderId="11" xfId="0" applyFont="1" applyBorder="1" applyAlignment="1">
      <alignment horizontal="justify" vertical="top"/>
    </xf>
    <xf numFmtId="0" fontId="2" fillId="0" borderId="6" xfId="0" applyFont="1" applyBorder="1" applyAlignment="1">
      <alignment horizontal="justify" vertical="top"/>
    </xf>
    <xf numFmtId="0" fontId="2" fillId="0" borderId="12" xfId="0" applyFont="1" applyBorder="1" applyAlignment="1">
      <alignment horizontal="justify"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justify" vertical="top" wrapText="1" shrinkToFit="1"/>
    </xf>
    <xf numFmtId="0" fontId="2" fillId="0" borderId="8" xfId="0" applyFont="1" applyBorder="1" applyAlignment="1">
      <alignment horizontal="justify" vertical="top" wrapText="1" shrinkToFit="1"/>
    </xf>
    <xf numFmtId="0" fontId="2" fillId="0" borderId="9" xfId="0" applyFont="1" applyBorder="1" applyAlignment="1">
      <alignment horizontal="justify" vertical="top" shrinkToFit="1"/>
    </xf>
    <xf numFmtId="0" fontId="2" fillId="0" borderId="5" xfId="0" applyFont="1" applyBorder="1" applyAlignment="1">
      <alignment horizontal="justify" vertical="top" shrinkToFit="1"/>
    </xf>
    <xf numFmtId="0" fontId="2" fillId="0" borderId="0" xfId="0" applyFont="1" applyAlignment="1">
      <alignment horizontal="justify" vertical="top" shrinkToFit="1"/>
    </xf>
    <xf numFmtId="0" fontId="2" fillId="0" borderId="10" xfId="0" applyFont="1" applyBorder="1" applyAlignment="1">
      <alignment horizontal="justify" vertical="top" shrinkToFit="1"/>
    </xf>
    <xf numFmtId="0" fontId="2" fillId="0" borderId="11" xfId="0" applyFont="1" applyBorder="1" applyAlignment="1">
      <alignment horizontal="justify" vertical="top" shrinkToFit="1"/>
    </xf>
    <xf numFmtId="0" fontId="2" fillId="0" borderId="6" xfId="0" applyFont="1" applyBorder="1" applyAlignment="1">
      <alignment horizontal="justify" vertical="top" shrinkToFit="1"/>
    </xf>
    <xf numFmtId="0" fontId="2" fillId="0" borderId="12" xfId="0" applyFont="1" applyBorder="1" applyAlignment="1">
      <alignment horizontal="justify"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horizontal="justify" vertical="top" wrapText="1" shrinkToFit="1"/>
    </xf>
    <xf numFmtId="0" fontId="2" fillId="0" borderId="0" xfId="0" applyFont="1" applyAlignment="1">
      <alignment horizontal="justify"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horizontal="justify" vertical="top" wrapText="1" shrinkToFit="1"/>
    </xf>
    <xf numFmtId="0" fontId="2" fillId="0" borderId="12" xfId="0" applyFont="1" applyBorder="1" applyAlignment="1">
      <alignment horizontal="justify"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horizontal="justify" vertical="top" wrapText="1" shrinkToFit="1"/>
    </xf>
    <xf numFmtId="0" fontId="2" fillId="0" borderId="18" xfId="0" applyFont="1" applyBorder="1" applyAlignment="1">
      <alignment horizontal="justify"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horizontal="justify" vertical="top" wrapText="1" shrinkToFit="1"/>
    </xf>
    <xf numFmtId="0" fontId="2" fillId="0" borderId="39" xfId="0" applyFont="1" applyBorder="1" applyAlignment="1">
      <alignment horizontal="justify"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horizontal="justify" vertical="top" wrapText="1" shrinkToFit="1"/>
    </xf>
    <xf numFmtId="0" fontId="2" fillId="0" borderId="43" xfId="0" applyFont="1" applyBorder="1" applyAlignment="1">
      <alignment horizontal="justify" vertical="top" wrapText="1" shrinkToFit="1"/>
    </xf>
    <xf numFmtId="0" fontId="2" fillId="0" borderId="19" xfId="0" applyFont="1" applyBorder="1" applyAlignment="1">
      <alignment horizontal="justify" vertical="top" wrapText="1" shrinkToFit="1"/>
    </xf>
    <xf numFmtId="0" fontId="2" fillId="0" borderId="37" xfId="0" applyFont="1" applyBorder="1" applyAlignment="1">
      <alignment horizontal="justify"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38" zoomScaleNormal="100" zoomScaleSheetLayoutView="100" workbookViewId="0">
      <selection activeCell="Z17" sqref="Z1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1" t="s">
        <v>12</v>
      </c>
      <c r="S1" s="101"/>
      <c r="T1" s="2" t="s">
        <v>110</v>
      </c>
    </row>
    <row r="2" spans="1:22" ht="18.75" customHeight="1" x14ac:dyDescent="0.15">
      <c r="B2" s="34" t="s">
        <v>109</v>
      </c>
      <c r="C2" s="94" t="s">
        <v>127</v>
      </c>
      <c r="D2" s="95"/>
      <c r="E2" s="95"/>
      <c r="F2" s="95"/>
      <c r="G2" s="95"/>
      <c r="H2" s="95"/>
      <c r="I2" s="96"/>
      <c r="J2" s="35"/>
      <c r="K2" s="6"/>
      <c r="L2" s="6"/>
      <c r="M2" s="6"/>
      <c r="N2" s="6"/>
      <c r="O2" s="6"/>
      <c r="P2" s="6"/>
      <c r="Q2" s="6"/>
      <c r="R2" s="6"/>
      <c r="S2" s="6"/>
    </row>
    <row r="3" spans="1:22" ht="18.75" customHeight="1" x14ac:dyDescent="0.15">
      <c r="B3" s="34" t="s">
        <v>103</v>
      </c>
      <c r="C3" s="105" t="s">
        <v>146</v>
      </c>
      <c r="D3" s="106"/>
      <c r="E3" s="106"/>
      <c r="F3" s="106"/>
      <c r="G3" s="106"/>
      <c r="H3" s="106"/>
      <c r="I3" s="107"/>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8" t="s">
        <v>39</v>
      </c>
      <c r="B5" s="108"/>
      <c r="C5" s="108"/>
      <c r="D5" s="108"/>
      <c r="E5" s="108"/>
      <c r="F5" s="108"/>
      <c r="G5" s="108"/>
      <c r="H5" s="108"/>
      <c r="I5" s="108"/>
      <c r="J5" s="108"/>
      <c r="K5" s="108"/>
      <c r="L5" s="108"/>
      <c r="M5" s="108"/>
      <c r="N5" s="108"/>
      <c r="O5" s="108"/>
      <c r="P5" s="108"/>
      <c r="Q5" s="108"/>
      <c r="R5" s="108"/>
      <c r="S5" s="10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18" t="s">
        <v>131</v>
      </c>
      <c r="L7" s="119"/>
      <c r="M7" s="119"/>
      <c r="N7" s="119"/>
      <c r="O7" s="119"/>
      <c r="P7" s="119"/>
      <c r="Q7" s="119"/>
      <c r="R7" s="119"/>
      <c r="S7" s="12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2" t="s">
        <v>129</v>
      </c>
      <c r="C9" s="83"/>
      <c r="D9" s="83"/>
      <c r="E9" s="83"/>
      <c r="F9" s="83"/>
      <c r="G9" s="83"/>
      <c r="H9" s="83"/>
      <c r="I9" s="83"/>
      <c r="J9" s="83"/>
      <c r="K9" s="83"/>
      <c r="L9" s="83"/>
      <c r="M9" s="83"/>
      <c r="N9" s="83"/>
      <c r="O9" s="83"/>
      <c r="P9" s="83"/>
      <c r="Q9" s="83"/>
      <c r="R9" s="83"/>
      <c r="S9" s="84"/>
    </row>
    <row r="10" spans="1:22" ht="18" customHeight="1" x14ac:dyDescent="0.15">
      <c r="B10" s="85"/>
      <c r="C10" s="86"/>
      <c r="D10" s="86"/>
      <c r="E10" s="86"/>
      <c r="F10" s="86"/>
      <c r="G10" s="86"/>
      <c r="H10" s="86"/>
      <c r="I10" s="86"/>
      <c r="J10" s="86"/>
      <c r="K10" s="86"/>
      <c r="L10" s="86"/>
      <c r="M10" s="86"/>
      <c r="N10" s="86"/>
      <c r="O10" s="86"/>
      <c r="P10" s="86"/>
      <c r="Q10" s="86"/>
      <c r="R10" s="86"/>
      <c r="S10" s="8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09" t="s">
        <v>147</v>
      </c>
      <c r="C13" s="110"/>
      <c r="D13" s="110"/>
      <c r="E13" s="110"/>
      <c r="F13" s="110"/>
      <c r="G13" s="110"/>
      <c r="H13" s="110"/>
      <c r="I13" s="110"/>
      <c r="J13" s="110"/>
      <c r="K13" s="110"/>
      <c r="L13" s="110"/>
      <c r="M13" s="110"/>
      <c r="N13" s="110"/>
      <c r="O13" s="110"/>
      <c r="P13" s="110"/>
      <c r="Q13" s="110"/>
      <c r="R13" s="110"/>
      <c r="S13" s="111"/>
      <c r="V13" s="1" t="s">
        <v>104</v>
      </c>
    </row>
    <row r="14" spans="1:22" ht="18" customHeight="1" x14ac:dyDescent="0.15">
      <c r="B14" s="112"/>
      <c r="C14" s="113"/>
      <c r="D14" s="113"/>
      <c r="E14" s="113"/>
      <c r="F14" s="113"/>
      <c r="G14" s="113"/>
      <c r="H14" s="113"/>
      <c r="I14" s="113"/>
      <c r="J14" s="113"/>
      <c r="K14" s="113"/>
      <c r="L14" s="113"/>
      <c r="M14" s="113"/>
      <c r="N14" s="113"/>
      <c r="O14" s="113"/>
      <c r="P14" s="113"/>
      <c r="Q14" s="113"/>
      <c r="R14" s="113"/>
      <c r="S14" s="114"/>
      <c r="V14" s="1" t="s">
        <v>111</v>
      </c>
    </row>
    <row r="15" spans="1:22" ht="18" customHeight="1" x14ac:dyDescent="0.15">
      <c r="B15" s="112"/>
      <c r="C15" s="113"/>
      <c r="D15" s="113"/>
      <c r="E15" s="113"/>
      <c r="F15" s="113"/>
      <c r="G15" s="113"/>
      <c r="H15" s="113"/>
      <c r="I15" s="113"/>
      <c r="J15" s="113"/>
      <c r="K15" s="113"/>
      <c r="L15" s="113"/>
      <c r="M15" s="113"/>
      <c r="N15" s="113"/>
      <c r="O15" s="113"/>
      <c r="P15" s="113"/>
      <c r="Q15" s="113"/>
      <c r="R15" s="113"/>
      <c r="S15" s="114"/>
      <c r="V15" s="1" t="s">
        <v>124</v>
      </c>
    </row>
    <row r="16" spans="1:22" ht="18" customHeight="1" x14ac:dyDescent="0.15">
      <c r="B16" s="112"/>
      <c r="C16" s="113"/>
      <c r="D16" s="113"/>
      <c r="E16" s="113"/>
      <c r="F16" s="113"/>
      <c r="G16" s="113"/>
      <c r="H16" s="113"/>
      <c r="I16" s="113"/>
      <c r="J16" s="113"/>
      <c r="K16" s="113"/>
      <c r="L16" s="113"/>
      <c r="M16" s="113"/>
      <c r="N16" s="113"/>
      <c r="O16" s="113"/>
      <c r="P16" s="113"/>
      <c r="Q16" s="113"/>
      <c r="R16" s="113"/>
      <c r="S16" s="114"/>
      <c r="V16" s="1" t="s">
        <v>126</v>
      </c>
    </row>
    <row r="17" spans="1:19" ht="18" customHeight="1" x14ac:dyDescent="0.15">
      <c r="B17" s="112"/>
      <c r="C17" s="113"/>
      <c r="D17" s="113"/>
      <c r="E17" s="113"/>
      <c r="F17" s="113"/>
      <c r="G17" s="113"/>
      <c r="H17" s="113"/>
      <c r="I17" s="113"/>
      <c r="J17" s="113"/>
      <c r="K17" s="113"/>
      <c r="L17" s="113"/>
      <c r="M17" s="113"/>
      <c r="N17" s="113"/>
      <c r="O17" s="113"/>
      <c r="P17" s="113"/>
      <c r="Q17" s="113"/>
      <c r="R17" s="113"/>
      <c r="S17" s="114"/>
    </row>
    <row r="18" spans="1:19" ht="18" customHeight="1" x14ac:dyDescent="0.15">
      <c r="B18" s="115"/>
      <c r="C18" s="116"/>
      <c r="D18" s="116"/>
      <c r="E18" s="116"/>
      <c r="F18" s="116"/>
      <c r="G18" s="116"/>
      <c r="H18" s="116"/>
      <c r="I18" s="116"/>
      <c r="J18" s="116"/>
      <c r="K18" s="116"/>
      <c r="L18" s="116"/>
      <c r="M18" s="116"/>
      <c r="N18" s="116"/>
      <c r="O18" s="116"/>
      <c r="P18" s="116"/>
      <c r="Q18" s="116"/>
      <c r="R18" s="116"/>
      <c r="S18" s="11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4">
        <v>6</v>
      </c>
      <c r="D20" s="96"/>
      <c r="E20" s="40" t="s">
        <v>96</v>
      </c>
      <c r="G20" s="10"/>
      <c r="H20" s="3"/>
      <c r="I20" s="3"/>
      <c r="J20" s="35" t="s">
        <v>122</v>
      </c>
      <c r="K20" s="102" t="s">
        <v>126</v>
      </c>
      <c r="L20" s="103"/>
      <c r="M20" s="103"/>
      <c r="N20" s="103"/>
      <c r="O20" s="103"/>
      <c r="P20" s="103"/>
      <c r="Q20" s="103"/>
      <c r="R20" s="103"/>
      <c r="S20" s="10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4" t="s">
        <v>54</v>
      </c>
      <c r="C24" s="95"/>
      <c r="D24" s="95"/>
      <c r="E24" s="96"/>
      <c r="F24" s="61" t="s">
        <v>81</v>
      </c>
      <c r="G24" s="60" t="s">
        <v>85</v>
      </c>
      <c r="H24" s="22" t="s">
        <v>57</v>
      </c>
      <c r="I24" s="22" t="s">
        <v>60</v>
      </c>
      <c r="J24" s="94" t="s">
        <v>54</v>
      </c>
      <c r="K24" s="95"/>
      <c r="L24" s="95"/>
      <c r="M24" s="95"/>
      <c r="N24" s="95"/>
      <c r="O24" s="96"/>
      <c r="P24" s="61" t="s">
        <v>81</v>
      </c>
      <c r="Q24" s="60" t="s">
        <v>85</v>
      </c>
      <c r="R24" s="22" t="s">
        <v>57</v>
      </c>
      <c r="S24" s="22" t="s">
        <v>60</v>
      </c>
    </row>
    <row r="25" spans="1:19" ht="18" customHeight="1" x14ac:dyDescent="0.15">
      <c r="B25" s="98" t="s">
        <v>135</v>
      </c>
      <c r="C25" s="99"/>
      <c r="D25" s="99"/>
      <c r="E25" s="100"/>
      <c r="F25" s="23">
        <v>2</v>
      </c>
      <c r="G25" s="23" t="s">
        <v>136</v>
      </c>
      <c r="H25" s="23" t="s">
        <v>136</v>
      </c>
      <c r="I25" s="23" t="s">
        <v>136</v>
      </c>
      <c r="J25" s="98"/>
      <c r="K25" s="99"/>
      <c r="L25" s="99"/>
      <c r="M25" s="99"/>
      <c r="N25" s="99"/>
      <c r="O25" s="100"/>
      <c r="P25" s="23"/>
      <c r="Q25" s="23"/>
      <c r="R25" s="23"/>
      <c r="S25" s="23"/>
    </row>
    <row r="26" spans="1:19" ht="18" customHeight="1" x14ac:dyDescent="0.15">
      <c r="B26" s="88" t="s">
        <v>137</v>
      </c>
      <c r="C26" s="89"/>
      <c r="D26" s="89"/>
      <c r="E26" s="90"/>
      <c r="F26" s="24">
        <v>2</v>
      </c>
      <c r="G26" s="24" t="s">
        <v>136</v>
      </c>
      <c r="H26" s="24"/>
      <c r="I26" s="24" t="s">
        <v>136</v>
      </c>
      <c r="J26" s="88"/>
      <c r="K26" s="89"/>
      <c r="L26" s="89"/>
      <c r="M26" s="89"/>
      <c r="N26" s="89"/>
      <c r="O26" s="90"/>
      <c r="P26" s="24"/>
      <c r="Q26" s="24"/>
      <c r="R26" s="24"/>
      <c r="S26" s="24"/>
    </row>
    <row r="27" spans="1:19" ht="18" customHeight="1" x14ac:dyDescent="0.15">
      <c r="B27" s="88"/>
      <c r="C27" s="89"/>
      <c r="D27" s="89"/>
      <c r="E27" s="90"/>
      <c r="F27" s="24"/>
      <c r="G27" s="24"/>
      <c r="H27" s="24"/>
      <c r="I27" s="24"/>
      <c r="J27" s="88"/>
      <c r="K27" s="89"/>
      <c r="L27" s="89"/>
      <c r="M27" s="89"/>
      <c r="N27" s="89"/>
      <c r="O27" s="90"/>
      <c r="P27" s="24"/>
      <c r="Q27" s="24"/>
      <c r="R27" s="24"/>
      <c r="S27" s="24"/>
    </row>
    <row r="28" spans="1:19" ht="18" customHeight="1" x14ac:dyDescent="0.15">
      <c r="B28" s="88"/>
      <c r="C28" s="89"/>
      <c r="D28" s="89"/>
      <c r="E28" s="90"/>
      <c r="F28" s="24"/>
      <c r="G28" s="24"/>
      <c r="H28" s="24"/>
      <c r="I28" s="24"/>
      <c r="J28" s="88"/>
      <c r="K28" s="89"/>
      <c r="L28" s="89"/>
      <c r="M28" s="89"/>
      <c r="N28" s="89"/>
      <c r="O28" s="90"/>
      <c r="P28" s="24"/>
      <c r="Q28" s="24"/>
      <c r="R28" s="24"/>
      <c r="S28" s="24"/>
    </row>
    <row r="29" spans="1:19" ht="18" customHeight="1" x14ac:dyDescent="0.15">
      <c r="B29" s="88"/>
      <c r="C29" s="89"/>
      <c r="D29" s="89"/>
      <c r="E29" s="90"/>
      <c r="F29" s="24"/>
      <c r="G29" s="24"/>
      <c r="H29" s="24"/>
      <c r="I29" s="24"/>
      <c r="J29" s="88"/>
      <c r="K29" s="89"/>
      <c r="L29" s="89"/>
      <c r="M29" s="89"/>
      <c r="N29" s="89"/>
      <c r="O29" s="90"/>
      <c r="P29" s="24"/>
      <c r="Q29" s="24"/>
      <c r="R29" s="24"/>
      <c r="S29" s="24"/>
    </row>
    <row r="30" spans="1:19" ht="18" customHeight="1" x14ac:dyDescent="0.15">
      <c r="A30" s="3"/>
      <c r="B30" s="88"/>
      <c r="C30" s="89"/>
      <c r="D30" s="89"/>
      <c r="E30" s="90"/>
      <c r="F30" s="24"/>
      <c r="G30" s="24"/>
      <c r="H30" s="24"/>
      <c r="I30" s="24"/>
      <c r="J30" s="88"/>
      <c r="K30" s="89"/>
      <c r="L30" s="89"/>
      <c r="M30" s="89"/>
      <c r="N30" s="89"/>
      <c r="O30" s="90"/>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4" t="s">
        <v>54</v>
      </c>
      <c r="C35" s="95"/>
      <c r="D35" s="95"/>
      <c r="E35" s="96"/>
      <c r="F35" s="61" t="s">
        <v>81</v>
      </c>
      <c r="G35" s="60" t="s">
        <v>85</v>
      </c>
      <c r="H35" s="22" t="s">
        <v>72</v>
      </c>
      <c r="I35" s="22" t="s">
        <v>73</v>
      </c>
      <c r="J35" s="94" t="s">
        <v>54</v>
      </c>
      <c r="K35" s="95"/>
      <c r="L35" s="95"/>
      <c r="M35" s="95"/>
      <c r="N35" s="95"/>
      <c r="O35" s="96"/>
      <c r="P35" s="61" t="s">
        <v>81</v>
      </c>
      <c r="Q35" s="60" t="s">
        <v>85</v>
      </c>
      <c r="R35" s="22" t="s">
        <v>72</v>
      </c>
      <c r="S35" s="22" t="s">
        <v>73</v>
      </c>
    </row>
    <row r="36" spans="1:19" ht="18" customHeight="1" x14ac:dyDescent="0.15">
      <c r="B36" s="98" t="s">
        <v>135</v>
      </c>
      <c r="C36" s="99"/>
      <c r="D36" s="99"/>
      <c r="E36" s="100"/>
      <c r="F36" s="23">
        <v>2</v>
      </c>
      <c r="G36" s="23" t="s">
        <v>136</v>
      </c>
      <c r="H36" s="23" t="s">
        <v>136</v>
      </c>
      <c r="I36" s="23" t="s">
        <v>136</v>
      </c>
      <c r="J36" s="98"/>
      <c r="K36" s="99"/>
      <c r="L36" s="99"/>
      <c r="M36" s="99"/>
      <c r="N36" s="99"/>
      <c r="O36" s="100"/>
      <c r="P36" s="23"/>
      <c r="Q36" s="23"/>
      <c r="R36" s="23"/>
      <c r="S36" s="23"/>
    </row>
    <row r="37" spans="1:19" ht="18" customHeight="1" x14ac:dyDescent="0.15">
      <c r="B37" s="88" t="s">
        <v>139</v>
      </c>
      <c r="C37" s="89"/>
      <c r="D37" s="89"/>
      <c r="E37" s="90"/>
      <c r="F37" s="24">
        <v>1</v>
      </c>
      <c r="G37" s="24" t="s">
        <v>136</v>
      </c>
      <c r="H37" s="24" t="s">
        <v>136</v>
      </c>
      <c r="I37" s="24"/>
      <c r="J37" s="88"/>
      <c r="K37" s="89"/>
      <c r="L37" s="89"/>
      <c r="M37" s="89"/>
      <c r="N37" s="89"/>
      <c r="O37" s="90"/>
      <c r="P37" s="24"/>
      <c r="Q37" s="24"/>
      <c r="R37" s="24"/>
      <c r="S37" s="24"/>
    </row>
    <row r="38" spans="1:19" ht="18" customHeight="1" x14ac:dyDescent="0.15">
      <c r="B38" s="88"/>
      <c r="C38" s="89"/>
      <c r="D38" s="89"/>
      <c r="E38" s="90"/>
      <c r="F38" s="24"/>
      <c r="G38" s="24"/>
      <c r="H38" s="24"/>
      <c r="I38" s="24"/>
      <c r="J38" s="88"/>
      <c r="K38" s="89"/>
      <c r="L38" s="89"/>
      <c r="M38" s="89"/>
      <c r="N38" s="89"/>
      <c r="O38" s="90"/>
      <c r="P38" s="24"/>
      <c r="Q38" s="24"/>
      <c r="R38" s="24"/>
      <c r="S38" s="24"/>
    </row>
    <row r="39" spans="1:19" ht="18" customHeight="1" x14ac:dyDescent="0.15">
      <c r="B39" s="88"/>
      <c r="C39" s="89"/>
      <c r="D39" s="89"/>
      <c r="E39" s="90"/>
      <c r="F39" s="24"/>
      <c r="G39" s="24"/>
      <c r="H39" s="24"/>
      <c r="I39" s="24"/>
      <c r="J39" s="88"/>
      <c r="K39" s="89"/>
      <c r="L39" s="89"/>
      <c r="M39" s="89"/>
      <c r="N39" s="89"/>
      <c r="O39" s="90"/>
      <c r="P39" s="24"/>
      <c r="Q39" s="24"/>
      <c r="R39" s="24"/>
      <c r="S39" s="24"/>
    </row>
    <row r="40" spans="1:19" ht="18" customHeight="1" x14ac:dyDescent="0.15">
      <c r="B40" s="88"/>
      <c r="C40" s="89"/>
      <c r="D40" s="89"/>
      <c r="E40" s="90"/>
      <c r="F40" s="24"/>
      <c r="G40" s="24"/>
      <c r="H40" s="24"/>
      <c r="I40" s="24"/>
      <c r="J40" s="88"/>
      <c r="K40" s="89"/>
      <c r="L40" s="89"/>
      <c r="M40" s="89"/>
      <c r="N40" s="89"/>
      <c r="O40" s="90"/>
      <c r="P40" s="24"/>
      <c r="Q40" s="24"/>
      <c r="R40" s="24"/>
      <c r="S40" s="24"/>
    </row>
    <row r="41" spans="1:19" ht="18" customHeight="1" x14ac:dyDescent="0.15">
      <c r="B41" s="88"/>
      <c r="C41" s="89"/>
      <c r="D41" s="89"/>
      <c r="E41" s="90"/>
      <c r="F41" s="24"/>
      <c r="G41" s="24"/>
      <c r="H41" s="24"/>
      <c r="I41" s="24"/>
      <c r="J41" s="88"/>
      <c r="K41" s="89"/>
      <c r="L41" s="89"/>
      <c r="M41" s="89"/>
      <c r="N41" s="89"/>
      <c r="O41" s="90"/>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4" t="s">
        <v>54</v>
      </c>
      <c r="C46" s="95"/>
      <c r="D46" s="95"/>
      <c r="E46" s="96"/>
      <c r="F46" s="61" t="s">
        <v>81</v>
      </c>
      <c r="G46" s="60" t="s">
        <v>85</v>
      </c>
      <c r="H46" s="22" t="s">
        <v>74</v>
      </c>
      <c r="I46" s="22" t="s">
        <v>75</v>
      </c>
      <c r="J46" s="94" t="s">
        <v>54</v>
      </c>
      <c r="K46" s="95"/>
      <c r="L46" s="95"/>
      <c r="M46" s="95"/>
      <c r="N46" s="95"/>
      <c r="O46" s="96"/>
      <c r="P46" s="61" t="s">
        <v>81</v>
      </c>
      <c r="Q46" s="60" t="s">
        <v>85</v>
      </c>
      <c r="R46" s="22" t="s">
        <v>74</v>
      </c>
      <c r="S46" s="22" t="s">
        <v>75</v>
      </c>
    </row>
    <row r="47" spans="1:19" ht="18" customHeight="1" x14ac:dyDescent="0.15">
      <c r="A47" s="3"/>
      <c r="B47" s="98" t="s">
        <v>135</v>
      </c>
      <c r="C47" s="99"/>
      <c r="D47" s="99"/>
      <c r="E47" s="100"/>
      <c r="F47" s="23">
        <v>2</v>
      </c>
      <c r="G47" s="23" t="s">
        <v>136</v>
      </c>
      <c r="H47" s="23" t="s">
        <v>136</v>
      </c>
      <c r="I47" s="23" t="s">
        <v>136</v>
      </c>
      <c r="J47" s="98"/>
      <c r="K47" s="99"/>
      <c r="L47" s="99"/>
      <c r="M47" s="99"/>
      <c r="N47" s="99"/>
      <c r="O47" s="100"/>
      <c r="P47" s="23"/>
      <c r="Q47" s="23"/>
      <c r="R47" s="23"/>
      <c r="S47" s="23"/>
    </row>
    <row r="48" spans="1:19" ht="18" customHeight="1" x14ac:dyDescent="0.15">
      <c r="A48" s="3"/>
      <c r="B48" s="88" t="s">
        <v>137</v>
      </c>
      <c r="C48" s="89"/>
      <c r="D48" s="89"/>
      <c r="E48" s="90"/>
      <c r="F48" s="24">
        <v>2</v>
      </c>
      <c r="G48" s="24" t="s">
        <v>136</v>
      </c>
      <c r="H48" s="24" t="s">
        <v>136</v>
      </c>
      <c r="I48" s="24"/>
      <c r="J48" s="88"/>
      <c r="K48" s="89"/>
      <c r="L48" s="89"/>
      <c r="M48" s="89"/>
      <c r="N48" s="89"/>
      <c r="O48" s="90"/>
      <c r="P48" s="24"/>
      <c r="Q48" s="24"/>
      <c r="R48" s="24"/>
      <c r="S48" s="24"/>
    </row>
    <row r="49" spans="1:19" ht="18" customHeight="1" x14ac:dyDescent="0.15">
      <c r="A49" s="3"/>
      <c r="B49" s="88"/>
      <c r="C49" s="89"/>
      <c r="D49" s="89"/>
      <c r="E49" s="90"/>
      <c r="F49" s="24"/>
      <c r="G49" s="24"/>
      <c r="H49" s="24"/>
      <c r="I49" s="24"/>
      <c r="J49" s="88"/>
      <c r="K49" s="89"/>
      <c r="L49" s="89"/>
      <c r="M49" s="89"/>
      <c r="N49" s="89"/>
      <c r="O49" s="90"/>
      <c r="P49" s="24"/>
      <c r="Q49" s="24"/>
      <c r="R49" s="24"/>
      <c r="S49" s="24"/>
    </row>
    <row r="50" spans="1:19" ht="18" customHeight="1" x14ac:dyDescent="0.15">
      <c r="A50" s="3"/>
      <c r="B50" s="88"/>
      <c r="C50" s="89"/>
      <c r="D50" s="89"/>
      <c r="E50" s="90"/>
      <c r="F50" s="24"/>
      <c r="G50" s="24"/>
      <c r="H50" s="24"/>
      <c r="I50" s="24"/>
      <c r="J50" s="88"/>
      <c r="K50" s="89"/>
      <c r="L50" s="89"/>
      <c r="M50" s="89"/>
      <c r="N50" s="89"/>
      <c r="O50" s="90"/>
      <c r="P50" s="24"/>
      <c r="Q50" s="24"/>
      <c r="R50" s="24"/>
      <c r="S50" s="24"/>
    </row>
    <row r="51" spans="1:19" ht="18" customHeight="1" x14ac:dyDescent="0.15">
      <c r="A51" s="3"/>
      <c r="B51" s="88"/>
      <c r="C51" s="89"/>
      <c r="D51" s="89"/>
      <c r="E51" s="90"/>
      <c r="F51" s="24"/>
      <c r="G51" s="24"/>
      <c r="H51" s="24"/>
      <c r="I51" s="24"/>
      <c r="J51" s="88"/>
      <c r="K51" s="89"/>
      <c r="L51" s="89"/>
      <c r="M51" s="89"/>
      <c r="N51" s="89"/>
      <c r="O51" s="90"/>
      <c r="P51" s="24"/>
      <c r="Q51" s="24"/>
      <c r="R51" s="24"/>
      <c r="S51" s="24"/>
    </row>
    <row r="52" spans="1:19" ht="18" customHeight="1" x14ac:dyDescent="0.15">
      <c r="A52" s="3"/>
      <c r="B52" s="88"/>
      <c r="C52" s="89"/>
      <c r="D52" s="89"/>
      <c r="E52" s="90"/>
      <c r="F52" s="24"/>
      <c r="G52" s="24"/>
      <c r="H52" s="24"/>
      <c r="I52" s="24"/>
      <c r="J52" s="88"/>
      <c r="K52" s="89"/>
      <c r="L52" s="89"/>
      <c r="M52" s="89"/>
      <c r="N52" s="89"/>
      <c r="O52" s="90"/>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4" t="s">
        <v>54</v>
      </c>
      <c r="C57" s="95"/>
      <c r="D57" s="95"/>
      <c r="E57" s="96"/>
      <c r="F57" s="61" t="s">
        <v>81</v>
      </c>
      <c r="G57" s="60" t="s">
        <v>85</v>
      </c>
      <c r="H57" s="22" t="s">
        <v>59</v>
      </c>
      <c r="I57" s="22" t="s">
        <v>61</v>
      </c>
      <c r="J57" s="94" t="s">
        <v>54</v>
      </c>
      <c r="K57" s="95"/>
      <c r="L57" s="95"/>
      <c r="M57" s="95"/>
      <c r="N57" s="95"/>
      <c r="O57" s="96"/>
      <c r="P57" s="61" t="s">
        <v>81</v>
      </c>
      <c r="Q57" s="60" t="s">
        <v>85</v>
      </c>
      <c r="R57" s="22" t="s">
        <v>59</v>
      </c>
      <c r="S57" s="22" t="s">
        <v>61</v>
      </c>
    </row>
    <row r="58" spans="1:19" ht="18" customHeight="1" x14ac:dyDescent="0.15">
      <c r="A58" s="3"/>
      <c r="B58" s="98" t="s">
        <v>135</v>
      </c>
      <c r="C58" s="99"/>
      <c r="D58" s="99"/>
      <c r="E58" s="100"/>
      <c r="F58" s="23">
        <v>2</v>
      </c>
      <c r="G58" s="23" t="s">
        <v>136</v>
      </c>
      <c r="H58" s="23" t="s">
        <v>136</v>
      </c>
      <c r="I58" s="23" t="s">
        <v>136</v>
      </c>
      <c r="J58" s="98"/>
      <c r="K58" s="99"/>
      <c r="L58" s="99"/>
      <c r="M58" s="99"/>
      <c r="N58" s="99"/>
      <c r="O58" s="100"/>
      <c r="P58" s="23"/>
      <c r="Q58" s="23"/>
      <c r="R58" s="23"/>
      <c r="S58" s="23"/>
    </row>
    <row r="59" spans="1:19" ht="18" customHeight="1" x14ac:dyDescent="0.15">
      <c r="A59" s="3"/>
      <c r="B59" s="88" t="s">
        <v>137</v>
      </c>
      <c r="C59" s="89"/>
      <c r="D59" s="89"/>
      <c r="E59" s="90"/>
      <c r="F59" s="24">
        <v>2</v>
      </c>
      <c r="G59" s="24" t="s">
        <v>136</v>
      </c>
      <c r="H59" s="24" t="s">
        <v>136</v>
      </c>
      <c r="I59" s="24" t="s">
        <v>136</v>
      </c>
      <c r="J59" s="88"/>
      <c r="K59" s="89"/>
      <c r="L59" s="89"/>
      <c r="M59" s="89"/>
      <c r="N59" s="89"/>
      <c r="O59" s="90"/>
      <c r="P59" s="24"/>
      <c r="Q59" s="24"/>
      <c r="R59" s="24"/>
      <c r="S59" s="24"/>
    </row>
    <row r="60" spans="1:19" ht="18" customHeight="1" x14ac:dyDescent="0.15">
      <c r="A60" s="3"/>
      <c r="B60" s="88" t="s">
        <v>138</v>
      </c>
      <c r="C60" s="89"/>
      <c r="D60" s="89"/>
      <c r="E60" s="90"/>
      <c r="F60" s="24">
        <v>1</v>
      </c>
      <c r="G60" s="24" t="s">
        <v>136</v>
      </c>
      <c r="H60" s="24" t="s">
        <v>136</v>
      </c>
      <c r="I60" s="24"/>
      <c r="J60" s="88"/>
      <c r="K60" s="89"/>
      <c r="L60" s="89"/>
      <c r="M60" s="89"/>
      <c r="N60" s="89"/>
      <c r="O60" s="90"/>
      <c r="P60" s="24"/>
      <c r="Q60" s="24"/>
      <c r="R60" s="24"/>
      <c r="S60" s="24"/>
    </row>
    <row r="61" spans="1:19" ht="18" customHeight="1" x14ac:dyDescent="0.15">
      <c r="A61" s="3"/>
      <c r="B61" s="88" t="s">
        <v>139</v>
      </c>
      <c r="C61" s="89"/>
      <c r="D61" s="89"/>
      <c r="E61" s="90"/>
      <c r="F61" s="24">
        <v>1</v>
      </c>
      <c r="G61" s="24" t="s">
        <v>136</v>
      </c>
      <c r="H61" s="24" t="s">
        <v>136</v>
      </c>
      <c r="I61" s="24"/>
      <c r="J61" s="88"/>
      <c r="K61" s="89"/>
      <c r="L61" s="89"/>
      <c r="M61" s="89"/>
      <c r="N61" s="89"/>
      <c r="O61" s="90"/>
      <c r="P61" s="24"/>
      <c r="Q61" s="24"/>
      <c r="R61" s="24"/>
      <c r="S61" s="24"/>
    </row>
    <row r="62" spans="1:19" ht="18" customHeight="1" x14ac:dyDescent="0.15">
      <c r="A62" s="3"/>
      <c r="B62" s="88" t="s">
        <v>140</v>
      </c>
      <c r="C62" s="89"/>
      <c r="D62" s="89"/>
      <c r="E62" s="90"/>
      <c r="F62" s="24">
        <v>2</v>
      </c>
      <c r="G62" s="24"/>
      <c r="H62" s="24" t="s">
        <v>136</v>
      </c>
      <c r="I62" s="24"/>
      <c r="J62" s="88"/>
      <c r="K62" s="89"/>
      <c r="L62" s="89"/>
      <c r="M62" s="89"/>
      <c r="N62" s="89"/>
      <c r="O62" s="90"/>
      <c r="P62" s="24"/>
      <c r="Q62" s="24"/>
      <c r="R62" s="24"/>
      <c r="S62" s="24"/>
    </row>
    <row r="63" spans="1:19" ht="18" customHeight="1" x14ac:dyDescent="0.15">
      <c r="A63" s="3"/>
      <c r="B63" s="88"/>
      <c r="C63" s="89"/>
      <c r="D63" s="89"/>
      <c r="E63" s="90"/>
      <c r="F63" s="24"/>
      <c r="G63" s="24"/>
      <c r="H63" s="24"/>
      <c r="I63" s="24"/>
      <c r="J63" s="88"/>
      <c r="K63" s="89"/>
      <c r="L63" s="89"/>
      <c r="M63" s="89"/>
      <c r="N63" s="89"/>
      <c r="O63" s="90"/>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4" t="s">
        <v>54</v>
      </c>
      <c r="C68" s="95"/>
      <c r="D68" s="95"/>
      <c r="E68" s="61" t="s">
        <v>81</v>
      </c>
      <c r="F68" s="60" t="s">
        <v>85</v>
      </c>
      <c r="G68" s="22" t="s">
        <v>102</v>
      </c>
      <c r="H68" s="22" t="s">
        <v>76</v>
      </c>
      <c r="I68" s="22" t="s">
        <v>77</v>
      </c>
      <c r="J68" s="94" t="s">
        <v>54</v>
      </c>
      <c r="K68" s="95"/>
      <c r="L68" s="95"/>
      <c r="M68" s="95"/>
      <c r="N68" s="96"/>
      <c r="O68" s="61" t="s">
        <v>81</v>
      </c>
      <c r="P68" s="60" t="s">
        <v>85</v>
      </c>
      <c r="Q68" s="22" t="s">
        <v>102</v>
      </c>
      <c r="R68" s="22" t="s">
        <v>76</v>
      </c>
      <c r="S68" s="22" t="s">
        <v>77</v>
      </c>
    </row>
    <row r="69" spans="1:19" ht="18" customHeight="1" x14ac:dyDescent="0.15">
      <c r="A69" s="3"/>
      <c r="B69" s="98" t="s">
        <v>139</v>
      </c>
      <c r="C69" s="99"/>
      <c r="D69" s="99"/>
      <c r="E69" s="23">
        <v>1</v>
      </c>
      <c r="F69" s="23" t="s">
        <v>136</v>
      </c>
      <c r="G69" s="23" t="s">
        <v>136</v>
      </c>
      <c r="H69" s="23" t="s">
        <v>136</v>
      </c>
      <c r="I69" s="23" t="s">
        <v>136</v>
      </c>
      <c r="J69" s="98"/>
      <c r="K69" s="99"/>
      <c r="L69" s="99"/>
      <c r="M69" s="99"/>
      <c r="N69" s="100"/>
      <c r="O69" s="23"/>
      <c r="P69" s="23"/>
      <c r="Q69" s="23"/>
      <c r="R69" s="23"/>
      <c r="S69" s="23"/>
    </row>
    <row r="70" spans="1:19" ht="18" customHeight="1" x14ac:dyDescent="0.15">
      <c r="A70" s="3"/>
      <c r="B70" s="88" t="s">
        <v>141</v>
      </c>
      <c r="C70" s="89"/>
      <c r="D70" s="89"/>
      <c r="E70" s="24">
        <v>2</v>
      </c>
      <c r="F70" s="24"/>
      <c r="G70" s="24" t="s">
        <v>136</v>
      </c>
      <c r="H70" s="24" t="s">
        <v>136</v>
      </c>
      <c r="I70" s="24" t="s">
        <v>136</v>
      </c>
      <c r="J70" s="88"/>
      <c r="K70" s="89"/>
      <c r="L70" s="89"/>
      <c r="M70" s="89"/>
      <c r="N70" s="90"/>
      <c r="O70" s="24"/>
      <c r="P70" s="24"/>
      <c r="Q70" s="24"/>
      <c r="R70" s="24"/>
      <c r="S70" s="24"/>
    </row>
    <row r="71" spans="1:19" ht="18" customHeight="1" x14ac:dyDescent="0.15">
      <c r="A71" s="3"/>
      <c r="B71" s="88" t="s">
        <v>140</v>
      </c>
      <c r="C71" s="89"/>
      <c r="D71" s="89"/>
      <c r="E71" s="24">
        <v>2</v>
      </c>
      <c r="F71" s="24"/>
      <c r="G71" s="24" t="s">
        <v>136</v>
      </c>
      <c r="H71" s="24" t="s">
        <v>136</v>
      </c>
      <c r="I71" s="24" t="s">
        <v>136</v>
      </c>
      <c r="J71" s="88"/>
      <c r="K71" s="89"/>
      <c r="L71" s="89"/>
      <c r="M71" s="89"/>
      <c r="N71" s="90"/>
      <c r="O71" s="24"/>
      <c r="P71" s="24"/>
      <c r="Q71" s="24"/>
      <c r="R71" s="24"/>
      <c r="S71" s="24"/>
    </row>
    <row r="72" spans="1:19" ht="18" customHeight="1" x14ac:dyDescent="0.15">
      <c r="A72" s="3"/>
      <c r="B72" s="88"/>
      <c r="C72" s="89"/>
      <c r="D72" s="89"/>
      <c r="E72" s="24"/>
      <c r="F72" s="24"/>
      <c r="G72" s="24"/>
      <c r="H72" s="24"/>
      <c r="I72" s="24"/>
      <c r="J72" s="88"/>
      <c r="K72" s="89"/>
      <c r="L72" s="89"/>
      <c r="M72" s="89"/>
      <c r="N72" s="90"/>
      <c r="O72" s="24"/>
      <c r="P72" s="24"/>
      <c r="Q72" s="24"/>
      <c r="R72" s="24"/>
      <c r="S72" s="24"/>
    </row>
    <row r="73" spans="1:19" ht="18" customHeight="1" x14ac:dyDescent="0.15">
      <c r="A73" s="3"/>
      <c r="B73" s="88"/>
      <c r="C73" s="89"/>
      <c r="D73" s="89"/>
      <c r="E73" s="24"/>
      <c r="F73" s="24"/>
      <c r="G73" s="24"/>
      <c r="H73" s="24"/>
      <c r="I73" s="24"/>
      <c r="J73" s="88"/>
      <c r="K73" s="89"/>
      <c r="L73" s="89"/>
      <c r="M73" s="89"/>
      <c r="N73" s="90"/>
      <c r="O73" s="24"/>
      <c r="P73" s="24"/>
      <c r="Q73" s="24"/>
      <c r="R73" s="24"/>
      <c r="S73" s="24"/>
    </row>
    <row r="74" spans="1:19" ht="18" customHeight="1" x14ac:dyDescent="0.15">
      <c r="A74" s="3"/>
      <c r="B74" s="88"/>
      <c r="C74" s="89"/>
      <c r="D74" s="89"/>
      <c r="E74" s="24"/>
      <c r="F74" s="24"/>
      <c r="G74" s="24"/>
      <c r="H74" s="24"/>
      <c r="I74" s="24"/>
      <c r="J74" s="88"/>
      <c r="K74" s="89"/>
      <c r="L74" s="89"/>
      <c r="M74" s="89"/>
      <c r="N74" s="90"/>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4" t="s">
        <v>54</v>
      </c>
      <c r="C78" s="95"/>
      <c r="D78" s="95"/>
      <c r="E78" s="96"/>
      <c r="F78" s="94" t="s">
        <v>83</v>
      </c>
      <c r="G78" s="95"/>
      <c r="H78" s="95"/>
      <c r="I78" s="96"/>
      <c r="J78" s="143" t="s">
        <v>54</v>
      </c>
      <c r="K78" s="144"/>
      <c r="L78" s="144"/>
      <c r="M78" s="144"/>
      <c r="N78" s="144"/>
      <c r="O78" s="145"/>
      <c r="P78" s="94" t="s">
        <v>83</v>
      </c>
      <c r="Q78" s="95"/>
      <c r="R78" s="95"/>
      <c r="S78" s="96"/>
    </row>
    <row r="79" spans="1:19" ht="18" customHeight="1" x14ac:dyDescent="0.15">
      <c r="A79" s="3"/>
      <c r="B79" s="98"/>
      <c r="C79" s="99"/>
      <c r="D79" s="99"/>
      <c r="E79" s="100"/>
      <c r="F79" s="158"/>
      <c r="G79" s="159"/>
      <c r="H79" s="159"/>
      <c r="I79" s="160"/>
      <c r="J79" s="98"/>
      <c r="K79" s="99"/>
      <c r="L79" s="99"/>
      <c r="M79" s="99"/>
      <c r="N79" s="99"/>
      <c r="O79" s="100"/>
      <c r="P79" s="158"/>
      <c r="Q79" s="159"/>
      <c r="R79" s="159"/>
      <c r="S79" s="160"/>
    </row>
    <row r="80" spans="1:19" ht="18" customHeight="1" x14ac:dyDescent="0.15">
      <c r="A80" s="3"/>
      <c r="B80" s="88"/>
      <c r="C80" s="89"/>
      <c r="D80" s="89"/>
      <c r="E80" s="90"/>
      <c r="F80" s="127"/>
      <c r="G80" s="128"/>
      <c r="H80" s="128"/>
      <c r="I80" s="129"/>
      <c r="J80" s="88"/>
      <c r="K80" s="89"/>
      <c r="L80" s="89"/>
      <c r="M80" s="89"/>
      <c r="N80" s="89"/>
      <c r="O80" s="90"/>
      <c r="P80" s="127"/>
      <c r="Q80" s="128"/>
      <c r="R80" s="128"/>
      <c r="S80" s="129"/>
    </row>
    <row r="81" spans="1:19" ht="18" customHeight="1" x14ac:dyDescent="0.15">
      <c r="A81" s="3"/>
      <c r="B81" s="88"/>
      <c r="C81" s="89"/>
      <c r="D81" s="89"/>
      <c r="E81" s="90"/>
      <c r="F81" s="127"/>
      <c r="G81" s="128"/>
      <c r="H81" s="128"/>
      <c r="I81" s="129"/>
      <c r="J81" s="88"/>
      <c r="K81" s="89"/>
      <c r="L81" s="89"/>
      <c r="M81" s="89"/>
      <c r="N81" s="89"/>
      <c r="O81" s="90"/>
      <c r="P81" s="127"/>
      <c r="Q81" s="128"/>
      <c r="R81" s="128"/>
      <c r="S81" s="129"/>
    </row>
    <row r="82" spans="1:19" ht="18" customHeight="1" x14ac:dyDescent="0.15">
      <c r="A82" s="3"/>
      <c r="B82" s="88"/>
      <c r="C82" s="89"/>
      <c r="D82" s="89"/>
      <c r="E82" s="90"/>
      <c r="F82" s="127"/>
      <c r="G82" s="128"/>
      <c r="H82" s="128"/>
      <c r="I82" s="129"/>
      <c r="J82" s="88"/>
      <c r="K82" s="89"/>
      <c r="L82" s="89"/>
      <c r="M82" s="89"/>
      <c r="N82" s="89"/>
      <c r="O82" s="90"/>
      <c r="P82" s="127"/>
      <c r="Q82" s="128"/>
      <c r="R82" s="128"/>
      <c r="S82" s="129"/>
    </row>
    <row r="83" spans="1:19" ht="18" customHeight="1" x14ac:dyDescent="0.15">
      <c r="A83" s="3"/>
      <c r="B83" s="88"/>
      <c r="C83" s="89"/>
      <c r="D83" s="89"/>
      <c r="E83" s="90"/>
      <c r="F83" s="127"/>
      <c r="G83" s="128"/>
      <c r="H83" s="128"/>
      <c r="I83" s="129"/>
      <c r="J83" s="88"/>
      <c r="K83" s="89"/>
      <c r="L83" s="89"/>
      <c r="M83" s="89"/>
      <c r="N83" s="89"/>
      <c r="O83" s="90"/>
      <c r="P83" s="127"/>
      <c r="Q83" s="128"/>
      <c r="R83" s="128"/>
      <c r="S83" s="129"/>
    </row>
    <row r="84" spans="1:19" ht="18" customHeight="1" x14ac:dyDescent="0.15">
      <c r="A84" s="3"/>
      <c r="B84" s="88"/>
      <c r="C84" s="89"/>
      <c r="D84" s="89"/>
      <c r="E84" s="90"/>
      <c r="F84" s="127"/>
      <c r="G84" s="128"/>
      <c r="H84" s="128"/>
      <c r="I84" s="129"/>
      <c r="J84" s="88"/>
      <c r="K84" s="89"/>
      <c r="L84" s="89"/>
      <c r="M84" s="89"/>
      <c r="N84" s="89"/>
      <c r="O84" s="90"/>
      <c r="P84" s="127"/>
      <c r="Q84" s="128"/>
      <c r="R84" s="128"/>
      <c r="S84" s="129"/>
    </row>
    <row r="85" spans="1:19" ht="18" customHeight="1" x14ac:dyDescent="0.15">
      <c r="A85" s="3"/>
      <c r="B85" s="91"/>
      <c r="C85" s="92"/>
      <c r="D85" s="92"/>
      <c r="E85" s="93"/>
      <c r="F85" s="124"/>
      <c r="G85" s="125"/>
      <c r="H85" s="125"/>
      <c r="I85" s="126"/>
      <c r="J85" s="91"/>
      <c r="K85" s="92"/>
      <c r="L85" s="92"/>
      <c r="M85" s="92"/>
      <c r="N85" s="92"/>
      <c r="O85" s="93"/>
      <c r="P85" s="124"/>
      <c r="Q85" s="125"/>
      <c r="R85" s="125"/>
      <c r="S85" s="126"/>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6" t="s">
        <v>55</v>
      </c>
      <c r="C88" s="157"/>
      <c r="D88" s="95" t="s">
        <v>56</v>
      </c>
      <c r="E88" s="95"/>
      <c r="F88" s="95"/>
      <c r="G88" s="95"/>
      <c r="H88" s="95"/>
      <c r="I88" s="95"/>
      <c r="J88" s="95"/>
      <c r="K88" s="95"/>
      <c r="L88" s="95"/>
      <c r="M88" s="95"/>
      <c r="N88" s="95"/>
      <c r="O88" s="95"/>
      <c r="P88" s="95"/>
      <c r="Q88" s="95"/>
      <c r="R88" s="95"/>
      <c r="S88" s="96"/>
    </row>
    <row r="89" spans="1:19" ht="150.75" customHeight="1" x14ac:dyDescent="0.15">
      <c r="B89" s="146" t="s">
        <v>62</v>
      </c>
      <c r="C89" s="28" t="s">
        <v>57</v>
      </c>
      <c r="D89" s="153" t="s">
        <v>169</v>
      </c>
      <c r="E89" s="154"/>
      <c r="F89" s="154"/>
      <c r="G89" s="154"/>
      <c r="H89" s="154"/>
      <c r="I89" s="154"/>
      <c r="J89" s="154"/>
      <c r="K89" s="154"/>
      <c r="L89" s="154"/>
      <c r="M89" s="154"/>
      <c r="N89" s="154"/>
      <c r="O89" s="154"/>
      <c r="P89" s="154"/>
      <c r="Q89" s="154"/>
      <c r="R89" s="154"/>
      <c r="S89" s="155"/>
    </row>
    <row r="90" spans="1:19" ht="99" customHeight="1" x14ac:dyDescent="0.15">
      <c r="B90" s="148"/>
      <c r="C90" s="29" t="s">
        <v>78</v>
      </c>
      <c r="D90" s="130" t="s">
        <v>168</v>
      </c>
      <c r="E90" s="131"/>
      <c r="F90" s="131"/>
      <c r="G90" s="131"/>
      <c r="H90" s="131"/>
      <c r="I90" s="131"/>
      <c r="J90" s="131"/>
      <c r="K90" s="131"/>
      <c r="L90" s="131"/>
      <c r="M90" s="131"/>
      <c r="N90" s="131"/>
      <c r="O90" s="131"/>
      <c r="P90" s="131"/>
      <c r="Q90" s="131"/>
      <c r="R90" s="131"/>
      <c r="S90" s="132"/>
    </row>
    <row r="91" spans="1:19" ht="121.5" customHeight="1" x14ac:dyDescent="0.15">
      <c r="B91" s="146" t="s">
        <v>63</v>
      </c>
      <c r="C91" s="30" t="s">
        <v>72</v>
      </c>
      <c r="D91" s="133" t="s">
        <v>170</v>
      </c>
      <c r="E91" s="134"/>
      <c r="F91" s="134"/>
      <c r="G91" s="134"/>
      <c r="H91" s="134"/>
      <c r="I91" s="134"/>
      <c r="J91" s="134"/>
      <c r="K91" s="134"/>
      <c r="L91" s="134"/>
      <c r="M91" s="134"/>
      <c r="N91" s="134"/>
      <c r="O91" s="134"/>
      <c r="P91" s="134"/>
      <c r="Q91" s="134"/>
      <c r="R91" s="134"/>
      <c r="S91" s="135"/>
    </row>
    <row r="92" spans="1:19" ht="135" customHeight="1" x14ac:dyDescent="0.15">
      <c r="B92" s="147"/>
      <c r="C92" s="31" t="s">
        <v>73</v>
      </c>
      <c r="D92" s="139" t="s">
        <v>171</v>
      </c>
      <c r="E92" s="140"/>
      <c r="F92" s="140"/>
      <c r="G92" s="140"/>
      <c r="H92" s="140"/>
      <c r="I92" s="140"/>
      <c r="J92" s="140"/>
      <c r="K92" s="140"/>
      <c r="L92" s="140"/>
      <c r="M92" s="140"/>
      <c r="N92" s="140"/>
      <c r="O92" s="140"/>
      <c r="P92" s="140"/>
      <c r="Q92" s="140"/>
      <c r="R92" s="140"/>
      <c r="S92" s="141"/>
    </row>
    <row r="93" spans="1:19" ht="192" customHeight="1" x14ac:dyDescent="0.15">
      <c r="B93" s="146" t="s">
        <v>64</v>
      </c>
      <c r="C93" s="30" t="s">
        <v>74</v>
      </c>
      <c r="D93" s="133" t="s">
        <v>177</v>
      </c>
      <c r="E93" s="134"/>
      <c r="F93" s="134"/>
      <c r="G93" s="134"/>
      <c r="H93" s="134"/>
      <c r="I93" s="134"/>
      <c r="J93" s="134"/>
      <c r="K93" s="134"/>
      <c r="L93" s="134"/>
      <c r="M93" s="134"/>
      <c r="N93" s="134"/>
      <c r="O93" s="134"/>
      <c r="P93" s="134"/>
      <c r="Q93" s="134"/>
      <c r="R93" s="134"/>
      <c r="S93" s="135"/>
    </row>
    <row r="94" spans="1:19" ht="87" customHeight="1" x14ac:dyDescent="0.15">
      <c r="B94" s="147"/>
      <c r="C94" s="32" t="s">
        <v>75</v>
      </c>
      <c r="D94" s="136" t="s">
        <v>173</v>
      </c>
      <c r="E94" s="137"/>
      <c r="F94" s="137"/>
      <c r="G94" s="137"/>
      <c r="H94" s="137"/>
      <c r="I94" s="137"/>
      <c r="J94" s="137"/>
      <c r="K94" s="137"/>
      <c r="L94" s="137"/>
      <c r="M94" s="137"/>
      <c r="N94" s="137"/>
      <c r="O94" s="137"/>
      <c r="P94" s="137"/>
      <c r="Q94" s="137"/>
      <c r="R94" s="137"/>
      <c r="S94" s="138"/>
    </row>
    <row r="95" spans="1:19" ht="357" customHeight="1" x14ac:dyDescent="0.15">
      <c r="B95" s="146" t="s">
        <v>79</v>
      </c>
      <c r="C95" s="28" t="s">
        <v>59</v>
      </c>
      <c r="D95" s="153" t="s">
        <v>176</v>
      </c>
      <c r="E95" s="154"/>
      <c r="F95" s="154"/>
      <c r="G95" s="154"/>
      <c r="H95" s="154"/>
      <c r="I95" s="154"/>
      <c r="J95" s="154"/>
      <c r="K95" s="154"/>
      <c r="L95" s="154"/>
      <c r="M95" s="154"/>
      <c r="N95" s="154"/>
      <c r="O95" s="154"/>
      <c r="P95" s="154"/>
      <c r="Q95" s="154"/>
      <c r="R95" s="154"/>
      <c r="S95" s="155"/>
    </row>
    <row r="96" spans="1:19" ht="247.5" customHeight="1" x14ac:dyDescent="0.15">
      <c r="B96" s="147"/>
      <c r="C96" s="31" t="s">
        <v>61</v>
      </c>
      <c r="D96" s="139" t="s">
        <v>178</v>
      </c>
      <c r="E96" s="140"/>
      <c r="F96" s="140"/>
      <c r="G96" s="140"/>
      <c r="H96" s="140"/>
      <c r="I96" s="140"/>
      <c r="J96" s="140"/>
      <c r="K96" s="140"/>
      <c r="L96" s="140"/>
      <c r="M96" s="140"/>
      <c r="N96" s="140"/>
      <c r="O96" s="140"/>
      <c r="P96" s="140"/>
      <c r="Q96" s="140"/>
      <c r="R96" s="140"/>
      <c r="S96" s="141"/>
    </row>
    <row r="97" spans="1:19" ht="369" customHeight="1" x14ac:dyDescent="0.15">
      <c r="B97" s="146" t="s">
        <v>80</v>
      </c>
      <c r="C97" s="30" t="s">
        <v>58</v>
      </c>
      <c r="D97" s="149" t="s">
        <v>172</v>
      </c>
      <c r="E97" s="99"/>
      <c r="F97" s="99"/>
      <c r="G97" s="99"/>
      <c r="H97" s="99"/>
      <c r="I97" s="99"/>
      <c r="J97" s="99"/>
      <c r="K97" s="99"/>
      <c r="L97" s="99"/>
      <c r="M97" s="99"/>
      <c r="N97" s="99"/>
      <c r="O97" s="99"/>
      <c r="P97" s="99"/>
      <c r="Q97" s="99"/>
      <c r="R97" s="99"/>
      <c r="S97" s="100"/>
    </row>
    <row r="98" spans="1:19" ht="270" customHeight="1" x14ac:dyDescent="0.15">
      <c r="B98" s="148"/>
      <c r="C98" s="33" t="s">
        <v>76</v>
      </c>
      <c r="D98" s="142" t="s">
        <v>175</v>
      </c>
      <c r="E98" s="89"/>
      <c r="F98" s="89"/>
      <c r="G98" s="89"/>
      <c r="H98" s="89"/>
      <c r="I98" s="89"/>
      <c r="J98" s="89"/>
      <c r="K98" s="89"/>
      <c r="L98" s="89"/>
      <c r="M98" s="89"/>
      <c r="N98" s="89"/>
      <c r="O98" s="89"/>
      <c r="P98" s="89"/>
      <c r="Q98" s="89"/>
      <c r="R98" s="89"/>
      <c r="S98" s="90"/>
    </row>
    <row r="99" spans="1:19" ht="132" customHeight="1" x14ac:dyDescent="0.15">
      <c r="B99" s="147"/>
      <c r="C99" s="32" t="s">
        <v>77</v>
      </c>
      <c r="D99" s="150" t="s">
        <v>174</v>
      </c>
      <c r="E99" s="151"/>
      <c r="F99" s="151"/>
      <c r="G99" s="151"/>
      <c r="H99" s="151"/>
      <c r="I99" s="151"/>
      <c r="J99" s="151"/>
      <c r="K99" s="151"/>
      <c r="L99" s="151"/>
      <c r="M99" s="151"/>
      <c r="N99" s="151"/>
      <c r="O99" s="151"/>
      <c r="P99" s="151"/>
      <c r="Q99" s="151"/>
      <c r="R99" s="151"/>
      <c r="S99" s="152"/>
    </row>
    <row r="100" spans="1:19" ht="6" customHeight="1" x14ac:dyDescent="0.15"/>
    <row r="101" spans="1:19" ht="18.75" customHeight="1" x14ac:dyDescent="0.15">
      <c r="A101" s="1" t="s">
        <v>121</v>
      </c>
    </row>
    <row r="102" spans="1:19" ht="198" customHeight="1" x14ac:dyDescent="0.15">
      <c r="B102" s="121" t="s">
        <v>148</v>
      </c>
      <c r="C102" s="122"/>
      <c r="D102" s="122"/>
      <c r="E102" s="122"/>
      <c r="F102" s="122"/>
      <c r="G102" s="122"/>
      <c r="H102" s="122"/>
      <c r="I102" s="122"/>
      <c r="J102" s="122"/>
      <c r="K102" s="122"/>
      <c r="L102" s="122"/>
      <c r="M102" s="122"/>
      <c r="N102" s="122"/>
      <c r="O102" s="122"/>
      <c r="P102" s="122"/>
      <c r="Q102" s="122"/>
      <c r="R102" s="122"/>
      <c r="S102" s="123"/>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63"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B1" zoomScaleNormal="100" zoomScaleSheetLayoutView="100" workbookViewId="0">
      <selection activeCell="J24" sqref="J2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4" t="str">
        <f>'様式１　プログラムを構成する授業科目'!C2</f>
        <v>高松大学</v>
      </c>
      <c r="AN2" s="164"/>
      <c r="AO2" s="164"/>
      <c r="AP2" s="164"/>
      <c r="AQ2" s="164"/>
    </row>
    <row r="3" spans="1:45" ht="18" customHeight="1" x14ac:dyDescent="0.15">
      <c r="A3" s="108" t="s">
        <v>48</v>
      </c>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5" t="s">
        <v>134</v>
      </c>
      <c r="D5" s="16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7" t="s">
        <v>45</v>
      </c>
      <c r="C9" s="182" t="s">
        <v>87</v>
      </c>
      <c r="D9" s="170" t="s">
        <v>47</v>
      </c>
      <c r="E9" s="173" t="s">
        <v>40</v>
      </c>
      <c r="F9" s="163" t="s">
        <v>86</v>
      </c>
      <c r="G9" s="163"/>
      <c r="H9" s="163"/>
      <c r="I9" s="163"/>
      <c r="J9" s="163"/>
      <c r="K9" s="163"/>
      <c r="L9" s="163" t="s">
        <v>49</v>
      </c>
      <c r="M9" s="163"/>
      <c r="N9" s="163"/>
      <c r="O9" s="163"/>
      <c r="P9" s="163"/>
      <c r="Q9" s="163"/>
      <c r="R9" s="163" t="s">
        <v>50</v>
      </c>
      <c r="S9" s="163"/>
      <c r="T9" s="163"/>
      <c r="U9" s="163"/>
      <c r="V9" s="163"/>
      <c r="W9" s="163"/>
      <c r="X9" s="163" t="s">
        <v>101</v>
      </c>
      <c r="Y9" s="163"/>
      <c r="Z9" s="163"/>
      <c r="AA9" s="163"/>
      <c r="AB9" s="163"/>
      <c r="AC9" s="163"/>
      <c r="AD9" s="163" t="s">
        <v>51</v>
      </c>
      <c r="AE9" s="163"/>
      <c r="AF9" s="163"/>
      <c r="AG9" s="163"/>
      <c r="AH9" s="163"/>
      <c r="AI9" s="163"/>
      <c r="AJ9" s="163" t="s">
        <v>52</v>
      </c>
      <c r="AK9" s="163"/>
      <c r="AL9" s="163"/>
      <c r="AM9" s="163"/>
      <c r="AN9" s="163"/>
      <c r="AO9" s="163"/>
      <c r="AP9" s="176" t="s">
        <v>35</v>
      </c>
      <c r="AQ9" s="179" t="s">
        <v>32</v>
      </c>
      <c r="AS9" s="2"/>
    </row>
    <row r="10" spans="1:45" ht="16.899999999999999" customHeight="1" x14ac:dyDescent="0.15">
      <c r="B10" s="168"/>
      <c r="C10" s="183"/>
      <c r="D10" s="171"/>
      <c r="E10" s="174"/>
      <c r="F10" s="161" t="s">
        <v>97</v>
      </c>
      <c r="G10" s="162"/>
      <c r="H10" s="162"/>
      <c r="I10" s="161" t="s">
        <v>29</v>
      </c>
      <c r="J10" s="162"/>
      <c r="K10" s="162"/>
      <c r="L10" s="161" t="s">
        <v>97</v>
      </c>
      <c r="M10" s="162"/>
      <c r="N10" s="162"/>
      <c r="O10" s="161" t="s">
        <v>29</v>
      </c>
      <c r="P10" s="162"/>
      <c r="Q10" s="162"/>
      <c r="R10" s="161" t="s">
        <v>97</v>
      </c>
      <c r="S10" s="162"/>
      <c r="T10" s="162"/>
      <c r="U10" s="161" t="s">
        <v>29</v>
      </c>
      <c r="V10" s="162"/>
      <c r="W10" s="162"/>
      <c r="X10" s="161" t="s">
        <v>97</v>
      </c>
      <c r="Y10" s="162"/>
      <c r="Z10" s="162"/>
      <c r="AA10" s="161" t="s">
        <v>29</v>
      </c>
      <c r="AB10" s="162"/>
      <c r="AC10" s="162"/>
      <c r="AD10" s="161" t="s">
        <v>97</v>
      </c>
      <c r="AE10" s="162"/>
      <c r="AF10" s="162"/>
      <c r="AG10" s="161" t="s">
        <v>29</v>
      </c>
      <c r="AH10" s="162"/>
      <c r="AI10" s="162"/>
      <c r="AJ10" s="161" t="s">
        <v>97</v>
      </c>
      <c r="AK10" s="162"/>
      <c r="AL10" s="162"/>
      <c r="AM10" s="161" t="s">
        <v>29</v>
      </c>
      <c r="AN10" s="162"/>
      <c r="AO10" s="162"/>
      <c r="AP10" s="177"/>
      <c r="AQ10" s="180"/>
      <c r="AS10" s="2"/>
    </row>
    <row r="11" spans="1:45" ht="18" customHeight="1" x14ac:dyDescent="0.15">
      <c r="B11" s="169"/>
      <c r="C11" s="184"/>
      <c r="D11" s="172"/>
      <c r="E11" s="17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8"/>
      <c r="AQ11" s="181"/>
      <c r="AS11" s="2"/>
    </row>
    <row r="12" spans="1:45" ht="18" customHeight="1" x14ac:dyDescent="0.15">
      <c r="A12" s="6"/>
      <c r="B12" s="11" t="s">
        <v>128</v>
      </c>
      <c r="C12" s="62">
        <v>410</v>
      </c>
      <c r="D12" s="63">
        <v>95</v>
      </c>
      <c r="E12" s="64">
        <v>390</v>
      </c>
      <c r="F12" s="64">
        <f>G12+H12</f>
        <v>113</v>
      </c>
      <c r="G12" s="65">
        <v>93</v>
      </c>
      <c r="H12" s="66">
        <v>20</v>
      </c>
      <c r="I12" s="64">
        <f>J12+K12</f>
        <v>107</v>
      </c>
      <c r="J12" s="65">
        <v>83</v>
      </c>
      <c r="K12" s="66">
        <v>24</v>
      </c>
      <c r="L12" s="64">
        <f>M12+N12</f>
        <v>94</v>
      </c>
      <c r="M12" s="65">
        <v>74</v>
      </c>
      <c r="N12" s="66">
        <v>20</v>
      </c>
      <c r="O12" s="64">
        <f>P12+Q12</f>
        <v>48</v>
      </c>
      <c r="P12" s="65">
        <v>37</v>
      </c>
      <c r="Q12" s="66">
        <v>11</v>
      </c>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207</v>
      </c>
      <c r="AQ12" s="21">
        <f t="shared" ref="AQ12:AQ32" si="0">AP12/E12</f>
        <v>0.53076923076923077</v>
      </c>
    </row>
    <row r="13" spans="1:45" ht="18" customHeight="1" x14ac:dyDescent="0.15">
      <c r="A13" s="6"/>
      <c r="B13" s="12" t="s">
        <v>130</v>
      </c>
      <c r="C13" s="67">
        <v>283</v>
      </c>
      <c r="D13" s="68">
        <v>80</v>
      </c>
      <c r="E13" s="69">
        <v>390</v>
      </c>
      <c r="F13" s="70">
        <f t="shared" ref="F13:F31" si="1">G13+H13</f>
        <v>64</v>
      </c>
      <c r="G13" s="71">
        <v>14</v>
      </c>
      <c r="H13" s="72">
        <v>50</v>
      </c>
      <c r="I13" s="70">
        <f t="shared" ref="I13:I31" si="2">J13+K13</f>
        <v>19</v>
      </c>
      <c r="J13" s="71">
        <v>5</v>
      </c>
      <c r="K13" s="72">
        <v>14</v>
      </c>
      <c r="L13" s="70">
        <f t="shared" ref="L13:L31" si="3">M13+N13</f>
        <v>71</v>
      </c>
      <c r="M13" s="71">
        <v>12</v>
      </c>
      <c r="N13" s="72">
        <v>59</v>
      </c>
      <c r="O13" s="70">
        <f t="shared" ref="O13:O31" si="4">P13+Q13</f>
        <v>21</v>
      </c>
      <c r="P13" s="71">
        <v>3</v>
      </c>
      <c r="Q13" s="72">
        <v>18</v>
      </c>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135</v>
      </c>
      <c r="AQ13" s="20">
        <f t="shared" si="0"/>
        <v>0.34615384615384615</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693</v>
      </c>
      <c r="D32" s="78">
        <f t="shared" ref="D32:AP32" si="15">SUM(D12:D31)</f>
        <v>175</v>
      </c>
      <c r="E32" s="79">
        <f t="shared" si="15"/>
        <v>780</v>
      </c>
      <c r="F32" s="79">
        <f t="shared" si="15"/>
        <v>177</v>
      </c>
      <c r="G32" s="80">
        <f t="shared" si="15"/>
        <v>107</v>
      </c>
      <c r="H32" s="81">
        <f t="shared" si="15"/>
        <v>70</v>
      </c>
      <c r="I32" s="79">
        <f t="shared" ref="I32:N32" si="16">SUM(I12:I31)</f>
        <v>126</v>
      </c>
      <c r="J32" s="80">
        <f t="shared" si="16"/>
        <v>88</v>
      </c>
      <c r="K32" s="81">
        <f t="shared" si="16"/>
        <v>38</v>
      </c>
      <c r="L32" s="79">
        <f t="shared" si="16"/>
        <v>165</v>
      </c>
      <c r="M32" s="80">
        <f t="shared" si="16"/>
        <v>86</v>
      </c>
      <c r="N32" s="81">
        <f t="shared" si="16"/>
        <v>79</v>
      </c>
      <c r="O32" s="79">
        <f t="shared" ref="O32:T32" si="17">SUM(O12:O31)</f>
        <v>69</v>
      </c>
      <c r="P32" s="80">
        <f t="shared" si="17"/>
        <v>40</v>
      </c>
      <c r="Q32" s="81">
        <f t="shared" si="17"/>
        <v>29</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342</v>
      </c>
      <c r="AQ32" s="9">
        <f t="shared" si="0"/>
        <v>0.43846153846153846</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28"/>
  <sheetViews>
    <sheetView showZeros="0" view="pageBreakPreview" zoomScaleNormal="100" zoomScaleSheetLayoutView="100" workbookViewId="0">
      <selection activeCell="Q18" sqref="Q18"/>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4" t="str">
        <f>'様式１　プログラムを構成する授業科目'!C2</f>
        <v>高松大学</v>
      </c>
      <c r="I2" s="96"/>
    </row>
    <row r="3" spans="1:9" ht="18.75" customHeight="1" x14ac:dyDescent="0.15">
      <c r="G3" s="35"/>
      <c r="H3" s="10"/>
      <c r="I3" s="10"/>
    </row>
    <row r="4" spans="1:9" ht="18.600000000000001" customHeight="1" x14ac:dyDescent="0.15">
      <c r="A4" s="108" t="s">
        <v>36</v>
      </c>
      <c r="B4" s="108"/>
      <c r="C4" s="108"/>
      <c r="D4" s="108"/>
      <c r="E4" s="108"/>
      <c r="F4" s="108"/>
      <c r="G4" s="108"/>
      <c r="H4" s="108"/>
      <c r="I4" s="108"/>
    </row>
    <row r="5" spans="1:9" ht="13.15" customHeight="1" x14ac:dyDescent="0.15">
      <c r="B5" s="3"/>
      <c r="C5" s="3"/>
      <c r="D5" s="3"/>
      <c r="E5" s="3"/>
      <c r="F5" s="3"/>
      <c r="G5" s="3"/>
      <c r="H5" s="3"/>
      <c r="I5" s="3"/>
    </row>
    <row r="6" spans="1:9" ht="18" customHeight="1" x14ac:dyDescent="0.15">
      <c r="A6" s="1" t="s">
        <v>0</v>
      </c>
      <c r="B6" s="10" t="s">
        <v>91</v>
      </c>
      <c r="C6" s="235" t="s">
        <v>92</v>
      </c>
      <c r="D6" s="235"/>
      <c r="E6" s="34">
        <v>41</v>
      </c>
      <c r="F6" s="3" t="s">
        <v>1</v>
      </c>
      <c r="G6" s="3" t="s">
        <v>2</v>
      </c>
      <c r="H6" s="34">
        <v>65</v>
      </c>
      <c r="I6" s="10" t="s">
        <v>1</v>
      </c>
    </row>
    <row r="7" spans="1:9" ht="12" customHeight="1" x14ac:dyDescent="0.15">
      <c r="C7" s="2"/>
      <c r="D7" s="2"/>
      <c r="E7" s="2"/>
      <c r="F7" s="2"/>
      <c r="G7" s="2"/>
      <c r="H7" s="2"/>
      <c r="I7" s="42"/>
    </row>
    <row r="8" spans="1:9" ht="18" customHeight="1" x14ac:dyDescent="0.15">
      <c r="A8" s="1" t="s">
        <v>3</v>
      </c>
      <c r="B8" s="10" t="s">
        <v>93</v>
      </c>
      <c r="E8" s="3"/>
      <c r="F8" s="3"/>
      <c r="G8" s="3"/>
      <c r="H8" s="34">
        <v>9</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30" t="s">
        <v>132</v>
      </c>
      <c r="D11" s="233"/>
      <c r="E11" s="234"/>
      <c r="F11" s="42"/>
      <c r="G11" s="35" t="s">
        <v>10</v>
      </c>
      <c r="H11" s="230" t="s">
        <v>133</v>
      </c>
      <c r="I11" s="234"/>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30" t="s">
        <v>142</v>
      </c>
      <c r="C14" s="231"/>
      <c r="D14" s="231"/>
      <c r="E14" s="231"/>
      <c r="F14" s="231"/>
      <c r="G14" s="231"/>
      <c r="H14" s="231"/>
      <c r="I14" s="232"/>
    </row>
    <row r="15" spans="1:9" ht="9" customHeight="1" x14ac:dyDescent="0.15">
      <c r="B15" s="3"/>
      <c r="C15" s="3"/>
      <c r="D15" s="3"/>
      <c r="E15" s="3"/>
      <c r="F15" s="3"/>
      <c r="G15" s="3"/>
      <c r="H15" s="3"/>
      <c r="I15" s="3"/>
    </row>
    <row r="16" spans="1:9" ht="18" customHeight="1" x14ac:dyDescent="0.15">
      <c r="B16" s="35" t="s">
        <v>43</v>
      </c>
      <c r="C16" s="230" t="s">
        <v>143</v>
      </c>
      <c r="D16" s="233"/>
      <c r="E16" s="234"/>
      <c r="F16" s="42"/>
      <c r="G16" s="35" t="s">
        <v>10</v>
      </c>
      <c r="H16" s="230" t="s">
        <v>144</v>
      </c>
      <c r="I16" s="23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3" t="s">
        <v>145</v>
      </c>
      <c r="C19" s="214"/>
      <c r="D19" s="214"/>
      <c r="E19" s="214"/>
      <c r="F19" s="214"/>
      <c r="G19" s="214"/>
      <c r="H19" s="214"/>
      <c r="I19" s="215"/>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3" t="s">
        <v>151</v>
      </c>
      <c r="C22" s="204"/>
      <c r="D22" s="204"/>
      <c r="E22" s="204"/>
      <c r="F22" s="204"/>
      <c r="G22" s="204"/>
      <c r="H22" s="204"/>
      <c r="I22" s="205"/>
    </row>
    <row r="23" spans="1:9" ht="18.75" customHeight="1" x14ac:dyDescent="0.15">
      <c r="A23" s="15"/>
      <c r="B23" s="216"/>
      <c r="C23" s="217"/>
      <c r="D23" s="217"/>
      <c r="E23" s="217"/>
      <c r="F23" s="217"/>
      <c r="G23" s="217"/>
      <c r="H23" s="217"/>
      <c r="I23" s="208"/>
    </row>
    <row r="24" spans="1:9" ht="18.75" customHeight="1" x14ac:dyDescent="0.15">
      <c r="A24" s="15"/>
      <c r="B24" s="216"/>
      <c r="C24" s="217"/>
      <c r="D24" s="217"/>
      <c r="E24" s="217"/>
      <c r="F24" s="217"/>
      <c r="G24" s="217"/>
      <c r="H24" s="217"/>
      <c r="I24" s="208"/>
    </row>
    <row r="25" spans="1:9" ht="18.75" customHeight="1" x14ac:dyDescent="0.15">
      <c r="A25" s="15"/>
      <c r="B25" s="216"/>
      <c r="C25" s="217"/>
      <c r="D25" s="217"/>
      <c r="E25" s="217"/>
      <c r="F25" s="217"/>
      <c r="G25" s="217"/>
      <c r="H25" s="217"/>
      <c r="I25" s="208"/>
    </row>
    <row r="26" spans="1:9" ht="18.75" customHeight="1" x14ac:dyDescent="0.15">
      <c r="A26" s="15"/>
      <c r="B26" s="209"/>
      <c r="C26" s="210"/>
      <c r="D26" s="210"/>
      <c r="E26" s="210"/>
      <c r="F26" s="210"/>
      <c r="G26" s="210"/>
      <c r="H26" s="210"/>
      <c r="I26" s="211"/>
    </row>
    <row r="27" spans="1:9" ht="7.5" customHeight="1" x14ac:dyDescent="0.15">
      <c r="A27" s="15"/>
      <c r="B27" s="15"/>
      <c r="C27" s="15"/>
      <c r="D27" s="15"/>
      <c r="E27" s="15"/>
      <c r="F27" s="15"/>
      <c r="G27" s="15"/>
      <c r="H27" s="15"/>
      <c r="I27" s="15"/>
    </row>
    <row r="28" spans="1:9" ht="18.75" customHeight="1" x14ac:dyDescent="0.15">
      <c r="A28" s="16" t="s">
        <v>6</v>
      </c>
      <c r="B28" s="16" t="s">
        <v>9</v>
      </c>
      <c r="C28" s="10"/>
      <c r="D28" s="16"/>
      <c r="E28" s="16"/>
      <c r="F28" s="16"/>
      <c r="G28" s="16"/>
      <c r="H28" s="16"/>
      <c r="I28" s="16"/>
    </row>
    <row r="29" spans="1:9" ht="18.75" customHeight="1" x14ac:dyDescent="0.15">
      <c r="A29" s="15"/>
      <c r="B29" s="218" t="s">
        <v>150</v>
      </c>
      <c r="C29" s="219"/>
      <c r="D29" s="219"/>
      <c r="E29" s="219"/>
      <c r="F29" s="219"/>
      <c r="G29" s="219"/>
      <c r="H29" s="219"/>
      <c r="I29" s="220"/>
    </row>
    <row r="30" spans="1:9" ht="18.75" customHeight="1" x14ac:dyDescent="0.15">
      <c r="A30" s="15"/>
      <c r="B30" s="221"/>
      <c r="C30" s="222"/>
      <c r="D30" s="222"/>
      <c r="E30" s="222"/>
      <c r="F30" s="222"/>
      <c r="G30" s="222"/>
      <c r="H30" s="222"/>
      <c r="I30" s="223"/>
    </row>
    <row r="31" spans="1:9" ht="18.75" customHeight="1" x14ac:dyDescent="0.15">
      <c r="A31" s="15"/>
      <c r="B31" s="221"/>
      <c r="C31" s="222"/>
      <c r="D31" s="222"/>
      <c r="E31" s="222"/>
      <c r="F31" s="222"/>
      <c r="G31" s="222"/>
      <c r="H31" s="222"/>
      <c r="I31" s="223"/>
    </row>
    <row r="32" spans="1:9" ht="18.75" customHeight="1" x14ac:dyDescent="0.15">
      <c r="A32" s="15"/>
      <c r="B32" s="221"/>
      <c r="C32" s="222"/>
      <c r="D32" s="222"/>
      <c r="E32" s="222"/>
      <c r="F32" s="222"/>
      <c r="G32" s="222"/>
      <c r="H32" s="222"/>
      <c r="I32" s="223"/>
    </row>
    <row r="33" spans="1:15" ht="18.75" customHeight="1" x14ac:dyDescent="0.15">
      <c r="A33" s="15"/>
      <c r="B33" s="221"/>
      <c r="C33" s="222"/>
      <c r="D33" s="222"/>
      <c r="E33" s="222"/>
      <c r="F33" s="222"/>
      <c r="G33" s="222"/>
      <c r="H33" s="222"/>
      <c r="I33" s="223"/>
    </row>
    <row r="34" spans="1:15" ht="18.75" customHeight="1" x14ac:dyDescent="0.15">
      <c r="A34" s="15"/>
      <c r="B34" s="221"/>
      <c r="C34" s="222"/>
      <c r="D34" s="222"/>
      <c r="E34" s="222"/>
      <c r="F34" s="222"/>
      <c r="G34" s="222"/>
      <c r="H34" s="222"/>
      <c r="I34" s="223"/>
    </row>
    <row r="35" spans="1:15" ht="18.75" customHeight="1" x14ac:dyDescent="0.15">
      <c r="A35" s="15"/>
      <c r="B35" s="221"/>
      <c r="C35" s="222"/>
      <c r="D35" s="222"/>
      <c r="E35" s="222"/>
      <c r="F35" s="222"/>
      <c r="G35" s="222"/>
      <c r="H35" s="222"/>
      <c r="I35" s="223"/>
    </row>
    <row r="36" spans="1:15" ht="18.75" customHeight="1" x14ac:dyDescent="0.15">
      <c r="A36" s="15"/>
      <c r="B36" s="221"/>
      <c r="C36" s="222"/>
      <c r="D36" s="222"/>
      <c r="E36" s="222"/>
      <c r="F36" s="222"/>
      <c r="G36" s="222"/>
      <c r="H36" s="222"/>
      <c r="I36" s="223"/>
    </row>
    <row r="37" spans="1:15" ht="18.75" customHeight="1" x14ac:dyDescent="0.15">
      <c r="A37" s="15"/>
      <c r="B37" s="221"/>
      <c r="C37" s="222"/>
      <c r="D37" s="222"/>
      <c r="E37" s="222"/>
      <c r="F37" s="222"/>
      <c r="G37" s="222"/>
      <c r="H37" s="222"/>
      <c r="I37" s="223"/>
    </row>
    <row r="38" spans="1:15" ht="18.75" customHeight="1" x14ac:dyDescent="0.15">
      <c r="A38" s="15"/>
      <c r="B38" s="221"/>
      <c r="C38" s="222"/>
      <c r="D38" s="222"/>
      <c r="E38" s="222"/>
      <c r="F38" s="222"/>
      <c r="G38" s="222"/>
      <c r="H38" s="222"/>
      <c r="I38" s="223"/>
    </row>
    <row r="39" spans="1:15" ht="18.75" customHeight="1" x14ac:dyDescent="0.15">
      <c r="A39" s="15"/>
      <c r="B39" s="221"/>
      <c r="C39" s="222"/>
      <c r="D39" s="222"/>
      <c r="E39" s="222"/>
      <c r="F39" s="222"/>
      <c r="G39" s="222"/>
      <c r="H39" s="222"/>
      <c r="I39" s="223"/>
    </row>
    <row r="40" spans="1:15" ht="174" customHeight="1" x14ac:dyDescent="0.15">
      <c r="A40" s="15"/>
      <c r="B40" s="224"/>
      <c r="C40" s="225"/>
      <c r="D40" s="225"/>
      <c r="E40" s="225"/>
      <c r="F40" s="225"/>
      <c r="G40" s="225"/>
      <c r="H40" s="225"/>
      <c r="I40" s="226"/>
    </row>
    <row r="41" spans="1:15" ht="3" customHeight="1" x14ac:dyDescent="0.15">
      <c r="A41" s="4"/>
      <c r="B41" s="4"/>
      <c r="C41" s="4"/>
      <c r="D41" s="4"/>
      <c r="E41" s="4"/>
      <c r="F41" s="4"/>
      <c r="G41" s="4"/>
      <c r="H41" s="4"/>
      <c r="I41" s="4"/>
    </row>
    <row r="42" spans="1:15" ht="18.75" customHeight="1" x14ac:dyDescent="0.15">
      <c r="A42" s="1" t="s">
        <v>31</v>
      </c>
      <c r="B42" s="1" t="s">
        <v>123</v>
      </c>
    </row>
    <row r="43" spans="1:15" s="3" customFormat="1" ht="18.75" customHeight="1" x14ac:dyDescent="0.15">
      <c r="B43" s="43" t="s">
        <v>89</v>
      </c>
      <c r="C43" s="201">
        <f>'様式２ 履修者等数の実績'!AQ32</f>
        <v>0.43846153846153846</v>
      </c>
      <c r="D43" s="201"/>
      <c r="E43" s="43" t="s">
        <v>66</v>
      </c>
      <c r="F43" s="201">
        <v>0.6</v>
      </c>
      <c r="G43" s="201"/>
      <c r="H43" s="43" t="s">
        <v>67</v>
      </c>
      <c r="I43" s="44">
        <v>0.7</v>
      </c>
      <c r="J43" s="1"/>
      <c r="M43" s="1"/>
      <c r="N43" s="45"/>
    </row>
    <row r="44" spans="1:15" s="3" customFormat="1" ht="18.75" customHeight="1" x14ac:dyDescent="0.15">
      <c r="B44" s="46" t="s">
        <v>68</v>
      </c>
      <c r="C44" s="202">
        <v>0.8</v>
      </c>
      <c r="D44" s="202"/>
      <c r="E44" s="46" t="s">
        <v>90</v>
      </c>
      <c r="F44" s="202">
        <v>0.9</v>
      </c>
      <c r="G44" s="202"/>
      <c r="H44" s="46" t="s">
        <v>69</v>
      </c>
      <c r="I44" s="47">
        <f>'様式２ 履修者等数の実績'!E32</f>
        <v>780</v>
      </c>
      <c r="J44" s="1"/>
      <c r="M44" s="1"/>
      <c r="N44" s="45"/>
    </row>
    <row r="45" spans="1:15" ht="18.75" customHeight="1" x14ac:dyDescent="0.15">
      <c r="A45" s="1"/>
      <c r="B45" s="227" t="s">
        <v>70</v>
      </c>
      <c r="C45" s="228"/>
      <c r="D45" s="228"/>
      <c r="E45" s="228"/>
      <c r="F45" s="228"/>
      <c r="G45" s="228"/>
      <c r="H45" s="228"/>
      <c r="I45" s="229"/>
      <c r="N45" s="45"/>
      <c r="O45" s="3"/>
    </row>
    <row r="46" spans="1:15" ht="18.75" customHeight="1" x14ac:dyDescent="0.15">
      <c r="A46" s="1"/>
      <c r="B46" s="185" t="s">
        <v>164</v>
      </c>
      <c r="C46" s="186"/>
      <c r="D46" s="186"/>
      <c r="E46" s="186"/>
      <c r="F46" s="186"/>
      <c r="G46" s="186"/>
      <c r="H46" s="186"/>
      <c r="I46" s="187"/>
      <c r="N46" s="45"/>
      <c r="O46" s="3"/>
    </row>
    <row r="47" spans="1:15" ht="18.75" customHeight="1" x14ac:dyDescent="0.15">
      <c r="A47" s="1"/>
      <c r="B47" s="188"/>
      <c r="C47" s="189"/>
      <c r="D47" s="189"/>
      <c r="E47" s="189"/>
      <c r="F47" s="189"/>
      <c r="G47" s="189"/>
      <c r="H47" s="189"/>
      <c r="I47" s="190"/>
      <c r="N47" s="45"/>
      <c r="O47" s="3"/>
    </row>
    <row r="48" spans="1:15" ht="18.75" customHeight="1" x14ac:dyDescent="0.15">
      <c r="A48" s="1"/>
      <c r="B48" s="188"/>
      <c r="C48" s="189"/>
      <c r="D48" s="189"/>
      <c r="E48" s="189"/>
      <c r="F48" s="189"/>
      <c r="G48" s="189"/>
      <c r="H48" s="189"/>
      <c r="I48" s="190"/>
    </row>
    <row r="49" spans="1:9" ht="18.75" customHeight="1" x14ac:dyDescent="0.15">
      <c r="A49" s="1"/>
      <c r="B49" s="188"/>
      <c r="C49" s="189"/>
      <c r="D49" s="189"/>
      <c r="E49" s="189"/>
      <c r="F49" s="189"/>
      <c r="G49" s="189"/>
      <c r="H49" s="189"/>
      <c r="I49" s="190"/>
    </row>
    <row r="50" spans="1:9" ht="18.75" customHeight="1" x14ac:dyDescent="0.15">
      <c r="A50" s="1"/>
      <c r="B50" s="188"/>
      <c r="C50" s="189"/>
      <c r="D50" s="189"/>
      <c r="E50" s="189"/>
      <c r="F50" s="189"/>
      <c r="G50" s="189"/>
      <c r="H50" s="189"/>
      <c r="I50" s="190"/>
    </row>
    <row r="51" spans="1:9" ht="18.75" customHeight="1" x14ac:dyDescent="0.15">
      <c r="A51" s="1"/>
      <c r="B51" s="188"/>
      <c r="C51" s="189"/>
      <c r="D51" s="189"/>
      <c r="E51" s="189"/>
      <c r="F51" s="189"/>
      <c r="G51" s="189"/>
      <c r="H51" s="189"/>
      <c r="I51" s="190"/>
    </row>
    <row r="52" spans="1:9" ht="18.75" customHeight="1" x14ac:dyDescent="0.15">
      <c r="A52" s="1"/>
      <c r="B52" s="188"/>
      <c r="C52" s="189"/>
      <c r="D52" s="189"/>
      <c r="E52" s="189"/>
      <c r="F52" s="189"/>
      <c r="G52" s="189"/>
      <c r="H52" s="189"/>
      <c r="I52" s="190"/>
    </row>
    <row r="53" spans="1:9" ht="18.75" customHeight="1" x14ac:dyDescent="0.15">
      <c r="A53" s="1"/>
      <c r="B53" s="188"/>
      <c r="C53" s="189"/>
      <c r="D53" s="189"/>
      <c r="E53" s="189"/>
      <c r="F53" s="189"/>
      <c r="G53" s="189"/>
      <c r="H53" s="189"/>
      <c r="I53" s="190"/>
    </row>
    <row r="54" spans="1:9" ht="18.75" customHeight="1" x14ac:dyDescent="0.15">
      <c r="A54" s="1"/>
      <c r="B54" s="188"/>
      <c r="C54" s="189"/>
      <c r="D54" s="189"/>
      <c r="E54" s="189"/>
      <c r="F54" s="189"/>
      <c r="G54" s="189"/>
      <c r="H54" s="189"/>
      <c r="I54" s="190"/>
    </row>
    <row r="55" spans="1:9" ht="18.75" customHeight="1" x14ac:dyDescent="0.15">
      <c r="A55" s="1"/>
      <c r="B55" s="188"/>
      <c r="C55" s="189"/>
      <c r="D55" s="189"/>
      <c r="E55" s="189"/>
      <c r="F55" s="189"/>
      <c r="G55" s="189"/>
      <c r="H55" s="189"/>
      <c r="I55" s="190"/>
    </row>
    <row r="56" spans="1:9" ht="18.75" customHeight="1" x14ac:dyDescent="0.15">
      <c r="A56" s="1"/>
      <c r="B56" s="188"/>
      <c r="C56" s="189"/>
      <c r="D56" s="189"/>
      <c r="E56" s="189"/>
      <c r="F56" s="189"/>
      <c r="G56" s="189"/>
      <c r="H56" s="189"/>
      <c r="I56" s="190"/>
    </row>
    <row r="57" spans="1:9" ht="18.75" customHeight="1" x14ac:dyDescent="0.15">
      <c r="A57" s="1"/>
      <c r="B57" s="191"/>
      <c r="C57" s="192"/>
      <c r="D57" s="192"/>
      <c r="E57" s="192"/>
      <c r="F57" s="192"/>
      <c r="G57" s="192"/>
      <c r="H57" s="192"/>
      <c r="I57" s="193"/>
    </row>
    <row r="58" spans="1:9" ht="7.5" customHeight="1" x14ac:dyDescent="0.15">
      <c r="A58" s="15"/>
      <c r="B58" s="15"/>
      <c r="C58" s="15"/>
      <c r="D58" s="15"/>
      <c r="E58" s="15"/>
      <c r="F58" s="15"/>
      <c r="G58" s="15"/>
      <c r="H58" s="15"/>
      <c r="I58" s="15"/>
    </row>
    <row r="59" spans="1:9" ht="18.75" customHeight="1" x14ac:dyDescent="0.15">
      <c r="A59" s="16" t="s">
        <v>34</v>
      </c>
      <c r="B59" s="1" t="s">
        <v>37</v>
      </c>
      <c r="I59" s="16"/>
    </row>
    <row r="60" spans="1:9" ht="18.75" customHeight="1" x14ac:dyDescent="0.15">
      <c r="A60" s="4"/>
      <c r="B60" s="185" t="s">
        <v>155</v>
      </c>
      <c r="C60" s="186"/>
      <c r="D60" s="186"/>
      <c r="E60" s="186"/>
      <c r="F60" s="186"/>
      <c r="G60" s="186"/>
      <c r="H60" s="186"/>
      <c r="I60" s="187"/>
    </row>
    <row r="61" spans="1:9" ht="18.75" customHeight="1" x14ac:dyDescent="0.15">
      <c r="A61" s="4"/>
      <c r="B61" s="188"/>
      <c r="C61" s="189"/>
      <c r="D61" s="189"/>
      <c r="E61" s="189"/>
      <c r="F61" s="189"/>
      <c r="G61" s="189"/>
      <c r="H61" s="189"/>
      <c r="I61" s="190"/>
    </row>
    <row r="62" spans="1:9" ht="18.75" customHeight="1" x14ac:dyDescent="0.15">
      <c r="A62" s="4"/>
      <c r="B62" s="188"/>
      <c r="C62" s="189"/>
      <c r="D62" s="189"/>
      <c r="E62" s="189"/>
      <c r="F62" s="189"/>
      <c r="G62" s="189"/>
      <c r="H62" s="189"/>
      <c r="I62" s="190"/>
    </row>
    <row r="63" spans="1:9" ht="18.75" customHeight="1" x14ac:dyDescent="0.15">
      <c r="A63" s="4"/>
      <c r="B63" s="188"/>
      <c r="C63" s="189"/>
      <c r="D63" s="189"/>
      <c r="E63" s="189"/>
      <c r="F63" s="189"/>
      <c r="G63" s="189"/>
      <c r="H63" s="189"/>
      <c r="I63" s="190"/>
    </row>
    <row r="64" spans="1:9" ht="18.75" customHeight="1" x14ac:dyDescent="0.15">
      <c r="A64" s="4"/>
      <c r="B64" s="188"/>
      <c r="C64" s="189"/>
      <c r="D64" s="189"/>
      <c r="E64" s="189"/>
      <c r="F64" s="189"/>
      <c r="G64" s="189"/>
      <c r="H64" s="189"/>
      <c r="I64" s="190"/>
    </row>
    <row r="65" spans="1:9" ht="18.75" customHeight="1" x14ac:dyDescent="0.15">
      <c r="A65" s="4"/>
      <c r="B65" s="188"/>
      <c r="C65" s="189"/>
      <c r="D65" s="189"/>
      <c r="E65" s="189"/>
      <c r="F65" s="189"/>
      <c r="G65" s="189"/>
      <c r="H65" s="189"/>
      <c r="I65" s="190"/>
    </row>
    <row r="66" spans="1:9" ht="18.75" customHeight="1" x14ac:dyDescent="0.15">
      <c r="A66" s="4"/>
      <c r="B66" s="188"/>
      <c r="C66" s="189"/>
      <c r="D66" s="189"/>
      <c r="E66" s="189"/>
      <c r="F66" s="189"/>
      <c r="G66" s="189"/>
      <c r="H66" s="189"/>
      <c r="I66" s="190"/>
    </row>
    <row r="67" spans="1:9" ht="18.75" customHeight="1" x14ac:dyDescent="0.15">
      <c r="A67" s="4"/>
      <c r="B67" s="188"/>
      <c r="C67" s="189"/>
      <c r="D67" s="189"/>
      <c r="E67" s="189"/>
      <c r="F67" s="189"/>
      <c r="G67" s="189"/>
      <c r="H67" s="189"/>
      <c r="I67" s="190"/>
    </row>
    <row r="68" spans="1:9" ht="18.75" customHeight="1" x14ac:dyDescent="0.15">
      <c r="A68" s="4"/>
      <c r="B68" s="188"/>
      <c r="C68" s="189"/>
      <c r="D68" s="189"/>
      <c r="E68" s="189"/>
      <c r="F68" s="189"/>
      <c r="G68" s="189"/>
      <c r="H68" s="189"/>
      <c r="I68" s="190"/>
    </row>
    <row r="69" spans="1:9" ht="18.75" customHeight="1" x14ac:dyDescent="0.15">
      <c r="A69" s="4"/>
      <c r="B69" s="188"/>
      <c r="C69" s="189"/>
      <c r="D69" s="189"/>
      <c r="E69" s="189"/>
      <c r="F69" s="189"/>
      <c r="G69" s="189"/>
      <c r="H69" s="189"/>
      <c r="I69" s="190"/>
    </row>
    <row r="70" spans="1:9" ht="18.75" customHeight="1" x14ac:dyDescent="0.15">
      <c r="A70" s="4"/>
      <c r="B70" s="188"/>
      <c r="C70" s="189"/>
      <c r="D70" s="189"/>
      <c r="E70" s="189"/>
      <c r="F70" s="189"/>
      <c r="G70" s="189"/>
      <c r="H70" s="189"/>
      <c r="I70" s="190"/>
    </row>
    <row r="71" spans="1:9" ht="18.75" customHeight="1" x14ac:dyDescent="0.15">
      <c r="A71" s="4"/>
      <c r="B71" s="191"/>
      <c r="C71" s="192"/>
      <c r="D71" s="192"/>
      <c r="E71" s="192"/>
      <c r="F71" s="192"/>
      <c r="G71" s="192"/>
      <c r="H71" s="192"/>
      <c r="I71" s="193"/>
    </row>
    <row r="72" spans="1:9" ht="7.5" customHeight="1" x14ac:dyDescent="0.15">
      <c r="A72" s="4"/>
      <c r="B72" s="4"/>
      <c r="C72" s="4"/>
      <c r="D72" s="4"/>
      <c r="E72" s="4"/>
      <c r="F72" s="4"/>
      <c r="G72" s="4"/>
      <c r="H72" s="4"/>
      <c r="I72" s="4"/>
    </row>
    <row r="73" spans="1:9" ht="18.75" customHeight="1" x14ac:dyDescent="0.15">
      <c r="A73" s="1" t="s">
        <v>11</v>
      </c>
      <c r="B73" s="1" t="s">
        <v>41</v>
      </c>
    </row>
    <row r="74" spans="1:9" ht="18.75" customHeight="1" x14ac:dyDescent="0.15">
      <c r="A74" s="1"/>
      <c r="B74" s="185" t="s">
        <v>152</v>
      </c>
      <c r="C74" s="186"/>
      <c r="D74" s="186"/>
      <c r="E74" s="186"/>
      <c r="F74" s="186"/>
      <c r="G74" s="186"/>
      <c r="H74" s="186"/>
      <c r="I74" s="194"/>
    </row>
    <row r="75" spans="1:9" ht="18.75" customHeight="1" x14ac:dyDescent="0.15">
      <c r="A75" s="1"/>
      <c r="B75" s="195"/>
      <c r="C75" s="196"/>
      <c r="D75" s="196"/>
      <c r="E75" s="196"/>
      <c r="F75" s="196"/>
      <c r="G75" s="196"/>
      <c r="H75" s="196"/>
      <c r="I75" s="197"/>
    </row>
    <row r="76" spans="1:9" ht="18.75" customHeight="1" x14ac:dyDescent="0.15">
      <c r="A76" s="1"/>
      <c r="B76" s="195"/>
      <c r="C76" s="196"/>
      <c r="D76" s="196"/>
      <c r="E76" s="196"/>
      <c r="F76" s="196"/>
      <c r="G76" s="196"/>
      <c r="H76" s="196"/>
      <c r="I76" s="197"/>
    </row>
    <row r="77" spans="1:9" ht="18.75" customHeight="1" x14ac:dyDescent="0.15">
      <c r="A77" s="1"/>
      <c r="B77" s="195"/>
      <c r="C77" s="196"/>
      <c r="D77" s="196"/>
      <c r="E77" s="196"/>
      <c r="F77" s="196"/>
      <c r="G77" s="196"/>
      <c r="H77" s="196"/>
      <c r="I77" s="197"/>
    </row>
    <row r="78" spans="1:9" ht="18.75" customHeight="1" x14ac:dyDescent="0.15">
      <c r="A78" s="1"/>
      <c r="B78" s="195"/>
      <c r="C78" s="196"/>
      <c r="D78" s="196"/>
      <c r="E78" s="196"/>
      <c r="F78" s="196"/>
      <c r="G78" s="196"/>
      <c r="H78" s="196"/>
      <c r="I78" s="197"/>
    </row>
    <row r="79" spans="1:9" ht="18.75" customHeight="1" x14ac:dyDescent="0.15">
      <c r="A79" s="1"/>
      <c r="B79" s="195"/>
      <c r="C79" s="196"/>
      <c r="D79" s="196"/>
      <c r="E79" s="196"/>
      <c r="F79" s="196"/>
      <c r="G79" s="196"/>
      <c r="H79" s="196"/>
      <c r="I79" s="197"/>
    </row>
    <row r="80" spans="1:9" ht="18.75" customHeight="1" x14ac:dyDescent="0.15">
      <c r="A80" s="1"/>
      <c r="B80" s="195"/>
      <c r="C80" s="196"/>
      <c r="D80" s="196"/>
      <c r="E80" s="196"/>
      <c r="F80" s="196"/>
      <c r="G80" s="196"/>
      <c r="H80" s="196"/>
      <c r="I80" s="197"/>
    </row>
    <row r="81" spans="1:9" ht="18.75" customHeight="1" x14ac:dyDescent="0.15">
      <c r="A81" s="1"/>
      <c r="B81" s="195"/>
      <c r="C81" s="196"/>
      <c r="D81" s="196"/>
      <c r="E81" s="196"/>
      <c r="F81" s="196"/>
      <c r="G81" s="196"/>
      <c r="H81" s="196"/>
      <c r="I81" s="197"/>
    </row>
    <row r="82" spans="1:9" ht="18.75" customHeight="1" x14ac:dyDescent="0.15">
      <c r="A82" s="1"/>
      <c r="B82" s="195"/>
      <c r="C82" s="196"/>
      <c r="D82" s="196"/>
      <c r="E82" s="196"/>
      <c r="F82" s="196"/>
      <c r="G82" s="196"/>
      <c r="H82" s="196"/>
      <c r="I82" s="197"/>
    </row>
    <row r="83" spans="1:9" ht="18.75" customHeight="1" x14ac:dyDescent="0.15">
      <c r="A83" s="1"/>
      <c r="B83" s="195"/>
      <c r="C83" s="196"/>
      <c r="D83" s="196"/>
      <c r="E83" s="196"/>
      <c r="F83" s="196"/>
      <c r="G83" s="196"/>
      <c r="H83" s="196"/>
      <c r="I83" s="197"/>
    </row>
    <row r="84" spans="1:9" ht="18.75" customHeight="1" x14ac:dyDescent="0.15">
      <c r="A84" s="4"/>
      <c r="B84" s="195"/>
      <c r="C84" s="196"/>
      <c r="D84" s="196"/>
      <c r="E84" s="196"/>
      <c r="F84" s="196"/>
      <c r="G84" s="196"/>
      <c r="H84" s="196"/>
      <c r="I84" s="197"/>
    </row>
    <row r="85" spans="1:9" ht="18.75" customHeight="1" x14ac:dyDescent="0.15">
      <c r="A85" s="4"/>
      <c r="B85" s="198"/>
      <c r="C85" s="199"/>
      <c r="D85" s="199"/>
      <c r="E85" s="199"/>
      <c r="F85" s="199"/>
      <c r="G85" s="199"/>
      <c r="H85" s="199"/>
      <c r="I85" s="200"/>
    </row>
    <row r="86" spans="1:9" ht="36.75" customHeight="1" x14ac:dyDescent="0.15">
      <c r="A86" s="4"/>
      <c r="B86" s="4"/>
      <c r="C86" s="4"/>
      <c r="D86" s="4"/>
      <c r="E86" s="4"/>
      <c r="F86" s="4"/>
      <c r="G86" s="4"/>
      <c r="H86" s="4"/>
      <c r="I86" s="4"/>
    </row>
    <row r="87" spans="1:9" ht="18.75" customHeight="1" x14ac:dyDescent="0.15">
      <c r="A87" s="1" t="s">
        <v>44</v>
      </c>
      <c r="B87" s="1" t="s">
        <v>13</v>
      </c>
    </row>
    <row r="88" spans="1:9" ht="18.75" customHeight="1" x14ac:dyDescent="0.15">
      <c r="A88" s="1"/>
      <c r="B88" s="203" t="s">
        <v>153</v>
      </c>
      <c r="C88" s="204"/>
      <c r="D88" s="204"/>
      <c r="E88" s="204"/>
      <c r="F88" s="204"/>
      <c r="G88" s="204"/>
      <c r="H88" s="204"/>
      <c r="I88" s="205"/>
    </row>
    <row r="89" spans="1:9" ht="18.75" customHeight="1" x14ac:dyDescent="0.15">
      <c r="A89" s="1"/>
      <c r="B89" s="206"/>
      <c r="C89" s="207"/>
      <c r="D89" s="207"/>
      <c r="E89" s="207"/>
      <c r="F89" s="207"/>
      <c r="G89" s="207"/>
      <c r="H89" s="207"/>
      <c r="I89" s="208"/>
    </row>
    <row r="90" spans="1:9" ht="18.75" customHeight="1" x14ac:dyDescent="0.15">
      <c r="A90" s="1"/>
      <c r="B90" s="206"/>
      <c r="C90" s="207"/>
      <c r="D90" s="207"/>
      <c r="E90" s="207"/>
      <c r="F90" s="207"/>
      <c r="G90" s="207"/>
      <c r="H90" s="207"/>
      <c r="I90" s="208"/>
    </row>
    <row r="91" spans="1:9" ht="18.75" customHeight="1" x14ac:dyDescent="0.15">
      <c r="A91" s="1"/>
      <c r="B91" s="206"/>
      <c r="C91" s="207"/>
      <c r="D91" s="207"/>
      <c r="E91" s="207"/>
      <c r="F91" s="207"/>
      <c r="G91" s="207"/>
      <c r="H91" s="207"/>
      <c r="I91" s="208"/>
    </row>
    <row r="92" spans="1:9" ht="18.75" customHeight="1" x14ac:dyDescent="0.15">
      <c r="A92" s="1"/>
      <c r="B92" s="206"/>
      <c r="C92" s="207"/>
      <c r="D92" s="207"/>
      <c r="E92" s="207"/>
      <c r="F92" s="207"/>
      <c r="G92" s="207"/>
      <c r="H92" s="207"/>
      <c r="I92" s="208"/>
    </row>
    <row r="93" spans="1:9" ht="18.75" customHeight="1" x14ac:dyDescent="0.15">
      <c r="A93" s="1"/>
      <c r="B93" s="206"/>
      <c r="C93" s="207"/>
      <c r="D93" s="207"/>
      <c r="E93" s="207"/>
      <c r="F93" s="207"/>
      <c r="G93" s="207"/>
      <c r="H93" s="207"/>
      <c r="I93" s="208"/>
    </row>
    <row r="94" spans="1:9" ht="18.75" customHeight="1" x14ac:dyDescent="0.15">
      <c r="A94" s="1"/>
      <c r="B94" s="206"/>
      <c r="C94" s="207"/>
      <c r="D94" s="207"/>
      <c r="E94" s="207"/>
      <c r="F94" s="207"/>
      <c r="G94" s="207"/>
      <c r="H94" s="207"/>
      <c r="I94" s="208"/>
    </row>
    <row r="95" spans="1:9" ht="18.75" customHeight="1" x14ac:dyDescent="0.15">
      <c r="A95" s="1"/>
      <c r="B95" s="206"/>
      <c r="C95" s="207"/>
      <c r="D95" s="207"/>
      <c r="E95" s="207"/>
      <c r="F95" s="207"/>
      <c r="G95" s="207"/>
      <c r="H95" s="207"/>
      <c r="I95" s="208"/>
    </row>
    <row r="96" spans="1:9" ht="18.75" customHeight="1" x14ac:dyDescent="0.15">
      <c r="A96" s="1"/>
      <c r="B96" s="206"/>
      <c r="C96" s="207"/>
      <c r="D96" s="207"/>
      <c r="E96" s="207"/>
      <c r="F96" s="207"/>
      <c r="G96" s="207"/>
      <c r="H96" s="207"/>
      <c r="I96" s="208"/>
    </row>
    <row r="97" spans="1:9" ht="18.75" customHeight="1" x14ac:dyDescent="0.15">
      <c r="A97" s="1"/>
      <c r="B97" s="206"/>
      <c r="C97" s="207"/>
      <c r="D97" s="207"/>
      <c r="E97" s="207"/>
      <c r="F97" s="207"/>
      <c r="G97" s="207"/>
      <c r="H97" s="207"/>
      <c r="I97" s="208"/>
    </row>
    <row r="98" spans="1:9" ht="18.75" customHeight="1" x14ac:dyDescent="0.15">
      <c r="A98" s="1"/>
      <c r="B98" s="206"/>
      <c r="C98" s="207"/>
      <c r="D98" s="207"/>
      <c r="E98" s="207"/>
      <c r="F98" s="207"/>
      <c r="G98" s="207"/>
      <c r="H98" s="207"/>
      <c r="I98" s="208"/>
    </row>
    <row r="99" spans="1:9" ht="18.75" customHeight="1" x14ac:dyDescent="0.15">
      <c r="A99" s="4"/>
      <c r="B99" s="209"/>
      <c r="C99" s="210"/>
      <c r="D99" s="210"/>
      <c r="E99" s="210"/>
      <c r="F99" s="210"/>
      <c r="G99" s="210"/>
      <c r="H99" s="210"/>
      <c r="I99" s="211"/>
    </row>
    <row r="100" spans="1:9" ht="7.5" customHeight="1" x14ac:dyDescent="0.15">
      <c r="A100" s="4"/>
      <c r="B100" s="4"/>
      <c r="C100" s="4"/>
      <c r="D100" s="4"/>
      <c r="E100" s="4"/>
      <c r="F100" s="4"/>
      <c r="G100" s="4"/>
      <c r="H100" s="4"/>
      <c r="I100" s="4"/>
    </row>
    <row r="101" spans="1:9" ht="18.75" customHeight="1" x14ac:dyDescent="0.15">
      <c r="A101" s="1" t="s">
        <v>30</v>
      </c>
      <c r="B101" s="212" t="s">
        <v>46</v>
      </c>
      <c r="C101" s="212"/>
      <c r="D101" s="212"/>
      <c r="E101" s="212"/>
      <c r="F101" s="212"/>
      <c r="G101" s="212"/>
      <c r="H101" s="212"/>
      <c r="I101" s="212"/>
    </row>
    <row r="102" spans="1:9" ht="18.75" customHeight="1" x14ac:dyDescent="0.15">
      <c r="A102" s="4"/>
      <c r="B102" s="203" t="s">
        <v>154</v>
      </c>
      <c r="C102" s="204"/>
      <c r="D102" s="204"/>
      <c r="E102" s="204"/>
      <c r="F102" s="204"/>
      <c r="G102" s="204"/>
      <c r="H102" s="204"/>
      <c r="I102" s="205"/>
    </row>
    <row r="103" spans="1:9" ht="18.75" customHeight="1" x14ac:dyDescent="0.15">
      <c r="A103" s="4"/>
      <c r="B103" s="206"/>
      <c r="C103" s="207"/>
      <c r="D103" s="207"/>
      <c r="E103" s="207"/>
      <c r="F103" s="207"/>
      <c r="G103" s="207"/>
      <c r="H103" s="207"/>
      <c r="I103" s="208"/>
    </row>
    <row r="104" spans="1:9" ht="18.75" customHeight="1" x14ac:dyDescent="0.15">
      <c r="A104" s="4"/>
      <c r="B104" s="206"/>
      <c r="C104" s="207"/>
      <c r="D104" s="207"/>
      <c r="E104" s="207"/>
      <c r="F104" s="207"/>
      <c r="G104" s="207"/>
      <c r="H104" s="207"/>
      <c r="I104" s="208"/>
    </row>
    <row r="105" spans="1:9" ht="18.75" customHeight="1" x14ac:dyDescent="0.15">
      <c r="A105" s="4"/>
      <c r="B105" s="206"/>
      <c r="C105" s="207"/>
      <c r="D105" s="207"/>
      <c r="E105" s="207"/>
      <c r="F105" s="207"/>
      <c r="G105" s="207"/>
      <c r="H105" s="207"/>
      <c r="I105" s="208"/>
    </row>
    <row r="106" spans="1:9" ht="18.75" customHeight="1" x14ac:dyDescent="0.15">
      <c r="A106" s="4"/>
      <c r="B106" s="206"/>
      <c r="C106" s="207"/>
      <c r="D106" s="207"/>
      <c r="E106" s="207"/>
      <c r="F106" s="207"/>
      <c r="G106" s="207"/>
      <c r="H106" s="207"/>
      <c r="I106" s="208"/>
    </row>
    <row r="107" spans="1:9" ht="18.75" customHeight="1" x14ac:dyDescent="0.15">
      <c r="A107" s="4"/>
      <c r="B107" s="206"/>
      <c r="C107" s="207"/>
      <c r="D107" s="207"/>
      <c r="E107" s="207"/>
      <c r="F107" s="207"/>
      <c r="G107" s="207"/>
      <c r="H107" s="207"/>
      <c r="I107" s="208"/>
    </row>
    <row r="108" spans="1:9" ht="18.75" customHeight="1" x14ac:dyDescent="0.15">
      <c r="A108" s="4"/>
      <c r="B108" s="206"/>
      <c r="C108" s="207"/>
      <c r="D108" s="207"/>
      <c r="E108" s="207"/>
      <c r="F108" s="207"/>
      <c r="G108" s="207"/>
      <c r="H108" s="207"/>
      <c r="I108" s="208"/>
    </row>
    <row r="109" spans="1:9" ht="18.75" customHeight="1" x14ac:dyDescent="0.15">
      <c r="A109" s="4"/>
      <c r="B109" s="206"/>
      <c r="C109" s="207"/>
      <c r="D109" s="207"/>
      <c r="E109" s="207"/>
      <c r="F109" s="207"/>
      <c r="G109" s="207"/>
      <c r="H109" s="207"/>
      <c r="I109" s="208"/>
    </row>
    <row r="110" spans="1:9" ht="18.75" customHeight="1" x14ac:dyDescent="0.15">
      <c r="A110" s="4"/>
      <c r="B110" s="206"/>
      <c r="C110" s="207"/>
      <c r="D110" s="207"/>
      <c r="E110" s="207"/>
      <c r="F110" s="207"/>
      <c r="G110" s="207"/>
      <c r="H110" s="207"/>
      <c r="I110" s="208"/>
    </row>
    <row r="111" spans="1:9" ht="18.75" customHeight="1" x14ac:dyDescent="0.15">
      <c r="A111" s="4"/>
      <c r="B111" s="206"/>
      <c r="C111" s="207"/>
      <c r="D111" s="207"/>
      <c r="E111" s="207"/>
      <c r="F111" s="207"/>
      <c r="G111" s="207"/>
      <c r="H111" s="207"/>
      <c r="I111" s="208"/>
    </row>
    <row r="112" spans="1:9" ht="18.75" customHeight="1" x14ac:dyDescent="0.15">
      <c r="A112" s="4"/>
      <c r="B112" s="206"/>
      <c r="C112" s="207"/>
      <c r="D112" s="207"/>
      <c r="E112" s="207"/>
      <c r="F112" s="207"/>
      <c r="G112" s="207"/>
      <c r="H112" s="207"/>
      <c r="I112" s="208"/>
    </row>
    <row r="113" spans="1:9" ht="18.75" customHeight="1" x14ac:dyDescent="0.15">
      <c r="A113" s="4"/>
      <c r="B113" s="209"/>
      <c r="C113" s="210"/>
      <c r="D113" s="210"/>
      <c r="E113" s="210"/>
      <c r="F113" s="210"/>
      <c r="G113" s="210"/>
      <c r="H113" s="210"/>
      <c r="I113" s="211"/>
    </row>
    <row r="114" spans="1:9" ht="7.5" customHeight="1" x14ac:dyDescent="0.15">
      <c r="A114" s="4"/>
      <c r="B114" s="48"/>
      <c r="C114" s="48"/>
      <c r="D114" s="48"/>
      <c r="E114" s="48"/>
      <c r="F114" s="48"/>
      <c r="G114" s="48"/>
      <c r="H114" s="48"/>
      <c r="I114" s="48"/>
    </row>
    <row r="115" spans="1:9" ht="18.75" customHeight="1" x14ac:dyDescent="0.15">
      <c r="A115" s="4"/>
      <c r="B115" s="4"/>
      <c r="C115" s="4"/>
      <c r="D115" s="4"/>
      <c r="E115" s="4"/>
      <c r="F115" s="4"/>
      <c r="G115" s="4"/>
      <c r="H115" s="4"/>
      <c r="I115" s="4"/>
    </row>
    <row r="116" spans="1:9" ht="18.75" customHeight="1" x14ac:dyDescent="0.15">
      <c r="A116" s="4"/>
      <c r="B116" s="4"/>
      <c r="C116" s="4"/>
      <c r="D116" s="4"/>
      <c r="E116" s="4"/>
      <c r="F116" s="4"/>
      <c r="G116" s="4"/>
      <c r="H116" s="4"/>
      <c r="I116" s="4"/>
    </row>
    <row r="117" spans="1:9" ht="18.75" customHeight="1" x14ac:dyDescent="0.15">
      <c r="A117" s="4"/>
      <c r="B117" s="4"/>
      <c r="C117" s="4"/>
      <c r="D117" s="4"/>
      <c r="E117" s="4"/>
      <c r="F117" s="4"/>
      <c r="G117" s="4"/>
      <c r="H117" s="4"/>
      <c r="I117" s="4"/>
    </row>
    <row r="118" spans="1:9" ht="18.75" customHeight="1" x14ac:dyDescent="0.15">
      <c r="A118" s="4"/>
      <c r="B118" s="4"/>
      <c r="C118" s="4"/>
      <c r="D118" s="4"/>
      <c r="E118" s="4"/>
      <c r="F118" s="4"/>
      <c r="G118" s="4"/>
      <c r="H118" s="4"/>
      <c r="I118" s="4"/>
    </row>
    <row r="119" spans="1:9" ht="18.75" customHeight="1" x14ac:dyDescent="0.15">
      <c r="A119" s="4"/>
      <c r="B119" s="4"/>
      <c r="C119" s="4"/>
      <c r="D119" s="4"/>
      <c r="E119" s="4"/>
      <c r="F119" s="4"/>
      <c r="G119" s="4"/>
      <c r="H119" s="4"/>
      <c r="I119" s="4"/>
    </row>
    <row r="120" spans="1:9" ht="18.75" customHeight="1" x14ac:dyDescent="0.15">
      <c r="A120" s="4"/>
      <c r="B120" s="4"/>
      <c r="C120" s="4"/>
      <c r="D120" s="4"/>
      <c r="E120" s="4"/>
      <c r="F120" s="4"/>
      <c r="G120" s="4"/>
      <c r="H120" s="4"/>
      <c r="I120" s="4"/>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4.25" x14ac:dyDescent="0.15">
      <c r="A127" s="4"/>
      <c r="B127" s="4"/>
      <c r="C127" s="4"/>
      <c r="D127" s="4"/>
      <c r="E127" s="4"/>
      <c r="F127" s="4"/>
      <c r="G127" s="4"/>
      <c r="H127" s="4"/>
      <c r="I127" s="4"/>
    </row>
    <row r="128" spans="1:9" ht="7.5" customHeight="1" x14ac:dyDescent="0.15">
      <c r="A128" s="49"/>
      <c r="B128" s="49"/>
      <c r="C128" s="49"/>
      <c r="D128" s="49"/>
      <c r="E128" s="49"/>
      <c r="F128" s="49"/>
      <c r="G128" s="49"/>
      <c r="H128" s="49"/>
      <c r="I128" s="49"/>
    </row>
  </sheetData>
  <mergeCells count="22">
    <mergeCell ref="B88:I99"/>
    <mergeCell ref="B101:I101"/>
    <mergeCell ref="B102:I113"/>
    <mergeCell ref="H2:I2"/>
    <mergeCell ref="A4:I4"/>
    <mergeCell ref="B19:I19"/>
    <mergeCell ref="B22:I26"/>
    <mergeCell ref="B29:I40"/>
    <mergeCell ref="B45:I45"/>
    <mergeCell ref="B14:I14"/>
    <mergeCell ref="C16:E16"/>
    <mergeCell ref="H16:I16"/>
    <mergeCell ref="C11:E11"/>
    <mergeCell ref="H11:I11"/>
    <mergeCell ref="C6:D6"/>
    <mergeCell ref="F44:G44"/>
    <mergeCell ref="B60:I71"/>
    <mergeCell ref="B74:I85"/>
    <mergeCell ref="C43:D43"/>
    <mergeCell ref="C44:D44"/>
    <mergeCell ref="F43:G43"/>
    <mergeCell ref="B46:I57"/>
  </mergeCells>
  <phoneticPr fontId="1"/>
  <printOptions horizontalCentered="1"/>
  <pageMargins left="0.59055118110236227" right="0.59055118110236227" top="0.78740157480314965" bottom="0.32"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1" max="9" man="1"/>
    <brk id="86"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高松大学</v>
      </c>
    </row>
    <row r="3" spans="1:9" ht="18.75" customHeight="1" x14ac:dyDescent="0.15">
      <c r="A3" s="108" t="s">
        <v>28</v>
      </c>
      <c r="B3" s="108"/>
      <c r="C3" s="108"/>
      <c r="D3" s="108"/>
      <c r="E3" s="108"/>
      <c r="F3" s="108"/>
      <c r="G3" s="108"/>
      <c r="H3" s="108"/>
      <c r="I3" s="108"/>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0" t="s">
        <v>165</v>
      </c>
      <c r="C6" s="258"/>
      <c r="D6" s="258"/>
      <c r="E6" s="258"/>
      <c r="F6" s="258"/>
      <c r="G6" s="258"/>
      <c r="H6" s="259"/>
      <c r="I6" s="3"/>
    </row>
    <row r="7" spans="1:9" ht="9" customHeight="1" x14ac:dyDescent="0.15">
      <c r="A7" s="5"/>
      <c r="B7" s="10"/>
      <c r="C7" s="10"/>
      <c r="D7" s="10"/>
      <c r="E7" s="10"/>
      <c r="F7" s="10"/>
      <c r="G7" s="10"/>
      <c r="H7" s="10"/>
      <c r="I7" s="3"/>
    </row>
    <row r="8" spans="1:9" ht="18.75" customHeight="1" x14ac:dyDescent="0.15">
      <c r="A8" s="5"/>
      <c r="B8" s="3"/>
      <c r="C8" s="3"/>
      <c r="D8" s="35" t="s">
        <v>43</v>
      </c>
      <c r="E8" s="36" t="s">
        <v>166</v>
      </c>
      <c r="F8" s="3"/>
      <c r="G8" s="35"/>
      <c r="H8" s="36" t="s">
        <v>167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50" t="s">
        <v>14</v>
      </c>
      <c r="C12" s="57"/>
      <c r="D12" s="51"/>
      <c r="E12" s="58"/>
      <c r="F12" s="58"/>
      <c r="G12" s="58"/>
      <c r="H12" s="58"/>
      <c r="I12" s="51"/>
    </row>
    <row r="13" spans="1:9" ht="210.75" customHeight="1" x14ac:dyDescent="0.15">
      <c r="B13" s="52"/>
      <c r="C13" s="241" t="s">
        <v>15</v>
      </c>
      <c r="D13" s="242"/>
      <c r="E13" s="254" t="s">
        <v>159</v>
      </c>
      <c r="F13" s="243"/>
      <c r="G13" s="243"/>
      <c r="H13" s="243"/>
      <c r="I13" s="244"/>
    </row>
    <row r="14" spans="1:9" ht="99" customHeight="1" x14ac:dyDescent="0.15">
      <c r="B14" s="52"/>
      <c r="C14" s="256" t="s">
        <v>16</v>
      </c>
      <c r="D14" s="257"/>
      <c r="E14" s="254" t="s">
        <v>160</v>
      </c>
      <c r="F14" s="243"/>
      <c r="G14" s="243"/>
      <c r="H14" s="243"/>
      <c r="I14" s="244"/>
    </row>
    <row r="15" spans="1:9" ht="210.75" customHeight="1" x14ac:dyDescent="0.15">
      <c r="B15" s="52"/>
      <c r="C15" s="241" t="s">
        <v>17</v>
      </c>
      <c r="D15" s="242"/>
      <c r="E15" s="254" t="s">
        <v>162</v>
      </c>
      <c r="F15" s="243"/>
      <c r="G15" s="243"/>
      <c r="H15" s="243"/>
      <c r="I15" s="244"/>
    </row>
    <row r="16" spans="1:9" ht="210.75" customHeight="1" x14ac:dyDescent="0.15">
      <c r="B16" s="52"/>
      <c r="C16" s="241" t="s">
        <v>18</v>
      </c>
      <c r="D16" s="242"/>
      <c r="E16" s="254" t="s">
        <v>161</v>
      </c>
      <c r="F16" s="243"/>
      <c r="G16" s="243"/>
      <c r="H16" s="243"/>
      <c r="I16" s="244"/>
    </row>
    <row r="17" spans="2:9" ht="325.5" customHeight="1" x14ac:dyDescent="0.15">
      <c r="B17" s="53"/>
      <c r="C17" s="245" t="s">
        <v>19</v>
      </c>
      <c r="D17" s="246"/>
      <c r="E17" s="255" t="s">
        <v>163</v>
      </c>
      <c r="F17" s="247"/>
      <c r="G17" s="247"/>
      <c r="H17" s="247"/>
      <c r="I17" s="248"/>
    </row>
    <row r="18" spans="2:9" ht="24" customHeight="1" x14ac:dyDescent="0.15">
      <c r="B18" s="50" t="s">
        <v>20</v>
      </c>
      <c r="C18" s="54"/>
      <c r="D18" s="55"/>
      <c r="E18" s="56"/>
      <c r="F18" s="56"/>
      <c r="G18" s="56"/>
      <c r="H18" s="56"/>
      <c r="I18" s="59"/>
    </row>
    <row r="19" spans="2:9" ht="218.25" customHeight="1" x14ac:dyDescent="0.15">
      <c r="B19" s="52"/>
      <c r="C19" s="241" t="s">
        <v>21</v>
      </c>
      <c r="D19" s="242"/>
      <c r="E19" s="243" t="s">
        <v>149</v>
      </c>
      <c r="F19" s="243"/>
      <c r="G19" s="243"/>
      <c r="H19" s="243"/>
      <c r="I19" s="244"/>
    </row>
    <row r="20" spans="2:9" ht="218.25" customHeight="1" x14ac:dyDescent="0.15">
      <c r="B20" s="53"/>
      <c r="C20" s="245" t="s">
        <v>22</v>
      </c>
      <c r="D20" s="246"/>
      <c r="E20" s="247" t="s">
        <v>156</v>
      </c>
      <c r="F20" s="247"/>
      <c r="G20" s="247"/>
      <c r="H20" s="247"/>
      <c r="I20" s="248"/>
    </row>
    <row r="21" spans="2:9" ht="218.25" customHeight="1" x14ac:dyDescent="0.15">
      <c r="B21" s="249" t="s">
        <v>23</v>
      </c>
      <c r="C21" s="250"/>
      <c r="D21" s="251"/>
      <c r="E21" s="252" t="s">
        <v>158</v>
      </c>
      <c r="F21" s="252"/>
      <c r="G21" s="252"/>
      <c r="H21" s="252"/>
      <c r="I21" s="253"/>
    </row>
    <row r="22" spans="2:9" ht="218.25" customHeight="1" x14ac:dyDescent="0.15">
      <c r="B22" s="236" t="s">
        <v>38</v>
      </c>
      <c r="C22" s="237"/>
      <c r="D22" s="238"/>
      <c r="E22" s="239" t="s">
        <v>157</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武本　隆治</cp:lastModifiedBy>
  <cp:lastPrinted>2023-07-17T23:50:20Z</cp:lastPrinted>
  <dcterms:created xsi:type="dcterms:W3CDTF">2011-06-14T05:32:50Z</dcterms:created>
  <dcterms:modified xsi:type="dcterms:W3CDTF">2023-07-17T23:52:04Z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