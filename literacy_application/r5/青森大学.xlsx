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defaultThemeVersion="124226"/>
  <mc:AlternateContent xmlns:mc="http://schemas.openxmlformats.org/markup-compatibility/2006">
    <mc:Choice Requires="x15">
      <x15ac:absPath xmlns:x15ac="http://schemas.microsoft.com/office/spreadsheetml/2010/11/ac" url="C:\Users\aupc-03\Desktop\3 青森大学_20230805再々提出\01_青森大学_リテラシー\01-1_申請様式_リテラシー\"/>
    </mc:Choice>
  </mc:AlternateContent>
  <xr:revisionPtr revIDLastSave="0" documentId="13_ncr:1_{12B179AD-443E-4802-B155-C892074F8B13}" xr6:coauthVersionLast="47" xr6:coauthVersionMax="47" xr10:uidLastSave="{00000000-0000-0000-0000-000000000000}"/>
  <bookViews>
    <workbookView xWindow="-108" yWindow="-108" windowWidth="23256" windowHeight="12576" tabRatio="885" xr2:uid="{00000000-000D-0000-FFFF-FFFF00000000}"/>
  </bookViews>
  <sheets>
    <sheet name="様式１-1　プログラムを構成する授業科目（経営・社会・薬）" sheetId="39" r:id="rId1"/>
    <sheet name="様式１-2　プログラムを構成する授業科目（ソフト）"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　プログラムを構成する授業科目（経営・社会・薬）'!$V$14:$V$16</definedName>
    <definedName name="_xlnm._FilterDatabase" localSheetId="1" hidden="1">'様式１-2　プログラムを構成する授業科目（ソフト）'!$V$14:$V$16</definedName>
    <definedName name="_xlnm._FilterDatabase" localSheetId="2" hidden="1">'様式２ 履修者等数の実績'!#REF!</definedName>
    <definedName name="_xlnm.Print_Area" localSheetId="0">'様式１-1　プログラムを構成する授業科目（経営・社会・薬）'!$A$1:$S$102</definedName>
    <definedName name="_xlnm.Print_Area" localSheetId="1">'様式１-2　プログラムを構成する授業科目（ソフト）'!$A$1:$S$102</definedName>
    <definedName name="_xlnm.Print_Area" localSheetId="2">'様式２ 履修者等数の実績'!$A$1:$AQ$32</definedName>
    <definedName name="_xlnm.Print_Area" localSheetId="3">'様式３ 教育の質・履修者数を向上させるための体制・計画'!$A$1:$I$79</definedName>
    <definedName name="_xlnm.Print_Area" localSheetId="4">'様式４　自己点検・評価'!$A$1:$I$22</definedName>
    <definedName name="_xlnm.Print_Titles" localSheetId="4">'様式４　自己点検・評価'!$11:$11</definedName>
  </definedNames>
  <calcPr calcId="18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45"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4" i="41" s="1"/>
</calcChain>
</file>

<file path=xl/sharedStrings.xml><?xml version="1.0" encoding="utf-8"?>
<sst xmlns="http://schemas.openxmlformats.org/spreadsheetml/2006/main" count="436" uniqueCount="187">
  <si>
    <t>様式１-1</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</si>
  <si>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</si>
  <si>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</si>
  <si>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青森大学</t>
    <rPh sb="0" eb="4">
      <t>アオモリダイガク</t>
    </rPh>
    <phoneticPr fontId="1"/>
  </si>
  <si>
    <t>プログラム名</t>
    <rPh sb="5" eb="6">
      <t>メイ</t>
    </rPh>
    <phoneticPr fontId="1"/>
  </si>
  <si>
    <t>データサイエンス・AIリテラシープログラム</t>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</si>
  <si>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</si>
  <si>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</si>
  <si>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</si>
  <si>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学部・学科によって、修了要件は相違する</t>
  </si>
  <si>
    <t>総合経営学部・経営学科、社会学部・社会学科、薬学部・薬学科</t>
    <rPh sb="0" eb="4">
      <t>ソウゴウケイエイ</t>
    </rPh>
    <rPh sb="4" eb="6">
      <t>ガクブ</t>
    </rPh>
    <rPh sb="7" eb="9">
      <t>ケイエイ</t>
    </rPh>
    <rPh sb="9" eb="11">
      <t>ガッカ</t>
    </rPh>
    <rPh sb="12" eb="16">
      <t>シャカイガクブ</t>
    </rPh>
    <rPh sb="17" eb="21">
      <t>シャカイガッカ</t>
    </rPh>
    <rPh sb="22" eb="25">
      <t>ヤクガクブ</t>
    </rPh>
    <rPh sb="26" eb="28">
      <t>ヤクガク</t>
    </rPh>
    <rPh sb="28" eb="29">
      <t>カ</t>
    </rPh>
    <phoneticPr fontId="1"/>
  </si>
  <si>
    <t>③ 修了要件</t>
    <phoneticPr fontId="1"/>
  </si>
  <si>
    <t>総合経営学部・経営学科、社会学部・社会学科、薬学部・薬学科の学生は、「情報社会と情報倫理」（２単位）および「情報の集計・分析」（１単位）を修得すること。</t>
    <rPh sb="7" eb="9">
      <t>ケイエイ</t>
    </rPh>
    <rPh sb="9" eb="11">
      <t>ガッカ</t>
    </rPh>
    <rPh sb="17" eb="19">
      <t>シャカイ</t>
    </rPh>
    <rPh sb="19" eb="21">
      <t>ガッカ</t>
    </rPh>
    <rPh sb="26" eb="29">
      <t>ヤクガクカ</t>
    </rPh>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</si>
  <si>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</si>
  <si>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</si>
  <si>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</si>
  <si>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</si>
  <si>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</si>
  <si>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</si>
  <si>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</si>
  <si>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</si>
  <si>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</si>
  <si>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</si>
  <si>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</si>
  <si>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</si>
  <si>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</si>
  <si>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情報社会と情報倫理</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</si>
  <si>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</si>
  <si>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</si>
  <si>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</si>
  <si>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</si>
  <si>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情報の集計・分析</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</si>
  <si>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</si>
  <si>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</si>
  <si>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</si>
  <si>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</si>
  <si>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</si>
  <si>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</si>
  <si>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</si>
  <si>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</si>
  <si>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</si>
  <si>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</si>
  <si>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情報の集計・分析</t>
  </si>
  <si>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</si>
  <si>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</si>
  <si>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</si>
  <si>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</si>
  <si>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</si>
  <si>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</si>
  <si>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</si>
  <si>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</si>
  <si>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</si>
  <si>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</si>
  <si>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</si>
  <si>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</si>
  <si>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</si>
  <si>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様式１-2</t>
    <rPh sb="0" eb="2">
      <t>ヨウシキ</t>
    </rPh>
    <phoneticPr fontId="1"/>
  </si>
  <si>
    <t>ソフトウェア情報学部・ソフトウェア情報学科</t>
    <rPh sb="6" eb="10">
      <t>ジョウホウガクブ</t>
    </rPh>
    <rPh sb="19" eb="21">
      <t>ガッカ</t>
    </rPh>
    <phoneticPr fontId="1"/>
  </si>
  <si>
    <t>ソフトウェア情報学部・ソフトウェア情報学科の学生は、「情報社会と情報倫理」（２単位）および「情報リテラシー」（２単位）を修得すること。</t>
    <rPh sb="6" eb="10">
      <t>ジョウホウガクブ</t>
    </rPh>
    <rPh sb="17" eb="19">
      <t>ジョウホウ</t>
    </rPh>
    <rPh sb="19" eb="21">
      <t>ガッカ</t>
    </rPh>
    <phoneticPr fontId="1"/>
  </si>
  <si>
    <t>情報リテラシー</t>
    <phoneticPr fontId="1"/>
  </si>
  <si>
    <t>様式２</t>
    <phoneticPr fontId="1"/>
  </si>
  <si>
    <t>プログラムの履修者数等の実績について</t>
    <phoneticPr fontId="1"/>
  </si>
  <si>
    <t>①プログラム開設年度</t>
    <rPh sb="6" eb="8">
      <t>カイセツ</t>
    </rPh>
    <rPh sb="8" eb="10">
      <t>ネンド</t>
    </rPh>
    <phoneticPr fontId="1"/>
  </si>
  <si>
    <t>令和4</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</si>
  <si>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</si>
  <si>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</si>
  <si>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</si>
  <si>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</si>
  <si>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</si>
  <si>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</si>
  <si>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</si>
  <si>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</si>
  <si>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</si>
  <si>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</si>
  <si>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</si>
  <si>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</si>
  <si>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</si>
  <si>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</si>
  <si>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</si>
  <si>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</si>
  <si>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</si>
  <si>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</si>
  <si>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</si>
  <si>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総合経営学部・経営学科</t>
    <rPh sb="0" eb="6">
      <t>ソウゴウケイエイガクブ</t>
    </rPh>
    <rPh sb="7" eb="9">
      <t>ケイエイ</t>
    </rPh>
    <rPh sb="9" eb="11">
      <t>ガッカ</t>
    </rPh>
    <phoneticPr fontId="1"/>
  </si>
  <si>
    <t>社会学部・社会学科</t>
    <rPh sb="0" eb="4">
      <t>シャカイガクブ</t>
    </rPh>
    <rPh sb="5" eb="9">
      <t>シャカイガッカ</t>
    </rPh>
    <phoneticPr fontId="1"/>
  </si>
  <si>
    <t>ソフトウェア情報学部・ソフトウェア情報学科</t>
    <rPh sb="6" eb="8">
      <t>ジョウホウ</t>
    </rPh>
    <rPh sb="8" eb="10">
      <t>ガクブ</t>
    </rPh>
    <rPh sb="17" eb="19">
      <t>ジョウホウ</t>
    </rPh>
    <rPh sb="19" eb="21">
      <t>ガッカ</t>
    </rPh>
    <phoneticPr fontId="1"/>
  </si>
  <si>
    <t>薬学部・薬学科</t>
    <rPh sb="0" eb="3">
      <t>ヤクガクブ</t>
    </rPh>
    <rPh sb="4" eb="7">
      <t>ヤクガクカ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</si>
  <si>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</si>
  <si>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</si>
  <si>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</si>
  <si>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</si>
  <si>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</si>
  <si>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</si>
  <si>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</si>
  <si>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</si>
  <si>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</si>
  <si>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</si>
  <si>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</si>
  <si>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</si>
  <si>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</si>
  <si>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</si>
  <si>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坂井　雄介</t>
    <phoneticPr fontId="1"/>
  </si>
  <si>
    <t>（役職名）</t>
    <rPh sb="1" eb="4">
      <t>ヤクショクメイ</t>
    </rPh>
    <phoneticPr fontId="1"/>
  </si>
  <si>
    <t>学監・教務委員長</t>
    <rPh sb="0" eb="2">
      <t>ガッカン</t>
    </rPh>
    <phoneticPr fontId="1"/>
  </si>
  <si>
    <t>④</t>
    <phoneticPr fontId="1"/>
  </si>
  <si>
    <t>プログラムを改善・進化させるための体制（委員会・組織等）</t>
    <phoneticPr fontId="1"/>
  </si>
  <si>
    <t>教務委員会</t>
    <phoneticPr fontId="1"/>
  </si>
  <si>
    <t>学監・教務委員長</t>
    <phoneticPr fontId="1"/>
  </si>
  <si>
    <t>⑤</t>
    <phoneticPr fontId="1"/>
  </si>
  <si>
    <t>プログラムを改善・進化させるための体制を定める規則名称</t>
    <phoneticPr fontId="1"/>
  </si>
  <si>
    <t>教務委員会規程</t>
    <rPh sb="0" eb="5">
      <t>キョウムイインカイ</t>
    </rPh>
    <rPh sb="5" eb="7">
      <t>キテイ</t>
    </rPh>
    <phoneticPr fontId="1"/>
  </si>
  <si>
    <t>⑥</t>
    <phoneticPr fontId="1"/>
  </si>
  <si>
    <t>体制の目的</t>
    <rPh sb="0" eb="2">
      <t>タイセイ</t>
    </rPh>
    <rPh sb="3" eb="5">
      <t>モクテキ</t>
    </rPh>
    <phoneticPr fontId="1"/>
  </si>
  <si>
    <t>⑦</t>
    <phoneticPr fontId="1"/>
  </si>
  <si>
    <t>具体的な構成員</t>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</si>
  <si>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</si>
  <si>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</si>
  <si>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</si>
  <si>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</si>
  <si>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</si>
  <si>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</si>
  <si>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</si>
  <si>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</si>
  <si>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</si>
  <si>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目標を実現するために、令和３年度より教務委員会にて基礎スタンダード科目（全学における教養科目）内で本プログラムの対象となる科目の選定、授業内容の工夫等について議論を展開。令和４年度よりデータサイエンス・AIリテラシープログラムと位置づけした科目の運用を開始し、授業時間外での学修指導やその他学生指導や支援等の学修サポートなどについて、教務委員会にて議論し、関連する諸委員会などと連携し、学生のプログラム履修をサポートしている。毎年教務委員会にてこれらの内容等について確認・見直しを行い、学生に寄り添ったプログラムを展開していく計画である。</t>
    <rPh sb="18" eb="23">
      <t>キョウムイインカイ</t>
    </rPh>
    <rPh sb="25" eb="27">
      <t>キソ</t>
    </rPh>
    <rPh sb="33" eb="35">
      <t>カモク</t>
    </rPh>
    <rPh sb="36" eb="38">
      <t>ゼンガク</t>
    </rPh>
    <rPh sb="42" eb="46">
      <t>キョウヨウカモク</t>
    </rPh>
    <rPh sb="47" eb="48">
      <t>ナイ</t>
    </rPh>
    <rPh sb="49" eb="50">
      <t>ホン</t>
    </rPh>
    <rPh sb="56" eb="58">
      <t>タイショウ</t>
    </rPh>
    <rPh sb="61" eb="63">
      <t>カモク</t>
    </rPh>
    <rPh sb="64" eb="66">
      <t>センテイ</t>
    </rPh>
    <rPh sb="67" eb="69">
      <t>ジュギョウ</t>
    </rPh>
    <rPh sb="79" eb="81">
      <t>ギロン</t>
    </rPh>
    <rPh sb="82" eb="84">
      <t>テンカイ</t>
    </rPh>
    <rPh sb="85" eb="87">
      <t>レイワ</t>
    </rPh>
    <rPh sb="88" eb="90">
      <t>ネンド</t>
    </rPh>
    <rPh sb="114" eb="116">
      <t>イチ</t>
    </rPh>
    <rPh sb="120" eb="122">
      <t>カモク</t>
    </rPh>
    <rPh sb="123" eb="125">
      <t>ウンヨウ</t>
    </rPh>
    <rPh sb="126" eb="128">
      <t>カイシ</t>
    </rPh>
    <rPh sb="130" eb="132">
      <t>ジュギョウ</t>
    </rPh>
    <rPh sb="132" eb="135">
      <t>ジカンガイ</t>
    </rPh>
    <rPh sb="137" eb="139">
      <t>ガクシュウ</t>
    </rPh>
    <rPh sb="139" eb="141">
      <t>シドウ</t>
    </rPh>
    <rPh sb="144" eb="145">
      <t>タ</t>
    </rPh>
    <rPh sb="145" eb="147">
      <t>ガクセイ</t>
    </rPh>
    <rPh sb="147" eb="149">
      <t>シドウ</t>
    </rPh>
    <rPh sb="150" eb="152">
      <t>シエン</t>
    </rPh>
    <rPh sb="152" eb="153">
      <t>トウ</t>
    </rPh>
    <rPh sb="154" eb="156">
      <t>ガクシュウ</t>
    </rPh>
    <rPh sb="167" eb="172">
      <t>キョウムイインカイ</t>
    </rPh>
    <rPh sb="174" eb="176">
      <t>ギロン</t>
    </rPh>
    <rPh sb="178" eb="180">
      <t>カンレン</t>
    </rPh>
    <rPh sb="182" eb="183">
      <t>ショ</t>
    </rPh>
    <rPh sb="183" eb="186">
      <t>イインカイ</t>
    </rPh>
    <rPh sb="189" eb="191">
      <t>レンケイ</t>
    </rPh>
    <rPh sb="213" eb="215">
      <t>マイトシ</t>
    </rPh>
    <rPh sb="215" eb="220">
      <t>キョウムイインカイ</t>
    </rPh>
    <rPh sb="226" eb="229">
      <t>ナイヨウトウ</t>
    </rPh>
    <rPh sb="233" eb="235">
      <t>カクニン</t>
    </rPh>
    <rPh sb="236" eb="238">
      <t>ミナオ</t>
    </rPh>
    <rPh sb="240" eb="241">
      <t>オコナ</t>
    </rPh>
    <rPh sb="243" eb="245">
      <t>ガクセイ</t>
    </rPh>
    <rPh sb="246" eb="247">
      <t>ヨ</t>
    </rPh>
    <rPh sb="248" eb="249">
      <t>ソ</t>
    </rPh>
    <rPh sb="257" eb="259">
      <t>テンカイ</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</si>
  <si>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</si>
  <si>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</si>
  <si>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教務委員会での議論等により、現在ソフトウェア情報学部での対象科目となっている「情報リテラシー」については、対象学部以外の３学部（総合経営学部、社会学部、薬学部）についても他学部履修として選択できる制度を整備し、履修相談については、各学部の教務委員や教務課職員などを通じて、他学部の教職員へ相談状況等を共有し、履修の支援、相談体制の拡充を図り、全学的な履修を支援・促進している。</t>
    <rPh sb="0" eb="5">
      <t>キョウムイインカイ</t>
    </rPh>
    <rPh sb="7" eb="9">
      <t>ギロン</t>
    </rPh>
    <rPh sb="9" eb="10">
      <t>トウ</t>
    </rPh>
    <rPh sb="14" eb="16">
      <t>ゲンザイ</t>
    </rPh>
    <rPh sb="22" eb="26">
      <t>ジョウホウガクブ</t>
    </rPh>
    <rPh sb="28" eb="30">
      <t>タイショウ</t>
    </rPh>
    <rPh sb="30" eb="32">
      <t>カモク</t>
    </rPh>
    <rPh sb="39" eb="41">
      <t>ジョウホウ</t>
    </rPh>
    <rPh sb="53" eb="55">
      <t>タイショウ</t>
    </rPh>
    <rPh sb="55" eb="57">
      <t>ガクブ</t>
    </rPh>
    <rPh sb="57" eb="59">
      <t>イガイ</t>
    </rPh>
    <rPh sb="61" eb="63">
      <t>ガクブ</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</si>
  <si>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</si>
  <si>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</si>
  <si>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入学後の各学部の教務ガイダンス、web学生掲示板での周知などを行うことで、学生が情報を即座に確認しやすい環境等を整備している。</t>
    <rPh sb="4" eb="7">
      <t>カクガクブ</t>
    </rPh>
    <rPh sb="8" eb="10">
      <t>キョウム</t>
    </rPh>
    <rPh sb="19" eb="21">
      <t>ガクセイ</t>
    </rPh>
    <rPh sb="21" eb="24">
      <t>ケイジバン</t>
    </rPh>
    <rPh sb="31" eb="32">
      <t>オコナ</t>
    </rPh>
    <rPh sb="43" eb="45">
      <t>ソクザ</t>
    </rPh>
    <rPh sb="46" eb="48">
      <t>カクニン</t>
    </rPh>
    <rPh sb="54" eb="55">
      <t>トウ</t>
    </rPh>
    <phoneticPr fontId="1"/>
  </si>
  <si>
    <t>⑪</t>
    <phoneticPr fontId="1"/>
  </si>
  <si>
    <t>できる限り多くの学生が履修・修得できるようなサポート体制</t>
    <rPh sb="26" eb="28">
      <t>タイセイ</t>
    </rPh>
    <phoneticPr fontId="1"/>
  </si>
  <si>
    <t>前期・後期の開始時に各学部の履修相談機関を設けたり、各学部のオフィスアワーについてメール案内やweb学生掲示板などで告知することにより、本教育プログラムの授業について、多くの学生がいつでも気軽に相談できるサポート体制を構築し支援している。</t>
    <rPh sb="0" eb="2">
      <t>ゼンキ</t>
    </rPh>
    <rPh sb="3" eb="5">
      <t>コウキ</t>
    </rPh>
    <rPh sb="6" eb="9">
      <t>カイシジ</t>
    </rPh>
    <rPh sb="10" eb="13">
      <t>カクガクブ</t>
    </rPh>
    <rPh sb="14" eb="18">
      <t>リシュウソウダン</t>
    </rPh>
    <rPh sb="18" eb="20">
      <t>キカン</t>
    </rPh>
    <rPh sb="21" eb="22">
      <t>モウ</t>
    </rPh>
    <rPh sb="26" eb="29">
      <t>カクガクブ</t>
    </rPh>
    <rPh sb="44" eb="46">
      <t>アンナイ</t>
    </rPh>
    <rPh sb="58" eb="60">
      <t>コクチ</t>
    </rPh>
    <rPh sb="68" eb="69">
      <t>ホン</t>
    </rPh>
    <rPh sb="94" eb="96">
      <t>キガル</t>
    </rPh>
    <rPh sb="97" eb="99">
      <t>ソウダン</t>
    </rPh>
    <rPh sb="106" eb="108">
      <t>タイセイ</t>
    </rPh>
    <rPh sb="112" eb="114">
      <t>シエン</t>
    </rPh>
    <phoneticPr fontId="1"/>
  </si>
  <si>
    <t>⑫</t>
    <phoneticPr fontId="1"/>
  </si>
  <si>
    <t>授業時間内外で学習指導、質問を受け付ける具体的な仕組み</t>
    <rPh sb="20" eb="23">
      <t>グタイテキ</t>
    </rPh>
    <phoneticPr fontId="1"/>
  </si>
  <si>
    <t>各学部のオフィスアワーの時間を活用し、学生は授業時間以外に不明点等を相談できる仕組みとなっている。また、教務課など事務局でも各種相談を対面およびオンライン等で随時受付しており、質問内容については担当教員へ連絡し、担当教職員を通じて返答する仕組み等を整備している。</t>
    <rPh sb="0" eb="3">
      <t>カクガクブ</t>
    </rPh>
    <rPh sb="12" eb="14">
      <t>ジカン</t>
    </rPh>
    <rPh sb="15" eb="17">
      <t>カツヨウ</t>
    </rPh>
    <rPh sb="34" eb="36">
      <t>ソウダン</t>
    </rPh>
    <rPh sb="39" eb="41">
      <t>シク</t>
    </rPh>
    <rPh sb="52" eb="55">
      <t>キョウムカ</t>
    </rPh>
    <rPh sb="57" eb="60">
      <t>ジムキョク</t>
    </rPh>
    <rPh sb="62" eb="64">
      <t>カクシュ</t>
    </rPh>
    <rPh sb="64" eb="66">
      <t>ソウダン</t>
    </rPh>
    <rPh sb="67" eb="69">
      <t>タイメン</t>
    </rPh>
    <rPh sb="77" eb="78">
      <t>トウ</t>
    </rPh>
    <rPh sb="79" eb="81">
      <t>ズイジ</t>
    </rPh>
    <rPh sb="81" eb="83">
      <t>ウケツケ</t>
    </rPh>
    <rPh sb="90" eb="92">
      <t>ナイヨウ</t>
    </rPh>
    <rPh sb="97" eb="101">
      <t>タントウキョウイン</t>
    </rPh>
    <rPh sb="102" eb="104">
      <t>レンラク</t>
    </rPh>
    <rPh sb="106" eb="108">
      <t>タントウ</t>
    </rPh>
    <rPh sb="108" eb="111">
      <t>キョウショクイン</t>
    </rPh>
    <rPh sb="119" eb="121">
      <t>シク</t>
    </rPh>
    <rPh sb="122" eb="123">
      <t>トウ</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</si>
  <si>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</si>
  <si>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</si>
  <si>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</si>
  <si>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</si>
  <si>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澁谷　泰秀</t>
    <phoneticPr fontId="1"/>
  </si>
  <si>
    <t>学長</t>
    <rPh sb="0" eb="2">
      <t>ガクチョウ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</si>
  <si>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</si>
  <si>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</si>
  <si>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</si>
  <si>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</si>
  <si>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</si>
  <si>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</si>
  <si>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</si>
  <si>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</si>
  <si>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</si>
  <si>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</si>
  <si>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</si>
  <si>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卒業生アンケートを卒業時に実施し、本教育プログラムを修了した卒業生の進路先や活躍状況の把握が可能である。また学生の内定先企業や自治体等に対して企業調査を定期的に実施し、本プログラムを修了した卒業生における採用状況や企業評価を把握する仕組みなどを設けている。</t>
    <rPh sb="0" eb="3">
      <t>ソツギョウセイ</t>
    </rPh>
    <rPh sb="9" eb="12">
      <t>ソツギョウジ</t>
    </rPh>
    <rPh sb="13" eb="15">
      <t>ジッシ</t>
    </rPh>
    <rPh sb="54" eb="56">
      <t>ガクセイ</t>
    </rPh>
    <rPh sb="57" eb="60">
      <t>ナイテイサキ</t>
    </rPh>
    <rPh sb="60" eb="62">
      <t>キギョウ</t>
    </rPh>
    <rPh sb="63" eb="66">
      <t>ジチタイ</t>
    </rPh>
    <rPh sb="66" eb="67">
      <t>トウ</t>
    </rPh>
    <rPh sb="76" eb="79">
      <t>テイキテキ</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</si>
  <si>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</si>
  <si>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</si>
  <si>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モデルカリキュラムリテラシーレベルに準じた内容を展開し、地域課題やトレンドなど地域社会での実例などを踏まえ、AIやデータ等がどのように活用をされているかを中心に、学生の興味・関心が沸く講義内容となるよう工夫している。取り上げる実例については、授業（学生）アンケートの内容等を活用しながら実施している。</t>
    <rPh sb="28" eb="30">
      <t>チイキ</t>
    </rPh>
    <rPh sb="30" eb="32">
      <t>カダイ</t>
    </rPh>
    <rPh sb="39" eb="41">
      <t>チイキ</t>
    </rPh>
    <rPh sb="50" eb="51">
      <t>フ</t>
    </rPh>
    <rPh sb="81" eb="83">
      <t>ガクセイ</t>
    </rPh>
    <rPh sb="84" eb="86">
      <t>キョウミ</t>
    </rPh>
    <rPh sb="87" eb="89">
      <t>カンシン</t>
    </rPh>
    <rPh sb="90" eb="91">
      <t>ワ</t>
    </rPh>
    <rPh sb="101" eb="103">
      <t>クフウ</t>
    </rPh>
    <rPh sb="121" eb="123">
      <t>ジュギョウ</t>
    </rPh>
    <rPh sb="133" eb="135">
      <t>ナイヨウ</t>
    </rPh>
    <rPh sb="135" eb="136">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</si>
  <si>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</si>
  <si>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教務委員長：坂井雄介
教務副委員長（教務課長）：赤石まなみ
教務委員（総合経営学部准教授）：石塚ゆかり
教務委員（総合経営学部准教授）：井岡佳代子
教務委員（社会学部教授）：佐藤淳
教務委員（社会学部教授）：田中志子
教務委員（社会学部講師）：木原博
教務委員（ソフトウェア情報学部教授）：穴田啓晃
教務委員（ソフトウェア情報学部准教授）：鹿内史
教務委員（ソフトウェア情報学部講師）：小野淳平
教務委員（薬学部教授）：植木章晴
教務委員（薬学部准教授）：上家勝芳
教務委員（東京キャンパス事務局次長）：小村剛史
教務委員（教務課課長補佐）：太田和也
教務委員（教務課主任）：工藤睦美
教務委員（むつキャンパス課員）：奈良雪月</t>
    <rPh sb="0" eb="5">
      <t>キョウムイインチョウ</t>
    </rPh>
    <rPh sb="11" eb="13">
      <t>キョウム</t>
    </rPh>
    <rPh sb="13" eb="17">
      <t>フクイインチョウ</t>
    </rPh>
    <rPh sb="18" eb="22">
      <t>キョウムカチョウ</t>
    </rPh>
    <rPh sb="30" eb="34">
      <t>キョウムイイン</t>
    </rPh>
    <rPh sb="118" eb="120">
      <t>コウシ</t>
    </rPh>
    <rPh sb="137" eb="141">
      <t>ジョウホウガクブ</t>
    </rPh>
    <rPh sb="165" eb="168">
      <t>ジュンキョウジュ</t>
    </rPh>
    <rPh sb="189" eb="191">
      <t>コウシ</t>
    </rPh>
    <rPh sb="203" eb="206">
      <t>ヤクガクブ</t>
    </rPh>
    <rPh sb="223" eb="226">
      <t>ジュンキョウジュ</t>
    </rPh>
    <rPh sb="238" eb="240">
      <t>トウキョウ</t>
    </rPh>
    <rPh sb="262" eb="265">
      <t>キョウムカ</t>
    </rPh>
    <rPh sb="265" eb="269">
      <t>カチョウホサ</t>
    </rPh>
    <rPh sb="284" eb="286">
      <t>シュニン</t>
    </rPh>
    <rPh sb="305" eb="307">
      <t>カイン</t>
    </rPh>
    <phoneticPr fontId="1"/>
  </si>
  <si>
    <t>自己点検評価・認証評価審査対策委員会</t>
    <phoneticPr fontId="1"/>
  </si>
  <si>
    <t>自己点検評価・認証評価審査対策委員会のPDCA管理部会（ワーキンググループ）において、教務委員会など関連委員会よりプログラムの履修・取得状況データを吸い上げ、その内容等について確認や分析を行い、これらの内容等を活用しながら議論を行うことで、履修者の学修状況や修得状況などを把握し、関連委員会へ確認・分析内容をフィードバックし、関連プログラムの内容や支援体制について不断の見直しを行うような取組体制を取っている。</t>
    <rPh sb="23" eb="25">
      <t>カンリ</t>
    </rPh>
    <rPh sb="25" eb="27">
      <t>ブカイ</t>
    </rPh>
    <rPh sb="43" eb="48">
      <t>キョウムイインカイ</t>
    </rPh>
    <rPh sb="50" eb="52">
      <t>カンレン</t>
    </rPh>
    <rPh sb="52" eb="55">
      <t>イインカイ</t>
    </rPh>
    <rPh sb="74" eb="75">
      <t>ス</t>
    </rPh>
    <rPh sb="76" eb="77">
      <t>ア</t>
    </rPh>
    <rPh sb="81" eb="84">
      <t>ナイヨウトウ</t>
    </rPh>
    <rPh sb="88" eb="90">
      <t>カクニン</t>
    </rPh>
    <rPh sb="94" eb="95">
      <t>オコナ</t>
    </rPh>
    <rPh sb="101" eb="104">
      <t>ナイヨウトウ</t>
    </rPh>
    <rPh sb="111" eb="113">
      <t>ギロン</t>
    </rPh>
    <rPh sb="114" eb="115">
      <t>オコナ</t>
    </rPh>
    <rPh sb="120" eb="122">
      <t>リシュウ</t>
    </rPh>
    <rPh sb="124" eb="126">
      <t>ガクシュウ</t>
    </rPh>
    <rPh sb="129" eb="131">
      <t>シュウトク</t>
    </rPh>
    <rPh sb="146" eb="148">
      <t>カクニン</t>
    </rPh>
    <rPh sb="149" eb="151">
      <t>ブンセキ</t>
    </rPh>
    <rPh sb="151" eb="153">
      <t>ナイヨウ</t>
    </rPh>
    <rPh sb="163" eb="165">
      <t>カンレン</t>
    </rPh>
    <rPh sb="171" eb="173">
      <t>ナイヨウ</t>
    </rPh>
    <rPh sb="174" eb="178">
      <t>シエンタイセイ</t>
    </rPh>
    <rPh sb="182" eb="184">
      <t>フダン</t>
    </rPh>
    <rPh sb="185" eb="187">
      <t>ミナオ</t>
    </rPh>
    <rPh sb="189" eb="190">
      <t>オコナ</t>
    </rPh>
    <rPh sb="194" eb="196">
      <t>トリクミ</t>
    </rPh>
    <rPh sb="196" eb="198">
      <t>タイセイ</t>
    </rPh>
    <rPh sb="199" eb="200">
      <t>ト</t>
    </rPh>
    <phoneticPr fontId="1"/>
  </si>
  <si>
    <t>社会におけるデータ・ＡＩ利活用に関する知識・技能を用いてデータを適切に読み解く能力を身に付け、就職等社会に出てから仕事等で活用するための基礎体力を醸成する。</t>
    <rPh sb="22" eb="24">
      <t>ギノウ</t>
    </rPh>
    <rPh sb="25" eb="26">
      <t>モチ</t>
    </rPh>
    <rPh sb="42" eb="43">
      <t>ミ</t>
    </rPh>
    <rPh sb="44" eb="45">
      <t>ツ</t>
    </rPh>
    <rPh sb="47" eb="50">
      <t>シュウショクトウ</t>
    </rPh>
    <rPh sb="50" eb="52">
      <t>シャカイ</t>
    </rPh>
    <rPh sb="53" eb="54">
      <t>デ</t>
    </rPh>
    <rPh sb="57" eb="59">
      <t>シゴト</t>
    </rPh>
    <rPh sb="59" eb="60">
      <t>トウ</t>
    </rPh>
    <rPh sb="61" eb="63">
      <t>カツヨウ</t>
    </rPh>
    <rPh sb="68" eb="72">
      <t>キソタイリョク</t>
    </rPh>
    <rPh sb="73" eb="75">
      <t>ジョウセイ</t>
    </rPh>
    <phoneticPr fontId="1"/>
  </si>
  <si>
    <t>青森大学のディプロマ・ポリシーにある「生涯をかけて学び続ける力」「人とつながる力」「自分自身を見据え、確かめる力」を醸成するために、文系理系を問わず、データ等を活用する学修活動をコンテンツとして、社会の課題を発見したり、解決できる人材を育成することを目的として、数理・データサイエンス・AI教育の全学的な普及、関連科目の整備を行い、学内共同委員会として教務委員会内で議論・調整を行うことを目的とする。</t>
    <rPh sb="0" eb="4">
      <t>アオモリダイガク</t>
    </rPh>
    <rPh sb="58" eb="60">
      <t>ジョウセイ</t>
    </rPh>
    <rPh sb="66" eb="68">
      <t>ブンケイ</t>
    </rPh>
    <rPh sb="68" eb="70">
      <t>リケイ</t>
    </rPh>
    <rPh sb="71" eb="72">
      <t>ト</t>
    </rPh>
    <rPh sb="78" eb="79">
      <t>トウ</t>
    </rPh>
    <rPh sb="84" eb="86">
      <t>ガクシュウ</t>
    </rPh>
    <rPh sb="86" eb="88">
      <t>カツドウ</t>
    </rPh>
    <rPh sb="170" eb="173">
      <t>イインカイ</t>
    </rPh>
    <rPh sb="176" eb="181">
      <t>キョウムイインカイ</t>
    </rPh>
    <rPh sb="181" eb="182">
      <t>ナイ</t>
    </rPh>
    <rPh sb="183" eb="185">
      <t>ギロン</t>
    </rPh>
    <rPh sb="186" eb="188">
      <t>チョウセイ</t>
    </rPh>
    <rPh sb="189" eb="190">
      <t>オコナ</t>
    </rPh>
    <rPh sb="194" eb="196">
      <t>モクテキ</t>
    </rPh>
    <phoneticPr fontId="1"/>
  </si>
  <si>
    <t>教務委員会の関連組織である学修支援センターを中心として実施している「学修状況・満足度調査」の「学修到達度調査」についての項目を分析することによって、授業内容の学生の理解度を把握することができ、その結果を教務委員会および自己点検評価・認証評価審査対策委員会などと連携し、本教育プログラムの評価・改善に活用している。</t>
    <rPh sb="6" eb="8">
      <t>カンレン</t>
    </rPh>
    <rPh sb="52" eb="54">
      <t>チョウサ</t>
    </rPh>
    <phoneticPr fontId="1"/>
  </si>
  <si>
    <t>本教育プログラム受講者全員に対して授業アンケートを実施しており、教務委員会において学生の理解度について確認などを行っている。</t>
    <rPh sb="32" eb="37">
      <t>キョウムイインカイ</t>
    </rPh>
    <rPh sb="51" eb="53">
      <t>カクニン</t>
    </rPh>
    <rPh sb="56" eb="57">
      <t>オコナ</t>
    </rPh>
    <phoneticPr fontId="1"/>
  </si>
  <si>
    <t>履修者に対する授業アンケートにおいて、後輩学生や他の学生への推奨についての内容等について情報共有を行っている。また、履修者の授業アンケート内の自由意見など受講の感想等の意見について対象科目の教員が確認し、授業改善方策を策定し、全学部でフィードバックを行い、その内容などを図書館で学生が閲覧できる仕組みなども活用することで、後輩学生や他の学生への講義受講を推奨している。</t>
    <rPh sb="0" eb="3">
      <t>リシュウシャ</t>
    </rPh>
    <rPh sb="37" eb="40">
      <t>ナイヨウトウ</t>
    </rPh>
    <rPh sb="44" eb="46">
      <t>ジョウホウ</t>
    </rPh>
    <rPh sb="46" eb="48">
      <t>キョウユウ</t>
    </rPh>
    <rPh sb="49" eb="50">
      <t>オコナ</t>
    </rPh>
    <rPh sb="58" eb="61">
      <t>リシュウシャ</t>
    </rPh>
    <rPh sb="62" eb="64">
      <t>ジュギョウ</t>
    </rPh>
    <rPh sb="69" eb="70">
      <t>ナイ</t>
    </rPh>
    <rPh sb="71" eb="75">
      <t>ジユウイケン</t>
    </rPh>
    <rPh sb="90" eb="92">
      <t>タイショウ</t>
    </rPh>
    <rPh sb="92" eb="94">
      <t>カモク</t>
    </rPh>
    <rPh sb="95" eb="97">
      <t>キョウイン</t>
    </rPh>
    <rPh sb="98" eb="100">
      <t>カクニン</t>
    </rPh>
    <rPh sb="102" eb="104">
      <t>ジュギョウ</t>
    </rPh>
    <rPh sb="104" eb="106">
      <t>カイゼン</t>
    </rPh>
    <rPh sb="106" eb="108">
      <t>ホウサク</t>
    </rPh>
    <rPh sb="109" eb="111">
      <t>サクテイ</t>
    </rPh>
    <rPh sb="113" eb="116">
      <t>ゼンガクブ</t>
    </rPh>
    <rPh sb="125" eb="126">
      <t>オコナ</t>
    </rPh>
    <rPh sb="130" eb="132">
      <t>ナイヨウ</t>
    </rPh>
    <rPh sb="135" eb="138">
      <t>トショカン</t>
    </rPh>
    <rPh sb="139" eb="141">
      <t>ガクセイ</t>
    </rPh>
    <rPh sb="142" eb="144">
      <t>エツラン</t>
    </rPh>
    <rPh sb="147" eb="149">
      <t>シク</t>
    </rPh>
    <rPh sb="153" eb="155">
      <t>カツヨウ</t>
    </rPh>
    <phoneticPr fontId="1"/>
  </si>
  <si>
    <t>本教育プログラムを構成する科目「情報社会と情報倫理」については、選択科目となっているため、教務委員会にて履修の状況等について定期的に確認し、全学的な履修者数・履修率の向上に向け、各教職員の専門的な視点なども取り入れながら見直しなどを検討し、学生の履修を推進している。</t>
    <rPh sb="18" eb="20">
      <t>シャカイ</t>
    </rPh>
    <rPh sb="21" eb="25">
      <t>ジョウホウリンリ</t>
    </rPh>
    <rPh sb="32" eb="34">
      <t>センタク</t>
    </rPh>
    <rPh sb="34" eb="36">
      <t>カモク</t>
    </rPh>
    <rPh sb="45" eb="50">
      <t>キョウムイインカイ</t>
    </rPh>
    <rPh sb="52" eb="54">
      <t>リシュウ</t>
    </rPh>
    <rPh sb="55" eb="58">
      <t>ジョウキョウトウ</t>
    </rPh>
    <rPh sb="62" eb="65">
      <t>テイキテキ</t>
    </rPh>
    <rPh sb="66" eb="68">
      <t>カクニン</t>
    </rPh>
    <rPh sb="89" eb="90">
      <t>カク</t>
    </rPh>
    <rPh sb="90" eb="93">
      <t>キョウショクイン</t>
    </rPh>
    <rPh sb="94" eb="96">
      <t>センモン</t>
    </rPh>
    <rPh sb="96" eb="97">
      <t>テキ</t>
    </rPh>
    <rPh sb="98" eb="100">
      <t>シテン</t>
    </rPh>
    <rPh sb="103" eb="104">
      <t>ト</t>
    </rPh>
    <rPh sb="105" eb="106">
      <t>イ</t>
    </rPh>
    <rPh sb="110" eb="112">
      <t>ミナオ</t>
    </rPh>
    <rPh sb="116" eb="118">
      <t>ケントウ</t>
    </rPh>
    <phoneticPr fontId="1"/>
  </si>
  <si>
    <t>本学での毎年の取り組み等についてまとめた冊子（青森大学の窓・青森大学ニュース）を外部の利害関係者へ配布や公表をする際に、アンケートを実施し、教育プログラムの講義内容等についても意見を収集するとともに、その内容について自己点検評価・認証評価審査対策委員会で確認し、教務委員会などへフィードバックを行いながらプログラムの改善に活用している。</t>
    <rPh sb="0" eb="2">
      <t>ホンガク</t>
    </rPh>
    <rPh sb="4" eb="6">
      <t>マイトシ</t>
    </rPh>
    <rPh sb="7" eb="8">
      <t>ト</t>
    </rPh>
    <rPh sb="9" eb="10">
      <t>ク</t>
    </rPh>
    <rPh sb="11" eb="12">
      <t>トウ</t>
    </rPh>
    <rPh sb="20" eb="22">
      <t>サッシ</t>
    </rPh>
    <rPh sb="23" eb="27">
      <t>アオモリダイガク</t>
    </rPh>
    <rPh sb="28" eb="29">
      <t>マド</t>
    </rPh>
    <rPh sb="30" eb="32">
      <t>アオモリ</t>
    </rPh>
    <rPh sb="32" eb="34">
      <t>ダイガク</t>
    </rPh>
    <rPh sb="40" eb="42">
      <t>ガイブ</t>
    </rPh>
    <rPh sb="43" eb="48">
      <t>リガイカンケイシャ</t>
    </rPh>
    <rPh sb="49" eb="51">
      <t>ハイフ</t>
    </rPh>
    <rPh sb="52" eb="54">
      <t>コウヒョウ</t>
    </rPh>
    <rPh sb="57" eb="58">
      <t>サイ</t>
    </rPh>
    <rPh sb="82" eb="83">
      <t>トウ</t>
    </rPh>
    <rPh sb="102" eb="104">
      <t>ナイヨウ</t>
    </rPh>
    <rPh sb="127" eb="129">
      <t>カクニン</t>
    </rPh>
    <rPh sb="131" eb="136">
      <t>キョウムイインカイ</t>
    </rPh>
    <rPh sb="147" eb="148">
      <t>オコナ</t>
    </rPh>
    <phoneticPr fontId="1"/>
  </si>
  <si>
    <t>自己点検評価・認証評価審査対策委員会のPDCA管理部会（ワーキンググループ）において、教務委員会や関連委員会などから吸い上げた授業アンケートの内容や企業アンケートの内容、外部の利害関係者などからいただいたご意見などを参考に、学生目線に立った「分かりやすさ」の観点から、本学学生に寄り添った講義の内容・実施方法の見直しについて検討し、関連委員会にフィードバックしながらわかりやすい授業内容を構築している。</t>
    <rPh sb="58" eb="59">
      <t>ス</t>
    </rPh>
    <rPh sb="60" eb="61">
      <t>ア</t>
    </rPh>
    <rPh sb="63" eb="65">
      <t>ジュギョウ</t>
    </rPh>
    <rPh sb="71" eb="73">
      <t>ナイヨウ</t>
    </rPh>
    <rPh sb="74" eb="76">
      <t>キギョウ</t>
    </rPh>
    <rPh sb="82" eb="84">
      <t>ナイヨウ</t>
    </rPh>
    <rPh sb="85" eb="87">
      <t>ガイブ</t>
    </rPh>
    <rPh sb="88" eb="93">
      <t>リガイカンケイシャ</t>
    </rPh>
    <rPh sb="114" eb="116">
      <t>メセン</t>
    </rPh>
    <rPh sb="117" eb="118">
      <t>タ</t>
    </rPh>
    <rPh sb="134" eb="136">
      <t>ホンガク</t>
    </rPh>
    <rPh sb="136" eb="138">
      <t>ガクセイ</t>
    </rPh>
    <rPh sb="139" eb="140">
      <t>ヨ</t>
    </rPh>
    <rPh sb="141" eb="142">
      <t>ソ</t>
    </rPh>
    <rPh sb="166" eb="168">
      <t>カンレン</t>
    </rPh>
    <rPh sb="168" eb="171">
      <t>イインカイ</t>
    </rPh>
    <rPh sb="189" eb="191">
      <t>ジュギョウ</t>
    </rPh>
    <rPh sb="191" eb="193">
      <t>ナイヨウ</t>
    </rPh>
    <rPh sb="194" eb="196">
      <t>コウチク</t>
    </rPh>
    <phoneticPr fontId="1"/>
  </si>
  <si>
    <t>・AI等を活用した新しいビジネスモデル(シェアリングエコノミー、商品のレコメンデーションなど)：「情報社会と情報倫理」（10回目）（14回目）
・AI最新技術の活用例（深層生成モデル、敵対的生成ネットワーク、強化学習、転移学習など）：「情報社会と情報倫理」（10回目）（11回目）</t>
    <phoneticPr fontId="1"/>
  </si>
  <si>
    <t>・調査データ、実験データ、人の行動ログデータ、機械の稼働ログデータなど：「情報の集計・分析」（5回目）（14回目）
・1次データ、2次データ、データのメタ化：「情報の集計・分析」（2回目）（3回目）
・構造化データ、非構造化データ（文章、画像/動画、音声/音楽など）：「情報の集計・分析」（4回目）
・データ作成（ビッグデータとアノテーション）：「情報の集計・分析」（8回目）
・データのオープン化（オープンデータ）：「情報の集計・分析」（11回目）</t>
    <phoneticPr fontId="1"/>
  </si>
  <si>
    <t>・データ・AI活用領域の広がり(生産、消費、文化活動など)：「情報の集計・分析」（14回目）
・研究開発、調達、製造、物流、販売、マーケティング、サービスなど：「情報の集計・分析」（7回目）（9回目）
・仮説検証、知識発見、原因究明、計画策定、判断支援、活動代替、新規生成など：「情報の集計・分析」（12回目）</t>
    <phoneticPr fontId="1"/>
  </si>
  <si>
    <t>・データの集計（和、平均）：「情報の集計・分析」（4回目）（8回目）
・データの並び替え、ランキング：「情報の集計・分析」（13回目）
・データ解析ツール（スプレッドシート）：「情報の集計・分析」（10回目）（11回目）（12回目）
・表形式のデータ（csv）：「情報の集計・分析」（7回目）（8回目）（9回目）（10回目）</t>
    <phoneticPr fontId="1"/>
  </si>
  <si>
    <t>・データサイエンスのサイクル（課題抽出と定式化、データの取得・管理・加工、探索的データ解析、データ解析と推論、結果の共有・伝達、課題解決に向けた提案）：「情報社会と情報倫理」（11回目）（14回目）
・流通、製造、金融、サービス、インフラ、公共、ヘルスケア等におけるデータ・AI利活用事例紹介：「情報社会と情報倫理」（10回目）（14回目）</t>
    <phoneticPr fontId="1"/>
  </si>
  <si>
    <t>・データ解析：予測、グルーピング、パターン発見、最適化、シミュレーション・データ同化など：「情報社会と情報倫理」6回目）
・データ可視化：複合グラフ、2軸グラフ、多次元の可視化、関係性の可視化、地図上の可視化、挙動・軌跡の可視化、リアルタイム可視化など：「情報社会と情報倫理」（6回目）
・非構造化データ処理：言語処理、画像/動画処理、音声/音楽処理など：「情報社会と情報倫理」（10回目）
・特化型AIと汎用AI、今のAIで出来ることと出来ないこと、AIとビッグデータ：「情報社会と情報倫理」（13回目）
・認識技術、ルールベース、自動化技術：「情報社会と情報倫理」（13回目）</t>
    <phoneticPr fontId="1"/>
  </si>
  <si>
    <t>・ビッグデータ、IoT、AI、ロボット：「情報社会と情報倫理」（2回目）
・データ量の増加、計算機の処理性能の向上、AIの非連続的進化：「情報社会と情報倫理」（3回目）（4回目）
・第4次産業革命、Society 5.0、データ駆動型社会：「情報社会と情報倫理」（2回目）
・複数技術を組み合わせたAIサービス：「情報社会と情報倫理」（3回目）
・人間の知的活動とAIの関係性：「情報社会と情報倫理」（2回目）
・データを起点としたものの見方、人間の知的活動を起点としたものの見方：「情報社会と情報倫理」（5回目）</t>
    <phoneticPr fontId="1"/>
  </si>
  <si>
    <t>・データ解析：予測、グルーピング、パターン発見、最適化、シミュレーション・データ同化など：「情報社会と情報倫理」6回目）
・データ可視化：複合グラフ、2軸グラフ、多次元の可視化、関係性の可視化、地図上の可視化、
挙動・軌跡の可視化、リアルタイム可視化など：「情報社会と情報倫理」（6回目）（10回目）（11回目）
・非構造化データ処理：言語処理、画像/動画処理、音声/音楽処理など：「情報社会と情報倫理」（10回目）（11回目）
・特化型AIと汎用AI、今のAIで出来ることと出来ないこと、AIとビッグデータ：「情報社会と情報倫理」（13回目）（14回目）
・認識技術、ルールベース、自動化技術：「情報社会と情報倫理」(6回目）（13回目）</t>
    <phoneticPr fontId="1"/>
  </si>
  <si>
    <t>・ELSI（Ethical, Legal and Social Issues）：「情報社会と情報倫理」（1回目）（8回目）（12回目）
・個人情報保護、EU一般データ保護規則(GDPR)、忘れられる権利、オプトアウト：「情報社会と情報倫理」（8回目）
・データ倫理：データのねつ造、改ざん、盗用、プライバシー保護：「情報社会と情報倫理」（7回目）（11回目）
・AI社会原則（公平性、説明責任、透明性、人間中心の判断）：「情報社会と情報倫理」（6回目）（8回目）
・データバイアス、アルゴリズムバイアス：「情報社会と情報倫理」（6回目）（11回目）
・AIサービスの責任論：「情報社会と情報倫理」（8回目）（9回目）
・データ・AI活用における負の事例紹介：「情報社会と情報倫理」（7回目）（14回目）</t>
    <phoneticPr fontId="1"/>
  </si>
  <si>
    <t>・情報セキュリティ：機密性、完全性、可用性：「情報社会と情報倫理」（6回目）
・匿名加工情報、暗号化、パスワード、悪意ある情報搾取：「情報社会と情報倫理」（6回目）（8回目）
・情報漏洩等によるセキュリティ事故の事例紹介：「情報社会と情報倫理」（7回目）（11回目）</t>
    <phoneticPr fontId="1"/>
  </si>
  <si>
    <t>・データの種類（量的変数、質的変数）：「情報の集計・分析」（1回目）（2回目）
・データの分布(ヒストグラム)と代表値（平均値、中央値、最頻値）：「情報の集計・分析」（9回目）
・代表値の性質の違い（実社会では平均値＝最頻値でないことが多い）：「情報の集計・分析」（4回目）
・データのばらつき（分散、標準偏差、偏差値）：「情報の集計・分析」（6回目）
・観測データに含まれる誤差の扱い：「情報の集計・分析」（12回目）
・打ち切りや脱落を含むデータ、層別の必要なデータ：「情報の集計・分析」（6回目）（8回目）
・相関と因果（相関係数、擬似相関、交絡）：「情報の集計・分析」（11回目）
・母集団と標本抽出（国勢調査、アンケート調査、全数調査、単純無作為抽出、層別抽出、多段抽出）：「情報の集計・分析」（5回目）（13回目）
・クロス集計表、分割表、相関係数行列、散布図行列：「情報の集計・分析」（7回目）（8回目）
・統計情報の正しい理解（誇張表現に惑わされない）：「情報の集計・分析」（10回目）（14回目）</t>
    <phoneticPr fontId="1"/>
  </si>
  <si>
    <t>・データ表現（棒グラフ、折線グラフ、散布図、ヒートマップ）：「情報の集計・分析」（3回目）
・データの図表表現（チャート化）：「情報の集計・分析」（6回目）
・データの比較（条件をそろえた比較、処理の前後での比較、A/Bテスト)：「情報の集計・分析」（8回目）
・不適切なグラフ表現（チャートジャンク、不必要な視覚的要素）：「情報の集計・分析」（12回目）
・優れた可視化事例の紹介（可視化することによって新たな気づきがあった事例など）：「情報の集計・分析」（14回目）（15回目）</t>
    <phoneticPr fontId="1"/>
  </si>
  <si>
    <t>・調査データ、実験データ、人の行動ログデータ、機械の稼働ログデータなど：「情報社会と情報倫理」（11回目）
・1次データ、2次データ、データのメタ化：「情報社会と情報倫理」（11回目）
・構造化データ、非構造化データ（文章、画像/動画、音声/音楽など）：「情報社会と情報倫理」（4回目）（6回目）（10回目）
・データ作成（ビッグデータとアノテーション）：「情報社会と情報倫理」（6回目）
・データのオープン化（オープンデータ）：「情報社会と情報倫理」（10回目）（11回目）（14回目）</t>
    <phoneticPr fontId="1"/>
  </si>
  <si>
    <t>・データ・AI活用領域の広がり(生産、消費、文化活動など)：「情報社会と情報倫理」（10回目）（14回目）
・研究開発、調達、製造、物流、販売、マーケティング、サービスなど：「情報社会と情報倫理」（11回目）
・仮説検証、知識発見、原因究明、計画策定、判断支援、活動代替、新規生成など：「情報社会と情報倫理」（6回目）（10回目）（11回目）</t>
    <phoneticPr fontId="1"/>
  </si>
  <si>
    <t>・データの種類（量的変数、質的変数）：「情報リテラシー（1回目）（3回目）
・データの分布(ヒストグラム)と代表値（平均値、中央値、最頻値）：「情報リテラシー（4回目）
・代表値の性質の違い（実社会では平均値＝最頻値でないことが多い）：「情報リテラシー（5回目）
・データのばらつき（分散、標準偏差、偏差値）：「情報リテラシー（6回目）
・観測データに含まれる誤差の扱い：「情報リテラシー（8回目）
・打ち切りや脱落を含むデータ、層別の必要なデータ：「情報リテラシー（9回目）
・相関と因果（相関係数、擬似相関、交絡）：「情報リテラシー（9回目）
・母集団と標本抽出（国勢調査、アンケート調査、全数調査、単純無作為抽出、層別抽出、多段抽出）：「情報リテラシー（8回目）（9回目）
・クロス集計表、分割表、相関係数行列、散布図行列：「情報リテラシー（8回目）（9回目）
・統計情報の正しい理解（誇張表現に惑わされない）：「情報リテラシー（7回目）</t>
    <phoneticPr fontId="1"/>
  </si>
  <si>
    <t>・データの集計（和、平均）：「情報リテラシー（14回目）（15回目）
・データの並び替え、ランキング：「情報リテラシー（6回目）（12回目）
・データ解析ツール（スプレッドシート）：「情報リテラシー（9回目）（13回目）
・表形式のデータ（csv）：「情報リテラシー（10回目）（11回目）</t>
    <phoneticPr fontId="1"/>
  </si>
  <si>
    <t>・データ表現（棒グラフ、折線グラフ、散布図、ヒートマップ）：「情報リテラシー（3回目）
・データの図表表現（チャート化）：「情報リテラシー（4回目）（5回目）
・データの比較（条件をそろえた比較、処理の前後での比較、A/Bテスト)：「情報リテラシー（6回目）（8回目）
・不適切なグラフ表現（チャートジャンク、不必要な視覚的要素）：「情報リテラシー（3回目）（9回目）（13回目）
・優れた可視化事例の紹介（可視化することによって新たな気づきがあった事例など）：「情報リテラシー（7回目）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</si>
</sst>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4" xfId="0" applyFont="1" applyBorder="1" applyAlignment="1">
      <alignment horizontal="lef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9" fillId="0" borderId="36" xfId="0" applyFont="1" applyBorder="1" applyAlignment="1">
      <alignment vertical="center" wrapText="1" shrinkToFit="1"/>
    </xf>
    <xf numFmtId="0" fontId="9" fillId="0" borderId="36" xfId="0" applyFont="1" applyBorder="1" applyAlignment="1">
      <alignment vertical="center" shrinkToFit="1"/>
    </xf>
    <xf numFmtId="0" fontId="9" fillId="0" borderId="35" xfId="0" applyFont="1" applyBorder="1" applyAlignment="1">
      <alignment vertical="center" shrinkToFit="1"/>
    </xf>
    <xf numFmtId="0" fontId="7" fillId="0" borderId="6" xfId="0" applyFont="1" applyBorder="1" applyAlignment="1">
      <alignment vertical="center" wrapText="1" shrinkToFit="1"/>
    </xf>
    <xf numFmtId="0" fontId="7" fillId="0" borderId="6" xfId="0" applyFont="1" applyBorder="1" applyAlignment="1">
      <alignment vertical="center" shrinkToFit="1"/>
    </xf>
    <xf numFmtId="0" fontId="7" fillId="0" borderId="12" xfId="0" applyFont="1" applyBorder="1" applyAlignment="1">
      <alignment vertical="center" shrinkToFi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7" fillId="0" borderId="22" xfId="0" applyFont="1" applyBorder="1" applyAlignment="1">
      <alignment horizontal="left" vertical="center" wrapText="1" shrinkToFit="1"/>
    </xf>
    <xf numFmtId="0" fontId="7" fillId="0" borderId="22" xfId="0" applyFont="1" applyBorder="1" applyAlignment="1">
      <alignment horizontal="left" vertical="center" shrinkToFit="1"/>
    </xf>
    <xf numFmtId="0" fontId="7" fillId="0" borderId="21" xfId="0" applyFont="1" applyBorder="1" applyAlignment="1">
      <alignment horizontal="left" vertical="center" shrinkToFit="1"/>
    </xf>
    <xf numFmtId="0" fontId="7" fillId="0" borderId="36" xfId="0" applyFont="1" applyBorder="1" applyAlignment="1">
      <alignment horizontal="left" vertical="center" wrapText="1" shrinkToFit="1"/>
    </xf>
    <xf numFmtId="0" fontId="7" fillId="0" borderId="36" xfId="0" applyFont="1" applyBorder="1" applyAlignment="1">
      <alignment horizontal="left" vertical="center" shrinkToFit="1"/>
    </xf>
    <xf numFmtId="0" fontId="7" fillId="0" borderId="35" xfId="0" applyFont="1" applyBorder="1" applyAlignment="1">
      <alignment horizontal="left" vertical="center" shrinkToFit="1"/>
    </xf>
    <xf numFmtId="0" fontId="7" fillId="0" borderId="6" xfId="0" applyFont="1" applyBorder="1" applyAlignment="1">
      <alignment horizontal="left" vertical="center" wrapText="1" shrinkToFit="1"/>
    </xf>
    <xf numFmtId="0" fontId="7" fillId="0" borderId="6" xfId="0" applyFont="1" applyBorder="1" applyAlignment="1">
      <alignment horizontal="left" vertical="center" shrinkToFit="1"/>
    </xf>
    <xf numFmtId="0" fontId="7" fillId="0" borderId="12" xfId="0" applyFont="1" applyBorder="1" applyAlignment="1">
      <alignment horizontal="left" vertical="center" shrinkToFit="1"/>
    </xf>
    <xf numFmtId="0" fontId="7" fillId="0" borderId="38" xfId="0" applyFont="1" applyBorder="1" applyAlignment="1">
      <alignment horizontal="left" vertical="center" wrapText="1" shrinkToFit="1"/>
    </xf>
    <xf numFmtId="0" fontId="7" fillId="0" borderId="38" xfId="0" applyFont="1" applyBorder="1" applyAlignment="1">
      <alignment horizontal="left" vertical="center" shrinkToFit="1"/>
    </xf>
    <xf numFmtId="0" fontId="7" fillId="0" borderId="39" xfId="0" applyFont="1" applyBorder="1" applyAlignment="1">
      <alignment horizontal="left" vertical="center" shrinkToFit="1"/>
    </xf>
    <xf numFmtId="0" fontId="3" fillId="0" borderId="36" xfId="0" applyFont="1" applyBorder="1" applyAlignment="1">
      <alignment horizontal="left" vertical="center" wrapText="1" shrinkToFit="1"/>
    </xf>
    <xf numFmtId="0" fontId="3" fillId="0" borderId="36" xfId="0" applyFont="1" applyBorder="1" applyAlignment="1">
      <alignment horizontal="left" vertical="center" shrinkToFit="1"/>
    </xf>
    <xf numFmtId="0" fontId="3" fillId="0" borderId="35" xfId="0" applyFont="1" applyBorder="1" applyAlignment="1">
      <alignment horizontal="left" vertical="center" shrinkToFit="1"/>
    </xf>
    <xf numFmtId="0" fontId="7" fillId="0" borderId="19" xfId="0" applyFont="1" applyBorder="1" applyAlignment="1">
      <alignment vertical="center" wrapText="1"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C2" sqref="C2:I2"/>
    </sheetView>
  </sheetViews>
  <sheetFormatPr defaultColWidth="9" defaultRowHeight="18.75" customHeight="1" x14ac:dyDescent="0.2"/>
  <cols>
    <col min="1" max="1" width="2.44140625" style="1" customWidth="1"/>
    <col min="2" max="2" width="16.44140625" style="1" customWidth="1"/>
    <col min="3" max="19" width="5.5546875" style="1" customWidth="1"/>
    <col min="20" max="20" width="9" style="1"/>
    <col min="21" max="21" width="3.5546875" style="1" customWidth="1"/>
    <col min="22" max="22" width="48.5546875" style="1" hidden="1" customWidth="1"/>
    <col min="23" max="16384" width="9" style="1"/>
  </cols>
  <sheetData>
    <row r="1" spans="1:22" ht="18.600000000000001" customHeight="1" x14ac:dyDescent="0.2">
      <c r="R1" s="142" t="s">
        <v>0</v>
      </c>
      <c r="S1" s="142"/>
      <c r="T1" s="2" t="s">
        <v>1</v>
      </c>
    </row>
    <row r="2" spans="1:22" ht="18.75" customHeight="1" x14ac:dyDescent="0.2">
      <c r="B2" s="33" t="s">
        <v>2</v>
      </c>
      <c r="C2" s="88" t="s">
        <v>3</v>
      </c>
      <c r="D2" s="89"/>
      <c r="E2" s="89"/>
      <c r="F2" s="89"/>
      <c r="G2" s="89"/>
      <c r="H2" s="89"/>
      <c r="I2" s="90"/>
      <c r="J2" s="34"/>
      <c r="K2" s="6"/>
      <c r="L2" s="6"/>
      <c r="M2" s="6"/>
      <c r="N2" s="6"/>
      <c r="O2" s="6"/>
      <c r="P2" s="6"/>
      <c r="Q2" s="6"/>
      <c r="R2" s="6"/>
      <c r="S2" s="6"/>
    </row>
    <row r="3" spans="1:22" ht="18.75" customHeight="1" x14ac:dyDescent="0.2">
      <c r="B3" s="33" t="s">
        <v>4</v>
      </c>
      <c r="C3" s="88" t="s">
        <v>5</v>
      </c>
      <c r="D3" s="89"/>
      <c r="E3" s="89"/>
      <c r="F3" s="89"/>
      <c r="G3" s="89"/>
      <c r="H3" s="89"/>
      <c r="I3" s="90"/>
      <c r="J3" s="34"/>
      <c r="K3" s="6"/>
      <c r="L3" s="6"/>
      <c r="M3" s="6"/>
      <c r="N3" s="6"/>
      <c r="O3" s="6"/>
      <c r="P3" s="6"/>
      <c r="Q3" s="6"/>
      <c r="R3" s="6"/>
      <c r="S3" s="6"/>
    </row>
    <row r="4" spans="1:22" ht="15" customHeight="1" x14ac:dyDescent="0.2">
      <c r="K4" s="34"/>
      <c r="L4" s="36"/>
      <c r="M4" s="36"/>
      <c r="N4" s="36"/>
      <c r="O4" s="36"/>
      <c r="P4" s="36"/>
      <c r="Q4" s="36"/>
      <c r="R4" s="36"/>
      <c r="S4" s="36"/>
    </row>
    <row r="5" spans="1:22" ht="18" customHeight="1" x14ac:dyDescent="0.2">
      <c r="A5" s="146" t="s">
        <v>6</v>
      </c>
      <c r="B5" s="146"/>
      <c r="C5" s="146"/>
      <c r="D5" s="146"/>
      <c r="E5" s="146"/>
      <c r="F5" s="146"/>
      <c r="G5" s="146"/>
      <c r="H5" s="146"/>
      <c r="I5" s="146"/>
      <c r="J5" s="146"/>
      <c r="K5" s="146"/>
      <c r="L5" s="146"/>
      <c r="M5" s="146"/>
      <c r="N5" s="146"/>
      <c r="O5" s="146"/>
      <c r="P5" s="146"/>
      <c r="Q5" s="146"/>
      <c r="R5" s="146"/>
      <c r="S5" s="146"/>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7</v>
      </c>
      <c r="C7" s="3"/>
      <c r="J7" s="37" t="s">
        <v>8</v>
      </c>
      <c r="K7" s="156" t="s">
        <v>9</v>
      </c>
      <c r="L7" s="157"/>
      <c r="M7" s="157"/>
      <c r="N7" s="157"/>
      <c r="O7" s="157"/>
      <c r="P7" s="157"/>
      <c r="Q7" s="157"/>
      <c r="R7" s="157"/>
      <c r="S7" s="158"/>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59" t="s">
        <v>10</v>
      </c>
      <c r="C9" s="160"/>
      <c r="D9" s="160"/>
      <c r="E9" s="160"/>
      <c r="F9" s="160"/>
      <c r="G9" s="160"/>
      <c r="H9" s="160"/>
      <c r="I9" s="160"/>
      <c r="J9" s="160"/>
      <c r="K9" s="160"/>
      <c r="L9" s="160"/>
      <c r="M9" s="160"/>
      <c r="N9" s="160"/>
      <c r="O9" s="160"/>
      <c r="P9" s="160"/>
      <c r="Q9" s="160"/>
      <c r="R9" s="160"/>
      <c r="S9" s="161"/>
    </row>
    <row r="10" spans="1:22" ht="18" customHeight="1" x14ac:dyDescent="0.2">
      <c r="B10" s="162"/>
      <c r="C10" s="163"/>
      <c r="D10" s="163"/>
      <c r="E10" s="163"/>
      <c r="F10" s="163"/>
      <c r="G10" s="163"/>
      <c r="H10" s="163"/>
      <c r="I10" s="163"/>
      <c r="J10" s="163"/>
      <c r="K10" s="163"/>
      <c r="L10" s="163"/>
      <c r="M10" s="163"/>
      <c r="N10" s="163"/>
      <c r="O10" s="163"/>
      <c r="P10" s="163"/>
      <c r="Q10" s="163"/>
      <c r="R10" s="163"/>
      <c r="S10" s="164"/>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v>
      </c>
      <c r="B12" s="3"/>
      <c r="C12" s="3"/>
      <c r="D12" s="34"/>
      <c r="E12" s="34"/>
      <c r="F12" s="34"/>
      <c r="G12" s="34"/>
      <c r="H12" s="34"/>
      <c r="I12" s="34"/>
      <c r="J12" s="34"/>
      <c r="K12" s="38"/>
      <c r="L12" s="38"/>
      <c r="M12" s="38"/>
      <c r="N12" s="38"/>
      <c r="O12" s="38"/>
      <c r="P12" s="38"/>
      <c r="Q12" s="38"/>
      <c r="R12" s="38"/>
      <c r="S12" s="38"/>
    </row>
    <row r="13" spans="1:22" ht="18" customHeight="1" x14ac:dyDescent="0.2">
      <c r="B13" s="147" t="s">
        <v>12</v>
      </c>
      <c r="C13" s="148"/>
      <c r="D13" s="148"/>
      <c r="E13" s="148"/>
      <c r="F13" s="148"/>
      <c r="G13" s="148"/>
      <c r="H13" s="148"/>
      <c r="I13" s="148"/>
      <c r="J13" s="148"/>
      <c r="K13" s="148"/>
      <c r="L13" s="148"/>
      <c r="M13" s="148"/>
      <c r="N13" s="148"/>
      <c r="O13" s="148"/>
      <c r="P13" s="148"/>
      <c r="Q13" s="148"/>
      <c r="R13" s="148"/>
      <c r="S13" s="149"/>
      <c r="V13" s="1" t="s">
        <v>13</v>
      </c>
    </row>
    <row r="14" spans="1:22" ht="18" customHeight="1" x14ac:dyDescent="0.2">
      <c r="B14" s="150"/>
      <c r="C14" s="151"/>
      <c r="D14" s="151"/>
      <c r="E14" s="151"/>
      <c r="F14" s="151"/>
      <c r="G14" s="151"/>
      <c r="H14" s="151"/>
      <c r="I14" s="151"/>
      <c r="J14" s="151"/>
      <c r="K14" s="151"/>
      <c r="L14" s="151"/>
      <c r="M14" s="151"/>
      <c r="N14" s="151"/>
      <c r="O14" s="151"/>
      <c r="P14" s="151"/>
      <c r="Q14" s="151"/>
      <c r="R14" s="151"/>
      <c r="S14" s="152"/>
      <c r="V14" s="1" t="s">
        <v>14</v>
      </c>
    </row>
    <row r="15" spans="1:22" ht="18" customHeight="1" x14ac:dyDescent="0.2">
      <c r="B15" s="150"/>
      <c r="C15" s="151"/>
      <c r="D15" s="151"/>
      <c r="E15" s="151"/>
      <c r="F15" s="151"/>
      <c r="G15" s="151"/>
      <c r="H15" s="151"/>
      <c r="I15" s="151"/>
      <c r="J15" s="151"/>
      <c r="K15" s="151"/>
      <c r="L15" s="151"/>
      <c r="M15" s="151"/>
      <c r="N15" s="151"/>
      <c r="O15" s="151"/>
      <c r="P15" s="151"/>
      <c r="Q15" s="151"/>
      <c r="R15" s="151"/>
      <c r="S15" s="152"/>
      <c r="V15" s="1" t="s">
        <v>15</v>
      </c>
    </row>
    <row r="16" spans="1:22" ht="18" customHeight="1" x14ac:dyDescent="0.2">
      <c r="B16" s="150"/>
      <c r="C16" s="151"/>
      <c r="D16" s="151"/>
      <c r="E16" s="151"/>
      <c r="F16" s="151"/>
      <c r="G16" s="151"/>
      <c r="H16" s="151"/>
      <c r="I16" s="151"/>
      <c r="J16" s="151"/>
      <c r="K16" s="151"/>
      <c r="L16" s="151"/>
      <c r="M16" s="151"/>
      <c r="N16" s="151"/>
      <c r="O16" s="151"/>
      <c r="P16" s="151"/>
      <c r="Q16" s="151"/>
      <c r="R16" s="151"/>
      <c r="S16" s="152"/>
      <c r="V16" s="1" t="s">
        <v>16</v>
      </c>
    </row>
    <row r="17" spans="1:19" ht="18" customHeight="1" x14ac:dyDescent="0.2">
      <c r="B17" s="150"/>
      <c r="C17" s="151"/>
      <c r="D17" s="151"/>
      <c r="E17" s="151"/>
      <c r="F17" s="151"/>
      <c r="G17" s="151"/>
      <c r="H17" s="151"/>
      <c r="I17" s="151"/>
      <c r="J17" s="151"/>
      <c r="K17" s="151"/>
      <c r="L17" s="151"/>
      <c r="M17" s="151"/>
      <c r="N17" s="151"/>
      <c r="O17" s="151"/>
      <c r="P17" s="151"/>
      <c r="Q17" s="151"/>
      <c r="R17" s="151"/>
      <c r="S17" s="152"/>
    </row>
    <row r="18" spans="1:19" ht="18" customHeight="1" x14ac:dyDescent="0.2">
      <c r="B18" s="153"/>
      <c r="C18" s="154"/>
      <c r="D18" s="154"/>
      <c r="E18" s="154"/>
      <c r="F18" s="154"/>
      <c r="G18" s="154"/>
      <c r="H18" s="154"/>
      <c r="I18" s="154"/>
      <c r="J18" s="154"/>
      <c r="K18" s="154"/>
      <c r="L18" s="154"/>
      <c r="M18" s="154"/>
      <c r="N18" s="154"/>
      <c r="O18" s="154"/>
      <c r="P18" s="154"/>
      <c r="Q18" s="154"/>
      <c r="R18" s="154"/>
      <c r="S18" s="155"/>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17</v>
      </c>
      <c r="C20" s="88">
        <v>3</v>
      </c>
      <c r="D20" s="90"/>
      <c r="E20" s="39" t="s">
        <v>18</v>
      </c>
      <c r="G20" s="10"/>
      <c r="H20" s="3"/>
      <c r="I20" s="3"/>
      <c r="J20" s="34" t="s">
        <v>19</v>
      </c>
      <c r="K20" s="143" t="s">
        <v>16</v>
      </c>
      <c r="L20" s="144"/>
      <c r="M20" s="144"/>
      <c r="N20" s="144"/>
      <c r="O20" s="144"/>
      <c r="P20" s="144"/>
      <c r="Q20" s="144"/>
      <c r="R20" s="144"/>
      <c r="S20" s="145"/>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4" t="s">
        <v>20</v>
      </c>
      <c r="B22" s="94"/>
      <c r="C22" s="94"/>
      <c r="D22" s="94"/>
      <c r="E22" s="94"/>
      <c r="F22" s="94"/>
      <c r="G22" s="94"/>
      <c r="H22" s="94"/>
      <c r="I22" s="94"/>
      <c r="J22" s="94"/>
      <c r="K22" s="94"/>
      <c r="L22" s="94"/>
      <c r="M22" s="94"/>
      <c r="N22" s="94"/>
      <c r="O22" s="94"/>
      <c r="P22" s="94"/>
      <c r="Q22" s="94"/>
      <c r="R22" s="94"/>
      <c r="S22" s="94"/>
    </row>
    <row r="23" spans="1:19" ht="18" customHeight="1" x14ac:dyDescent="0.2">
      <c r="A23" s="94"/>
      <c r="B23" s="94"/>
      <c r="C23" s="94"/>
      <c r="D23" s="94"/>
      <c r="E23" s="94"/>
      <c r="F23" s="94"/>
      <c r="G23" s="94"/>
      <c r="H23" s="94"/>
      <c r="I23" s="94"/>
      <c r="J23" s="94"/>
      <c r="K23" s="94"/>
      <c r="L23" s="94"/>
      <c r="M23" s="94"/>
      <c r="N23" s="94"/>
      <c r="O23" s="94"/>
      <c r="P23" s="94"/>
      <c r="Q23" s="94"/>
      <c r="R23" s="94"/>
      <c r="S23" s="94"/>
    </row>
    <row r="24" spans="1:19" ht="18" customHeight="1" x14ac:dyDescent="0.2">
      <c r="B24" s="88" t="s">
        <v>21</v>
      </c>
      <c r="C24" s="89"/>
      <c r="D24" s="89"/>
      <c r="E24" s="90"/>
      <c r="F24" s="60" t="s">
        <v>22</v>
      </c>
      <c r="G24" s="59" t="s">
        <v>23</v>
      </c>
      <c r="H24" s="21" t="s">
        <v>24</v>
      </c>
      <c r="I24" s="21" t="s">
        <v>25</v>
      </c>
      <c r="J24" s="88" t="s">
        <v>21</v>
      </c>
      <c r="K24" s="89"/>
      <c r="L24" s="89"/>
      <c r="M24" s="89"/>
      <c r="N24" s="89"/>
      <c r="O24" s="90"/>
      <c r="P24" s="60" t="s">
        <v>22</v>
      </c>
      <c r="Q24" s="59" t="s">
        <v>23</v>
      </c>
      <c r="R24" s="21" t="s">
        <v>24</v>
      </c>
      <c r="S24" s="21" t="s">
        <v>25</v>
      </c>
    </row>
    <row r="25" spans="1:19" ht="18" customHeight="1" x14ac:dyDescent="0.2">
      <c r="B25" s="82" t="s">
        <v>26</v>
      </c>
      <c r="C25" s="83"/>
      <c r="D25" s="83"/>
      <c r="E25" s="84"/>
      <c r="F25" s="22">
        <v>2</v>
      </c>
      <c r="G25" s="22" t="s">
        <v>27</v>
      </c>
      <c r="H25" s="22" t="s">
        <v>27</v>
      </c>
      <c r="I25" s="22" t="s">
        <v>27</v>
      </c>
      <c r="J25" s="82"/>
      <c r="K25" s="83"/>
      <c r="L25" s="83"/>
      <c r="M25" s="83"/>
      <c r="N25" s="83"/>
      <c r="O25" s="84"/>
      <c r="P25" s="22"/>
      <c r="Q25" s="22"/>
      <c r="R25" s="22"/>
      <c r="S25" s="22"/>
    </row>
    <row r="26" spans="1:19" ht="18" customHeight="1" x14ac:dyDescent="0.2">
      <c r="B26" s="85"/>
      <c r="C26" s="86"/>
      <c r="D26" s="86"/>
      <c r="E26" s="87"/>
      <c r="F26" s="23"/>
      <c r="G26" s="23"/>
      <c r="H26" s="23"/>
      <c r="I26" s="23"/>
      <c r="J26" s="85"/>
      <c r="K26" s="86"/>
      <c r="L26" s="86"/>
      <c r="M26" s="86"/>
      <c r="N26" s="86"/>
      <c r="O26" s="87"/>
      <c r="P26" s="23"/>
      <c r="Q26" s="23"/>
      <c r="R26" s="23"/>
      <c r="S26" s="23"/>
    </row>
    <row r="27" spans="1:19" ht="18" customHeight="1" x14ac:dyDescent="0.2">
      <c r="B27" s="85"/>
      <c r="C27" s="86"/>
      <c r="D27" s="86"/>
      <c r="E27" s="87"/>
      <c r="F27" s="23"/>
      <c r="G27" s="23"/>
      <c r="H27" s="23"/>
      <c r="I27" s="23"/>
      <c r="J27" s="85"/>
      <c r="K27" s="86"/>
      <c r="L27" s="86"/>
      <c r="M27" s="86"/>
      <c r="N27" s="86"/>
      <c r="O27" s="87"/>
      <c r="P27" s="23"/>
      <c r="Q27" s="23"/>
      <c r="R27" s="23"/>
      <c r="S27" s="23"/>
    </row>
    <row r="28" spans="1:19" ht="18" customHeight="1" x14ac:dyDescent="0.2">
      <c r="B28" s="85"/>
      <c r="C28" s="86"/>
      <c r="D28" s="86"/>
      <c r="E28" s="87"/>
      <c r="F28" s="23"/>
      <c r="G28" s="23"/>
      <c r="H28" s="23"/>
      <c r="I28" s="23"/>
      <c r="J28" s="85"/>
      <c r="K28" s="86"/>
      <c r="L28" s="86"/>
      <c r="M28" s="86"/>
      <c r="N28" s="86"/>
      <c r="O28" s="87"/>
      <c r="P28" s="23"/>
      <c r="Q28" s="23"/>
      <c r="R28" s="23"/>
      <c r="S28" s="23"/>
    </row>
    <row r="29" spans="1:19" ht="18" customHeight="1" x14ac:dyDescent="0.2">
      <c r="B29" s="85"/>
      <c r="C29" s="86"/>
      <c r="D29" s="86"/>
      <c r="E29" s="87"/>
      <c r="F29" s="23"/>
      <c r="G29" s="23"/>
      <c r="H29" s="23"/>
      <c r="I29" s="23"/>
      <c r="J29" s="85"/>
      <c r="K29" s="86"/>
      <c r="L29" s="86"/>
      <c r="M29" s="86"/>
      <c r="N29" s="86"/>
      <c r="O29" s="87"/>
      <c r="P29" s="23"/>
      <c r="Q29" s="23"/>
      <c r="R29" s="23"/>
      <c r="S29" s="23"/>
    </row>
    <row r="30" spans="1:19" ht="18" customHeight="1" x14ac:dyDescent="0.2">
      <c r="A30" s="3"/>
      <c r="B30" s="85"/>
      <c r="C30" s="86"/>
      <c r="D30" s="86"/>
      <c r="E30" s="87"/>
      <c r="F30" s="23"/>
      <c r="G30" s="23"/>
      <c r="H30" s="23"/>
      <c r="I30" s="23"/>
      <c r="J30" s="85"/>
      <c r="K30" s="86"/>
      <c r="L30" s="86"/>
      <c r="M30" s="86"/>
      <c r="N30" s="86"/>
      <c r="O30" s="87"/>
      <c r="P30" s="23"/>
      <c r="Q30" s="23"/>
      <c r="R30" s="23"/>
      <c r="S30" s="23"/>
    </row>
    <row r="31" spans="1:19" ht="18" customHeight="1" x14ac:dyDescent="0.2">
      <c r="A31" s="3"/>
      <c r="B31" s="91"/>
      <c r="C31" s="92"/>
      <c r="D31" s="92"/>
      <c r="E31" s="93"/>
      <c r="F31" s="24"/>
      <c r="G31" s="24"/>
      <c r="H31" s="25"/>
      <c r="I31" s="25"/>
      <c r="J31" s="91"/>
      <c r="K31" s="92"/>
      <c r="L31" s="92"/>
      <c r="M31" s="92"/>
      <c r="N31" s="92"/>
      <c r="O31" s="93"/>
      <c r="P31" s="24"/>
      <c r="Q31" s="24"/>
      <c r="R31" s="25"/>
      <c r="S31" s="25"/>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4" t="s">
        <v>28</v>
      </c>
      <c r="B33" s="94"/>
      <c r="C33" s="94"/>
      <c r="D33" s="94"/>
      <c r="E33" s="94"/>
      <c r="F33" s="94"/>
      <c r="G33" s="94"/>
      <c r="H33" s="94"/>
      <c r="I33" s="94"/>
      <c r="J33" s="94"/>
      <c r="K33" s="94"/>
      <c r="L33" s="94"/>
      <c r="M33" s="94"/>
      <c r="N33" s="94"/>
      <c r="O33" s="94"/>
      <c r="P33" s="94"/>
      <c r="Q33" s="94"/>
      <c r="R33" s="94"/>
      <c r="S33" s="94"/>
    </row>
    <row r="34" spans="1:19" ht="18" customHeight="1" x14ac:dyDescent="0.2">
      <c r="A34" s="94"/>
      <c r="B34" s="94"/>
      <c r="C34" s="94"/>
      <c r="D34" s="94"/>
      <c r="E34" s="94"/>
      <c r="F34" s="94"/>
      <c r="G34" s="94"/>
      <c r="H34" s="94"/>
      <c r="I34" s="94"/>
      <c r="J34" s="94"/>
      <c r="K34" s="94"/>
      <c r="L34" s="94"/>
      <c r="M34" s="94"/>
      <c r="N34" s="94"/>
      <c r="O34" s="94"/>
      <c r="P34" s="94"/>
      <c r="Q34" s="94"/>
      <c r="R34" s="94"/>
      <c r="S34" s="94"/>
    </row>
    <row r="35" spans="1:19" ht="18" customHeight="1" x14ac:dyDescent="0.2">
      <c r="B35" s="88" t="s">
        <v>21</v>
      </c>
      <c r="C35" s="89"/>
      <c r="D35" s="89"/>
      <c r="E35" s="90"/>
      <c r="F35" s="60" t="s">
        <v>22</v>
      </c>
      <c r="G35" s="59" t="s">
        <v>23</v>
      </c>
      <c r="H35" s="21" t="s">
        <v>29</v>
      </c>
      <c r="I35" s="21" t="s">
        <v>30</v>
      </c>
      <c r="J35" s="88" t="s">
        <v>21</v>
      </c>
      <c r="K35" s="89"/>
      <c r="L35" s="89"/>
      <c r="M35" s="89"/>
      <c r="N35" s="89"/>
      <c r="O35" s="90"/>
      <c r="P35" s="60" t="s">
        <v>22</v>
      </c>
      <c r="Q35" s="59" t="s">
        <v>23</v>
      </c>
      <c r="R35" s="21" t="s">
        <v>29</v>
      </c>
      <c r="S35" s="21" t="s">
        <v>30</v>
      </c>
    </row>
    <row r="36" spans="1:19" ht="18" customHeight="1" x14ac:dyDescent="0.2">
      <c r="B36" s="82" t="s">
        <v>31</v>
      </c>
      <c r="C36" s="83"/>
      <c r="D36" s="83"/>
      <c r="E36" s="84"/>
      <c r="F36" s="22">
        <v>1</v>
      </c>
      <c r="G36" s="22" t="s">
        <v>27</v>
      </c>
      <c r="H36" s="22" t="s">
        <v>27</v>
      </c>
      <c r="I36" s="22" t="s">
        <v>27</v>
      </c>
      <c r="J36" s="82"/>
      <c r="K36" s="83"/>
      <c r="L36" s="83"/>
      <c r="M36" s="83"/>
      <c r="N36" s="83"/>
      <c r="O36" s="84"/>
      <c r="P36" s="22"/>
      <c r="Q36" s="22"/>
      <c r="R36" s="22"/>
      <c r="S36" s="22"/>
    </row>
    <row r="37" spans="1:19" ht="18" customHeight="1" x14ac:dyDescent="0.2">
      <c r="B37" s="85"/>
      <c r="C37" s="86"/>
      <c r="D37" s="86"/>
      <c r="E37" s="87"/>
      <c r="F37" s="23"/>
      <c r="G37" s="23"/>
      <c r="H37" s="23"/>
      <c r="I37" s="23"/>
      <c r="J37" s="85"/>
      <c r="K37" s="86"/>
      <c r="L37" s="86"/>
      <c r="M37" s="86"/>
      <c r="N37" s="86"/>
      <c r="O37" s="87"/>
      <c r="P37" s="23"/>
      <c r="Q37" s="23"/>
      <c r="R37" s="23"/>
      <c r="S37" s="23"/>
    </row>
    <row r="38" spans="1:19" ht="18" customHeight="1" x14ac:dyDescent="0.2">
      <c r="B38" s="85"/>
      <c r="C38" s="86"/>
      <c r="D38" s="86"/>
      <c r="E38" s="87"/>
      <c r="F38" s="23"/>
      <c r="G38" s="23"/>
      <c r="H38" s="23"/>
      <c r="I38" s="23"/>
      <c r="J38" s="85"/>
      <c r="K38" s="86"/>
      <c r="L38" s="86"/>
      <c r="M38" s="86"/>
      <c r="N38" s="86"/>
      <c r="O38" s="87"/>
      <c r="P38" s="23"/>
      <c r="Q38" s="23"/>
      <c r="R38" s="23"/>
      <c r="S38" s="23"/>
    </row>
    <row r="39" spans="1:19" ht="18" customHeight="1" x14ac:dyDescent="0.2">
      <c r="B39" s="85"/>
      <c r="C39" s="86"/>
      <c r="D39" s="86"/>
      <c r="E39" s="87"/>
      <c r="F39" s="23"/>
      <c r="G39" s="23"/>
      <c r="H39" s="23"/>
      <c r="I39" s="23"/>
      <c r="J39" s="85"/>
      <c r="K39" s="86"/>
      <c r="L39" s="86"/>
      <c r="M39" s="86"/>
      <c r="N39" s="86"/>
      <c r="O39" s="87"/>
      <c r="P39" s="23"/>
      <c r="Q39" s="23"/>
      <c r="R39" s="23"/>
      <c r="S39" s="23"/>
    </row>
    <row r="40" spans="1:19" ht="18" customHeight="1" x14ac:dyDescent="0.2">
      <c r="B40" s="85"/>
      <c r="C40" s="86"/>
      <c r="D40" s="86"/>
      <c r="E40" s="87"/>
      <c r="F40" s="23"/>
      <c r="G40" s="23"/>
      <c r="H40" s="23"/>
      <c r="I40" s="23"/>
      <c r="J40" s="85"/>
      <c r="K40" s="86"/>
      <c r="L40" s="86"/>
      <c r="M40" s="86"/>
      <c r="N40" s="86"/>
      <c r="O40" s="87"/>
      <c r="P40" s="23"/>
      <c r="Q40" s="23"/>
      <c r="R40" s="23"/>
      <c r="S40" s="23"/>
    </row>
    <row r="41" spans="1:19" ht="18" customHeight="1" x14ac:dyDescent="0.2">
      <c r="B41" s="85"/>
      <c r="C41" s="86"/>
      <c r="D41" s="86"/>
      <c r="E41" s="87"/>
      <c r="F41" s="23"/>
      <c r="G41" s="23"/>
      <c r="H41" s="23"/>
      <c r="I41" s="23"/>
      <c r="J41" s="85"/>
      <c r="K41" s="86"/>
      <c r="L41" s="86"/>
      <c r="M41" s="86"/>
      <c r="N41" s="86"/>
      <c r="O41" s="87"/>
      <c r="P41" s="23"/>
      <c r="Q41" s="23"/>
      <c r="R41" s="23"/>
      <c r="S41" s="23"/>
    </row>
    <row r="42" spans="1:19" ht="18" customHeight="1" x14ac:dyDescent="0.2">
      <c r="B42" s="91"/>
      <c r="C42" s="92"/>
      <c r="D42" s="92"/>
      <c r="E42" s="93"/>
      <c r="F42" s="24"/>
      <c r="G42" s="24"/>
      <c r="H42" s="25"/>
      <c r="I42" s="25"/>
      <c r="J42" s="91"/>
      <c r="K42" s="92"/>
      <c r="L42" s="92"/>
      <c r="M42" s="92"/>
      <c r="N42" s="92"/>
      <c r="O42" s="93"/>
      <c r="P42" s="24"/>
      <c r="Q42" s="24"/>
      <c r="R42" s="25"/>
      <c r="S42" s="25"/>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4" t="s">
        <v>32</v>
      </c>
      <c r="B44" s="94"/>
      <c r="C44" s="94"/>
      <c r="D44" s="94"/>
      <c r="E44" s="94"/>
      <c r="F44" s="94"/>
      <c r="G44" s="94"/>
      <c r="H44" s="94"/>
      <c r="I44" s="94"/>
      <c r="J44" s="94"/>
      <c r="K44" s="94"/>
      <c r="L44" s="94"/>
      <c r="M44" s="94"/>
      <c r="N44" s="94"/>
      <c r="O44" s="94"/>
      <c r="P44" s="94"/>
      <c r="Q44" s="94"/>
      <c r="R44" s="94"/>
      <c r="S44" s="94"/>
    </row>
    <row r="45" spans="1:19" ht="18" customHeight="1" x14ac:dyDescent="0.2">
      <c r="A45" s="94"/>
      <c r="B45" s="94"/>
      <c r="C45" s="94"/>
      <c r="D45" s="94"/>
      <c r="E45" s="94"/>
      <c r="F45" s="94"/>
      <c r="G45" s="94"/>
      <c r="H45" s="94"/>
      <c r="I45" s="94"/>
      <c r="J45" s="94"/>
      <c r="K45" s="94"/>
      <c r="L45" s="94"/>
      <c r="M45" s="94"/>
      <c r="N45" s="94"/>
      <c r="O45" s="94"/>
      <c r="P45" s="94"/>
      <c r="Q45" s="94"/>
      <c r="R45" s="94"/>
      <c r="S45" s="94"/>
    </row>
    <row r="46" spans="1:19" ht="18" customHeight="1" x14ac:dyDescent="0.2">
      <c r="B46" s="88" t="s">
        <v>21</v>
      </c>
      <c r="C46" s="89"/>
      <c r="D46" s="89"/>
      <c r="E46" s="90"/>
      <c r="F46" s="60" t="s">
        <v>22</v>
      </c>
      <c r="G46" s="59" t="s">
        <v>23</v>
      </c>
      <c r="H46" s="21" t="s">
        <v>33</v>
      </c>
      <c r="I46" s="21" t="s">
        <v>34</v>
      </c>
      <c r="J46" s="88" t="s">
        <v>21</v>
      </c>
      <c r="K46" s="89"/>
      <c r="L46" s="89"/>
      <c r="M46" s="89"/>
      <c r="N46" s="89"/>
      <c r="O46" s="90"/>
      <c r="P46" s="60" t="s">
        <v>22</v>
      </c>
      <c r="Q46" s="59" t="s">
        <v>23</v>
      </c>
      <c r="R46" s="21" t="s">
        <v>33</v>
      </c>
      <c r="S46" s="21" t="s">
        <v>34</v>
      </c>
    </row>
    <row r="47" spans="1:19" ht="18" customHeight="1" x14ac:dyDescent="0.2">
      <c r="A47" s="3"/>
      <c r="B47" s="82" t="s">
        <v>26</v>
      </c>
      <c r="C47" s="83"/>
      <c r="D47" s="83"/>
      <c r="E47" s="84"/>
      <c r="F47" s="22">
        <v>2</v>
      </c>
      <c r="G47" s="22" t="s">
        <v>27</v>
      </c>
      <c r="H47" s="22" t="s">
        <v>27</v>
      </c>
      <c r="I47" s="22" t="s">
        <v>27</v>
      </c>
      <c r="J47" s="82"/>
      <c r="K47" s="83"/>
      <c r="L47" s="83"/>
      <c r="M47" s="83"/>
      <c r="N47" s="83"/>
      <c r="O47" s="84"/>
      <c r="P47" s="22"/>
      <c r="Q47" s="22"/>
      <c r="R47" s="22"/>
      <c r="S47" s="22"/>
    </row>
    <row r="48" spans="1:19" ht="18" customHeight="1" x14ac:dyDescent="0.2">
      <c r="A48" s="3"/>
      <c r="B48" s="85"/>
      <c r="C48" s="86"/>
      <c r="D48" s="86"/>
      <c r="E48" s="87"/>
      <c r="F48" s="23"/>
      <c r="G48" s="23"/>
      <c r="H48" s="23"/>
      <c r="I48" s="23"/>
      <c r="J48" s="85"/>
      <c r="K48" s="86"/>
      <c r="L48" s="86"/>
      <c r="M48" s="86"/>
      <c r="N48" s="86"/>
      <c r="O48" s="87"/>
      <c r="P48" s="23"/>
      <c r="Q48" s="23"/>
      <c r="R48" s="23"/>
      <c r="S48" s="23"/>
    </row>
    <row r="49" spans="1:19" ht="18" customHeight="1" x14ac:dyDescent="0.2">
      <c r="A49" s="3"/>
      <c r="B49" s="85"/>
      <c r="C49" s="86"/>
      <c r="D49" s="86"/>
      <c r="E49" s="87"/>
      <c r="F49" s="23"/>
      <c r="G49" s="23"/>
      <c r="H49" s="23"/>
      <c r="I49" s="23"/>
      <c r="J49" s="85"/>
      <c r="K49" s="86"/>
      <c r="L49" s="86"/>
      <c r="M49" s="86"/>
      <c r="N49" s="86"/>
      <c r="O49" s="87"/>
      <c r="P49" s="23"/>
      <c r="Q49" s="23"/>
      <c r="R49" s="23"/>
      <c r="S49" s="23"/>
    </row>
    <row r="50" spans="1:19" ht="18" customHeight="1" x14ac:dyDescent="0.2">
      <c r="A50" s="3"/>
      <c r="B50" s="85"/>
      <c r="C50" s="86"/>
      <c r="D50" s="86"/>
      <c r="E50" s="87"/>
      <c r="F50" s="23"/>
      <c r="G50" s="23"/>
      <c r="H50" s="23"/>
      <c r="I50" s="23"/>
      <c r="J50" s="85"/>
      <c r="K50" s="86"/>
      <c r="L50" s="86"/>
      <c r="M50" s="86"/>
      <c r="N50" s="86"/>
      <c r="O50" s="87"/>
      <c r="P50" s="23"/>
      <c r="Q50" s="23"/>
      <c r="R50" s="23"/>
      <c r="S50" s="23"/>
    </row>
    <row r="51" spans="1:19" ht="18" customHeight="1" x14ac:dyDescent="0.2">
      <c r="A51" s="3"/>
      <c r="B51" s="85"/>
      <c r="C51" s="86"/>
      <c r="D51" s="86"/>
      <c r="E51" s="87"/>
      <c r="F51" s="23"/>
      <c r="G51" s="23"/>
      <c r="H51" s="23"/>
      <c r="I51" s="23"/>
      <c r="J51" s="85"/>
      <c r="K51" s="86"/>
      <c r="L51" s="86"/>
      <c r="M51" s="86"/>
      <c r="N51" s="86"/>
      <c r="O51" s="87"/>
      <c r="P51" s="23"/>
      <c r="Q51" s="23"/>
      <c r="R51" s="23"/>
      <c r="S51" s="23"/>
    </row>
    <row r="52" spans="1:19" ht="18" customHeight="1" x14ac:dyDescent="0.2">
      <c r="A52" s="3"/>
      <c r="B52" s="85"/>
      <c r="C52" s="86"/>
      <c r="D52" s="86"/>
      <c r="E52" s="87"/>
      <c r="F52" s="23"/>
      <c r="G52" s="23"/>
      <c r="H52" s="23"/>
      <c r="I52" s="23"/>
      <c r="J52" s="85"/>
      <c r="K52" s="86"/>
      <c r="L52" s="86"/>
      <c r="M52" s="86"/>
      <c r="N52" s="86"/>
      <c r="O52" s="87"/>
      <c r="P52" s="23"/>
      <c r="Q52" s="23"/>
      <c r="R52" s="23"/>
      <c r="S52" s="23"/>
    </row>
    <row r="53" spans="1:19" ht="18" customHeight="1" x14ac:dyDescent="0.2">
      <c r="A53" s="3"/>
      <c r="B53" s="91"/>
      <c r="C53" s="92"/>
      <c r="D53" s="92"/>
      <c r="E53" s="93"/>
      <c r="F53" s="24"/>
      <c r="G53" s="24"/>
      <c r="H53" s="25"/>
      <c r="I53" s="25"/>
      <c r="J53" s="91"/>
      <c r="K53" s="92"/>
      <c r="L53" s="92"/>
      <c r="M53" s="92"/>
      <c r="N53" s="92"/>
      <c r="O53" s="93"/>
      <c r="P53" s="24"/>
      <c r="Q53" s="24"/>
      <c r="R53" s="25"/>
      <c r="S53" s="25"/>
    </row>
    <row r="54" spans="1:19" ht="7.5" customHeight="1" x14ac:dyDescent="0.2">
      <c r="B54" s="14"/>
      <c r="C54" s="14"/>
      <c r="D54" s="14"/>
      <c r="E54" s="14"/>
      <c r="F54" s="14"/>
      <c r="G54" s="14"/>
      <c r="H54" s="14"/>
      <c r="I54" s="14"/>
      <c r="J54" s="14"/>
      <c r="K54" s="14"/>
      <c r="L54" s="14"/>
      <c r="M54" s="14"/>
      <c r="N54" s="14"/>
      <c r="O54" s="14"/>
      <c r="P54" s="14"/>
      <c r="Q54" s="14"/>
      <c r="R54" s="14"/>
    </row>
    <row r="55" spans="1:19" ht="18" customHeight="1" x14ac:dyDescent="0.2">
      <c r="A55" s="94" t="s">
        <v>35</v>
      </c>
      <c r="B55" s="94"/>
      <c r="C55" s="94"/>
      <c r="D55" s="94"/>
      <c r="E55" s="94"/>
      <c r="F55" s="94"/>
      <c r="G55" s="94"/>
      <c r="H55" s="94"/>
      <c r="I55" s="94"/>
      <c r="J55" s="94"/>
      <c r="K55" s="94"/>
      <c r="L55" s="94"/>
      <c r="M55" s="94"/>
      <c r="N55" s="94"/>
      <c r="O55" s="94"/>
      <c r="P55" s="94"/>
      <c r="Q55" s="94"/>
      <c r="R55" s="94"/>
      <c r="S55" s="94"/>
    </row>
    <row r="56" spans="1:19" ht="18" customHeight="1" x14ac:dyDescent="0.2">
      <c r="A56" s="94"/>
      <c r="B56" s="94"/>
      <c r="C56" s="94"/>
      <c r="D56" s="94"/>
      <c r="E56" s="94"/>
      <c r="F56" s="94"/>
      <c r="G56" s="94"/>
      <c r="H56" s="94"/>
      <c r="I56" s="94"/>
      <c r="J56" s="94"/>
      <c r="K56" s="94"/>
      <c r="L56" s="94"/>
      <c r="M56" s="94"/>
      <c r="N56" s="94"/>
      <c r="O56" s="94"/>
      <c r="P56" s="94"/>
      <c r="Q56" s="94"/>
      <c r="R56" s="94"/>
      <c r="S56" s="94"/>
    </row>
    <row r="57" spans="1:19" ht="18" customHeight="1" x14ac:dyDescent="0.2">
      <c r="B57" s="88" t="s">
        <v>21</v>
      </c>
      <c r="C57" s="89"/>
      <c r="D57" s="89"/>
      <c r="E57" s="90"/>
      <c r="F57" s="60" t="s">
        <v>22</v>
      </c>
      <c r="G57" s="59" t="s">
        <v>23</v>
      </c>
      <c r="H57" s="21" t="s">
        <v>36</v>
      </c>
      <c r="I57" s="21" t="s">
        <v>37</v>
      </c>
      <c r="J57" s="88" t="s">
        <v>21</v>
      </c>
      <c r="K57" s="89"/>
      <c r="L57" s="89"/>
      <c r="M57" s="89"/>
      <c r="N57" s="89"/>
      <c r="O57" s="90"/>
      <c r="P57" s="60" t="s">
        <v>22</v>
      </c>
      <c r="Q57" s="59" t="s">
        <v>23</v>
      </c>
      <c r="R57" s="21" t="s">
        <v>36</v>
      </c>
      <c r="S57" s="21" t="s">
        <v>37</v>
      </c>
    </row>
    <row r="58" spans="1:19" ht="18" customHeight="1" x14ac:dyDescent="0.2">
      <c r="A58" s="3"/>
      <c r="B58" s="82" t="s">
        <v>26</v>
      </c>
      <c r="C58" s="83"/>
      <c r="D58" s="83"/>
      <c r="E58" s="84"/>
      <c r="F58" s="22">
        <v>2</v>
      </c>
      <c r="G58" s="22" t="s">
        <v>27</v>
      </c>
      <c r="H58" s="22" t="s">
        <v>27</v>
      </c>
      <c r="I58" s="22" t="s">
        <v>27</v>
      </c>
      <c r="J58" s="82"/>
      <c r="K58" s="83"/>
      <c r="L58" s="83"/>
      <c r="M58" s="83"/>
      <c r="N58" s="83"/>
      <c r="O58" s="84"/>
      <c r="P58" s="22"/>
      <c r="Q58" s="22"/>
      <c r="R58" s="22"/>
      <c r="S58" s="22"/>
    </row>
    <row r="59" spans="1:19" ht="18" customHeight="1" x14ac:dyDescent="0.2">
      <c r="A59" s="3"/>
      <c r="B59" s="85"/>
      <c r="C59" s="86"/>
      <c r="D59" s="86"/>
      <c r="E59" s="87"/>
      <c r="F59" s="23"/>
      <c r="G59" s="23"/>
      <c r="H59" s="23"/>
      <c r="I59" s="23"/>
      <c r="J59" s="85"/>
      <c r="K59" s="86"/>
      <c r="L59" s="86"/>
      <c r="M59" s="86"/>
      <c r="N59" s="86"/>
      <c r="O59" s="87"/>
      <c r="P59" s="23"/>
      <c r="Q59" s="23"/>
      <c r="R59" s="23"/>
      <c r="S59" s="23"/>
    </row>
    <row r="60" spans="1:19" ht="18" customHeight="1" x14ac:dyDescent="0.2">
      <c r="A60" s="3"/>
      <c r="B60" s="85"/>
      <c r="C60" s="86"/>
      <c r="D60" s="86"/>
      <c r="E60" s="87"/>
      <c r="F60" s="23"/>
      <c r="G60" s="23"/>
      <c r="H60" s="23"/>
      <c r="I60" s="23"/>
      <c r="J60" s="85"/>
      <c r="K60" s="86"/>
      <c r="L60" s="86"/>
      <c r="M60" s="86"/>
      <c r="N60" s="86"/>
      <c r="O60" s="87"/>
      <c r="P60" s="23"/>
      <c r="Q60" s="23"/>
      <c r="R60" s="23"/>
      <c r="S60" s="23"/>
    </row>
    <row r="61" spans="1:19" ht="18" customHeight="1" x14ac:dyDescent="0.2">
      <c r="A61" s="3"/>
      <c r="B61" s="85"/>
      <c r="C61" s="86"/>
      <c r="D61" s="86"/>
      <c r="E61" s="87"/>
      <c r="F61" s="23"/>
      <c r="G61" s="23"/>
      <c r="H61" s="23"/>
      <c r="I61" s="23"/>
      <c r="J61" s="85"/>
      <c r="K61" s="86"/>
      <c r="L61" s="86"/>
      <c r="M61" s="86"/>
      <c r="N61" s="86"/>
      <c r="O61" s="87"/>
      <c r="P61" s="23"/>
      <c r="Q61" s="23"/>
      <c r="R61" s="23"/>
      <c r="S61" s="23"/>
    </row>
    <row r="62" spans="1:19" ht="18" customHeight="1" x14ac:dyDescent="0.2">
      <c r="A62" s="3"/>
      <c r="B62" s="85"/>
      <c r="C62" s="86"/>
      <c r="D62" s="86"/>
      <c r="E62" s="87"/>
      <c r="F62" s="23"/>
      <c r="G62" s="23"/>
      <c r="H62" s="23"/>
      <c r="I62" s="23"/>
      <c r="J62" s="85"/>
      <c r="K62" s="86"/>
      <c r="L62" s="86"/>
      <c r="M62" s="86"/>
      <c r="N62" s="86"/>
      <c r="O62" s="87"/>
      <c r="P62" s="23"/>
      <c r="Q62" s="23"/>
      <c r="R62" s="23"/>
      <c r="S62" s="23"/>
    </row>
    <row r="63" spans="1:19" ht="18" customHeight="1" x14ac:dyDescent="0.2">
      <c r="A63" s="3"/>
      <c r="B63" s="85"/>
      <c r="C63" s="86"/>
      <c r="D63" s="86"/>
      <c r="E63" s="87"/>
      <c r="F63" s="23"/>
      <c r="G63" s="23"/>
      <c r="H63" s="23"/>
      <c r="I63" s="23"/>
      <c r="J63" s="85"/>
      <c r="K63" s="86"/>
      <c r="L63" s="86"/>
      <c r="M63" s="86"/>
      <c r="N63" s="86"/>
      <c r="O63" s="87"/>
      <c r="P63" s="23"/>
      <c r="Q63" s="23"/>
      <c r="R63" s="23"/>
      <c r="S63" s="23"/>
    </row>
    <row r="64" spans="1:19" ht="18" customHeight="1" x14ac:dyDescent="0.2">
      <c r="A64" s="3"/>
      <c r="B64" s="91"/>
      <c r="C64" s="92"/>
      <c r="D64" s="92"/>
      <c r="E64" s="93"/>
      <c r="F64" s="24"/>
      <c r="G64" s="24"/>
      <c r="H64" s="25"/>
      <c r="I64" s="25"/>
      <c r="J64" s="91"/>
      <c r="K64" s="92"/>
      <c r="L64" s="92"/>
      <c r="M64" s="92"/>
      <c r="N64" s="92"/>
      <c r="O64" s="93"/>
      <c r="P64" s="24"/>
      <c r="Q64" s="24"/>
      <c r="R64" s="25"/>
      <c r="S64" s="25"/>
    </row>
    <row r="65" spans="1:19" ht="7.5" customHeight="1" x14ac:dyDescent="0.2">
      <c r="B65" s="14"/>
      <c r="C65" s="14"/>
      <c r="D65" s="14"/>
      <c r="E65" s="14"/>
      <c r="F65" s="14"/>
      <c r="G65" s="14"/>
      <c r="H65" s="14"/>
      <c r="I65" s="14"/>
      <c r="J65" s="14"/>
      <c r="K65" s="14"/>
      <c r="L65" s="14"/>
      <c r="M65" s="14"/>
      <c r="N65" s="14"/>
      <c r="O65" s="14"/>
      <c r="P65" s="14"/>
      <c r="Q65" s="14"/>
      <c r="R65" s="14"/>
    </row>
    <row r="66" spans="1:19" ht="18" customHeight="1" x14ac:dyDescent="0.2">
      <c r="A66" s="94" t="s">
        <v>38</v>
      </c>
      <c r="B66" s="94"/>
      <c r="C66" s="94"/>
      <c r="D66" s="94"/>
      <c r="E66" s="94"/>
      <c r="F66" s="94"/>
      <c r="G66" s="94"/>
      <c r="H66" s="94"/>
      <c r="I66" s="94"/>
      <c r="J66" s="94"/>
      <c r="K66" s="94"/>
      <c r="L66" s="94"/>
      <c r="M66" s="94"/>
      <c r="N66" s="94"/>
      <c r="O66" s="94"/>
      <c r="P66" s="94"/>
      <c r="Q66" s="94"/>
      <c r="R66" s="94"/>
      <c r="S66" s="94"/>
    </row>
    <row r="67" spans="1:19" ht="18" customHeight="1" x14ac:dyDescent="0.2">
      <c r="A67" s="94"/>
      <c r="B67" s="94"/>
      <c r="C67" s="94"/>
      <c r="D67" s="94"/>
      <c r="E67" s="94"/>
      <c r="F67" s="94"/>
      <c r="G67" s="94"/>
      <c r="H67" s="94"/>
      <c r="I67" s="94"/>
      <c r="J67" s="94"/>
      <c r="K67" s="94"/>
      <c r="L67" s="94"/>
      <c r="M67" s="94"/>
      <c r="N67" s="94"/>
      <c r="O67" s="94"/>
      <c r="P67" s="94"/>
      <c r="Q67" s="94"/>
      <c r="R67" s="94"/>
      <c r="S67" s="94"/>
    </row>
    <row r="68" spans="1:19" ht="18" customHeight="1" x14ac:dyDescent="0.2">
      <c r="B68" s="88" t="s">
        <v>21</v>
      </c>
      <c r="C68" s="89"/>
      <c r="D68" s="89"/>
      <c r="E68" s="60" t="s">
        <v>22</v>
      </c>
      <c r="F68" s="59" t="s">
        <v>23</v>
      </c>
      <c r="G68" s="21" t="s">
        <v>39</v>
      </c>
      <c r="H68" s="21" t="s">
        <v>40</v>
      </c>
      <c r="I68" s="21" t="s">
        <v>41</v>
      </c>
      <c r="J68" s="88" t="s">
        <v>21</v>
      </c>
      <c r="K68" s="89"/>
      <c r="L68" s="89"/>
      <c r="M68" s="89"/>
      <c r="N68" s="90"/>
      <c r="O68" s="60" t="s">
        <v>22</v>
      </c>
      <c r="P68" s="59" t="s">
        <v>23</v>
      </c>
      <c r="Q68" s="21" t="s">
        <v>39</v>
      </c>
      <c r="R68" s="21" t="s">
        <v>40</v>
      </c>
      <c r="S68" s="21" t="s">
        <v>41</v>
      </c>
    </row>
    <row r="69" spans="1:19" ht="18" customHeight="1" x14ac:dyDescent="0.2">
      <c r="A69" s="3"/>
      <c r="B69" s="82" t="s">
        <v>42</v>
      </c>
      <c r="C69" s="83"/>
      <c r="D69" s="83"/>
      <c r="E69" s="22">
        <v>1</v>
      </c>
      <c r="F69" s="22" t="s">
        <v>27</v>
      </c>
      <c r="G69" s="22" t="s">
        <v>27</v>
      </c>
      <c r="H69" s="22" t="s">
        <v>27</v>
      </c>
      <c r="I69" s="22" t="s">
        <v>27</v>
      </c>
      <c r="J69" s="82"/>
      <c r="K69" s="83"/>
      <c r="L69" s="83"/>
      <c r="M69" s="83"/>
      <c r="N69" s="84"/>
      <c r="O69" s="22"/>
      <c r="P69" s="22"/>
      <c r="Q69" s="22"/>
      <c r="R69" s="22"/>
      <c r="S69" s="22"/>
    </row>
    <row r="70" spans="1:19" ht="18" customHeight="1" x14ac:dyDescent="0.2">
      <c r="A70" s="3"/>
      <c r="B70" s="85"/>
      <c r="C70" s="86"/>
      <c r="D70" s="86"/>
      <c r="E70" s="23"/>
      <c r="F70" s="23"/>
      <c r="G70" s="23"/>
      <c r="H70" s="23"/>
      <c r="I70" s="23"/>
      <c r="J70" s="85"/>
      <c r="K70" s="86"/>
      <c r="L70" s="86"/>
      <c r="M70" s="86"/>
      <c r="N70" s="87"/>
      <c r="O70" s="23"/>
      <c r="P70" s="23"/>
      <c r="Q70" s="23"/>
      <c r="R70" s="23"/>
      <c r="S70" s="23"/>
    </row>
    <row r="71" spans="1:19" ht="18" customHeight="1" x14ac:dyDescent="0.2">
      <c r="A71" s="3"/>
      <c r="B71" s="85"/>
      <c r="C71" s="86"/>
      <c r="D71" s="86"/>
      <c r="E71" s="23"/>
      <c r="F71" s="23"/>
      <c r="G71" s="23"/>
      <c r="H71" s="23"/>
      <c r="I71" s="23"/>
      <c r="J71" s="85"/>
      <c r="K71" s="86"/>
      <c r="L71" s="86"/>
      <c r="M71" s="86"/>
      <c r="N71" s="87"/>
      <c r="O71" s="23"/>
      <c r="P71" s="23"/>
      <c r="Q71" s="23"/>
      <c r="R71" s="23"/>
      <c r="S71" s="23"/>
    </row>
    <row r="72" spans="1:19" ht="18" customHeight="1" x14ac:dyDescent="0.2">
      <c r="A72" s="3"/>
      <c r="B72" s="85"/>
      <c r="C72" s="86"/>
      <c r="D72" s="86"/>
      <c r="E72" s="23"/>
      <c r="F72" s="23"/>
      <c r="G72" s="23"/>
      <c r="H72" s="23"/>
      <c r="I72" s="23"/>
      <c r="J72" s="85"/>
      <c r="K72" s="86"/>
      <c r="L72" s="86"/>
      <c r="M72" s="86"/>
      <c r="N72" s="87"/>
      <c r="O72" s="23"/>
      <c r="P72" s="23"/>
      <c r="Q72" s="23"/>
      <c r="R72" s="23"/>
      <c r="S72" s="23"/>
    </row>
    <row r="73" spans="1:19" ht="18" customHeight="1" x14ac:dyDescent="0.2">
      <c r="A73" s="3"/>
      <c r="B73" s="85"/>
      <c r="C73" s="86"/>
      <c r="D73" s="86"/>
      <c r="E73" s="23"/>
      <c r="F73" s="23"/>
      <c r="G73" s="23"/>
      <c r="H73" s="23"/>
      <c r="I73" s="23"/>
      <c r="J73" s="85"/>
      <c r="K73" s="86"/>
      <c r="L73" s="86"/>
      <c r="M73" s="86"/>
      <c r="N73" s="87"/>
      <c r="O73" s="23"/>
      <c r="P73" s="23"/>
      <c r="Q73" s="23"/>
      <c r="R73" s="23"/>
      <c r="S73" s="23"/>
    </row>
    <row r="74" spans="1:19" ht="18" customHeight="1" x14ac:dyDescent="0.2">
      <c r="A74" s="3"/>
      <c r="B74" s="85"/>
      <c r="C74" s="86"/>
      <c r="D74" s="86"/>
      <c r="E74" s="23"/>
      <c r="F74" s="23"/>
      <c r="G74" s="23"/>
      <c r="H74" s="23"/>
      <c r="I74" s="23"/>
      <c r="J74" s="85"/>
      <c r="K74" s="86"/>
      <c r="L74" s="86"/>
      <c r="M74" s="86"/>
      <c r="N74" s="87"/>
      <c r="O74" s="23"/>
      <c r="P74" s="23"/>
      <c r="Q74" s="23"/>
      <c r="R74" s="23"/>
      <c r="S74" s="23"/>
    </row>
    <row r="75" spans="1:19" ht="18" customHeight="1" x14ac:dyDescent="0.2">
      <c r="A75" s="3"/>
      <c r="B75" s="91"/>
      <c r="C75" s="92"/>
      <c r="D75" s="92"/>
      <c r="E75" s="24"/>
      <c r="F75" s="24"/>
      <c r="G75" s="25"/>
      <c r="H75" s="25"/>
      <c r="I75" s="25"/>
      <c r="J75" s="91"/>
      <c r="K75" s="92"/>
      <c r="L75" s="92"/>
      <c r="M75" s="92"/>
      <c r="N75" s="93"/>
      <c r="O75" s="24"/>
      <c r="P75" s="24"/>
      <c r="Q75" s="25"/>
      <c r="R75" s="25"/>
      <c r="S75" s="25"/>
    </row>
    <row r="76" spans="1:19" ht="7.5" customHeight="1" x14ac:dyDescent="0.2">
      <c r="B76" s="14"/>
      <c r="C76" s="14"/>
      <c r="D76" s="14"/>
      <c r="E76" s="14"/>
      <c r="F76" s="14"/>
      <c r="G76" s="14"/>
      <c r="H76" s="14"/>
      <c r="I76" s="14"/>
      <c r="J76" s="14"/>
      <c r="K76" s="14"/>
      <c r="L76" s="14"/>
      <c r="M76" s="14"/>
      <c r="N76" s="14"/>
      <c r="O76" s="14"/>
      <c r="P76" s="14"/>
      <c r="Q76" s="14"/>
      <c r="R76" s="14"/>
    </row>
    <row r="77" spans="1:19" ht="18" customHeight="1" x14ac:dyDescent="0.2">
      <c r="A77" s="1" t="s">
        <v>43</v>
      </c>
      <c r="H77" s="3"/>
      <c r="I77" s="3"/>
      <c r="J77" s="3"/>
      <c r="K77" s="3"/>
      <c r="L77" s="3"/>
      <c r="M77" s="3"/>
      <c r="N77" s="3"/>
      <c r="O77" s="3"/>
      <c r="P77" s="3"/>
      <c r="Q77" s="3"/>
      <c r="R77" s="3"/>
      <c r="S77" s="3"/>
    </row>
    <row r="78" spans="1:19" ht="18" customHeight="1" x14ac:dyDescent="0.2">
      <c r="B78" s="88" t="s">
        <v>21</v>
      </c>
      <c r="C78" s="89"/>
      <c r="D78" s="89"/>
      <c r="E78" s="90"/>
      <c r="F78" s="88" t="s">
        <v>44</v>
      </c>
      <c r="G78" s="89"/>
      <c r="H78" s="89"/>
      <c r="I78" s="90"/>
      <c r="J78" s="115" t="s">
        <v>21</v>
      </c>
      <c r="K78" s="116"/>
      <c r="L78" s="116"/>
      <c r="M78" s="116"/>
      <c r="N78" s="116"/>
      <c r="O78" s="117"/>
      <c r="P78" s="88" t="s">
        <v>44</v>
      </c>
      <c r="Q78" s="89"/>
      <c r="R78" s="89"/>
      <c r="S78" s="90"/>
    </row>
    <row r="79" spans="1:19" ht="18" customHeight="1" x14ac:dyDescent="0.2">
      <c r="A79" s="3"/>
      <c r="B79" s="82"/>
      <c r="C79" s="83"/>
      <c r="D79" s="83"/>
      <c r="E79" s="84"/>
      <c r="F79" s="109"/>
      <c r="G79" s="110"/>
      <c r="H79" s="110"/>
      <c r="I79" s="111"/>
      <c r="J79" s="82"/>
      <c r="K79" s="83"/>
      <c r="L79" s="83"/>
      <c r="M79" s="83"/>
      <c r="N79" s="83"/>
      <c r="O79" s="84"/>
      <c r="P79" s="109"/>
      <c r="Q79" s="110"/>
      <c r="R79" s="110"/>
      <c r="S79" s="111"/>
    </row>
    <row r="80" spans="1:19" ht="18" customHeight="1" x14ac:dyDescent="0.2">
      <c r="A80" s="3"/>
      <c r="B80" s="85"/>
      <c r="C80" s="86"/>
      <c r="D80" s="86"/>
      <c r="E80" s="87"/>
      <c r="F80" s="112"/>
      <c r="G80" s="113"/>
      <c r="H80" s="113"/>
      <c r="I80" s="114"/>
      <c r="J80" s="85"/>
      <c r="K80" s="86"/>
      <c r="L80" s="86"/>
      <c r="M80" s="86"/>
      <c r="N80" s="86"/>
      <c r="O80" s="87"/>
      <c r="P80" s="112"/>
      <c r="Q80" s="113"/>
      <c r="R80" s="113"/>
      <c r="S80" s="114"/>
    </row>
    <row r="81" spans="1:19" ht="18" customHeight="1" x14ac:dyDescent="0.2">
      <c r="A81" s="3"/>
      <c r="B81" s="85"/>
      <c r="C81" s="86"/>
      <c r="D81" s="86"/>
      <c r="E81" s="87"/>
      <c r="F81" s="112"/>
      <c r="G81" s="113"/>
      <c r="H81" s="113"/>
      <c r="I81" s="114"/>
      <c r="J81" s="85"/>
      <c r="K81" s="86"/>
      <c r="L81" s="86"/>
      <c r="M81" s="86"/>
      <c r="N81" s="86"/>
      <c r="O81" s="87"/>
      <c r="P81" s="112"/>
      <c r="Q81" s="113"/>
      <c r="R81" s="113"/>
      <c r="S81" s="114"/>
    </row>
    <row r="82" spans="1:19" ht="18" customHeight="1" x14ac:dyDescent="0.2">
      <c r="A82" s="3"/>
      <c r="B82" s="85"/>
      <c r="C82" s="86"/>
      <c r="D82" s="86"/>
      <c r="E82" s="87"/>
      <c r="F82" s="112"/>
      <c r="G82" s="113"/>
      <c r="H82" s="113"/>
      <c r="I82" s="114"/>
      <c r="J82" s="85"/>
      <c r="K82" s="86"/>
      <c r="L82" s="86"/>
      <c r="M82" s="86"/>
      <c r="N82" s="86"/>
      <c r="O82" s="87"/>
      <c r="P82" s="112"/>
      <c r="Q82" s="113"/>
      <c r="R82" s="113"/>
      <c r="S82" s="114"/>
    </row>
    <row r="83" spans="1:19" ht="18" customHeight="1" x14ac:dyDescent="0.2">
      <c r="A83" s="3"/>
      <c r="B83" s="85"/>
      <c r="C83" s="86"/>
      <c r="D83" s="86"/>
      <c r="E83" s="87"/>
      <c r="F83" s="112"/>
      <c r="G83" s="113"/>
      <c r="H83" s="113"/>
      <c r="I83" s="114"/>
      <c r="J83" s="85"/>
      <c r="K83" s="86"/>
      <c r="L83" s="86"/>
      <c r="M83" s="86"/>
      <c r="N83" s="86"/>
      <c r="O83" s="87"/>
      <c r="P83" s="112"/>
      <c r="Q83" s="113"/>
      <c r="R83" s="113"/>
      <c r="S83" s="114"/>
    </row>
    <row r="84" spans="1:19" ht="18" customHeight="1" x14ac:dyDescent="0.2">
      <c r="A84" s="3"/>
      <c r="B84" s="85"/>
      <c r="C84" s="86"/>
      <c r="D84" s="86"/>
      <c r="E84" s="87"/>
      <c r="F84" s="112"/>
      <c r="G84" s="113"/>
      <c r="H84" s="113"/>
      <c r="I84" s="114"/>
      <c r="J84" s="85"/>
      <c r="K84" s="86"/>
      <c r="L84" s="86"/>
      <c r="M84" s="86"/>
      <c r="N84" s="86"/>
      <c r="O84" s="87"/>
      <c r="P84" s="112"/>
      <c r="Q84" s="113"/>
      <c r="R84" s="113"/>
      <c r="S84" s="114"/>
    </row>
    <row r="85" spans="1:19" ht="18" customHeight="1" x14ac:dyDescent="0.2">
      <c r="A85" s="3"/>
      <c r="B85" s="91"/>
      <c r="C85" s="92"/>
      <c r="D85" s="92"/>
      <c r="E85" s="93"/>
      <c r="F85" s="121"/>
      <c r="G85" s="122"/>
      <c r="H85" s="122"/>
      <c r="I85" s="123"/>
      <c r="J85" s="91"/>
      <c r="K85" s="92"/>
      <c r="L85" s="92"/>
      <c r="M85" s="92"/>
      <c r="N85" s="92"/>
      <c r="O85" s="93"/>
      <c r="P85" s="121"/>
      <c r="Q85" s="122"/>
      <c r="R85" s="122"/>
      <c r="S85" s="123"/>
    </row>
    <row r="86" spans="1:19" ht="18" customHeight="1" x14ac:dyDescent="0.2">
      <c r="A86" s="3"/>
      <c r="B86" s="6"/>
      <c r="C86" s="6"/>
      <c r="D86" s="6"/>
      <c r="E86" s="6"/>
      <c r="F86" s="26"/>
      <c r="G86" s="26"/>
      <c r="H86" s="26"/>
      <c r="I86" s="26"/>
      <c r="J86" s="6"/>
      <c r="K86" s="6"/>
      <c r="L86" s="6"/>
      <c r="M86" s="6"/>
      <c r="N86" s="6"/>
      <c r="O86" s="6"/>
      <c r="P86" s="26"/>
      <c r="Q86" s="26"/>
      <c r="R86" s="26"/>
      <c r="S86" s="26"/>
    </row>
    <row r="87" spans="1:19" ht="18.75" customHeight="1" x14ac:dyDescent="0.2">
      <c r="A87" s="1" t="s">
        <v>45</v>
      </c>
    </row>
    <row r="88" spans="1:19" ht="18.75" customHeight="1" x14ac:dyDescent="0.2">
      <c r="B88" s="107" t="s">
        <v>46</v>
      </c>
      <c r="C88" s="108"/>
      <c r="D88" s="89" t="s">
        <v>47</v>
      </c>
      <c r="E88" s="89"/>
      <c r="F88" s="89"/>
      <c r="G88" s="89"/>
      <c r="H88" s="89"/>
      <c r="I88" s="89"/>
      <c r="J88" s="89"/>
      <c r="K88" s="89"/>
      <c r="L88" s="89"/>
      <c r="M88" s="89"/>
      <c r="N88" s="89"/>
      <c r="O88" s="89"/>
      <c r="P88" s="89"/>
      <c r="Q88" s="89"/>
      <c r="R88" s="89"/>
      <c r="S88" s="90"/>
    </row>
    <row r="89" spans="1:19" ht="97.5" customHeight="1" x14ac:dyDescent="0.2">
      <c r="B89" s="95" t="s">
        <v>48</v>
      </c>
      <c r="C89" s="27" t="s">
        <v>24</v>
      </c>
      <c r="D89" s="104" t="s">
        <v>176</v>
      </c>
      <c r="E89" s="105"/>
      <c r="F89" s="105"/>
      <c r="G89" s="105"/>
      <c r="H89" s="105"/>
      <c r="I89" s="105"/>
      <c r="J89" s="105"/>
      <c r="K89" s="105"/>
      <c r="L89" s="105"/>
      <c r="M89" s="105"/>
      <c r="N89" s="105"/>
      <c r="O89" s="105"/>
      <c r="P89" s="105"/>
      <c r="Q89" s="105"/>
      <c r="R89" s="105"/>
      <c r="S89" s="106"/>
    </row>
    <row r="90" spans="1:19" ht="97.5" customHeight="1" x14ac:dyDescent="0.2">
      <c r="B90" s="96"/>
      <c r="C90" s="28" t="s">
        <v>49</v>
      </c>
      <c r="D90" s="124" t="s">
        <v>170</v>
      </c>
      <c r="E90" s="125"/>
      <c r="F90" s="125"/>
      <c r="G90" s="125"/>
      <c r="H90" s="125"/>
      <c r="I90" s="125"/>
      <c r="J90" s="125"/>
      <c r="K90" s="125"/>
      <c r="L90" s="125"/>
      <c r="M90" s="125"/>
      <c r="N90" s="125"/>
      <c r="O90" s="125"/>
      <c r="P90" s="125"/>
      <c r="Q90" s="125"/>
      <c r="R90" s="125"/>
      <c r="S90" s="126"/>
    </row>
    <row r="91" spans="1:19" ht="97.5" customHeight="1" x14ac:dyDescent="0.2">
      <c r="B91" s="95" t="s">
        <v>50</v>
      </c>
      <c r="C91" s="29" t="s">
        <v>29</v>
      </c>
      <c r="D91" s="127" t="s">
        <v>171</v>
      </c>
      <c r="E91" s="128"/>
      <c r="F91" s="128"/>
      <c r="G91" s="128"/>
      <c r="H91" s="128"/>
      <c r="I91" s="128"/>
      <c r="J91" s="128"/>
      <c r="K91" s="128"/>
      <c r="L91" s="128"/>
      <c r="M91" s="128"/>
      <c r="N91" s="128"/>
      <c r="O91" s="128"/>
      <c r="P91" s="128"/>
      <c r="Q91" s="128"/>
      <c r="R91" s="128"/>
      <c r="S91" s="129"/>
    </row>
    <row r="92" spans="1:19" ht="97.5" customHeight="1" x14ac:dyDescent="0.2">
      <c r="B92" s="97"/>
      <c r="C92" s="30" t="s">
        <v>30</v>
      </c>
      <c r="D92" s="133" t="s">
        <v>172</v>
      </c>
      <c r="E92" s="134"/>
      <c r="F92" s="134"/>
      <c r="G92" s="134"/>
      <c r="H92" s="134"/>
      <c r="I92" s="134"/>
      <c r="J92" s="134"/>
      <c r="K92" s="134"/>
      <c r="L92" s="134"/>
      <c r="M92" s="134"/>
      <c r="N92" s="134"/>
      <c r="O92" s="134"/>
      <c r="P92" s="134"/>
      <c r="Q92" s="134"/>
      <c r="R92" s="134"/>
      <c r="S92" s="135"/>
    </row>
    <row r="93" spans="1:19" ht="97.5" customHeight="1" x14ac:dyDescent="0.2">
      <c r="B93" s="95" t="s">
        <v>51</v>
      </c>
      <c r="C93" s="29" t="s">
        <v>33</v>
      </c>
      <c r="D93" s="136" t="s">
        <v>177</v>
      </c>
      <c r="E93" s="137"/>
      <c r="F93" s="137"/>
      <c r="G93" s="137"/>
      <c r="H93" s="137"/>
      <c r="I93" s="137"/>
      <c r="J93" s="137"/>
      <c r="K93" s="137"/>
      <c r="L93" s="137"/>
      <c r="M93" s="137"/>
      <c r="N93" s="137"/>
      <c r="O93" s="137"/>
      <c r="P93" s="137"/>
      <c r="Q93" s="137"/>
      <c r="R93" s="137"/>
      <c r="S93" s="138"/>
    </row>
    <row r="94" spans="1:19" ht="97.5" customHeight="1" x14ac:dyDescent="0.2">
      <c r="B94" s="97"/>
      <c r="C94" s="31" t="s">
        <v>34</v>
      </c>
      <c r="D94" s="130" t="s">
        <v>174</v>
      </c>
      <c r="E94" s="131"/>
      <c r="F94" s="131"/>
      <c r="G94" s="131"/>
      <c r="H94" s="131"/>
      <c r="I94" s="131"/>
      <c r="J94" s="131"/>
      <c r="K94" s="131"/>
      <c r="L94" s="131"/>
      <c r="M94" s="131"/>
      <c r="N94" s="131"/>
      <c r="O94" s="131"/>
      <c r="P94" s="131"/>
      <c r="Q94" s="131"/>
      <c r="R94" s="131"/>
      <c r="S94" s="132"/>
    </row>
    <row r="95" spans="1:19" ht="97.5" customHeight="1" x14ac:dyDescent="0.2">
      <c r="B95" s="95" t="s">
        <v>52</v>
      </c>
      <c r="C95" s="27" t="s">
        <v>36</v>
      </c>
      <c r="D95" s="104" t="s">
        <v>178</v>
      </c>
      <c r="E95" s="105"/>
      <c r="F95" s="105"/>
      <c r="G95" s="105"/>
      <c r="H95" s="105"/>
      <c r="I95" s="105"/>
      <c r="J95" s="105"/>
      <c r="K95" s="105"/>
      <c r="L95" s="105"/>
      <c r="M95" s="105"/>
      <c r="N95" s="105"/>
      <c r="O95" s="105"/>
      <c r="P95" s="105"/>
      <c r="Q95" s="105"/>
      <c r="R95" s="105"/>
      <c r="S95" s="106"/>
    </row>
    <row r="96" spans="1:19" ht="97.5" customHeight="1" x14ac:dyDescent="0.2">
      <c r="B96" s="97"/>
      <c r="C96" s="30" t="s">
        <v>37</v>
      </c>
      <c r="D96" s="133" t="s">
        <v>179</v>
      </c>
      <c r="E96" s="134"/>
      <c r="F96" s="134"/>
      <c r="G96" s="134"/>
      <c r="H96" s="134"/>
      <c r="I96" s="134"/>
      <c r="J96" s="134"/>
      <c r="K96" s="134"/>
      <c r="L96" s="134"/>
      <c r="M96" s="134"/>
      <c r="N96" s="134"/>
      <c r="O96" s="134"/>
      <c r="P96" s="134"/>
      <c r="Q96" s="134"/>
      <c r="R96" s="134"/>
      <c r="S96" s="135"/>
    </row>
    <row r="97" spans="1:19" ht="97.5" customHeight="1" x14ac:dyDescent="0.2">
      <c r="B97" s="95" t="s">
        <v>53</v>
      </c>
      <c r="C97" s="29" t="s">
        <v>54</v>
      </c>
      <c r="D97" s="98" t="s">
        <v>180</v>
      </c>
      <c r="E97" s="99"/>
      <c r="F97" s="99"/>
      <c r="G97" s="99"/>
      <c r="H97" s="99"/>
      <c r="I97" s="99"/>
      <c r="J97" s="99"/>
      <c r="K97" s="99"/>
      <c r="L97" s="99"/>
      <c r="M97" s="99"/>
      <c r="N97" s="99"/>
      <c r="O97" s="99"/>
      <c r="P97" s="99"/>
      <c r="Q97" s="99"/>
      <c r="R97" s="99"/>
      <c r="S97" s="100"/>
    </row>
    <row r="98" spans="1:19" ht="97.5" customHeight="1" x14ac:dyDescent="0.2">
      <c r="B98" s="96"/>
      <c r="C98" s="32" t="s">
        <v>40</v>
      </c>
      <c r="D98" s="139" t="s">
        <v>181</v>
      </c>
      <c r="E98" s="140"/>
      <c r="F98" s="140"/>
      <c r="G98" s="140"/>
      <c r="H98" s="140"/>
      <c r="I98" s="140"/>
      <c r="J98" s="140"/>
      <c r="K98" s="140"/>
      <c r="L98" s="140"/>
      <c r="M98" s="140"/>
      <c r="N98" s="140"/>
      <c r="O98" s="140"/>
      <c r="P98" s="140"/>
      <c r="Q98" s="140"/>
      <c r="R98" s="140"/>
      <c r="S98" s="141"/>
    </row>
    <row r="99" spans="1:19" ht="97.5" customHeight="1" x14ac:dyDescent="0.2">
      <c r="B99" s="97"/>
      <c r="C99" s="31" t="s">
        <v>41</v>
      </c>
      <c r="D99" s="101" t="s">
        <v>173</v>
      </c>
      <c r="E99" s="102"/>
      <c r="F99" s="102"/>
      <c r="G99" s="102"/>
      <c r="H99" s="102"/>
      <c r="I99" s="102"/>
      <c r="J99" s="102"/>
      <c r="K99" s="102"/>
      <c r="L99" s="102"/>
      <c r="M99" s="102"/>
      <c r="N99" s="102"/>
      <c r="O99" s="102"/>
      <c r="P99" s="102"/>
      <c r="Q99" s="102"/>
      <c r="R99" s="102"/>
      <c r="S99" s="103"/>
    </row>
    <row r="100" spans="1:19" ht="6" customHeight="1" x14ac:dyDescent="0.2"/>
    <row r="101" spans="1:19" ht="18.75" customHeight="1" x14ac:dyDescent="0.2">
      <c r="A101" s="1" t="s">
        <v>55</v>
      </c>
    </row>
    <row r="102" spans="1:19" ht="81.75" customHeight="1" x14ac:dyDescent="0.2">
      <c r="B102" s="118" t="s">
        <v>162</v>
      </c>
      <c r="C102" s="119"/>
      <c r="D102" s="119"/>
      <c r="E102" s="119"/>
      <c r="F102" s="119"/>
      <c r="G102" s="119"/>
      <c r="H102" s="119"/>
      <c r="I102" s="119"/>
      <c r="J102" s="119"/>
      <c r="K102" s="119"/>
      <c r="L102" s="119"/>
      <c r="M102" s="119"/>
      <c r="N102" s="119"/>
      <c r="O102" s="119"/>
      <c r="P102" s="119"/>
      <c r="Q102" s="119"/>
      <c r="R102" s="119"/>
      <c r="S102" s="120"/>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03D62-2F74-4B4F-8523-804CCD41D952}">
  <sheetPr>
    <pageSetUpPr fitToPage="1"/>
  </sheetPr>
  <dimension ref="A1:V110"/>
  <sheetViews>
    <sheetView showZeros="0" view="pageBreakPreview" zoomScaleNormal="100" zoomScaleSheetLayoutView="100" workbookViewId="0">
      <selection activeCell="C2" sqref="C2:I2"/>
    </sheetView>
  </sheetViews>
  <sheetFormatPr defaultColWidth="9" defaultRowHeight="18.75" customHeight="1" x14ac:dyDescent="0.2"/>
  <cols>
    <col min="1" max="1" width="2.44140625" style="1" customWidth="1"/>
    <col min="2" max="2" width="16.44140625" style="1" customWidth="1"/>
    <col min="3" max="19" width="5.5546875" style="1" customWidth="1"/>
    <col min="20" max="20" width="9" style="1"/>
    <col min="21" max="21" width="3.5546875" style="1" customWidth="1"/>
    <col min="22" max="22" width="48.5546875" style="1" hidden="1" customWidth="1"/>
    <col min="23" max="16384" width="9" style="1"/>
  </cols>
  <sheetData>
    <row r="1" spans="1:22" ht="18.600000000000001" customHeight="1" x14ac:dyDescent="0.2">
      <c r="R1" s="142" t="s">
        <v>56</v>
      </c>
      <c r="S1" s="142"/>
      <c r="T1" s="2" t="s">
        <v>1</v>
      </c>
    </row>
    <row r="2" spans="1:22" ht="18.75" customHeight="1" x14ac:dyDescent="0.2">
      <c r="B2" s="33" t="s">
        <v>2</v>
      </c>
      <c r="C2" s="88" t="s">
        <v>3</v>
      </c>
      <c r="D2" s="89"/>
      <c r="E2" s="89"/>
      <c r="F2" s="89"/>
      <c r="G2" s="89"/>
      <c r="H2" s="89"/>
      <c r="I2" s="90"/>
      <c r="J2" s="34"/>
      <c r="K2" s="6"/>
      <c r="L2" s="6"/>
      <c r="M2" s="6"/>
      <c r="N2" s="6"/>
      <c r="O2" s="6"/>
      <c r="P2" s="6"/>
      <c r="Q2" s="6"/>
      <c r="R2" s="6"/>
      <c r="S2" s="6"/>
    </row>
    <row r="3" spans="1:22" ht="18.75" customHeight="1" x14ac:dyDescent="0.2">
      <c r="B3" s="33" t="s">
        <v>4</v>
      </c>
      <c r="C3" s="88" t="s">
        <v>5</v>
      </c>
      <c r="D3" s="89"/>
      <c r="E3" s="89"/>
      <c r="F3" s="89"/>
      <c r="G3" s="89"/>
      <c r="H3" s="89"/>
      <c r="I3" s="90"/>
      <c r="J3" s="34"/>
      <c r="K3" s="6"/>
      <c r="L3" s="6"/>
      <c r="M3" s="6"/>
      <c r="N3" s="6"/>
      <c r="O3" s="6"/>
      <c r="P3" s="6"/>
      <c r="Q3" s="6"/>
      <c r="R3" s="6"/>
      <c r="S3" s="6"/>
    </row>
    <row r="4" spans="1:22" ht="15" customHeight="1" x14ac:dyDescent="0.2">
      <c r="K4" s="34"/>
      <c r="L4" s="36"/>
      <c r="M4" s="36"/>
      <c r="N4" s="36"/>
      <c r="O4" s="36"/>
      <c r="P4" s="36"/>
      <c r="Q4" s="36"/>
      <c r="R4" s="36"/>
      <c r="S4" s="36"/>
    </row>
    <row r="5" spans="1:22" ht="18" customHeight="1" x14ac:dyDescent="0.2">
      <c r="A5" s="146" t="s">
        <v>6</v>
      </c>
      <c r="B5" s="146"/>
      <c r="C5" s="146"/>
      <c r="D5" s="146"/>
      <c r="E5" s="146"/>
      <c r="F5" s="146"/>
      <c r="G5" s="146"/>
      <c r="H5" s="146"/>
      <c r="I5" s="146"/>
      <c r="J5" s="146"/>
      <c r="K5" s="146"/>
      <c r="L5" s="146"/>
      <c r="M5" s="146"/>
      <c r="N5" s="146"/>
      <c r="O5" s="146"/>
      <c r="P5" s="146"/>
      <c r="Q5" s="146"/>
      <c r="R5" s="146"/>
      <c r="S5" s="146"/>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7</v>
      </c>
      <c r="C7" s="3"/>
      <c r="J7" s="37" t="s">
        <v>8</v>
      </c>
      <c r="K7" s="156" t="s">
        <v>9</v>
      </c>
      <c r="L7" s="157"/>
      <c r="M7" s="157"/>
      <c r="N7" s="157"/>
      <c r="O7" s="157"/>
      <c r="P7" s="157"/>
      <c r="Q7" s="157"/>
      <c r="R7" s="157"/>
      <c r="S7" s="158"/>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59" t="s">
        <v>57</v>
      </c>
      <c r="C9" s="160"/>
      <c r="D9" s="160"/>
      <c r="E9" s="160"/>
      <c r="F9" s="160"/>
      <c r="G9" s="160"/>
      <c r="H9" s="160"/>
      <c r="I9" s="160"/>
      <c r="J9" s="160"/>
      <c r="K9" s="160"/>
      <c r="L9" s="160"/>
      <c r="M9" s="160"/>
      <c r="N9" s="160"/>
      <c r="O9" s="160"/>
      <c r="P9" s="160"/>
      <c r="Q9" s="160"/>
      <c r="R9" s="160"/>
      <c r="S9" s="161"/>
    </row>
    <row r="10" spans="1:22" ht="18" customHeight="1" x14ac:dyDescent="0.2">
      <c r="B10" s="162"/>
      <c r="C10" s="163"/>
      <c r="D10" s="163"/>
      <c r="E10" s="163"/>
      <c r="F10" s="163"/>
      <c r="G10" s="163"/>
      <c r="H10" s="163"/>
      <c r="I10" s="163"/>
      <c r="J10" s="163"/>
      <c r="K10" s="163"/>
      <c r="L10" s="163"/>
      <c r="M10" s="163"/>
      <c r="N10" s="163"/>
      <c r="O10" s="163"/>
      <c r="P10" s="163"/>
      <c r="Q10" s="163"/>
      <c r="R10" s="163"/>
      <c r="S10" s="164"/>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v>
      </c>
      <c r="B12" s="3"/>
      <c r="C12" s="3"/>
      <c r="D12" s="34"/>
      <c r="E12" s="34"/>
      <c r="F12" s="34"/>
      <c r="G12" s="34"/>
      <c r="H12" s="34"/>
      <c r="I12" s="34"/>
      <c r="J12" s="34"/>
      <c r="K12" s="38"/>
      <c r="L12" s="38"/>
      <c r="M12" s="38"/>
      <c r="N12" s="38"/>
      <c r="O12" s="38"/>
      <c r="P12" s="38"/>
      <c r="Q12" s="38"/>
      <c r="R12" s="38"/>
      <c r="S12" s="38"/>
    </row>
    <row r="13" spans="1:22" ht="18" customHeight="1" x14ac:dyDescent="0.2">
      <c r="B13" s="147" t="s">
        <v>58</v>
      </c>
      <c r="C13" s="148"/>
      <c r="D13" s="148"/>
      <c r="E13" s="148"/>
      <c r="F13" s="148"/>
      <c r="G13" s="148"/>
      <c r="H13" s="148"/>
      <c r="I13" s="148"/>
      <c r="J13" s="148"/>
      <c r="K13" s="148"/>
      <c r="L13" s="148"/>
      <c r="M13" s="148"/>
      <c r="N13" s="148"/>
      <c r="O13" s="148"/>
      <c r="P13" s="148"/>
      <c r="Q13" s="148"/>
      <c r="R13" s="148"/>
      <c r="S13" s="149"/>
      <c r="V13" s="1" t="s">
        <v>13</v>
      </c>
    </row>
    <row r="14" spans="1:22" ht="18" customHeight="1" x14ac:dyDescent="0.2">
      <c r="B14" s="150"/>
      <c r="C14" s="151"/>
      <c r="D14" s="151"/>
      <c r="E14" s="151"/>
      <c r="F14" s="151"/>
      <c r="G14" s="151"/>
      <c r="H14" s="151"/>
      <c r="I14" s="151"/>
      <c r="J14" s="151"/>
      <c r="K14" s="151"/>
      <c r="L14" s="151"/>
      <c r="M14" s="151"/>
      <c r="N14" s="151"/>
      <c r="O14" s="151"/>
      <c r="P14" s="151"/>
      <c r="Q14" s="151"/>
      <c r="R14" s="151"/>
      <c r="S14" s="152"/>
      <c r="V14" s="1" t="s">
        <v>14</v>
      </c>
    </row>
    <row r="15" spans="1:22" ht="18" customHeight="1" x14ac:dyDescent="0.2">
      <c r="B15" s="150"/>
      <c r="C15" s="151"/>
      <c r="D15" s="151"/>
      <c r="E15" s="151"/>
      <c r="F15" s="151"/>
      <c r="G15" s="151"/>
      <c r="H15" s="151"/>
      <c r="I15" s="151"/>
      <c r="J15" s="151"/>
      <c r="K15" s="151"/>
      <c r="L15" s="151"/>
      <c r="M15" s="151"/>
      <c r="N15" s="151"/>
      <c r="O15" s="151"/>
      <c r="P15" s="151"/>
      <c r="Q15" s="151"/>
      <c r="R15" s="151"/>
      <c r="S15" s="152"/>
      <c r="V15" s="1" t="s">
        <v>15</v>
      </c>
    </row>
    <row r="16" spans="1:22" ht="18" customHeight="1" x14ac:dyDescent="0.2">
      <c r="B16" s="150"/>
      <c r="C16" s="151"/>
      <c r="D16" s="151"/>
      <c r="E16" s="151"/>
      <c r="F16" s="151"/>
      <c r="G16" s="151"/>
      <c r="H16" s="151"/>
      <c r="I16" s="151"/>
      <c r="J16" s="151"/>
      <c r="K16" s="151"/>
      <c r="L16" s="151"/>
      <c r="M16" s="151"/>
      <c r="N16" s="151"/>
      <c r="O16" s="151"/>
      <c r="P16" s="151"/>
      <c r="Q16" s="151"/>
      <c r="R16" s="151"/>
      <c r="S16" s="152"/>
      <c r="V16" s="1" t="s">
        <v>16</v>
      </c>
    </row>
    <row r="17" spans="1:19" ht="18" customHeight="1" x14ac:dyDescent="0.2">
      <c r="B17" s="150"/>
      <c r="C17" s="151"/>
      <c r="D17" s="151"/>
      <c r="E17" s="151"/>
      <c r="F17" s="151"/>
      <c r="G17" s="151"/>
      <c r="H17" s="151"/>
      <c r="I17" s="151"/>
      <c r="J17" s="151"/>
      <c r="K17" s="151"/>
      <c r="L17" s="151"/>
      <c r="M17" s="151"/>
      <c r="N17" s="151"/>
      <c r="O17" s="151"/>
      <c r="P17" s="151"/>
      <c r="Q17" s="151"/>
      <c r="R17" s="151"/>
      <c r="S17" s="152"/>
    </row>
    <row r="18" spans="1:19" ht="18" customHeight="1" x14ac:dyDescent="0.2">
      <c r="B18" s="153"/>
      <c r="C18" s="154"/>
      <c r="D18" s="154"/>
      <c r="E18" s="154"/>
      <c r="F18" s="154"/>
      <c r="G18" s="154"/>
      <c r="H18" s="154"/>
      <c r="I18" s="154"/>
      <c r="J18" s="154"/>
      <c r="K18" s="154"/>
      <c r="L18" s="154"/>
      <c r="M18" s="154"/>
      <c r="N18" s="154"/>
      <c r="O18" s="154"/>
      <c r="P18" s="154"/>
      <c r="Q18" s="154"/>
      <c r="R18" s="154"/>
      <c r="S18" s="155"/>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17</v>
      </c>
      <c r="C20" s="88">
        <v>4</v>
      </c>
      <c r="D20" s="90"/>
      <c r="E20" s="39" t="s">
        <v>18</v>
      </c>
      <c r="G20" s="10"/>
      <c r="H20" s="3"/>
      <c r="I20" s="3"/>
      <c r="J20" s="34" t="s">
        <v>19</v>
      </c>
      <c r="K20" s="143" t="s">
        <v>16</v>
      </c>
      <c r="L20" s="144"/>
      <c r="M20" s="144"/>
      <c r="N20" s="144"/>
      <c r="O20" s="144"/>
      <c r="P20" s="144"/>
      <c r="Q20" s="144"/>
      <c r="R20" s="144"/>
      <c r="S20" s="145"/>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4" t="s">
        <v>20</v>
      </c>
      <c r="B22" s="94"/>
      <c r="C22" s="94"/>
      <c r="D22" s="94"/>
      <c r="E22" s="94"/>
      <c r="F22" s="94"/>
      <c r="G22" s="94"/>
      <c r="H22" s="94"/>
      <c r="I22" s="94"/>
      <c r="J22" s="94"/>
      <c r="K22" s="94"/>
      <c r="L22" s="94"/>
      <c r="M22" s="94"/>
      <c r="N22" s="94"/>
      <c r="O22" s="94"/>
      <c r="P22" s="94"/>
      <c r="Q22" s="94"/>
      <c r="R22" s="94"/>
      <c r="S22" s="94"/>
    </row>
    <row r="23" spans="1:19" ht="18" customHeight="1" x14ac:dyDescent="0.2">
      <c r="A23" s="94"/>
      <c r="B23" s="94"/>
      <c r="C23" s="94"/>
      <c r="D23" s="94"/>
      <c r="E23" s="94"/>
      <c r="F23" s="94"/>
      <c r="G23" s="94"/>
      <c r="H23" s="94"/>
      <c r="I23" s="94"/>
      <c r="J23" s="94"/>
      <c r="K23" s="94"/>
      <c r="L23" s="94"/>
      <c r="M23" s="94"/>
      <c r="N23" s="94"/>
      <c r="O23" s="94"/>
      <c r="P23" s="94"/>
      <c r="Q23" s="94"/>
      <c r="R23" s="94"/>
      <c r="S23" s="94"/>
    </row>
    <row r="24" spans="1:19" ht="18" customHeight="1" x14ac:dyDescent="0.2">
      <c r="B24" s="88" t="s">
        <v>21</v>
      </c>
      <c r="C24" s="89"/>
      <c r="D24" s="89"/>
      <c r="E24" s="90"/>
      <c r="F24" s="60" t="s">
        <v>22</v>
      </c>
      <c r="G24" s="59" t="s">
        <v>23</v>
      </c>
      <c r="H24" s="21" t="s">
        <v>24</v>
      </c>
      <c r="I24" s="21" t="s">
        <v>25</v>
      </c>
      <c r="J24" s="88" t="s">
        <v>21</v>
      </c>
      <c r="K24" s="89"/>
      <c r="L24" s="89"/>
      <c r="M24" s="89"/>
      <c r="N24" s="89"/>
      <c r="O24" s="90"/>
      <c r="P24" s="60" t="s">
        <v>22</v>
      </c>
      <c r="Q24" s="59" t="s">
        <v>23</v>
      </c>
      <c r="R24" s="21" t="s">
        <v>24</v>
      </c>
      <c r="S24" s="21" t="s">
        <v>25</v>
      </c>
    </row>
    <row r="25" spans="1:19" ht="18" customHeight="1" x14ac:dyDescent="0.2">
      <c r="B25" s="82" t="s">
        <v>26</v>
      </c>
      <c r="C25" s="83"/>
      <c r="D25" s="83"/>
      <c r="E25" s="84"/>
      <c r="F25" s="22">
        <v>2</v>
      </c>
      <c r="G25" s="22" t="s">
        <v>27</v>
      </c>
      <c r="H25" s="22" t="s">
        <v>27</v>
      </c>
      <c r="I25" s="22" t="s">
        <v>27</v>
      </c>
      <c r="J25" s="82"/>
      <c r="K25" s="83"/>
      <c r="L25" s="83"/>
      <c r="M25" s="83"/>
      <c r="N25" s="83"/>
      <c r="O25" s="84"/>
      <c r="P25" s="22"/>
      <c r="Q25" s="22"/>
      <c r="R25" s="22"/>
      <c r="S25" s="22"/>
    </row>
    <row r="26" spans="1:19" ht="18" customHeight="1" x14ac:dyDescent="0.2">
      <c r="B26" s="85"/>
      <c r="C26" s="86"/>
      <c r="D26" s="86"/>
      <c r="E26" s="87"/>
      <c r="F26" s="23"/>
      <c r="G26" s="23"/>
      <c r="H26" s="23"/>
      <c r="I26" s="23"/>
      <c r="J26" s="85"/>
      <c r="K26" s="86"/>
      <c r="L26" s="86"/>
      <c r="M26" s="86"/>
      <c r="N26" s="86"/>
      <c r="O26" s="87"/>
      <c r="P26" s="23"/>
      <c r="Q26" s="23"/>
      <c r="R26" s="23"/>
      <c r="S26" s="23"/>
    </row>
    <row r="27" spans="1:19" ht="18" customHeight="1" x14ac:dyDescent="0.2">
      <c r="B27" s="85"/>
      <c r="C27" s="86"/>
      <c r="D27" s="86"/>
      <c r="E27" s="87"/>
      <c r="F27" s="23"/>
      <c r="G27" s="23"/>
      <c r="H27" s="23"/>
      <c r="I27" s="23"/>
      <c r="J27" s="85"/>
      <c r="K27" s="86"/>
      <c r="L27" s="86"/>
      <c r="M27" s="86"/>
      <c r="N27" s="86"/>
      <c r="O27" s="87"/>
      <c r="P27" s="23"/>
      <c r="Q27" s="23"/>
      <c r="R27" s="23"/>
      <c r="S27" s="23"/>
    </row>
    <row r="28" spans="1:19" ht="18" customHeight="1" x14ac:dyDescent="0.2">
      <c r="B28" s="85"/>
      <c r="C28" s="86"/>
      <c r="D28" s="86"/>
      <c r="E28" s="87"/>
      <c r="F28" s="23"/>
      <c r="G28" s="23"/>
      <c r="H28" s="23"/>
      <c r="I28" s="23"/>
      <c r="J28" s="85"/>
      <c r="K28" s="86"/>
      <c r="L28" s="86"/>
      <c r="M28" s="86"/>
      <c r="N28" s="86"/>
      <c r="O28" s="87"/>
      <c r="P28" s="23"/>
      <c r="Q28" s="23"/>
      <c r="R28" s="23"/>
      <c r="S28" s="23"/>
    </row>
    <row r="29" spans="1:19" ht="18" customHeight="1" x14ac:dyDescent="0.2">
      <c r="B29" s="85"/>
      <c r="C29" s="86"/>
      <c r="D29" s="86"/>
      <c r="E29" s="87"/>
      <c r="F29" s="23"/>
      <c r="G29" s="23"/>
      <c r="H29" s="23"/>
      <c r="I29" s="23"/>
      <c r="J29" s="85"/>
      <c r="K29" s="86"/>
      <c r="L29" s="86"/>
      <c r="M29" s="86"/>
      <c r="N29" s="86"/>
      <c r="O29" s="87"/>
      <c r="P29" s="23"/>
      <c r="Q29" s="23"/>
      <c r="R29" s="23"/>
      <c r="S29" s="23"/>
    </row>
    <row r="30" spans="1:19" ht="18" customHeight="1" x14ac:dyDescent="0.2">
      <c r="A30" s="3"/>
      <c r="B30" s="85"/>
      <c r="C30" s="86"/>
      <c r="D30" s="86"/>
      <c r="E30" s="87"/>
      <c r="F30" s="23"/>
      <c r="G30" s="23"/>
      <c r="H30" s="23"/>
      <c r="I30" s="23"/>
      <c r="J30" s="85"/>
      <c r="K30" s="86"/>
      <c r="L30" s="86"/>
      <c r="M30" s="86"/>
      <c r="N30" s="86"/>
      <c r="O30" s="87"/>
      <c r="P30" s="23"/>
      <c r="Q30" s="23"/>
      <c r="R30" s="23"/>
      <c r="S30" s="23"/>
    </row>
    <row r="31" spans="1:19" ht="18" customHeight="1" x14ac:dyDescent="0.2">
      <c r="A31" s="3"/>
      <c r="B31" s="91"/>
      <c r="C31" s="92"/>
      <c r="D31" s="92"/>
      <c r="E31" s="93"/>
      <c r="F31" s="24"/>
      <c r="G31" s="24"/>
      <c r="H31" s="25"/>
      <c r="I31" s="25"/>
      <c r="J31" s="91"/>
      <c r="K31" s="92"/>
      <c r="L31" s="92"/>
      <c r="M31" s="92"/>
      <c r="N31" s="92"/>
      <c r="O31" s="93"/>
      <c r="P31" s="24"/>
      <c r="Q31" s="24"/>
      <c r="R31" s="25"/>
      <c r="S31" s="25"/>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4" t="s">
        <v>28</v>
      </c>
      <c r="B33" s="94"/>
      <c r="C33" s="94"/>
      <c r="D33" s="94"/>
      <c r="E33" s="94"/>
      <c r="F33" s="94"/>
      <c r="G33" s="94"/>
      <c r="H33" s="94"/>
      <c r="I33" s="94"/>
      <c r="J33" s="94"/>
      <c r="K33" s="94"/>
      <c r="L33" s="94"/>
      <c r="M33" s="94"/>
      <c r="N33" s="94"/>
      <c r="O33" s="94"/>
      <c r="P33" s="94"/>
      <c r="Q33" s="94"/>
      <c r="R33" s="94"/>
      <c r="S33" s="94"/>
    </row>
    <row r="34" spans="1:19" ht="18" customHeight="1" x14ac:dyDescent="0.2">
      <c r="A34" s="94"/>
      <c r="B34" s="94"/>
      <c r="C34" s="94"/>
      <c r="D34" s="94"/>
      <c r="E34" s="94"/>
      <c r="F34" s="94"/>
      <c r="G34" s="94"/>
      <c r="H34" s="94"/>
      <c r="I34" s="94"/>
      <c r="J34" s="94"/>
      <c r="K34" s="94"/>
      <c r="L34" s="94"/>
      <c r="M34" s="94"/>
      <c r="N34" s="94"/>
      <c r="O34" s="94"/>
      <c r="P34" s="94"/>
      <c r="Q34" s="94"/>
      <c r="R34" s="94"/>
      <c r="S34" s="94"/>
    </row>
    <row r="35" spans="1:19" ht="18" customHeight="1" x14ac:dyDescent="0.2">
      <c r="B35" s="88" t="s">
        <v>21</v>
      </c>
      <c r="C35" s="89"/>
      <c r="D35" s="89"/>
      <c r="E35" s="90"/>
      <c r="F35" s="60" t="s">
        <v>22</v>
      </c>
      <c r="G35" s="59" t="s">
        <v>23</v>
      </c>
      <c r="H35" s="21" t="s">
        <v>29</v>
      </c>
      <c r="I35" s="21" t="s">
        <v>30</v>
      </c>
      <c r="J35" s="88" t="s">
        <v>21</v>
      </c>
      <c r="K35" s="89"/>
      <c r="L35" s="89"/>
      <c r="M35" s="89"/>
      <c r="N35" s="89"/>
      <c r="O35" s="90"/>
      <c r="P35" s="60" t="s">
        <v>22</v>
      </c>
      <c r="Q35" s="59" t="s">
        <v>23</v>
      </c>
      <c r="R35" s="21" t="s">
        <v>29</v>
      </c>
      <c r="S35" s="21" t="s">
        <v>30</v>
      </c>
    </row>
    <row r="36" spans="1:19" ht="18" customHeight="1" x14ac:dyDescent="0.2">
      <c r="B36" s="82" t="s">
        <v>26</v>
      </c>
      <c r="C36" s="83"/>
      <c r="D36" s="83"/>
      <c r="E36" s="84"/>
      <c r="F36" s="22">
        <v>2</v>
      </c>
      <c r="G36" s="22" t="s">
        <v>27</v>
      </c>
      <c r="H36" s="22" t="s">
        <v>27</v>
      </c>
      <c r="I36" s="22" t="s">
        <v>27</v>
      </c>
      <c r="J36" s="82"/>
      <c r="K36" s="83"/>
      <c r="L36" s="83"/>
      <c r="M36" s="83"/>
      <c r="N36" s="83"/>
      <c r="O36" s="84"/>
      <c r="P36" s="22"/>
      <c r="Q36" s="22"/>
      <c r="R36" s="22"/>
      <c r="S36" s="22"/>
    </row>
    <row r="37" spans="1:19" ht="18" customHeight="1" x14ac:dyDescent="0.2">
      <c r="B37" s="85"/>
      <c r="C37" s="86"/>
      <c r="D37" s="86"/>
      <c r="E37" s="87"/>
      <c r="F37" s="23"/>
      <c r="G37" s="23"/>
      <c r="H37" s="23"/>
      <c r="I37" s="23"/>
      <c r="J37" s="85"/>
      <c r="K37" s="86"/>
      <c r="L37" s="86"/>
      <c r="M37" s="86"/>
      <c r="N37" s="86"/>
      <c r="O37" s="87"/>
      <c r="P37" s="23"/>
      <c r="Q37" s="23"/>
      <c r="R37" s="23"/>
      <c r="S37" s="23"/>
    </row>
    <row r="38" spans="1:19" ht="18" customHeight="1" x14ac:dyDescent="0.2">
      <c r="B38" s="85"/>
      <c r="C38" s="86"/>
      <c r="D38" s="86"/>
      <c r="E38" s="87"/>
      <c r="F38" s="23"/>
      <c r="G38" s="23"/>
      <c r="H38" s="23"/>
      <c r="I38" s="23"/>
      <c r="J38" s="85"/>
      <c r="K38" s="86"/>
      <c r="L38" s="86"/>
      <c r="M38" s="86"/>
      <c r="N38" s="86"/>
      <c r="O38" s="87"/>
      <c r="P38" s="23"/>
      <c r="Q38" s="23"/>
      <c r="R38" s="23"/>
      <c r="S38" s="23"/>
    </row>
    <row r="39" spans="1:19" ht="18" customHeight="1" x14ac:dyDescent="0.2">
      <c r="B39" s="85"/>
      <c r="C39" s="86"/>
      <c r="D39" s="86"/>
      <c r="E39" s="87"/>
      <c r="F39" s="23"/>
      <c r="G39" s="23"/>
      <c r="H39" s="23"/>
      <c r="I39" s="23"/>
      <c r="J39" s="85"/>
      <c r="K39" s="86"/>
      <c r="L39" s="86"/>
      <c r="M39" s="86"/>
      <c r="N39" s="86"/>
      <c r="O39" s="87"/>
      <c r="P39" s="23"/>
      <c r="Q39" s="23"/>
      <c r="R39" s="23"/>
      <c r="S39" s="23"/>
    </row>
    <row r="40" spans="1:19" ht="18" customHeight="1" x14ac:dyDescent="0.2">
      <c r="B40" s="85"/>
      <c r="C40" s="86"/>
      <c r="D40" s="86"/>
      <c r="E40" s="87"/>
      <c r="F40" s="23"/>
      <c r="G40" s="23"/>
      <c r="H40" s="23"/>
      <c r="I40" s="23"/>
      <c r="J40" s="85"/>
      <c r="K40" s="86"/>
      <c r="L40" s="86"/>
      <c r="M40" s="86"/>
      <c r="N40" s="86"/>
      <c r="O40" s="87"/>
      <c r="P40" s="23"/>
      <c r="Q40" s="23"/>
      <c r="R40" s="23"/>
      <c r="S40" s="23"/>
    </row>
    <row r="41" spans="1:19" ht="18" customHeight="1" x14ac:dyDescent="0.2">
      <c r="B41" s="85"/>
      <c r="C41" s="86"/>
      <c r="D41" s="86"/>
      <c r="E41" s="87"/>
      <c r="F41" s="23"/>
      <c r="G41" s="23"/>
      <c r="H41" s="23"/>
      <c r="I41" s="23"/>
      <c r="J41" s="85"/>
      <c r="K41" s="86"/>
      <c r="L41" s="86"/>
      <c r="M41" s="86"/>
      <c r="N41" s="86"/>
      <c r="O41" s="87"/>
      <c r="P41" s="23"/>
      <c r="Q41" s="23"/>
      <c r="R41" s="23"/>
      <c r="S41" s="23"/>
    </row>
    <row r="42" spans="1:19" ht="18" customHeight="1" x14ac:dyDescent="0.2">
      <c r="B42" s="91"/>
      <c r="C42" s="92"/>
      <c r="D42" s="92"/>
      <c r="E42" s="93"/>
      <c r="F42" s="24"/>
      <c r="G42" s="24"/>
      <c r="H42" s="25"/>
      <c r="I42" s="25"/>
      <c r="J42" s="91"/>
      <c r="K42" s="92"/>
      <c r="L42" s="92"/>
      <c r="M42" s="92"/>
      <c r="N42" s="92"/>
      <c r="O42" s="93"/>
      <c r="P42" s="24"/>
      <c r="Q42" s="24"/>
      <c r="R42" s="25"/>
      <c r="S42" s="25"/>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4" t="s">
        <v>32</v>
      </c>
      <c r="B44" s="94"/>
      <c r="C44" s="94"/>
      <c r="D44" s="94"/>
      <c r="E44" s="94"/>
      <c r="F44" s="94"/>
      <c r="G44" s="94"/>
      <c r="H44" s="94"/>
      <c r="I44" s="94"/>
      <c r="J44" s="94"/>
      <c r="K44" s="94"/>
      <c r="L44" s="94"/>
      <c r="M44" s="94"/>
      <c r="N44" s="94"/>
      <c r="O44" s="94"/>
      <c r="P44" s="94"/>
      <c r="Q44" s="94"/>
      <c r="R44" s="94"/>
      <c r="S44" s="94"/>
    </row>
    <row r="45" spans="1:19" ht="18" customHeight="1" x14ac:dyDescent="0.2">
      <c r="A45" s="94"/>
      <c r="B45" s="94"/>
      <c r="C45" s="94"/>
      <c r="D45" s="94"/>
      <c r="E45" s="94"/>
      <c r="F45" s="94"/>
      <c r="G45" s="94"/>
      <c r="H45" s="94"/>
      <c r="I45" s="94"/>
      <c r="J45" s="94"/>
      <c r="K45" s="94"/>
      <c r="L45" s="94"/>
      <c r="M45" s="94"/>
      <c r="N45" s="94"/>
      <c r="O45" s="94"/>
      <c r="P45" s="94"/>
      <c r="Q45" s="94"/>
      <c r="R45" s="94"/>
      <c r="S45" s="94"/>
    </row>
    <row r="46" spans="1:19" ht="18" customHeight="1" x14ac:dyDescent="0.2">
      <c r="B46" s="88" t="s">
        <v>21</v>
      </c>
      <c r="C46" s="89"/>
      <c r="D46" s="89"/>
      <c r="E46" s="90"/>
      <c r="F46" s="60" t="s">
        <v>22</v>
      </c>
      <c r="G46" s="59" t="s">
        <v>23</v>
      </c>
      <c r="H46" s="21" t="s">
        <v>33</v>
      </c>
      <c r="I46" s="21" t="s">
        <v>34</v>
      </c>
      <c r="J46" s="88" t="s">
        <v>21</v>
      </c>
      <c r="K46" s="89"/>
      <c r="L46" s="89"/>
      <c r="M46" s="89"/>
      <c r="N46" s="89"/>
      <c r="O46" s="90"/>
      <c r="P46" s="60" t="s">
        <v>22</v>
      </c>
      <c r="Q46" s="59" t="s">
        <v>23</v>
      </c>
      <c r="R46" s="21" t="s">
        <v>33</v>
      </c>
      <c r="S46" s="21" t="s">
        <v>34</v>
      </c>
    </row>
    <row r="47" spans="1:19" ht="18" customHeight="1" x14ac:dyDescent="0.2">
      <c r="A47" s="3"/>
      <c r="B47" s="82" t="s">
        <v>26</v>
      </c>
      <c r="C47" s="83"/>
      <c r="D47" s="83"/>
      <c r="E47" s="84"/>
      <c r="F47" s="22">
        <v>2</v>
      </c>
      <c r="G47" s="22" t="s">
        <v>27</v>
      </c>
      <c r="H47" s="22" t="s">
        <v>27</v>
      </c>
      <c r="I47" s="22" t="s">
        <v>27</v>
      </c>
      <c r="J47" s="82"/>
      <c r="K47" s="83"/>
      <c r="L47" s="83"/>
      <c r="M47" s="83"/>
      <c r="N47" s="83"/>
      <c r="O47" s="84"/>
      <c r="P47" s="22"/>
      <c r="Q47" s="22"/>
      <c r="R47" s="22"/>
      <c r="S47" s="22"/>
    </row>
    <row r="48" spans="1:19" ht="18" customHeight="1" x14ac:dyDescent="0.2">
      <c r="A48" s="3"/>
      <c r="B48" s="85"/>
      <c r="C48" s="86"/>
      <c r="D48" s="86"/>
      <c r="E48" s="87"/>
      <c r="F48" s="23"/>
      <c r="G48" s="23"/>
      <c r="H48" s="23"/>
      <c r="I48" s="23"/>
      <c r="J48" s="85"/>
      <c r="K48" s="86"/>
      <c r="L48" s="86"/>
      <c r="M48" s="86"/>
      <c r="N48" s="86"/>
      <c r="O48" s="87"/>
      <c r="P48" s="23"/>
      <c r="Q48" s="23"/>
      <c r="R48" s="23"/>
      <c r="S48" s="23"/>
    </row>
    <row r="49" spans="1:19" ht="18" customHeight="1" x14ac:dyDescent="0.2">
      <c r="A49" s="3"/>
      <c r="B49" s="85"/>
      <c r="C49" s="86"/>
      <c r="D49" s="86"/>
      <c r="E49" s="87"/>
      <c r="F49" s="23"/>
      <c r="G49" s="23"/>
      <c r="H49" s="23"/>
      <c r="I49" s="23"/>
      <c r="J49" s="85"/>
      <c r="K49" s="86"/>
      <c r="L49" s="86"/>
      <c r="M49" s="86"/>
      <c r="N49" s="86"/>
      <c r="O49" s="87"/>
      <c r="P49" s="23"/>
      <c r="Q49" s="23"/>
      <c r="R49" s="23"/>
      <c r="S49" s="23"/>
    </row>
    <row r="50" spans="1:19" ht="18" customHeight="1" x14ac:dyDescent="0.2">
      <c r="A50" s="3"/>
      <c r="B50" s="85"/>
      <c r="C50" s="86"/>
      <c r="D50" s="86"/>
      <c r="E50" s="87"/>
      <c r="F50" s="23"/>
      <c r="G50" s="23"/>
      <c r="H50" s="23"/>
      <c r="I50" s="23"/>
      <c r="J50" s="85"/>
      <c r="K50" s="86"/>
      <c r="L50" s="86"/>
      <c r="M50" s="86"/>
      <c r="N50" s="86"/>
      <c r="O50" s="87"/>
      <c r="P50" s="23"/>
      <c r="Q50" s="23"/>
      <c r="R50" s="23"/>
      <c r="S50" s="23"/>
    </row>
    <row r="51" spans="1:19" ht="18" customHeight="1" x14ac:dyDescent="0.2">
      <c r="A51" s="3"/>
      <c r="B51" s="85"/>
      <c r="C51" s="86"/>
      <c r="D51" s="86"/>
      <c r="E51" s="87"/>
      <c r="F51" s="23"/>
      <c r="G51" s="23"/>
      <c r="H51" s="23"/>
      <c r="I51" s="23"/>
      <c r="J51" s="85"/>
      <c r="K51" s="86"/>
      <c r="L51" s="86"/>
      <c r="M51" s="86"/>
      <c r="N51" s="86"/>
      <c r="O51" s="87"/>
      <c r="P51" s="23"/>
      <c r="Q51" s="23"/>
      <c r="R51" s="23"/>
      <c r="S51" s="23"/>
    </row>
    <row r="52" spans="1:19" ht="18" customHeight="1" x14ac:dyDescent="0.2">
      <c r="A52" s="3"/>
      <c r="B52" s="85"/>
      <c r="C52" s="86"/>
      <c r="D52" s="86"/>
      <c r="E52" s="87"/>
      <c r="F52" s="23"/>
      <c r="G52" s="23"/>
      <c r="H52" s="23"/>
      <c r="I52" s="23"/>
      <c r="J52" s="85"/>
      <c r="K52" s="86"/>
      <c r="L52" s="86"/>
      <c r="M52" s="86"/>
      <c r="N52" s="86"/>
      <c r="O52" s="87"/>
      <c r="P52" s="23"/>
      <c r="Q52" s="23"/>
      <c r="R52" s="23"/>
      <c r="S52" s="23"/>
    </row>
    <row r="53" spans="1:19" ht="18" customHeight="1" x14ac:dyDescent="0.2">
      <c r="A53" s="3"/>
      <c r="B53" s="91"/>
      <c r="C53" s="92"/>
      <c r="D53" s="92"/>
      <c r="E53" s="93"/>
      <c r="F53" s="24"/>
      <c r="G53" s="24"/>
      <c r="H53" s="25"/>
      <c r="I53" s="25"/>
      <c r="J53" s="91"/>
      <c r="K53" s="92"/>
      <c r="L53" s="92"/>
      <c r="M53" s="92"/>
      <c r="N53" s="92"/>
      <c r="O53" s="93"/>
      <c r="P53" s="24"/>
      <c r="Q53" s="24"/>
      <c r="R53" s="25"/>
      <c r="S53" s="25"/>
    </row>
    <row r="54" spans="1:19" ht="7.5" customHeight="1" x14ac:dyDescent="0.2">
      <c r="B54" s="14"/>
      <c r="C54" s="14"/>
      <c r="D54" s="14"/>
      <c r="E54" s="14"/>
      <c r="F54" s="14"/>
      <c r="G54" s="14"/>
      <c r="H54" s="14"/>
      <c r="I54" s="14"/>
      <c r="J54" s="14"/>
      <c r="K54" s="14"/>
      <c r="L54" s="14"/>
      <c r="M54" s="14"/>
      <c r="N54" s="14"/>
      <c r="O54" s="14"/>
      <c r="P54" s="14"/>
      <c r="Q54" s="14"/>
      <c r="R54" s="14"/>
    </row>
    <row r="55" spans="1:19" ht="18" customHeight="1" x14ac:dyDescent="0.2">
      <c r="A55" s="94" t="s">
        <v>35</v>
      </c>
      <c r="B55" s="94"/>
      <c r="C55" s="94"/>
      <c r="D55" s="94"/>
      <c r="E55" s="94"/>
      <c r="F55" s="94"/>
      <c r="G55" s="94"/>
      <c r="H55" s="94"/>
      <c r="I55" s="94"/>
      <c r="J55" s="94"/>
      <c r="K55" s="94"/>
      <c r="L55" s="94"/>
      <c r="M55" s="94"/>
      <c r="N55" s="94"/>
      <c r="O55" s="94"/>
      <c r="P55" s="94"/>
      <c r="Q55" s="94"/>
      <c r="R55" s="94"/>
      <c r="S55" s="94"/>
    </row>
    <row r="56" spans="1:19" ht="18" customHeight="1" x14ac:dyDescent="0.2">
      <c r="A56" s="94"/>
      <c r="B56" s="94"/>
      <c r="C56" s="94"/>
      <c r="D56" s="94"/>
      <c r="E56" s="94"/>
      <c r="F56" s="94"/>
      <c r="G56" s="94"/>
      <c r="H56" s="94"/>
      <c r="I56" s="94"/>
      <c r="J56" s="94"/>
      <c r="K56" s="94"/>
      <c r="L56" s="94"/>
      <c r="M56" s="94"/>
      <c r="N56" s="94"/>
      <c r="O56" s="94"/>
      <c r="P56" s="94"/>
      <c r="Q56" s="94"/>
      <c r="R56" s="94"/>
      <c r="S56" s="94"/>
    </row>
    <row r="57" spans="1:19" ht="18" customHeight="1" x14ac:dyDescent="0.2">
      <c r="B57" s="88" t="s">
        <v>21</v>
      </c>
      <c r="C57" s="89"/>
      <c r="D57" s="89"/>
      <c r="E57" s="90"/>
      <c r="F57" s="60" t="s">
        <v>22</v>
      </c>
      <c r="G57" s="59" t="s">
        <v>23</v>
      </c>
      <c r="H57" s="21" t="s">
        <v>36</v>
      </c>
      <c r="I57" s="21" t="s">
        <v>37</v>
      </c>
      <c r="J57" s="88" t="s">
        <v>21</v>
      </c>
      <c r="K57" s="89"/>
      <c r="L57" s="89"/>
      <c r="M57" s="89"/>
      <c r="N57" s="89"/>
      <c r="O57" s="90"/>
      <c r="P57" s="60" t="s">
        <v>22</v>
      </c>
      <c r="Q57" s="59" t="s">
        <v>23</v>
      </c>
      <c r="R57" s="21" t="s">
        <v>36</v>
      </c>
      <c r="S57" s="21" t="s">
        <v>37</v>
      </c>
    </row>
    <row r="58" spans="1:19" ht="18" customHeight="1" x14ac:dyDescent="0.2">
      <c r="A58" s="3"/>
      <c r="B58" s="82" t="s">
        <v>26</v>
      </c>
      <c r="C58" s="83"/>
      <c r="D58" s="83"/>
      <c r="E58" s="84"/>
      <c r="F58" s="22">
        <v>2</v>
      </c>
      <c r="G58" s="22" t="s">
        <v>27</v>
      </c>
      <c r="H58" s="22" t="s">
        <v>27</v>
      </c>
      <c r="I58" s="22" t="s">
        <v>27</v>
      </c>
      <c r="J58" s="82"/>
      <c r="K58" s="83"/>
      <c r="L58" s="83"/>
      <c r="M58" s="83"/>
      <c r="N58" s="83"/>
      <c r="O58" s="84"/>
      <c r="P58" s="22"/>
      <c r="Q58" s="22"/>
      <c r="R58" s="22"/>
      <c r="S58" s="22"/>
    </row>
    <row r="59" spans="1:19" ht="18" customHeight="1" x14ac:dyDescent="0.2">
      <c r="A59" s="3"/>
      <c r="B59" s="85"/>
      <c r="C59" s="86"/>
      <c r="D59" s="86"/>
      <c r="E59" s="87"/>
      <c r="F59" s="23"/>
      <c r="G59" s="23"/>
      <c r="H59" s="23"/>
      <c r="I59" s="23"/>
      <c r="J59" s="85"/>
      <c r="K59" s="86"/>
      <c r="L59" s="86"/>
      <c r="M59" s="86"/>
      <c r="N59" s="86"/>
      <c r="O59" s="87"/>
      <c r="P59" s="23"/>
      <c r="Q59" s="23"/>
      <c r="R59" s="23"/>
      <c r="S59" s="23"/>
    </row>
    <row r="60" spans="1:19" ht="18" customHeight="1" x14ac:dyDescent="0.2">
      <c r="A60" s="3"/>
      <c r="B60" s="85"/>
      <c r="C60" s="86"/>
      <c r="D60" s="86"/>
      <c r="E60" s="87"/>
      <c r="F60" s="23"/>
      <c r="G60" s="23"/>
      <c r="H60" s="23"/>
      <c r="I60" s="23"/>
      <c r="J60" s="85"/>
      <c r="K60" s="86"/>
      <c r="L60" s="86"/>
      <c r="M60" s="86"/>
      <c r="N60" s="86"/>
      <c r="O60" s="87"/>
      <c r="P60" s="23"/>
      <c r="Q60" s="23"/>
      <c r="R60" s="23"/>
      <c r="S60" s="23"/>
    </row>
    <row r="61" spans="1:19" ht="18" customHeight="1" x14ac:dyDescent="0.2">
      <c r="A61" s="3"/>
      <c r="B61" s="85"/>
      <c r="C61" s="86"/>
      <c r="D61" s="86"/>
      <c r="E61" s="87"/>
      <c r="F61" s="23"/>
      <c r="G61" s="23"/>
      <c r="H61" s="23"/>
      <c r="I61" s="23"/>
      <c r="J61" s="85"/>
      <c r="K61" s="86"/>
      <c r="L61" s="86"/>
      <c r="M61" s="86"/>
      <c r="N61" s="86"/>
      <c r="O61" s="87"/>
      <c r="P61" s="23"/>
      <c r="Q61" s="23"/>
      <c r="R61" s="23"/>
      <c r="S61" s="23"/>
    </row>
    <row r="62" spans="1:19" ht="18" customHeight="1" x14ac:dyDescent="0.2">
      <c r="A62" s="3"/>
      <c r="B62" s="85"/>
      <c r="C62" s="86"/>
      <c r="D62" s="86"/>
      <c r="E62" s="87"/>
      <c r="F62" s="23"/>
      <c r="G62" s="23"/>
      <c r="H62" s="23"/>
      <c r="I62" s="23"/>
      <c r="J62" s="85"/>
      <c r="K62" s="86"/>
      <c r="L62" s="86"/>
      <c r="M62" s="86"/>
      <c r="N62" s="86"/>
      <c r="O62" s="87"/>
      <c r="P62" s="23"/>
      <c r="Q62" s="23"/>
      <c r="R62" s="23"/>
      <c r="S62" s="23"/>
    </row>
    <row r="63" spans="1:19" ht="18" customHeight="1" x14ac:dyDescent="0.2">
      <c r="A63" s="3"/>
      <c r="B63" s="85"/>
      <c r="C63" s="86"/>
      <c r="D63" s="86"/>
      <c r="E63" s="87"/>
      <c r="F63" s="23"/>
      <c r="G63" s="23"/>
      <c r="H63" s="23"/>
      <c r="I63" s="23"/>
      <c r="J63" s="85"/>
      <c r="K63" s="86"/>
      <c r="L63" s="86"/>
      <c r="M63" s="86"/>
      <c r="N63" s="86"/>
      <c r="O63" s="87"/>
      <c r="P63" s="23"/>
      <c r="Q63" s="23"/>
      <c r="R63" s="23"/>
      <c r="S63" s="23"/>
    </row>
    <row r="64" spans="1:19" ht="18" customHeight="1" x14ac:dyDescent="0.2">
      <c r="A64" s="3"/>
      <c r="B64" s="91"/>
      <c r="C64" s="92"/>
      <c r="D64" s="92"/>
      <c r="E64" s="93"/>
      <c r="F64" s="24"/>
      <c r="G64" s="24"/>
      <c r="H64" s="25"/>
      <c r="I64" s="25"/>
      <c r="J64" s="91"/>
      <c r="K64" s="92"/>
      <c r="L64" s="92"/>
      <c r="M64" s="92"/>
      <c r="N64" s="92"/>
      <c r="O64" s="93"/>
      <c r="P64" s="24"/>
      <c r="Q64" s="24"/>
      <c r="R64" s="25"/>
      <c r="S64" s="25"/>
    </row>
    <row r="65" spans="1:19" ht="7.5" customHeight="1" x14ac:dyDescent="0.2">
      <c r="B65" s="14"/>
      <c r="C65" s="14"/>
      <c r="D65" s="14"/>
      <c r="E65" s="14"/>
      <c r="F65" s="14"/>
      <c r="G65" s="14"/>
      <c r="H65" s="14"/>
      <c r="I65" s="14"/>
      <c r="J65" s="14"/>
      <c r="K65" s="14"/>
      <c r="L65" s="14"/>
      <c r="M65" s="14"/>
      <c r="N65" s="14"/>
      <c r="O65" s="14"/>
      <c r="P65" s="14"/>
      <c r="Q65" s="14"/>
      <c r="R65" s="14"/>
    </row>
    <row r="66" spans="1:19" ht="18" customHeight="1" x14ac:dyDescent="0.2">
      <c r="A66" s="94" t="s">
        <v>38</v>
      </c>
      <c r="B66" s="94"/>
      <c r="C66" s="94"/>
      <c r="D66" s="94"/>
      <c r="E66" s="94"/>
      <c r="F66" s="94"/>
      <c r="G66" s="94"/>
      <c r="H66" s="94"/>
      <c r="I66" s="94"/>
      <c r="J66" s="94"/>
      <c r="K66" s="94"/>
      <c r="L66" s="94"/>
      <c r="M66" s="94"/>
      <c r="N66" s="94"/>
      <c r="O66" s="94"/>
      <c r="P66" s="94"/>
      <c r="Q66" s="94"/>
      <c r="R66" s="94"/>
      <c r="S66" s="94"/>
    </row>
    <row r="67" spans="1:19" ht="18" customHeight="1" x14ac:dyDescent="0.2">
      <c r="A67" s="94"/>
      <c r="B67" s="94"/>
      <c r="C67" s="94"/>
      <c r="D67" s="94"/>
      <c r="E67" s="94"/>
      <c r="F67" s="94"/>
      <c r="G67" s="94"/>
      <c r="H67" s="94"/>
      <c r="I67" s="94"/>
      <c r="J67" s="94"/>
      <c r="K67" s="94"/>
      <c r="L67" s="94"/>
      <c r="M67" s="94"/>
      <c r="N67" s="94"/>
      <c r="O67" s="94"/>
      <c r="P67" s="94"/>
      <c r="Q67" s="94"/>
      <c r="R67" s="94"/>
      <c r="S67" s="94"/>
    </row>
    <row r="68" spans="1:19" ht="18" customHeight="1" x14ac:dyDescent="0.2">
      <c r="B68" s="88" t="s">
        <v>21</v>
      </c>
      <c r="C68" s="89"/>
      <c r="D68" s="89"/>
      <c r="E68" s="60" t="s">
        <v>22</v>
      </c>
      <c r="F68" s="59" t="s">
        <v>23</v>
      </c>
      <c r="G68" s="21" t="s">
        <v>39</v>
      </c>
      <c r="H68" s="21" t="s">
        <v>40</v>
      </c>
      <c r="I68" s="21" t="s">
        <v>41</v>
      </c>
      <c r="J68" s="88" t="s">
        <v>21</v>
      </c>
      <c r="K68" s="89"/>
      <c r="L68" s="89"/>
      <c r="M68" s="89"/>
      <c r="N68" s="90"/>
      <c r="O68" s="60" t="s">
        <v>22</v>
      </c>
      <c r="P68" s="59" t="s">
        <v>23</v>
      </c>
      <c r="Q68" s="21" t="s">
        <v>39</v>
      </c>
      <c r="R68" s="21" t="s">
        <v>40</v>
      </c>
      <c r="S68" s="21" t="s">
        <v>41</v>
      </c>
    </row>
    <row r="69" spans="1:19" ht="18" customHeight="1" x14ac:dyDescent="0.2">
      <c r="A69" s="3"/>
      <c r="B69" s="82" t="s">
        <v>59</v>
      </c>
      <c r="C69" s="83"/>
      <c r="D69" s="83"/>
      <c r="E69" s="22">
        <v>2</v>
      </c>
      <c r="F69" s="22" t="s">
        <v>27</v>
      </c>
      <c r="G69" s="22" t="s">
        <v>27</v>
      </c>
      <c r="H69" s="22" t="s">
        <v>27</v>
      </c>
      <c r="I69" s="22" t="s">
        <v>27</v>
      </c>
      <c r="J69" s="82"/>
      <c r="K69" s="83"/>
      <c r="L69" s="83"/>
      <c r="M69" s="83"/>
      <c r="N69" s="84"/>
      <c r="O69" s="22"/>
      <c r="P69" s="22"/>
      <c r="Q69" s="22"/>
      <c r="R69" s="22"/>
      <c r="S69" s="22"/>
    </row>
    <row r="70" spans="1:19" ht="18" customHeight="1" x14ac:dyDescent="0.2">
      <c r="A70" s="3"/>
      <c r="B70" s="85"/>
      <c r="C70" s="86"/>
      <c r="D70" s="86"/>
      <c r="E70" s="23"/>
      <c r="F70" s="23"/>
      <c r="G70" s="23"/>
      <c r="H70" s="23"/>
      <c r="I70" s="23"/>
      <c r="J70" s="85"/>
      <c r="K70" s="86"/>
      <c r="L70" s="86"/>
      <c r="M70" s="86"/>
      <c r="N70" s="87"/>
      <c r="O70" s="23"/>
      <c r="P70" s="23"/>
      <c r="Q70" s="23"/>
      <c r="R70" s="23"/>
      <c r="S70" s="23"/>
    </row>
    <row r="71" spans="1:19" ht="18" customHeight="1" x14ac:dyDescent="0.2">
      <c r="A71" s="3"/>
      <c r="B71" s="85"/>
      <c r="C71" s="86"/>
      <c r="D71" s="86"/>
      <c r="E71" s="23"/>
      <c r="F71" s="23"/>
      <c r="G71" s="23"/>
      <c r="H71" s="23"/>
      <c r="I71" s="23"/>
      <c r="J71" s="85"/>
      <c r="K71" s="86"/>
      <c r="L71" s="86"/>
      <c r="M71" s="86"/>
      <c r="N71" s="87"/>
      <c r="O71" s="23"/>
      <c r="P71" s="23"/>
      <c r="Q71" s="23"/>
      <c r="R71" s="23"/>
      <c r="S71" s="23"/>
    </row>
    <row r="72" spans="1:19" ht="18" customHeight="1" x14ac:dyDescent="0.2">
      <c r="A72" s="3"/>
      <c r="B72" s="85"/>
      <c r="C72" s="86"/>
      <c r="D72" s="86"/>
      <c r="E72" s="23"/>
      <c r="F72" s="23"/>
      <c r="G72" s="23"/>
      <c r="H72" s="23"/>
      <c r="I72" s="23"/>
      <c r="J72" s="85"/>
      <c r="K72" s="86"/>
      <c r="L72" s="86"/>
      <c r="M72" s="86"/>
      <c r="N72" s="87"/>
      <c r="O72" s="23"/>
      <c r="P72" s="23"/>
      <c r="Q72" s="23"/>
      <c r="R72" s="23"/>
      <c r="S72" s="23"/>
    </row>
    <row r="73" spans="1:19" ht="18" customHeight="1" x14ac:dyDescent="0.2">
      <c r="A73" s="3"/>
      <c r="B73" s="85"/>
      <c r="C73" s="86"/>
      <c r="D73" s="86"/>
      <c r="E73" s="23"/>
      <c r="F73" s="23"/>
      <c r="G73" s="23"/>
      <c r="H73" s="23"/>
      <c r="I73" s="23"/>
      <c r="J73" s="85"/>
      <c r="K73" s="86"/>
      <c r="L73" s="86"/>
      <c r="M73" s="86"/>
      <c r="N73" s="87"/>
      <c r="O73" s="23"/>
      <c r="P73" s="23"/>
      <c r="Q73" s="23"/>
      <c r="R73" s="23"/>
      <c r="S73" s="23"/>
    </row>
    <row r="74" spans="1:19" ht="18" customHeight="1" x14ac:dyDescent="0.2">
      <c r="A74" s="3"/>
      <c r="B74" s="85"/>
      <c r="C74" s="86"/>
      <c r="D74" s="86"/>
      <c r="E74" s="23"/>
      <c r="F74" s="23"/>
      <c r="G74" s="23"/>
      <c r="H74" s="23"/>
      <c r="I74" s="23"/>
      <c r="J74" s="85"/>
      <c r="K74" s="86"/>
      <c r="L74" s="86"/>
      <c r="M74" s="86"/>
      <c r="N74" s="87"/>
      <c r="O74" s="23"/>
      <c r="P74" s="23"/>
      <c r="Q74" s="23"/>
      <c r="R74" s="23"/>
      <c r="S74" s="23"/>
    </row>
    <row r="75" spans="1:19" ht="18" customHeight="1" x14ac:dyDescent="0.2">
      <c r="A75" s="3"/>
      <c r="B75" s="91"/>
      <c r="C75" s="92"/>
      <c r="D75" s="92"/>
      <c r="E75" s="24"/>
      <c r="F75" s="24"/>
      <c r="G75" s="25"/>
      <c r="H75" s="25"/>
      <c r="I75" s="25"/>
      <c r="J75" s="91"/>
      <c r="K75" s="92"/>
      <c r="L75" s="92"/>
      <c r="M75" s="92"/>
      <c r="N75" s="93"/>
      <c r="O75" s="24"/>
      <c r="P75" s="24"/>
      <c r="Q75" s="25"/>
      <c r="R75" s="25"/>
      <c r="S75" s="25"/>
    </row>
    <row r="76" spans="1:19" ht="7.5" customHeight="1" x14ac:dyDescent="0.2">
      <c r="B76" s="14"/>
      <c r="C76" s="14"/>
      <c r="D76" s="14"/>
      <c r="E76" s="14"/>
      <c r="F76" s="14"/>
      <c r="G76" s="14"/>
      <c r="H76" s="14"/>
      <c r="I76" s="14"/>
      <c r="J76" s="14"/>
      <c r="K76" s="14"/>
      <c r="L76" s="14"/>
      <c r="M76" s="14"/>
      <c r="N76" s="14"/>
      <c r="O76" s="14"/>
      <c r="P76" s="14"/>
      <c r="Q76" s="14"/>
      <c r="R76" s="14"/>
    </row>
    <row r="77" spans="1:19" ht="18" customHeight="1" x14ac:dyDescent="0.2">
      <c r="A77" s="1" t="s">
        <v>43</v>
      </c>
      <c r="H77" s="3"/>
      <c r="I77" s="3"/>
      <c r="J77" s="3"/>
      <c r="K77" s="3"/>
      <c r="L77" s="3"/>
      <c r="M77" s="3"/>
      <c r="N77" s="3"/>
      <c r="O77" s="3"/>
      <c r="P77" s="3"/>
      <c r="Q77" s="3"/>
      <c r="R77" s="3"/>
      <c r="S77" s="3"/>
    </row>
    <row r="78" spans="1:19" ht="18" customHeight="1" x14ac:dyDescent="0.2">
      <c r="B78" s="88" t="s">
        <v>21</v>
      </c>
      <c r="C78" s="89"/>
      <c r="D78" s="89"/>
      <c r="E78" s="90"/>
      <c r="F78" s="88" t="s">
        <v>44</v>
      </c>
      <c r="G78" s="89"/>
      <c r="H78" s="89"/>
      <c r="I78" s="90"/>
      <c r="J78" s="115" t="s">
        <v>21</v>
      </c>
      <c r="K78" s="116"/>
      <c r="L78" s="116"/>
      <c r="M78" s="116"/>
      <c r="N78" s="116"/>
      <c r="O78" s="117"/>
      <c r="P78" s="88" t="s">
        <v>44</v>
      </c>
      <c r="Q78" s="89"/>
      <c r="R78" s="89"/>
      <c r="S78" s="90"/>
    </row>
    <row r="79" spans="1:19" ht="18" customHeight="1" x14ac:dyDescent="0.2">
      <c r="A79" s="3"/>
      <c r="B79" s="82"/>
      <c r="C79" s="83"/>
      <c r="D79" s="83"/>
      <c r="E79" s="84"/>
      <c r="F79" s="109"/>
      <c r="G79" s="110"/>
      <c r="H79" s="110"/>
      <c r="I79" s="111"/>
      <c r="J79" s="82"/>
      <c r="K79" s="83"/>
      <c r="L79" s="83"/>
      <c r="M79" s="83"/>
      <c r="N79" s="83"/>
      <c r="O79" s="84"/>
      <c r="P79" s="109"/>
      <c r="Q79" s="110"/>
      <c r="R79" s="110"/>
      <c r="S79" s="111"/>
    </row>
    <row r="80" spans="1:19" ht="18" customHeight="1" x14ac:dyDescent="0.2">
      <c r="A80" s="3"/>
      <c r="B80" s="85"/>
      <c r="C80" s="86"/>
      <c r="D80" s="86"/>
      <c r="E80" s="87"/>
      <c r="F80" s="112"/>
      <c r="G80" s="113"/>
      <c r="H80" s="113"/>
      <c r="I80" s="114"/>
      <c r="J80" s="85"/>
      <c r="K80" s="86"/>
      <c r="L80" s="86"/>
      <c r="M80" s="86"/>
      <c r="N80" s="86"/>
      <c r="O80" s="87"/>
      <c r="P80" s="112"/>
      <c r="Q80" s="113"/>
      <c r="R80" s="113"/>
      <c r="S80" s="114"/>
    </row>
    <row r="81" spans="1:19" ht="18" customHeight="1" x14ac:dyDescent="0.2">
      <c r="A81" s="3"/>
      <c r="B81" s="85"/>
      <c r="C81" s="86"/>
      <c r="D81" s="86"/>
      <c r="E81" s="87"/>
      <c r="F81" s="112"/>
      <c r="G81" s="113"/>
      <c r="H81" s="113"/>
      <c r="I81" s="114"/>
      <c r="J81" s="85"/>
      <c r="K81" s="86"/>
      <c r="L81" s="86"/>
      <c r="M81" s="86"/>
      <c r="N81" s="86"/>
      <c r="O81" s="87"/>
      <c r="P81" s="112"/>
      <c r="Q81" s="113"/>
      <c r="R81" s="113"/>
      <c r="S81" s="114"/>
    </row>
    <row r="82" spans="1:19" ht="18" customHeight="1" x14ac:dyDescent="0.2">
      <c r="A82" s="3"/>
      <c r="B82" s="85"/>
      <c r="C82" s="86"/>
      <c r="D82" s="86"/>
      <c r="E82" s="87"/>
      <c r="F82" s="112"/>
      <c r="G82" s="113"/>
      <c r="H82" s="113"/>
      <c r="I82" s="114"/>
      <c r="J82" s="85"/>
      <c r="K82" s="86"/>
      <c r="L82" s="86"/>
      <c r="M82" s="86"/>
      <c r="N82" s="86"/>
      <c r="O82" s="87"/>
      <c r="P82" s="112"/>
      <c r="Q82" s="113"/>
      <c r="R82" s="113"/>
      <c r="S82" s="114"/>
    </row>
    <row r="83" spans="1:19" ht="18" customHeight="1" x14ac:dyDescent="0.2">
      <c r="A83" s="3"/>
      <c r="B83" s="85"/>
      <c r="C83" s="86"/>
      <c r="D83" s="86"/>
      <c r="E83" s="87"/>
      <c r="F83" s="112"/>
      <c r="G83" s="113"/>
      <c r="H83" s="113"/>
      <c r="I83" s="114"/>
      <c r="J83" s="85"/>
      <c r="K83" s="86"/>
      <c r="L83" s="86"/>
      <c r="M83" s="86"/>
      <c r="N83" s="86"/>
      <c r="O83" s="87"/>
      <c r="P83" s="112"/>
      <c r="Q83" s="113"/>
      <c r="R83" s="113"/>
      <c r="S83" s="114"/>
    </row>
    <row r="84" spans="1:19" ht="18" customHeight="1" x14ac:dyDescent="0.2">
      <c r="A84" s="3"/>
      <c r="B84" s="85"/>
      <c r="C84" s="86"/>
      <c r="D84" s="86"/>
      <c r="E84" s="87"/>
      <c r="F84" s="112"/>
      <c r="G84" s="113"/>
      <c r="H84" s="113"/>
      <c r="I84" s="114"/>
      <c r="J84" s="85"/>
      <c r="K84" s="86"/>
      <c r="L84" s="86"/>
      <c r="M84" s="86"/>
      <c r="N84" s="86"/>
      <c r="O84" s="87"/>
      <c r="P84" s="112"/>
      <c r="Q84" s="113"/>
      <c r="R84" s="113"/>
      <c r="S84" s="114"/>
    </row>
    <row r="85" spans="1:19" ht="18" customHeight="1" x14ac:dyDescent="0.2">
      <c r="A85" s="3"/>
      <c r="B85" s="91"/>
      <c r="C85" s="92"/>
      <c r="D85" s="92"/>
      <c r="E85" s="93"/>
      <c r="F85" s="121"/>
      <c r="G85" s="122"/>
      <c r="H85" s="122"/>
      <c r="I85" s="123"/>
      <c r="J85" s="91"/>
      <c r="K85" s="92"/>
      <c r="L85" s="92"/>
      <c r="M85" s="92"/>
      <c r="N85" s="92"/>
      <c r="O85" s="93"/>
      <c r="P85" s="121"/>
      <c r="Q85" s="122"/>
      <c r="R85" s="122"/>
      <c r="S85" s="123"/>
    </row>
    <row r="86" spans="1:19" ht="18" customHeight="1" x14ac:dyDescent="0.2">
      <c r="A86" s="3"/>
      <c r="B86" s="6"/>
      <c r="C86" s="6"/>
      <c r="D86" s="6"/>
      <c r="E86" s="6"/>
      <c r="F86" s="26"/>
      <c r="G86" s="26"/>
      <c r="H86" s="26"/>
      <c r="I86" s="26"/>
      <c r="J86" s="6"/>
      <c r="K86" s="6"/>
      <c r="L86" s="6"/>
      <c r="M86" s="6"/>
      <c r="N86" s="6"/>
      <c r="O86" s="6"/>
      <c r="P86" s="26"/>
      <c r="Q86" s="26"/>
      <c r="R86" s="26"/>
      <c r="S86" s="26"/>
    </row>
    <row r="87" spans="1:19" ht="18.75" customHeight="1" x14ac:dyDescent="0.2">
      <c r="A87" s="1" t="s">
        <v>45</v>
      </c>
    </row>
    <row r="88" spans="1:19" ht="18.75" customHeight="1" x14ac:dyDescent="0.2">
      <c r="B88" s="107" t="s">
        <v>46</v>
      </c>
      <c r="C88" s="108"/>
      <c r="D88" s="89" t="s">
        <v>47</v>
      </c>
      <c r="E88" s="89"/>
      <c r="F88" s="89"/>
      <c r="G88" s="89"/>
      <c r="H88" s="89"/>
      <c r="I88" s="89"/>
      <c r="J88" s="89"/>
      <c r="K88" s="89"/>
      <c r="L88" s="89"/>
      <c r="M88" s="89"/>
      <c r="N88" s="89"/>
      <c r="O88" s="89"/>
      <c r="P88" s="89"/>
      <c r="Q88" s="89"/>
      <c r="R88" s="89"/>
      <c r="S88" s="90"/>
    </row>
    <row r="89" spans="1:19" ht="97.5" customHeight="1" x14ac:dyDescent="0.2">
      <c r="B89" s="95" t="s">
        <v>48</v>
      </c>
      <c r="C89" s="27" t="s">
        <v>24</v>
      </c>
      <c r="D89" s="104" t="s">
        <v>176</v>
      </c>
      <c r="E89" s="105"/>
      <c r="F89" s="105"/>
      <c r="G89" s="105"/>
      <c r="H89" s="105"/>
      <c r="I89" s="105"/>
      <c r="J89" s="105"/>
      <c r="K89" s="105"/>
      <c r="L89" s="105"/>
      <c r="M89" s="105"/>
      <c r="N89" s="105"/>
      <c r="O89" s="105"/>
      <c r="P89" s="105"/>
      <c r="Q89" s="105"/>
      <c r="R89" s="105"/>
      <c r="S89" s="106"/>
    </row>
    <row r="90" spans="1:19" ht="97.5" customHeight="1" x14ac:dyDescent="0.2">
      <c r="B90" s="96"/>
      <c r="C90" s="28" t="s">
        <v>49</v>
      </c>
      <c r="D90" s="124" t="s">
        <v>170</v>
      </c>
      <c r="E90" s="125"/>
      <c r="F90" s="125"/>
      <c r="G90" s="125"/>
      <c r="H90" s="125"/>
      <c r="I90" s="125"/>
      <c r="J90" s="125"/>
      <c r="K90" s="125"/>
      <c r="L90" s="125"/>
      <c r="M90" s="125"/>
      <c r="N90" s="125"/>
      <c r="O90" s="125"/>
      <c r="P90" s="125"/>
      <c r="Q90" s="125"/>
      <c r="R90" s="125"/>
      <c r="S90" s="126"/>
    </row>
    <row r="91" spans="1:19" ht="97.5" customHeight="1" x14ac:dyDescent="0.2">
      <c r="B91" s="95" t="s">
        <v>50</v>
      </c>
      <c r="C91" s="29" t="s">
        <v>29</v>
      </c>
      <c r="D91" s="127" t="s">
        <v>182</v>
      </c>
      <c r="E91" s="128"/>
      <c r="F91" s="128"/>
      <c r="G91" s="128"/>
      <c r="H91" s="128"/>
      <c r="I91" s="128"/>
      <c r="J91" s="128"/>
      <c r="K91" s="128"/>
      <c r="L91" s="128"/>
      <c r="M91" s="128"/>
      <c r="N91" s="128"/>
      <c r="O91" s="128"/>
      <c r="P91" s="128"/>
      <c r="Q91" s="128"/>
      <c r="R91" s="128"/>
      <c r="S91" s="129"/>
    </row>
    <row r="92" spans="1:19" ht="97.5" customHeight="1" x14ac:dyDescent="0.2">
      <c r="B92" s="97"/>
      <c r="C92" s="30" t="s">
        <v>30</v>
      </c>
      <c r="D92" s="133" t="s">
        <v>183</v>
      </c>
      <c r="E92" s="134"/>
      <c r="F92" s="134"/>
      <c r="G92" s="134"/>
      <c r="H92" s="134"/>
      <c r="I92" s="134"/>
      <c r="J92" s="134"/>
      <c r="K92" s="134"/>
      <c r="L92" s="134"/>
      <c r="M92" s="134"/>
      <c r="N92" s="134"/>
      <c r="O92" s="134"/>
      <c r="P92" s="134"/>
      <c r="Q92" s="134"/>
      <c r="R92" s="134"/>
      <c r="S92" s="135"/>
    </row>
    <row r="93" spans="1:19" ht="97.5" customHeight="1" x14ac:dyDescent="0.2">
      <c r="B93" s="95" t="s">
        <v>51</v>
      </c>
      <c r="C93" s="29" t="s">
        <v>33</v>
      </c>
      <c r="D93" s="127" t="s">
        <v>175</v>
      </c>
      <c r="E93" s="128"/>
      <c r="F93" s="128"/>
      <c r="G93" s="128"/>
      <c r="H93" s="128"/>
      <c r="I93" s="128"/>
      <c r="J93" s="128"/>
      <c r="K93" s="128"/>
      <c r="L93" s="128"/>
      <c r="M93" s="128"/>
      <c r="N93" s="128"/>
      <c r="O93" s="128"/>
      <c r="P93" s="128"/>
      <c r="Q93" s="128"/>
      <c r="R93" s="128"/>
      <c r="S93" s="129"/>
    </row>
    <row r="94" spans="1:19" ht="97.5" customHeight="1" x14ac:dyDescent="0.2">
      <c r="B94" s="97"/>
      <c r="C94" s="31" t="s">
        <v>34</v>
      </c>
      <c r="D94" s="130" t="s">
        <v>174</v>
      </c>
      <c r="E94" s="131"/>
      <c r="F94" s="131"/>
      <c r="G94" s="131"/>
      <c r="H94" s="131"/>
      <c r="I94" s="131"/>
      <c r="J94" s="131"/>
      <c r="K94" s="131"/>
      <c r="L94" s="131"/>
      <c r="M94" s="131"/>
      <c r="N94" s="131"/>
      <c r="O94" s="131"/>
      <c r="P94" s="131"/>
      <c r="Q94" s="131"/>
      <c r="R94" s="131"/>
      <c r="S94" s="132"/>
    </row>
    <row r="95" spans="1:19" ht="97.5" customHeight="1" x14ac:dyDescent="0.2">
      <c r="B95" s="95" t="s">
        <v>52</v>
      </c>
      <c r="C95" s="27" t="s">
        <v>36</v>
      </c>
      <c r="D95" s="104" t="s">
        <v>178</v>
      </c>
      <c r="E95" s="105"/>
      <c r="F95" s="105"/>
      <c r="G95" s="105"/>
      <c r="H95" s="105"/>
      <c r="I95" s="105"/>
      <c r="J95" s="105"/>
      <c r="K95" s="105"/>
      <c r="L95" s="105"/>
      <c r="M95" s="105"/>
      <c r="N95" s="105"/>
      <c r="O95" s="105"/>
      <c r="P95" s="105"/>
      <c r="Q95" s="105"/>
      <c r="R95" s="105"/>
      <c r="S95" s="106"/>
    </row>
    <row r="96" spans="1:19" ht="97.5" customHeight="1" x14ac:dyDescent="0.2">
      <c r="B96" s="97"/>
      <c r="C96" s="30" t="s">
        <v>37</v>
      </c>
      <c r="D96" s="133" t="s">
        <v>179</v>
      </c>
      <c r="E96" s="134"/>
      <c r="F96" s="134"/>
      <c r="G96" s="134"/>
      <c r="H96" s="134"/>
      <c r="I96" s="134"/>
      <c r="J96" s="134"/>
      <c r="K96" s="134"/>
      <c r="L96" s="134"/>
      <c r="M96" s="134"/>
      <c r="N96" s="134"/>
      <c r="O96" s="134"/>
      <c r="P96" s="134"/>
      <c r="Q96" s="134"/>
      <c r="R96" s="134"/>
      <c r="S96" s="135"/>
    </row>
    <row r="97" spans="1:19" ht="97.5" customHeight="1" x14ac:dyDescent="0.2">
      <c r="B97" s="95" t="s">
        <v>53</v>
      </c>
      <c r="C97" s="29" t="s">
        <v>54</v>
      </c>
      <c r="D97" s="98" t="s">
        <v>184</v>
      </c>
      <c r="E97" s="99"/>
      <c r="F97" s="99"/>
      <c r="G97" s="99"/>
      <c r="H97" s="99"/>
      <c r="I97" s="99"/>
      <c r="J97" s="99"/>
      <c r="K97" s="99"/>
      <c r="L97" s="99"/>
      <c r="M97" s="99"/>
      <c r="N97" s="99"/>
      <c r="O97" s="99"/>
      <c r="P97" s="99"/>
      <c r="Q97" s="99"/>
      <c r="R97" s="99"/>
      <c r="S97" s="100"/>
    </row>
    <row r="98" spans="1:19" ht="97.5" customHeight="1" x14ac:dyDescent="0.2">
      <c r="B98" s="96"/>
      <c r="C98" s="32" t="s">
        <v>40</v>
      </c>
      <c r="D98" s="139" t="s">
        <v>186</v>
      </c>
      <c r="E98" s="140"/>
      <c r="F98" s="140"/>
      <c r="G98" s="140"/>
      <c r="H98" s="140"/>
      <c r="I98" s="140"/>
      <c r="J98" s="140"/>
      <c r="K98" s="140"/>
      <c r="L98" s="140"/>
      <c r="M98" s="140"/>
      <c r="N98" s="140"/>
      <c r="O98" s="140"/>
      <c r="P98" s="140"/>
      <c r="Q98" s="140"/>
      <c r="R98" s="140"/>
      <c r="S98" s="141"/>
    </row>
    <row r="99" spans="1:19" ht="97.5" customHeight="1" x14ac:dyDescent="0.2">
      <c r="B99" s="97"/>
      <c r="C99" s="31" t="s">
        <v>41</v>
      </c>
      <c r="D99" s="101" t="s">
        <v>185</v>
      </c>
      <c r="E99" s="102"/>
      <c r="F99" s="102"/>
      <c r="G99" s="102"/>
      <c r="H99" s="102"/>
      <c r="I99" s="102"/>
      <c r="J99" s="102"/>
      <c r="K99" s="102"/>
      <c r="L99" s="102"/>
      <c r="M99" s="102"/>
      <c r="N99" s="102"/>
      <c r="O99" s="102"/>
      <c r="P99" s="102"/>
      <c r="Q99" s="102"/>
      <c r="R99" s="102"/>
      <c r="S99" s="103"/>
    </row>
    <row r="100" spans="1:19" ht="6" customHeight="1" x14ac:dyDescent="0.2"/>
    <row r="101" spans="1:19" ht="18.75" customHeight="1" x14ac:dyDescent="0.2">
      <c r="A101" s="1" t="s">
        <v>55</v>
      </c>
    </row>
    <row r="102" spans="1:19" ht="81.75" customHeight="1" x14ac:dyDescent="0.2">
      <c r="B102" s="118" t="s">
        <v>162</v>
      </c>
      <c r="C102" s="119"/>
      <c r="D102" s="119"/>
      <c r="E102" s="119"/>
      <c r="F102" s="119"/>
      <c r="G102" s="119"/>
      <c r="H102" s="119"/>
      <c r="I102" s="119"/>
      <c r="J102" s="119"/>
      <c r="K102" s="119"/>
      <c r="L102" s="119"/>
      <c r="M102" s="119"/>
      <c r="N102" s="119"/>
      <c r="O102" s="119"/>
      <c r="P102" s="119"/>
      <c r="Q102" s="119"/>
      <c r="R102" s="119"/>
      <c r="S102" s="120"/>
    </row>
    <row r="110" spans="1:19" ht="18" customHeight="1" x14ac:dyDescent="0.2"/>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215DC143-F479-450E-8041-658DABB8B3EC}">
      <formula1>$V$14:$V$16</formula1>
    </dataValidation>
    <dataValidation type="list" allowBlank="1" showInputMessage="1" showErrorMessage="1" sqref="F79:F86 P79:P86 G79:I80 G83:I86 Q83:S86 Q79:S80" xr:uid="{3B332410-743F-4812-91AC-A40E9E50195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780688FA-52BE-4ABA-90CC-9741BA4C2F98}">
      <formula1>"学部・学科によって、修了要件は相違する,学部・学科によって、修了要件は相違しない"</formula1>
    </dataValidation>
    <dataValidation type="list" allowBlank="1" showInputMessage="1" showErrorMessage="1" sqref="S32 S43 D32:G32 D43:G43" xr:uid="{3D25E1CF-42BD-46EF-AF1B-E8A3669EE74C}">
      <formula1>"全学開講,一部開講"</formula1>
    </dataValidation>
    <dataValidation type="list" allowBlank="1" showInputMessage="1" showErrorMessage="1" sqref="G25:I31 Q25:S31 G36:I42 Q36:S42 G47:I53 Q47:S53 G58:I64 Q58:S64 F69:I75 P69:S75" xr:uid="{731CB181-10FB-46BB-94AB-B6994B8C7AF2}">
      <formula1>"○"</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D9" zoomScaleNormal="100" zoomScaleSheetLayoutView="100" workbookViewId="0">
      <selection activeCell="A3" sqref="A3:AQ3"/>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5546875" style="1" customWidth="1"/>
    <col min="44" max="16384" width="9" style="1"/>
  </cols>
  <sheetData>
    <row r="1" spans="1:45" ht="18" customHeight="1" x14ac:dyDescent="0.2">
      <c r="AQ1" s="1" t="s">
        <v>60</v>
      </c>
    </row>
    <row r="2" spans="1:45" ht="18" customHeight="1" x14ac:dyDescent="0.2">
      <c r="K2" s="34"/>
      <c r="Q2" s="34"/>
      <c r="W2" s="34"/>
      <c r="AC2" s="34"/>
      <c r="AI2" s="34"/>
      <c r="AL2" s="34" t="s">
        <v>2</v>
      </c>
      <c r="AM2" s="168" t="str">
        <f>'様式１-1　プログラムを構成する授業科目（経営・社会・薬）'!C2</f>
        <v>青森大学</v>
      </c>
      <c r="AN2" s="168"/>
      <c r="AO2" s="168"/>
      <c r="AP2" s="168"/>
      <c r="AQ2" s="168"/>
    </row>
    <row r="3" spans="1:45" ht="18" customHeight="1" x14ac:dyDescent="0.2">
      <c r="A3" s="146" t="s">
        <v>61</v>
      </c>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62</v>
      </c>
      <c r="C5" s="169" t="s">
        <v>63</v>
      </c>
      <c r="D5" s="170"/>
      <c r="E5" s="3" t="s">
        <v>64</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65</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1" t="s">
        <v>66</v>
      </c>
      <c r="C9" s="186" t="s">
        <v>67</v>
      </c>
      <c r="D9" s="174" t="s">
        <v>68</v>
      </c>
      <c r="E9" s="177" t="s">
        <v>69</v>
      </c>
      <c r="F9" s="165" t="s">
        <v>70</v>
      </c>
      <c r="G9" s="165"/>
      <c r="H9" s="165"/>
      <c r="I9" s="165"/>
      <c r="J9" s="165"/>
      <c r="K9" s="165"/>
      <c r="L9" s="165" t="s">
        <v>71</v>
      </c>
      <c r="M9" s="165"/>
      <c r="N9" s="165"/>
      <c r="O9" s="165"/>
      <c r="P9" s="165"/>
      <c r="Q9" s="165"/>
      <c r="R9" s="165" t="s">
        <v>72</v>
      </c>
      <c r="S9" s="165"/>
      <c r="T9" s="165"/>
      <c r="U9" s="165"/>
      <c r="V9" s="165"/>
      <c r="W9" s="165"/>
      <c r="X9" s="165" t="s">
        <v>73</v>
      </c>
      <c r="Y9" s="165"/>
      <c r="Z9" s="165"/>
      <c r="AA9" s="165"/>
      <c r="AB9" s="165"/>
      <c r="AC9" s="165"/>
      <c r="AD9" s="165" t="s">
        <v>74</v>
      </c>
      <c r="AE9" s="165"/>
      <c r="AF9" s="165"/>
      <c r="AG9" s="165"/>
      <c r="AH9" s="165"/>
      <c r="AI9" s="165"/>
      <c r="AJ9" s="165" t="s">
        <v>75</v>
      </c>
      <c r="AK9" s="165"/>
      <c r="AL9" s="165"/>
      <c r="AM9" s="165"/>
      <c r="AN9" s="165"/>
      <c r="AO9" s="165"/>
      <c r="AP9" s="180" t="s">
        <v>76</v>
      </c>
      <c r="AQ9" s="183" t="s">
        <v>77</v>
      </c>
      <c r="AS9" s="2"/>
    </row>
    <row r="10" spans="1:45" ht="16.95" customHeight="1" x14ac:dyDescent="0.2">
      <c r="B10" s="172"/>
      <c r="C10" s="187"/>
      <c r="D10" s="175"/>
      <c r="E10" s="178"/>
      <c r="F10" s="166" t="s">
        <v>78</v>
      </c>
      <c r="G10" s="167"/>
      <c r="H10" s="167"/>
      <c r="I10" s="166" t="s">
        <v>79</v>
      </c>
      <c r="J10" s="167"/>
      <c r="K10" s="167"/>
      <c r="L10" s="166" t="s">
        <v>78</v>
      </c>
      <c r="M10" s="167"/>
      <c r="N10" s="167"/>
      <c r="O10" s="166" t="s">
        <v>79</v>
      </c>
      <c r="P10" s="167"/>
      <c r="Q10" s="167"/>
      <c r="R10" s="166" t="s">
        <v>78</v>
      </c>
      <c r="S10" s="167"/>
      <c r="T10" s="167"/>
      <c r="U10" s="166" t="s">
        <v>79</v>
      </c>
      <c r="V10" s="167"/>
      <c r="W10" s="167"/>
      <c r="X10" s="166" t="s">
        <v>78</v>
      </c>
      <c r="Y10" s="167"/>
      <c r="Z10" s="167"/>
      <c r="AA10" s="166" t="s">
        <v>79</v>
      </c>
      <c r="AB10" s="167"/>
      <c r="AC10" s="167"/>
      <c r="AD10" s="166" t="s">
        <v>78</v>
      </c>
      <c r="AE10" s="167"/>
      <c r="AF10" s="167"/>
      <c r="AG10" s="166" t="s">
        <v>79</v>
      </c>
      <c r="AH10" s="167"/>
      <c r="AI10" s="167"/>
      <c r="AJ10" s="166" t="s">
        <v>78</v>
      </c>
      <c r="AK10" s="167"/>
      <c r="AL10" s="167"/>
      <c r="AM10" s="166" t="s">
        <v>79</v>
      </c>
      <c r="AN10" s="167"/>
      <c r="AO10" s="167"/>
      <c r="AP10" s="181"/>
      <c r="AQ10" s="184"/>
      <c r="AS10" s="2"/>
    </row>
    <row r="11" spans="1:45" ht="18" customHeight="1" x14ac:dyDescent="0.2">
      <c r="B11" s="173"/>
      <c r="C11" s="188"/>
      <c r="D11" s="176"/>
      <c r="E11" s="179"/>
      <c r="F11" s="16" t="s">
        <v>80</v>
      </c>
      <c r="G11" s="17" t="s">
        <v>81</v>
      </c>
      <c r="H11" s="18" t="s">
        <v>82</v>
      </c>
      <c r="I11" s="16" t="s">
        <v>80</v>
      </c>
      <c r="J11" s="17" t="s">
        <v>81</v>
      </c>
      <c r="K11" s="18" t="s">
        <v>82</v>
      </c>
      <c r="L11" s="16" t="s">
        <v>80</v>
      </c>
      <c r="M11" s="17" t="s">
        <v>81</v>
      </c>
      <c r="N11" s="18" t="s">
        <v>82</v>
      </c>
      <c r="O11" s="16" t="s">
        <v>80</v>
      </c>
      <c r="P11" s="17" t="s">
        <v>81</v>
      </c>
      <c r="Q11" s="18" t="s">
        <v>82</v>
      </c>
      <c r="R11" s="16" t="s">
        <v>80</v>
      </c>
      <c r="S11" s="17" t="s">
        <v>81</v>
      </c>
      <c r="T11" s="18" t="s">
        <v>82</v>
      </c>
      <c r="U11" s="16" t="s">
        <v>80</v>
      </c>
      <c r="V11" s="17" t="s">
        <v>81</v>
      </c>
      <c r="W11" s="18" t="s">
        <v>82</v>
      </c>
      <c r="X11" s="16" t="s">
        <v>80</v>
      </c>
      <c r="Y11" s="17" t="s">
        <v>81</v>
      </c>
      <c r="Z11" s="18" t="s">
        <v>82</v>
      </c>
      <c r="AA11" s="16" t="s">
        <v>80</v>
      </c>
      <c r="AB11" s="17" t="s">
        <v>81</v>
      </c>
      <c r="AC11" s="18" t="s">
        <v>82</v>
      </c>
      <c r="AD11" s="16" t="s">
        <v>80</v>
      </c>
      <c r="AE11" s="17" t="s">
        <v>81</v>
      </c>
      <c r="AF11" s="18" t="s">
        <v>82</v>
      </c>
      <c r="AG11" s="16" t="s">
        <v>80</v>
      </c>
      <c r="AH11" s="17" t="s">
        <v>81</v>
      </c>
      <c r="AI11" s="18" t="s">
        <v>82</v>
      </c>
      <c r="AJ11" s="16" t="s">
        <v>80</v>
      </c>
      <c r="AK11" s="17" t="s">
        <v>81</v>
      </c>
      <c r="AL11" s="18" t="s">
        <v>82</v>
      </c>
      <c r="AM11" s="16" t="s">
        <v>80</v>
      </c>
      <c r="AN11" s="17" t="s">
        <v>81</v>
      </c>
      <c r="AO11" s="18" t="s">
        <v>82</v>
      </c>
      <c r="AP11" s="182"/>
      <c r="AQ11" s="185"/>
      <c r="AS11" s="2"/>
    </row>
    <row r="12" spans="1:45" ht="18" customHeight="1" x14ac:dyDescent="0.2">
      <c r="A12" s="6"/>
      <c r="B12" s="81" t="s">
        <v>83</v>
      </c>
      <c r="C12" s="61">
        <v>461</v>
      </c>
      <c r="D12" s="62">
        <v>110</v>
      </c>
      <c r="E12" s="63">
        <v>440</v>
      </c>
      <c r="F12" s="63">
        <f>G12+H12</f>
        <v>285</v>
      </c>
      <c r="G12" s="64">
        <v>236</v>
      </c>
      <c r="H12" s="65">
        <v>49</v>
      </c>
      <c r="I12" s="63">
        <f>J12+K12</f>
        <v>250</v>
      </c>
      <c r="J12" s="64">
        <v>208</v>
      </c>
      <c r="K12" s="65">
        <v>42</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285</v>
      </c>
      <c r="AQ12" s="20">
        <f t="shared" ref="AQ12:AQ32" si="0">AP12/E12</f>
        <v>0.64772727272727271</v>
      </c>
    </row>
    <row r="13" spans="1:45" ht="18" customHeight="1" x14ac:dyDescent="0.2">
      <c r="A13" s="6"/>
      <c r="B13" s="11" t="s">
        <v>84</v>
      </c>
      <c r="C13" s="66">
        <v>289</v>
      </c>
      <c r="D13" s="67">
        <v>70</v>
      </c>
      <c r="E13" s="68">
        <v>280</v>
      </c>
      <c r="F13" s="69">
        <f t="shared" ref="F13:F31" si="1">G13+H13</f>
        <v>177</v>
      </c>
      <c r="G13" s="70">
        <v>108</v>
      </c>
      <c r="H13" s="71">
        <v>69</v>
      </c>
      <c r="I13" s="69">
        <f t="shared" ref="I13:I31" si="2">J13+K13</f>
        <v>163</v>
      </c>
      <c r="J13" s="70">
        <v>97</v>
      </c>
      <c r="K13" s="71">
        <v>66</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177</v>
      </c>
      <c r="AQ13" s="19">
        <f t="shared" si="0"/>
        <v>0.63214285714285712</v>
      </c>
    </row>
    <row r="14" spans="1:45" ht="18" customHeight="1" x14ac:dyDescent="0.2">
      <c r="A14" s="6"/>
      <c r="B14" s="11" t="s">
        <v>85</v>
      </c>
      <c r="C14" s="66">
        <v>224</v>
      </c>
      <c r="D14" s="67">
        <v>50</v>
      </c>
      <c r="E14" s="68">
        <v>200</v>
      </c>
      <c r="F14" s="69">
        <f t="shared" si="1"/>
        <v>136</v>
      </c>
      <c r="G14" s="70">
        <v>122</v>
      </c>
      <c r="H14" s="71">
        <v>14</v>
      </c>
      <c r="I14" s="69">
        <f t="shared" si="2"/>
        <v>119</v>
      </c>
      <c r="J14" s="70">
        <v>105</v>
      </c>
      <c r="K14" s="71">
        <v>14</v>
      </c>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136</v>
      </c>
      <c r="AQ14" s="8">
        <f t="shared" si="0"/>
        <v>0.68</v>
      </c>
    </row>
    <row r="15" spans="1:45" ht="18" customHeight="1" x14ac:dyDescent="0.2">
      <c r="A15" s="6"/>
      <c r="B15" s="11" t="s">
        <v>86</v>
      </c>
      <c r="C15" s="66">
        <v>234</v>
      </c>
      <c r="D15" s="67">
        <v>70</v>
      </c>
      <c r="E15" s="68">
        <v>420</v>
      </c>
      <c r="F15" s="69">
        <f t="shared" si="1"/>
        <v>60</v>
      </c>
      <c r="G15" s="70">
        <v>24</v>
      </c>
      <c r="H15" s="71">
        <v>36</v>
      </c>
      <c r="I15" s="69">
        <f t="shared" si="2"/>
        <v>59</v>
      </c>
      <c r="J15" s="70">
        <v>23</v>
      </c>
      <c r="K15" s="71">
        <v>36</v>
      </c>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60</v>
      </c>
      <c r="AQ15" s="8">
        <f t="shared" si="0"/>
        <v>0.14285714285714285</v>
      </c>
    </row>
    <row r="16" spans="1:45" ht="18" customHeight="1" x14ac:dyDescent="0.2">
      <c r="A16" s="6"/>
      <c r="B16" s="11"/>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2">
      <c r="A17" s="6"/>
      <c r="B17" s="11"/>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2">
      <c r="A18" s="6"/>
      <c r="B18" s="11"/>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2">
      <c r="A19" s="6"/>
      <c r="B19" s="11"/>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2">
      <c r="A20" s="6"/>
      <c r="B20" s="11"/>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2">
      <c r="A21" s="6"/>
      <c r="B21" s="11"/>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2">
      <c r="A22" s="6"/>
      <c r="B22" s="11"/>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2">
      <c r="A23" s="6"/>
      <c r="B23" s="11"/>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2">
      <c r="A24" s="6"/>
      <c r="B24" s="11"/>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2">
      <c r="A25" s="6"/>
      <c r="B25" s="11"/>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2">
      <c r="A26" s="6"/>
      <c r="B26" s="11"/>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2">
      <c r="A27" s="6"/>
      <c r="B27" s="11"/>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2">
      <c r="A28" s="6"/>
      <c r="B28" s="11"/>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2">
      <c r="A29" s="6"/>
      <c r="B29" s="11"/>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2">
      <c r="A30" s="6"/>
      <c r="B30" s="11"/>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5">
      <c r="A31" s="6"/>
      <c r="B31" s="12"/>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2">
      <c r="B32" s="13" t="s">
        <v>87</v>
      </c>
      <c r="C32" s="76">
        <f t="shared" ref="C32" si="14">SUM(C12:C31)</f>
        <v>1208</v>
      </c>
      <c r="D32" s="77">
        <f t="shared" ref="D32:AP32" si="15">SUM(D12:D31)</f>
        <v>300</v>
      </c>
      <c r="E32" s="78">
        <f t="shared" si="15"/>
        <v>1340</v>
      </c>
      <c r="F32" s="78">
        <f t="shared" si="15"/>
        <v>658</v>
      </c>
      <c r="G32" s="79">
        <f t="shared" si="15"/>
        <v>490</v>
      </c>
      <c r="H32" s="80">
        <f t="shared" si="15"/>
        <v>168</v>
      </c>
      <c r="I32" s="78">
        <f t="shared" ref="I32:N32" si="16">SUM(I12:I31)</f>
        <v>591</v>
      </c>
      <c r="J32" s="79">
        <f t="shared" si="16"/>
        <v>433</v>
      </c>
      <c r="K32" s="80">
        <f t="shared" si="16"/>
        <v>158</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658</v>
      </c>
      <c r="AQ32" s="9">
        <f t="shared" si="0"/>
        <v>0.491044776119403</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93"/>
  <sheetViews>
    <sheetView showZeros="0" view="pageBreakPreview" topLeftCell="A22" zoomScaleNormal="100" zoomScaleSheetLayoutView="100" workbookViewId="0">
      <selection activeCell="H2" sqref="H2:I2"/>
    </sheetView>
  </sheetViews>
  <sheetFormatPr defaultColWidth="11.44140625" defaultRowHeight="18.75" customHeight="1" x14ac:dyDescent="0.2"/>
  <cols>
    <col min="1" max="1" width="2.77734375" style="40" customWidth="1"/>
    <col min="2" max="2" width="16.5546875" style="1" customWidth="1"/>
    <col min="3" max="3" width="8.88671875" style="1" customWidth="1"/>
    <col min="4" max="4" width="2.21875" style="1" customWidth="1"/>
    <col min="5" max="5" width="16.5546875" style="1" customWidth="1"/>
    <col min="6" max="6" width="4.44140625" style="1" customWidth="1"/>
    <col min="7" max="7" width="9" style="1" customWidth="1"/>
    <col min="8" max="8" width="16.5546875" style="1" customWidth="1"/>
    <col min="9" max="9" width="12.109375" style="1" customWidth="1"/>
    <col min="10" max="16384" width="11.44140625" style="1"/>
  </cols>
  <sheetData>
    <row r="1" spans="1:9" ht="18.75" customHeight="1" x14ac:dyDescent="0.2">
      <c r="A1" s="40" t="s">
        <v>88</v>
      </c>
      <c r="I1" s="34" t="s">
        <v>89</v>
      </c>
    </row>
    <row r="2" spans="1:9" ht="18.75" customHeight="1" x14ac:dyDescent="0.2">
      <c r="G2" s="34" t="s">
        <v>2</v>
      </c>
      <c r="H2" s="88" t="str">
        <f>'様式１-1　プログラムを構成する授業科目（経営・社会・薬）'!C2</f>
        <v>青森大学</v>
      </c>
      <c r="I2" s="90"/>
    </row>
    <row r="3" spans="1:9" ht="18.75" customHeight="1" x14ac:dyDescent="0.2">
      <c r="G3" s="34"/>
      <c r="H3" s="10"/>
      <c r="I3" s="10"/>
    </row>
    <row r="4" spans="1:9" ht="18.600000000000001" customHeight="1" x14ac:dyDescent="0.2">
      <c r="A4" s="146" t="s">
        <v>90</v>
      </c>
      <c r="B4" s="146"/>
      <c r="C4" s="146"/>
      <c r="D4" s="146"/>
      <c r="E4" s="146"/>
      <c r="F4" s="146"/>
      <c r="G4" s="146"/>
      <c r="H4" s="146"/>
      <c r="I4" s="146"/>
    </row>
    <row r="5" spans="1:9" ht="13.2" customHeight="1" x14ac:dyDescent="0.2">
      <c r="B5" s="3"/>
      <c r="C5" s="3"/>
      <c r="D5" s="3"/>
      <c r="E5" s="3"/>
      <c r="F5" s="3"/>
      <c r="G5" s="3"/>
      <c r="H5" s="3"/>
      <c r="I5" s="3"/>
    </row>
    <row r="6" spans="1:9" ht="18" customHeight="1" x14ac:dyDescent="0.2">
      <c r="A6" s="1" t="s">
        <v>91</v>
      </c>
      <c r="B6" s="10" t="s">
        <v>92</v>
      </c>
      <c r="C6" s="212" t="s">
        <v>93</v>
      </c>
      <c r="D6" s="212"/>
      <c r="E6" s="33">
        <v>89</v>
      </c>
      <c r="F6" s="3" t="s">
        <v>94</v>
      </c>
      <c r="G6" s="3" t="s">
        <v>95</v>
      </c>
      <c r="H6" s="33">
        <v>54</v>
      </c>
      <c r="I6" s="10" t="s">
        <v>94</v>
      </c>
    </row>
    <row r="7" spans="1:9" ht="12" customHeight="1" x14ac:dyDescent="0.2">
      <c r="C7" s="2"/>
      <c r="D7" s="2"/>
      <c r="E7" s="2"/>
      <c r="F7" s="2"/>
      <c r="G7" s="2"/>
      <c r="H7" s="2"/>
      <c r="I7" s="41"/>
    </row>
    <row r="8" spans="1:9" ht="18" customHeight="1" x14ac:dyDescent="0.2">
      <c r="A8" s="1" t="s">
        <v>96</v>
      </c>
      <c r="B8" s="10" t="s">
        <v>97</v>
      </c>
      <c r="E8" s="3"/>
      <c r="F8" s="3"/>
      <c r="G8" s="3"/>
      <c r="H8" s="33">
        <v>4</v>
      </c>
      <c r="I8" s="10" t="s">
        <v>94</v>
      </c>
    </row>
    <row r="9" spans="1:9" ht="9" customHeight="1" x14ac:dyDescent="0.2">
      <c r="B9" s="3"/>
      <c r="C9" s="3"/>
      <c r="D9" s="3"/>
      <c r="E9" s="3"/>
      <c r="F9" s="3"/>
      <c r="G9" s="3"/>
      <c r="H9" s="3"/>
      <c r="I9" s="3"/>
    </row>
    <row r="10" spans="1:9" ht="18" customHeight="1" x14ac:dyDescent="0.2">
      <c r="A10" s="1" t="s">
        <v>98</v>
      </c>
      <c r="B10" s="10" t="s">
        <v>99</v>
      </c>
      <c r="C10" s="3"/>
      <c r="D10" s="3"/>
      <c r="E10" s="3"/>
      <c r="F10" s="3"/>
      <c r="G10" s="3"/>
      <c r="H10" s="3"/>
      <c r="I10" s="3"/>
    </row>
    <row r="11" spans="1:9" ht="18" customHeight="1" x14ac:dyDescent="0.2">
      <c r="B11" s="34" t="s">
        <v>100</v>
      </c>
      <c r="C11" s="207" t="s">
        <v>101</v>
      </c>
      <c r="D11" s="210"/>
      <c r="E11" s="211"/>
      <c r="F11" s="41"/>
      <c r="G11" s="34" t="s">
        <v>102</v>
      </c>
      <c r="H11" s="207" t="s">
        <v>103</v>
      </c>
      <c r="I11" s="211"/>
    </row>
    <row r="12" spans="1:9" ht="10.199999999999999" customHeight="1" x14ac:dyDescent="0.2">
      <c r="B12" s="34"/>
      <c r="C12" s="10"/>
      <c r="D12" s="41"/>
      <c r="E12" s="41"/>
      <c r="F12" s="41"/>
      <c r="G12" s="34"/>
      <c r="H12" s="10"/>
      <c r="I12" s="41"/>
    </row>
    <row r="13" spans="1:9" ht="18" customHeight="1" x14ac:dyDescent="0.2">
      <c r="A13" s="1" t="s">
        <v>104</v>
      </c>
      <c r="B13" s="10" t="s">
        <v>105</v>
      </c>
      <c r="C13" s="3"/>
      <c r="D13" s="3"/>
      <c r="E13" s="3"/>
      <c r="F13" s="3"/>
      <c r="G13" s="3"/>
      <c r="H13" s="3"/>
      <c r="I13" s="3"/>
    </row>
    <row r="14" spans="1:9" ht="18" customHeight="1" x14ac:dyDescent="0.2">
      <c r="B14" s="207" t="s">
        <v>106</v>
      </c>
      <c r="C14" s="208"/>
      <c r="D14" s="208"/>
      <c r="E14" s="208"/>
      <c r="F14" s="208"/>
      <c r="G14" s="208"/>
      <c r="H14" s="208"/>
      <c r="I14" s="209"/>
    </row>
    <row r="15" spans="1:9" ht="9" customHeight="1" x14ac:dyDescent="0.2">
      <c r="B15" s="3"/>
      <c r="C15" s="3"/>
      <c r="D15" s="3"/>
      <c r="E15" s="3"/>
      <c r="F15" s="3"/>
      <c r="G15" s="3"/>
      <c r="H15" s="3"/>
      <c r="I15" s="3"/>
    </row>
    <row r="16" spans="1:9" ht="18" customHeight="1" x14ac:dyDescent="0.2">
      <c r="B16" s="34" t="s">
        <v>100</v>
      </c>
      <c r="C16" s="207" t="s">
        <v>101</v>
      </c>
      <c r="D16" s="210"/>
      <c r="E16" s="211"/>
      <c r="F16" s="41"/>
      <c r="G16" s="34" t="s">
        <v>102</v>
      </c>
      <c r="H16" s="207" t="s">
        <v>107</v>
      </c>
      <c r="I16" s="211"/>
    </row>
    <row r="17" spans="1:9" ht="18" customHeight="1" x14ac:dyDescent="0.2">
      <c r="B17" s="3"/>
      <c r="C17" s="3"/>
      <c r="D17" s="3"/>
      <c r="E17" s="3"/>
      <c r="F17" s="3"/>
      <c r="G17" s="3"/>
      <c r="H17" s="3"/>
      <c r="I17" s="3"/>
    </row>
    <row r="18" spans="1:9" ht="18.75" customHeight="1" x14ac:dyDescent="0.2">
      <c r="A18" s="1" t="s">
        <v>108</v>
      </c>
      <c r="B18" s="1" t="s">
        <v>109</v>
      </c>
      <c r="I18" s="3"/>
    </row>
    <row r="19" spans="1:9" ht="18.75" customHeight="1" x14ac:dyDescent="0.2">
      <c r="A19" s="1"/>
      <c r="B19" s="199" t="s">
        <v>110</v>
      </c>
      <c r="C19" s="200"/>
      <c r="D19" s="200"/>
      <c r="E19" s="200"/>
      <c r="F19" s="200"/>
      <c r="G19" s="200"/>
      <c r="H19" s="200"/>
      <c r="I19" s="201"/>
    </row>
    <row r="20" spans="1:9" ht="7.5" customHeight="1" x14ac:dyDescent="0.2">
      <c r="B20" s="3"/>
      <c r="C20" s="3"/>
      <c r="D20" s="3"/>
      <c r="E20" s="3"/>
      <c r="F20" s="3"/>
      <c r="G20" s="3"/>
      <c r="H20" s="3"/>
      <c r="I20" s="3"/>
    </row>
    <row r="21" spans="1:9" ht="18.75" customHeight="1" x14ac:dyDescent="0.2">
      <c r="A21" s="1" t="s">
        <v>111</v>
      </c>
      <c r="B21" s="1" t="s">
        <v>112</v>
      </c>
    </row>
    <row r="22" spans="1:9" ht="18.75" customHeight="1" x14ac:dyDescent="0.2">
      <c r="A22" s="14"/>
      <c r="B22" s="189" t="s">
        <v>163</v>
      </c>
      <c r="C22" s="190"/>
      <c r="D22" s="190"/>
      <c r="E22" s="190"/>
      <c r="F22" s="190"/>
      <c r="G22" s="190"/>
      <c r="H22" s="190"/>
      <c r="I22" s="191"/>
    </row>
    <row r="23" spans="1:9" ht="18.75" customHeight="1" x14ac:dyDescent="0.2">
      <c r="A23" s="14"/>
      <c r="B23" s="202"/>
      <c r="C23" s="203"/>
      <c r="D23" s="203"/>
      <c r="E23" s="203"/>
      <c r="F23" s="203"/>
      <c r="G23" s="203"/>
      <c r="H23" s="203"/>
      <c r="I23" s="194"/>
    </row>
    <row r="24" spans="1:9" ht="18.75" customHeight="1" x14ac:dyDescent="0.2">
      <c r="A24" s="14"/>
      <c r="B24" s="202"/>
      <c r="C24" s="203"/>
      <c r="D24" s="203"/>
      <c r="E24" s="203"/>
      <c r="F24" s="203"/>
      <c r="G24" s="203"/>
      <c r="H24" s="203"/>
      <c r="I24" s="194"/>
    </row>
    <row r="25" spans="1:9" ht="18.75" customHeight="1" x14ac:dyDescent="0.2">
      <c r="A25" s="14"/>
      <c r="B25" s="202"/>
      <c r="C25" s="203"/>
      <c r="D25" s="203"/>
      <c r="E25" s="203"/>
      <c r="F25" s="203"/>
      <c r="G25" s="203"/>
      <c r="H25" s="203"/>
      <c r="I25" s="194"/>
    </row>
    <row r="26" spans="1:9" ht="18.75" customHeight="1" x14ac:dyDescent="0.2">
      <c r="A26" s="14"/>
      <c r="B26" s="195"/>
      <c r="C26" s="196"/>
      <c r="D26" s="196"/>
      <c r="E26" s="196"/>
      <c r="F26" s="196"/>
      <c r="G26" s="196"/>
      <c r="H26" s="196"/>
      <c r="I26" s="197"/>
    </row>
    <row r="27" spans="1:9" ht="7.5" customHeight="1" x14ac:dyDescent="0.2">
      <c r="A27" s="14"/>
      <c r="B27" s="14"/>
      <c r="C27" s="14"/>
      <c r="D27" s="14"/>
      <c r="E27" s="14"/>
      <c r="F27" s="14"/>
      <c r="G27" s="14"/>
      <c r="H27" s="14"/>
      <c r="I27" s="14"/>
    </row>
    <row r="28" spans="1:9" ht="18.75" customHeight="1" x14ac:dyDescent="0.2">
      <c r="A28" s="15" t="s">
        <v>113</v>
      </c>
      <c r="B28" s="15" t="s">
        <v>114</v>
      </c>
      <c r="C28" s="10"/>
      <c r="D28" s="15"/>
      <c r="E28" s="15"/>
      <c r="F28" s="15"/>
      <c r="G28" s="15"/>
      <c r="H28" s="15"/>
      <c r="I28" s="15"/>
    </row>
    <row r="29" spans="1:9" ht="18.75" customHeight="1" x14ac:dyDescent="0.2">
      <c r="A29" s="14"/>
      <c r="B29" s="189" t="s">
        <v>159</v>
      </c>
      <c r="C29" s="190"/>
      <c r="D29" s="190"/>
      <c r="E29" s="190"/>
      <c r="F29" s="190"/>
      <c r="G29" s="190"/>
      <c r="H29" s="190"/>
      <c r="I29" s="191"/>
    </row>
    <row r="30" spans="1:9" ht="18.75" customHeight="1" x14ac:dyDescent="0.2">
      <c r="A30" s="14"/>
      <c r="B30" s="192"/>
      <c r="C30" s="193"/>
      <c r="D30" s="193"/>
      <c r="E30" s="193"/>
      <c r="F30" s="193"/>
      <c r="G30" s="193"/>
      <c r="H30" s="193"/>
      <c r="I30" s="194"/>
    </row>
    <row r="31" spans="1:9" ht="18.75" customHeight="1" x14ac:dyDescent="0.2">
      <c r="A31" s="14"/>
      <c r="B31" s="192"/>
      <c r="C31" s="193"/>
      <c r="D31" s="193"/>
      <c r="E31" s="193"/>
      <c r="F31" s="193"/>
      <c r="G31" s="193"/>
      <c r="H31" s="193"/>
      <c r="I31" s="194"/>
    </row>
    <row r="32" spans="1:9" ht="18.75" customHeight="1" x14ac:dyDescent="0.2">
      <c r="A32" s="14"/>
      <c r="B32" s="192"/>
      <c r="C32" s="193"/>
      <c r="D32" s="193"/>
      <c r="E32" s="193"/>
      <c r="F32" s="193"/>
      <c r="G32" s="193"/>
      <c r="H32" s="193"/>
      <c r="I32" s="194"/>
    </row>
    <row r="33" spans="1:15" ht="18.75" customHeight="1" x14ac:dyDescent="0.2">
      <c r="A33" s="14"/>
      <c r="B33" s="192"/>
      <c r="C33" s="193"/>
      <c r="D33" s="193"/>
      <c r="E33" s="193"/>
      <c r="F33" s="193"/>
      <c r="G33" s="193"/>
      <c r="H33" s="193"/>
      <c r="I33" s="194"/>
    </row>
    <row r="34" spans="1:15" ht="18.75" customHeight="1" x14ac:dyDescent="0.2">
      <c r="A34" s="14"/>
      <c r="B34" s="192"/>
      <c r="C34" s="193"/>
      <c r="D34" s="193"/>
      <c r="E34" s="193"/>
      <c r="F34" s="193"/>
      <c r="G34" s="193"/>
      <c r="H34" s="193"/>
      <c r="I34" s="194"/>
    </row>
    <row r="35" spans="1:15" ht="18.75" customHeight="1" x14ac:dyDescent="0.2">
      <c r="A35" s="14"/>
      <c r="B35" s="192"/>
      <c r="C35" s="193"/>
      <c r="D35" s="193"/>
      <c r="E35" s="193"/>
      <c r="F35" s="193"/>
      <c r="G35" s="193"/>
      <c r="H35" s="193"/>
      <c r="I35" s="194"/>
    </row>
    <row r="36" spans="1:15" ht="18.75" customHeight="1" x14ac:dyDescent="0.2">
      <c r="A36" s="14"/>
      <c r="B36" s="192"/>
      <c r="C36" s="193"/>
      <c r="D36" s="193"/>
      <c r="E36" s="193"/>
      <c r="F36" s="193"/>
      <c r="G36" s="193"/>
      <c r="H36" s="193"/>
      <c r="I36" s="194"/>
    </row>
    <row r="37" spans="1:15" ht="18.75" customHeight="1" x14ac:dyDescent="0.2">
      <c r="A37" s="14"/>
      <c r="B37" s="192"/>
      <c r="C37" s="193"/>
      <c r="D37" s="193"/>
      <c r="E37" s="193"/>
      <c r="F37" s="193"/>
      <c r="G37" s="193"/>
      <c r="H37" s="193"/>
      <c r="I37" s="194"/>
    </row>
    <row r="38" spans="1:15" ht="18.75" customHeight="1" x14ac:dyDescent="0.2">
      <c r="A38" s="14"/>
      <c r="B38" s="192"/>
      <c r="C38" s="193"/>
      <c r="D38" s="193"/>
      <c r="E38" s="193"/>
      <c r="F38" s="193"/>
      <c r="G38" s="193"/>
      <c r="H38" s="193"/>
      <c r="I38" s="194"/>
    </row>
    <row r="39" spans="1:15" ht="18.75" customHeight="1" x14ac:dyDescent="0.2">
      <c r="A39" s="14"/>
      <c r="B39" s="192"/>
      <c r="C39" s="193"/>
      <c r="D39" s="193"/>
      <c r="E39" s="193"/>
      <c r="F39" s="193"/>
      <c r="G39" s="193"/>
      <c r="H39" s="193"/>
      <c r="I39" s="194"/>
    </row>
    <row r="40" spans="1:15" ht="18.75" customHeight="1" x14ac:dyDescent="0.2">
      <c r="A40" s="14"/>
      <c r="B40" s="192"/>
      <c r="C40" s="193"/>
      <c r="D40" s="193"/>
      <c r="E40" s="193"/>
      <c r="F40" s="193"/>
      <c r="G40" s="193"/>
      <c r="H40" s="193"/>
      <c r="I40" s="194"/>
    </row>
    <row r="41" spans="1:15" ht="18.75" customHeight="1" x14ac:dyDescent="0.2">
      <c r="A41" s="14"/>
      <c r="B41" s="195"/>
      <c r="C41" s="196"/>
      <c r="D41" s="196"/>
      <c r="E41" s="196"/>
      <c r="F41" s="196"/>
      <c r="G41" s="196"/>
      <c r="H41" s="196"/>
      <c r="I41" s="197"/>
    </row>
    <row r="42" spans="1:15" ht="7.5" customHeight="1" x14ac:dyDescent="0.2">
      <c r="A42" s="4"/>
      <c r="B42" s="4"/>
      <c r="C42" s="4"/>
      <c r="D42" s="4"/>
      <c r="E42" s="4"/>
      <c r="F42" s="4"/>
      <c r="G42" s="4"/>
      <c r="H42" s="4"/>
      <c r="I42" s="4"/>
    </row>
    <row r="43" spans="1:15" ht="18.75" customHeight="1" x14ac:dyDescent="0.2">
      <c r="A43" s="1" t="s">
        <v>115</v>
      </c>
      <c r="B43" s="1" t="s">
        <v>116</v>
      </c>
    </row>
    <row r="44" spans="1:15" s="3" customFormat="1" ht="18.75" customHeight="1" x14ac:dyDescent="0.2">
      <c r="B44" s="42" t="s">
        <v>117</v>
      </c>
      <c r="C44" s="230">
        <f>'様式２ 履修者等数の実績'!AQ32</f>
        <v>0.491044776119403</v>
      </c>
      <c r="D44" s="230"/>
      <c r="E44" s="42" t="s">
        <v>118</v>
      </c>
      <c r="F44" s="230">
        <v>0.55000000000000004</v>
      </c>
      <c r="G44" s="230"/>
      <c r="H44" s="42" t="s">
        <v>119</v>
      </c>
      <c r="I44" s="43">
        <v>0.6</v>
      </c>
      <c r="J44" s="1"/>
      <c r="M44" s="1"/>
      <c r="N44" s="44"/>
    </row>
    <row r="45" spans="1:15" s="3" customFormat="1" ht="18.75" customHeight="1" x14ac:dyDescent="0.2">
      <c r="B45" s="45" t="s">
        <v>120</v>
      </c>
      <c r="C45" s="213">
        <v>0.65</v>
      </c>
      <c r="D45" s="213"/>
      <c r="E45" s="45" t="s">
        <v>121</v>
      </c>
      <c r="F45" s="213">
        <v>0.7</v>
      </c>
      <c r="G45" s="213"/>
      <c r="H45" s="45" t="s">
        <v>122</v>
      </c>
      <c r="I45" s="46">
        <f>'様式２ 履修者等数の実績'!E32</f>
        <v>1340</v>
      </c>
      <c r="J45" s="1"/>
      <c r="M45" s="1"/>
      <c r="N45" s="44"/>
    </row>
    <row r="46" spans="1:15" ht="18.75" customHeight="1" x14ac:dyDescent="0.2">
      <c r="A46" s="1"/>
      <c r="B46" s="204" t="s">
        <v>123</v>
      </c>
      <c r="C46" s="205"/>
      <c r="D46" s="205"/>
      <c r="E46" s="205"/>
      <c r="F46" s="205"/>
      <c r="G46" s="205"/>
      <c r="H46" s="205"/>
      <c r="I46" s="206"/>
      <c r="N46" s="44"/>
      <c r="O46" s="3"/>
    </row>
    <row r="47" spans="1:15" ht="18.75" customHeight="1" x14ac:dyDescent="0.2">
      <c r="A47" s="1"/>
      <c r="B47" s="231" t="s">
        <v>124</v>
      </c>
      <c r="C47" s="232"/>
      <c r="D47" s="232"/>
      <c r="E47" s="232"/>
      <c r="F47" s="232"/>
      <c r="G47" s="232"/>
      <c r="H47" s="232"/>
      <c r="I47" s="233"/>
      <c r="N47" s="44"/>
      <c r="O47" s="3"/>
    </row>
    <row r="48" spans="1:15" ht="18.75" customHeight="1" x14ac:dyDescent="0.2">
      <c r="A48" s="1"/>
      <c r="B48" s="234"/>
      <c r="C48" s="235"/>
      <c r="D48" s="235"/>
      <c r="E48" s="235"/>
      <c r="F48" s="235"/>
      <c r="G48" s="235"/>
      <c r="H48" s="235"/>
      <c r="I48" s="236"/>
      <c r="N48" s="44"/>
      <c r="O48" s="3"/>
    </row>
    <row r="49" spans="1:9" ht="18.75" customHeight="1" x14ac:dyDescent="0.2">
      <c r="A49" s="1"/>
      <c r="B49" s="234"/>
      <c r="C49" s="235"/>
      <c r="D49" s="235"/>
      <c r="E49" s="235"/>
      <c r="F49" s="235"/>
      <c r="G49" s="235"/>
      <c r="H49" s="235"/>
      <c r="I49" s="236"/>
    </row>
    <row r="50" spans="1:9" ht="18.75" customHeight="1" x14ac:dyDescent="0.2">
      <c r="A50" s="1"/>
      <c r="B50" s="234"/>
      <c r="C50" s="235"/>
      <c r="D50" s="235"/>
      <c r="E50" s="235"/>
      <c r="F50" s="235"/>
      <c r="G50" s="235"/>
      <c r="H50" s="235"/>
      <c r="I50" s="236"/>
    </row>
    <row r="51" spans="1:9" ht="18.75" customHeight="1" x14ac:dyDescent="0.2">
      <c r="A51" s="1"/>
      <c r="B51" s="234"/>
      <c r="C51" s="235"/>
      <c r="D51" s="235"/>
      <c r="E51" s="235"/>
      <c r="F51" s="235"/>
      <c r="G51" s="235"/>
      <c r="H51" s="235"/>
      <c r="I51" s="236"/>
    </row>
    <row r="52" spans="1:9" ht="18.75" customHeight="1" x14ac:dyDescent="0.2">
      <c r="A52" s="1"/>
      <c r="B52" s="234"/>
      <c r="C52" s="235"/>
      <c r="D52" s="235"/>
      <c r="E52" s="235"/>
      <c r="F52" s="235"/>
      <c r="G52" s="235"/>
      <c r="H52" s="235"/>
      <c r="I52" s="236"/>
    </row>
    <row r="53" spans="1:9" ht="18.75" customHeight="1" x14ac:dyDescent="0.2">
      <c r="A53" s="1"/>
      <c r="B53" s="237"/>
      <c r="C53" s="238"/>
      <c r="D53" s="238"/>
      <c r="E53" s="238"/>
      <c r="F53" s="238"/>
      <c r="G53" s="238"/>
      <c r="H53" s="238"/>
      <c r="I53" s="239"/>
    </row>
    <row r="54" spans="1:9" ht="7.5" customHeight="1" x14ac:dyDescent="0.2">
      <c r="A54" s="14"/>
      <c r="B54" s="14"/>
      <c r="C54" s="14"/>
      <c r="D54" s="14"/>
      <c r="E54" s="14"/>
      <c r="F54" s="14"/>
      <c r="G54" s="14"/>
      <c r="H54" s="14"/>
      <c r="I54" s="14"/>
    </row>
    <row r="55" spans="1:9" ht="18.75" customHeight="1" x14ac:dyDescent="0.2">
      <c r="A55" s="15" t="s">
        <v>125</v>
      </c>
      <c r="B55" s="1" t="s">
        <v>126</v>
      </c>
      <c r="I55" s="15"/>
    </row>
    <row r="56" spans="1:9" ht="18.75" customHeight="1" x14ac:dyDescent="0.2">
      <c r="A56" s="4"/>
      <c r="B56" s="214" t="s">
        <v>127</v>
      </c>
      <c r="C56" s="215"/>
      <c r="D56" s="215"/>
      <c r="E56" s="215"/>
      <c r="F56" s="215"/>
      <c r="G56" s="215"/>
      <c r="H56" s="215"/>
      <c r="I56" s="216"/>
    </row>
    <row r="57" spans="1:9" ht="18.75" customHeight="1" x14ac:dyDescent="0.2">
      <c r="A57" s="4"/>
      <c r="B57" s="217"/>
      <c r="C57" s="218"/>
      <c r="D57" s="218"/>
      <c r="E57" s="218"/>
      <c r="F57" s="218"/>
      <c r="G57" s="218"/>
      <c r="H57" s="218"/>
      <c r="I57" s="219"/>
    </row>
    <row r="58" spans="1:9" ht="18.75" customHeight="1" x14ac:dyDescent="0.2">
      <c r="A58" s="4"/>
      <c r="B58" s="217"/>
      <c r="C58" s="218"/>
      <c r="D58" s="218"/>
      <c r="E58" s="218"/>
      <c r="F58" s="218"/>
      <c r="G58" s="218"/>
      <c r="H58" s="218"/>
      <c r="I58" s="219"/>
    </row>
    <row r="59" spans="1:9" ht="18.75" customHeight="1" x14ac:dyDescent="0.2">
      <c r="A59" s="4"/>
      <c r="B59" s="217"/>
      <c r="C59" s="218"/>
      <c r="D59" s="218"/>
      <c r="E59" s="218"/>
      <c r="F59" s="218"/>
      <c r="G59" s="218"/>
      <c r="H59" s="218"/>
      <c r="I59" s="219"/>
    </row>
    <row r="60" spans="1:9" ht="18.75" customHeight="1" x14ac:dyDescent="0.2">
      <c r="A60" s="4"/>
      <c r="B60" s="217"/>
      <c r="C60" s="218"/>
      <c r="D60" s="218"/>
      <c r="E60" s="218"/>
      <c r="F60" s="218"/>
      <c r="G60" s="218"/>
      <c r="H60" s="218"/>
      <c r="I60" s="219"/>
    </row>
    <row r="61" spans="1:9" ht="18.75" customHeight="1" x14ac:dyDescent="0.2">
      <c r="A61" s="4"/>
      <c r="B61" s="220"/>
      <c r="C61" s="221"/>
      <c r="D61" s="221"/>
      <c r="E61" s="221"/>
      <c r="F61" s="221"/>
      <c r="G61" s="221"/>
      <c r="H61" s="221"/>
      <c r="I61" s="222"/>
    </row>
    <row r="62" spans="1:9" ht="7.5" customHeight="1" x14ac:dyDescent="0.2">
      <c r="A62" s="4"/>
      <c r="B62" s="4"/>
      <c r="C62" s="4"/>
      <c r="D62" s="4"/>
      <c r="E62" s="4"/>
      <c r="F62" s="4"/>
      <c r="G62" s="4"/>
      <c r="H62" s="4"/>
      <c r="I62" s="4"/>
    </row>
    <row r="63" spans="1:9" ht="18.75" customHeight="1" x14ac:dyDescent="0.2">
      <c r="A63" s="1" t="s">
        <v>128</v>
      </c>
      <c r="B63" s="1" t="s">
        <v>129</v>
      </c>
    </row>
    <row r="64" spans="1:9" ht="18.75" customHeight="1" x14ac:dyDescent="0.2">
      <c r="A64" s="1"/>
      <c r="B64" s="214" t="s">
        <v>130</v>
      </c>
      <c r="C64" s="215"/>
      <c r="D64" s="215"/>
      <c r="E64" s="215"/>
      <c r="F64" s="215"/>
      <c r="G64" s="215"/>
      <c r="H64" s="215"/>
      <c r="I64" s="223"/>
    </row>
    <row r="65" spans="1:9" ht="18.75" customHeight="1" x14ac:dyDescent="0.2">
      <c r="A65" s="1"/>
      <c r="B65" s="224"/>
      <c r="C65" s="225"/>
      <c r="D65" s="225"/>
      <c r="E65" s="225"/>
      <c r="F65" s="225"/>
      <c r="G65" s="225"/>
      <c r="H65" s="225"/>
      <c r="I65" s="226"/>
    </row>
    <row r="66" spans="1:9" ht="18.75" customHeight="1" x14ac:dyDescent="0.2">
      <c r="A66" s="4"/>
      <c r="B66" s="227"/>
      <c r="C66" s="228"/>
      <c r="D66" s="228"/>
      <c r="E66" s="228"/>
      <c r="F66" s="228"/>
      <c r="G66" s="228"/>
      <c r="H66" s="228"/>
      <c r="I66" s="229"/>
    </row>
    <row r="67" spans="1:9" ht="7.5" customHeight="1" x14ac:dyDescent="0.2">
      <c r="A67" s="4"/>
      <c r="B67" s="4"/>
      <c r="C67" s="4"/>
      <c r="D67" s="4"/>
      <c r="E67" s="4"/>
      <c r="F67" s="4"/>
      <c r="G67" s="4"/>
      <c r="H67" s="4"/>
      <c r="I67" s="4"/>
    </row>
    <row r="68" spans="1:9" ht="18.75" customHeight="1" x14ac:dyDescent="0.2">
      <c r="A68" s="1" t="s">
        <v>131</v>
      </c>
      <c r="B68" s="1" t="s">
        <v>132</v>
      </c>
    </row>
    <row r="69" spans="1:9" ht="18.75" customHeight="1" x14ac:dyDescent="0.2">
      <c r="A69" s="1"/>
      <c r="B69" s="189" t="s">
        <v>133</v>
      </c>
      <c r="C69" s="190"/>
      <c r="D69" s="190"/>
      <c r="E69" s="190"/>
      <c r="F69" s="190"/>
      <c r="G69" s="190"/>
      <c r="H69" s="190"/>
      <c r="I69" s="191"/>
    </row>
    <row r="70" spans="1:9" ht="18.75" customHeight="1" x14ac:dyDescent="0.2">
      <c r="A70" s="1"/>
      <c r="B70" s="192"/>
      <c r="C70" s="193"/>
      <c r="D70" s="193"/>
      <c r="E70" s="193"/>
      <c r="F70" s="193"/>
      <c r="G70" s="193"/>
      <c r="H70" s="193"/>
      <c r="I70" s="194"/>
    </row>
    <row r="71" spans="1:9" ht="18.75" customHeight="1" x14ac:dyDescent="0.2">
      <c r="A71" s="1"/>
      <c r="B71" s="192"/>
      <c r="C71" s="193"/>
      <c r="D71" s="193"/>
      <c r="E71" s="193"/>
      <c r="F71" s="193"/>
      <c r="G71" s="193"/>
      <c r="H71" s="193"/>
      <c r="I71" s="194"/>
    </row>
    <row r="72" spans="1:9" ht="18.75" customHeight="1" x14ac:dyDescent="0.2">
      <c r="A72" s="4"/>
      <c r="B72" s="195"/>
      <c r="C72" s="196"/>
      <c r="D72" s="196"/>
      <c r="E72" s="196"/>
      <c r="F72" s="196"/>
      <c r="G72" s="196"/>
      <c r="H72" s="196"/>
      <c r="I72" s="197"/>
    </row>
    <row r="73" spans="1:9" ht="7.5" customHeight="1" x14ac:dyDescent="0.2">
      <c r="A73" s="4"/>
      <c r="B73" s="4"/>
      <c r="C73" s="4"/>
      <c r="D73" s="4"/>
      <c r="E73" s="4"/>
      <c r="F73" s="4"/>
      <c r="G73" s="4"/>
      <c r="H73" s="4"/>
      <c r="I73" s="4"/>
    </row>
    <row r="74" spans="1:9" ht="18.75" customHeight="1" x14ac:dyDescent="0.2">
      <c r="A74" s="1" t="s">
        <v>134</v>
      </c>
      <c r="B74" s="198" t="s">
        <v>135</v>
      </c>
      <c r="C74" s="198"/>
      <c r="D74" s="198"/>
      <c r="E74" s="198"/>
      <c r="F74" s="198"/>
      <c r="G74" s="198"/>
      <c r="H74" s="198"/>
      <c r="I74" s="198"/>
    </row>
    <row r="75" spans="1:9" ht="18.75" customHeight="1" x14ac:dyDescent="0.2">
      <c r="A75" s="4"/>
      <c r="B75" s="189" t="s">
        <v>136</v>
      </c>
      <c r="C75" s="190"/>
      <c r="D75" s="190"/>
      <c r="E75" s="190"/>
      <c r="F75" s="190"/>
      <c r="G75" s="190"/>
      <c r="H75" s="190"/>
      <c r="I75" s="191"/>
    </row>
    <row r="76" spans="1:9" ht="18.75" customHeight="1" x14ac:dyDescent="0.2">
      <c r="A76" s="4"/>
      <c r="B76" s="192"/>
      <c r="C76" s="193"/>
      <c r="D76" s="193"/>
      <c r="E76" s="193"/>
      <c r="F76" s="193"/>
      <c r="G76" s="193"/>
      <c r="H76" s="193"/>
      <c r="I76" s="194"/>
    </row>
    <row r="77" spans="1:9" ht="18.75" customHeight="1" x14ac:dyDescent="0.2">
      <c r="A77" s="4"/>
      <c r="B77" s="192"/>
      <c r="C77" s="193"/>
      <c r="D77" s="193"/>
      <c r="E77" s="193"/>
      <c r="F77" s="193"/>
      <c r="G77" s="193"/>
      <c r="H77" s="193"/>
      <c r="I77" s="194"/>
    </row>
    <row r="78" spans="1:9" ht="18.75" customHeight="1" x14ac:dyDescent="0.2">
      <c r="A78" s="4"/>
      <c r="B78" s="195"/>
      <c r="C78" s="196"/>
      <c r="D78" s="196"/>
      <c r="E78" s="196"/>
      <c r="F78" s="196"/>
      <c r="G78" s="196"/>
      <c r="H78" s="196"/>
      <c r="I78" s="197"/>
    </row>
    <row r="79" spans="1:9" ht="7.5" customHeight="1" x14ac:dyDescent="0.2">
      <c r="A79" s="4"/>
      <c r="B79" s="47"/>
      <c r="C79" s="47"/>
      <c r="D79" s="47"/>
      <c r="E79" s="47"/>
      <c r="F79" s="47"/>
      <c r="G79" s="47"/>
      <c r="H79" s="47"/>
      <c r="I79" s="47"/>
    </row>
    <row r="80" spans="1:9" ht="18.75" customHeight="1" x14ac:dyDescent="0.2">
      <c r="A80" s="4"/>
      <c r="B80" s="4"/>
      <c r="C80" s="4"/>
      <c r="D80" s="4"/>
      <c r="E80" s="4"/>
      <c r="F80" s="4"/>
      <c r="G80" s="4"/>
      <c r="H80" s="4"/>
      <c r="I80" s="4"/>
    </row>
    <row r="81" spans="1:9" ht="18.75" customHeight="1" x14ac:dyDescent="0.2">
      <c r="A81" s="4"/>
      <c r="B81" s="4"/>
      <c r="C81" s="4"/>
      <c r="D81" s="4"/>
      <c r="E81" s="4"/>
      <c r="F81" s="4"/>
      <c r="G81" s="4"/>
      <c r="H81" s="4"/>
      <c r="I81" s="4"/>
    </row>
    <row r="82" spans="1:9" ht="18.75" customHeight="1" x14ac:dyDescent="0.2">
      <c r="A82" s="4"/>
      <c r="B82" s="4"/>
      <c r="C82" s="4"/>
      <c r="D82" s="4"/>
      <c r="E82" s="4"/>
      <c r="F82" s="4"/>
      <c r="G82" s="4"/>
      <c r="H82" s="4"/>
      <c r="I82" s="4"/>
    </row>
    <row r="83" spans="1:9" ht="18.75" customHeight="1" x14ac:dyDescent="0.2">
      <c r="A83" s="4"/>
      <c r="B83" s="4"/>
      <c r="C83" s="4"/>
      <c r="D83" s="4"/>
      <c r="E83" s="4"/>
      <c r="F83" s="4"/>
      <c r="G83" s="4"/>
      <c r="H83" s="4"/>
      <c r="I83" s="4"/>
    </row>
    <row r="84" spans="1:9" ht="18.75" customHeight="1" x14ac:dyDescent="0.2">
      <c r="A84" s="4"/>
      <c r="B84" s="4"/>
      <c r="C84" s="4"/>
      <c r="D84" s="4"/>
      <c r="E84" s="4"/>
      <c r="F84" s="4"/>
      <c r="G84" s="4"/>
      <c r="H84" s="4"/>
      <c r="I84" s="4"/>
    </row>
    <row r="85" spans="1:9" ht="18.75" customHeight="1" x14ac:dyDescent="0.2">
      <c r="A85" s="4"/>
      <c r="B85" s="4"/>
      <c r="C85" s="4"/>
      <c r="D85" s="4"/>
      <c r="E85" s="4"/>
      <c r="F85" s="4"/>
      <c r="G85" s="4"/>
      <c r="H85" s="4"/>
      <c r="I85" s="4"/>
    </row>
    <row r="86" spans="1:9" ht="18.75" customHeight="1" x14ac:dyDescent="0.2">
      <c r="A86" s="4"/>
      <c r="B86" s="4"/>
      <c r="C86" s="4"/>
      <c r="D86" s="4"/>
      <c r="E86" s="4"/>
      <c r="F86" s="4"/>
      <c r="G86" s="4"/>
      <c r="H86" s="4"/>
      <c r="I86" s="4"/>
    </row>
    <row r="87" spans="1:9" ht="18.75" customHeight="1" x14ac:dyDescent="0.2">
      <c r="A87" s="4"/>
      <c r="B87" s="4"/>
      <c r="C87" s="4"/>
      <c r="D87" s="4"/>
      <c r="E87" s="4"/>
      <c r="F87" s="4"/>
      <c r="G87" s="4"/>
      <c r="H87" s="4"/>
      <c r="I87" s="4"/>
    </row>
    <row r="88" spans="1:9" ht="18.75" customHeight="1" x14ac:dyDescent="0.2">
      <c r="A88" s="4"/>
      <c r="B88" s="4"/>
      <c r="C88" s="4"/>
      <c r="D88" s="4"/>
      <c r="E88" s="4"/>
      <c r="F88" s="4"/>
      <c r="G88" s="4"/>
      <c r="H88" s="4"/>
      <c r="I88" s="4"/>
    </row>
    <row r="89" spans="1:9" ht="18.75" customHeight="1" x14ac:dyDescent="0.2">
      <c r="A89" s="4"/>
      <c r="B89" s="4"/>
      <c r="C89" s="4"/>
      <c r="D89" s="4"/>
      <c r="E89" s="4"/>
      <c r="F89" s="4"/>
      <c r="G89" s="4"/>
      <c r="H89" s="4"/>
      <c r="I89" s="4"/>
    </row>
    <row r="90" spans="1:9" ht="18.75" customHeight="1" x14ac:dyDescent="0.2">
      <c r="A90" s="4"/>
      <c r="B90" s="4"/>
      <c r="C90" s="4"/>
      <c r="D90" s="4"/>
      <c r="E90" s="4"/>
      <c r="F90" s="4"/>
      <c r="G90" s="4"/>
      <c r="H90" s="4"/>
      <c r="I90" s="4"/>
    </row>
    <row r="91" spans="1:9" ht="18.75" customHeight="1" x14ac:dyDescent="0.2">
      <c r="A91" s="4"/>
      <c r="B91" s="4"/>
      <c r="C91" s="4"/>
      <c r="D91" s="4"/>
      <c r="E91" s="4"/>
      <c r="F91" s="4"/>
      <c r="G91" s="4"/>
      <c r="H91" s="4"/>
      <c r="I91" s="4"/>
    </row>
    <row r="92" spans="1:9" ht="14.4" x14ac:dyDescent="0.2">
      <c r="A92" s="4"/>
      <c r="B92" s="4"/>
      <c r="C92" s="4"/>
      <c r="D92" s="4"/>
      <c r="E92" s="4"/>
      <c r="F92" s="4"/>
      <c r="G92" s="4"/>
      <c r="H92" s="4"/>
      <c r="I92" s="4"/>
    </row>
    <row r="93" spans="1:9" ht="7.5" customHeight="1" x14ac:dyDescent="0.2">
      <c r="A93" s="48"/>
      <c r="B93" s="48"/>
      <c r="C93" s="48"/>
      <c r="D93" s="48"/>
      <c r="E93" s="48"/>
      <c r="F93" s="48"/>
      <c r="G93" s="48"/>
      <c r="H93" s="48"/>
      <c r="I93" s="48"/>
    </row>
  </sheetData>
  <mergeCells count="22">
    <mergeCell ref="B56:I61"/>
    <mergeCell ref="B64:I66"/>
    <mergeCell ref="C44:D44"/>
    <mergeCell ref="C45:D45"/>
    <mergeCell ref="F44:G44"/>
    <mergeCell ref="B47:I53"/>
    <mergeCell ref="B69:I72"/>
    <mergeCell ref="B74:I74"/>
    <mergeCell ref="B75:I78"/>
    <mergeCell ref="H2:I2"/>
    <mergeCell ref="A4:I4"/>
    <mergeCell ref="B19:I19"/>
    <mergeCell ref="B22:I26"/>
    <mergeCell ref="B29:I41"/>
    <mergeCell ref="B46:I46"/>
    <mergeCell ref="B14:I14"/>
    <mergeCell ref="C16:E16"/>
    <mergeCell ref="H16:I16"/>
    <mergeCell ref="C11:E11"/>
    <mergeCell ref="H11:I11"/>
    <mergeCell ref="C6:D6"/>
    <mergeCell ref="F45:G45"/>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2" max="9" man="1"/>
    <brk id="6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2" zoomScaleNormal="100" zoomScaleSheetLayoutView="90" workbookViewId="0">
      <selection activeCell="A3" sqref="A3:I3"/>
    </sheetView>
  </sheetViews>
  <sheetFormatPr defaultColWidth="11.441406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44140625" style="1"/>
  </cols>
  <sheetData>
    <row r="1" spans="1:9" ht="18.75" customHeight="1" x14ac:dyDescent="0.2">
      <c r="A1" s="1" t="s">
        <v>137</v>
      </c>
      <c r="I1" s="34" t="s">
        <v>138</v>
      </c>
    </row>
    <row r="2" spans="1:9" ht="18.75" customHeight="1" x14ac:dyDescent="0.2">
      <c r="H2" s="34" t="s">
        <v>2</v>
      </c>
      <c r="I2" s="33" t="str">
        <f>'様式１-1　プログラムを構成する授業科目（経営・社会・薬）'!C2</f>
        <v>青森大学</v>
      </c>
    </row>
    <row r="3" spans="1:9" ht="18.75" customHeight="1" x14ac:dyDescent="0.2">
      <c r="A3" s="146" t="s">
        <v>139</v>
      </c>
      <c r="B3" s="146"/>
      <c r="C3" s="146"/>
      <c r="D3" s="146"/>
      <c r="E3" s="146"/>
      <c r="F3" s="146"/>
      <c r="G3" s="146"/>
      <c r="H3" s="146"/>
      <c r="I3" s="146"/>
    </row>
    <row r="4" spans="1:9" ht="18.75" customHeight="1" x14ac:dyDescent="0.2">
      <c r="A4" s="5"/>
      <c r="B4" s="5"/>
      <c r="C4" s="5"/>
      <c r="D4" s="5"/>
      <c r="E4" s="5"/>
      <c r="F4" s="5"/>
      <c r="G4" s="5"/>
      <c r="H4" s="5"/>
      <c r="I4" s="5"/>
    </row>
    <row r="5" spans="1:9" ht="18.75" customHeight="1" x14ac:dyDescent="0.2">
      <c r="A5" s="1" t="s">
        <v>91</v>
      </c>
      <c r="B5" s="10" t="s">
        <v>140</v>
      </c>
      <c r="C5" s="5"/>
      <c r="D5" s="5"/>
      <c r="E5" s="5"/>
      <c r="F5" s="5"/>
      <c r="G5" s="5"/>
      <c r="H5" s="5"/>
      <c r="I5" s="5"/>
    </row>
    <row r="6" spans="1:9" ht="26.25" customHeight="1" x14ac:dyDescent="0.2">
      <c r="A6" s="5"/>
      <c r="B6" s="207" t="s">
        <v>160</v>
      </c>
      <c r="C6" s="247"/>
      <c r="D6" s="247"/>
      <c r="E6" s="247"/>
      <c r="F6" s="247"/>
      <c r="G6" s="247"/>
      <c r="H6" s="248"/>
      <c r="I6" s="3"/>
    </row>
    <row r="7" spans="1:9" ht="9" customHeight="1" x14ac:dyDescent="0.2">
      <c r="A7" s="5"/>
      <c r="B7" s="10"/>
      <c r="C7" s="10"/>
      <c r="D7" s="10"/>
      <c r="E7" s="10"/>
      <c r="F7" s="10"/>
      <c r="G7" s="10"/>
      <c r="H7" s="10"/>
      <c r="I7" s="3"/>
    </row>
    <row r="8" spans="1:9" ht="18.75" customHeight="1" x14ac:dyDescent="0.2">
      <c r="A8" s="5"/>
      <c r="B8" s="3"/>
      <c r="C8" s="3"/>
      <c r="D8" s="34" t="s">
        <v>100</v>
      </c>
      <c r="E8" s="35" t="s">
        <v>141</v>
      </c>
      <c r="F8" s="3"/>
      <c r="G8" s="34" t="s">
        <v>102</v>
      </c>
      <c r="H8" s="35" t="s">
        <v>142</v>
      </c>
      <c r="I8" s="3"/>
    </row>
    <row r="9" spans="1:9" ht="7.5" customHeight="1" x14ac:dyDescent="0.2">
      <c r="A9" s="5"/>
      <c r="B9" s="5"/>
      <c r="C9" s="5"/>
      <c r="D9" s="5"/>
      <c r="E9" s="5"/>
      <c r="F9" s="5"/>
      <c r="G9" s="5"/>
      <c r="H9" s="5"/>
      <c r="I9" s="5"/>
    </row>
    <row r="10" spans="1:9" ht="18.75" customHeight="1" x14ac:dyDescent="0.2">
      <c r="A10" s="1" t="s">
        <v>96</v>
      </c>
      <c r="B10" s="1" t="s">
        <v>143</v>
      </c>
      <c r="C10" s="4"/>
      <c r="D10" s="4"/>
      <c r="E10" s="4"/>
      <c r="F10" s="4"/>
      <c r="G10" s="4"/>
      <c r="H10" s="4"/>
      <c r="I10" s="4"/>
    </row>
    <row r="11" spans="1:9" ht="18.75" customHeight="1" x14ac:dyDescent="0.2">
      <c r="B11" s="88" t="s">
        <v>144</v>
      </c>
      <c r="C11" s="89"/>
      <c r="D11" s="90"/>
      <c r="E11" s="89" t="s">
        <v>145</v>
      </c>
      <c r="F11" s="89"/>
      <c r="G11" s="89"/>
      <c r="H11" s="89"/>
      <c r="I11" s="90"/>
    </row>
    <row r="12" spans="1:9" ht="26.25" customHeight="1" x14ac:dyDescent="0.2">
      <c r="B12" s="49" t="s">
        <v>146</v>
      </c>
      <c r="C12" s="56"/>
      <c r="D12" s="50"/>
      <c r="E12" s="57"/>
      <c r="F12" s="57"/>
      <c r="G12" s="57"/>
      <c r="H12" s="57"/>
      <c r="I12" s="50"/>
    </row>
    <row r="13" spans="1:9" ht="210.75" customHeight="1" x14ac:dyDescent="0.2">
      <c r="B13" s="51"/>
      <c r="C13" s="245" t="s">
        <v>147</v>
      </c>
      <c r="D13" s="246"/>
      <c r="E13" s="242" t="s">
        <v>161</v>
      </c>
      <c r="F13" s="243"/>
      <c r="G13" s="243"/>
      <c r="H13" s="243"/>
      <c r="I13" s="244"/>
    </row>
    <row r="14" spans="1:9" ht="210.75" customHeight="1" x14ac:dyDescent="0.2">
      <c r="B14" s="51"/>
      <c r="C14" s="240" t="s">
        <v>148</v>
      </c>
      <c r="D14" s="241"/>
      <c r="E14" s="242" t="s">
        <v>164</v>
      </c>
      <c r="F14" s="243"/>
      <c r="G14" s="243"/>
      <c r="H14" s="243"/>
      <c r="I14" s="244"/>
    </row>
    <row r="15" spans="1:9" ht="210.75" customHeight="1" x14ac:dyDescent="0.2">
      <c r="B15" s="51"/>
      <c r="C15" s="245" t="s">
        <v>149</v>
      </c>
      <c r="D15" s="246"/>
      <c r="E15" s="242" t="s">
        <v>165</v>
      </c>
      <c r="F15" s="243"/>
      <c r="G15" s="243"/>
      <c r="H15" s="243"/>
      <c r="I15" s="244"/>
    </row>
    <row r="16" spans="1:9" ht="210.75" customHeight="1" x14ac:dyDescent="0.2">
      <c r="B16" s="51"/>
      <c r="C16" s="245" t="s">
        <v>150</v>
      </c>
      <c r="D16" s="246"/>
      <c r="E16" s="242" t="s">
        <v>166</v>
      </c>
      <c r="F16" s="243"/>
      <c r="G16" s="243"/>
      <c r="H16" s="243"/>
      <c r="I16" s="244"/>
    </row>
    <row r="17" spans="2:9" ht="210.75" customHeight="1" x14ac:dyDescent="0.2">
      <c r="B17" s="52"/>
      <c r="C17" s="249" t="s">
        <v>151</v>
      </c>
      <c r="D17" s="250"/>
      <c r="E17" s="251" t="s">
        <v>167</v>
      </c>
      <c r="F17" s="252"/>
      <c r="G17" s="252"/>
      <c r="H17" s="252"/>
      <c r="I17" s="253"/>
    </row>
    <row r="18" spans="2:9" ht="24" customHeight="1" x14ac:dyDescent="0.2">
      <c r="B18" s="49" t="s">
        <v>152</v>
      </c>
      <c r="C18" s="53"/>
      <c r="D18" s="54"/>
      <c r="E18" s="55"/>
      <c r="F18" s="55"/>
      <c r="G18" s="55"/>
      <c r="H18" s="55"/>
      <c r="I18" s="58"/>
    </row>
    <row r="19" spans="2:9" ht="218.25" customHeight="1" x14ac:dyDescent="0.2">
      <c r="B19" s="51"/>
      <c r="C19" s="245" t="s">
        <v>153</v>
      </c>
      <c r="D19" s="246"/>
      <c r="E19" s="243" t="s">
        <v>154</v>
      </c>
      <c r="F19" s="243"/>
      <c r="G19" s="243"/>
      <c r="H19" s="243"/>
      <c r="I19" s="244"/>
    </row>
    <row r="20" spans="2:9" ht="218.25" customHeight="1" x14ac:dyDescent="0.2">
      <c r="B20" s="52"/>
      <c r="C20" s="249" t="s">
        <v>155</v>
      </c>
      <c r="D20" s="250"/>
      <c r="E20" s="252" t="s">
        <v>168</v>
      </c>
      <c r="F20" s="252"/>
      <c r="G20" s="252"/>
      <c r="H20" s="252"/>
      <c r="I20" s="253"/>
    </row>
    <row r="21" spans="2:9" ht="218.25" customHeight="1" x14ac:dyDescent="0.2">
      <c r="B21" s="259" t="s">
        <v>156</v>
      </c>
      <c r="C21" s="260"/>
      <c r="D21" s="261"/>
      <c r="E21" s="262" t="s">
        <v>157</v>
      </c>
      <c r="F21" s="262"/>
      <c r="G21" s="262"/>
      <c r="H21" s="262"/>
      <c r="I21" s="263"/>
    </row>
    <row r="22" spans="2:9" ht="218.25" customHeight="1" x14ac:dyDescent="0.2">
      <c r="B22" s="254" t="s">
        <v>158</v>
      </c>
      <c r="C22" s="255"/>
      <c r="D22" s="256"/>
      <c r="E22" s="257" t="s">
        <v>169</v>
      </c>
      <c r="F22" s="257"/>
      <c r="G22" s="257"/>
      <c r="H22" s="257"/>
      <c r="I22" s="258"/>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プログラムを構成する授業科目（経営・社会・薬）</vt:lpstr>
      <vt:lpstr>様式１-2　プログラムを構成する授業科目（ソフト）</vt:lpstr>
      <vt:lpstr>様式２ 履修者等数の実績</vt:lpstr>
      <vt:lpstr>様式３ 教育の質・履修者数を向上させるための体制・計画</vt:lpstr>
      <vt:lpstr>様式４　自己点検・評価</vt:lpstr>
      <vt:lpstr>'様式１-1　プログラムを構成する授業科目（経営・社会・薬）'!Print_Area</vt:lpstr>
      <vt:lpstr>'様式１-2　プログラムを構成する授業科目（ソフト）'!Print_Area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aupc-03</cp:lastModifiedBy>
  <cp:revision/>
  <cp:lastPrinted>2023-08-06T03:10:39Z</cp:lastPrinted>
  <dcterms:created xsi:type="dcterms:W3CDTF">2011-06-14T05:32:50Z</dcterms:created>
  <dcterms:modified xsi:type="dcterms:W3CDTF">2023-08-06T03:29:12Z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