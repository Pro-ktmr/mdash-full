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501"/>
  <workbookPr defaultThemeVersion="124226"/>
  <mc:AlternateContent xmlns:mc="http://schemas.openxmlformats.org/markup-compatibility/2006">
    <mc:Choice Requires="x15">
      <x15ac:absPath xmlns:x15ac="http://schemas.microsoft.com/office/spreadsheetml/2010/11/ac" url="\\z-nas-01\庶務部\学長室担当\00担当内検討事項\MDASH\文部科学省提出資料\"/>
    </mc:Choice>
  </mc:AlternateContent>
  <xr:revisionPtr revIDLastSave="0" documentId="13_ncr:1_{1D67D932-C79F-4718-A65E-EF781C67D35B}" xr6:coauthVersionLast="47" xr6:coauthVersionMax="47" xr10:uidLastSave="{00000000-0000-0000-0000-000000000000}"/>
  <bookViews>
    <workbookView xWindow="-110" yWindow="-110" windowWidth="19420" windowHeight="10300" tabRatio="885" xr2:uid="{00000000-000D-0000-FFFF-FFFF00000000}"/>
  </bookViews>
  <sheets>
    <sheet name="様式1-1　プログラムを構成する授業科目" sheetId="39" r:id="rId1"/>
    <sheet name="様式1-2　プログラムを構成する授業科目" sheetId="43" r:id="rId2"/>
    <sheet name="様式２ 履修者等数の実績" sheetId="40" r:id="rId3"/>
    <sheet name="様式３ 教育の質・履修者数を向上させるための体制・計画" sheetId="41" r:id="rId4"/>
    <sheet name="様式４　自己点検・評価" sheetId="42" r:id="rId5"/>
  </sheets>
  <definedNames>
    <definedName name="_xlnm._FilterDatabase" localSheetId="0" hidden="1">'様式1-1　プログラムを構成する授業科目'!$V$14:$V$16</definedName>
    <definedName name="_xlnm._FilterDatabase" localSheetId="1" hidden="1">'様式1-2　プログラムを構成する授業科目'!$V$14:$V$16</definedName>
    <definedName name="_xlnm._FilterDatabase" localSheetId="2" hidden="1">'様式２ 履修者等数の実績'!#REF!</definedName>
    <definedName name="_xlnm.Print_Area" localSheetId="0">'様式1-1　プログラムを構成する授業科目'!$A$1:$S$102</definedName>
    <definedName name="_xlnm.Print_Area" localSheetId="1">'様式1-2　プログラムを構成する授業科目'!$A$1:$S$102</definedName>
    <definedName name="_xlnm.Print_Area" localSheetId="2">'様式２ 履修者等数の実績'!$A$1:$AQ$32</definedName>
    <definedName name="_xlnm.Print_Area" localSheetId="3">'様式３ 教育の質・履修者数を向上させるための体制・計画'!$A$1:$I$120</definedName>
    <definedName name="_xlnm.Print_Area" localSheetId="4">'様式４　自己点検・評価'!$A$1:$I$22</definedName>
    <definedName name="_xlnm.Print_Titles" localSheetId="4">'様式４　自己点検・評価'!$11:$11</definedName>
  </definedNames>
  <calcPr calcId="181029"/>
</workbook>
</file>

<file path=xl/calcChain.xml><?xml version="1.0" encoding="utf-8"?>
<calcChain xmlns="http://schemas.openxmlformats.org/spreadsheetml/2006/main">
  <c r="I2" i="42" l="1"/>
  <c r="H2" i="41"/>
  <c r="AM2" i="40"/>
  <c r="AO32" i="40" l="1"/>
  <c r="AN32" i="40"/>
  <c r="AL32" i="40"/>
  <c r="AK32" i="40"/>
  <c r="AM31" i="40"/>
  <c r="AJ31" i="40"/>
  <c r="AM30" i="40"/>
  <c r="AJ30" i="40"/>
  <c r="AM29" i="40"/>
  <c r="AJ29" i="40"/>
  <c r="AM28" i="40"/>
  <c r="AJ28" i="40"/>
  <c r="AM27" i="40"/>
  <c r="AJ27" i="40"/>
  <c r="AM26" i="40"/>
  <c r="AJ26" i="40"/>
  <c r="AM25" i="40"/>
  <c r="AJ25" i="40"/>
  <c r="AM24" i="40"/>
  <c r="AJ24" i="40"/>
  <c r="AM23" i="40"/>
  <c r="AJ23" i="40"/>
  <c r="AM22" i="40"/>
  <c r="AJ22" i="40"/>
  <c r="AM21" i="40"/>
  <c r="AJ21" i="40"/>
  <c r="AM20" i="40"/>
  <c r="AJ20" i="40"/>
  <c r="AM19" i="40"/>
  <c r="AJ19" i="40"/>
  <c r="AM18" i="40"/>
  <c r="AJ18" i="40"/>
  <c r="AM17" i="40"/>
  <c r="AJ17" i="40"/>
  <c r="AM16" i="40"/>
  <c r="AJ16" i="40"/>
  <c r="AM15" i="40"/>
  <c r="AJ15" i="40"/>
  <c r="AM14" i="40"/>
  <c r="AJ14" i="40"/>
  <c r="AM13" i="40"/>
  <c r="AJ13" i="40"/>
  <c r="AM12" i="40"/>
  <c r="AJ12" i="40"/>
  <c r="AI32" i="40"/>
  <c r="AH32" i="40"/>
  <c r="AF32" i="40"/>
  <c r="AE32" i="40"/>
  <c r="AG31" i="40"/>
  <c r="AD31" i="40"/>
  <c r="AG30" i="40"/>
  <c r="AD30" i="40"/>
  <c r="AG29" i="40"/>
  <c r="AD29" i="40"/>
  <c r="AG28" i="40"/>
  <c r="AD28" i="40"/>
  <c r="AG27" i="40"/>
  <c r="AD27" i="40"/>
  <c r="AG26" i="40"/>
  <c r="AD26" i="40"/>
  <c r="AG25" i="40"/>
  <c r="AD25" i="40"/>
  <c r="AG24" i="40"/>
  <c r="AD24" i="40"/>
  <c r="AG23" i="40"/>
  <c r="AD23" i="40"/>
  <c r="AG22" i="40"/>
  <c r="AD22" i="40"/>
  <c r="AG21" i="40"/>
  <c r="AD21" i="40"/>
  <c r="AG20" i="40"/>
  <c r="AD20" i="40"/>
  <c r="AG19" i="40"/>
  <c r="AD19" i="40"/>
  <c r="AG18" i="40"/>
  <c r="AD18" i="40"/>
  <c r="AG17" i="40"/>
  <c r="AD17" i="40"/>
  <c r="AG16" i="40"/>
  <c r="AD16" i="40"/>
  <c r="AG15" i="40"/>
  <c r="AD15" i="40"/>
  <c r="AG14" i="40"/>
  <c r="AD14" i="40"/>
  <c r="AG13" i="40"/>
  <c r="AD13" i="40"/>
  <c r="AG12" i="40"/>
  <c r="AD12" i="40"/>
  <c r="AC32" i="40"/>
  <c r="AB32" i="40"/>
  <c r="Z32" i="40"/>
  <c r="Y32" i="40"/>
  <c r="AA31" i="40"/>
  <c r="X31" i="40"/>
  <c r="AA30" i="40"/>
  <c r="X30" i="40"/>
  <c r="AA29" i="40"/>
  <c r="X29" i="40"/>
  <c r="AA28" i="40"/>
  <c r="X28" i="40"/>
  <c r="AA27" i="40"/>
  <c r="X27" i="40"/>
  <c r="AA26" i="40"/>
  <c r="X26" i="40"/>
  <c r="AA25" i="40"/>
  <c r="X25" i="40"/>
  <c r="AA24" i="40"/>
  <c r="X24" i="40"/>
  <c r="AA23" i="40"/>
  <c r="X23" i="40"/>
  <c r="AA22" i="40"/>
  <c r="X22" i="40"/>
  <c r="AA21" i="40"/>
  <c r="X21" i="40"/>
  <c r="AA20" i="40"/>
  <c r="X20" i="40"/>
  <c r="AA19" i="40"/>
  <c r="X19" i="40"/>
  <c r="AA18" i="40"/>
  <c r="X18" i="40"/>
  <c r="AA17" i="40"/>
  <c r="X17" i="40"/>
  <c r="AA16" i="40"/>
  <c r="X16" i="40"/>
  <c r="AA15" i="40"/>
  <c r="X15" i="40"/>
  <c r="AA14" i="40"/>
  <c r="X14" i="40"/>
  <c r="AA13" i="40"/>
  <c r="X13" i="40"/>
  <c r="AA12" i="40"/>
  <c r="X12" i="40"/>
  <c r="W32" i="40"/>
  <c r="V32" i="40"/>
  <c r="T32" i="40"/>
  <c r="S32" i="40"/>
  <c r="U31" i="40"/>
  <c r="R31" i="40"/>
  <c r="U30" i="40"/>
  <c r="R30" i="40"/>
  <c r="U29" i="40"/>
  <c r="R29" i="40"/>
  <c r="U28" i="40"/>
  <c r="R28" i="40"/>
  <c r="U27" i="40"/>
  <c r="R27" i="40"/>
  <c r="U26" i="40"/>
  <c r="R26" i="40"/>
  <c r="U25" i="40"/>
  <c r="R25" i="40"/>
  <c r="U24" i="40"/>
  <c r="R24" i="40"/>
  <c r="U23" i="40"/>
  <c r="R23" i="40"/>
  <c r="U22" i="40"/>
  <c r="R22" i="40"/>
  <c r="U21" i="40"/>
  <c r="R21" i="40"/>
  <c r="U20" i="40"/>
  <c r="R20" i="40"/>
  <c r="U19" i="40"/>
  <c r="R19" i="40"/>
  <c r="U18" i="40"/>
  <c r="R18" i="40"/>
  <c r="U17" i="40"/>
  <c r="R17" i="40"/>
  <c r="U16" i="40"/>
  <c r="R16" i="40"/>
  <c r="U15" i="40"/>
  <c r="R15" i="40"/>
  <c r="U14" i="40"/>
  <c r="R14" i="40"/>
  <c r="U13" i="40"/>
  <c r="R13" i="40"/>
  <c r="U12" i="40"/>
  <c r="R12" i="40"/>
  <c r="Q32" i="40"/>
  <c r="P32" i="40"/>
  <c r="N32" i="40"/>
  <c r="M32" i="40"/>
  <c r="O31" i="40"/>
  <c r="L31" i="40"/>
  <c r="O30" i="40"/>
  <c r="L30" i="40"/>
  <c r="O29" i="40"/>
  <c r="L29" i="40"/>
  <c r="O28" i="40"/>
  <c r="L28" i="40"/>
  <c r="O27" i="40"/>
  <c r="L27" i="40"/>
  <c r="O26" i="40"/>
  <c r="L26" i="40"/>
  <c r="O25" i="40"/>
  <c r="L25" i="40"/>
  <c r="O24" i="40"/>
  <c r="L24" i="40"/>
  <c r="O23" i="40"/>
  <c r="L23" i="40"/>
  <c r="O22" i="40"/>
  <c r="L22" i="40"/>
  <c r="O21" i="40"/>
  <c r="L21" i="40"/>
  <c r="O20" i="40"/>
  <c r="L20" i="40"/>
  <c r="O19" i="40"/>
  <c r="L19" i="40"/>
  <c r="O18" i="40"/>
  <c r="L18" i="40"/>
  <c r="O17" i="40"/>
  <c r="L17" i="40"/>
  <c r="O16" i="40"/>
  <c r="L16" i="40"/>
  <c r="O15" i="40"/>
  <c r="L15" i="40"/>
  <c r="O14" i="40"/>
  <c r="L14" i="40"/>
  <c r="O13" i="40"/>
  <c r="L13" i="40"/>
  <c r="O12" i="40"/>
  <c r="L12" i="40"/>
  <c r="O32" i="40" l="1"/>
  <c r="AA32" i="40"/>
  <c r="AJ32" i="40"/>
  <c r="AM32" i="40"/>
  <c r="AG32" i="40"/>
  <c r="AD32" i="40"/>
  <c r="X32" i="40"/>
  <c r="R32" i="40"/>
  <c r="U32" i="40"/>
  <c r="L32" i="40"/>
  <c r="K32" i="40" l="1"/>
  <c r="J32" i="40"/>
  <c r="I31" i="40"/>
  <c r="I30" i="40"/>
  <c r="I29" i="40"/>
  <c r="I28" i="40"/>
  <c r="I27" i="40"/>
  <c r="I26" i="40"/>
  <c r="I25" i="40"/>
  <c r="I24" i="40"/>
  <c r="I23" i="40"/>
  <c r="I22" i="40"/>
  <c r="I21" i="40"/>
  <c r="I20" i="40"/>
  <c r="I19" i="40"/>
  <c r="I18" i="40"/>
  <c r="I17" i="40"/>
  <c r="I16" i="40"/>
  <c r="I15" i="40"/>
  <c r="I14" i="40"/>
  <c r="I13" i="40"/>
  <c r="I12" i="40"/>
  <c r="G32" i="40"/>
  <c r="H32" i="40"/>
  <c r="F13" i="40"/>
  <c r="AP13" i="40" s="1"/>
  <c r="F14" i="40"/>
  <c r="AP14" i="40" s="1"/>
  <c r="F15" i="40"/>
  <c r="AP15" i="40" s="1"/>
  <c r="F16" i="40"/>
  <c r="AP16" i="40" s="1"/>
  <c r="F17" i="40"/>
  <c r="AP17" i="40" s="1"/>
  <c r="F18" i="40"/>
  <c r="AP18" i="40" s="1"/>
  <c r="F19" i="40"/>
  <c r="AP19" i="40" s="1"/>
  <c r="F20" i="40"/>
  <c r="AP20" i="40" s="1"/>
  <c r="F21" i="40"/>
  <c r="AP21" i="40" s="1"/>
  <c r="F22" i="40"/>
  <c r="AP22" i="40" s="1"/>
  <c r="F23" i="40"/>
  <c r="AP23" i="40" s="1"/>
  <c r="F24" i="40"/>
  <c r="AP24" i="40" s="1"/>
  <c r="F25" i="40"/>
  <c r="AP25" i="40" s="1"/>
  <c r="F26" i="40"/>
  <c r="AP26" i="40" s="1"/>
  <c r="F27" i="40"/>
  <c r="AP27" i="40" s="1"/>
  <c r="F28" i="40"/>
  <c r="AP28" i="40" s="1"/>
  <c r="F29" i="40"/>
  <c r="AP29" i="40" s="1"/>
  <c r="F30" i="40"/>
  <c r="AP30" i="40" s="1"/>
  <c r="F31" i="40"/>
  <c r="AP31" i="40" s="1"/>
  <c r="F12" i="40"/>
  <c r="AP12" i="40" s="1"/>
  <c r="AQ12" i="40" s="1"/>
  <c r="C32" i="40"/>
  <c r="I32" i="40" l="1"/>
  <c r="F32" i="40" l="1"/>
  <c r="E32" i="40"/>
  <c r="I50" i="41" s="1"/>
  <c r="D32" i="40"/>
  <c r="AQ13" i="40"/>
  <c r="AP32" i="40" l="1"/>
  <c r="AQ32" i="40" s="1"/>
</calcChain>
</file>

<file path=xl/sharedStrings.xml><?xml version="1.0" encoding="utf-8"?>
<sst xmlns="http://schemas.openxmlformats.org/spreadsheetml/2006/main" count="454" uniqueCount="191">
  <si>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</si>
  <si>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</si>
  <si>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</si>
  <si>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</si>
  <si>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</si>
  <si>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</si>
  <si>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</si>
  <si>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</si>
  <si>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</si>
  <si>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</si>
  <si>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</si>
  <si>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</si>
  <si>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</si>
  <si>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</si>
  <si>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</si>
  <si>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</si>
  <si>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</si>
  <si>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</si>
  <si>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</si>
  <si>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</si>
  <si>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</si>
  <si>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</si>
  <si>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</si>
  <si>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</si>
  <si>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</si>
  <si>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</si>
  <si>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</si>
  <si>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</si>
  <si>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</si>
  <si>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</si>
  <si>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</si>
  <si>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</si>
  <si>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</si>
  <si>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</si>
  <si>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</si>
  <si>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</si>
  <si>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</si>
  <si>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</si>
  <si>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</si>
  <si>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</si>
  <si>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</si>
  <si>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</si>
  <si>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</si>
  <si>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</si>
  <si>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</si>
  <si>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</si>
  <si>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</si>
  <si>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</si>
  <si>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</si>
  <si>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</si>
  <si>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</si>
  <si>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平成29年度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</si>
  <si>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</si>
  <si>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</si>
  <si>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</si>
  <si>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</si>
  <si>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</si>
  <si>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</si>
  <si>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</si>
  <si>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</si>
  <si>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</si>
  <si>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</si>
  <si>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</si>
  <si>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</si>
  <si>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</si>
  <si>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</si>
  <si>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</si>
  <si>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</si>
  <si>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</si>
  <si>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</si>
  <si>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</si>
  <si>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</si>
  <si>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</si>
  <si>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</si>
  <si>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</si>
  <si>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</si>
  <si>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</si>
  <si>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</si>
  <si>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</si>
  <si>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</si>
  <si>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</si>
  <si>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</si>
  <si>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</si>
  <si>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</si>
  <si>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</si>
  <si>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</si>
  <si>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</si>
  <si>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</si>
  <si>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令和４年度実績</t>
    <rPh sb="0" eb="2">
      <t>レイワ</t>
    </rPh>
    <rPh sb="3" eb="5">
      <t>ネンド</t>
    </rPh>
    <rPh sb="5" eb="7">
      <t>ジッセキ</t>
    </rPh>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</si>
  <si>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</si>
  <si>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</si>
  <si>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</si>
  <si>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</si>
  <si>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</si>
  <si>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</si>
  <si>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単位</t>
    <rPh sb="0" eb="2">
      <t>タンイ</t>
    </rPh>
    <phoneticPr fontId="1"/>
  </si>
  <si>
    <t>履修者数</t>
    <rPh sb="0" eb="3">
      <t>リシュウシャ</t>
    </rPh>
    <rPh sb="3" eb="4">
      <t>スウ</t>
    </rPh>
    <phoneticPr fontId="1"/>
  </si>
  <si>
    <t>合計</t>
    <rPh sb="0" eb="2">
      <t>ゴウケイ</t>
    </rPh>
    <phoneticPr fontId="1"/>
  </si>
  <si>
    <t>男性</t>
    <rPh sb="0" eb="2">
      <t>ダンセイ</t>
    </rPh>
    <phoneticPr fontId="1"/>
  </si>
  <si>
    <t>女性</t>
    <rPh sb="0" eb="2">
      <t>ジョセイ</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</si>
  <si>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</si>
  <si>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</si>
  <si>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</si>
  <si>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</si>
  <si>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</si>
  <si>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</si>
  <si>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</si>
  <si>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② 教育プログラムの修了要件</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</si>
  <si>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</si>
  <si>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</si>
  <si>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令和４年度以前より、履修することが必須のプログラムとして実施</t>
    <rPh sb="0" eb="2">
      <t>レイワ</t>
    </rPh>
    <rPh sb="3" eb="5">
      <t>ネンド</t>
    </rPh>
    <rPh sb="5" eb="7">
      <t>イゼン</t>
    </rPh>
    <phoneticPr fontId="1"/>
  </si>
  <si>
    <t>③ 修了要件</t>
    <phoneticPr fontId="1"/>
  </si>
  <si>
    <t>必要最低単位数</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</si>
  <si>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</si>
  <si>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</si>
  <si>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</si>
  <si>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</si>
  <si>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</si>
  <si>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</si>
  <si>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</si>
  <si>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</si>
  <si>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</si>
  <si>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</si>
  <si>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令和７年度までに履修必須とする計画</t>
    <rPh sb="3" eb="4">
      <t>ネン</t>
    </rPh>
    <phoneticPr fontId="1"/>
  </si>
  <si>
    <t>① 対象となる学部・学科名称</t>
    <phoneticPr fontId="1"/>
  </si>
  <si>
    <t>令和８年度以降に履修必須とする計画、又は未定</t>
    <rPh sb="18" eb="19">
      <t>マタ</t>
    </rPh>
    <rPh sb="20" eb="22">
      <t>ミテイ</t>
    </rPh>
    <phoneticPr fontId="1"/>
  </si>
  <si>
    <t>大阪体育大学</t>
    <rPh sb="0" eb="6">
      <t>オオサカタイイクダイガク</t>
    </rPh>
    <phoneticPr fontId="1"/>
  </si>
  <si>
    <t>令和４</t>
    <rPh sb="0" eb="2">
      <t>レイワ</t>
    </rPh>
    <phoneticPr fontId="1"/>
  </si>
  <si>
    <t>学部・学科によって、修了要件は相違する</t>
  </si>
  <si>
    <t>情報処理実習Ⅰ</t>
    <phoneticPr fontId="1"/>
  </si>
  <si>
    <t>情報処理実習Ⅱ</t>
    <phoneticPr fontId="1"/>
  </si>
  <si>
    <t>情報処理Ⅰ</t>
    <phoneticPr fontId="1"/>
  </si>
  <si>
    <t>情報処理Ⅱ</t>
    <phoneticPr fontId="1"/>
  </si>
  <si>
    <t>○</t>
  </si>
  <si>
    <t>学長</t>
    <rPh sb="0" eb="2">
      <t>ガクチョウ</t>
    </rPh>
    <phoneticPr fontId="1"/>
  </si>
  <si>
    <t>原田宗彦</t>
    <rPh sb="0" eb="2">
      <t>ハラダ</t>
    </rPh>
    <rPh sb="2" eb="4">
      <t>ムネヒコ</t>
    </rPh>
    <phoneticPr fontId="1"/>
  </si>
  <si>
    <t>原田宗彦</t>
    <rPh sb="0" eb="4">
      <t>ハラダムネヒコ</t>
    </rPh>
    <phoneticPr fontId="1"/>
  </si>
  <si>
    <t>自己点検・評価委員長</t>
    <rPh sb="0" eb="2">
      <t>ジコ</t>
    </rPh>
    <rPh sb="2" eb="4">
      <t>テンケン</t>
    </rPh>
    <rPh sb="5" eb="7">
      <t>ヒョウカ</t>
    </rPh>
    <rPh sb="7" eb="9">
      <t>イイン</t>
    </rPh>
    <rPh sb="9" eb="10">
      <t>チョウ</t>
    </rPh>
    <phoneticPr fontId="1"/>
  </si>
  <si>
    <t>体育学部</t>
    <rPh sb="0" eb="4">
      <t>タイイクガクブ</t>
    </rPh>
    <phoneticPr fontId="1"/>
  </si>
  <si>
    <t>教育学部</t>
    <rPh sb="0" eb="4">
      <t>キョウイクガクブ</t>
    </rPh>
    <phoneticPr fontId="1"/>
  </si>
  <si>
    <t>自己点検・評価委員長</t>
    <rPh sb="0" eb="4">
      <t>ジコテンケン</t>
    </rPh>
    <rPh sb="5" eb="7">
      <t>ヒョウカ</t>
    </rPh>
    <rPh sb="7" eb="9">
      <t>イイン</t>
    </rPh>
    <rPh sb="9" eb="10">
      <t>チョウ</t>
    </rPh>
    <phoneticPr fontId="1"/>
  </si>
  <si>
    <t>大阪体育大学自己点検・評価委員会</t>
    <rPh sb="0" eb="2">
      <t>オオサカ</t>
    </rPh>
    <rPh sb="2" eb="4">
      <t>タイイク</t>
    </rPh>
    <rPh sb="4" eb="6">
      <t>ダイガク</t>
    </rPh>
    <rPh sb="6" eb="8">
      <t>ジコ</t>
    </rPh>
    <rPh sb="8" eb="10">
      <t>テンケン</t>
    </rPh>
    <rPh sb="11" eb="13">
      <t>ヒョウカ</t>
    </rPh>
    <rPh sb="13" eb="16">
      <t>イインカイ</t>
    </rPh>
    <phoneticPr fontId="1"/>
  </si>
  <si>
    <t>大阪体育大学自己点検・評価委員会規程</t>
    <rPh sb="0" eb="2">
      <t>オオサカ</t>
    </rPh>
    <rPh sb="2" eb="4">
      <t>タイイク</t>
    </rPh>
    <rPh sb="4" eb="6">
      <t>ダイガク</t>
    </rPh>
    <rPh sb="6" eb="8">
      <t>ジコ</t>
    </rPh>
    <rPh sb="8" eb="10">
      <t>テンケン</t>
    </rPh>
    <rPh sb="11" eb="13">
      <t>ヒョウカ</t>
    </rPh>
    <rPh sb="13" eb="16">
      <t>イインカイ</t>
    </rPh>
    <rPh sb="16" eb="18">
      <t>キテイ</t>
    </rPh>
    <phoneticPr fontId="1"/>
  </si>
  <si>
    <t>大阪体育大学自己点検・評価委員会
委員長　大阪体育大学 学長　原田宗彦
委員　　 大阪体育大学 副学長　前島悦子
　　　　　 大阪体育大学 体育学部長・体育学部自己点検・評価委員会委員長　神﨑浩
　　　　　 大阪体育大学 教育学部長　植木章三
　　　　　 大阪体育大学大学院 研究科長　浜田拓
　　　　　 大阪体育大学 教学部長　池島明子
　　　　　 大阪体育大学 教育学部自己点検・評価委員会委員長　岡崎均
　　　　　 大阪体育大学大学院 自己点検・評価委員会委員長　中房敏朗
　　　　　 大阪体育大学 ＩＲ委員会委員長　土屋裕睦
　　　　　 大阪体育大学 大学事務局長　長崎正巳</t>
    <rPh sb="18" eb="21">
      <t>イインチョウ</t>
    </rPh>
    <rPh sb="32" eb="36">
      <t>ハラダムネヒコ</t>
    </rPh>
    <rPh sb="37" eb="39">
      <t>イイン</t>
    </rPh>
    <rPh sb="53" eb="55">
      <t>マエシマ</t>
    </rPh>
    <rPh sb="55" eb="57">
      <t>エツコ</t>
    </rPh>
    <rPh sb="71" eb="73">
      <t>タイイク</t>
    </rPh>
    <rPh sb="95" eb="97">
      <t>カンザキ</t>
    </rPh>
    <rPh sb="97" eb="98">
      <t>ヒロシ</t>
    </rPh>
    <rPh sb="112" eb="114">
      <t>キョウイク</t>
    </rPh>
    <rPh sb="118" eb="120">
      <t>ウエキ</t>
    </rPh>
    <rPh sb="120" eb="122">
      <t>ショウゾウ</t>
    </rPh>
    <rPh sb="135" eb="138">
      <t>ダイガクイン</t>
    </rPh>
    <rPh sb="144" eb="146">
      <t>ハマダ</t>
    </rPh>
    <rPh sb="146" eb="147">
      <t>タク</t>
    </rPh>
    <rPh sb="166" eb="168">
      <t>イケシマ</t>
    </rPh>
    <rPh sb="168" eb="170">
      <t>アキコ</t>
    </rPh>
    <rPh sb="202" eb="204">
      <t>オカザキ</t>
    </rPh>
    <rPh sb="288" eb="290">
      <t>ナガサキ</t>
    </rPh>
    <rPh sb="290" eb="292">
      <t>マサミ</t>
    </rPh>
    <phoneticPr fontId="1"/>
  </si>
  <si>
    <t>　情報通信技術を利活用する社会における素養として、数理・データサイエンス・AIに関連した基本的な知識・技能・態度を取得できたかの達成度は、科目成績及び履修学生を対象とした授業評価アンケートを手がかりに、学修成果の分析と確認を行える体制となっている。</t>
    <phoneticPr fontId="1"/>
  </si>
  <si>
    <t>　本プログラムを構成する履修科目では、履修学生を対象とした授業評価アンケートを実施し、教材・教育内容の評価や授業内容の理解度等を把握し、その結果を基に授業改善に繋げる体制となっている。</t>
    <phoneticPr fontId="1"/>
  </si>
  <si>
    <t>　産業界等の有識者を含めた外部評価委員会により、本学の取り組みや自己点検・評価に関する評価を年１回実施しており、本プログラムに関して意見をいただく予定である。今後、外部の視点からも教育プログラムの内容や手法等への改善の参考にする。</t>
    <phoneticPr fontId="1"/>
  </si>
  <si>
    <t>　授業評価アンケートの回答結果を参考にしながら、授業の内容と水準を維持・向上し、学生がより分かりやすい授業となるように検討をしていく。また、年度ごとに本教育プログラムの内容に関する点検を実施し、授業内容の水準の維持と向上に繋げていく。</t>
    <phoneticPr fontId="1"/>
  </si>
  <si>
    <t>情報処理実習Ⅱ</t>
    <phoneticPr fontId="1"/>
  </si>
  <si>
    <t>情報処理Ⅱ</t>
    <phoneticPr fontId="1"/>
  </si>
  <si>
    <t>様式１－１</t>
    <rPh sb="0" eb="2">
      <t>ヨウシキ</t>
    </rPh>
    <phoneticPr fontId="1"/>
  </si>
  <si>
    <t>様式１－２</t>
    <rPh sb="0" eb="2">
      <t>ヨウシキ</t>
    </rPh>
    <phoneticPr fontId="1"/>
  </si>
  <si>
    <t>体育学部</t>
    <rPh sb="0" eb="2">
      <t>タイイク</t>
    </rPh>
    <rPh sb="2" eb="4">
      <t>ガクブ</t>
    </rPh>
    <phoneticPr fontId="1"/>
  </si>
  <si>
    <t>教育学部</t>
    <rPh sb="0" eb="2">
      <t>キョウイク</t>
    </rPh>
    <rPh sb="2" eb="4">
      <t>ガクブ</t>
    </rPh>
    <phoneticPr fontId="1"/>
  </si>
  <si>
    <t>現代社会はコンピューターの急速な進歩と普及に伴い、データを活用するための基礎技術などの能力形成による様々な情報の処理能力が求められている。本プログラムを履修することにより、通信情報技術を利活用する社会における素養として、数理・AI・データサイエンスに関する基本的な知識・技能・態度を修得する。</t>
    <rPh sb="0" eb="2">
      <t>ゲンダイ</t>
    </rPh>
    <rPh sb="2" eb="4">
      <t>シャカイ</t>
    </rPh>
    <rPh sb="13" eb="15">
      <t>キュウソク</t>
    </rPh>
    <rPh sb="16" eb="18">
      <t>シンポ</t>
    </rPh>
    <rPh sb="19" eb="21">
      <t>フキュウ</t>
    </rPh>
    <rPh sb="22" eb="23">
      <t>トモナ</t>
    </rPh>
    <rPh sb="29" eb="31">
      <t>カツヨウ</t>
    </rPh>
    <rPh sb="36" eb="38">
      <t>キソ</t>
    </rPh>
    <rPh sb="38" eb="40">
      <t>ギジュツ</t>
    </rPh>
    <rPh sb="43" eb="45">
      <t>ノウリョク</t>
    </rPh>
    <rPh sb="45" eb="47">
      <t>ケイセイ</t>
    </rPh>
    <rPh sb="50" eb="52">
      <t>サマザマ</t>
    </rPh>
    <rPh sb="53" eb="55">
      <t>ジョウホウ</t>
    </rPh>
    <rPh sb="56" eb="58">
      <t>ショリ</t>
    </rPh>
    <rPh sb="58" eb="60">
      <t>ノウリョク</t>
    </rPh>
    <rPh sb="61" eb="62">
      <t>モト</t>
    </rPh>
    <rPh sb="69" eb="70">
      <t>ホン</t>
    </rPh>
    <rPh sb="76" eb="78">
      <t>リシュウ</t>
    </rPh>
    <rPh sb="86" eb="88">
      <t>ツウシン</t>
    </rPh>
    <rPh sb="88" eb="90">
      <t>ジョウホウ</t>
    </rPh>
    <rPh sb="90" eb="92">
      <t>ギジュツ</t>
    </rPh>
    <rPh sb="93" eb="96">
      <t>リカツヨウ</t>
    </rPh>
    <rPh sb="98" eb="100">
      <t>シャカイ</t>
    </rPh>
    <rPh sb="104" eb="106">
      <t>ソヨウ</t>
    </rPh>
    <rPh sb="110" eb="112">
      <t>スウリ</t>
    </rPh>
    <rPh sb="125" eb="126">
      <t>カン</t>
    </rPh>
    <rPh sb="128" eb="130">
      <t>キホン</t>
    </rPh>
    <rPh sb="130" eb="131">
      <t>テキ</t>
    </rPh>
    <rPh sb="132" eb="134">
      <t>チシキ</t>
    </rPh>
    <rPh sb="135" eb="137">
      <t>ギノウ</t>
    </rPh>
    <rPh sb="138" eb="140">
      <t>タイド</t>
    </rPh>
    <rPh sb="141" eb="143">
      <t>シュウトク</t>
    </rPh>
    <phoneticPr fontId="1"/>
  </si>
  <si>
    <t>教育学部の学生は総合教育科目必修である「情報処理Ⅰ」１単位、「情報処理Ⅱ」１単位を取得し、合計２単位を取得すること。
(補足：本学の体育学部における教養科目必修である「情報処理実習Ⅰ」、教員免許状取得のために必修である「情報処理実習Ⅱ」(各1単位)が上記の２科目に相当する。科目名の差異はあるが、全体として本申請プログラムの全学開講に相当する。)</t>
    <rPh sb="0" eb="2">
      <t>キョウイク</t>
    </rPh>
    <rPh sb="45" eb="47">
      <t>ゴウケイ</t>
    </rPh>
    <rPh sb="66" eb="68">
      <t>タイイク</t>
    </rPh>
    <phoneticPr fontId="1"/>
  </si>
  <si>
    <t>体育学部の学生は教養科目必修である「情報処理実習Ⅰ」１単位、教員免許状取得のために必修である「情報処理実習Ⅱ」１単位を取得し、合計２単位を取得すること。
(補足：本学の教育学部における総合教育科目必修である「情報処理Ⅰ」、「情報処理Ⅱ」(各1単位)が上記の２科目に相当する。科目名の差異はあるが、全体として本申請プログラムの全学開講に相当する。)</t>
    <rPh sb="0" eb="2">
      <t>タイイク</t>
    </rPh>
    <rPh sb="2" eb="4">
      <t>ガクブ</t>
    </rPh>
    <rPh sb="5" eb="7">
      <t>ガクセイ</t>
    </rPh>
    <rPh sb="8" eb="10">
      <t>キョウヨウ</t>
    </rPh>
    <rPh sb="10" eb="12">
      <t>カモク</t>
    </rPh>
    <rPh sb="12" eb="14">
      <t>ヒッシュウ</t>
    </rPh>
    <rPh sb="18" eb="22">
      <t>ジョウホウショリ</t>
    </rPh>
    <rPh sb="22" eb="24">
      <t>ジッシュウ</t>
    </rPh>
    <rPh sb="27" eb="29">
      <t>タンイ</t>
    </rPh>
    <rPh sb="30" eb="32">
      <t>キョウイン</t>
    </rPh>
    <rPh sb="32" eb="35">
      <t>メンキョジョウ</t>
    </rPh>
    <rPh sb="35" eb="37">
      <t>シュトク</t>
    </rPh>
    <rPh sb="41" eb="43">
      <t>ヒッシュウ</t>
    </rPh>
    <rPh sb="47" eb="51">
      <t>ジョウホウショリ</t>
    </rPh>
    <rPh sb="51" eb="53">
      <t>ジッシュウ</t>
    </rPh>
    <rPh sb="56" eb="58">
      <t>タンイ</t>
    </rPh>
    <rPh sb="59" eb="61">
      <t>シュトク</t>
    </rPh>
    <rPh sb="63" eb="65">
      <t>ゴウケイ</t>
    </rPh>
    <rPh sb="66" eb="68">
      <t>タンイ</t>
    </rPh>
    <rPh sb="69" eb="71">
      <t>シュトク</t>
    </rPh>
    <rPh sb="78" eb="80">
      <t>ホソク</t>
    </rPh>
    <rPh sb="81" eb="83">
      <t>ホンガク</t>
    </rPh>
    <rPh sb="84" eb="86">
      <t>キョウイク</t>
    </rPh>
    <rPh sb="86" eb="88">
      <t>ガクブ</t>
    </rPh>
    <rPh sb="92" eb="94">
      <t>ソウゴウ</t>
    </rPh>
    <rPh sb="94" eb="96">
      <t>キョウイク</t>
    </rPh>
    <rPh sb="96" eb="98">
      <t>カモク</t>
    </rPh>
    <rPh sb="98" eb="100">
      <t>ヒッシュウ</t>
    </rPh>
    <rPh sb="104" eb="108">
      <t>ジョウホウショリ</t>
    </rPh>
    <rPh sb="119" eb="120">
      <t>カク</t>
    </rPh>
    <rPh sb="121" eb="123">
      <t>タンイ</t>
    </rPh>
    <rPh sb="125" eb="127">
      <t>ジョウキ</t>
    </rPh>
    <rPh sb="129" eb="131">
      <t>カモク</t>
    </rPh>
    <rPh sb="132" eb="134">
      <t>ソウトウ</t>
    </rPh>
    <rPh sb="137" eb="140">
      <t>カモクメイ</t>
    </rPh>
    <rPh sb="141" eb="143">
      <t>サイ</t>
    </rPh>
    <rPh sb="148" eb="150">
      <t>ゼンタイ</t>
    </rPh>
    <rPh sb="153" eb="156">
      <t>ホンシンセイ</t>
    </rPh>
    <rPh sb="162" eb="166">
      <t>ゼンガクカイコウ</t>
    </rPh>
    <rPh sb="167" eb="169">
      <t>ソウトウ</t>
    </rPh>
    <phoneticPr fontId="1"/>
  </si>
  <si>
    <t>　本プログラムの構成する履修科目は、各学部の必修科目及び教員免許状取得のために必修である科目を含んだプログラムにしている。数理・データサイエンス・AI教育の重要性が高まっており、今後も必修科目を含んだプログラムとしていく方針を継続していく計画である。</t>
    <rPh sb="97" eb="98">
      <t>フク</t>
    </rPh>
    <phoneticPr fontId="1"/>
  </si>
  <si>
    <t>　本プログラムは2022(令和4)年度から開始しており、本プログラムを構成する履修科目は、各学部の必修科目及び教員免許状取得のために必修である科目を含んだプログラムにしているため、今後は全学的な履修率は高くなる見込みである。また、履修・修得状況の確認については、教学部が教学システムにより履修登録の漏れがないことや、履修学生の修得状況を把握できる体制となっている。</t>
    <rPh sb="13" eb="15">
      <t>レイワ</t>
    </rPh>
    <rPh sb="28" eb="29">
      <t>ホン</t>
    </rPh>
    <phoneticPr fontId="1"/>
  </si>
  <si>
    <t>　本プログラムは2022(令和４)年度から開始しており、本プログラムを構成する科目を履修し、単位を修得して卒業した学生はいない。今後、卒業生の進路先や採用状況等を把握していく仕組みを検討していく予定である。</t>
    <rPh sb="21" eb="23">
      <t>カイシ</t>
    </rPh>
    <rPh sb="28" eb="29">
      <t>ホン</t>
    </rPh>
    <rPh sb="35" eb="37">
      <t>コウセイ</t>
    </rPh>
    <rPh sb="91" eb="93">
      <t>ケントウ</t>
    </rPh>
    <phoneticPr fontId="1"/>
  </si>
  <si>
    <t>　本プログラムは2022(令和4)年度から開始しており、現時点では後輩等他の者への推奨の取り組みを行っていないが、2023(令和5)年度からアンケート等で他学生への推奨度について確認し、アンケート結果を後輩等他の学生が閲覧できるように検討していく。</t>
    <rPh sb="13" eb="15">
      <t>レイワ</t>
    </rPh>
    <phoneticPr fontId="1"/>
  </si>
  <si>
    <t>　本申請プログラムを構成する履修科目が、各学部の必修科目となっている「情報処理実習Ⅰ」、「情報処理Ⅰ」、「情報処理Ⅱ」と教員免許状取得のために必修である「情報処理実習Ⅱ」で実施していることによる全学開講のため、基本的に全学生が履修する可能性が極めて高い。そのため、年度が進むにつれて履修者数・履修率は上がり、最終的には全学生が履修している状況を目指している。
　今後も数理・データサイエンス・AI教育の重要性はますます高まるため、各学部の必修科目を含んだプログラムとして実施していき、全学的な履修による「将来のDX社会に活躍できる人材育成」を促進していく方針である。</t>
    <rPh sb="1" eb="4">
      <t>ホンシンセイ</t>
    </rPh>
    <rPh sb="10" eb="12">
      <t>コウセイ</t>
    </rPh>
    <rPh sb="14" eb="16">
      <t>リシュウ</t>
    </rPh>
    <rPh sb="16" eb="18">
      <t>カモク</t>
    </rPh>
    <rPh sb="20" eb="21">
      <t>カク</t>
    </rPh>
    <rPh sb="21" eb="23">
      <t>ガクブ</t>
    </rPh>
    <rPh sb="24" eb="26">
      <t>ヒッシュウ</t>
    </rPh>
    <rPh sb="26" eb="28">
      <t>カモク</t>
    </rPh>
    <rPh sb="86" eb="88">
      <t>ジッシ</t>
    </rPh>
    <rPh sb="97" eb="101">
      <t>ゼンガクカイコウ</t>
    </rPh>
    <rPh sb="117" eb="120">
      <t>カノウセイ</t>
    </rPh>
    <rPh sb="121" eb="122">
      <t>キワ</t>
    </rPh>
    <rPh sb="124" eb="125">
      <t>タカ</t>
    </rPh>
    <rPh sb="132" eb="134">
      <t>ネンド</t>
    </rPh>
    <rPh sb="135" eb="136">
      <t>スス</t>
    </rPh>
    <rPh sb="141" eb="145">
      <t>リシュウシャスウ</t>
    </rPh>
    <rPh sb="146" eb="149">
      <t>リシュウリツ</t>
    </rPh>
    <rPh sb="150" eb="151">
      <t>ア</t>
    </rPh>
    <rPh sb="154" eb="157">
      <t>サイシュウテキ</t>
    </rPh>
    <rPh sb="181" eb="183">
      <t>コンゴ</t>
    </rPh>
    <rPh sb="184" eb="186">
      <t>スウリ</t>
    </rPh>
    <rPh sb="198" eb="200">
      <t>キョウイク</t>
    </rPh>
    <rPh sb="201" eb="204">
      <t>ジュウヨウセイ</t>
    </rPh>
    <rPh sb="209" eb="210">
      <t>タカ</t>
    </rPh>
    <rPh sb="215" eb="216">
      <t>カク</t>
    </rPh>
    <rPh sb="216" eb="218">
      <t>ガクブ</t>
    </rPh>
    <rPh sb="219" eb="223">
      <t>ヒッシュウカモク</t>
    </rPh>
    <rPh sb="224" eb="225">
      <t>フク</t>
    </rPh>
    <rPh sb="235" eb="237">
      <t>ジッシ</t>
    </rPh>
    <rPh sb="242" eb="245">
      <t>ゼンガクテキ</t>
    </rPh>
    <rPh sb="246" eb="248">
      <t>リシュウ</t>
    </rPh>
    <rPh sb="271" eb="273">
      <t>ソクシン</t>
    </rPh>
    <rPh sb="277" eb="279">
      <t>ホウシン</t>
    </rPh>
    <phoneticPr fontId="1"/>
  </si>
  <si>
    <t>　科目の履修方法や授業内容等は、履修要項・学生ガイドブックやWebシラバス、ホームページなどで周知している。また、本プログラムを構成する履修科目は、各学部の必修科目及び教員免許状取得のために必修である科目のため、全学生が受講可能となっているだけでなく、全学生が履修する可能性が極めて高い。また、入学前から数理・データサイエンス・AI教育をスムーズに行える基礎的素養を身に付けるために冊子を入学案内と合わせて郵送等し、入学前の来学や電話問い合わせなどに対応している。今後も、本プログラムに学生がアクセスしやすいような取り組みを行っていく。</t>
    <phoneticPr fontId="1"/>
  </si>
  <si>
    <t>　担当教員へ直接疑問点を相談することができ、理解できるまでのサポートが必要であるので、本学ではオフィスアワーを設定しており、非常勤講師についても本学ポータルサイトの教員メールアドレス宛にメールすることで授業時間外の学習指導や、個別に質問を受け付ける体制を整備し、対応できようにしている。また、図書館には、数理・データサイエンス等の関連資料を整備している。なお、本学では、入学前後や授業時間内外に捉われず、担当教員以外にも職員などに直接疑問点を相談でき、理解できるまでサポートを行う仕組みが学修支援の根底となっている。</t>
    <rPh sb="1" eb="5">
      <t>タントウキョウイン</t>
    </rPh>
    <rPh sb="6" eb="8">
      <t>チョクセツ</t>
    </rPh>
    <rPh sb="8" eb="11">
      <t>ギモンテン</t>
    </rPh>
    <rPh sb="12" eb="14">
      <t>ソウダン</t>
    </rPh>
    <rPh sb="22" eb="24">
      <t>リカイ</t>
    </rPh>
    <rPh sb="35" eb="37">
      <t>ヒツヨウ</t>
    </rPh>
    <rPh sb="43" eb="45">
      <t>ホンガク</t>
    </rPh>
    <rPh sb="55" eb="57">
      <t>セッテイ</t>
    </rPh>
    <rPh sb="62" eb="67">
      <t>ヒジョウキンコウシ</t>
    </rPh>
    <rPh sb="101" eb="103">
      <t>ジュギョウ</t>
    </rPh>
    <rPh sb="103" eb="106">
      <t>ジカンガイ</t>
    </rPh>
    <rPh sb="107" eb="109">
      <t>ガクシュウ</t>
    </rPh>
    <rPh sb="109" eb="111">
      <t>シドウ</t>
    </rPh>
    <rPh sb="113" eb="115">
      <t>コベツ</t>
    </rPh>
    <rPh sb="116" eb="118">
      <t>シツモン</t>
    </rPh>
    <rPh sb="119" eb="120">
      <t>ウ</t>
    </rPh>
    <rPh sb="121" eb="122">
      <t>ツ</t>
    </rPh>
    <rPh sb="124" eb="126">
      <t>タイセイ</t>
    </rPh>
    <rPh sb="127" eb="129">
      <t>セイビ</t>
    </rPh>
    <rPh sb="131" eb="133">
      <t>タイオウ</t>
    </rPh>
    <rPh sb="146" eb="149">
      <t>トショカン</t>
    </rPh>
    <rPh sb="152" eb="154">
      <t>スウリ</t>
    </rPh>
    <rPh sb="163" eb="164">
      <t>トウ</t>
    </rPh>
    <rPh sb="165" eb="167">
      <t>カンレン</t>
    </rPh>
    <rPh sb="167" eb="169">
      <t>シリョウ</t>
    </rPh>
    <rPh sb="170" eb="172">
      <t>セイビ</t>
    </rPh>
    <phoneticPr fontId="1"/>
  </si>
  <si>
    <t xml:space="preserve">　上記⑧のとおり、本申請プログラムを構成する履修科目は、各学部の必修科目及び教員免許状取得のために必修である科目のため、必然的に全学生が受講可能となっているだけでなく、全学生が履修する可能性が極めて高い。また、学生ごとにICT活用能力が異なるため、２０２１年度から学生ＰＣの必携化を開始し、入学前指導及び入学後の受講前後に至る様々な取組と学修支援体制(ラーニングコモンズの運営など)を整備して、学修にＰＣを用いることを習慣・意識づけするなど、数理・データサイエンス・AI教育をスムーズに行える基礎的素養を身に付けるための積極的な授業支援を行っている。
</t>
    <phoneticPr fontId="1"/>
  </si>
  <si>
    <t>　上記⑧のとおり、本申請プログラムを構成する履修科目は、各学部の必修科目及び教員免許状取得のために必修である科目のため、全学生が受講でき、実際にほぼ全ての学生が履修している。また、2021年度から学生にPCの必携化を求めているが、学生ごとのIT活用能力はまちまちのため、その差を埋めるべくプログラムに関わる授業までに必携PCを活用する準備として、入学前指導及び入学直後のガイダンスで教育を行っている。それにより、入学直後からPCを積極活用できる環境となっており、本プログラムに関わる授業についてもスムーズに学生が受講できるように配慮している。なお、ICT環境の整備やPCの必携化だけでなく、ラーニングコモンズの運営など積極的な授業支援も行っている。</t>
    <rPh sb="10" eb="12">
      <t>シンセイ</t>
    </rPh>
    <rPh sb="69" eb="71">
      <t>ジッサイ</t>
    </rPh>
    <rPh sb="74" eb="75">
      <t>スベ</t>
    </rPh>
    <rPh sb="77" eb="79">
      <t>ガクセイ</t>
    </rPh>
    <rPh sb="80" eb="82">
      <t>リシュウ</t>
    </rPh>
    <rPh sb="94" eb="96">
      <t>ネンド</t>
    </rPh>
    <rPh sb="98" eb="100">
      <t>ガクセイ</t>
    </rPh>
    <rPh sb="104" eb="107">
      <t>ヒッケイカ</t>
    </rPh>
    <rPh sb="108" eb="109">
      <t>モト</t>
    </rPh>
    <rPh sb="115" eb="117">
      <t>ガクセイ</t>
    </rPh>
    <rPh sb="122" eb="124">
      <t>カツヨウ</t>
    </rPh>
    <rPh sb="124" eb="126">
      <t>ノウリョク</t>
    </rPh>
    <rPh sb="137" eb="138">
      <t>サ</t>
    </rPh>
    <rPh sb="139" eb="140">
      <t>ウ</t>
    </rPh>
    <rPh sb="150" eb="151">
      <t>カカ</t>
    </rPh>
    <rPh sb="153" eb="155">
      <t>ジュギョウ</t>
    </rPh>
    <rPh sb="158" eb="160">
      <t>ヒッケイ</t>
    </rPh>
    <rPh sb="163" eb="165">
      <t>カツヨウ</t>
    </rPh>
    <rPh sb="167" eb="169">
      <t>ジュンビ</t>
    </rPh>
    <rPh sb="173" eb="176">
      <t>ニュウガクマエ</t>
    </rPh>
    <rPh sb="176" eb="178">
      <t>シドウ</t>
    </rPh>
    <rPh sb="178" eb="179">
      <t>オヨ</t>
    </rPh>
    <rPh sb="180" eb="182">
      <t>ニュウガク</t>
    </rPh>
    <rPh sb="182" eb="184">
      <t>チョクゴ</t>
    </rPh>
    <rPh sb="191" eb="193">
      <t>キョウイク</t>
    </rPh>
    <rPh sb="194" eb="195">
      <t>オコナ</t>
    </rPh>
    <rPh sb="206" eb="208">
      <t>ニュウガク</t>
    </rPh>
    <rPh sb="208" eb="210">
      <t>チョクゴ</t>
    </rPh>
    <phoneticPr fontId="1"/>
  </si>
  <si>
    <t>　本プログラムを構成する履修科目では、データを活用するための基礎技術などの能力や数理・データサイエンス・AIに関する知識などを主体的に身に付けることを目標としている。また、これらのことを学ぶことが、自身の社会生活と密接に繋がることに気付くことで、学ぶ楽しさや意義を得ることを目指している。</t>
    <phoneticPr fontId="1"/>
  </si>
  <si>
    <t>大阪体育大学　数理・データサイエンス・AI 教育プログラム</t>
    <rPh sb="0" eb="6">
      <t>オオサカタイイクダイガク</t>
    </rPh>
    <rPh sb="7" eb="9">
      <t>スウリ</t>
    </rPh>
    <rPh sb="22" eb="24">
      <t>キョウイク</t>
    </rPh>
    <phoneticPr fontId="1"/>
  </si>
  <si>
    <t>大阪体育大学自己点検・評価委員会規程は、大学の目的及び社会的使命を達成するため、大学における教育研究活動等の状況について自ら点検及び評価を行うことを目的として設置されている組織である。同委員会の第３条（所掌事項）には、次のことが掲げられている。
（１）自己点検・評価の方針、点検・評価項目及び評価指標に関する事項
（２）自己点検・評価の実施に関する事項
（３）自己点検・評価報告書の作成及び好評に関する事項
（４）内部質保証に関する事項
（５）認証評価及びその他の第三者評価に関わる事項
（６）その他自己点検・評価及び内部質保証に関し必要な事項
この規程に基づき、本委員会は、数理・データサイエンス・AI教育プログラムの実施状況を検証し、今後の対応や課題改善・進化を担当する。</t>
    <rPh sb="74" eb="76">
      <t>モクテキ</t>
    </rPh>
    <rPh sb="79" eb="81">
      <t>セッチ</t>
    </rPh>
    <rPh sb="86" eb="88">
      <t>ソシキ</t>
    </rPh>
    <rPh sb="92" eb="96">
      <t>ドウイインカイ</t>
    </rPh>
    <rPh sb="275" eb="277">
      <t>キテイ</t>
    </rPh>
    <rPh sb="278" eb="279">
      <t>モト</t>
    </rPh>
    <rPh sb="282" eb="286">
      <t>ホンイインカイ</t>
    </rPh>
    <rPh sb="288" eb="290">
      <t>スウリ</t>
    </rPh>
    <rPh sb="302" eb="304">
      <t>キョウイク</t>
    </rPh>
    <rPh sb="327" eb="329">
      <t>カイゼン</t>
    </rPh>
    <rPh sb="330" eb="332">
      <t>シンカ</t>
    </rPh>
    <rPh sb="333" eb="335">
      <t>タントウ</t>
    </rPh>
    <phoneticPr fontId="1"/>
  </si>
  <si>
    <t>・ビッグデータ、IoT、AI、ロボット：AI・データサイエンスの意義と役割「情報処理実習Ⅱ」第12回目</t>
    <phoneticPr fontId="1"/>
  </si>
  <si>
    <t>・データの集計(和、平均)：表計算ソフトの概要と四則演算「情報処理実習Ⅱ」第3回、関数の利用「情報処理実習Ⅱ」第5回
・データの並び替え、ランキング：さまざまなグラフ「情報処理実習Ⅱ」第7回、度数分布とヒストグラム「情報処理実習Ⅱ」第8回、平均と分散・標準偏差「情報処理実習Ⅱ」第9回、散布図と相関係数「情報処理実習Ⅱ」第10回、推測統計演習「情報処理実習Ⅱ」第11回
・データ解析ツール(スプレッドシート)：表計算ソフトの概要と四則演算「情報処理実習Ⅱ」第3回</t>
    <phoneticPr fontId="1"/>
  </si>
  <si>
    <t>・データの種類(量的変数、質的変数)：表計算ソフトの概要と四則演算「情報処理実習Ⅱ」第3回
関数の利用「情報処理実習Ⅱ」第5回、さまざまなグラフ「情報処理実習Ⅱ」第7回、推測統計演習「情報処理実習Ⅱ」第11回
・データの分布(ヒストグラム)と代表値：度数分布とヒストグラム「情報処理実習Ⅱ」第8回
・データのばらつき(分散、標準偏差、偏差値)：平均と分散・標準偏差「情報処理実習Ⅱ」第9回
・相関と因果(相関係数、疑似相関、交絡)：散布図と相関係数「情報処理実習Ⅱ」第10回</t>
    <phoneticPr fontId="1"/>
  </si>
  <si>
    <t>・ELSI(Ethical,Legal and Social Issues)：データ・AIを扱う上での留意事項「情報処理実習Ⅱ」第14回目
・個人情報保護、EU一般データ保護規則(GDPR)、忘れられる権利、オプトアウト：ガイダンス(ID・パスワード取扱い・不正アクセス禁止等の解説含む)「情報処理実習Ⅰ」第1回目、セキュリティに関する基礎知識「情報処理実習Ⅰ」第11回目、データ・AIを扱う上での留意事項「情報処理実習Ⅱ」第14回目
・データ倫理：データの捏造、改竄、盗用、プライバシー保護：データ・AIを扱う上での留意事項「情報処理実習Ⅱ」第14回目</t>
    <phoneticPr fontId="1"/>
  </si>
  <si>
    <t>・流通、製造データ、金融、サービス、インフラ、公共、ヘルスケア等におけるデータ、AI利活用事例：データ・AI利活用の事例と最新動向「情報処理実習Ⅱ」第13回目</t>
    <phoneticPr fontId="1"/>
  </si>
  <si>
    <t>・非構造化データ処理：言語処理、画像／動画処理、音声／音楽処理など：図や表、罫線を含む日本語文書作成のマナー「情報処理実習Ⅰ」第４回目、第５回目、ベクター・ビットマップイメージの違い「情報処理実習Ⅰ」第６回目
・データ可視化：複合グラフ、２軸グラフ、多次元の可視化、関係性の可視化、地図上の可視化、
　挙動／軌跡の可視化、リアルタイム可視化など：表計算ソフト(Excel)の概要と四則演算・型「情報処理実習Ⅱ」第3回目、関数の利用「情報処理実習Ⅱ」第5回、さまざまなグラフ「情報処理実習Ⅱ」第7回
・特化型AIと汎用AI、今のAIでできることと出来ないこと、AIとビッグデータ：データ・AI利活用の事例と最新動向「情報処理実習Ⅱ」第13回目</t>
    <phoneticPr fontId="1"/>
  </si>
  <si>
    <t>・データ、AI活用領域の広がり(生産、消費、文化活動など)：データ・AI利活用の事例と最新動向「情報処理実習Ⅱ」第13回目</t>
    <phoneticPr fontId="1"/>
  </si>
  <si>
    <t>・構造化データ、非構造化データ（文章、画像／動画、音声／音楽など）：一般的な文書作成のマナー「情報処理実習Ⅰ」第２回目、第３回目、図や表、罫線を含む日本語文書作成のマナー「情報処理実習Ⅰ」第４回目、第５回目、ベクター・ビットマップイメージの違い「情報処理実習Ⅰ」第６回目、検索エンジンや文献データベースを活用した情報収集とレポート作成「情報処理実習Ⅰ」第12回目、テキスト形式とバイナリ形式「情報処理実習Ⅰ」第14回目、データ・AI利活用の事例と最新動向「情報処理実習Ⅱ」第13回目
・データ作成（ビッグデータとアノテーション）：データ・AI利活用の事例と最新動向「情報処理実習Ⅱ」第13回目</t>
    <phoneticPr fontId="1"/>
  </si>
  <si>
    <t>・AI最新技術の活用例(深層生成モデル、敵対的生成ネットワーク、強化学習、転移学習など)：データ・AI利活用の事例と最新動向「情報処理実習Ⅱ」第13回目</t>
    <rPh sb="51" eb="54">
      <t>リカツヨウ</t>
    </rPh>
    <rPh sb="55" eb="57">
      <t>ジレイ</t>
    </rPh>
    <rPh sb="58" eb="60">
      <t>サイシン</t>
    </rPh>
    <rPh sb="60" eb="62">
      <t>ドウコウ</t>
    </rPh>
    <rPh sb="63" eb="67">
      <t>ジョウホウショリ</t>
    </rPh>
    <rPh sb="67" eb="69">
      <t>ジッシュウ</t>
    </rPh>
    <rPh sb="71" eb="72">
      <t>ダイ</t>
    </rPh>
    <rPh sb="74" eb="76">
      <t>カイメ</t>
    </rPh>
    <phoneticPr fontId="1"/>
  </si>
  <si>
    <t>・ビッグデータ、IoT、AI、ロボット：AI・データサイエンスの意義と役割「情報処理Ⅱ」第12回目</t>
    <phoneticPr fontId="1"/>
  </si>
  <si>
    <t>・AI最新技術の活用例(深層生成モデル、敵対的生成ネットワーク、強化学習、転移学習など)：データ・AI利活用の事例と最新動向「情報処理Ⅱ」第13回目</t>
    <rPh sb="51" eb="54">
      <t>リカツヨウ</t>
    </rPh>
    <rPh sb="55" eb="57">
      <t>ジレイ</t>
    </rPh>
    <rPh sb="58" eb="60">
      <t>サイシン</t>
    </rPh>
    <rPh sb="60" eb="62">
      <t>ドウコウ</t>
    </rPh>
    <rPh sb="63" eb="67">
      <t>ジョウホウショリ</t>
    </rPh>
    <rPh sb="69" eb="70">
      <t>ダイ</t>
    </rPh>
    <rPh sb="72" eb="74">
      <t>カイメ</t>
    </rPh>
    <phoneticPr fontId="1"/>
  </si>
  <si>
    <t>・構造化データ、非構造化データ（文章、画像／動画、音声／音楽など）：一般的な文書作成のマナー「情報処理Ⅰ」第３回目、罫線を含む一般的な文書作成マナー「情報処理Ⅰ」第４回目、略図入りのビジネス文書の作成「情報処理Ⅰ」第5回目、ベクター・ビットマップイメージの違い「情報処理Ⅰ」第7回目、検索エンジン用いた情報収集「情報処理実習Ⅰ」第12回目、検索エンジン用いた情報収集とレポート作成「情報処理実習Ⅰ」第13回目、データ・AI利活用の事例と最新動向「情報処理Ⅱ」第13回目
・データ作成（ビッグデータとアノテーション）：データ・AI利活用の事例と最新動向「情報処理Ⅱ」第13回目</t>
    <rPh sb="34" eb="37">
      <t>イッパンテキ</t>
    </rPh>
    <rPh sb="38" eb="40">
      <t>ブンショ</t>
    </rPh>
    <rPh sb="40" eb="42">
      <t>サクセイ</t>
    </rPh>
    <rPh sb="53" eb="54">
      <t>ダイ</t>
    </rPh>
    <rPh sb="55" eb="57">
      <t>カイメ</t>
    </rPh>
    <rPh sb="58" eb="60">
      <t>ケイセン</t>
    </rPh>
    <rPh sb="61" eb="62">
      <t>フク</t>
    </rPh>
    <rPh sb="63" eb="66">
      <t>イッパンテキ</t>
    </rPh>
    <rPh sb="67" eb="69">
      <t>ブンショ</t>
    </rPh>
    <rPh sb="69" eb="71">
      <t>サクセイ</t>
    </rPh>
    <rPh sb="86" eb="88">
      <t>リャクズ</t>
    </rPh>
    <rPh sb="88" eb="89">
      <t>イ</t>
    </rPh>
    <rPh sb="95" eb="97">
      <t>ブンショ</t>
    </rPh>
    <rPh sb="98" eb="100">
      <t>サクセイ</t>
    </rPh>
    <rPh sb="101" eb="105">
      <t>ジョウホウショリ</t>
    </rPh>
    <rPh sb="107" eb="108">
      <t>ダイ</t>
    </rPh>
    <rPh sb="109" eb="110">
      <t>カイ</t>
    </rPh>
    <rPh sb="110" eb="111">
      <t>メ</t>
    </rPh>
    <rPh sb="128" eb="129">
      <t>チガ</t>
    </rPh>
    <rPh sb="170" eb="172">
      <t>ケンサク</t>
    </rPh>
    <rPh sb="179" eb="181">
      <t>ジョウホウ</t>
    </rPh>
    <rPh sb="181" eb="183">
      <t>シュウシュウ</t>
    </rPh>
    <rPh sb="188" eb="190">
      <t>サクセイ</t>
    </rPh>
    <phoneticPr fontId="1"/>
  </si>
  <si>
    <t>・データ、AI活用領域の広がり(生産、消費、文化活動など)：データ・AI利活用の事例と最新動向「情報処理Ⅱ」第13回目</t>
    <phoneticPr fontId="1"/>
  </si>
  <si>
    <t>・非構造化データ処理：言語処理、画像／動画処理、音声／音楽処理など：罫線を含む一般的な文書作成マナー「情報処理Ⅰ」第４回目、略図入りのビジネス文書の作成「情報処理Ⅰ」第5回目、ベクター・ビットマップイメージの違い「情報処理Ⅰ」第６回目
・データ可視化：表計算ソフト(Excel)の概要と四則演算・型「情報処理Ⅱ」第3回目、基本的な関数とその応用「情報処理Ⅱ」第5回、さまざまなグラフ「情報処理Ⅱ」第7回
・特化型AIと汎用AI、今のAIでできることと出来ないこと、AIとビッグデータ：データ・AI利活用の事例と最新動向「情報処理Ⅱ」第13回目</t>
    <rPh sb="126" eb="127">
      <t>ヒョウ</t>
    </rPh>
    <rPh sb="127" eb="129">
      <t>ケイサン</t>
    </rPh>
    <rPh sb="140" eb="142">
      <t>ガイヨウ</t>
    </rPh>
    <rPh sb="143" eb="145">
      <t>シソク</t>
    </rPh>
    <rPh sb="145" eb="147">
      <t>エンザン</t>
    </rPh>
    <rPh sb="148" eb="149">
      <t>カタ</t>
    </rPh>
    <rPh sb="161" eb="164">
      <t>キホンテキ</t>
    </rPh>
    <rPh sb="170" eb="172">
      <t>オウヨウ</t>
    </rPh>
    <phoneticPr fontId="1"/>
  </si>
  <si>
    <t>・流通、製造データ、金融、サービス、インフラ、公共、ヘルスケア等におけるデータ、AI利活用事例：データ・AI利活用の事例と最新動向「情報処理Ⅱ」第13回目</t>
    <phoneticPr fontId="1"/>
  </si>
  <si>
    <t>・ELSI(Ethical,Legal and Social Issues)：データ・AIを扱う上での留意事項「情報処理Ⅱ」第14回目
・個人情報保護、EU一般データ保護規則(GDPR)、忘れられる権利、オプトアウト：ID・パスワードの扱いと不正アクセス禁止について「情報処理Ⅰ」第2回目、セキュリティに関する基礎知識「情報処理Ⅰ」第10回目、データ・AIを扱う上での留意事項「情報処理Ⅱ」第14回目
・データ倫理：データの捏造、改竄、盗用、プライバシー保護：データ・AIを扱う上での留意事項「情報処理Ⅱ」第14回目</t>
    <rPh sb="118" eb="119">
      <t>アツカ</t>
    </rPh>
    <rPh sb="121" eb="123">
      <t>フセイ</t>
    </rPh>
    <rPh sb="127" eb="129">
      <t>キンシ</t>
    </rPh>
    <rPh sb="152" eb="153">
      <t>カン</t>
    </rPh>
    <rPh sb="155" eb="157">
      <t>キソ</t>
    </rPh>
    <rPh sb="157" eb="159">
      <t>チシキ</t>
    </rPh>
    <phoneticPr fontId="1"/>
  </si>
  <si>
    <t>・匿名加工情報、暗号化、パスワード、悪意ある情報搾取：ガイダンス(ID・パスワード取扱い・不正アクセス禁止等の解説含む)「情報処理実習Ⅰ」第1回目、セキュリティに関する基礎知識「情報処理実習Ⅰ」第11回目
・情報セキュリティ：機密性、完全性、可用性：データ・AIを扱う上での留意事項「情報処理実習Ⅱ」第14回目</t>
    <phoneticPr fontId="1"/>
  </si>
  <si>
    <t>・匿名加工情報、暗号化、パスワード、悪意ある情報搾取：ID・パスワードの扱いと不正アクセス禁止について「情報処理Ⅰ」第2回目、セキュリティに関する基礎知識「情報処理Ⅰ」第10回目
・情報セキュリティ：機密性、完全性、可用性：データ・AIを扱う上での留意事項「情報処理Ⅱ」第14回目</t>
    <phoneticPr fontId="1"/>
  </si>
  <si>
    <t>・データの種類(量的変数、質的変数)：表計算ソフト(Excel)の概要と四則演算・型「情報処理Ⅱ」第3回、基本的な関数とその応用「情報処理Ⅱ」第5回、さまざまなグラフ「情報処理Ⅱ」第7回、回帰分析・統計処理の応用「情報処理Ⅱ」第11回
・データの分布(ヒストグラム)と代表値：度数分布とヒストグラム「情報処理Ⅱ」第8回
・データのばらつき(分散、標準偏差、偏差値)：平均と分散・標準偏差「情報処理Ⅱ」第9回
・相関と因果(相関係数、疑似相関、交絡)：散布図と相関係数「情報処理Ⅱ」第10回</t>
    <phoneticPr fontId="1"/>
  </si>
  <si>
    <t>・データ表現(棒グラフ、折れ線グラフ、散布図、ヒートマップ)：表計算ソフトの概要と四則演算「情報処理実習Ⅱ」第3回、関数の利用「情報処理実習Ⅱ」第5回、さまざまなグラフ「情報処理実習Ⅱ」第7回、度数分布とヒストグラム「情報処理実習Ⅱ」第8回、平均と分散・標準偏差「情報処理実習Ⅱ」第9回、散布図と相関係数「情報処理実習Ⅱ」第10回、推測統計演習「情報処理実習Ⅱ」第11回</t>
    <phoneticPr fontId="1"/>
  </si>
  <si>
    <t>・データ表現(棒グラフ、折れ線グラフ、散布図、ヒートマップ)：表計算ソフト(Excel)の概要と四則演算・型「情報処理Ⅱ」第3回、基本的な関数とその応用「情報処理Ⅱ」第5回、さまざまなグラフ「情報処理Ⅱ」第7回、度数分布とヒストグラム「情報処理Ⅱ」第8回、平均と分散・標準偏差「情報処理Ⅱ」第9回、散布図と相関係数「情報処理Ⅱ」第10回、回帰分析・統計処理の応用「情報処理Ⅱ」第11回</t>
    <phoneticPr fontId="1"/>
  </si>
  <si>
    <t>・データの集計(和、平均)：表計算ソフト(Excel)の概要と四則演算・型「情報処理Ⅱ」第3回、基本的な関数とその応用「情報処理Ⅱ」第5回
・データの並び替え、ランキング：さまざまなグラフ「情報処理Ⅱ」第7回、度数分布とヒストグラム「情報処理Ⅱ」第8回、平均と分散・標準偏差「情報処理Ⅱ」第9回、散布図と相関係数「情報処理Ⅱ」第10回、回帰分析・統計処理の応用「情報処理Ⅱ」第11回
・データ解析ツール(スプレッドシート)：表計算ソフト(Excel)の概要と四則演算・型「情報処理Ⅱ」第3回</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</si>
</sst>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1"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8"/>
      <color theme="1"/>
      <name val="ＭＳ Ｐゴシック"/>
      <family val="3"/>
      <charset val="128"/>
      <scheme val="minor"/>
    </font>
    <font>
      <sz val="6"/>
      <color theme="1"/>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6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hair">
        <color auto="1"/>
      </left>
      <right style="thin">
        <color auto="1"/>
      </right>
      <top/>
      <bottom style="double">
        <color auto="1"/>
      </bottom>
      <diagonal/>
    </border>
    <border>
      <left style="dotted">
        <color auto="1"/>
      </left>
      <right/>
      <top style="dotted">
        <color auto="1"/>
      </top>
      <bottom style="thin">
        <color auto="1"/>
      </bottom>
      <diagonal/>
    </border>
    <border>
      <left style="hair">
        <color auto="1"/>
      </left>
      <right style="thin">
        <color auto="1"/>
      </right>
      <top style="dotted">
        <color auto="1"/>
      </top>
      <bottom style="thin">
        <color auto="1"/>
      </bottom>
      <diagonal/>
    </border>
    <border>
      <left style="dotted">
        <color auto="1"/>
      </left>
      <right/>
      <top/>
      <bottom/>
      <diagonal/>
    </border>
    <border>
      <left style="dotted">
        <color auto="1"/>
      </left>
      <right/>
      <top style="hair">
        <color auto="1"/>
      </top>
      <bottom style="hair">
        <color auto="1"/>
      </bottom>
      <diagonal/>
    </border>
    <border>
      <left style="dotted">
        <color auto="1"/>
      </left>
      <right/>
      <top/>
      <bottom style="double">
        <color auto="1"/>
      </bottom>
      <diagonal/>
    </border>
    <border>
      <left style="thin">
        <color auto="1"/>
      </left>
      <right style="dotted">
        <color auto="1"/>
      </right>
      <top style="hair">
        <color auto="1"/>
      </top>
      <bottom style="hair">
        <color auto="1"/>
      </bottom>
      <diagonal/>
    </border>
    <border>
      <left style="dotted">
        <color auto="1"/>
      </left>
      <right style="hair">
        <color auto="1"/>
      </right>
      <top style="double">
        <color auto="1"/>
      </top>
      <bottom style="thin">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61">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27" xfId="0" applyNumberFormat="1" applyFont="1" applyBorder="1" applyAlignment="1">
      <alignment vertical="center" shrinkToFit="1"/>
    </xf>
    <xf numFmtId="0" fontId="2" fillId="0" borderId="0" xfId="0" applyFont="1" applyAlignment="1">
      <alignment horizontal="left" vertical="center"/>
    </xf>
    <xf numFmtId="0" fontId="2" fillId="0" borderId="14" xfId="0" applyFont="1" applyBorder="1" applyAlignment="1">
      <alignment horizontal="left" vertical="center" shrinkToFit="1"/>
    </xf>
    <xf numFmtId="0" fontId="2" fillId="0" borderId="23" xfId="0" applyFont="1" applyBorder="1" applyAlignment="1">
      <alignment horizontal="left" vertical="center" shrinkToFit="1"/>
    </xf>
    <xf numFmtId="0" fontId="2" fillId="0" borderId="24" xfId="0" applyFont="1" applyBorder="1" applyAlignment="1">
      <alignment horizontal="left" vertical="center" shrinkToFit="1"/>
    </xf>
    <xf numFmtId="0" fontId="2" fillId="0" borderId="28"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0" fontId="9" fillId="0" borderId="11" xfId="0" applyFont="1" applyBorder="1" applyAlignment="1">
      <alignment horizontal="center" vertical="center"/>
    </xf>
    <xf numFmtId="0" fontId="9" fillId="0" borderId="52" xfId="0" applyFont="1" applyBorder="1" applyAlignment="1">
      <alignment horizontal="center" vertical="center"/>
    </xf>
    <xf numFmtId="0" fontId="9" fillId="0" borderId="53" xfId="0" applyFont="1" applyBorder="1" applyAlignment="1">
      <alignment horizontal="center" vertical="center"/>
    </xf>
    <xf numFmtId="9" fontId="2" fillId="0" borderId="60" xfId="0" applyNumberFormat="1" applyFont="1" applyBorder="1" applyAlignment="1">
      <alignment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3"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40" xfId="0" applyFont="1" applyBorder="1" applyAlignment="1">
      <alignment horizontal="center" vertical="center" shrinkToFit="1"/>
    </xf>
    <xf numFmtId="0" fontId="2" fillId="0" borderId="0" xfId="0" applyFont="1" applyAlignment="1">
      <alignment horizontal="center" vertical="center" shrinkToFit="1"/>
    </xf>
    <xf numFmtId="49" fontId="3" fillId="0" borderId="48" xfId="0" applyNumberFormat="1" applyFont="1" applyBorder="1" applyAlignment="1">
      <alignment horizontal="center" vertical="center"/>
    </xf>
    <xf numFmtId="49" fontId="3" fillId="0" borderId="49"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29" xfId="0" applyNumberFormat="1" applyFont="1" applyBorder="1" applyAlignment="1">
      <alignment horizontal="center" vertical="center"/>
    </xf>
    <xf numFmtId="49" fontId="3" fillId="0" borderId="47" xfId="0" applyNumberFormat="1" applyFont="1" applyBorder="1" applyAlignment="1">
      <alignment horizontal="center" vertical="center"/>
    </xf>
    <xf numFmtId="49" fontId="3" fillId="0" borderId="32"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2" fillId="0" borderId="0" xfId="0" applyFont="1" applyAlignment="1">
      <alignment horizontal="left" vertical="center" shrinkToFit="1"/>
    </xf>
    <xf numFmtId="0" fontId="2" fillId="0" borderId="10" xfId="0" applyFont="1" applyBorder="1" applyAlignment="1">
      <alignment horizontal="right" vertical="center"/>
    </xf>
    <xf numFmtId="0" fontId="5" fillId="0" borderId="0" xfId="0" applyFont="1" applyAlignment="1">
      <alignment horizontal="center" vertical="center"/>
    </xf>
    <xf numFmtId="0" fontId="2" fillId="0" borderId="5" xfId="0" applyFont="1" applyBorder="1">
      <alignmen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3" fillId="0" borderId="0" xfId="0" applyFont="1" applyAlignment="1">
      <alignment vertical="center" wrapTex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42" xfId="0" applyFont="1" applyFill="1" applyBorder="1" applyAlignment="1">
      <alignment vertical="top" wrapText="1"/>
    </xf>
    <xf numFmtId="0" fontId="3" fillId="2" borderId="43" xfId="0" applyFont="1" applyFill="1" applyBorder="1" applyAlignment="1">
      <alignment vertical="top" wrapText="1"/>
    </xf>
    <xf numFmtId="0" fontId="3" fillId="2" borderId="42"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43" xfId="0" applyFont="1" applyFill="1" applyBorder="1" applyAlignment="1">
      <alignment vertical="top" shrinkToFi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50"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54" xfId="2" applyFont="1" applyBorder="1" applyAlignment="1">
      <alignment vertical="center" shrinkToFit="1"/>
    </xf>
    <xf numFmtId="38" fontId="2" fillId="0" borderId="30" xfId="2" applyFont="1" applyBorder="1" applyAlignment="1">
      <alignment vertical="center" shrinkToFit="1"/>
    </xf>
    <xf numFmtId="38" fontId="2" fillId="0" borderId="23"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57" xfId="2" applyFont="1" applyBorder="1" applyAlignment="1">
      <alignment vertical="center" shrinkToFit="1"/>
    </xf>
    <xf numFmtId="38" fontId="2" fillId="0" borderId="55" xfId="2" applyFont="1" applyBorder="1" applyAlignment="1">
      <alignment vertical="center" shrinkToFit="1"/>
    </xf>
    <xf numFmtId="38" fontId="2" fillId="0" borderId="32" xfId="2" applyFont="1" applyBorder="1" applyAlignment="1">
      <alignment vertical="center" shrinkToFit="1"/>
    </xf>
    <xf numFmtId="38" fontId="2" fillId="0" borderId="18" xfId="2" applyFont="1" applyBorder="1" applyAlignment="1">
      <alignment vertical="center" shrinkToFit="1"/>
    </xf>
    <xf numFmtId="38" fontId="2" fillId="0" borderId="10" xfId="2" applyFont="1" applyBorder="1" applyAlignment="1">
      <alignment vertical="center" shrinkToFit="1"/>
    </xf>
    <xf numFmtId="38" fontId="2" fillId="0" borderId="56" xfId="2" applyFont="1" applyBorder="1" applyAlignment="1">
      <alignment vertical="center" shrinkToFit="1"/>
    </xf>
    <xf numFmtId="38" fontId="2" fillId="0" borderId="51" xfId="2" applyFont="1" applyBorder="1" applyAlignment="1">
      <alignment vertical="center" shrinkToFit="1"/>
    </xf>
    <xf numFmtId="38" fontId="2" fillId="0" borderId="28" xfId="2" applyFont="1" applyBorder="1" applyAlignment="1">
      <alignment vertical="center" shrinkToFit="1"/>
    </xf>
    <xf numFmtId="38" fontId="2" fillId="0" borderId="26" xfId="2" applyFont="1" applyBorder="1" applyAlignment="1">
      <alignment vertical="center" shrinkToFit="1"/>
    </xf>
    <xf numFmtId="38" fontId="2" fillId="0" borderId="25" xfId="2" applyFont="1" applyBorder="1" applyAlignment="1">
      <alignment vertical="center" shrinkToFit="1"/>
    </xf>
    <xf numFmtId="38" fontId="2" fillId="0" borderId="58" xfId="2" applyFont="1" applyBorder="1" applyAlignment="1">
      <alignment vertical="center" shrinkToFit="1"/>
    </xf>
    <xf numFmtId="38" fontId="2" fillId="0" borderId="33" xfId="2" applyFont="1" applyBorder="1" applyAlignment="1">
      <alignment vertical="center" shrinkToFit="1"/>
    </xf>
    <xf numFmtId="9" fontId="2" fillId="0" borderId="14" xfId="0" applyNumberFormat="1" applyFont="1" applyBorder="1" applyAlignment="1">
      <alignment vertical="center" shrinkToFit="1"/>
    </xf>
    <xf numFmtId="9" fontId="2" fillId="0" borderId="23" xfId="0" applyNumberFormat="1" applyFont="1" applyBorder="1" applyAlignment="1">
      <alignment horizontal="right" vertical="center" shrinkToFit="1"/>
    </xf>
    <xf numFmtId="9" fontId="2" fillId="0" borderId="10" xfId="0" applyNumberFormat="1" applyFont="1" applyBorder="1" applyAlignment="1">
      <alignment horizontal="right" vertical="center" shrinkToFit="1"/>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2" fillId="0" borderId="19" xfId="0" applyFont="1" applyBorder="1" applyAlignment="1">
      <alignment vertical="center" shrinkToFit="1"/>
    </xf>
    <xf numFmtId="0" fontId="2" fillId="0" borderId="20" xfId="0" applyFont="1" applyBorder="1" applyAlignment="1">
      <alignment vertical="center" shrinkToFit="1"/>
    </xf>
    <xf numFmtId="0" fontId="2" fillId="0" borderId="18" xfId="0" applyFont="1" applyBorder="1" applyAlignment="1">
      <alignment vertical="center" shrinkToFit="1"/>
    </xf>
    <xf numFmtId="0" fontId="2" fillId="0" borderId="37" xfId="0" applyFont="1" applyBorder="1" applyAlignment="1">
      <alignment vertical="center" shrinkToFit="1"/>
    </xf>
    <xf numFmtId="0" fontId="2" fillId="0" borderId="38" xfId="0" applyFont="1" applyBorder="1" applyAlignment="1">
      <alignment vertical="center" shrinkToFit="1"/>
    </xf>
    <xf numFmtId="0" fontId="2" fillId="0" borderId="39" xfId="0" applyFont="1" applyBorder="1" applyAlignment="1">
      <alignment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0" xfId="0" applyFont="1" applyAlignment="1">
      <alignment vertical="center" wrapText="1"/>
    </xf>
    <xf numFmtId="0" fontId="2" fillId="0" borderId="34" xfId="0" applyFont="1" applyBorder="1" applyAlignment="1">
      <alignment vertical="center" shrinkToFit="1"/>
    </xf>
    <xf numFmtId="0" fontId="2" fillId="0" borderId="36" xfId="0" applyFont="1" applyBorder="1" applyAlignment="1">
      <alignment vertical="center" shrinkToFit="1"/>
    </xf>
    <xf numFmtId="0" fontId="2" fillId="0" borderId="35" xfId="0" applyFont="1" applyBorder="1" applyAlignment="1">
      <alignment vertical="center" shrinkToFit="1"/>
    </xf>
    <xf numFmtId="0" fontId="2" fillId="0" borderId="0" xfId="0" applyFont="1" applyAlignment="1">
      <alignment horizontal="right" vertical="center"/>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4" xfId="0" applyFont="1" applyBorder="1" applyAlignment="1">
      <alignment horizontal="center" vertical="center" shrinkToFit="1"/>
    </xf>
    <xf numFmtId="0" fontId="2" fillId="0" borderId="2" xfId="0" applyFont="1" applyBorder="1" applyAlignment="1">
      <alignment horizontal="center" vertical="center" shrinkToFit="1"/>
    </xf>
    <xf numFmtId="0" fontId="2" fillId="0" borderId="3" xfId="0" applyFont="1" applyBorder="1" applyAlignment="1">
      <alignment horizontal="center" vertical="center" shrinkToFit="1"/>
    </xf>
    <xf numFmtId="0" fontId="2" fillId="0" borderId="4" xfId="0" applyFont="1" applyBorder="1" applyAlignment="1">
      <alignment horizontal="center" vertical="center" shrinkToFit="1"/>
    </xf>
    <xf numFmtId="0" fontId="6" fillId="0" borderId="0" xfId="0" applyFont="1" applyAlignment="1">
      <alignment horizontal="center" vertical="center"/>
    </xf>
    <xf numFmtId="0" fontId="2" fillId="0" borderId="7" xfId="0" applyFont="1" applyBorder="1" applyAlignment="1">
      <alignment horizontal="left" vertical="top" wrapText="1"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Alignment="1">
      <alignment horizontal="left" vertical="top" wrapText="1" shrinkToFit="1"/>
    </xf>
    <xf numFmtId="0" fontId="2" fillId="0" borderId="10"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37" xfId="0" applyFont="1" applyBorder="1" applyAlignment="1">
      <alignment horizontal="center" vertical="center" shrinkToFit="1"/>
    </xf>
    <xf numFmtId="0" fontId="2" fillId="0" borderId="38" xfId="0" applyFont="1" applyBorder="1" applyAlignment="1">
      <alignment horizontal="center" vertical="center" shrinkToFit="1"/>
    </xf>
    <xf numFmtId="0" fontId="2" fillId="0" borderId="39"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8" xfId="0" applyFont="1" applyBorder="1" applyAlignment="1">
      <alignment horizontal="center" vertical="center" shrinkToFit="1"/>
    </xf>
    <xf numFmtId="0" fontId="2" fillId="0" borderId="22" xfId="0" applyFont="1" applyBorder="1" applyAlignment="1">
      <alignment horizontal="left" vertical="center" wrapText="1" shrinkToFit="1"/>
    </xf>
    <xf numFmtId="0" fontId="2" fillId="0" borderId="22"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36" xfId="0" applyFont="1" applyBorder="1" applyAlignment="1">
      <alignment horizontal="left" vertical="center" wrapText="1" shrinkToFit="1"/>
    </xf>
    <xf numFmtId="0" fontId="2" fillId="0" borderId="36" xfId="0" applyFont="1" applyBorder="1" applyAlignment="1">
      <alignment horizontal="left" vertical="center" shrinkToFit="1"/>
    </xf>
    <xf numFmtId="0" fontId="2" fillId="0" borderId="35" xfId="0" applyFont="1" applyBorder="1" applyAlignment="1">
      <alignment horizontal="left" vertical="center" shrinkToFit="1"/>
    </xf>
    <xf numFmtId="0" fontId="2" fillId="0" borderId="6" xfId="0" applyFont="1" applyBorder="1" applyAlignment="1">
      <alignment horizontal="left" vertical="center" wrapText="1" shrinkToFit="1"/>
    </xf>
    <xf numFmtId="0" fontId="2" fillId="0" borderId="6" xfId="0" applyFont="1" applyBorder="1" applyAlignment="1">
      <alignment horizontal="left" vertical="center" shrinkToFit="1"/>
    </xf>
    <xf numFmtId="0" fontId="2" fillId="0" borderId="12" xfId="0" applyFont="1" applyBorder="1" applyAlignment="1">
      <alignment horizontal="left" vertical="center" shrinkToFit="1"/>
    </xf>
    <xf numFmtId="0" fontId="2" fillId="0" borderId="38" xfId="0" applyFont="1" applyBorder="1" applyAlignment="1">
      <alignment horizontal="left" vertical="center" wrapText="1" shrinkToFit="1"/>
    </xf>
    <xf numFmtId="0" fontId="2" fillId="0" borderId="38" xfId="0" applyFont="1" applyBorder="1" applyAlignment="1">
      <alignment horizontal="left" vertical="center" shrinkToFit="1"/>
    </xf>
    <xf numFmtId="0" fontId="2" fillId="0" borderId="39" xfId="0" applyFont="1" applyBorder="1" applyAlignment="1">
      <alignment horizontal="left" vertical="center" shrinkToFit="1"/>
    </xf>
    <xf numFmtId="0" fontId="2" fillId="0" borderId="19" xfId="0" applyFont="1" applyBorder="1" applyAlignment="1">
      <alignment vertical="center" wrapText="1"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3" fillId="0" borderId="45" xfId="0" applyFont="1" applyBorder="1" applyAlignment="1">
      <alignment vertical="center" wrapText="1"/>
    </xf>
    <xf numFmtId="0" fontId="3" fillId="0" borderId="46" xfId="0" applyFont="1" applyBorder="1" applyAlignment="1">
      <alignment vertical="center" wrapText="1"/>
    </xf>
    <xf numFmtId="0" fontId="3" fillId="0" borderId="31" xfId="0" applyFont="1" applyBorder="1" applyAlignment="1">
      <alignment vertical="center" wrapText="1"/>
    </xf>
    <xf numFmtId="0" fontId="2" fillId="0" borderId="36" xfId="0" applyFont="1" applyBorder="1" applyAlignment="1">
      <alignment vertical="center" wrapText="1" shrinkToFit="1"/>
    </xf>
    <xf numFmtId="0" fontId="2" fillId="0" borderId="6" xfId="0" applyFont="1" applyBorder="1" applyAlignment="1">
      <alignment vertical="center" wrapText="1" shrinkToFit="1"/>
    </xf>
    <xf numFmtId="0" fontId="2" fillId="0" borderId="6" xfId="0" applyFont="1" applyBorder="1" applyAlignment="1">
      <alignment vertical="center" shrinkToFit="1"/>
    </xf>
    <xf numFmtId="0" fontId="2" fillId="0" borderId="12" xfId="0" applyFont="1" applyBorder="1" applyAlignment="1">
      <alignment vertical="center" shrinkToFit="1"/>
    </xf>
    <xf numFmtId="0" fontId="2" fillId="0" borderId="8" xfId="0" applyFont="1" applyBorder="1" applyAlignment="1">
      <alignment horizontal="left" vertical="center" wrapText="1" shrinkToFit="1"/>
    </xf>
    <xf numFmtId="0" fontId="2" fillId="0" borderId="8" xfId="0" applyFont="1" applyBorder="1" applyAlignment="1">
      <alignment horizontal="left" vertical="center" shrinkToFit="1"/>
    </xf>
    <xf numFmtId="0" fontId="2" fillId="0" borderId="9" xfId="0" applyFont="1" applyBorder="1" applyAlignment="1">
      <alignment horizontal="left" vertical="center" shrinkToFi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34" xfId="0" applyFont="1" applyBorder="1" applyAlignment="1">
      <alignment horizontal="center" vertical="center" shrinkToFit="1"/>
    </xf>
    <xf numFmtId="0" fontId="2" fillId="0" borderId="36"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12" xfId="0" applyFont="1" applyBorder="1" applyAlignment="1">
      <alignment horizontal="left" vertical="center" wrapText="1" shrinkToFit="1"/>
    </xf>
    <xf numFmtId="0" fontId="2" fillId="0" borderId="37" xfId="0" applyFont="1" applyBorder="1" applyAlignment="1">
      <alignment horizontal="left" vertical="center" wrapText="1" shrinkToFit="1"/>
    </xf>
    <xf numFmtId="0" fontId="2" fillId="0" borderId="39" xfId="0" applyFont="1" applyBorder="1" applyAlignment="1">
      <alignment horizontal="left" vertical="center" wrapText="1" shrinkToFit="1"/>
    </xf>
    <xf numFmtId="0" fontId="5" fillId="0" borderId="16" xfId="0" applyFont="1" applyBorder="1" applyAlignment="1">
      <alignment horizontal="center" vertical="center"/>
    </xf>
    <xf numFmtId="0" fontId="5" fillId="0" borderId="22" xfId="0" applyFont="1" applyBorder="1" applyAlignment="1">
      <alignment horizontal="center" vertical="center"/>
    </xf>
    <xf numFmtId="0" fontId="2" fillId="0" borderId="14" xfId="0" applyFont="1" applyBorder="1" applyAlignment="1">
      <alignment horizontal="center" vertical="center"/>
    </xf>
    <xf numFmtId="0" fontId="2" fillId="0" borderId="1" xfId="0" applyFont="1" applyBorder="1" applyAlignment="1">
      <alignment horizontal="center" vertical="center"/>
    </xf>
    <xf numFmtId="0" fontId="2" fillId="0" borderId="15" xfId="0" applyFont="1" applyBorder="1" applyAlignment="1">
      <alignment horizontal="center" vertical="center"/>
    </xf>
    <xf numFmtId="0" fontId="2" fillId="0" borderId="50"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0" xfId="0" applyFont="1" applyAlignment="1">
      <alignment horizontal="center" vertical="center" wrapText="1"/>
    </xf>
    <xf numFmtId="0" fontId="7" fillId="0" borderId="6" xfId="0" applyFont="1" applyBorder="1" applyAlignment="1">
      <alignment horizontal="center" vertical="center"/>
    </xf>
    <xf numFmtId="0" fontId="7" fillId="0" borderId="7" xfId="0" applyFont="1" applyBorder="1" applyAlignment="1">
      <alignment horizontal="center" vertical="center" wrapText="1"/>
    </xf>
    <xf numFmtId="0" fontId="7" fillId="0" borderId="5" xfId="0" applyFont="1" applyBorder="1" applyAlignment="1">
      <alignment horizontal="center" vertical="center" wrapText="1"/>
    </xf>
    <xf numFmtId="0" fontId="7" fillId="0" borderId="11" xfId="0" applyFont="1" applyBorder="1" applyAlignment="1">
      <alignment horizontal="center" vertical="center"/>
    </xf>
    <xf numFmtId="0" fontId="8" fillId="0" borderId="15" xfId="0" applyFont="1" applyBorder="1" applyAlignment="1">
      <alignment horizontal="center" vertical="center" wrapText="1"/>
    </xf>
    <xf numFmtId="0" fontId="8" fillId="0" borderId="50" xfId="0" applyFont="1" applyBorder="1" applyAlignment="1">
      <alignment horizontal="center" vertical="center" wrapText="1"/>
    </xf>
    <xf numFmtId="0" fontId="8" fillId="0" borderId="13" xfId="0" applyFont="1" applyBorder="1" applyAlignment="1">
      <alignment horizontal="center" vertical="center"/>
    </xf>
    <xf numFmtId="0" fontId="7" fillId="0" borderId="9" xfId="0" applyFont="1" applyBorder="1" applyAlignment="1">
      <alignment horizontal="center" vertical="center"/>
    </xf>
    <xf numFmtId="0" fontId="7" fillId="0" borderId="10"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50" xfId="0" applyFont="1" applyBorder="1" applyAlignment="1">
      <alignment horizontal="center" vertical="center" wrapText="1"/>
    </xf>
    <xf numFmtId="0" fontId="7" fillId="0" borderId="13" xfId="0" applyFont="1" applyBorder="1" applyAlignment="1">
      <alignment horizontal="center" vertical="center"/>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0" xfId="0" applyFont="1" applyBorder="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0" xfId="0" applyFont="1">
      <alignment vertical="center"/>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17" xfId="0" applyFont="1" applyBorder="1" applyAlignment="1">
      <alignment vertical="center" wrapText="1"/>
    </xf>
    <xf numFmtId="0" fontId="2" fillId="0" borderId="18" xfId="0" applyFont="1" applyBorder="1" applyAlignment="1">
      <alignment vertical="center" wrapText="1"/>
    </xf>
    <xf numFmtId="0" fontId="2" fillId="0" borderId="20" xfId="0" applyFont="1" applyBorder="1" applyAlignment="1">
      <alignment vertical="top" wrapText="1" shrinkToFit="1"/>
    </xf>
    <xf numFmtId="0" fontId="2" fillId="0" borderId="18" xfId="0" applyFont="1" applyBorder="1" applyAlignment="1">
      <alignment vertical="top" wrapText="1" shrinkToFit="1"/>
    </xf>
    <xf numFmtId="0" fontId="2" fillId="0" borderId="59" xfId="0" applyFont="1" applyBorder="1" applyAlignment="1">
      <alignment vertical="center" wrapText="1"/>
    </xf>
    <xf numFmtId="0" fontId="2" fillId="0" borderId="39" xfId="0" applyFont="1" applyBorder="1" applyAlignment="1">
      <alignment vertical="center" wrapText="1"/>
    </xf>
    <xf numFmtId="0" fontId="2" fillId="0" borderId="38" xfId="0" applyFont="1" applyBorder="1" applyAlignment="1">
      <alignment vertical="top" wrapText="1" shrinkToFit="1"/>
    </xf>
    <xf numFmtId="0" fontId="2" fillId="0" borderId="39" xfId="0" applyFont="1" applyBorder="1" applyAlignment="1">
      <alignment vertical="top" wrapText="1" shrinkToFit="1"/>
    </xf>
    <xf numFmtId="0" fontId="2" fillId="0" borderId="41" xfId="0" applyFont="1" applyBorder="1" applyAlignment="1">
      <alignment vertical="center" wrapText="1"/>
    </xf>
    <xf numFmtId="0" fontId="2" fillId="0" borderId="42" xfId="0" applyFont="1" applyBorder="1" applyAlignment="1">
      <alignment vertical="center" wrapText="1"/>
    </xf>
    <xf numFmtId="0" fontId="2" fillId="0" borderId="43" xfId="0" applyFont="1" applyBorder="1" applyAlignment="1">
      <alignment vertical="center" wrapText="1"/>
    </xf>
    <xf numFmtId="0" fontId="2" fillId="0" borderId="42" xfId="0" applyFont="1" applyBorder="1" applyAlignment="1">
      <alignment vertical="top" wrapText="1" shrinkToFit="1"/>
    </xf>
    <xf numFmtId="0" fontId="2" fillId="0" borderId="43" xfId="0" applyFont="1" applyBorder="1" applyAlignment="1">
      <alignment vertical="top" wrapText="1" shrinkToFit="1"/>
    </xf>
    <xf numFmtId="0" fontId="2" fillId="0" borderId="19" xfId="0" applyFont="1" applyBorder="1" applyAlignment="1">
      <alignment vertical="top" wrapText="1" shrinkToFit="1"/>
    </xf>
    <xf numFmtId="0" fontId="2" fillId="0" borderId="37" xfId="0" applyFont="1" applyBorder="1" applyAlignment="1">
      <alignment vertical="top" wrapText="1" shrinkToFit="1"/>
    </xf>
    <xf numFmtId="0" fontId="2" fillId="0" borderId="17" xfId="0" applyFont="1" applyBorder="1">
      <alignment vertical="center"/>
    </xf>
    <xf numFmtId="0" fontId="5" fillId="0" borderId="18" xfId="0" applyFont="1" applyBorder="1">
      <alignment vertical="center"/>
    </xf>
    <xf numFmtId="0" fontId="2" fillId="0" borderId="3" xfId="0" applyFont="1" applyBorder="1" applyAlignment="1">
      <alignment horizontal="left" vertical="center"/>
    </xf>
    <xf numFmtId="0" fontId="2" fillId="0" borderId="4" xfId="0" applyFont="1" applyBorder="1" applyAlignment="1">
      <alignment horizontal="left" vertical="center"/>
    </xf>
  </cellXfs>
  <cellStyles count="3">
    <cellStyle name="パーセント" xfId="1" builtinId="5"/>
    <cellStyle name="桁区切り" xfId="2" builtinId="6"/>
    <cellStyle name="標準" xfId="0" builtinId="0"/>
  </cellStyles>
  <dxfs count="2">
    <dxf>
      <font>
        <color theme="0" tint="-0.34998626667073579"/>
      </font>
      <fill>
        <patternFill>
          <bgColor theme="0" tint="-0.34998626667073579"/>
        </patternFill>
      </fill>
    </dxf>
    <dxf>
      <font>
        <color theme="0" tint="-0.34998626667073579"/>
      </font>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pageSetUpPr fitToPage="1"/>
  </sheetPr>
  <dimension ref="A1:V110"/>
  <sheetViews>
    <sheetView showZeros="0" tabSelected="1" view="pageBreakPreview" zoomScaleNormal="100" zoomScaleSheetLayoutView="100" workbookViewId="0">
      <selection activeCell="L2" sqref="L2"/>
    </sheetView>
  </sheetViews>
  <sheetFormatPr defaultColWidth="9" defaultRowHeight="18.75" customHeight="1" x14ac:dyDescent="0.2"/>
  <cols>
    <col min="1" max="1" width="2.453125" style="1" customWidth="1"/>
    <col min="2" max="2" width="16.453125" style="1" customWidth="1"/>
    <col min="3" max="19" width="5.6328125" style="1" customWidth="1"/>
    <col min="20" max="20" width="9" style="1"/>
    <col min="21" max="21" width="3.6328125" style="1" customWidth="1"/>
    <col min="22" max="22" width="48.6328125" style="1" hidden="1" customWidth="1"/>
    <col min="23" max="16384" width="9" style="1"/>
  </cols>
  <sheetData>
    <row r="1" spans="1:22" ht="18.649999999999999" customHeight="1" x14ac:dyDescent="0.2">
      <c r="R1" s="101" t="s">
        <v>150</v>
      </c>
      <c r="S1" s="101"/>
      <c r="T1" s="2" t="s">
        <v>109</v>
      </c>
    </row>
    <row r="2" spans="1:22" ht="18.75" customHeight="1" x14ac:dyDescent="0.2">
      <c r="B2" s="31" t="s">
        <v>108</v>
      </c>
      <c r="C2" s="94" t="s">
        <v>126</v>
      </c>
      <c r="D2" s="95"/>
      <c r="E2" s="95"/>
      <c r="F2" s="95"/>
      <c r="G2" s="95"/>
      <c r="H2" s="95"/>
      <c r="I2" s="96"/>
      <c r="J2" s="32"/>
      <c r="K2" s="6"/>
      <c r="L2" s="6"/>
      <c r="M2" s="6"/>
      <c r="N2" s="6"/>
      <c r="O2" s="6"/>
      <c r="P2" s="6"/>
      <c r="Q2" s="6"/>
      <c r="R2" s="6"/>
      <c r="S2" s="6"/>
    </row>
    <row r="3" spans="1:22" ht="18.75" customHeight="1" x14ac:dyDescent="0.2">
      <c r="B3" s="31" t="s">
        <v>102</v>
      </c>
      <c r="C3" s="105" t="s">
        <v>167</v>
      </c>
      <c r="D3" s="106"/>
      <c r="E3" s="106"/>
      <c r="F3" s="106"/>
      <c r="G3" s="106"/>
      <c r="H3" s="106"/>
      <c r="I3" s="107"/>
      <c r="J3" s="32"/>
      <c r="K3" s="6"/>
      <c r="L3" s="6"/>
      <c r="M3" s="6"/>
      <c r="N3" s="6"/>
      <c r="O3" s="6"/>
      <c r="P3" s="6"/>
      <c r="Q3" s="6"/>
      <c r="R3" s="6"/>
      <c r="S3" s="6"/>
    </row>
    <row r="4" spans="1:22" ht="15" customHeight="1" x14ac:dyDescent="0.2">
      <c r="K4" s="32"/>
      <c r="L4" s="34"/>
      <c r="M4" s="34"/>
      <c r="N4" s="34"/>
      <c r="O4" s="34"/>
      <c r="P4" s="34"/>
      <c r="Q4" s="34"/>
      <c r="R4" s="34"/>
      <c r="S4" s="34"/>
    </row>
    <row r="5" spans="1:22" ht="18" customHeight="1" x14ac:dyDescent="0.2">
      <c r="A5" s="108" t="s">
        <v>38</v>
      </c>
      <c r="B5" s="108"/>
      <c r="C5" s="108"/>
      <c r="D5" s="108"/>
      <c r="E5" s="108"/>
      <c r="F5" s="108"/>
      <c r="G5" s="108"/>
      <c r="H5" s="108"/>
      <c r="I5" s="108"/>
      <c r="J5" s="108"/>
      <c r="K5" s="108"/>
      <c r="L5" s="108"/>
      <c r="M5" s="108"/>
      <c r="N5" s="108"/>
      <c r="O5" s="108"/>
      <c r="P5" s="108"/>
      <c r="Q5" s="108"/>
      <c r="R5" s="108"/>
      <c r="S5" s="108"/>
    </row>
    <row r="6" spans="1:22" ht="15" customHeight="1" x14ac:dyDescent="0.2">
      <c r="B6" s="3"/>
      <c r="C6" s="3"/>
      <c r="D6" s="3"/>
      <c r="E6" s="3"/>
      <c r="F6" s="3"/>
      <c r="G6" s="3"/>
      <c r="H6" s="3"/>
      <c r="I6" s="3"/>
      <c r="J6" s="3"/>
      <c r="K6" s="3"/>
      <c r="L6" s="3"/>
      <c r="M6" s="3"/>
      <c r="N6" s="3"/>
      <c r="O6" s="3"/>
      <c r="P6" s="3"/>
      <c r="Q6" s="3"/>
      <c r="R6" s="3"/>
      <c r="S6" s="3"/>
    </row>
    <row r="7" spans="1:22" ht="18" customHeight="1" x14ac:dyDescent="0.2">
      <c r="A7" s="1" t="s">
        <v>124</v>
      </c>
      <c r="C7" s="3"/>
      <c r="J7" s="35" t="s">
        <v>107</v>
      </c>
      <c r="K7" s="118" t="s">
        <v>128</v>
      </c>
      <c r="L7" s="119"/>
      <c r="M7" s="119"/>
      <c r="N7" s="119"/>
      <c r="O7" s="119"/>
      <c r="P7" s="119"/>
      <c r="Q7" s="119"/>
      <c r="R7" s="119"/>
      <c r="S7" s="120"/>
    </row>
    <row r="8" spans="1:22" ht="6" customHeight="1" x14ac:dyDescent="0.2">
      <c r="B8" s="3"/>
      <c r="C8" s="3"/>
      <c r="D8" s="3"/>
      <c r="E8" s="3"/>
      <c r="F8" s="3"/>
      <c r="G8" s="3"/>
      <c r="H8" s="3"/>
      <c r="I8" s="3"/>
      <c r="J8" s="3"/>
      <c r="K8" s="8"/>
      <c r="L8" s="3"/>
      <c r="M8" s="3"/>
      <c r="N8" s="3"/>
      <c r="O8" s="3"/>
      <c r="P8" s="3"/>
      <c r="Q8" s="3"/>
      <c r="R8" s="3"/>
      <c r="S8" s="3"/>
    </row>
    <row r="9" spans="1:22" ht="18" customHeight="1" x14ac:dyDescent="0.2">
      <c r="B9" s="82" t="s">
        <v>152</v>
      </c>
      <c r="C9" s="83"/>
      <c r="D9" s="83"/>
      <c r="E9" s="83"/>
      <c r="F9" s="83"/>
      <c r="G9" s="83"/>
      <c r="H9" s="83"/>
      <c r="I9" s="83"/>
      <c r="J9" s="83"/>
      <c r="K9" s="83"/>
      <c r="L9" s="83"/>
      <c r="M9" s="83"/>
      <c r="N9" s="83"/>
      <c r="O9" s="83"/>
      <c r="P9" s="83"/>
      <c r="Q9" s="83"/>
      <c r="R9" s="83"/>
      <c r="S9" s="84"/>
    </row>
    <row r="10" spans="1:22" ht="18" customHeight="1" x14ac:dyDescent="0.2">
      <c r="B10" s="85"/>
      <c r="C10" s="86"/>
      <c r="D10" s="86"/>
      <c r="E10" s="86"/>
      <c r="F10" s="86"/>
      <c r="G10" s="86"/>
      <c r="H10" s="86"/>
      <c r="I10" s="86"/>
      <c r="J10" s="86"/>
      <c r="K10" s="86"/>
      <c r="L10" s="86"/>
      <c r="M10" s="86"/>
      <c r="N10" s="86"/>
      <c r="O10" s="86"/>
      <c r="P10" s="86"/>
      <c r="Q10" s="86"/>
      <c r="R10" s="86"/>
      <c r="S10" s="87"/>
    </row>
    <row r="11" spans="1:22" ht="6" customHeight="1" x14ac:dyDescent="0.2">
      <c r="B11" s="3"/>
      <c r="C11" s="3"/>
      <c r="D11" s="3"/>
      <c r="E11" s="3"/>
      <c r="F11" s="3"/>
      <c r="G11" s="3"/>
      <c r="H11" s="3"/>
      <c r="I11" s="3"/>
      <c r="J11" s="3"/>
      <c r="K11" s="8"/>
      <c r="L11" s="3"/>
      <c r="M11" s="3"/>
      <c r="N11" s="3"/>
      <c r="O11" s="3"/>
      <c r="P11" s="3"/>
      <c r="Q11" s="3"/>
      <c r="R11" s="3"/>
      <c r="S11" s="3"/>
    </row>
    <row r="12" spans="1:22" ht="18" customHeight="1" x14ac:dyDescent="0.2">
      <c r="A12" s="1" t="s">
        <v>111</v>
      </c>
      <c r="B12" s="3"/>
      <c r="C12" s="3"/>
      <c r="D12" s="32"/>
      <c r="E12" s="32"/>
      <c r="F12" s="32"/>
      <c r="G12" s="32"/>
      <c r="H12" s="32"/>
      <c r="I12" s="32"/>
      <c r="J12" s="32"/>
      <c r="K12" s="36"/>
      <c r="L12" s="36"/>
      <c r="M12" s="36"/>
      <c r="N12" s="36"/>
      <c r="O12" s="36"/>
      <c r="P12" s="36"/>
      <c r="Q12" s="36"/>
      <c r="R12" s="36"/>
      <c r="S12" s="36"/>
    </row>
    <row r="13" spans="1:22" ht="18" customHeight="1" x14ac:dyDescent="0.2">
      <c r="B13" s="109" t="s">
        <v>156</v>
      </c>
      <c r="C13" s="110"/>
      <c r="D13" s="110"/>
      <c r="E13" s="110"/>
      <c r="F13" s="110"/>
      <c r="G13" s="110"/>
      <c r="H13" s="110"/>
      <c r="I13" s="110"/>
      <c r="J13" s="110"/>
      <c r="K13" s="110"/>
      <c r="L13" s="110"/>
      <c r="M13" s="110"/>
      <c r="N13" s="110"/>
      <c r="O13" s="110"/>
      <c r="P13" s="110"/>
      <c r="Q13" s="110"/>
      <c r="R13" s="110"/>
      <c r="S13" s="111"/>
      <c r="V13" s="1" t="s">
        <v>103</v>
      </c>
    </row>
    <row r="14" spans="1:22" ht="18" customHeight="1" x14ac:dyDescent="0.2">
      <c r="B14" s="112"/>
      <c r="C14" s="113"/>
      <c r="D14" s="113"/>
      <c r="E14" s="113"/>
      <c r="F14" s="113"/>
      <c r="G14" s="113"/>
      <c r="H14" s="113"/>
      <c r="I14" s="113"/>
      <c r="J14" s="113"/>
      <c r="K14" s="113"/>
      <c r="L14" s="113"/>
      <c r="M14" s="113"/>
      <c r="N14" s="113"/>
      <c r="O14" s="113"/>
      <c r="P14" s="113"/>
      <c r="Q14" s="113"/>
      <c r="R14" s="113"/>
      <c r="S14" s="114"/>
      <c r="V14" s="1" t="s">
        <v>110</v>
      </c>
    </row>
    <row r="15" spans="1:22" ht="18" customHeight="1" x14ac:dyDescent="0.2">
      <c r="B15" s="112"/>
      <c r="C15" s="113"/>
      <c r="D15" s="113"/>
      <c r="E15" s="113"/>
      <c r="F15" s="113"/>
      <c r="G15" s="113"/>
      <c r="H15" s="113"/>
      <c r="I15" s="113"/>
      <c r="J15" s="113"/>
      <c r="K15" s="113"/>
      <c r="L15" s="113"/>
      <c r="M15" s="113"/>
      <c r="N15" s="113"/>
      <c r="O15" s="113"/>
      <c r="P15" s="113"/>
      <c r="Q15" s="113"/>
      <c r="R15" s="113"/>
      <c r="S15" s="114"/>
      <c r="V15" s="1" t="s">
        <v>123</v>
      </c>
    </row>
    <row r="16" spans="1:22" ht="18" customHeight="1" x14ac:dyDescent="0.2">
      <c r="B16" s="112"/>
      <c r="C16" s="113"/>
      <c r="D16" s="113"/>
      <c r="E16" s="113"/>
      <c r="F16" s="113"/>
      <c r="G16" s="113"/>
      <c r="H16" s="113"/>
      <c r="I16" s="113"/>
      <c r="J16" s="113"/>
      <c r="K16" s="113"/>
      <c r="L16" s="113"/>
      <c r="M16" s="113"/>
      <c r="N16" s="113"/>
      <c r="O16" s="113"/>
      <c r="P16" s="113"/>
      <c r="Q16" s="113"/>
      <c r="R16" s="113"/>
      <c r="S16" s="114"/>
      <c r="V16" s="1" t="s">
        <v>125</v>
      </c>
    </row>
    <row r="17" spans="1:19" ht="18" customHeight="1" x14ac:dyDescent="0.2">
      <c r="B17" s="112"/>
      <c r="C17" s="113"/>
      <c r="D17" s="113"/>
      <c r="E17" s="113"/>
      <c r="F17" s="113"/>
      <c r="G17" s="113"/>
      <c r="H17" s="113"/>
      <c r="I17" s="113"/>
      <c r="J17" s="113"/>
      <c r="K17" s="113"/>
      <c r="L17" s="113"/>
      <c r="M17" s="113"/>
      <c r="N17" s="113"/>
      <c r="O17" s="113"/>
      <c r="P17" s="113"/>
      <c r="Q17" s="113"/>
      <c r="R17" s="113"/>
      <c r="S17" s="114"/>
    </row>
    <row r="18" spans="1:19" ht="18" customHeight="1" x14ac:dyDescent="0.2">
      <c r="B18" s="115"/>
      <c r="C18" s="116"/>
      <c r="D18" s="116"/>
      <c r="E18" s="116"/>
      <c r="F18" s="116"/>
      <c r="G18" s="116"/>
      <c r="H18" s="116"/>
      <c r="I18" s="116"/>
      <c r="J18" s="116"/>
      <c r="K18" s="116"/>
      <c r="L18" s="116"/>
      <c r="M18" s="116"/>
      <c r="N18" s="116"/>
      <c r="O18" s="116"/>
      <c r="P18" s="116"/>
      <c r="Q18" s="116"/>
      <c r="R18" s="116"/>
      <c r="S18" s="117"/>
    </row>
    <row r="19" spans="1:19" ht="7.5" customHeight="1" x14ac:dyDescent="0.2">
      <c r="B19" s="3"/>
      <c r="C19" s="3"/>
      <c r="D19" s="3"/>
      <c r="E19" s="3"/>
      <c r="F19" s="3"/>
      <c r="G19" s="3"/>
      <c r="H19" s="3"/>
      <c r="I19" s="3"/>
      <c r="J19" s="3"/>
      <c r="K19" s="3"/>
      <c r="L19" s="3"/>
      <c r="M19" s="3"/>
      <c r="N19" s="3"/>
      <c r="O19" s="3"/>
      <c r="P19" s="3"/>
      <c r="Q19" s="3"/>
      <c r="R19" s="3"/>
      <c r="S19" s="3"/>
    </row>
    <row r="20" spans="1:19" ht="20" customHeight="1" x14ac:dyDescent="0.2">
      <c r="B20" s="1" t="s">
        <v>112</v>
      </c>
      <c r="C20" s="94">
        <v>2</v>
      </c>
      <c r="D20" s="96"/>
      <c r="E20" s="37" t="s">
        <v>95</v>
      </c>
      <c r="G20" s="8"/>
      <c r="H20" s="3"/>
      <c r="I20" s="3"/>
      <c r="J20" s="32" t="s">
        <v>121</v>
      </c>
      <c r="K20" s="102" t="s">
        <v>123</v>
      </c>
      <c r="L20" s="103"/>
      <c r="M20" s="103"/>
      <c r="N20" s="103"/>
      <c r="O20" s="103"/>
      <c r="P20" s="103"/>
      <c r="Q20" s="103"/>
      <c r="R20" s="103"/>
      <c r="S20" s="104"/>
    </row>
    <row r="21" spans="1:19" ht="7.5" customHeight="1" x14ac:dyDescent="0.2">
      <c r="B21" s="3"/>
      <c r="C21" s="3"/>
      <c r="D21" s="3"/>
      <c r="E21" s="3"/>
      <c r="F21" s="3"/>
      <c r="G21" s="3"/>
      <c r="H21" s="3"/>
      <c r="I21" s="3"/>
      <c r="J21" s="3"/>
      <c r="K21" s="3"/>
      <c r="L21" s="3"/>
      <c r="M21" s="3"/>
      <c r="N21" s="3"/>
      <c r="O21" s="3"/>
      <c r="P21" s="3"/>
      <c r="Q21" s="3"/>
      <c r="R21" s="3"/>
      <c r="S21" s="3"/>
    </row>
    <row r="22" spans="1:19" ht="18" customHeight="1" x14ac:dyDescent="0.2">
      <c r="A22" s="97" t="s">
        <v>113</v>
      </c>
      <c r="B22" s="97"/>
      <c r="C22" s="97"/>
      <c r="D22" s="97"/>
      <c r="E22" s="97"/>
      <c r="F22" s="97"/>
      <c r="G22" s="97"/>
      <c r="H22" s="97"/>
      <c r="I22" s="97"/>
      <c r="J22" s="97"/>
      <c r="K22" s="97"/>
      <c r="L22" s="97"/>
      <c r="M22" s="97"/>
      <c r="N22" s="97"/>
      <c r="O22" s="97"/>
      <c r="P22" s="97"/>
      <c r="Q22" s="97"/>
      <c r="R22" s="97"/>
      <c r="S22" s="97"/>
    </row>
    <row r="23" spans="1:19" ht="18" customHeight="1" x14ac:dyDescent="0.2">
      <c r="A23" s="97"/>
      <c r="B23" s="97"/>
      <c r="C23" s="97"/>
      <c r="D23" s="97"/>
      <c r="E23" s="97"/>
      <c r="F23" s="97"/>
      <c r="G23" s="97"/>
      <c r="H23" s="97"/>
      <c r="I23" s="97"/>
      <c r="J23" s="97"/>
      <c r="K23" s="97"/>
      <c r="L23" s="97"/>
      <c r="M23" s="97"/>
      <c r="N23" s="97"/>
      <c r="O23" s="97"/>
      <c r="P23" s="97"/>
      <c r="Q23" s="97"/>
      <c r="R23" s="97"/>
      <c r="S23" s="97"/>
    </row>
    <row r="24" spans="1:19" ht="18" customHeight="1" x14ac:dyDescent="0.2">
      <c r="B24" s="94" t="s">
        <v>53</v>
      </c>
      <c r="C24" s="95"/>
      <c r="D24" s="95"/>
      <c r="E24" s="96"/>
      <c r="F24" s="58" t="s">
        <v>80</v>
      </c>
      <c r="G24" s="57" t="s">
        <v>84</v>
      </c>
      <c r="H24" s="19" t="s">
        <v>56</v>
      </c>
      <c r="I24" s="19" t="s">
        <v>59</v>
      </c>
      <c r="J24" s="94" t="s">
        <v>53</v>
      </c>
      <c r="K24" s="95"/>
      <c r="L24" s="95"/>
      <c r="M24" s="95"/>
      <c r="N24" s="95"/>
      <c r="O24" s="96"/>
      <c r="P24" s="58" t="s">
        <v>80</v>
      </c>
      <c r="Q24" s="57" t="s">
        <v>84</v>
      </c>
      <c r="R24" s="19" t="s">
        <v>56</v>
      </c>
      <c r="S24" s="19" t="s">
        <v>59</v>
      </c>
    </row>
    <row r="25" spans="1:19" ht="18" customHeight="1" x14ac:dyDescent="0.2">
      <c r="B25" s="98" t="s">
        <v>148</v>
      </c>
      <c r="C25" s="99"/>
      <c r="D25" s="99"/>
      <c r="E25" s="100"/>
      <c r="F25" s="20">
        <v>1</v>
      </c>
      <c r="G25" s="20" t="s">
        <v>133</v>
      </c>
      <c r="H25" s="20" t="s">
        <v>133</v>
      </c>
      <c r="I25" s="20" t="s">
        <v>133</v>
      </c>
      <c r="J25" s="98"/>
      <c r="K25" s="99"/>
      <c r="L25" s="99"/>
      <c r="M25" s="99"/>
      <c r="N25" s="99"/>
      <c r="O25" s="100"/>
      <c r="P25" s="20"/>
      <c r="Q25" s="20"/>
      <c r="R25" s="20"/>
      <c r="S25" s="20"/>
    </row>
    <row r="26" spans="1:19" ht="18" customHeight="1" x14ac:dyDescent="0.2">
      <c r="B26" s="88"/>
      <c r="C26" s="89"/>
      <c r="D26" s="89"/>
      <c r="E26" s="90"/>
      <c r="F26" s="21"/>
      <c r="G26" s="21"/>
      <c r="H26" s="21"/>
      <c r="I26" s="21"/>
      <c r="J26" s="88"/>
      <c r="K26" s="89"/>
      <c r="L26" s="89"/>
      <c r="M26" s="89"/>
      <c r="N26" s="89"/>
      <c r="O26" s="90"/>
      <c r="P26" s="21"/>
      <c r="Q26" s="21"/>
      <c r="R26" s="21"/>
      <c r="S26" s="21"/>
    </row>
    <row r="27" spans="1:19" ht="18" customHeight="1" x14ac:dyDescent="0.2">
      <c r="B27" s="88"/>
      <c r="C27" s="89"/>
      <c r="D27" s="89"/>
      <c r="E27" s="90"/>
      <c r="F27" s="21"/>
      <c r="G27" s="21"/>
      <c r="H27" s="21"/>
      <c r="I27" s="21"/>
      <c r="J27" s="88"/>
      <c r="K27" s="89"/>
      <c r="L27" s="89"/>
      <c r="M27" s="89"/>
      <c r="N27" s="89"/>
      <c r="O27" s="90"/>
      <c r="P27" s="21"/>
      <c r="Q27" s="21"/>
      <c r="R27" s="21"/>
      <c r="S27" s="21"/>
    </row>
    <row r="28" spans="1:19" ht="18" customHeight="1" x14ac:dyDescent="0.2">
      <c r="B28" s="88"/>
      <c r="C28" s="89"/>
      <c r="D28" s="89"/>
      <c r="E28" s="90"/>
      <c r="F28" s="21"/>
      <c r="G28" s="21"/>
      <c r="H28" s="21"/>
      <c r="I28" s="21"/>
      <c r="J28" s="88"/>
      <c r="K28" s="89"/>
      <c r="L28" s="89"/>
      <c r="M28" s="89"/>
      <c r="N28" s="89"/>
      <c r="O28" s="90"/>
      <c r="P28" s="21"/>
      <c r="Q28" s="21"/>
      <c r="R28" s="21"/>
      <c r="S28" s="21"/>
    </row>
    <row r="29" spans="1:19" ht="18" customHeight="1" x14ac:dyDescent="0.2">
      <c r="B29" s="88"/>
      <c r="C29" s="89"/>
      <c r="D29" s="89"/>
      <c r="E29" s="90"/>
      <c r="F29" s="21"/>
      <c r="G29" s="21"/>
      <c r="H29" s="21"/>
      <c r="I29" s="21"/>
      <c r="J29" s="88"/>
      <c r="K29" s="89"/>
      <c r="L29" s="89"/>
      <c r="M29" s="89"/>
      <c r="N29" s="89"/>
      <c r="O29" s="90"/>
      <c r="P29" s="21"/>
      <c r="Q29" s="21"/>
      <c r="R29" s="21"/>
      <c r="S29" s="21"/>
    </row>
    <row r="30" spans="1:19" ht="18" customHeight="1" x14ac:dyDescent="0.2">
      <c r="A30" s="3"/>
      <c r="B30" s="88"/>
      <c r="C30" s="89"/>
      <c r="D30" s="89"/>
      <c r="E30" s="90"/>
      <c r="F30" s="21"/>
      <c r="G30" s="21"/>
      <c r="H30" s="21"/>
      <c r="I30" s="21"/>
      <c r="J30" s="88"/>
      <c r="K30" s="89"/>
      <c r="L30" s="89"/>
      <c r="M30" s="89"/>
      <c r="N30" s="89"/>
      <c r="O30" s="90"/>
      <c r="P30" s="21"/>
      <c r="Q30" s="21"/>
      <c r="R30" s="21"/>
      <c r="S30" s="21"/>
    </row>
    <row r="31" spans="1:19" ht="18" customHeight="1" x14ac:dyDescent="0.2">
      <c r="A31" s="3"/>
      <c r="B31" s="91"/>
      <c r="C31" s="92"/>
      <c r="D31" s="92"/>
      <c r="E31" s="93"/>
      <c r="F31" s="22"/>
      <c r="G31" s="22"/>
      <c r="H31" s="23"/>
      <c r="I31" s="23"/>
      <c r="J31" s="91"/>
      <c r="K31" s="92"/>
      <c r="L31" s="92"/>
      <c r="M31" s="92"/>
      <c r="N31" s="92"/>
      <c r="O31" s="93"/>
      <c r="P31" s="22"/>
      <c r="Q31" s="22"/>
      <c r="R31" s="23"/>
      <c r="S31" s="23"/>
    </row>
    <row r="32" spans="1:19" ht="7.5" customHeight="1" x14ac:dyDescent="0.2">
      <c r="A32" s="3"/>
      <c r="B32" s="6"/>
      <c r="C32" s="6"/>
      <c r="D32" s="3"/>
      <c r="E32" s="3"/>
      <c r="F32" s="3"/>
      <c r="G32" s="3"/>
      <c r="H32" s="6"/>
      <c r="I32" s="6"/>
      <c r="J32" s="6"/>
      <c r="K32" s="6"/>
      <c r="L32" s="6"/>
      <c r="M32" s="6"/>
      <c r="N32" s="6"/>
      <c r="O32" s="6"/>
      <c r="P32" s="6"/>
      <c r="Q32" s="6"/>
      <c r="R32" s="6"/>
      <c r="S32" s="3"/>
    </row>
    <row r="33" spans="1:19" ht="18" customHeight="1" x14ac:dyDescent="0.2">
      <c r="A33" s="97" t="s">
        <v>114</v>
      </c>
      <c r="B33" s="97"/>
      <c r="C33" s="97"/>
      <c r="D33" s="97"/>
      <c r="E33" s="97"/>
      <c r="F33" s="97"/>
      <c r="G33" s="97"/>
      <c r="H33" s="97"/>
      <c r="I33" s="97"/>
      <c r="J33" s="97"/>
      <c r="K33" s="97"/>
      <c r="L33" s="97"/>
      <c r="M33" s="97"/>
      <c r="N33" s="97"/>
      <c r="O33" s="97"/>
      <c r="P33" s="97"/>
      <c r="Q33" s="97"/>
      <c r="R33" s="97"/>
      <c r="S33" s="97"/>
    </row>
    <row r="34" spans="1:19" ht="18" customHeight="1" x14ac:dyDescent="0.2">
      <c r="A34" s="97"/>
      <c r="B34" s="97"/>
      <c r="C34" s="97"/>
      <c r="D34" s="97"/>
      <c r="E34" s="97"/>
      <c r="F34" s="97"/>
      <c r="G34" s="97"/>
      <c r="H34" s="97"/>
      <c r="I34" s="97"/>
      <c r="J34" s="97"/>
      <c r="K34" s="97"/>
      <c r="L34" s="97"/>
      <c r="M34" s="97"/>
      <c r="N34" s="97"/>
      <c r="O34" s="97"/>
      <c r="P34" s="97"/>
      <c r="Q34" s="97"/>
      <c r="R34" s="97"/>
      <c r="S34" s="97"/>
    </row>
    <row r="35" spans="1:19" ht="18" customHeight="1" x14ac:dyDescent="0.2">
      <c r="B35" s="94" t="s">
        <v>53</v>
      </c>
      <c r="C35" s="95"/>
      <c r="D35" s="95"/>
      <c r="E35" s="96"/>
      <c r="F35" s="58" t="s">
        <v>80</v>
      </c>
      <c r="G35" s="57" t="s">
        <v>84</v>
      </c>
      <c r="H35" s="19" t="s">
        <v>71</v>
      </c>
      <c r="I35" s="19" t="s">
        <v>72</v>
      </c>
      <c r="J35" s="94" t="s">
        <v>53</v>
      </c>
      <c r="K35" s="95"/>
      <c r="L35" s="95"/>
      <c r="M35" s="95"/>
      <c r="N35" s="95"/>
      <c r="O35" s="96"/>
      <c r="P35" s="58" t="s">
        <v>80</v>
      </c>
      <c r="Q35" s="57" t="s">
        <v>84</v>
      </c>
      <c r="R35" s="19" t="s">
        <v>71</v>
      </c>
      <c r="S35" s="19" t="s">
        <v>72</v>
      </c>
    </row>
    <row r="36" spans="1:19" ht="18" customHeight="1" x14ac:dyDescent="0.2">
      <c r="B36" s="98" t="s">
        <v>129</v>
      </c>
      <c r="C36" s="99"/>
      <c r="D36" s="99"/>
      <c r="E36" s="100"/>
      <c r="F36" s="20">
        <v>1</v>
      </c>
      <c r="G36" s="20" t="s">
        <v>133</v>
      </c>
      <c r="H36" s="20" t="s">
        <v>133</v>
      </c>
      <c r="I36" s="20"/>
      <c r="J36" s="98"/>
      <c r="K36" s="99"/>
      <c r="L36" s="99"/>
      <c r="M36" s="99"/>
      <c r="N36" s="99"/>
      <c r="O36" s="100"/>
      <c r="P36" s="20"/>
      <c r="Q36" s="20"/>
      <c r="R36" s="20"/>
      <c r="S36" s="20"/>
    </row>
    <row r="37" spans="1:19" ht="18" customHeight="1" x14ac:dyDescent="0.2">
      <c r="B37" s="88" t="s">
        <v>130</v>
      </c>
      <c r="C37" s="89"/>
      <c r="D37" s="89"/>
      <c r="E37" s="90"/>
      <c r="F37" s="21">
        <v>1</v>
      </c>
      <c r="G37" s="21" t="s">
        <v>133</v>
      </c>
      <c r="H37" s="21" t="s">
        <v>133</v>
      </c>
      <c r="I37" s="21" t="s">
        <v>133</v>
      </c>
      <c r="J37" s="88"/>
      <c r="K37" s="89"/>
      <c r="L37" s="89"/>
      <c r="M37" s="89"/>
      <c r="N37" s="89"/>
      <c r="O37" s="90"/>
      <c r="P37" s="21"/>
      <c r="Q37" s="21"/>
      <c r="R37" s="21"/>
      <c r="S37" s="21"/>
    </row>
    <row r="38" spans="1:19" ht="18" customHeight="1" x14ac:dyDescent="0.2">
      <c r="B38" s="88"/>
      <c r="C38" s="89"/>
      <c r="D38" s="89"/>
      <c r="E38" s="90"/>
      <c r="F38" s="21"/>
      <c r="G38" s="21"/>
      <c r="H38" s="21"/>
      <c r="I38" s="21"/>
      <c r="J38" s="88"/>
      <c r="K38" s="89"/>
      <c r="L38" s="89"/>
      <c r="M38" s="89"/>
      <c r="N38" s="89"/>
      <c r="O38" s="90"/>
      <c r="P38" s="21"/>
      <c r="Q38" s="21"/>
      <c r="R38" s="21"/>
      <c r="S38" s="21"/>
    </row>
    <row r="39" spans="1:19" ht="18" customHeight="1" x14ac:dyDescent="0.2">
      <c r="B39" s="88"/>
      <c r="C39" s="89"/>
      <c r="D39" s="89"/>
      <c r="E39" s="90"/>
      <c r="F39" s="21"/>
      <c r="G39" s="21"/>
      <c r="H39" s="21"/>
      <c r="I39" s="21"/>
      <c r="J39" s="88"/>
      <c r="K39" s="89"/>
      <c r="L39" s="89"/>
      <c r="M39" s="89"/>
      <c r="N39" s="89"/>
      <c r="O39" s="90"/>
      <c r="P39" s="21"/>
      <c r="Q39" s="21"/>
      <c r="R39" s="21"/>
      <c r="S39" s="21"/>
    </row>
    <row r="40" spans="1:19" ht="18" customHeight="1" x14ac:dyDescent="0.2">
      <c r="B40" s="88"/>
      <c r="C40" s="89"/>
      <c r="D40" s="89"/>
      <c r="E40" s="90"/>
      <c r="F40" s="21"/>
      <c r="G40" s="21"/>
      <c r="H40" s="21"/>
      <c r="I40" s="21"/>
      <c r="J40" s="88"/>
      <c r="K40" s="89"/>
      <c r="L40" s="89"/>
      <c r="M40" s="89"/>
      <c r="N40" s="89"/>
      <c r="O40" s="90"/>
      <c r="P40" s="21"/>
      <c r="Q40" s="21"/>
      <c r="R40" s="21"/>
      <c r="S40" s="21"/>
    </row>
    <row r="41" spans="1:19" ht="18" customHeight="1" x14ac:dyDescent="0.2">
      <c r="B41" s="88"/>
      <c r="C41" s="89"/>
      <c r="D41" s="89"/>
      <c r="E41" s="90"/>
      <c r="F41" s="21"/>
      <c r="G41" s="21"/>
      <c r="H41" s="21"/>
      <c r="I41" s="21"/>
      <c r="J41" s="88"/>
      <c r="K41" s="89"/>
      <c r="L41" s="89"/>
      <c r="M41" s="89"/>
      <c r="N41" s="89"/>
      <c r="O41" s="90"/>
      <c r="P41" s="21"/>
      <c r="Q41" s="21"/>
      <c r="R41" s="21"/>
      <c r="S41" s="21"/>
    </row>
    <row r="42" spans="1:19" ht="18" customHeight="1" x14ac:dyDescent="0.2">
      <c r="B42" s="91"/>
      <c r="C42" s="92"/>
      <c r="D42" s="92"/>
      <c r="E42" s="93"/>
      <c r="F42" s="22"/>
      <c r="G42" s="22"/>
      <c r="H42" s="23"/>
      <c r="I42" s="23"/>
      <c r="J42" s="91"/>
      <c r="K42" s="92"/>
      <c r="L42" s="92"/>
      <c r="M42" s="92"/>
      <c r="N42" s="92"/>
      <c r="O42" s="93"/>
      <c r="P42" s="22"/>
      <c r="Q42" s="22"/>
      <c r="R42" s="23"/>
      <c r="S42" s="23"/>
    </row>
    <row r="43" spans="1:19" ht="7.5" customHeight="1" x14ac:dyDescent="0.2">
      <c r="A43" s="3"/>
      <c r="B43" s="6"/>
      <c r="C43" s="6"/>
      <c r="D43" s="3"/>
      <c r="E43" s="3"/>
      <c r="F43" s="3"/>
      <c r="G43" s="3"/>
      <c r="H43" s="6"/>
      <c r="I43" s="6"/>
      <c r="J43" s="6"/>
      <c r="K43" s="6"/>
      <c r="L43" s="6"/>
      <c r="M43" s="6"/>
      <c r="N43" s="6"/>
      <c r="O43" s="6"/>
      <c r="P43" s="6"/>
      <c r="Q43" s="6"/>
      <c r="R43" s="6"/>
      <c r="S43" s="3"/>
    </row>
    <row r="44" spans="1:19" ht="18" customHeight="1" x14ac:dyDescent="0.2">
      <c r="A44" s="97" t="s">
        <v>115</v>
      </c>
      <c r="B44" s="97"/>
      <c r="C44" s="97"/>
      <c r="D44" s="97"/>
      <c r="E44" s="97"/>
      <c r="F44" s="97"/>
      <c r="G44" s="97"/>
      <c r="H44" s="97"/>
      <c r="I44" s="97"/>
      <c r="J44" s="97"/>
      <c r="K44" s="97"/>
      <c r="L44" s="97"/>
      <c r="M44" s="97"/>
      <c r="N44" s="97"/>
      <c r="O44" s="97"/>
      <c r="P44" s="97"/>
      <c r="Q44" s="97"/>
      <c r="R44" s="97"/>
      <c r="S44" s="97"/>
    </row>
    <row r="45" spans="1:19" ht="18" customHeight="1" x14ac:dyDescent="0.2">
      <c r="A45" s="97"/>
      <c r="B45" s="97"/>
      <c r="C45" s="97"/>
      <c r="D45" s="97"/>
      <c r="E45" s="97"/>
      <c r="F45" s="97"/>
      <c r="G45" s="97"/>
      <c r="H45" s="97"/>
      <c r="I45" s="97"/>
      <c r="J45" s="97"/>
      <c r="K45" s="97"/>
      <c r="L45" s="97"/>
      <c r="M45" s="97"/>
      <c r="N45" s="97"/>
      <c r="O45" s="97"/>
      <c r="P45" s="97"/>
      <c r="Q45" s="97"/>
      <c r="R45" s="97"/>
      <c r="S45" s="97"/>
    </row>
    <row r="46" spans="1:19" ht="18" customHeight="1" x14ac:dyDescent="0.2">
      <c r="B46" s="94" t="s">
        <v>53</v>
      </c>
      <c r="C46" s="95"/>
      <c r="D46" s="95"/>
      <c r="E46" s="96"/>
      <c r="F46" s="58" t="s">
        <v>80</v>
      </c>
      <c r="G46" s="57" t="s">
        <v>84</v>
      </c>
      <c r="H46" s="19" t="s">
        <v>73</v>
      </c>
      <c r="I46" s="19" t="s">
        <v>74</v>
      </c>
      <c r="J46" s="94" t="s">
        <v>53</v>
      </c>
      <c r="K46" s="95"/>
      <c r="L46" s="95"/>
      <c r="M46" s="95"/>
      <c r="N46" s="95"/>
      <c r="O46" s="96"/>
      <c r="P46" s="58" t="s">
        <v>80</v>
      </c>
      <c r="Q46" s="57" t="s">
        <v>84</v>
      </c>
      <c r="R46" s="19" t="s">
        <v>73</v>
      </c>
      <c r="S46" s="19" t="s">
        <v>74</v>
      </c>
    </row>
    <row r="47" spans="1:19" ht="18" customHeight="1" x14ac:dyDescent="0.2">
      <c r="A47" s="3"/>
      <c r="B47" s="98" t="s">
        <v>129</v>
      </c>
      <c r="C47" s="99"/>
      <c r="D47" s="99"/>
      <c r="E47" s="100"/>
      <c r="F47" s="20">
        <v>1</v>
      </c>
      <c r="G47" s="20" t="s">
        <v>133</v>
      </c>
      <c r="H47" s="20" t="s">
        <v>133</v>
      </c>
      <c r="I47" s="20"/>
      <c r="J47" s="98"/>
      <c r="K47" s="99"/>
      <c r="L47" s="99"/>
      <c r="M47" s="99"/>
      <c r="N47" s="99"/>
      <c r="O47" s="100"/>
      <c r="P47" s="20"/>
      <c r="Q47" s="20"/>
      <c r="R47" s="20"/>
      <c r="S47" s="20"/>
    </row>
    <row r="48" spans="1:19" ht="18" customHeight="1" x14ac:dyDescent="0.2">
      <c r="A48" s="3"/>
      <c r="B48" s="88" t="s">
        <v>130</v>
      </c>
      <c r="C48" s="89"/>
      <c r="D48" s="89"/>
      <c r="E48" s="90"/>
      <c r="F48" s="21">
        <v>1</v>
      </c>
      <c r="G48" s="21" t="s">
        <v>133</v>
      </c>
      <c r="H48" s="21" t="s">
        <v>133</v>
      </c>
      <c r="I48" s="21" t="s">
        <v>133</v>
      </c>
      <c r="J48" s="88"/>
      <c r="K48" s="89"/>
      <c r="L48" s="89"/>
      <c r="M48" s="89"/>
      <c r="N48" s="89"/>
      <c r="O48" s="90"/>
      <c r="P48" s="21"/>
      <c r="Q48" s="21"/>
      <c r="R48" s="21"/>
      <c r="S48" s="21"/>
    </row>
    <row r="49" spans="1:19" ht="18" customHeight="1" x14ac:dyDescent="0.2">
      <c r="A49" s="3"/>
      <c r="B49" s="88"/>
      <c r="C49" s="89"/>
      <c r="D49" s="89"/>
      <c r="E49" s="90"/>
      <c r="F49" s="21"/>
      <c r="G49" s="21"/>
      <c r="H49" s="21"/>
      <c r="I49" s="21"/>
      <c r="J49" s="88"/>
      <c r="K49" s="89"/>
      <c r="L49" s="89"/>
      <c r="M49" s="89"/>
      <c r="N49" s="89"/>
      <c r="O49" s="90"/>
      <c r="P49" s="21"/>
      <c r="Q49" s="21"/>
      <c r="R49" s="21"/>
      <c r="S49" s="21"/>
    </row>
    <row r="50" spans="1:19" ht="18" customHeight="1" x14ac:dyDescent="0.2">
      <c r="A50" s="3"/>
      <c r="B50" s="88"/>
      <c r="C50" s="89"/>
      <c r="D50" s="89"/>
      <c r="E50" s="90"/>
      <c r="F50" s="21"/>
      <c r="G50" s="21"/>
      <c r="H50" s="21"/>
      <c r="I50" s="21"/>
      <c r="J50" s="88"/>
      <c r="K50" s="89"/>
      <c r="L50" s="89"/>
      <c r="M50" s="89"/>
      <c r="N50" s="89"/>
      <c r="O50" s="90"/>
      <c r="P50" s="21"/>
      <c r="Q50" s="21"/>
      <c r="R50" s="21"/>
      <c r="S50" s="21"/>
    </row>
    <row r="51" spans="1:19" ht="18" customHeight="1" x14ac:dyDescent="0.2">
      <c r="A51" s="3"/>
      <c r="B51" s="88"/>
      <c r="C51" s="89"/>
      <c r="D51" s="89"/>
      <c r="E51" s="90"/>
      <c r="F51" s="21"/>
      <c r="G51" s="21"/>
      <c r="H51" s="21"/>
      <c r="I51" s="21"/>
      <c r="J51" s="88"/>
      <c r="K51" s="89"/>
      <c r="L51" s="89"/>
      <c r="M51" s="89"/>
      <c r="N51" s="89"/>
      <c r="O51" s="90"/>
      <c r="P51" s="21"/>
      <c r="Q51" s="21"/>
      <c r="R51" s="21"/>
      <c r="S51" s="21"/>
    </row>
    <row r="52" spans="1:19" ht="18" customHeight="1" x14ac:dyDescent="0.2">
      <c r="A52" s="3"/>
      <c r="B52" s="88"/>
      <c r="C52" s="89"/>
      <c r="D52" s="89"/>
      <c r="E52" s="90"/>
      <c r="F52" s="21"/>
      <c r="G52" s="21"/>
      <c r="H52" s="21"/>
      <c r="I52" s="21"/>
      <c r="J52" s="88"/>
      <c r="K52" s="89"/>
      <c r="L52" s="89"/>
      <c r="M52" s="89"/>
      <c r="N52" s="89"/>
      <c r="O52" s="90"/>
      <c r="P52" s="21"/>
      <c r="Q52" s="21"/>
      <c r="R52" s="21"/>
      <c r="S52" s="21"/>
    </row>
    <row r="53" spans="1:19" ht="18" customHeight="1" x14ac:dyDescent="0.2">
      <c r="A53" s="3"/>
      <c r="B53" s="91"/>
      <c r="C53" s="92"/>
      <c r="D53" s="92"/>
      <c r="E53" s="93"/>
      <c r="F53" s="22"/>
      <c r="G53" s="22"/>
      <c r="H53" s="23"/>
      <c r="I53" s="23"/>
      <c r="J53" s="91"/>
      <c r="K53" s="92"/>
      <c r="L53" s="92"/>
      <c r="M53" s="92"/>
      <c r="N53" s="92"/>
      <c r="O53" s="93"/>
      <c r="P53" s="22"/>
      <c r="Q53" s="22"/>
      <c r="R53" s="23"/>
      <c r="S53" s="23"/>
    </row>
    <row r="54" spans="1:19" ht="7.5" customHeight="1" x14ac:dyDescent="0.2">
      <c r="B54" s="13"/>
      <c r="C54" s="13"/>
      <c r="D54" s="13"/>
      <c r="E54" s="13"/>
      <c r="F54" s="13"/>
      <c r="G54" s="13"/>
      <c r="H54" s="13"/>
      <c r="I54" s="13"/>
      <c r="J54" s="13"/>
      <c r="K54" s="13"/>
      <c r="L54" s="13"/>
      <c r="M54" s="13"/>
      <c r="N54" s="13"/>
      <c r="O54" s="13"/>
      <c r="P54" s="13"/>
      <c r="Q54" s="13"/>
      <c r="R54" s="13"/>
    </row>
    <row r="55" spans="1:19" ht="18" customHeight="1" x14ac:dyDescent="0.2">
      <c r="A55" s="97" t="s">
        <v>116</v>
      </c>
      <c r="B55" s="97"/>
      <c r="C55" s="97"/>
      <c r="D55" s="97"/>
      <c r="E55" s="97"/>
      <c r="F55" s="97"/>
      <c r="G55" s="97"/>
      <c r="H55" s="97"/>
      <c r="I55" s="97"/>
      <c r="J55" s="97"/>
      <c r="K55" s="97"/>
      <c r="L55" s="97"/>
      <c r="M55" s="97"/>
      <c r="N55" s="97"/>
      <c r="O55" s="97"/>
      <c r="P55" s="97"/>
      <c r="Q55" s="97"/>
      <c r="R55" s="97"/>
      <c r="S55" s="97"/>
    </row>
    <row r="56" spans="1:19" ht="18" customHeight="1" x14ac:dyDescent="0.2">
      <c r="A56" s="97"/>
      <c r="B56" s="97"/>
      <c r="C56" s="97"/>
      <c r="D56" s="97"/>
      <c r="E56" s="97"/>
      <c r="F56" s="97"/>
      <c r="G56" s="97"/>
      <c r="H56" s="97"/>
      <c r="I56" s="97"/>
      <c r="J56" s="97"/>
      <c r="K56" s="97"/>
      <c r="L56" s="97"/>
      <c r="M56" s="97"/>
      <c r="N56" s="97"/>
      <c r="O56" s="97"/>
      <c r="P56" s="97"/>
      <c r="Q56" s="97"/>
      <c r="R56" s="97"/>
      <c r="S56" s="97"/>
    </row>
    <row r="57" spans="1:19" ht="18" customHeight="1" x14ac:dyDescent="0.2">
      <c r="B57" s="94" t="s">
        <v>53</v>
      </c>
      <c r="C57" s="95"/>
      <c r="D57" s="95"/>
      <c r="E57" s="96"/>
      <c r="F57" s="58" t="s">
        <v>80</v>
      </c>
      <c r="G57" s="57" t="s">
        <v>84</v>
      </c>
      <c r="H57" s="19" t="s">
        <v>58</v>
      </c>
      <c r="I57" s="19" t="s">
        <v>60</v>
      </c>
      <c r="J57" s="94" t="s">
        <v>53</v>
      </c>
      <c r="K57" s="95"/>
      <c r="L57" s="95"/>
      <c r="M57" s="95"/>
      <c r="N57" s="95"/>
      <c r="O57" s="96"/>
      <c r="P57" s="58" t="s">
        <v>80</v>
      </c>
      <c r="Q57" s="57" t="s">
        <v>84</v>
      </c>
      <c r="R57" s="19" t="s">
        <v>58</v>
      </c>
      <c r="S57" s="19" t="s">
        <v>60</v>
      </c>
    </row>
    <row r="58" spans="1:19" ht="18" customHeight="1" x14ac:dyDescent="0.2">
      <c r="A58" s="3"/>
      <c r="B58" s="98" t="s">
        <v>129</v>
      </c>
      <c r="C58" s="99"/>
      <c r="D58" s="99"/>
      <c r="E58" s="100"/>
      <c r="F58" s="20">
        <v>1</v>
      </c>
      <c r="G58" s="20" t="s">
        <v>133</v>
      </c>
      <c r="H58" s="20" t="s">
        <v>133</v>
      </c>
      <c r="I58" s="20" t="s">
        <v>133</v>
      </c>
      <c r="J58" s="98"/>
      <c r="K58" s="99"/>
      <c r="L58" s="99"/>
      <c r="M58" s="99"/>
      <c r="N58" s="99"/>
      <c r="O58" s="100"/>
      <c r="P58" s="20"/>
      <c r="Q58" s="20"/>
      <c r="R58" s="20"/>
      <c r="S58" s="20"/>
    </row>
    <row r="59" spans="1:19" ht="18" customHeight="1" x14ac:dyDescent="0.2">
      <c r="A59" s="3"/>
      <c r="B59" s="88" t="s">
        <v>130</v>
      </c>
      <c r="C59" s="89"/>
      <c r="D59" s="89"/>
      <c r="E59" s="90"/>
      <c r="F59" s="21">
        <v>1</v>
      </c>
      <c r="G59" s="21" t="s">
        <v>133</v>
      </c>
      <c r="H59" s="21" t="s">
        <v>133</v>
      </c>
      <c r="I59" s="21" t="s">
        <v>133</v>
      </c>
      <c r="J59" s="88"/>
      <c r="K59" s="89"/>
      <c r="L59" s="89"/>
      <c r="M59" s="89"/>
      <c r="N59" s="89"/>
      <c r="O59" s="90"/>
      <c r="P59" s="21"/>
      <c r="Q59" s="21"/>
      <c r="R59" s="21"/>
      <c r="S59" s="21"/>
    </row>
    <row r="60" spans="1:19" ht="18" customHeight="1" x14ac:dyDescent="0.2">
      <c r="A60" s="3"/>
      <c r="B60" s="88"/>
      <c r="C60" s="89"/>
      <c r="D60" s="89"/>
      <c r="E60" s="90"/>
      <c r="F60" s="21"/>
      <c r="G60" s="21"/>
      <c r="H60" s="21"/>
      <c r="I60" s="21"/>
      <c r="J60" s="88"/>
      <c r="K60" s="89"/>
      <c r="L60" s="89"/>
      <c r="M60" s="89"/>
      <c r="N60" s="89"/>
      <c r="O60" s="90"/>
      <c r="P60" s="21"/>
      <c r="Q60" s="21"/>
      <c r="R60" s="21"/>
      <c r="S60" s="21"/>
    </row>
    <row r="61" spans="1:19" ht="18" customHeight="1" x14ac:dyDescent="0.2">
      <c r="A61" s="3"/>
      <c r="B61" s="88"/>
      <c r="C61" s="89"/>
      <c r="D61" s="89"/>
      <c r="E61" s="90"/>
      <c r="F61" s="21"/>
      <c r="G61" s="21"/>
      <c r="H61" s="21"/>
      <c r="I61" s="21"/>
      <c r="J61" s="88"/>
      <c r="K61" s="89"/>
      <c r="L61" s="89"/>
      <c r="M61" s="89"/>
      <c r="N61" s="89"/>
      <c r="O61" s="90"/>
      <c r="P61" s="21"/>
      <c r="Q61" s="21"/>
      <c r="R61" s="21"/>
      <c r="S61" s="21"/>
    </row>
    <row r="62" spans="1:19" ht="18" customHeight="1" x14ac:dyDescent="0.2">
      <c r="A62" s="3"/>
      <c r="B62" s="88"/>
      <c r="C62" s="89"/>
      <c r="D62" s="89"/>
      <c r="E62" s="90"/>
      <c r="F62" s="21"/>
      <c r="G62" s="21"/>
      <c r="H62" s="21"/>
      <c r="I62" s="21"/>
      <c r="J62" s="88"/>
      <c r="K62" s="89"/>
      <c r="L62" s="89"/>
      <c r="M62" s="89"/>
      <c r="N62" s="89"/>
      <c r="O62" s="90"/>
      <c r="P62" s="21"/>
      <c r="Q62" s="21"/>
      <c r="R62" s="21"/>
      <c r="S62" s="21"/>
    </row>
    <row r="63" spans="1:19" ht="18" customHeight="1" x14ac:dyDescent="0.2">
      <c r="A63" s="3"/>
      <c r="B63" s="88"/>
      <c r="C63" s="89"/>
      <c r="D63" s="89"/>
      <c r="E63" s="90"/>
      <c r="F63" s="21"/>
      <c r="G63" s="21"/>
      <c r="H63" s="21"/>
      <c r="I63" s="21"/>
      <c r="J63" s="88"/>
      <c r="K63" s="89"/>
      <c r="L63" s="89"/>
      <c r="M63" s="89"/>
      <c r="N63" s="89"/>
      <c r="O63" s="90"/>
      <c r="P63" s="21"/>
      <c r="Q63" s="21"/>
      <c r="R63" s="21"/>
      <c r="S63" s="21"/>
    </row>
    <row r="64" spans="1:19" ht="18" customHeight="1" x14ac:dyDescent="0.2">
      <c r="A64" s="3"/>
      <c r="B64" s="91"/>
      <c r="C64" s="92"/>
      <c r="D64" s="92"/>
      <c r="E64" s="93"/>
      <c r="F64" s="22"/>
      <c r="G64" s="22"/>
      <c r="H64" s="23"/>
      <c r="I64" s="23"/>
      <c r="J64" s="91"/>
      <c r="K64" s="92"/>
      <c r="L64" s="92"/>
      <c r="M64" s="92"/>
      <c r="N64" s="92"/>
      <c r="O64" s="93"/>
      <c r="P64" s="22"/>
      <c r="Q64" s="22"/>
      <c r="R64" s="23"/>
      <c r="S64" s="23"/>
    </row>
    <row r="65" spans="1:19" ht="7.5" customHeight="1" x14ac:dyDescent="0.2">
      <c r="B65" s="13"/>
      <c r="C65" s="13"/>
      <c r="D65" s="13"/>
      <c r="E65" s="13"/>
      <c r="F65" s="13"/>
      <c r="G65" s="13"/>
      <c r="H65" s="13"/>
      <c r="I65" s="13"/>
      <c r="J65" s="13"/>
      <c r="K65" s="13"/>
      <c r="L65" s="13"/>
      <c r="M65" s="13"/>
      <c r="N65" s="13"/>
      <c r="O65" s="13"/>
      <c r="P65" s="13"/>
      <c r="Q65" s="13"/>
      <c r="R65" s="13"/>
    </row>
    <row r="66" spans="1:19" ht="18" customHeight="1" x14ac:dyDescent="0.2">
      <c r="A66" s="97" t="s">
        <v>117</v>
      </c>
      <c r="B66" s="97"/>
      <c r="C66" s="97"/>
      <c r="D66" s="97"/>
      <c r="E66" s="97"/>
      <c r="F66" s="97"/>
      <c r="G66" s="97"/>
      <c r="H66" s="97"/>
      <c r="I66" s="97"/>
      <c r="J66" s="97"/>
      <c r="K66" s="97"/>
      <c r="L66" s="97"/>
      <c r="M66" s="97"/>
      <c r="N66" s="97"/>
      <c r="O66" s="97"/>
      <c r="P66" s="97"/>
      <c r="Q66" s="97"/>
      <c r="R66" s="97"/>
      <c r="S66" s="97"/>
    </row>
    <row r="67" spans="1:19" ht="18" customHeight="1" x14ac:dyDescent="0.2">
      <c r="A67" s="97"/>
      <c r="B67" s="97"/>
      <c r="C67" s="97"/>
      <c r="D67" s="97"/>
      <c r="E67" s="97"/>
      <c r="F67" s="97"/>
      <c r="G67" s="97"/>
      <c r="H67" s="97"/>
      <c r="I67" s="97"/>
      <c r="J67" s="97"/>
      <c r="K67" s="97"/>
      <c r="L67" s="97"/>
      <c r="M67" s="97"/>
      <c r="N67" s="97"/>
      <c r="O67" s="97"/>
      <c r="P67" s="97"/>
      <c r="Q67" s="97"/>
      <c r="R67" s="97"/>
      <c r="S67" s="97"/>
    </row>
    <row r="68" spans="1:19" ht="18" customHeight="1" x14ac:dyDescent="0.2">
      <c r="B68" s="94" t="s">
        <v>53</v>
      </c>
      <c r="C68" s="95"/>
      <c r="D68" s="95"/>
      <c r="E68" s="58" t="s">
        <v>80</v>
      </c>
      <c r="F68" s="57" t="s">
        <v>84</v>
      </c>
      <c r="G68" s="19" t="s">
        <v>101</v>
      </c>
      <c r="H68" s="19" t="s">
        <v>75</v>
      </c>
      <c r="I68" s="19" t="s">
        <v>76</v>
      </c>
      <c r="J68" s="94" t="s">
        <v>53</v>
      </c>
      <c r="K68" s="95"/>
      <c r="L68" s="95"/>
      <c r="M68" s="95"/>
      <c r="N68" s="96"/>
      <c r="O68" s="58" t="s">
        <v>80</v>
      </c>
      <c r="P68" s="57" t="s">
        <v>84</v>
      </c>
      <c r="Q68" s="19" t="s">
        <v>101</v>
      </c>
      <c r="R68" s="19" t="s">
        <v>75</v>
      </c>
      <c r="S68" s="19" t="s">
        <v>76</v>
      </c>
    </row>
    <row r="69" spans="1:19" ht="18" customHeight="1" x14ac:dyDescent="0.2">
      <c r="A69" s="3"/>
      <c r="B69" s="98" t="s">
        <v>130</v>
      </c>
      <c r="C69" s="99"/>
      <c r="D69" s="100"/>
      <c r="E69" s="20">
        <v>1</v>
      </c>
      <c r="F69" s="20" t="s">
        <v>133</v>
      </c>
      <c r="G69" s="20" t="s">
        <v>133</v>
      </c>
      <c r="H69" s="20" t="s">
        <v>133</v>
      </c>
      <c r="I69" s="20" t="s">
        <v>133</v>
      </c>
      <c r="J69" s="98"/>
      <c r="K69" s="99"/>
      <c r="L69" s="99"/>
      <c r="M69" s="99"/>
      <c r="N69" s="100"/>
      <c r="O69" s="20"/>
      <c r="P69" s="20"/>
      <c r="Q69" s="20"/>
      <c r="R69" s="20"/>
      <c r="S69" s="20"/>
    </row>
    <row r="70" spans="1:19" ht="18" customHeight="1" x14ac:dyDescent="0.2">
      <c r="A70" s="3"/>
      <c r="B70" s="88"/>
      <c r="C70" s="89"/>
      <c r="D70" s="90"/>
      <c r="E70" s="21"/>
      <c r="F70" s="21"/>
      <c r="G70" s="21"/>
      <c r="H70" s="21"/>
      <c r="I70" s="21"/>
      <c r="J70" s="88"/>
      <c r="K70" s="89"/>
      <c r="L70" s="89"/>
      <c r="M70" s="89"/>
      <c r="N70" s="90"/>
      <c r="O70" s="21"/>
      <c r="P70" s="21"/>
      <c r="Q70" s="21"/>
      <c r="R70" s="21"/>
      <c r="S70" s="21"/>
    </row>
    <row r="71" spans="1:19" ht="18" customHeight="1" x14ac:dyDescent="0.2">
      <c r="A71" s="3"/>
      <c r="B71" s="88"/>
      <c r="C71" s="89"/>
      <c r="D71" s="90"/>
      <c r="E71" s="21"/>
      <c r="F71" s="21"/>
      <c r="G71" s="21"/>
      <c r="H71" s="21"/>
      <c r="I71" s="21"/>
      <c r="J71" s="88"/>
      <c r="K71" s="89"/>
      <c r="L71" s="89"/>
      <c r="M71" s="89"/>
      <c r="N71" s="90"/>
      <c r="O71" s="21"/>
      <c r="P71" s="21"/>
      <c r="Q71" s="21"/>
      <c r="R71" s="21"/>
      <c r="S71" s="21"/>
    </row>
    <row r="72" spans="1:19" ht="18" customHeight="1" x14ac:dyDescent="0.2">
      <c r="A72" s="3"/>
      <c r="B72" s="88"/>
      <c r="C72" s="89"/>
      <c r="D72" s="90"/>
      <c r="E72" s="21"/>
      <c r="F72" s="21"/>
      <c r="G72" s="21"/>
      <c r="H72" s="21"/>
      <c r="I72" s="21"/>
      <c r="J72" s="88"/>
      <c r="K72" s="89"/>
      <c r="L72" s="89"/>
      <c r="M72" s="89"/>
      <c r="N72" s="90"/>
      <c r="O72" s="21"/>
      <c r="P72" s="21"/>
      <c r="Q72" s="21"/>
      <c r="R72" s="21"/>
      <c r="S72" s="21"/>
    </row>
    <row r="73" spans="1:19" ht="18" customHeight="1" x14ac:dyDescent="0.2">
      <c r="A73" s="3"/>
      <c r="B73" s="88"/>
      <c r="C73" s="89"/>
      <c r="D73" s="89"/>
      <c r="E73" s="21"/>
      <c r="F73" s="21"/>
      <c r="G73" s="21"/>
      <c r="H73" s="21"/>
      <c r="I73" s="21"/>
      <c r="J73" s="88"/>
      <c r="K73" s="89"/>
      <c r="L73" s="89"/>
      <c r="M73" s="89"/>
      <c r="N73" s="90"/>
      <c r="O73" s="21"/>
      <c r="P73" s="21"/>
      <c r="Q73" s="21"/>
      <c r="R73" s="21"/>
      <c r="S73" s="21"/>
    </row>
    <row r="74" spans="1:19" ht="18" customHeight="1" x14ac:dyDescent="0.2">
      <c r="A74" s="3"/>
      <c r="B74" s="88"/>
      <c r="C74" s="89"/>
      <c r="D74" s="89"/>
      <c r="E74" s="21"/>
      <c r="F74" s="21"/>
      <c r="G74" s="21"/>
      <c r="H74" s="21"/>
      <c r="I74" s="21"/>
      <c r="J74" s="88"/>
      <c r="K74" s="89"/>
      <c r="L74" s="89"/>
      <c r="M74" s="89"/>
      <c r="N74" s="90"/>
      <c r="O74" s="21"/>
      <c r="P74" s="21"/>
      <c r="Q74" s="21"/>
      <c r="R74" s="21"/>
      <c r="S74" s="21"/>
    </row>
    <row r="75" spans="1:19" ht="18" customHeight="1" x14ac:dyDescent="0.2">
      <c r="A75" s="3"/>
      <c r="B75" s="91"/>
      <c r="C75" s="92"/>
      <c r="D75" s="92"/>
      <c r="E75" s="22"/>
      <c r="F75" s="22"/>
      <c r="G75" s="23"/>
      <c r="H75" s="23"/>
      <c r="I75" s="23"/>
      <c r="J75" s="91"/>
      <c r="K75" s="92"/>
      <c r="L75" s="92"/>
      <c r="M75" s="92"/>
      <c r="N75" s="93"/>
      <c r="O75" s="22"/>
      <c r="P75" s="22"/>
      <c r="Q75" s="23"/>
      <c r="R75" s="23"/>
      <c r="S75" s="23"/>
    </row>
    <row r="76" spans="1:19" ht="7.5" customHeight="1" x14ac:dyDescent="0.2">
      <c r="B76" s="13"/>
      <c r="C76" s="13"/>
      <c r="D76" s="13"/>
      <c r="E76" s="13"/>
      <c r="F76" s="13"/>
      <c r="G76" s="13"/>
      <c r="H76" s="13"/>
      <c r="I76" s="13"/>
      <c r="J76" s="13"/>
      <c r="K76" s="13"/>
      <c r="L76" s="13"/>
      <c r="M76" s="13"/>
      <c r="N76" s="13"/>
      <c r="O76" s="13"/>
      <c r="P76" s="13"/>
      <c r="Q76" s="13"/>
      <c r="R76" s="13"/>
    </row>
    <row r="77" spans="1:19" ht="18" customHeight="1" x14ac:dyDescent="0.2">
      <c r="A77" s="1" t="s">
        <v>118</v>
      </c>
      <c r="H77" s="3"/>
      <c r="I77" s="3"/>
      <c r="J77" s="3"/>
      <c r="K77" s="3"/>
      <c r="L77" s="3"/>
      <c r="M77" s="3"/>
      <c r="N77" s="3"/>
      <c r="O77" s="3"/>
      <c r="P77" s="3"/>
      <c r="Q77" s="3"/>
      <c r="R77" s="3"/>
      <c r="S77" s="3"/>
    </row>
    <row r="78" spans="1:19" ht="18" customHeight="1" x14ac:dyDescent="0.2">
      <c r="B78" s="94" t="s">
        <v>53</v>
      </c>
      <c r="C78" s="95"/>
      <c r="D78" s="95"/>
      <c r="E78" s="96"/>
      <c r="F78" s="94" t="s">
        <v>82</v>
      </c>
      <c r="G78" s="95"/>
      <c r="H78" s="95"/>
      <c r="I78" s="96"/>
      <c r="J78" s="143" t="s">
        <v>53</v>
      </c>
      <c r="K78" s="144"/>
      <c r="L78" s="144"/>
      <c r="M78" s="144"/>
      <c r="N78" s="144"/>
      <c r="O78" s="145"/>
      <c r="P78" s="94" t="s">
        <v>82</v>
      </c>
      <c r="Q78" s="95"/>
      <c r="R78" s="95"/>
      <c r="S78" s="96"/>
    </row>
    <row r="79" spans="1:19" ht="18" customHeight="1" x14ac:dyDescent="0.2">
      <c r="A79" s="3"/>
      <c r="B79" s="98"/>
      <c r="C79" s="99"/>
      <c r="D79" s="99"/>
      <c r="E79" s="100"/>
      <c r="F79" s="158"/>
      <c r="G79" s="159"/>
      <c r="H79" s="159"/>
      <c r="I79" s="160"/>
      <c r="J79" s="98"/>
      <c r="K79" s="99"/>
      <c r="L79" s="99"/>
      <c r="M79" s="99"/>
      <c r="N79" s="99"/>
      <c r="O79" s="100"/>
      <c r="P79" s="158"/>
      <c r="Q79" s="159"/>
      <c r="R79" s="159"/>
      <c r="S79" s="160"/>
    </row>
    <row r="80" spans="1:19" ht="18" customHeight="1" x14ac:dyDescent="0.2">
      <c r="A80" s="3"/>
      <c r="B80" s="88"/>
      <c r="C80" s="89"/>
      <c r="D80" s="89"/>
      <c r="E80" s="90"/>
      <c r="F80" s="127"/>
      <c r="G80" s="128"/>
      <c r="H80" s="128"/>
      <c r="I80" s="129"/>
      <c r="J80" s="88"/>
      <c r="K80" s="89"/>
      <c r="L80" s="89"/>
      <c r="M80" s="89"/>
      <c r="N80" s="89"/>
      <c r="O80" s="90"/>
      <c r="P80" s="127"/>
      <c r="Q80" s="128"/>
      <c r="R80" s="128"/>
      <c r="S80" s="129"/>
    </row>
    <row r="81" spans="1:19" ht="18" customHeight="1" x14ac:dyDescent="0.2">
      <c r="A81" s="3"/>
      <c r="B81" s="88"/>
      <c r="C81" s="89"/>
      <c r="D81" s="89"/>
      <c r="E81" s="90"/>
      <c r="F81" s="127"/>
      <c r="G81" s="128"/>
      <c r="H81" s="128"/>
      <c r="I81" s="129"/>
      <c r="J81" s="88"/>
      <c r="K81" s="89"/>
      <c r="L81" s="89"/>
      <c r="M81" s="89"/>
      <c r="N81" s="89"/>
      <c r="O81" s="90"/>
      <c r="P81" s="127"/>
      <c r="Q81" s="128"/>
      <c r="R81" s="128"/>
      <c r="S81" s="129"/>
    </row>
    <row r="82" spans="1:19" ht="18" customHeight="1" x14ac:dyDescent="0.2">
      <c r="A82" s="3"/>
      <c r="B82" s="88"/>
      <c r="C82" s="89"/>
      <c r="D82" s="89"/>
      <c r="E82" s="90"/>
      <c r="F82" s="127"/>
      <c r="G82" s="128"/>
      <c r="H82" s="128"/>
      <c r="I82" s="129"/>
      <c r="J82" s="88"/>
      <c r="K82" s="89"/>
      <c r="L82" s="89"/>
      <c r="M82" s="89"/>
      <c r="N82" s="89"/>
      <c r="O82" s="90"/>
      <c r="P82" s="127"/>
      <c r="Q82" s="128"/>
      <c r="R82" s="128"/>
      <c r="S82" s="129"/>
    </row>
    <row r="83" spans="1:19" ht="18" customHeight="1" x14ac:dyDescent="0.2">
      <c r="A83" s="3"/>
      <c r="B83" s="88"/>
      <c r="C83" s="89"/>
      <c r="D83" s="89"/>
      <c r="E83" s="90"/>
      <c r="F83" s="127"/>
      <c r="G83" s="128"/>
      <c r="H83" s="128"/>
      <c r="I83" s="129"/>
      <c r="J83" s="88"/>
      <c r="K83" s="89"/>
      <c r="L83" s="89"/>
      <c r="M83" s="89"/>
      <c r="N83" s="89"/>
      <c r="O83" s="90"/>
      <c r="P83" s="127"/>
      <c r="Q83" s="128"/>
      <c r="R83" s="128"/>
      <c r="S83" s="129"/>
    </row>
    <row r="84" spans="1:19" ht="18" customHeight="1" x14ac:dyDescent="0.2">
      <c r="A84" s="3"/>
      <c r="B84" s="88"/>
      <c r="C84" s="89"/>
      <c r="D84" s="89"/>
      <c r="E84" s="90"/>
      <c r="F84" s="127"/>
      <c r="G84" s="128"/>
      <c r="H84" s="128"/>
      <c r="I84" s="129"/>
      <c r="J84" s="88"/>
      <c r="K84" s="89"/>
      <c r="L84" s="89"/>
      <c r="M84" s="89"/>
      <c r="N84" s="89"/>
      <c r="O84" s="90"/>
      <c r="P84" s="127"/>
      <c r="Q84" s="128"/>
      <c r="R84" s="128"/>
      <c r="S84" s="129"/>
    </row>
    <row r="85" spans="1:19" ht="18" customHeight="1" x14ac:dyDescent="0.2">
      <c r="A85" s="3"/>
      <c r="B85" s="91"/>
      <c r="C85" s="92"/>
      <c r="D85" s="92"/>
      <c r="E85" s="93"/>
      <c r="F85" s="124"/>
      <c r="G85" s="125"/>
      <c r="H85" s="125"/>
      <c r="I85" s="126"/>
      <c r="J85" s="91"/>
      <c r="K85" s="92"/>
      <c r="L85" s="92"/>
      <c r="M85" s="92"/>
      <c r="N85" s="92"/>
      <c r="O85" s="93"/>
      <c r="P85" s="124"/>
      <c r="Q85" s="125"/>
      <c r="R85" s="125"/>
      <c r="S85" s="126"/>
    </row>
    <row r="86" spans="1:19" ht="18" customHeight="1" x14ac:dyDescent="0.2">
      <c r="A86" s="3"/>
      <c r="B86" s="6"/>
      <c r="C86" s="6"/>
      <c r="D86" s="6"/>
      <c r="E86" s="6"/>
      <c r="F86" s="24"/>
      <c r="G86" s="24"/>
      <c r="H86" s="24"/>
      <c r="I86" s="24"/>
      <c r="J86" s="6"/>
      <c r="K86" s="6"/>
      <c r="L86" s="6"/>
      <c r="M86" s="6"/>
      <c r="N86" s="6"/>
      <c r="O86" s="6"/>
      <c r="P86" s="24"/>
      <c r="Q86" s="24"/>
      <c r="R86" s="24"/>
      <c r="S86" s="24"/>
    </row>
    <row r="87" spans="1:19" ht="18.75" customHeight="1" x14ac:dyDescent="0.2">
      <c r="A87" s="1" t="s">
        <v>119</v>
      </c>
    </row>
    <row r="88" spans="1:19" ht="18.75" customHeight="1" x14ac:dyDescent="0.2">
      <c r="B88" s="156" t="s">
        <v>54</v>
      </c>
      <c r="C88" s="157"/>
      <c r="D88" s="95" t="s">
        <v>55</v>
      </c>
      <c r="E88" s="95"/>
      <c r="F88" s="95"/>
      <c r="G88" s="95"/>
      <c r="H88" s="95"/>
      <c r="I88" s="95"/>
      <c r="J88" s="95"/>
      <c r="K88" s="95"/>
      <c r="L88" s="95"/>
      <c r="M88" s="95"/>
      <c r="N88" s="95"/>
      <c r="O88" s="95"/>
      <c r="P88" s="95"/>
      <c r="Q88" s="95"/>
      <c r="R88" s="95"/>
      <c r="S88" s="96"/>
    </row>
    <row r="89" spans="1:19" ht="97.5" customHeight="1" x14ac:dyDescent="0.2">
      <c r="B89" s="146" t="s">
        <v>61</v>
      </c>
      <c r="C89" s="25" t="s">
        <v>56</v>
      </c>
      <c r="D89" s="153" t="s">
        <v>169</v>
      </c>
      <c r="E89" s="154"/>
      <c r="F89" s="154"/>
      <c r="G89" s="154"/>
      <c r="H89" s="154"/>
      <c r="I89" s="154"/>
      <c r="J89" s="154"/>
      <c r="K89" s="154"/>
      <c r="L89" s="154"/>
      <c r="M89" s="154"/>
      <c r="N89" s="154"/>
      <c r="O89" s="154"/>
      <c r="P89" s="154"/>
      <c r="Q89" s="154"/>
      <c r="R89" s="154"/>
      <c r="S89" s="155"/>
    </row>
    <row r="90" spans="1:19" ht="97.5" customHeight="1" x14ac:dyDescent="0.2">
      <c r="B90" s="148"/>
      <c r="C90" s="26" t="s">
        <v>77</v>
      </c>
      <c r="D90" s="130" t="s">
        <v>177</v>
      </c>
      <c r="E90" s="131"/>
      <c r="F90" s="131"/>
      <c r="G90" s="131"/>
      <c r="H90" s="131"/>
      <c r="I90" s="131"/>
      <c r="J90" s="131"/>
      <c r="K90" s="131"/>
      <c r="L90" s="131"/>
      <c r="M90" s="131"/>
      <c r="N90" s="131"/>
      <c r="O90" s="131"/>
      <c r="P90" s="131"/>
      <c r="Q90" s="131"/>
      <c r="R90" s="131"/>
      <c r="S90" s="132"/>
    </row>
    <row r="91" spans="1:19" ht="134.5" customHeight="1" x14ac:dyDescent="0.2">
      <c r="B91" s="146" t="s">
        <v>62</v>
      </c>
      <c r="C91" s="27" t="s">
        <v>71</v>
      </c>
      <c r="D91" s="133" t="s">
        <v>176</v>
      </c>
      <c r="E91" s="134"/>
      <c r="F91" s="134"/>
      <c r="G91" s="134"/>
      <c r="H91" s="134"/>
      <c r="I91" s="134"/>
      <c r="J91" s="134"/>
      <c r="K91" s="134"/>
      <c r="L91" s="134"/>
      <c r="M91" s="134"/>
      <c r="N91" s="134"/>
      <c r="O91" s="134"/>
      <c r="P91" s="134"/>
      <c r="Q91" s="134"/>
      <c r="R91" s="134"/>
      <c r="S91" s="135"/>
    </row>
    <row r="92" spans="1:19" ht="97.5" customHeight="1" x14ac:dyDescent="0.2">
      <c r="B92" s="147"/>
      <c r="C92" s="28" t="s">
        <v>72</v>
      </c>
      <c r="D92" s="139" t="s">
        <v>175</v>
      </c>
      <c r="E92" s="140"/>
      <c r="F92" s="140"/>
      <c r="G92" s="140"/>
      <c r="H92" s="140"/>
      <c r="I92" s="140"/>
      <c r="J92" s="140"/>
      <c r="K92" s="140"/>
      <c r="L92" s="140"/>
      <c r="M92" s="140"/>
      <c r="N92" s="140"/>
      <c r="O92" s="140"/>
      <c r="P92" s="140"/>
      <c r="Q92" s="140"/>
      <c r="R92" s="140"/>
      <c r="S92" s="141"/>
    </row>
    <row r="93" spans="1:19" ht="147.5" customHeight="1" x14ac:dyDescent="0.2">
      <c r="B93" s="146" t="s">
        <v>63</v>
      </c>
      <c r="C93" s="27" t="s">
        <v>73</v>
      </c>
      <c r="D93" s="133" t="s">
        <v>174</v>
      </c>
      <c r="E93" s="134"/>
      <c r="F93" s="134"/>
      <c r="G93" s="134"/>
      <c r="H93" s="134"/>
      <c r="I93" s="134"/>
      <c r="J93" s="134"/>
      <c r="K93" s="134"/>
      <c r="L93" s="134"/>
      <c r="M93" s="134"/>
      <c r="N93" s="134"/>
      <c r="O93" s="134"/>
      <c r="P93" s="134"/>
      <c r="Q93" s="134"/>
      <c r="R93" s="134"/>
      <c r="S93" s="135"/>
    </row>
    <row r="94" spans="1:19" ht="97.5" customHeight="1" x14ac:dyDescent="0.2">
      <c r="B94" s="147"/>
      <c r="C94" s="29" t="s">
        <v>74</v>
      </c>
      <c r="D94" s="136" t="s">
        <v>173</v>
      </c>
      <c r="E94" s="137"/>
      <c r="F94" s="137"/>
      <c r="G94" s="137"/>
      <c r="H94" s="137"/>
      <c r="I94" s="137"/>
      <c r="J94" s="137"/>
      <c r="K94" s="137"/>
      <c r="L94" s="137"/>
      <c r="M94" s="137"/>
      <c r="N94" s="137"/>
      <c r="O94" s="137"/>
      <c r="P94" s="137"/>
      <c r="Q94" s="137"/>
      <c r="R94" s="137"/>
      <c r="S94" s="138"/>
    </row>
    <row r="95" spans="1:19" ht="121" customHeight="1" x14ac:dyDescent="0.2">
      <c r="B95" s="146" t="s">
        <v>78</v>
      </c>
      <c r="C95" s="25" t="s">
        <v>58</v>
      </c>
      <c r="D95" s="153" t="s">
        <v>172</v>
      </c>
      <c r="E95" s="154"/>
      <c r="F95" s="154"/>
      <c r="G95" s="154"/>
      <c r="H95" s="154"/>
      <c r="I95" s="154"/>
      <c r="J95" s="154"/>
      <c r="K95" s="154"/>
      <c r="L95" s="154"/>
      <c r="M95" s="154"/>
      <c r="N95" s="154"/>
      <c r="O95" s="154"/>
      <c r="P95" s="154"/>
      <c r="Q95" s="154"/>
      <c r="R95" s="154"/>
      <c r="S95" s="155"/>
    </row>
    <row r="96" spans="1:19" ht="82.5" customHeight="1" x14ac:dyDescent="0.2">
      <c r="B96" s="147"/>
      <c r="C96" s="28" t="s">
        <v>60</v>
      </c>
      <c r="D96" s="139" t="s">
        <v>185</v>
      </c>
      <c r="E96" s="140"/>
      <c r="F96" s="140"/>
      <c r="G96" s="140"/>
      <c r="H96" s="140"/>
      <c r="I96" s="140"/>
      <c r="J96" s="140"/>
      <c r="K96" s="140"/>
      <c r="L96" s="140"/>
      <c r="M96" s="140"/>
      <c r="N96" s="140"/>
      <c r="O96" s="140"/>
      <c r="P96" s="140"/>
      <c r="Q96" s="140"/>
      <c r="R96" s="140"/>
      <c r="S96" s="141"/>
    </row>
    <row r="97" spans="1:19" ht="103.5" customHeight="1" x14ac:dyDescent="0.2">
      <c r="B97" s="146" t="s">
        <v>79</v>
      </c>
      <c r="C97" s="27" t="s">
        <v>57</v>
      </c>
      <c r="D97" s="149" t="s">
        <v>171</v>
      </c>
      <c r="E97" s="99"/>
      <c r="F97" s="99"/>
      <c r="G97" s="99"/>
      <c r="H97" s="99"/>
      <c r="I97" s="99"/>
      <c r="J97" s="99"/>
      <c r="K97" s="99"/>
      <c r="L97" s="99"/>
      <c r="M97" s="99"/>
      <c r="N97" s="99"/>
      <c r="O97" s="99"/>
      <c r="P97" s="99"/>
      <c r="Q97" s="99"/>
      <c r="R97" s="99"/>
      <c r="S97" s="100"/>
    </row>
    <row r="98" spans="1:19" ht="96.5" customHeight="1" x14ac:dyDescent="0.2">
      <c r="B98" s="148"/>
      <c r="C98" s="30" t="s">
        <v>75</v>
      </c>
      <c r="D98" s="142" t="s">
        <v>188</v>
      </c>
      <c r="E98" s="89"/>
      <c r="F98" s="89"/>
      <c r="G98" s="89"/>
      <c r="H98" s="89"/>
      <c r="I98" s="89"/>
      <c r="J98" s="89"/>
      <c r="K98" s="89"/>
      <c r="L98" s="89"/>
      <c r="M98" s="89"/>
      <c r="N98" s="89"/>
      <c r="O98" s="89"/>
      <c r="P98" s="89"/>
      <c r="Q98" s="89"/>
      <c r="R98" s="89"/>
      <c r="S98" s="90"/>
    </row>
    <row r="99" spans="1:19" ht="108" customHeight="1" x14ac:dyDescent="0.2">
      <c r="B99" s="147"/>
      <c r="C99" s="29" t="s">
        <v>76</v>
      </c>
      <c r="D99" s="150" t="s">
        <v>170</v>
      </c>
      <c r="E99" s="151"/>
      <c r="F99" s="151"/>
      <c r="G99" s="151"/>
      <c r="H99" s="151"/>
      <c r="I99" s="151"/>
      <c r="J99" s="151"/>
      <c r="K99" s="151"/>
      <c r="L99" s="151"/>
      <c r="M99" s="151"/>
      <c r="N99" s="151"/>
      <c r="O99" s="151"/>
      <c r="P99" s="151"/>
      <c r="Q99" s="151"/>
      <c r="R99" s="151"/>
      <c r="S99" s="152"/>
    </row>
    <row r="100" spans="1:19" ht="6" customHeight="1" x14ac:dyDescent="0.2"/>
    <row r="101" spans="1:19" ht="18.75" customHeight="1" x14ac:dyDescent="0.2">
      <c r="A101" s="1" t="s">
        <v>120</v>
      </c>
    </row>
    <row r="102" spans="1:19" ht="81.75" customHeight="1" x14ac:dyDescent="0.2">
      <c r="B102" s="121" t="s">
        <v>154</v>
      </c>
      <c r="C102" s="122"/>
      <c r="D102" s="122"/>
      <c r="E102" s="122"/>
      <c r="F102" s="122"/>
      <c r="G102" s="122"/>
      <c r="H102" s="122"/>
      <c r="I102" s="122"/>
      <c r="J102" s="122"/>
      <c r="K102" s="122"/>
      <c r="L102" s="122"/>
      <c r="M102" s="122"/>
      <c r="N102" s="122"/>
      <c r="O102" s="122"/>
      <c r="P102" s="122"/>
      <c r="Q102" s="122"/>
      <c r="R102" s="122"/>
      <c r="S102" s="123"/>
    </row>
    <row r="110" spans="1:19" ht="18" customHeight="1" x14ac:dyDescent="0.2"/>
  </sheetData>
  <mergeCells count="145">
    <mergeCell ref="J36:O36"/>
    <mergeCell ref="J37:O37"/>
    <mergeCell ref="J38:O38"/>
    <mergeCell ref="J57:O57"/>
    <mergeCell ref="J58:O58"/>
    <mergeCell ref="B71:D71"/>
    <mergeCell ref="B72:D72"/>
    <mergeCell ref="B38:E38"/>
    <mergeCell ref="B39:E39"/>
    <mergeCell ref="B40:E40"/>
    <mergeCell ref="B41:E41"/>
    <mergeCell ref="B42:E42"/>
    <mergeCell ref="J47:O47"/>
    <mergeCell ref="J48:O48"/>
    <mergeCell ref="J49:O49"/>
    <mergeCell ref="J50:O50"/>
    <mergeCell ref="J51:O51"/>
    <mergeCell ref="J52:O52"/>
    <mergeCell ref="J39:O39"/>
    <mergeCell ref="J40:O40"/>
    <mergeCell ref="J41:O41"/>
    <mergeCell ref="J42:O42"/>
    <mergeCell ref="A44:S45"/>
    <mergeCell ref="A66:S67"/>
    <mergeCell ref="B97:B99"/>
    <mergeCell ref="D97:S97"/>
    <mergeCell ref="D99:S99"/>
    <mergeCell ref="B95:B96"/>
    <mergeCell ref="D95:S95"/>
    <mergeCell ref="J73:N73"/>
    <mergeCell ref="J74:N74"/>
    <mergeCell ref="B49:E49"/>
    <mergeCell ref="A55:S56"/>
    <mergeCell ref="J75:N75"/>
    <mergeCell ref="J85:O85"/>
    <mergeCell ref="B88:C88"/>
    <mergeCell ref="D88:S88"/>
    <mergeCell ref="D89:S89"/>
    <mergeCell ref="J79:O79"/>
    <mergeCell ref="P79:S79"/>
    <mergeCell ref="P78:S78"/>
    <mergeCell ref="B79:E79"/>
    <mergeCell ref="J59:O59"/>
    <mergeCell ref="B78:E78"/>
    <mergeCell ref="F79:I79"/>
    <mergeCell ref="P81:S81"/>
    <mergeCell ref="P82:S82"/>
    <mergeCell ref="B91:B92"/>
    <mergeCell ref="B93:B94"/>
    <mergeCell ref="B89:B90"/>
    <mergeCell ref="J69:N69"/>
    <mergeCell ref="J70:N70"/>
    <mergeCell ref="J71:N71"/>
    <mergeCell ref="B82:E82"/>
    <mergeCell ref="F81:I81"/>
    <mergeCell ref="F82:I82"/>
    <mergeCell ref="J81:O81"/>
    <mergeCell ref="J82:O82"/>
    <mergeCell ref="B73:D73"/>
    <mergeCell ref="B74:D74"/>
    <mergeCell ref="B75:D75"/>
    <mergeCell ref="J72:N72"/>
    <mergeCell ref="B60:E60"/>
    <mergeCell ref="B61:E61"/>
    <mergeCell ref="B62:E62"/>
    <mergeCell ref="B63:E63"/>
    <mergeCell ref="B64:E64"/>
    <mergeCell ref="J46:O46"/>
    <mergeCell ref="F78:I78"/>
    <mergeCell ref="J78:O78"/>
    <mergeCell ref="B69:D69"/>
    <mergeCell ref="B70:D70"/>
    <mergeCell ref="J53:O53"/>
    <mergeCell ref="B102:S102"/>
    <mergeCell ref="P85:S85"/>
    <mergeCell ref="B80:E80"/>
    <mergeCell ref="F80:I80"/>
    <mergeCell ref="J80:O80"/>
    <mergeCell ref="P80:S80"/>
    <mergeCell ref="B83:E83"/>
    <mergeCell ref="F83:I83"/>
    <mergeCell ref="J83:O83"/>
    <mergeCell ref="P83:S83"/>
    <mergeCell ref="B81:E81"/>
    <mergeCell ref="D90:S90"/>
    <mergeCell ref="D91:S91"/>
    <mergeCell ref="D94:S94"/>
    <mergeCell ref="D92:S92"/>
    <mergeCell ref="D93:S93"/>
    <mergeCell ref="B84:E84"/>
    <mergeCell ref="F84:I84"/>
    <mergeCell ref="J84:O84"/>
    <mergeCell ref="P84:S84"/>
    <mergeCell ref="B85:E85"/>
    <mergeCell ref="D96:S96"/>
    <mergeCell ref="F85:I85"/>
    <mergeCell ref="D98:S98"/>
    <mergeCell ref="R1:S1"/>
    <mergeCell ref="B24:E24"/>
    <mergeCell ref="B25:E25"/>
    <mergeCell ref="B26:E26"/>
    <mergeCell ref="B27:E27"/>
    <mergeCell ref="B28:E28"/>
    <mergeCell ref="B29:E29"/>
    <mergeCell ref="B30:E30"/>
    <mergeCell ref="B31:E31"/>
    <mergeCell ref="J24:O24"/>
    <mergeCell ref="J25:O25"/>
    <mergeCell ref="J26:O26"/>
    <mergeCell ref="J27:O27"/>
    <mergeCell ref="J28:O28"/>
    <mergeCell ref="J29:O29"/>
    <mergeCell ref="J30:O30"/>
    <mergeCell ref="J31:O31"/>
    <mergeCell ref="K20:S20"/>
    <mergeCell ref="C2:I2"/>
    <mergeCell ref="C3:I3"/>
    <mergeCell ref="A5:S5"/>
    <mergeCell ref="B13:S18"/>
    <mergeCell ref="A22:S23"/>
    <mergeCell ref="K7:S7"/>
    <mergeCell ref="B9:S10"/>
    <mergeCell ref="J60:O60"/>
    <mergeCell ref="J61:O61"/>
    <mergeCell ref="J62:O62"/>
    <mergeCell ref="J63:O63"/>
    <mergeCell ref="J64:O64"/>
    <mergeCell ref="B68:D68"/>
    <mergeCell ref="J68:N68"/>
    <mergeCell ref="B50:E50"/>
    <mergeCell ref="B51:E51"/>
    <mergeCell ref="B52:E52"/>
    <mergeCell ref="B53:E53"/>
    <mergeCell ref="A33:S34"/>
    <mergeCell ref="C20:D20"/>
    <mergeCell ref="B35:E35"/>
    <mergeCell ref="B36:E36"/>
    <mergeCell ref="B37:E37"/>
    <mergeCell ref="B57:E57"/>
    <mergeCell ref="B58:E58"/>
    <mergeCell ref="B59:E59"/>
    <mergeCell ref="B46:E46"/>
    <mergeCell ref="B47:E47"/>
    <mergeCell ref="B48:E48"/>
    <mergeCell ref="J35:O35"/>
  </mergeCells>
  <phoneticPr fontId="1"/>
  <conditionalFormatting sqref="B9:S10">
    <cfRule type="expression" dxfId="1" priority="1">
      <formula>$K$7="学部・学科によって、修了要件は相違しない"</formula>
    </cfRule>
  </conditionalFormatting>
  <dataValidations count="5">
    <dataValidation type="list" allowBlank="1" showInputMessage="1" showErrorMessage="1" sqref="G25:I31 Q25:S31 P69:S75 Q36:S42 G36:I42 Q47:S53 G47:I53 Q58:S64 F69:I75 G58:I64" xr:uid="{4C0986EB-3601-4249-85F7-B678A400A117}">
      <formula1>"○"</formula1>
    </dataValidation>
    <dataValidation type="list" allowBlank="1" showInputMessage="1" showErrorMessage="1" sqref="S32 S43 D32:G32 D43:G43" xr:uid="{CC907DDE-86DC-4E68-BFF5-E920A71A96A6}">
      <formula1>"全学開講,一部開講"</formula1>
    </dataValidation>
    <dataValidation type="list" allowBlank="1" showInputMessage="1" showErrorMessage="1" sqref="K7 K12" xr:uid="{7B985F3C-9687-4C99-93D5-E4589130E2EC}">
      <formula1>"学部・学科によって、修了要件は相違する,学部・学科によって、修了要件は相違しない"</formula1>
    </dataValidation>
    <dataValidation type="list" allowBlank="1" showInputMessage="1" showErrorMessage="1" sqref="F79:F86 P79:P86 G79:I80 G83:I86 Q83:S86 Q79:S80"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20:S20" xr:uid="{8D0781BD-BB46-47E4-B306-E5D299761C76}">
      <formula1>$V$14:$V$16</formula1>
    </dataValidation>
  </dataValidations>
  <printOptions horizontalCentered="1"/>
  <pageMargins left="0.78740157480314965" right="0.78740157480314965" top="0.78740157480314965" bottom="0.19685039370078741" header="0.31496062992125984" footer="0.19685039370078741"/>
  <pageSetup paperSize="9" scale="75" fitToHeight="0" orientation="portrait" r:id="rId1"/>
  <headerFooter>
    <oddHeader>&amp;C数理・データサイエンス・AI教育プログラム認定制度【リテラシーレベル】</oddHeader>
  </headerFooter>
  <rowBreaks count="2" manualBreakCount="2">
    <brk id="65" max="18" man="1"/>
    <brk id="94" max="18"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404399-0807-4D6E-A655-6A80D024DD1E}">
  <sheetPr>
    <pageSetUpPr fitToPage="1"/>
  </sheetPr>
  <dimension ref="A1:V110"/>
  <sheetViews>
    <sheetView showZeros="0" view="pageBreakPreview" zoomScale="60" zoomScaleNormal="100" workbookViewId="0">
      <selection activeCell="O2" sqref="O2"/>
    </sheetView>
  </sheetViews>
  <sheetFormatPr defaultColWidth="9" defaultRowHeight="18.75" customHeight="1" x14ac:dyDescent="0.2"/>
  <cols>
    <col min="1" max="1" width="2.453125" style="1" customWidth="1"/>
    <col min="2" max="2" width="16.453125" style="1" customWidth="1"/>
    <col min="3" max="19" width="5.6328125" style="1" customWidth="1"/>
    <col min="20" max="20" width="9" style="1"/>
    <col min="21" max="21" width="3.6328125" style="1" customWidth="1"/>
    <col min="22" max="22" width="48.6328125" style="1" hidden="1" customWidth="1"/>
    <col min="23" max="16384" width="9" style="1"/>
  </cols>
  <sheetData>
    <row r="1" spans="1:22" ht="18.649999999999999" customHeight="1" x14ac:dyDescent="0.2">
      <c r="R1" s="101" t="s">
        <v>151</v>
      </c>
      <c r="S1" s="101"/>
      <c r="T1" s="2" t="s">
        <v>109</v>
      </c>
    </row>
    <row r="2" spans="1:22" ht="18.75" customHeight="1" x14ac:dyDescent="0.2">
      <c r="B2" s="31" t="s">
        <v>108</v>
      </c>
      <c r="C2" s="94" t="s">
        <v>126</v>
      </c>
      <c r="D2" s="95"/>
      <c r="E2" s="95"/>
      <c r="F2" s="95"/>
      <c r="G2" s="95"/>
      <c r="H2" s="95"/>
      <c r="I2" s="96"/>
      <c r="J2" s="32"/>
      <c r="K2" s="6"/>
      <c r="L2" s="6"/>
      <c r="M2" s="6"/>
      <c r="N2" s="6"/>
      <c r="O2" s="6"/>
      <c r="P2" s="6"/>
      <c r="Q2" s="6"/>
      <c r="R2" s="6"/>
      <c r="S2" s="6"/>
    </row>
    <row r="3" spans="1:22" ht="18.75" customHeight="1" x14ac:dyDescent="0.2">
      <c r="B3" s="31" t="s">
        <v>102</v>
      </c>
      <c r="C3" s="105" t="s">
        <v>167</v>
      </c>
      <c r="D3" s="106"/>
      <c r="E3" s="106"/>
      <c r="F3" s="106"/>
      <c r="G3" s="106"/>
      <c r="H3" s="106"/>
      <c r="I3" s="107"/>
      <c r="J3" s="32"/>
      <c r="K3" s="6"/>
      <c r="L3" s="6"/>
      <c r="M3" s="6"/>
      <c r="N3" s="6"/>
      <c r="O3" s="6"/>
      <c r="P3" s="6"/>
      <c r="Q3" s="6"/>
      <c r="R3" s="6"/>
      <c r="S3" s="6"/>
    </row>
    <row r="4" spans="1:22" ht="15" customHeight="1" x14ac:dyDescent="0.2">
      <c r="K4" s="32"/>
      <c r="L4" s="34"/>
      <c r="M4" s="34"/>
      <c r="N4" s="34"/>
      <c r="O4" s="34"/>
      <c r="P4" s="34"/>
      <c r="Q4" s="34"/>
      <c r="R4" s="34"/>
      <c r="S4" s="34"/>
    </row>
    <row r="5" spans="1:22" ht="18" customHeight="1" x14ac:dyDescent="0.2">
      <c r="A5" s="108" t="s">
        <v>38</v>
      </c>
      <c r="B5" s="108"/>
      <c r="C5" s="108"/>
      <c r="D5" s="108"/>
      <c r="E5" s="108"/>
      <c r="F5" s="108"/>
      <c r="G5" s="108"/>
      <c r="H5" s="108"/>
      <c r="I5" s="108"/>
      <c r="J5" s="108"/>
      <c r="K5" s="108"/>
      <c r="L5" s="108"/>
      <c r="M5" s="108"/>
      <c r="N5" s="108"/>
      <c r="O5" s="108"/>
      <c r="P5" s="108"/>
      <c r="Q5" s="108"/>
      <c r="R5" s="108"/>
      <c r="S5" s="108"/>
    </row>
    <row r="6" spans="1:22" ht="15" customHeight="1" x14ac:dyDescent="0.2">
      <c r="B6" s="3"/>
      <c r="C6" s="3"/>
      <c r="D6" s="3"/>
      <c r="E6" s="3"/>
      <c r="F6" s="3"/>
      <c r="G6" s="3"/>
      <c r="H6" s="3"/>
      <c r="I6" s="3"/>
      <c r="J6" s="3"/>
      <c r="K6" s="3"/>
      <c r="L6" s="3"/>
      <c r="M6" s="3"/>
      <c r="N6" s="3"/>
      <c r="O6" s="3"/>
      <c r="P6" s="3"/>
      <c r="Q6" s="3"/>
      <c r="R6" s="3"/>
      <c r="S6" s="3"/>
    </row>
    <row r="7" spans="1:22" ht="18" customHeight="1" x14ac:dyDescent="0.2">
      <c r="A7" s="1" t="s">
        <v>124</v>
      </c>
      <c r="C7" s="3"/>
      <c r="J7" s="35" t="s">
        <v>107</v>
      </c>
      <c r="K7" s="118" t="s">
        <v>128</v>
      </c>
      <c r="L7" s="119"/>
      <c r="M7" s="119"/>
      <c r="N7" s="119"/>
      <c r="O7" s="119"/>
      <c r="P7" s="119"/>
      <c r="Q7" s="119"/>
      <c r="R7" s="119"/>
      <c r="S7" s="120"/>
    </row>
    <row r="8" spans="1:22" ht="6" customHeight="1" x14ac:dyDescent="0.2">
      <c r="B8" s="3"/>
      <c r="C8" s="3"/>
      <c r="D8" s="3"/>
      <c r="E8" s="3"/>
      <c r="F8" s="3"/>
      <c r="G8" s="3"/>
      <c r="H8" s="3"/>
      <c r="I8" s="3"/>
      <c r="J8" s="3"/>
      <c r="K8" s="8"/>
      <c r="L8" s="3"/>
      <c r="M8" s="3"/>
      <c r="N8" s="3"/>
      <c r="O8" s="3"/>
      <c r="P8" s="3"/>
      <c r="Q8" s="3"/>
      <c r="R8" s="3"/>
      <c r="S8" s="3"/>
    </row>
    <row r="9" spans="1:22" ht="18" customHeight="1" x14ac:dyDescent="0.2">
      <c r="B9" s="82" t="s">
        <v>153</v>
      </c>
      <c r="C9" s="83"/>
      <c r="D9" s="83"/>
      <c r="E9" s="83"/>
      <c r="F9" s="83"/>
      <c r="G9" s="83"/>
      <c r="H9" s="83"/>
      <c r="I9" s="83"/>
      <c r="J9" s="83"/>
      <c r="K9" s="83"/>
      <c r="L9" s="83"/>
      <c r="M9" s="83"/>
      <c r="N9" s="83"/>
      <c r="O9" s="83"/>
      <c r="P9" s="83"/>
      <c r="Q9" s="83"/>
      <c r="R9" s="83"/>
      <c r="S9" s="84"/>
    </row>
    <row r="10" spans="1:22" ht="18" customHeight="1" x14ac:dyDescent="0.2">
      <c r="B10" s="85"/>
      <c r="C10" s="86"/>
      <c r="D10" s="86"/>
      <c r="E10" s="86"/>
      <c r="F10" s="86"/>
      <c r="G10" s="86"/>
      <c r="H10" s="86"/>
      <c r="I10" s="86"/>
      <c r="J10" s="86"/>
      <c r="K10" s="86"/>
      <c r="L10" s="86"/>
      <c r="M10" s="86"/>
      <c r="N10" s="86"/>
      <c r="O10" s="86"/>
      <c r="P10" s="86"/>
      <c r="Q10" s="86"/>
      <c r="R10" s="86"/>
      <c r="S10" s="87"/>
    </row>
    <row r="11" spans="1:22" ht="6" customHeight="1" x14ac:dyDescent="0.2">
      <c r="B11" s="3"/>
      <c r="C11" s="3"/>
      <c r="D11" s="3"/>
      <c r="E11" s="3"/>
      <c r="F11" s="3"/>
      <c r="G11" s="3"/>
      <c r="H11" s="3"/>
      <c r="I11" s="3"/>
      <c r="J11" s="3"/>
      <c r="K11" s="8"/>
      <c r="L11" s="3"/>
      <c r="M11" s="3"/>
      <c r="N11" s="3"/>
      <c r="O11" s="3"/>
      <c r="P11" s="3"/>
      <c r="Q11" s="3"/>
      <c r="R11" s="3"/>
      <c r="S11" s="3"/>
    </row>
    <row r="12" spans="1:22" ht="18" customHeight="1" x14ac:dyDescent="0.2">
      <c r="A12" s="1" t="s">
        <v>111</v>
      </c>
      <c r="B12" s="3"/>
      <c r="C12" s="3"/>
      <c r="D12" s="32"/>
      <c r="E12" s="32"/>
      <c r="F12" s="32"/>
      <c r="G12" s="32"/>
      <c r="H12" s="32"/>
      <c r="I12" s="32"/>
      <c r="J12" s="32"/>
      <c r="K12" s="36"/>
      <c r="L12" s="36"/>
      <c r="M12" s="36"/>
      <c r="N12" s="36"/>
      <c r="O12" s="36"/>
      <c r="P12" s="36"/>
      <c r="Q12" s="36"/>
      <c r="R12" s="36"/>
      <c r="S12" s="36"/>
    </row>
    <row r="13" spans="1:22" ht="18" customHeight="1" x14ac:dyDescent="0.2">
      <c r="B13" s="109" t="s">
        <v>155</v>
      </c>
      <c r="C13" s="110"/>
      <c r="D13" s="110"/>
      <c r="E13" s="110"/>
      <c r="F13" s="110"/>
      <c r="G13" s="110"/>
      <c r="H13" s="110"/>
      <c r="I13" s="110"/>
      <c r="J13" s="110"/>
      <c r="K13" s="110"/>
      <c r="L13" s="110"/>
      <c r="M13" s="110"/>
      <c r="N13" s="110"/>
      <c r="O13" s="110"/>
      <c r="P13" s="110"/>
      <c r="Q13" s="110"/>
      <c r="R13" s="110"/>
      <c r="S13" s="111"/>
      <c r="V13" s="1" t="s">
        <v>103</v>
      </c>
    </row>
    <row r="14" spans="1:22" ht="18" customHeight="1" x14ac:dyDescent="0.2">
      <c r="B14" s="112"/>
      <c r="C14" s="113"/>
      <c r="D14" s="113"/>
      <c r="E14" s="113"/>
      <c r="F14" s="113"/>
      <c r="G14" s="113"/>
      <c r="H14" s="113"/>
      <c r="I14" s="113"/>
      <c r="J14" s="113"/>
      <c r="K14" s="113"/>
      <c r="L14" s="113"/>
      <c r="M14" s="113"/>
      <c r="N14" s="113"/>
      <c r="O14" s="113"/>
      <c r="P14" s="113"/>
      <c r="Q14" s="113"/>
      <c r="R14" s="113"/>
      <c r="S14" s="114"/>
      <c r="V14" s="1" t="s">
        <v>110</v>
      </c>
    </row>
    <row r="15" spans="1:22" ht="18" customHeight="1" x14ac:dyDescent="0.2">
      <c r="B15" s="112"/>
      <c r="C15" s="113"/>
      <c r="D15" s="113"/>
      <c r="E15" s="113"/>
      <c r="F15" s="113"/>
      <c r="G15" s="113"/>
      <c r="H15" s="113"/>
      <c r="I15" s="113"/>
      <c r="J15" s="113"/>
      <c r="K15" s="113"/>
      <c r="L15" s="113"/>
      <c r="M15" s="113"/>
      <c r="N15" s="113"/>
      <c r="O15" s="113"/>
      <c r="P15" s="113"/>
      <c r="Q15" s="113"/>
      <c r="R15" s="113"/>
      <c r="S15" s="114"/>
      <c r="V15" s="1" t="s">
        <v>123</v>
      </c>
    </row>
    <row r="16" spans="1:22" ht="18" customHeight="1" x14ac:dyDescent="0.2">
      <c r="B16" s="112"/>
      <c r="C16" s="113"/>
      <c r="D16" s="113"/>
      <c r="E16" s="113"/>
      <c r="F16" s="113"/>
      <c r="G16" s="113"/>
      <c r="H16" s="113"/>
      <c r="I16" s="113"/>
      <c r="J16" s="113"/>
      <c r="K16" s="113"/>
      <c r="L16" s="113"/>
      <c r="M16" s="113"/>
      <c r="N16" s="113"/>
      <c r="O16" s="113"/>
      <c r="P16" s="113"/>
      <c r="Q16" s="113"/>
      <c r="R16" s="113"/>
      <c r="S16" s="114"/>
      <c r="V16" s="1" t="s">
        <v>125</v>
      </c>
    </row>
    <row r="17" spans="1:19" ht="18" customHeight="1" x14ac:dyDescent="0.2">
      <c r="B17" s="112"/>
      <c r="C17" s="113"/>
      <c r="D17" s="113"/>
      <c r="E17" s="113"/>
      <c r="F17" s="113"/>
      <c r="G17" s="113"/>
      <c r="H17" s="113"/>
      <c r="I17" s="113"/>
      <c r="J17" s="113"/>
      <c r="K17" s="113"/>
      <c r="L17" s="113"/>
      <c r="M17" s="113"/>
      <c r="N17" s="113"/>
      <c r="O17" s="113"/>
      <c r="P17" s="113"/>
      <c r="Q17" s="113"/>
      <c r="R17" s="113"/>
      <c r="S17" s="114"/>
    </row>
    <row r="18" spans="1:19" ht="18" customHeight="1" x14ac:dyDescent="0.2">
      <c r="B18" s="115"/>
      <c r="C18" s="116"/>
      <c r="D18" s="116"/>
      <c r="E18" s="116"/>
      <c r="F18" s="116"/>
      <c r="G18" s="116"/>
      <c r="H18" s="116"/>
      <c r="I18" s="116"/>
      <c r="J18" s="116"/>
      <c r="K18" s="116"/>
      <c r="L18" s="116"/>
      <c r="M18" s="116"/>
      <c r="N18" s="116"/>
      <c r="O18" s="116"/>
      <c r="P18" s="116"/>
      <c r="Q18" s="116"/>
      <c r="R18" s="116"/>
      <c r="S18" s="117"/>
    </row>
    <row r="19" spans="1:19" ht="7.5" customHeight="1" x14ac:dyDescent="0.2">
      <c r="B19" s="3"/>
      <c r="C19" s="3"/>
      <c r="D19" s="3"/>
      <c r="E19" s="3"/>
      <c r="F19" s="3"/>
      <c r="G19" s="3"/>
      <c r="H19" s="3"/>
      <c r="I19" s="3"/>
      <c r="J19" s="3"/>
      <c r="K19" s="3"/>
      <c r="L19" s="3"/>
      <c r="M19" s="3"/>
      <c r="N19" s="3"/>
      <c r="O19" s="3"/>
      <c r="P19" s="3"/>
      <c r="Q19" s="3"/>
      <c r="R19" s="3"/>
      <c r="S19" s="3"/>
    </row>
    <row r="20" spans="1:19" ht="20" customHeight="1" x14ac:dyDescent="0.2">
      <c r="B20" s="1" t="s">
        <v>112</v>
      </c>
      <c r="C20" s="94">
        <v>2</v>
      </c>
      <c r="D20" s="96"/>
      <c r="E20" s="37" t="s">
        <v>95</v>
      </c>
      <c r="G20" s="8"/>
      <c r="H20" s="3"/>
      <c r="I20" s="3"/>
      <c r="J20" s="32" t="s">
        <v>121</v>
      </c>
      <c r="K20" s="102" t="s">
        <v>123</v>
      </c>
      <c r="L20" s="103"/>
      <c r="M20" s="103"/>
      <c r="N20" s="103"/>
      <c r="O20" s="103"/>
      <c r="P20" s="103"/>
      <c r="Q20" s="103"/>
      <c r="R20" s="103"/>
      <c r="S20" s="104"/>
    </row>
    <row r="21" spans="1:19" ht="7.5" customHeight="1" x14ac:dyDescent="0.2">
      <c r="B21" s="3"/>
      <c r="C21" s="3"/>
      <c r="D21" s="3"/>
      <c r="E21" s="3"/>
      <c r="F21" s="3"/>
      <c r="G21" s="3"/>
      <c r="H21" s="3"/>
      <c r="I21" s="3"/>
      <c r="J21" s="3"/>
      <c r="K21" s="3"/>
      <c r="L21" s="3"/>
      <c r="M21" s="3"/>
      <c r="N21" s="3"/>
      <c r="O21" s="3"/>
      <c r="P21" s="3"/>
      <c r="Q21" s="3"/>
      <c r="R21" s="3"/>
      <c r="S21" s="3"/>
    </row>
    <row r="22" spans="1:19" ht="18" customHeight="1" x14ac:dyDescent="0.2">
      <c r="A22" s="97" t="s">
        <v>113</v>
      </c>
      <c r="B22" s="97"/>
      <c r="C22" s="97"/>
      <c r="D22" s="97"/>
      <c r="E22" s="97"/>
      <c r="F22" s="97"/>
      <c r="G22" s="97"/>
      <c r="H22" s="97"/>
      <c r="I22" s="97"/>
      <c r="J22" s="97"/>
      <c r="K22" s="97"/>
      <c r="L22" s="97"/>
      <c r="M22" s="97"/>
      <c r="N22" s="97"/>
      <c r="O22" s="97"/>
      <c r="P22" s="97"/>
      <c r="Q22" s="97"/>
      <c r="R22" s="97"/>
      <c r="S22" s="97"/>
    </row>
    <row r="23" spans="1:19" ht="18" customHeight="1" x14ac:dyDescent="0.2">
      <c r="A23" s="97"/>
      <c r="B23" s="97"/>
      <c r="C23" s="97"/>
      <c r="D23" s="97"/>
      <c r="E23" s="97"/>
      <c r="F23" s="97"/>
      <c r="G23" s="97"/>
      <c r="H23" s="97"/>
      <c r="I23" s="97"/>
      <c r="J23" s="97"/>
      <c r="K23" s="97"/>
      <c r="L23" s="97"/>
      <c r="M23" s="97"/>
      <c r="N23" s="97"/>
      <c r="O23" s="97"/>
      <c r="P23" s="97"/>
      <c r="Q23" s="97"/>
      <c r="R23" s="97"/>
      <c r="S23" s="97"/>
    </row>
    <row r="24" spans="1:19" ht="18" customHeight="1" x14ac:dyDescent="0.2">
      <c r="B24" s="94" t="s">
        <v>53</v>
      </c>
      <c r="C24" s="95"/>
      <c r="D24" s="95"/>
      <c r="E24" s="96"/>
      <c r="F24" s="58" t="s">
        <v>80</v>
      </c>
      <c r="G24" s="57" t="s">
        <v>84</v>
      </c>
      <c r="H24" s="19" t="s">
        <v>56</v>
      </c>
      <c r="I24" s="19" t="s">
        <v>59</v>
      </c>
      <c r="J24" s="94" t="s">
        <v>53</v>
      </c>
      <c r="K24" s="95"/>
      <c r="L24" s="95"/>
      <c r="M24" s="95"/>
      <c r="N24" s="95"/>
      <c r="O24" s="96"/>
      <c r="P24" s="58" t="s">
        <v>80</v>
      </c>
      <c r="Q24" s="57" t="s">
        <v>84</v>
      </c>
      <c r="R24" s="19" t="s">
        <v>56</v>
      </c>
      <c r="S24" s="19" t="s">
        <v>59</v>
      </c>
    </row>
    <row r="25" spans="1:19" ht="18" customHeight="1" x14ac:dyDescent="0.2">
      <c r="B25" s="98" t="s">
        <v>149</v>
      </c>
      <c r="C25" s="99"/>
      <c r="D25" s="99"/>
      <c r="E25" s="100"/>
      <c r="F25" s="20">
        <v>1</v>
      </c>
      <c r="G25" s="20" t="s">
        <v>133</v>
      </c>
      <c r="H25" s="20" t="s">
        <v>133</v>
      </c>
      <c r="I25" s="20" t="s">
        <v>133</v>
      </c>
      <c r="J25" s="98"/>
      <c r="K25" s="99"/>
      <c r="L25" s="99"/>
      <c r="M25" s="99"/>
      <c r="N25" s="99"/>
      <c r="O25" s="100"/>
      <c r="P25" s="20"/>
      <c r="Q25" s="20"/>
      <c r="R25" s="20"/>
      <c r="S25" s="20"/>
    </row>
    <row r="26" spans="1:19" ht="18" customHeight="1" x14ac:dyDescent="0.2">
      <c r="B26" s="88"/>
      <c r="C26" s="89"/>
      <c r="D26" s="89"/>
      <c r="E26" s="90"/>
      <c r="F26" s="21"/>
      <c r="G26" s="21"/>
      <c r="H26" s="21"/>
      <c r="I26" s="21"/>
      <c r="J26" s="88"/>
      <c r="K26" s="89"/>
      <c r="L26" s="89"/>
      <c r="M26" s="89"/>
      <c r="N26" s="89"/>
      <c r="O26" s="90"/>
      <c r="P26" s="21"/>
      <c r="Q26" s="21"/>
      <c r="R26" s="21"/>
      <c r="S26" s="21"/>
    </row>
    <row r="27" spans="1:19" ht="18" customHeight="1" x14ac:dyDescent="0.2">
      <c r="B27" s="88"/>
      <c r="C27" s="89"/>
      <c r="D27" s="89"/>
      <c r="E27" s="90"/>
      <c r="F27" s="21"/>
      <c r="G27" s="21"/>
      <c r="H27" s="21"/>
      <c r="I27" s="21"/>
      <c r="J27" s="88"/>
      <c r="K27" s="89"/>
      <c r="L27" s="89"/>
      <c r="M27" s="89"/>
      <c r="N27" s="89"/>
      <c r="O27" s="90"/>
      <c r="P27" s="21"/>
      <c r="Q27" s="21"/>
      <c r="R27" s="21"/>
      <c r="S27" s="21"/>
    </row>
    <row r="28" spans="1:19" ht="18" customHeight="1" x14ac:dyDescent="0.2">
      <c r="B28" s="88"/>
      <c r="C28" s="89"/>
      <c r="D28" s="89"/>
      <c r="E28" s="90"/>
      <c r="F28" s="21"/>
      <c r="G28" s="21"/>
      <c r="H28" s="21"/>
      <c r="I28" s="21"/>
      <c r="J28" s="88"/>
      <c r="K28" s="89"/>
      <c r="L28" s="89"/>
      <c r="M28" s="89"/>
      <c r="N28" s="89"/>
      <c r="O28" s="90"/>
      <c r="P28" s="21"/>
      <c r="Q28" s="21"/>
      <c r="R28" s="21"/>
      <c r="S28" s="21"/>
    </row>
    <row r="29" spans="1:19" ht="18" customHeight="1" x14ac:dyDescent="0.2">
      <c r="B29" s="88"/>
      <c r="C29" s="89"/>
      <c r="D29" s="89"/>
      <c r="E29" s="90"/>
      <c r="F29" s="21"/>
      <c r="G29" s="21"/>
      <c r="H29" s="21"/>
      <c r="I29" s="21"/>
      <c r="J29" s="88"/>
      <c r="K29" s="89"/>
      <c r="L29" s="89"/>
      <c r="M29" s="89"/>
      <c r="N29" s="89"/>
      <c r="O29" s="90"/>
      <c r="P29" s="21"/>
      <c r="Q29" s="21"/>
      <c r="R29" s="21"/>
      <c r="S29" s="21"/>
    </row>
    <row r="30" spans="1:19" ht="18" customHeight="1" x14ac:dyDescent="0.2">
      <c r="A30" s="3"/>
      <c r="B30" s="88"/>
      <c r="C30" s="89"/>
      <c r="D30" s="89"/>
      <c r="E30" s="90"/>
      <c r="F30" s="21"/>
      <c r="G30" s="21"/>
      <c r="H30" s="21"/>
      <c r="I30" s="21"/>
      <c r="J30" s="88"/>
      <c r="K30" s="89"/>
      <c r="L30" s="89"/>
      <c r="M30" s="89"/>
      <c r="N30" s="89"/>
      <c r="O30" s="90"/>
      <c r="P30" s="21"/>
      <c r="Q30" s="21"/>
      <c r="R30" s="21"/>
      <c r="S30" s="21"/>
    </row>
    <row r="31" spans="1:19" ht="18" customHeight="1" x14ac:dyDescent="0.2">
      <c r="A31" s="3"/>
      <c r="B31" s="91"/>
      <c r="C31" s="92"/>
      <c r="D31" s="92"/>
      <c r="E31" s="93"/>
      <c r="F31" s="22"/>
      <c r="G31" s="22"/>
      <c r="H31" s="23"/>
      <c r="I31" s="23"/>
      <c r="J31" s="91"/>
      <c r="K31" s="92"/>
      <c r="L31" s="92"/>
      <c r="M31" s="92"/>
      <c r="N31" s="92"/>
      <c r="O31" s="93"/>
      <c r="P31" s="22"/>
      <c r="Q31" s="22"/>
      <c r="R31" s="23"/>
      <c r="S31" s="23"/>
    </row>
    <row r="32" spans="1:19" ht="7.5" customHeight="1" x14ac:dyDescent="0.2">
      <c r="A32" s="3"/>
      <c r="B32" s="6"/>
      <c r="C32" s="6"/>
      <c r="D32" s="3"/>
      <c r="E32" s="3"/>
      <c r="F32" s="3"/>
      <c r="G32" s="3"/>
      <c r="H32" s="6"/>
      <c r="I32" s="6"/>
      <c r="J32" s="6"/>
      <c r="K32" s="6"/>
      <c r="L32" s="6"/>
      <c r="M32" s="6"/>
      <c r="N32" s="6"/>
      <c r="O32" s="6"/>
      <c r="P32" s="6"/>
      <c r="Q32" s="6"/>
      <c r="R32" s="6"/>
      <c r="S32" s="3"/>
    </row>
    <row r="33" spans="1:19" ht="18" customHeight="1" x14ac:dyDescent="0.2">
      <c r="A33" s="97" t="s">
        <v>114</v>
      </c>
      <c r="B33" s="97"/>
      <c r="C33" s="97"/>
      <c r="D33" s="97"/>
      <c r="E33" s="97"/>
      <c r="F33" s="97"/>
      <c r="G33" s="97"/>
      <c r="H33" s="97"/>
      <c r="I33" s="97"/>
      <c r="J33" s="97"/>
      <c r="K33" s="97"/>
      <c r="L33" s="97"/>
      <c r="M33" s="97"/>
      <c r="N33" s="97"/>
      <c r="O33" s="97"/>
      <c r="P33" s="97"/>
      <c r="Q33" s="97"/>
      <c r="R33" s="97"/>
      <c r="S33" s="97"/>
    </row>
    <row r="34" spans="1:19" ht="18" customHeight="1" x14ac:dyDescent="0.2">
      <c r="A34" s="97"/>
      <c r="B34" s="97"/>
      <c r="C34" s="97"/>
      <c r="D34" s="97"/>
      <c r="E34" s="97"/>
      <c r="F34" s="97"/>
      <c r="G34" s="97"/>
      <c r="H34" s="97"/>
      <c r="I34" s="97"/>
      <c r="J34" s="97"/>
      <c r="K34" s="97"/>
      <c r="L34" s="97"/>
      <c r="M34" s="97"/>
      <c r="N34" s="97"/>
      <c r="O34" s="97"/>
      <c r="P34" s="97"/>
      <c r="Q34" s="97"/>
      <c r="R34" s="97"/>
      <c r="S34" s="97"/>
    </row>
    <row r="35" spans="1:19" ht="18" customHeight="1" x14ac:dyDescent="0.2">
      <c r="B35" s="94" t="s">
        <v>53</v>
      </c>
      <c r="C35" s="95"/>
      <c r="D35" s="95"/>
      <c r="E35" s="96"/>
      <c r="F35" s="58" t="s">
        <v>80</v>
      </c>
      <c r="G35" s="57" t="s">
        <v>84</v>
      </c>
      <c r="H35" s="19" t="s">
        <v>71</v>
      </c>
      <c r="I35" s="19" t="s">
        <v>72</v>
      </c>
      <c r="J35" s="94" t="s">
        <v>53</v>
      </c>
      <c r="K35" s="95"/>
      <c r="L35" s="95"/>
      <c r="M35" s="95"/>
      <c r="N35" s="95"/>
      <c r="O35" s="96"/>
      <c r="P35" s="58" t="s">
        <v>80</v>
      </c>
      <c r="Q35" s="57" t="s">
        <v>84</v>
      </c>
      <c r="R35" s="19" t="s">
        <v>71</v>
      </c>
      <c r="S35" s="19" t="s">
        <v>72</v>
      </c>
    </row>
    <row r="36" spans="1:19" ht="18" customHeight="1" x14ac:dyDescent="0.2">
      <c r="B36" s="98" t="s">
        <v>131</v>
      </c>
      <c r="C36" s="99"/>
      <c r="D36" s="99"/>
      <c r="E36" s="100"/>
      <c r="F36" s="20">
        <v>1</v>
      </c>
      <c r="G36" s="21" t="s">
        <v>133</v>
      </c>
      <c r="H36" s="21" t="s">
        <v>133</v>
      </c>
      <c r="I36" s="21"/>
      <c r="J36" s="98"/>
      <c r="K36" s="99"/>
      <c r="L36" s="99"/>
      <c r="M36" s="99"/>
      <c r="N36" s="99"/>
      <c r="O36" s="100"/>
      <c r="P36" s="20"/>
      <c r="Q36" s="20"/>
      <c r="R36" s="20"/>
      <c r="S36" s="20"/>
    </row>
    <row r="37" spans="1:19" ht="18" customHeight="1" x14ac:dyDescent="0.2">
      <c r="B37" s="88" t="s">
        <v>132</v>
      </c>
      <c r="C37" s="89"/>
      <c r="D37" s="89"/>
      <c r="E37" s="90"/>
      <c r="F37" s="21">
        <v>1</v>
      </c>
      <c r="G37" s="21" t="s">
        <v>133</v>
      </c>
      <c r="H37" s="21" t="s">
        <v>133</v>
      </c>
      <c r="I37" s="21" t="s">
        <v>133</v>
      </c>
      <c r="J37" s="88"/>
      <c r="K37" s="89"/>
      <c r="L37" s="89"/>
      <c r="M37" s="89"/>
      <c r="N37" s="89"/>
      <c r="O37" s="90"/>
      <c r="P37" s="21"/>
      <c r="Q37" s="21"/>
      <c r="R37" s="21"/>
      <c r="S37" s="21"/>
    </row>
    <row r="38" spans="1:19" ht="18" customHeight="1" x14ac:dyDescent="0.2">
      <c r="B38" s="88"/>
      <c r="C38" s="89"/>
      <c r="D38" s="89"/>
      <c r="E38" s="90"/>
      <c r="F38" s="21"/>
      <c r="G38" s="21"/>
      <c r="H38" s="21"/>
      <c r="I38" s="21"/>
      <c r="J38" s="88"/>
      <c r="K38" s="89"/>
      <c r="L38" s="89"/>
      <c r="M38" s="89"/>
      <c r="N38" s="89"/>
      <c r="O38" s="90"/>
      <c r="P38" s="21"/>
      <c r="Q38" s="21"/>
      <c r="R38" s="21"/>
      <c r="S38" s="21"/>
    </row>
    <row r="39" spans="1:19" ht="18" customHeight="1" x14ac:dyDescent="0.2">
      <c r="B39" s="88"/>
      <c r="C39" s="89"/>
      <c r="D39" s="89"/>
      <c r="E39" s="90"/>
      <c r="F39" s="21"/>
      <c r="G39" s="21"/>
      <c r="H39" s="21"/>
      <c r="I39" s="21"/>
      <c r="J39" s="88"/>
      <c r="K39" s="89"/>
      <c r="L39" s="89"/>
      <c r="M39" s="89"/>
      <c r="N39" s="89"/>
      <c r="O39" s="90"/>
      <c r="P39" s="21"/>
      <c r="Q39" s="21"/>
      <c r="R39" s="21"/>
      <c r="S39" s="21"/>
    </row>
    <row r="40" spans="1:19" ht="18" customHeight="1" x14ac:dyDescent="0.2">
      <c r="B40" s="88"/>
      <c r="C40" s="89"/>
      <c r="D40" s="89"/>
      <c r="E40" s="90"/>
      <c r="F40" s="21"/>
      <c r="G40" s="21"/>
      <c r="H40" s="21"/>
      <c r="I40" s="21"/>
      <c r="J40" s="88"/>
      <c r="K40" s="89"/>
      <c r="L40" s="89"/>
      <c r="M40" s="89"/>
      <c r="N40" s="89"/>
      <c r="O40" s="90"/>
      <c r="P40" s="21"/>
      <c r="Q40" s="21"/>
      <c r="R40" s="21"/>
      <c r="S40" s="21"/>
    </row>
    <row r="41" spans="1:19" ht="18" customHeight="1" x14ac:dyDescent="0.2">
      <c r="B41" s="88"/>
      <c r="C41" s="89"/>
      <c r="D41" s="89"/>
      <c r="E41" s="90"/>
      <c r="F41" s="21"/>
      <c r="G41" s="21"/>
      <c r="H41" s="21"/>
      <c r="I41" s="21"/>
      <c r="J41" s="88"/>
      <c r="K41" s="89"/>
      <c r="L41" s="89"/>
      <c r="M41" s="89"/>
      <c r="N41" s="89"/>
      <c r="O41" s="90"/>
      <c r="P41" s="21"/>
      <c r="Q41" s="21"/>
      <c r="R41" s="21"/>
      <c r="S41" s="21"/>
    </row>
    <row r="42" spans="1:19" ht="18" customHeight="1" x14ac:dyDescent="0.2">
      <c r="B42" s="91"/>
      <c r="C42" s="92"/>
      <c r="D42" s="92"/>
      <c r="E42" s="93"/>
      <c r="F42" s="22"/>
      <c r="G42" s="22"/>
      <c r="H42" s="23"/>
      <c r="I42" s="23"/>
      <c r="J42" s="91"/>
      <c r="K42" s="92"/>
      <c r="L42" s="92"/>
      <c r="M42" s="92"/>
      <c r="N42" s="92"/>
      <c r="O42" s="93"/>
      <c r="P42" s="22"/>
      <c r="Q42" s="22"/>
      <c r="R42" s="23"/>
      <c r="S42" s="23"/>
    </row>
    <row r="43" spans="1:19" ht="7.5" customHeight="1" x14ac:dyDescent="0.2">
      <c r="A43" s="3"/>
      <c r="B43" s="6"/>
      <c r="C43" s="6"/>
      <c r="D43" s="3"/>
      <c r="E43" s="3"/>
      <c r="F43" s="3"/>
      <c r="G43" s="3"/>
      <c r="H43" s="6"/>
      <c r="I43" s="6"/>
      <c r="J43" s="6"/>
      <c r="K43" s="6"/>
      <c r="L43" s="6"/>
      <c r="M43" s="6"/>
      <c r="N43" s="6"/>
      <c r="O43" s="6"/>
      <c r="P43" s="6"/>
      <c r="Q43" s="6"/>
      <c r="R43" s="6"/>
      <c r="S43" s="3"/>
    </row>
    <row r="44" spans="1:19" ht="18" customHeight="1" x14ac:dyDescent="0.2">
      <c r="A44" s="97" t="s">
        <v>115</v>
      </c>
      <c r="B44" s="97"/>
      <c r="C44" s="97"/>
      <c r="D44" s="97"/>
      <c r="E44" s="97"/>
      <c r="F44" s="97"/>
      <c r="G44" s="97"/>
      <c r="H44" s="97"/>
      <c r="I44" s="97"/>
      <c r="J44" s="97"/>
      <c r="K44" s="97"/>
      <c r="L44" s="97"/>
      <c r="M44" s="97"/>
      <c r="N44" s="97"/>
      <c r="O44" s="97"/>
      <c r="P44" s="97"/>
      <c r="Q44" s="97"/>
      <c r="R44" s="97"/>
      <c r="S44" s="97"/>
    </row>
    <row r="45" spans="1:19" ht="18" customHeight="1" x14ac:dyDescent="0.2">
      <c r="A45" s="97"/>
      <c r="B45" s="97"/>
      <c r="C45" s="97"/>
      <c r="D45" s="97"/>
      <c r="E45" s="97"/>
      <c r="F45" s="97"/>
      <c r="G45" s="97"/>
      <c r="H45" s="97"/>
      <c r="I45" s="97"/>
      <c r="J45" s="97"/>
      <c r="K45" s="97"/>
      <c r="L45" s="97"/>
      <c r="M45" s="97"/>
      <c r="N45" s="97"/>
      <c r="O45" s="97"/>
      <c r="P45" s="97"/>
      <c r="Q45" s="97"/>
      <c r="R45" s="97"/>
      <c r="S45" s="97"/>
    </row>
    <row r="46" spans="1:19" ht="18" customHeight="1" x14ac:dyDescent="0.2">
      <c r="B46" s="94" t="s">
        <v>53</v>
      </c>
      <c r="C46" s="95"/>
      <c r="D46" s="95"/>
      <c r="E46" s="96"/>
      <c r="F46" s="58" t="s">
        <v>80</v>
      </c>
      <c r="G46" s="57" t="s">
        <v>84</v>
      </c>
      <c r="H46" s="19" t="s">
        <v>73</v>
      </c>
      <c r="I46" s="19" t="s">
        <v>74</v>
      </c>
      <c r="J46" s="94" t="s">
        <v>53</v>
      </c>
      <c r="K46" s="95"/>
      <c r="L46" s="95"/>
      <c r="M46" s="95"/>
      <c r="N46" s="95"/>
      <c r="O46" s="96"/>
      <c r="P46" s="58" t="s">
        <v>80</v>
      </c>
      <c r="Q46" s="57" t="s">
        <v>84</v>
      </c>
      <c r="R46" s="19" t="s">
        <v>73</v>
      </c>
      <c r="S46" s="19" t="s">
        <v>74</v>
      </c>
    </row>
    <row r="47" spans="1:19" ht="18" customHeight="1" x14ac:dyDescent="0.2">
      <c r="A47" s="3"/>
      <c r="B47" s="98" t="s">
        <v>131</v>
      </c>
      <c r="C47" s="99"/>
      <c r="D47" s="99"/>
      <c r="E47" s="100"/>
      <c r="F47" s="20">
        <v>1</v>
      </c>
      <c r="G47" s="20" t="s">
        <v>133</v>
      </c>
      <c r="H47" s="20" t="s">
        <v>133</v>
      </c>
      <c r="I47" s="20"/>
      <c r="J47" s="98"/>
      <c r="K47" s="99"/>
      <c r="L47" s="99"/>
      <c r="M47" s="99"/>
      <c r="N47" s="99"/>
      <c r="O47" s="100"/>
      <c r="P47" s="20"/>
      <c r="Q47" s="20"/>
      <c r="R47" s="20"/>
      <c r="S47" s="20"/>
    </row>
    <row r="48" spans="1:19" ht="18" customHeight="1" x14ac:dyDescent="0.2">
      <c r="A48" s="3"/>
      <c r="B48" s="88" t="s">
        <v>132</v>
      </c>
      <c r="C48" s="89"/>
      <c r="D48" s="89"/>
      <c r="E48" s="90"/>
      <c r="F48" s="21">
        <v>1</v>
      </c>
      <c r="G48" s="21" t="s">
        <v>133</v>
      </c>
      <c r="H48" s="21" t="s">
        <v>133</v>
      </c>
      <c r="I48" s="21" t="s">
        <v>133</v>
      </c>
      <c r="J48" s="88"/>
      <c r="K48" s="89"/>
      <c r="L48" s="89"/>
      <c r="M48" s="89"/>
      <c r="N48" s="89"/>
      <c r="O48" s="90"/>
      <c r="P48" s="21"/>
      <c r="Q48" s="21"/>
      <c r="R48" s="21"/>
      <c r="S48" s="21"/>
    </row>
    <row r="49" spans="1:19" ht="18" customHeight="1" x14ac:dyDescent="0.2">
      <c r="A49" s="3"/>
      <c r="B49" s="88"/>
      <c r="C49" s="89"/>
      <c r="D49" s="89"/>
      <c r="E49" s="90"/>
      <c r="F49" s="21"/>
      <c r="G49" s="21"/>
      <c r="H49" s="21"/>
      <c r="I49" s="21"/>
      <c r="J49" s="88"/>
      <c r="K49" s="89"/>
      <c r="L49" s="89"/>
      <c r="M49" s="89"/>
      <c r="N49" s="89"/>
      <c r="O49" s="90"/>
      <c r="P49" s="21"/>
      <c r="Q49" s="21"/>
      <c r="R49" s="21"/>
      <c r="S49" s="21"/>
    </row>
    <row r="50" spans="1:19" ht="18" customHeight="1" x14ac:dyDescent="0.2">
      <c r="A50" s="3"/>
      <c r="B50" s="88"/>
      <c r="C50" s="89"/>
      <c r="D50" s="89"/>
      <c r="E50" s="90"/>
      <c r="F50" s="21"/>
      <c r="G50" s="21"/>
      <c r="H50" s="21"/>
      <c r="I50" s="21"/>
      <c r="J50" s="88"/>
      <c r="K50" s="89"/>
      <c r="L50" s="89"/>
      <c r="M50" s="89"/>
      <c r="N50" s="89"/>
      <c r="O50" s="90"/>
      <c r="P50" s="21"/>
      <c r="Q50" s="21"/>
      <c r="R50" s="21"/>
      <c r="S50" s="21"/>
    </row>
    <row r="51" spans="1:19" ht="18" customHeight="1" x14ac:dyDescent="0.2">
      <c r="A51" s="3"/>
      <c r="B51" s="88"/>
      <c r="C51" s="89"/>
      <c r="D51" s="89"/>
      <c r="E51" s="90"/>
      <c r="F51" s="21"/>
      <c r="G51" s="21"/>
      <c r="H51" s="21"/>
      <c r="I51" s="21"/>
      <c r="J51" s="88"/>
      <c r="K51" s="89"/>
      <c r="L51" s="89"/>
      <c r="M51" s="89"/>
      <c r="N51" s="89"/>
      <c r="O51" s="90"/>
      <c r="P51" s="21"/>
      <c r="Q51" s="21"/>
      <c r="R51" s="21"/>
      <c r="S51" s="21"/>
    </row>
    <row r="52" spans="1:19" ht="18" customHeight="1" x14ac:dyDescent="0.2">
      <c r="A52" s="3"/>
      <c r="B52" s="88"/>
      <c r="C52" s="89"/>
      <c r="D52" s="89"/>
      <c r="E52" s="90"/>
      <c r="F52" s="21"/>
      <c r="G52" s="21"/>
      <c r="H52" s="21"/>
      <c r="I52" s="21"/>
      <c r="J52" s="88"/>
      <c r="K52" s="89"/>
      <c r="L52" s="89"/>
      <c r="M52" s="89"/>
      <c r="N52" s="89"/>
      <c r="O52" s="90"/>
      <c r="P52" s="21"/>
      <c r="Q52" s="21"/>
      <c r="R52" s="21"/>
      <c r="S52" s="21"/>
    </row>
    <row r="53" spans="1:19" ht="18" customHeight="1" x14ac:dyDescent="0.2">
      <c r="A53" s="3"/>
      <c r="B53" s="91"/>
      <c r="C53" s="92"/>
      <c r="D53" s="92"/>
      <c r="E53" s="93"/>
      <c r="F53" s="22"/>
      <c r="G53" s="22"/>
      <c r="H53" s="23"/>
      <c r="I53" s="23"/>
      <c r="J53" s="91"/>
      <c r="K53" s="92"/>
      <c r="L53" s="92"/>
      <c r="M53" s="92"/>
      <c r="N53" s="92"/>
      <c r="O53" s="93"/>
      <c r="P53" s="22"/>
      <c r="Q53" s="22"/>
      <c r="R53" s="23"/>
      <c r="S53" s="23"/>
    </row>
    <row r="54" spans="1:19" ht="7.5" customHeight="1" x14ac:dyDescent="0.2">
      <c r="B54" s="13"/>
      <c r="C54" s="13"/>
      <c r="D54" s="13"/>
      <c r="E54" s="13"/>
      <c r="F54" s="13"/>
      <c r="G54" s="13"/>
      <c r="H54" s="13"/>
      <c r="I54" s="13"/>
      <c r="J54" s="13"/>
      <c r="K54" s="13"/>
      <c r="L54" s="13"/>
      <c r="M54" s="13"/>
      <c r="N54" s="13"/>
      <c r="O54" s="13"/>
      <c r="P54" s="13"/>
      <c r="Q54" s="13"/>
      <c r="R54" s="13"/>
    </row>
    <row r="55" spans="1:19" ht="18" customHeight="1" x14ac:dyDescent="0.2">
      <c r="A55" s="97" t="s">
        <v>116</v>
      </c>
      <c r="B55" s="97"/>
      <c r="C55" s="97"/>
      <c r="D55" s="97"/>
      <c r="E55" s="97"/>
      <c r="F55" s="97"/>
      <c r="G55" s="97"/>
      <c r="H55" s="97"/>
      <c r="I55" s="97"/>
      <c r="J55" s="97"/>
      <c r="K55" s="97"/>
      <c r="L55" s="97"/>
      <c r="M55" s="97"/>
      <c r="N55" s="97"/>
      <c r="O55" s="97"/>
      <c r="P55" s="97"/>
      <c r="Q55" s="97"/>
      <c r="R55" s="97"/>
      <c r="S55" s="97"/>
    </row>
    <row r="56" spans="1:19" ht="18" customHeight="1" x14ac:dyDescent="0.2">
      <c r="A56" s="97"/>
      <c r="B56" s="97"/>
      <c r="C56" s="97"/>
      <c r="D56" s="97"/>
      <c r="E56" s="97"/>
      <c r="F56" s="97"/>
      <c r="G56" s="97"/>
      <c r="H56" s="97"/>
      <c r="I56" s="97"/>
      <c r="J56" s="97"/>
      <c r="K56" s="97"/>
      <c r="L56" s="97"/>
      <c r="M56" s="97"/>
      <c r="N56" s="97"/>
      <c r="O56" s="97"/>
      <c r="P56" s="97"/>
      <c r="Q56" s="97"/>
      <c r="R56" s="97"/>
      <c r="S56" s="97"/>
    </row>
    <row r="57" spans="1:19" ht="18" customHeight="1" x14ac:dyDescent="0.2">
      <c r="B57" s="94" t="s">
        <v>53</v>
      </c>
      <c r="C57" s="95"/>
      <c r="D57" s="95"/>
      <c r="E57" s="96"/>
      <c r="F57" s="58" t="s">
        <v>80</v>
      </c>
      <c r="G57" s="57" t="s">
        <v>84</v>
      </c>
      <c r="H57" s="19" t="s">
        <v>58</v>
      </c>
      <c r="I57" s="19" t="s">
        <v>60</v>
      </c>
      <c r="J57" s="94" t="s">
        <v>53</v>
      </c>
      <c r="K57" s="95"/>
      <c r="L57" s="95"/>
      <c r="M57" s="95"/>
      <c r="N57" s="95"/>
      <c r="O57" s="96"/>
      <c r="P57" s="58" t="s">
        <v>80</v>
      </c>
      <c r="Q57" s="57" t="s">
        <v>84</v>
      </c>
      <c r="R57" s="19" t="s">
        <v>58</v>
      </c>
      <c r="S57" s="19" t="s">
        <v>60</v>
      </c>
    </row>
    <row r="58" spans="1:19" ht="18" customHeight="1" x14ac:dyDescent="0.2">
      <c r="A58" s="3"/>
      <c r="B58" s="98" t="s">
        <v>131</v>
      </c>
      <c r="C58" s="99"/>
      <c r="D58" s="99"/>
      <c r="E58" s="100"/>
      <c r="F58" s="20">
        <v>1</v>
      </c>
      <c r="G58" s="20" t="s">
        <v>133</v>
      </c>
      <c r="H58" s="20" t="s">
        <v>133</v>
      </c>
      <c r="I58" s="20" t="s">
        <v>133</v>
      </c>
      <c r="J58" s="98"/>
      <c r="K58" s="99"/>
      <c r="L58" s="99"/>
      <c r="M58" s="99"/>
      <c r="N58" s="99"/>
      <c r="O58" s="100"/>
      <c r="P58" s="20"/>
      <c r="Q58" s="20"/>
      <c r="R58" s="20"/>
      <c r="S58" s="20"/>
    </row>
    <row r="59" spans="1:19" ht="18" customHeight="1" x14ac:dyDescent="0.2">
      <c r="A59" s="3"/>
      <c r="B59" s="88" t="s">
        <v>132</v>
      </c>
      <c r="C59" s="89"/>
      <c r="D59" s="89"/>
      <c r="E59" s="90"/>
      <c r="F59" s="21">
        <v>1</v>
      </c>
      <c r="G59" s="21" t="s">
        <v>133</v>
      </c>
      <c r="H59" s="21" t="s">
        <v>133</v>
      </c>
      <c r="I59" s="21" t="s">
        <v>133</v>
      </c>
      <c r="J59" s="88"/>
      <c r="K59" s="89"/>
      <c r="L59" s="89"/>
      <c r="M59" s="89"/>
      <c r="N59" s="89"/>
      <c r="O59" s="90"/>
      <c r="P59" s="21"/>
      <c r="Q59" s="21"/>
      <c r="R59" s="21"/>
      <c r="S59" s="21"/>
    </row>
    <row r="60" spans="1:19" ht="18" customHeight="1" x14ac:dyDescent="0.2">
      <c r="A60" s="3"/>
      <c r="B60" s="88"/>
      <c r="C60" s="89"/>
      <c r="D60" s="89"/>
      <c r="E60" s="90"/>
      <c r="F60" s="21"/>
      <c r="G60" s="21"/>
      <c r="H60" s="21"/>
      <c r="I60" s="21"/>
      <c r="J60" s="88"/>
      <c r="K60" s="89"/>
      <c r="L60" s="89"/>
      <c r="M60" s="89"/>
      <c r="N60" s="89"/>
      <c r="O60" s="90"/>
      <c r="P60" s="21"/>
      <c r="Q60" s="21"/>
      <c r="R60" s="21"/>
      <c r="S60" s="21"/>
    </row>
    <row r="61" spans="1:19" ht="18" customHeight="1" x14ac:dyDescent="0.2">
      <c r="A61" s="3"/>
      <c r="B61" s="88"/>
      <c r="C61" s="89"/>
      <c r="D61" s="89"/>
      <c r="E61" s="90"/>
      <c r="F61" s="21"/>
      <c r="G61" s="21"/>
      <c r="H61" s="21"/>
      <c r="I61" s="21"/>
      <c r="J61" s="88"/>
      <c r="K61" s="89"/>
      <c r="L61" s="89"/>
      <c r="M61" s="89"/>
      <c r="N61" s="89"/>
      <c r="O61" s="90"/>
      <c r="P61" s="21"/>
      <c r="Q61" s="21"/>
      <c r="R61" s="21"/>
      <c r="S61" s="21"/>
    </row>
    <row r="62" spans="1:19" ht="18" customHeight="1" x14ac:dyDescent="0.2">
      <c r="A62" s="3"/>
      <c r="B62" s="88"/>
      <c r="C62" s="89"/>
      <c r="D62" s="89"/>
      <c r="E62" s="90"/>
      <c r="F62" s="21"/>
      <c r="G62" s="21"/>
      <c r="H62" s="21"/>
      <c r="I62" s="21"/>
      <c r="J62" s="88"/>
      <c r="K62" s="89"/>
      <c r="L62" s="89"/>
      <c r="M62" s="89"/>
      <c r="N62" s="89"/>
      <c r="O62" s="90"/>
      <c r="P62" s="21"/>
      <c r="Q62" s="21"/>
      <c r="R62" s="21"/>
      <c r="S62" s="21"/>
    </row>
    <row r="63" spans="1:19" ht="18" customHeight="1" x14ac:dyDescent="0.2">
      <c r="A63" s="3"/>
      <c r="B63" s="88"/>
      <c r="C63" s="89"/>
      <c r="D63" s="89"/>
      <c r="E63" s="90"/>
      <c r="F63" s="21"/>
      <c r="G63" s="21"/>
      <c r="H63" s="21"/>
      <c r="I63" s="21"/>
      <c r="J63" s="88"/>
      <c r="K63" s="89"/>
      <c r="L63" s="89"/>
      <c r="M63" s="89"/>
      <c r="N63" s="89"/>
      <c r="O63" s="90"/>
      <c r="P63" s="21"/>
      <c r="Q63" s="21"/>
      <c r="R63" s="21"/>
      <c r="S63" s="21"/>
    </row>
    <row r="64" spans="1:19" ht="18" customHeight="1" x14ac:dyDescent="0.2">
      <c r="A64" s="3"/>
      <c r="B64" s="91"/>
      <c r="C64" s="92"/>
      <c r="D64" s="92"/>
      <c r="E64" s="93"/>
      <c r="F64" s="22"/>
      <c r="G64" s="22"/>
      <c r="H64" s="23"/>
      <c r="I64" s="23"/>
      <c r="J64" s="91"/>
      <c r="K64" s="92"/>
      <c r="L64" s="92"/>
      <c r="M64" s="92"/>
      <c r="N64" s="92"/>
      <c r="O64" s="93"/>
      <c r="P64" s="22"/>
      <c r="Q64" s="22"/>
      <c r="R64" s="23"/>
      <c r="S64" s="23"/>
    </row>
    <row r="65" spans="1:19" ht="7.5" customHeight="1" x14ac:dyDescent="0.2">
      <c r="B65" s="13"/>
      <c r="C65" s="13"/>
      <c r="D65" s="13"/>
      <c r="E65" s="13"/>
      <c r="F65" s="13"/>
      <c r="G65" s="13"/>
      <c r="H65" s="13"/>
      <c r="I65" s="13"/>
      <c r="J65" s="13"/>
      <c r="K65" s="13"/>
      <c r="L65" s="13"/>
      <c r="M65" s="13"/>
      <c r="N65" s="13"/>
      <c r="O65" s="13"/>
      <c r="P65" s="13"/>
      <c r="Q65" s="13"/>
      <c r="R65" s="13"/>
    </row>
    <row r="66" spans="1:19" ht="18" customHeight="1" x14ac:dyDescent="0.2">
      <c r="A66" s="97" t="s">
        <v>117</v>
      </c>
      <c r="B66" s="97"/>
      <c r="C66" s="97"/>
      <c r="D66" s="97"/>
      <c r="E66" s="97"/>
      <c r="F66" s="97"/>
      <c r="G66" s="97"/>
      <c r="H66" s="97"/>
      <c r="I66" s="97"/>
      <c r="J66" s="97"/>
      <c r="K66" s="97"/>
      <c r="L66" s="97"/>
      <c r="M66" s="97"/>
      <c r="N66" s="97"/>
      <c r="O66" s="97"/>
      <c r="P66" s="97"/>
      <c r="Q66" s="97"/>
      <c r="R66" s="97"/>
      <c r="S66" s="97"/>
    </row>
    <row r="67" spans="1:19" ht="18" customHeight="1" x14ac:dyDescent="0.2">
      <c r="A67" s="97"/>
      <c r="B67" s="97"/>
      <c r="C67" s="97"/>
      <c r="D67" s="97"/>
      <c r="E67" s="97"/>
      <c r="F67" s="97"/>
      <c r="G67" s="97"/>
      <c r="H67" s="97"/>
      <c r="I67" s="97"/>
      <c r="J67" s="97"/>
      <c r="K67" s="97"/>
      <c r="L67" s="97"/>
      <c r="M67" s="97"/>
      <c r="N67" s="97"/>
      <c r="O67" s="97"/>
      <c r="P67" s="97"/>
      <c r="Q67" s="97"/>
      <c r="R67" s="97"/>
      <c r="S67" s="97"/>
    </row>
    <row r="68" spans="1:19" ht="18" customHeight="1" x14ac:dyDescent="0.2">
      <c r="B68" s="94" t="s">
        <v>53</v>
      </c>
      <c r="C68" s="95"/>
      <c r="D68" s="95"/>
      <c r="E68" s="58" t="s">
        <v>80</v>
      </c>
      <c r="F68" s="57" t="s">
        <v>84</v>
      </c>
      <c r="G68" s="19" t="s">
        <v>101</v>
      </c>
      <c r="H68" s="19" t="s">
        <v>75</v>
      </c>
      <c r="I68" s="19" t="s">
        <v>76</v>
      </c>
      <c r="J68" s="94" t="s">
        <v>53</v>
      </c>
      <c r="K68" s="95"/>
      <c r="L68" s="95"/>
      <c r="M68" s="95"/>
      <c r="N68" s="96"/>
      <c r="O68" s="58" t="s">
        <v>80</v>
      </c>
      <c r="P68" s="57" t="s">
        <v>84</v>
      </c>
      <c r="Q68" s="19" t="s">
        <v>101</v>
      </c>
      <c r="R68" s="19" t="s">
        <v>75</v>
      </c>
      <c r="S68" s="19" t="s">
        <v>76</v>
      </c>
    </row>
    <row r="69" spans="1:19" ht="18" customHeight="1" x14ac:dyDescent="0.2">
      <c r="A69" s="3"/>
      <c r="B69" s="98" t="s">
        <v>132</v>
      </c>
      <c r="C69" s="99"/>
      <c r="D69" s="100"/>
      <c r="E69" s="20">
        <v>1</v>
      </c>
      <c r="F69" s="20" t="s">
        <v>133</v>
      </c>
      <c r="G69" s="20" t="s">
        <v>133</v>
      </c>
      <c r="H69" s="20" t="s">
        <v>133</v>
      </c>
      <c r="I69" s="20" t="s">
        <v>133</v>
      </c>
      <c r="J69" s="98"/>
      <c r="K69" s="99"/>
      <c r="L69" s="99"/>
      <c r="M69" s="99"/>
      <c r="N69" s="100"/>
      <c r="O69" s="20"/>
      <c r="P69" s="20"/>
      <c r="Q69" s="20"/>
      <c r="R69" s="20"/>
      <c r="S69" s="20"/>
    </row>
    <row r="70" spans="1:19" ht="18" customHeight="1" x14ac:dyDescent="0.2">
      <c r="A70" s="3"/>
      <c r="B70" s="88"/>
      <c r="C70" s="89"/>
      <c r="D70" s="90"/>
      <c r="E70" s="21"/>
      <c r="F70" s="21"/>
      <c r="G70" s="21"/>
      <c r="H70" s="21"/>
      <c r="I70" s="21"/>
      <c r="J70" s="88"/>
      <c r="K70" s="89"/>
      <c r="L70" s="89"/>
      <c r="M70" s="89"/>
      <c r="N70" s="90"/>
      <c r="O70" s="21"/>
      <c r="P70" s="21"/>
      <c r="Q70" s="21"/>
      <c r="R70" s="21"/>
      <c r="S70" s="21"/>
    </row>
    <row r="71" spans="1:19" ht="18" customHeight="1" x14ac:dyDescent="0.2">
      <c r="A71" s="3"/>
      <c r="B71" s="88"/>
      <c r="C71" s="89"/>
      <c r="D71" s="90"/>
      <c r="E71" s="21"/>
      <c r="F71" s="21"/>
      <c r="G71" s="21"/>
      <c r="H71" s="21"/>
      <c r="I71" s="21"/>
      <c r="J71" s="88"/>
      <c r="K71" s="89"/>
      <c r="L71" s="89"/>
      <c r="M71" s="89"/>
      <c r="N71" s="90"/>
      <c r="O71" s="21"/>
      <c r="P71" s="21"/>
      <c r="Q71" s="21"/>
      <c r="R71" s="21"/>
      <c r="S71" s="21"/>
    </row>
    <row r="72" spans="1:19" ht="18" customHeight="1" x14ac:dyDescent="0.2">
      <c r="A72" s="3"/>
      <c r="B72" s="88"/>
      <c r="C72" s="89"/>
      <c r="D72" s="90"/>
      <c r="E72" s="21"/>
      <c r="F72" s="21"/>
      <c r="G72" s="21"/>
      <c r="H72" s="21"/>
      <c r="I72" s="21"/>
      <c r="J72" s="88"/>
      <c r="K72" s="89"/>
      <c r="L72" s="89"/>
      <c r="M72" s="89"/>
      <c r="N72" s="90"/>
      <c r="O72" s="21"/>
      <c r="P72" s="21"/>
      <c r="Q72" s="21"/>
      <c r="R72" s="21"/>
      <c r="S72" s="21"/>
    </row>
    <row r="73" spans="1:19" ht="18" customHeight="1" x14ac:dyDescent="0.2">
      <c r="A73" s="3"/>
      <c r="B73" s="88"/>
      <c r="C73" s="89"/>
      <c r="D73" s="89"/>
      <c r="E73" s="21"/>
      <c r="F73" s="21"/>
      <c r="G73" s="21"/>
      <c r="H73" s="21"/>
      <c r="I73" s="21"/>
      <c r="J73" s="88"/>
      <c r="K73" s="89"/>
      <c r="L73" s="89"/>
      <c r="M73" s="89"/>
      <c r="N73" s="90"/>
      <c r="O73" s="21"/>
      <c r="P73" s="21"/>
      <c r="Q73" s="21"/>
      <c r="R73" s="21"/>
      <c r="S73" s="21"/>
    </row>
    <row r="74" spans="1:19" ht="18" customHeight="1" x14ac:dyDescent="0.2">
      <c r="A74" s="3"/>
      <c r="B74" s="88"/>
      <c r="C74" s="89"/>
      <c r="D74" s="89"/>
      <c r="E74" s="21"/>
      <c r="F74" s="21"/>
      <c r="G74" s="21"/>
      <c r="H74" s="21"/>
      <c r="I74" s="21"/>
      <c r="J74" s="88"/>
      <c r="K74" s="89"/>
      <c r="L74" s="89"/>
      <c r="M74" s="89"/>
      <c r="N74" s="90"/>
      <c r="O74" s="21"/>
      <c r="P74" s="21"/>
      <c r="Q74" s="21"/>
      <c r="R74" s="21"/>
      <c r="S74" s="21"/>
    </row>
    <row r="75" spans="1:19" ht="18" customHeight="1" x14ac:dyDescent="0.2">
      <c r="A75" s="3"/>
      <c r="B75" s="91"/>
      <c r="C75" s="92"/>
      <c r="D75" s="92"/>
      <c r="E75" s="22"/>
      <c r="F75" s="22"/>
      <c r="G75" s="23"/>
      <c r="H75" s="23"/>
      <c r="I75" s="23"/>
      <c r="J75" s="91"/>
      <c r="K75" s="92"/>
      <c r="L75" s="92"/>
      <c r="M75" s="92"/>
      <c r="N75" s="93"/>
      <c r="O75" s="22"/>
      <c r="P75" s="22"/>
      <c r="Q75" s="23"/>
      <c r="R75" s="23"/>
      <c r="S75" s="23"/>
    </row>
    <row r="76" spans="1:19" ht="7.5" customHeight="1" x14ac:dyDescent="0.2">
      <c r="B76" s="13"/>
      <c r="C76" s="13"/>
      <c r="D76" s="13"/>
      <c r="E76" s="13"/>
      <c r="F76" s="13"/>
      <c r="G76" s="13"/>
      <c r="H76" s="13"/>
      <c r="I76" s="13"/>
      <c r="J76" s="13"/>
      <c r="K76" s="13"/>
      <c r="L76" s="13"/>
      <c r="M76" s="13"/>
      <c r="N76" s="13"/>
      <c r="O76" s="13"/>
      <c r="P76" s="13"/>
      <c r="Q76" s="13"/>
      <c r="R76" s="13"/>
    </row>
    <row r="77" spans="1:19" ht="18" customHeight="1" x14ac:dyDescent="0.2">
      <c r="A77" s="1" t="s">
        <v>118</v>
      </c>
      <c r="H77" s="3"/>
      <c r="I77" s="3"/>
      <c r="J77" s="3"/>
      <c r="K77" s="3"/>
      <c r="L77" s="3"/>
      <c r="M77" s="3"/>
      <c r="N77" s="3"/>
      <c r="O77" s="3"/>
      <c r="P77" s="3"/>
      <c r="Q77" s="3"/>
      <c r="R77" s="3"/>
      <c r="S77" s="3"/>
    </row>
    <row r="78" spans="1:19" ht="18" customHeight="1" x14ac:dyDescent="0.2">
      <c r="B78" s="94" t="s">
        <v>53</v>
      </c>
      <c r="C78" s="95"/>
      <c r="D78" s="95"/>
      <c r="E78" s="96"/>
      <c r="F78" s="94" t="s">
        <v>82</v>
      </c>
      <c r="G78" s="95"/>
      <c r="H78" s="95"/>
      <c r="I78" s="96"/>
      <c r="J78" s="143" t="s">
        <v>53</v>
      </c>
      <c r="K78" s="144"/>
      <c r="L78" s="144"/>
      <c r="M78" s="144"/>
      <c r="N78" s="144"/>
      <c r="O78" s="145"/>
      <c r="P78" s="94" t="s">
        <v>82</v>
      </c>
      <c r="Q78" s="95"/>
      <c r="R78" s="95"/>
      <c r="S78" s="96"/>
    </row>
    <row r="79" spans="1:19" ht="18" customHeight="1" x14ac:dyDescent="0.2">
      <c r="A79" s="3"/>
      <c r="B79" s="98"/>
      <c r="C79" s="99"/>
      <c r="D79" s="99"/>
      <c r="E79" s="100"/>
      <c r="F79" s="158"/>
      <c r="G79" s="159"/>
      <c r="H79" s="159"/>
      <c r="I79" s="160"/>
      <c r="J79" s="98"/>
      <c r="K79" s="99"/>
      <c r="L79" s="99"/>
      <c r="M79" s="99"/>
      <c r="N79" s="99"/>
      <c r="O79" s="100"/>
      <c r="P79" s="158"/>
      <c r="Q79" s="159"/>
      <c r="R79" s="159"/>
      <c r="S79" s="160"/>
    </row>
    <row r="80" spans="1:19" ht="18" customHeight="1" x14ac:dyDescent="0.2">
      <c r="A80" s="3"/>
      <c r="B80" s="88"/>
      <c r="C80" s="89"/>
      <c r="D80" s="89"/>
      <c r="E80" s="90"/>
      <c r="F80" s="127"/>
      <c r="G80" s="128"/>
      <c r="H80" s="128"/>
      <c r="I80" s="129"/>
      <c r="J80" s="88"/>
      <c r="K80" s="89"/>
      <c r="L80" s="89"/>
      <c r="M80" s="89"/>
      <c r="N80" s="89"/>
      <c r="O80" s="90"/>
      <c r="P80" s="127"/>
      <c r="Q80" s="128"/>
      <c r="R80" s="128"/>
      <c r="S80" s="129"/>
    </row>
    <row r="81" spans="1:19" ht="18" customHeight="1" x14ac:dyDescent="0.2">
      <c r="A81" s="3"/>
      <c r="B81" s="88"/>
      <c r="C81" s="89"/>
      <c r="D81" s="89"/>
      <c r="E81" s="90"/>
      <c r="F81" s="127"/>
      <c r="G81" s="128"/>
      <c r="H81" s="128"/>
      <c r="I81" s="129"/>
      <c r="J81" s="88"/>
      <c r="K81" s="89"/>
      <c r="L81" s="89"/>
      <c r="M81" s="89"/>
      <c r="N81" s="89"/>
      <c r="O81" s="90"/>
      <c r="P81" s="127"/>
      <c r="Q81" s="128"/>
      <c r="R81" s="128"/>
      <c r="S81" s="129"/>
    </row>
    <row r="82" spans="1:19" ht="18" customHeight="1" x14ac:dyDescent="0.2">
      <c r="A82" s="3"/>
      <c r="B82" s="88"/>
      <c r="C82" s="89"/>
      <c r="D82" s="89"/>
      <c r="E82" s="90"/>
      <c r="F82" s="127"/>
      <c r="G82" s="128"/>
      <c r="H82" s="128"/>
      <c r="I82" s="129"/>
      <c r="J82" s="88"/>
      <c r="K82" s="89"/>
      <c r="L82" s="89"/>
      <c r="M82" s="89"/>
      <c r="N82" s="89"/>
      <c r="O82" s="90"/>
      <c r="P82" s="127"/>
      <c r="Q82" s="128"/>
      <c r="R82" s="128"/>
      <c r="S82" s="129"/>
    </row>
    <row r="83" spans="1:19" ht="18" customHeight="1" x14ac:dyDescent="0.2">
      <c r="A83" s="3"/>
      <c r="B83" s="88"/>
      <c r="C83" s="89"/>
      <c r="D83" s="89"/>
      <c r="E83" s="90"/>
      <c r="F83" s="127"/>
      <c r="G83" s="128"/>
      <c r="H83" s="128"/>
      <c r="I83" s="129"/>
      <c r="J83" s="88"/>
      <c r="K83" s="89"/>
      <c r="L83" s="89"/>
      <c r="M83" s="89"/>
      <c r="N83" s="89"/>
      <c r="O83" s="90"/>
      <c r="P83" s="127"/>
      <c r="Q83" s="128"/>
      <c r="R83" s="128"/>
      <c r="S83" s="129"/>
    </row>
    <row r="84" spans="1:19" ht="18" customHeight="1" x14ac:dyDescent="0.2">
      <c r="A84" s="3"/>
      <c r="B84" s="88"/>
      <c r="C84" s="89"/>
      <c r="D84" s="89"/>
      <c r="E84" s="90"/>
      <c r="F84" s="127"/>
      <c r="G84" s="128"/>
      <c r="H84" s="128"/>
      <c r="I84" s="129"/>
      <c r="J84" s="88"/>
      <c r="K84" s="89"/>
      <c r="L84" s="89"/>
      <c r="M84" s="89"/>
      <c r="N84" s="89"/>
      <c r="O84" s="90"/>
      <c r="P84" s="127"/>
      <c r="Q84" s="128"/>
      <c r="R84" s="128"/>
      <c r="S84" s="129"/>
    </row>
    <row r="85" spans="1:19" ht="18" customHeight="1" x14ac:dyDescent="0.2">
      <c r="A85" s="3"/>
      <c r="B85" s="91"/>
      <c r="C85" s="92"/>
      <c r="D85" s="92"/>
      <c r="E85" s="93"/>
      <c r="F85" s="124"/>
      <c r="G85" s="125"/>
      <c r="H85" s="125"/>
      <c r="I85" s="126"/>
      <c r="J85" s="91"/>
      <c r="K85" s="92"/>
      <c r="L85" s="92"/>
      <c r="M85" s="92"/>
      <c r="N85" s="92"/>
      <c r="O85" s="93"/>
      <c r="P85" s="124"/>
      <c r="Q85" s="125"/>
      <c r="R85" s="125"/>
      <c r="S85" s="126"/>
    </row>
    <row r="86" spans="1:19" ht="18" customHeight="1" x14ac:dyDescent="0.2">
      <c r="A86" s="3"/>
      <c r="B86" s="6"/>
      <c r="C86" s="6"/>
      <c r="D86" s="6"/>
      <c r="E86" s="6"/>
      <c r="F86" s="24"/>
      <c r="G86" s="24"/>
      <c r="H86" s="24"/>
      <c r="I86" s="24"/>
      <c r="J86" s="6"/>
      <c r="K86" s="6"/>
      <c r="L86" s="6"/>
      <c r="M86" s="6"/>
      <c r="N86" s="6"/>
      <c r="O86" s="6"/>
      <c r="P86" s="24"/>
      <c r="Q86" s="24"/>
      <c r="R86" s="24"/>
      <c r="S86" s="24"/>
    </row>
    <row r="87" spans="1:19" ht="18.75" customHeight="1" x14ac:dyDescent="0.2">
      <c r="A87" s="1" t="s">
        <v>119</v>
      </c>
    </row>
    <row r="88" spans="1:19" ht="18.75" customHeight="1" x14ac:dyDescent="0.2">
      <c r="B88" s="156" t="s">
        <v>54</v>
      </c>
      <c r="C88" s="157"/>
      <c r="D88" s="95" t="s">
        <v>55</v>
      </c>
      <c r="E88" s="95"/>
      <c r="F88" s="95"/>
      <c r="G88" s="95"/>
      <c r="H88" s="95"/>
      <c r="I88" s="95"/>
      <c r="J88" s="95"/>
      <c r="K88" s="95"/>
      <c r="L88" s="95"/>
      <c r="M88" s="95"/>
      <c r="N88" s="95"/>
      <c r="O88" s="95"/>
      <c r="P88" s="95"/>
      <c r="Q88" s="95"/>
      <c r="R88" s="95"/>
      <c r="S88" s="96"/>
    </row>
    <row r="89" spans="1:19" ht="97.5" customHeight="1" x14ac:dyDescent="0.2">
      <c r="B89" s="146" t="s">
        <v>61</v>
      </c>
      <c r="C89" s="25" t="s">
        <v>56</v>
      </c>
      <c r="D89" s="153" t="s">
        <v>178</v>
      </c>
      <c r="E89" s="154"/>
      <c r="F89" s="154"/>
      <c r="G89" s="154"/>
      <c r="H89" s="154"/>
      <c r="I89" s="154"/>
      <c r="J89" s="154"/>
      <c r="K89" s="154"/>
      <c r="L89" s="154"/>
      <c r="M89" s="154"/>
      <c r="N89" s="154"/>
      <c r="O89" s="154"/>
      <c r="P89" s="154"/>
      <c r="Q89" s="154"/>
      <c r="R89" s="154"/>
      <c r="S89" s="155"/>
    </row>
    <row r="90" spans="1:19" ht="97.5" customHeight="1" x14ac:dyDescent="0.2">
      <c r="B90" s="148"/>
      <c r="C90" s="26" t="s">
        <v>77</v>
      </c>
      <c r="D90" s="130" t="s">
        <v>179</v>
      </c>
      <c r="E90" s="131"/>
      <c r="F90" s="131"/>
      <c r="G90" s="131"/>
      <c r="H90" s="131"/>
      <c r="I90" s="131"/>
      <c r="J90" s="131"/>
      <c r="K90" s="131"/>
      <c r="L90" s="131"/>
      <c r="M90" s="131"/>
      <c r="N90" s="131"/>
      <c r="O90" s="131"/>
      <c r="P90" s="131"/>
      <c r="Q90" s="131"/>
      <c r="R90" s="131"/>
      <c r="S90" s="132"/>
    </row>
    <row r="91" spans="1:19" ht="123.5" customHeight="1" x14ac:dyDescent="0.2">
      <c r="B91" s="146" t="s">
        <v>62</v>
      </c>
      <c r="C91" s="27" t="s">
        <v>71</v>
      </c>
      <c r="D91" s="133" t="s">
        <v>180</v>
      </c>
      <c r="E91" s="134"/>
      <c r="F91" s="134"/>
      <c r="G91" s="134"/>
      <c r="H91" s="134"/>
      <c r="I91" s="134"/>
      <c r="J91" s="134"/>
      <c r="K91" s="134"/>
      <c r="L91" s="134"/>
      <c r="M91" s="134"/>
      <c r="N91" s="134"/>
      <c r="O91" s="134"/>
      <c r="P91" s="134"/>
      <c r="Q91" s="134"/>
      <c r="R91" s="134"/>
      <c r="S91" s="135"/>
    </row>
    <row r="92" spans="1:19" ht="97.5" customHeight="1" x14ac:dyDescent="0.2">
      <c r="B92" s="147"/>
      <c r="C92" s="28" t="s">
        <v>72</v>
      </c>
      <c r="D92" s="139" t="s">
        <v>181</v>
      </c>
      <c r="E92" s="140"/>
      <c r="F92" s="140"/>
      <c r="G92" s="140"/>
      <c r="H92" s="140"/>
      <c r="I92" s="140"/>
      <c r="J92" s="140"/>
      <c r="K92" s="140"/>
      <c r="L92" s="140"/>
      <c r="M92" s="140"/>
      <c r="N92" s="140"/>
      <c r="O92" s="140"/>
      <c r="P92" s="140"/>
      <c r="Q92" s="140"/>
      <c r="R92" s="140"/>
      <c r="S92" s="141"/>
    </row>
    <row r="93" spans="1:19" ht="127.5" customHeight="1" x14ac:dyDescent="0.2">
      <c r="B93" s="146" t="s">
        <v>63</v>
      </c>
      <c r="C93" s="27" t="s">
        <v>73</v>
      </c>
      <c r="D93" s="133" t="s">
        <v>182</v>
      </c>
      <c r="E93" s="134"/>
      <c r="F93" s="134"/>
      <c r="G93" s="134"/>
      <c r="H93" s="134"/>
      <c r="I93" s="134"/>
      <c r="J93" s="134"/>
      <c r="K93" s="134"/>
      <c r="L93" s="134"/>
      <c r="M93" s="134"/>
      <c r="N93" s="134"/>
      <c r="O93" s="134"/>
      <c r="P93" s="134"/>
      <c r="Q93" s="134"/>
      <c r="R93" s="134"/>
      <c r="S93" s="135"/>
    </row>
    <row r="94" spans="1:19" ht="97.5" customHeight="1" x14ac:dyDescent="0.2">
      <c r="B94" s="147"/>
      <c r="C94" s="29" t="s">
        <v>74</v>
      </c>
      <c r="D94" s="136" t="s">
        <v>183</v>
      </c>
      <c r="E94" s="136"/>
      <c r="F94" s="136"/>
      <c r="G94" s="136"/>
      <c r="H94" s="136"/>
      <c r="I94" s="136"/>
      <c r="J94" s="136"/>
      <c r="K94" s="136"/>
      <c r="L94" s="136"/>
      <c r="M94" s="136"/>
      <c r="N94" s="136"/>
      <c r="O94" s="136"/>
      <c r="P94" s="136"/>
      <c r="Q94" s="136"/>
      <c r="R94" s="136"/>
      <c r="S94" s="161"/>
    </row>
    <row r="95" spans="1:19" ht="97.5" customHeight="1" x14ac:dyDescent="0.2">
      <c r="B95" s="146" t="s">
        <v>78</v>
      </c>
      <c r="C95" s="25" t="s">
        <v>58</v>
      </c>
      <c r="D95" s="153" t="s">
        <v>184</v>
      </c>
      <c r="E95" s="154"/>
      <c r="F95" s="154"/>
      <c r="G95" s="154"/>
      <c r="H95" s="154"/>
      <c r="I95" s="154"/>
      <c r="J95" s="154"/>
      <c r="K95" s="154"/>
      <c r="L95" s="154"/>
      <c r="M95" s="154"/>
      <c r="N95" s="154"/>
      <c r="O95" s="154"/>
      <c r="P95" s="154"/>
      <c r="Q95" s="154"/>
      <c r="R95" s="154"/>
      <c r="S95" s="155"/>
    </row>
    <row r="96" spans="1:19" ht="97.5" customHeight="1" x14ac:dyDescent="0.2">
      <c r="B96" s="147"/>
      <c r="C96" s="28" t="s">
        <v>60</v>
      </c>
      <c r="D96" s="162" t="s">
        <v>186</v>
      </c>
      <c r="E96" s="139"/>
      <c r="F96" s="139"/>
      <c r="G96" s="139"/>
      <c r="H96" s="139"/>
      <c r="I96" s="139"/>
      <c r="J96" s="139"/>
      <c r="K96" s="139"/>
      <c r="L96" s="139"/>
      <c r="M96" s="139"/>
      <c r="N96" s="139"/>
      <c r="O96" s="139"/>
      <c r="P96" s="139"/>
      <c r="Q96" s="139"/>
      <c r="R96" s="139"/>
      <c r="S96" s="163"/>
    </row>
    <row r="97" spans="1:19" ht="107.5" customHeight="1" x14ac:dyDescent="0.2">
      <c r="B97" s="146" t="s">
        <v>79</v>
      </c>
      <c r="C97" s="27" t="s">
        <v>57</v>
      </c>
      <c r="D97" s="149" t="s">
        <v>187</v>
      </c>
      <c r="E97" s="99"/>
      <c r="F97" s="99"/>
      <c r="G97" s="99"/>
      <c r="H97" s="99"/>
      <c r="I97" s="99"/>
      <c r="J97" s="99"/>
      <c r="K97" s="99"/>
      <c r="L97" s="99"/>
      <c r="M97" s="99"/>
      <c r="N97" s="99"/>
      <c r="O97" s="99"/>
      <c r="P97" s="99"/>
      <c r="Q97" s="99"/>
      <c r="R97" s="99"/>
      <c r="S97" s="100"/>
    </row>
    <row r="98" spans="1:19" ht="106.5" customHeight="1" x14ac:dyDescent="0.2">
      <c r="B98" s="148"/>
      <c r="C98" s="30" t="s">
        <v>75</v>
      </c>
      <c r="D98" s="142" t="s">
        <v>189</v>
      </c>
      <c r="E98" s="89"/>
      <c r="F98" s="89"/>
      <c r="G98" s="89"/>
      <c r="H98" s="89"/>
      <c r="I98" s="89"/>
      <c r="J98" s="89"/>
      <c r="K98" s="89"/>
      <c r="L98" s="89"/>
      <c r="M98" s="89"/>
      <c r="N98" s="89"/>
      <c r="O98" s="89"/>
      <c r="P98" s="89"/>
      <c r="Q98" s="89"/>
      <c r="R98" s="89"/>
      <c r="S98" s="90"/>
    </row>
    <row r="99" spans="1:19" ht="106" customHeight="1" x14ac:dyDescent="0.2">
      <c r="B99" s="147"/>
      <c r="C99" s="29" t="s">
        <v>76</v>
      </c>
      <c r="D99" s="150" t="s">
        <v>190</v>
      </c>
      <c r="E99" s="151"/>
      <c r="F99" s="151"/>
      <c r="G99" s="151"/>
      <c r="H99" s="151"/>
      <c r="I99" s="151"/>
      <c r="J99" s="151"/>
      <c r="K99" s="151"/>
      <c r="L99" s="151"/>
      <c r="M99" s="151"/>
      <c r="N99" s="151"/>
      <c r="O99" s="151"/>
      <c r="P99" s="151"/>
      <c r="Q99" s="151"/>
      <c r="R99" s="151"/>
      <c r="S99" s="152"/>
    </row>
    <row r="100" spans="1:19" ht="6" customHeight="1" x14ac:dyDescent="0.2"/>
    <row r="101" spans="1:19" ht="18.75" customHeight="1" x14ac:dyDescent="0.2">
      <c r="A101" s="1" t="s">
        <v>120</v>
      </c>
    </row>
    <row r="102" spans="1:19" ht="81.75" customHeight="1" x14ac:dyDescent="0.2">
      <c r="B102" s="121" t="s">
        <v>154</v>
      </c>
      <c r="C102" s="122"/>
      <c r="D102" s="122"/>
      <c r="E102" s="122"/>
      <c r="F102" s="122"/>
      <c r="G102" s="122"/>
      <c r="H102" s="122"/>
      <c r="I102" s="122"/>
      <c r="J102" s="122"/>
      <c r="K102" s="122"/>
      <c r="L102" s="122"/>
      <c r="M102" s="122"/>
      <c r="N102" s="122"/>
      <c r="O102" s="122"/>
      <c r="P102" s="122"/>
      <c r="Q102" s="122"/>
      <c r="R102" s="122"/>
      <c r="S102" s="123"/>
    </row>
    <row r="110" spans="1:19" ht="18" customHeight="1" x14ac:dyDescent="0.2"/>
  </sheetData>
  <mergeCells count="145">
    <mergeCell ref="B97:B99"/>
    <mergeCell ref="D97:S97"/>
    <mergeCell ref="D98:S98"/>
    <mergeCell ref="D99:S99"/>
    <mergeCell ref="B102:S102"/>
    <mergeCell ref="B93:B94"/>
    <mergeCell ref="D93:S93"/>
    <mergeCell ref="D94:S94"/>
    <mergeCell ref="B95:B96"/>
    <mergeCell ref="D95:S95"/>
    <mergeCell ref="D96:S96"/>
    <mergeCell ref="B88:C88"/>
    <mergeCell ref="D88:S88"/>
    <mergeCell ref="B89:B90"/>
    <mergeCell ref="D89:S89"/>
    <mergeCell ref="D90:S90"/>
    <mergeCell ref="B91:B92"/>
    <mergeCell ref="D91:S91"/>
    <mergeCell ref="D92:S92"/>
    <mergeCell ref="B84:E84"/>
    <mergeCell ref="F84:I84"/>
    <mergeCell ref="J84:O84"/>
    <mergeCell ref="P84:S84"/>
    <mergeCell ref="B85:E85"/>
    <mergeCell ref="F85:I85"/>
    <mergeCell ref="J85:O85"/>
    <mergeCell ref="P85:S85"/>
    <mergeCell ref="B82:E82"/>
    <mergeCell ref="F82:I82"/>
    <mergeCell ref="J82:O82"/>
    <mergeCell ref="P82:S82"/>
    <mergeCell ref="B83:E83"/>
    <mergeCell ref="F83:I83"/>
    <mergeCell ref="J83:O83"/>
    <mergeCell ref="P83:S83"/>
    <mergeCell ref="B80:E80"/>
    <mergeCell ref="F80:I80"/>
    <mergeCell ref="J80:O80"/>
    <mergeCell ref="P80:S80"/>
    <mergeCell ref="B81:E81"/>
    <mergeCell ref="F81:I81"/>
    <mergeCell ref="J81:O81"/>
    <mergeCell ref="P81:S81"/>
    <mergeCell ref="B78:E78"/>
    <mergeCell ref="F78:I78"/>
    <mergeCell ref="J78:O78"/>
    <mergeCell ref="P78:S78"/>
    <mergeCell ref="B79:E79"/>
    <mergeCell ref="F79:I79"/>
    <mergeCell ref="J79:O79"/>
    <mergeCell ref="P79:S79"/>
    <mergeCell ref="B73:D73"/>
    <mergeCell ref="J73:N73"/>
    <mergeCell ref="B74:D74"/>
    <mergeCell ref="J74:N74"/>
    <mergeCell ref="B75:D75"/>
    <mergeCell ref="J75:N75"/>
    <mergeCell ref="B70:D70"/>
    <mergeCell ref="J70:N70"/>
    <mergeCell ref="B71:D71"/>
    <mergeCell ref="J71:N71"/>
    <mergeCell ref="B72:D72"/>
    <mergeCell ref="J72:N72"/>
    <mergeCell ref="B64:E64"/>
    <mergeCell ref="J64:O64"/>
    <mergeCell ref="A66:S67"/>
    <mergeCell ref="B68:D68"/>
    <mergeCell ref="J68:N68"/>
    <mergeCell ref="B69:D69"/>
    <mergeCell ref="J69:N69"/>
    <mergeCell ref="B61:E61"/>
    <mergeCell ref="J61:O61"/>
    <mergeCell ref="B62:E62"/>
    <mergeCell ref="J62:O62"/>
    <mergeCell ref="B63:E63"/>
    <mergeCell ref="J63:O63"/>
    <mergeCell ref="B58:E58"/>
    <mergeCell ref="J58:O58"/>
    <mergeCell ref="B59:E59"/>
    <mergeCell ref="J59:O59"/>
    <mergeCell ref="B60:E60"/>
    <mergeCell ref="J60:O60"/>
    <mergeCell ref="B52:E52"/>
    <mergeCell ref="J52:O52"/>
    <mergeCell ref="B53:E53"/>
    <mergeCell ref="J53:O53"/>
    <mergeCell ref="A55:S56"/>
    <mergeCell ref="B57:E57"/>
    <mergeCell ref="J57:O57"/>
    <mergeCell ref="B49:E49"/>
    <mergeCell ref="J49:O49"/>
    <mergeCell ref="B50:E50"/>
    <mergeCell ref="J50:O50"/>
    <mergeCell ref="B51:E51"/>
    <mergeCell ref="J51:O51"/>
    <mergeCell ref="A44:S45"/>
    <mergeCell ref="B46:E46"/>
    <mergeCell ref="J46:O46"/>
    <mergeCell ref="B47:E47"/>
    <mergeCell ref="J47:O47"/>
    <mergeCell ref="B48:E48"/>
    <mergeCell ref="J48:O48"/>
    <mergeCell ref="B40:E40"/>
    <mergeCell ref="J40:O40"/>
    <mergeCell ref="B41:E41"/>
    <mergeCell ref="J41:O41"/>
    <mergeCell ref="B42:E42"/>
    <mergeCell ref="J42:O42"/>
    <mergeCell ref="B37:E37"/>
    <mergeCell ref="J37:O37"/>
    <mergeCell ref="B38:E38"/>
    <mergeCell ref="J38:O38"/>
    <mergeCell ref="B39:E39"/>
    <mergeCell ref="J39:O39"/>
    <mergeCell ref="B31:E31"/>
    <mergeCell ref="J31:O31"/>
    <mergeCell ref="A33:S34"/>
    <mergeCell ref="B35:E35"/>
    <mergeCell ref="J35:O35"/>
    <mergeCell ref="B36:E36"/>
    <mergeCell ref="J36:O36"/>
    <mergeCell ref="B28:E28"/>
    <mergeCell ref="J28:O28"/>
    <mergeCell ref="B29:E29"/>
    <mergeCell ref="J29:O29"/>
    <mergeCell ref="B30:E30"/>
    <mergeCell ref="J30:O30"/>
    <mergeCell ref="B25:E25"/>
    <mergeCell ref="J25:O25"/>
    <mergeCell ref="B26:E26"/>
    <mergeCell ref="J26:O26"/>
    <mergeCell ref="B27:E27"/>
    <mergeCell ref="J27:O27"/>
    <mergeCell ref="B13:S18"/>
    <mergeCell ref="C20:D20"/>
    <mergeCell ref="K20:S20"/>
    <mergeCell ref="A22:S23"/>
    <mergeCell ref="B24:E24"/>
    <mergeCell ref="J24:O24"/>
    <mergeCell ref="R1:S1"/>
    <mergeCell ref="C2:I2"/>
    <mergeCell ref="C3:I3"/>
    <mergeCell ref="A5:S5"/>
    <mergeCell ref="K7:S7"/>
    <mergeCell ref="B9:S10"/>
  </mergeCells>
  <phoneticPr fontId="1"/>
  <conditionalFormatting sqref="B9:S10">
    <cfRule type="expression" dxfId="0" priority="1">
      <formula>$K$7="学部・学科によって、修了要件は相違しない"</formula>
    </cfRule>
  </conditionalFormatting>
  <dataValidations count="5">
    <dataValidation type="list" allowBlank="1" showInputMessage="1" showErrorMessage="1" sqref="K20:S20" xr:uid="{7B7A2D3D-A02F-4204-818F-E0A8159F6B17}">
      <formula1>$V$14:$V$16</formula1>
    </dataValidation>
    <dataValidation type="list" allowBlank="1" showInputMessage="1" showErrorMessage="1" sqref="F79:F86 P79:P86 G79:I80 G83:I86 Q83:S86 Q79:S80" xr:uid="{C290C284-12F8-4569-823B-49B049533183}">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7 K12" xr:uid="{7D8DE7DE-8623-4462-A4D5-750F3CC3E897}">
      <formula1>"学部・学科によって、修了要件は相違する,学部・学科によって、修了要件は相違しない"</formula1>
    </dataValidation>
    <dataValidation type="list" allowBlank="1" showInputMessage="1" showErrorMessage="1" sqref="S32 S43 D32:G32 D43:G43" xr:uid="{811D6CB4-FE71-4530-8BB9-63418D926432}">
      <formula1>"全学開講,一部開講"</formula1>
    </dataValidation>
    <dataValidation type="list" allowBlank="1" showInputMessage="1" showErrorMessage="1" sqref="G25:I31 Q25:S31 P69:S75 Q36:S42 G58:I64 Q47:S53 G47:I53 Q58:S64 F69:I75 G36:I42" xr:uid="{F8F78971-E421-46D4-B757-7F4525AA65F3}">
      <formula1>"○"</formula1>
    </dataValidation>
  </dataValidations>
  <printOptions horizontalCentered="1"/>
  <pageMargins left="0.78740157480314965" right="0.78740157480314965" top="0.78740157480314965" bottom="0.19685039370078741" header="0.31496062992125984" footer="0.19685039370078741"/>
  <pageSetup paperSize="9" scale="75" fitToHeight="0" orientation="portrait" r:id="rId1"/>
  <headerFooter>
    <oddHeader>&amp;C数理・データサイエンス・AI教育プログラム認定制度【リテラシーレベル】</oddHeader>
  </headerFooter>
  <rowBreaks count="2" manualBreakCount="2">
    <brk id="65" max="18" man="1"/>
    <brk id="94" max="18"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AS32"/>
  <sheetViews>
    <sheetView view="pageBreakPreview" zoomScale="70" zoomScaleNormal="100" zoomScaleSheetLayoutView="70" workbookViewId="0">
      <selection activeCell="K5" sqref="K5"/>
    </sheetView>
  </sheetViews>
  <sheetFormatPr defaultColWidth="9" defaultRowHeight="18.75" customHeight="1" x14ac:dyDescent="0.2"/>
  <cols>
    <col min="1" max="1" width="2.81640625" style="1" customWidth="1"/>
    <col min="2" max="2" width="20.81640625" style="1" customWidth="1"/>
    <col min="3" max="5" width="6.08984375" style="1" customWidth="1"/>
    <col min="6" max="42" width="4.90625" style="1" customWidth="1"/>
    <col min="43" max="43" width="6.6328125" style="1" customWidth="1"/>
    <col min="44" max="16384" width="9" style="1"/>
  </cols>
  <sheetData>
    <row r="1" spans="1:45" ht="18" customHeight="1" x14ac:dyDescent="0.2">
      <c r="AQ1" s="1" t="s">
        <v>106</v>
      </c>
    </row>
    <row r="2" spans="1:45" ht="18" customHeight="1" x14ac:dyDescent="0.2">
      <c r="K2" s="32"/>
      <c r="Q2" s="32"/>
      <c r="W2" s="32"/>
      <c r="AC2" s="32"/>
      <c r="AI2" s="32"/>
      <c r="AL2" s="32" t="s">
        <v>108</v>
      </c>
      <c r="AM2" s="167" t="str">
        <f>'様式1-1　プログラムを構成する授業科目'!C2</f>
        <v>大阪体育大学</v>
      </c>
      <c r="AN2" s="167"/>
      <c r="AO2" s="167"/>
      <c r="AP2" s="167"/>
      <c r="AQ2" s="167"/>
    </row>
    <row r="3" spans="1:45" ht="18" customHeight="1" x14ac:dyDescent="0.2">
      <c r="A3" s="108" t="s">
        <v>47</v>
      </c>
      <c r="B3" s="108"/>
      <c r="C3" s="108"/>
      <c r="D3" s="108"/>
      <c r="E3" s="108"/>
      <c r="F3" s="108"/>
      <c r="G3" s="108"/>
      <c r="H3" s="108"/>
      <c r="I3" s="108"/>
      <c r="J3" s="108"/>
      <c r="K3" s="108"/>
      <c r="L3" s="108"/>
      <c r="M3" s="108"/>
      <c r="N3" s="108"/>
      <c r="O3" s="108"/>
      <c r="P3" s="108"/>
      <c r="Q3" s="108"/>
      <c r="R3" s="108"/>
      <c r="S3" s="108"/>
      <c r="T3" s="108"/>
      <c r="U3" s="108"/>
      <c r="V3" s="108"/>
      <c r="W3" s="108"/>
      <c r="X3" s="108"/>
      <c r="Y3" s="108"/>
      <c r="Z3" s="108"/>
      <c r="AA3" s="108"/>
      <c r="AB3" s="108"/>
      <c r="AC3" s="108"/>
      <c r="AD3" s="108"/>
      <c r="AE3" s="108"/>
      <c r="AF3" s="108"/>
      <c r="AG3" s="108"/>
      <c r="AH3" s="108"/>
      <c r="AI3" s="108"/>
      <c r="AJ3" s="108"/>
      <c r="AK3" s="108"/>
      <c r="AL3" s="108"/>
      <c r="AM3" s="108"/>
      <c r="AN3" s="108"/>
      <c r="AO3" s="108"/>
      <c r="AP3" s="108"/>
      <c r="AQ3" s="108"/>
    </row>
    <row r="4" spans="1:45" ht="7.5" customHeight="1" x14ac:dyDescent="0.2">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row>
    <row r="5" spans="1:45" ht="18" customHeight="1" x14ac:dyDescent="0.2">
      <c r="A5" s="1" t="s">
        <v>83</v>
      </c>
      <c r="C5" s="105" t="s">
        <v>127</v>
      </c>
      <c r="D5" s="107"/>
      <c r="E5" s="3" t="s">
        <v>52</v>
      </c>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6"/>
      <c r="AQ5" s="6"/>
    </row>
    <row r="6" spans="1:45" ht="6" customHeight="1" x14ac:dyDescent="0.2">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row>
    <row r="7" spans="1:45" ht="18" customHeight="1" x14ac:dyDescent="0.2">
      <c r="A7" s="1" t="s">
        <v>81</v>
      </c>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row>
    <row r="8" spans="1:45" ht="6" customHeight="1" x14ac:dyDescent="0.2">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row>
    <row r="9" spans="1:45" ht="18" customHeight="1" x14ac:dyDescent="0.2">
      <c r="B9" s="168" t="s">
        <v>44</v>
      </c>
      <c r="C9" s="183" t="s">
        <v>86</v>
      </c>
      <c r="D9" s="171" t="s">
        <v>46</v>
      </c>
      <c r="E9" s="174" t="s">
        <v>39</v>
      </c>
      <c r="F9" s="166" t="s">
        <v>85</v>
      </c>
      <c r="G9" s="166"/>
      <c r="H9" s="166"/>
      <c r="I9" s="166"/>
      <c r="J9" s="166"/>
      <c r="K9" s="166"/>
      <c r="L9" s="166" t="s">
        <v>48</v>
      </c>
      <c r="M9" s="166"/>
      <c r="N9" s="166"/>
      <c r="O9" s="166"/>
      <c r="P9" s="166"/>
      <c r="Q9" s="166"/>
      <c r="R9" s="166" t="s">
        <v>49</v>
      </c>
      <c r="S9" s="166"/>
      <c r="T9" s="166"/>
      <c r="U9" s="166"/>
      <c r="V9" s="166"/>
      <c r="W9" s="166"/>
      <c r="X9" s="166" t="s">
        <v>100</v>
      </c>
      <c r="Y9" s="166"/>
      <c r="Z9" s="166"/>
      <c r="AA9" s="166"/>
      <c r="AB9" s="166"/>
      <c r="AC9" s="166"/>
      <c r="AD9" s="166" t="s">
        <v>50</v>
      </c>
      <c r="AE9" s="166"/>
      <c r="AF9" s="166"/>
      <c r="AG9" s="166"/>
      <c r="AH9" s="166"/>
      <c r="AI9" s="166"/>
      <c r="AJ9" s="166" t="s">
        <v>51</v>
      </c>
      <c r="AK9" s="166"/>
      <c r="AL9" s="166"/>
      <c r="AM9" s="166"/>
      <c r="AN9" s="166"/>
      <c r="AO9" s="166"/>
      <c r="AP9" s="177" t="s">
        <v>34</v>
      </c>
      <c r="AQ9" s="180" t="s">
        <v>31</v>
      </c>
      <c r="AS9" s="2"/>
    </row>
    <row r="10" spans="1:45" ht="17" customHeight="1" x14ac:dyDescent="0.2">
      <c r="B10" s="169"/>
      <c r="C10" s="184"/>
      <c r="D10" s="172"/>
      <c r="E10" s="175"/>
      <c r="F10" s="164" t="s">
        <v>96</v>
      </c>
      <c r="G10" s="165"/>
      <c r="H10" s="165"/>
      <c r="I10" s="164" t="s">
        <v>28</v>
      </c>
      <c r="J10" s="165"/>
      <c r="K10" s="165"/>
      <c r="L10" s="164" t="s">
        <v>96</v>
      </c>
      <c r="M10" s="165"/>
      <c r="N10" s="165"/>
      <c r="O10" s="164" t="s">
        <v>28</v>
      </c>
      <c r="P10" s="165"/>
      <c r="Q10" s="165"/>
      <c r="R10" s="164" t="s">
        <v>96</v>
      </c>
      <c r="S10" s="165"/>
      <c r="T10" s="165"/>
      <c r="U10" s="164" t="s">
        <v>28</v>
      </c>
      <c r="V10" s="165"/>
      <c r="W10" s="165"/>
      <c r="X10" s="164" t="s">
        <v>96</v>
      </c>
      <c r="Y10" s="165"/>
      <c r="Z10" s="165"/>
      <c r="AA10" s="164" t="s">
        <v>28</v>
      </c>
      <c r="AB10" s="165"/>
      <c r="AC10" s="165"/>
      <c r="AD10" s="164" t="s">
        <v>96</v>
      </c>
      <c r="AE10" s="165"/>
      <c r="AF10" s="165"/>
      <c r="AG10" s="164" t="s">
        <v>28</v>
      </c>
      <c r="AH10" s="165"/>
      <c r="AI10" s="165"/>
      <c r="AJ10" s="164" t="s">
        <v>96</v>
      </c>
      <c r="AK10" s="165"/>
      <c r="AL10" s="165"/>
      <c r="AM10" s="164" t="s">
        <v>28</v>
      </c>
      <c r="AN10" s="165"/>
      <c r="AO10" s="165"/>
      <c r="AP10" s="178"/>
      <c r="AQ10" s="181"/>
      <c r="AS10" s="2"/>
    </row>
    <row r="11" spans="1:45" ht="18" customHeight="1" x14ac:dyDescent="0.2">
      <c r="B11" s="170"/>
      <c r="C11" s="185"/>
      <c r="D11" s="173"/>
      <c r="E11" s="176"/>
      <c r="F11" s="15" t="s">
        <v>97</v>
      </c>
      <c r="G11" s="16" t="s">
        <v>98</v>
      </c>
      <c r="H11" s="17" t="s">
        <v>99</v>
      </c>
      <c r="I11" s="15" t="s">
        <v>97</v>
      </c>
      <c r="J11" s="16" t="s">
        <v>98</v>
      </c>
      <c r="K11" s="17" t="s">
        <v>99</v>
      </c>
      <c r="L11" s="15" t="s">
        <v>97</v>
      </c>
      <c r="M11" s="16" t="s">
        <v>98</v>
      </c>
      <c r="N11" s="17" t="s">
        <v>99</v>
      </c>
      <c r="O11" s="15" t="s">
        <v>97</v>
      </c>
      <c r="P11" s="16" t="s">
        <v>98</v>
      </c>
      <c r="Q11" s="17" t="s">
        <v>99</v>
      </c>
      <c r="R11" s="15" t="s">
        <v>97</v>
      </c>
      <c r="S11" s="16" t="s">
        <v>98</v>
      </c>
      <c r="T11" s="17" t="s">
        <v>99</v>
      </c>
      <c r="U11" s="15" t="s">
        <v>97</v>
      </c>
      <c r="V11" s="16" t="s">
        <v>98</v>
      </c>
      <c r="W11" s="17" t="s">
        <v>99</v>
      </c>
      <c r="X11" s="15" t="s">
        <v>97</v>
      </c>
      <c r="Y11" s="16" t="s">
        <v>98</v>
      </c>
      <c r="Z11" s="17" t="s">
        <v>99</v>
      </c>
      <c r="AA11" s="15" t="s">
        <v>97</v>
      </c>
      <c r="AB11" s="16" t="s">
        <v>98</v>
      </c>
      <c r="AC11" s="17" t="s">
        <v>99</v>
      </c>
      <c r="AD11" s="15" t="s">
        <v>97</v>
      </c>
      <c r="AE11" s="16" t="s">
        <v>98</v>
      </c>
      <c r="AF11" s="17" t="s">
        <v>99</v>
      </c>
      <c r="AG11" s="15" t="s">
        <v>97</v>
      </c>
      <c r="AH11" s="16" t="s">
        <v>98</v>
      </c>
      <c r="AI11" s="17" t="s">
        <v>99</v>
      </c>
      <c r="AJ11" s="15" t="s">
        <v>97</v>
      </c>
      <c r="AK11" s="16" t="s">
        <v>98</v>
      </c>
      <c r="AL11" s="17" t="s">
        <v>99</v>
      </c>
      <c r="AM11" s="15" t="s">
        <v>97</v>
      </c>
      <c r="AN11" s="16" t="s">
        <v>98</v>
      </c>
      <c r="AO11" s="17" t="s">
        <v>99</v>
      </c>
      <c r="AP11" s="179"/>
      <c r="AQ11" s="182"/>
      <c r="AS11" s="2"/>
    </row>
    <row r="12" spans="1:45" ht="18" customHeight="1" x14ac:dyDescent="0.2">
      <c r="A12" s="6"/>
      <c r="B12" s="9" t="s">
        <v>138</v>
      </c>
      <c r="C12" s="59">
        <v>2210</v>
      </c>
      <c r="D12" s="60">
        <v>520</v>
      </c>
      <c r="E12" s="61">
        <v>2080</v>
      </c>
      <c r="F12" s="61">
        <f>G12+H12</f>
        <v>509</v>
      </c>
      <c r="G12" s="62">
        <v>357</v>
      </c>
      <c r="H12" s="63">
        <v>152</v>
      </c>
      <c r="I12" s="61">
        <f>J12+K12</f>
        <v>356</v>
      </c>
      <c r="J12" s="62">
        <v>232</v>
      </c>
      <c r="K12" s="63">
        <v>124</v>
      </c>
      <c r="L12" s="61">
        <f>M12+N12</f>
        <v>0</v>
      </c>
      <c r="M12" s="62"/>
      <c r="N12" s="63"/>
      <c r="O12" s="61">
        <f>P12+Q12</f>
        <v>0</v>
      </c>
      <c r="P12" s="62"/>
      <c r="Q12" s="63"/>
      <c r="R12" s="61">
        <f>S12+T12</f>
        <v>0</v>
      </c>
      <c r="S12" s="62"/>
      <c r="T12" s="63"/>
      <c r="U12" s="61">
        <f>V12+W12</f>
        <v>0</v>
      </c>
      <c r="V12" s="62"/>
      <c r="W12" s="63"/>
      <c r="X12" s="61">
        <f>Y12+Z12</f>
        <v>0</v>
      </c>
      <c r="Y12" s="62"/>
      <c r="Z12" s="63"/>
      <c r="AA12" s="61">
        <f>AB12+AC12</f>
        <v>0</v>
      </c>
      <c r="AB12" s="62"/>
      <c r="AC12" s="63"/>
      <c r="AD12" s="61">
        <f>AE12+AF12</f>
        <v>0</v>
      </c>
      <c r="AE12" s="62"/>
      <c r="AF12" s="63"/>
      <c r="AG12" s="61">
        <f>AH12+AI12</f>
        <v>0</v>
      </c>
      <c r="AH12" s="62"/>
      <c r="AI12" s="63"/>
      <c r="AJ12" s="61">
        <f>AK12+AL12</f>
        <v>0</v>
      </c>
      <c r="AK12" s="62"/>
      <c r="AL12" s="63"/>
      <c r="AM12" s="61">
        <f>AN12+AO12</f>
        <v>0</v>
      </c>
      <c r="AN12" s="62"/>
      <c r="AO12" s="63"/>
      <c r="AP12" s="60">
        <f>F12+L12+R12+X12+AD12+AJ12</f>
        <v>509</v>
      </c>
      <c r="AQ12" s="79">
        <f t="shared" ref="AQ12:AQ32" si="0">AP12/E12</f>
        <v>0.24471153846153845</v>
      </c>
    </row>
    <row r="13" spans="1:45" ht="18" customHeight="1" x14ac:dyDescent="0.2">
      <c r="A13" s="6"/>
      <c r="B13" s="10" t="s">
        <v>139</v>
      </c>
      <c r="C13" s="64">
        <v>548</v>
      </c>
      <c r="D13" s="65">
        <v>125</v>
      </c>
      <c r="E13" s="66">
        <v>500</v>
      </c>
      <c r="F13" s="67">
        <f t="shared" ref="F13:F31" si="1">G13+H13</f>
        <v>126</v>
      </c>
      <c r="G13" s="68">
        <v>80</v>
      </c>
      <c r="H13" s="69">
        <v>46</v>
      </c>
      <c r="I13" s="67">
        <f t="shared" ref="I13:I31" si="2">J13+K13</f>
        <v>120</v>
      </c>
      <c r="J13" s="68">
        <v>74</v>
      </c>
      <c r="K13" s="69">
        <v>46</v>
      </c>
      <c r="L13" s="67">
        <f t="shared" ref="L13:L31" si="3">M13+N13</f>
        <v>0</v>
      </c>
      <c r="M13" s="68"/>
      <c r="N13" s="69"/>
      <c r="O13" s="67">
        <f t="shared" ref="O13:O31" si="4">P13+Q13</f>
        <v>0</v>
      </c>
      <c r="P13" s="68"/>
      <c r="Q13" s="69"/>
      <c r="R13" s="67">
        <f t="shared" ref="R13:R31" si="5">S13+T13</f>
        <v>0</v>
      </c>
      <c r="S13" s="68"/>
      <c r="T13" s="69"/>
      <c r="U13" s="67">
        <f t="shared" ref="U13:U31" si="6">V13+W13</f>
        <v>0</v>
      </c>
      <c r="V13" s="68"/>
      <c r="W13" s="69"/>
      <c r="X13" s="67">
        <f t="shared" ref="X13:X31" si="7">Y13+Z13</f>
        <v>0</v>
      </c>
      <c r="Y13" s="68"/>
      <c r="Z13" s="69"/>
      <c r="AA13" s="67">
        <f t="shared" ref="AA13:AA31" si="8">AB13+AC13</f>
        <v>0</v>
      </c>
      <c r="AB13" s="68"/>
      <c r="AC13" s="69"/>
      <c r="AD13" s="67">
        <f t="shared" ref="AD13:AD31" si="9">AE13+AF13</f>
        <v>0</v>
      </c>
      <c r="AE13" s="68"/>
      <c r="AF13" s="69"/>
      <c r="AG13" s="67">
        <f t="shared" ref="AG13:AG31" si="10">AH13+AI13</f>
        <v>0</v>
      </c>
      <c r="AH13" s="68"/>
      <c r="AI13" s="69"/>
      <c r="AJ13" s="67">
        <f t="shared" ref="AJ13:AJ31" si="11">AK13+AL13</f>
        <v>0</v>
      </c>
      <c r="AK13" s="68"/>
      <c r="AL13" s="69"/>
      <c r="AM13" s="67">
        <f t="shared" ref="AM13:AM31" si="12">AN13+AO13</f>
        <v>0</v>
      </c>
      <c r="AN13" s="68"/>
      <c r="AO13" s="69"/>
      <c r="AP13" s="65">
        <f t="shared" ref="AP13:AP31" si="13">F13+L13+R13+X13+AD13+AJ13</f>
        <v>126</v>
      </c>
      <c r="AQ13" s="18">
        <f t="shared" si="0"/>
        <v>0.252</v>
      </c>
    </row>
    <row r="14" spans="1:45" ht="18" customHeight="1" x14ac:dyDescent="0.2">
      <c r="A14" s="6"/>
      <c r="B14" s="10"/>
      <c r="C14" s="64"/>
      <c r="D14" s="65"/>
      <c r="E14" s="66"/>
      <c r="F14" s="67">
        <f t="shared" si="1"/>
        <v>0</v>
      </c>
      <c r="G14" s="68"/>
      <c r="H14" s="69"/>
      <c r="I14" s="67">
        <f t="shared" si="2"/>
        <v>0</v>
      </c>
      <c r="J14" s="68"/>
      <c r="K14" s="69"/>
      <c r="L14" s="67">
        <f t="shared" si="3"/>
        <v>0</v>
      </c>
      <c r="M14" s="68"/>
      <c r="N14" s="69"/>
      <c r="O14" s="67">
        <f t="shared" si="4"/>
        <v>0</v>
      </c>
      <c r="P14" s="68"/>
      <c r="Q14" s="69"/>
      <c r="R14" s="67">
        <f t="shared" si="5"/>
        <v>0</v>
      </c>
      <c r="S14" s="68"/>
      <c r="T14" s="69"/>
      <c r="U14" s="67">
        <f t="shared" si="6"/>
        <v>0</v>
      </c>
      <c r="V14" s="68"/>
      <c r="W14" s="69"/>
      <c r="X14" s="67">
        <f t="shared" si="7"/>
        <v>0</v>
      </c>
      <c r="Y14" s="68"/>
      <c r="Z14" s="69"/>
      <c r="AA14" s="67">
        <f t="shared" si="8"/>
        <v>0</v>
      </c>
      <c r="AB14" s="68"/>
      <c r="AC14" s="69"/>
      <c r="AD14" s="67">
        <f t="shared" si="9"/>
        <v>0</v>
      </c>
      <c r="AE14" s="68"/>
      <c r="AF14" s="69"/>
      <c r="AG14" s="67">
        <f t="shared" si="10"/>
        <v>0</v>
      </c>
      <c r="AH14" s="68"/>
      <c r="AI14" s="69"/>
      <c r="AJ14" s="67">
        <f t="shared" si="11"/>
        <v>0</v>
      </c>
      <c r="AK14" s="68"/>
      <c r="AL14" s="69"/>
      <c r="AM14" s="67">
        <f t="shared" si="12"/>
        <v>0</v>
      </c>
      <c r="AN14" s="68"/>
      <c r="AO14" s="69"/>
      <c r="AP14" s="65">
        <f t="shared" si="13"/>
        <v>0</v>
      </c>
      <c r="AQ14" s="80">
        <v>0</v>
      </c>
    </row>
    <row r="15" spans="1:45" ht="18" customHeight="1" x14ac:dyDescent="0.2">
      <c r="A15" s="6"/>
      <c r="B15" s="10"/>
      <c r="C15" s="64"/>
      <c r="D15" s="65"/>
      <c r="E15" s="66"/>
      <c r="F15" s="67">
        <f t="shared" si="1"/>
        <v>0</v>
      </c>
      <c r="G15" s="68"/>
      <c r="H15" s="69"/>
      <c r="I15" s="67">
        <f t="shared" si="2"/>
        <v>0</v>
      </c>
      <c r="J15" s="68"/>
      <c r="K15" s="69"/>
      <c r="L15" s="67">
        <f t="shared" si="3"/>
        <v>0</v>
      </c>
      <c r="M15" s="68"/>
      <c r="N15" s="69"/>
      <c r="O15" s="67">
        <f t="shared" si="4"/>
        <v>0</v>
      </c>
      <c r="P15" s="68"/>
      <c r="Q15" s="69"/>
      <c r="R15" s="67">
        <f t="shared" si="5"/>
        <v>0</v>
      </c>
      <c r="S15" s="68"/>
      <c r="T15" s="69"/>
      <c r="U15" s="67">
        <f t="shared" si="6"/>
        <v>0</v>
      </c>
      <c r="V15" s="68"/>
      <c r="W15" s="69"/>
      <c r="X15" s="67">
        <f t="shared" si="7"/>
        <v>0</v>
      </c>
      <c r="Y15" s="68"/>
      <c r="Z15" s="69"/>
      <c r="AA15" s="67">
        <f t="shared" si="8"/>
        <v>0</v>
      </c>
      <c r="AB15" s="68"/>
      <c r="AC15" s="69"/>
      <c r="AD15" s="67">
        <f t="shared" si="9"/>
        <v>0</v>
      </c>
      <c r="AE15" s="68"/>
      <c r="AF15" s="69"/>
      <c r="AG15" s="67">
        <f t="shared" si="10"/>
        <v>0</v>
      </c>
      <c r="AH15" s="68"/>
      <c r="AI15" s="69"/>
      <c r="AJ15" s="67">
        <f t="shared" si="11"/>
        <v>0</v>
      </c>
      <c r="AK15" s="68"/>
      <c r="AL15" s="69"/>
      <c r="AM15" s="67">
        <f t="shared" si="12"/>
        <v>0</v>
      </c>
      <c r="AN15" s="68"/>
      <c r="AO15" s="69"/>
      <c r="AP15" s="65">
        <f t="shared" si="13"/>
        <v>0</v>
      </c>
      <c r="AQ15" s="80">
        <v>0</v>
      </c>
    </row>
    <row r="16" spans="1:45" ht="18" customHeight="1" x14ac:dyDescent="0.2">
      <c r="A16" s="6"/>
      <c r="B16" s="10"/>
      <c r="C16" s="64"/>
      <c r="D16" s="65"/>
      <c r="E16" s="66"/>
      <c r="F16" s="67">
        <f t="shared" si="1"/>
        <v>0</v>
      </c>
      <c r="G16" s="68"/>
      <c r="H16" s="69"/>
      <c r="I16" s="67">
        <f t="shared" si="2"/>
        <v>0</v>
      </c>
      <c r="J16" s="68"/>
      <c r="K16" s="69"/>
      <c r="L16" s="67">
        <f t="shared" si="3"/>
        <v>0</v>
      </c>
      <c r="M16" s="68"/>
      <c r="N16" s="69"/>
      <c r="O16" s="67">
        <f t="shared" si="4"/>
        <v>0</v>
      </c>
      <c r="P16" s="68"/>
      <c r="Q16" s="69"/>
      <c r="R16" s="67">
        <f t="shared" si="5"/>
        <v>0</v>
      </c>
      <c r="S16" s="68"/>
      <c r="T16" s="69"/>
      <c r="U16" s="67">
        <f t="shared" si="6"/>
        <v>0</v>
      </c>
      <c r="V16" s="68"/>
      <c r="W16" s="69"/>
      <c r="X16" s="67">
        <f t="shared" si="7"/>
        <v>0</v>
      </c>
      <c r="Y16" s="68"/>
      <c r="Z16" s="69"/>
      <c r="AA16" s="67">
        <f t="shared" si="8"/>
        <v>0</v>
      </c>
      <c r="AB16" s="68"/>
      <c r="AC16" s="69"/>
      <c r="AD16" s="67">
        <f t="shared" si="9"/>
        <v>0</v>
      </c>
      <c r="AE16" s="68"/>
      <c r="AF16" s="69"/>
      <c r="AG16" s="67">
        <f t="shared" si="10"/>
        <v>0</v>
      </c>
      <c r="AH16" s="68"/>
      <c r="AI16" s="69"/>
      <c r="AJ16" s="67">
        <f t="shared" si="11"/>
        <v>0</v>
      </c>
      <c r="AK16" s="68"/>
      <c r="AL16" s="69"/>
      <c r="AM16" s="67">
        <f t="shared" si="12"/>
        <v>0</v>
      </c>
      <c r="AN16" s="68"/>
      <c r="AO16" s="69"/>
      <c r="AP16" s="65">
        <f t="shared" si="13"/>
        <v>0</v>
      </c>
      <c r="AQ16" s="80">
        <v>0</v>
      </c>
    </row>
    <row r="17" spans="1:43" ht="18" customHeight="1" x14ac:dyDescent="0.2">
      <c r="A17" s="6"/>
      <c r="B17" s="10"/>
      <c r="C17" s="64"/>
      <c r="D17" s="65"/>
      <c r="E17" s="66"/>
      <c r="F17" s="67">
        <f t="shared" si="1"/>
        <v>0</v>
      </c>
      <c r="G17" s="68"/>
      <c r="H17" s="69"/>
      <c r="I17" s="67">
        <f t="shared" si="2"/>
        <v>0</v>
      </c>
      <c r="J17" s="68"/>
      <c r="K17" s="69"/>
      <c r="L17" s="67">
        <f t="shared" si="3"/>
        <v>0</v>
      </c>
      <c r="M17" s="68"/>
      <c r="N17" s="69"/>
      <c r="O17" s="67">
        <f t="shared" si="4"/>
        <v>0</v>
      </c>
      <c r="P17" s="68"/>
      <c r="Q17" s="69"/>
      <c r="R17" s="67">
        <f t="shared" si="5"/>
        <v>0</v>
      </c>
      <c r="S17" s="68"/>
      <c r="T17" s="69"/>
      <c r="U17" s="67">
        <f t="shared" si="6"/>
        <v>0</v>
      </c>
      <c r="V17" s="68"/>
      <c r="W17" s="69"/>
      <c r="X17" s="67">
        <f t="shared" si="7"/>
        <v>0</v>
      </c>
      <c r="Y17" s="68"/>
      <c r="Z17" s="69"/>
      <c r="AA17" s="67">
        <f t="shared" si="8"/>
        <v>0</v>
      </c>
      <c r="AB17" s="68"/>
      <c r="AC17" s="69"/>
      <c r="AD17" s="67">
        <f t="shared" si="9"/>
        <v>0</v>
      </c>
      <c r="AE17" s="68"/>
      <c r="AF17" s="69"/>
      <c r="AG17" s="67">
        <f t="shared" si="10"/>
        <v>0</v>
      </c>
      <c r="AH17" s="68"/>
      <c r="AI17" s="69"/>
      <c r="AJ17" s="67">
        <f t="shared" si="11"/>
        <v>0</v>
      </c>
      <c r="AK17" s="68"/>
      <c r="AL17" s="69"/>
      <c r="AM17" s="67">
        <f t="shared" si="12"/>
        <v>0</v>
      </c>
      <c r="AN17" s="68"/>
      <c r="AO17" s="69"/>
      <c r="AP17" s="65">
        <f t="shared" si="13"/>
        <v>0</v>
      </c>
      <c r="AQ17" s="80">
        <v>0</v>
      </c>
    </row>
    <row r="18" spans="1:43" ht="18" customHeight="1" x14ac:dyDescent="0.2">
      <c r="A18" s="6"/>
      <c r="B18" s="10"/>
      <c r="C18" s="64"/>
      <c r="D18" s="65"/>
      <c r="E18" s="66"/>
      <c r="F18" s="67">
        <f t="shared" si="1"/>
        <v>0</v>
      </c>
      <c r="G18" s="68"/>
      <c r="H18" s="69"/>
      <c r="I18" s="67">
        <f t="shared" si="2"/>
        <v>0</v>
      </c>
      <c r="J18" s="68"/>
      <c r="K18" s="69"/>
      <c r="L18" s="67">
        <f t="shared" si="3"/>
        <v>0</v>
      </c>
      <c r="M18" s="68"/>
      <c r="N18" s="69"/>
      <c r="O18" s="67">
        <f t="shared" si="4"/>
        <v>0</v>
      </c>
      <c r="P18" s="68"/>
      <c r="Q18" s="69"/>
      <c r="R18" s="67">
        <f t="shared" si="5"/>
        <v>0</v>
      </c>
      <c r="S18" s="68"/>
      <c r="T18" s="69"/>
      <c r="U18" s="67">
        <f t="shared" si="6"/>
        <v>0</v>
      </c>
      <c r="V18" s="68"/>
      <c r="W18" s="69"/>
      <c r="X18" s="67">
        <f t="shared" si="7"/>
        <v>0</v>
      </c>
      <c r="Y18" s="68"/>
      <c r="Z18" s="69"/>
      <c r="AA18" s="67">
        <f t="shared" si="8"/>
        <v>0</v>
      </c>
      <c r="AB18" s="68"/>
      <c r="AC18" s="69"/>
      <c r="AD18" s="67">
        <f t="shared" si="9"/>
        <v>0</v>
      </c>
      <c r="AE18" s="68"/>
      <c r="AF18" s="69"/>
      <c r="AG18" s="67">
        <f t="shared" si="10"/>
        <v>0</v>
      </c>
      <c r="AH18" s="68"/>
      <c r="AI18" s="69"/>
      <c r="AJ18" s="67">
        <f t="shared" si="11"/>
        <v>0</v>
      </c>
      <c r="AK18" s="68"/>
      <c r="AL18" s="69"/>
      <c r="AM18" s="67">
        <f t="shared" si="12"/>
        <v>0</v>
      </c>
      <c r="AN18" s="68"/>
      <c r="AO18" s="69"/>
      <c r="AP18" s="65">
        <f t="shared" si="13"/>
        <v>0</v>
      </c>
      <c r="AQ18" s="80">
        <v>0</v>
      </c>
    </row>
    <row r="19" spans="1:43" ht="18" customHeight="1" x14ac:dyDescent="0.2">
      <c r="A19" s="6"/>
      <c r="B19" s="10"/>
      <c r="C19" s="64"/>
      <c r="D19" s="65"/>
      <c r="E19" s="66"/>
      <c r="F19" s="67">
        <f t="shared" si="1"/>
        <v>0</v>
      </c>
      <c r="G19" s="68"/>
      <c r="H19" s="69"/>
      <c r="I19" s="67">
        <f t="shared" si="2"/>
        <v>0</v>
      </c>
      <c r="J19" s="68"/>
      <c r="K19" s="69"/>
      <c r="L19" s="67">
        <f t="shared" si="3"/>
        <v>0</v>
      </c>
      <c r="M19" s="68"/>
      <c r="N19" s="69"/>
      <c r="O19" s="67">
        <f t="shared" si="4"/>
        <v>0</v>
      </c>
      <c r="P19" s="68"/>
      <c r="Q19" s="69"/>
      <c r="R19" s="67">
        <f t="shared" si="5"/>
        <v>0</v>
      </c>
      <c r="S19" s="68"/>
      <c r="T19" s="69"/>
      <c r="U19" s="67">
        <f t="shared" si="6"/>
        <v>0</v>
      </c>
      <c r="V19" s="68"/>
      <c r="W19" s="69"/>
      <c r="X19" s="67">
        <f t="shared" si="7"/>
        <v>0</v>
      </c>
      <c r="Y19" s="68"/>
      <c r="Z19" s="69"/>
      <c r="AA19" s="67">
        <f t="shared" si="8"/>
        <v>0</v>
      </c>
      <c r="AB19" s="68"/>
      <c r="AC19" s="69"/>
      <c r="AD19" s="67">
        <f t="shared" si="9"/>
        <v>0</v>
      </c>
      <c r="AE19" s="68"/>
      <c r="AF19" s="69"/>
      <c r="AG19" s="67">
        <f t="shared" si="10"/>
        <v>0</v>
      </c>
      <c r="AH19" s="68"/>
      <c r="AI19" s="69"/>
      <c r="AJ19" s="67">
        <f t="shared" si="11"/>
        <v>0</v>
      </c>
      <c r="AK19" s="68"/>
      <c r="AL19" s="69"/>
      <c r="AM19" s="67">
        <f t="shared" si="12"/>
        <v>0</v>
      </c>
      <c r="AN19" s="68"/>
      <c r="AO19" s="69"/>
      <c r="AP19" s="65">
        <f t="shared" si="13"/>
        <v>0</v>
      </c>
      <c r="AQ19" s="80">
        <v>0</v>
      </c>
    </row>
    <row r="20" spans="1:43" ht="18" customHeight="1" x14ac:dyDescent="0.2">
      <c r="A20" s="6"/>
      <c r="B20" s="10"/>
      <c r="C20" s="64"/>
      <c r="D20" s="65"/>
      <c r="E20" s="66"/>
      <c r="F20" s="67">
        <f t="shared" si="1"/>
        <v>0</v>
      </c>
      <c r="G20" s="68"/>
      <c r="H20" s="69"/>
      <c r="I20" s="67">
        <f t="shared" si="2"/>
        <v>0</v>
      </c>
      <c r="J20" s="68"/>
      <c r="K20" s="69"/>
      <c r="L20" s="67">
        <f t="shared" si="3"/>
        <v>0</v>
      </c>
      <c r="M20" s="68"/>
      <c r="N20" s="69"/>
      <c r="O20" s="67">
        <f t="shared" si="4"/>
        <v>0</v>
      </c>
      <c r="P20" s="68"/>
      <c r="Q20" s="69"/>
      <c r="R20" s="67">
        <f t="shared" si="5"/>
        <v>0</v>
      </c>
      <c r="S20" s="68"/>
      <c r="T20" s="69"/>
      <c r="U20" s="67">
        <f t="shared" si="6"/>
        <v>0</v>
      </c>
      <c r="V20" s="68"/>
      <c r="W20" s="69"/>
      <c r="X20" s="67">
        <f t="shared" si="7"/>
        <v>0</v>
      </c>
      <c r="Y20" s="68"/>
      <c r="Z20" s="69"/>
      <c r="AA20" s="67">
        <f t="shared" si="8"/>
        <v>0</v>
      </c>
      <c r="AB20" s="68"/>
      <c r="AC20" s="69"/>
      <c r="AD20" s="67">
        <f t="shared" si="9"/>
        <v>0</v>
      </c>
      <c r="AE20" s="68"/>
      <c r="AF20" s="69"/>
      <c r="AG20" s="67">
        <f t="shared" si="10"/>
        <v>0</v>
      </c>
      <c r="AH20" s="68"/>
      <c r="AI20" s="69"/>
      <c r="AJ20" s="67">
        <f t="shared" si="11"/>
        <v>0</v>
      </c>
      <c r="AK20" s="68"/>
      <c r="AL20" s="69"/>
      <c r="AM20" s="67">
        <f t="shared" si="12"/>
        <v>0</v>
      </c>
      <c r="AN20" s="68"/>
      <c r="AO20" s="69"/>
      <c r="AP20" s="65">
        <f t="shared" si="13"/>
        <v>0</v>
      </c>
      <c r="AQ20" s="80">
        <v>0</v>
      </c>
    </row>
    <row r="21" spans="1:43" ht="18" customHeight="1" x14ac:dyDescent="0.2">
      <c r="A21" s="6"/>
      <c r="B21" s="10"/>
      <c r="C21" s="64"/>
      <c r="D21" s="65"/>
      <c r="E21" s="66"/>
      <c r="F21" s="67">
        <f t="shared" si="1"/>
        <v>0</v>
      </c>
      <c r="G21" s="68"/>
      <c r="H21" s="69"/>
      <c r="I21" s="67">
        <f t="shared" si="2"/>
        <v>0</v>
      </c>
      <c r="J21" s="68"/>
      <c r="K21" s="69"/>
      <c r="L21" s="67">
        <f t="shared" si="3"/>
        <v>0</v>
      </c>
      <c r="M21" s="68"/>
      <c r="N21" s="69"/>
      <c r="O21" s="67">
        <f t="shared" si="4"/>
        <v>0</v>
      </c>
      <c r="P21" s="68"/>
      <c r="Q21" s="69"/>
      <c r="R21" s="67">
        <f t="shared" si="5"/>
        <v>0</v>
      </c>
      <c r="S21" s="68"/>
      <c r="T21" s="69"/>
      <c r="U21" s="67">
        <f t="shared" si="6"/>
        <v>0</v>
      </c>
      <c r="V21" s="68"/>
      <c r="W21" s="69"/>
      <c r="X21" s="67">
        <f t="shared" si="7"/>
        <v>0</v>
      </c>
      <c r="Y21" s="68"/>
      <c r="Z21" s="69"/>
      <c r="AA21" s="67">
        <f t="shared" si="8"/>
        <v>0</v>
      </c>
      <c r="AB21" s="68"/>
      <c r="AC21" s="69"/>
      <c r="AD21" s="67">
        <f t="shared" si="9"/>
        <v>0</v>
      </c>
      <c r="AE21" s="68"/>
      <c r="AF21" s="69"/>
      <c r="AG21" s="67">
        <f t="shared" si="10"/>
        <v>0</v>
      </c>
      <c r="AH21" s="68"/>
      <c r="AI21" s="69"/>
      <c r="AJ21" s="67">
        <f t="shared" si="11"/>
        <v>0</v>
      </c>
      <c r="AK21" s="68"/>
      <c r="AL21" s="69"/>
      <c r="AM21" s="67">
        <f t="shared" si="12"/>
        <v>0</v>
      </c>
      <c r="AN21" s="68"/>
      <c r="AO21" s="69"/>
      <c r="AP21" s="65">
        <f t="shared" si="13"/>
        <v>0</v>
      </c>
      <c r="AQ21" s="80">
        <v>0</v>
      </c>
    </row>
    <row r="22" spans="1:43" ht="18" customHeight="1" x14ac:dyDescent="0.2">
      <c r="A22" s="6"/>
      <c r="B22" s="10"/>
      <c r="C22" s="64"/>
      <c r="D22" s="65"/>
      <c r="E22" s="66"/>
      <c r="F22" s="67">
        <f t="shared" si="1"/>
        <v>0</v>
      </c>
      <c r="G22" s="68"/>
      <c r="H22" s="69"/>
      <c r="I22" s="67">
        <f t="shared" si="2"/>
        <v>0</v>
      </c>
      <c r="J22" s="68"/>
      <c r="K22" s="69"/>
      <c r="L22" s="67">
        <f t="shared" si="3"/>
        <v>0</v>
      </c>
      <c r="M22" s="68"/>
      <c r="N22" s="69"/>
      <c r="O22" s="67">
        <f t="shared" si="4"/>
        <v>0</v>
      </c>
      <c r="P22" s="68"/>
      <c r="Q22" s="69"/>
      <c r="R22" s="67">
        <f t="shared" si="5"/>
        <v>0</v>
      </c>
      <c r="S22" s="68"/>
      <c r="T22" s="69"/>
      <c r="U22" s="67">
        <f t="shared" si="6"/>
        <v>0</v>
      </c>
      <c r="V22" s="68"/>
      <c r="W22" s="69"/>
      <c r="X22" s="67">
        <f t="shared" si="7"/>
        <v>0</v>
      </c>
      <c r="Y22" s="68"/>
      <c r="Z22" s="69"/>
      <c r="AA22" s="67">
        <f t="shared" si="8"/>
        <v>0</v>
      </c>
      <c r="AB22" s="68"/>
      <c r="AC22" s="69"/>
      <c r="AD22" s="67">
        <f t="shared" si="9"/>
        <v>0</v>
      </c>
      <c r="AE22" s="68"/>
      <c r="AF22" s="69"/>
      <c r="AG22" s="67">
        <f t="shared" si="10"/>
        <v>0</v>
      </c>
      <c r="AH22" s="68"/>
      <c r="AI22" s="69"/>
      <c r="AJ22" s="67">
        <f t="shared" si="11"/>
        <v>0</v>
      </c>
      <c r="AK22" s="68"/>
      <c r="AL22" s="69"/>
      <c r="AM22" s="67">
        <f t="shared" si="12"/>
        <v>0</v>
      </c>
      <c r="AN22" s="68"/>
      <c r="AO22" s="69"/>
      <c r="AP22" s="65">
        <f t="shared" si="13"/>
        <v>0</v>
      </c>
      <c r="AQ22" s="80">
        <v>0</v>
      </c>
    </row>
    <row r="23" spans="1:43" ht="18" customHeight="1" x14ac:dyDescent="0.2">
      <c r="A23" s="6"/>
      <c r="B23" s="10"/>
      <c r="C23" s="64"/>
      <c r="D23" s="65"/>
      <c r="E23" s="66"/>
      <c r="F23" s="67">
        <f t="shared" si="1"/>
        <v>0</v>
      </c>
      <c r="G23" s="68"/>
      <c r="H23" s="69"/>
      <c r="I23" s="67">
        <f t="shared" si="2"/>
        <v>0</v>
      </c>
      <c r="J23" s="68"/>
      <c r="K23" s="69"/>
      <c r="L23" s="67">
        <f t="shared" si="3"/>
        <v>0</v>
      </c>
      <c r="M23" s="68"/>
      <c r="N23" s="69"/>
      <c r="O23" s="67">
        <f t="shared" si="4"/>
        <v>0</v>
      </c>
      <c r="P23" s="68"/>
      <c r="Q23" s="69"/>
      <c r="R23" s="67">
        <f t="shared" si="5"/>
        <v>0</v>
      </c>
      <c r="S23" s="68"/>
      <c r="T23" s="69"/>
      <c r="U23" s="67">
        <f t="shared" si="6"/>
        <v>0</v>
      </c>
      <c r="V23" s="68"/>
      <c r="W23" s="69"/>
      <c r="X23" s="67">
        <f t="shared" si="7"/>
        <v>0</v>
      </c>
      <c r="Y23" s="68"/>
      <c r="Z23" s="69"/>
      <c r="AA23" s="67">
        <f t="shared" si="8"/>
        <v>0</v>
      </c>
      <c r="AB23" s="68"/>
      <c r="AC23" s="69"/>
      <c r="AD23" s="67">
        <f t="shared" si="9"/>
        <v>0</v>
      </c>
      <c r="AE23" s="68"/>
      <c r="AF23" s="69"/>
      <c r="AG23" s="67">
        <f t="shared" si="10"/>
        <v>0</v>
      </c>
      <c r="AH23" s="68"/>
      <c r="AI23" s="69"/>
      <c r="AJ23" s="67">
        <f t="shared" si="11"/>
        <v>0</v>
      </c>
      <c r="AK23" s="68"/>
      <c r="AL23" s="69"/>
      <c r="AM23" s="67">
        <f t="shared" si="12"/>
        <v>0</v>
      </c>
      <c r="AN23" s="68"/>
      <c r="AO23" s="69"/>
      <c r="AP23" s="65">
        <f t="shared" si="13"/>
        <v>0</v>
      </c>
      <c r="AQ23" s="80">
        <v>0</v>
      </c>
    </row>
    <row r="24" spans="1:43" ht="18" customHeight="1" x14ac:dyDescent="0.2">
      <c r="A24" s="6"/>
      <c r="B24" s="10"/>
      <c r="C24" s="64"/>
      <c r="D24" s="65"/>
      <c r="E24" s="66"/>
      <c r="F24" s="67">
        <f t="shared" si="1"/>
        <v>0</v>
      </c>
      <c r="G24" s="68"/>
      <c r="H24" s="69"/>
      <c r="I24" s="67">
        <f t="shared" si="2"/>
        <v>0</v>
      </c>
      <c r="J24" s="68"/>
      <c r="K24" s="69"/>
      <c r="L24" s="67">
        <f t="shared" si="3"/>
        <v>0</v>
      </c>
      <c r="M24" s="68"/>
      <c r="N24" s="69"/>
      <c r="O24" s="67">
        <f t="shared" si="4"/>
        <v>0</v>
      </c>
      <c r="P24" s="68"/>
      <c r="Q24" s="69"/>
      <c r="R24" s="67">
        <f t="shared" si="5"/>
        <v>0</v>
      </c>
      <c r="S24" s="68"/>
      <c r="T24" s="69"/>
      <c r="U24" s="67">
        <f t="shared" si="6"/>
        <v>0</v>
      </c>
      <c r="V24" s="68"/>
      <c r="W24" s="69"/>
      <c r="X24" s="67">
        <f t="shared" si="7"/>
        <v>0</v>
      </c>
      <c r="Y24" s="68"/>
      <c r="Z24" s="69"/>
      <c r="AA24" s="67">
        <f t="shared" si="8"/>
        <v>0</v>
      </c>
      <c r="AB24" s="68"/>
      <c r="AC24" s="69"/>
      <c r="AD24" s="67">
        <f t="shared" si="9"/>
        <v>0</v>
      </c>
      <c r="AE24" s="68"/>
      <c r="AF24" s="69"/>
      <c r="AG24" s="67">
        <f t="shared" si="10"/>
        <v>0</v>
      </c>
      <c r="AH24" s="68"/>
      <c r="AI24" s="69"/>
      <c r="AJ24" s="67">
        <f t="shared" si="11"/>
        <v>0</v>
      </c>
      <c r="AK24" s="68"/>
      <c r="AL24" s="69"/>
      <c r="AM24" s="67">
        <f t="shared" si="12"/>
        <v>0</v>
      </c>
      <c r="AN24" s="68"/>
      <c r="AO24" s="69"/>
      <c r="AP24" s="65">
        <f t="shared" si="13"/>
        <v>0</v>
      </c>
      <c r="AQ24" s="80">
        <v>0</v>
      </c>
    </row>
    <row r="25" spans="1:43" ht="18" customHeight="1" x14ac:dyDescent="0.2">
      <c r="A25" s="6"/>
      <c r="B25" s="10"/>
      <c r="C25" s="64"/>
      <c r="D25" s="65"/>
      <c r="E25" s="66"/>
      <c r="F25" s="67">
        <f t="shared" si="1"/>
        <v>0</v>
      </c>
      <c r="G25" s="68"/>
      <c r="H25" s="69"/>
      <c r="I25" s="67">
        <f t="shared" si="2"/>
        <v>0</v>
      </c>
      <c r="J25" s="68"/>
      <c r="K25" s="69"/>
      <c r="L25" s="67">
        <f t="shared" si="3"/>
        <v>0</v>
      </c>
      <c r="M25" s="68"/>
      <c r="N25" s="69"/>
      <c r="O25" s="67">
        <f t="shared" si="4"/>
        <v>0</v>
      </c>
      <c r="P25" s="68"/>
      <c r="Q25" s="69"/>
      <c r="R25" s="67">
        <f t="shared" si="5"/>
        <v>0</v>
      </c>
      <c r="S25" s="68"/>
      <c r="T25" s="69"/>
      <c r="U25" s="67">
        <f t="shared" si="6"/>
        <v>0</v>
      </c>
      <c r="V25" s="68"/>
      <c r="W25" s="69"/>
      <c r="X25" s="67">
        <f t="shared" si="7"/>
        <v>0</v>
      </c>
      <c r="Y25" s="68"/>
      <c r="Z25" s="69"/>
      <c r="AA25" s="67">
        <f t="shared" si="8"/>
        <v>0</v>
      </c>
      <c r="AB25" s="68"/>
      <c r="AC25" s="69"/>
      <c r="AD25" s="67">
        <f t="shared" si="9"/>
        <v>0</v>
      </c>
      <c r="AE25" s="68"/>
      <c r="AF25" s="69"/>
      <c r="AG25" s="67">
        <f t="shared" si="10"/>
        <v>0</v>
      </c>
      <c r="AH25" s="68"/>
      <c r="AI25" s="69"/>
      <c r="AJ25" s="67">
        <f t="shared" si="11"/>
        <v>0</v>
      </c>
      <c r="AK25" s="68"/>
      <c r="AL25" s="69"/>
      <c r="AM25" s="67">
        <f t="shared" si="12"/>
        <v>0</v>
      </c>
      <c r="AN25" s="68"/>
      <c r="AO25" s="69"/>
      <c r="AP25" s="65">
        <f t="shared" si="13"/>
        <v>0</v>
      </c>
      <c r="AQ25" s="80">
        <v>0</v>
      </c>
    </row>
    <row r="26" spans="1:43" ht="18" customHeight="1" x14ac:dyDescent="0.2">
      <c r="A26" s="6"/>
      <c r="B26" s="10"/>
      <c r="C26" s="64"/>
      <c r="D26" s="65"/>
      <c r="E26" s="66"/>
      <c r="F26" s="67">
        <f t="shared" si="1"/>
        <v>0</v>
      </c>
      <c r="G26" s="68"/>
      <c r="H26" s="69"/>
      <c r="I26" s="67">
        <f t="shared" si="2"/>
        <v>0</v>
      </c>
      <c r="J26" s="68"/>
      <c r="K26" s="69"/>
      <c r="L26" s="67">
        <f t="shared" si="3"/>
        <v>0</v>
      </c>
      <c r="M26" s="68"/>
      <c r="N26" s="69"/>
      <c r="O26" s="67">
        <f t="shared" si="4"/>
        <v>0</v>
      </c>
      <c r="P26" s="68"/>
      <c r="Q26" s="69"/>
      <c r="R26" s="67">
        <f t="shared" si="5"/>
        <v>0</v>
      </c>
      <c r="S26" s="68"/>
      <c r="T26" s="69"/>
      <c r="U26" s="67">
        <f t="shared" si="6"/>
        <v>0</v>
      </c>
      <c r="V26" s="68"/>
      <c r="W26" s="69"/>
      <c r="X26" s="67">
        <f t="shared" si="7"/>
        <v>0</v>
      </c>
      <c r="Y26" s="68"/>
      <c r="Z26" s="69"/>
      <c r="AA26" s="67">
        <f t="shared" si="8"/>
        <v>0</v>
      </c>
      <c r="AB26" s="68"/>
      <c r="AC26" s="69"/>
      <c r="AD26" s="67">
        <f t="shared" si="9"/>
        <v>0</v>
      </c>
      <c r="AE26" s="68"/>
      <c r="AF26" s="69"/>
      <c r="AG26" s="67">
        <f t="shared" si="10"/>
        <v>0</v>
      </c>
      <c r="AH26" s="68"/>
      <c r="AI26" s="69"/>
      <c r="AJ26" s="67">
        <f t="shared" si="11"/>
        <v>0</v>
      </c>
      <c r="AK26" s="68"/>
      <c r="AL26" s="69"/>
      <c r="AM26" s="67">
        <f t="shared" si="12"/>
        <v>0</v>
      </c>
      <c r="AN26" s="68"/>
      <c r="AO26" s="69"/>
      <c r="AP26" s="65">
        <f t="shared" si="13"/>
        <v>0</v>
      </c>
      <c r="AQ26" s="80">
        <v>0</v>
      </c>
    </row>
    <row r="27" spans="1:43" ht="18" customHeight="1" x14ac:dyDescent="0.2">
      <c r="A27" s="6"/>
      <c r="B27" s="10"/>
      <c r="C27" s="64"/>
      <c r="D27" s="65"/>
      <c r="E27" s="66"/>
      <c r="F27" s="67">
        <f t="shared" si="1"/>
        <v>0</v>
      </c>
      <c r="G27" s="68"/>
      <c r="H27" s="69"/>
      <c r="I27" s="67">
        <f t="shared" si="2"/>
        <v>0</v>
      </c>
      <c r="J27" s="68"/>
      <c r="K27" s="69"/>
      <c r="L27" s="67">
        <f t="shared" si="3"/>
        <v>0</v>
      </c>
      <c r="M27" s="68"/>
      <c r="N27" s="69"/>
      <c r="O27" s="67">
        <f t="shared" si="4"/>
        <v>0</v>
      </c>
      <c r="P27" s="68"/>
      <c r="Q27" s="69"/>
      <c r="R27" s="67">
        <f t="shared" si="5"/>
        <v>0</v>
      </c>
      <c r="S27" s="68"/>
      <c r="T27" s="69"/>
      <c r="U27" s="67">
        <f t="shared" si="6"/>
        <v>0</v>
      </c>
      <c r="V27" s="68"/>
      <c r="W27" s="69"/>
      <c r="X27" s="67">
        <f t="shared" si="7"/>
        <v>0</v>
      </c>
      <c r="Y27" s="68"/>
      <c r="Z27" s="69"/>
      <c r="AA27" s="67">
        <f t="shared" si="8"/>
        <v>0</v>
      </c>
      <c r="AB27" s="68"/>
      <c r="AC27" s="69"/>
      <c r="AD27" s="67">
        <f t="shared" si="9"/>
        <v>0</v>
      </c>
      <c r="AE27" s="68"/>
      <c r="AF27" s="69"/>
      <c r="AG27" s="67">
        <f t="shared" si="10"/>
        <v>0</v>
      </c>
      <c r="AH27" s="68"/>
      <c r="AI27" s="69"/>
      <c r="AJ27" s="67">
        <f t="shared" si="11"/>
        <v>0</v>
      </c>
      <c r="AK27" s="68"/>
      <c r="AL27" s="69"/>
      <c r="AM27" s="67">
        <f t="shared" si="12"/>
        <v>0</v>
      </c>
      <c r="AN27" s="68"/>
      <c r="AO27" s="69"/>
      <c r="AP27" s="65">
        <f t="shared" si="13"/>
        <v>0</v>
      </c>
      <c r="AQ27" s="80">
        <v>0</v>
      </c>
    </row>
    <row r="28" spans="1:43" ht="18" customHeight="1" x14ac:dyDescent="0.2">
      <c r="A28" s="6"/>
      <c r="B28" s="10"/>
      <c r="C28" s="64"/>
      <c r="D28" s="65"/>
      <c r="E28" s="66"/>
      <c r="F28" s="67">
        <f t="shared" si="1"/>
        <v>0</v>
      </c>
      <c r="G28" s="68"/>
      <c r="H28" s="69"/>
      <c r="I28" s="67">
        <f t="shared" si="2"/>
        <v>0</v>
      </c>
      <c r="J28" s="68"/>
      <c r="K28" s="69"/>
      <c r="L28" s="67">
        <f t="shared" si="3"/>
        <v>0</v>
      </c>
      <c r="M28" s="68"/>
      <c r="N28" s="69"/>
      <c r="O28" s="67">
        <f t="shared" si="4"/>
        <v>0</v>
      </c>
      <c r="P28" s="68"/>
      <c r="Q28" s="69"/>
      <c r="R28" s="67">
        <f t="shared" si="5"/>
        <v>0</v>
      </c>
      <c r="S28" s="68"/>
      <c r="T28" s="69"/>
      <c r="U28" s="67">
        <f t="shared" si="6"/>
        <v>0</v>
      </c>
      <c r="V28" s="68"/>
      <c r="W28" s="69"/>
      <c r="X28" s="67">
        <f t="shared" si="7"/>
        <v>0</v>
      </c>
      <c r="Y28" s="68"/>
      <c r="Z28" s="69"/>
      <c r="AA28" s="67">
        <f t="shared" si="8"/>
        <v>0</v>
      </c>
      <c r="AB28" s="68"/>
      <c r="AC28" s="69"/>
      <c r="AD28" s="67">
        <f t="shared" si="9"/>
        <v>0</v>
      </c>
      <c r="AE28" s="68"/>
      <c r="AF28" s="69"/>
      <c r="AG28" s="67">
        <f t="shared" si="10"/>
        <v>0</v>
      </c>
      <c r="AH28" s="68"/>
      <c r="AI28" s="69"/>
      <c r="AJ28" s="67">
        <f t="shared" si="11"/>
        <v>0</v>
      </c>
      <c r="AK28" s="68"/>
      <c r="AL28" s="69"/>
      <c r="AM28" s="67">
        <f t="shared" si="12"/>
        <v>0</v>
      </c>
      <c r="AN28" s="68"/>
      <c r="AO28" s="69"/>
      <c r="AP28" s="65">
        <f t="shared" si="13"/>
        <v>0</v>
      </c>
      <c r="AQ28" s="80">
        <v>0</v>
      </c>
    </row>
    <row r="29" spans="1:43" ht="18" customHeight="1" x14ac:dyDescent="0.2">
      <c r="A29" s="6"/>
      <c r="B29" s="10"/>
      <c r="C29" s="64"/>
      <c r="D29" s="70"/>
      <c r="E29" s="66"/>
      <c r="F29" s="67">
        <f t="shared" si="1"/>
        <v>0</v>
      </c>
      <c r="G29" s="68"/>
      <c r="H29" s="69"/>
      <c r="I29" s="67">
        <f t="shared" si="2"/>
        <v>0</v>
      </c>
      <c r="J29" s="68"/>
      <c r="K29" s="69"/>
      <c r="L29" s="67">
        <f t="shared" si="3"/>
        <v>0</v>
      </c>
      <c r="M29" s="68"/>
      <c r="N29" s="69"/>
      <c r="O29" s="67">
        <f t="shared" si="4"/>
        <v>0</v>
      </c>
      <c r="P29" s="68"/>
      <c r="Q29" s="69"/>
      <c r="R29" s="67">
        <f t="shared" si="5"/>
        <v>0</v>
      </c>
      <c r="S29" s="68"/>
      <c r="T29" s="69"/>
      <c r="U29" s="67">
        <f t="shared" si="6"/>
        <v>0</v>
      </c>
      <c r="V29" s="68"/>
      <c r="W29" s="69"/>
      <c r="X29" s="67">
        <f t="shared" si="7"/>
        <v>0</v>
      </c>
      <c r="Y29" s="68"/>
      <c r="Z29" s="69"/>
      <c r="AA29" s="67">
        <f t="shared" si="8"/>
        <v>0</v>
      </c>
      <c r="AB29" s="68"/>
      <c r="AC29" s="69"/>
      <c r="AD29" s="67">
        <f t="shared" si="9"/>
        <v>0</v>
      </c>
      <c r="AE29" s="68"/>
      <c r="AF29" s="69"/>
      <c r="AG29" s="67">
        <f t="shared" si="10"/>
        <v>0</v>
      </c>
      <c r="AH29" s="68"/>
      <c r="AI29" s="69"/>
      <c r="AJ29" s="67">
        <f t="shared" si="11"/>
        <v>0</v>
      </c>
      <c r="AK29" s="68"/>
      <c r="AL29" s="69"/>
      <c r="AM29" s="67">
        <f t="shared" si="12"/>
        <v>0</v>
      </c>
      <c r="AN29" s="68"/>
      <c r="AO29" s="69"/>
      <c r="AP29" s="70">
        <f t="shared" si="13"/>
        <v>0</v>
      </c>
      <c r="AQ29" s="80">
        <v>0</v>
      </c>
    </row>
    <row r="30" spans="1:43" ht="18" customHeight="1" x14ac:dyDescent="0.2">
      <c r="A30" s="6"/>
      <c r="B30" s="10"/>
      <c r="C30" s="64"/>
      <c r="D30" s="70"/>
      <c r="E30" s="66"/>
      <c r="F30" s="67">
        <f t="shared" si="1"/>
        <v>0</v>
      </c>
      <c r="G30" s="68"/>
      <c r="H30" s="69"/>
      <c r="I30" s="67">
        <f t="shared" si="2"/>
        <v>0</v>
      </c>
      <c r="J30" s="68"/>
      <c r="K30" s="69"/>
      <c r="L30" s="67">
        <f t="shared" si="3"/>
        <v>0</v>
      </c>
      <c r="M30" s="68"/>
      <c r="N30" s="69"/>
      <c r="O30" s="67">
        <f t="shared" si="4"/>
        <v>0</v>
      </c>
      <c r="P30" s="68"/>
      <c r="Q30" s="69"/>
      <c r="R30" s="67">
        <f t="shared" si="5"/>
        <v>0</v>
      </c>
      <c r="S30" s="68"/>
      <c r="T30" s="69"/>
      <c r="U30" s="67">
        <f t="shared" si="6"/>
        <v>0</v>
      </c>
      <c r="V30" s="68"/>
      <c r="W30" s="69"/>
      <c r="X30" s="67">
        <f t="shared" si="7"/>
        <v>0</v>
      </c>
      <c r="Y30" s="68"/>
      <c r="Z30" s="69"/>
      <c r="AA30" s="67">
        <f t="shared" si="8"/>
        <v>0</v>
      </c>
      <c r="AB30" s="68"/>
      <c r="AC30" s="69"/>
      <c r="AD30" s="67">
        <f t="shared" si="9"/>
        <v>0</v>
      </c>
      <c r="AE30" s="68"/>
      <c r="AF30" s="69"/>
      <c r="AG30" s="67">
        <f t="shared" si="10"/>
        <v>0</v>
      </c>
      <c r="AH30" s="68"/>
      <c r="AI30" s="69"/>
      <c r="AJ30" s="67">
        <f t="shared" si="11"/>
        <v>0</v>
      </c>
      <c r="AK30" s="68"/>
      <c r="AL30" s="69"/>
      <c r="AM30" s="67">
        <f t="shared" si="12"/>
        <v>0</v>
      </c>
      <c r="AN30" s="68"/>
      <c r="AO30" s="69"/>
      <c r="AP30" s="70">
        <f t="shared" si="13"/>
        <v>0</v>
      </c>
      <c r="AQ30" s="80">
        <v>0</v>
      </c>
    </row>
    <row r="31" spans="1:43" ht="18" customHeight="1" thickBot="1" x14ac:dyDescent="0.25">
      <c r="A31" s="6"/>
      <c r="B31" s="11"/>
      <c r="C31" s="59"/>
      <c r="D31" s="71"/>
      <c r="E31" s="61"/>
      <c r="F31" s="61">
        <f t="shared" si="1"/>
        <v>0</v>
      </c>
      <c r="G31" s="72"/>
      <c r="H31" s="73"/>
      <c r="I31" s="61">
        <f t="shared" si="2"/>
        <v>0</v>
      </c>
      <c r="J31" s="72"/>
      <c r="K31" s="73"/>
      <c r="L31" s="61">
        <f t="shared" si="3"/>
        <v>0</v>
      </c>
      <c r="M31" s="72"/>
      <c r="N31" s="73"/>
      <c r="O31" s="61">
        <f t="shared" si="4"/>
        <v>0</v>
      </c>
      <c r="P31" s="72"/>
      <c r="Q31" s="73"/>
      <c r="R31" s="61">
        <f t="shared" si="5"/>
        <v>0</v>
      </c>
      <c r="S31" s="72"/>
      <c r="T31" s="73"/>
      <c r="U31" s="61">
        <f t="shared" si="6"/>
        <v>0</v>
      </c>
      <c r="V31" s="72"/>
      <c r="W31" s="73"/>
      <c r="X31" s="61">
        <f t="shared" si="7"/>
        <v>0</v>
      </c>
      <c r="Y31" s="72"/>
      <c r="Z31" s="73"/>
      <c r="AA31" s="61">
        <f t="shared" si="8"/>
        <v>0</v>
      </c>
      <c r="AB31" s="72"/>
      <c r="AC31" s="73"/>
      <c r="AD31" s="61">
        <f t="shared" si="9"/>
        <v>0</v>
      </c>
      <c r="AE31" s="72"/>
      <c r="AF31" s="73"/>
      <c r="AG31" s="61">
        <f t="shared" si="10"/>
        <v>0</v>
      </c>
      <c r="AH31" s="72"/>
      <c r="AI31" s="73"/>
      <c r="AJ31" s="61">
        <f t="shared" si="11"/>
        <v>0</v>
      </c>
      <c r="AK31" s="72"/>
      <c r="AL31" s="73"/>
      <c r="AM31" s="61">
        <f t="shared" si="12"/>
        <v>0</v>
      </c>
      <c r="AN31" s="72"/>
      <c r="AO31" s="73"/>
      <c r="AP31" s="71">
        <f t="shared" si="13"/>
        <v>0</v>
      </c>
      <c r="AQ31" s="81">
        <v>0</v>
      </c>
    </row>
    <row r="32" spans="1:43" ht="18" customHeight="1" thickTop="1" x14ac:dyDescent="0.2">
      <c r="B32" s="12" t="s">
        <v>32</v>
      </c>
      <c r="C32" s="74">
        <f t="shared" ref="C32" si="14">SUM(C12:C31)</f>
        <v>2758</v>
      </c>
      <c r="D32" s="75">
        <f t="shared" ref="D32:AP32" si="15">SUM(D12:D31)</f>
        <v>645</v>
      </c>
      <c r="E32" s="76">
        <f t="shared" si="15"/>
        <v>2580</v>
      </c>
      <c r="F32" s="76">
        <f t="shared" si="15"/>
        <v>635</v>
      </c>
      <c r="G32" s="77">
        <f t="shared" si="15"/>
        <v>437</v>
      </c>
      <c r="H32" s="78">
        <f t="shared" si="15"/>
        <v>198</v>
      </c>
      <c r="I32" s="76">
        <f t="shared" ref="I32:N32" si="16">SUM(I12:I31)</f>
        <v>476</v>
      </c>
      <c r="J32" s="77">
        <f t="shared" si="16"/>
        <v>306</v>
      </c>
      <c r="K32" s="78">
        <f t="shared" si="16"/>
        <v>170</v>
      </c>
      <c r="L32" s="76">
        <f t="shared" si="16"/>
        <v>0</v>
      </c>
      <c r="M32" s="77">
        <f t="shared" si="16"/>
        <v>0</v>
      </c>
      <c r="N32" s="78">
        <f t="shared" si="16"/>
        <v>0</v>
      </c>
      <c r="O32" s="76">
        <f t="shared" ref="O32:T32" si="17">SUM(O12:O31)</f>
        <v>0</v>
      </c>
      <c r="P32" s="77">
        <f t="shared" si="17"/>
        <v>0</v>
      </c>
      <c r="Q32" s="78">
        <f t="shared" si="17"/>
        <v>0</v>
      </c>
      <c r="R32" s="76">
        <f t="shared" si="17"/>
        <v>0</v>
      </c>
      <c r="S32" s="77">
        <f t="shared" si="17"/>
        <v>0</v>
      </c>
      <c r="T32" s="78">
        <f t="shared" si="17"/>
        <v>0</v>
      </c>
      <c r="U32" s="76">
        <f t="shared" ref="U32:AI32" si="18">SUM(U12:U31)</f>
        <v>0</v>
      </c>
      <c r="V32" s="77">
        <f t="shared" si="18"/>
        <v>0</v>
      </c>
      <c r="W32" s="78">
        <f t="shared" si="18"/>
        <v>0</v>
      </c>
      <c r="X32" s="76">
        <f t="shared" si="18"/>
        <v>0</v>
      </c>
      <c r="Y32" s="77">
        <f t="shared" si="18"/>
        <v>0</v>
      </c>
      <c r="Z32" s="78">
        <f t="shared" si="18"/>
        <v>0</v>
      </c>
      <c r="AA32" s="76">
        <f t="shared" si="18"/>
        <v>0</v>
      </c>
      <c r="AB32" s="77">
        <f t="shared" si="18"/>
        <v>0</v>
      </c>
      <c r="AC32" s="78">
        <f t="shared" si="18"/>
        <v>0</v>
      </c>
      <c r="AD32" s="76">
        <f t="shared" si="18"/>
        <v>0</v>
      </c>
      <c r="AE32" s="77">
        <f t="shared" si="18"/>
        <v>0</v>
      </c>
      <c r="AF32" s="78">
        <f t="shared" si="18"/>
        <v>0</v>
      </c>
      <c r="AG32" s="76">
        <f t="shared" si="18"/>
        <v>0</v>
      </c>
      <c r="AH32" s="77">
        <f t="shared" si="18"/>
        <v>0</v>
      </c>
      <c r="AI32" s="78">
        <f t="shared" si="18"/>
        <v>0</v>
      </c>
      <c r="AJ32" s="76">
        <f t="shared" ref="AJ32:AO32" si="19">SUM(AJ12:AJ31)</f>
        <v>0</v>
      </c>
      <c r="AK32" s="77">
        <f t="shared" si="19"/>
        <v>0</v>
      </c>
      <c r="AL32" s="78">
        <f t="shared" si="19"/>
        <v>0</v>
      </c>
      <c r="AM32" s="76">
        <f t="shared" si="19"/>
        <v>0</v>
      </c>
      <c r="AN32" s="77">
        <f t="shared" si="19"/>
        <v>0</v>
      </c>
      <c r="AO32" s="78">
        <f t="shared" si="19"/>
        <v>0</v>
      </c>
      <c r="AP32" s="75">
        <f t="shared" si="15"/>
        <v>635</v>
      </c>
      <c r="AQ32" s="7">
        <f t="shared" si="0"/>
        <v>0.24612403100775193</v>
      </c>
    </row>
  </sheetData>
  <mergeCells count="27">
    <mergeCell ref="AD9:AI9"/>
    <mergeCell ref="AD10:AF10"/>
    <mergeCell ref="AG10:AI10"/>
    <mergeCell ref="AJ9:AO9"/>
    <mergeCell ref="AJ10:AL10"/>
    <mergeCell ref="AM10:AO10"/>
    <mergeCell ref="AM2:AQ2"/>
    <mergeCell ref="R10:T10"/>
    <mergeCell ref="U10:W10"/>
    <mergeCell ref="X9:AC9"/>
    <mergeCell ref="X10:Z10"/>
    <mergeCell ref="AA10:AC10"/>
    <mergeCell ref="A3:AQ3"/>
    <mergeCell ref="C5:D5"/>
    <mergeCell ref="B9:B11"/>
    <mergeCell ref="D9:D11"/>
    <mergeCell ref="E9:E11"/>
    <mergeCell ref="F9:K9"/>
    <mergeCell ref="AP9:AP11"/>
    <mergeCell ref="AQ9:AQ11"/>
    <mergeCell ref="C9:C11"/>
    <mergeCell ref="F10:H10"/>
    <mergeCell ref="I10:K10"/>
    <mergeCell ref="L9:Q9"/>
    <mergeCell ref="L10:N10"/>
    <mergeCell ref="O10:Q10"/>
    <mergeCell ref="R9:W9"/>
  </mergeCells>
  <phoneticPr fontId="1"/>
  <conditionalFormatting sqref="C5:D5">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57" orientation="landscape" r:id="rId1"/>
  <headerFooter>
    <oddHeader>&amp;C数理・データサイエンス・AI教育プログラム認定制度【リテラシーレベル】</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134"/>
  <sheetViews>
    <sheetView showZeros="0" view="pageBreakPreview" zoomScaleNormal="100" zoomScaleSheetLayoutView="100" workbookViewId="0">
      <selection activeCell="J6" sqref="J6"/>
    </sheetView>
  </sheetViews>
  <sheetFormatPr defaultColWidth="11.36328125" defaultRowHeight="18.75" customHeight="1" x14ac:dyDescent="0.2"/>
  <cols>
    <col min="1" max="1" width="2.81640625" style="38" customWidth="1"/>
    <col min="2" max="2" width="16.6328125" style="1" customWidth="1"/>
    <col min="3" max="3" width="8.90625" style="1" customWidth="1"/>
    <col min="4" max="4" width="2.1796875" style="1" customWidth="1"/>
    <col min="5" max="5" width="16.6328125" style="1" customWidth="1"/>
    <col min="6" max="6" width="4.36328125" style="1" customWidth="1"/>
    <col min="7" max="7" width="9" style="1" customWidth="1"/>
    <col min="8" max="8" width="16.6328125" style="1" customWidth="1"/>
    <col min="9" max="9" width="12.08984375" style="1" customWidth="1"/>
    <col min="10" max="16384" width="11.36328125" style="1"/>
  </cols>
  <sheetData>
    <row r="1" spans="1:9" ht="18.75" customHeight="1" x14ac:dyDescent="0.2">
      <c r="A1" s="38" t="s">
        <v>64</v>
      </c>
      <c r="I1" s="32" t="s">
        <v>105</v>
      </c>
    </row>
    <row r="2" spans="1:9" ht="18.75" customHeight="1" x14ac:dyDescent="0.2">
      <c r="G2" s="32" t="s">
        <v>108</v>
      </c>
      <c r="H2" s="94" t="str">
        <f>'様式1-1　プログラムを構成する授業科目'!C2</f>
        <v>大阪体育大学</v>
      </c>
      <c r="I2" s="96"/>
    </row>
    <row r="3" spans="1:9" ht="18.75" customHeight="1" x14ac:dyDescent="0.2">
      <c r="G3" s="32"/>
      <c r="H3" s="8"/>
      <c r="I3" s="8"/>
    </row>
    <row r="4" spans="1:9" ht="18.649999999999999" customHeight="1" x14ac:dyDescent="0.2">
      <c r="A4" s="108" t="s">
        <v>35</v>
      </c>
      <c r="B4" s="108"/>
      <c r="C4" s="108"/>
      <c r="D4" s="108"/>
      <c r="E4" s="108"/>
      <c r="F4" s="108"/>
      <c r="G4" s="108"/>
      <c r="H4" s="108"/>
      <c r="I4" s="108"/>
    </row>
    <row r="5" spans="1:9" ht="13.25" customHeight="1" x14ac:dyDescent="0.2">
      <c r="B5" s="3"/>
      <c r="C5" s="3"/>
      <c r="D5" s="3"/>
      <c r="E5" s="3"/>
      <c r="F5" s="3"/>
      <c r="G5" s="3"/>
      <c r="H5" s="3"/>
      <c r="I5" s="3"/>
    </row>
    <row r="6" spans="1:9" ht="18" customHeight="1" x14ac:dyDescent="0.2">
      <c r="A6" s="1" t="s">
        <v>0</v>
      </c>
      <c r="B6" s="8" t="s">
        <v>90</v>
      </c>
      <c r="C6" s="236" t="s">
        <v>91</v>
      </c>
      <c r="D6" s="236"/>
      <c r="E6" s="31">
        <v>97</v>
      </c>
      <c r="F6" s="3" t="s">
        <v>1</v>
      </c>
      <c r="G6" s="3" t="s">
        <v>2</v>
      </c>
      <c r="H6" s="31">
        <v>100</v>
      </c>
      <c r="I6" s="8" t="s">
        <v>1</v>
      </c>
    </row>
    <row r="7" spans="1:9" ht="12" customHeight="1" x14ac:dyDescent="0.2">
      <c r="C7" s="2"/>
      <c r="D7" s="2"/>
      <c r="E7" s="2"/>
      <c r="F7" s="2"/>
      <c r="G7" s="2"/>
      <c r="H7" s="2"/>
      <c r="I7" s="39"/>
    </row>
    <row r="8" spans="1:9" ht="18" customHeight="1" x14ac:dyDescent="0.2">
      <c r="A8" s="1" t="s">
        <v>3</v>
      </c>
      <c r="B8" s="8" t="s">
        <v>92</v>
      </c>
      <c r="E8" s="3"/>
      <c r="F8" s="3"/>
      <c r="G8" s="3"/>
      <c r="H8" s="31">
        <v>8</v>
      </c>
      <c r="I8" s="8" t="s">
        <v>1</v>
      </c>
    </row>
    <row r="9" spans="1:9" ht="9" customHeight="1" x14ac:dyDescent="0.2">
      <c r="B9" s="3"/>
      <c r="C9" s="3"/>
      <c r="D9" s="3"/>
      <c r="E9" s="3"/>
      <c r="F9" s="3"/>
      <c r="G9" s="3"/>
      <c r="H9" s="3"/>
      <c r="I9" s="3"/>
    </row>
    <row r="10" spans="1:9" ht="18" customHeight="1" x14ac:dyDescent="0.2">
      <c r="A10" s="1" t="s">
        <v>4</v>
      </c>
      <c r="B10" s="8" t="s">
        <v>93</v>
      </c>
      <c r="C10" s="3"/>
      <c r="D10" s="3"/>
      <c r="E10" s="3"/>
      <c r="F10" s="3"/>
      <c r="G10" s="3"/>
      <c r="H10" s="3"/>
      <c r="I10" s="3"/>
    </row>
    <row r="11" spans="1:9" ht="18" customHeight="1" x14ac:dyDescent="0.2">
      <c r="B11" s="32" t="s">
        <v>42</v>
      </c>
      <c r="C11" s="231" t="s">
        <v>135</v>
      </c>
      <c r="D11" s="234"/>
      <c r="E11" s="235"/>
      <c r="F11" s="39"/>
      <c r="G11" s="32" t="s">
        <v>10</v>
      </c>
      <c r="H11" s="231" t="s">
        <v>134</v>
      </c>
      <c r="I11" s="235"/>
    </row>
    <row r="12" spans="1:9" ht="10.25" customHeight="1" x14ac:dyDescent="0.2">
      <c r="B12" s="32"/>
      <c r="C12" s="8"/>
      <c r="D12" s="39"/>
      <c r="E12" s="39"/>
      <c r="F12" s="39"/>
      <c r="G12" s="32"/>
      <c r="H12" s="8"/>
      <c r="I12" s="39"/>
    </row>
    <row r="13" spans="1:9" ht="18" customHeight="1" x14ac:dyDescent="0.2">
      <c r="A13" s="1" t="s">
        <v>7</v>
      </c>
      <c r="B13" s="8" t="s">
        <v>87</v>
      </c>
      <c r="C13" s="3"/>
      <c r="D13" s="3"/>
      <c r="E13" s="3"/>
      <c r="F13" s="3"/>
      <c r="G13" s="3"/>
      <c r="H13" s="3"/>
      <c r="I13" s="3"/>
    </row>
    <row r="14" spans="1:9" ht="18" customHeight="1" x14ac:dyDescent="0.2">
      <c r="B14" s="231" t="s">
        <v>141</v>
      </c>
      <c r="C14" s="232"/>
      <c r="D14" s="232"/>
      <c r="E14" s="232"/>
      <c r="F14" s="232"/>
      <c r="G14" s="232"/>
      <c r="H14" s="232"/>
      <c r="I14" s="233"/>
    </row>
    <row r="15" spans="1:9" ht="9" customHeight="1" x14ac:dyDescent="0.2">
      <c r="B15" s="3"/>
      <c r="C15" s="3"/>
      <c r="D15" s="3"/>
      <c r="E15" s="3"/>
      <c r="F15" s="3"/>
      <c r="G15" s="3"/>
      <c r="H15" s="3"/>
      <c r="I15" s="3"/>
    </row>
    <row r="16" spans="1:9" ht="18" customHeight="1" x14ac:dyDescent="0.2">
      <c r="B16" s="32" t="s">
        <v>42</v>
      </c>
      <c r="C16" s="231" t="s">
        <v>136</v>
      </c>
      <c r="D16" s="234"/>
      <c r="E16" s="235"/>
      <c r="F16" s="39"/>
      <c r="G16" s="32" t="s">
        <v>10</v>
      </c>
      <c r="H16" s="231" t="s">
        <v>137</v>
      </c>
      <c r="I16" s="235"/>
    </row>
    <row r="17" spans="1:9" ht="18" customHeight="1" x14ac:dyDescent="0.2">
      <c r="B17" s="3"/>
      <c r="C17" s="3"/>
      <c r="D17" s="3"/>
      <c r="E17" s="3"/>
      <c r="F17" s="3"/>
      <c r="G17" s="3"/>
      <c r="H17" s="3"/>
      <c r="I17" s="3"/>
    </row>
    <row r="18" spans="1:9" ht="18.75" customHeight="1" x14ac:dyDescent="0.2">
      <c r="A18" s="1" t="s">
        <v>5</v>
      </c>
      <c r="B18" s="1" t="s">
        <v>41</v>
      </c>
      <c r="I18" s="3"/>
    </row>
    <row r="19" spans="1:9" ht="18.75" customHeight="1" x14ac:dyDescent="0.2">
      <c r="A19" s="1"/>
      <c r="B19" s="223" t="s">
        <v>142</v>
      </c>
      <c r="C19" s="224"/>
      <c r="D19" s="224"/>
      <c r="E19" s="224"/>
      <c r="F19" s="224"/>
      <c r="G19" s="224"/>
      <c r="H19" s="224"/>
      <c r="I19" s="225"/>
    </row>
    <row r="20" spans="1:9" ht="7.5" customHeight="1" x14ac:dyDescent="0.2">
      <c r="B20" s="3"/>
      <c r="C20" s="3"/>
      <c r="D20" s="3"/>
      <c r="E20" s="3"/>
      <c r="F20" s="3"/>
      <c r="G20" s="3"/>
      <c r="H20" s="3"/>
      <c r="I20" s="3"/>
    </row>
    <row r="21" spans="1:9" ht="18.75" customHeight="1" x14ac:dyDescent="0.2">
      <c r="A21" s="1" t="s">
        <v>8</v>
      </c>
      <c r="B21" s="1" t="s">
        <v>24</v>
      </c>
    </row>
    <row r="22" spans="1:9" ht="18.75" customHeight="1" x14ac:dyDescent="0.2">
      <c r="A22" s="13"/>
      <c r="B22" s="213" t="s">
        <v>168</v>
      </c>
      <c r="C22" s="214"/>
      <c r="D22" s="214"/>
      <c r="E22" s="214"/>
      <c r="F22" s="214"/>
      <c r="G22" s="214"/>
      <c r="H22" s="214"/>
      <c r="I22" s="215"/>
    </row>
    <row r="23" spans="1:9" ht="18.75" customHeight="1" x14ac:dyDescent="0.2">
      <c r="A23" s="13"/>
      <c r="B23" s="226"/>
      <c r="C23" s="227"/>
      <c r="D23" s="227"/>
      <c r="E23" s="227"/>
      <c r="F23" s="227"/>
      <c r="G23" s="227"/>
      <c r="H23" s="227"/>
      <c r="I23" s="218"/>
    </row>
    <row r="24" spans="1:9" ht="18.75" customHeight="1" x14ac:dyDescent="0.2">
      <c r="A24" s="13"/>
      <c r="B24" s="226"/>
      <c r="C24" s="227"/>
      <c r="D24" s="227"/>
      <c r="E24" s="227"/>
      <c r="F24" s="227"/>
      <c r="G24" s="227"/>
      <c r="H24" s="227"/>
      <c r="I24" s="218"/>
    </row>
    <row r="25" spans="1:9" ht="18.75" customHeight="1" x14ac:dyDescent="0.2">
      <c r="A25" s="13"/>
      <c r="B25" s="226"/>
      <c r="C25" s="227"/>
      <c r="D25" s="227"/>
      <c r="E25" s="227"/>
      <c r="F25" s="227"/>
      <c r="G25" s="227"/>
      <c r="H25" s="227"/>
      <c r="I25" s="218"/>
    </row>
    <row r="26" spans="1:9" ht="18.75" customHeight="1" x14ac:dyDescent="0.2">
      <c r="A26" s="13"/>
      <c r="B26" s="226"/>
      <c r="C26" s="227"/>
      <c r="D26" s="227"/>
      <c r="E26" s="227"/>
      <c r="F26" s="227"/>
      <c r="G26" s="227"/>
      <c r="H26" s="227"/>
      <c r="I26" s="218"/>
    </row>
    <row r="27" spans="1:9" ht="18.75" customHeight="1" x14ac:dyDescent="0.2">
      <c r="A27" s="13"/>
      <c r="B27" s="226"/>
      <c r="C27" s="227"/>
      <c r="D27" s="227"/>
      <c r="E27" s="227"/>
      <c r="F27" s="227"/>
      <c r="G27" s="227"/>
      <c r="H27" s="227"/>
      <c r="I27" s="218"/>
    </row>
    <row r="28" spans="1:9" ht="18.75" customHeight="1" x14ac:dyDescent="0.2">
      <c r="A28" s="13"/>
      <c r="B28" s="226"/>
      <c r="C28" s="227"/>
      <c r="D28" s="227"/>
      <c r="E28" s="227"/>
      <c r="F28" s="227"/>
      <c r="G28" s="227"/>
      <c r="H28" s="227"/>
      <c r="I28" s="218"/>
    </row>
    <row r="29" spans="1:9" ht="18.75" customHeight="1" x14ac:dyDescent="0.2">
      <c r="A29" s="13"/>
      <c r="B29" s="226"/>
      <c r="C29" s="227"/>
      <c r="D29" s="227"/>
      <c r="E29" s="227"/>
      <c r="F29" s="227"/>
      <c r="G29" s="227"/>
      <c r="H29" s="227"/>
      <c r="I29" s="218"/>
    </row>
    <row r="30" spans="1:9" ht="18.75" customHeight="1" x14ac:dyDescent="0.2">
      <c r="A30" s="13"/>
      <c r="B30" s="216"/>
      <c r="C30" s="217"/>
      <c r="D30" s="217"/>
      <c r="E30" s="217"/>
      <c r="F30" s="217"/>
      <c r="G30" s="217"/>
      <c r="H30" s="217"/>
      <c r="I30" s="218"/>
    </row>
    <row r="31" spans="1:9" ht="18.75" customHeight="1" x14ac:dyDescent="0.2">
      <c r="A31" s="13"/>
      <c r="B31" s="216"/>
      <c r="C31" s="217"/>
      <c r="D31" s="217"/>
      <c r="E31" s="217"/>
      <c r="F31" s="217"/>
      <c r="G31" s="217"/>
      <c r="H31" s="217"/>
      <c r="I31" s="218"/>
    </row>
    <row r="32" spans="1:9" ht="18.75" customHeight="1" x14ac:dyDescent="0.2">
      <c r="A32" s="13"/>
      <c r="B32" s="219"/>
      <c r="C32" s="220"/>
      <c r="D32" s="220"/>
      <c r="E32" s="220"/>
      <c r="F32" s="220"/>
      <c r="G32" s="220"/>
      <c r="H32" s="220"/>
      <c r="I32" s="221"/>
    </row>
    <row r="33" spans="1:9" ht="7.5" customHeight="1" x14ac:dyDescent="0.2">
      <c r="A33" s="13"/>
      <c r="B33" s="13"/>
      <c r="C33" s="13"/>
      <c r="D33" s="13"/>
      <c r="E33" s="13"/>
      <c r="F33" s="13"/>
      <c r="G33" s="13"/>
      <c r="H33" s="13"/>
      <c r="I33" s="13"/>
    </row>
    <row r="34" spans="1:9" ht="18.75" customHeight="1" x14ac:dyDescent="0.2">
      <c r="A34" s="14" t="s">
        <v>6</v>
      </c>
      <c r="B34" s="14" t="s">
        <v>9</v>
      </c>
      <c r="C34" s="8"/>
      <c r="D34" s="14"/>
      <c r="E34" s="14"/>
      <c r="F34" s="14"/>
      <c r="G34" s="14"/>
      <c r="H34" s="14"/>
      <c r="I34" s="14"/>
    </row>
    <row r="35" spans="1:9" ht="18.75" customHeight="1" x14ac:dyDescent="0.2">
      <c r="A35" s="13"/>
      <c r="B35" s="213" t="s">
        <v>143</v>
      </c>
      <c r="C35" s="214"/>
      <c r="D35" s="214"/>
      <c r="E35" s="214"/>
      <c r="F35" s="214"/>
      <c r="G35" s="214"/>
      <c r="H35" s="214"/>
      <c r="I35" s="215"/>
    </row>
    <row r="36" spans="1:9" ht="18.75" customHeight="1" x14ac:dyDescent="0.2">
      <c r="A36" s="13"/>
      <c r="B36" s="216"/>
      <c r="C36" s="217"/>
      <c r="D36" s="217"/>
      <c r="E36" s="217"/>
      <c r="F36" s="217"/>
      <c r="G36" s="217"/>
      <c r="H36" s="217"/>
      <c r="I36" s="218"/>
    </row>
    <row r="37" spans="1:9" ht="18.75" customHeight="1" x14ac:dyDescent="0.2">
      <c r="A37" s="13"/>
      <c r="B37" s="216"/>
      <c r="C37" s="217"/>
      <c r="D37" s="217"/>
      <c r="E37" s="217"/>
      <c r="F37" s="217"/>
      <c r="G37" s="217"/>
      <c r="H37" s="217"/>
      <c r="I37" s="218"/>
    </row>
    <row r="38" spans="1:9" ht="18.75" customHeight="1" x14ac:dyDescent="0.2">
      <c r="A38" s="13"/>
      <c r="B38" s="216"/>
      <c r="C38" s="217"/>
      <c r="D38" s="217"/>
      <c r="E38" s="217"/>
      <c r="F38" s="217"/>
      <c r="G38" s="217"/>
      <c r="H38" s="217"/>
      <c r="I38" s="218"/>
    </row>
    <row r="39" spans="1:9" ht="18.75" customHeight="1" x14ac:dyDescent="0.2">
      <c r="A39" s="13"/>
      <c r="B39" s="216"/>
      <c r="C39" s="217"/>
      <c r="D39" s="217"/>
      <c r="E39" s="217"/>
      <c r="F39" s="217"/>
      <c r="G39" s="217"/>
      <c r="H39" s="217"/>
      <c r="I39" s="218"/>
    </row>
    <row r="40" spans="1:9" ht="18.75" customHeight="1" x14ac:dyDescent="0.2">
      <c r="A40" s="13"/>
      <c r="B40" s="216"/>
      <c r="C40" s="217"/>
      <c r="D40" s="217"/>
      <c r="E40" s="217"/>
      <c r="F40" s="217"/>
      <c r="G40" s="217"/>
      <c r="H40" s="217"/>
      <c r="I40" s="218"/>
    </row>
    <row r="41" spans="1:9" ht="18.75" customHeight="1" x14ac:dyDescent="0.2">
      <c r="A41" s="13"/>
      <c r="B41" s="216"/>
      <c r="C41" s="217"/>
      <c r="D41" s="217"/>
      <c r="E41" s="217"/>
      <c r="F41" s="217"/>
      <c r="G41" s="217"/>
      <c r="H41" s="217"/>
      <c r="I41" s="218"/>
    </row>
    <row r="42" spans="1:9" ht="18.75" customHeight="1" x14ac:dyDescent="0.2">
      <c r="A42" s="13"/>
      <c r="B42" s="216"/>
      <c r="C42" s="217"/>
      <c r="D42" s="217"/>
      <c r="E42" s="217"/>
      <c r="F42" s="217"/>
      <c r="G42" s="217"/>
      <c r="H42" s="217"/>
      <c r="I42" s="218"/>
    </row>
    <row r="43" spans="1:9" ht="18.75" customHeight="1" x14ac:dyDescent="0.2">
      <c r="A43" s="13"/>
      <c r="B43" s="216"/>
      <c r="C43" s="217"/>
      <c r="D43" s="217"/>
      <c r="E43" s="217"/>
      <c r="F43" s="217"/>
      <c r="G43" s="217"/>
      <c r="H43" s="217"/>
      <c r="I43" s="218"/>
    </row>
    <row r="44" spans="1:9" ht="18.75" customHeight="1" x14ac:dyDescent="0.2">
      <c r="A44" s="13"/>
      <c r="B44" s="216"/>
      <c r="C44" s="217"/>
      <c r="D44" s="217"/>
      <c r="E44" s="217"/>
      <c r="F44" s="217"/>
      <c r="G44" s="217"/>
      <c r="H44" s="217"/>
      <c r="I44" s="218"/>
    </row>
    <row r="45" spans="1:9" ht="18.75" customHeight="1" x14ac:dyDescent="0.2">
      <c r="A45" s="13"/>
      <c r="B45" s="216"/>
      <c r="C45" s="217"/>
      <c r="D45" s="217"/>
      <c r="E45" s="217"/>
      <c r="F45" s="217"/>
      <c r="G45" s="217"/>
      <c r="H45" s="217"/>
      <c r="I45" s="218"/>
    </row>
    <row r="46" spans="1:9" ht="18.75" customHeight="1" x14ac:dyDescent="0.2">
      <c r="A46" s="13"/>
      <c r="B46" s="219"/>
      <c r="C46" s="220"/>
      <c r="D46" s="220"/>
      <c r="E46" s="220"/>
      <c r="F46" s="220"/>
      <c r="G46" s="220"/>
      <c r="H46" s="220"/>
      <c r="I46" s="221"/>
    </row>
    <row r="47" spans="1:9" ht="7.5" customHeight="1" x14ac:dyDescent="0.2">
      <c r="A47" s="4"/>
      <c r="B47" s="4"/>
      <c r="C47" s="4"/>
      <c r="D47" s="4"/>
      <c r="E47" s="4"/>
      <c r="F47" s="4"/>
      <c r="G47" s="4"/>
      <c r="H47" s="4"/>
      <c r="I47" s="4"/>
    </row>
    <row r="48" spans="1:9" ht="18.75" customHeight="1" x14ac:dyDescent="0.2">
      <c r="A48" s="1" t="s">
        <v>30</v>
      </c>
      <c r="B48" s="1" t="s">
        <v>122</v>
      </c>
    </row>
    <row r="49" spans="1:15" s="3" customFormat="1" ht="18.75" customHeight="1" x14ac:dyDescent="0.2">
      <c r="B49" s="40" t="s">
        <v>88</v>
      </c>
      <c r="C49" s="202">
        <v>0.25</v>
      </c>
      <c r="D49" s="202"/>
      <c r="E49" s="40" t="s">
        <v>65</v>
      </c>
      <c r="F49" s="202">
        <v>0.5</v>
      </c>
      <c r="G49" s="202"/>
      <c r="H49" s="40" t="s">
        <v>66</v>
      </c>
      <c r="I49" s="41">
        <v>0.75</v>
      </c>
      <c r="J49" s="1"/>
      <c r="M49" s="1"/>
      <c r="N49" s="42"/>
    </row>
    <row r="50" spans="1:15" s="3" customFormat="1" ht="18.75" customHeight="1" x14ac:dyDescent="0.2">
      <c r="B50" s="43" t="s">
        <v>67</v>
      </c>
      <c r="C50" s="203">
        <v>1</v>
      </c>
      <c r="D50" s="203"/>
      <c r="E50" s="43" t="s">
        <v>89</v>
      </c>
      <c r="F50" s="203">
        <v>1</v>
      </c>
      <c r="G50" s="203"/>
      <c r="H50" s="43" t="s">
        <v>68</v>
      </c>
      <c r="I50" s="44">
        <f>'様式２ 履修者等数の実績'!E32</f>
        <v>2580</v>
      </c>
      <c r="J50" s="1"/>
      <c r="M50" s="1"/>
      <c r="N50" s="42"/>
    </row>
    <row r="51" spans="1:15" ht="18.75" customHeight="1" x14ac:dyDescent="0.2">
      <c r="A51" s="1"/>
      <c r="B51" s="228" t="s">
        <v>69</v>
      </c>
      <c r="C51" s="229"/>
      <c r="D51" s="229"/>
      <c r="E51" s="229"/>
      <c r="F51" s="229"/>
      <c r="G51" s="229"/>
      <c r="H51" s="229"/>
      <c r="I51" s="230"/>
      <c r="N51" s="42"/>
      <c r="O51" s="3"/>
    </row>
    <row r="52" spans="1:15" ht="18.75" customHeight="1" x14ac:dyDescent="0.2">
      <c r="A52" s="1"/>
      <c r="B52" s="204" t="s">
        <v>161</v>
      </c>
      <c r="C52" s="205"/>
      <c r="D52" s="205"/>
      <c r="E52" s="205"/>
      <c r="F52" s="205"/>
      <c r="G52" s="205"/>
      <c r="H52" s="205"/>
      <c r="I52" s="206"/>
      <c r="N52" s="42"/>
      <c r="O52" s="3"/>
    </row>
    <row r="53" spans="1:15" ht="18.75" customHeight="1" x14ac:dyDescent="0.2">
      <c r="A53" s="1"/>
      <c r="B53" s="207"/>
      <c r="C53" s="208"/>
      <c r="D53" s="208"/>
      <c r="E53" s="208"/>
      <c r="F53" s="208"/>
      <c r="G53" s="208"/>
      <c r="H53" s="208"/>
      <c r="I53" s="209"/>
      <c r="N53" s="42"/>
      <c r="O53" s="3"/>
    </row>
    <row r="54" spans="1:15" ht="18.75" customHeight="1" x14ac:dyDescent="0.2">
      <c r="A54" s="1"/>
      <c r="B54" s="207"/>
      <c r="C54" s="208"/>
      <c r="D54" s="208"/>
      <c r="E54" s="208"/>
      <c r="F54" s="208"/>
      <c r="G54" s="208"/>
      <c r="H54" s="208"/>
      <c r="I54" s="209"/>
    </row>
    <row r="55" spans="1:15" ht="18.75" customHeight="1" x14ac:dyDescent="0.2">
      <c r="A55" s="1"/>
      <c r="B55" s="207"/>
      <c r="C55" s="208"/>
      <c r="D55" s="208"/>
      <c r="E55" s="208"/>
      <c r="F55" s="208"/>
      <c r="G55" s="208"/>
      <c r="H55" s="208"/>
      <c r="I55" s="209"/>
    </row>
    <row r="56" spans="1:15" ht="18.75" customHeight="1" x14ac:dyDescent="0.2">
      <c r="A56" s="1"/>
      <c r="B56" s="207"/>
      <c r="C56" s="208"/>
      <c r="D56" s="208"/>
      <c r="E56" s="208"/>
      <c r="F56" s="208"/>
      <c r="G56" s="208"/>
      <c r="H56" s="208"/>
      <c r="I56" s="209"/>
    </row>
    <row r="57" spans="1:15" ht="18.75" customHeight="1" x14ac:dyDescent="0.2">
      <c r="A57" s="1"/>
      <c r="B57" s="207"/>
      <c r="C57" s="208"/>
      <c r="D57" s="208"/>
      <c r="E57" s="208"/>
      <c r="F57" s="208"/>
      <c r="G57" s="208"/>
      <c r="H57" s="208"/>
      <c r="I57" s="209"/>
    </row>
    <row r="58" spans="1:15" ht="18.75" customHeight="1" x14ac:dyDescent="0.2">
      <c r="A58" s="1"/>
      <c r="B58" s="207"/>
      <c r="C58" s="208"/>
      <c r="D58" s="208"/>
      <c r="E58" s="208"/>
      <c r="F58" s="208"/>
      <c r="G58" s="208"/>
      <c r="H58" s="208"/>
      <c r="I58" s="209"/>
    </row>
    <row r="59" spans="1:15" ht="18.75" customHeight="1" x14ac:dyDescent="0.2">
      <c r="A59" s="1"/>
      <c r="B59" s="207"/>
      <c r="C59" s="208"/>
      <c r="D59" s="208"/>
      <c r="E59" s="208"/>
      <c r="F59" s="208"/>
      <c r="G59" s="208"/>
      <c r="H59" s="208"/>
      <c r="I59" s="209"/>
    </row>
    <row r="60" spans="1:15" ht="18.75" customHeight="1" x14ac:dyDescent="0.2">
      <c r="A60" s="1"/>
      <c r="B60" s="207"/>
      <c r="C60" s="208"/>
      <c r="D60" s="208"/>
      <c r="E60" s="208"/>
      <c r="F60" s="208"/>
      <c r="G60" s="208"/>
      <c r="H60" s="208"/>
      <c r="I60" s="209"/>
    </row>
    <row r="61" spans="1:15" ht="18.75" customHeight="1" x14ac:dyDescent="0.2">
      <c r="A61" s="1"/>
      <c r="B61" s="207"/>
      <c r="C61" s="208"/>
      <c r="D61" s="208"/>
      <c r="E61" s="208"/>
      <c r="F61" s="208"/>
      <c r="G61" s="208"/>
      <c r="H61" s="208"/>
      <c r="I61" s="209"/>
    </row>
    <row r="62" spans="1:15" ht="18.75" customHeight="1" x14ac:dyDescent="0.2">
      <c r="A62" s="1"/>
      <c r="B62" s="207"/>
      <c r="C62" s="208"/>
      <c r="D62" s="208"/>
      <c r="E62" s="208"/>
      <c r="F62" s="208"/>
      <c r="G62" s="208"/>
      <c r="H62" s="208"/>
      <c r="I62" s="209"/>
    </row>
    <row r="63" spans="1:15" ht="18.75" customHeight="1" x14ac:dyDescent="0.2">
      <c r="A63" s="1"/>
      <c r="B63" s="210"/>
      <c r="C63" s="211"/>
      <c r="D63" s="211"/>
      <c r="E63" s="211"/>
      <c r="F63" s="211"/>
      <c r="G63" s="211"/>
      <c r="H63" s="211"/>
      <c r="I63" s="212"/>
    </row>
    <row r="64" spans="1:15" ht="7.5" customHeight="1" x14ac:dyDescent="0.2">
      <c r="A64" s="13"/>
      <c r="B64" s="13"/>
      <c r="C64" s="13"/>
      <c r="D64" s="13"/>
      <c r="E64" s="13"/>
      <c r="F64" s="13"/>
      <c r="G64" s="13"/>
      <c r="H64" s="13"/>
      <c r="I64" s="13"/>
    </row>
    <row r="65" spans="1:9" ht="18.75" customHeight="1" x14ac:dyDescent="0.2">
      <c r="A65" s="14" t="s">
        <v>33</v>
      </c>
      <c r="B65" s="1" t="s">
        <v>36</v>
      </c>
      <c r="I65" s="14"/>
    </row>
    <row r="66" spans="1:9" ht="18.75" customHeight="1" x14ac:dyDescent="0.2">
      <c r="A66" s="4"/>
      <c r="B66" s="186" t="s">
        <v>164</v>
      </c>
      <c r="C66" s="187"/>
      <c r="D66" s="187"/>
      <c r="E66" s="187"/>
      <c r="F66" s="187"/>
      <c r="G66" s="187"/>
      <c r="H66" s="187"/>
      <c r="I66" s="188"/>
    </row>
    <row r="67" spans="1:9" ht="18.75" customHeight="1" x14ac:dyDescent="0.2">
      <c r="A67" s="4"/>
      <c r="B67" s="189"/>
      <c r="C67" s="190"/>
      <c r="D67" s="190"/>
      <c r="E67" s="190"/>
      <c r="F67" s="190"/>
      <c r="G67" s="190"/>
      <c r="H67" s="190"/>
      <c r="I67" s="191"/>
    </row>
    <row r="68" spans="1:9" ht="18.75" customHeight="1" x14ac:dyDescent="0.2">
      <c r="A68" s="4"/>
      <c r="B68" s="189"/>
      <c r="C68" s="190"/>
      <c r="D68" s="190"/>
      <c r="E68" s="190"/>
      <c r="F68" s="190"/>
      <c r="G68" s="190"/>
      <c r="H68" s="190"/>
      <c r="I68" s="191"/>
    </row>
    <row r="69" spans="1:9" ht="18.75" customHeight="1" x14ac:dyDescent="0.2">
      <c r="A69" s="4"/>
      <c r="B69" s="189"/>
      <c r="C69" s="190"/>
      <c r="D69" s="190"/>
      <c r="E69" s="190"/>
      <c r="F69" s="190"/>
      <c r="G69" s="190"/>
      <c r="H69" s="190"/>
      <c r="I69" s="191"/>
    </row>
    <row r="70" spans="1:9" ht="18.75" customHeight="1" x14ac:dyDescent="0.2">
      <c r="A70" s="4"/>
      <c r="B70" s="189"/>
      <c r="C70" s="190"/>
      <c r="D70" s="190"/>
      <c r="E70" s="190"/>
      <c r="F70" s="190"/>
      <c r="G70" s="190"/>
      <c r="H70" s="190"/>
      <c r="I70" s="191"/>
    </row>
    <row r="71" spans="1:9" ht="18.75" customHeight="1" x14ac:dyDescent="0.2">
      <c r="A71" s="4"/>
      <c r="B71" s="189"/>
      <c r="C71" s="190"/>
      <c r="D71" s="190"/>
      <c r="E71" s="190"/>
      <c r="F71" s="190"/>
      <c r="G71" s="190"/>
      <c r="H71" s="190"/>
      <c r="I71" s="191"/>
    </row>
    <row r="72" spans="1:9" ht="18.75" customHeight="1" x14ac:dyDescent="0.2">
      <c r="A72" s="4"/>
      <c r="B72" s="189"/>
      <c r="C72" s="190"/>
      <c r="D72" s="190"/>
      <c r="E72" s="190"/>
      <c r="F72" s="190"/>
      <c r="G72" s="190"/>
      <c r="H72" s="190"/>
      <c r="I72" s="191"/>
    </row>
    <row r="73" spans="1:9" ht="18.75" customHeight="1" x14ac:dyDescent="0.2">
      <c r="A73" s="4"/>
      <c r="B73" s="189"/>
      <c r="C73" s="190"/>
      <c r="D73" s="190"/>
      <c r="E73" s="190"/>
      <c r="F73" s="190"/>
      <c r="G73" s="190"/>
      <c r="H73" s="190"/>
      <c r="I73" s="191"/>
    </row>
    <row r="74" spans="1:9" ht="18.75" customHeight="1" x14ac:dyDescent="0.2">
      <c r="A74" s="4"/>
      <c r="B74" s="189"/>
      <c r="C74" s="190"/>
      <c r="D74" s="190"/>
      <c r="E74" s="190"/>
      <c r="F74" s="190"/>
      <c r="G74" s="190"/>
      <c r="H74" s="190"/>
      <c r="I74" s="191"/>
    </row>
    <row r="75" spans="1:9" ht="18.75" customHeight="1" x14ac:dyDescent="0.2">
      <c r="A75" s="4"/>
      <c r="B75" s="189"/>
      <c r="C75" s="190"/>
      <c r="D75" s="190"/>
      <c r="E75" s="190"/>
      <c r="F75" s="190"/>
      <c r="G75" s="190"/>
      <c r="H75" s="190"/>
      <c r="I75" s="191"/>
    </row>
    <row r="76" spans="1:9" ht="18.75" customHeight="1" x14ac:dyDescent="0.2">
      <c r="A76" s="4"/>
      <c r="B76" s="189"/>
      <c r="C76" s="190"/>
      <c r="D76" s="190"/>
      <c r="E76" s="190"/>
      <c r="F76" s="190"/>
      <c r="G76" s="190"/>
      <c r="H76" s="190"/>
      <c r="I76" s="191"/>
    </row>
    <row r="77" spans="1:9" ht="18.75" customHeight="1" x14ac:dyDescent="0.2">
      <c r="A77" s="4"/>
      <c r="B77" s="192"/>
      <c r="C77" s="193"/>
      <c r="D77" s="193"/>
      <c r="E77" s="193"/>
      <c r="F77" s="193"/>
      <c r="G77" s="193"/>
      <c r="H77" s="193"/>
      <c r="I77" s="194"/>
    </row>
    <row r="78" spans="1:9" ht="7.5" customHeight="1" x14ac:dyDescent="0.2">
      <c r="A78" s="4"/>
      <c r="B78" s="4"/>
      <c r="C78" s="4"/>
      <c r="D78" s="4"/>
      <c r="E78" s="4"/>
      <c r="F78" s="4"/>
      <c r="G78" s="4"/>
      <c r="H78" s="4"/>
      <c r="I78" s="4"/>
    </row>
    <row r="79" spans="1:9" ht="18.75" customHeight="1" x14ac:dyDescent="0.2">
      <c r="A79" s="1" t="s">
        <v>11</v>
      </c>
      <c r="B79" s="1" t="s">
        <v>40</v>
      </c>
    </row>
    <row r="80" spans="1:9" ht="18.75" customHeight="1" x14ac:dyDescent="0.2">
      <c r="A80" s="1"/>
      <c r="B80" s="186" t="s">
        <v>162</v>
      </c>
      <c r="C80" s="187"/>
      <c r="D80" s="187"/>
      <c r="E80" s="187"/>
      <c r="F80" s="187"/>
      <c r="G80" s="187"/>
      <c r="H80" s="187"/>
      <c r="I80" s="195"/>
    </row>
    <row r="81" spans="1:9" ht="18.75" customHeight="1" x14ac:dyDescent="0.2">
      <c r="A81" s="1"/>
      <c r="B81" s="196"/>
      <c r="C81" s="197"/>
      <c r="D81" s="197"/>
      <c r="E81" s="197"/>
      <c r="F81" s="197"/>
      <c r="G81" s="197"/>
      <c r="H81" s="197"/>
      <c r="I81" s="198"/>
    </row>
    <row r="82" spans="1:9" ht="18.75" customHeight="1" x14ac:dyDescent="0.2">
      <c r="A82" s="1"/>
      <c r="B82" s="196"/>
      <c r="C82" s="197"/>
      <c r="D82" s="197"/>
      <c r="E82" s="197"/>
      <c r="F82" s="197"/>
      <c r="G82" s="197"/>
      <c r="H82" s="197"/>
      <c r="I82" s="198"/>
    </row>
    <row r="83" spans="1:9" ht="18.75" customHeight="1" x14ac:dyDescent="0.2">
      <c r="A83" s="1"/>
      <c r="B83" s="196"/>
      <c r="C83" s="197"/>
      <c r="D83" s="197"/>
      <c r="E83" s="197"/>
      <c r="F83" s="197"/>
      <c r="G83" s="197"/>
      <c r="H83" s="197"/>
      <c r="I83" s="198"/>
    </row>
    <row r="84" spans="1:9" ht="18.75" customHeight="1" x14ac:dyDescent="0.2">
      <c r="A84" s="1"/>
      <c r="B84" s="196"/>
      <c r="C84" s="197"/>
      <c r="D84" s="197"/>
      <c r="E84" s="197"/>
      <c r="F84" s="197"/>
      <c r="G84" s="197"/>
      <c r="H84" s="197"/>
      <c r="I84" s="198"/>
    </row>
    <row r="85" spans="1:9" ht="18.75" customHeight="1" x14ac:dyDescent="0.2">
      <c r="A85" s="1"/>
      <c r="B85" s="196"/>
      <c r="C85" s="197"/>
      <c r="D85" s="197"/>
      <c r="E85" s="197"/>
      <c r="F85" s="197"/>
      <c r="G85" s="197"/>
      <c r="H85" s="197"/>
      <c r="I85" s="198"/>
    </row>
    <row r="86" spans="1:9" ht="18.75" customHeight="1" x14ac:dyDescent="0.2">
      <c r="A86" s="1"/>
      <c r="B86" s="196"/>
      <c r="C86" s="197"/>
      <c r="D86" s="197"/>
      <c r="E86" s="197"/>
      <c r="F86" s="197"/>
      <c r="G86" s="197"/>
      <c r="H86" s="197"/>
      <c r="I86" s="198"/>
    </row>
    <row r="87" spans="1:9" ht="18.75" customHeight="1" x14ac:dyDescent="0.2">
      <c r="A87" s="1"/>
      <c r="B87" s="196"/>
      <c r="C87" s="197"/>
      <c r="D87" s="197"/>
      <c r="E87" s="197"/>
      <c r="F87" s="197"/>
      <c r="G87" s="197"/>
      <c r="H87" s="197"/>
      <c r="I87" s="198"/>
    </row>
    <row r="88" spans="1:9" ht="18.75" customHeight="1" x14ac:dyDescent="0.2">
      <c r="A88" s="1"/>
      <c r="B88" s="196"/>
      <c r="C88" s="197"/>
      <c r="D88" s="197"/>
      <c r="E88" s="197"/>
      <c r="F88" s="197"/>
      <c r="G88" s="197"/>
      <c r="H88" s="197"/>
      <c r="I88" s="198"/>
    </row>
    <row r="89" spans="1:9" ht="18.75" customHeight="1" x14ac:dyDescent="0.2">
      <c r="A89" s="1"/>
      <c r="B89" s="196"/>
      <c r="C89" s="197"/>
      <c r="D89" s="197"/>
      <c r="E89" s="197"/>
      <c r="F89" s="197"/>
      <c r="G89" s="197"/>
      <c r="H89" s="197"/>
      <c r="I89" s="198"/>
    </row>
    <row r="90" spans="1:9" ht="18.75" customHeight="1" x14ac:dyDescent="0.2">
      <c r="A90" s="4"/>
      <c r="B90" s="196"/>
      <c r="C90" s="197"/>
      <c r="D90" s="197"/>
      <c r="E90" s="197"/>
      <c r="F90" s="197"/>
      <c r="G90" s="197"/>
      <c r="H90" s="197"/>
      <c r="I90" s="198"/>
    </row>
    <row r="91" spans="1:9" ht="18.75" customHeight="1" x14ac:dyDescent="0.2">
      <c r="A91" s="4"/>
      <c r="B91" s="199"/>
      <c r="C91" s="200"/>
      <c r="D91" s="200"/>
      <c r="E91" s="200"/>
      <c r="F91" s="200"/>
      <c r="G91" s="200"/>
      <c r="H91" s="200"/>
      <c r="I91" s="201"/>
    </row>
    <row r="92" spans="1:9" ht="7.5" customHeight="1" x14ac:dyDescent="0.2">
      <c r="A92" s="4"/>
      <c r="B92" s="4"/>
      <c r="C92" s="4"/>
      <c r="D92" s="4"/>
      <c r="E92" s="4"/>
      <c r="F92" s="4"/>
      <c r="G92" s="4"/>
      <c r="H92" s="4"/>
      <c r="I92" s="4"/>
    </row>
    <row r="93" spans="1:9" ht="18.75" customHeight="1" x14ac:dyDescent="0.2">
      <c r="A93" s="1" t="s">
        <v>43</v>
      </c>
      <c r="B93" s="1" t="s">
        <v>12</v>
      </c>
    </row>
    <row r="94" spans="1:9" ht="18.75" customHeight="1" x14ac:dyDescent="0.2">
      <c r="A94" s="1"/>
      <c r="B94" s="213" t="s">
        <v>165</v>
      </c>
      <c r="C94" s="214"/>
      <c r="D94" s="214"/>
      <c r="E94" s="214"/>
      <c r="F94" s="214"/>
      <c r="G94" s="214"/>
      <c r="H94" s="214"/>
      <c r="I94" s="215"/>
    </row>
    <row r="95" spans="1:9" ht="18.75" customHeight="1" x14ac:dyDescent="0.2">
      <c r="A95" s="1"/>
      <c r="B95" s="216"/>
      <c r="C95" s="217"/>
      <c r="D95" s="217"/>
      <c r="E95" s="217"/>
      <c r="F95" s="217"/>
      <c r="G95" s="217"/>
      <c r="H95" s="217"/>
      <c r="I95" s="218"/>
    </row>
    <row r="96" spans="1:9" ht="18.75" customHeight="1" x14ac:dyDescent="0.2">
      <c r="A96" s="1"/>
      <c r="B96" s="216"/>
      <c r="C96" s="217"/>
      <c r="D96" s="217"/>
      <c r="E96" s="217"/>
      <c r="F96" s="217"/>
      <c r="G96" s="217"/>
      <c r="H96" s="217"/>
      <c r="I96" s="218"/>
    </row>
    <row r="97" spans="1:9" ht="18.75" customHeight="1" x14ac:dyDescent="0.2">
      <c r="A97" s="1"/>
      <c r="B97" s="216"/>
      <c r="C97" s="217"/>
      <c r="D97" s="217"/>
      <c r="E97" s="217"/>
      <c r="F97" s="217"/>
      <c r="G97" s="217"/>
      <c r="H97" s="217"/>
      <c r="I97" s="218"/>
    </row>
    <row r="98" spans="1:9" ht="18.75" customHeight="1" x14ac:dyDescent="0.2">
      <c r="A98" s="1"/>
      <c r="B98" s="216"/>
      <c r="C98" s="217"/>
      <c r="D98" s="217"/>
      <c r="E98" s="217"/>
      <c r="F98" s="217"/>
      <c r="G98" s="217"/>
      <c r="H98" s="217"/>
      <c r="I98" s="218"/>
    </row>
    <row r="99" spans="1:9" ht="18.75" customHeight="1" x14ac:dyDescent="0.2">
      <c r="A99" s="1"/>
      <c r="B99" s="216"/>
      <c r="C99" s="217"/>
      <c r="D99" s="217"/>
      <c r="E99" s="217"/>
      <c r="F99" s="217"/>
      <c r="G99" s="217"/>
      <c r="H99" s="217"/>
      <c r="I99" s="218"/>
    </row>
    <row r="100" spans="1:9" ht="18.75" customHeight="1" x14ac:dyDescent="0.2">
      <c r="A100" s="1"/>
      <c r="B100" s="216"/>
      <c r="C100" s="217"/>
      <c r="D100" s="217"/>
      <c r="E100" s="217"/>
      <c r="F100" s="217"/>
      <c r="G100" s="217"/>
      <c r="H100" s="217"/>
      <c r="I100" s="218"/>
    </row>
    <row r="101" spans="1:9" ht="18.75" customHeight="1" x14ac:dyDescent="0.2">
      <c r="A101" s="1"/>
      <c r="B101" s="216"/>
      <c r="C101" s="217"/>
      <c r="D101" s="217"/>
      <c r="E101" s="217"/>
      <c r="F101" s="217"/>
      <c r="G101" s="217"/>
      <c r="H101" s="217"/>
      <c r="I101" s="218"/>
    </row>
    <row r="102" spans="1:9" ht="18.75" customHeight="1" x14ac:dyDescent="0.2">
      <c r="A102" s="1"/>
      <c r="B102" s="216"/>
      <c r="C102" s="217"/>
      <c r="D102" s="217"/>
      <c r="E102" s="217"/>
      <c r="F102" s="217"/>
      <c r="G102" s="217"/>
      <c r="H102" s="217"/>
      <c r="I102" s="218"/>
    </row>
    <row r="103" spans="1:9" ht="18.75" customHeight="1" x14ac:dyDescent="0.2">
      <c r="A103" s="1"/>
      <c r="B103" s="216"/>
      <c r="C103" s="217"/>
      <c r="D103" s="217"/>
      <c r="E103" s="217"/>
      <c r="F103" s="217"/>
      <c r="G103" s="217"/>
      <c r="H103" s="217"/>
      <c r="I103" s="218"/>
    </row>
    <row r="104" spans="1:9" ht="18.75" customHeight="1" x14ac:dyDescent="0.2">
      <c r="A104" s="1"/>
      <c r="B104" s="216"/>
      <c r="C104" s="217"/>
      <c r="D104" s="217"/>
      <c r="E104" s="217"/>
      <c r="F104" s="217"/>
      <c r="G104" s="217"/>
      <c r="H104" s="217"/>
      <c r="I104" s="218"/>
    </row>
    <row r="105" spans="1:9" ht="18.75" customHeight="1" x14ac:dyDescent="0.2">
      <c r="A105" s="4"/>
      <c r="B105" s="219"/>
      <c r="C105" s="220"/>
      <c r="D105" s="220"/>
      <c r="E105" s="220"/>
      <c r="F105" s="220"/>
      <c r="G105" s="220"/>
      <c r="H105" s="220"/>
      <c r="I105" s="221"/>
    </row>
    <row r="106" spans="1:9" ht="7.5" customHeight="1" x14ac:dyDescent="0.2">
      <c r="A106" s="4"/>
      <c r="B106" s="4"/>
      <c r="C106" s="4"/>
      <c r="D106" s="4"/>
      <c r="E106" s="4"/>
      <c r="F106" s="4"/>
      <c r="G106" s="4"/>
      <c r="H106" s="4"/>
      <c r="I106" s="4"/>
    </row>
    <row r="107" spans="1:9" ht="18.75" customHeight="1" x14ac:dyDescent="0.2">
      <c r="A107" s="1" t="s">
        <v>29</v>
      </c>
      <c r="B107" s="222" t="s">
        <v>45</v>
      </c>
      <c r="C107" s="222"/>
      <c r="D107" s="222"/>
      <c r="E107" s="222"/>
      <c r="F107" s="222"/>
      <c r="G107" s="222"/>
      <c r="H107" s="222"/>
      <c r="I107" s="222"/>
    </row>
    <row r="108" spans="1:9" ht="18.75" customHeight="1" x14ac:dyDescent="0.2">
      <c r="A108" s="4"/>
      <c r="B108" s="213" t="s">
        <v>163</v>
      </c>
      <c r="C108" s="214"/>
      <c r="D108" s="214"/>
      <c r="E108" s="214"/>
      <c r="F108" s="214"/>
      <c r="G108" s="214"/>
      <c r="H108" s="214"/>
      <c r="I108" s="215"/>
    </row>
    <row r="109" spans="1:9" ht="18.75" customHeight="1" x14ac:dyDescent="0.2">
      <c r="A109" s="4"/>
      <c r="B109" s="216"/>
      <c r="C109" s="217"/>
      <c r="D109" s="217"/>
      <c r="E109" s="217"/>
      <c r="F109" s="217"/>
      <c r="G109" s="217"/>
      <c r="H109" s="217"/>
      <c r="I109" s="218"/>
    </row>
    <row r="110" spans="1:9" ht="18.75" customHeight="1" x14ac:dyDescent="0.2">
      <c r="A110" s="4"/>
      <c r="B110" s="216"/>
      <c r="C110" s="217"/>
      <c r="D110" s="217"/>
      <c r="E110" s="217"/>
      <c r="F110" s="217"/>
      <c r="G110" s="217"/>
      <c r="H110" s="217"/>
      <c r="I110" s="218"/>
    </row>
    <row r="111" spans="1:9" ht="18.75" customHeight="1" x14ac:dyDescent="0.2">
      <c r="A111" s="4"/>
      <c r="B111" s="216"/>
      <c r="C111" s="217"/>
      <c r="D111" s="217"/>
      <c r="E111" s="217"/>
      <c r="F111" s="217"/>
      <c r="G111" s="217"/>
      <c r="H111" s="217"/>
      <c r="I111" s="218"/>
    </row>
    <row r="112" spans="1:9" ht="18.75" customHeight="1" x14ac:dyDescent="0.2">
      <c r="A112" s="4"/>
      <c r="B112" s="216"/>
      <c r="C112" s="217"/>
      <c r="D112" s="217"/>
      <c r="E112" s="217"/>
      <c r="F112" s="217"/>
      <c r="G112" s="217"/>
      <c r="H112" s="217"/>
      <c r="I112" s="218"/>
    </row>
    <row r="113" spans="1:9" ht="18.75" customHeight="1" x14ac:dyDescent="0.2">
      <c r="A113" s="4"/>
      <c r="B113" s="216"/>
      <c r="C113" s="217"/>
      <c r="D113" s="217"/>
      <c r="E113" s="217"/>
      <c r="F113" s="217"/>
      <c r="G113" s="217"/>
      <c r="H113" s="217"/>
      <c r="I113" s="218"/>
    </row>
    <row r="114" spans="1:9" ht="18.75" customHeight="1" x14ac:dyDescent="0.2">
      <c r="A114" s="4"/>
      <c r="B114" s="216"/>
      <c r="C114" s="217"/>
      <c r="D114" s="217"/>
      <c r="E114" s="217"/>
      <c r="F114" s="217"/>
      <c r="G114" s="217"/>
      <c r="H114" s="217"/>
      <c r="I114" s="218"/>
    </row>
    <row r="115" spans="1:9" ht="18.75" customHeight="1" x14ac:dyDescent="0.2">
      <c r="A115" s="4"/>
      <c r="B115" s="216"/>
      <c r="C115" s="217"/>
      <c r="D115" s="217"/>
      <c r="E115" s="217"/>
      <c r="F115" s="217"/>
      <c r="G115" s="217"/>
      <c r="H115" s="217"/>
      <c r="I115" s="218"/>
    </row>
    <row r="116" spans="1:9" ht="18.75" customHeight="1" x14ac:dyDescent="0.2">
      <c r="A116" s="4"/>
      <c r="B116" s="216"/>
      <c r="C116" s="217"/>
      <c r="D116" s="217"/>
      <c r="E116" s="217"/>
      <c r="F116" s="217"/>
      <c r="G116" s="217"/>
      <c r="H116" s="217"/>
      <c r="I116" s="218"/>
    </row>
    <row r="117" spans="1:9" ht="18.75" customHeight="1" x14ac:dyDescent="0.2">
      <c r="A117" s="4"/>
      <c r="B117" s="216"/>
      <c r="C117" s="217"/>
      <c r="D117" s="217"/>
      <c r="E117" s="217"/>
      <c r="F117" s="217"/>
      <c r="G117" s="217"/>
      <c r="H117" s="217"/>
      <c r="I117" s="218"/>
    </row>
    <row r="118" spans="1:9" ht="18.75" customHeight="1" x14ac:dyDescent="0.2">
      <c r="A118" s="4"/>
      <c r="B118" s="216"/>
      <c r="C118" s="217"/>
      <c r="D118" s="217"/>
      <c r="E118" s="217"/>
      <c r="F118" s="217"/>
      <c r="G118" s="217"/>
      <c r="H118" s="217"/>
      <c r="I118" s="218"/>
    </row>
    <row r="119" spans="1:9" ht="18.75" customHeight="1" x14ac:dyDescent="0.2">
      <c r="A119" s="4"/>
      <c r="B119" s="219"/>
      <c r="C119" s="220"/>
      <c r="D119" s="220"/>
      <c r="E119" s="220"/>
      <c r="F119" s="220"/>
      <c r="G119" s="220"/>
      <c r="H119" s="220"/>
      <c r="I119" s="221"/>
    </row>
    <row r="120" spans="1:9" ht="7.5" customHeight="1" x14ac:dyDescent="0.2">
      <c r="A120" s="4"/>
      <c r="B120" s="45"/>
      <c r="C120" s="45"/>
      <c r="D120" s="45"/>
      <c r="E120" s="45"/>
      <c r="F120" s="45"/>
      <c r="G120" s="45"/>
      <c r="H120" s="45"/>
      <c r="I120" s="45"/>
    </row>
    <row r="121" spans="1:9" ht="18.75" customHeight="1" x14ac:dyDescent="0.2">
      <c r="A121" s="4"/>
      <c r="B121" s="4"/>
      <c r="C121" s="4"/>
      <c r="D121" s="4"/>
      <c r="E121" s="4"/>
      <c r="F121" s="4"/>
      <c r="G121" s="4"/>
      <c r="H121" s="4"/>
      <c r="I121" s="4"/>
    </row>
    <row r="122" spans="1:9" ht="18.75" customHeight="1" x14ac:dyDescent="0.2">
      <c r="A122" s="4"/>
      <c r="B122" s="4"/>
      <c r="C122" s="4"/>
      <c r="D122" s="4"/>
      <c r="E122" s="4"/>
      <c r="F122" s="4"/>
      <c r="G122" s="4"/>
      <c r="H122" s="4"/>
      <c r="I122" s="4"/>
    </row>
    <row r="123" spans="1:9" ht="18.75" customHeight="1" x14ac:dyDescent="0.2">
      <c r="A123" s="4"/>
      <c r="B123" s="4"/>
      <c r="C123" s="4"/>
      <c r="D123" s="4"/>
      <c r="E123" s="4"/>
      <c r="F123" s="4"/>
      <c r="G123" s="4"/>
      <c r="H123" s="4"/>
      <c r="I123" s="4"/>
    </row>
    <row r="124" spans="1:9" ht="18.75" customHeight="1" x14ac:dyDescent="0.2">
      <c r="A124" s="4"/>
      <c r="B124" s="4"/>
      <c r="C124" s="4"/>
      <c r="D124" s="4"/>
      <c r="E124" s="4"/>
      <c r="F124" s="4"/>
      <c r="G124" s="4"/>
      <c r="H124" s="4"/>
      <c r="I124" s="4"/>
    </row>
    <row r="125" spans="1:9" ht="18.75" customHeight="1" x14ac:dyDescent="0.2">
      <c r="A125" s="4"/>
      <c r="B125" s="4"/>
      <c r="C125" s="4"/>
      <c r="D125" s="4"/>
      <c r="E125" s="4"/>
      <c r="F125" s="4"/>
      <c r="G125" s="4"/>
      <c r="H125" s="4"/>
      <c r="I125" s="4"/>
    </row>
    <row r="126" spans="1:9" ht="18.75" customHeight="1" x14ac:dyDescent="0.2">
      <c r="A126" s="4"/>
      <c r="B126" s="4"/>
      <c r="C126" s="4"/>
      <c r="D126" s="4"/>
      <c r="E126" s="4"/>
      <c r="F126" s="4"/>
      <c r="G126" s="4"/>
      <c r="H126" s="4"/>
      <c r="I126" s="4"/>
    </row>
    <row r="127" spans="1:9" ht="18.75" customHeight="1" x14ac:dyDescent="0.2">
      <c r="A127" s="4"/>
      <c r="B127" s="4"/>
      <c r="C127" s="4"/>
      <c r="D127" s="4"/>
      <c r="E127" s="4"/>
      <c r="F127" s="4"/>
      <c r="G127" s="4"/>
      <c r="H127" s="4"/>
      <c r="I127" s="4"/>
    </row>
    <row r="128" spans="1:9" ht="18.75" customHeight="1" x14ac:dyDescent="0.2">
      <c r="A128" s="4"/>
      <c r="B128" s="4"/>
      <c r="C128" s="4"/>
      <c r="D128" s="4"/>
      <c r="E128" s="4"/>
      <c r="F128" s="4"/>
      <c r="G128" s="4"/>
      <c r="H128" s="4"/>
      <c r="I128" s="4"/>
    </row>
    <row r="129" spans="1:9" ht="18.75" customHeight="1" x14ac:dyDescent="0.2">
      <c r="A129" s="4"/>
      <c r="B129" s="4"/>
      <c r="C129" s="4"/>
      <c r="D129" s="4"/>
      <c r="E129" s="4"/>
      <c r="F129" s="4"/>
      <c r="G129" s="4"/>
      <c r="H129" s="4"/>
      <c r="I129" s="4"/>
    </row>
    <row r="130" spans="1:9" ht="18.75" customHeight="1" x14ac:dyDescent="0.2">
      <c r="A130" s="4"/>
      <c r="B130" s="4"/>
      <c r="C130" s="4"/>
      <c r="D130" s="4"/>
      <c r="E130" s="4"/>
      <c r="F130" s="4"/>
      <c r="G130" s="4"/>
      <c r="H130" s="4"/>
      <c r="I130" s="4"/>
    </row>
    <row r="131" spans="1:9" ht="18.75" customHeight="1" x14ac:dyDescent="0.2">
      <c r="A131" s="4"/>
      <c r="B131" s="4"/>
      <c r="C131" s="4"/>
      <c r="D131" s="4"/>
      <c r="E131" s="4"/>
      <c r="F131" s="4"/>
      <c r="G131" s="4"/>
      <c r="H131" s="4"/>
      <c r="I131" s="4"/>
    </row>
    <row r="132" spans="1:9" ht="18.75" customHeight="1" x14ac:dyDescent="0.2">
      <c r="A132" s="4"/>
      <c r="B132" s="4"/>
      <c r="C132" s="4"/>
      <c r="D132" s="4"/>
      <c r="E132" s="4"/>
      <c r="F132" s="4"/>
      <c r="G132" s="4"/>
      <c r="H132" s="4"/>
      <c r="I132" s="4"/>
    </row>
    <row r="133" spans="1:9" ht="14" x14ac:dyDescent="0.2">
      <c r="A133" s="4"/>
      <c r="B133" s="4"/>
      <c r="C133" s="4"/>
      <c r="D133" s="4"/>
      <c r="E133" s="4"/>
      <c r="F133" s="4"/>
      <c r="G133" s="4"/>
      <c r="H133" s="4"/>
      <c r="I133" s="4"/>
    </row>
    <row r="134" spans="1:9" ht="7.5" customHeight="1" x14ac:dyDescent="0.2">
      <c r="A134" s="46"/>
      <c r="B134" s="46"/>
      <c r="C134" s="46"/>
      <c r="D134" s="46"/>
      <c r="E134" s="46"/>
      <c r="F134" s="46"/>
      <c r="G134" s="46"/>
      <c r="H134" s="46"/>
      <c r="I134" s="46"/>
    </row>
  </sheetData>
  <mergeCells count="22">
    <mergeCell ref="B94:I105"/>
    <mergeCell ref="B107:I107"/>
    <mergeCell ref="B108:I119"/>
    <mergeCell ref="H2:I2"/>
    <mergeCell ref="A4:I4"/>
    <mergeCell ref="B19:I19"/>
    <mergeCell ref="B22:I32"/>
    <mergeCell ref="B35:I46"/>
    <mergeCell ref="B51:I51"/>
    <mergeCell ref="B14:I14"/>
    <mergeCell ref="C16:E16"/>
    <mergeCell ref="H16:I16"/>
    <mergeCell ref="C11:E11"/>
    <mergeCell ref="H11:I11"/>
    <mergeCell ref="C6:D6"/>
    <mergeCell ref="F50:G50"/>
    <mergeCell ref="B66:I77"/>
    <mergeCell ref="B80:I91"/>
    <mergeCell ref="C49:D49"/>
    <mergeCell ref="C50:D50"/>
    <mergeCell ref="F49:G49"/>
    <mergeCell ref="B52:I63"/>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9" man="1"/>
    <brk id="91" max="8"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I30"/>
  <sheetViews>
    <sheetView showZeros="0" view="pageBreakPreview" topLeftCell="A7" zoomScaleNormal="100" zoomScaleSheetLayoutView="100" workbookViewId="0">
      <selection activeCell="K22" sqref="K22"/>
    </sheetView>
  </sheetViews>
  <sheetFormatPr defaultColWidth="11.36328125" defaultRowHeight="22.5" customHeight="1" x14ac:dyDescent="0.2"/>
  <cols>
    <col min="1" max="3" width="2.81640625" style="1" customWidth="1"/>
    <col min="4" max="4" width="22.1796875" style="1" customWidth="1"/>
    <col min="5" max="5" width="30.81640625" style="1" customWidth="1"/>
    <col min="6" max="7" width="7.81640625" style="1" customWidth="1"/>
    <col min="8" max="9" width="30.81640625" style="1" customWidth="1"/>
    <col min="10" max="10" width="4.08984375" style="1" customWidth="1"/>
    <col min="11" max="16384" width="11.36328125" style="1"/>
  </cols>
  <sheetData>
    <row r="1" spans="1:9" ht="18.75" customHeight="1" x14ac:dyDescent="0.2">
      <c r="A1" s="1" t="s">
        <v>70</v>
      </c>
      <c r="I1" s="32" t="s">
        <v>104</v>
      </c>
    </row>
    <row r="2" spans="1:9" ht="18.75" customHeight="1" x14ac:dyDescent="0.2">
      <c r="H2" s="32" t="s">
        <v>108</v>
      </c>
      <c r="I2" s="31" t="str">
        <f>'様式1-1　プログラムを構成する授業科目'!C2</f>
        <v>大阪体育大学</v>
      </c>
    </row>
    <row r="3" spans="1:9" ht="18.75" customHeight="1" x14ac:dyDescent="0.2">
      <c r="A3" s="108" t="s">
        <v>27</v>
      </c>
      <c r="B3" s="108"/>
      <c r="C3" s="108"/>
      <c r="D3" s="108"/>
      <c r="E3" s="108"/>
      <c r="F3" s="108"/>
      <c r="G3" s="108"/>
      <c r="H3" s="108"/>
      <c r="I3" s="108"/>
    </row>
    <row r="4" spans="1:9" ht="18.75" customHeight="1" x14ac:dyDescent="0.2">
      <c r="A4" s="5"/>
      <c r="B4" s="5"/>
      <c r="C4" s="5"/>
      <c r="D4" s="5"/>
      <c r="E4" s="5"/>
      <c r="F4" s="5"/>
      <c r="G4" s="5"/>
      <c r="H4" s="5"/>
      <c r="I4" s="5"/>
    </row>
    <row r="5" spans="1:9" ht="18.75" customHeight="1" x14ac:dyDescent="0.2">
      <c r="A5" s="1" t="s">
        <v>0</v>
      </c>
      <c r="B5" s="8" t="s">
        <v>94</v>
      </c>
      <c r="C5" s="5"/>
      <c r="D5" s="5"/>
      <c r="E5" s="5"/>
      <c r="F5" s="5"/>
      <c r="G5" s="5"/>
      <c r="H5" s="5"/>
      <c r="I5" s="5"/>
    </row>
    <row r="6" spans="1:9" ht="26.25" customHeight="1" x14ac:dyDescent="0.2">
      <c r="A6" s="5"/>
      <c r="B6" s="231" t="s">
        <v>141</v>
      </c>
      <c r="C6" s="259"/>
      <c r="D6" s="259"/>
      <c r="E6" s="259"/>
      <c r="F6" s="259"/>
      <c r="G6" s="259"/>
      <c r="H6" s="260"/>
      <c r="I6" s="3"/>
    </row>
    <row r="7" spans="1:9" ht="9" customHeight="1" x14ac:dyDescent="0.2">
      <c r="A7" s="5"/>
      <c r="B7" s="8"/>
      <c r="C7" s="8"/>
      <c r="D7" s="8"/>
      <c r="E7" s="8"/>
      <c r="F7" s="8"/>
      <c r="G7" s="8"/>
      <c r="H7" s="8"/>
      <c r="I7" s="3"/>
    </row>
    <row r="8" spans="1:9" ht="18.75" customHeight="1" x14ac:dyDescent="0.2">
      <c r="A8" s="5"/>
      <c r="B8" s="3"/>
      <c r="C8" s="3"/>
      <c r="D8" s="32" t="s">
        <v>42</v>
      </c>
      <c r="E8" s="33" t="s">
        <v>136</v>
      </c>
      <c r="F8" s="3"/>
      <c r="G8" s="32" t="s">
        <v>10</v>
      </c>
      <c r="H8" s="33" t="s">
        <v>140</v>
      </c>
      <c r="I8" s="3"/>
    </row>
    <row r="9" spans="1:9" ht="7.5" customHeight="1" x14ac:dyDescent="0.2">
      <c r="A9" s="5"/>
      <c r="B9" s="5"/>
      <c r="C9" s="5"/>
      <c r="D9" s="5"/>
      <c r="E9" s="5"/>
      <c r="F9" s="5"/>
      <c r="G9" s="5"/>
      <c r="H9" s="5"/>
      <c r="I9" s="5"/>
    </row>
    <row r="10" spans="1:9" ht="18.75" customHeight="1" x14ac:dyDescent="0.2">
      <c r="A10" s="1" t="s">
        <v>3</v>
      </c>
      <c r="B10" s="1" t="s">
        <v>26</v>
      </c>
      <c r="C10" s="4"/>
      <c r="D10" s="4"/>
      <c r="E10" s="4"/>
      <c r="F10" s="4"/>
      <c r="G10" s="4"/>
      <c r="H10" s="4"/>
      <c r="I10" s="4"/>
    </row>
    <row r="11" spans="1:9" ht="18.75" customHeight="1" x14ac:dyDescent="0.2">
      <c r="B11" s="94" t="s">
        <v>23</v>
      </c>
      <c r="C11" s="95"/>
      <c r="D11" s="96"/>
      <c r="E11" s="95" t="s">
        <v>25</v>
      </c>
      <c r="F11" s="95"/>
      <c r="G11" s="95"/>
      <c r="H11" s="95"/>
      <c r="I11" s="96"/>
    </row>
    <row r="12" spans="1:9" ht="26.25" customHeight="1" x14ac:dyDescent="0.2">
      <c r="B12" s="47" t="s">
        <v>13</v>
      </c>
      <c r="C12" s="54"/>
      <c r="D12" s="48"/>
      <c r="E12" s="55"/>
      <c r="F12" s="55"/>
      <c r="G12" s="55"/>
      <c r="H12" s="55"/>
      <c r="I12" s="48"/>
    </row>
    <row r="13" spans="1:9" ht="210.75" customHeight="1" x14ac:dyDescent="0.2">
      <c r="B13" s="49"/>
      <c r="C13" s="242" t="s">
        <v>14</v>
      </c>
      <c r="D13" s="243"/>
      <c r="E13" s="255" t="s">
        <v>158</v>
      </c>
      <c r="F13" s="244"/>
      <c r="G13" s="244"/>
      <c r="H13" s="244"/>
      <c r="I13" s="245"/>
    </row>
    <row r="14" spans="1:9" ht="210.75" customHeight="1" x14ac:dyDescent="0.2">
      <c r="B14" s="49"/>
      <c r="C14" s="257" t="s">
        <v>15</v>
      </c>
      <c r="D14" s="258"/>
      <c r="E14" s="255" t="s">
        <v>144</v>
      </c>
      <c r="F14" s="244"/>
      <c r="G14" s="244"/>
      <c r="H14" s="244"/>
      <c r="I14" s="245"/>
    </row>
    <row r="15" spans="1:9" ht="210.75" customHeight="1" x14ac:dyDescent="0.2">
      <c r="B15" s="49"/>
      <c r="C15" s="242" t="s">
        <v>16</v>
      </c>
      <c r="D15" s="243"/>
      <c r="E15" s="255" t="s">
        <v>145</v>
      </c>
      <c r="F15" s="244"/>
      <c r="G15" s="244"/>
      <c r="H15" s="244"/>
      <c r="I15" s="245"/>
    </row>
    <row r="16" spans="1:9" ht="210.75" customHeight="1" x14ac:dyDescent="0.2">
      <c r="B16" s="49"/>
      <c r="C16" s="242" t="s">
        <v>17</v>
      </c>
      <c r="D16" s="243"/>
      <c r="E16" s="255" t="s">
        <v>160</v>
      </c>
      <c r="F16" s="244"/>
      <c r="G16" s="244"/>
      <c r="H16" s="244"/>
      <c r="I16" s="245"/>
    </row>
    <row r="17" spans="2:9" ht="210.75" customHeight="1" x14ac:dyDescent="0.2">
      <c r="B17" s="50"/>
      <c r="C17" s="246" t="s">
        <v>18</v>
      </c>
      <c r="D17" s="247"/>
      <c r="E17" s="256" t="s">
        <v>157</v>
      </c>
      <c r="F17" s="248"/>
      <c r="G17" s="248"/>
      <c r="H17" s="248"/>
      <c r="I17" s="249"/>
    </row>
    <row r="18" spans="2:9" ht="24" customHeight="1" x14ac:dyDescent="0.2">
      <c r="B18" s="47" t="s">
        <v>19</v>
      </c>
      <c r="C18" s="51"/>
      <c r="D18" s="52"/>
      <c r="E18" s="53"/>
      <c r="F18" s="53"/>
      <c r="G18" s="53"/>
      <c r="H18" s="53"/>
      <c r="I18" s="56"/>
    </row>
    <row r="19" spans="2:9" ht="218.25" customHeight="1" x14ac:dyDescent="0.2">
      <c r="B19" s="49"/>
      <c r="C19" s="242" t="s">
        <v>20</v>
      </c>
      <c r="D19" s="243"/>
      <c r="E19" s="244" t="s">
        <v>159</v>
      </c>
      <c r="F19" s="244"/>
      <c r="G19" s="244"/>
      <c r="H19" s="244"/>
      <c r="I19" s="245"/>
    </row>
    <row r="20" spans="2:9" ht="218.25" customHeight="1" x14ac:dyDescent="0.2">
      <c r="B20" s="50"/>
      <c r="C20" s="246" t="s">
        <v>21</v>
      </c>
      <c r="D20" s="247"/>
      <c r="E20" s="248" t="s">
        <v>146</v>
      </c>
      <c r="F20" s="248"/>
      <c r="G20" s="248"/>
      <c r="H20" s="248"/>
      <c r="I20" s="249"/>
    </row>
    <row r="21" spans="2:9" ht="218.25" customHeight="1" x14ac:dyDescent="0.2">
      <c r="B21" s="250" t="s">
        <v>22</v>
      </c>
      <c r="C21" s="251"/>
      <c r="D21" s="252"/>
      <c r="E21" s="253" t="s">
        <v>166</v>
      </c>
      <c r="F21" s="253"/>
      <c r="G21" s="253"/>
      <c r="H21" s="253"/>
      <c r="I21" s="254"/>
    </row>
    <row r="22" spans="2:9" ht="218.25" customHeight="1" x14ac:dyDescent="0.2">
      <c r="B22" s="237" t="s">
        <v>37</v>
      </c>
      <c r="C22" s="238"/>
      <c r="D22" s="239"/>
      <c r="E22" s="240" t="s">
        <v>147</v>
      </c>
      <c r="F22" s="240"/>
      <c r="G22" s="240"/>
      <c r="H22" s="240"/>
      <c r="I22" s="241"/>
    </row>
    <row r="23" spans="2:9" ht="22.5" customHeight="1" x14ac:dyDescent="0.2">
      <c r="B23" s="4"/>
      <c r="C23" s="4"/>
      <c r="D23" s="4"/>
      <c r="E23" s="4"/>
      <c r="F23" s="4"/>
      <c r="G23" s="4"/>
      <c r="H23" s="4"/>
      <c r="I23" s="4"/>
    </row>
    <row r="24" spans="2:9" ht="22.5" customHeight="1" x14ac:dyDescent="0.2">
      <c r="B24" s="4"/>
      <c r="C24" s="4"/>
      <c r="D24" s="4"/>
      <c r="E24" s="4"/>
      <c r="F24" s="4"/>
      <c r="G24" s="4"/>
      <c r="H24" s="4"/>
      <c r="I24" s="4"/>
    </row>
    <row r="25" spans="2:9" ht="22.5" customHeight="1" x14ac:dyDescent="0.2">
      <c r="B25" s="4"/>
      <c r="C25" s="4"/>
      <c r="D25" s="4"/>
      <c r="E25" s="4"/>
      <c r="F25" s="4"/>
      <c r="G25" s="4"/>
      <c r="H25" s="4"/>
      <c r="I25" s="4"/>
    </row>
    <row r="26" spans="2:9" ht="22.5" customHeight="1" x14ac:dyDescent="0.2">
      <c r="B26" s="4"/>
      <c r="C26" s="4"/>
      <c r="D26" s="4"/>
      <c r="E26" s="4"/>
      <c r="F26" s="4"/>
      <c r="G26" s="4"/>
      <c r="H26" s="4"/>
      <c r="I26" s="4"/>
    </row>
    <row r="27" spans="2:9" ht="22.5" customHeight="1" x14ac:dyDescent="0.2">
      <c r="B27" s="4"/>
      <c r="C27" s="4"/>
      <c r="D27" s="4"/>
      <c r="E27" s="4"/>
      <c r="F27" s="4"/>
      <c r="G27" s="4"/>
      <c r="H27" s="4"/>
      <c r="I27" s="4"/>
    </row>
    <row r="28" spans="2:9" ht="22.5" customHeight="1" x14ac:dyDescent="0.2">
      <c r="B28" s="13"/>
      <c r="C28" s="13"/>
      <c r="D28" s="13"/>
      <c r="E28" s="13"/>
      <c r="F28" s="13"/>
      <c r="G28" s="13"/>
      <c r="H28" s="13"/>
      <c r="I28" s="13"/>
    </row>
    <row r="29" spans="2:9" ht="22.5" customHeight="1" x14ac:dyDescent="0.2">
      <c r="B29" s="13"/>
      <c r="C29" s="13"/>
      <c r="D29" s="13"/>
      <c r="E29" s="13"/>
      <c r="F29" s="13"/>
      <c r="G29" s="13"/>
      <c r="H29" s="13"/>
      <c r="I29" s="13"/>
    </row>
    <row r="30" spans="2:9" ht="22.5" customHeight="1" x14ac:dyDescent="0.2">
      <c r="B30" s="13"/>
      <c r="C30" s="13"/>
      <c r="D30" s="13"/>
      <c r="E30" s="13"/>
      <c r="F30" s="13"/>
      <c r="G30" s="13"/>
      <c r="H30" s="13"/>
      <c r="I30" s="13"/>
    </row>
  </sheetData>
  <mergeCells count="22">
    <mergeCell ref="C14:D14"/>
    <mergeCell ref="E14:I14"/>
    <mergeCell ref="A3:I3"/>
    <mergeCell ref="B11:D11"/>
    <mergeCell ref="E11:I11"/>
    <mergeCell ref="C13:D13"/>
    <mergeCell ref="E13:I13"/>
    <mergeCell ref="B6:H6"/>
    <mergeCell ref="C15:D15"/>
    <mergeCell ref="E15:I15"/>
    <mergeCell ref="C16:D16"/>
    <mergeCell ref="E16:I16"/>
    <mergeCell ref="C17:D17"/>
    <mergeCell ref="E17:I17"/>
    <mergeCell ref="B22:D22"/>
    <mergeCell ref="E22:I22"/>
    <mergeCell ref="C19:D19"/>
    <mergeCell ref="E19:I19"/>
    <mergeCell ref="C20:D20"/>
    <mergeCell ref="E20:I20"/>
    <mergeCell ref="B21:D21"/>
    <mergeCell ref="E21:I21"/>
  </mergeCells>
  <phoneticPr fontId="1"/>
  <printOptions horizontalCentered="1"/>
  <pageMargins left="0.78740157480314965" right="0.78740157480314965" top="0.78740157480314965" bottom="0.59055118110236227" header="0.31496062992125984" footer="0.31496062992125984"/>
  <pageSetup paperSize="9" scale="62" fitToHeight="0" orientation="portrait" r:id="rId1"/>
  <headerFooter>
    <oddHeader>&amp;C数理・データサイエンス・AI教育プログラム認定制度【リテラシーレベル】</oddHeader>
  </headerFooter>
  <rowBreaks count="1" manualBreakCount="1">
    <brk id="16" max="8"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6</vt:i4>
      </vt:variant>
    </vt:vector>
  </HeadingPairs>
  <TitlesOfParts>
    <vt:vector size="11" baseType="lpstr">
      <vt:lpstr>様式1-1　プログラムを構成する授業科目</vt:lpstr>
      <vt:lpstr>様式1-2　プログラムを構成する授業科目</vt:lpstr>
      <vt:lpstr>様式２ 履修者等数の実績</vt:lpstr>
      <vt:lpstr>様式３ 教育の質・履修者数を向上させるための体制・計画</vt:lpstr>
      <vt:lpstr>様式４　自己点検・評価</vt:lpstr>
      <vt:lpstr>'様式1-1　プログラムを構成する授業科目'!Print_Area</vt:lpstr>
      <vt:lpstr>'様式1-2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k-sato</cp:lastModifiedBy>
  <cp:lastPrinted>2023-07-06T09:39:52Z</cp:lastPrinted>
  <dcterms:created xsi:type="dcterms:W3CDTF">2011-06-14T05:32:50Z</dcterms:created>
  <dcterms:modified xsi:type="dcterms:W3CDTF">2023-07-06T09:41:41Z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