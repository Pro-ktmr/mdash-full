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C:\Users\i-yoshida\Dropbox\数理・データサイエンス・ＡＩ教育プログラム認定制度（リテラシーレベル）\金沢学院大学\"/>
    </mc:Choice>
  </mc:AlternateContent>
  <xr:revisionPtr revIDLastSave="0" documentId="13_ncr:1_{993B76CC-9F03-49A3-B647-E0510BEB79C1}" xr6:coauthVersionLast="47" xr6:coauthVersionMax="47" xr10:uidLastSave="{00000000-0000-0000-0000-000000000000}"/>
  <bookViews>
    <workbookView xWindow="-120" yWindow="-120" windowWidth="29040" windowHeight="15990" tabRatio="885" xr2:uid="{00000000-000D-0000-FFFF-FFFF00000000}"/>
  </bookViews>
  <sheets>
    <sheet name="様式１-1　プログラムを構成する授業科目" sheetId="45" r:id="rId1"/>
    <sheet name="様式１-2　プログラムを構成する授業科目 " sheetId="44" r:id="rId2"/>
    <sheet name="様式１-３　プログラムを構成する授業科目" sheetId="39" r:id="rId3"/>
    <sheet name="様式１-４　プログラムを構成する授業科目" sheetId="43"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'様式１-1　プログラムを構成する授業科目'!$V$14:$V$16</definedName>
    <definedName name="_xlnm._FilterDatabase" localSheetId="1" hidden="1">'様式１-2　プログラムを構成する授業科目 '!$V$14:$V$16</definedName>
    <definedName name="_xlnm._FilterDatabase" localSheetId="2" hidden="1">'様式１-３　プログラムを構成する授業科目'!$V$14:$V$16</definedName>
    <definedName name="_xlnm._FilterDatabase" localSheetId="3" hidden="1">'様式１-４　プログラムを構成する授業科目'!$V$14:$V$16</definedName>
    <definedName name="_xlnm._FilterDatabase" localSheetId="4" hidden="1">'様式２ 履修者等数の実績'!#REF!</definedName>
    <definedName name="_xlnm.Print_Area" localSheetId="0">'様式１-1　プログラムを構成する授業科目'!$A$1:$S$102</definedName>
    <definedName name="_xlnm.Print_Area" localSheetId="1">'様式１-2　プログラムを構成する授業科目 '!$A$1:$S$102</definedName>
    <definedName name="_xlnm.Print_Area" localSheetId="2">'様式１-３　プログラムを構成する授業科目'!$A$1:$S$102</definedName>
    <definedName name="_xlnm.Print_Area" localSheetId="3">'様式１-４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40" l="1"/>
  <c r="F14" i="40"/>
  <c r="F15" i="40"/>
  <c r="AP15" i="40" s="1"/>
  <c r="AQ15" i="40" s="1"/>
  <c r="F16" i="40"/>
  <c r="F17" i="40"/>
  <c r="F18" i="40"/>
  <c r="F12" i="40"/>
  <c r="I19" i="40"/>
  <c r="F19" i="40"/>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8" i="40"/>
  <c r="I17" i="40"/>
  <c r="I16" i="40"/>
  <c r="I15" i="40"/>
  <c r="I14" i="40"/>
  <c r="I13" i="40"/>
  <c r="I12" i="40"/>
  <c r="G32" i="40"/>
  <c r="H32" i="40"/>
  <c r="AP13" i="40"/>
  <c r="AP14" i="40"/>
  <c r="AP16" i="40"/>
  <c r="AP17" i="40"/>
  <c r="AP18" i="40"/>
  <c r="AP19" i="40"/>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4" i="40"/>
  <c r="AQ13" i="40"/>
  <c r="AP32" i="40" l="1"/>
  <c r="AQ32" i="40" s="1"/>
  <c r="C49" i="41" s="1"/>
</calcChain>
</file>

<file path=xl/sharedStrings.xml><?xml version="1.0" encoding="utf-8"?>
<sst xmlns="http://schemas.openxmlformats.org/spreadsheetml/2006/main" count="713" uniqueCount="225">
  <si>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</si>
  <si>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</si>
  <si>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</si>
  <si>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</si>
  <si>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</si>
  <si>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</si>
  <si>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</si>
  <si>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</si>
  <si>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</si>
  <si>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</si>
  <si>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</si>
  <si>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</si>
  <si>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</si>
  <si>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</si>
  <si>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</si>
  <si>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</si>
  <si>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</si>
  <si>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</si>
  <si>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</si>
  <si>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</si>
  <si>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</si>
  <si>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</si>
  <si>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</si>
  <si>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</si>
  <si>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</si>
  <si>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</si>
  <si>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</si>
  <si>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</si>
  <si>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</si>
  <si>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</si>
  <si>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</si>
  <si>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</si>
  <si>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</si>
  <si>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</si>
  <si>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</si>
  <si>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</si>
  <si>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</si>
  <si>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</si>
  <si>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</si>
  <si>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</si>
  <si>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</si>
  <si>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</si>
  <si>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</si>
  <si>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</si>
  <si>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</si>
  <si>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</si>
  <si>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</si>
  <si>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</si>
  <si>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</si>
  <si>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</si>
  <si>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</si>
  <si>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</si>
  <si>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</si>
  <si>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</si>
  <si>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</si>
  <si>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</si>
  <si>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</si>
  <si>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</si>
  <si>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</si>
  <si>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</si>
  <si>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</si>
  <si>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</si>
  <si>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</si>
  <si>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</si>
  <si>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</si>
  <si>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</si>
  <si>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</si>
  <si>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</si>
  <si>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</si>
  <si>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</si>
  <si>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</si>
  <si>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</si>
  <si>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</si>
  <si>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</si>
  <si>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</si>
  <si>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</si>
  <si>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</si>
  <si>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</si>
  <si>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</si>
  <si>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</si>
  <si>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</si>
  <si>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</si>
  <si>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</si>
  <si>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</si>
  <si>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</si>
  <si>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</si>
  <si>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</si>
  <si>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</si>
  <si>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</si>
  <si>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</si>
  <si>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</si>
  <si>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</si>
  <si>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</si>
  <si>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</si>
  <si>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</si>
  <si>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</si>
  <si>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</si>
  <si>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</si>
  <si>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</si>
  <si>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</si>
  <si>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</si>
  <si>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</si>
  <si>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</si>
  <si>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</si>
  <si>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</si>
  <si>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</si>
  <si>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</si>
  <si>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</si>
  <si>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</si>
  <si>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</si>
  <si>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</si>
  <si>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</si>
  <si>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</si>
  <si>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</si>
  <si>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</si>
  <si>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</si>
  <si>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</si>
  <si>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</si>
  <si>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</si>
  <si>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</si>
  <si>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</si>
  <si>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</si>
  <si>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</si>
  <si>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</si>
  <si>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</si>
  <si>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</si>
  <si>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金沢学院大学</t>
  </si>
  <si>
    <t>学部・学科によって、修了要件は相違する</t>
  </si>
  <si>
    <t>令和７年度までに履修必須とする計画</t>
  </si>
  <si>
    <t>コンピュータ基礎演習Ⅱａ</t>
  </si>
  <si>
    <t>○</t>
  </si>
  <si>
    <t>コンピュータ基礎演習Ⅱｂ</t>
  </si>
  <si>
    <t>教育学部</t>
    <rPh sb="0" eb="4">
      <t>キョウイクガクブ</t>
    </rPh>
    <phoneticPr fontId="1"/>
  </si>
  <si>
    <r>
      <t>ICT</t>
    </r>
    <r>
      <rPr>
        <sz val="12"/>
        <color theme="1"/>
        <rFont val="ＭＳ Ｐゴシック"/>
        <family val="3"/>
        <charset val="128"/>
      </rPr>
      <t>活用教育概論</t>
    </r>
    <phoneticPr fontId="1"/>
  </si>
  <si>
    <t>令和4</t>
    <rPh sb="0" eb="2">
      <t>レイワ</t>
    </rPh>
    <phoneticPr fontId="1"/>
  </si>
  <si>
    <t>水洞 幸夫</t>
    <rPh sb="0" eb="1">
      <t>スイ</t>
    </rPh>
    <rPh sb="1" eb="2">
      <t>ドウ</t>
    </rPh>
    <rPh sb="3" eb="5">
      <t>サチオ</t>
    </rPh>
    <phoneticPr fontId="1"/>
  </si>
  <si>
    <t>副学長/全学教務委員長</t>
    <rPh sb="0" eb="3">
      <t>フクガクチョウ</t>
    </rPh>
    <rPh sb="4" eb="11">
      <t>ゼンガクキョウムイインチョウ</t>
    </rPh>
    <phoneticPr fontId="1"/>
  </si>
  <si>
    <t>全学教務委員会</t>
    <rPh sb="0" eb="7">
      <t>ゼンガクキョウムイインカイ</t>
    </rPh>
    <phoneticPr fontId="1"/>
  </si>
  <si>
    <t>経済学部</t>
    <phoneticPr fontId="1"/>
  </si>
  <si>
    <t>経済情報学部</t>
    <phoneticPr fontId="1"/>
  </si>
  <si>
    <t>教育学部</t>
    <phoneticPr fontId="1"/>
  </si>
  <si>
    <t>文学部</t>
    <phoneticPr fontId="1"/>
  </si>
  <si>
    <t>芸術学部</t>
    <phoneticPr fontId="1"/>
  </si>
  <si>
    <t>スポーツ科学部</t>
    <phoneticPr fontId="1"/>
  </si>
  <si>
    <t>栄養学部</t>
    <phoneticPr fontId="1"/>
  </si>
  <si>
    <t>大学自己点検・評価委員会</t>
    <phoneticPr fontId="1"/>
  </si>
  <si>
    <t>秋山 稔</t>
    <rPh sb="0" eb="2">
      <t>アキヤマ</t>
    </rPh>
    <rPh sb="3" eb="4">
      <t>ミノル</t>
    </rPh>
    <phoneticPr fontId="1"/>
  </si>
  <si>
    <t>学長</t>
    <rPh sb="0" eb="2">
      <t>ガクチョウ</t>
    </rPh>
    <phoneticPr fontId="1"/>
  </si>
  <si>
    <t>各学部の専門分野におけるデータサイエンス・AIの事例を積極的に取り扱うことで、自身の専門分野とのつながりを認識させ、数理・データサイエンス・AIを学ぶ意義の理解を促すこととする。また、知識の共有・定着化を図るため、グループワーク・ディスカッションを取り入れ、学生の学び合いやコミュニケーションを促進し、学ぶ楽しさや学習意欲の向上の促進に努める。</t>
    <rPh sb="0" eb="3">
      <t>カクガクブ</t>
    </rPh>
    <rPh sb="165" eb="167">
      <t>ソクシン</t>
    </rPh>
    <rPh sb="168" eb="169">
      <t>ツト</t>
    </rPh>
    <phoneticPr fontId="1"/>
  </si>
  <si>
    <t>全学教務委員会において、授業振り返りアンケート等の学生の意見を参考に、学生の「分かりやすさ」の観点から講義の内容・実施方法の見直しを検討する。また、ファカルティ・ディベロップメント事業として、授業振り返りアンケートの結果を授業担当教員にフィードバックし、振り返りの内容を提出させることで、授業担当教員の授業改善を促進する取り組みを行う。</t>
    <rPh sb="0" eb="2">
      <t>ゼンガク</t>
    </rPh>
    <rPh sb="165" eb="166">
      <t>オコナ</t>
    </rPh>
    <phoneticPr fontId="1"/>
  </si>
  <si>
    <t>経済学部、経済情報学部</t>
    <rPh sb="0" eb="4">
      <t>ケイザイガクブ</t>
    </rPh>
    <rPh sb="5" eb="11">
      <t>ケイザイジョウホウガクブ</t>
    </rPh>
    <phoneticPr fontId="1"/>
  </si>
  <si>
    <t>コンピュータ基礎演習Ⅱ</t>
    <phoneticPr fontId="1"/>
  </si>
  <si>
    <t>本プログラム対象科目である「コンピュータ基礎演習Ⅱ」、「コンピュータ基礎演習Ⅱａ」「コンピュータ基礎演習Ⅱｂ」および「ICT活用教育概論」における授業改善アンケートより次年度に向けた授業計画の見直し・改善を全学的に実施しており、これらのデータを基に大学自己点検・評価委員会にて検証を行い、理解度の向上を含めた本教育プログラムの改善に取り組む。</t>
    <phoneticPr fontId="1"/>
  </si>
  <si>
    <t>本プログラム対象科目である「コンピュータ基礎演習Ⅱ」、「コンピュータ基礎演習Ⅱａ」「コンピュータ基礎演習Ⅱｂ」及び「ICT活用教育概論」は、いずれも卒業要件の必修科目であることから後輩等他の学生への推奨を特に必要としないが、学生が回答した授業改善アンケートに対する「教員コメント（学生へのフィードバック）」を担当教員へ伝えることにより、授業改善の駆動力としている。</t>
    <rPh sb="102" eb="103">
      <t>トク</t>
    </rPh>
    <rPh sb="104" eb="106">
      <t>ヒツヨウ</t>
    </rPh>
    <rPh sb="154" eb="158">
      <t>タントウキョウイン</t>
    </rPh>
    <rPh sb="159" eb="160">
      <t>ツタ</t>
    </rPh>
    <rPh sb="168" eb="172">
      <t>ジュギョウカイゼン</t>
    </rPh>
    <rPh sb="173" eb="176">
      <t>クドウリョク</t>
    </rPh>
    <phoneticPr fontId="1"/>
  </si>
  <si>
    <t>当該プログラムにおける本授業科目は、令和４年度より内容を改訂し開講されているため、当該授業を修得し単位を修得して卒業した学生をまだ輩出していないが、卒業後、就職支援部と協力しながら、卒業後の追跡調査を実施する等、修了者のキャリアステップや活躍状況の把握に努めることとする。</t>
    <rPh sb="18" eb="20">
      <t>レイワ</t>
    </rPh>
    <rPh sb="21" eb="23">
      <t>ネンド</t>
    </rPh>
    <rPh sb="78" eb="83">
      <t>シュウショクシエンブ</t>
    </rPh>
    <phoneticPr fontId="1"/>
  </si>
  <si>
    <t>まず本学教育へ反映させることを目的とし、卒業生の就職先へのヒアリングにより、本学の教育に期待することや産業界で求められている資質・能力、本学卒業生に対する満足度等の情報収集を行う。そして、企業との教育コンテンツの共同開発等を通じて、産業界からのニーズの把握に取り組むこととし、卒業生の就職先に対するアンケート調査により、本教育プログラムの評価・改善サイクルを構築することとする。</t>
    <phoneticPr fontId="1"/>
  </si>
  <si>
    <t>学長：　秋山 稔 教授
副学長/全学教務委員長： 水洞 幸夫 教授
文学部長/文学部教務委員長： 蔀 際子 教授
教育学部教務委員長： 笠間 弘美 教授
経済学部長/経済学部教務委員長： 豊田 欣吾 教授
経済情報学部教務委員長： 藤本 祥二 教授
芸術学部長/芸術学部教務委員長： 飯田 栄治 教授
スポーツ科学部教務委員長： 外山 寛 教授
栄養学部教務委員長： 七尾 由美子 教授
短期大学教学部長： 河内 久美子 教授</t>
    <rPh sb="4" eb="6">
      <t>アキヤマ</t>
    </rPh>
    <rPh sb="7" eb="8">
      <t>ミノル</t>
    </rPh>
    <rPh sb="9" eb="11">
      <t>キョウジュ</t>
    </rPh>
    <rPh sb="12" eb="15">
      <t>フクガクチョウ</t>
    </rPh>
    <rPh sb="16" eb="23">
      <t>ゼンガクキョウムイインチョウ</t>
    </rPh>
    <rPh sb="31" eb="33">
      <t>キョウジュ</t>
    </rPh>
    <rPh sb="34" eb="38">
      <t>ブンガクブチョウ</t>
    </rPh>
    <rPh sb="39" eb="42">
      <t>ブンガクブ</t>
    </rPh>
    <rPh sb="42" eb="47">
      <t>キョウムイインチョウ</t>
    </rPh>
    <rPh sb="54" eb="56">
      <t>キョウジュ</t>
    </rPh>
    <rPh sb="57" eb="61">
      <t>キョウイクガクブ</t>
    </rPh>
    <rPh sb="61" eb="66">
      <t>キョウムイインチョウ</t>
    </rPh>
    <rPh sb="68" eb="70">
      <t>カサマ</t>
    </rPh>
    <rPh sb="74" eb="76">
      <t>キョウジュ</t>
    </rPh>
    <rPh sb="77" eb="82">
      <t>ケイザイガクブチョウ</t>
    </rPh>
    <rPh sb="83" eb="87">
      <t>ケイザイガクブ</t>
    </rPh>
    <rPh sb="87" eb="92">
      <t>キョウムイインチョウ</t>
    </rPh>
    <rPh sb="94" eb="96">
      <t>トヨダ</t>
    </rPh>
    <rPh sb="100" eb="102">
      <t>キョウジュ</t>
    </rPh>
    <rPh sb="103" eb="109">
      <t>ケイザイジョウホウガクブ</t>
    </rPh>
    <rPh sb="109" eb="114">
      <t>キョウムイインチョウ</t>
    </rPh>
    <rPh sb="116" eb="118">
      <t>フジモト</t>
    </rPh>
    <rPh sb="119" eb="120">
      <t>ショウ</t>
    </rPh>
    <rPh sb="120" eb="121">
      <t>ニ</t>
    </rPh>
    <rPh sb="122" eb="124">
      <t>キョウジュ</t>
    </rPh>
    <rPh sb="125" eb="129">
      <t>ゲイジュツガクブ</t>
    </rPh>
    <rPh sb="129" eb="130">
      <t>チョウ</t>
    </rPh>
    <rPh sb="131" eb="135">
      <t>ゲイジュツガクブ</t>
    </rPh>
    <rPh sb="135" eb="140">
      <t>キョウムイインチョウ</t>
    </rPh>
    <rPh sb="148" eb="150">
      <t>キョウジュ</t>
    </rPh>
    <rPh sb="155" eb="158">
      <t>カガクブ</t>
    </rPh>
    <rPh sb="158" eb="163">
      <t>キョウムイインチョウ</t>
    </rPh>
    <rPh sb="165" eb="167">
      <t>トヤマ</t>
    </rPh>
    <rPh sb="170" eb="172">
      <t>キョウジュ</t>
    </rPh>
    <rPh sb="173" eb="177">
      <t>エイヨウガクブ</t>
    </rPh>
    <rPh sb="177" eb="182">
      <t>キョウムイインチョウ</t>
    </rPh>
    <rPh sb="184" eb="186">
      <t>ナナオ</t>
    </rPh>
    <rPh sb="191" eb="193">
      <t>キョウジュ</t>
    </rPh>
    <rPh sb="204" eb="206">
      <t>コウチ</t>
    </rPh>
    <rPh sb="207" eb="210">
      <t>クミコ</t>
    </rPh>
    <phoneticPr fontId="1"/>
  </si>
  <si>
    <t>全学教務委員会規程</t>
    <rPh sb="0" eb="7">
      <t>ゼンガクキョウムイインカイ</t>
    </rPh>
    <rPh sb="7" eb="9">
      <t>キテイ</t>
    </rPh>
    <phoneticPr fontId="1"/>
  </si>
  <si>
    <t>本学学生が、数理・データサイエンス・AIに関するリテラシーを修得し、データの利活用により社会の課題の発見や解決する力を育成することを目的に、全学的な数理・データサイエンス・AI教育プログラムを実施する。本教育プログラムの実施にあたっては、学長・副学長の下、全学的な組織である全学教務委員会にて企画・運用および学修成果等を元に自己点検・評価を行うこととする。本プログラムの教育内容の改善や教育課程の編成について定期的に各学部から報告・提案を受け審議するとともに、その運用に関わる全学LMSの整備等に関しては本プログラムが円滑に実施されるよう全学情報システム運用委員会、総務部情報システム室、教務部と必要に応じて連携する体制を敷いている。</t>
    <rPh sb="119" eb="121">
      <t>ガクチョウ</t>
    </rPh>
    <rPh sb="137" eb="144">
      <t>ゼンガクキョウムイインカイ</t>
    </rPh>
    <rPh sb="178" eb="179">
      <t>ホン</t>
    </rPh>
    <rPh sb="185" eb="189">
      <t>キョウイクナイヨウ</t>
    </rPh>
    <rPh sb="190" eb="192">
      <t>カイゼン</t>
    </rPh>
    <rPh sb="193" eb="197">
      <t>キョウイクカテイ</t>
    </rPh>
    <rPh sb="198" eb="200">
      <t>ヘンセイ</t>
    </rPh>
    <rPh sb="232" eb="234">
      <t>ウンヨウ</t>
    </rPh>
    <rPh sb="235" eb="236">
      <t>カカ</t>
    </rPh>
    <rPh sb="238" eb="240">
      <t>ゼンガク</t>
    </rPh>
    <rPh sb="244" eb="246">
      <t>セイビ</t>
    </rPh>
    <rPh sb="246" eb="247">
      <t>トウ</t>
    </rPh>
    <rPh sb="248" eb="249">
      <t>カン</t>
    </rPh>
    <rPh sb="269" eb="271">
      <t>ゼンガク</t>
    </rPh>
    <rPh sb="271" eb="273">
      <t>ジョウホウ</t>
    </rPh>
    <rPh sb="277" eb="279">
      <t>ウンヨウ</t>
    </rPh>
    <rPh sb="279" eb="282">
      <t>イインカイ</t>
    </rPh>
    <rPh sb="298" eb="300">
      <t>ヒツヨウ</t>
    </rPh>
    <rPh sb="301" eb="302">
      <t>オウ</t>
    </rPh>
    <rPh sb="308" eb="310">
      <t>タイセイ</t>
    </rPh>
    <rPh sb="311" eb="312">
      <t>シ</t>
    </rPh>
    <phoneticPr fontId="1"/>
  </si>
  <si>
    <t>数理データサイエンスAI教育プログラム</t>
    <phoneticPr fontId="1"/>
  </si>
  <si>
    <t>数理データサイエンスAI教育プログラムを構成する科目のうち、「コンピュータ基礎演習II」（２単位）を取得すること。</t>
    <rPh sb="0" eb="2">
      <t>スウリ</t>
    </rPh>
    <rPh sb="12" eb="14">
      <t>キョウイク</t>
    </rPh>
    <rPh sb="24" eb="26">
      <t>カモク</t>
    </rPh>
    <rPh sb="37" eb="41">
      <t>キソエンシュウ</t>
    </rPh>
    <phoneticPr fontId="1"/>
  </si>
  <si>
    <t>数理データサイエンスAI教育プログラムを構成する科目のうち、「コンピュータ基礎演習IIa」（１単位）および「コンピュータ基礎演習IIb」（１単位）を取得すること。</t>
    <phoneticPr fontId="1"/>
  </si>
  <si>
    <t>数理データサイエンスAI教育プログラムを構成する科目のうち、「ICT活用教育概論」（２単位）を取得すること。</t>
    <phoneticPr fontId="1"/>
  </si>
  <si>
    <t>文学部、芸術学部</t>
    <rPh sb="0" eb="3">
      <t>ブンガクブ</t>
    </rPh>
    <rPh sb="4" eb="8">
      <t>ゲイジュツガクブ</t>
    </rPh>
    <phoneticPr fontId="1"/>
  </si>
  <si>
    <t>スポーツ科学部、栄養学部</t>
    <rPh sb="4" eb="7">
      <t>カガクブ</t>
    </rPh>
    <rPh sb="8" eb="12">
      <t>エイヨウガクブ</t>
    </rPh>
    <phoneticPr fontId="1"/>
  </si>
  <si>
    <t>社会におけるデータ活用の基本的な知識を習得し、データを扱い情報を抽出する基本的な方法を理解できる。具体的な修得事項は下記の３点である。
１. 社会におけるデータやAI利活用およびその留意事項等についての理解、2. データを扱うために必要となる基本的な技術の理解、3. 基本的なデータの記述とデータからの情報抽出をする能力</t>
    <rPh sb="58" eb="60">
      <t>カキ</t>
    </rPh>
    <rPh sb="62" eb="63">
      <t>テン</t>
    </rPh>
    <rPh sb="101" eb="103">
      <t>リカイ</t>
    </rPh>
    <rPh sb="121" eb="124">
      <t>キホンテキ</t>
    </rPh>
    <rPh sb="125" eb="127">
      <t>ギジュツ</t>
    </rPh>
    <rPh sb="128" eb="130">
      <t>リカイ</t>
    </rPh>
    <rPh sb="134" eb="137">
      <t>キホンテキ</t>
    </rPh>
    <rPh sb="158" eb="160">
      <t>ノウリョク</t>
    </rPh>
    <phoneticPr fontId="1"/>
  </si>
  <si>
    <t>社会におけるデータ活用の基本的な知識を習得し、データを扱い情報を抽出する基本的な方法を理解できる。具体的な修得事項は下記の３点である。
１. 社会におけるデータやAI利活用およびその留意事項等についての理解、2. データを扱うために必要となる基本的な技術の理解、3. 基本的なデータの記述とデータからの情報抽出をする能力</t>
    <rPh sb="58" eb="60">
      <t>カキ</t>
    </rPh>
    <rPh sb="62" eb="63">
      <t>テン</t>
    </rPh>
    <rPh sb="101" eb="103">
      <t>リカイ</t>
    </rPh>
    <rPh sb="120" eb="123">
      <t>キホンテキ</t>
    </rPh>
    <rPh sb="124" eb="126">
      <t>ギジュツ</t>
    </rPh>
    <rPh sb="127" eb="129">
      <t>リカイ</t>
    </rPh>
    <rPh sb="133" eb="136">
      <t>キホンテキ</t>
    </rPh>
    <rPh sb="157" eb="159">
      <t>ノウリョク</t>
    </rPh>
    <phoneticPr fontId="1"/>
  </si>
  <si>
    <t>本学の数理データサイエンスAI教育プログラムを構成する科目のうち、令和4年度以前までに必修科目とされていたのは文学部・芸術学部における「コンピュータ基礎演習Ⅱ」、教育学部における「ＩＣＴ活用教育概論」に限られていた。このことから収容定員に対する履修率が３５％となっている。これまで選択科目であったスポーツ科学部、栄養学部における「コンピュータ基礎演習Ⅱ」、経済学部、経済情報学部における「コンピュータ基礎演習Ⅱa」「コンピュータ基礎演習Ⅱｂ」を令和５年度から必修科目とすることとした。これを受け、本プログラムの対象科目全てが必修科目となり、原則として令和５年度以降の入学生数が履修者数となるため、収容定員に対する履修率の向上を見込んでいる。これに従い本プログラムを実施していくことで、年度を経る度に段階的に履修率は向上し、令和７年度には１～３年生において100％（全学年において90％）に達し、全科目が必修となった際の履修者が４年生となる令和８年度に履修率は100％となるよう計画している。</t>
    <rPh sb="0" eb="2">
      <t>ホンガク</t>
    </rPh>
    <rPh sb="3" eb="5">
      <t>スウリ</t>
    </rPh>
    <rPh sb="15" eb="17">
      <t>キョウイク</t>
    </rPh>
    <rPh sb="23" eb="25">
      <t>コウセイ</t>
    </rPh>
    <rPh sb="27" eb="29">
      <t>カモク</t>
    </rPh>
    <rPh sb="33" eb="35">
      <t>レイワ</t>
    </rPh>
    <rPh sb="36" eb="38">
      <t>ネンド</t>
    </rPh>
    <rPh sb="43" eb="47">
      <t>ヒッシュウカモク</t>
    </rPh>
    <rPh sb="55" eb="58">
      <t>ブンガクブ</t>
    </rPh>
    <rPh sb="59" eb="63">
      <t>ゲイジュツガクブ</t>
    </rPh>
    <rPh sb="101" eb="102">
      <t>カギ</t>
    </rPh>
    <rPh sb="114" eb="118">
      <t>シュウヨウテイイン</t>
    </rPh>
    <rPh sb="119" eb="120">
      <t>タイ</t>
    </rPh>
    <rPh sb="122" eb="125">
      <t>リシュウリツ</t>
    </rPh>
    <rPh sb="140" eb="144">
      <t>センタクカモク</t>
    </rPh>
    <rPh sb="222" eb="224">
      <t>レイワ</t>
    </rPh>
    <rPh sb="225" eb="227">
      <t>ネンド</t>
    </rPh>
    <rPh sb="229" eb="233">
      <t>ヒッシュウカモク</t>
    </rPh>
    <rPh sb="245" eb="246">
      <t>ウ</t>
    </rPh>
    <rPh sb="248" eb="249">
      <t>ホン</t>
    </rPh>
    <rPh sb="255" eb="259">
      <t>タイショウカモク</t>
    </rPh>
    <rPh sb="259" eb="260">
      <t>スベ</t>
    </rPh>
    <rPh sb="262" eb="266">
      <t>ヒッシュウカモク</t>
    </rPh>
    <rPh sb="270" eb="272">
      <t>ゲンソク</t>
    </rPh>
    <rPh sb="275" eb="277">
      <t>レイワ</t>
    </rPh>
    <rPh sb="288" eb="291">
      <t>リシュウシャ</t>
    </rPh>
    <rPh sb="291" eb="292">
      <t>スウ</t>
    </rPh>
    <rPh sb="298" eb="302">
      <t>シュウヨウテイイン</t>
    </rPh>
    <rPh sb="303" eb="304">
      <t>タイ</t>
    </rPh>
    <rPh sb="306" eb="309">
      <t>リシュウリツ</t>
    </rPh>
    <rPh sb="310" eb="312">
      <t>コウジョウ</t>
    </rPh>
    <rPh sb="313" eb="315">
      <t>ミコ</t>
    </rPh>
    <rPh sb="323" eb="324">
      <t>シタガ</t>
    </rPh>
    <rPh sb="325" eb="326">
      <t>ホン</t>
    </rPh>
    <rPh sb="332" eb="334">
      <t>ジッシ</t>
    </rPh>
    <rPh sb="342" eb="344">
      <t>ネンド</t>
    </rPh>
    <rPh sb="345" eb="346">
      <t>ヘ</t>
    </rPh>
    <rPh sb="347" eb="348">
      <t>タビ</t>
    </rPh>
    <rPh sb="349" eb="352">
      <t>ダンカイテキ</t>
    </rPh>
    <rPh sb="353" eb="356">
      <t>リシュウリツ</t>
    </rPh>
    <rPh sb="357" eb="359">
      <t>コウジョウ</t>
    </rPh>
    <rPh sb="361" eb="363">
      <t>レイワ</t>
    </rPh>
    <rPh sb="364" eb="366">
      <t>ネンド</t>
    </rPh>
    <rPh sb="371" eb="373">
      <t>ネンセイ</t>
    </rPh>
    <rPh sb="382" eb="384">
      <t>ゼンガク</t>
    </rPh>
    <rPh sb="384" eb="385">
      <t>ネン</t>
    </rPh>
    <rPh sb="394" eb="395">
      <t>タッ</t>
    </rPh>
    <rPh sb="397" eb="400">
      <t>ゼンカモク</t>
    </rPh>
    <rPh sb="401" eb="403">
      <t>ヒッシュウ</t>
    </rPh>
    <rPh sb="407" eb="408">
      <t>サイ</t>
    </rPh>
    <rPh sb="409" eb="412">
      <t>リシュウシャ</t>
    </rPh>
    <rPh sb="414" eb="416">
      <t>ネンセイ</t>
    </rPh>
    <rPh sb="425" eb="428">
      <t>リシュウリツ</t>
    </rPh>
    <rPh sb="438" eb="440">
      <t>ケイカク</t>
    </rPh>
    <phoneticPr fontId="1"/>
  </si>
  <si>
    <t>⑧に記載の通り、本学の数理データサイエンスAI教育プログラムを構成する科目の全てが必修科目として設定されたことから、今後は全学部・学科において卒業要件として全員履修することが前提となった。令和５年度以降の入学生については原則、１年次後期での履修率が１００％となる見込みである。現状においては、本学が実施しているBYODによる１人１端末で受講することを基本としているが、状況に応じてオンライン授業の併用も可能としている。また、学生端末が故障等の理由で使用できなくなった場合には、教室に備えられているコンピュータを使用するほか、貸し出し用のノートパソコンを活用し、履修者の学びを支援する体制となっている。</t>
    <rPh sb="2" eb="4">
      <t>キサイ</t>
    </rPh>
    <rPh sb="5" eb="6">
      <t>トオ</t>
    </rPh>
    <rPh sb="38" eb="39">
      <t>スベ</t>
    </rPh>
    <rPh sb="41" eb="45">
      <t>ヒッシュウカモク</t>
    </rPh>
    <rPh sb="48" eb="50">
      <t>セッテイ</t>
    </rPh>
    <rPh sb="61" eb="64">
      <t>ゼンガクブ</t>
    </rPh>
    <rPh sb="65" eb="67">
      <t>ガッカ</t>
    </rPh>
    <rPh sb="94" eb="96">
      <t>レイワ</t>
    </rPh>
    <rPh sb="97" eb="99">
      <t>ネンド</t>
    </rPh>
    <rPh sb="99" eb="101">
      <t>イコウ</t>
    </rPh>
    <rPh sb="102" eb="105">
      <t>ニュウガクセイ</t>
    </rPh>
    <rPh sb="110" eb="112">
      <t>ゲンソク</t>
    </rPh>
    <rPh sb="120" eb="123">
      <t>リシュウリツ</t>
    </rPh>
    <rPh sb="131" eb="133">
      <t>ミコ</t>
    </rPh>
    <rPh sb="138" eb="140">
      <t>ゲンジョウ</t>
    </rPh>
    <rPh sb="146" eb="148">
      <t>ホンガク</t>
    </rPh>
    <rPh sb="149" eb="151">
      <t>ジッシ</t>
    </rPh>
    <rPh sb="163" eb="164">
      <t>ニン</t>
    </rPh>
    <rPh sb="165" eb="167">
      <t>タンマツ</t>
    </rPh>
    <rPh sb="168" eb="170">
      <t>ジュコウ</t>
    </rPh>
    <rPh sb="175" eb="177">
      <t>キホン</t>
    </rPh>
    <rPh sb="184" eb="186">
      <t>ジョウキョウ</t>
    </rPh>
    <rPh sb="187" eb="188">
      <t>オウ</t>
    </rPh>
    <rPh sb="195" eb="197">
      <t>ジュギョウ</t>
    </rPh>
    <rPh sb="198" eb="200">
      <t>ヘイヨウ</t>
    </rPh>
    <rPh sb="201" eb="203">
      <t>カノウ</t>
    </rPh>
    <rPh sb="212" eb="216">
      <t>ガクセイタンマツ</t>
    </rPh>
    <rPh sb="217" eb="220">
      <t>コショウトウ</t>
    </rPh>
    <rPh sb="221" eb="223">
      <t>リユウ</t>
    </rPh>
    <rPh sb="224" eb="226">
      <t>シヨウ</t>
    </rPh>
    <rPh sb="233" eb="235">
      <t>バアイ</t>
    </rPh>
    <rPh sb="238" eb="240">
      <t>キョウシツ</t>
    </rPh>
    <rPh sb="241" eb="242">
      <t>ソナ</t>
    </rPh>
    <rPh sb="255" eb="257">
      <t>シヨウ</t>
    </rPh>
    <rPh sb="262" eb="263">
      <t>カ</t>
    </rPh>
    <rPh sb="264" eb="265">
      <t>ダ</t>
    </rPh>
    <rPh sb="266" eb="267">
      <t>ヨウ</t>
    </rPh>
    <rPh sb="276" eb="278">
      <t>カツヨウ</t>
    </rPh>
    <rPh sb="280" eb="283">
      <t>リシュウシャ</t>
    </rPh>
    <rPh sb="284" eb="285">
      <t>マナ</t>
    </rPh>
    <rPh sb="287" eb="289">
      <t>シエン</t>
    </rPh>
    <rPh sb="291" eb="293">
      <t>タイセイ</t>
    </rPh>
    <phoneticPr fontId="1"/>
  </si>
  <si>
    <t>⑧⑨に記載の通り、本学の数理データサイエンスAI教育プログラムを構成する科目の全てが必修科目として設定されたことから、今後は全学部・学科において卒業要件として全員履修することが前提となった。令和５年度以降の入学生については原則、１年次後期での履修率が１００％となる見込みである。入学直後に毎年度実施される入学生ガイダンスにおいて本プログラムの内容をアナウンスし、その意義と各学部の教育課程内での位置づけを確認している他、対象科目の開講時期に先立つ個別面談においても各学生のアドバイザーとなっている教員によって再度口頭で確認を行っている。また、全学生への情報提示・配信が可能な本学専用の修学支援・管理システムを利用し、各学部ごとに本プログラムについて発信することで情報提供を行っている。</t>
    <rPh sb="139" eb="143">
      <t>ニュウガクチョクゴ</t>
    </rPh>
    <rPh sb="144" eb="147">
      <t>マイネンド</t>
    </rPh>
    <rPh sb="147" eb="149">
      <t>ジッシ</t>
    </rPh>
    <rPh sb="152" eb="155">
      <t>ニュウガクセイ</t>
    </rPh>
    <rPh sb="164" eb="165">
      <t>ホン</t>
    </rPh>
    <rPh sb="171" eb="173">
      <t>ナイヨウ</t>
    </rPh>
    <rPh sb="183" eb="185">
      <t>イギ</t>
    </rPh>
    <rPh sb="186" eb="189">
      <t>カクガクブ</t>
    </rPh>
    <rPh sb="190" eb="195">
      <t>キョウイクカテイナイ</t>
    </rPh>
    <rPh sb="197" eb="199">
      <t>イチ</t>
    </rPh>
    <rPh sb="202" eb="204">
      <t>カクニン</t>
    </rPh>
    <rPh sb="208" eb="209">
      <t>ホカ</t>
    </rPh>
    <rPh sb="210" eb="214">
      <t>タイショウカモク</t>
    </rPh>
    <rPh sb="215" eb="217">
      <t>カイコウ</t>
    </rPh>
    <rPh sb="217" eb="219">
      <t>ジキ</t>
    </rPh>
    <rPh sb="220" eb="222">
      <t>サキダ</t>
    </rPh>
    <rPh sb="223" eb="227">
      <t>コベツメンダン</t>
    </rPh>
    <rPh sb="232" eb="233">
      <t>カク</t>
    </rPh>
    <rPh sb="233" eb="235">
      <t>ガクセイ</t>
    </rPh>
    <rPh sb="256" eb="258">
      <t>コウトウ</t>
    </rPh>
    <rPh sb="271" eb="274">
      <t>ゼンガクセイ</t>
    </rPh>
    <rPh sb="276" eb="280">
      <t>ジョウホウテイジ</t>
    </rPh>
    <rPh sb="284" eb="286">
      <t>カノウ</t>
    </rPh>
    <rPh sb="287" eb="289">
      <t>ホンガク</t>
    </rPh>
    <rPh sb="289" eb="291">
      <t>センヨウ</t>
    </rPh>
    <rPh sb="304" eb="306">
      <t>リヨウ</t>
    </rPh>
    <rPh sb="308" eb="311">
      <t>カクガクブ</t>
    </rPh>
    <rPh sb="314" eb="315">
      <t>ホン</t>
    </rPh>
    <rPh sb="324" eb="326">
      <t>ハッシン</t>
    </rPh>
    <phoneticPr fontId="1"/>
  </si>
  <si>
    <t>本プログラム対象科目である「コンピュータ基礎演習Ⅱ」、「コンピュータ基礎演習Ⅱａ」「コンピュータ基礎演習Ⅱｂ」及び「ICT活用教育概論」は、令和5年度より全学必修科目として実施することとなり、１年生については実質１００％に近い履修率となる見込みである。全学としては年度を経る度に段階的に履修率は向上し、令和７年度には１～３年生において100％（全学年において90％）に達し、全科目が必修となった際の履修者が４年生となる令和８年度に履修率は100％となるよう計画している。今後も、全学必修科目として継続してプログラムを実施する予定としている。</t>
    <rPh sb="70" eb="72">
      <t>レイワ</t>
    </rPh>
    <rPh sb="73" eb="75">
      <t>ネンド</t>
    </rPh>
    <rPh sb="97" eb="99">
      <t>ネンセイ</t>
    </rPh>
    <rPh sb="119" eb="121">
      <t>ミコ</t>
    </rPh>
    <rPh sb="126" eb="128">
      <t>ゼンガク</t>
    </rPh>
    <rPh sb="262" eb="264">
      <t>ヨテイ</t>
    </rPh>
    <phoneticPr fontId="1"/>
  </si>
  <si>
    <t>本プログラムの履修者数、修了者数等は教務部において把握している。また、履修期間中にあっては対象科目の履修者出席状況を各学部教員が確認できる体制としている。数理・データサイエンス・ＡＩ教育強化拠点コンソーシアムが提示する「モデルカリキュラム（リテラシーレベル）」に準拠した授業を展開した科目において、履修者数・修了者数及び学修成績分布等により、授業実施状況、出席状況、成績評価及び基準等について分析を行い、全体の理解度を検証する。なお、本科目は必修科目であることから履修状況については問題ないが、修得状況（単位取得状況）については全学教務委員会が状況を報告し、学生の履修指導につなげることとする。</t>
    <phoneticPr fontId="1"/>
  </si>
  <si>
    <t>数理・データサイエンス・ＡＩリテラシー教育プログラム対象科目において、各科目の履修者の成績評価をもとに学修成果を把握する。これらのデータは教務部および各学部の教務委員会が収集し分析を行った上、全学教務委員会にてとりまとめる。この分析結果をもとに検証し、全学的に行われている授業改善アンケートにより寄せられた学生の意見・要望も参考とすることで教育プログラムの改善を図る。また、本教育プログラム対象科目ではそれぞれにLMS上に課題等を置いているが、これらコンテンツに対する回答内容・状況についても今後検証を実施し、学部を越えて横断的に担当教員が共有できる体制を整備し、授業改善に活かすこととする。</t>
    <phoneticPr fontId="1"/>
  </si>
  <si>
    <t>⑧⑨⑩に記載の通り、プログラム対象科目の全てが必修科目として設定されたことから、令和５年度以降の入学生については原則、１年次後期での履修率が１００％となる見込みである。入学直後に毎年度実施される入学生ガイダンスにおいて本プログラムの内容をアナウンスし、その意義と各学部の教育課程内での位置づけを確認している他、1年次の後期履修登録に向けての個別面談において、必修科目を登録するよう指導するとともに履修に際する質問等に対応している。また、学生の履修状況を各学部の教務委員、教務部職員とで随時チェックすることで履修漏れを防ぐ体制を敷いている。当該年次に何らかの理由により履修ができなかった学生および、履修取り消しをした学生等については、その翌年度以降に履修（及び再履修）することが可能となっており、各学部の教務委員をはじめクラスアドバイザー等教職員が学生の状況を鑑みながら適切に履修指導を行っている。</t>
    <phoneticPr fontId="1"/>
  </si>
  <si>
    <t>本学では各授業のシラバスに科目担当教員のオフィスアワー（研究室滞在時間帯）を記載しており、これについて各授業の第1回目にて履修者へ周知している。履修者はこの時間帯を利用し、直接教員の研究室を訪ね、学習指導を受けることができる。この他、メールや本学LMS等の遠隔支援システムを利用して担当教員に学習内容に関する質問をすることができる。担当教員は上記ルートによって寄せられた質問及び相談に対して返信または別途時間を設けての対面指導を行うなど、その解決にあたることとしている。また、本プログラムの対象科目ではデータ等を扱う際にMicrosoft Office365を使用する。本学では全学生にこのアカウントを付与しており、各自のBYOD端末へ当該ソフトウェアをインストールすることができる。授業開始までの期間中、もしくは授業期間中のコンピュータトラブル等については授業時間外に学部教員または総務部情報システム室職員等が支援を担当している。</t>
    <phoneticPr fontId="1"/>
  </si>
  <si>
    <r>
      <t>様式１－</t>
    </r>
    <r>
      <rPr>
        <sz val="12"/>
        <color theme="1"/>
        <rFont val="ＭＳ Ｐゴシック"/>
        <family val="3"/>
        <charset val="128"/>
      </rPr>
      <t>１</t>
    </r>
    <rPh sb="0" eb="2">
      <t>ヨウシキ</t>
    </rPh>
    <phoneticPr fontId="1"/>
  </si>
  <si>
    <t>様式１－２</t>
    <rPh sb="0" eb="2">
      <t>ヨウシキ</t>
    </rPh>
    <phoneticPr fontId="1"/>
  </si>
  <si>
    <t>様式１－３</t>
    <rPh sb="0" eb="2">
      <t>ヨウシキ</t>
    </rPh>
    <phoneticPr fontId="1"/>
  </si>
  <si>
    <t>様式１－４</t>
    <rPh sb="0" eb="2">
      <t>ヨウシキ</t>
    </rPh>
    <phoneticPr fontId="1"/>
  </si>
  <si>
    <t>数理・データサイエンス・AI教育プログラム</t>
    <rPh sb="0" eb="2">
      <t>スウリ</t>
    </rPh>
    <rPh sb="14" eb="16">
      <t>キョウイク</t>
    </rPh>
    <phoneticPr fontId="1"/>
  </si>
  <si>
    <t>数理・データサイエンス・AI教育プログラム</t>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</si>
  <si>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「コンピュータ基礎演習Ⅱ」（文学部 第４回）（芸術学部 第３回）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rPh sb="64" eb="65">
      <t>マナ</t>
    </rPh>
    <phoneticPr fontId="1"/>
  </si>
  <si>
    <r>
      <rPr>
        <sz val="9"/>
        <color theme="1"/>
        <rFont val="ＭＳ Ｐゴシック"/>
        <family val="3"/>
        <charset val="128"/>
      </rPr>
      <t xml:space="preserve">非構造化データ処理：言語処理、画像/動画処理、音声/音楽処理などについて学ぶ
「コンピュータ基礎演習Ⅱ」（文学部 第５回）（芸術学部 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rPh sb="36" eb="37">
      <t>マナ</t>
    </rPh>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</si>
  <si>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「コンピュータ基礎演習Ⅱ」（文学部 第６回）（芸術学部 第５回）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データサイエンティストの仕事の流れとは具体的にどのようなものなのか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を活用することによって、どのような価値が生まれているかを知ることを目標とする</t>
    </r>
    <rPh sb="122" eb="123">
      <t>マナ</t>
    </rPh>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</si>
  <si>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「コンピュータ基礎演習Ⅱ」（文学部 第１１回）（芸術学部 第１０回）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rPh sb="188" eb="189">
      <t>マナ</t>
    </rPh>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</si>
  <si>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「コンピュータ基礎演習Ⅱ」（文学部 第１２回）（芸術学部 第１１回）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rPh sb="70" eb="71">
      <t>マナ</t>
    </rPh>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</si>
  <si>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「コンピュータ基礎演習Ⅱ」（文学部 第９回）（芸術学部 第８回）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rPh sb="152" eb="153">
      <t>マナ</t>
    </rPh>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</si>
  <si>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「コンピュータ基礎演習Ⅱ」（文学部 第８回）（芸術学部 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Calibri"/>
        <family val="2"/>
      </rPr>
      <t xml:space="preserve"> </t>
    </r>
    <r>
      <rPr>
        <sz val="9"/>
        <color theme="1"/>
        <rFont val="ＭＳ Ｐゴシック"/>
        <family val="3"/>
        <charset val="128"/>
      </rPr>
      <t xml:space="preserve">これらの情報を読む上で注意すべきいくつかの点についても学ぶ
</t>
    </r>
    <r>
      <rPr>
        <sz val="9"/>
        <color theme="1"/>
        <rFont val="Wingdings"/>
        <charset val="2"/>
      </rPr>
      <t></t>
    </r>
    <r>
      <rPr>
        <sz val="9"/>
        <color theme="1"/>
        <rFont val="Calibri"/>
        <family val="2"/>
      </rPr>
      <t xml:space="preserve"> </t>
    </r>
    <r>
      <rPr>
        <sz val="9"/>
        <color theme="1"/>
        <rFont val="ＭＳ Ｐゴシック"/>
        <family val="3"/>
        <charset val="128"/>
      </rPr>
      <t>データを正しく読む上では、データがどのような背景から得られたものなのかを正しく理解することも重要であることを知る</t>
    </r>
    <rPh sb="177" eb="178">
      <t>マナ</t>
    </rPh>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</si>
  <si>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「コンピュータ基礎演習Ⅱ」（文学部 第１０回）（芸術学部 第９回）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rPh sb="63" eb="64">
      <t>マナ</t>
    </rPh>
    <phoneticPr fontId="1"/>
  </si>
  <si>
    <r>
      <rPr>
        <sz val="9"/>
        <color theme="1"/>
        <rFont val="ＭＳ Ｐゴシック"/>
        <family val="3"/>
        <charset val="128"/>
        <scheme val="minor"/>
      </rPr>
      <t xml:space="preserve">ビッグデータ、IoT、AI、ロボット、第4次産業革命、Society 5.0、データ駆動型社会、複数技術を組み合わせたAIサービス、人間の知的活動とAIの関係性、データを起点としたものの見方について学ぶ
「コンピュータ基礎演習Ⅱ」（文学部 第２回）（芸術学部 第１回）
</t>
    </r>
    <r>
      <rPr>
        <sz val="9"/>
        <color theme="1"/>
        <rFont val="Wingdings"/>
        <charset val="2"/>
      </rPr>
      <t></t>
    </r>
    <r>
      <rPr>
        <sz val="9"/>
        <color theme="1"/>
        <rFont val="ＭＳ Ｐゴシック"/>
        <family val="3"/>
        <charset val="128"/>
      </rPr>
      <t xml:space="preserve"> </t>
    </r>
    <r>
      <rPr>
        <sz val="9"/>
        <color theme="1"/>
        <rFont val="ＭＳ Ｐゴシック"/>
        <family val="3"/>
        <charset val="128"/>
        <scheme val="minor"/>
      </rPr>
      <t>データサイエンスやAIとはどういう分野なのか、なぜ社会の関</t>
    </r>
    <r>
      <rPr>
        <sz val="9"/>
        <color theme="1"/>
        <rFont val="Microsoft JhengHei"/>
        <family val="2"/>
        <charset val="136"/>
      </rPr>
      <t>⼼</t>
    </r>
    <r>
      <rPr>
        <sz val="9"/>
        <color theme="1"/>
        <rFont val="ＭＳ Ｐゴシック"/>
        <family val="3"/>
        <charset val="128"/>
        <scheme val="minor"/>
      </rPr>
      <t xml:space="preserve">を集めているのか
</t>
    </r>
    <r>
      <rPr>
        <sz val="9"/>
        <color theme="1"/>
        <rFont val="Wingdings"/>
        <charset val="2"/>
      </rPr>
      <t></t>
    </r>
    <r>
      <rPr>
        <sz val="9"/>
        <color theme="1"/>
        <rFont val="ＭＳ Ｐゴシック"/>
        <family val="3"/>
        <charset val="128"/>
      </rPr>
      <t xml:space="preserve"> </t>
    </r>
    <r>
      <rPr>
        <sz val="9"/>
        <color theme="1"/>
        <rFont val="ＭＳ Ｐゴシック"/>
        <family val="3"/>
        <charset val="128"/>
        <scheme val="minor"/>
      </rPr>
      <t>社会におけるデータ・AIの利活</t>
    </r>
    <r>
      <rPr>
        <sz val="9"/>
        <color theme="1"/>
        <rFont val="Microsoft JhengHei"/>
        <family val="2"/>
        <charset val="136"/>
      </rPr>
      <t>⽤</t>
    </r>
    <r>
      <rPr>
        <sz val="9"/>
        <color theme="1"/>
        <rFont val="ＭＳ Ｐゴシック"/>
        <family val="3"/>
        <charset val="128"/>
        <scheme val="minor"/>
      </rPr>
      <t>例を幅広く学ぶことで、社会で起きている変化を知り、データサイエンスやAIを学ぶことの意義を理解することを</t>
    </r>
    <r>
      <rPr>
        <sz val="9"/>
        <color theme="1"/>
        <rFont val="Microsoft JhengHei"/>
        <family val="2"/>
        <charset val="136"/>
      </rPr>
      <t>⽬</t>
    </r>
    <r>
      <rPr>
        <sz val="9"/>
        <color theme="1"/>
        <rFont val="ＭＳ Ｐゴシック"/>
        <family val="3"/>
        <charset val="128"/>
        <scheme val="minor"/>
      </rPr>
      <t xml:space="preserve">標とする
</t>
    </r>
    <r>
      <rPr>
        <sz val="9"/>
        <color theme="1"/>
        <rFont val="Wingdings"/>
        <charset val="2"/>
      </rPr>
      <t></t>
    </r>
    <r>
      <rPr>
        <sz val="9"/>
        <color theme="1"/>
        <rFont val="ＭＳ Ｐゴシック"/>
        <family val="3"/>
        <charset val="128"/>
      </rPr>
      <t xml:space="preserve"> </t>
    </r>
    <r>
      <rPr>
        <sz val="9"/>
        <color theme="1"/>
        <rFont val="ＭＳ Ｐゴシック"/>
        <family val="3"/>
        <charset val="128"/>
        <scheme val="minor"/>
      </rPr>
      <t>特にAIを活</t>
    </r>
    <r>
      <rPr>
        <sz val="9"/>
        <color theme="1"/>
        <rFont val="Microsoft JhengHei"/>
        <family val="2"/>
        <charset val="136"/>
      </rPr>
      <t>⽤</t>
    </r>
    <r>
      <rPr>
        <sz val="9"/>
        <color theme="1"/>
        <rFont val="ＭＳ Ｐゴシック"/>
        <family val="3"/>
        <charset val="128"/>
        <scheme val="minor"/>
      </rPr>
      <t>した新しいビジネスやサービスは、複数の技術が組み合わさって実現していることに注</t>
    </r>
    <r>
      <rPr>
        <sz val="9"/>
        <color theme="1"/>
        <rFont val="Microsoft JhengHei"/>
        <family val="2"/>
        <charset val="136"/>
      </rPr>
      <t>⽬</t>
    </r>
    <r>
      <rPr>
        <sz val="9"/>
        <color theme="1"/>
        <rFont val="ＭＳ Ｐゴシック"/>
        <family val="3"/>
        <charset val="128"/>
        <scheme val="minor"/>
      </rPr>
      <t>する</t>
    </r>
    <rPh sb="99" eb="100">
      <t>マナ</t>
    </rPh>
    <rPh sb="109" eb="113">
      <t>キソエンシュウ</t>
    </rPh>
    <rPh sb="125" eb="129">
      <t>ゲイジュツガクブ</t>
    </rPh>
    <rPh sb="130" eb="131">
      <t>ダイ</t>
    </rPh>
    <rPh sb="132" eb="133">
      <t>カイ</t>
    </rPh>
    <phoneticPr fontId="1"/>
  </si>
  <si>
    <r>
      <rPr>
        <sz val="9"/>
        <color theme="1"/>
        <rFont val="ＭＳ Ｐゴシック"/>
        <family val="3"/>
        <charset val="128"/>
      </rPr>
      <t xml:space="preserve">構造化データ、非構造化データ（文章、画像/動画、音声/音楽など）、データのオープン化（オープンデータ）について学ぶ
「コンピュータ基礎演習Ⅱ」（文学部 第３回）（芸術学部 第２回）
</t>
    </r>
    <r>
      <rPr>
        <sz val="9"/>
        <color theme="1"/>
        <rFont val="Wingdings"/>
        <charset val="2"/>
      </rPr>
      <t></t>
    </r>
    <r>
      <rPr>
        <sz val="9"/>
        <color theme="1"/>
        <rFont val="ＭＳ Ｐゴシック"/>
        <family val="3"/>
        <charset val="128"/>
      </rPr>
      <t xml:space="preserve"> 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rPh sb="55" eb="56">
      <t>マナ</t>
    </rPh>
    <rPh sb="72" eb="75">
      <t>ブンガクブ</t>
    </rPh>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</si>
  <si>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「コンピュータ基礎演習Ⅱ」（文学部 第７回）（芸術学部 第６回）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rPh sb="94" eb="95">
      <t>マナ</t>
    </rPh>
    <rPh sb="111" eb="114">
      <t>ブンガクブ</t>
    </rPh>
    <rPh sb="115" eb="116">
      <t>ダイ</t>
    </rPh>
    <rPh sb="117" eb="118">
      <t>カイ</t>
    </rPh>
    <rPh sb="120" eb="124">
      <t>ゲイジュツガクブ</t>
    </rPh>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</si>
  <si>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「コンピュータ基礎演習Ⅱ」（スポーツ科学部 第７回）（栄養学部 第１回・第１２回）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rPh sb="115" eb="118">
      <t>カガクブ</t>
    </rPh>
    <rPh sb="119" eb="120">
      <t>ダイ</t>
    </rPh>
    <rPh sb="121" eb="122">
      <t>カイ</t>
    </rPh>
    <rPh sb="124" eb="128">
      <t>エイヨウガクブ</t>
    </rPh>
    <rPh sb="129" eb="130">
      <t>ダイ</t>
    </rPh>
    <rPh sb="131" eb="132">
      <t>カイ</t>
    </rPh>
    <rPh sb="133" eb="134">
      <t>ダイ</t>
    </rPh>
    <rPh sb="136" eb="137">
      <t>カイ</t>
    </rPh>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</si>
  <si>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「コンピュータ基礎演習Ⅱａ」（第６回）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phoneticPr fontId="1"/>
  </si>
  <si>
    <r>
      <rPr>
        <sz val="9"/>
        <color theme="1"/>
        <rFont val="MS PGothic"/>
        <family val="3"/>
      </rPr>
      <t>AI等を活用した新しいビジネスモデル(シェアリングエコノミー、商品のレコメンデーションなど)、AI最新技術の活用例（深層生成モデル、敵対的生成ネットワーク、強化学習、転移学習など）について学ぶ
「ICT</t>
    </r>
    <r>
      <rPr>
        <sz val="9"/>
        <color theme="1"/>
        <rFont val="ＭＳ Ｐゴシック"/>
        <family val="3"/>
        <charset val="128"/>
      </rPr>
      <t xml:space="preserve">活用教育概論」（第６回）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phoneticPr fontId="1"/>
  </si>
  <si>
    <r>
      <rPr>
        <sz val="9"/>
        <color theme="1"/>
        <rFont val="ＭＳ Ｐゴシック"/>
        <family val="3"/>
        <charset val="128"/>
      </rPr>
      <t xml:space="preserve">構造化データ、非構造化データ（文章、画像/動画、音声/音楽など）、データのオープン化（オープンデータ）について学ぶ
「コンピュータ基礎演習Ⅱ」（スポーツ科学部 第３回）（栄養学部 第３回・第８回）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rPh sb="76" eb="79">
      <t>カガクブ</t>
    </rPh>
    <phoneticPr fontId="1"/>
  </si>
  <si>
    <r>
      <rPr>
        <sz val="9"/>
        <color theme="1"/>
        <rFont val="ＭＳ Ｐゴシック"/>
        <family val="3"/>
        <charset val="128"/>
      </rPr>
      <t xml:space="preserve">構造化データ、非構造化データ（文章、画像/動画、音声/音楽など）、データのオープン化（オープンデータ）について学ぶ
「コンピュータ基礎演習Ⅱａ」（第２回）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phoneticPr fontId="1"/>
  </si>
  <si>
    <r>
      <rPr>
        <sz val="9"/>
        <color theme="1"/>
        <rFont val="ＭＳ Ｐゴシック"/>
        <family val="3"/>
        <charset val="128"/>
      </rPr>
      <t>構造化データ、非構造化データ（文章、画像/動画、音声/音楽など）、データのオープン化（オープンデータ）について学ぶ
「</t>
    </r>
    <r>
      <rPr>
        <sz val="9"/>
        <color theme="1"/>
        <rFont val="MS PGothic"/>
        <family val="3"/>
      </rPr>
      <t>ICT</t>
    </r>
    <r>
      <rPr>
        <sz val="9"/>
        <color theme="1"/>
        <rFont val="ＭＳ Ｐゴシック"/>
        <family val="3"/>
        <charset val="128"/>
      </rPr>
      <t xml:space="preserve">活用教育概論」（第２回）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</si>
  <si>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「コンピュータ基礎演習Ⅱ」（スポーツ科学部 第４回）（栄養学部 第２回・第９,１０回）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rPh sb="99" eb="100">
      <t>ダイ</t>
    </rPh>
    <rPh sb="101" eb="102">
      <t>カイ</t>
    </rPh>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</si>
  <si>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「コンピュータ基礎演習Ⅱａ」（第３回）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phoneticPr fontId="1"/>
  </si>
  <si>
    <r>
      <rPr>
        <sz val="9"/>
        <color theme="1"/>
        <rFont val="ＭＳ Ｐゴシック"/>
        <family val="3"/>
        <charset val="128"/>
      </rPr>
      <t>データ・AI活用領域の広がり(生産、消費、文化活動など)、研究開発、調達、製造、物流、販売、マーケティング、サービスなどについて学ぶ
「</t>
    </r>
    <r>
      <rPr>
        <sz val="9"/>
        <color theme="1"/>
        <rFont val="MS PGothic"/>
        <family val="3"/>
      </rPr>
      <t>ICT</t>
    </r>
    <r>
      <rPr>
        <sz val="9"/>
        <color theme="1"/>
        <rFont val="ＭＳ Ｐゴシック"/>
        <family val="3"/>
        <charset val="128"/>
      </rPr>
      <t xml:space="preserve">活用教育概論」（第３回）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phoneticPr fontId="1"/>
  </si>
  <si>
    <r>
      <rPr>
        <sz val="9"/>
        <color theme="1"/>
        <rFont val="ＭＳ Ｐゴシック"/>
        <family val="3"/>
        <charset val="128"/>
      </rPr>
      <t xml:space="preserve">非構造化データ処理：言語処理、画像/動画処理、音声/音楽処理などについて学ぶ
「コンピュータ基礎演習Ⅱ」（スポーツ科学部 第５回）（栄養学部 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</si>
  <si>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 xml:space="preserve">非構造化データ処理：言語処理、画像/動画処理、音声/音楽処理などについて学ぶ
「コンピュータ基礎演習Ⅱａ」（第４回）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</si>
  <si>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非構造化データ処理：言語処理、画像/動画処理、音声/音楽処理などについて学ぶ
「</t>
    </r>
    <r>
      <rPr>
        <sz val="9"/>
        <color theme="1"/>
        <rFont val="MS PGothic"/>
        <family val="3"/>
      </rPr>
      <t>ICT</t>
    </r>
    <r>
      <rPr>
        <sz val="9"/>
        <color theme="1"/>
        <rFont val="ＭＳ Ｐゴシック"/>
        <family val="3"/>
        <charset val="128"/>
      </rPr>
      <t xml:space="preserve">活用教育概論」（第４回）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</si>
  <si>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「コンピュータ基礎演習Ⅱ」（スポーツ科学部 第６回）（栄養学部 第１０回）
</t>
    </r>
    <r>
      <rPr>
        <sz val="9"/>
        <color theme="1"/>
        <rFont val="Wingdings"/>
        <charset val="2"/>
      </rPr>
      <t></t>
    </r>
    <r>
      <rPr>
        <sz val="9"/>
        <color theme="1"/>
        <rFont val="ＭＳ Ｐゴシック"/>
        <family val="3"/>
        <charset val="128"/>
      </rPr>
      <t xml:space="preserve"> データサイエンティストの仕事の流れとは具体的にどのようなものなのか
</t>
    </r>
    <r>
      <rPr>
        <sz val="9"/>
        <color theme="1"/>
        <rFont val="Wingdings"/>
        <charset val="2"/>
      </rPr>
      <t></t>
    </r>
    <r>
      <rPr>
        <sz val="9"/>
        <color theme="1"/>
        <rFont val="ＭＳ Ｐゴシック"/>
        <family val="3"/>
        <charset val="128"/>
      </rPr>
      <t xml:space="preserve"> データ・AIを活用することによって、どのような価値が生まれているかを知ることを目標とする</t>
    </r>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</si>
  <si>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「コンピュータ基礎演習Ⅱａ」（第５回）
</t>
    </r>
    <r>
      <rPr>
        <sz val="9"/>
        <color theme="1"/>
        <rFont val="Wingdings"/>
        <charset val="2"/>
      </rPr>
      <t></t>
    </r>
    <r>
      <rPr>
        <sz val="9"/>
        <color theme="1"/>
        <rFont val="ＭＳ Ｐゴシック"/>
        <family val="3"/>
        <charset val="128"/>
      </rPr>
      <t xml:space="preserve"> データサイエンティストの仕事の流れとは具体的にどのようなものなのか
</t>
    </r>
    <r>
      <rPr>
        <sz val="9"/>
        <color theme="1"/>
        <rFont val="Wingdings"/>
        <charset val="2"/>
      </rPr>
      <t></t>
    </r>
    <r>
      <rPr>
        <sz val="9"/>
        <color theme="1"/>
        <rFont val="ＭＳ Ｐゴシック"/>
        <family val="3"/>
        <charset val="128"/>
      </rPr>
      <t xml:space="preserve"> データ・AIを活用することによって、どのような価値が生まれているかを知ることを目標とする</t>
    </r>
    <phoneticPr fontId="1"/>
  </si>
  <si>
    <r>
      <rPr>
        <sz val="9"/>
        <color theme="1"/>
        <rFont val="ＭＳ Ｐゴシック"/>
        <family val="3"/>
        <charset val="128"/>
      </rPr>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t>
    </r>
    <r>
      <rPr>
        <sz val="9"/>
        <color theme="1"/>
        <rFont val="MS PGothic"/>
        <family val="3"/>
      </rPr>
      <t>ICT</t>
    </r>
    <r>
      <rPr>
        <sz val="9"/>
        <color theme="1"/>
        <rFont val="ＭＳ Ｐゴシック"/>
        <family val="3"/>
        <charset val="128"/>
      </rPr>
      <t xml:space="preserve">活用教育概論」（第５回）
</t>
    </r>
    <r>
      <rPr>
        <sz val="9"/>
        <color theme="1"/>
        <rFont val="Wingdings"/>
        <charset val="2"/>
      </rPr>
      <t></t>
    </r>
    <r>
      <rPr>
        <sz val="9"/>
        <color theme="1"/>
        <rFont val="ＭＳ Ｐゴシック"/>
        <family val="3"/>
        <charset val="128"/>
      </rPr>
      <t xml:space="preserve"> データサイエンティストの仕事の流れとは具体的にどのようなものなのか
</t>
    </r>
    <r>
      <rPr>
        <sz val="9"/>
        <color theme="1"/>
        <rFont val="Wingdings"/>
        <charset val="2"/>
      </rPr>
      <t></t>
    </r>
    <r>
      <rPr>
        <sz val="9"/>
        <color theme="1"/>
        <rFont val="ＭＳ Ｐゴシック"/>
        <family val="3"/>
        <charset val="128"/>
      </rPr>
      <t xml:space="preserve"> データ・AIを活用することによって、どのような価値が生まれているかを知ることを目標とする</t>
    </r>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</si>
  <si>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「コンピュータ基礎演習Ⅱ」（スポーツ科学部 第１１回）（栄養学部 第１回）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</si>
  <si>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「コンピュータ基礎演習Ⅱｂ」（第３回）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</si>
  <si>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t>
    </r>
    <r>
      <rPr>
        <sz val="9"/>
        <color theme="1"/>
        <rFont val="MS PGothic"/>
        <family val="3"/>
      </rPr>
      <t>ICT</t>
    </r>
    <r>
      <rPr>
        <sz val="9"/>
        <color theme="1"/>
        <rFont val="ＭＳ Ｐゴシック"/>
        <family val="3"/>
        <charset val="128"/>
      </rPr>
      <t xml:space="preserve">活用教育概論」（第１４回）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</si>
  <si>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「コンピュータ基礎演習Ⅱ」（スポーツ科学部 第１２回）（栄養学部 第９回）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</si>
  <si>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「コンピュータ基礎演習Ⅱｂ」（第４回）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</si>
  <si>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情報セキュリティ：機密性、完全性、可用性、匿名加工情報、暗号化、パスワード、悪意ある情報搾取、情報漏洩等によるセキュリティ事故の事例について学ぶ
「</t>
    </r>
    <r>
      <rPr>
        <sz val="9"/>
        <color theme="1"/>
        <rFont val="MS PGothic"/>
        <family val="3"/>
      </rPr>
      <t>ICT</t>
    </r>
    <r>
      <rPr>
        <sz val="9"/>
        <color theme="1"/>
        <rFont val="ＭＳ Ｐゴシック"/>
        <family val="3"/>
        <charset val="128"/>
      </rPr>
      <t xml:space="preserve">活用教育概論」（第１５回）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</si>
  <si>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「コンピュータ基礎演習Ⅱ」（スポーツ科学部 第８回）（栄養学部 第６,７回・第１０,１１回）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</si>
  <si>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「コンピュータ基礎演習Ⅱａ」（第７回）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</si>
  <si>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t>
    </r>
    <r>
      <rPr>
        <sz val="9"/>
        <color theme="1"/>
        <rFont val="MS PGothic"/>
        <family val="3"/>
      </rPr>
      <t>ICT</t>
    </r>
    <r>
      <rPr>
        <sz val="9"/>
        <color theme="1"/>
        <rFont val="ＭＳ Ｐゴシック"/>
        <family val="3"/>
        <charset val="128"/>
      </rPr>
      <t xml:space="preserve">活用教育概論」（第７回）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</si>
  <si>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「コンピュータ基礎演習Ⅱ」（スポーツ科学部 ・栄養学部 第９回）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</si>
  <si>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「コンピュータ基礎演習Ⅱｂ」（第１回）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</si>
  <si>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t>
    </r>
    <r>
      <rPr>
        <sz val="9"/>
        <color theme="1"/>
        <rFont val="MS PGothic"/>
        <family val="3"/>
      </rPr>
      <t>ICT</t>
    </r>
    <r>
      <rPr>
        <sz val="9"/>
        <color theme="1"/>
        <rFont val="ＭＳ Ｐゴシック"/>
        <family val="3"/>
        <charset val="128"/>
      </rPr>
      <t xml:space="preserve">活用教育概論」（第８回）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</si>
  <si>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「コンピュータ基礎演習Ⅱ」（スポーツ科学部 第１０回）（栄養学部 第１２,１３回）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</si>
  <si>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「コンピュータ基礎演習Ⅱｂ」（第２回）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</si>
  <si>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データの集計（和、平均）、データの並び替え、ランキング、データ解析ツール（スプレッドシート）、表形式のデータ（csv）について学ぶ
「</t>
    </r>
    <r>
      <rPr>
        <sz val="9"/>
        <color theme="1"/>
        <rFont val="MS PGothic"/>
        <family val="3"/>
      </rPr>
      <t>ICT</t>
    </r>
    <r>
      <rPr>
        <sz val="9"/>
        <color theme="1"/>
        <rFont val="ＭＳ Ｐゴシック"/>
        <family val="3"/>
        <charset val="128"/>
      </rPr>
      <t xml:space="preserve">活用教育概論」（第９回）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</si>
  <si>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 xml:space="preserve">ビッグデータ、IoT、AI、ロボット、第4次産業革命、Society 5.0、データ駆動型社会、複数技術を組み合わせたAIサービス、人間の知的活動とAIの関係性、データを起点としたものの見方について学ぶ
「コンピュータ基礎演習Ⅱ」（スポーツ科学部 第２回）（栄養学部 第１回）
</t>
    </r>
    <r>
      <rPr>
        <sz val="9"/>
        <color theme="1"/>
        <rFont val="Wingdings"/>
        <charset val="2"/>
      </rPr>
      <t></t>
    </r>
    <r>
      <rPr>
        <sz val="9"/>
        <color theme="1"/>
        <rFont val="ＭＳ Ｐゴシック"/>
        <family val="3"/>
        <charset val="128"/>
      </rPr>
      <t xml:space="preserve"> データサイエンスやAIとはどういう分野なのか、なぜ社会の関</t>
    </r>
    <r>
      <rPr>
        <sz val="9"/>
        <color theme="1"/>
        <rFont val="Microsoft JhengHei"/>
        <family val="2"/>
        <charset val="136"/>
      </rPr>
      <t>⼼</t>
    </r>
    <r>
      <rPr>
        <sz val="9"/>
        <color theme="1"/>
        <rFont val="ＭＳ Ｐゴシック"/>
        <family val="3"/>
        <charset val="128"/>
      </rPr>
      <t xml:space="preserve">を集めているのか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t>
    </r>
    <r>
      <rPr>
        <sz val="9"/>
        <color theme="1"/>
        <rFont val="ＭＳ Ｐゴシック"/>
        <family val="3"/>
        <charset val="128"/>
      </rPr>
      <t>する</t>
    </r>
    <rPh sb="109" eb="113">
      <t>キソエンシュウ</t>
    </rPh>
    <rPh sb="129" eb="133">
      <t>エイヨウガクブ</t>
    </rPh>
    <rPh sb="134" eb="135">
      <t>ダイ</t>
    </rPh>
    <rPh sb="136" eb="137">
      <t>カイ</t>
    </rPh>
    <phoneticPr fontId="1"/>
  </si>
  <si>
    <r>
      <rPr>
        <sz val="9"/>
        <color theme="1"/>
        <rFont val="ＭＳ Ｐゴシック"/>
        <family val="3"/>
        <charset val="128"/>
      </rPr>
      <t xml:space="preserve">ビッグデータ、IoT、AI、ロボット、第4次産業革命、Society 5.0、データ駆動型社会、複数技術を組み合わせたAIサービス、人間の知的活動とAIの関係性、データを起点としたものの見方について学ぶ
「コンピュータ基礎演習Ⅱａ」（第１回）
</t>
    </r>
    <r>
      <rPr>
        <sz val="9"/>
        <color theme="1"/>
        <rFont val="Wingdings"/>
        <charset val="2"/>
      </rPr>
      <t></t>
    </r>
    <r>
      <rPr>
        <sz val="9"/>
        <color theme="1"/>
        <rFont val="ＭＳ Ｐゴシック"/>
        <family val="3"/>
        <charset val="128"/>
      </rPr>
      <t xml:space="preserve"> データサイエンスやAIとはどういう分野なのか、なぜ社会の関</t>
    </r>
    <r>
      <rPr>
        <sz val="9"/>
        <color theme="1"/>
        <rFont val="Microsoft JhengHei"/>
        <family val="2"/>
        <charset val="136"/>
      </rPr>
      <t>⼼</t>
    </r>
    <r>
      <rPr>
        <sz val="9"/>
        <color theme="1"/>
        <rFont val="ＭＳ Ｐゴシック"/>
        <family val="3"/>
        <charset val="136"/>
        <scheme val="minor"/>
      </rPr>
      <t>を</t>
    </r>
    <r>
      <rPr>
        <sz val="9"/>
        <color theme="1"/>
        <rFont val="ＭＳ Ｐゴシック"/>
        <family val="3"/>
        <charset val="128"/>
      </rPr>
      <t xml:space="preserve">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t>
    </r>
    <r>
      <rPr>
        <sz val="9"/>
        <color theme="1"/>
        <rFont val="ＭＳ Ｐゴシック"/>
        <family val="3"/>
        <charset val="128"/>
      </rPr>
      <t>する</t>
    </r>
    <rPh sb="109" eb="113">
      <t>キソエンシュウ</t>
    </rPh>
    <rPh sb="117" eb="118">
      <t>ダイ</t>
    </rPh>
    <rPh sb="119" eb="120">
      <t>カイ</t>
    </rPh>
    <phoneticPr fontId="1"/>
  </si>
  <si>
    <r>
      <rPr>
        <sz val="9"/>
        <color theme="1"/>
        <rFont val="ＭＳ Ｐゴシック"/>
        <family val="3"/>
        <charset val="128"/>
      </rPr>
      <t>ビッグデータ、IoT、AI、ロボット、第4次産業革命、Society 5.0、データ駆動型社会、複数技術を組み合わせたAIサービス、人間の知的活動とAIの関係性、データを起点としたものの見方について学ぶ
「</t>
    </r>
    <r>
      <rPr>
        <sz val="9"/>
        <color theme="1"/>
        <rFont val="MS PGothic"/>
        <family val="3"/>
      </rPr>
      <t>ICT</t>
    </r>
    <r>
      <rPr>
        <sz val="9"/>
        <color theme="1"/>
        <rFont val="ＭＳ Ｐゴシック"/>
        <family val="3"/>
        <charset val="128"/>
      </rPr>
      <t xml:space="preserve">活用教育概論」（第１回）
</t>
    </r>
    <r>
      <rPr>
        <sz val="9"/>
        <color theme="1"/>
        <rFont val="Wingdings"/>
        <charset val="2"/>
      </rPr>
      <t></t>
    </r>
    <r>
      <rPr>
        <sz val="9"/>
        <color theme="1"/>
        <rFont val="ＭＳ Ｐゴシック"/>
        <family val="3"/>
        <charset val="128"/>
      </rPr>
      <t xml:space="preserve"> データサイエンスやAIとはどういう分野なのか、なぜ社会の関</t>
    </r>
    <r>
      <rPr>
        <sz val="9"/>
        <color theme="1"/>
        <rFont val="Microsoft JhengHei"/>
        <family val="2"/>
        <charset val="136"/>
      </rPr>
      <t>⼼</t>
    </r>
    <r>
      <rPr>
        <sz val="9"/>
        <color theme="1"/>
        <rFont val="ＭＳ Ｐゴシック"/>
        <family val="3"/>
        <charset val="128"/>
      </rPr>
      <t xml:space="preserve">を集めているのか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t>
    </r>
    <r>
      <rPr>
        <sz val="9"/>
        <color theme="1"/>
        <rFont val="ＭＳ Ｐゴシック"/>
        <family val="3"/>
        <charset val="128"/>
      </rPr>
      <t>する</t>
    </r>
    <rPh sb="114" eb="115">
      <t>ダイ</t>
    </rPh>
    <rPh sb="116" eb="117">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</si>
</sst>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S PGothic"/>
      <family val="3"/>
      <charset val="128"/>
    </font>
    <font>
      <sz val="11"/>
      <name val="Calibri"/>
      <family val="2"/>
    </font>
    <font>
      <sz val="11"/>
      <color theme="1"/>
      <name val="MS PGothic"/>
      <family val="3"/>
      <charset val="128"/>
    </font>
    <font>
      <sz val="9"/>
      <color theme="1"/>
      <name val="Wingdings"/>
      <charset val="2"/>
    </font>
    <font>
      <sz val="9"/>
      <color theme="1"/>
      <name val="ＭＳ Ｐゴシック"/>
      <family val="3"/>
      <charset val="128"/>
    </font>
    <font>
      <sz val="9"/>
      <color theme="1"/>
      <name val="Microsoft JhengHei UI"/>
      <family val="2"/>
      <charset val="136"/>
    </font>
    <font>
      <sz val="9"/>
      <color theme="1"/>
      <name val="Calibri"/>
      <family val="2"/>
    </font>
    <font>
      <sz val="9"/>
      <color theme="1"/>
      <name val="MS PGothic"/>
      <family val="3"/>
      <charset val="128"/>
    </font>
    <font>
      <sz val="12"/>
      <color theme="1"/>
      <name val="ＭＳ Ｐゴシック"/>
      <family val="3"/>
      <charset val="128"/>
    </font>
    <font>
      <sz val="9"/>
      <color theme="1"/>
      <name val="MS PGothic"/>
      <family val="3"/>
    </font>
    <font>
      <sz val="12"/>
      <color theme="1"/>
      <name val="MS PGothic"/>
      <family val="3"/>
      <charset val="128"/>
    </font>
    <font>
      <sz val="9"/>
      <color theme="1"/>
      <name val="Microsoft JhengHei"/>
      <family val="2"/>
      <charset val="136"/>
    </font>
    <font>
      <sz val="9"/>
      <color theme="1"/>
      <name val="ＭＳ Ｐゴシック"/>
      <family val="3"/>
      <charset val="136"/>
      <scheme val="minor"/>
    </font>
  </fonts>
  <fills count="3">
    <fill>
      <patternFill patternType="none"/>
    </fill>
    <fill>
      <patternFill patternType="gray125"/>
    </fill>
    <fill>
      <patternFill patternType="solid">
        <fgColor theme="0" tint="-4.9989318521683403E-2"/>
        <bgColor indexed="64"/>
      </patternFill>
    </fill>
  </fills>
  <borders count="8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thin">
        <color rgb="FF000000"/>
      </top>
      <bottom/>
      <diagonal/>
    </border>
    <border>
      <left/>
      <right style="thin">
        <color rgb="FF000000"/>
      </right>
      <top style="thin">
        <color rgb="FF000000"/>
      </top>
      <bottom/>
      <diagonal/>
    </border>
    <border>
      <left/>
      <right/>
      <top style="hair">
        <color rgb="FF000000"/>
      </top>
      <bottom/>
      <diagonal/>
    </border>
    <border>
      <left/>
      <right style="thin">
        <color rgb="FF000000"/>
      </right>
      <top style="hair">
        <color rgb="FF000000"/>
      </top>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auto="1"/>
      </top>
      <bottom style="hair">
        <color rgb="FF000000"/>
      </bottom>
      <diagonal/>
    </border>
    <border>
      <left/>
      <right/>
      <top style="thin">
        <color auto="1"/>
      </top>
      <bottom style="hair">
        <color rgb="FF000000"/>
      </bottom>
      <diagonal/>
    </border>
    <border>
      <left/>
      <right style="thin">
        <color rgb="FF000000"/>
      </right>
      <top style="thin">
        <color auto="1"/>
      </top>
      <bottom style="hair">
        <color rgb="FF000000"/>
      </bottom>
      <diagonal/>
    </border>
    <border>
      <left style="thin">
        <color rgb="FF000000"/>
      </left>
      <right style="thin">
        <color rgb="FF000000"/>
      </right>
      <top/>
      <bottom/>
      <diagonal/>
    </border>
    <border>
      <left style="thin">
        <color rgb="FF000000"/>
      </left>
      <right/>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1" fillId="0" borderId="66" xfId="0" applyFont="1" applyBorder="1" applyAlignment="1">
      <alignment horizontal="center" vertical="center" shrinkToFit="1"/>
    </xf>
    <xf numFmtId="0" fontId="11" fillId="0" borderId="69" xfId="0" applyFont="1" applyBorder="1" applyAlignment="1">
      <alignment horizontal="center" vertical="center" shrinkToFit="1"/>
    </xf>
    <xf numFmtId="38" fontId="21" fillId="0" borderId="82" xfId="0" applyNumberFormat="1" applyFont="1" applyBorder="1" applyAlignment="1">
      <alignment vertical="center" shrinkToFit="1"/>
    </xf>
    <xf numFmtId="38" fontId="21" fillId="0" borderId="0" xfId="0" applyNumberFormat="1" applyFont="1" applyAlignment="1">
      <alignment vertical="center" shrinkToFit="1"/>
    </xf>
    <xf numFmtId="38" fontId="21" fillId="0" borderId="83" xfId="0" applyNumberFormat="1" applyFont="1" applyBorder="1" applyAlignment="1">
      <alignment vertical="center" shrinkToFit="1"/>
    </xf>
    <xf numFmtId="38" fontId="21" fillId="0" borderId="69" xfId="0" applyNumberFormat="1" applyFont="1" applyBorder="1" applyAlignment="1">
      <alignment vertical="center" shrinkToFit="1"/>
    </xf>
    <xf numFmtId="38" fontId="21" fillId="0" borderId="68" xfId="0" applyNumberFormat="1" applyFont="1" applyBorder="1" applyAlignment="1">
      <alignment vertical="center" shrinkToFit="1"/>
    </xf>
    <xf numFmtId="38" fontId="21" fillId="0" borderId="67" xfId="0" applyNumberFormat="1" applyFont="1" applyBorder="1" applyAlignment="1">
      <alignment vertical="center" shrinkToFit="1"/>
    </xf>
    <xf numFmtId="0" fontId="11" fillId="0" borderId="69" xfId="0" applyFont="1" applyBorder="1" applyAlignment="1">
      <alignment horizontal="left" vertical="center" shrinkToFit="1"/>
    </xf>
    <xf numFmtId="0" fontId="11" fillId="0" borderId="66" xfId="0" applyFont="1" applyBorder="1" applyAlignment="1">
      <alignment horizontal="left" vertical="center" shrinkToFit="1"/>
    </xf>
    <xf numFmtId="176" fontId="2" fillId="0" borderId="1" xfId="0" applyNumberFormat="1" applyFont="1" applyBorder="1" applyAlignment="1">
      <alignment horizontal="center" vertical="center" shrinkToFi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18" fillId="0" borderId="64" xfId="0" applyFont="1" applyBorder="1" applyAlignment="1">
      <alignment vertical="center" wrapText="1"/>
    </xf>
    <xf numFmtId="0" fontId="12" fillId="0" borderId="64" xfId="0" applyFont="1" applyBorder="1">
      <alignment vertical="center"/>
    </xf>
    <xf numFmtId="0" fontId="12" fillId="0" borderId="65" xfId="0" applyFont="1" applyBorder="1">
      <alignment vertical="center"/>
    </xf>
    <xf numFmtId="0" fontId="18" fillId="0" borderId="67" xfId="0" applyFont="1" applyBorder="1" applyAlignment="1">
      <alignment vertical="center" wrapText="1"/>
    </xf>
    <xf numFmtId="0" fontId="12" fillId="0" borderId="68" xfId="0" applyFont="1" applyBorder="1">
      <alignment vertical="center"/>
    </xf>
    <xf numFmtId="0" fontId="12" fillId="0" borderId="70" xfId="0" applyFont="1" applyBorder="1">
      <alignment vertical="center"/>
    </xf>
    <xf numFmtId="0" fontId="18" fillId="0" borderId="77" xfId="0" applyFont="1" applyBorder="1" applyAlignment="1">
      <alignment vertical="center" wrapText="1"/>
    </xf>
    <xf numFmtId="0" fontId="12" fillId="0" borderId="77" xfId="0" applyFont="1" applyBorder="1">
      <alignment vertical="center"/>
    </xf>
    <xf numFmtId="0" fontId="12" fillId="0" borderId="78" xfId="0" applyFont="1" applyBorder="1">
      <alignment vertical="center"/>
    </xf>
    <xf numFmtId="0" fontId="11" fillId="0" borderId="60" xfId="0" applyFont="1" applyBorder="1" applyAlignment="1">
      <alignment horizontal="left" vertical="top" wrapText="1" shrinkToFit="1"/>
    </xf>
    <xf numFmtId="0" fontId="12" fillId="0" borderId="61" xfId="0" applyFont="1" applyBorder="1" applyAlignment="1">
      <alignment horizontal="left" vertical="top"/>
    </xf>
    <xf numFmtId="0" fontId="12" fillId="0" borderId="62" xfId="0" applyFont="1" applyBorder="1" applyAlignment="1">
      <alignment horizontal="left" vertical="top"/>
    </xf>
    <xf numFmtId="0" fontId="18" fillId="0" borderId="64" xfId="0" applyFont="1" applyBorder="1" applyAlignment="1">
      <alignment horizontal="left" vertical="center" wrapText="1"/>
    </xf>
    <xf numFmtId="0" fontId="18" fillId="0" borderId="77" xfId="0" applyFont="1" applyBorder="1" applyAlignment="1">
      <alignment horizontal="left" vertical="center" wrapText="1"/>
    </xf>
    <xf numFmtId="0" fontId="18" fillId="0" borderId="71" xfId="0" applyFont="1" applyBorder="1" applyAlignment="1">
      <alignment horizontal="left" vertical="center" wrapText="1"/>
    </xf>
    <xf numFmtId="0" fontId="12" fillId="0" borderId="71" xfId="0" applyFont="1" applyBorder="1">
      <alignment vertical="center"/>
    </xf>
    <xf numFmtId="0" fontId="12" fillId="0" borderId="72" xfId="0" applyFont="1" applyBorder="1">
      <alignment vertical="center"/>
    </xf>
    <xf numFmtId="0" fontId="18" fillId="0" borderId="75" xfId="0" applyFont="1" applyBorder="1" applyAlignment="1">
      <alignment horizontal="left" vertical="center" wrapText="1" shrinkToFit="1"/>
    </xf>
    <xf numFmtId="0" fontId="12" fillId="0" borderId="75" xfId="0" applyFont="1" applyBorder="1">
      <alignment vertical="center"/>
    </xf>
    <xf numFmtId="0" fontId="12" fillId="0" borderId="76" xfId="0" applyFont="1" applyBorder="1">
      <alignment vertical="center"/>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8" fillId="0" borderId="73" xfId="0" applyFont="1" applyBorder="1" applyAlignment="1">
      <alignment horizontal="left" vertical="center" wrapText="1"/>
    </xf>
    <xf numFmtId="0" fontId="12" fillId="0" borderId="73" xfId="0" applyFont="1" applyBorder="1">
      <alignment vertical="center"/>
    </xf>
    <xf numFmtId="0" fontId="12" fillId="0" borderId="74" xfId="0" applyFont="1" applyBorder="1">
      <alignment vertical="center"/>
    </xf>
    <xf numFmtId="0" fontId="11" fillId="0" borderId="67" xfId="0" applyFont="1" applyBorder="1" applyAlignment="1">
      <alignment vertical="center" shrinkToFit="1"/>
    </xf>
    <xf numFmtId="0" fontId="11" fillId="0" borderId="67" xfId="0" applyFont="1" applyBorder="1" applyAlignment="1">
      <alignment horizontal="center"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1" fillId="0" borderId="63" xfId="0" applyFont="1" applyBorder="1" applyAlignment="1">
      <alignment vertical="center" shrinkToFit="1"/>
    </xf>
    <xf numFmtId="0" fontId="11" fillId="0" borderId="63" xfId="0" applyFont="1" applyBorder="1" applyAlignment="1">
      <alignment horizontal="center"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1" fillId="0" borderId="60" xfId="0" applyFont="1" applyBorder="1" applyAlignment="1">
      <alignment horizontal="center" vertical="center"/>
    </xf>
    <xf numFmtId="0" fontId="12" fillId="0" borderId="62" xfId="0" applyFont="1" applyBorder="1">
      <alignment vertical="center"/>
    </xf>
    <xf numFmtId="0" fontId="13" fillId="0" borderId="60" xfId="0" applyFont="1" applyBorder="1" applyAlignment="1">
      <alignment horizontal="center" vertical="center" shrinkToFit="1"/>
    </xf>
    <xf numFmtId="0" fontId="12" fillId="0" borderId="61" xfId="0" applyFont="1" applyBorder="1">
      <alignment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1" fillId="0" borderId="79" xfId="0" applyFont="1" applyBorder="1" applyAlignment="1">
      <alignment vertical="center" shrinkToFit="1"/>
    </xf>
    <xf numFmtId="0" fontId="11" fillId="0" borderId="80" xfId="0" applyFont="1" applyBorder="1" applyAlignment="1">
      <alignment vertical="center" shrinkToFit="1"/>
    </xf>
    <xf numFmtId="0" fontId="11" fillId="0" borderId="81" xfId="0" applyFont="1" applyBorder="1" applyAlignment="1">
      <alignment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B682-06D0-4328-8CD5-AB662EC7380C}">
  <dimension ref="A1:V110"/>
  <sheetViews>
    <sheetView showZeros="0" tabSelected="1" view="pageBreakPreview" topLeftCell="A82" zoomScale="150" zoomScaleNormal="100" zoomScaleSheetLayoutView="150" workbookViewId="0">
      <selection activeCell="D89" sqref="D89:S89"/>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61" t="s">
        <v>175</v>
      </c>
      <c r="S1" s="161"/>
      <c r="T1" s="2" t="s">
        <v>109</v>
      </c>
    </row>
    <row r="2" spans="1:22" ht="18.75" customHeight="1">
      <c r="B2" s="33" t="s">
        <v>108</v>
      </c>
      <c r="C2" s="157" t="s">
        <v>126</v>
      </c>
      <c r="D2" s="160"/>
      <c r="E2" s="160"/>
      <c r="F2" s="160"/>
      <c r="G2" s="160"/>
      <c r="H2" s="160"/>
      <c r="I2" s="158"/>
      <c r="J2" s="34"/>
      <c r="K2" s="6"/>
      <c r="L2" s="6"/>
      <c r="M2" s="6"/>
      <c r="N2" s="6"/>
      <c r="O2" s="6"/>
      <c r="P2" s="6"/>
      <c r="Q2" s="6"/>
      <c r="R2" s="6"/>
      <c r="S2" s="6"/>
    </row>
    <row r="3" spans="1:22" ht="18.75" customHeight="1">
      <c r="B3" s="33" t="s">
        <v>102</v>
      </c>
      <c r="C3" s="157" t="s">
        <v>179</v>
      </c>
      <c r="D3" s="160"/>
      <c r="E3" s="160"/>
      <c r="F3" s="160"/>
      <c r="G3" s="160"/>
      <c r="H3" s="160"/>
      <c r="I3" s="158"/>
      <c r="J3" s="34"/>
      <c r="K3" s="6"/>
      <c r="L3" s="6"/>
      <c r="M3" s="6"/>
      <c r="N3" s="6"/>
      <c r="O3" s="6"/>
      <c r="P3" s="6"/>
      <c r="Q3" s="6"/>
      <c r="R3" s="6"/>
      <c r="S3" s="6"/>
    </row>
    <row r="4" spans="1:22" ht="15" customHeight="1">
      <c r="K4" s="34"/>
      <c r="L4" s="36"/>
      <c r="M4" s="36"/>
      <c r="N4" s="36"/>
      <c r="O4" s="36"/>
      <c r="P4" s="36"/>
      <c r="Q4" s="36"/>
      <c r="R4" s="36"/>
      <c r="S4" s="36"/>
    </row>
    <row r="5" spans="1:22" ht="18" customHeight="1">
      <c r="A5" s="162" t="s">
        <v>38</v>
      </c>
      <c r="B5" s="162"/>
      <c r="C5" s="162"/>
      <c r="D5" s="162"/>
      <c r="E5" s="162"/>
      <c r="F5" s="162"/>
      <c r="G5" s="162"/>
      <c r="H5" s="162"/>
      <c r="I5" s="162"/>
      <c r="J5" s="162"/>
      <c r="K5" s="162"/>
      <c r="L5" s="162"/>
      <c r="M5" s="162"/>
      <c r="N5" s="162"/>
      <c r="O5" s="162"/>
      <c r="P5" s="162"/>
      <c r="Q5" s="162"/>
      <c r="R5" s="162"/>
      <c r="S5" s="162"/>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63" t="s">
        <v>127</v>
      </c>
      <c r="L7" s="164"/>
      <c r="M7" s="164"/>
      <c r="N7" s="164"/>
      <c r="O7" s="164"/>
      <c r="P7" s="164"/>
      <c r="Q7" s="164"/>
      <c r="R7" s="164"/>
      <c r="S7" s="165"/>
    </row>
    <row r="8" spans="1:22" ht="6" customHeight="1">
      <c r="B8" s="3"/>
      <c r="C8" s="3"/>
      <c r="D8" s="3"/>
      <c r="E8" s="3"/>
      <c r="F8" s="3"/>
      <c r="G8" s="3"/>
      <c r="H8" s="3"/>
      <c r="I8" s="3"/>
      <c r="J8" s="3"/>
      <c r="K8" s="10"/>
      <c r="L8" s="3"/>
      <c r="M8" s="3"/>
      <c r="N8" s="3"/>
      <c r="O8" s="3"/>
      <c r="P8" s="3"/>
      <c r="Q8" s="3"/>
      <c r="R8" s="3"/>
      <c r="S8" s="3"/>
    </row>
    <row r="9" spans="1:22" ht="18" customHeight="1">
      <c r="B9" s="166" t="s">
        <v>163</v>
      </c>
      <c r="C9" s="167"/>
      <c r="D9" s="167"/>
      <c r="E9" s="167"/>
      <c r="F9" s="167"/>
      <c r="G9" s="167"/>
      <c r="H9" s="167"/>
      <c r="I9" s="167"/>
      <c r="J9" s="167"/>
      <c r="K9" s="167"/>
      <c r="L9" s="167"/>
      <c r="M9" s="167"/>
      <c r="N9" s="167"/>
      <c r="O9" s="167"/>
      <c r="P9" s="167"/>
      <c r="Q9" s="167"/>
      <c r="R9" s="167"/>
      <c r="S9" s="168"/>
    </row>
    <row r="10" spans="1:22" ht="18" customHeight="1">
      <c r="B10" s="169"/>
      <c r="C10" s="170"/>
      <c r="D10" s="170"/>
      <c r="E10" s="170"/>
      <c r="F10" s="170"/>
      <c r="G10" s="170"/>
      <c r="H10" s="170"/>
      <c r="I10" s="170"/>
      <c r="J10" s="170"/>
      <c r="K10" s="170"/>
      <c r="L10" s="170"/>
      <c r="M10" s="170"/>
      <c r="N10" s="170"/>
      <c r="O10" s="170"/>
      <c r="P10" s="170"/>
      <c r="Q10" s="170"/>
      <c r="R10" s="170"/>
      <c r="S10" s="17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148" t="s">
        <v>160</v>
      </c>
      <c r="C13" s="149"/>
      <c r="D13" s="149"/>
      <c r="E13" s="149"/>
      <c r="F13" s="149"/>
      <c r="G13" s="149"/>
      <c r="H13" s="149"/>
      <c r="I13" s="149"/>
      <c r="J13" s="149"/>
      <c r="K13" s="149"/>
      <c r="L13" s="149"/>
      <c r="M13" s="149"/>
      <c r="N13" s="149"/>
      <c r="O13" s="149"/>
      <c r="P13" s="149"/>
      <c r="Q13" s="149"/>
      <c r="R13" s="149"/>
      <c r="S13" s="150"/>
      <c r="V13" s="1" t="s">
        <v>103</v>
      </c>
    </row>
    <row r="14" spans="1:22" ht="18" customHeight="1">
      <c r="B14" s="151"/>
      <c r="C14" s="152"/>
      <c r="D14" s="152"/>
      <c r="E14" s="152"/>
      <c r="F14" s="152"/>
      <c r="G14" s="152"/>
      <c r="H14" s="152"/>
      <c r="I14" s="152"/>
      <c r="J14" s="152"/>
      <c r="K14" s="152"/>
      <c r="L14" s="152"/>
      <c r="M14" s="152"/>
      <c r="N14" s="152"/>
      <c r="O14" s="152"/>
      <c r="P14" s="152"/>
      <c r="Q14" s="152"/>
      <c r="R14" s="152"/>
      <c r="S14" s="153"/>
      <c r="V14" s="1" t="s">
        <v>110</v>
      </c>
    </row>
    <row r="15" spans="1:22" ht="18" customHeight="1">
      <c r="B15" s="151"/>
      <c r="C15" s="152"/>
      <c r="D15" s="152"/>
      <c r="E15" s="152"/>
      <c r="F15" s="152"/>
      <c r="G15" s="152"/>
      <c r="H15" s="152"/>
      <c r="I15" s="152"/>
      <c r="J15" s="152"/>
      <c r="K15" s="152"/>
      <c r="L15" s="152"/>
      <c r="M15" s="152"/>
      <c r="N15" s="152"/>
      <c r="O15" s="152"/>
      <c r="P15" s="152"/>
      <c r="Q15" s="152"/>
      <c r="R15" s="152"/>
      <c r="S15" s="153"/>
      <c r="V15" s="1" t="s">
        <v>123</v>
      </c>
    </row>
    <row r="16" spans="1:22" ht="18" customHeight="1">
      <c r="B16" s="151"/>
      <c r="C16" s="152"/>
      <c r="D16" s="152"/>
      <c r="E16" s="152"/>
      <c r="F16" s="152"/>
      <c r="G16" s="152"/>
      <c r="H16" s="152"/>
      <c r="I16" s="152"/>
      <c r="J16" s="152"/>
      <c r="K16" s="152"/>
      <c r="L16" s="152"/>
      <c r="M16" s="152"/>
      <c r="N16" s="152"/>
      <c r="O16" s="152"/>
      <c r="P16" s="152"/>
      <c r="Q16" s="152"/>
      <c r="R16" s="152"/>
      <c r="S16" s="153"/>
      <c r="V16" s="1" t="s">
        <v>125</v>
      </c>
    </row>
    <row r="17" spans="1:19" ht="18" customHeight="1">
      <c r="B17" s="151"/>
      <c r="C17" s="152"/>
      <c r="D17" s="152"/>
      <c r="E17" s="152"/>
      <c r="F17" s="152"/>
      <c r="G17" s="152"/>
      <c r="H17" s="152"/>
      <c r="I17" s="152"/>
      <c r="J17" s="152"/>
      <c r="K17" s="152"/>
      <c r="L17" s="152"/>
      <c r="M17" s="152"/>
      <c r="N17" s="152"/>
      <c r="O17" s="152"/>
      <c r="P17" s="152"/>
      <c r="Q17" s="152"/>
      <c r="R17" s="152"/>
      <c r="S17" s="153"/>
    </row>
    <row r="18" spans="1:19" ht="18" customHeight="1">
      <c r="B18" s="154"/>
      <c r="C18" s="155"/>
      <c r="D18" s="155"/>
      <c r="E18" s="155"/>
      <c r="F18" s="155"/>
      <c r="G18" s="155"/>
      <c r="H18" s="155"/>
      <c r="I18" s="155"/>
      <c r="J18" s="155"/>
      <c r="K18" s="155"/>
      <c r="L18" s="155"/>
      <c r="M18" s="155"/>
      <c r="N18" s="155"/>
      <c r="O18" s="155"/>
      <c r="P18" s="155"/>
      <c r="Q18" s="155"/>
      <c r="R18" s="155"/>
      <c r="S18" s="156"/>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57">
        <v>2</v>
      </c>
      <c r="D20" s="158"/>
      <c r="E20" s="39" t="s">
        <v>95</v>
      </c>
      <c r="G20" s="10"/>
      <c r="H20" s="3"/>
      <c r="I20" s="3"/>
      <c r="J20" s="34" t="s">
        <v>121</v>
      </c>
      <c r="K20" s="159" t="s">
        <v>110</v>
      </c>
      <c r="L20" s="160"/>
      <c r="M20" s="160"/>
      <c r="N20" s="160"/>
      <c r="O20" s="160"/>
      <c r="P20" s="160"/>
      <c r="Q20" s="160"/>
      <c r="R20" s="160"/>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7" t="s">
        <v>113</v>
      </c>
      <c r="B22" s="147"/>
      <c r="C22" s="147"/>
      <c r="D22" s="147"/>
      <c r="E22" s="147"/>
      <c r="F22" s="147"/>
      <c r="G22" s="147"/>
      <c r="H22" s="147"/>
      <c r="I22" s="147"/>
      <c r="J22" s="147"/>
      <c r="K22" s="147"/>
      <c r="L22" s="147"/>
      <c r="M22" s="147"/>
      <c r="N22" s="147"/>
      <c r="O22" s="147"/>
      <c r="P22" s="147"/>
      <c r="Q22" s="147"/>
      <c r="R22" s="147"/>
      <c r="S22" s="147"/>
    </row>
    <row r="23" spans="1:19" ht="18" customHeight="1">
      <c r="A23" s="147"/>
      <c r="B23" s="147"/>
      <c r="C23" s="147"/>
      <c r="D23" s="147"/>
      <c r="E23" s="147"/>
      <c r="F23" s="147"/>
      <c r="G23" s="147"/>
      <c r="H23" s="147"/>
      <c r="I23" s="147"/>
      <c r="J23" s="147"/>
      <c r="K23" s="147"/>
      <c r="L23" s="147"/>
      <c r="M23" s="147"/>
      <c r="N23" s="147"/>
      <c r="O23" s="147"/>
      <c r="P23" s="147"/>
      <c r="Q23" s="147"/>
      <c r="R23" s="147"/>
      <c r="S23" s="147"/>
    </row>
    <row r="24" spans="1:19" ht="18" customHeight="1">
      <c r="B24" s="135" t="s">
        <v>53</v>
      </c>
      <c r="C24" s="116"/>
      <c r="D24" s="116"/>
      <c r="E24" s="117"/>
      <c r="F24" s="59" t="s">
        <v>80</v>
      </c>
      <c r="G24" s="58" t="s">
        <v>84</v>
      </c>
      <c r="H24" s="21" t="s">
        <v>56</v>
      </c>
      <c r="I24" s="21" t="s">
        <v>59</v>
      </c>
      <c r="J24" s="135" t="s">
        <v>53</v>
      </c>
      <c r="K24" s="116"/>
      <c r="L24" s="116"/>
      <c r="M24" s="116"/>
      <c r="N24" s="116"/>
      <c r="O24" s="117"/>
      <c r="P24" s="59" t="s">
        <v>80</v>
      </c>
      <c r="Q24" s="58" t="s">
        <v>84</v>
      </c>
      <c r="R24" s="21" t="s">
        <v>56</v>
      </c>
      <c r="S24" s="21" t="s">
        <v>59</v>
      </c>
    </row>
    <row r="25" spans="1:19" ht="18" customHeight="1">
      <c r="B25" s="139" t="s">
        <v>151</v>
      </c>
      <c r="C25" s="95"/>
      <c r="D25" s="95"/>
      <c r="E25" s="96"/>
      <c r="F25" s="80">
        <v>2</v>
      </c>
      <c r="G25" s="80" t="s">
        <v>130</v>
      </c>
      <c r="H25" s="80" t="s">
        <v>130</v>
      </c>
      <c r="I25" s="80" t="s">
        <v>130</v>
      </c>
      <c r="J25" s="141"/>
      <c r="K25" s="142"/>
      <c r="L25" s="142"/>
      <c r="M25" s="142"/>
      <c r="N25" s="142"/>
      <c r="O25" s="143"/>
      <c r="P25" s="22"/>
      <c r="Q25" s="22"/>
      <c r="R25" s="22"/>
      <c r="S25" s="22"/>
    </row>
    <row r="26" spans="1:19" ht="18" customHeight="1">
      <c r="B26" s="123"/>
      <c r="C26" s="124"/>
      <c r="D26" s="124"/>
      <c r="E26" s="125"/>
      <c r="F26" s="23"/>
      <c r="G26" s="23"/>
      <c r="H26" s="23"/>
      <c r="I26" s="23"/>
      <c r="J26" s="123"/>
      <c r="K26" s="124"/>
      <c r="L26" s="124"/>
      <c r="M26" s="124"/>
      <c r="N26" s="124"/>
      <c r="O26" s="125"/>
      <c r="P26" s="23"/>
      <c r="Q26" s="23"/>
      <c r="R26" s="23"/>
      <c r="S26" s="23"/>
    </row>
    <row r="27" spans="1:19" ht="18" customHeight="1">
      <c r="B27" s="123"/>
      <c r="C27" s="124"/>
      <c r="D27" s="124"/>
      <c r="E27" s="125"/>
      <c r="F27" s="23"/>
      <c r="G27" s="23"/>
      <c r="H27" s="23"/>
      <c r="I27" s="23"/>
      <c r="J27" s="123"/>
      <c r="K27" s="124"/>
      <c r="L27" s="124"/>
      <c r="M27" s="124"/>
      <c r="N27" s="124"/>
      <c r="O27" s="125"/>
      <c r="P27" s="23"/>
      <c r="Q27" s="23"/>
      <c r="R27" s="23"/>
      <c r="S27" s="23"/>
    </row>
    <row r="28" spans="1:19" ht="18" customHeight="1">
      <c r="B28" s="123"/>
      <c r="C28" s="124"/>
      <c r="D28" s="124"/>
      <c r="E28" s="125"/>
      <c r="F28" s="23"/>
      <c r="G28" s="23"/>
      <c r="H28" s="23"/>
      <c r="I28" s="23"/>
      <c r="J28" s="123"/>
      <c r="K28" s="124"/>
      <c r="L28" s="124"/>
      <c r="M28" s="124"/>
      <c r="N28" s="124"/>
      <c r="O28" s="125"/>
      <c r="P28" s="23"/>
      <c r="Q28" s="23"/>
      <c r="R28" s="23"/>
      <c r="S28" s="23"/>
    </row>
    <row r="29" spans="1:19" ht="18" customHeight="1">
      <c r="B29" s="123"/>
      <c r="C29" s="124"/>
      <c r="D29" s="124"/>
      <c r="E29" s="125"/>
      <c r="F29" s="23"/>
      <c r="G29" s="23"/>
      <c r="H29" s="23"/>
      <c r="I29" s="23"/>
      <c r="J29" s="123"/>
      <c r="K29" s="124"/>
      <c r="L29" s="124"/>
      <c r="M29" s="124"/>
      <c r="N29" s="124"/>
      <c r="O29" s="125"/>
      <c r="P29" s="23"/>
      <c r="Q29" s="23"/>
      <c r="R29" s="23"/>
      <c r="S29" s="23"/>
    </row>
    <row r="30" spans="1:19" ht="18" customHeight="1">
      <c r="A30" s="3"/>
      <c r="B30" s="123"/>
      <c r="C30" s="124"/>
      <c r="D30" s="124"/>
      <c r="E30" s="125"/>
      <c r="F30" s="23"/>
      <c r="G30" s="23"/>
      <c r="H30" s="23"/>
      <c r="I30" s="23"/>
      <c r="J30" s="123"/>
      <c r="K30" s="124"/>
      <c r="L30" s="124"/>
      <c r="M30" s="124"/>
      <c r="N30" s="124"/>
      <c r="O30" s="125"/>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7" t="s">
        <v>114</v>
      </c>
      <c r="B33" s="147"/>
      <c r="C33" s="147"/>
      <c r="D33" s="147"/>
      <c r="E33" s="147"/>
      <c r="F33" s="147"/>
      <c r="G33" s="147"/>
      <c r="H33" s="147"/>
      <c r="I33" s="147"/>
      <c r="J33" s="147"/>
      <c r="K33" s="147"/>
      <c r="L33" s="147"/>
      <c r="M33" s="147"/>
      <c r="N33" s="147"/>
      <c r="O33" s="147"/>
      <c r="P33" s="147"/>
      <c r="Q33" s="147"/>
      <c r="R33" s="147"/>
      <c r="S33" s="147"/>
    </row>
    <row r="34" spans="1:19" ht="18" customHeight="1">
      <c r="A34" s="147"/>
      <c r="B34" s="147"/>
      <c r="C34" s="147"/>
      <c r="D34" s="147"/>
      <c r="E34" s="147"/>
      <c r="F34" s="147"/>
      <c r="G34" s="147"/>
      <c r="H34" s="147"/>
      <c r="I34" s="147"/>
      <c r="J34" s="147"/>
      <c r="K34" s="147"/>
      <c r="L34" s="147"/>
      <c r="M34" s="147"/>
      <c r="N34" s="147"/>
      <c r="O34" s="147"/>
      <c r="P34" s="147"/>
      <c r="Q34" s="147"/>
      <c r="R34" s="147"/>
      <c r="S34" s="147"/>
    </row>
    <row r="35" spans="1:19" ht="18" customHeight="1">
      <c r="B35" s="135" t="s">
        <v>53</v>
      </c>
      <c r="C35" s="116"/>
      <c r="D35" s="116"/>
      <c r="E35" s="117"/>
      <c r="F35" s="59" t="s">
        <v>80</v>
      </c>
      <c r="G35" s="58" t="s">
        <v>84</v>
      </c>
      <c r="H35" s="21" t="s">
        <v>71</v>
      </c>
      <c r="I35" s="21" t="s">
        <v>72</v>
      </c>
      <c r="J35" s="135" t="s">
        <v>53</v>
      </c>
      <c r="K35" s="116"/>
      <c r="L35" s="116"/>
      <c r="M35" s="116"/>
      <c r="N35" s="116"/>
      <c r="O35" s="117"/>
      <c r="P35" s="59" t="s">
        <v>80</v>
      </c>
      <c r="Q35" s="58" t="s">
        <v>84</v>
      </c>
      <c r="R35" s="21" t="s">
        <v>71</v>
      </c>
      <c r="S35" s="21" t="s">
        <v>72</v>
      </c>
    </row>
    <row r="36" spans="1:19" ht="18" customHeight="1">
      <c r="B36" s="139" t="s">
        <v>151</v>
      </c>
      <c r="C36" s="95"/>
      <c r="D36" s="95"/>
      <c r="E36" s="96"/>
      <c r="F36" s="80">
        <v>2</v>
      </c>
      <c r="G36" s="80" t="s">
        <v>130</v>
      </c>
      <c r="H36" s="80" t="s">
        <v>130</v>
      </c>
      <c r="I36" s="80" t="s">
        <v>130</v>
      </c>
      <c r="J36" s="141"/>
      <c r="K36" s="142"/>
      <c r="L36" s="142"/>
      <c r="M36" s="142"/>
      <c r="N36" s="142"/>
      <c r="O36" s="143"/>
      <c r="P36" s="22"/>
      <c r="Q36" s="22"/>
      <c r="R36" s="22"/>
      <c r="S36" s="22"/>
    </row>
    <row r="37" spans="1:19" ht="18" customHeight="1">
      <c r="B37" s="123"/>
      <c r="C37" s="124"/>
      <c r="D37" s="124"/>
      <c r="E37" s="125"/>
      <c r="F37" s="23"/>
      <c r="G37" s="23"/>
      <c r="H37" s="23"/>
      <c r="I37" s="23"/>
      <c r="J37" s="123"/>
      <c r="K37" s="124"/>
      <c r="L37" s="124"/>
      <c r="M37" s="124"/>
      <c r="N37" s="124"/>
      <c r="O37" s="125"/>
      <c r="P37" s="23"/>
      <c r="Q37" s="23"/>
      <c r="R37" s="23"/>
      <c r="S37" s="23"/>
    </row>
    <row r="38" spans="1:19" ht="18" customHeight="1">
      <c r="B38" s="123"/>
      <c r="C38" s="124"/>
      <c r="D38" s="124"/>
      <c r="E38" s="125"/>
      <c r="F38" s="23"/>
      <c r="G38" s="23"/>
      <c r="H38" s="23"/>
      <c r="I38" s="23"/>
      <c r="J38" s="123"/>
      <c r="K38" s="124"/>
      <c r="L38" s="124"/>
      <c r="M38" s="124"/>
      <c r="N38" s="124"/>
      <c r="O38" s="125"/>
      <c r="P38" s="23"/>
      <c r="Q38" s="23"/>
      <c r="R38" s="23"/>
      <c r="S38" s="23"/>
    </row>
    <row r="39" spans="1:19" ht="18" customHeight="1">
      <c r="B39" s="123"/>
      <c r="C39" s="124"/>
      <c r="D39" s="124"/>
      <c r="E39" s="125"/>
      <c r="F39" s="23"/>
      <c r="G39" s="23"/>
      <c r="H39" s="23"/>
      <c r="I39" s="23"/>
      <c r="J39" s="123"/>
      <c r="K39" s="124"/>
      <c r="L39" s="124"/>
      <c r="M39" s="124"/>
      <c r="N39" s="124"/>
      <c r="O39" s="125"/>
      <c r="P39" s="23"/>
      <c r="Q39" s="23"/>
      <c r="R39" s="23"/>
      <c r="S39" s="23"/>
    </row>
    <row r="40" spans="1:19" ht="18" customHeight="1">
      <c r="B40" s="123"/>
      <c r="C40" s="124"/>
      <c r="D40" s="124"/>
      <c r="E40" s="125"/>
      <c r="F40" s="23"/>
      <c r="G40" s="23"/>
      <c r="H40" s="23"/>
      <c r="I40" s="23"/>
      <c r="J40" s="123"/>
      <c r="K40" s="124"/>
      <c r="L40" s="124"/>
      <c r="M40" s="124"/>
      <c r="N40" s="124"/>
      <c r="O40" s="125"/>
      <c r="P40" s="23"/>
      <c r="Q40" s="23"/>
      <c r="R40" s="23"/>
      <c r="S40" s="23"/>
    </row>
    <row r="41" spans="1:19" ht="18" customHeight="1">
      <c r="B41" s="123"/>
      <c r="C41" s="124"/>
      <c r="D41" s="124"/>
      <c r="E41" s="125"/>
      <c r="F41" s="23"/>
      <c r="G41" s="23"/>
      <c r="H41" s="23"/>
      <c r="I41" s="23"/>
      <c r="J41" s="123"/>
      <c r="K41" s="124"/>
      <c r="L41" s="124"/>
      <c r="M41" s="124"/>
      <c r="N41" s="124"/>
      <c r="O41" s="125"/>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7" t="s">
        <v>115</v>
      </c>
      <c r="B44" s="147"/>
      <c r="C44" s="147"/>
      <c r="D44" s="147"/>
      <c r="E44" s="147"/>
      <c r="F44" s="147"/>
      <c r="G44" s="147"/>
      <c r="H44" s="147"/>
      <c r="I44" s="147"/>
      <c r="J44" s="147"/>
      <c r="K44" s="147"/>
      <c r="L44" s="147"/>
      <c r="M44" s="147"/>
      <c r="N44" s="147"/>
      <c r="O44" s="147"/>
      <c r="P44" s="147"/>
      <c r="Q44" s="147"/>
      <c r="R44" s="147"/>
      <c r="S44" s="147"/>
    </row>
    <row r="45" spans="1:19" ht="18" customHeight="1">
      <c r="A45" s="147"/>
      <c r="B45" s="147"/>
      <c r="C45" s="147"/>
      <c r="D45" s="147"/>
      <c r="E45" s="147"/>
      <c r="F45" s="147"/>
      <c r="G45" s="147"/>
      <c r="H45" s="147"/>
      <c r="I45" s="147"/>
      <c r="J45" s="147"/>
      <c r="K45" s="147"/>
      <c r="L45" s="147"/>
      <c r="M45" s="147"/>
      <c r="N45" s="147"/>
      <c r="O45" s="147"/>
      <c r="P45" s="147"/>
      <c r="Q45" s="147"/>
      <c r="R45" s="147"/>
      <c r="S45" s="147"/>
    </row>
    <row r="46" spans="1:19" ht="18" customHeight="1">
      <c r="B46" s="135" t="s">
        <v>53</v>
      </c>
      <c r="C46" s="116"/>
      <c r="D46" s="116"/>
      <c r="E46" s="117"/>
      <c r="F46" s="59" t="s">
        <v>80</v>
      </c>
      <c r="G46" s="58" t="s">
        <v>84</v>
      </c>
      <c r="H46" s="21" t="s">
        <v>73</v>
      </c>
      <c r="I46" s="21" t="s">
        <v>74</v>
      </c>
      <c r="J46" s="135" t="s">
        <v>53</v>
      </c>
      <c r="K46" s="116"/>
      <c r="L46" s="116"/>
      <c r="M46" s="116"/>
      <c r="N46" s="116"/>
      <c r="O46" s="117"/>
      <c r="P46" s="59" t="s">
        <v>80</v>
      </c>
      <c r="Q46" s="58" t="s">
        <v>84</v>
      </c>
      <c r="R46" s="21" t="s">
        <v>73</v>
      </c>
      <c r="S46" s="21" t="s">
        <v>74</v>
      </c>
    </row>
    <row r="47" spans="1:19" ht="18" customHeight="1">
      <c r="A47" s="3"/>
      <c r="B47" s="139" t="s">
        <v>151</v>
      </c>
      <c r="C47" s="95"/>
      <c r="D47" s="95"/>
      <c r="E47" s="96"/>
      <c r="F47" s="80">
        <v>2</v>
      </c>
      <c r="G47" s="80" t="s">
        <v>130</v>
      </c>
      <c r="H47" s="80" t="s">
        <v>130</v>
      </c>
      <c r="I47" s="80" t="s">
        <v>130</v>
      </c>
      <c r="J47" s="141"/>
      <c r="K47" s="142"/>
      <c r="L47" s="142"/>
      <c r="M47" s="142"/>
      <c r="N47" s="142"/>
      <c r="O47" s="143"/>
      <c r="P47" s="22"/>
      <c r="Q47" s="22"/>
      <c r="R47" s="22"/>
      <c r="S47" s="22"/>
    </row>
    <row r="48" spans="1:19" ht="18" customHeight="1">
      <c r="A48" s="3"/>
      <c r="B48" s="123"/>
      <c r="C48" s="124"/>
      <c r="D48" s="124"/>
      <c r="E48" s="125"/>
      <c r="F48" s="23"/>
      <c r="G48" s="23"/>
      <c r="H48" s="23"/>
      <c r="I48" s="23"/>
      <c r="J48" s="123"/>
      <c r="K48" s="124"/>
      <c r="L48" s="124"/>
      <c r="M48" s="124"/>
      <c r="N48" s="124"/>
      <c r="O48" s="125"/>
      <c r="P48" s="23"/>
      <c r="Q48" s="23"/>
      <c r="R48" s="23"/>
      <c r="S48" s="23"/>
    </row>
    <row r="49" spans="1:19" ht="18" customHeight="1">
      <c r="A49" s="3"/>
      <c r="B49" s="123"/>
      <c r="C49" s="124"/>
      <c r="D49" s="124"/>
      <c r="E49" s="125"/>
      <c r="F49" s="23"/>
      <c r="G49" s="23"/>
      <c r="H49" s="23"/>
      <c r="I49" s="23"/>
      <c r="J49" s="123"/>
      <c r="K49" s="124"/>
      <c r="L49" s="124"/>
      <c r="M49" s="124"/>
      <c r="N49" s="124"/>
      <c r="O49" s="125"/>
      <c r="P49" s="23"/>
      <c r="Q49" s="23"/>
      <c r="R49" s="23"/>
      <c r="S49" s="23"/>
    </row>
    <row r="50" spans="1:19" ht="18" customHeight="1">
      <c r="A50" s="3"/>
      <c r="B50" s="123"/>
      <c r="C50" s="124"/>
      <c r="D50" s="124"/>
      <c r="E50" s="125"/>
      <c r="F50" s="23"/>
      <c r="G50" s="23"/>
      <c r="H50" s="23"/>
      <c r="I50" s="23"/>
      <c r="J50" s="123"/>
      <c r="K50" s="124"/>
      <c r="L50" s="124"/>
      <c r="M50" s="124"/>
      <c r="N50" s="124"/>
      <c r="O50" s="125"/>
      <c r="P50" s="23"/>
      <c r="Q50" s="23"/>
      <c r="R50" s="23"/>
      <c r="S50" s="23"/>
    </row>
    <row r="51" spans="1:19" ht="18" customHeight="1">
      <c r="A51" s="3"/>
      <c r="B51" s="123"/>
      <c r="C51" s="124"/>
      <c r="D51" s="124"/>
      <c r="E51" s="125"/>
      <c r="F51" s="23"/>
      <c r="G51" s="23"/>
      <c r="H51" s="23"/>
      <c r="I51" s="23"/>
      <c r="J51" s="123"/>
      <c r="K51" s="124"/>
      <c r="L51" s="124"/>
      <c r="M51" s="124"/>
      <c r="N51" s="124"/>
      <c r="O51" s="125"/>
      <c r="P51" s="23"/>
      <c r="Q51" s="23"/>
      <c r="R51" s="23"/>
      <c r="S51" s="23"/>
    </row>
    <row r="52" spans="1:19" ht="18" customHeight="1">
      <c r="A52" s="3"/>
      <c r="B52" s="123"/>
      <c r="C52" s="124"/>
      <c r="D52" s="124"/>
      <c r="E52" s="125"/>
      <c r="F52" s="23"/>
      <c r="G52" s="23"/>
      <c r="H52" s="23"/>
      <c r="I52" s="23"/>
      <c r="J52" s="123"/>
      <c r="K52" s="124"/>
      <c r="L52" s="124"/>
      <c r="M52" s="124"/>
      <c r="N52" s="124"/>
      <c r="O52" s="125"/>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47" t="s">
        <v>116</v>
      </c>
      <c r="B55" s="147"/>
      <c r="C55" s="147"/>
      <c r="D55" s="147"/>
      <c r="E55" s="147"/>
      <c r="F55" s="147"/>
      <c r="G55" s="147"/>
      <c r="H55" s="147"/>
      <c r="I55" s="147"/>
      <c r="J55" s="147"/>
      <c r="K55" s="147"/>
      <c r="L55" s="147"/>
      <c r="M55" s="147"/>
      <c r="N55" s="147"/>
      <c r="O55" s="147"/>
      <c r="P55" s="147"/>
      <c r="Q55" s="147"/>
      <c r="R55" s="147"/>
      <c r="S55" s="147"/>
    </row>
    <row r="56" spans="1:19" ht="18" customHeight="1">
      <c r="A56" s="147"/>
      <c r="B56" s="147"/>
      <c r="C56" s="147"/>
      <c r="D56" s="147"/>
      <c r="E56" s="147"/>
      <c r="F56" s="147"/>
      <c r="G56" s="147"/>
      <c r="H56" s="147"/>
      <c r="I56" s="147"/>
      <c r="J56" s="147"/>
      <c r="K56" s="147"/>
      <c r="L56" s="147"/>
      <c r="M56" s="147"/>
      <c r="N56" s="147"/>
      <c r="O56" s="147"/>
      <c r="P56" s="147"/>
      <c r="Q56" s="147"/>
      <c r="R56" s="147"/>
      <c r="S56" s="147"/>
    </row>
    <row r="57" spans="1:19" ht="18" customHeight="1">
      <c r="B57" s="135" t="s">
        <v>53</v>
      </c>
      <c r="C57" s="116"/>
      <c r="D57" s="116"/>
      <c r="E57" s="117"/>
      <c r="F57" s="59" t="s">
        <v>80</v>
      </c>
      <c r="G57" s="58" t="s">
        <v>84</v>
      </c>
      <c r="H57" s="21" t="s">
        <v>58</v>
      </c>
      <c r="I57" s="21" t="s">
        <v>60</v>
      </c>
      <c r="J57" s="135" t="s">
        <v>53</v>
      </c>
      <c r="K57" s="116"/>
      <c r="L57" s="116"/>
      <c r="M57" s="116"/>
      <c r="N57" s="116"/>
      <c r="O57" s="117"/>
      <c r="P57" s="59" t="s">
        <v>80</v>
      </c>
      <c r="Q57" s="58" t="s">
        <v>84</v>
      </c>
      <c r="R57" s="21" t="s">
        <v>58</v>
      </c>
      <c r="S57" s="21" t="s">
        <v>60</v>
      </c>
    </row>
    <row r="58" spans="1:19" ht="18" customHeight="1">
      <c r="A58" s="3"/>
      <c r="B58" s="139" t="s">
        <v>151</v>
      </c>
      <c r="C58" s="95"/>
      <c r="D58" s="95"/>
      <c r="E58" s="96"/>
      <c r="F58" s="80">
        <v>2</v>
      </c>
      <c r="G58" s="80" t="s">
        <v>130</v>
      </c>
      <c r="H58" s="80" t="s">
        <v>130</v>
      </c>
      <c r="I58" s="80" t="s">
        <v>130</v>
      </c>
      <c r="J58" s="141"/>
      <c r="K58" s="142"/>
      <c r="L58" s="142"/>
      <c r="M58" s="142"/>
      <c r="N58" s="142"/>
      <c r="O58" s="143"/>
      <c r="P58" s="22"/>
      <c r="Q58" s="22"/>
      <c r="R58" s="22"/>
      <c r="S58" s="22"/>
    </row>
    <row r="59" spans="1:19" ht="18" customHeight="1">
      <c r="A59" s="3"/>
      <c r="B59" s="123"/>
      <c r="C59" s="124"/>
      <c r="D59" s="124"/>
      <c r="E59" s="125"/>
      <c r="F59" s="23"/>
      <c r="G59" s="23"/>
      <c r="H59" s="23"/>
      <c r="I59" s="23"/>
      <c r="J59" s="123"/>
      <c r="K59" s="124"/>
      <c r="L59" s="124"/>
      <c r="M59" s="124"/>
      <c r="N59" s="124"/>
      <c r="O59" s="125"/>
      <c r="P59" s="23"/>
      <c r="Q59" s="23"/>
      <c r="R59" s="23"/>
      <c r="S59" s="23"/>
    </row>
    <row r="60" spans="1:19" ht="18" customHeight="1">
      <c r="A60" s="3"/>
      <c r="B60" s="123"/>
      <c r="C60" s="124"/>
      <c r="D60" s="124"/>
      <c r="E60" s="125"/>
      <c r="F60" s="23"/>
      <c r="G60" s="23"/>
      <c r="H60" s="23"/>
      <c r="I60" s="23"/>
      <c r="J60" s="123"/>
      <c r="K60" s="124"/>
      <c r="L60" s="124"/>
      <c r="M60" s="124"/>
      <c r="N60" s="124"/>
      <c r="O60" s="125"/>
      <c r="P60" s="23"/>
      <c r="Q60" s="23"/>
      <c r="R60" s="23"/>
      <c r="S60" s="23"/>
    </row>
    <row r="61" spans="1:19" ht="18" customHeight="1">
      <c r="A61" s="3"/>
      <c r="B61" s="123"/>
      <c r="C61" s="124"/>
      <c r="D61" s="124"/>
      <c r="E61" s="125"/>
      <c r="F61" s="23"/>
      <c r="G61" s="23"/>
      <c r="H61" s="23"/>
      <c r="I61" s="23"/>
      <c r="J61" s="123"/>
      <c r="K61" s="124"/>
      <c r="L61" s="124"/>
      <c r="M61" s="124"/>
      <c r="N61" s="124"/>
      <c r="O61" s="125"/>
      <c r="P61" s="23"/>
      <c r="Q61" s="23"/>
      <c r="R61" s="23"/>
      <c r="S61" s="23"/>
    </row>
    <row r="62" spans="1:19" ht="18" customHeight="1">
      <c r="A62" s="3"/>
      <c r="B62" s="123"/>
      <c r="C62" s="124"/>
      <c r="D62" s="124"/>
      <c r="E62" s="125"/>
      <c r="F62" s="23"/>
      <c r="G62" s="23"/>
      <c r="H62" s="23"/>
      <c r="I62" s="23"/>
      <c r="J62" s="123"/>
      <c r="K62" s="124"/>
      <c r="L62" s="124"/>
      <c r="M62" s="124"/>
      <c r="N62" s="124"/>
      <c r="O62" s="125"/>
      <c r="P62" s="23"/>
      <c r="Q62" s="23"/>
      <c r="R62" s="23"/>
      <c r="S62" s="23"/>
    </row>
    <row r="63" spans="1:19" ht="18" customHeight="1">
      <c r="A63" s="3"/>
      <c r="B63" s="123"/>
      <c r="C63" s="124"/>
      <c r="D63" s="124"/>
      <c r="E63" s="125"/>
      <c r="F63" s="23"/>
      <c r="G63" s="23"/>
      <c r="H63" s="23"/>
      <c r="I63" s="23"/>
      <c r="J63" s="123"/>
      <c r="K63" s="124"/>
      <c r="L63" s="124"/>
      <c r="M63" s="124"/>
      <c r="N63" s="124"/>
      <c r="O63" s="125"/>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47" t="s">
        <v>117</v>
      </c>
      <c r="B66" s="147"/>
      <c r="C66" s="147"/>
      <c r="D66" s="147"/>
      <c r="E66" s="147"/>
      <c r="F66" s="147"/>
      <c r="G66" s="147"/>
      <c r="H66" s="147"/>
      <c r="I66" s="147"/>
      <c r="J66" s="147"/>
      <c r="K66" s="147"/>
      <c r="L66" s="147"/>
      <c r="M66" s="147"/>
      <c r="N66" s="147"/>
      <c r="O66" s="147"/>
      <c r="P66" s="147"/>
      <c r="Q66" s="147"/>
      <c r="R66" s="147"/>
      <c r="S66" s="147"/>
    </row>
    <row r="67" spans="1:19" ht="18" customHeight="1">
      <c r="A67" s="147"/>
      <c r="B67" s="147"/>
      <c r="C67" s="147"/>
      <c r="D67" s="147"/>
      <c r="E67" s="147"/>
      <c r="F67" s="147"/>
      <c r="G67" s="147"/>
      <c r="H67" s="147"/>
      <c r="I67" s="147"/>
      <c r="J67" s="147"/>
      <c r="K67" s="147"/>
      <c r="L67" s="147"/>
      <c r="M67" s="147"/>
      <c r="N67" s="147"/>
      <c r="O67" s="147"/>
      <c r="P67" s="147"/>
      <c r="Q67" s="147"/>
      <c r="R67" s="147"/>
      <c r="S67" s="147"/>
    </row>
    <row r="68" spans="1:19" ht="18" customHeight="1">
      <c r="B68" s="135" t="s">
        <v>53</v>
      </c>
      <c r="C68" s="116"/>
      <c r="D68" s="116"/>
      <c r="E68" s="59" t="s">
        <v>80</v>
      </c>
      <c r="F68" s="58" t="s">
        <v>84</v>
      </c>
      <c r="G68" s="21" t="s">
        <v>101</v>
      </c>
      <c r="H68" s="21" t="s">
        <v>75</v>
      </c>
      <c r="I68" s="21" t="s">
        <v>76</v>
      </c>
      <c r="J68" s="135" t="s">
        <v>53</v>
      </c>
      <c r="K68" s="116"/>
      <c r="L68" s="116"/>
      <c r="M68" s="116"/>
      <c r="N68" s="117"/>
      <c r="O68" s="59" t="s">
        <v>80</v>
      </c>
      <c r="P68" s="58" t="s">
        <v>84</v>
      </c>
      <c r="Q68" s="21" t="s">
        <v>101</v>
      </c>
      <c r="R68" s="21" t="s">
        <v>75</v>
      </c>
      <c r="S68" s="21" t="s">
        <v>76</v>
      </c>
    </row>
    <row r="69" spans="1:19" ht="18" customHeight="1">
      <c r="A69" s="3"/>
      <c r="B69" s="139" t="s">
        <v>151</v>
      </c>
      <c r="C69" s="95"/>
      <c r="D69" s="96"/>
      <c r="E69" s="80">
        <v>2</v>
      </c>
      <c r="F69" s="80" t="s">
        <v>130</v>
      </c>
      <c r="G69" s="80" t="s">
        <v>130</v>
      </c>
      <c r="H69" s="80" t="s">
        <v>130</v>
      </c>
      <c r="I69" s="80" t="s">
        <v>130</v>
      </c>
      <c r="J69" s="141"/>
      <c r="K69" s="142"/>
      <c r="L69" s="142"/>
      <c r="M69" s="142"/>
      <c r="N69" s="143"/>
      <c r="O69" s="22"/>
      <c r="P69" s="22"/>
      <c r="Q69" s="22"/>
      <c r="R69" s="22"/>
      <c r="S69" s="22"/>
    </row>
    <row r="70" spans="1:19" ht="18" customHeight="1">
      <c r="A70" s="3"/>
      <c r="B70" s="121"/>
      <c r="C70" s="98"/>
      <c r="D70" s="98"/>
      <c r="E70" s="81"/>
      <c r="F70" s="81"/>
      <c r="G70" s="81"/>
      <c r="H70" s="81"/>
      <c r="I70" s="81"/>
      <c r="J70" s="123"/>
      <c r="K70" s="124"/>
      <c r="L70" s="124"/>
      <c r="M70" s="124"/>
      <c r="N70" s="125"/>
      <c r="O70" s="23"/>
      <c r="P70" s="23"/>
      <c r="Q70" s="23"/>
      <c r="R70" s="23"/>
      <c r="S70" s="23"/>
    </row>
    <row r="71" spans="1:19" ht="18" customHeight="1">
      <c r="A71" s="3"/>
      <c r="B71" s="123"/>
      <c r="C71" s="124"/>
      <c r="D71" s="124"/>
      <c r="E71" s="23"/>
      <c r="F71" s="23"/>
      <c r="G71" s="23"/>
      <c r="H71" s="23"/>
      <c r="I71" s="23"/>
      <c r="J71" s="123"/>
      <c r="K71" s="124"/>
      <c r="L71" s="124"/>
      <c r="M71" s="124"/>
      <c r="N71" s="125"/>
      <c r="O71" s="23"/>
      <c r="P71" s="23"/>
      <c r="Q71" s="23"/>
      <c r="R71" s="23"/>
      <c r="S71" s="23"/>
    </row>
    <row r="72" spans="1:19" ht="18" customHeight="1">
      <c r="A72" s="3"/>
      <c r="B72" s="123"/>
      <c r="C72" s="124"/>
      <c r="D72" s="124"/>
      <c r="E72" s="23"/>
      <c r="F72" s="23"/>
      <c r="G72" s="23"/>
      <c r="H72" s="23"/>
      <c r="I72" s="23"/>
      <c r="J72" s="123"/>
      <c r="K72" s="124"/>
      <c r="L72" s="124"/>
      <c r="M72" s="124"/>
      <c r="N72" s="125"/>
      <c r="O72" s="23"/>
      <c r="P72" s="23"/>
      <c r="Q72" s="23"/>
      <c r="R72" s="23"/>
      <c r="S72" s="23"/>
    </row>
    <row r="73" spans="1:19" ht="18" customHeight="1">
      <c r="A73" s="3"/>
      <c r="B73" s="123"/>
      <c r="C73" s="124"/>
      <c r="D73" s="124"/>
      <c r="E73" s="23"/>
      <c r="F73" s="23"/>
      <c r="G73" s="23"/>
      <c r="H73" s="23"/>
      <c r="I73" s="23"/>
      <c r="J73" s="123"/>
      <c r="K73" s="124"/>
      <c r="L73" s="124"/>
      <c r="M73" s="124"/>
      <c r="N73" s="125"/>
      <c r="O73" s="23"/>
      <c r="P73" s="23"/>
      <c r="Q73" s="23"/>
      <c r="R73" s="23"/>
      <c r="S73" s="23"/>
    </row>
    <row r="74" spans="1:19" ht="18" customHeight="1">
      <c r="A74" s="3"/>
      <c r="B74" s="123"/>
      <c r="C74" s="124"/>
      <c r="D74" s="124"/>
      <c r="E74" s="23"/>
      <c r="F74" s="23"/>
      <c r="G74" s="23"/>
      <c r="H74" s="23"/>
      <c r="I74" s="23"/>
      <c r="J74" s="123"/>
      <c r="K74" s="124"/>
      <c r="L74" s="124"/>
      <c r="M74" s="124"/>
      <c r="N74" s="125"/>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35" t="s">
        <v>53</v>
      </c>
      <c r="C78" s="116"/>
      <c r="D78" s="116"/>
      <c r="E78" s="117"/>
      <c r="F78" s="135" t="s">
        <v>82</v>
      </c>
      <c r="G78" s="116"/>
      <c r="H78" s="116"/>
      <c r="I78" s="117"/>
      <c r="J78" s="136" t="s">
        <v>53</v>
      </c>
      <c r="K78" s="137"/>
      <c r="L78" s="137"/>
      <c r="M78" s="137"/>
      <c r="N78" s="137"/>
      <c r="O78" s="138"/>
      <c r="P78" s="135" t="s">
        <v>82</v>
      </c>
      <c r="Q78" s="116"/>
      <c r="R78" s="116"/>
      <c r="S78" s="117"/>
    </row>
    <row r="79" spans="1:19" ht="18" customHeight="1">
      <c r="A79" s="3"/>
      <c r="B79" s="139"/>
      <c r="C79" s="95"/>
      <c r="D79" s="95"/>
      <c r="E79" s="96"/>
      <c r="F79" s="140"/>
      <c r="G79" s="95"/>
      <c r="H79" s="95"/>
      <c r="I79" s="96"/>
      <c r="J79" s="141"/>
      <c r="K79" s="142"/>
      <c r="L79" s="142"/>
      <c r="M79" s="142"/>
      <c r="N79" s="142"/>
      <c r="O79" s="143"/>
      <c r="P79" s="144"/>
      <c r="Q79" s="145"/>
      <c r="R79" s="145"/>
      <c r="S79" s="146"/>
    </row>
    <row r="80" spans="1:19" ht="18" customHeight="1">
      <c r="A80" s="3"/>
      <c r="B80" s="121"/>
      <c r="C80" s="98"/>
      <c r="D80" s="98"/>
      <c r="E80" s="99"/>
      <c r="F80" s="122"/>
      <c r="G80" s="98"/>
      <c r="H80" s="98"/>
      <c r="I80" s="99"/>
      <c r="J80" s="123"/>
      <c r="K80" s="124"/>
      <c r="L80" s="124"/>
      <c r="M80" s="124"/>
      <c r="N80" s="124"/>
      <c r="O80" s="125"/>
      <c r="P80" s="126"/>
      <c r="Q80" s="127"/>
      <c r="R80" s="127"/>
      <c r="S80" s="128"/>
    </row>
    <row r="81" spans="1:19" ht="18" customHeight="1">
      <c r="A81" s="3"/>
      <c r="B81" s="121"/>
      <c r="C81" s="98"/>
      <c r="D81" s="98"/>
      <c r="E81" s="99"/>
      <c r="F81" s="122"/>
      <c r="G81" s="98"/>
      <c r="H81" s="98"/>
      <c r="I81" s="99"/>
      <c r="J81" s="123"/>
      <c r="K81" s="124"/>
      <c r="L81" s="124"/>
      <c r="M81" s="124"/>
      <c r="N81" s="124"/>
      <c r="O81" s="125"/>
      <c r="P81" s="126"/>
      <c r="Q81" s="127"/>
      <c r="R81" s="127"/>
      <c r="S81" s="128"/>
    </row>
    <row r="82" spans="1:19" ht="18" customHeight="1">
      <c r="A82" s="3"/>
      <c r="B82" s="121"/>
      <c r="C82" s="98"/>
      <c r="D82" s="98"/>
      <c r="E82" s="99"/>
      <c r="F82" s="122"/>
      <c r="G82" s="98"/>
      <c r="H82" s="98"/>
      <c r="I82" s="99"/>
      <c r="J82" s="123"/>
      <c r="K82" s="124"/>
      <c r="L82" s="124"/>
      <c r="M82" s="124"/>
      <c r="N82" s="124"/>
      <c r="O82" s="125"/>
      <c r="P82" s="126"/>
      <c r="Q82" s="127"/>
      <c r="R82" s="127"/>
      <c r="S82" s="128"/>
    </row>
    <row r="83" spans="1:19" ht="18" customHeight="1">
      <c r="A83" s="3"/>
      <c r="B83" s="121"/>
      <c r="C83" s="98"/>
      <c r="D83" s="98"/>
      <c r="E83" s="99"/>
      <c r="F83" s="122"/>
      <c r="G83" s="98"/>
      <c r="H83" s="98"/>
      <c r="I83" s="99"/>
      <c r="J83" s="123"/>
      <c r="K83" s="124"/>
      <c r="L83" s="124"/>
      <c r="M83" s="124"/>
      <c r="N83" s="124"/>
      <c r="O83" s="125"/>
      <c r="P83" s="126"/>
      <c r="Q83" s="127"/>
      <c r="R83" s="127"/>
      <c r="S83" s="128"/>
    </row>
    <row r="84" spans="1:19" ht="18" customHeight="1">
      <c r="A84" s="3"/>
      <c r="B84" s="121"/>
      <c r="C84" s="98"/>
      <c r="D84" s="98"/>
      <c r="E84" s="99"/>
      <c r="F84" s="122"/>
      <c r="G84" s="98"/>
      <c r="H84" s="98"/>
      <c r="I84" s="99"/>
      <c r="J84" s="123"/>
      <c r="K84" s="124"/>
      <c r="L84" s="124"/>
      <c r="M84" s="124"/>
      <c r="N84" s="124"/>
      <c r="O84" s="125"/>
      <c r="P84" s="126"/>
      <c r="Q84" s="127"/>
      <c r="R84" s="127"/>
      <c r="S84" s="128"/>
    </row>
    <row r="85" spans="1:19" ht="18" customHeight="1">
      <c r="A85" s="3"/>
      <c r="B85" s="129"/>
      <c r="C85" s="130"/>
      <c r="D85" s="130"/>
      <c r="E85" s="131"/>
      <c r="F85" s="132"/>
      <c r="G85" s="133"/>
      <c r="H85" s="133"/>
      <c r="I85" s="134"/>
      <c r="J85" s="129"/>
      <c r="K85" s="130"/>
      <c r="L85" s="130"/>
      <c r="M85" s="130"/>
      <c r="N85" s="130"/>
      <c r="O85" s="131"/>
      <c r="P85" s="132"/>
      <c r="Q85" s="133"/>
      <c r="R85" s="133"/>
      <c r="S85" s="134"/>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14" t="s">
        <v>54</v>
      </c>
      <c r="C88" s="115"/>
      <c r="D88" s="116" t="s">
        <v>55</v>
      </c>
      <c r="E88" s="116"/>
      <c r="F88" s="116"/>
      <c r="G88" s="116"/>
      <c r="H88" s="116"/>
      <c r="I88" s="116"/>
      <c r="J88" s="116"/>
      <c r="K88" s="116"/>
      <c r="L88" s="116"/>
      <c r="M88" s="116"/>
      <c r="N88" s="116"/>
      <c r="O88" s="116"/>
      <c r="P88" s="116"/>
      <c r="Q88" s="116"/>
      <c r="R88" s="116"/>
      <c r="S88" s="117"/>
    </row>
    <row r="89" spans="1:19" ht="97.5" customHeight="1">
      <c r="B89" s="91" t="s">
        <v>61</v>
      </c>
      <c r="C89" s="27" t="s">
        <v>56</v>
      </c>
      <c r="D89" s="108" t="s">
        <v>189</v>
      </c>
      <c r="E89" s="109"/>
      <c r="F89" s="109"/>
      <c r="G89" s="109"/>
      <c r="H89" s="109"/>
      <c r="I89" s="109"/>
      <c r="J89" s="109"/>
      <c r="K89" s="109"/>
      <c r="L89" s="109"/>
      <c r="M89" s="109"/>
      <c r="N89" s="109"/>
      <c r="O89" s="109"/>
      <c r="P89" s="109"/>
      <c r="Q89" s="109"/>
      <c r="R89" s="109"/>
      <c r="S89" s="110"/>
    </row>
    <row r="90" spans="1:19" ht="97.5" customHeight="1">
      <c r="B90" s="92"/>
      <c r="C90" s="28" t="s">
        <v>77</v>
      </c>
      <c r="D90" s="118" t="s">
        <v>191</v>
      </c>
      <c r="E90" s="119"/>
      <c r="F90" s="119"/>
      <c r="G90" s="119"/>
      <c r="H90" s="119"/>
      <c r="I90" s="119"/>
      <c r="J90" s="119"/>
      <c r="K90" s="119"/>
      <c r="L90" s="119"/>
      <c r="M90" s="119"/>
      <c r="N90" s="119"/>
      <c r="O90" s="119"/>
      <c r="P90" s="119"/>
      <c r="Q90" s="119"/>
      <c r="R90" s="119"/>
      <c r="S90" s="120"/>
    </row>
    <row r="91" spans="1:19" ht="97.5" customHeight="1">
      <c r="B91" s="91" t="s">
        <v>62</v>
      </c>
      <c r="C91" s="29" t="s">
        <v>71</v>
      </c>
      <c r="D91" s="106" t="s">
        <v>190</v>
      </c>
      <c r="E91" s="95"/>
      <c r="F91" s="95"/>
      <c r="G91" s="95"/>
      <c r="H91" s="95"/>
      <c r="I91" s="95"/>
      <c r="J91" s="95"/>
      <c r="K91" s="95"/>
      <c r="L91" s="95"/>
      <c r="M91" s="95"/>
      <c r="N91" s="95"/>
      <c r="O91" s="95"/>
      <c r="P91" s="95"/>
      <c r="Q91" s="95"/>
      <c r="R91" s="95"/>
      <c r="S91" s="96"/>
    </row>
    <row r="92" spans="1:19" ht="97.5" customHeight="1">
      <c r="B92" s="93"/>
      <c r="C92" s="30" t="s">
        <v>72</v>
      </c>
      <c r="D92" s="111" t="s">
        <v>181</v>
      </c>
      <c r="E92" s="112"/>
      <c r="F92" s="112"/>
      <c r="G92" s="112"/>
      <c r="H92" s="112"/>
      <c r="I92" s="112"/>
      <c r="J92" s="112"/>
      <c r="K92" s="112"/>
      <c r="L92" s="112"/>
      <c r="M92" s="112"/>
      <c r="N92" s="112"/>
      <c r="O92" s="112"/>
      <c r="P92" s="112"/>
      <c r="Q92" s="112"/>
      <c r="R92" s="112"/>
      <c r="S92" s="113"/>
    </row>
    <row r="93" spans="1:19" ht="97.5" customHeight="1">
      <c r="B93" s="91" t="s">
        <v>63</v>
      </c>
      <c r="C93" s="29" t="s">
        <v>73</v>
      </c>
      <c r="D93" s="106" t="s">
        <v>182</v>
      </c>
      <c r="E93" s="95"/>
      <c r="F93" s="95"/>
      <c r="G93" s="95"/>
      <c r="H93" s="95"/>
      <c r="I93" s="95"/>
      <c r="J93" s="95"/>
      <c r="K93" s="95"/>
      <c r="L93" s="95"/>
      <c r="M93" s="95"/>
      <c r="N93" s="95"/>
      <c r="O93" s="95"/>
      <c r="P93" s="95"/>
      <c r="Q93" s="95"/>
      <c r="R93" s="95"/>
      <c r="S93" s="96"/>
    </row>
    <row r="94" spans="1:19" ht="97.5" customHeight="1">
      <c r="B94" s="93"/>
      <c r="C94" s="31" t="s">
        <v>74</v>
      </c>
      <c r="D94" s="107" t="s">
        <v>183</v>
      </c>
      <c r="E94" s="101"/>
      <c r="F94" s="101"/>
      <c r="G94" s="101"/>
      <c r="H94" s="101"/>
      <c r="I94" s="101"/>
      <c r="J94" s="101"/>
      <c r="K94" s="101"/>
      <c r="L94" s="101"/>
      <c r="M94" s="101"/>
      <c r="N94" s="101"/>
      <c r="O94" s="101"/>
      <c r="P94" s="101"/>
      <c r="Q94" s="101"/>
      <c r="R94" s="101"/>
      <c r="S94" s="102"/>
    </row>
    <row r="95" spans="1:19" ht="97.5" customHeight="1">
      <c r="B95" s="91" t="s">
        <v>78</v>
      </c>
      <c r="C95" s="27" t="s">
        <v>58</v>
      </c>
      <c r="D95" s="108" t="s">
        <v>184</v>
      </c>
      <c r="E95" s="109"/>
      <c r="F95" s="109"/>
      <c r="G95" s="109"/>
      <c r="H95" s="109"/>
      <c r="I95" s="109"/>
      <c r="J95" s="109"/>
      <c r="K95" s="109"/>
      <c r="L95" s="109"/>
      <c r="M95" s="109"/>
      <c r="N95" s="109"/>
      <c r="O95" s="109"/>
      <c r="P95" s="109"/>
      <c r="Q95" s="109"/>
      <c r="R95" s="109"/>
      <c r="S95" s="110"/>
    </row>
    <row r="96" spans="1:19" ht="97.5" customHeight="1">
      <c r="B96" s="93"/>
      <c r="C96" s="30" t="s">
        <v>60</v>
      </c>
      <c r="D96" s="111" t="s">
        <v>185</v>
      </c>
      <c r="E96" s="112"/>
      <c r="F96" s="112"/>
      <c r="G96" s="112"/>
      <c r="H96" s="112"/>
      <c r="I96" s="112"/>
      <c r="J96" s="112"/>
      <c r="K96" s="112"/>
      <c r="L96" s="112"/>
      <c r="M96" s="112"/>
      <c r="N96" s="112"/>
      <c r="O96" s="112"/>
      <c r="P96" s="112"/>
      <c r="Q96" s="112"/>
      <c r="R96" s="112"/>
      <c r="S96" s="113"/>
    </row>
    <row r="97" spans="1:19" ht="97.5" customHeight="1">
      <c r="B97" s="91" t="s">
        <v>79</v>
      </c>
      <c r="C97" s="29" t="s">
        <v>57</v>
      </c>
      <c r="D97" s="94" t="s">
        <v>187</v>
      </c>
      <c r="E97" s="95"/>
      <c r="F97" s="95"/>
      <c r="G97" s="95"/>
      <c r="H97" s="95"/>
      <c r="I97" s="95"/>
      <c r="J97" s="95"/>
      <c r="K97" s="95"/>
      <c r="L97" s="95"/>
      <c r="M97" s="95"/>
      <c r="N97" s="95"/>
      <c r="O97" s="95"/>
      <c r="P97" s="95"/>
      <c r="Q97" s="95"/>
      <c r="R97" s="95"/>
      <c r="S97" s="96"/>
    </row>
    <row r="98" spans="1:19" ht="97.5" customHeight="1">
      <c r="B98" s="92"/>
      <c r="C98" s="32" t="s">
        <v>75</v>
      </c>
      <c r="D98" s="97" t="s">
        <v>186</v>
      </c>
      <c r="E98" s="98"/>
      <c r="F98" s="98"/>
      <c r="G98" s="98"/>
      <c r="H98" s="98"/>
      <c r="I98" s="98"/>
      <c r="J98" s="98"/>
      <c r="K98" s="98"/>
      <c r="L98" s="98"/>
      <c r="M98" s="98"/>
      <c r="N98" s="98"/>
      <c r="O98" s="98"/>
      <c r="P98" s="98"/>
      <c r="Q98" s="98"/>
      <c r="R98" s="98"/>
      <c r="S98" s="99"/>
    </row>
    <row r="99" spans="1:19" ht="97.5" customHeight="1">
      <c r="B99" s="93"/>
      <c r="C99" s="31" t="s">
        <v>76</v>
      </c>
      <c r="D99" s="100" t="s">
        <v>188</v>
      </c>
      <c r="E99" s="101"/>
      <c r="F99" s="101"/>
      <c r="G99" s="101"/>
      <c r="H99" s="101"/>
      <c r="I99" s="101"/>
      <c r="J99" s="101"/>
      <c r="K99" s="101"/>
      <c r="L99" s="101"/>
      <c r="M99" s="101"/>
      <c r="N99" s="101"/>
      <c r="O99" s="101"/>
      <c r="P99" s="101"/>
      <c r="Q99" s="101"/>
      <c r="R99" s="101"/>
      <c r="S99" s="102"/>
    </row>
    <row r="100" spans="1:19" ht="6" customHeight="1"/>
    <row r="101" spans="1:19" ht="18.75" customHeight="1">
      <c r="A101" s="1" t="s">
        <v>120</v>
      </c>
    </row>
    <row r="102" spans="1:19" ht="81.75" customHeight="1">
      <c r="B102" s="103" t="s">
        <v>166</v>
      </c>
      <c r="C102" s="104"/>
      <c r="D102" s="104"/>
      <c r="E102" s="104"/>
      <c r="F102" s="104"/>
      <c r="G102" s="104"/>
      <c r="H102" s="104"/>
      <c r="I102" s="104"/>
      <c r="J102" s="104"/>
      <c r="K102" s="104"/>
      <c r="L102" s="104"/>
      <c r="M102" s="104"/>
      <c r="N102" s="104"/>
      <c r="O102" s="104"/>
      <c r="P102" s="104"/>
      <c r="Q102" s="104"/>
      <c r="R102" s="104"/>
      <c r="S102" s="105"/>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7">
    <dataValidation type="list" allowBlank="1" showInputMessage="1" showErrorMessage="1" sqref="P69:S75 Q25:S31 G26:I31 Q36:S42 G37:I42 Q47:S53 G48:I53 Q58:S64 G59:I64 F71:I75" xr:uid="{17C4A3F3-5616-4316-8022-AB5CD5F0365E}">
      <formula1>"○"</formula1>
    </dataValidation>
    <dataValidation type="list" allowBlank="1" showInputMessage="1" showErrorMessage="1" sqref="S32 S43 D32:G32 D43:G43" xr:uid="{51657C1A-5AD0-4047-8FA2-C29F84C3F40B}">
      <formula1>"全学開講,一部開講"</formula1>
    </dataValidation>
    <dataValidation type="list" allowBlank="1" showInputMessage="1" showErrorMessage="1" sqref="K7 K12" xr:uid="{3166C2EC-BA80-4CE8-9D54-92A5DC55FB54}">
      <formula1>"学部・学科によって、修了要件は相違する,学部・学科によって、修了要件は相違しない"</formula1>
    </dataValidation>
    <dataValidation type="list" allowBlank="1" showInputMessage="1" showErrorMessage="1" sqref="Q83:S86 P79:P86 Q79:S80 F85:I86" xr:uid="{95AAD17C-4F0D-4A06-AD87-AD39A22B60C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CFAC078E-A0F4-4774-BAA8-985C4888E782}">
      <formula1>$V$14:$V$16</formula1>
    </dataValidation>
    <dataValidation type="list" allowBlank="1" showErrorMessage="1" sqref="G25:I25 G36:I36 G47:I47 G58:I58 F69:I70" xr:uid="{A67AB471-A2E9-46E5-9215-A5ADAFA8D305}">
      <formula1>"○"</formula1>
    </dataValidation>
    <dataValidation type="list" allowBlank="1" showErrorMessage="1" sqref="F79:F84" xr:uid="{E65C9569-96FF-4D56-B2BC-82B6F12464E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78740157480314965" bottom="0.19685039370078741" header="0.31496062992125984" footer="0.19685039370078741"/>
  <pageSetup paperSize="9" scale="74" fitToHeight="3"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D122-2A08-4CF9-91B5-150CB4C5103D}">
  <dimension ref="A1:V110"/>
  <sheetViews>
    <sheetView showZeros="0" view="pageBreakPreview" topLeftCell="A85" zoomScale="150" zoomScaleNormal="100" zoomScaleSheetLayoutView="150" workbookViewId="0">
      <selection activeCell="D89" sqref="D89:S89"/>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61" t="s">
        <v>176</v>
      </c>
      <c r="S1" s="161"/>
      <c r="T1" s="2" t="s">
        <v>109</v>
      </c>
    </row>
    <row r="2" spans="1:22" ht="18.75" customHeight="1">
      <c r="B2" s="33" t="s">
        <v>108</v>
      </c>
      <c r="C2" s="157" t="s">
        <v>126</v>
      </c>
      <c r="D2" s="160"/>
      <c r="E2" s="160"/>
      <c r="F2" s="160"/>
      <c r="G2" s="160"/>
      <c r="H2" s="160"/>
      <c r="I2" s="158"/>
      <c r="J2" s="34"/>
      <c r="K2" s="6"/>
      <c r="L2" s="6"/>
      <c r="M2" s="6"/>
      <c r="N2" s="6"/>
      <c r="O2" s="6"/>
      <c r="P2" s="6"/>
      <c r="Q2" s="6"/>
      <c r="R2" s="6"/>
      <c r="S2" s="6"/>
    </row>
    <row r="3" spans="1:22" ht="18.75" customHeight="1">
      <c r="B3" s="33" t="s">
        <v>102</v>
      </c>
      <c r="C3" s="157" t="s">
        <v>179</v>
      </c>
      <c r="D3" s="160"/>
      <c r="E3" s="160"/>
      <c r="F3" s="160"/>
      <c r="G3" s="160"/>
      <c r="H3" s="160"/>
      <c r="I3" s="158"/>
      <c r="J3" s="34"/>
      <c r="K3" s="6"/>
      <c r="L3" s="6"/>
      <c r="M3" s="6"/>
      <c r="N3" s="6"/>
      <c r="O3" s="6"/>
      <c r="P3" s="6"/>
      <c r="Q3" s="6"/>
      <c r="R3" s="6"/>
      <c r="S3" s="6"/>
    </row>
    <row r="4" spans="1:22" ht="15" customHeight="1">
      <c r="K4" s="34"/>
      <c r="L4" s="36"/>
      <c r="M4" s="36"/>
      <c r="N4" s="36"/>
      <c r="O4" s="36"/>
      <c r="P4" s="36"/>
      <c r="Q4" s="36"/>
      <c r="R4" s="36"/>
      <c r="S4" s="36"/>
    </row>
    <row r="5" spans="1:22" ht="18" customHeight="1">
      <c r="A5" s="162" t="s">
        <v>38</v>
      </c>
      <c r="B5" s="162"/>
      <c r="C5" s="162"/>
      <c r="D5" s="162"/>
      <c r="E5" s="162"/>
      <c r="F5" s="162"/>
      <c r="G5" s="162"/>
      <c r="H5" s="162"/>
      <c r="I5" s="162"/>
      <c r="J5" s="162"/>
      <c r="K5" s="162"/>
      <c r="L5" s="162"/>
      <c r="M5" s="162"/>
      <c r="N5" s="162"/>
      <c r="O5" s="162"/>
      <c r="P5" s="162"/>
      <c r="Q5" s="162"/>
      <c r="R5" s="162"/>
      <c r="S5" s="162"/>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63" t="s">
        <v>127</v>
      </c>
      <c r="L7" s="164"/>
      <c r="M7" s="164"/>
      <c r="N7" s="164"/>
      <c r="O7" s="164"/>
      <c r="P7" s="164"/>
      <c r="Q7" s="164"/>
      <c r="R7" s="164"/>
      <c r="S7" s="165"/>
    </row>
    <row r="8" spans="1:22" ht="6" customHeight="1">
      <c r="B8" s="3"/>
      <c r="C8" s="3"/>
      <c r="D8" s="3"/>
      <c r="E8" s="3"/>
      <c r="F8" s="3"/>
      <c r="G8" s="3"/>
      <c r="H8" s="3"/>
      <c r="I8" s="3"/>
      <c r="J8" s="3"/>
      <c r="K8" s="10"/>
      <c r="L8" s="3"/>
      <c r="M8" s="3"/>
      <c r="N8" s="3"/>
      <c r="O8" s="3"/>
      <c r="P8" s="3"/>
      <c r="Q8" s="3"/>
      <c r="R8" s="3"/>
      <c r="S8" s="3"/>
    </row>
    <row r="9" spans="1:22" ht="18" customHeight="1">
      <c r="B9" s="166" t="s">
        <v>164</v>
      </c>
      <c r="C9" s="167"/>
      <c r="D9" s="167"/>
      <c r="E9" s="167"/>
      <c r="F9" s="167"/>
      <c r="G9" s="167"/>
      <c r="H9" s="167"/>
      <c r="I9" s="167"/>
      <c r="J9" s="167"/>
      <c r="K9" s="167"/>
      <c r="L9" s="167"/>
      <c r="M9" s="167"/>
      <c r="N9" s="167"/>
      <c r="O9" s="167"/>
      <c r="P9" s="167"/>
      <c r="Q9" s="167"/>
      <c r="R9" s="167"/>
      <c r="S9" s="168"/>
    </row>
    <row r="10" spans="1:22" ht="18" customHeight="1">
      <c r="B10" s="169"/>
      <c r="C10" s="170"/>
      <c r="D10" s="170"/>
      <c r="E10" s="170"/>
      <c r="F10" s="170"/>
      <c r="G10" s="170"/>
      <c r="H10" s="170"/>
      <c r="I10" s="170"/>
      <c r="J10" s="170"/>
      <c r="K10" s="170"/>
      <c r="L10" s="170"/>
      <c r="M10" s="170"/>
      <c r="N10" s="170"/>
      <c r="O10" s="170"/>
      <c r="P10" s="170"/>
      <c r="Q10" s="170"/>
      <c r="R10" s="170"/>
      <c r="S10" s="17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148" t="s">
        <v>160</v>
      </c>
      <c r="C13" s="149"/>
      <c r="D13" s="149"/>
      <c r="E13" s="149"/>
      <c r="F13" s="149"/>
      <c r="G13" s="149"/>
      <c r="H13" s="149"/>
      <c r="I13" s="149"/>
      <c r="J13" s="149"/>
      <c r="K13" s="149"/>
      <c r="L13" s="149"/>
      <c r="M13" s="149"/>
      <c r="N13" s="149"/>
      <c r="O13" s="149"/>
      <c r="P13" s="149"/>
      <c r="Q13" s="149"/>
      <c r="R13" s="149"/>
      <c r="S13" s="150"/>
      <c r="V13" s="1" t="s">
        <v>103</v>
      </c>
    </row>
    <row r="14" spans="1:22" ht="18" customHeight="1">
      <c r="B14" s="151"/>
      <c r="C14" s="152"/>
      <c r="D14" s="152"/>
      <c r="E14" s="152"/>
      <c r="F14" s="152"/>
      <c r="G14" s="152"/>
      <c r="H14" s="152"/>
      <c r="I14" s="152"/>
      <c r="J14" s="152"/>
      <c r="K14" s="152"/>
      <c r="L14" s="152"/>
      <c r="M14" s="152"/>
      <c r="N14" s="152"/>
      <c r="O14" s="152"/>
      <c r="P14" s="152"/>
      <c r="Q14" s="152"/>
      <c r="R14" s="152"/>
      <c r="S14" s="153"/>
      <c r="V14" s="1" t="s">
        <v>110</v>
      </c>
    </row>
    <row r="15" spans="1:22" ht="18" customHeight="1">
      <c r="B15" s="151"/>
      <c r="C15" s="152"/>
      <c r="D15" s="152"/>
      <c r="E15" s="152"/>
      <c r="F15" s="152"/>
      <c r="G15" s="152"/>
      <c r="H15" s="152"/>
      <c r="I15" s="152"/>
      <c r="J15" s="152"/>
      <c r="K15" s="152"/>
      <c r="L15" s="152"/>
      <c r="M15" s="152"/>
      <c r="N15" s="152"/>
      <c r="O15" s="152"/>
      <c r="P15" s="152"/>
      <c r="Q15" s="152"/>
      <c r="R15" s="152"/>
      <c r="S15" s="153"/>
      <c r="V15" s="1" t="s">
        <v>123</v>
      </c>
    </row>
    <row r="16" spans="1:22" ht="18" customHeight="1">
      <c r="B16" s="151"/>
      <c r="C16" s="152"/>
      <c r="D16" s="152"/>
      <c r="E16" s="152"/>
      <c r="F16" s="152"/>
      <c r="G16" s="152"/>
      <c r="H16" s="152"/>
      <c r="I16" s="152"/>
      <c r="J16" s="152"/>
      <c r="K16" s="152"/>
      <c r="L16" s="152"/>
      <c r="M16" s="152"/>
      <c r="N16" s="152"/>
      <c r="O16" s="152"/>
      <c r="P16" s="152"/>
      <c r="Q16" s="152"/>
      <c r="R16" s="152"/>
      <c r="S16" s="153"/>
      <c r="V16" s="1" t="s">
        <v>125</v>
      </c>
    </row>
    <row r="17" spans="1:19" ht="18" customHeight="1">
      <c r="B17" s="151"/>
      <c r="C17" s="152"/>
      <c r="D17" s="152"/>
      <c r="E17" s="152"/>
      <c r="F17" s="152"/>
      <c r="G17" s="152"/>
      <c r="H17" s="152"/>
      <c r="I17" s="152"/>
      <c r="J17" s="152"/>
      <c r="K17" s="152"/>
      <c r="L17" s="152"/>
      <c r="M17" s="152"/>
      <c r="N17" s="152"/>
      <c r="O17" s="152"/>
      <c r="P17" s="152"/>
      <c r="Q17" s="152"/>
      <c r="R17" s="152"/>
      <c r="S17" s="153"/>
    </row>
    <row r="18" spans="1:19" ht="18" customHeight="1">
      <c r="B18" s="154"/>
      <c r="C18" s="155"/>
      <c r="D18" s="155"/>
      <c r="E18" s="155"/>
      <c r="F18" s="155"/>
      <c r="G18" s="155"/>
      <c r="H18" s="155"/>
      <c r="I18" s="155"/>
      <c r="J18" s="155"/>
      <c r="K18" s="155"/>
      <c r="L18" s="155"/>
      <c r="M18" s="155"/>
      <c r="N18" s="155"/>
      <c r="O18" s="155"/>
      <c r="P18" s="155"/>
      <c r="Q18" s="155"/>
      <c r="R18" s="155"/>
      <c r="S18" s="156"/>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57">
        <v>2</v>
      </c>
      <c r="D20" s="158"/>
      <c r="E20" s="39" t="s">
        <v>95</v>
      </c>
      <c r="G20" s="10"/>
      <c r="H20" s="3"/>
      <c r="I20" s="3"/>
      <c r="J20" s="34" t="s">
        <v>121</v>
      </c>
      <c r="K20" s="159" t="s">
        <v>128</v>
      </c>
      <c r="L20" s="160"/>
      <c r="M20" s="160"/>
      <c r="N20" s="160"/>
      <c r="O20" s="160"/>
      <c r="P20" s="160"/>
      <c r="Q20" s="160"/>
      <c r="R20" s="160"/>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7" t="s">
        <v>113</v>
      </c>
      <c r="B22" s="147"/>
      <c r="C22" s="147"/>
      <c r="D22" s="147"/>
      <c r="E22" s="147"/>
      <c r="F22" s="147"/>
      <c r="G22" s="147"/>
      <c r="H22" s="147"/>
      <c r="I22" s="147"/>
      <c r="J22" s="147"/>
      <c r="K22" s="147"/>
      <c r="L22" s="147"/>
      <c r="M22" s="147"/>
      <c r="N22" s="147"/>
      <c r="O22" s="147"/>
      <c r="P22" s="147"/>
      <c r="Q22" s="147"/>
      <c r="R22" s="147"/>
      <c r="S22" s="147"/>
    </row>
    <row r="23" spans="1:19" ht="18" customHeight="1">
      <c r="A23" s="147"/>
      <c r="B23" s="147"/>
      <c r="C23" s="147"/>
      <c r="D23" s="147"/>
      <c r="E23" s="147"/>
      <c r="F23" s="147"/>
      <c r="G23" s="147"/>
      <c r="H23" s="147"/>
      <c r="I23" s="147"/>
      <c r="J23" s="147"/>
      <c r="K23" s="147"/>
      <c r="L23" s="147"/>
      <c r="M23" s="147"/>
      <c r="N23" s="147"/>
      <c r="O23" s="147"/>
      <c r="P23" s="147"/>
      <c r="Q23" s="147"/>
      <c r="R23" s="147"/>
      <c r="S23" s="147"/>
    </row>
    <row r="24" spans="1:19" ht="18" customHeight="1">
      <c r="B24" s="135" t="s">
        <v>53</v>
      </c>
      <c r="C24" s="116"/>
      <c r="D24" s="116"/>
      <c r="E24" s="117"/>
      <c r="F24" s="59" t="s">
        <v>80</v>
      </c>
      <c r="G24" s="58" t="s">
        <v>84</v>
      </c>
      <c r="H24" s="21" t="s">
        <v>56</v>
      </c>
      <c r="I24" s="21" t="s">
        <v>59</v>
      </c>
      <c r="J24" s="135" t="s">
        <v>53</v>
      </c>
      <c r="K24" s="116"/>
      <c r="L24" s="116"/>
      <c r="M24" s="116"/>
      <c r="N24" s="116"/>
      <c r="O24" s="117"/>
      <c r="P24" s="59" t="s">
        <v>80</v>
      </c>
      <c r="Q24" s="58" t="s">
        <v>84</v>
      </c>
      <c r="R24" s="21" t="s">
        <v>56</v>
      </c>
      <c r="S24" s="21" t="s">
        <v>59</v>
      </c>
    </row>
    <row r="25" spans="1:19" ht="18" customHeight="1">
      <c r="B25" s="139" t="s">
        <v>151</v>
      </c>
      <c r="C25" s="95"/>
      <c r="D25" s="95"/>
      <c r="E25" s="96"/>
      <c r="F25" s="80">
        <v>2</v>
      </c>
      <c r="G25" s="80" t="s">
        <v>130</v>
      </c>
      <c r="H25" s="80" t="s">
        <v>130</v>
      </c>
      <c r="I25" s="80" t="s">
        <v>130</v>
      </c>
      <c r="J25" s="141"/>
      <c r="K25" s="142"/>
      <c r="L25" s="142"/>
      <c r="M25" s="142"/>
      <c r="N25" s="142"/>
      <c r="O25" s="143"/>
      <c r="P25" s="22"/>
      <c r="Q25" s="22"/>
      <c r="R25" s="22"/>
      <c r="S25" s="22"/>
    </row>
    <row r="26" spans="1:19" ht="18" customHeight="1">
      <c r="B26" s="123"/>
      <c r="C26" s="124"/>
      <c r="D26" s="124"/>
      <c r="E26" s="125"/>
      <c r="F26" s="23"/>
      <c r="G26" s="23"/>
      <c r="H26" s="23"/>
      <c r="I26" s="23"/>
      <c r="J26" s="123"/>
      <c r="K26" s="124"/>
      <c r="L26" s="124"/>
      <c r="M26" s="124"/>
      <c r="N26" s="124"/>
      <c r="O26" s="125"/>
      <c r="P26" s="23"/>
      <c r="Q26" s="23"/>
      <c r="R26" s="23"/>
      <c r="S26" s="23"/>
    </row>
    <row r="27" spans="1:19" ht="18" customHeight="1">
      <c r="B27" s="123"/>
      <c r="C27" s="124"/>
      <c r="D27" s="124"/>
      <c r="E27" s="125"/>
      <c r="F27" s="23"/>
      <c r="G27" s="23"/>
      <c r="H27" s="23"/>
      <c r="I27" s="23"/>
      <c r="J27" s="123"/>
      <c r="K27" s="124"/>
      <c r="L27" s="124"/>
      <c r="M27" s="124"/>
      <c r="N27" s="124"/>
      <c r="O27" s="125"/>
      <c r="P27" s="23"/>
      <c r="Q27" s="23"/>
      <c r="R27" s="23"/>
      <c r="S27" s="23"/>
    </row>
    <row r="28" spans="1:19" ht="18" customHeight="1">
      <c r="B28" s="123"/>
      <c r="C28" s="124"/>
      <c r="D28" s="124"/>
      <c r="E28" s="125"/>
      <c r="F28" s="23"/>
      <c r="G28" s="23"/>
      <c r="H28" s="23"/>
      <c r="I28" s="23"/>
      <c r="J28" s="123"/>
      <c r="K28" s="124"/>
      <c r="L28" s="124"/>
      <c r="M28" s="124"/>
      <c r="N28" s="124"/>
      <c r="O28" s="125"/>
      <c r="P28" s="23"/>
      <c r="Q28" s="23"/>
      <c r="R28" s="23"/>
      <c r="S28" s="23"/>
    </row>
    <row r="29" spans="1:19" ht="18" customHeight="1">
      <c r="B29" s="123"/>
      <c r="C29" s="124"/>
      <c r="D29" s="124"/>
      <c r="E29" s="125"/>
      <c r="F29" s="23"/>
      <c r="G29" s="23"/>
      <c r="H29" s="23"/>
      <c r="I29" s="23"/>
      <c r="J29" s="123"/>
      <c r="K29" s="124"/>
      <c r="L29" s="124"/>
      <c r="M29" s="124"/>
      <c r="N29" s="124"/>
      <c r="O29" s="125"/>
      <c r="P29" s="23"/>
      <c r="Q29" s="23"/>
      <c r="R29" s="23"/>
      <c r="S29" s="23"/>
    </row>
    <row r="30" spans="1:19" ht="18" customHeight="1">
      <c r="A30" s="3"/>
      <c r="B30" s="123"/>
      <c r="C30" s="124"/>
      <c r="D30" s="124"/>
      <c r="E30" s="125"/>
      <c r="F30" s="23"/>
      <c r="G30" s="23"/>
      <c r="H30" s="23"/>
      <c r="I30" s="23"/>
      <c r="J30" s="123"/>
      <c r="K30" s="124"/>
      <c r="L30" s="124"/>
      <c r="M30" s="124"/>
      <c r="N30" s="124"/>
      <c r="O30" s="125"/>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7" t="s">
        <v>114</v>
      </c>
      <c r="B33" s="147"/>
      <c r="C33" s="147"/>
      <c r="D33" s="147"/>
      <c r="E33" s="147"/>
      <c r="F33" s="147"/>
      <c r="G33" s="147"/>
      <c r="H33" s="147"/>
      <c r="I33" s="147"/>
      <c r="J33" s="147"/>
      <c r="K33" s="147"/>
      <c r="L33" s="147"/>
      <c r="M33" s="147"/>
      <c r="N33" s="147"/>
      <c r="O33" s="147"/>
      <c r="P33" s="147"/>
      <c r="Q33" s="147"/>
      <c r="R33" s="147"/>
      <c r="S33" s="147"/>
    </row>
    <row r="34" spans="1:19" ht="18" customHeight="1">
      <c r="A34" s="147"/>
      <c r="B34" s="147"/>
      <c r="C34" s="147"/>
      <c r="D34" s="147"/>
      <c r="E34" s="147"/>
      <c r="F34" s="147"/>
      <c r="G34" s="147"/>
      <c r="H34" s="147"/>
      <c r="I34" s="147"/>
      <c r="J34" s="147"/>
      <c r="K34" s="147"/>
      <c r="L34" s="147"/>
      <c r="M34" s="147"/>
      <c r="N34" s="147"/>
      <c r="O34" s="147"/>
      <c r="P34" s="147"/>
      <c r="Q34" s="147"/>
      <c r="R34" s="147"/>
      <c r="S34" s="147"/>
    </row>
    <row r="35" spans="1:19" ht="18" customHeight="1">
      <c r="B35" s="135" t="s">
        <v>53</v>
      </c>
      <c r="C35" s="116"/>
      <c r="D35" s="116"/>
      <c r="E35" s="117"/>
      <c r="F35" s="59" t="s">
        <v>80</v>
      </c>
      <c r="G35" s="58" t="s">
        <v>84</v>
      </c>
      <c r="H35" s="21" t="s">
        <v>71</v>
      </c>
      <c r="I35" s="21" t="s">
        <v>72</v>
      </c>
      <c r="J35" s="135" t="s">
        <v>53</v>
      </c>
      <c r="K35" s="116"/>
      <c r="L35" s="116"/>
      <c r="M35" s="116"/>
      <c r="N35" s="116"/>
      <c r="O35" s="117"/>
      <c r="P35" s="59" t="s">
        <v>80</v>
      </c>
      <c r="Q35" s="58" t="s">
        <v>84</v>
      </c>
      <c r="R35" s="21" t="s">
        <v>71</v>
      </c>
      <c r="S35" s="21" t="s">
        <v>72</v>
      </c>
    </row>
    <row r="36" spans="1:19" ht="18" customHeight="1">
      <c r="B36" s="139" t="s">
        <v>151</v>
      </c>
      <c r="C36" s="95"/>
      <c r="D36" s="95"/>
      <c r="E36" s="96"/>
      <c r="F36" s="80">
        <v>2</v>
      </c>
      <c r="G36" s="80" t="s">
        <v>130</v>
      </c>
      <c r="H36" s="80" t="s">
        <v>130</v>
      </c>
      <c r="I36" s="80" t="s">
        <v>130</v>
      </c>
      <c r="J36" s="141"/>
      <c r="K36" s="142"/>
      <c r="L36" s="142"/>
      <c r="M36" s="142"/>
      <c r="N36" s="142"/>
      <c r="O36" s="143"/>
      <c r="P36" s="22"/>
      <c r="Q36" s="22"/>
      <c r="R36" s="22"/>
      <c r="S36" s="22"/>
    </row>
    <row r="37" spans="1:19" ht="18" customHeight="1">
      <c r="B37" s="123"/>
      <c r="C37" s="124"/>
      <c r="D37" s="124"/>
      <c r="E37" s="125"/>
      <c r="F37" s="23"/>
      <c r="G37" s="23"/>
      <c r="H37" s="23"/>
      <c r="I37" s="23"/>
      <c r="J37" s="123"/>
      <c r="K37" s="124"/>
      <c r="L37" s="124"/>
      <c r="M37" s="124"/>
      <c r="N37" s="124"/>
      <c r="O37" s="125"/>
      <c r="P37" s="23"/>
      <c r="Q37" s="23"/>
      <c r="R37" s="23"/>
      <c r="S37" s="23"/>
    </row>
    <row r="38" spans="1:19" ht="18" customHeight="1">
      <c r="B38" s="123"/>
      <c r="C38" s="124"/>
      <c r="D38" s="124"/>
      <c r="E38" s="125"/>
      <c r="F38" s="23"/>
      <c r="G38" s="23"/>
      <c r="H38" s="23"/>
      <c r="I38" s="23"/>
      <c r="J38" s="123"/>
      <c r="K38" s="124"/>
      <c r="L38" s="124"/>
      <c r="M38" s="124"/>
      <c r="N38" s="124"/>
      <c r="O38" s="125"/>
      <c r="P38" s="23"/>
      <c r="Q38" s="23"/>
      <c r="R38" s="23"/>
      <c r="S38" s="23"/>
    </row>
    <row r="39" spans="1:19" ht="18" customHeight="1">
      <c r="B39" s="123"/>
      <c r="C39" s="124"/>
      <c r="D39" s="124"/>
      <c r="E39" s="125"/>
      <c r="F39" s="23"/>
      <c r="G39" s="23"/>
      <c r="H39" s="23"/>
      <c r="I39" s="23"/>
      <c r="J39" s="123"/>
      <c r="K39" s="124"/>
      <c r="L39" s="124"/>
      <c r="M39" s="124"/>
      <c r="N39" s="124"/>
      <c r="O39" s="125"/>
      <c r="P39" s="23"/>
      <c r="Q39" s="23"/>
      <c r="R39" s="23"/>
      <c r="S39" s="23"/>
    </row>
    <row r="40" spans="1:19" ht="18" customHeight="1">
      <c r="B40" s="123"/>
      <c r="C40" s="124"/>
      <c r="D40" s="124"/>
      <c r="E40" s="125"/>
      <c r="F40" s="23"/>
      <c r="G40" s="23"/>
      <c r="H40" s="23"/>
      <c r="I40" s="23"/>
      <c r="J40" s="123"/>
      <c r="K40" s="124"/>
      <c r="L40" s="124"/>
      <c r="M40" s="124"/>
      <c r="N40" s="124"/>
      <c r="O40" s="125"/>
      <c r="P40" s="23"/>
      <c r="Q40" s="23"/>
      <c r="R40" s="23"/>
      <c r="S40" s="23"/>
    </row>
    <row r="41" spans="1:19" ht="18" customHeight="1">
      <c r="B41" s="123"/>
      <c r="C41" s="124"/>
      <c r="D41" s="124"/>
      <c r="E41" s="125"/>
      <c r="F41" s="23"/>
      <c r="G41" s="23"/>
      <c r="H41" s="23"/>
      <c r="I41" s="23"/>
      <c r="J41" s="123"/>
      <c r="K41" s="124"/>
      <c r="L41" s="124"/>
      <c r="M41" s="124"/>
      <c r="N41" s="124"/>
      <c r="O41" s="125"/>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7" t="s">
        <v>115</v>
      </c>
      <c r="B44" s="147"/>
      <c r="C44" s="147"/>
      <c r="D44" s="147"/>
      <c r="E44" s="147"/>
      <c r="F44" s="147"/>
      <c r="G44" s="147"/>
      <c r="H44" s="147"/>
      <c r="I44" s="147"/>
      <c r="J44" s="147"/>
      <c r="K44" s="147"/>
      <c r="L44" s="147"/>
      <c r="M44" s="147"/>
      <c r="N44" s="147"/>
      <c r="O44" s="147"/>
      <c r="P44" s="147"/>
      <c r="Q44" s="147"/>
      <c r="R44" s="147"/>
      <c r="S44" s="147"/>
    </row>
    <row r="45" spans="1:19" ht="18" customHeight="1">
      <c r="A45" s="147"/>
      <c r="B45" s="147"/>
      <c r="C45" s="147"/>
      <c r="D45" s="147"/>
      <c r="E45" s="147"/>
      <c r="F45" s="147"/>
      <c r="G45" s="147"/>
      <c r="H45" s="147"/>
      <c r="I45" s="147"/>
      <c r="J45" s="147"/>
      <c r="K45" s="147"/>
      <c r="L45" s="147"/>
      <c r="M45" s="147"/>
      <c r="N45" s="147"/>
      <c r="O45" s="147"/>
      <c r="P45" s="147"/>
      <c r="Q45" s="147"/>
      <c r="R45" s="147"/>
      <c r="S45" s="147"/>
    </row>
    <row r="46" spans="1:19" ht="18" customHeight="1">
      <c r="B46" s="135" t="s">
        <v>53</v>
      </c>
      <c r="C46" s="116"/>
      <c r="D46" s="116"/>
      <c r="E46" s="117"/>
      <c r="F46" s="59" t="s">
        <v>80</v>
      </c>
      <c r="G46" s="58" t="s">
        <v>84</v>
      </c>
      <c r="H46" s="21" t="s">
        <v>73</v>
      </c>
      <c r="I46" s="21" t="s">
        <v>74</v>
      </c>
      <c r="J46" s="135" t="s">
        <v>53</v>
      </c>
      <c r="K46" s="116"/>
      <c r="L46" s="116"/>
      <c r="M46" s="116"/>
      <c r="N46" s="116"/>
      <c r="O46" s="117"/>
      <c r="P46" s="59" t="s">
        <v>80</v>
      </c>
      <c r="Q46" s="58" t="s">
        <v>84</v>
      </c>
      <c r="R46" s="21" t="s">
        <v>73</v>
      </c>
      <c r="S46" s="21" t="s">
        <v>74</v>
      </c>
    </row>
    <row r="47" spans="1:19" ht="18" customHeight="1">
      <c r="A47" s="3"/>
      <c r="B47" s="139" t="s">
        <v>151</v>
      </c>
      <c r="C47" s="95"/>
      <c r="D47" s="95"/>
      <c r="E47" s="96"/>
      <c r="F47" s="80">
        <v>2</v>
      </c>
      <c r="G47" s="80" t="s">
        <v>130</v>
      </c>
      <c r="H47" s="80" t="s">
        <v>130</v>
      </c>
      <c r="I47" s="80" t="s">
        <v>130</v>
      </c>
      <c r="J47" s="141"/>
      <c r="K47" s="142"/>
      <c r="L47" s="142"/>
      <c r="M47" s="142"/>
      <c r="N47" s="142"/>
      <c r="O47" s="143"/>
      <c r="P47" s="22"/>
      <c r="Q47" s="22"/>
      <c r="R47" s="22"/>
      <c r="S47" s="22"/>
    </row>
    <row r="48" spans="1:19" ht="18" customHeight="1">
      <c r="A48" s="3"/>
      <c r="B48" s="123"/>
      <c r="C48" s="124"/>
      <c r="D48" s="124"/>
      <c r="E48" s="125"/>
      <c r="F48" s="23"/>
      <c r="G48" s="23"/>
      <c r="H48" s="23"/>
      <c r="I48" s="23"/>
      <c r="J48" s="123"/>
      <c r="K48" s="124"/>
      <c r="L48" s="124"/>
      <c r="M48" s="124"/>
      <c r="N48" s="124"/>
      <c r="O48" s="125"/>
      <c r="P48" s="23"/>
      <c r="Q48" s="23"/>
      <c r="R48" s="23"/>
      <c r="S48" s="23"/>
    </row>
    <row r="49" spans="1:19" ht="18" customHeight="1">
      <c r="A49" s="3"/>
      <c r="B49" s="123"/>
      <c r="C49" s="124"/>
      <c r="D49" s="124"/>
      <c r="E49" s="125"/>
      <c r="F49" s="23"/>
      <c r="G49" s="23"/>
      <c r="H49" s="23"/>
      <c r="I49" s="23"/>
      <c r="J49" s="123"/>
      <c r="K49" s="124"/>
      <c r="L49" s="124"/>
      <c r="M49" s="124"/>
      <c r="N49" s="124"/>
      <c r="O49" s="125"/>
      <c r="P49" s="23"/>
      <c r="Q49" s="23"/>
      <c r="R49" s="23"/>
      <c r="S49" s="23"/>
    </row>
    <row r="50" spans="1:19" ht="18" customHeight="1">
      <c r="A50" s="3"/>
      <c r="B50" s="123"/>
      <c r="C50" s="124"/>
      <c r="D50" s="124"/>
      <c r="E50" s="125"/>
      <c r="F50" s="23"/>
      <c r="G50" s="23"/>
      <c r="H50" s="23"/>
      <c r="I50" s="23"/>
      <c r="J50" s="123"/>
      <c r="K50" s="124"/>
      <c r="L50" s="124"/>
      <c r="M50" s="124"/>
      <c r="N50" s="124"/>
      <c r="O50" s="125"/>
      <c r="P50" s="23"/>
      <c r="Q50" s="23"/>
      <c r="R50" s="23"/>
      <c r="S50" s="23"/>
    </row>
    <row r="51" spans="1:19" ht="18" customHeight="1">
      <c r="A51" s="3"/>
      <c r="B51" s="123"/>
      <c r="C51" s="124"/>
      <c r="D51" s="124"/>
      <c r="E51" s="125"/>
      <c r="F51" s="23"/>
      <c r="G51" s="23"/>
      <c r="H51" s="23"/>
      <c r="I51" s="23"/>
      <c r="J51" s="123"/>
      <c r="K51" s="124"/>
      <c r="L51" s="124"/>
      <c r="M51" s="124"/>
      <c r="N51" s="124"/>
      <c r="O51" s="125"/>
      <c r="P51" s="23"/>
      <c r="Q51" s="23"/>
      <c r="R51" s="23"/>
      <c r="S51" s="23"/>
    </row>
    <row r="52" spans="1:19" ht="18" customHeight="1">
      <c r="A52" s="3"/>
      <c r="B52" s="123"/>
      <c r="C52" s="124"/>
      <c r="D52" s="124"/>
      <c r="E52" s="125"/>
      <c r="F52" s="23"/>
      <c r="G52" s="23"/>
      <c r="H52" s="23"/>
      <c r="I52" s="23"/>
      <c r="J52" s="123"/>
      <c r="K52" s="124"/>
      <c r="L52" s="124"/>
      <c r="M52" s="124"/>
      <c r="N52" s="124"/>
      <c r="O52" s="125"/>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47" t="s">
        <v>116</v>
      </c>
      <c r="B55" s="147"/>
      <c r="C55" s="147"/>
      <c r="D55" s="147"/>
      <c r="E55" s="147"/>
      <c r="F55" s="147"/>
      <c r="G55" s="147"/>
      <c r="H55" s="147"/>
      <c r="I55" s="147"/>
      <c r="J55" s="147"/>
      <c r="K55" s="147"/>
      <c r="L55" s="147"/>
      <c r="M55" s="147"/>
      <c r="N55" s="147"/>
      <c r="O55" s="147"/>
      <c r="P55" s="147"/>
      <c r="Q55" s="147"/>
      <c r="R55" s="147"/>
      <c r="S55" s="147"/>
    </row>
    <row r="56" spans="1:19" ht="18" customHeight="1">
      <c r="A56" s="147"/>
      <c r="B56" s="147"/>
      <c r="C56" s="147"/>
      <c r="D56" s="147"/>
      <c r="E56" s="147"/>
      <c r="F56" s="147"/>
      <c r="G56" s="147"/>
      <c r="H56" s="147"/>
      <c r="I56" s="147"/>
      <c r="J56" s="147"/>
      <c r="K56" s="147"/>
      <c r="L56" s="147"/>
      <c r="M56" s="147"/>
      <c r="N56" s="147"/>
      <c r="O56" s="147"/>
      <c r="P56" s="147"/>
      <c r="Q56" s="147"/>
      <c r="R56" s="147"/>
      <c r="S56" s="147"/>
    </row>
    <row r="57" spans="1:19" ht="18" customHeight="1">
      <c r="B57" s="135" t="s">
        <v>53</v>
      </c>
      <c r="C57" s="116"/>
      <c r="D57" s="116"/>
      <c r="E57" s="117"/>
      <c r="F57" s="59" t="s">
        <v>80</v>
      </c>
      <c r="G57" s="58" t="s">
        <v>84</v>
      </c>
      <c r="H57" s="21" t="s">
        <v>58</v>
      </c>
      <c r="I57" s="21" t="s">
        <v>60</v>
      </c>
      <c r="J57" s="135" t="s">
        <v>53</v>
      </c>
      <c r="K57" s="116"/>
      <c r="L57" s="116"/>
      <c r="M57" s="116"/>
      <c r="N57" s="116"/>
      <c r="O57" s="117"/>
      <c r="P57" s="59" t="s">
        <v>80</v>
      </c>
      <c r="Q57" s="58" t="s">
        <v>84</v>
      </c>
      <c r="R57" s="21" t="s">
        <v>58</v>
      </c>
      <c r="S57" s="21" t="s">
        <v>60</v>
      </c>
    </row>
    <row r="58" spans="1:19" ht="18" customHeight="1">
      <c r="A58" s="3"/>
      <c r="B58" s="139" t="s">
        <v>151</v>
      </c>
      <c r="C58" s="95"/>
      <c r="D58" s="95"/>
      <c r="E58" s="96"/>
      <c r="F58" s="80">
        <v>2</v>
      </c>
      <c r="G58" s="80" t="s">
        <v>130</v>
      </c>
      <c r="H58" s="80" t="s">
        <v>130</v>
      </c>
      <c r="I58" s="80" t="s">
        <v>130</v>
      </c>
      <c r="J58" s="141"/>
      <c r="K58" s="142"/>
      <c r="L58" s="142"/>
      <c r="M58" s="142"/>
      <c r="N58" s="142"/>
      <c r="O58" s="143"/>
      <c r="P58" s="22"/>
      <c r="Q58" s="22"/>
      <c r="R58" s="22"/>
      <c r="S58" s="22"/>
    </row>
    <row r="59" spans="1:19" ht="18" customHeight="1">
      <c r="A59" s="3"/>
      <c r="B59" s="123"/>
      <c r="C59" s="124"/>
      <c r="D59" s="124"/>
      <c r="E59" s="125"/>
      <c r="F59" s="23"/>
      <c r="G59" s="23"/>
      <c r="H59" s="23"/>
      <c r="I59" s="23"/>
      <c r="J59" s="123"/>
      <c r="K59" s="124"/>
      <c r="L59" s="124"/>
      <c r="M59" s="124"/>
      <c r="N59" s="124"/>
      <c r="O59" s="125"/>
      <c r="P59" s="23"/>
      <c r="Q59" s="23"/>
      <c r="R59" s="23"/>
      <c r="S59" s="23"/>
    </row>
    <row r="60" spans="1:19" ht="18" customHeight="1">
      <c r="A60" s="3"/>
      <c r="B60" s="123"/>
      <c r="C60" s="124"/>
      <c r="D60" s="124"/>
      <c r="E60" s="125"/>
      <c r="F60" s="23"/>
      <c r="G60" s="23"/>
      <c r="H60" s="23"/>
      <c r="I60" s="23"/>
      <c r="J60" s="123"/>
      <c r="K60" s="124"/>
      <c r="L60" s="124"/>
      <c r="M60" s="124"/>
      <c r="N60" s="124"/>
      <c r="O60" s="125"/>
      <c r="P60" s="23"/>
      <c r="Q60" s="23"/>
      <c r="R60" s="23"/>
      <c r="S60" s="23"/>
    </row>
    <row r="61" spans="1:19" ht="18" customHeight="1">
      <c r="A61" s="3"/>
      <c r="B61" s="123"/>
      <c r="C61" s="124"/>
      <c r="D61" s="124"/>
      <c r="E61" s="125"/>
      <c r="F61" s="23"/>
      <c r="G61" s="23"/>
      <c r="H61" s="23"/>
      <c r="I61" s="23"/>
      <c r="J61" s="123"/>
      <c r="K61" s="124"/>
      <c r="L61" s="124"/>
      <c r="M61" s="124"/>
      <c r="N61" s="124"/>
      <c r="O61" s="125"/>
      <c r="P61" s="23"/>
      <c r="Q61" s="23"/>
      <c r="R61" s="23"/>
      <c r="S61" s="23"/>
    </row>
    <row r="62" spans="1:19" ht="18" customHeight="1">
      <c r="A62" s="3"/>
      <c r="B62" s="123"/>
      <c r="C62" s="124"/>
      <c r="D62" s="124"/>
      <c r="E62" s="125"/>
      <c r="F62" s="23"/>
      <c r="G62" s="23"/>
      <c r="H62" s="23"/>
      <c r="I62" s="23"/>
      <c r="J62" s="123"/>
      <c r="K62" s="124"/>
      <c r="L62" s="124"/>
      <c r="M62" s="124"/>
      <c r="N62" s="124"/>
      <c r="O62" s="125"/>
      <c r="P62" s="23"/>
      <c r="Q62" s="23"/>
      <c r="R62" s="23"/>
      <c r="S62" s="23"/>
    </row>
    <row r="63" spans="1:19" ht="18" customHeight="1">
      <c r="A63" s="3"/>
      <c r="B63" s="123"/>
      <c r="C63" s="124"/>
      <c r="D63" s="124"/>
      <c r="E63" s="125"/>
      <c r="F63" s="23"/>
      <c r="G63" s="23"/>
      <c r="H63" s="23"/>
      <c r="I63" s="23"/>
      <c r="J63" s="123"/>
      <c r="K63" s="124"/>
      <c r="L63" s="124"/>
      <c r="M63" s="124"/>
      <c r="N63" s="124"/>
      <c r="O63" s="125"/>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47" t="s">
        <v>117</v>
      </c>
      <c r="B66" s="147"/>
      <c r="C66" s="147"/>
      <c r="D66" s="147"/>
      <c r="E66" s="147"/>
      <c r="F66" s="147"/>
      <c r="G66" s="147"/>
      <c r="H66" s="147"/>
      <c r="I66" s="147"/>
      <c r="J66" s="147"/>
      <c r="K66" s="147"/>
      <c r="L66" s="147"/>
      <c r="M66" s="147"/>
      <c r="N66" s="147"/>
      <c r="O66" s="147"/>
      <c r="P66" s="147"/>
      <c r="Q66" s="147"/>
      <c r="R66" s="147"/>
      <c r="S66" s="147"/>
    </row>
    <row r="67" spans="1:19" ht="18" customHeight="1">
      <c r="A67" s="147"/>
      <c r="B67" s="147"/>
      <c r="C67" s="147"/>
      <c r="D67" s="147"/>
      <c r="E67" s="147"/>
      <c r="F67" s="147"/>
      <c r="G67" s="147"/>
      <c r="H67" s="147"/>
      <c r="I67" s="147"/>
      <c r="J67" s="147"/>
      <c r="K67" s="147"/>
      <c r="L67" s="147"/>
      <c r="M67" s="147"/>
      <c r="N67" s="147"/>
      <c r="O67" s="147"/>
      <c r="P67" s="147"/>
      <c r="Q67" s="147"/>
      <c r="R67" s="147"/>
      <c r="S67" s="147"/>
    </row>
    <row r="68" spans="1:19" ht="18" customHeight="1">
      <c r="B68" s="135" t="s">
        <v>53</v>
      </c>
      <c r="C68" s="116"/>
      <c r="D68" s="116"/>
      <c r="E68" s="59" t="s">
        <v>80</v>
      </c>
      <c r="F68" s="58" t="s">
        <v>84</v>
      </c>
      <c r="G68" s="21" t="s">
        <v>101</v>
      </c>
      <c r="H68" s="21" t="s">
        <v>75</v>
      </c>
      <c r="I68" s="21" t="s">
        <v>76</v>
      </c>
      <c r="J68" s="135" t="s">
        <v>53</v>
      </c>
      <c r="K68" s="116"/>
      <c r="L68" s="116"/>
      <c r="M68" s="116"/>
      <c r="N68" s="117"/>
      <c r="O68" s="59" t="s">
        <v>80</v>
      </c>
      <c r="P68" s="58" t="s">
        <v>84</v>
      </c>
      <c r="Q68" s="21" t="s">
        <v>101</v>
      </c>
      <c r="R68" s="21" t="s">
        <v>75</v>
      </c>
      <c r="S68" s="21" t="s">
        <v>76</v>
      </c>
    </row>
    <row r="69" spans="1:19" ht="18" customHeight="1">
      <c r="A69" s="3"/>
      <c r="B69" s="139" t="s">
        <v>151</v>
      </c>
      <c r="C69" s="95"/>
      <c r="D69" s="96"/>
      <c r="E69" s="80">
        <v>2</v>
      </c>
      <c r="F69" s="80" t="s">
        <v>130</v>
      </c>
      <c r="G69" s="80" t="s">
        <v>130</v>
      </c>
      <c r="H69" s="80" t="s">
        <v>130</v>
      </c>
      <c r="I69" s="80" t="s">
        <v>130</v>
      </c>
      <c r="J69" s="141"/>
      <c r="K69" s="142"/>
      <c r="L69" s="142"/>
      <c r="M69" s="142"/>
      <c r="N69" s="143"/>
      <c r="O69" s="22"/>
      <c r="P69" s="22"/>
      <c r="Q69" s="22"/>
      <c r="R69" s="22"/>
      <c r="S69" s="22"/>
    </row>
    <row r="70" spans="1:19" ht="18" customHeight="1">
      <c r="A70" s="3"/>
      <c r="B70" s="121"/>
      <c r="C70" s="98"/>
      <c r="D70" s="98"/>
      <c r="E70" s="81"/>
      <c r="F70" s="81"/>
      <c r="G70" s="81"/>
      <c r="H70" s="81"/>
      <c r="I70" s="81"/>
      <c r="J70" s="123"/>
      <c r="K70" s="124"/>
      <c r="L70" s="124"/>
      <c r="M70" s="124"/>
      <c r="N70" s="125"/>
      <c r="O70" s="23"/>
      <c r="P70" s="23"/>
      <c r="Q70" s="23"/>
      <c r="R70" s="23"/>
      <c r="S70" s="23"/>
    </row>
    <row r="71" spans="1:19" ht="18" customHeight="1">
      <c r="A71" s="3"/>
      <c r="B71" s="123"/>
      <c r="C71" s="124"/>
      <c r="D71" s="124"/>
      <c r="E71" s="23"/>
      <c r="F71" s="23"/>
      <c r="G71" s="23"/>
      <c r="H71" s="23"/>
      <c r="I71" s="23"/>
      <c r="J71" s="123"/>
      <c r="K71" s="124"/>
      <c r="L71" s="124"/>
      <c r="M71" s="124"/>
      <c r="N71" s="125"/>
      <c r="O71" s="23"/>
      <c r="P71" s="23"/>
      <c r="Q71" s="23"/>
      <c r="R71" s="23"/>
      <c r="S71" s="23"/>
    </row>
    <row r="72" spans="1:19" ht="18" customHeight="1">
      <c r="A72" s="3"/>
      <c r="B72" s="123"/>
      <c r="C72" s="124"/>
      <c r="D72" s="124"/>
      <c r="E72" s="23"/>
      <c r="F72" s="23"/>
      <c r="G72" s="23"/>
      <c r="H72" s="23"/>
      <c r="I72" s="23"/>
      <c r="J72" s="123"/>
      <c r="K72" s="124"/>
      <c r="L72" s="124"/>
      <c r="M72" s="124"/>
      <c r="N72" s="125"/>
      <c r="O72" s="23"/>
      <c r="P72" s="23"/>
      <c r="Q72" s="23"/>
      <c r="R72" s="23"/>
      <c r="S72" s="23"/>
    </row>
    <row r="73" spans="1:19" ht="18" customHeight="1">
      <c r="A73" s="3"/>
      <c r="B73" s="123"/>
      <c r="C73" s="124"/>
      <c r="D73" s="124"/>
      <c r="E73" s="23"/>
      <c r="F73" s="23"/>
      <c r="G73" s="23"/>
      <c r="H73" s="23"/>
      <c r="I73" s="23"/>
      <c r="J73" s="123"/>
      <c r="K73" s="124"/>
      <c r="L73" s="124"/>
      <c r="M73" s="124"/>
      <c r="N73" s="125"/>
      <c r="O73" s="23"/>
      <c r="P73" s="23"/>
      <c r="Q73" s="23"/>
      <c r="R73" s="23"/>
      <c r="S73" s="23"/>
    </row>
    <row r="74" spans="1:19" ht="18" customHeight="1">
      <c r="A74" s="3"/>
      <c r="B74" s="123"/>
      <c r="C74" s="124"/>
      <c r="D74" s="124"/>
      <c r="E74" s="23"/>
      <c r="F74" s="23"/>
      <c r="G74" s="23"/>
      <c r="H74" s="23"/>
      <c r="I74" s="23"/>
      <c r="J74" s="123"/>
      <c r="K74" s="124"/>
      <c r="L74" s="124"/>
      <c r="M74" s="124"/>
      <c r="N74" s="125"/>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35" t="s">
        <v>53</v>
      </c>
      <c r="C78" s="116"/>
      <c r="D78" s="116"/>
      <c r="E78" s="117"/>
      <c r="F78" s="135" t="s">
        <v>82</v>
      </c>
      <c r="G78" s="116"/>
      <c r="H78" s="116"/>
      <c r="I78" s="117"/>
      <c r="J78" s="136" t="s">
        <v>53</v>
      </c>
      <c r="K78" s="137"/>
      <c r="L78" s="137"/>
      <c r="M78" s="137"/>
      <c r="N78" s="137"/>
      <c r="O78" s="138"/>
      <c r="P78" s="135" t="s">
        <v>82</v>
      </c>
      <c r="Q78" s="116"/>
      <c r="R78" s="116"/>
      <c r="S78" s="117"/>
    </row>
    <row r="79" spans="1:19" ht="18" customHeight="1">
      <c r="A79" s="3"/>
      <c r="B79" s="139"/>
      <c r="C79" s="95"/>
      <c r="D79" s="95"/>
      <c r="E79" s="96"/>
      <c r="F79" s="140"/>
      <c r="G79" s="95"/>
      <c r="H79" s="95"/>
      <c r="I79" s="96"/>
      <c r="J79" s="141"/>
      <c r="K79" s="142"/>
      <c r="L79" s="142"/>
      <c r="M79" s="142"/>
      <c r="N79" s="142"/>
      <c r="O79" s="143"/>
      <c r="P79" s="144"/>
      <c r="Q79" s="145"/>
      <c r="R79" s="145"/>
      <c r="S79" s="146"/>
    </row>
    <row r="80" spans="1:19" ht="18" customHeight="1">
      <c r="A80" s="3"/>
      <c r="B80" s="121"/>
      <c r="C80" s="98"/>
      <c r="D80" s="98"/>
      <c r="E80" s="99"/>
      <c r="F80" s="122"/>
      <c r="G80" s="98"/>
      <c r="H80" s="98"/>
      <c r="I80" s="99"/>
      <c r="J80" s="123"/>
      <c r="K80" s="124"/>
      <c r="L80" s="124"/>
      <c r="M80" s="124"/>
      <c r="N80" s="124"/>
      <c r="O80" s="125"/>
      <c r="P80" s="126"/>
      <c r="Q80" s="127"/>
      <c r="R80" s="127"/>
      <c r="S80" s="128"/>
    </row>
    <row r="81" spans="1:19" ht="18" customHeight="1">
      <c r="A81" s="3"/>
      <c r="B81" s="121"/>
      <c r="C81" s="98"/>
      <c r="D81" s="98"/>
      <c r="E81" s="99"/>
      <c r="F81" s="122"/>
      <c r="G81" s="98"/>
      <c r="H81" s="98"/>
      <c r="I81" s="99"/>
      <c r="J81" s="123"/>
      <c r="K81" s="124"/>
      <c r="L81" s="124"/>
      <c r="M81" s="124"/>
      <c r="N81" s="124"/>
      <c r="O81" s="125"/>
      <c r="P81" s="126"/>
      <c r="Q81" s="127"/>
      <c r="R81" s="127"/>
      <c r="S81" s="128"/>
    </row>
    <row r="82" spans="1:19" ht="18" customHeight="1">
      <c r="A82" s="3"/>
      <c r="B82" s="121"/>
      <c r="C82" s="98"/>
      <c r="D82" s="98"/>
      <c r="E82" s="99"/>
      <c r="F82" s="122"/>
      <c r="G82" s="98"/>
      <c r="H82" s="98"/>
      <c r="I82" s="99"/>
      <c r="J82" s="123"/>
      <c r="K82" s="124"/>
      <c r="L82" s="124"/>
      <c r="M82" s="124"/>
      <c r="N82" s="124"/>
      <c r="O82" s="125"/>
      <c r="P82" s="126"/>
      <c r="Q82" s="127"/>
      <c r="R82" s="127"/>
      <c r="S82" s="128"/>
    </row>
    <row r="83" spans="1:19" ht="18" customHeight="1">
      <c r="A83" s="3"/>
      <c r="B83" s="121"/>
      <c r="C83" s="98"/>
      <c r="D83" s="98"/>
      <c r="E83" s="99"/>
      <c r="F83" s="122"/>
      <c r="G83" s="98"/>
      <c r="H83" s="98"/>
      <c r="I83" s="99"/>
      <c r="J83" s="123"/>
      <c r="K83" s="124"/>
      <c r="L83" s="124"/>
      <c r="M83" s="124"/>
      <c r="N83" s="124"/>
      <c r="O83" s="125"/>
      <c r="P83" s="126"/>
      <c r="Q83" s="127"/>
      <c r="R83" s="127"/>
      <c r="S83" s="128"/>
    </row>
    <row r="84" spans="1:19" ht="18" customHeight="1">
      <c r="A84" s="3"/>
      <c r="B84" s="121"/>
      <c r="C84" s="98"/>
      <c r="D84" s="98"/>
      <c r="E84" s="99"/>
      <c r="F84" s="122"/>
      <c r="G84" s="98"/>
      <c r="H84" s="98"/>
      <c r="I84" s="99"/>
      <c r="J84" s="123"/>
      <c r="K84" s="124"/>
      <c r="L84" s="124"/>
      <c r="M84" s="124"/>
      <c r="N84" s="124"/>
      <c r="O84" s="125"/>
      <c r="P84" s="126"/>
      <c r="Q84" s="127"/>
      <c r="R84" s="127"/>
      <c r="S84" s="128"/>
    </row>
    <row r="85" spans="1:19" ht="18" customHeight="1">
      <c r="A85" s="3"/>
      <c r="B85" s="129"/>
      <c r="C85" s="130"/>
      <c r="D85" s="130"/>
      <c r="E85" s="131"/>
      <c r="F85" s="132"/>
      <c r="G85" s="133"/>
      <c r="H85" s="133"/>
      <c r="I85" s="134"/>
      <c r="J85" s="129"/>
      <c r="K85" s="130"/>
      <c r="L85" s="130"/>
      <c r="M85" s="130"/>
      <c r="N85" s="130"/>
      <c r="O85" s="131"/>
      <c r="P85" s="132"/>
      <c r="Q85" s="133"/>
      <c r="R85" s="133"/>
      <c r="S85" s="134"/>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14" t="s">
        <v>54</v>
      </c>
      <c r="C88" s="115"/>
      <c r="D88" s="116" t="s">
        <v>55</v>
      </c>
      <c r="E88" s="116"/>
      <c r="F88" s="116"/>
      <c r="G88" s="116"/>
      <c r="H88" s="116"/>
      <c r="I88" s="116"/>
      <c r="J88" s="116"/>
      <c r="K88" s="116"/>
      <c r="L88" s="116"/>
      <c r="M88" s="116"/>
      <c r="N88" s="116"/>
      <c r="O88" s="116"/>
      <c r="P88" s="116"/>
      <c r="Q88" s="116"/>
      <c r="R88" s="116"/>
      <c r="S88" s="117"/>
    </row>
    <row r="89" spans="1:19" ht="97.5" customHeight="1">
      <c r="B89" s="91" t="s">
        <v>61</v>
      </c>
      <c r="C89" s="27" t="s">
        <v>56</v>
      </c>
      <c r="D89" s="108" t="s">
        <v>222</v>
      </c>
      <c r="E89" s="109"/>
      <c r="F89" s="109"/>
      <c r="G89" s="109"/>
      <c r="H89" s="109"/>
      <c r="I89" s="109"/>
      <c r="J89" s="109"/>
      <c r="K89" s="109"/>
      <c r="L89" s="109"/>
      <c r="M89" s="109"/>
      <c r="N89" s="109"/>
      <c r="O89" s="109"/>
      <c r="P89" s="109"/>
      <c r="Q89" s="109"/>
      <c r="R89" s="109"/>
      <c r="S89" s="110"/>
    </row>
    <row r="90" spans="1:19" ht="97.5" customHeight="1">
      <c r="B90" s="92"/>
      <c r="C90" s="28" t="s">
        <v>77</v>
      </c>
      <c r="D90" s="118" t="s">
        <v>192</v>
      </c>
      <c r="E90" s="119"/>
      <c r="F90" s="119"/>
      <c r="G90" s="119"/>
      <c r="H90" s="119"/>
      <c r="I90" s="119"/>
      <c r="J90" s="119"/>
      <c r="K90" s="119"/>
      <c r="L90" s="119"/>
      <c r="M90" s="119"/>
      <c r="N90" s="119"/>
      <c r="O90" s="119"/>
      <c r="P90" s="119"/>
      <c r="Q90" s="119"/>
      <c r="R90" s="119"/>
      <c r="S90" s="120"/>
    </row>
    <row r="91" spans="1:19" ht="97.5" customHeight="1">
      <c r="B91" s="91" t="s">
        <v>62</v>
      </c>
      <c r="C91" s="29" t="s">
        <v>71</v>
      </c>
      <c r="D91" s="106" t="s">
        <v>195</v>
      </c>
      <c r="E91" s="95"/>
      <c r="F91" s="95"/>
      <c r="G91" s="95"/>
      <c r="H91" s="95"/>
      <c r="I91" s="95"/>
      <c r="J91" s="95"/>
      <c r="K91" s="95"/>
      <c r="L91" s="95"/>
      <c r="M91" s="95"/>
      <c r="N91" s="95"/>
      <c r="O91" s="95"/>
      <c r="P91" s="95"/>
      <c r="Q91" s="95"/>
      <c r="R91" s="95"/>
      <c r="S91" s="96"/>
    </row>
    <row r="92" spans="1:19" ht="97.5" customHeight="1">
      <c r="B92" s="93"/>
      <c r="C92" s="30" t="s">
        <v>72</v>
      </c>
      <c r="D92" s="111" t="s">
        <v>198</v>
      </c>
      <c r="E92" s="112"/>
      <c r="F92" s="112"/>
      <c r="G92" s="112"/>
      <c r="H92" s="112"/>
      <c r="I92" s="112"/>
      <c r="J92" s="112"/>
      <c r="K92" s="112"/>
      <c r="L92" s="112"/>
      <c r="M92" s="112"/>
      <c r="N92" s="112"/>
      <c r="O92" s="112"/>
      <c r="P92" s="112"/>
      <c r="Q92" s="112"/>
      <c r="R92" s="112"/>
      <c r="S92" s="113"/>
    </row>
    <row r="93" spans="1:19" ht="97.5" customHeight="1">
      <c r="B93" s="91" t="s">
        <v>63</v>
      </c>
      <c r="C93" s="29" t="s">
        <v>73</v>
      </c>
      <c r="D93" s="106" t="s">
        <v>201</v>
      </c>
      <c r="E93" s="95"/>
      <c r="F93" s="95"/>
      <c r="G93" s="95"/>
      <c r="H93" s="95"/>
      <c r="I93" s="95"/>
      <c r="J93" s="95"/>
      <c r="K93" s="95"/>
      <c r="L93" s="95"/>
      <c r="M93" s="95"/>
      <c r="N93" s="95"/>
      <c r="O93" s="95"/>
      <c r="P93" s="95"/>
      <c r="Q93" s="95"/>
      <c r="R93" s="95"/>
      <c r="S93" s="96"/>
    </row>
    <row r="94" spans="1:19" ht="97.5" customHeight="1">
      <c r="B94" s="93"/>
      <c r="C94" s="31" t="s">
        <v>74</v>
      </c>
      <c r="D94" s="107" t="s">
        <v>204</v>
      </c>
      <c r="E94" s="101"/>
      <c r="F94" s="101"/>
      <c r="G94" s="101"/>
      <c r="H94" s="101"/>
      <c r="I94" s="101"/>
      <c r="J94" s="101"/>
      <c r="K94" s="101"/>
      <c r="L94" s="101"/>
      <c r="M94" s="101"/>
      <c r="N94" s="101"/>
      <c r="O94" s="101"/>
      <c r="P94" s="101"/>
      <c r="Q94" s="101"/>
      <c r="R94" s="101"/>
      <c r="S94" s="102"/>
    </row>
    <row r="95" spans="1:19" ht="97.5" customHeight="1">
      <c r="B95" s="91" t="s">
        <v>78</v>
      </c>
      <c r="C95" s="27" t="s">
        <v>58</v>
      </c>
      <c r="D95" s="108" t="s">
        <v>207</v>
      </c>
      <c r="E95" s="109"/>
      <c r="F95" s="109"/>
      <c r="G95" s="109"/>
      <c r="H95" s="109"/>
      <c r="I95" s="109"/>
      <c r="J95" s="109"/>
      <c r="K95" s="109"/>
      <c r="L95" s="109"/>
      <c r="M95" s="109"/>
      <c r="N95" s="109"/>
      <c r="O95" s="109"/>
      <c r="P95" s="109"/>
      <c r="Q95" s="109"/>
      <c r="R95" s="109"/>
      <c r="S95" s="110"/>
    </row>
    <row r="96" spans="1:19" ht="97.5" customHeight="1">
      <c r="B96" s="93"/>
      <c r="C96" s="30" t="s">
        <v>60</v>
      </c>
      <c r="D96" s="111" t="s">
        <v>210</v>
      </c>
      <c r="E96" s="112"/>
      <c r="F96" s="112"/>
      <c r="G96" s="112"/>
      <c r="H96" s="112"/>
      <c r="I96" s="112"/>
      <c r="J96" s="112"/>
      <c r="K96" s="112"/>
      <c r="L96" s="112"/>
      <c r="M96" s="112"/>
      <c r="N96" s="112"/>
      <c r="O96" s="112"/>
      <c r="P96" s="112"/>
      <c r="Q96" s="112"/>
      <c r="R96" s="112"/>
      <c r="S96" s="113"/>
    </row>
    <row r="97" spans="1:19" ht="97.5" customHeight="1">
      <c r="B97" s="91" t="s">
        <v>79</v>
      </c>
      <c r="C97" s="29" t="s">
        <v>57</v>
      </c>
      <c r="D97" s="94" t="s">
        <v>213</v>
      </c>
      <c r="E97" s="95"/>
      <c r="F97" s="95"/>
      <c r="G97" s="95"/>
      <c r="H97" s="95"/>
      <c r="I97" s="95"/>
      <c r="J97" s="95"/>
      <c r="K97" s="95"/>
      <c r="L97" s="95"/>
      <c r="M97" s="95"/>
      <c r="N97" s="95"/>
      <c r="O97" s="95"/>
      <c r="P97" s="95"/>
      <c r="Q97" s="95"/>
      <c r="R97" s="95"/>
      <c r="S97" s="96"/>
    </row>
    <row r="98" spans="1:19" ht="97.5" customHeight="1">
      <c r="B98" s="92"/>
      <c r="C98" s="32" t="s">
        <v>75</v>
      </c>
      <c r="D98" s="97" t="s">
        <v>216</v>
      </c>
      <c r="E98" s="98"/>
      <c r="F98" s="98"/>
      <c r="G98" s="98"/>
      <c r="H98" s="98"/>
      <c r="I98" s="98"/>
      <c r="J98" s="98"/>
      <c r="K98" s="98"/>
      <c r="L98" s="98"/>
      <c r="M98" s="98"/>
      <c r="N98" s="98"/>
      <c r="O98" s="98"/>
      <c r="P98" s="98"/>
      <c r="Q98" s="98"/>
      <c r="R98" s="98"/>
      <c r="S98" s="99"/>
    </row>
    <row r="99" spans="1:19" ht="97.5" customHeight="1">
      <c r="B99" s="93"/>
      <c r="C99" s="31" t="s">
        <v>76</v>
      </c>
      <c r="D99" s="100" t="s">
        <v>219</v>
      </c>
      <c r="E99" s="101"/>
      <c r="F99" s="101"/>
      <c r="G99" s="101"/>
      <c r="H99" s="101"/>
      <c r="I99" s="101"/>
      <c r="J99" s="101"/>
      <c r="K99" s="101"/>
      <c r="L99" s="101"/>
      <c r="M99" s="101"/>
      <c r="N99" s="101"/>
      <c r="O99" s="101"/>
      <c r="P99" s="101"/>
      <c r="Q99" s="101"/>
      <c r="R99" s="101"/>
      <c r="S99" s="102"/>
    </row>
    <row r="100" spans="1:19" ht="6" customHeight="1"/>
    <row r="101" spans="1:19" ht="18.75" customHeight="1">
      <c r="A101" s="1" t="s">
        <v>120</v>
      </c>
    </row>
    <row r="102" spans="1:19" ht="81.75" customHeight="1">
      <c r="B102" s="103" t="s">
        <v>165</v>
      </c>
      <c r="C102" s="104"/>
      <c r="D102" s="104"/>
      <c r="E102" s="104"/>
      <c r="F102" s="104"/>
      <c r="G102" s="104"/>
      <c r="H102" s="104"/>
      <c r="I102" s="104"/>
      <c r="J102" s="104"/>
      <c r="K102" s="104"/>
      <c r="L102" s="104"/>
      <c r="M102" s="104"/>
      <c r="N102" s="104"/>
      <c r="O102" s="104"/>
      <c r="P102" s="104"/>
      <c r="Q102" s="104"/>
      <c r="R102" s="104"/>
      <c r="S102" s="105"/>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7">
    <dataValidation type="list" allowBlank="1" showErrorMessage="1" sqref="F79:F84" xr:uid="{DC595B2E-0BC7-4386-9395-FD4E3142724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G25:I25 G36:I36 G47:I47 G58:I58 F69:I70" xr:uid="{41FA75EC-9FA6-440D-98C4-76C1E9864511}">
      <formula1>"○"</formula1>
    </dataValidation>
    <dataValidation type="list" allowBlank="1" showErrorMessage="1" sqref="K20" xr:uid="{48E51EDC-5CE8-4CE8-83CD-818B69053114}">
      <formula1>$V$14:$V$16</formula1>
    </dataValidation>
    <dataValidation type="list" allowBlank="1" showInputMessage="1" showErrorMessage="1" sqref="Q83:S86 P79:P86 Q79:S80 F85:I86" xr:uid="{A627447A-83AC-4B6E-9146-1FA96F9AF2E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2C0A57F1-62D6-481F-9BA7-79DA4EFEAD52}">
      <formula1>"学部・学科によって、修了要件は相違する,学部・学科によって、修了要件は相違しない"</formula1>
    </dataValidation>
    <dataValidation type="list" allowBlank="1" showInputMessage="1" showErrorMessage="1" sqref="S32 S43 D32:G32 D43:G43" xr:uid="{F233515D-CF51-46FA-B594-7C160BE3B3F5}">
      <formula1>"全学開講,一部開講"</formula1>
    </dataValidation>
    <dataValidation type="list" allowBlank="1" showInputMessage="1" showErrorMessage="1" sqref="P69:S75 Q25:S31 G26:I31 Q36:S42 G37:I42 Q47:S53 G48:I53 Q58:S64 G59:I64 F71:I75" xr:uid="{DC539F8D-CC45-42B2-AC82-49275D2F2C26}">
      <formula1>"○"</formula1>
    </dataValidation>
  </dataValidations>
  <printOptions horizontalCentered="1"/>
  <pageMargins left="0.78740157480314965" right="0.78740157480314965" top="0.78740157480314965" bottom="0.19685039370078741" header="0.31496062992125984" footer="0.19685039370078741"/>
  <pageSetup paperSize="9" scale="74" fitToHeight="3"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87" zoomScale="110" zoomScaleNormal="100" zoomScaleSheetLayoutView="110" workbookViewId="0">
      <selection activeCell="D89" sqref="D89:S89"/>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61" t="s">
        <v>177</v>
      </c>
      <c r="S1" s="161"/>
      <c r="T1" s="2" t="s">
        <v>109</v>
      </c>
    </row>
    <row r="2" spans="1:22" ht="18.75" customHeight="1">
      <c r="B2" s="33" t="s">
        <v>108</v>
      </c>
      <c r="C2" s="157" t="s">
        <v>126</v>
      </c>
      <c r="D2" s="160"/>
      <c r="E2" s="160"/>
      <c r="F2" s="160"/>
      <c r="G2" s="160"/>
      <c r="H2" s="160"/>
      <c r="I2" s="158"/>
      <c r="J2" s="34"/>
      <c r="K2" s="6"/>
      <c r="L2" s="6"/>
      <c r="M2" s="6"/>
      <c r="N2" s="6"/>
      <c r="O2" s="6"/>
      <c r="P2" s="6"/>
      <c r="Q2" s="6"/>
      <c r="R2" s="6"/>
      <c r="S2" s="6"/>
    </row>
    <row r="3" spans="1:22" ht="18.75" customHeight="1">
      <c r="B3" s="33" t="s">
        <v>102</v>
      </c>
      <c r="C3" s="157" t="s">
        <v>180</v>
      </c>
      <c r="D3" s="160"/>
      <c r="E3" s="160"/>
      <c r="F3" s="160"/>
      <c r="G3" s="160"/>
      <c r="H3" s="160"/>
      <c r="I3" s="158"/>
      <c r="J3" s="34"/>
      <c r="K3" s="6"/>
      <c r="L3" s="6"/>
      <c r="M3" s="6"/>
      <c r="N3" s="6"/>
      <c r="O3" s="6"/>
      <c r="P3" s="6"/>
      <c r="Q3" s="6"/>
      <c r="R3" s="6"/>
      <c r="S3" s="6"/>
    </row>
    <row r="4" spans="1:22" ht="15" customHeight="1">
      <c r="K4" s="34"/>
      <c r="L4" s="36"/>
      <c r="M4" s="36"/>
      <c r="N4" s="36"/>
      <c r="O4" s="36"/>
      <c r="P4" s="36"/>
      <c r="Q4" s="36"/>
      <c r="R4" s="36"/>
      <c r="S4" s="36"/>
    </row>
    <row r="5" spans="1:22" ht="18" customHeight="1">
      <c r="A5" s="162" t="s">
        <v>38</v>
      </c>
      <c r="B5" s="162"/>
      <c r="C5" s="162"/>
      <c r="D5" s="162"/>
      <c r="E5" s="162"/>
      <c r="F5" s="162"/>
      <c r="G5" s="162"/>
      <c r="H5" s="162"/>
      <c r="I5" s="162"/>
      <c r="J5" s="162"/>
      <c r="K5" s="162"/>
      <c r="L5" s="162"/>
      <c r="M5" s="162"/>
      <c r="N5" s="162"/>
      <c r="O5" s="162"/>
      <c r="P5" s="162"/>
      <c r="Q5" s="162"/>
      <c r="R5" s="162"/>
      <c r="S5" s="162"/>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63" t="s">
        <v>127</v>
      </c>
      <c r="L7" s="164"/>
      <c r="M7" s="164"/>
      <c r="N7" s="164"/>
      <c r="O7" s="164"/>
      <c r="P7" s="164"/>
      <c r="Q7" s="164"/>
      <c r="R7" s="164"/>
      <c r="S7" s="165"/>
    </row>
    <row r="8" spans="1:22" ht="6" customHeight="1">
      <c r="B8" s="3"/>
      <c r="C8" s="3"/>
      <c r="D8" s="3"/>
      <c r="E8" s="3"/>
      <c r="F8" s="3"/>
      <c r="G8" s="3"/>
      <c r="H8" s="3"/>
      <c r="I8" s="3"/>
      <c r="J8" s="3"/>
      <c r="K8" s="10"/>
      <c r="L8" s="3"/>
      <c r="M8" s="3"/>
      <c r="N8" s="3"/>
      <c r="O8" s="3"/>
      <c r="P8" s="3"/>
      <c r="Q8" s="3"/>
      <c r="R8" s="3"/>
      <c r="S8" s="3"/>
    </row>
    <row r="9" spans="1:22" ht="18" customHeight="1">
      <c r="B9" s="166" t="s">
        <v>150</v>
      </c>
      <c r="C9" s="167"/>
      <c r="D9" s="167"/>
      <c r="E9" s="167"/>
      <c r="F9" s="167"/>
      <c r="G9" s="167"/>
      <c r="H9" s="167"/>
      <c r="I9" s="167"/>
      <c r="J9" s="167"/>
      <c r="K9" s="167"/>
      <c r="L9" s="167"/>
      <c r="M9" s="167"/>
      <c r="N9" s="167"/>
      <c r="O9" s="167"/>
      <c r="P9" s="167"/>
      <c r="Q9" s="167"/>
      <c r="R9" s="167"/>
      <c r="S9" s="168"/>
    </row>
    <row r="10" spans="1:22" ht="18" customHeight="1">
      <c r="B10" s="169"/>
      <c r="C10" s="170"/>
      <c r="D10" s="170"/>
      <c r="E10" s="170"/>
      <c r="F10" s="170"/>
      <c r="G10" s="170"/>
      <c r="H10" s="170"/>
      <c r="I10" s="170"/>
      <c r="J10" s="170"/>
      <c r="K10" s="170"/>
      <c r="L10" s="170"/>
      <c r="M10" s="170"/>
      <c r="N10" s="170"/>
      <c r="O10" s="170"/>
      <c r="P10" s="170"/>
      <c r="Q10" s="170"/>
      <c r="R10" s="170"/>
      <c r="S10" s="17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148" t="s">
        <v>161</v>
      </c>
      <c r="C13" s="149"/>
      <c r="D13" s="149"/>
      <c r="E13" s="149"/>
      <c r="F13" s="149"/>
      <c r="G13" s="149"/>
      <c r="H13" s="149"/>
      <c r="I13" s="149"/>
      <c r="J13" s="149"/>
      <c r="K13" s="149"/>
      <c r="L13" s="149"/>
      <c r="M13" s="149"/>
      <c r="N13" s="149"/>
      <c r="O13" s="149"/>
      <c r="P13" s="149"/>
      <c r="Q13" s="149"/>
      <c r="R13" s="149"/>
      <c r="S13" s="150"/>
      <c r="V13" s="1" t="s">
        <v>103</v>
      </c>
    </row>
    <row r="14" spans="1:22" ht="18" customHeight="1">
      <c r="B14" s="151"/>
      <c r="C14" s="152"/>
      <c r="D14" s="152"/>
      <c r="E14" s="152"/>
      <c r="F14" s="152"/>
      <c r="G14" s="152"/>
      <c r="H14" s="152"/>
      <c r="I14" s="152"/>
      <c r="J14" s="152"/>
      <c r="K14" s="152"/>
      <c r="L14" s="152"/>
      <c r="M14" s="152"/>
      <c r="N14" s="152"/>
      <c r="O14" s="152"/>
      <c r="P14" s="152"/>
      <c r="Q14" s="152"/>
      <c r="R14" s="152"/>
      <c r="S14" s="153"/>
      <c r="V14" s="1" t="s">
        <v>110</v>
      </c>
    </row>
    <row r="15" spans="1:22" ht="18" customHeight="1">
      <c r="B15" s="151"/>
      <c r="C15" s="152"/>
      <c r="D15" s="152"/>
      <c r="E15" s="152"/>
      <c r="F15" s="152"/>
      <c r="G15" s="152"/>
      <c r="H15" s="152"/>
      <c r="I15" s="152"/>
      <c r="J15" s="152"/>
      <c r="K15" s="152"/>
      <c r="L15" s="152"/>
      <c r="M15" s="152"/>
      <c r="N15" s="152"/>
      <c r="O15" s="152"/>
      <c r="P15" s="152"/>
      <c r="Q15" s="152"/>
      <c r="R15" s="152"/>
      <c r="S15" s="153"/>
      <c r="V15" s="1" t="s">
        <v>123</v>
      </c>
    </row>
    <row r="16" spans="1:22" ht="18" customHeight="1">
      <c r="B16" s="151"/>
      <c r="C16" s="152"/>
      <c r="D16" s="152"/>
      <c r="E16" s="152"/>
      <c r="F16" s="152"/>
      <c r="G16" s="152"/>
      <c r="H16" s="152"/>
      <c r="I16" s="152"/>
      <c r="J16" s="152"/>
      <c r="K16" s="152"/>
      <c r="L16" s="152"/>
      <c r="M16" s="152"/>
      <c r="N16" s="152"/>
      <c r="O16" s="152"/>
      <c r="P16" s="152"/>
      <c r="Q16" s="152"/>
      <c r="R16" s="152"/>
      <c r="S16" s="153"/>
      <c r="V16" s="1" t="s">
        <v>125</v>
      </c>
    </row>
    <row r="17" spans="1:19" ht="18" customHeight="1">
      <c r="B17" s="151"/>
      <c r="C17" s="152"/>
      <c r="D17" s="152"/>
      <c r="E17" s="152"/>
      <c r="F17" s="152"/>
      <c r="G17" s="152"/>
      <c r="H17" s="152"/>
      <c r="I17" s="152"/>
      <c r="J17" s="152"/>
      <c r="K17" s="152"/>
      <c r="L17" s="152"/>
      <c r="M17" s="152"/>
      <c r="N17" s="152"/>
      <c r="O17" s="152"/>
      <c r="P17" s="152"/>
      <c r="Q17" s="152"/>
      <c r="R17" s="152"/>
      <c r="S17" s="153"/>
    </row>
    <row r="18" spans="1:19" ht="18" customHeight="1">
      <c r="B18" s="154"/>
      <c r="C18" s="155"/>
      <c r="D18" s="155"/>
      <c r="E18" s="155"/>
      <c r="F18" s="155"/>
      <c r="G18" s="155"/>
      <c r="H18" s="155"/>
      <c r="I18" s="155"/>
      <c r="J18" s="155"/>
      <c r="K18" s="155"/>
      <c r="L18" s="155"/>
      <c r="M18" s="155"/>
      <c r="N18" s="155"/>
      <c r="O18" s="155"/>
      <c r="P18" s="155"/>
      <c r="Q18" s="155"/>
      <c r="R18" s="155"/>
      <c r="S18" s="156"/>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57">
        <v>2</v>
      </c>
      <c r="D20" s="158"/>
      <c r="E20" s="39" t="s">
        <v>95</v>
      </c>
      <c r="G20" s="10"/>
      <c r="H20" s="3"/>
      <c r="I20" s="3"/>
      <c r="J20" s="34" t="s">
        <v>121</v>
      </c>
      <c r="K20" s="159" t="s">
        <v>128</v>
      </c>
      <c r="L20" s="160"/>
      <c r="M20" s="160"/>
      <c r="N20" s="160"/>
      <c r="O20" s="160"/>
      <c r="P20" s="160"/>
      <c r="Q20" s="160"/>
      <c r="R20" s="160"/>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7" t="s">
        <v>113</v>
      </c>
      <c r="B22" s="147"/>
      <c r="C22" s="147"/>
      <c r="D22" s="147"/>
      <c r="E22" s="147"/>
      <c r="F22" s="147"/>
      <c r="G22" s="147"/>
      <c r="H22" s="147"/>
      <c r="I22" s="147"/>
      <c r="J22" s="147"/>
      <c r="K22" s="147"/>
      <c r="L22" s="147"/>
      <c r="M22" s="147"/>
      <c r="N22" s="147"/>
      <c r="O22" s="147"/>
      <c r="P22" s="147"/>
      <c r="Q22" s="147"/>
      <c r="R22" s="147"/>
      <c r="S22" s="147"/>
    </row>
    <row r="23" spans="1:19" ht="18" customHeight="1">
      <c r="A23" s="147"/>
      <c r="B23" s="147"/>
      <c r="C23" s="147"/>
      <c r="D23" s="147"/>
      <c r="E23" s="147"/>
      <c r="F23" s="147"/>
      <c r="G23" s="147"/>
      <c r="H23" s="147"/>
      <c r="I23" s="147"/>
      <c r="J23" s="147"/>
      <c r="K23" s="147"/>
      <c r="L23" s="147"/>
      <c r="M23" s="147"/>
      <c r="N23" s="147"/>
      <c r="O23" s="147"/>
      <c r="P23" s="147"/>
      <c r="Q23" s="147"/>
      <c r="R23" s="147"/>
      <c r="S23" s="147"/>
    </row>
    <row r="24" spans="1:19" ht="18" customHeight="1">
      <c r="B24" s="135" t="s">
        <v>53</v>
      </c>
      <c r="C24" s="116"/>
      <c r="D24" s="116"/>
      <c r="E24" s="117"/>
      <c r="F24" s="59" t="s">
        <v>80</v>
      </c>
      <c r="G24" s="58" t="s">
        <v>84</v>
      </c>
      <c r="H24" s="21" t="s">
        <v>56</v>
      </c>
      <c r="I24" s="21" t="s">
        <v>59</v>
      </c>
      <c r="J24" s="135" t="s">
        <v>53</v>
      </c>
      <c r="K24" s="116"/>
      <c r="L24" s="116"/>
      <c r="M24" s="116"/>
      <c r="N24" s="116"/>
      <c r="O24" s="117"/>
      <c r="P24" s="59" t="s">
        <v>80</v>
      </c>
      <c r="Q24" s="58" t="s">
        <v>84</v>
      </c>
      <c r="R24" s="21" t="s">
        <v>56</v>
      </c>
      <c r="S24" s="21" t="s">
        <v>59</v>
      </c>
    </row>
    <row r="25" spans="1:19" ht="18" customHeight="1">
      <c r="B25" s="139" t="s">
        <v>129</v>
      </c>
      <c r="C25" s="95"/>
      <c r="D25" s="95"/>
      <c r="E25" s="96"/>
      <c r="F25" s="80">
        <v>1</v>
      </c>
      <c r="G25" s="80" t="s">
        <v>130</v>
      </c>
      <c r="H25" s="80" t="s">
        <v>130</v>
      </c>
      <c r="I25" s="80" t="s">
        <v>130</v>
      </c>
      <c r="J25" s="141"/>
      <c r="K25" s="142"/>
      <c r="L25" s="142"/>
      <c r="M25" s="142"/>
      <c r="N25" s="142"/>
      <c r="O25" s="143"/>
      <c r="P25" s="22"/>
      <c r="Q25" s="22"/>
      <c r="R25" s="22"/>
      <c r="S25" s="22"/>
    </row>
    <row r="26" spans="1:19" ht="18" customHeight="1">
      <c r="B26" s="123"/>
      <c r="C26" s="124"/>
      <c r="D26" s="124"/>
      <c r="E26" s="125"/>
      <c r="F26" s="23"/>
      <c r="G26" s="23"/>
      <c r="H26" s="23"/>
      <c r="I26" s="23"/>
      <c r="J26" s="123"/>
      <c r="K26" s="124"/>
      <c r="L26" s="124"/>
      <c r="M26" s="124"/>
      <c r="N26" s="124"/>
      <c r="O26" s="125"/>
      <c r="P26" s="23"/>
      <c r="Q26" s="23"/>
      <c r="R26" s="23"/>
      <c r="S26" s="23"/>
    </row>
    <row r="27" spans="1:19" ht="18" customHeight="1">
      <c r="B27" s="123"/>
      <c r="C27" s="124"/>
      <c r="D27" s="124"/>
      <c r="E27" s="125"/>
      <c r="F27" s="23"/>
      <c r="G27" s="23"/>
      <c r="H27" s="23"/>
      <c r="I27" s="23"/>
      <c r="J27" s="123"/>
      <c r="K27" s="124"/>
      <c r="L27" s="124"/>
      <c r="M27" s="124"/>
      <c r="N27" s="124"/>
      <c r="O27" s="125"/>
      <c r="P27" s="23"/>
      <c r="Q27" s="23"/>
      <c r="R27" s="23"/>
      <c r="S27" s="23"/>
    </row>
    <row r="28" spans="1:19" ht="18" customHeight="1">
      <c r="B28" s="123"/>
      <c r="C28" s="124"/>
      <c r="D28" s="124"/>
      <c r="E28" s="125"/>
      <c r="F28" s="23"/>
      <c r="G28" s="23"/>
      <c r="H28" s="23"/>
      <c r="I28" s="23"/>
      <c r="J28" s="123"/>
      <c r="K28" s="124"/>
      <c r="L28" s="124"/>
      <c r="M28" s="124"/>
      <c r="N28" s="124"/>
      <c r="O28" s="125"/>
      <c r="P28" s="23"/>
      <c r="Q28" s="23"/>
      <c r="R28" s="23"/>
      <c r="S28" s="23"/>
    </row>
    <row r="29" spans="1:19" ht="18" customHeight="1">
      <c r="B29" s="123"/>
      <c r="C29" s="124"/>
      <c r="D29" s="124"/>
      <c r="E29" s="125"/>
      <c r="F29" s="23"/>
      <c r="G29" s="23"/>
      <c r="H29" s="23"/>
      <c r="I29" s="23"/>
      <c r="J29" s="123"/>
      <c r="K29" s="124"/>
      <c r="L29" s="124"/>
      <c r="M29" s="124"/>
      <c r="N29" s="124"/>
      <c r="O29" s="125"/>
      <c r="P29" s="23"/>
      <c r="Q29" s="23"/>
      <c r="R29" s="23"/>
      <c r="S29" s="23"/>
    </row>
    <row r="30" spans="1:19" ht="18" customHeight="1">
      <c r="A30" s="3"/>
      <c r="B30" s="123"/>
      <c r="C30" s="124"/>
      <c r="D30" s="124"/>
      <c r="E30" s="125"/>
      <c r="F30" s="23"/>
      <c r="G30" s="23"/>
      <c r="H30" s="23"/>
      <c r="I30" s="23"/>
      <c r="J30" s="123"/>
      <c r="K30" s="124"/>
      <c r="L30" s="124"/>
      <c r="M30" s="124"/>
      <c r="N30" s="124"/>
      <c r="O30" s="125"/>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7" t="s">
        <v>114</v>
      </c>
      <c r="B33" s="147"/>
      <c r="C33" s="147"/>
      <c r="D33" s="147"/>
      <c r="E33" s="147"/>
      <c r="F33" s="147"/>
      <c r="G33" s="147"/>
      <c r="H33" s="147"/>
      <c r="I33" s="147"/>
      <c r="J33" s="147"/>
      <c r="K33" s="147"/>
      <c r="L33" s="147"/>
      <c r="M33" s="147"/>
      <c r="N33" s="147"/>
      <c r="O33" s="147"/>
      <c r="P33" s="147"/>
      <c r="Q33" s="147"/>
      <c r="R33" s="147"/>
      <c r="S33" s="147"/>
    </row>
    <row r="34" spans="1:19" ht="18" customHeight="1">
      <c r="A34" s="147"/>
      <c r="B34" s="147"/>
      <c r="C34" s="147"/>
      <c r="D34" s="147"/>
      <c r="E34" s="147"/>
      <c r="F34" s="147"/>
      <c r="G34" s="147"/>
      <c r="H34" s="147"/>
      <c r="I34" s="147"/>
      <c r="J34" s="147"/>
      <c r="K34" s="147"/>
      <c r="L34" s="147"/>
      <c r="M34" s="147"/>
      <c r="N34" s="147"/>
      <c r="O34" s="147"/>
      <c r="P34" s="147"/>
      <c r="Q34" s="147"/>
      <c r="R34" s="147"/>
      <c r="S34" s="147"/>
    </row>
    <row r="35" spans="1:19" ht="18" customHeight="1">
      <c r="B35" s="135" t="s">
        <v>53</v>
      </c>
      <c r="C35" s="116"/>
      <c r="D35" s="116"/>
      <c r="E35" s="117"/>
      <c r="F35" s="59" t="s">
        <v>80</v>
      </c>
      <c r="G35" s="58" t="s">
        <v>84</v>
      </c>
      <c r="H35" s="21" t="s">
        <v>71</v>
      </c>
      <c r="I35" s="21" t="s">
        <v>72</v>
      </c>
      <c r="J35" s="135" t="s">
        <v>53</v>
      </c>
      <c r="K35" s="116"/>
      <c r="L35" s="116"/>
      <c r="M35" s="116"/>
      <c r="N35" s="116"/>
      <c r="O35" s="117"/>
      <c r="P35" s="59" t="s">
        <v>80</v>
      </c>
      <c r="Q35" s="58" t="s">
        <v>84</v>
      </c>
      <c r="R35" s="21" t="s">
        <v>71</v>
      </c>
      <c r="S35" s="21" t="s">
        <v>72</v>
      </c>
    </row>
    <row r="36" spans="1:19" ht="18" customHeight="1">
      <c r="B36" s="139" t="s">
        <v>129</v>
      </c>
      <c r="C36" s="95"/>
      <c r="D36" s="95"/>
      <c r="E36" s="96"/>
      <c r="F36" s="80">
        <v>1</v>
      </c>
      <c r="G36" s="80" t="s">
        <v>130</v>
      </c>
      <c r="H36" s="80" t="s">
        <v>130</v>
      </c>
      <c r="I36" s="80" t="s">
        <v>130</v>
      </c>
      <c r="J36" s="141"/>
      <c r="K36" s="142"/>
      <c r="L36" s="142"/>
      <c r="M36" s="142"/>
      <c r="N36" s="142"/>
      <c r="O36" s="143"/>
      <c r="P36" s="22"/>
      <c r="Q36" s="22"/>
      <c r="R36" s="22"/>
      <c r="S36" s="22"/>
    </row>
    <row r="37" spans="1:19" ht="18" customHeight="1">
      <c r="B37" s="123"/>
      <c r="C37" s="124"/>
      <c r="D37" s="124"/>
      <c r="E37" s="125"/>
      <c r="F37" s="23"/>
      <c r="G37" s="23"/>
      <c r="H37" s="23"/>
      <c r="I37" s="23"/>
      <c r="J37" s="123"/>
      <c r="K37" s="124"/>
      <c r="L37" s="124"/>
      <c r="M37" s="124"/>
      <c r="N37" s="124"/>
      <c r="O37" s="125"/>
      <c r="P37" s="23"/>
      <c r="Q37" s="23"/>
      <c r="R37" s="23"/>
      <c r="S37" s="23"/>
    </row>
    <row r="38" spans="1:19" ht="18" customHeight="1">
      <c r="B38" s="123"/>
      <c r="C38" s="124"/>
      <c r="D38" s="124"/>
      <c r="E38" s="125"/>
      <c r="F38" s="23"/>
      <c r="G38" s="23"/>
      <c r="H38" s="23"/>
      <c r="I38" s="23"/>
      <c r="J38" s="123"/>
      <c r="K38" s="124"/>
      <c r="L38" s="124"/>
      <c r="M38" s="124"/>
      <c r="N38" s="124"/>
      <c r="O38" s="125"/>
      <c r="P38" s="23"/>
      <c r="Q38" s="23"/>
      <c r="R38" s="23"/>
      <c r="S38" s="23"/>
    </row>
    <row r="39" spans="1:19" ht="18" customHeight="1">
      <c r="B39" s="123"/>
      <c r="C39" s="124"/>
      <c r="D39" s="124"/>
      <c r="E39" s="125"/>
      <c r="F39" s="23"/>
      <c r="G39" s="23"/>
      <c r="H39" s="23"/>
      <c r="I39" s="23"/>
      <c r="J39" s="123"/>
      <c r="K39" s="124"/>
      <c r="L39" s="124"/>
      <c r="M39" s="124"/>
      <c r="N39" s="124"/>
      <c r="O39" s="125"/>
      <c r="P39" s="23"/>
      <c r="Q39" s="23"/>
      <c r="R39" s="23"/>
      <c r="S39" s="23"/>
    </row>
    <row r="40" spans="1:19" ht="18" customHeight="1">
      <c r="B40" s="123"/>
      <c r="C40" s="124"/>
      <c r="D40" s="124"/>
      <c r="E40" s="125"/>
      <c r="F40" s="23"/>
      <c r="G40" s="23"/>
      <c r="H40" s="23"/>
      <c r="I40" s="23"/>
      <c r="J40" s="123"/>
      <c r="K40" s="124"/>
      <c r="L40" s="124"/>
      <c r="M40" s="124"/>
      <c r="N40" s="124"/>
      <c r="O40" s="125"/>
      <c r="P40" s="23"/>
      <c r="Q40" s="23"/>
      <c r="R40" s="23"/>
      <c r="S40" s="23"/>
    </row>
    <row r="41" spans="1:19" ht="18" customHeight="1">
      <c r="B41" s="123"/>
      <c r="C41" s="124"/>
      <c r="D41" s="124"/>
      <c r="E41" s="125"/>
      <c r="F41" s="23"/>
      <c r="G41" s="23"/>
      <c r="H41" s="23"/>
      <c r="I41" s="23"/>
      <c r="J41" s="123"/>
      <c r="K41" s="124"/>
      <c r="L41" s="124"/>
      <c r="M41" s="124"/>
      <c r="N41" s="124"/>
      <c r="O41" s="125"/>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7" t="s">
        <v>115</v>
      </c>
      <c r="B44" s="147"/>
      <c r="C44" s="147"/>
      <c r="D44" s="147"/>
      <c r="E44" s="147"/>
      <c r="F44" s="147"/>
      <c r="G44" s="147"/>
      <c r="H44" s="147"/>
      <c r="I44" s="147"/>
      <c r="J44" s="147"/>
      <c r="K44" s="147"/>
      <c r="L44" s="147"/>
      <c r="M44" s="147"/>
      <c r="N44" s="147"/>
      <c r="O44" s="147"/>
      <c r="P44" s="147"/>
      <c r="Q44" s="147"/>
      <c r="R44" s="147"/>
      <c r="S44" s="147"/>
    </row>
    <row r="45" spans="1:19" ht="18" customHeight="1">
      <c r="A45" s="147"/>
      <c r="B45" s="147"/>
      <c r="C45" s="147"/>
      <c r="D45" s="147"/>
      <c r="E45" s="147"/>
      <c r="F45" s="147"/>
      <c r="G45" s="147"/>
      <c r="H45" s="147"/>
      <c r="I45" s="147"/>
      <c r="J45" s="147"/>
      <c r="K45" s="147"/>
      <c r="L45" s="147"/>
      <c r="M45" s="147"/>
      <c r="N45" s="147"/>
      <c r="O45" s="147"/>
      <c r="P45" s="147"/>
      <c r="Q45" s="147"/>
      <c r="R45" s="147"/>
      <c r="S45" s="147"/>
    </row>
    <row r="46" spans="1:19" ht="18" customHeight="1">
      <c r="B46" s="135" t="s">
        <v>53</v>
      </c>
      <c r="C46" s="116"/>
      <c r="D46" s="116"/>
      <c r="E46" s="117"/>
      <c r="F46" s="59" t="s">
        <v>80</v>
      </c>
      <c r="G46" s="58" t="s">
        <v>84</v>
      </c>
      <c r="H46" s="21" t="s">
        <v>73</v>
      </c>
      <c r="I46" s="21" t="s">
        <v>74</v>
      </c>
      <c r="J46" s="135" t="s">
        <v>53</v>
      </c>
      <c r="K46" s="116"/>
      <c r="L46" s="116"/>
      <c r="M46" s="116"/>
      <c r="N46" s="116"/>
      <c r="O46" s="117"/>
      <c r="P46" s="59" t="s">
        <v>80</v>
      </c>
      <c r="Q46" s="58" t="s">
        <v>84</v>
      </c>
      <c r="R46" s="21" t="s">
        <v>73</v>
      </c>
      <c r="S46" s="21" t="s">
        <v>74</v>
      </c>
    </row>
    <row r="47" spans="1:19" ht="18" customHeight="1">
      <c r="A47" s="3"/>
      <c r="B47" s="139" t="s">
        <v>129</v>
      </c>
      <c r="C47" s="95"/>
      <c r="D47" s="95"/>
      <c r="E47" s="96"/>
      <c r="F47" s="80">
        <v>1</v>
      </c>
      <c r="G47" s="80" t="s">
        <v>130</v>
      </c>
      <c r="H47" s="80" t="s">
        <v>130</v>
      </c>
      <c r="I47" s="80" t="s">
        <v>130</v>
      </c>
      <c r="J47" s="141"/>
      <c r="K47" s="142"/>
      <c r="L47" s="142"/>
      <c r="M47" s="142"/>
      <c r="N47" s="142"/>
      <c r="O47" s="143"/>
      <c r="P47" s="22"/>
      <c r="Q47" s="22"/>
      <c r="R47" s="22"/>
      <c r="S47" s="22"/>
    </row>
    <row r="48" spans="1:19" ht="18" customHeight="1">
      <c r="A48" s="3"/>
      <c r="B48" s="123"/>
      <c r="C48" s="124"/>
      <c r="D48" s="124"/>
      <c r="E48" s="125"/>
      <c r="F48" s="23"/>
      <c r="G48" s="23"/>
      <c r="H48" s="23"/>
      <c r="I48" s="23"/>
      <c r="J48" s="123"/>
      <c r="K48" s="124"/>
      <c r="L48" s="124"/>
      <c r="M48" s="124"/>
      <c r="N48" s="124"/>
      <c r="O48" s="125"/>
      <c r="P48" s="23"/>
      <c r="Q48" s="23"/>
      <c r="R48" s="23"/>
      <c r="S48" s="23"/>
    </row>
    <row r="49" spans="1:19" ht="18" customHeight="1">
      <c r="A49" s="3"/>
      <c r="B49" s="123"/>
      <c r="C49" s="124"/>
      <c r="D49" s="124"/>
      <c r="E49" s="125"/>
      <c r="F49" s="23"/>
      <c r="G49" s="23"/>
      <c r="H49" s="23"/>
      <c r="I49" s="23"/>
      <c r="J49" s="123"/>
      <c r="K49" s="124"/>
      <c r="L49" s="124"/>
      <c r="M49" s="124"/>
      <c r="N49" s="124"/>
      <c r="O49" s="125"/>
      <c r="P49" s="23"/>
      <c r="Q49" s="23"/>
      <c r="R49" s="23"/>
      <c r="S49" s="23"/>
    </row>
    <row r="50" spans="1:19" ht="18" customHeight="1">
      <c r="A50" s="3"/>
      <c r="B50" s="123"/>
      <c r="C50" s="124"/>
      <c r="D50" s="124"/>
      <c r="E50" s="125"/>
      <c r="F50" s="23"/>
      <c r="G50" s="23"/>
      <c r="H50" s="23"/>
      <c r="I50" s="23"/>
      <c r="J50" s="123"/>
      <c r="K50" s="124"/>
      <c r="L50" s="124"/>
      <c r="M50" s="124"/>
      <c r="N50" s="124"/>
      <c r="O50" s="125"/>
      <c r="P50" s="23"/>
      <c r="Q50" s="23"/>
      <c r="R50" s="23"/>
      <c r="S50" s="23"/>
    </row>
    <row r="51" spans="1:19" ht="18" customHeight="1">
      <c r="A51" s="3"/>
      <c r="B51" s="123"/>
      <c r="C51" s="124"/>
      <c r="D51" s="124"/>
      <c r="E51" s="125"/>
      <c r="F51" s="23"/>
      <c r="G51" s="23"/>
      <c r="H51" s="23"/>
      <c r="I51" s="23"/>
      <c r="J51" s="123"/>
      <c r="K51" s="124"/>
      <c r="L51" s="124"/>
      <c r="M51" s="124"/>
      <c r="N51" s="124"/>
      <c r="O51" s="125"/>
      <c r="P51" s="23"/>
      <c r="Q51" s="23"/>
      <c r="R51" s="23"/>
      <c r="S51" s="23"/>
    </row>
    <row r="52" spans="1:19" ht="18" customHeight="1">
      <c r="A52" s="3"/>
      <c r="B52" s="123"/>
      <c r="C52" s="124"/>
      <c r="D52" s="124"/>
      <c r="E52" s="125"/>
      <c r="F52" s="23"/>
      <c r="G52" s="23"/>
      <c r="H52" s="23"/>
      <c r="I52" s="23"/>
      <c r="J52" s="123"/>
      <c r="K52" s="124"/>
      <c r="L52" s="124"/>
      <c r="M52" s="124"/>
      <c r="N52" s="124"/>
      <c r="O52" s="125"/>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47" t="s">
        <v>116</v>
      </c>
      <c r="B55" s="147"/>
      <c r="C55" s="147"/>
      <c r="D55" s="147"/>
      <c r="E55" s="147"/>
      <c r="F55" s="147"/>
      <c r="G55" s="147"/>
      <c r="H55" s="147"/>
      <c r="I55" s="147"/>
      <c r="J55" s="147"/>
      <c r="K55" s="147"/>
      <c r="L55" s="147"/>
      <c r="M55" s="147"/>
      <c r="N55" s="147"/>
      <c r="O55" s="147"/>
      <c r="P55" s="147"/>
      <c r="Q55" s="147"/>
      <c r="R55" s="147"/>
      <c r="S55" s="147"/>
    </row>
    <row r="56" spans="1:19" ht="18" customHeight="1">
      <c r="A56" s="147"/>
      <c r="B56" s="147"/>
      <c r="C56" s="147"/>
      <c r="D56" s="147"/>
      <c r="E56" s="147"/>
      <c r="F56" s="147"/>
      <c r="G56" s="147"/>
      <c r="H56" s="147"/>
      <c r="I56" s="147"/>
      <c r="J56" s="147"/>
      <c r="K56" s="147"/>
      <c r="L56" s="147"/>
      <c r="M56" s="147"/>
      <c r="N56" s="147"/>
      <c r="O56" s="147"/>
      <c r="P56" s="147"/>
      <c r="Q56" s="147"/>
      <c r="R56" s="147"/>
      <c r="S56" s="147"/>
    </row>
    <row r="57" spans="1:19" ht="18" customHeight="1">
      <c r="B57" s="135" t="s">
        <v>53</v>
      </c>
      <c r="C57" s="116"/>
      <c r="D57" s="116"/>
      <c r="E57" s="117"/>
      <c r="F57" s="59" t="s">
        <v>80</v>
      </c>
      <c r="G57" s="58" t="s">
        <v>84</v>
      </c>
      <c r="H57" s="21" t="s">
        <v>58</v>
      </c>
      <c r="I57" s="21" t="s">
        <v>60</v>
      </c>
      <c r="J57" s="135" t="s">
        <v>53</v>
      </c>
      <c r="K57" s="116"/>
      <c r="L57" s="116"/>
      <c r="M57" s="116"/>
      <c r="N57" s="116"/>
      <c r="O57" s="117"/>
      <c r="P57" s="59" t="s">
        <v>80</v>
      </c>
      <c r="Q57" s="58" t="s">
        <v>84</v>
      </c>
      <c r="R57" s="21" t="s">
        <v>58</v>
      </c>
      <c r="S57" s="21" t="s">
        <v>60</v>
      </c>
    </row>
    <row r="58" spans="1:19" ht="18" customHeight="1">
      <c r="A58" s="3"/>
      <c r="B58" s="139" t="s">
        <v>131</v>
      </c>
      <c r="C58" s="95"/>
      <c r="D58" s="95"/>
      <c r="E58" s="96"/>
      <c r="F58" s="80">
        <v>1</v>
      </c>
      <c r="G58" s="80" t="s">
        <v>130</v>
      </c>
      <c r="H58" s="80" t="s">
        <v>130</v>
      </c>
      <c r="I58" s="80" t="s">
        <v>130</v>
      </c>
      <c r="J58" s="141"/>
      <c r="K58" s="142"/>
      <c r="L58" s="142"/>
      <c r="M58" s="142"/>
      <c r="N58" s="142"/>
      <c r="O58" s="143"/>
      <c r="P58" s="22"/>
      <c r="Q58" s="22"/>
      <c r="R58" s="22"/>
      <c r="S58" s="22"/>
    </row>
    <row r="59" spans="1:19" ht="18" customHeight="1">
      <c r="A59" s="3"/>
      <c r="B59" s="123"/>
      <c r="C59" s="124"/>
      <c r="D59" s="124"/>
      <c r="E59" s="125"/>
      <c r="F59" s="23"/>
      <c r="G59" s="23"/>
      <c r="H59" s="23"/>
      <c r="I59" s="23"/>
      <c r="J59" s="123"/>
      <c r="K59" s="124"/>
      <c r="L59" s="124"/>
      <c r="M59" s="124"/>
      <c r="N59" s="124"/>
      <c r="O59" s="125"/>
      <c r="P59" s="23"/>
      <c r="Q59" s="23"/>
      <c r="R59" s="23"/>
      <c r="S59" s="23"/>
    </row>
    <row r="60" spans="1:19" ht="18" customHeight="1">
      <c r="A60" s="3"/>
      <c r="B60" s="123"/>
      <c r="C60" s="124"/>
      <c r="D60" s="124"/>
      <c r="E60" s="125"/>
      <c r="F60" s="23"/>
      <c r="G60" s="23"/>
      <c r="H60" s="23"/>
      <c r="I60" s="23"/>
      <c r="J60" s="123"/>
      <c r="K60" s="124"/>
      <c r="L60" s="124"/>
      <c r="M60" s="124"/>
      <c r="N60" s="124"/>
      <c r="O60" s="125"/>
      <c r="P60" s="23"/>
      <c r="Q60" s="23"/>
      <c r="R60" s="23"/>
      <c r="S60" s="23"/>
    </row>
    <row r="61" spans="1:19" ht="18" customHeight="1">
      <c r="A61" s="3"/>
      <c r="B61" s="123"/>
      <c r="C61" s="124"/>
      <c r="D61" s="124"/>
      <c r="E61" s="125"/>
      <c r="F61" s="23"/>
      <c r="G61" s="23"/>
      <c r="H61" s="23"/>
      <c r="I61" s="23"/>
      <c r="J61" s="123"/>
      <c r="K61" s="124"/>
      <c r="L61" s="124"/>
      <c r="M61" s="124"/>
      <c r="N61" s="124"/>
      <c r="O61" s="125"/>
      <c r="P61" s="23"/>
      <c r="Q61" s="23"/>
      <c r="R61" s="23"/>
      <c r="S61" s="23"/>
    </row>
    <row r="62" spans="1:19" ht="18" customHeight="1">
      <c r="A62" s="3"/>
      <c r="B62" s="123"/>
      <c r="C62" s="124"/>
      <c r="D62" s="124"/>
      <c r="E62" s="125"/>
      <c r="F62" s="23"/>
      <c r="G62" s="23"/>
      <c r="H62" s="23"/>
      <c r="I62" s="23"/>
      <c r="J62" s="123"/>
      <c r="K62" s="124"/>
      <c r="L62" s="124"/>
      <c r="M62" s="124"/>
      <c r="N62" s="124"/>
      <c r="O62" s="125"/>
      <c r="P62" s="23"/>
      <c r="Q62" s="23"/>
      <c r="R62" s="23"/>
      <c r="S62" s="23"/>
    </row>
    <row r="63" spans="1:19" ht="18" customHeight="1">
      <c r="A63" s="3"/>
      <c r="B63" s="123"/>
      <c r="C63" s="124"/>
      <c r="D63" s="124"/>
      <c r="E63" s="125"/>
      <c r="F63" s="23"/>
      <c r="G63" s="23"/>
      <c r="H63" s="23"/>
      <c r="I63" s="23"/>
      <c r="J63" s="123"/>
      <c r="K63" s="124"/>
      <c r="L63" s="124"/>
      <c r="M63" s="124"/>
      <c r="N63" s="124"/>
      <c r="O63" s="125"/>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47" t="s">
        <v>117</v>
      </c>
      <c r="B66" s="147"/>
      <c r="C66" s="147"/>
      <c r="D66" s="147"/>
      <c r="E66" s="147"/>
      <c r="F66" s="147"/>
      <c r="G66" s="147"/>
      <c r="H66" s="147"/>
      <c r="I66" s="147"/>
      <c r="J66" s="147"/>
      <c r="K66" s="147"/>
      <c r="L66" s="147"/>
      <c r="M66" s="147"/>
      <c r="N66" s="147"/>
      <c r="O66" s="147"/>
      <c r="P66" s="147"/>
      <c r="Q66" s="147"/>
      <c r="R66" s="147"/>
      <c r="S66" s="147"/>
    </row>
    <row r="67" spans="1:19" ht="18" customHeight="1">
      <c r="A67" s="147"/>
      <c r="B67" s="147"/>
      <c r="C67" s="147"/>
      <c r="D67" s="147"/>
      <c r="E67" s="147"/>
      <c r="F67" s="147"/>
      <c r="G67" s="147"/>
      <c r="H67" s="147"/>
      <c r="I67" s="147"/>
      <c r="J67" s="147"/>
      <c r="K67" s="147"/>
      <c r="L67" s="147"/>
      <c r="M67" s="147"/>
      <c r="N67" s="147"/>
      <c r="O67" s="147"/>
      <c r="P67" s="147"/>
      <c r="Q67" s="147"/>
      <c r="R67" s="147"/>
      <c r="S67" s="147"/>
    </row>
    <row r="68" spans="1:19" ht="18" customHeight="1">
      <c r="B68" s="135" t="s">
        <v>53</v>
      </c>
      <c r="C68" s="116"/>
      <c r="D68" s="116"/>
      <c r="E68" s="59" t="s">
        <v>80</v>
      </c>
      <c r="F68" s="58" t="s">
        <v>84</v>
      </c>
      <c r="G68" s="21" t="s">
        <v>101</v>
      </c>
      <c r="H68" s="21" t="s">
        <v>75</v>
      </c>
      <c r="I68" s="21" t="s">
        <v>76</v>
      </c>
      <c r="J68" s="135" t="s">
        <v>53</v>
      </c>
      <c r="K68" s="116"/>
      <c r="L68" s="116"/>
      <c r="M68" s="116"/>
      <c r="N68" s="117"/>
      <c r="O68" s="59" t="s">
        <v>80</v>
      </c>
      <c r="P68" s="58" t="s">
        <v>84</v>
      </c>
      <c r="Q68" s="21" t="s">
        <v>101</v>
      </c>
      <c r="R68" s="21" t="s">
        <v>75</v>
      </c>
      <c r="S68" s="21" t="s">
        <v>76</v>
      </c>
    </row>
    <row r="69" spans="1:19" ht="18" customHeight="1">
      <c r="A69" s="3"/>
      <c r="B69" s="139" t="s">
        <v>129</v>
      </c>
      <c r="C69" s="95"/>
      <c r="D69" s="96"/>
      <c r="E69" s="80">
        <v>1</v>
      </c>
      <c r="F69" s="80" t="s">
        <v>130</v>
      </c>
      <c r="G69" s="80" t="s">
        <v>130</v>
      </c>
      <c r="H69" s="80"/>
      <c r="I69" s="80"/>
      <c r="J69" s="141"/>
      <c r="K69" s="142"/>
      <c r="L69" s="142"/>
      <c r="M69" s="142"/>
      <c r="N69" s="143"/>
      <c r="O69" s="22"/>
      <c r="P69" s="22"/>
      <c r="Q69" s="22"/>
      <c r="R69" s="22"/>
      <c r="S69" s="22"/>
    </row>
    <row r="70" spans="1:19" ht="18" customHeight="1">
      <c r="A70" s="3"/>
      <c r="B70" s="121" t="s">
        <v>131</v>
      </c>
      <c r="C70" s="98"/>
      <c r="D70" s="98"/>
      <c r="E70" s="81">
        <v>1</v>
      </c>
      <c r="F70" s="81" t="s">
        <v>130</v>
      </c>
      <c r="G70" s="81"/>
      <c r="H70" s="81" t="s">
        <v>130</v>
      </c>
      <c r="I70" s="81" t="s">
        <v>130</v>
      </c>
      <c r="J70" s="123"/>
      <c r="K70" s="124"/>
      <c r="L70" s="124"/>
      <c r="M70" s="124"/>
      <c r="N70" s="125"/>
      <c r="O70" s="23"/>
      <c r="P70" s="23"/>
      <c r="Q70" s="23"/>
      <c r="R70" s="23"/>
      <c r="S70" s="23"/>
    </row>
    <row r="71" spans="1:19" ht="18" customHeight="1">
      <c r="A71" s="3"/>
      <c r="B71" s="123"/>
      <c r="C71" s="124"/>
      <c r="D71" s="124"/>
      <c r="E71" s="23"/>
      <c r="F71" s="23"/>
      <c r="G71" s="23"/>
      <c r="H71" s="23"/>
      <c r="I71" s="23"/>
      <c r="J71" s="123"/>
      <c r="K71" s="124"/>
      <c r="L71" s="124"/>
      <c r="M71" s="124"/>
      <c r="N71" s="125"/>
      <c r="O71" s="23"/>
      <c r="P71" s="23"/>
      <c r="Q71" s="23"/>
      <c r="R71" s="23"/>
      <c r="S71" s="23"/>
    </row>
    <row r="72" spans="1:19" ht="18" customHeight="1">
      <c r="A72" s="3"/>
      <c r="B72" s="123"/>
      <c r="C72" s="124"/>
      <c r="D72" s="124"/>
      <c r="E72" s="23"/>
      <c r="F72" s="23"/>
      <c r="G72" s="23"/>
      <c r="H72" s="23"/>
      <c r="I72" s="23"/>
      <c r="J72" s="123"/>
      <c r="K72" s="124"/>
      <c r="L72" s="124"/>
      <c r="M72" s="124"/>
      <c r="N72" s="125"/>
      <c r="O72" s="23"/>
      <c r="P72" s="23"/>
      <c r="Q72" s="23"/>
      <c r="R72" s="23"/>
      <c r="S72" s="23"/>
    </row>
    <row r="73" spans="1:19" ht="18" customHeight="1">
      <c r="A73" s="3"/>
      <c r="B73" s="123"/>
      <c r="C73" s="124"/>
      <c r="D73" s="124"/>
      <c r="E73" s="23"/>
      <c r="F73" s="23"/>
      <c r="G73" s="23"/>
      <c r="H73" s="23"/>
      <c r="I73" s="23"/>
      <c r="J73" s="123"/>
      <c r="K73" s="124"/>
      <c r="L73" s="124"/>
      <c r="M73" s="124"/>
      <c r="N73" s="125"/>
      <c r="O73" s="23"/>
      <c r="P73" s="23"/>
      <c r="Q73" s="23"/>
      <c r="R73" s="23"/>
      <c r="S73" s="23"/>
    </row>
    <row r="74" spans="1:19" ht="18" customHeight="1">
      <c r="A74" s="3"/>
      <c r="B74" s="123"/>
      <c r="C74" s="124"/>
      <c r="D74" s="124"/>
      <c r="E74" s="23"/>
      <c r="F74" s="23"/>
      <c r="G74" s="23"/>
      <c r="H74" s="23"/>
      <c r="I74" s="23"/>
      <c r="J74" s="123"/>
      <c r="K74" s="124"/>
      <c r="L74" s="124"/>
      <c r="M74" s="124"/>
      <c r="N74" s="125"/>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35" t="s">
        <v>53</v>
      </c>
      <c r="C78" s="116"/>
      <c r="D78" s="116"/>
      <c r="E78" s="117"/>
      <c r="F78" s="135" t="s">
        <v>82</v>
      </c>
      <c r="G78" s="116"/>
      <c r="H78" s="116"/>
      <c r="I78" s="117"/>
      <c r="J78" s="136" t="s">
        <v>53</v>
      </c>
      <c r="K78" s="137"/>
      <c r="L78" s="137"/>
      <c r="M78" s="137"/>
      <c r="N78" s="137"/>
      <c r="O78" s="138"/>
      <c r="P78" s="135" t="s">
        <v>82</v>
      </c>
      <c r="Q78" s="116"/>
      <c r="R78" s="116"/>
      <c r="S78" s="117"/>
    </row>
    <row r="79" spans="1:19" ht="18" customHeight="1">
      <c r="A79" s="3"/>
      <c r="B79" s="139"/>
      <c r="C79" s="95"/>
      <c r="D79" s="95"/>
      <c r="E79" s="96"/>
      <c r="F79" s="140"/>
      <c r="G79" s="95"/>
      <c r="H79" s="95"/>
      <c r="I79" s="96"/>
      <c r="J79" s="141"/>
      <c r="K79" s="142"/>
      <c r="L79" s="142"/>
      <c r="M79" s="142"/>
      <c r="N79" s="142"/>
      <c r="O79" s="143"/>
      <c r="P79" s="144"/>
      <c r="Q79" s="145"/>
      <c r="R79" s="145"/>
      <c r="S79" s="146"/>
    </row>
    <row r="80" spans="1:19" ht="18" customHeight="1">
      <c r="A80" s="3"/>
      <c r="B80" s="121"/>
      <c r="C80" s="98"/>
      <c r="D80" s="98"/>
      <c r="E80" s="99"/>
      <c r="F80" s="122"/>
      <c r="G80" s="98"/>
      <c r="H80" s="98"/>
      <c r="I80" s="99"/>
      <c r="J80" s="123"/>
      <c r="K80" s="124"/>
      <c r="L80" s="124"/>
      <c r="M80" s="124"/>
      <c r="N80" s="124"/>
      <c r="O80" s="125"/>
      <c r="P80" s="126"/>
      <c r="Q80" s="127"/>
      <c r="R80" s="127"/>
      <c r="S80" s="128"/>
    </row>
    <row r="81" spans="1:19" ht="18" customHeight="1">
      <c r="A81" s="3"/>
      <c r="B81" s="121"/>
      <c r="C81" s="98"/>
      <c r="D81" s="98"/>
      <c r="E81" s="99"/>
      <c r="F81" s="122"/>
      <c r="G81" s="98"/>
      <c r="H81" s="98"/>
      <c r="I81" s="99"/>
      <c r="J81" s="123"/>
      <c r="K81" s="124"/>
      <c r="L81" s="124"/>
      <c r="M81" s="124"/>
      <c r="N81" s="124"/>
      <c r="O81" s="125"/>
      <c r="P81" s="126"/>
      <c r="Q81" s="127"/>
      <c r="R81" s="127"/>
      <c r="S81" s="128"/>
    </row>
    <row r="82" spans="1:19" ht="18" customHeight="1">
      <c r="A82" s="3"/>
      <c r="B82" s="121"/>
      <c r="C82" s="98"/>
      <c r="D82" s="98"/>
      <c r="E82" s="99"/>
      <c r="F82" s="122"/>
      <c r="G82" s="98"/>
      <c r="H82" s="98"/>
      <c r="I82" s="99"/>
      <c r="J82" s="123"/>
      <c r="K82" s="124"/>
      <c r="L82" s="124"/>
      <c r="M82" s="124"/>
      <c r="N82" s="124"/>
      <c r="O82" s="125"/>
      <c r="P82" s="126"/>
      <c r="Q82" s="127"/>
      <c r="R82" s="127"/>
      <c r="S82" s="128"/>
    </row>
    <row r="83" spans="1:19" ht="18" customHeight="1">
      <c r="A83" s="3"/>
      <c r="B83" s="121"/>
      <c r="C83" s="98"/>
      <c r="D83" s="98"/>
      <c r="E83" s="99"/>
      <c r="F83" s="122"/>
      <c r="G83" s="98"/>
      <c r="H83" s="98"/>
      <c r="I83" s="99"/>
      <c r="J83" s="123"/>
      <c r="K83" s="124"/>
      <c r="L83" s="124"/>
      <c r="M83" s="124"/>
      <c r="N83" s="124"/>
      <c r="O83" s="125"/>
      <c r="P83" s="126"/>
      <c r="Q83" s="127"/>
      <c r="R83" s="127"/>
      <c r="S83" s="128"/>
    </row>
    <row r="84" spans="1:19" ht="18" customHeight="1">
      <c r="A84" s="3"/>
      <c r="B84" s="121"/>
      <c r="C84" s="98"/>
      <c r="D84" s="98"/>
      <c r="E84" s="99"/>
      <c r="F84" s="122"/>
      <c r="G84" s="98"/>
      <c r="H84" s="98"/>
      <c r="I84" s="99"/>
      <c r="J84" s="123"/>
      <c r="K84" s="124"/>
      <c r="L84" s="124"/>
      <c r="M84" s="124"/>
      <c r="N84" s="124"/>
      <c r="O84" s="125"/>
      <c r="P84" s="126"/>
      <c r="Q84" s="127"/>
      <c r="R84" s="127"/>
      <c r="S84" s="128"/>
    </row>
    <row r="85" spans="1:19" ht="18" customHeight="1">
      <c r="A85" s="3"/>
      <c r="B85" s="129"/>
      <c r="C85" s="130"/>
      <c r="D85" s="130"/>
      <c r="E85" s="131"/>
      <c r="F85" s="132"/>
      <c r="G85" s="133"/>
      <c r="H85" s="133"/>
      <c r="I85" s="134"/>
      <c r="J85" s="129"/>
      <c r="K85" s="130"/>
      <c r="L85" s="130"/>
      <c r="M85" s="130"/>
      <c r="N85" s="130"/>
      <c r="O85" s="131"/>
      <c r="P85" s="132"/>
      <c r="Q85" s="133"/>
      <c r="R85" s="133"/>
      <c r="S85" s="134"/>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14" t="s">
        <v>54</v>
      </c>
      <c r="C88" s="115"/>
      <c r="D88" s="116" t="s">
        <v>55</v>
      </c>
      <c r="E88" s="116"/>
      <c r="F88" s="116"/>
      <c r="G88" s="116"/>
      <c r="H88" s="116"/>
      <c r="I88" s="116"/>
      <c r="J88" s="116"/>
      <c r="K88" s="116"/>
      <c r="L88" s="116"/>
      <c r="M88" s="116"/>
      <c r="N88" s="116"/>
      <c r="O88" s="116"/>
      <c r="P88" s="116"/>
      <c r="Q88" s="116"/>
      <c r="R88" s="116"/>
      <c r="S88" s="117"/>
    </row>
    <row r="89" spans="1:19" ht="97.5" customHeight="1">
      <c r="B89" s="91" t="s">
        <v>61</v>
      </c>
      <c r="C89" s="27" t="s">
        <v>56</v>
      </c>
      <c r="D89" s="108" t="s">
        <v>223</v>
      </c>
      <c r="E89" s="109"/>
      <c r="F89" s="109"/>
      <c r="G89" s="109"/>
      <c r="H89" s="109"/>
      <c r="I89" s="109"/>
      <c r="J89" s="109"/>
      <c r="K89" s="109"/>
      <c r="L89" s="109"/>
      <c r="M89" s="109"/>
      <c r="N89" s="109"/>
      <c r="O89" s="109"/>
      <c r="P89" s="109"/>
      <c r="Q89" s="109"/>
      <c r="R89" s="109"/>
      <c r="S89" s="110"/>
    </row>
    <row r="90" spans="1:19" ht="97.5" customHeight="1">
      <c r="B90" s="92"/>
      <c r="C90" s="28" t="s">
        <v>77</v>
      </c>
      <c r="D90" s="118" t="s">
        <v>193</v>
      </c>
      <c r="E90" s="119"/>
      <c r="F90" s="119"/>
      <c r="G90" s="119"/>
      <c r="H90" s="119"/>
      <c r="I90" s="119"/>
      <c r="J90" s="119"/>
      <c r="K90" s="119"/>
      <c r="L90" s="119"/>
      <c r="M90" s="119"/>
      <c r="N90" s="119"/>
      <c r="O90" s="119"/>
      <c r="P90" s="119"/>
      <c r="Q90" s="119"/>
      <c r="R90" s="119"/>
      <c r="S90" s="120"/>
    </row>
    <row r="91" spans="1:19" ht="97.5" customHeight="1">
      <c r="B91" s="91" t="s">
        <v>62</v>
      </c>
      <c r="C91" s="29" t="s">
        <v>71</v>
      </c>
      <c r="D91" s="106" t="s">
        <v>196</v>
      </c>
      <c r="E91" s="95"/>
      <c r="F91" s="95"/>
      <c r="G91" s="95"/>
      <c r="H91" s="95"/>
      <c r="I91" s="95"/>
      <c r="J91" s="95"/>
      <c r="K91" s="95"/>
      <c r="L91" s="95"/>
      <c r="M91" s="95"/>
      <c r="N91" s="95"/>
      <c r="O91" s="95"/>
      <c r="P91" s="95"/>
      <c r="Q91" s="95"/>
      <c r="R91" s="95"/>
      <c r="S91" s="96"/>
    </row>
    <row r="92" spans="1:19" ht="97.5" customHeight="1">
      <c r="B92" s="93"/>
      <c r="C92" s="30" t="s">
        <v>72</v>
      </c>
      <c r="D92" s="111" t="s">
        <v>199</v>
      </c>
      <c r="E92" s="112"/>
      <c r="F92" s="112"/>
      <c r="G92" s="112"/>
      <c r="H92" s="112"/>
      <c r="I92" s="112"/>
      <c r="J92" s="112"/>
      <c r="K92" s="112"/>
      <c r="L92" s="112"/>
      <c r="M92" s="112"/>
      <c r="N92" s="112"/>
      <c r="O92" s="112"/>
      <c r="P92" s="112"/>
      <c r="Q92" s="112"/>
      <c r="R92" s="112"/>
      <c r="S92" s="113"/>
    </row>
    <row r="93" spans="1:19" ht="97.5" customHeight="1">
      <c r="B93" s="91" t="s">
        <v>63</v>
      </c>
      <c r="C93" s="29" t="s">
        <v>73</v>
      </c>
      <c r="D93" s="106" t="s">
        <v>202</v>
      </c>
      <c r="E93" s="95"/>
      <c r="F93" s="95"/>
      <c r="G93" s="95"/>
      <c r="H93" s="95"/>
      <c r="I93" s="95"/>
      <c r="J93" s="95"/>
      <c r="K93" s="95"/>
      <c r="L93" s="95"/>
      <c r="M93" s="95"/>
      <c r="N93" s="95"/>
      <c r="O93" s="95"/>
      <c r="P93" s="95"/>
      <c r="Q93" s="95"/>
      <c r="R93" s="95"/>
      <c r="S93" s="96"/>
    </row>
    <row r="94" spans="1:19" ht="97.5" customHeight="1">
      <c r="B94" s="93"/>
      <c r="C94" s="31" t="s">
        <v>74</v>
      </c>
      <c r="D94" s="107" t="s">
        <v>205</v>
      </c>
      <c r="E94" s="101"/>
      <c r="F94" s="101"/>
      <c r="G94" s="101"/>
      <c r="H94" s="101"/>
      <c r="I94" s="101"/>
      <c r="J94" s="101"/>
      <c r="K94" s="101"/>
      <c r="L94" s="101"/>
      <c r="M94" s="101"/>
      <c r="N94" s="101"/>
      <c r="O94" s="101"/>
      <c r="P94" s="101"/>
      <c r="Q94" s="101"/>
      <c r="R94" s="101"/>
      <c r="S94" s="102"/>
    </row>
    <row r="95" spans="1:19" ht="97.5" customHeight="1">
      <c r="B95" s="91" t="s">
        <v>78</v>
      </c>
      <c r="C95" s="27" t="s">
        <v>58</v>
      </c>
      <c r="D95" s="108" t="s">
        <v>208</v>
      </c>
      <c r="E95" s="109"/>
      <c r="F95" s="109"/>
      <c r="G95" s="109"/>
      <c r="H95" s="109"/>
      <c r="I95" s="109"/>
      <c r="J95" s="109"/>
      <c r="K95" s="109"/>
      <c r="L95" s="109"/>
      <c r="M95" s="109"/>
      <c r="N95" s="109"/>
      <c r="O95" s="109"/>
      <c r="P95" s="109"/>
      <c r="Q95" s="109"/>
      <c r="R95" s="109"/>
      <c r="S95" s="110"/>
    </row>
    <row r="96" spans="1:19" ht="97.5" customHeight="1">
      <c r="B96" s="93"/>
      <c r="C96" s="30" t="s">
        <v>60</v>
      </c>
      <c r="D96" s="111" t="s">
        <v>211</v>
      </c>
      <c r="E96" s="112"/>
      <c r="F96" s="112"/>
      <c r="G96" s="112"/>
      <c r="H96" s="112"/>
      <c r="I96" s="112"/>
      <c r="J96" s="112"/>
      <c r="K96" s="112"/>
      <c r="L96" s="112"/>
      <c r="M96" s="112"/>
      <c r="N96" s="112"/>
      <c r="O96" s="112"/>
      <c r="P96" s="112"/>
      <c r="Q96" s="112"/>
      <c r="R96" s="112"/>
      <c r="S96" s="113"/>
    </row>
    <row r="97" spans="1:19" ht="97.5" customHeight="1">
      <c r="B97" s="91" t="s">
        <v>79</v>
      </c>
      <c r="C97" s="29" t="s">
        <v>57</v>
      </c>
      <c r="D97" s="94" t="s">
        <v>214</v>
      </c>
      <c r="E97" s="95"/>
      <c r="F97" s="95"/>
      <c r="G97" s="95"/>
      <c r="H97" s="95"/>
      <c r="I97" s="95"/>
      <c r="J97" s="95"/>
      <c r="K97" s="95"/>
      <c r="L97" s="95"/>
      <c r="M97" s="95"/>
      <c r="N97" s="95"/>
      <c r="O97" s="95"/>
      <c r="P97" s="95"/>
      <c r="Q97" s="95"/>
      <c r="R97" s="95"/>
      <c r="S97" s="96"/>
    </row>
    <row r="98" spans="1:19" ht="97.5" customHeight="1">
      <c r="B98" s="92"/>
      <c r="C98" s="32" t="s">
        <v>75</v>
      </c>
      <c r="D98" s="97" t="s">
        <v>217</v>
      </c>
      <c r="E98" s="98"/>
      <c r="F98" s="98"/>
      <c r="G98" s="98"/>
      <c r="H98" s="98"/>
      <c r="I98" s="98"/>
      <c r="J98" s="98"/>
      <c r="K98" s="98"/>
      <c r="L98" s="98"/>
      <c r="M98" s="98"/>
      <c r="N98" s="98"/>
      <c r="O98" s="98"/>
      <c r="P98" s="98"/>
      <c r="Q98" s="98"/>
      <c r="R98" s="98"/>
      <c r="S98" s="99"/>
    </row>
    <row r="99" spans="1:19" ht="97.5" customHeight="1">
      <c r="B99" s="93"/>
      <c r="C99" s="31" t="s">
        <v>76</v>
      </c>
      <c r="D99" s="100" t="s">
        <v>220</v>
      </c>
      <c r="E99" s="101"/>
      <c r="F99" s="101"/>
      <c r="G99" s="101"/>
      <c r="H99" s="101"/>
      <c r="I99" s="101"/>
      <c r="J99" s="101"/>
      <c r="K99" s="101"/>
      <c r="L99" s="101"/>
      <c r="M99" s="101"/>
      <c r="N99" s="101"/>
      <c r="O99" s="101"/>
      <c r="P99" s="101"/>
      <c r="Q99" s="101"/>
      <c r="R99" s="101"/>
      <c r="S99" s="102"/>
    </row>
    <row r="100" spans="1:19" ht="6" customHeight="1"/>
    <row r="101" spans="1:19" ht="18.75" customHeight="1">
      <c r="A101" s="1" t="s">
        <v>120</v>
      </c>
    </row>
    <row r="102" spans="1:19" ht="81.75" customHeight="1">
      <c r="B102" s="103" t="s">
        <v>165</v>
      </c>
      <c r="C102" s="104"/>
      <c r="D102" s="104"/>
      <c r="E102" s="104"/>
      <c r="F102" s="104"/>
      <c r="G102" s="104"/>
      <c r="H102" s="104"/>
      <c r="I102" s="104"/>
      <c r="J102" s="104"/>
      <c r="K102" s="104"/>
      <c r="L102" s="104"/>
      <c r="M102" s="104"/>
      <c r="N102" s="104"/>
      <c r="O102" s="104"/>
      <c r="P102" s="104"/>
      <c r="Q102" s="104"/>
      <c r="R102" s="104"/>
      <c r="S102" s="105"/>
    </row>
    <row r="110" spans="1:19" ht="18" customHeight="1"/>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7">
    <dataValidation type="list" allowBlank="1" showInputMessage="1" showErrorMessage="1" sqref="P69:S75 Q25:S31 G26:I31 Q36:S42 G37:I42 Q47:S53 G48:I53 Q58:S64 G59:I64 F71: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Q83:S86 P79:P86 Q79:S80 F85:I8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A35CFF46-B1DA-4B98-8CFE-7471A00D0F01}">
      <formula1>$V$14:$V$16</formula1>
    </dataValidation>
    <dataValidation type="list" allowBlank="1" showErrorMessage="1" sqref="G25:I25 G36:I36 G47:I47 G58:I58 F69:I70" xr:uid="{11C9655B-061D-4444-9976-84E259EBF276}">
      <formula1>"○"</formula1>
    </dataValidation>
    <dataValidation type="list" allowBlank="1" showErrorMessage="1" sqref="F79:F84" xr:uid="{99916E50-5C2A-4D8F-9E45-567B45CAB85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86738-FD65-493B-AA7D-1CCF47D95D4B}">
  <sheetPr>
    <pageSetUpPr fitToPage="1"/>
  </sheetPr>
  <dimension ref="A1:V110"/>
  <sheetViews>
    <sheetView showZeros="0" view="pageBreakPreview" topLeftCell="A88" zoomScale="150" zoomScaleNormal="100" zoomScaleSheetLayoutView="150" workbookViewId="0">
      <selection activeCell="D89" sqref="D89:S89"/>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61" t="s">
        <v>178</v>
      </c>
      <c r="S1" s="161"/>
      <c r="T1" s="2" t="s">
        <v>109</v>
      </c>
    </row>
    <row r="2" spans="1:22" ht="18.75" customHeight="1">
      <c r="B2" s="33" t="s">
        <v>108</v>
      </c>
      <c r="C2" s="157" t="s">
        <v>126</v>
      </c>
      <c r="D2" s="160"/>
      <c r="E2" s="160"/>
      <c r="F2" s="160"/>
      <c r="G2" s="160"/>
      <c r="H2" s="160"/>
      <c r="I2" s="158"/>
      <c r="J2" s="34"/>
      <c r="K2" s="6"/>
      <c r="L2" s="6"/>
      <c r="M2" s="6"/>
      <c r="N2" s="6"/>
      <c r="O2" s="6"/>
      <c r="P2" s="6"/>
      <c r="Q2" s="6"/>
      <c r="R2" s="6"/>
      <c r="S2" s="6"/>
    </row>
    <row r="3" spans="1:22" ht="18.75" customHeight="1">
      <c r="B3" s="33" t="s">
        <v>102</v>
      </c>
      <c r="C3" s="157" t="s">
        <v>159</v>
      </c>
      <c r="D3" s="160"/>
      <c r="E3" s="160"/>
      <c r="F3" s="160"/>
      <c r="G3" s="160"/>
      <c r="H3" s="160"/>
      <c r="I3" s="158"/>
      <c r="J3" s="34"/>
      <c r="K3" s="6"/>
      <c r="L3" s="6"/>
      <c r="M3" s="6"/>
      <c r="N3" s="6"/>
      <c r="O3" s="6"/>
      <c r="P3" s="6"/>
      <c r="Q3" s="6"/>
      <c r="R3" s="6"/>
      <c r="S3" s="6"/>
    </row>
    <row r="4" spans="1:22" ht="15" customHeight="1">
      <c r="K4" s="34"/>
      <c r="L4" s="36"/>
      <c r="M4" s="36"/>
      <c r="N4" s="36"/>
      <c r="O4" s="36"/>
      <c r="P4" s="36"/>
      <c r="Q4" s="36"/>
      <c r="R4" s="36"/>
      <c r="S4" s="36"/>
    </row>
    <row r="5" spans="1:22" ht="18" customHeight="1">
      <c r="A5" s="162" t="s">
        <v>38</v>
      </c>
      <c r="B5" s="162"/>
      <c r="C5" s="162"/>
      <c r="D5" s="162"/>
      <c r="E5" s="162"/>
      <c r="F5" s="162"/>
      <c r="G5" s="162"/>
      <c r="H5" s="162"/>
      <c r="I5" s="162"/>
      <c r="J5" s="162"/>
      <c r="K5" s="162"/>
      <c r="L5" s="162"/>
      <c r="M5" s="162"/>
      <c r="N5" s="162"/>
      <c r="O5" s="162"/>
      <c r="P5" s="162"/>
      <c r="Q5" s="162"/>
      <c r="R5" s="162"/>
      <c r="S5" s="162"/>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63" t="s">
        <v>127</v>
      </c>
      <c r="L7" s="164"/>
      <c r="M7" s="164"/>
      <c r="N7" s="164"/>
      <c r="O7" s="164"/>
      <c r="P7" s="164"/>
      <c r="Q7" s="164"/>
      <c r="R7" s="164"/>
      <c r="S7" s="165"/>
    </row>
    <row r="8" spans="1:22" ht="6" customHeight="1">
      <c r="B8" s="3"/>
      <c r="C8" s="3"/>
      <c r="D8" s="3"/>
      <c r="E8" s="3"/>
      <c r="F8" s="3"/>
      <c r="G8" s="3"/>
      <c r="H8" s="3"/>
      <c r="I8" s="3"/>
      <c r="J8" s="3"/>
      <c r="K8" s="10"/>
      <c r="L8" s="3"/>
      <c r="M8" s="3"/>
      <c r="N8" s="3"/>
      <c r="O8" s="3"/>
      <c r="P8" s="3"/>
      <c r="Q8" s="3"/>
      <c r="R8" s="3"/>
      <c r="S8" s="3"/>
    </row>
    <row r="9" spans="1:22" ht="18" customHeight="1">
      <c r="B9" s="166" t="s">
        <v>132</v>
      </c>
      <c r="C9" s="167"/>
      <c r="D9" s="167"/>
      <c r="E9" s="167"/>
      <c r="F9" s="167"/>
      <c r="G9" s="167"/>
      <c r="H9" s="167"/>
      <c r="I9" s="167"/>
      <c r="J9" s="167"/>
      <c r="K9" s="167"/>
      <c r="L9" s="167"/>
      <c r="M9" s="167"/>
      <c r="N9" s="167"/>
      <c r="O9" s="167"/>
      <c r="P9" s="167"/>
      <c r="Q9" s="167"/>
      <c r="R9" s="167"/>
      <c r="S9" s="168"/>
    </row>
    <row r="10" spans="1:22" ht="18" customHeight="1">
      <c r="B10" s="169"/>
      <c r="C10" s="170"/>
      <c r="D10" s="170"/>
      <c r="E10" s="170"/>
      <c r="F10" s="170"/>
      <c r="G10" s="170"/>
      <c r="H10" s="170"/>
      <c r="I10" s="170"/>
      <c r="J10" s="170"/>
      <c r="K10" s="170"/>
      <c r="L10" s="170"/>
      <c r="M10" s="170"/>
      <c r="N10" s="170"/>
      <c r="O10" s="170"/>
      <c r="P10" s="170"/>
      <c r="Q10" s="170"/>
      <c r="R10" s="170"/>
      <c r="S10" s="171"/>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148" t="s">
        <v>162</v>
      </c>
      <c r="C13" s="149"/>
      <c r="D13" s="149"/>
      <c r="E13" s="149"/>
      <c r="F13" s="149"/>
      <c r="G13" s="149"/>
      <c r="H13" s="149"/>
      <c r="I13" s="149"/>
      <c r="J13" s="149"/>
      <c r="K13" s="149"/>
      <c r="L13" s="149"/>
      <c r="M13" s="149"/>
      <c r="N13" s="149"/>
      <c r="O13" s="149"/>
      <c r="P13" s="149"/>
      <c r="Q13" s="149"/>
      <c r="R13" s="149"/>
      <c r="S13" s="150"/>
      <c r="V13" s="1" t="s">
        <v>103</v>
      </c>
    </row>
    <row r="14" spans="1:22" ht="18" customHeight="1">
      <c r="B14" s="151"/>
      <c r="C14" s="152"/>
      <c r="D14" s="152"/>
      <c r="E14" s="152"/>
      <c r="F14" s="152"/>
      <c r="G14" s="152"/>
      <c r="H14" s="152"/>
      <c r="I14" s="152"/>
      <c r="J14" s="152"/>
      <c r="K14" s="152"/>
      <c r="L14" s="152"/>
      <c r="M14" s="152"/>
      <c r="N14" s="152"/>
      <c r="O14" s="152"/>
      <c r="P14" s="152"/>
      <c r="Q14" s="152"/>
      <c r="R14" s="152"/>
      <c r="S14" s="153"/>
      <c r="V14" s="1" t="s">
        <v>110</v>
      </c>
    </row>
    <row r="15" spans="1:22" ht="18" customHeight="1">
      <c r="B15" s="151"/>
      <c r="C15" s="152"/>
      <c r="D15" s="152"/>
      <c r="E15" s="152"/>
      <c r="F15" s="152"/>
      <c r="G15" s="152"/>
      <c r="H15" s="152"/>
      <c r="I15" s="152"/>
      <c r="J15" s="152"/>
      <c r="K15" s="152"/>
      <c r="L15" s="152"/>
      <c r="M15" s="152"/>
      <c r="N15" s="152"/>
      <c r="O15" s="152"/>
      <c r="P15" s="152"/>
      <c r="Q15" s="152"/>
      <c r="R15" s="152"/>
      <c r="S15" s="153"/>
      <c r="V15" s="1" t="s">
        <v>123</v>
      </c>
    </row>
    <row r="16" spans="1:22" ht="18" customHeight="1">
      <c r="B16" s="151"/>
      <c r="C16" s="152"/>
      <c r="D16" s="152"/>
      <c r="E16" s="152"/>
      <c r="F16" s="152"/>
      <c r="G16" s="152"/>
      <c r="H16" s="152"/>
      <c r="I16" s="152"/>
      <c r="J16" s="152"/>
      <c r="K16" s="152"/>
      <c r="L16" s="152"/>
      <c r="M16" s="152"/>
      <c r="N16" s="152"/>
      <c r="O16" s="152"/>
      <c r="P16" s="152"/>
      <c r="Q16" s="152"/>
      <c r="R16" s="152"/>
      <c r="S16" s="153"/>
      <c r="V16" s="1" t="s">
        <v>125</v>
      </c>
    </row>
    <row r="17" spans="1:19" ht="18" customHeight="1">
      <c r="B17" s="151"/>
      <c r="C17" s="152"/>
      <c r="D17" s="152"/>
      <c r="E17" s="152"/>
      <c r="F17" s="152"/>
      <c r="G17" s="152"/>
      <c r="H17" s="152"/>
      <c r="I17" s="152"/>
      <c r="J17" s="152"/>
      <c r="K17" s="152"/>
      <c r="L17" s="152"/>
      <c r="M17" s="152"/>
      <c r="N17" s="152"/>
      <c r="O17" s="152"/>
      <c r="P17" s="152"/>
      <c r="Q17" s="152"/>
      <c r="R17" s="152"/>
      <c r="S17" s="153"/>
    </row>
    <row r="18" spans="1:19" ht="18" customHeight="1">
      <c r="B18" s="154"/>
      <c r="C18" s="155"/>
      <c r="D18" s="155"/>
      <c r="E18" s="155"/>
      <c r="F18" s="155"/>
      <c r="G18" s="155"/>
      <c r="H18" s="155"/>
      <c r="I18" s="155"/>
      <c r="J18" s="155"/>
      <c r="K18" s="155"/>
      <c r="L18" s="155"/>
      <c r="M18" s="155"/>
      <c r="N18" s="155"/>
      <c r="O18" s="155"/>
      <c r="P18" s="155"/>
      <c r="Q18" s="155"/>
      <c r="R18" s="155"/>
      <c r="S18" s="156"/>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57">
        <v>2</v>
      </c>
      <c r="D20" s="158"/>
      <c r="E20" s="39" t="s">
        <v>95</v>
      </c>
      <c r="G20" s="10"/>
      <c r="H20" s="3"/>
      <c r="I20" s="3"/>
      <c r="J20" s="34" t="s">
        <v>121</v>
      </c>
      <c r="K20" s="159" t="s">
        <v>110</v>
      </c>
      <c r="L20" s="160"/>
      <c r="M20" s="160"/>
      <c r="N20" s="160"/>
      <c r="O20" s="160"/>
      <c r="P20" s="160"/>
      <c r="Q20" s="160"/>
      <c r="R20" s="160"/>
      <c r="S20" s="158"/>
    </row>
    <row r="21" spans="1:19" ht="7.5" customHeight="1">
      <c r="B21" s="3"/>
      <c r="C21" s="3"/>
      <c r="D21" s="3"/>
      <c r="E21" s="3"/>
      <c r="F21" s="3"/>
      <c r="G21" s="3"/>
      <c r="H21" s="3"/>
      <c r="I21" s="3"/>
      <c r="J21" s="3"/>
      <c r="K21" s="3"/>
      <c r="L21" s="3"/>
      <c r="M21" s="3"/>
      <c r="N21" s="3"/>
      <c r="O21" s="3"/>
      <c r="P21" s="3"/>
      <c r="Q21" s="3"/>
      <c r="R21" s="3"/>
      <c r="S21" s="3"/>
    </row>
    <row r="22" spans="1:19" ht="18" customHeight="1">
      <c r="A22" s="147" t="s">
        <v>113</v>
      </c>
      <c r="B22" s="147"/>
      <c r="C22" s="147"/>
      <c r="D22" s="147"/>
      <c r="E22" s="147"/>
      <c r="F22" s="147"/>
      <c r="G22" s="147"/>
      <c r="H22" s="147"/>
      <c r="I22" s="147"/>
      <c r="J22" s="147"/>
      <c r="K22" s="147"/>
      <c r="L22" s="147"/>
      <c r="M22" s="147"/>
      <c r="N22" s="147"/>
      <c r="O22" s="147"/>
      <c r="P22" s="147"/>
      <c r="Q22" s="147"/>
      <c r="R22" s="147"/>
      <c r="S22" s="147"/>
    </row>
    <row r="23" spans="1:19" ht="18" customHeight="1">
      <c r="A23" s="147"/>
      <c r="B23" s="147"/>
      <c r="C23" s="147"/>
      <c r="D23" s="147"/>
      <c r="E23" s="147"/>
      <c r="F23" s="147"/>
      <c r="G23" s="147"/>
      <c r="H23" s="147"/>
      <c r="I23" s="147"/>
      <c r="J23" s="147"/>
      <c r="K23" s="147"/>
      <c r="L23" s="147"/>
      <c r="M23" s="147"/>
      <c r="N23" s="147"/>
      <c r="O23" s="147"/>
      <c r="P23" s="147"/>
      <c r="Q23" s="147"/>
      <c r="R23" s="147"/>
      <c r="S23" s="147"/>
    </row>
    <row r="24" spans="1:19" ht="18" customHeight="1">
      <c r="B24" s="135" t="s">
        <v>53</v>
      </c>
      <c r="C24" s="116"/>
      <c r="D24" s="116"/>
      <c r="E24" s="117"/>
      <c r="F24" s="59" t="s">
        <v>80</v>
      </c>
      <c r="G24" s="58" t="s">
        <v>84</v>
      </c>
      <c r="H24" s="21" t="s">
        <v>56</v>
      </c>
      <c r="I24" s="21" t="s">
        <v>59</v>
      </c>
      <c r="J24" s="135" t="s">
        <v>53</v>
      </c>
      <c r="K24" s="116"/>
      <c r="L24" s="116"/>
      <c r="M24" s="116"/>
      <c r="N24" s="116"/>
      <c r="O24" s="117"/>
      <c r="P24" s="59" t="s">
        <v>80</v>
      </c>
      <c r="Q24" s="58" t="s">
        <v>84</v>
      </c>
      <c r="R24" s="21" t="s">
        <v>56</v>
      </c>
      <c r="S24" s="21" t="s">
        <v>59</v>
      </c>
    </row>
    <row r="25" spans="1:19" ht="18" customHeight="1">
      <c r="B25" s="139" t="s">
        <v>133</v>
      </c>
      <c r="C25" s="95"/>
      <c r="D25" s="95"/>
      <c r="E25" s="96"/>
      <c r="F25" s="80">
        <v>2</v>
      </c>
      <c r="G25" s="80" t="s">
        <v>130</v>
      </c>
      <c r="H25" s="80" t="s">
        <v>130</v>
      </c>
      <c r="I25" s="80" t="s">
        <v>130</v>
      </c>
      <c r="J25" s="141"/>
      <c r="K25" s="142"/>
      <c r="L25" s="142"/>
      <c r="M25" s="142"/>
      <c r="N25" s="142"/>
      <c r="O25" s="143"/>
      <c r="P25" s="22"/>
      <c r="Q25" s="22"/>
      <c r="R25" s="22"/>
      <c r="S25" s="22"/>
    </row>
    <row r="26" spans="1:19" ht="18" customHeight="1">
      <c r="B26" s="123"/>
      <c r="C26" s="124"/>
      <c r="D26" s="124"/>
      <c r="E26" s="125"/>
      <c r="F26" s="23"/>
      <c r="G26" s="23"/>
      <c r="H26" s="23"/>
      <c r="I26" s="23"/>
      <c r="J26" s="123"/>
      <c r="K26" s="124"/>
      <c r="L26" s="124"/>
      <c r="M26" s="124"/>
      <c r="N26" s="124"/>
      <c r="O26" s="125"/>
      <c r="P26" s="23"/>
      <c r="Q26" s="23"/>
      <c r="R26" s="23"/>
      <c r="S26" s="23"/>
    </row>
    <row r="27" spans="1:19" ht="18" customHeight="1">
      <c r="B27" s="123"/>
      <c r="C27" s="124"/>
      <c r="D27" s="124"/>
      <c r="E27" s="125"/>
      <c r="F27" s="23"/>
      <c r="G27" s="23"/>
      <c r="H27" s="23"/>
      <c r="I27" s="23"/>
      <c r="J27" s="123"/>
      <c r="K27" s="124"/>
      <c r="L27" s="124"/>
      <c r="M27" s="124"/>
      <c r="N27" s="124"/>
      <c r="O27" s="125"/>
      <c r="P27" s="23"/>
      <c r="Q27" s="23"/>
      <c r="R27" s="23"/>
      <c r="S27" s="23"/>
    </row>
    <row r="28" spans="1:19" ht="18" customHeight="1">
      <c r="B28" s="123"/>
      <c r="C28" s="124"/>
      <c r="D28" s="124"/>
      <c r="E28" s="125"/>
      <c r="F28" s="23"/>
      <c r="G28" s="23"/>
      <c r="H28" s="23"/>
      <c r="I28" s="23"/>
      <c r="J28" s="123"/>
      <c r="K28" s="124"/>
      <c r="L28" s="124"/>
      <c r="M28" s="124"/>
      <c r="N28" s="124"/>
      <c r="O28" s="125"/>
      <c r="P28" s="23"/>
      <c r="Q28" s="23"/>
      <c r="R28" s="23"/>
      <c r="S28" s="23"/>
    </row>
    <row r="29" spans="1:19" ht="18" customHeight="1">
      <c r="B29" s="123"/>
      <c r="C29" s="124"/>
      <c r="D29" s="124"/>
      <c r="E29" s="125"/>
      <c r="F29" s="23"/>
      <c r="G29" s="23"/>
      <c r="H29" s="23"/>
      <c r="I29" s="23"/>
      <c r="J29" s="123"/>
      <c r="K29" s="124"/>
      <c r="L29" s="124"/>
      <c r="M29" s="124"/>
      <c r="N29" s="124"/>
      <c r="O29" s="125"/>
      <c r="P29" s="23"/>
      <c r="Q29" s="23"/>
      <c r="R29" s="23"/>
      <c r="S29" s="23"/>
    </row>
    <row r="30" spans="1:19" ht="18" customHeight="1">
      <c r="A30" s="3"/>
      <c r="B30" s="123"/>
      <c r="C30" s="124"/>
      <c r="D30" s="124"/>
      <c r="E30" s="125"/>
      <c r="F30" s="23"/>
      <c r="G30" s="23"/>
      <c r="H30" s="23"/>
      <c r="I30" s="23"/>
      <c r="J30" s="123"/>
      <c r="K30" s="124"/>
      <c r="L30" s="124"/>
      <c r="M30" s="124"/>
      <c r="N30" s="124"/>
      <c r="O30" s="125"/>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47" t="s">
        <v>114</v>
      </c>
      <c r="B33" s="147"/>
      <c r="C33" s="147"/>
      <c r="D33" s="147"/>
      <c r="E33" s="147"/>
      <c r="F33" s="147"/>
      <c r="G33" s="147"/>
      <c r="H33" s="147"/>
      <c r="I33" s="147"/>
      <c r="J33" s="147"/>
      <c r="K33" s="147"/>
      <c r="L33" s="147"/>
      <c r="M33" s="147"/>
      <c r="N33" s="147"/>
      <c r="O33" s="147"/>
      <c r="P33" s="147"/>
      <c r="Q33" s="147"/>
      <c r="R33" s="147"/>
      <c r="S33" s="147"/>
    </row>
    <row r="34" spans="1:19" ht="18" customHeight="1">
      <c r="A34" s="147"/>
      <c r="B34" s="147"/>
      <c r="C34" s="147"/>
      <c r="D34" s="147"/>
      <c r="E34" s="147"/>
      <c r="F34" s="147"/>
      <c r="G34" s="147"/>
      <c r="H34" s="147"/>
      <c r="I34" s="147"/>
      <c r="J34" s="147"/>
      <c r="K34" s="147"/>
      <c r="L34" s="147"/>
      <c r="M34" s="147"/>
      <c r="N34" s="147"/>
      <c r="O34" s="147"/>
      <c r="P34" s="147"/>
      <c r="Q34" s="147"/>
      <c r="R34" s="147"/>
      <c r="S34" s="147"/>
    </row>
    <row r="35" spans="1:19" ht="18" customHeight="1">
      <c r="B35" s="135" t="s">
        <v>53</v>
      </c>
      <c r="C35" s="116"/>
      <c r="D35" s="116"/>
      <c r="E35" s="117"/>
      <c r="F35" s="59" t="s">
        <v>80</v>
      </c>
      <c r="G35" s="58" t="s">
        <v>84</v>
      </c>
      <c r="H35" s="21" t="s">
        <v>71</v>
      </c>
      <c r="I35" s="21" t="s">
        <v>72</v>
      </c>
      <c r="J35" s="135" t="s">
        <v>53</v>
      </c>
      <c r="K35" s="116"/>
      <c r="L35" s="116"/>
      <c r="M35" s="116"/>
      <c r="N35" s="116"/>
      <c r="O35" s="117"/>
      <c r="P35" s="59" t="s">
        <v>80</v>
      </c>
      <c r="Q35" s="58" t="s">
        <v>84</v>
      </c>
      <c r="R35" s="21" t="s">
        <v>71</v>
      </c>
      <c r="S35" s="21" t="s">
        <v>72</v>
      </c>
    </row>
    <row r="36" spans="1:19" ht="18" customHeight="1">
      <c r="B36" s="139" t="s">
        <v>133</v>
      </c>
      <c r="C36" s="95"/>
      <c r="D36" s="95"/>
      <c r="E36" s="96"/>
      <c r="F36" s="80">
        <v>2</v>
      </c>
      <c r="G36" s="80" t="s">
        <v>130</v>
      </c>
      <c r="H36" s="80" t="s">
        <v>130</v>
      </c>
      <c r="I36" s="80" t="s">
        <v>130</v>
      </c>
      <c r="J36" s="141"/>
      <c r="K36" s="142"/>
      <c r="L36" s="142"/>
      <c r="M36" s="142"/>
      <c r="N36" s="142"/>
      <c r="O36" s="143"/>
      <c r="P36" s="22"/>
      <c r="Q36" s="22"/>
      <c r="R36" s="22"/>
      <c r="S36" s="22"/>
    </row>
    <row r="37" spans="1:19" ht="18" customHeight="1">
      <c r="B37" s="123"/>
      <c r="C37" s="124"/>
      <c r="D37" s="124"/>
      <c r="E37" s="125"/>
      <c r="F37" s="23"/>
      <c r="G37" s="23"/>
      <c r="H37" s="23"/>
      <c r="I37" s="23"/>
      <c r="J37" s="123"/>
      <c r="K37" s="124"/>
      <c r="L37" s="124"/>
      <c r="M37" s="124"/>
      <c r="N37" s="124"/>
      <c r="O37" s="125"/>
      <c r="P37" s="23"/>
      <c r="Q37" s="23"/>
      <c r="R37" s="23"/>
      <c r="S37" s="23"/>
    </row>
    <row r="38" spans="1:19" ht="18" customHeight="1">
      <c r="B38" s="123"/>
      <c r="C38" s="124"/>
      <c r="D38" s="124"/>
      <c r="E38" s="125"/>
      <c r="F38" s="23"/>
      <c r="G38" s="23"/>
      <c r="H38" s="23"/>
      <c r="I38" s="23"/>
      <c r="J38" s="123"/>
      <c r="K38" s="124"/>
      <c r="L38" s="124"/>
      <c r="M38" s="124"/>
      <c r="N38" s="124"/>
      <c r="O38" s="125"/>
      <c r="P38" s="23"/>
      <c r="Q38" s="23"/>
      <c r="R38" s="23"/>
      <c r="S38" s="23"/>
    </row>
    <row r="39" spans="1:19" ht="18" customHeight="1">
      <c r="B39" s="123"/>
      <c r="C39" s="124"/>
      <c r="D39" s="124"/>
      <c r="E39" s="125"/>
      <c r="F39" s="23"/>
      <c r="G39" s="23"/>
      <c r="H39" s="23"/>
      <c r="I39" s="23"/>
      <c r="J39" s="123"/>
      <c r="K39" s="124"/>
      <c r="L39" s="124"/>
      <c r="M39" s="124"/>
      <c r="N39" s="124"/>
      <c r="O39" s="125"/>
      <c r="P39" s="23"/>
      <c r="Q39" s="23"/>
      <c r="R39" s="23"/>
      <c r="S39" s="23"/>
    </row>
    <row r="40" spans="1:19" ht="18" customHeight="1">
      <c r="B40" s="123"/>
      <c r="C40" s="124"/>
      <c r="D40" s="124"/>
      <c r="E40" s="125"/>
      <c r="F40" s="23"/>
      <c r="G40" s="23"/>
      <c r="H40" s="23"/>
      <c r="I40" s="23"/>
      <c r="J40" s="123"/>
      <c r="K40" s="124"/>
      <c r="L40" s="124"/>
      <c r="M40" s="124"/>
      <c r="N40" s="124"/>
      <c r="O40" s="125"/>
      <c r="P40" s="23"/>
      <c r="Q40" s="23"/>
      <c r="R40" s="23"/>
      <c r="S40" s="23"/>
    </row>
    <row r="41" spans="1:19" ht="18" customHeight="1">
      <c r="B41" s="123"/>
      <c r="C41" s="124"/>
      <c r="D41" s="124"/>
      <c r="E41" s="125"/>
      <c r="F41" s="23"/>
      <c r="G41" s="23"/>
      <c r="H41" s="23"/>
      <c r="I41" s="23"/>
      <c r="J41" s="123"/>
      <c r="K41" s="124"/>
      <c r="L41" s="124"/>
      <c r="M41" s="124"/>
      <c r="N41" s="124"/>
      <c r="O41" s="125"/>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47" t="s">
        <v>115</v>
      </c>
      <c r="B44" s="147"/>
      <c r="C44" s="147"/>
      <c r="D44" s="147"/>
      <c r="E44" s="147"/>
      <c r="F44" s="147"/>
      <c r="G44" s="147"/>
      <c r="H44" s="147"/>
      <c r="I44" s="147"/>
      <c r="J44" s="147"/>
      <c r="K44" s="147"/>
      <c r="L44" s="147"/>
      <c r="M44" s="147"/>
      <c r="N44" s="147"/>
      <c r="O44" s="147"/>
      <c r="P44" s="147"/>
      <c r="Q44" s="147"/>
      <c r="R44" s="147"/>
      <c r="S44" s="147"/>
    </row>
    <row r="45" spans="1:19" ht="18" customHeight="1">
      <c r="A45" s="147"/>
      <c r="B45" s="147"/>
      <c r="C45" s="147"/>
      <c r="D45" s="147"/>
      <c r="E45" s="147"/>
      <c r="F45" s="147"/>
      <c r="G45" s="147"/>
      <c r="H45" s="147"/>
      <c r="I45" s="147"/>
      <c r="J45" s="147"/>
      <c r="K45" s="147"/>
      <c r="L45" s="147"/>
      <c r="M45" s="147"/>
      <c r="N45" s="147"/>
      <c r="O45" s="147"/>
      <c r="P45" s="147"/>
      <c r="Q45" s="147"/>
      <c r="R45" s="147"/>
      <c r="S45" s="147"/>
    </row>
    <row r="46" spans="1:19" ht="18" customHeight="1">
      <c r="B46" s="135" t="s">
        <v>53</v>
      </c>
      <c r="C46" s="116"/>
      <c r="D46" s="116"/>
      <c r="E46" s="117"/>
      <c r="F46" s="59" t="s">
        <v>80</v>
      </c>
      <c r="G46" s="58" t="s">
        <v>84</v>
      </c>
      <c r="H46" s="21" t="s">
        <v>73</v>
      </c>
      <c r="I46" s="21" t="s">
        <v>74</v>
      </c>
      <c r="J46" s="135" t="s">
        <v>53</v>
      </c>
      <c r="K46" s="116"/>
      <c r="L46" s="116"/>
      <c r="M46" s="116"/>
      <c r="N46" s="116"/>
      <c r="O46" s="117"/>
      <c r="P46" s="59" t="s">
        <v>80</v>
      </c>
      <c r="Q46" s="58" t="s">
        <v>84</v>
      </c>
      <c r="R46" s="21" t="s">
        <v>73</v>
      </c>
      <c r="S46" s="21" t="s">
        <v>74</v>
      </c>
    </row>
    <row r="47" spans="1:19" ht="18" customHeight="1">
      <c r="A47" s="3"/>
      <c r="B47" s="139" t="s">
        <v>133</v>
      </c>
      <c r="C47" s="95"/>
      <c r="D47" s="95"/>
      <c r="E47" s="96"/>
      <c r="F47" s="80">
        <v>2</v>
      </c>
      <c r="G47" s="80" t="s">
        <v>130</v>
      </c>
      <c r="H47" s="80" t="s">
        <v>130</v>
      </c>
      <c r="I47" s="80" t="s">
        <v>130</v>
      </c>
      <c r="J47" s="141"/>
      <c r="K47" s="142"/>
      <c r="L47" s="142"/>
      <c r="M47" s="142"/>
      <c r="N47" s="142"/>
      <c r="O47" s="143"/>
      <c r="P47" s="22"/>
      <c r="Q47" s="22"/>
      <c r="R47" s="22"/>
      <c r="S47" s="22"/>
    </row>
    <row r="48" spans="1:19" ht="18" customHeight="1">
      <c r="A48" s="3"/>
      <c r="B48" s="123"/>
      <c r="C48" s="124"/>
      <c r="D48" s="124"/>
      <c r="E48" s="125"/>
      <c r="F48" s="23"/>
      <c r="G48" s="23"/>
      <c r="H48" s="23"/>
      <c r="I48" s="23"/>
      <c r="J48" s="123"/>
      <c r="K48" s="124"/>
      <c r="L48" s="124"/>
      <c r="M48" s="124"/>
      <c r="N48" s="124"/>
      <c r="O48" s="125"/>
      <c r="P48" s="23"/>
      <c r="Q48" s="23"/>
      <c r="R48" s="23"/>
      <c r="S48" s="23"/>
    </row>
    <row r="49" spans="1:19" ht="18" customHeight="1">
      <c r="A49" s="3"/>
      <c r="B49" s="123"/>
      <c r="C49" s="124"/>
      <c r="D49" s="124"/>
      <c r="E49" s="125"/>
      <c r="F49" s="23"/>
      <c r="G49" s="23"/>
      <c r="H49" s="23"/>
      <c r="I49" s="23"/>
      <c r="J49" s="123"/>
      <c r="K49" s="124"/>
      <c r="L49" s="124"/>
      <c r="M49" s="124"/>
      <c r="N49" s="124"/>
      <c r="O49" s="125"/>
      <c r="P49" s="23"/>
      <c r="Q49" s="23"/>
      <c r="R49" s="23"/>
      <c r="S49" s="23"/>
    </row>
    <row r="50" spans="1:19" ht="18" customHeight="1">
      <c r="A50" s="3"/>
      <c r="B50" s="123"/>
      <c r="C50" s="124"/>
      <c r="D50" s="124"/>
      <c r="E50" s="125"/>
      <c r="F50" s="23"/>
      <c r="G50" s="23"/>
      <c r="H50" s="23"/>
      <c r="I50" s="23"/>
      <c r="J50" s="123"/>
      <c r="K50" s="124"/>
      <c r="L50" s="124"/>
      <c r="M50" s="124"/>
      <c r="N50" s="124"/>
      <c r="O50" s="125"/>
      <c r="P50" s="23"/>
      <c r="Q50" s="23"/>
      <c r="R50" s="23"/>
      <c r="S50" s="23"/>
    </row>
    <row r="51" spans="1:19" ht="18" customHeight="1">
      <c r="A51" s="3"/>
      <c r="B51" s="123"/>
      <c r="C51" s="124"/>
      <c r="D51" s="124"/>
      <c r="E51" s="125"/>
      <c r="F51" s="23"/>
      <c r="G51" s="23"/>
      <c r="H51" s="23"/>
      <c r="I51" s="23"/>
      <c r="J51" s="123"/>
      <c r="K51" s="124"/>
      <c r="L51" s="124"/>
      <c r="M51" s="124"/>
      <c r="N51" s="124"/>
      <c r="O51" s="125"/>
      <c r="P51" s="23"/>
      <c r="Q51" s="23"/>
      <c r="R51" s="23"/>
      <c r="S51" s="23"/>
    </row>
    <row r="52" spans="1:19" ht="18" customHeight="1">
      <c r="A52" s="3"/>
      <c r="B52" s="123"/>
      <c r="C52" s="124"/>
      <c r="D52" s="124"/>
      <c r="E52" s="125"/>
      <c r="F52" s="23"/>
      <c r="G52" s="23"/>
      <c r="H52" s="23"/>
      <c r="I52" s="23"/>
      <c r="J52" s="123"/>
      <c r="K52" s="124"/>
      <c r="L52" s="124"/>
      <c r="M52" s="124"/>
      <c r="N52" s="124"/>
      <c r="O52" s="125"/>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47" t="s">
        <v>116</v>
      </c>
      <c r="B55" s="147"/>
      <c r="C55" s="147"/>
      <c r="D55" s="147"/>
      <c r="E55" s="147"/>
      <c r="F55" s="147"/>
      <c r="G55" s="147"/>
      <c r="H55" s="147"/>
      <c r="I55" s="147"/>
      <c r="J55" s="147"/>
      <c r="K55" s="147"/>
      <c r="L55" s="147"/>
      <c r="M55" s="147"/>
      <c r="N55" s="147"/>
      <c r="O55" s="147"/>
      <c r="P55" s="147"/>
      <c r="Q55" s="147"/>
      <c r="R55" s="147"/>
      <c r="S55" s="147"/>
    </row>
    <row r="56" spans="1:19" ht="18" customHeight="1">
      <c r="A56" s="147"/>
      <c r="B56" s="147"/>
      <c r="C56" s="147"/>
      <c r="D56" s="147"/>
      <c r="E56" s="147"/>
      <c r="F56" s="147"/>
      <c r="G56" s="147"/>
      <c r="H56" s="147"/>
      <c r="I56" s="147"/>
      <c r="J56" s="147"/>
      <c r="K56" s="147"/>
      <c r="L56" s="147"/>
      <c r="M56" s="147"/>
      <c r="N56" s="147"/>
      <c r="O56" s="147"/>
      <c r="P56" s="147"/>
      <c r="Q56" s="147"/>
      <c r="R56" s="147"/>
      <c r="S56" s="147"/>
    </row>
    <row r="57" spans="1:19" ht="18" customHeight="1">
      <c r="B57" s="135" t="s">
        <v>53</v>
      </c>
      <c r="C57" s="116"/>
      <c r="D57" s="116"/>
      <c r="E57" s="117"/>
      <c r="F57" s="59" t="s">
        <v>80</v>
      </c>
      <c r="G57" s="58" t="s">
        <v>84</v>
      </c>
      <c r="H57" s="21" t="s">
        <v>58</v>
      </c>
      <c r="I57" s="21" t="s">
        <v>60</v>
      </c>
      <c r="J57" s="135" t="s">
        <v>53</v>
      </c>
      <c r="K57" s="116"/>
      <c r="L57" s="116"/>
      <c r="M57" s="116"/>
      <c r="N57" s="116"/>
      <c r="O57" s="117"/>
      <c r="P57" s="59" t="s">
        <v>80</v>
      </c>
      <c r="Q57" s="58" t="s">
        <v>84</v>
      </c>
      <c r="R57" s="21" t="s">
        <v>58</v>
      </c>
      <c r="S57" s="21" t="s">
        <v>60</v>
      </c>
    </row>
    <row r="58" spans="1:19" ht="18" customHeight="1">
      <c r="A58" s="3"/>
      <c r="B58" s="139" t="s">
        <v>133</v>
      </c>
      <c r="C58" s="95"/>
      <c r="D58" s="95"/>
      <c r="E58" s="96"/>
      <c r="F58" s="80">
        <v>2</v>
      </c>
      <c r="G58" s="80" t="s">
        <v>130</v>
      </c>
      <c r="H58" s="80" t="s">
        <v>130</v>
      </c>
      <c r="I58" s="80" t="s">
        <v>130</v>
      </c>
      <c r="J58" s="141"/>
      <c r="K58" s="142"/>
      <c r="L58" s="142"/>
      <c r="M58" s="142"/>
      <c r="N58" s="142"/>
      <c r="O58" s="143"/>
      <c r="P58" s="22"/>
      <c r="Q58" s="22"/>
      <c r="R58" s="22"/>
      <c r="S58" s="22"/>
    </row>
    <row r="59" spans="1:19" ht="18" customHeight="1">
      <c r="A59" s="3"/>
      <c r="B59" s="123"/>
      <c r="C59" s="124"/>
      <c r="D59" s="124"/>
      <c r="E59" s="125"/>
      <c r="F59" s="23"/>
      <c r="G59" s="23"/>
      <c r="H59" s="23"/>
      <c r="I59" s="23"/>
      <c r="J59" s="123"/>
      <c r="K59" s="124"/>
      <c r="L59" s="124"/>
      <c r="M59" s="124"/>
      <c r="N59" s="124"/>
      <c r="O59" s="125"/>
      <c r="P59" s="23"/>
      <c r="Q59" s="23"/>
      <c r="R59" s="23"/>
      <c r="S59" s="23"/>
    </row>
    <row r="60" spans="1:19" ht="18" customHeight="1">
      <c r="A60" s="3"/>
      <c r="B60" s="123"/>
      <c r="C60" s="124"/>
      <c r="D60" s="124"/>
      <c r="E60" s="125"/>
      <c r="F60" s="23"/>
      <c r="G60" s="23"/>
      <c r="H60" s="23"/>
      <c r="I60" s="23"/>
      <c r="J60" s="123"/>
      <c r="K60" s="124"/>
      <c r="L60" s="124"/>
      <c r="M60" s="124"/>
      <c r="N60" s="124"/>
      <c r="O60" s="125"/>
      <c r="P60" s="23"/>
      <c r="Q60" s="23"/>
      <c r="R60" s="23"/>
      <c r="S60" s="23"/>
    </row>
    <row r="61" spans="1:19" ht="18" customHeight="1">
      <c r="A61" s="3"/>
      <c r="B61" s="123"/>
      <c r="C61" s="124"/>
      <c r="D61" s="124"/>
      <c r="E61" s="125"/>
      <c r="F61" s="23"/>
      <c r="G61" s="23"/>
      <c r="H61" s="23"/>
      <c r="I61" s="23"/>
      <c r="J61" s="123"/>
      <c r="K61" s="124"/>
      <c r="L61" s="124"/>
      <c r="M61" s="124"/>
      <c r="N61" s="124"/>
      <c r="O61" s="125"/>
      <c r="P61" s="23"/>
      <c r="Q61" s="23"/>
      <c r="R61" s="23"/>
      <c r="S61" s="23"/>
    </row>
    <row r="62" spans="1:19" ht="18" customHeight="1">
      <c r="A62" s="3"/>
      <c r="B62" s="123"/>
      <c r="C62" s="124"/>
      <c r="D62" s="124"/>
      <c r="E62" s="125"/>
      <c r="F62" s="23"/>
      <c r="G62" s="23"/>
      <c r="H62" s="23"/>
      <c r="I62" s="23"/>
      <c r="J62" s="123"/>
      <c r="K62" s="124"/>
      <c r="L62" s="124"/>
      <c r="M62" s="124"/>
      <c r="N62" s="124"/>
      <c r="O62" s="125"/>
      <c r="P62" s="23"/>
      <c r="Q62" s="23"/>
      <c r="R62" s="23"/>
      <c r="S62" s="23"/>
    </row>
    <row r="63" spans="1:19" ht="18" customHeight="1">
      <c r="A63" s="3"/>
      <c r="B63" s="123"/>
      <c r="C63" s="124"/>
      <c r="D63" s="124"/>
      <c r="E63" s="125"/>
      <c r="F63" s="23"/>
      <c r="G63" s="23"/>
      <c r="H63" s="23"/>
      <c r="I63" s="23"/>
      <c r="J63" s="123"/>
      <c r="K63" s="124"/>
      <c r="L63" s="124"/>
      <c r="M63" s="124"/>
      <c r="N63" s="124"/>
      <c r="O63" s="125"/>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47" t="s">
        <v>117</v>
      </c>
      <c r="B66" s="147"/>
      <c r="C66" s="147"/>
      <c r="D66" s="147"/>
      <c r="E66" s="147"/>
      <c r="F66" s="147"/>
      <c r="G66" s="147"/>
      <c r="H66" s="147"/>
      <c r="I66" s="147"/>
      <c r="J66" s="147"/>
      <c r="K66" s="147"/>
      <c r="L66" s="147"/>
      <c r="M66" s="147"/>
      <c r="N66" s="147"/>
      <c r="O66" s="147"/>
      <c r="P66" s="147"/>
      <c r="Q66" s="147"/>
      <c r="R66" s="147"/>
      <c r="S66" s="147"/>
    </row>
    <row r="67" spans="1:19" ht="18" customHeight="1">
      <c r="A67" s="147"/>
      <c r="B67" s="147"/>
      <c r="C67" s="147"/>
      <c r="D67" s="147"/>
      <c r="E67" s="147"/>
      <c r="F67" s="147"/>
      <c r="G67" s="147"/>
      <c r="H67" s="147"/>
      <c r="I67" s="147"/>
      <c r="J67" s="147"/>
      <c r="K67" s="147"/>
      <c r="L67" s="147"/>
      <c r="M67" s="147"/>
      <c r="N67" s="147"/>
      <c r="O67" s="147"/>
      <c r="P67" s="147"/>
      <c r="Q67" s="147"/>
      <c r="R67" s="147"/>
      <c r="S67" s="147"/>
    </row>
    <row r="68" spans="1:19" ht="18" customHeight="1">
      <c r="B68" s="135" t="s">
        <v>53</v>
      </c>
      <c r="C68" s="116"/>
      <c r="D68" s="116"/>
      <c r="E68" s="59" t="s">
        <v>80</v>
      </c>
      <c r="F68" s="58" t="s">
        <v>84</v>
      </c>
      <c r="G68" s="21" t="s">
        <v>101</v>
      </c>
      <c r="H68" s="21" t="s">
        <v>75</v>
      </c>
      <c r="I68" s="21" t="s">
        <v>76</v>
      </c>
      <c r="J68" s="135" t="s">
        <v>53</v>
      </c>
      <c r="K68" s="116"/>
      <c r="L68" s="116"/>
      <c r="M68" s="116"/>
      <c r="N68" s="117"/>
      <c r="O68" s="59" t="s">
        <v>80</v>
      </c>
      <c r="P68" s="58" t="s">
        <v>84</v>
      </c>
      <c r="Q68" s="21" t="s">
        <v>101</v>
      </c>
      <c r="R68" s="21" t="s">
        <v>75</v>
      </c>
      <c r="S68" s="21" t="s">
        <v>76</v>
      </c>
    </row>
    <row r="69" spans="1:19" ht="18" customHeight="1">
      <c r="A69" s="3"/>
      <c r="B69" s="172" t="s">
        <v>133</v>
      </c>
      <c r="C69" s="173"/>
      <c r="D69" s="174"/>
      <c r="E69" s="80">
        <v>2</v>
      </c>
      <c r="F69" s="80" t="s">
        <v>130</v>
      </c>
      <c r="G69" s="80" t="s">
        <v>130</v>
      </c>
      <c r="H69" s="80" t="s">
        <v>130</v>
      </c>
      <c r="I69" s="80" t="s">
        <v>130</v>
      </c>
      <c r="J69" s="141"/>
      <c r="K69" s="142"/>
      <c r="L69" s="142"/>
      <c r="M69" s="142"/>
      <c r="N69" s="143"/>
      <c r="O69" s="22"/>
      <c r="P69" s="22"/>
      <c r="Q69" s="22"/>
      <c r="R69" s="22"/>
      <c r="S69" s="22"/>
    </row>
    <row r="70" spans="1:19" ht="18" customHeight="1">
      <c r="A70" s="3"/>
      <c r="B70" s="121"/>
      <c r="C70" s="98"/>
      <c r="D70" s="98"/>
      <c r="E70" s="81"/>
      <c r="F70" s="81"/>
      <c r="G70" s="81"/>
      <c r="H70" s="81"/>
      <c r="I70" s="81"/>
      <c r="J70" s="123"/>
      <c r="K70" s="124"/>
      <c r="L70" s="124"/>
      <c r="M70" s="124"/>
      <c r="N70" s="125"/>
      <c r="O70" s="23"/>
      <c r="P70" s="23"/>
      <c r="Q70" s="23"/>
      <c r="R70" s="23"/>
      <c r="S70" s="23"/>
    </row>
    <row r="71" spans="1:19" ht="18" customHeight="1">
      <c r="A71" s="3"/>
      <c r="B71" s="123"/>
      <c r="C71" s="124"/>
      <c r="D71" s="124"/>
      <c r="E71" s="23"/>
      <c r="F71" s="23"/>
      <c r="G71" s="23"/>
      <c r="H71" s="23"/>
      <c r="I71" s="23"/>
      <c r="J71" s="123"/>
      <c r="K71" s="124"/>
      <c r="L71" s="124"/>
      <c r="M71" s="124"/>
      <c r="N71" s="125"/>
      <c r="O71" s="23"/>
      <c r="P71" s="23"/>
      <c r="Q71" s="23"/>
      <c r="R71" s="23"/>
      <c r="S71" s="23"/>
    </row>
    <row r="72" spans="1:19" ht="18" customHeight="1">
      <c r="A72" s="3"/>
      <c r="B72" s="123"/>
      <c r="C72" s="124"/>
      <c r="D72" s="124"/>
      <c r="E72" s="23"/>
      <c r="F72" s="23"/>
      <c r="G72" s="23"/>
      <c r="H72" s="23"/>
      <c r="I72" s="23"/>
      <c r="J72" s="123"/>
      <c r="K72" s="124"/>
      <c r="L72" s="124"/>
      <c r="M72" s="124"/>
      <c r="N72" s="125"/>
      <c r="O72" s="23"/>
      <c r="P72" s="23"/>
      <c r="Q72" s="23"/>
      <c r="R72" s="23"/>
      <c r="S72" s="23"/>
    </row>
    <row r="73" spans="1:19" ht="18" customHeight="1">
      <c r="A73" s="3"/>
      <c r="B73" s="123"/>
      <c r="C73" s="124"/>
      <c r="D73" s="124"/>
      <c r="E73" s="23"/>
      <c r="F73" s="23"/>
      <c r="G73" s="23"/>
      <c r="H73" s="23"/>
      <c r="I73" s="23"/>
      <c r="J73" s="123"/>
      <c r="K73" s="124"/>
      <c r="L73" s="124"/>
      <c r="M73" s="124"/>
      <c r="N73" s="125"/>
      <c r="O73" s="23"/>
      <c r="P73" s="23"/>
      <c r="Q73" s="23"/>
      <c r="R73" s="23"/>
      <c r="S73" s="23"/>
    </row>
    <row r="74" spans="1:19" ht="18" customHeight="1">
      <c r="A74" s="3"/>
      <c r="B74" s="123"/>
      <c r="C74" s="124"/>
      <c r="D74" s="124"/>
      <c r="E74" s="23"/>
      <c r="F74" s="23"/>
      <c r="G74" s="23"/>
      <c r="H74" s="23"/>
      <c r="I74" s="23"/>
      <c r="J74" s="123"/>
      <c r="K74" s="124"/>
      <c r="L74" s="124"/>
      <c r="M74" s="124"/>
      <c r="N74" s="125"/>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35" t="s">
        <v>53</v>
      </c>
      <c r="C78" s="116"/>
      <c r="D78" s="116"/>
      <c r="E78" s="117"/>
      <c r="F78" s="135" t="s">
        <v>82</v>
      </c>
      <c r="G78" s="116"/>
      <c r="H78" s="116"/>
      <c r="I78" s="117"/>
      <c r="J78" s="136" t="s">
        <v>53</v>
      </c>
      <c r="K78" s="137"/>
      <c r="L78" s="137"/>
      <c r="M78" s="137"/>
      <c r="N78" s="137"/>
      <c r="O78" s="138"/>
      <c r="P78" s="135" t="s">
        <v>82</v>
      </c>
      <c r="Q78" s="116"/>
      <c r="R78" s="116"/>
      <c r="S78" s="117"/>
    </row>
    <row r="79" spans="1:19" ht="18" customHeight="1">
      <c r="A79" s="3"/>
      <c r="B79" s="139"/>
      <c r="C79" s="95"/>
      <c r="D79" s="95"/>
      <c r="E79" s="96"/>
      <c r="F79" s="140"/>
      <c r="G79" s="95"/>
      <c r="H79" s="95"/>
      <c r="I79" s="96"/>
      <c r="J79" s="141"/>
      <c r="K79" s="142"/>
      <c r="L79" s="142"/>
      <c r="M79" s="142"/>
      <c r="N79" s="142"/>
      <c r="O79" s="143"/>
      <c r="P79" s="144"/>
      <c r="Q79" s="145"/>
      <c r="R79" s="145"/>
      <c r="S79" s="146"/>
    </row>
    <row r="80" spans="1:19" ht="18" customHeight="1">
      <c r="A80" s="3"/>
      <c r="B80" s="121"/>
      <c r="C80" s="98"/>
      <c r="D80" s="98"/>
      <c r="E80" s="99"/>
      <c r="F80" s="122"/>
      <c r="G80" s="98"/>
      <c r="H80" s="98"/>
      <c r="I80" s="99"/>
      <c r="J80" s="123"/>
      <c r="K80" s="124"/>
      <c r="L80" s="124"/>
      <c r="M80" s="124"/>
      <c r="N80" s="124"/>
      <c r="O80" s="125"/>
      <c r="P80" s="126"/>
      <c r="Q80" s="127"/>
      <c r="R80" s="127"/>
      <c r="S80" s="128"/>
    </row>
    <row r="81" spans="1:19" ht="18" customHeight="1">
      <c r="A81" s="3"/>
      <c r="B81" s="121"/>
      <c r="C81" s="98"/>
      <c r="D81" s="98"/>
      <c r="E81" s="99"/>
      <c r="F81" s="122"/>
      <c r="G81" s="98"/>
      <c r="H81" s="98"/>
      <c r="I81" s="99"/>
      <c r="J81" s="123"/>
      <c r="K81" s="124"/>
      <c r="L81" s="124"/>
      <c r="M81" s="124"/>
      <c r="N81" s="124"/>
      <c r="O81" s="125"/>
      <c r="P81" s="126"/>
      <c r="Q81" s="127"/>
      <c r="R81" s="127"/>
      <c r="S81" s="128"/>
    </row>
    <row r="82" spans="1:19" ht="18" customHeight="1">
      <c r="A82" s="3"/>
      <c r="B82" s="121"/>
      <c r="C82" s="98"/>
      <c r="D82" s="98"/>
      <c r="E82" s="99"/>
      <c r="F82" s="122"/>
      <c r="G82" s="98"/>
      <c r="H82" s="98"/>
      <c r="I82" s="99"/>
      <c r="J82" s="123"/>
      <c r="K82" s="124"/>
      <c r="L82" s="124"/>
      <c r="M82" s="124"/>
      <c r="N82" s="124"/>
      <c r="O82" s="125"/>
      <c r="P82" s="126"/>
      <c r="Q82" s="127"/>
      <c r="R82" s="127"/>
      <c r="S82" s="128"/>
    </row>
    <row r="83" spans="1:19" ht="18" customHeight="1">
      <c r="A83" s="3"/>
      <c r="B83" s="121"/>
      <c r="C83" s="98"/>
      <c r="D83" s="98"/>
      <c r="E83" s="99"/>
      <c r="F83" s="122"/>
      <c r="G83" s="98"/>
      <c r="H83" s="98"/>
      <c r="I83" s="99"/>
      <c r="J83" s="123"/>
      <c r="K83" s="124"/>
      <c r="L83" s="124"/>
      <c r="M83" s="124"/>
      <c r="N83" s="124"/>
      <c r="O83" s="125"/>
      <c r="P83" s="126"/>
      <c r="Q83" s="127"/>
      <c r="R83" s="127"/>
      <c r="S83" s="128"/>
    </row>
    <row r="84" spans="1:19" ht="18" customHeight="1">
      <c r="A84" s="3"/>
      <c r="B84" s="121"/>
      <c r="C84" s="98"/>
      <c r="D84" s="98"/>
      <c r="E84" s="99"/>
      <c r="F84" s="122"/>
      <c r="G84" s="98"/>
      <c r="H84" s="98"/>
      <c r="I84" s="99"/>
      <c r="J84" s="123"/>
      <c r="K84" s="124"/>
      <c r="L84" s="124"/>
      <c r="M84" s="124"/>
      <c r="N84" s="124"/>
      <c r="O84" s="125"/>
      <c r="P84" s="126"/>
      <c r="Q84" s="127"/>
      <c r="R84" s="127"/>
      <c r="S84" s="128"/>
    </row>
    <row r="85" spans="1:19" ht="18" customHeight="1">
      <c r="A85" s="3"/>
      <c r="B85" s="129"/>
      <c r="C85" s="130"/>
      <c r="D85" s="130"/>
      <c r="E85" s="131"/>
      <c r="F85" s="132"/>
      <c r="G85" s="133"/>
      <c r="H85" s="133"/>
      <c r="I85" s="134"/>
      <c r="J85" s="129"/>
      <c r="K85" s="130"/>
      <c r="L85" s="130"/>
      <c r="M85" s="130"/>
      <c r="N85" s="130"/>
      <c r="O85" s="131"/>
      <c r="P85" s="132"/>
      <c r="Q85" s="133"/>
      <c r="R85" s="133"/>
      <c r="S85" s="134"/>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14" t="s">
        <v>54</v>
      </c>
      <c r="C88" s="115"/>
      <c r="D88" s="116" t="s">
        <v>55</v>
      </c>
      <c r="E88" s="116"/>
      <c r="F88" s="116"/>
      <c r="G88" s="116"/>
      <c r="H88" s="116"/>
      <c r="I88" s="116"/>
      <c r="J88" s="116"/>
      <c r="K88" s="116"/>
      <c r="L88" s="116"/>
      <c r="M88" s="116"/>
      <c r="N88" s="116"/>
      <c r="O88" s="116"/>
      <c r="P88" s="116"/>
      <c r="Q88" s="116"/>
      <c r="R88" s="116"/>
      <c r="S88" s="117"/>
    </row>
    <row r="89" spans="1:19" ht="97.5" customHeight="1">
      <c r="B89" s="91" t="s">
        <v>61</v>
      </c>
      <c r="C89" s="27" t="s">
        <v>56</v>
      </c>
      <c r="D89" s="108" t="s">
        <v>224</v>
      </c>
      <c r="E89" s="109"/>
      <c r="F89" s="109"/>
      <c r="G89" s="109"/>
      <c r="H89" s="109"/>
      <c r="I89" s="109"/>
      <c r="J89" s="109"/>
      <c r="K89" s="109"/>
      <c r="L89" s="109"/>
      <c r="M89" s="109"/>
      <c r="N89" s="109"/>
      <c r="O89" s="109"/>
      <c r="P89" s="109"/>
      <c r="Q89" s="109"/>
      <c r="R89" s="109"/>
      <c r="S89" s="110"/>
    </row>
    <row r="90" spans="1:19" ht="97.5" customHeight="1">
      <c r="B90" s="92"/>
      <c r="C90" s="28" t="s">
        <v>77</v>
      </c>
      <c r="D90" s="118" t="s">
        <v>194</v>
      </c>
      <c r="E90" s="119"/>
      <c r="F90" s="119"/>
      <c r="G90" s="119"/>
      <c r="H90" s="119"/>
      <c r="I90" s="119"/>
      <c r="J90" s="119"/>
      <c r="K90" s="119"/>
      <c r="L90" s="119"/>
      <c r="M90" s="119"/>
      <c r="N90" s="119"/>
      <c r="O90" s="119"/>
      <c r="P90" s="119"/>
      <c r="Q90" s="119"/>
      <c r="R90" s="119"/>
      <c r="S90" s="120"/>
    </row>
    <row r="91" spans="1:19" ht="97.5" customHeight="1">
      <c r="B91" s="91" t="s">
        <v>62</v>
      </c>
      <c r="C91" s="29" t="s">
        <v>71</v>
      </c>
      <c r="D91" s="106" t="s">
        <v>197</v>
      </c>
      <c r="E91" s="95"/>
      <c r="F91" s="95"/>
      <c r="G91" s="95"/>
      <c r="H91" s="95"/>
      <c r="I91" s="95"/>
      <c r="J91" s="95"/>
      <c r="K91" s="95"/>
      <c r="L91" s="95"/>
      <c r="M91" s="95"/>
      <c r="N91" s="95"/>
      <c r="O91" s="95"/>
      <c r="P91" s="95"/>
      <c r="Q91" s="95"/>
      <c r="R91" s="95"/>
      <c r="S91" s="96"/>
    </row>
    <row r="92" spans="1:19" ht="97.5" customHeight="1">
      <c r="B92" s="93"/>
      <c r="C92" s="30" t="s">
        <v>72</v>
      </c>
      <c r="D92" s="111" t="s">
        <v>200</v>
      </c>
      <c r="E92" s="112"/>
      <c r="F92" s="112"/>
      <c r="G92" s="112"/>
      <c r="H92" s="112"/>
      <c r="I92" s="112"/>
      <c r="J92" s="112"/>
      <c r="K92" s="112"/>
      <c r="L92" s="112"/>
      <c r="M92" s="112"/>
      <c r="N92" s="112"/>
      <c r="O92" s="112"/>
      <c r="P92" s="112"/>
      <c r="Q92" s="112"/>
      <c r="R92" s="112"/>
      <c r="S92" s="113"/>
    </row>
    <row r="93" spans="1:19" ht="97.5" customHeight="1">
      <c r="B93" s="91" t="s">
        <v>63</v>
      </c>
      <c r="C93" s="29" t="s">
        <v>73</v>
      </c>
      <c r="D93" s="106" t="s">
        <v>203</v>
      </c>
      <c r="E93" s="95"/>
      <c r="F93" s="95"/>
      <c r="G93" s="95"/>
      <c r="H93" s="95"/>
      <c r="I93" s="95"/>
      <c r="J93" s="95"/>
      <c r="K93" s="95"/>
      <c r="L93" s="95"/>
      <c r="M93" s="95"/>
      <c r="N93" s="95"/>
      <c r="O93" s="95"/>
      <c r="P93" s="95"/>
      <c r="Q93" s="95"/>
      <c r="R93" s="95"/>
      <c r="S93" s="96"/>
    </row>
    <row r="94" spans="1:19" ht="97.5" customHeight="1">
      <c r="B94" s="93"/>
      <c r="C94" s="31" t="s">
        <v>74</v>
      </c>
      <c r="D94" s="107" t="s">
        <v>206</v>
      </c>
      <c r="E94" s="101"/>
      <c r="F94" s="101"/>
      <c r="G94" s="101"/>
      <c r="H94" s="101"/>
      <c r="I94" s="101"/>
      <c r="J94" s="101"/>
      <c r="K94" s="101"/>
      <c r="L94" s="101"/>
      <c r="M94" s="101"/>
      <c r="N94" s="101"/>
      <c r="O94" s="101"/>
      <c r="P94" s="101"/>
      <c r="Q94" s="101"/>
      <c r="R94" s="101"/>
      <c r="S94" s="102"/>
    </row>
    <row r="95" spans="1:19" ht="97.5" customHeight="1">
      <c r="B95" s="91" t="s">
        <v>78</v>
      </c>
      <c r="C95" s="27" t="s">
        <v>58</v>
      </c>
      <c r="D95" s="108" t="s">
        <v>209</v>
      </c>
      <c r="E95" s="109"/>
      <c r="F95" s="109"/>
      <c r="G95" s="109"/>
      <c r="H95" s="109"/>
      <c r="I95" s="109"/>
      <c r="J95" s="109"/>
      <c r="K95" s="109"/>
      <c r="L95" s="109"/>
      <c r="M95" s="109"/>
      <c r="N95" s="109"/>
      <c r="O95" s="109"/>
      <c r="P95" s="109"/>
      <c r="Q95" s="109"/>
      <c r="R95" s="109"/>
      <c r="S95" s="110"/>
    </row>
    <row r="96" spans="1:19" ht="97.5" customHeight="1">
      <c r="B96" s="93"/>
      <c r="C96" s="30" t="s">
        <v>60</v>
      </c>
      <c r="D96" s="111" t="s">
        <v>212</v>
      </c>
      <c r="E96" s="112"/>
      <c r="F96" s="112"/>
      <c r="G96" s="112"/>
      <c r="H96" s="112"/>
      <c r="I96" s="112"/>
      <c r="J96" s="112"/>
      <c r="K96" s="112"/>
      <c r="L96" s="112"/>
      <c r="M96" s="112"/>
      <c r="N96" s="112"/>
      <c r="O96" s="112"/>
      <c r="P96" s="112"/>
      <c r="Q96" s="112"/>
      <c r="R96" s="112"/>
      <c r="S96" s="113"/>
    </row>
    <row r="97" spans="1:19" ht="97.5" customHeight="1">
      <c r="B97" s="91" t="s">
        <v>79</v>
      </c>
      <c r="C97" s="29" t="s">
        <v>57</v>
      </c>
      <c r="D97" s="94" t="s">
        <v>215</v>
      </c>
      <c r="E97" s="95"/>
      <c r="F97" s="95"/>
      <c r="G97" s="95"/>
      <c r="H97" s="95"/>
      <c r="I97" s="95"/>
      <c r="J97" s="95"/>
      <c r="K97" s="95"/>
      <c r="L97" s="95"/>
      <c r="M97" s="95"/>
      <c r="N97" s="95"/>
      <c r="O97" s="95"/>
      <c r="P97" s="95"/>
      <c r="Q97" s="95"/>
      <c r="R97" s="95"/>
      <c r="S97" s="96"/>
    </row>
    <row r="98" spans="1:19" ht="97.5" customHeight="1">
      <c r="B98" s="92"/>
      <c r="C98" s="32" t="s">
        <v>75</v>
      </c>
      <c r="D98" s="97" t="s">
        <v>218</v>
      </c>
      <c r="E98" s="98"/>
      <c r="F98" s="98"/>
      <c r="G98" s="98"/>
      <c r="H98" s="98"/>
      <c r="I98" s="98"/>
      <c r="J98" s="98"/>
      <c r="K98" s="98"/>
      <c r="L98" s="98"/>
      <c r="M98" s="98"/>
      <c r="N98" s="98"/>
      <c r="O98" s="98"/>
      <c r="P98" s="98"/>
      <c r="Q98" s="98"/>
      <c r="R98" s="98"/>
      <c r="S98" s="99"/>
    </row>
    <row r="99" spans="1:19" ht="97.5" customHeight="1">
      <c r="B99" s="93"/>
      <c r="C99" s="31" t="s">
        <v>76</v>
      </c>
      <c r="D99" s="100" t="s">
        <v>221</v>
      </c>
      <c r="E99" s="101"/>
      <c r="F99" s="101"/>
      <c r="G99" s="101"/>
      <c r="H99" s="101"/>
      <c r="I99" s="101"/>
      <c r="J99" s="101"/>
      <c r="K99" s="101"/>
      <c r="L99" s="101"/>
      <c r="M99" s="101"/>
      <c r="N99" s="101"/>
      <c r="O99" s="101"/>
      <c r="P99" s="101"/>
      <c r="Q99" s="101"/>
      <c r="R99" s="101"/>
      <c r="S99" s="102"/>
    </row>
    <row r="100" spans="1:19" ht="6" customHeight="1"/>
    <row r="101" spans="1:19" ht="18.75" customHeight="1">
      <c r="A101" s="1" t="s">
        <v>120</v>
      </c>
    </row>
    <row r="102" spans="1:19" ht="81.75" customHeight="1">
      <c r="B102" s="103" t="s">
        <v>165</v>
      </c>
      <c r="C102" s="104"/>
      <c r="D102" s="104"/>
      <c r="E102" s="104"/>
      <c r="F102" s="104"/>
      <c r="G102" s="104"/>
      <c r="H102" s="104"/>
      <c r="I102" s="104"/>
      <c r="J102" s="104"/>
      <c r="K102" s="104"/>
      <c r="L102" s="104"/>
      <c r="M102" s="104"/>
      <c r="N102" s="104"/>
      <c r="O102" s="104"/>
      <c r="P102" s="104"/>
      <c r="Q102" s="104"/>
      <c r="R102" s="104"/>
      <c r="S102" s="105"/>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7">
    <dataValidation type="list" allowBlank="1" showErrorMessage="1" sqref="F79:F84" xr:uid="{FCE24FE7-08E5-4F15-80C1-95A3DF7ECD7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G25:I25 G36:I36 G47:I47 G58:I58 F69:I70" xr:uid="{12B3F51E-7F44-4238-9119-00F4D4272FC2}">
      <formula1>"○"</formula1>
    </dataValidation>
    <dataValidation type="list" allowBlank="1" showErrorMessage="1" sqref="K20" xr:uid="{44F47076-6E2C-4727-8D31-1F250B08BC1D}">
      <formula1>$V$14:$V$16</formula1>
    </dataValidation>
    <dataValidation type="list" allowBlank="1" showInputMessage="1" showErrorMessage="1" sqref="Q83:S86 P79:P86 Q79:S80 F85:I86" xr:uid="{D92763B8-334A-493E-AD56-48C804E8946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6DBA658E-53C7-4BA5-8243-FF08DDBBBF8A}">
      <formula1>"学部・学科によって、修了要件は相違する,学部・学科によって、修了要件は相違しない"</formula1>
    </dataValidation>
    <dataValidation type="list" allowBlank="1" showInputMessage="1" showErrorMessage="1" sqref="S32 S43 D32:G32 D43:G43" xr:uid="{7B725B38-11FF-4DD7-996B-EEF565661BA4}">
      <formula1>"全学開講,一部開講"</formula1>
    </dataValidation>
    <dataValidation type="list" allowBlank="1" showInputMessage="1" showErrorMessage="1" sqref="P69:S75 Q25:S31 G26:I31 Q36:S42 G37:I42 Q47:S53 G48:I53 Q58:S64 G59:I64 F71:I75" xr:uid="{68710EA7-A5CA-4B01-8D84-80FE5BBE191A}">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B1" zoomScaleNormal="100" zoomScaleSheetLayoutView="100" workbookViewId="0">
      <selection activeCell="H19" sqref="H19"/>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106</v>
      </c>
    </row>
    <row r="2" spans="1:45" ht="18" customHeight="1">
      <c r="K2" s="34"/>
      <c r="Q2" s="34"/>
      <c r="W2" s="34"/>
      <c r="AC2" s="34"/>
      <c r="AI2" s="34"/>
      <c r="AL2" s="34" t="s">
        <v>108</v>
      </c>
      <c r="AM2" s="178" t="str">
        <f>'様式１-３　プログラムを構成する授業科目'!C2</f>
        <v>金沢学院大学</v>
      </c>
      <c r="AN2" s="178"/>
      <c r="AO2" s="178"/>
      <c r="AP2" s="178"/>
      <c r="AQ2" s="178"/>
    </row>
    <row r="3" spans="1:45" ht="18" customHeight="1">
      <c r="A3" s="162" t="s">
        <v>47</v>
      </c>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179" t="s">
        <v>134</v>
      </c>
      <c r="D5" s="180"/>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1" t="s">
        <v>44</v>
      </c>
      <c r="C9" s="196" t="s">
        <v>86</v>
      </c>
      <c r="D9" s="184" t="s">
        <v>46</v>
      </c>
      <c r="E9" s="187" t="s">
        <v>39</v>
      </c>
      <c r="F9" s="177" t="s">
        <v>85</v>
      </c>
      <c r="G9" s="177"/>
      <c r="H9" s="177"/>
      <c r="I9" s="177"/>
      <c r="J9" s="177"/>
      <c r="K9" s="177"/>
      <c r="L9" s="177" t="s">
        <v>48</v>
      </c>
      <c r="M9" s="177"/>
      <c r="N9" s="177"/>
      <c r="O9" s="177"/>
      <c r="P9" s="177"/>
      <c r="Q9" s="177"/>
      <c r="R9" s="177" t="s">
        <v>49</v>
      </c>
      <c r="S9" s="177"/>
      <c r="T9" s="177"/>
      <c r="U9" s="177"/>
      <c r="V9" s="177"/>
      <c r="W9" s="177"/>
      <c r="X9" s="177" t="s">
        <v>100</v>
      </c>
      <c r="Y9" s="177"/>
      <c r="Z9" s="177"/>
      <c r="AA9" s="177"/>
      <c r="AB9" s="177"/>
      <c r="AC9" s="177"/>
      <c r="AD9" s="177" t="s">
        <v>50</v>
      </c>
      <c r="AE9" s="177"/>
      <c r="AF9" s="177"/>
      <c r="AG9" s="177"/>
      <c r="AH9" s="177"/>
      <c r="AI9" s="177"/>
      <c r="AJ9" s="177" t="s">
        <v>51</v>
      </c>
      <c r="AK9" s="177"/>
      <c r="AL9" s="177"/>
      <c r="AM9" s="177"/>
      <c r="AN9" s="177"/>
      <c r="AO9" s="177"/>
      <c r="AP9" s="190" t="s">
        <v>34</v>
      </c>
      <c r="AQ9" s="193" t="s">
        <v>31</v>
      </c>
      <c r="AS9" s="2"/>
    </row>
    <row r="10" spans="1:45" ht="16.899999999999999" customHeight="1">
      <c r="B10" s="182"/>
      <c r="C10" s="197"/>
      <c r="D10" s="185"/>
      <c r="E10" s="188"/>
      <c r="F10" s="175" t="s">
        <v>96</v>
      </c>
      <c r="G10" s="176"/>
      <c r="H10" s="176"/>
      <c r="I10" s="175" t="s">
        <v>28</v>
      </c>
      <c r="J10" s="176"/>
      <c r="K10" s="176"/>
      <c r="L10" s="175" t="s">
        <v>96</v>
      </c>
      <c r="M10" s="176"/>
      <c r="N10" s="176"/>
      <c r="O10" s="175" t="s">
        <v>28</v>
      </c>
      <c r="P10" s="176"/>
      <c r="Q10" s="176"/>
      <c r="R10" s="175" t="s">
        <v>96</v>
      </c>
      <c r="S10" s="176"/>
      <c r="T10" s="176"/>
      <c r="U10" s="175" t="s">
        <v>28</v>
      </c>
      <c r="V10" s="176"/>
      <c r="W10" s="176"/>
      <c r="X10" s="175" t="s">
        <v>96</v>
      </c>
      <c r="Y10" s="176"/>
      <c r="Z10" s="176"/>
      <c r="AA10" s="175" t="s">
        <v>28</v>
      </c>
      <c r="AB10" s="176"/>
      <c r="AC10" s="176"/>
      <c r="AD10" s="175" t="s">
        <v>96</v>
      </c>
      <c r="AE10" s="176"/>
      <c r="AF10" s="176"/>
      <c r="AG10" s="175" t="s">
        <v>28</v>
      </c>
      <c r="AH10" s="176"/>
      <c r="AI10" s="176"/>
      <c r="AJ10" s="175" t="s">
        <v>96</v>
      </c>
      <c r="AK10" s="176"/>
      <c r="AL10" s="176"/>
      <c r="AM10" s="175" t="s">
        <v>28</v>
      </c>
      <c r="AN10" s="176"/>
      <c r="AO10" s="176"/>
      <c r="AP10" s="191"/>
      <c r="AQ10" s="194"/>
      <c r="AS10" s="2"/>
    </row>
    <row r="11" spans="1:45" ht="18" customHeight="1">
      <c r="B11" s="183"/>
      <c r="C11" s="198"/>
      <c r="D11" s="186"/>
      <c r="E11" s="189"/>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92"/>
      <c r="AQ11" s="195"/>
      <c r="AS11" s="2"/>
    </row>
    <row r="12" spans="1:45" ht="18" customHeight="1">
      <c r="A12" s="6"/>
      <c r="B12" s="89" t="s">
        <v>141</v>
      </c>
      <c r="C12" s="82">
        <v>1012</v>
      </c>
      <c r="D12" s="83">
        <v>180</v>
      </c>
      <c r="E12" s="84">
        <v>926</v>
      </c>
      <c r="F12" s="62">
        <f>SUM(G12:H12)</f>
        <v>188</v>
      </c>
      <c r="G12" s="63">
        <v>95</v>
      </c>
      <c r="H12" s="64">
        <v>93</v>
      </c>
      <c r="I12" s="62">
        <f>J12+K12</f>
        <v>176</v>
      </c>
      <c r="J12" s="63">
        <v>88</v>
      </c>
      <c r="K12" s="64">
        <v>88</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188</v>
      </c>
      <c r="AQ12" s="20">
        <f t="shared" ref="AQ12:AQ32" si="0">AP12/E12</f>
        <v>0.20302375809935205</v>
      </c>
    </row>
    <row r="13" spans="1:45" ht="18" customHeight="1">
      <c r="A13" s="6"/>
      <c r="B13" s="88" t="s">
        <v>140</v>
      </c>
      <c r="C13" s="85">
        <v>72</v>
      </c>
      <c r="D13" s="86">
        <v>70</v>
      </c>
      <c r="E13" s="87">
        <v>70</v>
      </c>
      <c r="F13" s="62">
        <f t="shared" ref="F13:F18" si="1">SUM(G13:H13)</f>
        <v>70</v>
      </c>
      <c r="G13" s="69">
        <v>30</v>
      </c>
      <c r="H13" s="70">
        <v>40</v>
      </c>
      <c r="I13" s="68">
        <f t="shared" ref="I13:I31" si="2">J13+K13</f>
        <v>67</v>
      </c>
      <c r="J13" s="69">
        <v>29</v>
      </c>
      <c r="K13" s="70">
        <v>38</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70</v>
      </c>
      <c r="AQ13" s="19">
        <f t="shared" si="0"/>
        <v>1</v>
      </c>
    </row>
    <row r="14" spans="1:45" ht="18" customHeight="1">
      <c r="A14" s="6"/>
      <c r="B14" s="88" t="s">
        <v>138</v>
      </c>
      <c r="C14" s="85">
        <v>518</v>
      </c>
      <c r="D14" s="86">
        <v>180</v>
      </c>
      <c r="E14" s="87">
        <v>470</v>
      </c>
      <c r="F14" s="62">
        <f t="shared" si="1"/>
        <v>200</v>
      </c>
      <c r="G14" s="69">
        <v>171</v>
      </c>
      <c r="H14" s="70">
        <v>29</v>
      </c>
      <c r="I14" s="68">
        <f t="shared" si="2"/>
        <v>154</v>
      </c>
      <c r="J14" s="69">
        <v>128</v>
      </c>
      <c r="K14" s="70">
        <v>26</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200</v>
      </c>
      <c r="AQ14" s="8">
        <f t="shared" si="0"/>
        <v>0.42553191489361702</v>
      </c>
    </row>
    <row r="15" spans="1:45" ht="18" customHeight="1">
      <c r="A15" s="6"/>
      <c r="B15" s="88" t="s">
        <v>139</v>
      </c>
      <c r="C15" s="85">
        <v>229</v>
      </c>
      <c r="D15" s="86">
        <v>70</v>
      </c>
      <c r="E15" s="87">
        <v>210</v>
      </c>
      <c r="F15" s="62">
        <f t="shared" si="1"/>
        <v>73</v>
      </c>
      <c r="G15" s="69">
        <v>70</v>
      </c>
      <c r="H15" s="70">
        <v>3</v>
      </c>
      <c r="I15" s="68">
        <f>J15+K15</f>
        <v>69</v>
      </c>
      <c r="J15" s="69">
        <v>66</v>
      </c>
      <c r="K15" s="70">
        <v>3</v>
      </c>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73</v>
      </c>
      <c r="AQ15" s="8">
        <f t="shared" si="0"/>
        <v>0.34761904761904761</v>
      </c>
    </row>
    <row r="16" spans="1:45" ht="18" customHeight="1">
      <c r="A16" s="6"/>
      <c r="B16" s="88" t="s">
        <v>142</v>
      </c>
      <c r="C16" s="85">
        <v>322</v>
      </c>
      <c r="D16" s="86">
        <v>70</v>
      </c>
      <c r="E16" s="87">
        <v>284</v>
      </c>
      <c r="F16" s="62">
        <f t="shared" si="1"/>
        <v>72</v>
      </c>
      <c r="G16" s="69">
        <v>27</v>
      </c>
      <c r="H16" s="70">
        <v>45</v>
      </c>
      <c r="I16" s="68">
        <f>J16+K16</f>
        <v>68</v>
      </c>
      <c r="J16" s="69">
        <v>27</v>
      </c>
      <c r="K16" s="70">
        <v>41</v>
      </c>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F15+L16+R16+X16+AD16+AJ16</f>
        <v>73</v>
      </c>
      <c r="AQ16" s="8">
        <f>AP16/E15</f>
        <v>0.34761904761904761</v>
      </c>
    </row>
    <row r="17" spans="1:43" ht="18" customHeight="1">
      <c r="A17" s="6"/>
      <c r="B17" s="88" t="s">
        <v>143</v>
      </c>
      <c r="C17" s="85">
        <v>341</v>
      </c>
      <c r="D17" s="86">
        <v>150</v>
      </c>
      <c r="E17" s="87">
        <v>300</v>
      </c>
      <c r="F17" s="62">
        <f t="shared" si="1"/>
        <v>152</v>
      </c>
      <c r="G17" s="69">
        <v>118</v>
      </c>
      <c r="H17" s="70">
        <v>34</v>
      </c>
      <c r="I17" s="68">
        <f>J17+K17</f>
        <v>142</v>
      </c>
      <c r="J17" s="69">
        <v>109</v>
      </c>
      <c r="K17" s="70">
        <v>33</v>
      </c>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F16+L17+R17+X17+AD17+AJ17</f>
        <v>72</v>
      </c>
      <c r="AQ17" s="8">
        <f>AP17/E16</f>
        <v>0.25352112676056338</v>
      </c>
    </row>
    <row r="18" spans="1:43" ht="18" customHeight="1">
      <c r="A18" s="6"/>
      <c r="B18" s="88" t="s">
        <v>144</v>
      </c>
      <c r="C18" s="85">
        <v>167</v>
      </c>
      <c r="D18" s="86">
        <v>80</v>
      </c>
      <c r="E18" s="87">
        <v>160</v>
      </c>
      <c r="F18" s="62">
        <f t="shared" si="1"/>
        <v>10</v>
      </c>
      <c r="G18" s="69">
        <v>4</v>
      </c>
      <c r="H18" s="70">
        <v>6</v>
      </c>
      <c r="I18" s="68">
        <f>J18+K18</f>
        <v>10</v>
      </c>
      <c r="J18" s="69">
        <v>4</v>
      </c>
      <c r="K18" s="70">
        <v>6</v>
      </c>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F17+L18+R18+X18+AD18+AJ18</f>
        <v>152</v>
      </c>
      <c r="AQ18" s="8">
        <f>AP18/E17</f>
        <v>0.50666666666666671</v>
      </c>
    </row>
    <row r="19" spans="1:43" ht="18" customHeight="1">
      <c r="A19" s="6"/>
      <c r="B19" s="11"/>
      <c r="C19" s="65"/>
      <c r="D19" s="66"/>
      <c r="E19" s="67"/>
      <c r="F19" s="68">
        <f>G19+H19</f>
        <v>0</v>
      </c>
      <c r="G19" s="69"/>
      <c r="H19" s="70"/>
      <c r="I19" s="68">
        <f>J19+K19</f>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F18+L19+R19+X19+AD19+AJ19</f>
        <v>10</v>
      </c>
      <c r="AQ19" s="8">
        <f>AP19/E18</f>
        <v>6.25E-2</v>
      </c>
    </row>
    <row r="20" spans="1:43" ht="18" customHeight="1">
      <c r="A20" s="6"/>
      <c r="B20" s="11"/>
      <c r="C20" s="65"/>
      <c r="D20" s="66"/>
      <c r="E20" s="67"/>
      <c r="F20" s="68">
        <f t="shared" ref="F20:F31" si="14">G20+H20</f>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0"/>
        <v>#DIV/0!</v>
      </c>
    </row>
    <row r="21" spans="1:43" ht="18" customHeight="1">
      <c r="A21" s="6"/>
      <c r="B21" s="11"/>
      <c r="C21" s="65"/>
      <c r="D21" s="66"/>
      <c r="E21" s="67"/>
      <c r="F21" s="68">
        <f t="shared" si="14"/>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0"/>
        <v>#DIV/0!</v>
      </c>
    </row>
    <row r="22" spans="1:43" ht="18" customHeight="1">
      <c r="A22" s="6"/>
      <c r="B22" s="11"/>
      <c r="C22" s="65"/>
      <c r="D22" s="66"/>
      <c r="E22" s="67"/>
      <c r="F22" s="68">
        <f t="shared" si="14"/>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0"/>
        <v>#DIV/0!</v>
      </c>
    </row>
    <row r="23" spans="1:43" ht="18" customHeight="1">
      <c r="A23" s="6"/>
      <c r="B23" s="11"/>
      <c r="C23" s="65"/>
      <c r="D23" s="66"/>
      <c r="E23" s="67"/>
      <c r="F23" s="68">
        <f t="shared" si="14"/>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0"/>
        <v>#DIV/0!</v>
      </c>
    </row>
    <row r="24" spans="1:43" ht="18" customHeight="1">
      <c r="A24" s="6"/>
      <c r="B24" s="11"/>
      <c r="C24" s="65"/>
      <c r="D24" s="66"/>
      <c r="E24" s="67"/>
      <c r="F24" s="68">
        <f t="shared" si="14"/>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0"/>
        <v>#DIV/0!</v>
      </c>
    </row>
    <row r="25" spans="1:43" ht="18" customHeight="1">
      <c r="A25" s="6"/>
      <c r="B25" s="11"/>
      <c r="C25" s="65"/>
      <c r="D25" s="66"/>
      <c r="E25" s="67"/>
      <c r="F25" s="68">
        <f t="shared" si="14"/>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0"/>
        <v>#DIV/0!</v>
      </c>
    </row>
    <row r="26" spans="1:43" ht="18" customHeight="1">
      <c r="A26" s="6"/>
      <c r="B26" s="11"/>
      <c r="C26" s="65"/>
      <c r="D26" s="66"/>
      <c r="E26" s="67"/>
      <c r="F26" s="68">
        <f t="shared" si="14"/>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0"/>
        <v>#DIV/0!</v>
      </c>
    </row>
    <row r="27" spans="1:43" ht="18" customHeight="1">
      <c r="A27" s="6"/>
      <c r="B27" s="11"/>
      <c r="C27" s="65"/>
      <c r="D27" s="66"/>
      <c r="E27" s="67"/>
      <c r="F27" s="68">
        <f t="shared" si="14"/>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0"/>
        <v>#DIV/0!</v>
      </c>
    </row>
    <row r="28" spans="1:43" ht="18" customHeight="1">
      <c r="A28" s="6"/>
      <c r="B28" s="11"/>
      <c r="C28" s="65"/>
      <c r="D28" s="66"/>
      <c r="E28" s="67"/>
      <c r="F28" s="68">
        <f t="shared" si="14"/>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0"/>
        <v>#DIV/0!</v>
      </c>
    </row>
    <row r="29" spans="1:43" ht="18" customHeight="1">
      <c r="A29" s="6"/>
      <c r="B29" s="11"/>
      <c r="C29" s="65"/>
      <c r="D29" s="71"/>
      <c r="E29" s="67"/>
      <c r="F29" s="68">
        <f t="shared" si="14"/>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0"/>
        <v>#DIV/0!</v>
      </c>
    </row>
    <row r="30" spans="1:43" ht="18" customHeight="1">
      <c r="A30" s="6"/>
      <c r="B30" s="11"/>
      <c r="C30" s="65"/>
      <c r="D30" s="71"/>
      <c r="E30" s="67"/>
      <c r="F30" s="68">
        <f t="shared" si="14"/>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0"/>
        <v>#DIV/0!</v>
      </c>
    </row>
    <row r="31" spans="1:43" ht="18" customHeight="1" thickBot="1">
      <c r="A31" s="6"/>
      <c r="B31" s="12"/>
      <c r="C31" s="60"/>
      <c r="D31" s="72"/>
      <c r="E31" s="62"/>
      <c r="F31" s="62">
        <f t="shared" si="14"/>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0"/>
        <v>#DIV/0!</v>
      </c>
    </row>
    <row r="32" spans="1:43" ht="18" customHeight="1" thickTop="1">
      <c r="B32" s="13" t="s">
        <v>32</v>
      </c>
      <c r="C32" s="75">
        <f t="shared" ref="C32:H32" si="15">SUM(C12:C31)</f>
        <v>2661</v>
      </c>
      <c r="D32" s="76">
        <f t="shared" si="15"/>
        <v>800</v>
      </c>
      <c r="E32" s="77">
        <f t="shared" si="15"/>
        <v>2420</v>
      </c>
      <c r="F32" s="77">
        <f t="shared" si="15"/>
        <v>765</v>
      </c>
      <c r="G32" s="78">
        <f t="shared" si="15"/>
        <v>515</v>
      </c>
      <c r="H32" s="79">
        <f t="shared" si="15"/>
        <v>250</v>
      </c>
      <c r="I32" s="77">
        <f t="shared" ref="I32:N32" si="16">SUM(I12:I31)</f>
        <v>686</v>
      </c>
      <c r="J32" s="78">
        <f t="shared" si="16"/>
        <v>451</v>
      </c>
      <c r="K32" s="79">
        <f t="shared" si="16"/>
        <v>235</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SUM(AP12:AP31)</f>
        <v>838</v>
      </c>
      <c r="AQ32" s="9">
        <f t="shared" si="0"/>
        <v>0.34628099173553717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40" zoomScaleNormal="100" zoomScaleSheetLayoutView="140" workbookViewId="0">
      <selection activeCell="I50" sqref="I50"/>
    </sheetView>
  </sheetViews>
  <sheetFormatPr defaultColWidth="11.375" defaultRowHeight="18.75" customHeight="1"/>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40" t="s">
        <v>64</v>
      </c>
      <c r="I1" s="34" t="s">
        <v>105</v>
      </c>
    </row>
    <row r="2" spans="1:9" ht="18.75" customHeight="1">
      <c r="G2" s="34" t="s">
        <v>108</v>
      </c>
      <c r="H2" s="135" t="str">
        <f>'様式１-３　プログラムを構成する授業科目'!C2</f>
        <v>金沢学院大学</v>
      </c>
      <c r="I2" s="117"/>
    </row>
    <row r="3" spans="1:9" ht="18.75" customHeight="1">
      <c r="G3" s="34"/>
      <c r="H3" s="10"/>
      <c r="I3" s="10"/>
    </row>
    <row r="4" spans="1:9" ht="18.600000000000001" customHeight="1">
      <c r="A4" s="162" t="s">
        <v>35</v>
      </c>
      <c r="B4" s="162"/>
      <c r="C4" s="162"/>
      <c r="D4" s="162"/>
      <c r="E4" s="162"/>
      <c r="F4" s="162"/>
      <c r="G4" s="162"/>
      <c r="H4" s="162"/>
      <c r="I4" s="162"/>
    </row>
    <row r="5" spans="1:9" ht="13.15" customHeight="1">
      <c r="B5" s="3"/>
      <c r="C5" s="3"/>
      <c r="D5" s="3"/>
      <c r="E5" s="3"/>
      <c r="F5" s="3"/>
      <c r="G5" s="3"/>
      <c r="H5" s="3"/>
      <c r="I5" s="3"/>
    </row>
    <row r="6" spans="1:9" ht="18" customHeight="1">
      <c r="A6" s="1" t="s">
        <v>0</v>
      </c>
      <c r="B6" s="10" t="s">
        <v>90</v>
      </c>
      <c r="C6" s="249" t="s">
        <v>91</v>
      </c>
      <c r="D6" s="249"/>
      <c r="E6" s="33">
        <v>129</v>
      </c>
      <c r="F6" s="3" t="s">
        <v>1</v>
      </c>
      <c r="G6" s="3" t="s">
        <v>2</v>
      </c>
      <c r="H6" s="33">
        <v>54</v>
      </c>
      <c r="I6" s="10" t="s">
        <v>1</v>
      </c>
    </row>
    <row r="7" spans="1:9" ht="12" customHeight="1">
      <c r="C7" s="2"/>
      <c r="D7" s="2"/>
      <c r="E7" s="2"/>
      <c r="F7" s="2"/>
      <c r="G7" s="2"/>
      <c r="H7" s="2"/>
      <c r="I7" s="41"/>
    </row>
    <row r="8" spans="1:9" ht="18" customHeight="1">
      <c r="A8" s="1" t="s">
        <v>3</v>
      </c>
      <c r="B8" s="10" t="s">
        <v>92</v>
      </c>
      <c r="E8" s="3"/>
      <c r="F8" s="3"/>
      <c r="G8" s="3"/>
      <c r="H8" s="33">
        <v>18</v>
      </c>
      <c r="I8" s="10" t="s">
        <v>1</v>
      </c>
    </row>
    <row r="9" spans="1:9" ht="9" customHeight="1">
      <c r="B9" s="3"/>
      <c r="C9" s="3"/>
      <c r="D9" s="3"/>
      <c r="E9" s="3"/>
      <c r="F9" s="3"/>
      <c r="G9" s="3"/>
      <c r="H9" s="3"/>
      <c r="I9" s="3"/>
    </row>
    <row r="10" spans="1:9" ht="18" customHeight="1">
      <c r="A10" s="1" t="s">
        <v>4</v>
      </c>
      <c r="B10" s="10" t="s">
        <v>93</v>
      </c>
      <c r="C10" s="3"/>
      <c r="D10" s="3"/>
      <c r="E10" s="3"/>
      <c r="F10" s="3"/>
      <c r="G10" s="3"/>
      <c r="H10" s="3"/>
      <c r="I10" s="3"/>
    </row>
    <row r="11" spans="1:9" ht="18" customHeight="1">
      <c r="B11" s="34" t="s">
        <v>42</v>
      </c>
      <c r="C11" s="244" t="s">
        <v>135</v>
      </c>
      <c r="D11" s="247"/>
      <c r="E11" s="248"/>
      <c r="F11" s="41"/>
      <c r="G11" s="34" t="s">
        <v>10</v>
      </c>
      <c r="H11" s="244" t="s">
        <v>136</v>
      </c>
      <c r="I11" s="248"/>
    </row>
    <row r="12" spans="1:9" ht="10.15" customHeight="1">
      <c r="B12" s="34"/>
      <c r="C12" s="10"/>
      <c r="D12" s="41"/>
      <c r="E12" s="41"/>
      <c r="F12" s="41"/>
      <c r="G12" s="34"/>
      <c r="H12" s="10"/>
      <c r="I12" s="41"/>
    </row>
    <row r="13" spans="1:9" ht="18" customHeight="1">
      <c r="A13" s="1" t="s">
        <v>7</v>
      </c>
      <c r="B13" s="10" t="s">
        <v>87</v>
      </c>
      <c r="C13" s="3"/>
      <c r="D13" s="3"/>
      <c r="E13" s="3"/>
      <c r="F13" s="3"/>
      <c r="G13" s="3"/>
      <c r="H13" s="3"/>
      <c r="I13" s="3"/>
    </row>
    <row r="14" spans="1:9" ht="18" customHeight="1">
      <c r="B14" s="244" t="s">
        <v>137</v>
      </c>
      <c r="C14" s="245"/>
      <c r="D14" s="245"/>
      <c r="E14" s="245"/>
      <c r="F14" s="245"/>
      <c r="G14" s="245"/>
      <c r="H14" s="245"/>
      <c r="I14" s="246"/>
    </row>
    <row r="15" spans="1:9" ht="9" customHeight="1">
      <c r="B15" s="3"/>
      <c r="C15" s="3"/>
      <c r="D15" s="3"/>
      <c r="E15" s="3"/>
      <c r="F15" s="3"/>
      <c r="G15" s="3"/>
      <c r="H15" s="3"/>
      <c r="I15" s="3"/>
    </row>
    <row r="16" spans="1:9" ht="18" customHeight="1">
      <c r="B16" s="34" t="s">
        <v>42</v>
      </c>
      <c r="C16" s="244" t="s">
        <v>135</v>
      </c>
      <c r="D16" s="247"/>
      <c r="E16" s="248"/>
      <c r="F16" s="41"/>
      <c r="G16" s="34" t="s">
        <v>10</v>
      </c>
      <c r="H16" s="244" t="s">
        <v>136</v>
      </c>
      <c r="I16" s="248"/>
    </row>
    <row r="17" spans="1:9" ht="18" customHeight="1">
      <c r="B17" s="3"/>
      <c r="C17" s="3"/>
      <c r="D17" s="3"/>
      <c r="E17" s="3"/>
      <c r="F17" s="3"/>
      <c r="G17" s="3"/>
      <c r="H17" s="3"/>
      <c r="I17" s="3"/>
    </row>
    <row r="18" spans="1:9" ht="18.75" customHeight="1">
      <c r="A18" s="1" t="s">
        <v>5</v>
      </c>
      <c r="B18" s="1" t="s">
        <v>41</v>
      </c>
      <c r="I18" s="3"/>
    </row>
    <row r="19" spans="1:9" ht="18.75" customHeight="1">
      <c r="A19" s="1"/>
      <c r="B19" s="236" t="s">
        <v>157</v>
      </c>
      <c r="C19" s="237"/>
      <c r="D19" s="237"/>
      <c r="E19" s="237"/>
      <c r="F19" s="237"/>
      <c r="G19" s="237"/>
      <c r="H19" s="237"/>
      <c r="I19" s="238"/>
    </row>
    <row r="20" spans="1:9" ht="7.5" customHeight="1">
      <c r="B20" s="3"/>
      <c r="C20" s="3"/>
      <c r="D20" s="3"/>
      <c r="E20" s="3"/>
      <c r="F20" s="3"/>
      <c r="G20" s="3"/>
      <c r="H20" s="3"/>
      <c r="I20" s="3"/>
    </row>
    <row r="21" spans="1:9" ht="18.75" customHeight="1">
      <c r="A21" s="1" t="s">
        <v>8</v>
      </c>
      <c r="B21" s="1" t="s">
        <v>24</v>
      </c>
    </row>
    <row r="22" spans="1:9" ht="18.75" customHeight="1">
      <c r="A22" s="14"/>
      <c r="B22" s="226" t="s">
        <v>158</v>
      </c>
      <c r="C22" s="227"/>
      <c r="D22" s="227"/>
      <c r="E22" s="227"/>
      <c r="F22" s="227"/>
      <c r="G22" s="227"/>
      <c r="H22" s="227"/>
      <c r="I22" s="228"/>
    </row>
    <row r="23" spans="1:9" ht="18.75" customHeight="1">
      <c r="A23" s="14"/>
      <c r="B23" s="239"/>
      <c r="C23" s="240"/>
      <c r="D23" s="240"/>
      <c r="E23" s="240"/>
      <c r="F23" s="240"/>
      <c r="G23" s="240"/>
      <c r="H23" s="240"/>
      <c r="I23" s="231"/>
    </row>
    <row r="24" spans="1:9" ht="18.75" customHeight="1">
      <c r="A24" s="14"/>
      <c r="B24" s="239"/>
      <c r="C24" s="240"/>
      <c r="D24" s="240"/>
      <c r="E24" s="240"/>
      <c r="F24" s="240"/>
      <c r="G24" s="240"/>
      <c r="H24" s="240"/>
      <c r="I24" s="231"/>
    </row>
    <row r="25" spans="1:9" ht="18.75" customHeight="1">
      <c r="A25" s="14"/>
      <c r="B25" s="239"/>
      <c r="C25" s="240"/>
      <c r="D25" s="240"/>
      <c r="E25" s="240"/>
      <c r="F25" s="240"/>
      <c r="G25" s="240"/>
      <c r="H25" s="240"/>
      <c r="I25" s="231"/>
    </row>
    <row r="26" spans="1:9" ht="18.75" customHeight="1">
      <c r="A26" s="14"/>
      <c r="B26" s="239"/>
      <c r="C26" s="240"/>
      <c r="D26" s="240"/>
      <c r="E26" s="240"/>
      <c r="F26" s="240"/>
      <c r="G26" s="240"/>
      <c r="H26" s="240"/>
      <c r="I26" s="231"/>
    </row>
    <row r="27" spans="1:9" ht="18.75" customHeight="1">
      <c r="A27" s="14"/>
      <c r="B27" s="239"/>
      <c r="C27" s="240"/>
      <c r="D27" s="240"/>
      <c r="E27" s="240"/>
      <c r="F27" s="240"/>
      <c r="G27" s="240"/>
      <c r="H27" s="240"/>
      <c r="I27" s="231"/>
    </row>
    <row r="28" spans="1:9" ht="18.75" customHeight="1">
      <c r="A28" s="14"/>
      <c r="B28" s="239"/>
      <c r="C28" s="240"/>
      <c r="D28" s="240"/>
      <c r="E28" s="240"/>
      <c r="F28" s="240"/>
      <c r="G28" s="240"/>
      <c r="H28" s="240"/>
      <c r="I28" s="231"/>
    </row>
    <row r="29" spans="1:9" ht="18.75" customHeight="1">
      <c r="A29" s="14"/>
      <c r="B29" s="239"/>
      <c r="C29" s="240"/>
      <c r="D29" s="240"/>
      <c r="E29" s="240"/>
      <c r="F29" s="240"/>
      <c r="G29" s="240"/>
      <c r="H29" s="240"/>
      <c r="I29" s="231"/>
    </row>
    <row r="30" spans="1:9" ht="18.75" customHeight="1">
      <c r="A30" s="14"/>
      <c r="B30" s="229"/>
      <c r="C30" s="230"/>
      <c r="D30" s="230"/>
      <c r="E30" s="230"/>
      <c r="F30" s="230"/>
      <c r="G30" s="230"/>
      <c r="H30" s="230"/>
      <c r="I30" s="231"/>
    </row>
    <row r="31" spans="1:9" ht="18.75" customHeight="1">
      <c r="A31" s="14"/>
      <c r="B31" s="229"/>
      <c r="C31" s="230"/>
      <c r="D31" s="230"/>
      <c r="E31" s="230"/>
      <c r="F31" s="230"/>
      <c r="G31" s="230"/>
      <c r="H31" s="230"/>
      <c r="I31" s="231"/>
    </row>
    <row r="32" spans="1:9" ht="18.75" customHeight="1">
      <c r="A32" s="14"/>
      <c r="B32" s="232"/>
      <c r="C32" s="233"/>
      <c r="D32" s="233"/>
      <c r="E32" s="233"/>
      <c r="F32" s="233"/>
      <c r="G32" s="233"/>
      <c r="H32" s="233"/>
      <c r="I32" s="234"/>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226" t="s">
        <v>156</v>
      </c>
      <c r="C35" s="227"/>
      <c r="D35" s="227"/>
      <c r="E35" s="227"/>
      <c r="F35" s="227"/>
      <c r="G35" s="227"/>
      <c r="H35" s="227"/>
      <c r="I35" s="228"/>
    </row>
    <row r="36" spans="1:9" ht="18.75" customHeight="1">
      <c r="A36" s="14"/>
      <c r="B36" s="229"/>
      <c r="C36" s="230"/>
      <c r="D36" s="230"/>
      <c r="E36" s="230"/>
      <c r="F36" s="230"/>
      <c r="G36" s="230"/>
      <c r="H36" s="230"/>
      <c r="I36" s="231"/>
    </row>
    <row r="37" spans="1:9" ht="18.75" customHeight="1">
      <c r="A37" s="14"/>
      <c r="B37" s="229"/>
      <c r="C37" s="230"/>
      <c r="D37" s="230"/>
      <c r="E37" s="230"/>
      <c r="F37" s="230"/>
      <c r="G37" s="230"/>
      <c r="H37" s="230"/>
      <c r="I37" s="231"/>
    </row>
    <row r="38" spans="1:9" ht="18.75" customHeight="1">
      <c r="A38" s="14"/>
      <c r="B38" s="229"/>
      <c r="C38" s="230"/>
      <c r="D38" s="230"/>
      <c r="E38" s="230"/>
      <c r="F38" s="230"/>
      <c r="G38" s="230"/>
      <c r="H38" s="230"/>
      <c r="I38" s="231"/>
    </row>
    <row r="39" spans="1:9" ht="18.75" customHeight="1">
      <c r="A39" s="14"/>
      <c r="B39" s="229"/>
      <c r="C39" s="230"/>
      <c r="D39" s="230"/>
      <c r="E39" s="230"/>
      <c r="F39" s="230"/>
      <c r="G39" s="230"/>
      <c r="H39" s="230"/>
      <c r="I39" s="231"/>
    </row>
    <row r="40" spans="1:9" ht="18.75" customHeight="1">
      <c r="A40" s="14"/>
      <c r="B40" s="229"/>
      <c r="C40" s="230"/>
      <c r="D40" s="230"/>
      <c r="E40" s="230"/>
      <c r="F40" s="230"/>
      <c r="G40" s="230"/>
      <c r="H40" s="230"/>
      <c r="I40" s="231"/>
    </row>
    <row r="41" spans="1:9" ht="18.75" customHeight="1">
      <c r="A41" s="14"/>
      <c r="B41" s="229"/>
      <c r="C41" s="230"/>
      <c r="D41" s="230"/>
      <c r="E41" s="230"/>
      <c r="F41" s="230"/>
      <c r="G41" s="230"/>
      <c r="H41" s="230"/>
      <c r="I41" s="231"/>
    </row>
    <row r="42" spans="1:9" ht="18.75" customHeight="1">
      <c r="A42" s="14"/>
      <c r="B42" s="229"/>
      <c r="C42" s="230"/>
      <c r="D42" s="230"/>
      <c r="E42" s="230"/>
      <c r="F42" s="230"/>
      <c r="G42" s="230"/>
      <c r="H42" s="230"/>
      <c r="I42" s="231"/>
    </row>
    <row r="43" spans="1:9" ht="18.75" customHeight="1">
      <c r="A43" s="14"/>
      <c r="B43" s="229"/>
      <c r="C43" s="230"/>
      <c r="D43" s="230"/>
      <c r="E43" s="230"/>
      <c r="F43" s="230"/>
      <c r="G43" s="230"/>
      <c r="H43" s="230"/>
      <c r="I43" s="231"/>
    </row>
    <row r="44" spans="1:9" ht="18.75" customHeight="1">
      <c r="A44" s="14"/>
      <c r="B44" s="229"/>
      <c r="C44" s="230"/>
      <c r="D44" s="230"/>
      <c r="E44" s="230"/>
      <c r="F44" s="230"/>
      <c r="G44" s="230"/>
      <c r="H44" s="230"/>
      <c r="I44" s="231"/>
    </row>
    <row r="45" spans="1:9" ht="18.75" customHeight="1">
      <c r="A45" s="14"/>
      <c r="B45" s="229"/>
      <c r="C45" s="230"/>
      <c r="D45" s="230"/>
      <c r="E45" s="230"/>
      <c r="F45" s="230"/>
      <c r="G45" s="230"/>
      <c r="H45" s="230"/>
      <c r="I45" s="231"/>
    </row>
    <row r="46" spans="1:9" ht="18.75" customHeight="1">
      <c r="A46" s="14"/>
      <c r="B46" s="232"/>
      <c r="C46" s="233"/>
      <c r="D46" s="233"/>
      <c r="E46" s="233"/>
      <c r="F46" s="233"/>
      <c r="G46" s="233"/>
      <c r="H46" s="233"/>
      <c r="I46" s="234"/>
    </row>
    <row r="47" spans="1:9" ht="7.5" customHeight="1">
      <c r="A47" s="4"/>
      <c r="B47" s="4"/>
      <c r="C47" s="4"/>
      <c r="D47" s="4"/>
      <c r="E47" s="4"/>
      <c r="F47" s="4"/>
      <c r="G47" s="4"/>
      <c r="H47" s="4"/>
      <c r="I47" s="4"/>
    </row>
    <row r="48" spans="1:9" ht="18.75" customHeight="1">
      <c r="A48" s="1" t="s">
        <v>30</v>
      </c>
      <c r="B48" s="1" t="s">
        <v>122</v>
      </c>
    </row>
    <row r="49" spans="1:15" s="3" customFormat="1" ht="18.75" customHeight="1">
      <c r="B49" s="42" t="s">
        <v>88</v>
      </c>
      <c r="C49" s="215">
        <f>'様式２ 履修者等数の実績'!AQ32</f>
        <v>0.34628099173553717</v>
      </c>
      <c r="D49" s="215"/>
      <c r="E49" s="42" t="s">
        <v>65</v>
      </c>
      <c r="F49" s="215">
        <v>0.6</v>
      </c>
      <c r="G49" s="215"/>
      <c r="H49" s="42" t="s">
        <v>66</v>
      </c>
      <c r="I49" s="43">
        <v>0.8</v>
      </c>
      <c r="J49" s="1"/>
      <c r="M49" s="1"/>
      <c r="N49" s="44"/>
    </row>
    <row r="50" spans="1:15" s="3" customFormat="1" ht="18.75" customHeight="1">
      <c r="B50" s="45" t="s">
        <v>67</v>
      </c>
      <c r="C50" s="216">
        <v>0.9</v>
      </c>
      <c r="D50" s="216"/>
      <c r="E50" s="45" t="s">
        <v>89</v>
      </c>
      <c r="F50" s="216">
        <v>1</v>
      </c>
      <c r="G50" s="216"/>
      <c r="H50" s="45" t="s">
        <v>68</v>
      </c>
      <c r="I50" s="90">
        <f>'様式２ 履修者等数の実績'!E32</f>
        <v>2420</v>
      </c>
      <c r="J50" s="1"/>
      <c r="M50" s="1"/>
      <c r="N50" s="44"/>
    </row>
    <row r="51" spans="1:15" ht="18.75" customHeight="1">
      <c r="A51" s="1"/>
      <c r="B51" s="241" t="s">
        <v>69</v>
      </c>
      <c r="C51" s="242"/>
      <c r="D51" s="242"/>
      <c r="E51" s="242"/>
      <c r="F51" s="242"/>
      <c r="G51" s="242"/>
      <c r="H51" s="242"/>
      <c r="I51" s="243"/>
      <c r="N51" s="44"/>
      <c r="O51" s="3"/>
    </row>
    <row r="52" spans="1:15" ht="18.75" customHeight="1">
      <c r="A52" s="1"/>
      <c r="B52" s="217" t="s">
        <v>167</v>
      </c>
      <c r="C52" s="218"/>
      <c r="D52" s="218"/>
      <c r="E52" s="218"/>
      <c r="F52" s="218"/>
      <c r="G52" s="218"/>
      <c r="H52" s="218"/>
      <c r="I52" s="219"/>
      <c r="N52" s="44"/>
      <c r="O52" s="3"/>
    </row>
    <row r="53" spans="1:15" ht="18.75" customHeight="1">
      <c r="A53" s="1"/>
      <c r="B53" s="220"/>
      <c r="C53" s="221"/>
      <c r="D53" s="221"/>
      <c r="E53" s="221"/>
      <c r="F53" s="221"/>
      <c r="G53" s="221"/>
      <c r="H53" s="221"/>
      <c r="I53" s="222"/>
      <c r="N53" s="44"/>
      <c r="O53" s="3"/>
    </row>
    <row r="54" spans="1:15" ht="18.75" customHeight="1">
      <c r="A54" s="1"/>
      <c r="B54" s="220"/>
      <c r="C54" s="221"/>
      <c r="D54" s="221"/>
      <c r="E54" s="221"/>
      <c r="F54" s="221"/>
      <c r="G54" s="221"/>
      <c r="H54" s="221"/>
      <c r="I54" s="222"/>
    </row>
    <row r="55" spans="1:15" ht="18.75" customHeight="1">
      <c r="A55" s="1"/>
      <c r="B55" s="220"/>
      <c r="C55" s="221"/>
      <c r="D55" s="221"/>
      <c r="E55" s="221"/>
      <c r="F55" s="221"/>
      <c r="G55" s="221"/>
      <c r="H55" s="221"/>
      <c r="I55" s="222"/>
    </row>
    <row r="56" spans="1:15" ht="18.75" customHeight="1">
      <c r="A56" s="1"/>
      <c r="B56" s="220"/>
      <c r="C56" s="221"/>
      <c r="D56" s="221"/>
      <c r="E56" s="221"/>
      <c r="F56" s="221"/>
      <c r="G56" s="221"/>
      <c r="H56" s="221"/>
      <c r="I56" s="222"/>
    </row>
    <row r="57" spans="1:15" ht="18.75" customHeight="1">
      <c r="A57" s="1"/>
      <c r="B57" s="220"/>
      <c r="C57" s="221"/>
      <c r="D57" s="221"/>
      <c r="E57" s="221"/>
      <c r="F57" s="221"/>
      <c r="G57" s="221"/>
      <c r="H57" s="221"/>
      <c r="I57" s="222"/>
    </row>
    <row r="58" spans="1:15" ht="18.75" customHeight="1">
      <c r="A58" s="1"/>
      <c r="B58" s="220"/>
      <c r="C58" s="221"/>
      <c r="D58" s="221"/>
      <c r="E58" s="221"/>
      <c r="F58" s="221"/>
      <c r="G58" s="221"/>
      <c r="H58" s="221"/>
      <c r="I58" s="222"/>
    </row>
    <row r="59" spans="1:15" ht="18.75" customHeight="1">
      <c r="A59" s="1"/>
      <c r="B59" s="220"/>
      <c r="C59" s="221"/>
      <c r="D59" s="221"/>
      <c r="E59" s="221"/>
      <c r="F59" s="221"/>
      <c r="G59" s="221"/>
      <c r="H59" s="221"/>
      <c r="I59" s="222"/>
    </row>
    <row r="60" spans="1:15" ht="18.75" customHeight="1">
      <c r="A60" s="1"/>
      <c r="B60" s="220"/>
      <c r="C60" s="221"/>
      <c r="D60" s="221"/>
      <c r="E60" s="221"/>
      <c r="F60" s="221"/>
      <c r="G60" s="221"/>
      <c r="H60" s="221"/>
      <c r="I60" s="222"/>
    </row>
    <row r="61" spans="1:15" ht="18.75" customHeight="1">
      <c r="A61" s="1"/>
      <c r="B61" s="220"/>
      <c r="C61" s="221"/>
      <c r="D61" s="221"/>
      <c r="E61" s="221"/>
      <c r="F61" s="221"/>
      <c r="G61" s="221"/>
      <c r="H61" s="221"/>
      <c r="I61" s="222"/>
    </row>
    <row r="62" spans="1:15" ht="18.75" customHeight="1">
      <c r="A62" s="1"/>
      <c r="B62" s="220"/>
      <c r="C62" s="221"/>
      <c r="D62" s="221"/>
      <c r="E62" s="221"/>
      <c r="F62" s="221"/>
      <c r="G62" s="221"/>
      <c r="H62" s="221"/>
      <c r="I62" s="222"/>
    </row>
    <row r="63" spans="1:15" ht="18.75" customHeight="1">
      <c r="A63" s="1"/>
      <c r="B63" s="223"/>
      <c r="C63" s="224"/>
      <c r="D63" s="224"/>
      <c r="E63" s="224"/>
      <c r="F63" s="224"/>
      <c r="G63" s="224"/>
      <c r="H63" s="224"/>
      <c r="I63" s="225"/>
    </row>
    <row r="64" spans="1:15" ht="7.5" customHeight="1">
      <c r="A64" s="14"/>
      <c r="B64" s="14"/>
      <c r="C64" s="14"/>
      <c r="D64" s="14"/>
      <c r="E64" s="14"/>
      <c r="F64" s="14"/>
      <c r="G64" s="14"/>
      <c r="H64" s="14"/>
      <c r="I64" s="14"/>
    </row>
    <row r="65" spans="1:9" ht="18.75" customHeight="1">
      <c r="A65" s="15" t="s">
        <v>33</v>
      </c>
      <c r="B65" s="1" t="s">
        <v>36</v>
      </c>
      <c r="I65" s="15"/>
    </row>
    <row r="66" spans="1:9" ht="18.75" customHeight="1">
      <c r="A66" s="4"/>
      <c r="B66" s="199" t="s">
        <v>168</v>
      </c>
      <c r="C66" s="200"/>
      <c r="D66" s="200"/>
      <c r="E66" s="200"/>
      <c r="F66" s="200"/>
      <c r="G66" s="200"/>
      <c r="H66" s="200"/>
      <c r="I66" s="201"/>
    </row>
    <row r="67" spans="1:9" ht="18.75" customHeight="1">
      <c r="A67" s="4"/>
      <c r="B67" s="202"/>
      <c r="C67" s="203"/>
      <c r="D67" s="203"/>
      <c r="E67" s="203"/>
      <c r="F67" s="203"/>
      <c r="G67" s="203"/>
      <c r="H67" s="203"/>
      <c r="I67" s="204"/>
    </row>
    <row r="68" spans="1:9" ht="18.75" customHeight="1">
      <c r="A68" s="4"/>
      <c r="B68" s="202"/>
      <c r="C68" s="203"/>
      <c r="D68" s="203"/>
      <c r="E68" s="203"/>
      <c r="F68" s="203"/>
      <c r="G68" s="203"/>
      <c r="H68" s="203"/>
      <c r="I68" s="204"/>
    </row>
    <row r="69" spans="1:9" ht="18.75" customHeight="1">
      <c r="A69" s="4"/>
      <c r="B69" s="202"/>
      <c r="C69" s="203"/>
      <c r="D69" s="203"/>
      <c r="E69" s="203"/>
      <c r="F69" s="203"/>
      <c r="G69" s="203"/>
      <c r="H69" s="203"/>
      <c r="I69" s="204"/>
    </row>
    <row r="70" spans="1:9" ht="18.75" customHeight="1">
      <c r="A70" s="4"/>
      <c r="B70" s="202"/>
      <c r="C70" s="203"/>
      <c r="D70" s="203"/>
      <c r="E70" s="203"/>
      <c r="F70" s="203"/>
      <c r="G70" s="203"/>
      <c r="H70" s="203"/>
      <c r="I70" s="204"/>
    </row>
    <row r="71" spans="1:9" ht="18.75" customHeight="1">
      <c r="A71" s="4"/>
      <c r="B71" s="202"/>
      <c r="C71" s="203"/>
      <c r="D71" s="203"/>
      <c r="E71" s="203"/>
      <c r="F71" s="203"/>
      <c r="G71" s="203"/>
      <c r="H71" s="203"/>
      <c r="I71" s="204"/>
    </row>
    <row r="72" spans="1:9" ht="18.75" customHeight="1">
      <c r="A72" s="4"/>
      <c r="B72" s="202"/>
      <c r="C72" s="203"/>
      <c r="D72" s="203"/>
      <c r="E72" s="203"/>
      <c r="F72" s="203"/>
      <c r="G72" s="203"/>
      <c r="H72" s="203"/>
      <c r="I72" s="204"/>
    </row>
    <row r="73" spans="1:9" ht="18.75" customHeight="1">
      <c r="A73" s="4"/>
      <c r="B73" s="202"/>
      <c r="C73" s="203"/>
      <c r="D73" s="203"/>
      <c r="E73" s="203"/>
      <c r="F73" s="203"/>
      <c r="G73" s="203"/>
      <c r="H73" s="203"/>
      <c r="I73" s="204"/>
    </row>
    <row r="74" spans="1:9" ht="18.75" customHeight="1">
      <c r="A74" s="4"/>
      <c r="B74" s="202"/>
      <c r="C74" s="203"/>
      <c r="D74" s="203"/>
      <c r="E74" s="203"/>
      <c r="F74" s="203"/>
      <c r="G74" s="203"/>
      <c r="H74" s="203"/>
      <c r="I74" s="204"/>
    </row>
    <row r="75" spans="1:9" ht="18.75" customHeight="1">
      <c r="A75" s="4"/>
      <c r="B75" s="202"/>
      <c r="C75" s="203"/>
      <c r="D75" s="203"/>
      <c r="E75" s="203"/>
      <c r="F75" s="203"/>
      <c r="G75" s="203"/>
      <c r="H75" s="203"/>
      <c r="I75" s="204"/>
    </row>
    <row r="76" spans="1:9" ht="18.75" customHeight="1">
      <c r="A76" s="4"/>
      <c r="B76" s="202"/>
      <c r="C76" s="203"/>
      <c r="D76" s="203"/>
      <c r="E76" s="203"/>
      <c r="F76" s="203"/>
      <c r="G76" s="203"/>
      <c r="H76" s="203"/>
      <c r="I76" s="204"/>
    </row>
    <row r="77" spans="1:9" ht="18.75" customHeight="1">
      <c r="A77" s="4"/>
      <c r="B77" s="205"/>
      <c r="C77" s="206"/>
      <c r="D77" s="206"/>
      <c r="E77" s="206"/>
      <c r="F77" s="206"/>
      <c r="G77" s="206"/>
      <c r="H77" s="206"/>
      <c r="I77" s="207"/>
    </row>
    <row r="78" spans="1:9" ht="7.5" customHeight="1">
      <c r="A78" s="4"/>
      <c r="B78" s="4"/>
      <c r="C78" s="4"/>
      <c r="D78" s="4"/>
      <c r="E78" s="4"/>
      <c r="F78" s="4"/>
      <c r="G78" s="4"/>
      <c r="H78" s="4"/>
      <c r="I78" s="4"/>
    </row>
    <row r="79" spans="1:9" ht="18.75" customHeight="1">
      <c r="A79" s="1" t="s">
        <v>11</v>
      </c>
      <c r="B79" s="1" t="s">
        <v>40</v>
      </c>
    </row>
    <row r="80" spans="1:9" ht="18.75" customHeight="1">
      <c r="A80" s="1"/>
      <c r="B80" s="199" t="s">
        <v>169</v>
      </c>
      <c r="C80" s="200"/>
      <c r="D80" s="200"/>
      <c r="E80" s="200"/>
      <c r="F80" s="200"/>
      <c r="G80" s="200"/>
      <c r="H80" s="200"/>
      <c r="I80" s="208"/>
    </row>
    <row r="81" spans="1:9" ht="18.75" customHeight="1">
      <c r="A81" s="1"/>
      <c r="B81" s="209"/>
      <c r="C81" s="210"/>
      <c r="D81" s="210"/>
      <c r="E81" s="210"/>
      <c r="F81" s="210"/>
      <c r="G81" s="210"/>
      <c r="H81" s="210"/>
      <c r="I81" s="211"/>
    </row>
    <row r="82" spans="1:9" ht="18.75" customHeight="1">
      <c r="A82" s="1"/>
      <c r="B82" s="209"/>
      <c r="C82" s="210"/>
      <c r="D82" s="210"/>
      <c r="E82" s="210"/>
      <c r="F82" s="210"/>
      <c r="G82" s="210"/>
      <c r="H82" s="210"/>
      <c r="I82" s="211"/>
    </row>
    <row r="83" spans="1:9" ht="18.75" customHeight="1">
      <c r="A83" s="1"/>
      <c r="B83" s="209"/>
      <c r="C83" s="210"/>
      <c r="D83" s="210"/>
      <c r="E83" s="210"/>
      <c r="F83" s="210"/>
      <c r="G83" s="210"/>
      <c r="H83" s="210"/>
      <c r="I83" s="211"/>
    </row>
    <row r="84" spans="1:9" ht="18.75" customHeight="1">
      <c r="A84" s="1"/>
      <c r="B84" s="209"/>
      <c r="C84" s="210"/>
      <c r="D84" s="210"/>
      <c r="E84" s="210"/>
      <c r="F84" s="210"/>
      <c r="G84" s="210"/>
      <c r="H84" s="210"/>
      <c r="I84" s="211"/>
    </row>
    <row r="85" spans="1:9" ht="18.75" customHeight="1">
      <c r="A85" s="1"/>
      <c r="B85" s="209"/>
      <c r="C85" s="210"/>
      <c r="D85" s="210"/>
      <c r="E85" s="210"/>
      <c r="F85" s="210"/>
      <c r="G85" s="210"/>
      <c r="H85" s="210"/>
      <c r="I85" s="211"/>
    </row>
    <row r="86" spans="1:9" ht="18.75" customHeight="1">
      <c r="A86" s="1"/>
      <c r="B86" s="209"/>
      <c r="C86" s="210"/>
      <c r="D86" s="210"/>
      <c r="E86" s="210"/>
      <c r="F86" s="210"/>
      <c r="G86" s="210"/>
      <c r="H86" s="210"/>
      <c r="I86" s="211"/>
    </row>
    <row r="87" spans="1:9" ht="18.75" customHeight="1">
      <c r="A87" s="1"/>
      <c r="B87" s="209"/>
      <c r="C87" s="210"/>
      <c r="D87" s="210"/>
      <c r="E87" s="210"/>
      <c r="F87" s="210"/>
      <c r="G87" s="210"/>
      <c r="H87" s="210"/>
      <c r="I87" s="211"/>
    </row>
    <row r="88" spans="1:9" ht="18.75" customHeight="1">
      <c r="A88" s="1"/>
      <c r="B88" s="209"/>
      <c r="C88" s="210"/>
      <c r="D88" s="210"/>
      <c r="E88" s="210"/>
      <c r="F88" s="210"/>
      <c r="G88" s="210"/>
      <c r="H88" s="210"/>
      <c r="I88" s="211"/>
    </row>
    <row r="89" spans="1:9" ht="18.75" customHeight="1">
      <c r="A89" s="1"/>
      <c r="B89" s="209"/>
      <c r="C89" s="210"/>
      <c r="D89" s="210"/>
      <c r="E89" s="210"/>
      <c r="F89" s="210"/>
      <c r="G89" s="210"/>
      <c r="H89" s="210"/>
      <c r="I89" s="211"/>
    </row>
    <row r="90" spans="1:9" ht="18.75" customHeight="1">
      <c r="A90" s="4"/>
      <c r="B90" s="209"/>
      <c r="C90" s="210"/>
      <c r="D90" s="210"/>
      <c r="E90" s="210"/>
      <c r="F90" s="210"/>
      <c r="G90" s="210"/>
      <c r="H90" s="210"/>
      <c r="I90" s="211"/>
    </row>
    <row r="91" spans="1:9" ht="18.75" customHeight="1">
      <c r="A91" s="4"/>
      <c r="B91" s="212"/>
      <c r="C91" s="213"/>
      <c r="D91" s="213"/>
      <c r="E91" s="213"/>
      <c r="F91" s="213"/>
      <c r="G91" s="213"/>
      <c r="H91" s="213"/>
      <c r="I91" s="214"/>
    </row>
    <row r="92" spans="1:9" ht="7.5" customHeight="1">
      <c r="A92" s="4"/>
      <c r="B92" s="4"/>
      <c r="C92" s="4"/>
      <c r="D92" s="4"/>
      <c r="E92" s="4"/>
      <c r="F92" s="4"/>
      <c r="G92" s="4"/>
      <c r="H92" s="4"/>
      <c r="I92" s="4"/>
    </row>
    <row r="93" spans="1:9" ht="18.75" customHeight="1">
      <c r="A93" s="1" t="s">
        <v>43</v>
      </c>
      <c r="B93" s="1" t="s">
        <v>12</v>
      </c>
    </row>
    <row r="94" spans="1:9" ht="18.75" customHeight="1">
      <c r="A94" s="1"/>
      <c r="B94" s="226" t="s">
        <v>173</v>
      </c>
      <c r="C94" s="227"/>
      <c r="D94" s="227"/>
      <c r="E94" s="227"/>
      <c r="F94" s="227"/>
      <c r="G94" s="227"/>
      <c r="H94" s="227"/>
      <c r="I94" s="228"/>
    </row>
    <row r="95" spans="1:9" ht="18.75" customHeight="1">
      <c r="A95" s="1"/>
      <c r="B95" s="229"/>
      <c r="C95" s="230"/>
      <c r="D95" s="230"/>
      <c r="E95" s="230"/>
      <c r="F95" s="230"/>
      <c r="G95" s="230"/>
      <c r="H95" s="230"/>
      <c r="I95" s="231"/>
    </row>
    <row r="96" spans="1:9" ht="18.75" customHeight="1">
      <c r="A96" s="1"/>
      <c r="B96" s="229"/>
      <c r="C96" s="230"/>
      <c r="D96" s="230"/>
      <c r="E96" s="230"/>
      <c r="F96" s="230"/>
      <c r="G96" s="230"/>
      <c r="H96" s="230"/>
      <c r="I96" s="231"/>
    </row>
    <row r="97" spans="1:9" ht="18.75" customHeight="1">
      <c r="A97" s="1"/>
      <c r="B97" s="229"/>
      <c r="C97" s="230"/>
      <c r="D97" s="230"/>
      <c r="E97" s="230"/>
      <c r="F97" s="230"/>
      <c r="G97" s="230"/>
      <c r="H97" s="230"/>
      <c r="I97" s="231"/>
    </row>
    <row r="98" spans="1:9" ht="18.75" customHeight="1">
      <c r="A98" s="1"/>
      <c r="B98" s="229"/>
      <c r="C98" s="230"/>
      <c r="D98" s="230"/>
      <c r="E98" s="230"/>
      <c r="F98" s="230"/>
      <c r="G98" s="230"/>
      <c r="H98" s="230"/>
      <c r="I98" s="231"/>
    </row>
    <row r="99" spans="1:9" ht="18.75" customHeight="1">
      <c r="A99" s="1"/>
      <c r="B99" s="229"/>
      <c r="C99" s="230"/>
      <c r="D99" s="230"/>
      <c r="E99" s="230"/>
      <c r="F99" s="230"/>
      <c r="G99" s="230"/>
      <c r="H99" s="230"/>
      <c r="I99" s="231"/>
    </row>
    <row r="100" spans="1:9" ht="18.75" customHeight="1">
      <c r="A100" s="1"/>
      <c r="B100" s="229"/>
      <c r="C100" s="230"/>
      <c r="D100" s="230"/>
      <c r="E100" s="230"/>
      <c r="F100" s="230"/>
      <c r="G100" s="230"/>
      <c r="H100" s="230"/>
      <c r="I100" s="231"/>
    </row>
    <row r="101" spans="1:9" ht="18.75" customHeight="1">
      <c r="A101" s="1"/>
      <c r="B101" s="229"/>
      <c r="C101" s="230"/>
      <c r="D101" s="230"/>
      <c r="E101" s="230"/>
      <c r="F101" s="230"/>
      <c r="G101" s="230"/>
      <c r="H101" s="230"/>
      <c r="I101" s="231"/>
    </row>
    <row r="102" spans="1:9" ht="18.75" customHeight="1">
      <c r="A102" s="1"/>
      <c r="B102" s="229"/>
      <c r="C102" s="230"/>
      <c r="D102" s="230"/>
      <c r="E102" s="230"/>
      <c r="F102" s="230"/>
      <c r="G102" s="230"/>
      <c r="H102" s="230"/>
      <c r="I102" s="231"/>
    </row>
    <row r="103" spans="1:9" ht="18.75" customHeight="1">
      <c r="A103" s="1"/>
      <c r="B103" s="229"/>
      <c r="C103" s="230"/>
      <c r="D103" s="230"/>
      <c r="E103" s="230"/>
      <c r="F103" s="230"/>
      <c r="G103" s="230"/>
      <c r="H103" s="230"/>
      <c r="I103" s="231"/>
    </row>
    <row r="104" spans="1:9" ht="18.75" customHeight="1">
      <c r="A104" s="1"/>
      <c r="B104" s="229"/>
      <c r="C104" s="230"/>
      <c r="D104" s="230"/>
      <c r="E104" s="230"/>
      <c r="F104" s="230"/>
      <c r="G104" s="230"/>
      <c r="H104" s="230"/>
      <c r="I104" s="231"/>
    </row>
    <row r="105" spans="1:9" ht="18.75" customHeight="1">
      <c r="A105" s="4"/>
      <c r="B105" s="232"/>
      <c r="C105" s="233"/>
      <c r="D105" s="233"/>
      <c r="E105" s="233"/>
      <c r="F105" s="233"/>
      <c r="G105" s="233"/>
      <c r="H105" s="233"/>
      <c r="I105" s="234"/>
    </row>
    <row r="106" spans="1:9" ht="7.5" customHeight="1">
      <c r="A106" s="4"/>
      <c r="B106" s="4"/>
      <c r="C106" s="4"/>
      <c r="D106" s="4"/>
      <c r="E106" s="4"/>
      <c r="F106" s="4"/>
      <c r="G106" s="4"/>
      <c r="H106" s="4"/>
      <c r="I106" s="4"/>
    </row>
    <row r="107" spans="1:9" ht="18.75" customHeight="1">
      <c r="A107" s="1" t="s">
        <v>29</v>
      </c>
      <c r="B107" s="235" t="s">
        <v>45</v>
      </c>
      <c r="C107" s="235"/>
      <c r="D107" s="235"/>
      <c r="E107" s="235"/>
      <c r="F107" s="235"/>
      <c r="G107" s="235"/>
      <c r="H107" s="235"/>
      <c r="I107" s="235"/>
    </row>
    <row r="108" spans="1:9" ht="18.75" customHeight="1">
      <c r="A108" s="4"/>
      <c r="B108" s="226" t="s">
        <v>174</v>
      </c>
      <c r="C108" s="227"/>
      <c r="D108" s="227"/>
      <c r="E108" s="227"/>
      <c r="F108" s="227"/>
      <c r="G108" s="227"/>
      <c r="H108" s="227"/>
      <c r="I108" s="228"/>
    </row>
    <row r="109" spans="1:9" ht="18.75" customHeight="1">
      <c r="A109" s="4"/>
      <c r="B109" s="229"/>
      <c r="C109" s="230"/>
      <c r="D109" s="230"/>
      <c r="E109" s="230"/>
      <c r="F109" s="230"/>
      <c r="G109" s="230"/>
      <c r="H109" s="230"/>
      <c r="I109" s="231"/>
    </row>
    <row r="110" spans="1:9" ht="18.75" customHeight="1">
      <c r="A110" s="4"/>
      <c r="B110" s="229"/>
      <c r="C110" s="230"/>
      <c r="D110" s="230"/>
      <c r="E110" s="230"/>
      <c r="F110" s="230"/>
      <c r="G110" s="230"/>
      <c r="H110" s="230"/>
      <c r="I110" s="231"/>
    </row>
    <row r="111" spans="1:9" ht="18.75" customHeight="1">
      <c r="A111" s="4"/>
      <c r="B111" s="229"/>
      <c r="C111" s="230"/>
      <c r="D111" s="230"/>
      <c r="E111" s="230"/>
      <c r="F111" s="230"/>
      <c r="G111" s="230"/>
      <c r="H111" s="230"/>
      <c r="I111" s="231"/>
    </row>
    <row r="112" spans="1:9" ht="18.75" customHeight="1">
      <c r="A112" s="4"/>
      <c r="B112" s="229"/>
      <c r="C112" s="230"/>
      <c r="D112" s="230"/>
      <c r="E112" s="230"/>
      <c r="F112" s="230"/>
      <c r="G112" s="230"/>
      <c r="H112" s="230"/>
      <c r="I112" s="231"/>
    </row>
    <row r="113" spans="1:9" ht="18.75" customHeight="1">
      <c r="A113" s="4"/>
      <c r="B113" s="229"/>
      <c r="C113" s="230"/>
      <c r="D113" s="230"/>
      <c r="E113" s="230"/>
      <c r="F113" s="230"/>
      <c r="G113" s="230"/>
      <c r="H113" s="230"/>
      <c r="I113" s="231"/>
    </row>
    <row r="114" spans="1:9" ht="18.75" customHeight="1">
      <c r="A114" s="4"/>
      <c r="B114" s="229"/>
      <c r="C114" s="230"/>
      <c r="D114" s="230"/>
      <c r="E114" s="230"/>
      <c r="F114" s="230"/>
      <c r="G114" s="230"/>
      <c r="H114" s="230"/>
      <c r="I114" s="231"/>
    </row>
    <row r="115" spans="1:9" ht="18.75" customHeight="1">
      <c r="A115" s="4"/>
      <c r="B115" s="229"/>
      <c r="C115" s="230"/>
      <c r="D115" s="230"/>
      <c r="E115" s="230"/>
      <c r="F115" s="230"/>
      <c r="G115" s="230"/>
      <c r="H115" s="230"/>
      <c r="I115" s="231"/>
    </row>
    <row r="116" spans="1:9" ht="18.75" customHeight="1">
      <c r="A116" s="4"/>
      <c r="B116" s="229"/>
      <c r="C116" s="230"/>
      <c r="D116" s="230"/>
      <c r="E116" s="230"/>
      <c r="F116" s="230"/>
      <c r="G116" s="230"/>
      <c r="H116" s="230"/>
      <c r="I116" s="231"/>
    </row>
    <row r="117" spans="1:9" ht="18.75" customHeight="1">
      <c r="A117" s="4"/>
      <c r="B117" s="229"/>
      <c r="C117" s="230"/>
      <c r="D117" s="230"/>
      <c r="E117" s="230"/>
      <c r="F117" s="230"/>
      <c r="G117" s="230"/>
      <c r="H117" s="230"/>
      <c r="I117" s="231"/>
    </row>
    <row r="118" spans="1:9" ht="18.75" customHeight="1">
      <c r="A118" s="4"/>
      <c r="B118" s="229"/>
      <c r="C118" s="230"/>
      <c r="D118" s="230"/>
      <c r="E118" s="230"/>
      <c r="F118" s="230"/>
      <c r="G118" s="230"/>
      <c r="H118" s="230"/>
      <c r="I118" s="231"/>
    </row>
    <row r="119" spans="1:9" ht="18.75" customHeight="1">
      <c r="A119" s="4"/>
      <c r="B119" s="232"/>
      <c r="C119" s="233"/>
      <c r="D119" s="233"/>
      <c r="E119" s="233"/>
      <c r="F119" s="233"/>
      <c r="G119" s="233"/>
      <c r="H119" s="233"/>
      <c r="I119" s="234"/>
    </row>
    <row r="120" spans="1:9" ht="7.5" customHeight="1">
      <c r="A120" s="4"/>
      <c r="B120" s="46"/>
      <c r="C120" s="46"/>
      <c r="D120" s="46"/>
      <c r="E120" s="46"/>
      <c r="F120" s="46"/>
      <c r="G120" s="46"/>
      <c r="H120" s="46"/>
      <c r="I120" s="46"/>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2" zoomScale="90" zoomScaleNormal="100" zoomScaleSheetLayoutView="90" workbookViewId="0">
      <selection activeCell="K22" sqref="K22"/>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70</v>
      </c>
      <c r="I1" s="34" t="s">
        <v>104</v>
      </c>
    </row>
    <row r="2" spans="1:9" ht="18.75" customHeight="1">
      <c r="H2" s="34" t="s">
        <v>108</v>
      </c>
      <c r="I2" s="33" t="str">
        <f>'様式１-３　プログラムを構成する授業科目'!C2</f>
        <v>金沢学院大学</v>
      </c>
    </row>
    <row r="3" spans="1:9" ht="18.75" customHeight="1">
      <c r="A3" s="162" t="s">
        <v>27</v>
      </c>
      <c r="B3" s="162"/>
      <c r="C3" s="162"/>
      <c r="D3" s="162"/>
      <c r="E3" s="162"/>
      <c r="F3" s="162"/>
      <c r="G3" s="162"/>
      <c r="H3" s="162"/>
      <c r="I3" s="162"/>
    </row>
    <row r="4" spans="1:9" ht="18.75" customHeight="1">
      <c r="A4" s="5"/>
      <c r="B4" s="5"/>
      <c r="C4" s="5"/>
      <c r="D4" s="5"/>
      <c r="E4" s="5"/>
      <c r="F4" s="5"/>
      <c r="G4" s="5"/>
      <c r="H4" s="5"/>
      <c r="I4" s="5"/>
    </row>
    <row r="5" spans="1:9" ht="18.75" customHeight="1">
      <c r="A5" s="1" t="s">
        <v>0</v>
      </c>
      <c r="B5" s="10" t="s">
        <v>94</v>
      </c>
      <c r="C5" s="5"/>
      <c r="D5" s="5"/>
      <c r="E5" s="5"/>
      <c r="F5" s="5"/>
      <c r="G5" s="5"/>
      <c r="H5" s="5"/>
      <c r="I5" s="5"/>
    </row>
    <row r="6" spans="1:9" ht="26.25" customHeight="1">
      <c r="A6" s="5"/>
      <c r="B6" s="244" t="s">
        <v>145</v>
      </c>
      <c r="C6" s="272"/>
      <c r="D6" s="272"/>
      <c r="E6" s="272"/>
      <c r="F6" s="272"/>
      <c r="G6" s="272"/>
      <c r="H6" s="273"/>
      <c r="I6" s="3"/>
    </row>
    <row r="7" spans="1:9" ht="9" customHeight="1">
      <c r="A7" s="5"/>
      <c r="B7" s="10"/>
      <c r="C7" s="10"/>
      <c r="D7" s="10"/>
      <c r="E7" s="10"/>
      <c r="F7" s="10"/>
      <c r="G7" s="10"/>
      <c r="H7" s="10"/>
      <c r="I7" s="3"/>
    </row>
    <row r="8" spans="1:9" ht="18.75" customHeight="1">
      <c r="A8" s="5"/>
      <c r="B8" s="3"/>
      <c r="C8" s="3"/>
      <c r="D8" s="34" t="s">
        <v>42</v>
      </c>
      <c r="E8" s="35" t="s">
        <v>146</v>
      </c>
      <c r="F8" s="3"/>
      <c r="G8" s="34" t="s">
        <v>10</v>
      </c>
      <c r="H8" s="35" t="s">
        <v>147</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35" t="s">
        <v>23</v>
      </c>
      <c r="C11" s="116"/>
      <c r="D11" s="117"/>
      <c r="E11" s="116" t="s">
        <v>25</v>
      </c>
      <c r="F11" s="116"/>
      <c r="G11" s="116"/>
      <c r="H11" s="116"/>
      <c r="I11" s="117"/>
    </row>
    <row r="12" spans="1:9" ht="26.25" customHeight="1">
      <c r="B12" s="48" t="s">
        <v>13</v>
      </c>
      <c r="C12" s="55"/>
      <c r="D12" s="49"/>
      <c r="E12" s="56"/>
      <c r="F12" s="56"/>
      <c r="G12" s="56"/>
      <c r="H12" s="56"/>
      <c r="I12" s="49"/>
    </row>
    <row r="13" spans="1:9" ht="210.75" customHeight="1">
      <c r="B13" s="50"/>
      <c r="C13" s="255" t="s">
        <v>14</v>
      </c>
      <c r="D13" s="256"/>
      <c r="E13" s="268" t="s">
        <v>171</v>
      </c>
      <c r="F13" s="257"/>
      <c r="G13" s="257"/>
      <c r="H13" s="257"/>
      <c r="I13" s="258"/>
    </row>
    <row r="14" spans="1:9" ht="210.75" customHeight="1">
      <c r="B14" s="50"/>
      <c r="C14" s="270" t="s">
        <v>15</v>
      </c>
      <c r="D14" s="271"/>
      <c r="E14" s="268" t="s">
        <v>172</v>
      </c>
      <c r="F14" s="257"/>
      <c r="G14" s="257"/>
      <c r="H14" s="257"/>
      <c r="I14" s="258"/>
    </row>
    <row r="15" spans="1:9" ht="210.75" customHeight="1">
      <c r="B15" s="50"/>
      <c r="C15" s="255" t="s">
        <v>16</v>
      </c>
      <c r="D15" s="256"/>
      <c r="E15" s="268" t="s">
        <v>152</v>
      </c>
      <c r="F15" s="257"/>
      <c r="G15" s="257"/>
      <c r="H15" s="257"/>
      <c r="I15" s="258"/>
    </row>
    <row r="16" spans="1:9" ht="210.75" customHeight="1">
      <c r="B16" s="50"/>
      <c r="C16" s="255" t="s">
        <v>17</v>
      </c>
      <c r="D16" s="256"/>
      <c r="E16" s="268" t="s">
        <v>153</v>
      </c>
      <c r="F16" s="257"/>
      <c r="G16" s="257"/>
      <c r="H16" s="257"/>
      <c r="I16" s="258"/>
    </row>
    <row r="17" spans="2:9" ht="210.75" customHeight="1">
      <c r="B17" s="51"/>
      <c r="C17" s="259" t="s">
        <v>18</v>
      </c>
      <c r="D17" s="260"/>
      <c r="E17" s="269" t="s">
        <v>170</v>
      </c>
      <c r="F17" s="261"/>
      <c r="G17" s="261"/>
      <c r="H17" s="261"/>
      <c r="I17" s="262"/>
    </row>
    <row r="18" spans="2:9" ht="24" customHeight="1">
      <c r="B18" s="48" t="s">
        <v>19</v>
      </c>
      <c r="C18" s="52"/>
      <c r="D18" s="53"/>
      <c r="E18" s="54"/>
      <c r="F18" s="54"/>
      <c r="G18" s="54"/>
      <c r="H18" s="54"/>
      <c r="I18" s="57"/>
    </row>
    <row r="19" spans="2:9" ht="218.25" customHeight="1">
      <c r="B19" s="50"/>
      <c r="C19" s="255" t="s">
        <v>20</v>
      </c>
      <c r="D19" s="256"/>
      <c r="E19" s="257" t="s">
        <v>154</v>
      </c>
      <c r="F19" s="257"/>
      <c r="G19" s="257"/>
      <c r="H19" s="257"/>
      <c r="I19" s="258"/>
    </row>
    <row r="20" spans="2:9" ht="218.25" customHeight="1">
      <c r="B20" s="51"/>
      <c r="C20" s="259" t="s">
        <v>21</v>
      </c>
      <c r="D20" s="260"/>
      <c r="E20" s="261" t="s">
        <v>155</v>
      </c>
      <c r="F20" s="261"/>
      <c r="G20" s="261"/>
      <c r="H20" s="261"/>
      <c r="I20" s="262"/>
    </row>
    <row r="21" spans="2:9" ht="218.25" customHeight="1">
      <c r="B21" s="263" t="s">
        <v>22</v>
      </c>
      <c r="C21" s="264"/>
      <c r="D21" s="265"/>
      <c r="E21" s="266" t="s">
        <v>148</v>
      </c>
      <c r="F21" s="266"/>
      <c r="G21" s="266"/>
      <c r="H21" s="266"/>
      <c r="I21" s="267"/>
    </row>
    <row r="22" spans="2:9" ht="218.25" customHeight="1">
      <c r="B22" s="250" t="s">
        <v>37</v>
      </c>
      <c r="C22" s="251"/>
      <c r="D22" s="252"/>
      <c r="E22" s="253" t="s">
        <v>149</v>
      </c>
      <c r="F22" s="253"/>
      <c r="G22" s="253"/>
      <c r="H22" s="253"/>
      <c r="I22" s="25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様式１-1　プログラムを構成する授業科目</vt:lpstr>
      <vt:lpstr>様式１-2　プログラムを構成する授業科目 </vt:lpstr>
      <vt:lpstr>様式１-３　プログラムを構成する授業科目</vt:lpstr>
      <vt:lpstr>様式１-４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 '!Print_Area</vt:lpstr>
      <vt:lpstr>'様式１-３　プログラムを構成する授業科目'!Print_Area</vt:lpstr>
      <vt:lpstr>'様式１-４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i-yoshida</cp:lastModifiedBy>
  <cp:lastPrinted>2023-07-12T05:01:25Z</cp:lastPrinted>
  <dcterms:created xsi:type="dcterms:W3CDTF">2011-06-14T05:32:50Z</dcterms:created>
  <dcterms:modified xsi:type="dcterms:W3CDTF">2023-07-12T06:59:23Z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