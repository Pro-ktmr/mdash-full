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24226"/>
  <mc:AlternateContent xmlns:mc="http://schemas.openxmlformats.org/markup-compatibility/2006">
    <mc:Choice Requires="x15">
      <x15ac:absPath xmlns:x15ac="http://schemas.microsoft.com/office/spreadsheetml/2010/11/ac" url="P:\教務\総合科目(冠講座)\2023(R5)\99 総合科目・数理・ﾃﾞｰﾀｻｲｴﾝｽ・AI教育(benesse)・文科省申請(2023年度に向けて）\30.リテラシーレベル（申請関係）\c）提出書類\！02.再提出用_2023.7.12\"/>
    </mc:Choice>
  </mc:AlternateContent>
  <xr:revisionPtr revIDLastSave="0" documentId="13_ncr:1_{74B7D358-0FB7-489D-9447-831DCD67E803}" xr6:coauthVersionLast="36" xr6:coauthVersionMax="36" xr10:uidLastSave="{00000000-0000-0000-0000-000000000000}"/>
  <bookViews>
    <workbookView xWindow="-120" yWindow="-120" windowWidth="20736" windowHeight="11160" tabRatio="885" xr2:uid="{00000000-000D-0000-FFFF-FFFF00000000}"/>
  </bookViews>
  <sheets>
    <sheet name="様式１　プログラムを構成する授業科目" sheetId="39" r:id="rId1"/>
    <sheet name="様式２ 履修者等数の実績" sheetId="40" r:id="rId2"/>
    <sheet name="様式3　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'様式3　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AM2" i="40" l="1"/>
  <c r="AO19" i="40"/>
  <c r="AN19" i="40"/>
  <c r="AL19" i="40"/>
  <c r="AK19" i="40"/>
  <c r="AJ19" i="40"/>
  <c r="AI19" i="40"/>
  <c r="AH19" i="40"/>
  <c r="AF19" i="40"/>
  <c r="AE19" i="40"/>
  <c r="AC19" i="40"/>
  <c r="AB19" i="40"/>
  <c r="Z19" i="40"/>
  <c r="Y19" i="40"/>
  <c r="W19" i="40"/>
  <c r="V19" i="40"/>
  <c r="T19" i="40"/>
  <c r="S19" i="40"/>
  <c r="Q19" i="40"/>
  <c r="P19" i="40"/>
  <c r="N19" i="40"/>
  <c r="M19" i="40"/>
  <c r="L19" i="40"/>
  <c r="K19" i="40"/>
  <c r="J19" i="40"/>
  <c r="H19" i="40"/>
  <c r="G19" i="40"/>
  <c r="D19" i="40"/>
  <c r="C19" i="40"/>
  <c r="AM18" i="40"/>
  <c r="AJ18" i="40"/>
  <c r="AG18" i="40"/>
  <c r="AD18" i="40"/>
  <c r="AA18" i="40"/>
  <c r="X18" i="40"/>
  <c r="U18" i="40"/>
  <c r="R18" i="40"/>
  <c r="O18" i="40"/>
  <c r="L18" i="40"/>
  <c r="I18" i="40"/>
  <c r="F18" i="40"/>
  <c r="AP18" i="40" s="1"/>
  <c r="AQ18" i="40" s="1"/>
  <c r="E18" i="40"/>
  <c r="AM15" i="40"/>
  <c r="AJ15" i="40"/>
  <c r="AG15" i="40"/>
  <c r="AD15" i="40"/>
  <c r="AA15" i="40"/>
  <c r="X15" i="40"/>
  <c r="U15" i="40"/>
  <c r="R15" i="40"/>
  <c r="O15" i="40"/>
  <c r="L15" i="40"/>
  <c r="I15" i="40"/>
  <c r="F15" i="40"/>
  <c r="AP15" i="40" s="1"/>
  <c r="AQ15" i="40" s="1"/>
  <c r="E15" i="40"/>
  <c r="AM14" i="40"/>
  <c r="AJ14" i="40"/>
  <c r="AG14" i="40"/>
  <c r="AD14" i="40"/>
  <c r="AA14" i="40"/>
  <c r="X14" i="40"/>
  <c r="U14" i="40"/>
  <c r="R14" i="40"/>
  <c r="O14" i="40"/>
  <c r="L14" i="40"/>
  <c r="I14" i="40"/>
  <c r="F14" i="40"/>
  <c r="AP14" i="40" s="1"/>
  <c r="AQ14" i="40" s="1"/>
  <c r="E14" i="40"/>
  <c r="AP13" i="40"/>
  <c r="AM13" i="40"/>
  <c r="AM19" i="40" s="1"/>
  <c r="AJ13" i="40"/>
  <c r="AG13" i="40"/>
  <c r="AG19" i="40" s="1"/>
  <c r="AD13" i="40"/>
  <c r="AD19" i="40" s="1"/>
  <c r="AA13" i="40"/>
  <c r="AA19" i="40" s="1"/>
  <c r="X13" i="40"/>
  <c r="X19" i="40" s="1"/>
  <c r="U13" i="40"/>
  <c r="U19" i="40" s="1"/>
  <c r="R13" i="40"/>
  <c r="R19" i="40" s="1"/>
  <c r="O13" i="40"/>
  <c r="O19" i="40" s="1"/>
  <c r="L13" i="40"/>
  <c r="I13" i="40"/>
  <c r="I19" i="40" s="1"/>
  <c r="F13" i="40"/>
  <c r="F19" i="40" s="1"/>
  <c r="E13" i="40"/>
  <c r="E19" i="40" s="1"/>
  <c r="AP19" i="40" l="1"/>
  <c r="AQ19" i="40" s="1"/>
  <c r="AQ13" i="40"/>
  <c r="H2" i="41" l="1"/>
  <c r="I2" i="4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tc={1155DAB7-5167-409A-B306-D3B15A309B44}</author>
  </authors>
  <commentList>
    <comment ref="C9" authorId="0" shapeId="0" xr:uid="{E8512FE3-6711-48AE-BF31-DFC4011E1BAF}">
      <text>
        <r>
          <rPr>
            <sz val="11"/>
            <color theme="1"/>
            <rFont val="ＭＳ Ｐゴシック"/>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令和4年5月1日現在の学生数</t>
        </r>
      </text>
    </comment>
  </commentList>
</comments>
</file>

<file path=xl/sharedStrings.xml><?xml version="1.0" encoding="utf-8"?>
<sst xmlns="http://schemas.openxmlformats.org/spreadsheetml/2006/main" count="304" uniqueCount="178">
  <si>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</si>
  <si>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</si>
  <si>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</si>
  <si>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</si>
  <si>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</si>
  <si>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</si>
  <si>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</si>
  <si>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</si>
  <si>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</si>
  <si>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</si>
  <si>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</si>
  <si>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</si>
  <si>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</si>
  <si>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</si>
  <si>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</si>
  <si>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</si>
  <si>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</si>
  <si>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</si>
  <si>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</si>
  <si>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</si>
  <si>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</si>
  <si>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</si>
  <si>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</si>
  <si>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</si>
  <si>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</si>
  <si>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</si>
  <si>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</si>
  <si>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</si>
  <si>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</si>
  <si>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</si>
  <si>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</si>
  <si>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</si>
  <si>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</si>
  <si>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</si>
  <si>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</si>
  <si>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</si>
  <si>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</si>
  <si>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</si>
  <si>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</si>
  <si>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</si>
  <si>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</si>
  <si>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</si>
  <si>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</si>
  <si>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</si>
  <si>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</si>
  <si>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</si>
  <si>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</si>
  <si>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</si>
  <si>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</si>
  <si>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</si>
  <si>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</si>
  <si>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</si>
  <si>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</si>
  <si>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</si>
  <si>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</si>
  <si>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</si>
  <si>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</si>
  <si>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</si>
  <si>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</si>
  <si>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</si>
  <si>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</si>
  <si>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</si>
  <si>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</si>
  <si>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</si>
  <si>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</si>
  <si>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</si>
  <si>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</si>
  <si>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</si>
  <si>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</si>
  <si>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</si>
  <si>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</si>
  <si>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</si>
  <si>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</si>
  <si>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</si>
  <si>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</si>
  <si>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</si>
  <si>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</si>
  <si>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</si>
  <si>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</si>
  <si>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</si>
  <si>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</si>
  <si>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</si>
  <si>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</si>
  <si>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</si>
  <si>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</si>
  <si>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</si>
  <si>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</si>
  <si>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</si>
  <si>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</si>
  <si>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</si>
  <si>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</si>
  <si>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</si>
  <si>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</si>
  <si>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</si>
  <si>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</si>
  <si>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</si>
  <si>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</si>
  <si>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</si>
  <si>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</si>
  <si>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</si>
  <si>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</si>
  <si>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</si>
  <si>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</si>
  <si>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</si>
  <si>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</si>
  <si>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</si>
  <si>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</si>
  <si>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</si>
  <si>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</si>
  <si>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</si>
  <si>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</si>
  <si>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</si>
  <si>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</si>
  <si>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</si>
  <si>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</si>
  <si>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</si>
  <si>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</si>
  <si>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</si>
  <si>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</si>
  <si>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</si>
  <si>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</si>
  <si>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</si>
  <si>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</si>
  <si>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</si>
  <si>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</si>
  <si>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</si>
  <si>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十文字学園女子大学</t>
    <rPh sb="0" eb="9">
      <t>ジュウモンジガクエンジョシダイガク</t>
    </rPh>
    <phoneticPr fontId="1"/>
  </si>
  <si>
    <t>総合科目「はじめてのデータサイエンス」</t>
    <rPh sb="0" eb="4">
      <t>ソウゴウカモク</t>
    </rPh>
    <phoneticPr fontId="1"/>
  </si>
  <si>
    <t>学部・学科によって、修了要件は相違しない</t>
  </si>
  <si>
    <t>人間生活学部　　教育人文学部　社会情報デザイン学部</t>
    <rPh sb="0" eb="6">
      <t>ニンゲンセイカツガクブ</t>
    </rPh>
    <rPh sb="8" eb="14">
      <t>キョウイクジンブンガクブ</t>
    </rPh>
    <rPh sb="15" eb="19">
      <t>シャカイジョウホウ</t>
    </rPh>
    <rPh sb="23" eb="25">
      <t>ガクブ</t>
    </rPh>
    <phoneticPr fontId="1"/>
  </si>
  <si>
    <t>○</t>
  </si>
  <si>
    <t>安達　一寿</t>
    <rPh sb="0" eb="2">
      <t>アダチ</t>
    </rPh>
    <rPh sb="3" eb="5">
      <t>カズヒサ</t>
    </rPh>
    <phoneticPr fontId="1"/>
  </si>
  <si>
    <t>教育担当副学長</t>
    <rPh sb="0" eb="4">
      <t>キョウイクタントウ</t>
    </rPh>
    <rPh sb="4" eb="7">
      <t>フクガクチョウ</t>
    </rPh>
    <phoneticPr fontId="1"/>
  </si>
  <si>
    <t>全学教育推進会議・教務企画委員会・共通教育委員会</t>
    <rPh sb="0" eb="2">
      <t>ゼンガク</t>
    </rPh>
    <rPh sb="2" eb="8">
      <t>キョウイクスイシンカイギ</t>
    </rPh>
    <rPh sb="9" eb="11">
      <t>キョウム</t>
    </rPh>
    <rPh sb="11" eb="13">
      <t>キカク</t>
    </rPh>
    <rPh sb="13" eb="16">
      <t>イインカイ</t>
    </rPh>
    <rPh sb="17" eb="19">
      <t>キョウツウ</t>
    </rPh>
    <rPh sb="19" eb="21">
      <t>キョウイク</t>
    </rPh>
    <rPh sb="21" eb="24">
      <t>イインカイ</t>
    </rPh>
    <phoneticPr fontId="1"/>
  </si>
  <si>
    <t>教育担当副学長</t>
    <rPh sb="0" eb="2">
      <t>キョウイク</t>
    </rPh>
    <rPh sb="2" eb="4">
      <t>タントウ</t>
    </rPh>
    <rPh sb="4" eb="7">
      <t>フクガクチョウ</t>
    </rPh>
    <phoneticPr fontId="1"/>
  </si>
  <si>
    <t>自己点検・評価委員会</t>
    <rPh sb="0" eb="4">
      <t>ジコテンケン</t>
    </rPh>
    <rPh sb="5" eb="7">
      <t>ヒョウカ</t>
    </rPh>
    <rPh sb="7" eb="10">
      <t>イインカイ</t>
    </rPh>
    <phoneticPr fontId="1"/>
  </si>
  <si>
    <t>・AI・データサイエンスの必要性を理解し、説明できるようになる
・社会で活用されているデータ・AI活用の事例について説明できるようになる
・どのような思考方法でデータを扱うかを理解し、説明できるようになる
・データ・AIを扱う上での留意事項を説明できるようになる
・AI・データサイエンスについて自ら学び、活かす姿勢を身に付ける</t>
    <phoneticPr fontId="1"/>
  </si>
  <si>
    <t>・オンライン授業ではあるが、担当教員は本学専任教員が担当しているため、学内ウェブメールで質問を受け付け、回答を行っている。
・質問の多いものについては、総合教育システムにおいてQ＆Aとして掲載をし、他の履修生も確認ができるようにしている。</t>
    <rPh sb="6" eb="8">
      <t>ジュギョウ</t>
    </rPh>
    <rPh sb="14" eb="18">
      <t>タントウキョウイン</t>
    </rPh>
    <rPh sb="19" eb="21">
      <t>ホンガク</t>
    </rPh>
    <rPh sb="21" eb="25">
      <t>センニンキョウイン</t>
    </rPh>
    <rPh sb="26" eb="28">
      <t>タントウ</t>
    </rPh>
    <rPh sb="35" eb="37">
      <t>ガクナイ</t>
    </rPh>
    <rPh sb="44" eb="46">
      <t>シツモン</t>
    </rPh>
    <rPh sb="47" eb="48">
      <t>ウ</t>
    </rPh>
    <rPh sb="49" eb="50">
      <t>ツ</t>
    </rPh>
    <rPh sb="52" eb="54">
      <t>カイトウ</t>
    </rPh>
    <rPh sb="55" eb="56">
      <t>オコナ</t>
    </rPh>
    <rPh sb="63" eb="65">
      <t>シツモン</t>
    </rPh>
    <rPh sb="66" eb="67">
      <t>オオ</t>
    </rPh>
    <rPh sb="76" eb="78">
      <t>ソウゴウ</t>
    </rPh>
    <rPh sb="78" eb="80">
      <t>キョウイク</t>
    </rPh>
    <rPh sb="94" eb="96">
      <t>ケイサイ</t>
    </rPh>
    <rPh sb="99" eb="100">
      <t>タ</t>
    </rPh>
    <rPh sb="101" eb="104">
      <t>リシュウセイ</t>
    </rPh>
    <rPh sb="105" eb="107">
      <t>カクニン</t>
    </rPh>
    <phoneticPr fontId="1"/>
  </si>
  <si>
    <t>志村　二三夫</t>
    <rPh sb="0" eb="2">
      <t>シムラ</t>
    </rPh>
    <rPh sb="3" eb="6">
      <t>フミオ</t>
    </rPh>
    <phoneticPr fontId="1"/>
  </si>
  <si>
    <t>学長</t>
    <rPh sb="0" eb="2">
      <t>ガクチョウ</t>
    </rPh>
    <phoneticPr fontId="1"/>
  </si>
  <si>
    <t>全学教育推進会議規程、企画委員会通則規程、共通教育委員会規程</t>
    <phoneticPr fontId="1"/>
  </si>
  <si>
    <t xml:space="preserve">
</t>
    <phoneticPr fontId="1"/>
  </si>
  <si>
    <t>R6からは全員が履修することを目的とする。</t>
    <rPh sb="5" eb="7">
      <t>ゼンイン</t>
    </rPh>
    <rPh sb="8" eb="10">
      <t>リシュウ</t>
    </rPh>
    <rPh sb="15" eb="17">
      <t>モクテキ</t>
    </rPh>
    <phoneticPr fontId="1"/>
  </si>
  <si>
    <t>・履修開始時、第4回の講座受講時期に相当する中間時期、最終テストの時期に学生に受講に関するアンケートを実施した。特に中間時期に行う第4回のアンケートは4回目のオンライン授業が終了した学生が回答するため、学習がやや遅れ気味の学生にはメールを出し、質問や疑問点の早期発見など案内を行っている。
・各学科の年間の流れがそれぞれ異なるため、前期に行った最終アンケートの中に、「講座の受講をする人へのアドバイス」として、受講を完了し、修得するためのアドバイスを公開している。
・オンライン授業は、授業担当者、サポートをする教務事務担当者も確認することができるようになっている。</t>
    <rPh sb="1" eb="6">
      <t>リシュウカイシジ</t>
    </rPh>
    <rPh sb="7" eb="8">
      <t>ダイ</t>
    </rPh>
    <rPh sb="9" eb="10">
      <t>カイ</t>
    </rPh>
    <rPh sb="11" eb="13">
      <t>コウザ</t>
    </rPh>
    <rPh sb="13" eb="15">
      <t>ジュコウ</t>
    </rPh>
    <rPh sb="15" eb="17">
      <t>ジキ</t>
    </rPh>
    <rPh sb="18" eb="20">
      <t>ソウトウ</t>
    </rPh>
    <rPh sb="22" eb="24">
      <t>チュウカン</t>
    </rPh>
    <rPh sb="24" eb="26">
      <t>ジキ</t>
    </rPh>
    <rPh sb="27" eb="29">
      <t>サイシュウ</t>
    </rPh>
    <rPh sb="33" eb="35">
      <t>ジキ</t>
    </rPh>
    <rPh sb="36" eb="38">
      <t>ガクセイ</t>
    </rPh>
    <rPh sb="39" eb="41">
      <t>ジュコウ</t>
    </rPh>
    <rPh sb="42" eb="43">
      <t>カン</t>
    </rPh>
    <rPh sb="51" eb="53">
      <t>ジッシ</t>
    </rPh>
    <rPh sb="56" eb="57">
      <t>トク</t>
    </rPh>
    <rPh sb="58" eb="60">
      <t>チュウカン</t>
    </rPh>
    <rPh sb="60" eb="62">
      <t>ジキ</t>
    </rPh>
    <rPh sb="63" eb="64">
      <t>オコナ</t>
    </rPh>
    <rPh sb="65" eb="66">
      <t>ダイ</t>
    </rPh>
    <rPh sb="67" eb="68">
      <t>カイ</t>
    </rPh>
    <rPh sb="76" eb="78">
      <t>カイメ</t>
    </rPh>
    <rPh sb="84" eb="86">
      <t>ジュギョウ</t>
    </rPh>
    <rPh sb="87" eb="89">
      <t>シュウリョウ</t>
    </rPh>
    <rPh sb="91" eb="93">
      <t>ガクセイ</t>
    </rPh>
    <rPh sb="94" eb="96">
      <t>カイトウ</t>
    </rPh>
    <rPh sb="101" eb="103">
      <t>ガクシュウ</t>
    </rPh>
    <rPh sb="106" eb="107">
      <t>オク</t>
    </rPh>
    <rPh sb="108" eb="110">
      <t>ギミ</t>
    </rPh>
    <rPh sb="111" eb="113">
      <t>ガクセイ</t>
    </rPh>
    <rPh sb="119" eb="120">
      <t>ダ</t>
    </rPh>
    <rPh sb="122" eb="124">
      <t>シツモン</t>
    </rPh>
    <rPh sb="125" eb="128">
      <t>ギモンテン</t>
    </rPh>
    <rPh sb="129" eb="133">
      <t>ソウキハッケン</t>
    </rPh>
    <rPh sb="135" eb="137">
      <t>アンナイ</t>
    </rPh>
    <rPh sb="138" eb="139">
      <t>オコナ</t>
    </rPh>
    <rPh sb="146" eb="147">
      <t>カク</t>
    </rPh>
    <rPh sb="147" eb="149">
      <t>ガッカ</t>
    </rPh>
    <rPh sb="150" eb="152">
      <t>ネンカン</t>
    </rPh>
    <rPh sb="153" eb="154">
      <t>ナガ</t>
    </rPh>
    <rPh sb="160" eb="161">
      <t>コト</t>
    </rPh>
    <rPh sb="166" eb="168">
      <t>ゼンキ</t>
    </rPh>
    <rPh sb="169" eb="170">
      <t>オコナ</t>
    </rPh>
    <rPh sb="172" eb="174">
      <t>サイシュウ</t>
    </rPh>
    <rPh sb="180" eb="181">
      <t>ナカ</t>
    </rPh>
    <rPh sb="184" eb="186">
      <t>コウザ</t>
    </rPh>
    <rPh sb="187" eb="189">
      <t>ジュコウ</t>
    </rPh>
    <rPh sb="192" eb="193">
      <t>ヒト</t>
    </rPh>
    <rPh sb="205" eb="207">
      <t>ジュコウ</t>
    </rPh>
    <rPh sb="208" eb="210">
      <t>カンリョウ</t>
    </rPh>
    <rPh sb="212" eb="214">
      <t>シュウトク</t>
    </rPh>
    <rPh sb="225" eb="227">
      <t>コウカイ</t>
    </rPh>
    <rPh sb="239" eb="241">
      <t>ジュギョウ</t>
    </rPh>
    <rPh sb="243" eb="248">
      <t>ジュギョウタントウシャ</t>
    </rPh>
    <rPh sb="256" eb="258">
      <t>キョウム</t>
    </rPh>
    <rPh sb="258" eb="263">
      <t>ジムタントウシャ</t>
    </rPh>
    <rPh sb="264" eb="266">
      <t>カクニン</t>
    </rPh>
    <phoneticPr fontId="1"/>
  </si>
  <si>
    <t>授業担当者および教務部において、プログラムの履修・修得状況について、総合教育システムにて履修者数を把握、またオンラインの授業で利用するeラーニングサービス（https://jumonji-elearning.com）での登録状況、進捗状況を把握している。</t>
    <rPh sb="0" eb="5">
      <t>ジュギョウタントウシャ</t>
    </rPh>
    <rPh sb="8" eb="11">
      <t>キョウムブ</t>
    </rPh>
    <rPh sb="22" eb="24">
      <t>リシュウ</t>
    </rPh>
    <rPh sb="25" eb="27">
      <t>シュウトク</t>
    </rPh>
    <rPh sb="27" eb="29">
      <t>ジョウキョウ</t>
    </rPh>
    <rPh sb="34" eb="38">
      <t>ソウゴウキョウイク</t>
    </rPh>
    <rPh sb="44" eb="47">
      <t>リシュウシャ</t>
    </rPh>
    <rPh sb="47" eb="48">
      <t>スウ</t>
    </rPh>
    <rPh sb="49" eb="51">
      <t>ハアク</t>
    </rPh>
    <rPh sb="60" eb="62">
      <t>ジュギョウ</t>
    </rPh>
    <rPh sb="63" eb="65">
      <t>リヨウ</t>
    </rPh>
    <rPh sb="110" eb="114">
      <t>トウロクジョウキョウ</t>
    </rPh>
    <rPh sb="115" eb="119">
      <t>シンチョクジョウキョウ</t>
    </rPh>
    <rPh sb="120" eb="122">
      <t>ハアク</t>
    </rPh>
    <phoneticPr fontId="1"/>
  </si>
  <si>
    <t>総合科目「はじめてのデータサイエンス」で使用するeラーニングサービス（https://jumonji-elearning.com）全15回を視聴・各回で設けられている確認テストに回答する。15回のうち3回分は演習課題の提出がある。
最終対面テストにおいて実施されるテストを受験し、回答率60点以上を合格とする。なお、演習課題については提出状況により加点を行う。</t>
    <rPh sb="0" eb="2">
      <t>ソウゴウ</t>
    </rPh>
    <rPh sb="2" eb="4">
      <t>カモク</t>
    </rPh>
    <rPh sb="20" eb="22">
      <t>シヨウ</t>
    </rPh>
    <rPh sb="65" eb="66">
      <t>ゼン</t>
    </rPh>
    <rPh sb="68" eb="69">
      <t>カイ</t>
    </rPh>
    <rPh sb="70" eb="72">
      <t>シチョウ</t>
    </rPh>
    <rPh sb="73" eb="74">
      <t>カク</t>
    </rPh>
    <rPh sb="74" eb="75">
      <t>カイ</t>
    </rPh>
    <rPh sb="76" eb="77">
      <t>モウ</t>
    </rPh>
    <rPh sb="83" eb="85">
      <t>カクニン</t>
    </rPh>
    <rPh sb="89" eb="91">
      <t>カイトウ</t>
    </rPh>
    <rPh sb="96" eb="97">
      <t>カイ</t>
    </rPh>
    <rPh sb="101" eb="103">
      <t>カイブン</t>
    </rPh>
    <rPh sb="104" eb="108">
      <t>エンシュウカダイ</t>
    </rPh>
    <rPh sb="109" eb="111">
      <t>テイシュツ</t>
    </rPh>
    <rPh sb="116" eb="118">
      <t>サイシュウ</t>
    </rPh>
    <rPh sb="118" eb="120">
      <t>タイメン</t>
    </rPh>
    <rPh sb="127" eb="129">
      <t>ジッシ</t>
    </rPh>
    <rPh sb="136" eb="138">
      <t>ジュケン</t>
    </rPh>
    <rPh sb="140" eb="143">
      <t>カイトウリツ</t>
    </rPh>
    <rPh sb="145" eb="146">
      <t>テン</t>
    </rPh>
    <rPh sb="149" eb="151">
      <t>ゴウカク</t>
    </rPh>
    <rPh sb="158" eb="162">
      <t>エンシュウカダイ</t>
    </rPh>
    <rPh sb="167" eb="169">
      <t>テイシュツ</t>
    </rPh>
    <rPh sb="169" eb="171">
      <t>ジョウキョウ</t>
    </rPh>
    <rPh sb="174" eb="176">
      <t>カテン</t>
    </rPh>
    <rPh sb="177" eb="178">
      <t>オコナ</t>
    </rPh>
    <phoneticPr fontId="1"/>
  </si>
  <si>
    <t>授業担当者及び教務部において実施している、履修者向けのアンケート（全３回）での分析により、講座への興味関心や講座終了後に期待すること（１回目）、講座中間に実施するアンケートにおいてオンライン授業への反応や疑問・質問（２回目）、最終テスト時に行われるアンケートにより理解度や今後への期待感（３回目）を測っている。
また、当該アンケートは授業への改善、評価にも活用している。</t>
    <rPh sb="0" eb="6">
      <t>ジュギョウタントウシャオヨ</t>
    </rPh>
    <rPh sb="7" eb="10">
      <t>キョウムブ</t>
    </rPh>
    <rPh sb="14" eb="16">
      <t>ジッシ</t>
    </rPh>
    <rPh sb="21" eb="24">
      <t>リシュウシャ</t>
    </rPh>
    <rPh sb="24" eb="25">
      <t>ム</t>
    </rPh>
    <rPh sb="33" eb="34">
      <t>ゼン</t>
    </rPh>
    <rPh sb="35" eb="36">
      <t>カイ</t>
    </rPh>
    <rPh sb="39" eb="41">
      <t>ブンセキ</t>
    </rPh>
    <rPh sb="45" eb="47">
      <t>コウザ</t>
    </rPh>
    <rPh sb="49" eb="53">
      <t>キョウミカンシン</t>
    </rPh>
    <rPh sb="54" eb="56">
      <t>コウザ</t>
    </rPh>
    <rPh sb="56" eb="59">
      <t>シュウリョウゴ</t>
    </rPh>
    <rPh sb="60" eb="62">
      <t>キタイ</t>
    </rPh>
    <rPh sb="68" eb="70">
      <t>カイメ</t>
    </rPh>
    <rPh sb="72" eb="74">
      <t>コウザ</t>
    </rPh>
    <rPh sb="74" eb="76">
      <t>チュウカン</t>
    </rPh>
    <rPh sb="77" eb="79">
      <t>ジッシ</t>
    </rPh>
    <rPh sb="95" eb="97">
      <t>ジュギョウ</t>
    </rPh>
    <rPh sb="99" eb="101">
      <t>ハンノウ</t>
    </rPh>
    <rPh sb="102" eb="104">
      <t>ギモン</t>
    </rPh>
    <rPh sb="105" eb="107">
      <t>シツモン</t>
    </rPh>
    <rPh sb="109" eb="111">
      <t>カイメ</t>
    </rPh>
    <rPh sb="113" eb="115">
      <t>サイシュウ</t>
    </rPh>
    <rPh sb="118" eb="119">
      <t>ジ</t>
    </rPh>
    <rPh sb="120" eb="121">
      <t>オコナ</t>
    </rPh>
    <rPh sb="132" eb="135">
      <t>リカイド</t>
    </rPh>
    <rPh sb="136" eb="138">
      <t>コンゴ</t>
    </rPh>
    <rPh sb="140" eb="142">
      <t>キタイ</t>
    </rPh>
    <rPh sb="142" eb="143">
      <t>カン</t>
    </rPh>
    <rPh sb="145" eb="147">
      <t>カイメ</t>
    </rPh>
    <rPh sb="149" eb="150">
      <t>ハカ</t>
    </rPh>
    <rPh sb="159" eb="161">
      <t>トウガイ</t>
    </rPh>
    <rPh sb="167" eb="169">
      <t>ジュギョウ</t>
    </rPh>
    <rPh sb="171" eb="173">
      <t>カイゼン</t>
    </rPh>
    <rPh sb="174" eb="176">
      <t>ヒョウカ</t>
    </rPh>
    <rPh sb="178" eb="180">
      <t>カツヨウ</t>
    </rPh>
    <phoneticPr fontId="1"/>
  </si>
  <si>
    <t xml:space="preserve">卒業生アンケートを実施し、卒業生の進路や活動状況の把握は可能である。共通科目の領域の位置づけだけに、当該科目だけに絞った活動状況を把握するのは難しい。しかし、卒業後の進路先から幅広く活躍の場は広がることは事実である。
令和4年度に履修した4年生（115名）の進路先として、システムエンジニアを選んだ学生が15名おり、他にソフトウエア・インターネット、通信・電気関連の会社へ就職した学生もいた。
</t>
    <rPh sb="0" eb="3">
      <t>ソツギョウセイ</t>
    </rPh>
    <rPh sb="9" eb="11">
      <t>ジッシ</t>
    </rPh>
    <rPh sb="13" eb="16">
      <t>ソツギョウセイ</t>
    </rPh>
    <rPh sb="17" eb="19">
      <t>シンロ</t>
    </rPh>
    <rPh sb="20" eb="24">
      <t>カツドウジョウキョウ</t>
    </rPh>
    <rPh sb="25" eb="27">
      <t>ハアク</t>
    </rPh>
    <rPh sb="28" eb="30">
      <t>カノウ</t>
    </rPh>
    <rPh sb="34" eb="38">
      <t>キョウツウカモク</t>
    </rPh>
    <rPh sb="39" eb="41">
      <t>リョウイキ</t>
    </rPh>
    <rPh sb="42" eb="44">
      <t>イチ</t>
    </rPh>
    <rPh sb="50" eb="54">
      <t>トウガイカモク</t>
    </rPh>
    <rPh sb="57" eb="58">
      <t>シボ</t>
    </rPh>
    <rPh sb="60" eb="62">
      <t>カツドウ</t>
    </rPh>
    <rPh sb="62" eb="64">
      <t>ジョウキョウ</t>
    </rPh>
    <rPh sb="65" eb="67">
      <t>ハアク</t>
    </rPh>
    <rPh sb="71" eb="72">
      <t>ムズカ</t>
    </rPh>
    <rPh sb="79" eb="82">
      <t>ソツギョウゴ</t>
    </rPh>
    <rPh sb="83" eb="86">
      <t>シンロサキ</t>
    </rPh>
    <rPh sb="88" eb="90">
      <t>ハバヒロ</t>
    </rPh>
    <rPh sb="91" eb="93">
      <t>カツヤク</t>
    </rPh>
    <rPh sb="94" eb="95">
      <t>バ</t>
    </rPh>
    <rPh sb="96" eb="97">
      <t>ヒロ</t>
    </rPh>
    <rPh sb="102" eb="104">
      <t>ジジツ</t>
    </rPh>
    <rPh sb="109" eb="111">
      <t>レイワ</t>
    </rPh>
    <rPh sb="112" eb="114">
      <t>ネンド</t>
    </rPh>
    <rPh sb="115" eb="117">
      <t>リシュウ</t>
    </rPh>
    <rPh sb="120" eb="122">
      <t>ネンセイ</t>
    </rPh>
    <rPh sb="126" eb="127">
      <t>メイ</t>
    </rPh>
    <rPh sb="129" eb="132">
      <t>シンロサキ</t>
    </rPh>
    <rPh sb="146" eb="147">
      <t>エラ</t>
    </rPh>
    <rPh sb="149" eb="151">
      <t>ガクセイ</t>
    </rPh>
    <rPh sb="154" eb="155">
      <t>メイ</t>
    </rPh>
    <rPh sb="158" eb="159">
      <t>ホカ</t>
    </rPh>
    <rPh sb="175" eb="177">
      <t>ツウシン</t>
    </rPh>
    <rPh sb="178" eb="180">
      <t>デンキ</t>
    </rPh>
    <rPh sb="180" eb="182">
      <t>カンレン</t>
    </rPh>
    <rPh sb="183" eb="185">
      <t>カイシャ</t>
    </rPh>
    <rPh sb="186" eb="188">
      <t>シュウショク</t>
    </rPh>
    <rPh sb="190" eb="192">
      <t>ガクセイ</t>
    </rPh>
    <phoneticPr fontId="1"/>
  </si>
  <si>
    <t>授業担当者およびeラーニングサービスの開発者とともに、学期ごとに授業内容の検証を行っている。
学生アンケートの結果からも、おおむね内容、オンデマンド上での操作、課題提出に対してもわかりやすいという評価を得ている。学生から質問があった場合は、授業担当者が随時相談に応じ、学生の不安等を解消している。</t>
    <rPh sb="0" eb="2">
      <t>ジュギョウ</t>
    </rPh>
    <rPh sb="2" eb="5">
      <t>タントウシャ</t>
    </rPh>
    <rPh sb="19" eb="22">
      <t>カイハツシャ</t>
    </rPh>
    <rPh sb="27" eb="29">
      <t>ガッキ</t>
    </rPh>
    <rPh sb="32" eb="36">
      <t>ジュギョウナイヨウ</t>
    </rPh>
    <rPh sb="37" eb="39">
      <t>ケンショウ</t>
    </rPh>
    <rPh sb="40" eb="41">
      <t>オコナ</t>
    </rPh>
    <rPh sb="47" eb="49">
      <t>ガクセイ</t>
    </rPh>
    <rPh sb="55" eb="57">
      <t>ケッカ</t>
    </rPh>
    <rPh sb="65" eb="67">
      <t>ナイヨウ</t>
    </rPh>
    <rPh sb="74" eb="75">
      <t>ジョウ</t>
    </rPh>
    <rPh sb="80" eb="82">
      <t>カダイ</t>
    </rPh>
    <rPh sb="82" eb="84">
      <t>テイシュツ</t>
    </rPh>
    <rPh sb="85" eb="86">
      <t>タイ</t>
    </rPh>
    <rPh sb="98" eb="100">
      <t>ヒョウカ</t>
    </rPh>
    <rPh sb="101" eb="102">
      <t>エ</t>
    </rPh>
    <rPh sb="106" eb="108">
      <t>ガクセイ</t>
    </rPh>
    <rPh sb="110" eb="112">
      <t>シツモン</t>
    </rPh>
    <rPh sb="116" eb="118">
      <t>バアイ</t>
    </rPh>
    <rPh sb="120" eb="122">
      <t>ジュギョウ</t>
    </rPh>
    <rPh sb="122" eb="124">
      <t>タントウ</t>
    </rPh>
    <rPh sb="124" eb="125">
      <t>シャ</t>
    </rPh>
    <rPh sb="126" eb="128">
      <t>ズイジ</t>
    </rPh>
    <rPh sb="128" eb="130">
      <t>ソウダン</t>
    </rPh>
    <rPh sb="131" eb="132">
      <t>オウ</t>
    </rPh>
    <rPh sb="134" eb="136">
      <t>ガクセイ</t>
    </rPh>
    <rPh sb="137" eb="140">
      <t>フアントウ</t>
    </rPh>
    <rPh sb="141" eb="143">
      <t>カイショウ</t>
    </rPh>
    <phoneticPr fontId="1"/>
  </si>
  <si>
    <t>事後アンケートの中で、今後この授業を受講する人向けのアドバイスを問う質問がある。オンデマンド型の授業に興味や関心がある学生が多いが、一方で実習や実験、資格取得を目指している学生も多い。そのため、オンデマンド型の授業を取り入れることにはとても理解がある学生が多い。
アンケートでは、学科ごとに自身の経験からどのようにスケジュールを立てながら受講を進めるか、目標を達成できた経験を聞き、それを一覧にして履修生に公開をしている。受講を無事に終えた学生からのアドバイスにより、自分にあった受講計画を練る姿が伺える。
受講を終えたあとのアンケートでも、データサイエンス、AIなどへの関心が深まった、漠然としてた言葉だけを耳に入り受講を進めるうちに理解が深まったと回答している学生が多かった。</t>
    <rPh sb="0" eb="2">
      <t>ジゴ</t>
    </rPh>
    <rPh sb="8" eb="9">
      <t>ナカ</t>
    </rPh>
    <rPh sb="11" eb="13">
      <t>コンゴ</t>
    </rPh>
    <rPh sb="15" eb="17">
      <t>ジュギョウ</t>
    </rPh>
    <rPh sb="18" eb="20">
      <t>ジュコウ</t>
    </rPh>
    <rPh sb="22" eb="24">
      <t>ヒトム</t>
    </rPh>
    <rPh sb="32" eb="33">
      <t>ト</t>
    </rPh>
    <rPh sb="34" eb="36">
      <t>シツモン</t>
    </rPh>
    <rPh sb="46" eb="47">
      <t>ガタ</t>
    </rPh>
    <rPh sb="48" eb="50">
      <t>ジュギョウ</t>
    </rPh>
    <rPh sb="51" eb="53">
      <t>キョウミ</t>
    </rPh>
    <rPh sb="54" eb="56">
      <t>カンシン</t>
    </rPh>
    <rPh sb="59" eb="61">
      <t>ガクセイ</t>
    </rPh>
    <rPh sb="62" eb="63">
      <t>オオ</t>
    </rPh>
    <rPh sb="66" eb="68">
      <t>イッポウ</t>
    </rPh>
    <rPh sb="69" eb="71">
      <t>ジッシュウ</t>
    </rPh>
    <rPh sb="72" eb="74">
      <t>ジッケン</t>
    </rPh>
    <rPh sb="75" eb="79">
      <t>シカクシュトク</t>
    </rPh>
    <rPh sb="80" eb="82">
      <t>メザ</t>
    </rPh>
    <rPh sb="86" eb="88">
      <t>ガクセイ</t>
    </rPh>
    <rPh sb="89" eb="90">
      <t>オオ</t>
    </rPh>
    <rPh sb="103" eb="104">
      <t>ガタ</t>
    </rPh>
    <rPh sb="105" eb="107">
      <t>ジュギョウ</t>
    </rPh>
    <rPh sb="108" eb="109">
      <t>ト</t>
    </rPh>
    <rPh sb="110" eb="111">
      <t>イ</t>
    </rPh>
    <rPh sb="120" eb="122">
      <t>リカイ</t>
    </rPh>
    <rPh sb="125" eb="127">
      <t>ガクセイ</t>
    </rPh>
    <rPh sb="128" eb="129">
      <t>オオ</t>
    </rPh>
    <rPh sb="140" eb="142">
      <t>ガッカ</t>
    </rPh>
    <rPh sb="145" eb="147">
      <t>ジシン</t>
    </rPh>
    <rPh sb="148" eb="150">
      <t>ケイケン</t>
    </rPh>
    <rPh sb="164" eb="165">
      <t>タ</t>
    </rPh>
    <rPh sb="169" eb="171">
      <t>ジュコウ</t>
    </rPh>
    <rPh sb="172" eb="173">
      <t>スス</t>
    </rPh>
    <rPh sb="177" eb="179">
      <t>モクヒョウ</t>
    </rPh>
    <rPh sb="180" eb="182">
      <t>タッセイ</t>
    </rPh>
    <rPh sb="185" eb="187">
      <t>ケイケン</t>
    </rPh>
    <rPh sb="188" eb="189">
      <t>キ</t>
    </rPh>
    <rPh sb="194" eb="196">
      <t>イチラン</t>
    </rPh>
    <rPh sb="199" eb="202">
      <t>リシュウセイ</t>
    </rPh>
    <rPh sb="203" eb="205">
      <t>コウカイ</t>
    </rPh>
    <rPh sb="211" eb="213">
      <t>ジュコウ</t>
    </rPh>
    <rPh sb="214" eb="216">
      <t>ブジ</t>
    </rPh>
    <rPh sb="217" eb="218">
      <t>オ</t>
    </rPh>
    <rPh sb="220" eb="222">
      <t>ガクセイ</t>
    </rPh>
    <rPh sb="234" eb="236">
      <t>ジブン</t>
    </rPh>
    <rPh sb="240" eb="242">
      <t>ジュコウ</t>
    </rPh>
    <rPh sb="242" eb="244">
      <t>ケイカク</t>
    </rPh>
    <rPh sb="245" eb="246">
      <t>ネ</t>
    </rPh>
    <rPh sb="247" eb="248">
      <t>スガタ</t>
    </rPh>
    <rPh sb="249" eb="250">
      <t>ウカガ</t>
    </rPh>
    <rPh sb="254" eb="256">
      <t>ジュコウ</t>
    </rPh>
    <rPh sb="257" eb="258">
      <t>オ</t>
    </rPh>
    <rPh sb="286" eb="288">
      <t>カンシン</t>
    </rPh>
    <rPh sb="289" eb="290">
      <t>フカ</t>
    </rPh>
    <rPh sb="294" eb="296">
      <t>バクゼン</t>
    </rPh>
    <rPh sb="300" eb="302">
      <t>コトバ</t>
    </rPh>
    <rPh sb="305" eb="306">
      <t>ミミ</t>
    </rPh>
    <rPh sb="307" eb="308">
      <t>ハイ</t>
    </rPh>
    <rPh sb="309" eb="311">
      <t>ジュコウ</t>
    </rPh>
    <rPh sb="312" eb="313">
      <t>スス</t>
    </rPh>
    <rPh sb="318" eb="320">
      <t>リカイ</t>
    </rPh>
    <rPh sb="321" eb="322">
      <t>フカ</t>
    </rPh>
    <rPh sb="326" eb="328">
      <t>カイトウ</t>
    </rPh>
    <rPh sb="332" eb="334">
      <t>ガクセイ</t>
    </rPh>
    <rPh sb="335" eb="336">
      <t>オオ</t>
    </rPh>
    <phoneticPr fontId="1"/>
  </si>
  <si>
    <t>総合科目「はじめてのデータサイエンス」は令和4年度前期から開講し、全学対象としてはいるが必修ではなく、社会の流れや新しい考え方を学ぶ共通科目の総合分野に取り入れた。令和5年度は準備期間として引き続き全学対象、選択科目の位置づけとして開講しているが、令和6年度入学生からは、共通科目に「ＩＣＴ・データサイエンス」領域の位置づけとして、全学必修で開講する計画である。授業形態はオンデマンド型で実施することで、データサイエンス、AIなどの素養を身に着け、学生たちの所属する学科の領域での活用を期待している。</t>
    <rPh sb="0" eb="4">
      <t>ソウゴウカモク</t>
    </rPh>
    <rPh sb="20" eb="22">
      <t>レイワ</t>
    </rPh>
    <rPh sb="23" eb="25">
      <t>ネンド</t>
    </rPh>
    <rPh sb="25" eb="27">
      <t>ゼンキ</t>
    </rPh>
    <rPh sb="29" eb="31">
      <t>カイコウ</t>
    </rPh>
    <rPh sb="33" eb="35">
      <t>ゼンガク</t>
    </rPh>
    <rPh sb="35" eb="37">
      <t>タイショウ</t>
    </rPh>
    <rPh sb="44" eb="46">
      <t>ヒッシュウ</t>
    </rPh>
    <rPh sb="51" eb="53">
      <t>シャカイ</t>
    </rPh>
    <rPh sb="54" eb="55">
      <t>ナガ</t>
    </rPh>
    <rPh sb="57" eb="58">
      <t>アタラ</t>
    </rPh>
    <rPh sb="60" eb="61">
      <t>カンガ</t>
    </rPh>
    <rPh sb="62" eb="63">
      <t>カタ</t>
    </rPh>
    <rPh sb="64" eb="65">
      <t>マナ</t>
    </rPh>
    <rPh sb="66" eb="70">
      <t>キョウツウカモク</t>
    </rPh>
    <rPh sb="71" eb="73">
      <t>ソウゴウ</t>
    </rPh>
    <rPh sb="73" eb="75">
      <t>ブンヤ</t>
    </rPh>
    <rPh sb="76" eb="77">
      <t>ト</t>
    </rPh>
    <rPh sb="78" eb="79">
      <t>イ</t>
    </rPh>
    <rPh sb="82" eb="84">
      <t>レイワ</t>
    </rPh>
    <rPh sb="85" eb="87">
      <t>ネンド</t>
    </rPh>
    <rPh sb="88" eb="92">
      <t>ジュンビキカン</t>
    </rPh>
    <rPh sb="95" eb="96">
      <t>ヒ</t>
    </rPh>
    <rPh sb="97" eb="98">
      <t>ツヅ</t>
    </rPh>
    <rPh sb="124" eb="126">
      <t>レイワ</t>
    </rPh>
    <rPh sb="158" eb="160">
      <t>イチ</t>
    </rPh>
    <rPh sb="166" eb="168">
      <t>ゼンガク</t>
    </rPh>
    <rPh sb="168" eb="170">
      <t>ヒッシュウ</t>
    </rPh>
    <rPh sb="171" eb="173">
      <t>カイコウ</t>
    </rPh>
    <rPh sb="175" eb="177">
      <t>ケイカク</t>
    </rPh>
    <rPh sb="181" eb="185">
      <t>ジュギョウケイタイ</t>
    </rPh>
    <rPh sb="192" eb="193">
      <t>ガタ</t>
    </rPh>
    <rPh sb="194" eb="196">
      <t>ジッシ</t>
    </rPh>
    <rPh sb="216" eb="218">
      <t>ソヨウ</t>
    </rPh>
    <rPh sb="219" eb="220">
      <t>ミ</t>
    </rPh>
    <rPh sb="221" eb="222">
      <t>ツ</t>
    </rPh>
    <rPh sb="224" eb="226">
      <t>ガクセイ</t>
    </rPh>
    <rPh sb="229" eb="231">
      <t>ショゾク</t>
    </rPh>
    <rPh sb="233" eb="235">
      <t>ガッカ</t>
    </rPh>
    <rPh sb="236" eb="238">
      <t>リョウイキ</t>
    </rPh>
    <rPh sb="240" eb="242">
      <t>カツヨウ</t>
    </rPh>
    <rPh sb="243" eb="245">
      <t>キタイ</t>
    </rPh>
    <phoneticPr fontId="1"/>
  </si>
  <si>
    <t>本学の外部評価委員会は、産・官・民・学に在職中の方々に委員を依頼している。年に1回行われる外部評価委員会の会議において、授業内容、手法などのご意見をいただいている。</t>
    <rPh sb="0" eb="2">
      <t>ホンガク</t>
    </rPh>
    <rPh sb="3" eb="7">
      <t>ガイブヒョウカ</t>
    </rPh>
    <rPh sb="7" eb="10">
      <t>イインカイ</t>
    </rPh>
    <rPh sb="12" eb="13">
      <t>サン</t>
    </rPh>
    <rPh sb="14" eb="15">
      <t>カン</t>
    </rPh>
    <rPh sb="16" eb="17">
      <t>タミ</t>
    </rPh>
    <rPh sb="18" eb="19">
      <t>ガク</t>
    </rPh>
    <rPh sb="20" eb="23">
      <t>ザイショクチュウ</t>
    </rPh>
    <rPh sb="24" eb="26">
      <t>カタガタ</t>
    </rPh>
    <rPh sb="27" eb="29">
      <t>イイン</t>
    </rPh>
    <rPh sb="30" eb="32">
      <t>イライ</t>
    </rPh>
    <rPh sb="37" eb="38">
      <t>ネン</t>
    </rPh>
    <rPh sb="40" eb="41">
      <t>カイ</t>
    </rPh>
    <rPh sb="41" eb="42">
      <t>オコナ</t>
    </rPh>
    <rPh sb="45" eb="49">
      <t>ガイブヒョウカ</t>
    </rPh>
    <rPh sb="49" eb="52">
      <t>イインカイ</t>
    </rPh>
    <rPh sb="53" eb="55">
      <t>カイギ</t>
    </rPh>
    <rPh sb="60" eb="64">
      <t>ジュギョウナイヨウ</t>
    </rPh>
    <rPh sb="65" eb="67">
      <t>シュホウ</t>
    </rPh>
    <rPh sb="71" eb="73">
      <t>イケン</t>
    </rPh>
    <phoneticPr fontId="1"/>
  </si>
  <si>
    <t xml:space="preserve">全学教育推進会議は、本学の教学マネジメントの確立にあたり、本学の教育活動とその成果について、組織的に適切な点検・評価を行い、学修者本位の学びの実現を図るため、不断の教育改善に取り組む組織である。当会議では、オンデマンド形式において提供される授業形態、内容の議論、成果の検証などを行っている。
教務企画委員会は、全学教育推進会議が定めた基本方針を受けて、その実行、企画をする会議である。その職務の中には、特定の学科に依らない共通教育に関する事項についても取り扱っている。
教務企画委員会の下には共通教育委員会が設けられ、全学共通教育の有り方や共通教育に関して必要な事項について、全学教育推進会議が定めた基本的方針を受け、企画立案、検討等を行う。
</t>
    <rPh sb="62" eb="64">
      <t>ガクシュウ</t>
    </rPh>
    <rPh sb="68" eb="69">
      <t>マナ</t>
    </rPh>
    <rPh sb="156" eb="158">
      <t>ゼンガク</t>
    </rPh>
    <phoneticPr fontId="1"/>
  </si>
  <si>
    <t>目標を実現するために、前期および後期のオリエンテーション期間中に授業担当者による授業内容の説明を行い、その後説明会の動画を一定期間公開している。
オンデマンドで行われる授業形態の提供は、学生が自分の空いた時間、取り組みたい時間を利用し、本講座を受講することができる。そのため、自分の所属する学科専門科目、資格取得のため、時間に拘束される学生にとって、時間にとらわれず受講ができる科目となっている。
また、令和6年度入学生からは、共通科目教育課程にあった「情報処理」領域を「ICT・データサイエンス」領域に変更し、「はじめてのデータサイエンス」という科目名で全学必修、オンデマンド授業で行うため、令和9年度までに100%を目指す計画である。</t>
    <rPh sb="0" eb="2">
      <t>モクヒョウ</t>
    </rPh>
    <rPh sb="3" eb="5">
      <t>ジツゲン</t>
    </rPh>
    <rPh sb="11" eb="13">
      <t>ゼンキ</t>
    </rPh>
    <rPh sb="16" eb="18">
      <t>コウキ</t>
    </rPh>
    <rPh sb="28" eb="31">
      <t>キカンチュウ</t>
    </rPh>
    <rPh sb="32" eb="34">
      <t>ジュギョウ</t>
    </rPh>
    <rPh sb="34" eb="37">
      <t>タントウシャ</t>
    </rPh>
    <rPh sb="40" eb="42">
      <t>ジュギョウ</t>
    </rPh>
    <rPh sb="42" eb="44">
      <t>ナイヨウ</t>
    </rPh>
    <rPh sb="45" eb="47">
      <t>セツメイ</t>
    </rPh>
    <rPh sb="48" eb="49">
      <t>オコナ</t>
    </rPh>
    <rPh sb="53" eb="54">
      <t>ゴ</t>
    </rPh>
    <rPh sb="54" eb="57">
      <t>セツメイカイ</t>
    </rPh>
    <rPh sb="58" eb="60">
      <t>ドウガ</t>
    </rPh>
    <rPh sb="61" eb="65">
      <t>イッテイキカン</t>
    </rPh>
    <rPh sb="65" eb="67">
      <t>コウカイ</t>
    </rPh>
    <rPh sb="80" eb="81">
      <t>オコナ</t>
    </rPh>
    <rPh sb="84" eb="86">
      <t>ジュギョウ</t>
    </rPh>
    <rPh sb="86" eb="88">
      <t>ケイタイ</t>
    </rPh>
    <rPh sb="89" eb="91">
      <t>テイキョウ</t>
    </rPh>
    <rPh sb="93" eb="95">
      <t>ガクセイ</t>
    </rPh>
    <rPh sb="96" eb="98">
      <t>ジブン</t>
    </rPh>
    <rPh sb="99" eb="100">
      <t>ア</t>
    </rPh>
    <rPh sb="102" eb="104">
      <t>ジカン</t>
    </rPh>
    <rPh sb="105" eb="106">
      <t>ト</t>
    </rPh>
    <rPh sb="107" eb="108">
      <t>ク</t>
    </rPh>
    <rPh sb="111" eb="113">
      <t>ジカン</t>
    </rPh>
    <rPh sb="114" eb="116">
      <t>リヨウ</t>
    </rPh>
    <rPh sb="118" eb="119">
      <t>ホン</t>
    </rPh>
    <rPh sb="119" eb="121">
      <t>コウザ</t>
    </rPh>
    <rPh sb="122" eb="124">
      <t>ジュコウ</t>
    </rPh>
    <rPh sb="138" eb="140">
      <t>ジブン</t>
    </rPh>
    <rPh sb="141" eb="143">
      <t>ショゾク</t>
    </rPh>
    <rPh sb="145" eb="151">
      <t>ガッカセンモンカモク</t>
    </rPh>
    <rPh sb="152" eb="156">
      <t>シカクシュトク</t>
    </rPh>
    <rPh sb="160" eb="162">
      <t>ジカン</t>
    </rPh>
    <rPh sb="163" eb="165">
      <t>コウソク</t>
    </rPh>
    <rPh sb="168" eb="170">
      <t>ガクセイ</t>
    </rPh>
    <rPh sb="175" eb="177">
      <t>ジカン</t>
    </rPh>
    <rPh sb="183" eb="185">
      <t>ジュコウ</t>
    </rPh>
    <rPh sb="189" eb="191">
      <t>カモク</t>
    </rPh>
    <rPh sb="203" eb="205">
      <t>レイワ</t>
    </rPh>
    <rPh sb="208" eb="211">
      <t>ニュウガクセイ</t>
    </rPh>
    <rPh sb="215" eb="219">
      <t>キョウツウカモク</t>
    </rPh>
    <rPh sb="219" eb="223">
      <t>キョウイクカテイ</t>
    </rPh>
    <rPh sb="233" eb="235">
      <t>リョウイキ</t>
    </rPh>
    <rPh sb="250" eb="252">
      <t>リョウイキ</t>
    </rPh>
    <rPh sb="253" eb="255">
      <t>ヘンコウ</t>
    </rPh>
    <rPh sb="275" eb="278">
      <t>カモクメイ</t>
    </rPh>
    <rPh sb="281" eb="283">
      <t>ヒッシュウ</t>
    </rPh>
    <rPh sb="290" eb="292">
      <t>ジュギョウ</t>
    </rPh>
    <rPh sb="293" eb="294">
      <t>オコナ</t>
    </rPh>
    <rPh sb="298" eb="300">
      <t>レイワ</t>
    </rPh>
    <rPh sb="301" eb="303">
      <t>ネンド</t>
    </rPh>
    <rPh sb="311" eb="313">
      <t>メザ</t>
    </rPh>
    <phoneticPr fontId="1"/>
  </si>
  <si>
    <t>全授業を通じて事前・中間・事後にて３回アンケートを実施している。オンラインで受講する授業であるため、自分のペースで進めることができる一方、ある程度計画的に進めていかなければ、途中で挫折してしまうこともある。
データサイエンスに対するイメージや興味関心を聞く最初のアンケートから、実際に授業を終えた際に行われたアンケートでも、満足またはやや満足と答えている学生が90％以上と高かった。</t>
    <rPh sb="4" eb="5">
      <t>ツウ</t>
    </rPh>
    <rPh sb="7" eb="9">
      <t>ジゼン</t>
    </rPh>
    <rPh sb="10" eb="12">
      <t>チュウカン</t>
    </rPh>
    <rPh sb="13" eb="15">
      <t>ジゴ</t>
    </rPh>
    <rPh sb="18" eb="19">
      <t>カイ</t>
    </rPh>
    <rPh sb="25" eb="27">
      <t>ジッシ</t>
    </rPh>
    <rPh sb="38" eb="40">
      <t>ジュコウ</t>
    </rPh>
    <rPh sb="42" eb="44">
      <t>ジュギョウ</t>
    </rPh>
    <rPh sb="50" eb="52">
      <t>ジブン</t>
    </rPh>
    <rPh sb="57" eb="58">
      <t>スス</t>
    </rPh>
    <rPh sb="66" eb="68">
      <t>イッポウ</t>
    </rPh>
    <rPh sb="71" eb="73">
      <t>テイド</t>
    </rPh>
    <rPh sb="73" eb="76">
      <t>ケイカクテキ</t>
    </rPh>
    <rPh sb="77" eb="78">
      <t>スス</t>
    </rPh>
    <rPh sb="87" eb="89">
      <t>トチュウ</t>
    </rPh>
    <rPh sb="90" eb="92">
      <t>ザセツ</t>
    </rPh>
    <rPh sb="113" eb="114">
      <t>タイ</t>
    </rPh>
    <rPh sb="121" eb="125">
      <t>キョウミカンシン</t>
    </rPh>
    <rPh sb="126" eb="127">
      <t>キ</t>
    </rPh>
    <rPh sb="128" eb="130">
      <t>サイショ</t>
    </rPh>
    <rPh sb="139" eb="141">
      <t>ジッサイ</t>
    </rPh>
    <rPh sb="142" eb="144">
      <t>ジュギョウ</t>
    </rPh>
    <rPh sb="145" eb="146">
      <t>オ</t>
    </rPh>
    <rPh sb="148" eb="149">
      <t>サイ</t>
    </rPh>
    <rPh sb="150" eb="151">
      <t>オコナ</t>
    </rPh>
    <rPh sb="162" eb="164">
      <t>マンゾク</t>
    </rPh>
    <rPh sb="169" eb="171">
      <t>マンゾク</t>
    </rPh>
    <rPh sb="172" eb="173">
      <t>コタ</t>
    </rPh>
    <rPh sb="177" eb="179">
      <t>ガクセイ</t>
    </rPh>
    <rPh sb="183" eb="185">
      <t>イジョウ</t>
    </rPh>
    <rPh sb="186" eb="187">
      <t>タカ</t>
    </rPh>
    <phoneticPr fontId="1"/>
  </si>
  <si>
    <t>本学が利用しているeラーニングサービスは、モデルカリキュラムに則り作成されているため、学ぶ分野や知識を得ていく順番、教材の操作方法もわかりやすく、学生からの満足度も高い。実際にアンケートを行っても機器操作の使いやすさは80％～90％と回答をしている。
そのようなわかりやすさ、操作の仕方から、受講する楽しさへのつながり、さらに講座内容も学生には魅力的なものとなっている。
年度ごとの社会で起こったデータサイエンスやAIについてのトレンドにも触れるトピックスも用意されており、事後アンケートでは、90%以上の学生が将来に役立つと回答した。</t>
    <rPh sb="0" eb="2">
      <t>ホンガク</t>
    </rPh>
    <rPh sb="3" eb="5">
      <t>リヨウ</t>
    </rPh>
    <rPh sb="31" eb="32">
      <t>ノット</t>
    </rPh>
    <rPh sb="33" eb="35">
      <t>サクセイ</t>
    </rPh>
    <rPh sb="43" eb="44">
      <t>マナ</t>
    </rPh>
    <rPh sb="45" eb="47">
      <t>ブンヤ</t>
    </rPh>
    <rPh sb="48" eb="50">
      <t>チシキ</t>
    </rPh>
    <rPh sb="51" eb="52">
      <t>エ</t>
    </rPh>
    <rPh sb="55" eb="57">
      <t>ジュンバン</t>
    </rPh>
    <rPh sb="58" eb="60">
      <t>キョウザイ</t>
    </rPh>
    <rPh sb="61" eb="63">
      <t>ソウサ</t>
    </rPh>
    <rPh sb="63" eb="65">
      <t>ホウホウ</t>
    </rPh>
    <rPh sb="73" eb="75">
      <t>ガクセイ</t>
    </rPh>
    <rPh sb="78" eb="81">
      <t>マンゾクド</t>
    </rPh>
    <rPh sb="82" eb="83">
      <t>タカ</t>
    </rPh>
    <rPh sb="85" eb="87">
      <t>ジッサイ</t>
    </rPh>
    <rPh sb="94" eb="95">
      <t>オコナ</t>
    </rPh>
    <rPh sb="98" eb="102">
      <t>キキソウサ</t>
    </rPh>
    <rPh sb="103" eb="104">
      <t>ツカ</t>
    </rPh>
    <rPh sb="117" eb="119">
      <t>カイトウ</t>
    </rPh>
    <rPh sb="138" eb="140">
      <t>ソウサ</t>
    </rPh>
    <rPh sb="141" eb="143">
      <t>シカタ</t>
    </rPh>
    <rPh sb="146" eb="148">
      <t>ジュコウ</t>
    </rPh>
    <rPh sb="150" eb="151">
      <t>タノ</t>
    </rPh>
    <rPh sb="163" eb="167">
      <t>コウザナイヨウ</t>
    </rPh>
    <rPh sb="168" eb="170">
      <t>ガクセイ</t>
    </rPh>
    <rPh sb="172" eb="175">
      <t>ミリョクテキ</t>
    </rPh>
    <rPh sb="186" eb="188">
      <t>ネンド</t>
    </rPh>
    <rPh sb="191" eb="193">
      <t>シャカイ</t>
    </rPh>
    <rPh sb="194" eb="195">
      <t>オ</t>
    </rPh>
    <rPh sb="220" eb="221">
      <t>フ</t>
    </rPh>
    <rPh sb="229" eb="231">
      <t>ヨウイ</t>
    </rPh>
    <rPh sb="237" eb="239">
      <t>ジゴ</t>
    </rPh>
    <rPh sb="250" eb="252">
      <t>イジョウ</t>
    </rPh>
    <rPh sb="253" eb="255">
      <t>ガクセイ</t>
    </rPh>
    <rPh sb="256" eb="258">
      <t>ショウライ</t>
    </rPh>
    <rPh sb="259" eb="261">
      <t>ヤクダ</t>
    </rPh>
    <rPh sb="263" eb="265">
      <t>カイトウ</t>
    </rPh>
    <phoneticPr fontId="1"/>
  </si>
  <si>
    <t>令和4</t>
    <rPh sb="0" eb="2">
      <t>レイワ</t>
    </rPh>
    <phoneticPr fontId="1"/>
  </si>
  <si>
    <t>数理・データサイエンス・AI教育プログラム</t>
    <phoneticPr fontId="1"/>
  </si>
  <si>
    <t xml:space="preserve">・ビックデータ、IoT、AI、ロボット（第１回）
・データ量の増加、計算機の処理性能の向上、AIの非連続的進化（第１回）
・第４次産業革命、Society5.0、データ駆動型社会（第２回）
・複数技術を組み合わせたAIサービス（第１回）
・人間の知的活動とAIの関係性（第１回）
</t>
    <rPh sb="20" eb="21">
      <t>ダイ</t>
    </rPh>
    <rPh sb="22" eb="23">
      <t>カイ</t>
    </rPh>
    <rPh sb="29" eb="30">
      <t>リョウ</t>
    </rPh>
    <rPh sb="31" eb="33">
      <t>ゾウカ</t>
    </rPh>
    <rPh sb="34" eb="37">
      <t>ケイサンキ</t>
    </rPh>
    <rPh sb="38" eb="40">
      <t>ショリ</t>
    </rPh>
    <rPh sb="40" eb="42">
      <t>セイノウ</t>
    </rPh>
    <rPh sb="43" eb="45">
      <t>コウジョウ</t>
    </rPh>
    <rPh sb="49" eb="50">
      <t>ヒ</t>
    </rPh>
    <rPh sb="50" eb="52">
      <t>レンゾク</t>
    </rPh>
    <rPh sb="52" eb="53">
      <t>テキ</t>
    </rPh>
    <rPh sb="53" eb="55">
      <t>シンカ</t>
    </rPh>
    <rPh sb="56" eb="57">
      <t>ダイ</t>
    </rPh>
    <rPh sb="58" eb="59">
      <t>カイ</t>
    </rPh>
    <rPh sb="62" eb="63">
      <t>ダイ</t>
    </rPh>
    <rPh sb="64" eb="65">
      <t>ジ</t>
    </rPh>
    <rPh sb="65" eb="67">
      <t>サンギョウ</t>
    </rPh>
    <rPh sb="67" eb="69">
      <t>カクメイ</t>
    </rPh>
    <rPh sb="84" eb="87">
      <t>クドウガタ</t>
    </rPh>
    <rPh sb="87" eb="89">
      <t>シャカイ</t>
    </rPh>
    <rPh sb="90" eb="91">
      <t>ダイ</t>
    </rPh>
    <rPh sb="92" eb="93">
      <t>カイ</t>
    </rPh>
    <rPh sb="96" eb="100">
      <t>フクスウギジュツ</t>
    </rPh>
    <rPh sb="101" eb="102">
      <t>ク</t>
    </rPh>
    <rPh sb="103" eb="104">
      <t>ア</t>
    </rPh>
    <rPh sb="114" eb="115">
      <t>ダイ</t>
    </rPh>
    <rPh sb="116" eb="117">
      <t>カイ</t>
    </rPh>
    <rPh sb="120" eb="122">
      <t>ニンゲン</t>
    </rPh>
    <rPh sb="123" eb="125">
      <t>チテキ</t>
    </rPh>
    <rPh sb="125" eb="127">
      <t>カツドウ</t>
    </rPh>
    <rPh sb="131" eb="134">
      <t>カンケイセイ</t>
    </rPh>
    <rPh sb="135" eb="136">
      <t>ダイ</t>
    </rPh>
    <rPh sb="137" eb="138">
      <t>カイ</t>
    </rPh>
    <phoneticPr fontId="1"/>
  </si>
  <si>
    <t>・AI等を活用した新しいビジネスモデル（シェアリングエコノミーなど）（第７回）
・AI最新技術の活用例（敵対的生成ネットワーク、強化学習、転移学習など）（第８回）</t>
    <rPh sb="3" eb="4">
      <t>トウ</t>
    </rPh>
    <rPh sb="5" eb="7">
      <t>カツヨウ</t>
    </rPh>
    <rPh sb="9" eb="10">
      <t>アタラ</t>
    </rPh>
    <rPh sb="35" eb="36">
      <t>ダイ</t>
    </rPh>
    <rPh sb="37" eb="38">
      <t>カイ</t>
    </rPh>
    <rPh sb="43" eb="47">
      <t>サイシンギジュツ</t>
    </rPh>
    <rPh sb="48" eb="51">
      <t>カツヨウレイ</t>
    </rPh>
    <rPh sb="52" eb="55">
      <t>テキタイテキ</t>
    </rPh>
    <rPh sb="55" eb="57">
      <t>セイセイ</t>
    </rPh>
    <rPh sb="64" eb="66">
      <t>キョウカ</t>
    </rPh>
    <rPh sb="66" eb="68">
      <t>ガクシュウ</t>
    </rPh>
    <rPh sb="69" eb="71">
      <t>テンイ</t>
    </rPh>
    <rPh sb="71" eb="73">
      <t>ガクシュウ</t>
    </rPh>
    <rPh sb="77" eb="78">
      <t>ダイ</t>
    </rPh>
    <rPh sb="79" eb="80">
      <t>カイ</t>
    </rPh>
    <phoneticPr fontId="1"/>
  </si>
  <si>
    <t>・調査データ、人の行動ログデータ、機械の稼働ログデータなど（第３回）
・1次データ、2次データ、データのメタ化（第３回）
・構造化データ、非構造化データ（文章、画像/動画、音声/音楽など）（第３回）
・データ作成（ビッグデータとアノテーション）（第３回）
・データのオープン化（オープンデータ）（第３回）</t>
    <rPh sb="30" eb="31">
      <t>ダイ</t>
    </rPh>
    <rPh sb="56" eb="57">
      <t>ダイ</t>
    </rPh>
    <rPh sb="95" eb="96">
      <t>ダイ</t>
    </rPh>
    <phoneticPr fontId="1"/>
  </si>
  <si>
    <t>・データ・AI活用領域の広がり(生産、消費、文化活動など)（第４回）
・研究開発、調達、製造、物流、販売、マーケティング、サービスなど（第４回）
・仮説検証、知識発見、原因究明、計画策定、判断支援、活動代替、新規生成など（第４回）</t>
    <rPh sb="30" eb="31">
      <t>ダイ</t>
    </rPh>
    <rPh sb="68" eb="69">
      <t>ダイ</t>
    </rPh>
    <rPh sb="111" eb="112">
      <t>ダイ</t>
    </rPh>
    <rPh sb="113" eb="114">
      <t>カイ</t>
    </rPh>
    <phoneticPr fontId="1"/>
  </si>
  <si>
    <t>・非構造化データ処理：言語処理、画像/動画処理、音声/音楽処理など（第５回）
・特化型AIと汎用AI、今のAIで出来ることと出来ないこと、AIとビッグデータ（第５回）
・認識技術、ルールベース、自動化技術（第５回）</t>
    <rPh sb="34" eb="35">
      <t>ダイ</t>
    </rPh>
    <rPh sb="79" eb="80">
      <t>ダイ</t>
    </rPh>
    <rPh sb="103" eb="104">
      <t>ダイ</t>
    </rPh>
    <phoneticPr fontId="1"/>
  </si>
  <si>
    <t>・データサイエンスのサイクル（課題抽出と定式化、データの取得・管理・加工、
探索的データ解析、データ解析と推論、結果の共有・伝達、課題解決に向けた提案）（第６回）
・流通、製造、金融、サービス、インフラ、公共、ヘルスケア等におけるデータ・AI利活用事例紹介（第７回）</t>
    <rPh sb="77" eb="78">
      <t>ダイ</t>
    </rPh>
    <rPh sb="129" eb="130">
      <t>ダイ</t>
    </rPh>
    <phoneticPr fontId="1"/>
  </si>
  <si>
    <t>・ELSI（Ethical, Legal and Social Issues）(第１３回）
・個人情報保護、EU一般データ保護規則(GDPR)、忘れられる権利、オプトアウト（第１３回）
・データ倫理：データのねつ造、改ざん、盗用、プライバシー保護（第１３回）
・AI社会原則（公平性、説明責任、透明性、人間中心の判断）（第１４回）
・データバイアス、アルゴリズムバイアス（第１５回）
・データ・AI活用における負の事例紹介（第１４回）</t>
    <rPh sb="40" eb="41">
      <t>ダイ</t>
    </rPh>
    <rPh sb="43" eb="44">
      <t>カイ</t>
    </rPh>
    <rPh sb="87" eb="88">
      <t>ダイ</t>
    </rPh>
    <rPh sb="90" eb="91">
      <t>カイ</t>
    </rPh>
    <rPh sb="124" eb="125">
      <t>ダイ</t>
    </rPh>
    <rPh sb="127" eb="128">
      <t>カイ</t>
    </rPh>
    <rPh sb="160" eb="161">
      <t>ダイ</t>
    </rPh>
    <rPh sb="186" eb="187">
      <t>ダイ</t>
    </rPh>
    <rPh sb="212" eb="213">
      <t>ダイ</t>
    </rPh>
    <rPh sb="215" eb="216">
      <t>カイ</t>
    </rPh>
    <phoneticPr fontId="1"/>
  </si>
  <si>
    <t>・情報セキュリティ：機密性、完全性、可用性（第１５回）
・匿名加工情報、暗号化、パスワード、悪意ある情報搾取（第１５回）
・情報漏洩等によるセキュリティ事故の事例紹介（第１５回）</t>
    <rPh sb="22" eb="23">
      <t>ダイ</t>
    </rPh>
    <rPh sb="25" eb="26">
      <t>カイ</t>
    </rPh>
    <rPh sb="55" eb="56">
      <t>ダイ</t>
    </rPh>
    <rPh sb="58" eb="59">
      <t>カイ</t>
    </rPh>
    <rPh sb="84" eb="85">
      <t>ダイ</t>
    </rPh>
    <rPh sb="87" eb="88">
      <t>カイ</t>
    </rPh>
    <phoneticPr fontId="1"/>
  </si>
  <si>
    <t>・データの種類（量的変数、質的変数）（第９回）
・データの分布(ヒストグラム)と代表値（平均値、中央値、最頻値）（第９回）
・代表値の性質の違い（実社会では平均値＝最頻値でないことが多い）（第９回）
・データのばらつき（分散、標準偏差、偏差値）（第９回）
・打ち切りや脱落を含むデータ、層別の必要なデータ（第９回、第１０回）
・相関と因果（相関係数、擬似相関、交絡）（第１０回）
・母集団と標本抽出（国勢調査、アンケート調査、全数調査、単純無作為抽出、層別抽出、多段抽出）　　　（第１０回）
・クロス集計表、分割表、相関係数行列、散布図行列（第１０回）
・統計情報の正しい理解（誇張表現に惑わされない）（第１０回）</t>
    <rPh sb="19" eb="20">
      <t>ダイ</t>
    </rPh>
    <rPh sb="21" eb="22">
      <t>カイ</t>
    </rPh>
    <rPh sb="57" eb="58">
      <t>ダイ</t>
    </rPh>
    <rPh sb="59" eb="60">
      <t>カイ</t>
    </rPh>
    <rPh sb="95" eb="96">
      <t>ダイ</t>
    </rPh>
    <rPh sb="97" eb="98">
      <t>カイ</t>
    </rPh>
    <rPh sb="123" eb="124">
      <t>ダイ</t>
    </rPh>
    <rPh sb="125" eb="126">
      <t>カイ</t>
    </rPh>
    <rPh sb="153" eb="154">
      <t>ダイ</t>
    </rPh>
    <rPh sb="155" eb="156">
      <t>カイ</t>
    </rPh>
    <rPh sb="157" eb="158">
      <t>ダイ</t>
    </rPh>
    <rPh sb="160" eb="161">
      <t>カイ</t>
    </rPh>
    <rPh sb="184" eb="185">
      <t>ダイ</t>
    </rPh>
    <rPh sb="187" eb="188">
      <t>カイ</t>
    </rPh>
    <rPh sb="240" eb="241">
      <t>ダイ</t>
    </rPh>
    <rPh sb="243" eb="244">
      <t>カイ</t>
    </rPh>
    <rPh sb="271" eb="272">
      <t>ダイ</t>
    </rPh>
    <rPh sb="274" eb="275">
      <t>カイ</t>
    </rPh>
    <rPh sb="302" eb="303">
      <t>ダイ</t>
    </rPh>
    <rPh sb="305" eb="306">
      <t>カイ</t>
    </rPh>
    <phoneticPr fontId="1"/>
  </si>
  <si>
    <t>・データ表現（棒グラフ、折線グラフ、散布図、ヒートマップ）（第１１回）
・データの図表表現（チャート化）（第１１回）
・データの比較（条件をそろえた比較、処理の前後での比較、A/Bテスト)（第１１回）
・不適切なグラフ表現（チャートジャンク、不必要な視覚的要素）（第１１回）
・優れた可視化事例の紹介（可視化することによって新たな気づきがあった事例など）（第１１回）</t>
    <rPh sb="30" eb="31">
      <t>ダイ</t>
    </rPh>
    <rPh sb="33" eb="34">
      <t>カイ</t>
    </rPh>
    <rPh sb="53" eb="54">
      <t>ダイ</t>
    </rPh>
    <rPh sb="56" eb="57">
      <t>カイ</t>
    </rPh>
    <rPh sb="95" eb="96">
      <t>ダイ</t>
    </rPh>
    <rPh sb="98" eb="99">
      <t>カイ</t>
    </rPh>
    <rPh sb="132" eb="133">
      <t>ダイ</t>
    </rPh>
    <rPh sb="135" eb="136">
      <t>カイ</t>
    </rPh>
    <rPh sb="178" eb="179">
      <t>ダイ</t>
    </rPh>
    <rPh sb="181" eb="182">
      <t>カイ</t>
    </rPh>
    <phoneticPr fontId="1"/>
  </si>
  <si>
    <t>・データの集計（和、平均）（第９回、第１０回）
・データの並び替え、ランキング（第１２回）
・データ解析ツール（スプレッドシート）（第９回～第１２回）
・表形式のデータ（csv）（第３回）</t>
    <rPh sb="14" eb="15">
      <t>ダイ</t>
    </rPh>
    <rPh sb="16" eb="17">
      <t>カイ</t>
    </rPh>
    <rPh sb="18" eb="19">
      <t>ダイ</t>
    </rPh>
    <rPh sb="21" eb="22">
      <t>カイ</t>
    </rPh>
    <rPh sb="40" eb="41">
      <t>ダイ</t>
    </rPh>
    <rPh sb="43" eb="44">
      <t>カイ</t>
    </rPh>
    <rPh sb="66" eb="67">
      <t>ダイ</t>
    </rPh>
    <rPh sb="68" eb="69">
      <t>カイ</t>
    </rPh>
    <rPh sb="70" eb="71">
      <t>ダイ</t>
    </rPh>
    <rPh sb="73" eb="74">
      <t>カイ</t>
    </rPh>
    <rPh sb="90" eb="91">
      <t>ダイ</t>
    </rPh>
    <rPh sb="92" eb="93">
      <t>カイ</t>
    </rPh>
    <phoneticPr fontId="1"/>
  </si>
  <si>
    <t>↓1～3年次生（20年度生～）</t>
    <rPh sb="4" eb="6">
      <t>ネンジ</t>
    </rPh>
    <rPh sb="6" eb="7">
      <t>セイ</t>
    </rPh>
    <rPh sb="10" eb="12">
      <t>ネンド</t>
    </rPh>
    <rPh sb="12" eb="13">
      <t>セイ</t>
    </rPh>
    <phoneticPr fontId="1"/>
  </si>
  <si>
    <t>人間生活学部</t>
    <phoneticPr fontId="1"/>
  </si>
  <si>
    <t>教育人文学部</t>
    <phoneticPr fontId="1"/>
  </si>
  <si>
    <t>社会情報デザイン学部</t>
    <rPh sb="0" eb="2">
      <t>シャカイ</t>
    </rPh>
    <rPh sb="2" eb="4">
      <t>ジョウホウ</t>
    </rPh>
    <rPh sb="8" eb="10">
      <t>ガクブ</t>
    </rPh>
    <phoneticPr fontId="1"/>
  </si>
  <si>
    <t>↓4年次生（～19年度生）</t>
    <rPh sb="2" eb="4">
      <t>ネンジ</t>
    </rPh>
    <rPh sb="4" eb="5">
      <t>セイ</t>
    </rPh>
    <rPh sb="9" eb="11">
      <t>ネンド</t>
    </rPh>
    <rPh sb="11" eb="12">
      <t>セイ</t>
    </rPh>
    <phoneticPr fontId="1"/>
  </si>
  <si>
    <t>【全学教育推進会議】
委員長：学長　志村二三夫
教育担当副学長　安達一寿、企画担当副学長　綿井雅康、教育人文学部長　山田陽子、
人間生活学部長　吉田亨、社会情報デザイン学部長　杉元葉子、学長室長　井上　明、
事務局長　本間　修、他
【教務企画委員会】
委員長：教育担当副学長　安達　一寿
日出間均（児童教育学科教授）、岡本節子（食物栄養学科准教授）、中村禎子（食品開発学科教授）、富井友子（人間福祉学科准教授）、狩野浩二（児童教育学科教授）、武田瑞穂（心理学科講師）、星野祐子（文芸文化学科准教授）、見吉英彦（社会情報デザイン学科講師）、教務部長
【共通教育委員会】
委員長：狩野浩二（児童教育学科教授）
北原俊一（社会情報デザイン学科教授）、向後朋美（児童教育学科教授）、松永修一（文芸文化学科教授）、鈴木康弘（幼児教育学科教授）、永作稔（心理学科准教授）</t>
    <rPh sb="1" eb="3">
      <t>ゼンガク</t>
    </rPh>
    <rPh sb="5" eb="7">
      <t>スイシン</t>
    </rPh>
    <rPh sb="7" eb="9">
      <t>カイギ</t>
    </rPh>
    <rPh sb="11" eb="14">
      <t>イインチョウ</t>
    </rPh>
    <rPh sb="15" eb="17">
      <t>ガクチョウ</t>
    </rPh>
    <rPh sb="24" eb="31">
      <t>キョウイクタントウフクガクチョウ</t>
    </rPh>
    <rPh sb="32" eb="34">
      <t>アダチ</t>
    </rPh>
    <rPh sb="34" eb="36">
      <t>カズヒサ</t>
    </rPh>
    <rPh sb="37" eb="39">
      <t>キカク</t>
    </rPh>
    <rPh sb="39" eb="41">
      <t>タントウ</t>
    </rPh>
    <rPh sb="41" eb="44">
      <t>フクガクチョウ</t>
    </rPh>
    <rPh sb="45" eb="47">
      <t>ワタイ</t>
    </rPh>
    <rPh sb="47" eb="49">
      <t>マサヤス</t>
    </rPh>
    <rPh sb="50" eb="57">
      <t>キョウイクジンブンガクブチョウ</t>
    </rPh>
    <rPh sb="58" eb="60">
      <t>ヤマダ</t>
    </rPh>
    <rPh sb="60" eb="62">
      <t>ヨウコ</t>
    </rPh>
    <rPh sb="64" eb="71">
      <t>ニンゲンセイカツガクブチョウ</t>
    </rPh>
    <rPh sb="72" eb="74">
      <t>ヨシダ</t>
    </rPh>
    <rPh sb="74" eb="75">
      <t>トオル</t>
    </rPh>
    <rPh sb="76" eb="80">
      <t>シャカイジョウホウ</t>
    </rPh>
    <rPh sb="84" eb="87">
      <t>ガクブチョウ</t>
    </rPh>
    <rPh sb="88" eb="90">
      <t>スギモト</t>
    </rPh>
    <rPh sb="90" eb="92">
      <t>ヨウコ</t>
    </rPh>
    <rPh sb="93" eb="95">
      <t>ガクチョウ</t>
    </rPh>
    <rPh sb="95" eb="97">
      <t>シツチョウ</t>
    </rPh>
    <rPh sb="98" eb="100">
      <t>イノウエ</t>
    </rPh>
    <rPh sb="101" eb="102">
      <t>アキラ</t>
    </rPh>
    <rPh sb="104" eb="108">
      <t>ジムキョクチョウ</t>
    </rPh>
    <rPh sb="109" eb="111">
      <t>ホンマ</t>
    </rPh>
    <rPh sb="112" eb="113">
      <t>オサム</t>
    </rPh>
    <rPh sb="114" eb="115">
      <t>ホカ</t>
    </rPh>
    <rPh sb="117" eb="124">
      <t>キョウムキカクイインカイ</t>
    </rPh>
    <rPh sb="126" eb="129">
      <t>イインチョウ</t>
    </rPh>
    <rPh sb="130" eb="134">
      <t>キョウイクタントウ</t>
    </rPh>
    <rPh sb="134" eb="137">
      <t>フクガクチョウ</t>
    </rPh>
    <rPh sb="138" eb="140">
      <t>アダチ</t>
    </rPh>
    <rPh sb="141" eb="143">
      <t>カズヒサ</t>
    </rPh>
    <rPh sb="144" eb="147">
      <t>ヒデマ</t>
    </rPh>
    <rPh sb="147" eb="148">
      <t>ヒトシ</t>
    </rPh>
    <rPh sb="149" eb="151">
      <t>ジドウ</t>
    </rPh>
    <rPh sb="151" eb="155">
      <t>キョウイクガッカ</t>
    </rPh>
    <rPh sb="155" eb="157">
      <t>キョウジュ</t>
    </rPh>
    <rPh sb="159" eb="161">
      <t>オカモト</t>
    </rPh>
    <rPh sb="161" eb="163">
      <t>セツコ</t>
    </rPh>
    <rPh sb="164" eb="170">
      <t>ショクモツエイヨウガッカ</t>
    </rPh>
    <rPh sb="170" eb="173">
      <t>ジュンキョウジュ</t>
    </rPh>
    <rPh sb="175" eb="177">
      <t>ナカムラ</t>
    </rPh>
    <rPh sb="177" eb="179">
      <t>サダコ</t>
    </rPh>
    <rPh sb="180" eb="186">
      <t>ショクヒンカイハツガッカ</t>
    </rPh>
    <rPh sb="186" eb="188">
      <t>キョウジュ</t>
    </rPh>
    <rPh sb="190" eb="192">
      <t>トミイ</t>
    </rPh>
    <rPh sb="192" eb="194">
      <t>トモコ</t>
    </rPh>
    <rPh sb="195" eb="197">
      <t>ニンゲン</t>
    </rPh>
    <rPh sb="197" eb="201">
      <t>フクシガッカ</t>
    </rPh>
    <rPh sb="201" eb="204">
      <t>ジュンキョウジュ</t>
    </rPh>
    <rPh sb="206" eb="208">
      <t>カリノ</t>
    </rPh>
    <rPh sb="208" eb="210">
      <t>コウジ</t>
    </rPh>
    <rPh sb="211" eb="213">
      <t>ジドウ</t>
    </rPh>
    <rPh sb="213" eb="217">
      <t>キョウイクガッカ</t>
    </rPh>
    <rPh sb="217" eb="219">
      <t>キョウジュ</t>
    </rPh>
    <rPh sb="221" eb="223">
      <t>タケダ</t>
    </rPh>
    <rPh sb="223" eb="225">
      <t>ミズホ</t>
    </rPh>
    <rPh sb="226" eb="230">
      <t>シンリガッカ</t>
    </rPh>
    <rPh sb="230" eb="232">
      <t>コウシ</t>
    </rPh>
    <rPh sb="234" eb="236">
      <t>ホシノ</t>
    </rPh>
    <rPh sb="236" eb="238">
      <t>ユウコ</t>
    </rPh>
    <rPh sb="239" eb="243">
      <t>ブンゲイブンカ</t>
    </rPh>
    <rPh sb="243" eb="245">
      <t>ガッカ</t>
    </rPh>
    <rPh sb="245" eb="248">
      <t>ジュンキョウジュ</t>
    </rPh>
    <rPh sb="250" eb="252">
      <t>ミヨシ</t>
    </rPh>
    <rPh sb="252" eb="254">
      <t>ヒデヒコ</t>
    </rPh>
    <rPh sb="255" eb="259">
      <t>シャカイジョウホウ</t>
    </rPh>
    <rPh sb="263" eb="265">
      <t>ガッカ</t>
    </rPh>
    <rPh sb="265" eb="267">
      <t>コウシ</t>
    </rPh>
    <rPh sb="269" eb="273">
      <t>キョウムブチョウ</t>
    </rPh>
    <rPh sb="275" eb="279">
      <t>キョウツウキョウイク</t>
    </rPh>
    <rPh sb="279" eb="282">
      <t>イインカイ</t>
    </rPh>
    <rPh sb="284" eb="287">
      <t>イインチョウ</t>
    </rPh>
    <rPh sb="288" eb="290">
      <t>カリノ</t>
    </rPh>
    <rPh sb="290" eb="292">
      <t>コウジ</t>
    </rPh>
    <rPh sb="303" eb="305">
      <t>キタハラ</t>
    </rPh>
    <rPh sb="305" eb="307">
      <t>シュンイチ</t>
    </rPh>
    <rPh sb="308" eb="312">
      <t>シャカイジョウホウ</t>
    </rPh>
    <rPh sb="316" eb="318">
      <t>ガッカ</t>
    </rPh>
    <rPh sb="318" eb="320">
      <t>キョウジュ</t>
    </rPh>
    <rPh sb="322" eb="324">
      <t>コウゴ</t>
    </rPh>
    <rPh sb="324" eb="326">
      <t>トモミ</t>
    </rPh>
    <rPh sb="327" eb="329">
      <t>ジドウ</t>
    </rPh>
    <rPh sb="329" eb="333">
      <t>キョウイクガッカ</t>
    </rPh>
    <rPh sb="333" eb="335">
      <t>キョウジュ</t>
    </rPh>
    <rPh sb="337" eb="339">
      <t>マツナガ</t>
    </rPh>
    <rPh sb="339" eb="341">
      <t>シュウイチ</t>
    </rPh>
    <rPh sb="342" eb="346">
      <t>ブンゲイブンカ</t>
    </rPh>
    <rPh sb="346" eb="348">
      <t>ガッカ</t>
    </rPh>
    <rPh sb="348" eb="350">
      <t>キョウジュ</t>
    </rPh>
    <rPh sb="352" eb="354">
      <t>スズキ</t>
    </rPh>
    <rPh sb="354" eb="356">
      <t>ヤスヒロ</t>
    </rPh>
    <rPh sb="357" eb="363">
      <t>ヨウジキョウイクガッカ</t>
    </rPh>
    <rPh sb="363" eb="365">
      <t>キョウジュ</t>
    </rPh>
    <rPh sb="367" eb="369">
      <t>ナガサク</t>
    </rPh>
    <rPh sb="369" eb="370">
      <t>ミノル</t>
    </rPh>
    <rPh sb="371" eb="375">
      <t>シンリガッカ</t>
    </rPh>
    <rPh sb="375" eb="378">
      <t>ジュンキョウジュ</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</si>
  <si>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</si>
  <si>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本学では、学位取得だけでなく、保育士、管理栄養士、介護福祉士、教員免許などの資格取得にも励む学生が多いため、通常の授業（講義・演習）の他、学外での実習に行くなど時間を制限されている学生が多い。そのため、オンライン教材を採用し、提供を行っている。オンラインでの提供を行うことで、学生は取り組む時間を自分で決めて、学びを深めていくことができる。授業担当者を配置しているため、疑問点、躓いた点については学内メールや総合教育システムを利用し、質問することができる。</t>
    <rPh sb="0" eb="2">
      <t>ホンガク</t>
    </rPh>
    <rPh sb="15" eb="18">
      <t>ホイクシ</t>
    </rPh>
    <rPh sb="19" eb="24">
      <t>カンリエイヨウシ</t>
    </rPh>
    <rPh sb="25" eb="30">
      <t>カイゴフクシシ</t>
    </rPh>
    <rPh sb="31" eb="35">
      <t>キョウインメンキョ</t>
    </rPh>
    <rPh sb="38" eb="42">
      <t>シカクシュトク</t>
    </rPh>
    <rPh sb="44" eb="45">
      <t>ハゲ</t>
    </rPh>
    <rPh sb="46" eb="48">
      <t>ガクセイ</t>
    </rPh>
    <rPh sb="49" eb="50">
      <t>オオ</t>
    </rPh>
    <rPh sb="54" eb="56">
      <t>ツウジョウ</t>
    </rPh>
    <rPh sb="57" eb="59">
      <t>ジュギョウ</t>
    </rPh>
    <rPh sb="60" eb="62">
      <t>コウギ</t>
    </rPh>
    <rPh sb="63" eb="65">
      <t>エンシュウ</t>
    </rPh>
    <rPh sb="67" eb="68">
      <t>ホカ</t>
    </rPh>
    <rPh sb="69" eb="71">
      <t>ガクガイ</t>
    </rPh>
    <rPh sb="73" eb="75">
      <t>ジッシュウ</t>
    </rPh>
    <rPh sb="76" eb="77">
      <t>イ</t>
    </rPh>
    <rPh sb="106" eb="108">
      <t>キョウザイ</t>
    </rPh>
    <rPh sb="109" eb="111">
      <t>サイヨウ</t>
    </rPh>
    <rPh sb="113" eb="115">
      <t>テイキョウ</t>
    </rPh>
    <rPh sb="116" eb="117">
      <t>オコナ</t>
    </rPh>
    <rPh sb="129" eb="131">
      <t>テイキョウ</t>
    </rPh>
    <rPh sb="132" eb="133">
      <t>オコナ</t>
    </rPh>
    <rPh sb="138" eb="140">
      <t>ガクセイ</t>
    </rPh>
    <rPh sb="141" eb="142">
      <t>ト</t>
    </rPh>
    <rPh sb="143" eb="144">
      <t>ク</t>
    </rPh>
    <rPh sb="145" eb="147">
      <t>ジカン</t>
    </rPh>
    <rPh sb="148" eb="150">
      <t>ジブン</t>
    </rPh>
    <rPh sb="151" eb="152">
      <t>キ</t>
    </rPh>
    <rPh sb="155" eb="156">
      <t>マナ</t>
    </rPh>
    <rPh sb="158" eb="159">
      <t>フカ</t>
    </rPh>
    <rPh sb="170" eb="172">
      <t>ジュギョウ</t>
    </rPh>
    <rPh sb="172" eb="175">
      <t>タントウシャ</t>
    </rPh>
    <rPh sb="176" eb="178">
      <t>ハイチ</t>
    </rPh>
    <rPh sb="185" eb="188">
      <t>ギモンテン</t>
    </rPh>
    <rPh sb="189" eb="190">
      <t>ツマヅ</t>
    </rPh>
    <rPh sb="192" eb="193">
      <t>テン</t>
    </rPh>
    <rPh sb="198" eb="200">
      <t>ガクナイ</t>
    </rPh>
    <rPh sb="204" eb="208">
      <t>ソウゴウキョウイク</t>
    </rPh>
    <rPh sb="213" eb="215">
      <t>リヨウ</t>
    </rPh>
    <rPh sb="217" eb="219">
      <t>シツモン</t>
    </rPh>
    <phoneticPr fontId="1"/>
  </si>
  <si>
    <t>前期および後期のオリエンテーション期間中に授業担当者による遠隔での説明会を実施し、授業の概要、学習の進め方、評価基準に関する解説を行っている。説明会は録画を行っているため、配信を一定期間行い、説明会に参加ができなかった学生にも視聴する機会を提供している。
一方、総合科目に関するチラシを作成し、オリエンテーションでは学生に広く公開をしている。「総合科目」とは、「特定の専門分野に限ることなく、共通科目が扱う領域を総合的に、かつ自由に、創意的に展開される科目」のことである。令和4年度の総合科目は、副題を設けて12科目開設した。「総合科目（はじめてのデータサイエンス）」については、特化したチラシを作成し、オリエンテーションでも配付・掲示等で周知を行っている。</t>
    <rPh sb="0" eb="2">
      <t>ゼンキ</t>
    </rPh>
    <rPh sb="5" eb="7">
      <t>コウキ</t>
    </rPh>
    <rPh sb="17" eb="20">
      <t>キカンチュウ</t>
    </rPh>
    <rPh sb="21" eb="26">
      <t>ジュギョウタントウシャ</t>
    </rPh>
    <rPh sb="29" eb="31">
      <t>エンカク</t>
    </rPh>
    <rPh sb="33" eb="36">
      <t>セツメイカイ</t>
    </rPh>
    <rPh sb="37" eb="39">
      <t>ジッシ</t>
    </rPh>
    <rPh sb="41" eb="43">
      <t>ジュギョウ</t>
    </rPh>
    <rPh sb="44" eb="46">
      <t>ガイヨウ</t>
    </rPh>
    <rPh sb="47" eb="49">
      <t>ガクシュウ</t>
    </rPh>
    <rPh sb="50" eb="51">
      <t>スス</t>
    </rPh>
    <rPh sb="52" eb="53">
      <t>カタ</t>
    </rPh>
    <rPh sb="54" eb="58">
      <t>ヒョウカキジュン</t>
    </rPh>
    <rPh sb="59" eb="60">
      <t>カン</t>
    </rPh>
    <rPh sb="62" eb="64">
      <t>カイセツ</t>
    </rPh>
    <rPh sb="65" eb="66">
      <t>オコナ</t>
    </rPh>
    <rPh sb="71" eb="74">
      <t>セツメイカイ</t>
    </rPh>
    <rPh sb="75" eb="77">
      <t>ロクガ</t>
    </rPh>
    <rPh sb="78" eb="79">
      <t>オコナ</t>
    </rPh>
    <rPh sb="86" eb="88">
      <t>ハイシン</t>
    </rPh>
    <rPh sb="89" eb="93">
      <t>イッテイキカン</t>
    </rPh>
    <rPh sb="93" eb="94">
      <t>オコナ</t>
    </rPh>
    <rPh sb="96" eb="99">
      <t>セツメイカイ</t>
    </rPh>
    <rPh sb="100" eb="102">
      <t>サンカ</t>
    </rPh>
    <rPh sb="109" eb="111">
      <t>ガクセイ</t>
    </rPh>
    <rPh sb="113" eb="115">
      <t>シチョウ</t>
    </rPh>
    <rPh sb="117" eb="119">
      <t>キカイ</t>
    </rPh>
    <rPh sb="120" eb="122">
      <t>テイキョウ</t>
    </rPh>
    <rPh sb="128" eb="130">
      <t>イッポウ</t>
    </rPh>
    <rPh sb="131" eb="135">
      <t>ソウゴウカモク</t>
    </rPh>
    <rPh sb="136" eb="137">
      <t>カン</t>
    </rPh>
    <rPh sb="143" eb="145">
      <t>サクセイ</t>
    </rPh>
    <rPh sb="158" eb="160">
      <t>ガクセイ</t>
    </rPh>
    <rPh sb="161" eb="162">
      <t>ヒロ</t>
    </rPh>
    <rPh sb="163" eb="165">
      <t>コウカイ</t>
    </rPh>
    <rPh sb="236" eb="238">
      <t>レイワ</t>
    </rPh>
    <rPh sb="239" eb="241">
      <t>ネンド</t>
    </rPh>
    <rPh sb="242" eb="246">
      <t>ソウゴウカモク</t>
    </rPh>
    <rPh sb="248" eb="250">
      <t>フクダイ</t>
    </rPh>
    <rPh sb="251" eb="252">
      <t>モウ</t>
    </rPh>
    <rPh sb="256" eb="258">
      <t>カモク</t>
    </rPh>
    <rPh sb="258" eb="260">
      <t>カイセツ</t>
    </rPh>
    <rPh sb="264" eb="268">
      <t>ソウゴウカモク</t>
    </rPh>
    <rPh sb="290" eb="292">
      <t>トッカ</t>
    </rPh>
    <rPh sb="298" eb="300">
      <t>サクセイ</t>
    </rPh>
    <rPh sb="313" eb="315">
      <t>ハイフ</t>
    </rPh>
    <rPh sb="316" eb="318">
      <t>ケイジ</t>
    </rPh>
    <rPh sb="318" eb="319">
      <t>トウ</t>
    </rPh>
    <rPh sb="320" eb="322">
      <t>シュウチ</t>
    </rPh>
    <rPh sb="323" eb="324">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</si>
</sst>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6"/>
      <name val="ＭＳ Ｐゴシック"/>
      <family val="3"/>
      <charset val="128"/>
      <scheme val="minor"/>
    </font>
    <font>
      <sz val="7"/>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right style="dotted">
        <color auto="1"/>
      </right>
      <top style="hair">
        <color auto="1"/>
      </top>
      <bottom style="hair">
        <color auto="1"/>
      </bottom>
      <diagonal/>
    </border>
    <border>
      <left style="dotted">
        <color auto="1"/>
      </left>
      <right style="hair">
        <color indexed="64"/>
      </right>
      <top style="thin">
        <color auto="1"/>
      </top>
      <bottom/>
      <diagonal/>
    </border>
    <border>
      <left style="dotted">
        <color auto="1"/>
      </left>
      <right style="hair">
        <color indexed="64"/>
      </right>
      <top style="hair">
        <color auto="1"/>
      </top>
      <bottom style="hair">
        <color auto="1"/>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86">
    <xf numFmtId="0" fontId="0" fillId="0" borderId="0" xfId="0">
      <alignment vertical="center"/>
    </xf>
    <xf numFmtId="0" fontId="3" fillId="0" borderId="0" xfId="0" applyFont="1">
      <alignment vertical="center"/>
    </xf>
    <xf numFmtId="0" fontId="3" fillId="0" borderId="0" xfId="0" applyFont="1" applyAlignment="1">
      <alignment horizontal="right" vertical="center"/>
    </xf>
    <xf numFmtId="0" fontId="4" fillId="0" borderId="0" xfId="0" applyFo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right" vertical="center"/>
    </xf>
    <xf numFmtId="0" fontId="3" fillId="0" borderId="0" xfId="0" applyFont="1" applyAlignment="1">
      <alignment vertical="center" shrinkToFit="1"/>
    </xf>
    <xf numFmtId="0" fontId="3" fillId="0" borderId="0" xfId="0" applyFont="1" applyAlignment="1">
      <alignment horizontal="left" vertical="center" shrinkToFit="1"/>
    </xf>
    <xf numFmtId="0" fontId="5" fillId="0" borderId="0" xfId="0" applyFont="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righ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0" xfId="0" applyFont="1" applyAlignment="1">
      <alignment horizontal="left"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4" fillId="0" borderId="0" xfId="0" applyFont="1" applyAlignment="1">
      <alignment horizontal="center" vertical="center"/>
    </xf>
    <xf numFmtId="0" fontId="3" fillId="0" borderId="7" xfId="0" applyFont="1" applyFill="1" applyBorder="1" applyAlignment="1">
      <alignment horizontal="left" vertical="top" wrapText="1" shrinkToFit="1"/>
    </xf>
    <xf numFmtId="0" fontId="3" fillId="0" borderId="8" xfId="0" applyFont="1" applyFill="1" applyBorder="1" applyAlignment="1">
      <alignment horizontal="left" vertical="top" wrapText="1" shrinkToFit="1"/>
    </xf>
    <xf numFmtId="0" fontId="3" fillId="0" borderId="9" xfId="0" applyFont="1" applyFill="1" applyBorder="1" applyAlignment="1">
      <alignment horizontal="left" vertical="top" wrapText="1" shrinkToFit="1"/>
    </xf>
    <xf numFmtId="0" fontId="3" fillId="0" borderId="5" xfId="0" applyFont="1" applyFill="1" applyBorder="1" applyAlignment="1">
      <alignment horizontal="left" vertical="top" wrapText="1" shrinkToFit="1"/>
    </xf>
    <xf numFmtId="0" fontId="3" fillId="0" borderId="0" xfId="0" applyFont="1" applyFill="1" applyAlignment="1">
      <alignment horizontal="left" vertical="top" wrapText="1" shrinkToFit="1"/>
    </xf>
    <xf numFmtId="0" fontId="3" fillId="0" borderId="10" xfId="0" applyFont="1" applyFill="1" applyBorder="1" applyAlignment="1">
      <alignment horizontal="left" vertical="top" wrapText="1" shrinkToFit="1"/>
    </xf>
    <xf numFmtId="0" fontId="3" fillId="0" borderId="11" xfId="0" applyFont="1" applyFill="1" applyBorder="1" applyAlignment="1">
      <alignment horizontal="left" vertical="top" wrapText="1" shrinkToFit="1"/>
    </xf>
    <xf numFmtId="0" fontId="3" fillId="0" borderId="6" xfId="0" applyFont="1" applyFill="1" applyBorder="1" applyAlignment="1">
      <alignment horizontal="left" vertical="top" wrapText="1" shrinkToFit="1"/>
    </xf>
    <xf numFmtId="0" fontId="3" fillId="0" borderId="12" xfId="0" applyFont="1" applyFill="1" applyBorder="1" applyAlignment="1">
      <alignment horizontal="left" vertical="top" wrapText="1" shrinkToFit="1"/>
    </xf>
    <xf numFmtId="0" fontId="3" fillId="0" borderId="5" xfId="0" applyFont="1" applyBorder="1">
      <alignment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3" fillId="0" borderId="0" xfId="0" applyFont="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3" fillId="0" borderId="32" xfId="0" applyFont="1" applyBorder="1" applyAlignment="1">
      <alignment vertical="center" shrinkToFit="1"/>
    </xf>
    <xf numFmtId="0" fontId="3" fillId="0" borderId="34" xfId="0" applyFont="1" applyBorder="1" applyAlignment="1">
      <alignment vertical="center" shrinkToFit="1"/>
    </xf>
    <xf numFmtId="0" fontId="3" fillId="0" borderId="33" xfId="0" applyFont="1" applyBorder="1" applyAlignment="1">
      <alignment vertical="center" shrinkToFit="1"/>
    </xf>
    <xf numFmtId="0" fontId="3" fillId="0" borderId="14" xfId="0" applyFont="1" applyBorder="1" applyAlignment="1">
      <alignment horizontal="center" vertical="center"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23" xfId="0" applyFont="1" applyBorder="1" applyAlignment="1">
      <alignment horizontal="center" vertical="center" shrinkToFit="1"/>
    </xf>
    <xf numFmtId="0" fontId="3" fillId="0" borderId="35" xfId="0" applyFont="1" applyBorder="1" applyAlignment="1">
      <alignment vertical="center" shrinkToFit="1"/>
    </xf>
    <xf numFmtId="0" fontId="3" fillId="0" borderId="36" xfId="0" applyFont="1" applyBorder="1" applyAlignment="1">
      <alignment vertical="center" shrinkToFit="1"/>
    </xf>
    <xf numFmtId="0" fontId="3" fillId="0" borderId="37" xfId="0" applyFont="1" applyBorder="1" applyAlignment="1">
      <alignment vertical="center" shrinkToFit="1"/>
    </xf>
    <xf numFmtId="0" fontId="3" fillId="0" borderId="13"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0" xfId="0" applyFont="1" applyAlignment="1">
      <alignment vertical="top"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32" xfId="0" applyFont="1" applyBorder="1" applyAlignment="1">
      <alignment horizontal="center" vertical="center" shrinkToFit="1"/>
    </xf>
    <xf numFmtId="0" fontId="3" fillId="0" borderId="34" xfId="0" applyFont="1" applyBorder="1" applyAlignment="1">
      <alignment horizontal="center" vertical="center" shrinkToFit="1"/>
    </xf>
    <xf numFmtId="0" fontId="3" fillId="0" borderId="33"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37" xfId="0" applyFont="1" applyBorder="1" applyAlignment="1">
      <alignment horizontal="center" vertical="center" shrinkToFit="1"/>
    </xf>
    <xf numFmtId="0" fontId="3" fillId="0" borderId="0" xfId="0" applyFont="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6" fillId="0" borderId="43" xfId="0" applyFont="1" applyBorder="1" applyAlignment="1">
      <alignment vertical="center" wrapText="1"/>
    </xf>
    <xf numFmtId="49" fontId="6" fillId="0" borderId="46" xfId="0" applyNumberFormat="1" applyFont="1" applyBorder="1" applyAlignment="1">
      <alignment horizontal="center" vertical="center"/>
    </xf>
    <xf numFmtId="0" fontId="3" fillId="0" borderId="8" xfId="0" applyFont="1" applyBorder="1" applyAlignment="1">
      <alignment horizontal="left" vertical="center" wrapText="1"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6" fillId="0" borderId="29" xfId="0" applyFont="1" applyBorder="1" applyAlignment="1">
      <alignment vertical="center" wrapText="1"/>
    </xf>
    <xf numFmtId="49" fontId="6" fillId="0" borderId="47" xfId="0" applyNumberFormat="1" applyFont="1" applyBorder="1" applyAlignment="1">
      <alignment horizontal="center" vertical="center"/>
    </xf>
    <xf numFmtId="0" fontId="3" fillId="0" borderId="22" xfId="0" applyFont="1" applyBorder="1" applyAlignment="1">
      <alignment horizontal="left" vertical="center" wrapText="1" shrinkToFit="1"/>
    </xf>
    <xf numFmtId="0" fontId="3" fillId="0" borderId="22" xfId="0" applyFont="1" applyBorder="1" applyAlignment="1">
      <alignment horizontal="left" vertical="center" shrinkToFit="1"/>
    </xf>
    <xf numFmtId="0" fontId="3" fillId="0" borderId="21" xfId="0" applyFont="1" applyBorder="1" applyAlignment="1">
      <alignment horizontal="left" vertical="center" shrinkToFit="1"/>
    </xf>
    <xf numFmtId="0" fontId="3" fillId="0" borderId="0" xfId="0" applyFont="1" applyAlignment="1">
      <alignment vertical="center" wrapText="1"/>
    </xf>
    <xf numFmtId="49" fontId="6" fillId="0" borderId="42" xfId="0" applyNumberFormat="1" applyFont="1" applyBorder="1" applyAlignment="1">
      <alignment horizontal="center" vertical="center"/>
    </xf>
    <xf numFmtId="0" fontId="3" fillId="0" borderId="34" xfId="0" applyFont="1" applyBorder="1" applyAlignment="1">
      <alignment horizontal="left" vertical="center" wrapText="1" shrinkToFit="1"/>
    </xf>
    <xf numFmtId="0" fontId="3" fillId="0" borderId="34" xfId="0" applyFont="1" applyBorder="1" applyAlignment="1">
      <alignment horizontal="left" vertical="center" shrinkToFit="1"/>
    </xf>
    <xf numFmtId="0" fontId="3" fillId="0" borderId="33" xfId="0" applyFont="1" applyBorder="1" applyAlignment="1">
      <alignment horizontal="left" vertical="center" shrinkToFit="1"/>
    </xf>
    <xf numFmtId="0" fontId="6" fillId="0" borderId="44" xfId="0" applyFont="1" applyBorder="1" applyAlignment="1">
      <alignment vertical="center" wrapText="1"/>
    </xf>
    <xf numFmtId="49" fontId="6" fillId="0" borderId="27" xfId="0" applyNumberFormat="1" applyFont="1" applyBorder="1" applyAlignment="1">
      <alignment horizontal="center" vertical="center"/>
    </xf>
    <xf numFmtId="0" fontId="3" fillId="0" borderId="36" xfId="0" applyFont="1" applyBorder="1" applyAlignment="1">
      <alignment horizontal="left" vertical="center" wrapText="1" shrinkToFit="1"/>
    </xf>
    <xf numFmtId="0" fontId="3" fillId="0" borderId="36" xfId="0" applyFont="1" applyBorder="1" applyAlignment="1">
      <alignment horizontal="left" vertical="center" shrinkToFit="1"/>
    </xf>
    <xf numFmtId="0" fontId="3" fillId="0" borderId="37" xfId="0" applyFont="1" applyBorder="1" applyAlignment="1">
      <alignment horizontal="left" vertical="center" shrinkToFit="1"/>
    </xf>
    <xf numFmtId="49" fontId="6" fillId="0" borderId="45" xfId="0" applyNumberFormat="1" applyFont="1" applyBorder="1" applyAlignment="1">
      <alignment horizontal="center" vertical="center"/>
    </xf>
    <xf numFmtId="0" fontId="3" fillId="0" borderId="6" xfId="0" applyFont="1" applyBorder="1" applyAlignment="1">
      <alignment horizontal="left" vertical="center" wrapText="1" shrinkToFit="1"/>
    </xf>
    <xf numFmtId="0" fontId="3" fillId="0" borderId="6" xfId="0" applyFont="1" applyBorder="1" applyAlignment="1">
      <alignment horizontal="left" vertical="center" shrinkToFit="1"/>
    </xf>
    <xf numFmtId="0" fontId="3" fillId="0" borderId="12" xfId="0" applyFont="1" applyBorder="1" applyAlignment="1">
      <alignment horizontal="left" vertical="center" shrinkToFit="1"/>
    </xf>
    <xf numFmtId="0" fontId="3" fillId="0" borderId="8" xfId="0" applyFont="1" applyFill="1" applyBorder="1" applyAlignment="1">
      <alignment horizontal="left" vertical="center" wrapText="1" shrinkToFit="1"/>
    </xf>
    <xf numFmtId="0" fontId="3" fillId="0" borderId="8" xfId="0" applyFont="1" applyFill="1" applyBorder="1" applyAlignment="1">
      <alignment horizontal="left" vertical="center" shrinkToFit="1"/>
    </xf>
    <xf numFmtId="0" fontId="3" fillId="0" borderId="9" xfId="0" applyFont="1" applyFill="1" applyBorder="1" applyAlignment="1">
      <alignment horizontal="left" vertical="center" shrinkToFit="1"/>
    </xf>
    <xf numFmtId="0" fontId="3" fillId="0" borderId="0" xfId="0" applyFont="1" applyFill="1">
      <alignment vertical="center"/>
    </xf>
    <xf numFmtId="0" fontId="3" fillId="0" borderId="36" xfId="0" applyFont="1" applyFill="1" applyBorder="1" applyAlignment="1">
      <alignment horizontal="left" vertical="center" wrapText="1" shrinkToFit="1"/>
    </xf>
    <xf numFmtId="0" fontId="3" fillId="0" borderId="36" xfId="0" applyFont="1" applyFill="1" applyBorder="1" applyAlignment="1">
      <alignment horizontal="left" vertical="center" shrinkToFit="1"/>
    </xf>
    <xf numFmtId="0" fontId="3" fillId="0" borderId="37" xfId="0" applyFont="1" applyFill="1" applyBorder="1" applyAlignment="1">
      <alignment horizontal="left" vertical="center" shrinkToFit="1"/>
    </xf>
    <xf numFmtId="0" fontId="3" fillId="0" borderId="34" xfId="0" applyFont="1" applyFill="1" applyBorder="1" applyAlignment="1">
      <alignment vertical="center" wrapText="1" shrinkToFit="1"/>
    </xf>
    <xf numFmtId="0" fontId="3" fillId="0" borderId="34" xfId="0" applyFont="1" applyFill="1" applyBorder="1" applyAlignment="1">
      <alignment vertical="center" shrinkToFit="1"/>
    </xf>
    <xf numFmtId="0" fontId="3" fillId="0" borderId="33" xfId="0" applyFont="1" applyFill="1" applyBorder="1" applyAlignment="1">
      <alignment vertical="center" shrinkToFit="1"/>
    </xf>
    <xf numFmtId="49" fontId="6" fillId="0" borderId="30" xfId="0" applyNumberFormat="1" applyFont="1" applyBorder="1" applyAlignment="1">
      <alignment horizontal="center" vertical="center"/>
    </xf>
    <xf numFmtId="0" fontId="3" fillId="0" borderId="19" xfId="0" applyFont="1" applyFill="1" applyBorder="1" applyAlignment="1">
      <alignment vertical="center" wrapText="1" shrinkToFit="1"/>
    </xf>
    <xf numFmtId="0" fontId="3" fillId="0" borderId="20" xfId="0" applyFont="1" applyFill="1" applyBorder="1" applyAlignment="1">
      <alignment vertical="center" shrinkToFit="1"/>
    </xf>
    <xf numFmtId="0" fontId="3" fillId="0" borderId="18" xfId="0" applyFont="1" applyFill="1" applyBorder="1" applyAlignment="1">
      <alignment vertical="center" shrinkToFit="1"/>
    </xf>
    <xf numFmtId="0" fontId="3" fillId="0" borderId="6" xfId="0" applyFont="1" applyFill="1" applyBorder="1" applyAlignment="1">
      <alignment vertical="center" wrapText="1" shrinkToFit="1"/>
    </xf>
    <xf numFmtId="0" fontId="3" fillId="0" borderId="6" xfId="0" applyFont="1" applyFill="1" applyBorder="1" applyAlignment="1">
      <alignment vertical="center" shrinkToFit="1"/>
    </xf>
    <xf numFmtId="0" fontId="3" fillId="0" borderId="12" xfId="0" applyFont="1" applyFill="1" applyBorder="1" applyAlignment="1">
      <alignment vertical="center" shrinkToFi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5" fillId="0" borderId="0" xfId="0" applyFont="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1" xfId="0" applyFont="1" applyBorder="1" applyAlignment="1">
      <alignment horizontal="left" vertical="center"/>
    </xf>
    <xf numFmtId="0" fontId="6" fillId="0" borderId="0" xfId="0" applyFont="1" applyAlignment="1">
      <alignment vertical="top" wrapText="1"/>
    </xf>
    <xf numFmtId="0" fontId="3" fillId="2" borderId="5" xfId="0" applyFont="1" applyFill="1" applyBorder="1">
      <alignment vertical="center"/>
    </xf>
    <xf numFmtId="0" fontId="6" fillId="2" borderId="0" xfId="0" applyFont="1" applyFill="1" applyAlignment="1">
      <alignment vertical="top" wrapText="1"/>
    </xf>
    <xf numFmtId="0" fontId="6" fillId="2" borderId="10" xfId="0" applyFont="1" applyFill="1" applyBorder="1" applyAlignment="1">
      <alignment vertical="top" wrapText="1"/>
    </xf>
    <xf numFmtId="0" fontId="3" fillId="2" borderId="0" xfId="0" applyFont="1" applyFill="1">
      <alignment vertical="center"/>
    </xf>
    <xf numFmtId="0" fontId="6" fillId="2" borderId="5" xfId="0" applyFont="1" applyFill="1" applyBorder="1" applyAlignment="1">
      <alignment vertical="top" wrapTex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7" xfId="0" applyFont="1" applyBorder="1">
      <alignment vertical="center"/>
    </xf>
    <xf numFmtId="0" fontId="4" fillId="0" borderId="18" xfId="0" applyFont="1" applyBorder="1">
      <alignment vertical="center"/>
    </xf>
    <xf numFmtId="0" fontId="3" fillId="0" borderId="17" xfId="0" applyFont="1" applyFill="1" applyBorder="1" applyAlignment="1">
      <alignment vertical="center" wrapText="1"/>
    </xf>
    <xf numFmtId="0" fontId="3" fillId="0" borderId="18" xfId="0" applyFont="1" applyFill="1" applyBorder="1" applyAlignment="1">
      <alignment vertical="center" wrapText="1"/>
    </xf>
    <xf numFmtId="0" fontId="3" fillId="0" borderId="19" xfId="0" applyFont="1" applyFill="1" applyBorder="1" applyAlignment="1">
      <alignment vertical="top" wrapText="1" shrinkToFit="1"/>
    </xf>
    <xf numFmtId="0" fontId="3" fillId="0" borderId="20" xfId="0" applyFont="1" applyFill="1" applyBorder="1" applyAlignment="1">
      <alignment vertical="top" wrapText="1" shrinkToFit="1"/>
    </xf>
    <xf numFmtId="0" fontId="3" fillId="0" borderId="18" xfId="0" applyFont="1" applyFill="1" applyBorder="1" applyAlignment="1">
      <alignment vertical="top" wrapText="1" shrinkToFit="1"/>
    </xf>
    <xf numFmtId="0" fontId="6" fillId="2" borderId="11" xfId="0" applyFont="1" applyFill="1" applyBorder="1" applyAlignment="1">
      <alignment vertical="top" wrapText="1"/>
    </xf>
    <xf numFmtId="0" fontId="3" fillId="0" borderId="55" xfId="0" applyFont="1" applyBorder="1" applyAlignment="1">
      <alignment vertical="center" wrapText="1"/>
    </xf>
    <xf numFmtId="0" fontId="3" fillId="0" borderId="37" xfId="0" applyFont="1" applyBorder="1" applyAlignment="1">
      <alignment vertical="center" wrapText="1"/>
    </xf>
    <xf numFmtId="0" fontId="3" fillId="0" borderId="35" xfId="0" applyFont="1" applyBorder="1" applyAlignment="1">
      <alignment vertical="top" wrapText="1" shrinkToFit="1"/>
    </xf>
    <xf numFmtId="0" fontId="3" fillId="0" borderId="36" xfId="0" applyFont="1" applyBorder="1" applyAlignment="1">
      <alignment vertical="top" wrapText="1" shrinkToFit="1"/>
    </xf>
    <xf numFmtId="0" fontId="3" fillId="0" borderId="37" xfId="0" applyFont="1" applyBorder="1" applyAlignment="1">
      <alignment vertical="top" wrapText="1" shrinkToFit="1"/>
    </xf>
    <xf numFmtId="0" fontId="6" fillId="2" borderId="40" xfId="0" applyFont="1" applyFill="1" applyBorder="1" applyAlignment="1">
      <alignment vertical="top" wrapText="1"/>
    </xf>
    <xf numFmtId="0" fontId="6" fillId="2" borderId="41" xfId="0" applyFont="1" applyFill="1" applyBorder="1" applyAlignment="1">
      <alignment vertical="top" wrapText="1"/>
    </xf>
    <xf numFmtId="0" fontId="6" fillId="2" borderId="40" xfId="0" applyFont="1" applyFill="1" applyBorder="1" applyAlignment="1">
      <alignment vertical="top" shrinkToFit="1"/>
    </xf>
    <xf numFmtId="0" fontId="6" fillId="2" borderId="41" xfId="0" applyFont="1" applyFill="1" applyBorder="1" applyAlignment="1">
      <alignment vertical="top" shrinkToFit="1"/>
    </xf>
    <xf numFmtId="0" fontId="3" fillId="0" borderId="36" xfId="0" applyFont="1" applyFill="1" applyBorder="1" applyAlignment="1">
      <alignment vertical="top" wrapText="1" shrinkToFit="1"/>
    </xf>
    <xf numFmtId="0" fontId="3" fillId="0" borderId="37" xfId="0" applyFont="1" applyFill="1" applyBorder="1" applyAlignment="1">
      <alignment vertical="top" wrapText="1" shrinkToFit="1"/>
    </xf>
    <xf numFmtId="0" fontId="3" fillId="0" borderId="39" xfId="0" applyFont="1" applyBorder="1" applyAlignment="1">
      <alignment vertical="center" wrapText="1"/>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40" xfId="0" applyFont="1" applyBorder="1" applyAlignment="1">
      <alignment vertical="top" wrapText="1" shrinkToFit="1"/>
    </xf>
    <xf numFmtId="0" fontId="3" fillId="0" borderId="41" xfId="0" applyFont="1" applyBorder="1" applyAlignment="1">
      <alignment vertical="top" wrapText="1" shrinkToFit="1"/>
    </xf>
    <xf numFmtId="0" fontId="3" fillId="0" borderId="11" xfId="0" applyFont="1" applyFill="1" applyBorder="1" applyAlignment="1">
      <alignment vertical="center" wrapText="1"/>
    </xf>
    <xf numFmtId="0" fontId="3" fillId="0" borderId="6" xfId="0" applyFont="1" applyFill="1" applyBorder="1" applyAlignment="1">
      <alignment vertical="center" wrapText="1"/>
    </xf>
    <xf numFmtId="0" fontId="3" fillId="0" borderId="12" xfId="0" applyFont="1" applyFill="1" applyBorder="1" applyAlignment="1">
      <alignment vertical="center" wrapText="1"/>
    </xf>
    <xf numFmtId="0" fontId="3" fillId="0" borderId="6" xfId="0" applyFont="1" applyFill="1" applyBorder="1" applyAlignment="1">
      <alignment vertical="top" wrapText="1" shrinkToFit="1"/>
    </xf>
    <xf numFmtId="0" fontId="3" fillId="0" borderId="12" xfId="0" applyFont="1" applyFill="1" applyBorder="1" applyAlignment="1">
      <alignment vertical="top" wrapText="1" shrinkToFit="1"/>
    </xf>
    <xf numFmtId="0" fontId="6" fillId="0" borderId="0" xfId="0" applyFont="1">
      <alignment vertical="center"/>
    </xf>
    <xf numFmtId="0" fontId="3" fillId="0" borderId="0" xfId="0" applyFont="1" applyAlignment="1">
      <alignment horizontal="center" vertical="center"/>
    </xf>
    <xf numFmtId="0" fontId="4" fillId="0" borderId="0" xfId="0" applyFont="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3" xfId="0" applyFont="1" applyBorder="1">
      <alignment vertical="center"/>
    </xf>
    <xf numFmtId="0" fontId="4" fillId="0" borderId="4" xfId="0" applyFont="1" applyBorder="1">
      <alignment vertical="center"/>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7" xfId="0" applyFont="1" applyFill="1" applyBorder="1" applyAlignment="1">
      <alignment vertical="top" wrapText="1" shrinkToFit="1"/>
    </xf>
    <xf numFmtId="0" fontId="3" fillId="0" borderId="8" xfId="0" applyFont="1" applyFill="1" applyBorder="1" applyAlignment="1">
      <alignment vertical="top" wrapText="1" shrinkToFit="1"/>
    </xf>
    <xf numFmtId="0" fontId="3" fillId="0" borderId="9" xfId="0" applyFont="1" applyFill="1" applyBorder="1" applyAlignment="1">
      <alignment vertical="top" shrinkToFit="1"/>
    </xf>
    <xf numFmtId="0" fontId="3" fillId="0" borderId="5" xfId="0" applyFont="1" applyFill="1" applyBorder="1" applyAlignment="1">
      <alignment vertical="top" wrapText="1" shrinkToFit="1"/>
    </xf>
    <xf numFmtId="0" fontId="3" fillId="0" borderId="0" xfId="0" applyFont="1" applyFill="1" applyAlignment="1">
      <alignment vertical="top" wrapText="1" shrinkToFit="1"/>
    </xf>
    <xf numFmtId="0" fontId="3" fillId="0" borderId="10"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lignment vertical="center"/>
    </xf>
    <xf numFmtId="0" fontId="6" fillId="0" borderId="0" xfId="0" applyFont="1" applyAlignment="1">
      <alignment vertical="top" shrinkToFit="1"/>
    </xf>
    <xf numFmtId="0" fontId="6" fillId="0" borderId="0" xfId="0" applyFont="1" applyAlignment="1">
      <alignment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7" fillId="0" borderId="15" xfId="0" applyFont="1" applyBorder="1" applyAlignment="1">
      <alignment horizontal="center"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4" xfId="0" applyFont="1" applyBorder="1" applyAlignment="1">
      <alignment horizontal="center" vertical="center"/>
    </xf>
    <xf numFmtId="0" fontId="9" fillId="0" borderId="15" xfId="0" applyFont="1" applyBorder="1" applyAlignment="1">
      <alignment horizontal="center" vertical="center" wrapText="1"/>
    </xf>
    <xf numFmtId="0" fontId="7" fillId="0" borderId="9" xfId="0" applyFont="1" applyBorder="1" applyAlignment="1">
      <alignment horizontal="center" vertical="center"/>
    </xf>
    <xf numFmtId="0" fontId="3" fillId="0" borderId="48" xfId="0" applyFont="1" applyBorder="1" applyAlignment="1">
      <alignment horizontal="center" vertical="center"/>
    </xf>
    <xf numFmtId="0" fontId="7" fillId="0" borderId="48"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center" vertical="center" wrapText="1"/>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9" fillId="0" borderId="48" xfId="0" applyFont="1" applyBorder="1" applyAlignment="1">
      <alignment horizontal="center" vertical="center" wrapText="1"/>
    </xf>
    <xf numFmtId="0" fontId="7" fillId="0" borderId="10" xfId="0" applyFont="1" applyBorder="1" applyAlignment="1">
      <alignment horizontal="center" vertical="center"/>
    </xf>
    <xf numFmtId="0" fontId="3" fillId="0" borderId="13" xfId="0" applyFont="1" applyBorder="1" applyAlignment="1">
      <alignment horizontal="center" vertical="center"/>
    </xf>
    <xf numFmtId="0" fontId="7" fillId="0" borderId="13" xfId="0" applyFont="1" applyBorder="1" applyAlignment="1">
      <alignment horizontal="center" vertical="center"/>
    </xf>
    <xf numFmtId="0" fontId="7" fillId="0" borderId="6" xfId="0" applyFont="1" applyBorder="1" applyAlignment="1">
      <alignment horizontal="center" vertical="center"/>
    </xf>
    <xf numFmtId="0" fontId="7" fillId="0" borderId="11" xfId="0" applyFont="1" applyBorder="1" applyAlignment="1">
      <alignment horizontal="center" vertical="center"/>
    </xf>
    <xf numFmtId="0" fontId="10" fillId="0" borderId="11"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9" fillId="0" borderId="13" xfId="0" applyFont="1" applyBorder="1" applyAlignment="1">
      <alignment horizontal="center" vertical="center"/>
    </xf>
    <xf numFmtId="0" fontId="7" fillId="0" borderId="12" xfId="0" applyFont="1" applyBorder="1" applyAlignment="1">
      <alignment horizontal="center" vertical="center"/>
    </xf>
    <xf numFmtId="38" fontId="3" fillId="0" borderId="0" xfId="0" applyNumberFormat="1" applyFont="1">
      <alignment vertical="center"/>
    </xf>
    <xf numFmtId="0" fontId="3" fillId="0" borderId="0" xfId="0" applyFont="1" applyBorder="1" applyAlignment="1">
      <alignment vertical="center" shrinkToFit="1"/>
    </xf>
    <xf numFmtId="0" fontId="7" fillId="0" borderId="15" xfId="0" applyFont="1" applyBorder="1" applyAlignment="1">
      <alignment horizontal="left" vertical="center" shrinkToFit="1"/>
    </xf>
    <xf numFmtId="38" fontId="3" fillId="0" borderId="48" xfId="2" applyFont="1" applyBorder="1" applyAlignment="1">
      <alignment vertical="center" shrinkToFit="1"/>
    </xf>
    <xf numFmtId="38" fontId="3" fillId="0" borderId="0" xfId="2" applyFont="1" applyBorder="1" applyAlignment="1">
      <alignment vertical="center" shrinkToFit="1"/>
    </xf>
    <xf numFmtId="38" fontId="3" fillId="0" borderId="5" xfId="2" applyFont="1" applyBorder="1" applyAlignment="1">
      <alignment vertical="center" shrinkToFit="1"/>
    </xf>
    <xf numFmtId="38" fontId="3" fillId="0" borderId="57" xfId="2" applyFont="1" applyBorder="1" applyAlignment="1">
      <alignment vertical="center" shrinkToFit="1"/>
    </xf>
    <xf numFmtId="38" fontId="3" fillId="0" borderId="51" xfId="2" applyFont="1" applyBorder="1" applyAlignment="1">
      <alignment vertical="center" shrinkToFit="1"/>
    </xf>
    <xf numFmtId="38" fontId="3" fillId="0" borderId="28" xfId="2" applyFont="1" applyBorder="1" applyAlignment="1">
      <alignment vertical="center" shrinkToFit="1"/>
    </xf>
    <xf numFmtId="9" fontId="3" fillId="0" borderId="15" xfId="0" applyNumberFormat="1" applyFont="1" applyBorder="1" applyAlignment="1">
      <alignment vertical="center" shrinkToFit="1"/>
    </xf>
    <xf numFmtId="38" fontId="3" fillId="0" borderId="0" xfId="0" applyNumberFormat="1" applyFont="1" applyBorder="1">
      <alignment vertical="center"/>
    </xf>
    <xf numFmtId="0" fontId="3" fillId="0" borderId="0" xfId="0" applyFont="1" applyBorder="1">
      <alignment vertical="center"/>
    </xf>
    <xf numFmtId="0" fontId="3" fillId="0" borderId="23" xfId="0" applyFont="1" applyBorder="1" applyAlignment="1">
      <alignment horizontal="left" vertical="center" shrinkToFit="1"/>
    </xf>
    <xf numFmtId="38" fontId="3" fillId="0" borderId="23"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58" xfId="2" applyFont="1" applyBorder="1" applyAlignment="1">
      <alignment vertical="center" shrinkToFit="1"/>
    </xf>
    <xf numFmtId="38" fontId="3" fillId="0" borderId="56" xfId="2" applyFont="1" applyBorder="1" applyAlignment="1">
      <alignment vertical="center" shrinkToFit="1"/>
    </xf>
    <xf numFmtId="38" fontId="3" fillId="0" borderId="52" xfId="2" applyFont="1" applyBorder="1" applyAlignment="1">
      <alignment vertical="center" shrinkToFit="1"/>
    </xf>
    <xf numFmtId="38" fontId="3" fillId="0" borderId="30" xfId="2" applyFont="1" applyBorder="1" applyAlignment="1">
      <alignment vertical="center" shrinkToFit="1"/>
    </xf>
    <xf numFmtId="9" fontId="3" fillId="0" borderId="23" xfId="0" applyNumberFormat="1" applyFont="1" applyBorder="1" applyAlignment="1">
      <alignment vertical="center" shrinkToFit="1"/>
    </xf>
    <xf numFmtId="38" fontId="3" fillId="0" borderId="53" xfId="2" applyFont="1" applyBorder="1" applyAlignment="1">
      <alignment vertical="center" shrinkToFit="1"/>
    </xf>
    <xf numFmtId="0" fontId="7" fillId="0" borderId="23" xfId="0" applyFont="1" applyBorder="1" applyAlignment="1">
      <alignment horizontal="left" vertical="center" shrinkToFit="1"/>
    </xf>
    <xf numFmtId="38" fontId="3" fillId="0" borderId="19" xfId="2" applyFont="1" applyBorder="1" applyAlignment="1">
      <alignment horizontal="center" vertical="center" shrinkToFit="1"/>
    </xf>
    <xf numFmtId="0" fontId="3" fillId="0" borderId="26" xfId="0" applyFont="1" applyBorder="1" applyAlignment="1">
      <alignment horizontal="center" vertical="center" shrinkToFit="1"/>
    </xf>
    <xf numFmtId="38" fontId="3" fillId="0" borderId="26" xfId="2" applyFont="1" applyBorder="1" applyAlignment="1">
      <alignment vertical="center" shrinkToFit="1"/>
    </xf>
    <xf numFmtId="38" fontId="3" fillId="0" borderId="25" xfId="2" applyFont="1" applyBorder="1" applyAlignment="1">
      <alignment vertical="center" shrinkToFit="1"/>
    </xf>
    <xf numFmtId="38" fontId="3" fillId="0" borderId="24" xfId="2" applyFont="1" applyBorder="1" applyAlignment="1">
      <alignment vertical="center" shrinkToFit="1"/>
    </xf>
    <xf numFmtId="38" fontId="3" fillId="0" borderId="54" xfId="2" applyFont="1" applyBorder="1" applyAlignment="1">
      <alignment vertical="center" shrinkToFit="1"/>
    </xf>
    <xf numFmtId="38" fontId="3" fillId="0" borderId="31" xfId="2" applyFont="1" applyBorder="1" applyAlignment="1">
      <alignment vertical="center" shrinkToFit="1"/>
    </xf>
    <xf numFmtId="9" fontId="3" fillId="0" borderId="26" xfId="0" applyNumberFormat="1" applyFont="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microsoft.com/office/2017/10/relationships/person" Target="persons/person.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文子 細田" id="{78AD22E4-9B3B-4511-BD62-445CF16FBD24}" userId="1b7b0388c76e3343"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 dT="2023-04-09T17:14:01.95" personId="{78AD22E4-9B3B-4511-BD62-445CF16FBD24}" id="{1155DAB7-5167-409A-B306-D3B15A309B44}">
    <text>令和4年5月1日現在の学生数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10"/>
  <sheetViews>
    <sheetView showZeros="0" tabSelected="1" view="pageBreakPreview" zoomScaleNormal="100" zoomScaleSheetLayoutView="100" workbookViewId="0">
      <selection activeCell="M6" sqref="M6"/>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61" style="1" hidden="1" customWidth="1"/>
    <col min="23" max="24" width="9" style="1" hidden="1" customWidth="1"/>
    <col min="25" max="16384" width="9" style="1"/>
  </cols>
  <sheetData>
    <row r="1" spans="1:22" ht="18.600000000000001" customHeight="1" x14ac:dyDescent="0.2">
      <c r="R1" s="2" t="s">
        <v>12</v>
      </c>
      <c r="S1" s="2"/>
      <c r="T1" s="3" t="s">
        <v>110</v>
      </c>
    </row>
    <row r="2" spans="1:22" ht="18.75" customHeight="1" x14ac:dyDescent="0.2">
      <c r="B2" s="4" t="s">
        <v>109</v>
      </c>
      <c r="C2" s="5" t="s">
        <v>126</v>
      </c>
      <c r="D2" s="6"/>
      <c r="E2" s="6"/>
      <c r="F2" s="6"/>
      <c r="G2" s="6"/>
      <c r="H2" s="6"/>
      <c r="I2" s="7"/>
      <c r="J2" s="8"/>
      <c r="K2" s="9"/>
      <c r="L2" s="9"/>
      <c r="M2" s="9"/>
      <c r="N2" s="9"/>
      <c r="O2" s="9"/>
      <c r="P2" s="9"/>
      <c r="Q2" s="9"/>
      <c r="R2" s="9"/>
      <c r="S2" s="9"/>
    </row>
    <row r="3" spans="1:22" ht="18.75" customHeight="1" x14ac:dyDescent="0.2">
      <c r="B3" s="4" t="s">
        <v>103</v>
      </c>
      <c r="C3" s="5" t="s">
        <v>157</v>
      </c>
      <c r="D3" s="6"/>
      <c r="E3" s="6"/>
      <c r="F3" s="6"/>
      <c r="G3" s="6"/>
      <c r="H3" s="6"/>
      <c r="I3" s="7"/>
      <c r="J3" s="8"/>
      <c r="K3" s="9"/>
      <c r="L3" s="9"/>
      <c r="M3" s="9"/>
      <c r="N3" s="9"/>
      <c r="O3" s="9"/>
      <c r="P3" s="9"/>
      <c r="Q3" s="9"/>
      <c r="R3" s="9"/>
      <c r="S3" s="9"/>
    </row>
    <row r="4" spans="1:22" ht="15" customHeight="1" x14ac:dyDescent="0.2">
      <c r="K4" s="8"/>
      <c r="L4" s="10"/>
      <c r="M4" s="10"/>
      <c r="N4" s="10"/>
      <c r="O4" s="10"/>
      <c r="P4" s="10"/>
      <c r="Q4" s="10"/>
      <c r="R4" s="10"/>
      <c r="S4" s="10"/>
    </row>
    <row r="5" spans="1:22" ht="18" customHeight="1" x14ac:dyDescent="0.2">
      <c r="A5" s="11" t="s">
        <v>39</v>
      </c>
      <c r="B5" s="11"/>
      <c r="C5" s="11"/>
      <c r="D5" s="11"/>
      <c r="E5" s="11"/>
      <c r="F5" s="11"/>
      <c r="G5" s="11"/>
      <c r="H5" s="11"/>
      <c r="I5" s="11"/>
      <c r="J5" s="11"/>
      <c r="K5" s="11"/>
      <c r="L5" s="11"/>
      <c r="M5" s="11"/>
      <c r="N5" s="11"/>
      <c r="O5" s="11"/>
      <c r="P5" s="11"/>
      <c r="Q5" s="11"/>
      <c r="R5" s="11"/>
      <c r="S5" s="11"/>
    </row>
    <row r="6" spans="1:22" ht="15" customHeight="1" x14ac:dyDescent="0.2">
      <c r="B6" s="12"/>
      <c r="C6" s="12"/>
      <c r="D6" s="12"/>
      <c r="E6" s="12"/>
      <c r="F6" s="12"/>
      <c r="G6" s="12"/>
      <c r="H6" s="12"/>
      <c r="I6" s="12"/>
      <c r="J6" s="12"/>
      <c r="K6" s="12"/>
      <c r="L6" s="12"/>
      <c r="M6" s="12"/>
      <c r="N6" s="12"/>
      <c r="O6" s="12"/>
      <c r="P6" s="12"/>
      <c r="Q6" s="12"/>
      <c r="R6" s="12"/>
      <c r="S6" s="12"/>
    </row>
    <row r="7" spans="1:22" ht="18" customHeight="1" x14ac:dyDescent="0.2">
      <c r="A7" s="1" t="s">
        <v>124</v>
      </c>
      <c r="C7" s="12"/>
      <c r="J7" s="13" t="s">
        <v>108</v>
      </c>
      <c r="K7" s="14" t="s">
        <v>128</v>
      </c>
      <c r="L7" s="15"/>
      <c r="M7" s="15"/>
      <c r="N7" s="15"/>
      <c r="O7" s="15"/>
      <c r="P7" s="15"/>
      <c r="Q7" s="15"/>
      <c r="R7" s="15"/>
      <c r="S7" s="16"/>
    </row>
    <row r="8" spans="1:22" ht="6" customHeight="1" x14ac:dyDescent="0.2">
      <c r="B8" s="12"/>
      <c r="C8" s="12"/>
      <c r="D8" s="12"/>
      <c r="E8" s="12"/>
      <c r="F8" s="12"/>
      <c r="G8" s="12"/>
      <c r="H8" s="12"/>
      <c r="I8" s="12"/>
      <c r="J8" s="12"/>
      <c r="K8" s="17"/>
      <c r="L8" s="12"/>
      <c r="M8" s="12"/>
      <c r="N8" s="12"/>
      <c r="O8" s="12"/>
      <c r="P8" s="12"/>
      <c r="Q8" s="12"/>
      <c r="R8" s="12"/>
      <c r="S8" s="12"/>
    </row>
    <row r="9" spans="1:22" ht="18" customHeight="1" x14ac:dyDescent="0.2">
      <c r="B9" s="18" t="s">
        <v>129</v>
      </c>
      <c r="C9" s="19"/>
      <c r="D9" s="19"/>
      <c r="E9" s="19"/>
      <c r="F9" s="19"/>
      <c r="G9" s="19"/>
      <c r="H9" s="19"/>
      <c r="I9" s="19"/>
      <c r="J9" s="19"/>
      <c r="K9" s="19"/>
      <c r="L9" s="19"/>
      <c r="M9" s="19"/>
      <c r="N9" s="19"/>
      <c r="O9" s="19"/>
      <c r="P9" s="19"/>
      <c r="Q9" s="19"/>
      <c r="R9" s="19"/>
      <c r="S9" s="20"/>
    </row>
    <row r="10" spans="1:22" ht="18" customHeight="1" x14ac:dyDescent="0.2">
      <c r="B10" s="21"/>
      <c r="C10" s="22"/>
      <c r="D10" s="22"/>
      <c r="E10" s="22"/>
      <c r="F10" s="22"/>
      <c r="G10" s="22"/>
      <c r="H10" s="22"/>
      <c r="I10" s="22"/>
      <c r="J10" s="22"/>
      <c r="K10" s="22"/>
      <c r="L10" s="22"/>
      <c r="M10" s="22"/>
      <c r="N10" s="22"/>
      <c r="O10" s="22"/>
      <c r="P10" s="22"/>
      <c r="Q10" s="22"/>
      <c r="R10" s="22"/>
      <c r="S10" s="23"/>
    </row>
    <row r="11" spans="1:22" ht="6" customHeight="1" x14ac:dyDescent="0.2">
      <c r="B11" s="12"/>
      <c r="C11" s="12"/>
      <c r="D11" s="12"/>
      <c r="E11" s="12"/>
      <c r="F11" s="12"/>
      <c r="G11" s="12"/>
      <c r="H11" s="12"/>
      <c r="I11" s="12"/>
      <c r="J11" s="12"/>
      <c r="K11" s="17"/>
      <c r="L11" s="12"/>
      <c r="M11" s="12"/>
      <c r="N11" s="12"/>
      <c r="O11" s="12"/>
      <c r="P11" s="12"/>
      <c r="Q11" s="12"/>
      <c r="R11" s="12"/>
      <c r="S11" s="12"/>
    </row>
    <row r="12" spans="1:22" ht="18" customHeight="1" x14ac:dyDescent="0.2">
      <c r="A12" s="1" t="s">
        <v>112</v>
      </c>
      <c r="B12" s="12"/>
      <c r="C12" s="12"/>
      <c r="D12" s="8"/>
      <c r="E12" s="8"/>
      <c r="F12" s="8"/>
      <c r="G12" s="8"/>
      <c r="H12" s="8"/>
      <c r="I12" s="8"/>
      <c r="J12" s="8"/>
      <c r="K12" s="24"/>
      <c r="L12" s="24"/>
      <c r="M12" s="24"/>
      <c r="N12" s="24"/>
      <c r="O12" s="24"/>
      <c r="P12" s="24"/>
      <c r="Q12" s="24"/>
      <c r="R12" s="24"/>
      <c r="S12" s="24"/>
    </row>
    <row r="13" spans="1:22" ht="18" customHeight="1" x14ac:dyDescent="0.2">
      <c r="B13" s="25" t="s">
        <v>145</v>
      </c>
      <c r="C13" s="26"/>
      <c r="D13" s="26"/>
      <c r="E13" s="26"/>
      <c r="F13" s="26"/>
      <c r="G13" s="26"/>
      <c r="H13" s="26"/>
      <c r="I13" s="26"/>
      <c r="J13" s="26"/>
      <c r="K13" s="26"/>
      <c r="L13" s="26"/>
      <c r="M13" s="26"/>
      <c r="N13" s="26"/>
      <c r="O13" s="26"/>
      <c r="P13" s="26"/>
      <c r="Q13" s="26"/>
      <c r="R13" s="26"/>
      <c r="S13" s="27"/>
      <c r="V13" s="1" t="s">
        <v>104</v>
      </c>
    </row>
    <row r="14" spans="1:22" ht="18" customHeight="1" x14ac:dyDescent="0.2">
      <c r="B14" s="28"/>
      <c r="C14" s="29"/>
      <c r="D14" s="29"/>
      <c r="E14" s="29"/>
      <c r="F14" s="29"/>
      <c r="G14" s="29"/>
      <c r="H14" s="29"/>
      <c r="I14" s="29"/>
      <c r="J14" s="29"/>
      <c r="K14" s="29"/>
      <c r="L14" s="29"/>
      <c r="M14" s="29"/>
      <c r="N14" s="29"/>
      <c r="O14" s="29"/>
      <c r="P14" s="29"/>
      <c r="Q14" s="29"/>
      <c r="R14" s="29"/>
      <c r="S14" s="30"/>
      <c r="V14" s="1" t="s">
        <v>111</v>
      </c>
    </row>
    <row r="15" spans="1:22" ht="18" customHeight="1" x14ac:dyDescent="0.2">
      <c r="B15" s="28"/>
      <c r="C15" s="29"/>
      <c r="D15" s="29"/>
      <c r="E15" s="29"/>
      <c r="F15" s="29"/>
      <c r="G15" s="29"/>
      <c r="H15" s="29"/>
      <c r="I15" s="29"/>
      <c r="J15" s="29"/>
      <c r="K15" s="29"/>
      <c r="L15" s="29"/>
      <c r="M15" s="29"/>
      <c r="N15" s="29"/>
      <c r="O15" s="29"/>
      <c r="P15" s="29"/>
      <c r="Q15" s="29"/>
      <c r="R15" s="29"/>
      <c r="S15" s="30"/>
      <c r="V15" s="1" t="s">
        <v>123</v>
      </c>
    </row>
    <row r="16" spans="1:22" ht="18" customHeight="1" x14ac:dyDescent="0.2">
      <c r="B16" s="28"/>
      <c r="C16" s="29"/>
      <c r="D16" s="29"/>
      <c r="E16" s="29"/>
      <c r="F16" s="29"/>
      <c r="G16" s="29"/>
      <c r="H16" s="29"/>
      <c r="I16" s="29"/>
      <c r="J16" s="29"/>
      <c r="K16" s="29"/>
      <c r="L16" s="29"/>
      <c r="M16" s="29"/>
      <c r="N16" s="29"/>
      <c r="O16" s="29"/>
      <c r="P16" s="29"/>
      <c r="Q16" s="29"/>
      <c r="R16" s="29"/>
      <c r="S16" s="30"/>
      <c r="V16" s="1" t="s">
        <v>125</v>
      </c>
    </row>
    <row r="17" spans="1:19" ht="18" customHeight="1" x14ac:dyDescent="0.2">
      <c r="B17" s="28"/>
      <c r="C17" s="29"/>
      <c r="D17" s="29"/>
      <c r="E17" s="29"/>
      <c r="F17" s="29"/>
      <c r="G17" s="29"/>
      <c r="H17" s="29"/>
      <c r="I17" s="29"/>
      <c r="J17" s="29"/>
      <c r="K17" s="29"/>
      <c r="L17" s="29"/>
      <c r="M17" s="29"/>
      <c r="N17" s="29"/>
      <c r="O17" s="29"/>
      <c r="P17" s="29"/>
      <c r="Q17" s="29"/>
      <c r="R17" s="29"/>
      <c r="S17" s="30"/>
    </row>
    <row r="18" spans="1:19" ht="18" customHeight="1" x14ac:dyDescent="0.2">
      <c r="B18" s="31"/>
      <c r="C18" s="32"/>
      <c r="D18" s="32"/>
      <c r="E18" s="32"/>
      <c r="F18" s="32"/>
      <c r="G18" s="32"/>
      <c r="H18" s="32"/>
      <c r="I18" s="32"/>
      <c r="J18" s="32"/>
      <c r="K18" s="32"/>
      <c r="L18" s="32"/>
      <c r="M18" s="32"/>
      <c r="N18" s="32"/>
      <c r="O18" s="32"/>
      <c r="P18" s="32"/>
      <c r="Q18" s="32"/>
      <c r="R18" s="32"/>
      <c r="S18" s="33"/>
    </row>
    <row r="19" spans="1:19" ht="7.5" customHeight="1" x14ac:dyDescent="0.2">
      <c r="B19" s="12"/>
      <c r="C19" s="12"/>
      <c r="D19" s="12"/>
      <c r="E19" s="12"/>
      <c r="F19" s="12"/>
      <c r="G19" s="12"/>
      <c r="H19" s="12"/>
      <c r="I19" s="12"/>
      <c r="J19" s="12"/>
      <c r="K19" s="12"/>
      <c r="L19" s="12"/>
      <c r="M19" s="12"/>
      <c r="N19" s="12"/>
      <c r="O19" s="12"/>
      <c r="P19" s="12"/>
      <c r="Q19" s="12"/>
      <c r="R19" s="12"/>
      <c r="S19" s="12"/>
    </row>
    <row r="20" spans="1:19" ht="19.95" customHeight="1" x14ac:dyDescent="0.2">
      <c r="B20" s="1" t="s">
        <v>113</v>
      </c>
      <c r="C20" s="5">
        <v>2</v>
      </c>
      <c r="D20" s="7"/>
      <c r="E20" s="34" t="s">
        <v>96</v>
      </c>
      <c r="G20" s="17"/>
      <c r="H20" s="12"/>
      <c r="I20" s="12"/>
      <c r="J20" s="8" t="s">
        <v>122</v>
      </c>
      <c r="K20" s="35" t="s">
        <v>123</v>
      </c>
      <c r="L20" s="36"/>
      <c r="M20" s="36"/>
      <c r="N20" s="36"/>
      <c r="O20" s="36"/>
      <c r="P20" s="36"/>
      <c r="Q20" s="36"/>
      <c r="R20" s="36"/>
      <c r="S20" s="37"/>
    </row>
    <row r="21" spans="1:19" ht="7.5" customHeight="1" x14ac:dyDescent="0.2">
      <c r="B21" s="12"/>
      <c r="C21" s="12"/>
      <c r="D21" s="12"/>
      <c r="E21" s="12"/>
      <c r="F21" s="12"/>
      <c r="G21" s="12"/>
      <c r="H21" s="12"/>
      <c r="I21" s="12"/>
      <c r="J21" s="12"/>
      <c r="K21" s="12"/>
      <c r="L21" s="12"/>
      <c r="M21" s="12"/>
      <c r="N21" s="12"/>
      <c r="O21" s="12"/>
      <c r="P21" s="12"/>
      <c r="Q21" s="12"/>
      <c r="R21" s="12"/>
      <c r="S21" s="12"/>
    </row>
    <row r="22" spans="1:19" ht="18" customHeight="1" x14ac:dyDescent="0.2">
      <c r="A22" s="38" t="s">
        <v>114</v>
      </c>
      <c r="B22" s="38"/>
      <c r="C22" s="38"/>
      <c r="D22" s="38"/>
      <c r="E22" s="38"/>
      <c r="F22" s="38"/>
      <c r="G22" s="38"/>
      <c r="H22" s="38"/>
      <c r="I22" s="38"/>
      <c r="J22" s="38"/>
      <c r="K22" s="38"/>
      <c r="L22" s="38"/>
      <c r="M22" s="38"/>
      <c r="N22" s="38"/>
      <c r="O22" s="38"/>
      <c r="P22" s="38"/>
      <c r="Q22" s="38"/>
      <c r="R22" s="38"/>
      <c r="S22" s="38"/>
    </row>
    <row r="23" spans="1:19" ht="18" customHeight="1" x14ac:dyDescent="0.2">
      <c r="A23" s="38"/>
      <c r="B23" s="38"/>
      <c r="C23" s="38"/>
      <c r="D23" s="38"/>
      <c r="E23" s="38"/>
      <c r="F23" s="38"/>
      <c r="G23" s="38"/>
      <c r="H23" s="38"/>
      <c r="I23" s="38"/>
      <c r="J23" s="38"/>
      <c r="K23" s="38"/>
      <c r="L23" s="38"/>
      <c r="M23" s="38"/>
      <c r="N23" s="38"/>
      <c r="O23" s="38"/>
      <c r="P23" s="38"/>
      <c r="Q23" s="38"/>
      <c r="R23" s="38"/>
      <c r="S23" s="38"/>
    </row>
    <row r="24" spans="1:19" ht="18" customHeight="1" x14ac:dyDescent="0.2">
      <c r="B24" s="5" t="s">
        <v>54</v>
      </c>
      <c r="C24" s="6"/>
      <c r="D24" s="6"/>
      <c r="E24" s="7"/>
      <c r="F24" s="39" t="s">
        <v>81</v>
      </c>
      <c r="G24" s="40" t="s">
        <v>85</v>
      </c>
      <c r="H24" s="41" t="s">
        <v>57</v>
      </c>
      <c r="I24" s="41" t="s">
        <v>60</v>
      </c>
      <c r="J24" s="5" t="s">
        <v>54</v>
      </c>
      <c r="K24" s="6"/>
      <c r="L24" s="6"/>
      <c r="M24" s="6"/>
      <c r="N24" s="6"/>
      <c r="O24" s="7"/>
      <c r="P24" s="39" t="s">
        <v>81</v>
      </c>
      <c r="Q24" s="40" t="s">
        <v>85</v>
      </c>
      <c r="R24" s="41" t="s">
        <v>57</v>
      </c>
      <c r="S24" s="41" t="s">
        <v>60</v>
      </c>
    </row>
    <row r="25" spans="1:19" ht="18" customHeight="1" x14ac:dyDescent="0.2">
      <c r="B25" s="42" t="s">
        <v>127</v>
      </c>
      <c r="C25" s="43"/>
      <c r="D25" s="43"/>
      <c r="E25" s="44"/>
      <c r="F25" s="45">
        <v>2</v>
      </c>
      <c r="G25" s="45" t="s">
        <v>130</v>
      </c>
      <c r="H25" s="45" t="s">
        <v>130</v>
      </c>
      <c r="I25" s="45" t="s">
        <v>130</v>
      </c>
      <c r="J25" s="42"/>
      <c r="K25" s="43"/>
      <c r="L25" s="43"/>
      <c r="M25" s="43"/>
      <c r="N25" s="43"/>
      <c r="O25" s="44"/>
      <c r="P25" s="45"/>
      <c r="Q25" s="45"/>
      <c r="R25" s="45"/>
      <c r="S25" s="45"/>
    </row>
    <row r="26" spans="1:19" ht="18" customHeight="1" x14ac:dyDescent="0.2">
      <c r="B26" s="46"/>
      <c r="C26" s="47"/>
      <c r="D26" s="47"/>
      <c r="E26" s="48"/>
      <c r="F26" s="49"/>
      <c r="G26" s="49"/>
      <c r="H26" s="49"/>
      <c r="I26" s="49"/>
      <c r="J26" s="46"/>
      <c r="K26" s="47"/>
      <c r="L26" s="47"/>
      <c r="M26" s="47"/>
      <c r="N26" s="47"/>
      <c r="O26" s="48"/>
      <c r="P26" s="49"/>
      <c r="Q26" s="49"/>
      <c r="R26" s="49"/>
      <c r="S26" s="49"/>
    </row>
    <row r="27" spans="1:19" ht="18" customHeight="1" x14ac:dyDescent="0.2">
      <c r="B27" s="46"/>
      <c r="C27" s="47"/>
      <c r="D27" s="47"/>
      <c r="E27" s="48"/>
      <c r="F27" s="49"/>
      <c r="G27" s="49"/>
      <c r="H27" s="49"/>
      <c r="I27" s="49"/>
      <c r="J27" s="46"/>
      <c r="K27" s="47"/>
      <c r="L27" s="47"/>
      <c r="M27" s="47"/>
      <c r="N27" s="47"/>
      <c r="O27" s="48"/>
      <c r="P27" s="49"/>
      <c r="Q27" s="49"/>
      <c r="R27" s="49"/>
      <c r="S27" s="49"/>
    </row>
    <row r="28" spans="1:19" ht="18" customHeight="1" x14ac:dyDescent="0.2">
      <c r="B28" s="46"/>
      <c r="C28" s="47"/>
      <c r="D28" s="47"/>
      <c r="E28" s="48"/>
      <c r="F28" s="49"/>
      <c r="G28" s="49"/>
      <c r="H28" s="49"/>
      <c r="I28" s="49"/>
      <c r="J28" s="46"/>
      <c r="K28" s="47"/>
      <c r="L28" s="47"/>
      <c r="M28" s="47"/>
      <c r="N28" s="47"/>
      <c r="O28" s="48"/>
      <c r="P28" s="49"/>
      <c r="Q28" s="49"/>
      <c r="R28" s="49"/>
      <c r="S28" s="49"/>
    </row>
    <row r="29" spans="1:19" ht="18" customHeight="1" x14ac:dyDescent="0.2">
      <c r="B29" s="46"/>
      <c r="C29" s="47"/>
      <c r="D29" s="47"/>
      <c r="E29" s="48"/>
      <c r="F29" s="49"/>
      <c r="G29" s="49"/>
      <c r="H29" s="49"/>
      <c r="I29" s="49"/>
      <c r="J29" s="46"/>
      <c r="K29" s="47"/>
      <c r="L29" s="47"/>
      <c r="M29" s="47"/>
      <c r="N29" s="47"/>
      <c r="O29" s="48"/>
      <c r="P29" s="49"/>
      <c r="Q29" s="49"/>
      <c r="R29" s="49"/>
      <c r="S29" s="49"/>
    </row>
    <row r="30" spans="1:19" ht="18" customHeight="1" x14ac:dyDescent="0.2">
      <c r="A30" s="12"/>
      <c r="B30" s="46"/>
      <c r="C30" s="47"/>
      <c r="D30" s="47"/>
      <c r="E30" s="48"/>
      <c r="F30" s="49"/>
      <c r="G30" s="49"/>
      <c r="H30" s="49"/>
      <c r="I30" s="49"/>
      <c r="J30" s="46"/>
      <c r="K30" s="47"/>
      <c r="L30" s="47"/>
      <c r="M30" s="47"/>
      <c r="N30" s="47"/>
      <c r="O30" s="48"/>
      <c r="P30" s="49"/>
      <c r="Q30" s="49"/>
      <c r="R30" s="49"/>
      <c r="S30" s="49"/>
    </row>
    <row r="31" spans="1:19" ht="18" customHeight="1" x14ac:dyDescent="0.2">
      <c r="A31" s="12"/>
      <c r="B31" s="50"/>
      <c r="C31" s="51"/>
      <c r="D31" s="51"/>
      <c r="E31" s="52"/>
      <c r="F31" s="53"/>
      <c r="G31" s="53"/>
      <c r="H31" s="54"/>
      <c r="I31" s="54"/>
      <c r="J31" s="50"/>
      <c r="K31" s="51"/>
      <c r="L31" s="51"/>
      <c r="M31" s="51"/>
      <c r="N31" s="51"/>
      <c r="O31" s="52"/>
      <c r="P31" s="53"/>
      <c r="Q31" s="53"/>
      <c r="R31" s="54"/>
      <c r="S31" s="54"/>
    </row>
    <row r="32" spans="1:19" ht="7.5" customHeight="1" x14ac:dyDescent="0.2">
      <c r="A32" s="12"/>
      <c r="B32" s="9"/>
      <c r="C32" s="9"/>
      <c r="D32" s="12"/>
      <c r="E32" s="12"/>
      <c r="F32" s="12"/>
      <c r="G32" s="12"/>
      <c r="H32" s="9"/>
      <c r="I32" s="9"/>
      <c r="J32" s="9"/>
      <c r="K32" s="9"/>
      <c r="L32" s="9"/>
      <c r="M32" s="9"/>
      <c r="N32" s="9"/>
      <c r="O32" s="9"/>
      <c r="P32" s="9"/>
      <c r="Q32" s="9"/>
      <c r="R32" s="9"/>
      <c r="S32" s="12"/>
    </row>
    <row r="33" spans="1:19" ht="18" customHeight="1" x14ac:dyDescent="0.2">
      <c r="A33" s="38" t="s">
        <v>115</v>
      </c>
      <c r="B33" s="38"/>
      <c r="C33" s="38"/>
      <c r="D33" s="38"/>
      <c r="E33" s="38"/>
      <c r="F33" s="38"/>
      <c r="G33" s="38"/>
      <c r="H33" s="38"/>
      <c r="I33" s="38"/>
      <c r="J33" s="38"/>
      <c r="K33" s="38"/>
      <c r="L33" s="38"/>
      <c r="M33" s="38"/>
      <c r="N33" s="38"/>
      <c r="O33" s="38"/>
      <c r="P33" s="38"/>
      <c r="Q33" s="38"/>
      <c r="R33" s="38"/>
      <c r="S33" s="38"/>
    </row>
    <row r="34" spans="1:19" ht="18" customHeight="1" x14ac:dyDescent="0.2">
      <c r="A34" s="38"/>
      <c r="B34" s="38"/>
      <c r="C34" s="38"/>
      <c r="D34" s="38"/>
      <c r="E34" s="38"/>
      <c r="F34" s="38"/>
      <c r="G34" s="38"/>
      <c r="H34" s="38"/>
      <c r="I34" s="38"/>
      <c r="J34" s="38"/>
      <c r="K34" s="38"/>
      <c r="L34" s="38"/>
      <c r="M34" s="38"/>
      <c r="N34" s="38"/>
      <c r="O34" s="38"/>
      <c r="P34" s="38"/>
      <c r="Q34" s="38"/>
      <c r="R34" s="38"/>
      <c r="S34" s="38"/>
    </row>
    <row r="35" spans="1:19" ht="18" customHeight="1" x14ac:dyDescent="0.2">
      <c r="B35" s="5" t="s">
        <v>54</v>
      </c>
      <c r="C35" s="6"/>
      <c r="D35" s="6"/>
      <c r="E35" s="7"/>
      <c r="F35" s="39" t="s">
        <v>81</v>
      </c>
      <c r="G35" s="40" t="s">
        <v>85</v>
      </c>
      <c r="H35" s="41" t="s">
        <v>72</v>
      </c>
      <c r="I35" s="41" t="s">
        <v>73</v>
      </c>
      <c r="J35" s="5" t="s">
        <v>54</v>
      </c>
      <c r="K35" s="6"/>
      <c r="L35" s="6"/>
      <c r="M35" s="6"/>
      <c r="N35" s="6"/>
      <c r="O35" s="7"/>
      <c r="P35" s="39" t="s">
        <v>81</v>
      </c>
      <c r="Q35" s="40" t="s">
        <v>85</v>
      </c>
      <c r="R35" s="41" t="s">
        <v>72</v>
      </c>
      <c r="S35" s="41" t="s">
        <v>73</v>
      </c>
    </row>
    <row r="36" spans="1:19" ht="18" customHeight="1" x14ac:dyDescent="0.2">
      <c r="B36" s="42" t="s">
        <v>127</v>
      </c>
      <c r="C36" s="43"/>
      <c r="D36" s="43"/>
      <c r="E36" s="44"/>
      <c r="F36" s="45">
        <v>2</v>
      </c>
      <c r="G36" s="45" t="s">
        <v>130</v>
      </c>
      <c r="H36" s="45" t="s">
        <v>130</v>
      </c>
      <c r="I36" s="45" t="s">
        <v>130</v>
      </c>
      <c r="J36" s="42"/>
      <c r="K36" s="43"/>
      <c r="L36" s="43"/>
      <c r="M36" s="43"/>
      <c r="N36" s="43"/>
      <c r="O36" s="44"/>
      <c r="P36" s="45"/>
      <c r="Q36" s="45"/>
      <c r="R36" s="45"/>
      <c r="S36" s="45"/>
    </row>
    <row r="37" spans="1:19" ht="18" customHeight="1" x14ac:dyDescent="0.2">
      <c r="B37" s="46"/>
      <c r="C37" s="47"/>
      <c r="D37" s="47"/>
      <c r="E37" s="48"/>
      <c r="F37" s="49"/>
      <c r="G37" s="49"/>
      <c r="H37" s="49"/>
      <c r="I37" s="49"/>
      <c r="J37" s="46"/>
      <c r="K37" s="47"/>
      <c r="L37" s="47"/>
      <c r="M37" s="47"/>
      <c r="N37" s="47"/>
      <c r="O37" s="48"/>
      <c r="P37" s="49"/>
      <c r="Q37" s="49"/>
      <c r="R37" s="49"/>
      <c r="S37" s="49"/>
    </row>
    <row r="38" spans="1:19" ht="18" customHeight="1" x14ac:dyDescent="0.2">
      <c r="B38" s="46"/>
      <c r="C38" s="47"/>
      <c r="D38" s="47"/>
      <c r="E38" s="48"/>
      <c r="F38" s="49"/>
      <c r="G38" s="49"/>
      <c r="H38" s="49"/>
      <c r="I38" s="49"/>
      <c r="J38" s="46"/>
      <c r="K38" s="47"/>
      <c r="L38" s="47"/>
      <c r="M38" s="47"/>
      <c r="N38" s="47"/>
      <c r="O38" s="48"/>
      <c r="P38" s="49"/>
      <c r="Q38" s="49"/>
      <c r="R38" s="49"/>
      <c r="S38" s="49"/>
    </row>
    <row r="39" spans="1:19" ht="18" customHeight="1" x14ac:dyDescent="0.2">
      <c r="B39" s="46"/>
      <c r="C39" s="47"/>
      <c r="D39" s="47"/>
      <c r="E39" s="48"/>
      <c r="F39" s="49"/>
      <c r="G39" s="49"/>
      <c r="H39" s="49"/>
      <c r="I39" s="49"/>
      <c r="J39" s="46"/>
      <c r="K39" s="47"/>
      <c r="L39" s="47"/>
      <c r="M39" s="47"/>
      <c r="N39" s="47"/>
      <c r="O39" s="48"/>
      <c r="P39" s="49"/>
      <c r="Q39" s="49"/>
      <c r="R39" s="49"/>
      <c r="S39" s="49"/>
    </row>
    <row r="40" spans="1:19" ht="18" customHeight="1" x14ac:dyDescent="0.2">
      <c r="B40" s="46"/>
      <c r="C40" s="47"/>
      <c r="D40" s="47"/>
      <c r="E40" s="48"/>
      <c r="F40" s="49"/>
      <c r="G40" s="49"/>
      <c r="H40" s="49"/>
      <c r="I40" s="49"/>
      <c r="J40" s="46"/>
      <c r="K40" s="47"/>
      <c r="L40" s="47"/>
      <c r="M40" s="47"/>
      <c r="N40" s="47"/>
      <c r="O40" s="48"/>
      <c r="P40" s="49"/>
      <c r="Q40" s="49"/>
      <c r="R40" s="49"/>
      <c r="S40" s="49"/>
    </row>
    <row r="41" spans="1:19" ht="18" customHeight="1" x14ac:dyDescent="0.2">
      <c r="B41" s="46"/>
      <c r="C41" s="47"/>
      <c r="D41" s="47"/>
      <c r="E41" s="48"/>
      <c r="F41" s="49"/>
      <c r="G41" s="49"/>
      <c r="H41" s="49"/>
      <c r="I41" s="49"/>
      <c r="J41" s="46"/>
      <c r="K41" s="47"/>
      <c r="L41" s="47"/>
      <c r="M41" s="47"/>
      <c r="N41" s="47"/>
      <c r="O41" s="48"/>
      <c r="P41" s="49"/>
      <c r="Q41" s="49"/>
      <c r="R41" s="49"/>
      <c r="S41" s="49"/>
    </row>
    <row r="42" spans="1:19" ht="18" customHeight="1" x14ac:dyDescent="0.2">
      <c r="B42" s="50"/>
      <c r="C42" s="51"/>
      <c r="D42" s="51"/>
      <c r="E42" s="52"/>
      <c r="F42" s="53"/>
      <c r="G42" s="53"/>
      <c r="H42" s="54"/>
      <c r="I42" s="54"/>
      <c r="J42" s="50"/>
      <c r="K42" s="51"/>
      <c r="L42" s="51"/>
      <c r="M42" s="51"/>
      <c r="N42" s="51"/>
      <c r="O42" s="52"/>
      <c r="P42" s="53"/>
      <c r="Q42" s="53"/>
      <c r="R42" s="54"/>
      <c r="S42" s="54"/>
    </row>
    <row r="43" spans="1:19" ht="7.5" customHeight="1" x14ac:dyDescent="0.2">
      <c r="A43" s="12"/>
      <c r="B43" s="9"/>
      <c r="C43" s="9"/>
      <c r="D43" s="12"/>
      <c r="E43" s="12"/>
      <c r="F43" s="12"/>
      <c r="G43" s="12"/>
      <c r="H43" s="9"/>
      <c r="I43" s="9"/>
      <c r="J43" s="9"/>
      <c r="K43" s="9"/>
      <c r="L43" s="9"/>
      <c r="M43" s="9"/>
      <c r="N43" s="9"/>
      <c r="O43" s="9"/>
      <c r="P43" s="9"/>
      <c r="Q43" s="9"/>
      <c r="R43" s="9"/>
      <c r="S43" s="12"/>
    </row>
    <row r="44" spans="1:19" ht="18" customHeight="1" x14ac:dyDescent="0.2">
      <c r="A44" s="38" t="s">
        <v>116</v>
      </c>
      <c r="B44" s="38"/>
      <c r="C44" s="38"/>
      <c r="D44" s="38"/>
      <c r="E44" s="38"/>
      <c r="F44" s="38"/>
      <c r="G44" s="38"/>
      <c r="H44" s="38"/>
      <c r="I44" s="38"/>
      <c r="J44" s="38"/>
      <c r="K44" s="38"/>
      <c r="L44" s="38"/>
      <c r="M44" s="38"/>
      <c r="N44" s="38"/>
      <c r="O44" s="38"/>
      <c r="P44" s="38"/>
      <c r="Q44" s="38"/>
      <c r="R44" s="38"/>
      <c r="S44" s="38"/>
    </row>
    <row r="45" spans="1:19" ht="18" customHeight="1" x14ac:dyDescent="0.2">
      <c r="A45" s="38"/>
      <c r="B45" s="38"/>
      <c r="C45" s="38"/>
      <c r="D45" s="38"/>
      <c r="E45" s="38"/>
      <c r="F45" s="38"/>
      <c r="G45" s="38"/>
      <c r="H45" s="38"/>
      <c r="I45" s="38"/>
      <c r="J45" s="38"/>
      <c r="K45" s="38"/>
      <c r="L45" s="38"/>
      <c r="M45" s="38"/>
      <c r="N45" s="38"/>
      <c r="O45" s="38"/>
      <c r="P45" s="38"/>
      <c r="Q45" s="38"/>
      <c r="R45" s="38"/>
      <c r="S45" s="38"/>
    </row>
    <row r="46" spans="1:19" ht="18" customHeight="1" x14ac:dyDescent="0.2">
      <c r="B46" s="5" t="s">
        <v>54</v>
      </c>
      <c r="C46" s="6"/>
      <c r="D46" s="6"/>
      <c r="E46" s="7"/>
      <c r="F46" s="39" t="s">
        <v>81</v>
      </c>
      <c r="G46" s="40" t="s">
        <v>85</v>
      </c>
      <c r="H46" s="41" t="s">
        <v>74</v>
      </c>
      <c r="I46" s="41" t="s">
        <v>75</v>
      </c>
      <c r="J46" s="5" t="s">
        <v>54</v>
      </c>
      <c r="K46" s="6"/>
      <c r="L46" s="6"/>
      <c r="M46" s="6"/>
      <c r="N46" s="6"/>
      <c r="O46" s="7"/>
      <c r="P46" s="39" t="s">
        <v>81</v>
      </c>
      <c r="Q46" s="40" t="s">
        <v>85</v>
      </c>
      <c r="R46" s="41" t="s">
        <v>74</v>
      </c>
      <c r="S46" s="41" t="s">
        <v>75</v>
      </c>
    </row>
    <row r="47" spans="1:19" ht="18" customHeight="1" x14ac:dyDescent="0.2">
      <c r="A47" s="12"/>
      <c r="B47" s="42" t="s">
        <v>127</v>
      </c>
      <c r="C47" s="43"/>
      <c r="D47" s="43"/>
      <c r="E47" s="44"/>
      <c r="F47" s="45">
        <v>2</v>
      </c>
      <c r="G47" s="45" t="s">
        <v>130</v>
      </c>
      <c r="H47" s="45" t="s">
        <v>130</v>
      </c>
      <c r="I47" s="45" t="s">
        <v>130</v>
      </c>
      <c r="J47" s="42"/>
      <c r="K47" s="43"/>
      <c r="L47" s="43"/>
      <c r="M47" s="43"/>
      <c r="N47" s="43"/>
      <c r="O47" s="44"/>
      <c r="P47" s="45"/>
      <c r="Q47" s="45"/>
      <c r="R47" s="45"/>
      <c r="S47" s="45"/>
    </row>
    <row r="48" spans="1:19" ht="18" customHeight="1" x14ac:dyDescent="0.2">
      <c r="A48" s="12"/>
      <c r="B48" s="46"/>
      <c r="C48" s="47"/>
      <c r="D48" s="47"/>
      <c r="E48" s="48"/>
      <c r="F48" s="49"/>
      <c r="G48" s="49"/>
      <c r="H48" s="49"/>
      <c r="I48" s="49"/>
      <c r="J48" s="46"/>
      <c r="K48" s="47"/>
      <c r="L48" s="47"/>
      <c r="M48" s="47"/>
      <c r="N48" s="47"/>
      <c r="O48" s="48"/>
      <c r="P48" s="49"/>
      <c r="Q48" s="49"/>
      <c r="R48" s="49"/>
      <c r="S48" s="49"/>
    </row>
    <row r="49" spans="1:19" ht="18" customHeight="1" x14ac:dyDescent="0.2">
      <c r="A49" s="12"/>
      <c r="B49" s="46"/>
      <c r="C49" s="47"/>
      <c r="D49" s="47"/>
      <c r="E49" s="48"/>
      <c r="F49" s="49"/>
      <c r="G49" s="49"/>
      <c r="H49" s="49"/>
      <c r="I49" s="49"/>
      <c r="J49" s="46"/>
      <c r="K49" s="47"/>
      <c r="L49" s="47"/>
      <c r="M49" s="47"/>
      <c r="N49" s="47"/>
      <c r="O49" s="48"/>
      <c r="P49" s="49"/>
      <c r="Q49" s="49"/>
      <c r="R49" s="49"/>
      <c r="S49" s="49"/>
    </row>
    <row r="50" spans="1:19" ht="18" customHeight="1" x14ac:dyDescent="0.2">
      <c r="A50" s="12"/>
      <c r="B50" s="46"/>
      <c r="C50" s="47"/>
      <c r="D50" s="47"/>
      <c r="E50" s="48"/>
      <c r="F50" s="49"/>
      <c r="G50" s="49"/>
      <c r="H50" s="49"/>
      <c r="I50" s="49"/>
      <c r="J50" s="46"/>
      <c r="K50" s="47"/>
      <c r="L50" s="47"/>
      <c r="M50" s="47"/>
      <c r="N50" s="47"/>
      <c r="O50" s="48"/>
      <c r="P50" s="49"/>
      <c r="Q50" s="49"/>
      <c r="R50" s="49"/>
      <c r="S50" s="49"/>
    </row>
    <row r="51" spans="1:19" ht="18" customHeight="1" x14ac:dyDescent="0.2">
      <c r="A51" s="12"/>
      <c r="B51" s="46"/>
      <c r="C51" s="47"/>
      <c r="D51" s="47"/>
      <c r="E51" s="48"/>
      <c r="F51" s="49"/>
      <c r="G51" s="49"/>
      <c r="H51" s="49"/>
      <c r="I51" s="49"/>
      <c r="J51" s="46"/>
      <c r="K51" s="47"/>
      <c r="L51" s="47"/>
      <c r="M51" s="47"/>
      <c r="N51" s="47"/>
      <c r="O51" s="48"/>
      <c r="P51" s="49"/>
      <c r="Q51" s="49"/>
      <c r="R51" s="49"/>
      <c r="S51" s="49"/>
    </row>
    <row r="52" spans="1:19" ht="18" customHeight="1" x14ac:dyDescent="0.2">
      <c r="A52" s="12"/>
      <c r="B52" s="46"/>
      <c r="C52" s="47"/>
      <c r="D52" s="47"/>
      <c r="E52" s="48"/>
      <c r="F52" s="49"/>
      <c r="G52" s="49"/>
      <c r="H52" s="49"/>
      <c r="I52" s="49"/>
      <c r="J52" s="46"/>
      <c r="K52" s="47"/>
      <c r="L52" s="47"/>
      <c r="M52" s="47"/>
      <c r="N52" s="47"/>
      <c r="O52" s="48"/>
      <c r="P52" s="49"/>
      <c r="Q52" s="49"/>
      <c r="R52" s="49"/>
      <c r="S52" s="49"/>
    </row>
    <row r="53" spans="1:19" ht="18" customHeight="1" x14ac:dyDescent="0.2">
      <c r="A53" s="12"/>
      <c r="B53" s="50"/>
      <c r="C53" s="51"/>
      <c r="D53" s="51"/>
      <c r="E53" s="52"/>
      <c r="F53" s="53"/>
      <c r="G53" s="53"/>
      <c r="H53" s="54"/>
      <c r="I53" s="54"/>
      <c r="J53" s="50"/>
      <c r="K53" s="51"/>
      <c r="L53" s="51"/>
      <c r="M53" s="51"/>
      <c r="N53" s="51"/>
      <c r="O53" s="52"/>
      <c r="P53" s="53"/>
      <c r="Q53" s="53"/>
      <c r="R53" s="54"/>
      <c r="S53" s="54"/>
    </row>
    <row r="54" spans="1:19" ht="7.5" customHeight="1" x14ac:dyDescent="0.2">
      <c r="B54" s="55"/>
      <c r="C54" s="55"/>
      <c r="D54" s="55"/>
      <c r="E54" s="55"/>
      <c r="F54" s="55"/>
      <c r="G54" s="55"/>
      <c r="H54" s="55"/>
      <c r="I54" s="55"/>
      <c r="J54" s="55"/>
      <c r="K54" s="55"/>
      <c r="L54" s="55"/>
      <c r="M54" s="55"/>
      <c r="N54" s="55"/>
      <c r="O54" s="55"/>
      <c r="P54" s="55"/>
      <c r="Q54" s="55"/>
      <c r="R54" s="55"/>
    </row>
    <row r="55" spans="1:19" ht="18" customHeight="1" x14ac:dyDescent="0.2">
      <c r="A55" s="38" t="s">
        <v>117</v>
      </c>
      <c r="B55" s="38"/>
      <c r="C55" s="38"/>
      <c r="D55" s="38"/>
      <c r="E55" s="38"/>
      <c r="F55" s="38"/>
      <c r="G55" s="38"/>
      <c r="H55" s="38"/>
      <c r="I55" s="38"/>
      <c r="J55" s="38"/>
      <c r="K55" s="38"/>
      <c r="L55" s="38"/>
      <c r="M55" s="38"/>
      <c r="N55" s="38"/>
      <c r="O55" s="38"/>
      <c r="P55" s="38"/>
      <c r="Q55" s="38"/>
      <c r="R55" s="38"/>
      <c r="S55" s="38"/>
    </row>
    <row r="56" spans="1:19" ht="18" customHeight="1" x14ac:dyDescent="0.2">
      <c r="A56" s="38"/>
      <c r="B56" s="38"/>
      <c r="C56" s="38"/>
      <c r="D56" s="38"/>
      <c r="E56" s="38"/>
      <c r="F56" s="38"/>
      <c r="G56" s="38"/>
      <c r="H56" s="38"/>
      <c r="I56" s="38"/>
      <c r="J56" s="38"/>
      <c r="K56" s="38"/>
      <c r="L56" s="38"/>
      <c r="M56" s="38"/>
      <c r="N56" s="38"/>
      <c r="O56" s="38"/>
      <c r="P56" s="38"/>
      <c r="Q56" s="38"/>
      <c r="R56" s="38"/>
      <c r="S56" s="38"/>
    </row>
    <row r="57" spans="1:19" ht="18" customHeight="1" x14ac:dyDescent="0.2">
      <c r="B57" s="5" t="s">
        <v>54</v>
      </c>
      <c r="C57" s="6"/>
      <c r="D57" s="6"/>
      <c r="E57" s="7"/>
      <c r="F57" s="39" t="s">
        <v>81</v>
      </c>
      <c r="G57" s="40" t="s">
        <v>85</v>
      </c>
      <c r="H57" s="41" t="s">
        <v>59</v>
      </c>
      <c r="I57" s="41" t="s">
        <v>61</v>
      </c>
      <c r="J57" s="5" t="s">
        <v>54</v>
      </c>
      <c r="K57" s="6"/>
      <c r="L57" s="6"/>
      <c r="M57" s="6"/>
      <c r="N57" s="6"/>
      <c r="O57" s="7"/>
      <c r="P57" s="39" t="s">
        <v>81</v>
      </c>
      <c r="Q57" s="40" t="s">
        <v>85</v>
      </c>
      <c r="R57" s="41" t="s">
        <v>59</v>
      </c>
      <c r="S57" s="41" t="s">
        <v>61</v>
      </c>
    </row>
    <row r="58" spans="1:19" ht="18" customHeight="1" x14ac:dyDescent="0.2">
      <c r="A58" s="12"/>
      <c r="B58" s="42" t="s">
        <v>127</v>
      </c>
      <c r="C58" s="43"/>
      <c r="D58" s="43"/>
      <c r="E58" s="44"/>
      <c r="F58" s="45">
        <v>2</v>
      </c>
      <c r="G58" s="45" t="s">
        <v>130</v>
      </c>
      <c r="H58" s="45" t="s">
        <v>130</v>
      </c>
      <c r="I58" s="45" t="s">
        <v>130</v>
      </c>
      <c r="J58" s="42"/>
      <c r="K58" s="43"/>
      <c r="L58" s="43"/>
      <c r="M58" s="43"/>
      <c r="N58" s="43"/>
      <c r="O58" s="44"/>
      <c r="P58" s="45"/>
      <c r="Q58" s="45"/>
      <c r="R58" s="45"/>
      <c r="S58" s="45"/>
    </row>
    <row r="59" spans="1:19" ht="18" customHeight="1" x14ac:dyDescent="0.2">
      <c r="A59" s="12"/>
      <c r="B59" s="46"/>
      <c r="C59" s="47"/>
      <c r="D59" s="47"/>
      <c r="E59" s="48"/>
      <c r="F59" s="49"/>
      <c r="G59" s="49"/>
      <c r="H59" s="49"/>
      <c r="I59" s="49"/>
      <c r="J59" s="46"/>
      <c r="K59" s="47"/>
      <c r="L59" s="47"/>
      <c r="M59" s="47"/>
      <c r="N59" s="47"/>
      <c r="O59" s="48"/>
      <c r="P59" s="49"/>
      <c r="Q59" s="49"/>
      <c r="R59" s="49"/>
      <c r="S59" s="49"/>
    </row>
    <row r="60" spans="1:19" ht="18" customHeight="1" x14ac:dyDescent="0.2">
      <c r="A60" s="12"/>
      <c r="B60" s="46"/>
      <c r="C60" s="47"/>
      <c r="D60" s="47"/>
      <c r="E60" s="48"/>
      <c r="F60" s="49"/>
      <c r="G60" s="49"/>
      <c r="H60" s="49"/>
      <c r="I60" s="49"/>
      <c r="J60" s="46"/>
      <c r="K60" s="47"/>
      <c r="L60" s="47"/>
      <c r="M60" s="47"/>
      <c r="N60" s="47"/>
      <c r="O60" s="48"/>
      <c r="P60" s="49"/>
      <c r="Q60" s="49"/>
      <c r="R60" s="49"/>
      <c r="S60" s="49"/>
    </row>
    <row r="61" spans="1:19" ht="18" customHeight="1" x14ac:dyDescent="0.2">
      <c r="A61" s="12"/>
      <c r="B61" s="46"/>
      <c r="C61" s="47"/>
      <c r="D61" s="47"/>
      <c r="E61" s="48"/>
      <c r="F61" s="49"/>
      <c r="G61" s="49"/>
      <c r="H61" s="49"/>
      <c r="I61" s="49"/>
      <c r="J61" s="46"/>
      <c r="K61" s="47"/>
      <c r="L61" s="47"/>
      <c r="M61" s="47"/>
      <c r="N61" s="47"/>
      <c r="O61" s="48"/>
      <c r="P61" s="49"/>
      <c r="Q61" s="49"/>
      <c r="R61" s="49"/>
      <c r="S61" s="49"/>
    </row>
    <row r="62" spans="1:19" ht="18" customHeight="1" x14ac:dyDescent="0.2">
      <c r="A62" s="12"/>
      <c r="B62" s="46"/>
      <c r="C62" s="47"/>
      <c r="D62" s="47"/>
      <c r="E62" s="48"/>
      <c r="F62" s="49"/>
      <c r="G62" s="49"/>
      <c r="H62" s="49"/>
      <c r="I62" s="49"/>
      <c r="J62" s="46"/>
      <c r="K62" s="47"/>
      <c r="L62" s="47"/>
      <c r="M62" s="47"/>
      <c r="N62" s="47"/>
      <c r="O62" s="48"/>
      <c r="P62" s="49"/>
      <c r="Q62" s="49"/>
      <c r="R62" s="49"/>
      <c r="S62" s="49"/>
    </row>
    <row r="63" spans="1:19" ht="18" customHeight="1" x14ac:dyDescent="0.2">
      <c r="A63" s="12"/>
      <c r="B63" s="46"/>
      <c r="C63" s="47"/>
      <c r="D63" s="47"/>
      <c r="E63" s="48"/>
      <c r="F63" s="49"/>
      <c r="G63" s="49"/>
      <c r="H63" s="49"/>
      <c r="I63" s="49"/>
      <c r="J63" s="46"/>
      <c r="K63" s="47"/>
      <c r="L63" s="47"/>
      <c r="M63" s="47"/>
      <c r="N63" s="47"/>
      <c r="O63" s="48"/>
      <c r="P63" s="49"/>
      <c r="Q63" s="49"/>
      <c r="R63" s="49"/>
      <c r="S63" s="49"/>
    </row>
    <row r="64" spans="1:19" ht="18" customHeight="1" x14ac:dyDescent="0.2">
      <c r="A64" s="12"/>
      <c r="B64" s="50"/>
      <c r="C64" s="51"/>
      <c r="D64" s="51"/>
      <c r="E64" s="52"/>
      <c r="F64" s="53"/>
      <c r="G64" s="53"/>
      <c r="H64" s="54"/>
      <c r="I64" s="54"/>
      <c r="J64" s="50"/>
      <c r="K64" s="51"/>
      <c r="L64" s="51"/>
      <c r="M64" s="51"/>
      <c r="N64" s="51"/>
      <c r="O64" s="52"/>
      <c r="P64" s="53"/>
      <c r="Q64" s="53"/>
      <c r="R64" s="54"/>
      <c r="S64" s="54"/>
    </row>
    <row r="65" spans="1:19" ht="7.5" customHeight="1" x14ac:dyDescent="0.2">
      <c r="B65" s="55"/>
      <c r="C65" s="55"/>
      <c r="D65" s="55"/>
      <c r="E65" s="55"/>
      <c r="F65" s="55"/>
      <c r="G65" s="55"/>
      <c r="H65" s="55"/>
      <c r="I65" s="55"/>
      <c r="J65" s="55"/>
      <c r="K65" s="55"/>
      <c r="L65" s="55"/>
      <c r="M65" s="55"/>
      <c r="N65" s="55"/>
      <c r="O65" s="55"/>
      <c r="P65" s="55"/>
      <c r="Q65" s="55"/>
      <c r="R65" s="55"/>
    </row>
    <row r="66" spans="1:19" ht="18" customHeight="1" x14ac:dyDescent="0.2">
      <c r="A66" s="38" t="s">
        <v>118</v>
      </c>
      <c r="B66" s="38"/>
      <c r="C66" s="38"/>
      <c r="D66" s="38"/>
      <c r="E66" s="38"/>
      <c r="F66" s="38"/>
      <c r="G66" s="38"/>
      <c r="H66" s="38"/>
      <c r="I66" s="38"/>
      <c r="J66" s="38"/>
      <c r="K66" s="38"/>
      <c r="L66" s="38"/>
      <c r="M66" s="38"/>
      <c r="N66" s="38"/>
      <c r="O66" s="38"/>
      <c r="P66" s="38"/>
      <c r="Q66" s="38"/>
      <c r="R66" s="38"/>
      <c r="S66" s="38"/>
    </row>
    <row r="67" spans="1:19" ht="18" customHeight="1" x14ac:dyDescent="0.2">
      <c r="A67" s="38"/>
      <c r="B67" s="38"/>
      <c r="C67" s="38"/>
      <c r="D67" s="38"/>
      <c r="E67" s="38"/>
      <c r="F67" s="38"/>
      <c r="G67" s="38"/>
      <c r="H67" s="38"/>
      <c r="I67" s="38"/>
      <c r="J67" s="38"/>
      <c r="K67" s="38"/>
      <c r="L67" s="38"/>
      <c r="M67" s="38"/>
      <c r="N67" s="38"/>
      <c r="O67" s="38"/>
      <c r="P67" s="38"/>
      <c r="Q67" s="38"/>
      <c r="R67" s="38"/>
      <c r="S67" s="38"/>
    </row>
    <row r="68" spans="1:19" ht="18" customHeight="1" x14ac:dyDescent="0.2">
      <c r="B68" s="5" t="s">
        <v>54</v>
      </c>
      <c r="C68" s="6"/>
      <c r="D68" s="6"/>
      <c r="E68" s="39" t="s">
        <v>81</v>
      </c>
      <c r="F68" s="40" t="s">
        <v>85</v>
      </c>
      <c r="G68" s="41" t="s">
        <v>102</v>
      </c>
      <c r="H68" s="41" t="s">
        <v>76</v>
      </c>
      <c r="I68" s="41" t="s">
        <v>77</v>
      </c>
      <c r="J68" s="5" t="s">
        <v>54</v>
      </c>
      <c r="K68" s="6"/>
      <c r="L68" s="6"/>
      <c r="M68" s="6"/>
      <c r="N68" s="7"/>
      <c r="O68" s="39" t="s">
        <v>81</v>
      </c>
      <c r="P68" s="40" t="s">
        <v>85</v>
      </c>
      <c r="Q68" s="41" t="s">
        <v>102</v>
      </c>
      <c r="R68" s="41" t="s">
        <v>76</v>
      </c>
      <c r="S68" s="41" t="s">
        <v>77</v>
      </c>
    </row>
    <row r="69" spans="1:19" ht="18" customHeight="1" x14ac:dyDescent="0.2">
      <c r="A69" s="12"/>
      <c r="B69" s="42" t="s">
        <v>127</v>
      </c>
      <c r="C69" s="43"/>
      <c r="D69" s="43"/>
      <c r="E69" s="45">
        <v>2</v>
      </c>
      <c r="F69" s="45" t="s">
        <v>130</v>
      </c>
      <c r="G69" s="45" t="s">
        <v>130</v>
      </c>
      <c r="H69" s="45" t="s">
        <v>130</v>
      </c>
      <c r="I69" s="45" t="s">
        <v>130</v>
      </c>
      <c r="J69" s="42"/>
      <c r="K69" s="43"/>
      <c r="L69" s="43"/>
      <c r="M69" s="43"/>
      <c r="N69" s="44"/>
      <c r="O69" s="45"/>
      <c r="P69" s="45"/>
      <c r="Q69" s="45"/>
      <c r="R69" s="45"/>
      <c r="S69" s="45"/>
    </row>
    <row r="70" spans="1:19" ht="18" customHeight="1" x14ac:dyDescent="0.2">
      <c r="A70" s="12"/>
      <c r="B70" s="46"/>
      <c r="C70" s="47"/>
      <c r="D70" s="47"/>
      <c r="E70" s="49"/>
      <c r="F70" s="49"/>
      <c r="G70" s="49"/>
      <c r="H70" s="49"/>
      <c r="I70" s="49"/>
      <c r="J70" s="46"/>
      <c r="K70" s="47"/>
      <c r="L70" s="47"/>
      <c r="M70" s="47"/>
      <c r="N70" s="48"/>
      <c r="O70" s="49"/>
      <c r="P70" s="49"/>
      <c r="Q70" s="49"/>
      <c r="R70" s="49"/>
      <c r="S70" s="49"/>
    </row>
    <row r="71" spans="1:19" ht="18" customHeight="1" x14ac:dyDescent="0.2">
      <c r="A71" s="12"/>
      <c r="B71" s="46"/>
      <c r="C71" s="47"/>
      <c r="D71" s="47"/>
      <c r="E71" s="49"/>
      <c r="F71" s="49"/>
      <c r="G71" s="49"/>
      <c r="H71" s="49"/>
      <c r="I71" s="49"/>
      <c r="J71" s="46"/>
      <c r="K71" s="47"/>
      <c r="L71" s="47"/>
      <c r="M71" s="47"/>
      <c r="N71" s="48"/>
      <c r="O71" s="49"/>
      <c r="P71" s="49"/>
      <c r="Q71" s="49"/>
      <c r="R71" s="49"/>
      <c r="S71" s="49"/>
    </row>
    <row r="72" spans="1:19" ht="18" customHeight="1" x14ac:dyDescent="0.2">
      <c r="A72" s="12"/>
      <c r="B72" s="46"/>
      <c r="C72" s="47"/>
      <c r="D72" s="47"/>
      <c r="E72" s="49"/>
      <c r="F72" s="49"/>
      <c r="G72" s="49"/>
      <c r="H72" s="49"/>
      <c r="I72" s="49"/>
      <c r="J72" s="46"/>
      <c r="K72" s="47"/>
      <c r="L72" s="47"/>
      <c r="M72" s="47"/>
      <c r="N72" s="48"/>
      <c r="O72" s="49"/>
      <c r="P72" s="49"/>
      <c r="Q72" s="49"/>
      <c r="R72" s="49"/>
      <c r="S72" s="49"/>
    </row>
    <row r="73" spans="1:19" ht="18" customHeight="1" x14ac:dyDescent="0.2">
      <c r="A73" s="12"/>
      <c r="B73" s="46"/>
      <c r="C73" s="47"/>
      <c r="D73" s="47"/>
      <c r="E73" s="49"/>
      <c r="F73" s="49"/>
      <c r="G73" s="49"/>
      <c r="H73" s="49"/>
      <c r="I73" s="49"/>
      <c r="J73" s="46"/>
      <c r="K73" s="47"/>
      <c r="L73" s="47"/>
      <c r="M73" s="47"/>
      <c r="N73" s="48"/>
      <c r="O73" s="49"/>
      <c r="P73" s="49"/>
      <c r="Q73" s="49"/>
      <c r="R73" s="49"/>
      <c r="S73" s="49"/>
    </row>
    <row r="74" spans="1:19" ht="18" customHeight="1" x14ac:dyDescent="0.2">
      <c r="A74" s="12"/>
      <c r="B74" s="46"/>
      <c r="C74" s="47"/>
      <c r="D74" s="47"/>
      <c r="E74" s="49"/>
      <c r="F74" s="49"/>
      <c r="G74" s="49"/>
      <c r="H74" s="49"/>
      <c r="I74" s="49"/>
      <c r="J74" s="46"/>
      <c r="K74" s="47"/>
      <c r="L74" s="47"/>
      <c r="M74" s="47"/>
      <c r="N74" s="48"/>
      <c r="O74" s="49"/>
      <c r="P74" s="49"/>
      <c r="Q74" s="49"/>
      <c r="R74" s="49"/>
      <c r="S74" s="49"/>
    </row>
    <row r="75" spans="1:19" ht="18" customHeight="1" x14ac:dyDescent="0.2">
      <c r="A75" s="12"/>
      <c r="B75" s="50"/>
      <c r="C75" s="51"/>
      <c r="D75" s="51"/>
      <c r="E75" s="53"/>
      <c r="F75" s="53"/>
      <c r="G75" s="54"/>
      <c r="H75" s="54"/>
      <c r="I75" s="54"/>
      <c r="J75" s="50"/>
      <c r="K75" s="51"/>
      <c r="L75" s="51"/>
      <c r="M75" s="51"/>
      <c r="N75" s="52"/>
      <c r="O75" s="53"/>
      <c r="P75" s="53"/>
      <c r="Q75" s="54"/>
      <c r="R75" s="54"/>
      <c r="S75" s="54"/>
    </row>
    <row r="76" spans="1:19" ht="7.5" customHeight="1" x14ac:dyDescent="0.2">
      <c r="B76" s="55"/>
      <c r="C76" s="55"/>
      <c r="D76" s="55"/>
      <c r="E76" s="55"/>
      <c r="F76" s="55"/>
      <c r="G76" s="55"/>
      <c r="H76" s="55"/>
      <c r="I76" s="55"/>
      <c r="J76" s="55"/>
      <c r="K76" s="55"/>
      <c r="L76" s="55"/>
      <c r="M76" s="55"/>
      <c r="N76" s="55"/>
      <c r="O76" s="55"/>
      <c r="P76" s="55"/>
      <c r="Q76" s="55"/>
      <c r="R76" s="55"/>
    </row>
    <row r="77" spans="1:19" ht="18" customHeight="1" x14ac:dyDescent="0.2">
      <c r="A77" s="1" t="s">
        <v>119</v>
      </c>
      <c r="H77" s="12"/>
      <c r="I77" s="12"/>
      <c r="J77" s="12"/>
      <c r="K77" s="12"/>
      <c r="L77" s="12"/>
      <c r="M77" s="12"/>
      <c r="N77" s="12"/>
      <c r="O77" s="12"/>
      <c r="P77" s="12"/>
      <c r="Q77" s="12"/>
      <c r="R77" s="12"/>
      <c r="S77" s="12"/>
    </row>
    <row r="78" spans="1:19" ht="18" customHeight="1" x14ac:dyDescent="0.2">
      <c r="B78" s="5" t="s">
        <v>54</v>
      </c>
      <c r="C78" s="6"/>
      <c r="D78" s="6"/>
      <c r="E78" s="7"/>
      <c r="F78" s="5" t="s">
        <v>83</v>
      </c>
      <c r="G78" s="6"/>
      <c r="H78" s="6"/>
      <c r="I78" s="7"/>
      <c r="J78" s="56" t="s">
        <v>54</v>
      </c>
      <c r="K78" s="57"/>
      <c r="L78" s="57"/>
      <c r="M78" s="57"/>
      <c r="N78" s="57"/>
      <c r="O78" s="58"/>
      <c r="P78" s="5" t="s">
        <v>83</v>
      </c>
      <c r="Q78" s="6"/>
      <c r="R78" s="6"/>
      <c r="S78" s="7"/>
    </row>
    <row r="79" spans="1:19" ht="18" customHeight="1" x14ac:dyDescent="0.2">
      <c r="A79" s="12"/>
      <c r="B79" s="42"/>
      <c r="C79" s="43"/>
      <c r="D79" s="43"/>
      <c r="E79" s="44"/>
      <c r="F79" s="59"/>
      <c r="G79" s="60"/>
      <c r="H79" s="60"/>
      <c r="I79" s="61"/>
      <c r="J79" s="42"/>
      <c r="K79" s="43"/>
      <c r="L79" s="43"/>
      <c r="M79" s="43"/>
      <c r="N79" s="43"/>
      <c r="O79" s="44"/>
      <c r="P79" s="59"/>
      <c r="Q79" s="60"/>
      <c r="R79" s="60"/>
      <c r="S79" s="61"/>
    </row>
    <row r="80" spans="1:19" ht="18" customHeight="1" x14ac:dyDescent="0.2">
      <c r="A80" s="12"/>
      <c r="B80" s="46"/>
      <c r="C80" s="47"/>
      <c r="D80" s="47"/>
      <c r="E80" s="48"/>
      <c r="F80" s="62"/>
      <c r="G80" s="63"/>
      <c r="H80" s="63"/>
      <c r="I80" s="64"/>
      <c r="J80" s="46"/>
      <c r="K80" s="47"/>
      <c r="L80" s="47"/>
      <c r="M80" s="47"/>
      <c r="N80" s="47"/>
      <c r="O80" s="48"/>
      <c r="P80" s="62"/>
      <c r="Q80" s="63"/>
      <c r="R80" s="63"/>
      <c r="S80" s="64"/>
    </row>
    <row r="81" spans="1:24" ht="18" customHeight="1" x14ac:dyDescent="0.2">
      <c r="A81" s="12"/>
      <c r="B81" s="46"/>
      <c r="C81" s="47"/>
      <c r="D81" s="47"/>
      <c r="E81" s="48"/>
      <c r="F81" s="62"/>
      <c r="G81" s="63"/>
      <c r="H81" s="63"/>
      <c r="I81" s="64"/>
      <c r="J81" s="46"/>
      <c r="K81" s="47"/>
      <c r="L81" s="47"/>
      <c r="M81" s="47"/>
      <c r="N81" s="47"/>
      <c r="O81" s="48"/>
      <c r="P81" s="62"/>
      <c r="Q81" s="63"/>
      <c r="R81" s="63"/>
      <c r="S81" s="64"/>
    </row>
    <row r="82" spans="1:24" ht="18" customHeight="1" x14ac:dyDescent="0.2">
      <c r="A82" s="12"/>
      <c r="B82" s="46"/>
      <c r="C82" s="47"/>
      <c r="D82" s="47"/>
      <c r="E82" s="48"/>
      <c r="F82" s="62"/>
      <c r="G82" s="63"/>
      <c r="H82" s="63"/>
      <c r="I82" s="64"/>
      <c r="J82" s="46"/>
      <c r="K82" s="47"/>
      <c r="L82" s="47"/>
      <c r="M82" s="47"/>
      <c r="N82" s="47"/>
      <c r="O82" s="48"/>
      <c r="P82" s="62"/>
      <c r="Q82" s="63"/>
      <c r="R82" s="63"/>
      <c r="S82" s="64"/>
    </row>
    <row r="83" spans="1:24" ht="18" customHeight="1" x14ac:dyDescent="0.2">
      <c r="A83" s="12"/>
      <c r="B83" s="46"/>
      <c r="C83" s="47"/>
      <c r="D83" s="47"/>
      <c r="E83" s="48"/>
      <c r="F83" s="62"/>
      <c r="G83" s="63"/>
      <c r="H83" s="63"/>
      <c r="I83" s="64"/>
      <c r="J83" s="46"/>
      <c r="K83" s="47"/>
      <c r="L83" s="47"/>
      <c r="M83" s="47"/>
      <c r="N83" s="47"/>
      <c r="O83" s="48"/>
      <c r="P83" s="62"/>
      <c r="Q83" s="63"/>
      <c r="R83" s="63"/>
      <c r="S83" s="64"/>
    </row>
    <row r="84" spans="1:24" ht="18" customHeight="1" x14ac:dyDescent="0.2">
      <c r="A84" s="12"/>
      <c r="B84" s="46"/>
      <c r="C84" s="47"/>
      <c r="D84" s="47"/>
      <c r="E84" s="48"/>
      <c r="F84" s="62"/>
      <c r="G84" s="63"/>
      <c r="H84" s="63"/>
      <c r="I84" s="64"/>
      <c r="J84" s="46"/>
      <c r="K84" s="47"/>
      <c r="L84" s="47"/>
      <c r="M84" s="47"/>
      <c r="N84" s="47"/>
      <c r="O84" s="48"/>
      <c r="P84" s="62"/>
      <c r="Q84" s="63"/>
      <c r="R84" s="63"/>
      <c r="S84" s="64"/>
    </row>
    <row r="85" spans="1:24" ht="18" customHeight="1" x14ac:dyDescent="0.2">
      <c r="A85" s="12"/>
      <c r="B85" s="50"/>
      <c r="C85" s="51"/>
      <c r="D85" s="51"/>
      <c r="E85" s="52"/>
      <c r="F85" s="65"/>
      <c r="G85" s="66"/>
      <c r="H85" s="66"/>
      <c r="I85" s="67"/>
      <c r="J85" s="50"/>
      <c r="K85" s="51"/>
      <c r="L85" s="51"/>
      <c r="M85" s="51"/>
      <c r="N85" s="51"/>
      <c r="O85" s="52"/>
      <c r="P85" s="65"/>
      <c r="Q85" s="66"/>
      <c r="R85" s="66"/>
      <c r="S85" s="67"/>
    </row>
    <row r="86" spans="1:24" ht="18" customHeight="1" x14ac:dyDescent="0.2">
      <c r="A86" s="12"/>
      <c r="B86" s="9"/>
      <c r="C86" s="9"/>
      <c r="D86" s="9"/>
      <c r="E86" s="9"/>
      <c r="F86" s="68"/>
      <c r="G86" s="68"/>
      <c r="H86" s="68"/>
      <c r="I86" s="68"/>
      <c r="J86" s="9"/>
      <c r="K86" s="9"/>
      <c r="L86" s="9"/>
      <c r="M86" s="9"/>
      <c r="N86" s="9"/>
      <c r="O86" s="9"/>
      <c r="P86" s="68"/>
      <c r="Q86" s="68"/>
      <c r="R86" s="68"/>
      <c r="S86" s="68"/>
    </row>
    <row r="87" spans="1:24" ht="18.75" customHeight="1" x14ac:dyDescent="0.2">
      <c r="A87" s="1" t="s">
        <v>120</v>
      </c>
    </row>
    <row r="88" spans="1:24" ht="18.75" customHeight="1" x14ac:dyDescent="0.2">
      <c r="B88" s="69" t="s">
        <v>55</v>
      </c>
      <c r="C88" s="70"/>
      <c r="D88" s="6" t="s">
        <v>56</v>
      </c>
      <c r="E88" s="6"/>
      <c r="F88" s="6"/>
      <c r="G88" s="6"/>
      <c r="H88" s="6"/>
      <c r="I88" s="6"/>
      <c r="J88" s="6"/>
      <c r="K88" s="6"/>
      <c r="L88" s="6"/>
      <c r="M88" s="6"/>
      <c r="N88" s="6"/>
      <c r="O88" s="6"/>
      <c r="P88" s="6"/>
      <c r="Q88" s="6"/>
      <c r="R88" s="6"/>
      <c r="S88" s="7"/>
    </row>
    <row r="89" spans="1:24" ht="97.5" customHeight="1" x14ac:dyDescent="0.2">
      <c r="B89" s="71" t="s">
        <v>62</v>
      </c>
      <c r="C89" s="72" t="s">
        <v>57</v>
      </c>
      <c r="D89" s="73" t="s">
        <v>158</v>
      </c>
      <c r="E89" s="74"/>
      <c r="F89" s="74"/>
      <c r="G89" s="74"/>
      <c r="H89" s="74"/>
      <c r="I89" s="74"/>
      <c r="J89" s="74"/>
      <c r="K89" s="74"/>
      <c r="L89" s="74"/>
      <c r="M89" s="74"/>
      <c r="N89" s="74"/>
      <c r="O89" s="74"/>
      <c r="P89" s="74"/>
      <c r="Q89" s="74"/>
      <c r="R89" s="74"/>
      <c r="S89" s="75"/>
    </row>
    <row r="90" spans="1:24" ht="97.5" customHeight="1" x14ac:dyDescent="0.2">
      <c r="B90" s="76"/>
      <c r="C90" s="77" t="s">
        <v>78</v>
      </c>
      <c r="D90" s="78" t="s">
        <v>159</v>
      </c>
      <c r="E90" s="79"/>
      <c r="F90" s="79"/>
      <c r="G90" s="79"/>
      <c r="H90" s="79"/>
      <c r="I90" s="79"/>
      <c r="J90" s="79"/>
      <c r="K90" s="79"/>
      <c r="L90" s="79"/>
      <c r="M90" s="79"/>
      <c r="N90" s="79"/>
      <c r="O90" s="79"/>
      <c r="P90" s="79"/>
      <c r="Q90" s="79"/>
      <c r="R90" s="79"/>
      <c r="S90" s="80"/>
      <c r="X90" s="81"/>
    </row>
    <row r="91" spans="1:24" ht="97.5" customHeight="1" x14ac:dyDescent="0.2">
      <c r="B91" s="71" t="s">
        <v>63</v>
      </c>
      <c r="C91" s="82" t="s">
        <v>72</v>
      </c>
      <c r="D91" s="83" t="s">
        <v>160</v>
      </c>
      <c r="E91" s="84"/>
      <c r="F91" s="84"/>
      <c r="G91" s="84"/>
      <c r="H91" s="84"/>
      <c r="I91" s="84"/>
      <c r="J91" s="84"/>
      <c r="K91" s="84"/>
      <c r="L91" s="84"/>
      <c r="M91" s="84"/>
      <c r="N91" s="84"/>
      <c r="O91" s="84"/>
      <c r="P91" s="84"/>
      <c r="Q91" s="84"/>
      <c r="R91" s="84"/>
      <c r="S91" s="85"/>
    </row>
    <row r="92" spans="1:24" ht="97.5" customHeight="1" x14ac:dyDescent="0.2">
      <c r="B92" s="86"/>
      <c r="C92" s="87" t="s">
        <v>73</v>
      </c>
      <c r="D92" s="88" t="s">
        <v>161</v>
      </c>
      <c r="E92" s="89"/>
      <c r="F92" s="89"/>
      <c r="G92" s="89"/>
      <c r="H92" s="89"/>
      <c r="I92" s="89"/>
      <c r="J92" s="89"/>
      <c r="K92" s="89"/>
      <c r="L92" s="89"/>
      <c r="M92" s="89"/>
      <c r="N92" s="89"/>
      <c r="O92" s="89"/>
      <c r="P92" s="89"/>
      <c r="Q92" s="89"/>
      <c r="R92" s="89"/>
      <c r="S92" s="90"/>
    </row>
    <row r="93" spans="1:24" ht="97.5" customHeight="1" x14ac:dyDescent="0.2">
      <c r="B93" s="71" t="s">
        <v>64</v>
      </c>
      <c r="C93" s="82" t="s">
        <v>74</v>
      </c>
      <c r="D93" s="83" t="s">
        <v>162</v>
      </c>
      <c r="E93" s="84"/>
      <c r="F93" s="84"/>
      <c r="G93" s="84"/>
      <c r="H93" s="84"/>
      <c r="I93" s="84"/>
      <c r="J93" s="84"/>
      <c r="K93" s="84"/>
      <c r="L93" s="84"/>
      <c r="M93" s="84"/>
      <c r="N93" s="84"/>
      <c r="O93" s="84"/>
      <c r="P93" s="84"/>
      <c r="Q93" s="84"/>
      <c r="R93" s="84"/>
      <c r="S93" s="85"/>
    </row>
    <row r="94" spans="1:24" ht="97.5" customHeight="1" x14ac:dyDescent="0.2">
      <c r="B94" s="86"/>
      <c r="C94" s="91" t="s">
        <v>75</v>
      </c>
      <c r="D94" s="92" t="s">
        <v>163</v>
      </c>
      <c r="E94" s="93"/>
      <c r="F94" s="93"/>
      <c r="G94" s="93"/>
      <c r="H94" s="93"/>
      <c r="I94" s="93"/>
      <c r="J94" s="93"/>
      <c r="K94" s="93"/>
      <c r="L94" s="93"/>
      <c r="M94" s="93"/>
      <c r="N94" s="93"/>
      <c r="O94" s="93"/>
      <c r="P94" s="93"/>
      <c r="Q94" s="93"/>
      <c r="R94" s="93"/>
      <c r="S94" s="94"/>
    </row>
    <row r="95" spans="1:24" ht="97.5" customHeight="1" x14ac:dyDescent="0.2">
      <c r="B95" s="71" t="s">
        <v>79</v>
      </c>
      <c r="C95" s="72" t="s">
        <v>59</v>
      </c>
      <c r="D95" s="95" t="s">
        <v>164</v>
      </c>
      <c r="E95" s="96"/>
      <c r="F95" s="96"/>
      <c r="G95" s="96"/>
      <c r="H95" s="96"/>
      <c r="I95" s="96"/>
      <c r="J95" s="96"/>
      <c r="K95" s="96"/>
      <c r="L95" s="96"/>
      <c r="M95" s="96"/>
      <c r="N95" s="96"/>
      <c r="O95" s="96"/>
      <c r="P95" s="96"/>
      <c r="Q95" s="96"/>
      <c r="R95" s="96"/>
      <c r="S95" s="97"/>
      <c r="T95" s="98"/>
    </row>
    <row r="96" spans="1:24" ht="97.5" customHeight="1" x14ac:dyDescent="0.2">
      <c r="B96" s="86"/>
      <c r="C96" s="87" t="s">
        <v>61</v>
      </c>
      <c r="D96" s="99" t="s">
        <v>165</v>
      </c>
      <c r="E96" s="100"/>
      <c r="F96" s="100"/>
      <c r="G96" s="100"/>
      <c r="H96" s="100"/>
      <c r="I96" s="100"/>
      <c r="J96" s="100"/>
      <c r="K96" s="100"/>
      <c r="L96" s="100"/>
      <c r="M96" s="100"/>
      <c r="N96" s="100"/>
      <c r="O96" s="100"/>
      <c r="P96" s="100"/>
      <c r="Q96" s="100"/>
      <c r="R96" s="100"/>
      <c r="S96" s="101"/>
    </row>
    <row r="97" spans="1:19" ht="169.2" customHeight="1" x14ac:dyDescent="0.2">
      <c r="B97" s="71" t="s">
        <v>80</v>
      </c>
      <c r="C97" s="82" t="s">
        <v>58</v>
      </c>
      <c r="D97" s="102" t="s">
        <v>166</v>
      </c>
      <c r="E97" s="103"/>
      <c r="F97" s="103"/>
      <c r="G97" s="103"/>
      <c r="H97" s="103"/>
      <c r="I97" s="103"/>
      <c r="J97" s="103"/>
      <c r="K97" s="103"/>
      <c r="L97" s="103"/>
      <c r="M97" s="103"/>
      <c r="N97" s="103"/>
      <c r="O97" s="103"/>
      <c r="P97" s="103"/>
      <c r="Q97" s="103"/>
      <c r="R97" s="103"/>
      <c r="S97" s="104"/>
    </row>
    <row r="98" spans="1:19" ht="97.5" customHeight="1" x14ac:dyDescent="0.2">
      <c r="B98" s="76"/>
      <c r="C98" s="105" t="s">
        <v>76</v>
      </c>
      <c r="D98" s="106" t="s">
        <v>167</v>
      </c>
      <c r="E98" s="107"/>
      <c r="F98" s="107"/>
      <c r="G98" s="107"/>
      <c r="H98" s="107"/>
      <c r="I98" s="107"/>
      <c r="J98" s="107"/>
      <c r="K98" s="107"/>
      <c r="L98" s="107"/>
      <c r="M98" s="107"/>
      <c r="N98" s="107"/>
      <c r="O98" s="107"/>
      <c r="P98" s="107"/>
      <c r="Q98" s="107"/>
      <c r="R98" s="107"/>
      <c r="S98" s="108"/>
    </row>
    <row r="99" spans="1:19" ht="97.5" customHeight="1" x14ac:dyDescent="0.2">
      <c r="B99" s="86"/>
      <c r="C99" s="91" t="s">
        <v>77</v>
      </c>
      <c r="D99" s="109" t="s">
        <v>168</v>
      </c>
      <c r="E99" s="110"/>
      <c r="F99" s="110"/>
      <c r="G99" s="110"/>
      <c r="H99" s="110"/>
      <c r="I99" s="110"/>
      <c r="J99" s="110"/>
      <c r="K99" s="110"/>
      <c r="L99" s="110"/>
      <c r="M99" s="110"/>
      <c r="N99" s="110"/>
      <c r="O99" s="110"/>
      <c r="P99" s="110"/>
      <c r="Q99" s="110"/>
      <c r="R99" s="110"/>
      <c r="S99" s="111"/>
    </row>
    <row r="100" spans="1:19" ht="6" customHeight="1" x14ac:dyDescent="0.2"/>
    <row r="101" spans="1:19" ht="18.75" customHeight="1" x14ac:dyDescent="0.2">
      <c r="A101" s="1" t="s">
        <v>121</v>
      </c>
    </row>
    <row r="102" spans="1:19" ht="81.75" customHeight="1" x14ac:dyDescent="0.2">
      <c r="B102" s="112" t="s">
        <v>136</v>
      </c>
      <c r="C102" s="113"/>
      <c r="D102" s="113"/>
      <c r="E102" s="113"/>
      <c r="F102" s="113"/>
      <c r="G102" s="113"/>
      <c r="H102" s="113"/>
      <c r="I102" s="113"/>
      <c r="J102" s="113"/>
      <c r="K102" s="113"/>
      <c r="L102" s="113"/>
      <c r="M102" s="113"/>
      <c r="N102" s="113"/>
      <c r="O102" s="113"/>
      <c r="P102" s="113"/>
      <c r="Q102" s="113"/>
      <c r="R102" s="113"/>
      <c r="S102" s="114"/>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8F48BF5B-8B9D-4949-BB3B-D3895E92F97D}">
      <formula1>"○"</formula1>
    </dataValidation>
    <dataValidation type="list" allowBlank="1" showInputMessage="1" showErrorMessage="1" sqref="S32 S43 D32:G32 D43:G43" xr:uid="{BB05B0AF-21A9-4246-97E1-67D3A612052D}">
      <formula1>"全学開講,一部開講"</formula1>
    </dataValidation>
    <dataValidation type="list" allowBlank="1" showInputMessage="1" showErrorMessage="1" sqref="K7 K12" xr:uid="{CD4EED73-C503-4FD3-8C3B-38DF173DE5F8}">
      <formula1>"学部・学科によって、修了要件は相違する,学部・学科によって、修了要件は相違しない"</formula1>
    </dataValidation>
    <dataValidation type="list" allowBlank="1" showInputMessage="1" showErrorMessage="1" sqref="F79:F86 P79:P86 G79:I80 G83:I86 Q83:S86 Q79:S80" xr:uid="{23910EC7-7F34-4A72-892E-0568338DB4C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F41C8EE7-7C42-4464-B6BD-32C46C4E51E8}">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horizontalDpi="4294967293"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zoomScale="80" zoomScaleNormal="100" zoomScaleSheetLayoutView="80" workbookViewId="0">
      <selection activeCell="M6" sqref="M6"/>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8"/>
      <c r="Q2" s="8"/>
      <c r="W2" s="8"/>
      <c r="AC2" s="8"/>
      <c r="AI2" s="8"/>
      <c r="AL2" s="8" t="s">
        <v>109</v>
      </c>
      <c r="AM2" s="228" t="str">
        <f>'様式１　プログラムを構成する授業科目'!C2</f>
        <v>十文字学園女子大学</v>
      </c>
      <c r="AN2" s="228"/>
      <c r="AO2" s="228"/>
      <c r="AP2" s="228"/>
      <c r="AQ2" s="228"/>
    </row>
    <row r="3" spans="1:45" ht="18" customHeight="1" x14ac:dyDescent="0.2">
      <c r="A3" s="11" t="s">
        <v>48</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row>
    <row r="4" spans="1:45" ht="7.5" customHeight="1" x14ac:dyDescent="0.2">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row>
    <row r="5" spans="1:45" ht="18" customHeight="1" x14ac:dyDescent="0.2">
      <c r="A5" s="1" t="s">
        <v>84</v>
      </c>
      <c r="C5" s="229" t="s">
        <v>156</v>
      </c>
      <c r="D5" s="230"/>
      <c r="E5" s="12" t="s">
        <v>53</v>
      </c>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9"/>
      <c r="AQ5" s="9"/>
    </row>
    <row r="6" spans="1:45" ht="6" customHeight="1" x14ac:dyDescent="0.2">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row>
    <row r="7" spans="1:45" ht="18" customHeight="1" x14ac:dyDescent="0.2">
      <c r="A7" s="1" t="s">
        <v>82</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row>
    <row r="8" spans="1:45" ht="6" customHeight="1" x14ac:dyDescent="0.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row>
    <row r="9" spans="1:45" ht="18" customHeight="1" x14ac:dyDescent="0.2">
      <c r="B9" s="231" t="s">
        <v>45</v>
      </c>
      <c r="C9" s="232" t="s">
        <v>87</v>
      </c>
      <c r="D9" s="233" t="s">
        <v>47</v>
      </c>
      <c r="E9" s="234" t="s">
        <v>40</v>
      </c>
      <c r="F9" s="235" t="s">
        <v>86</v>
      </c>
      <c r="G9" s="235"/>
      <c r="H9" s="235"/>
      <c r="I9" s="235"/>
      <c r="J9" s="235"/>
      <c r="K9" s="235"/>
      <c r="L9" s="235" t="s">
        <v>49</v>
      </c>
      <c r="M9" s="235"/>
      <c r="N9" s="235"/>
      <c r="O9" s="235"/>
      <c r="P9" s="235"/>
      <c r="Q9" s="235"/>
      <c r="R9" s="235" t="s">
        <v>50</v>
      </c>
      <c r="S9" s="235"/>
      <c r="T9" s="235"/>
      <c r="U9" s="235"/>
      <c r="V9" s="235"/>
      <c r="W9" s="235"/>
      <c r="X9" s="235" t="s">
        <v>101</v>
      </c>
      <c r="Y9" s="235"/>
      <c r="Z9" s="235"/>
      <c r="AA9" s="235"/>
      <c r="AB9" s="235"/>
      <c r="AC9" s="235"/>
      <c r="AD9" s="235" t="s">
        <v>51</v>
      </c>
      <c r="AE9" s="235"/>
      <c r="AF9" s="235"/>
      <c r="AG9" s="235"/>
      <c r="AH9" s="235"/>
      <c r="AI9" s="235"/>
      <c r="AJ9" s="235" t="s">
        <v>52</v>
      </c>
      <c r="AK9" s="235"/>
      <c r="AL9" s="235"/>
      <c r="AM9" s="235"/>
      <c r="AN9" s="235"/>
      <c r="AO9" s="235"/>
      <c r="AP9" s="236" t="s">
        <v>35</v>
      </c>
      <c r="AQ9" s="237" t="s">
        <v>32</v>
      </c>
      <c r="AS9" s="3"/>
    </row>
    <row r="10" spans="1:45" ht="16.95" customHeight="1" x14ac:dyDescent="0.2">
      <c r="B10" s="238"/>
      <c r="C10" s="239"/>
      <c r="D10" s="240"/>
      <c r="E10" s="241"/>
      <c r="F10" s="242" t="s">
        <v>97</v>
      </c>
      <c r="G10" s="243"/>
      <c r="H10" s="243"/>
      <c r="I10" s="242" t="s">
        <v>29</v>
      </c>
      <c r="J10" s="243"/>
      <c r="K10" s="243"/>
      <c r="L10" s="242" t="s">
        <v>97</v>
      </c>
      <c r="M10" s="243"/>
      <c r="N10" s="243"/>
      <c r="O10" s="242" t="s">
        <v>29</v>
      </c>
      <c r="P10" s="243"/>
      <c r="Q10" s="243"/>
      <c r="R10" s="242" t="s">
        <v>97</v>
      </c>
      <c r="S10" s="243"/>
      <c r="T10" s="243"/>
      <c r="U10" s="242" t="s">
        <v>29</v>
      </c>
      <c r="V10" s="243"/>
      <c r="W10" s="243"/>
      <c r="X10" s="242" t="s">
        <v>97</v>
      </c>
      <c r="Y10" s="243"/>
      <c r="Z10" s="243"/>
      <c r="AA10" s="242" t="s">
        <v>29</v>
      </c>
      <c r="AB10" s="243"/>
      <c r="AC10" s="243"/>
      <c r="AD10" s="242" t="s">
        <v>97</v>
      </c>
      <c r="AE10" s="243"/>
      <c r="AF10" s="243"/>
      <c r="AG10" s="242" t="s">
        <v>29</v>
      </c>
      <c r="AH10" s="243"/>
      <c r="AI10" s="243"/>
      <c r="AJ10" s="242" t="s">
        <v>97</v>
      </c>
      <c r="AK10" s="243"/>
      <c r="AL10" s="243"/>
      <c r="AM10" s="242" t="s">
        <v>29</v>
      </c>
      <c r="AN10" s="243"/>
      <c r="AO10" s="243"/>
      <c r="AP10" s="244"/>
      <c r="AQ10" s="245"/>
      <c r="AS10" s="3"/>
    </row>
    <row r="11" spans="1:45" ht="18" customHeight="1" x14ac:dyDescent="0.2">
      <c r="B11" s="246"/>
      <c r="C11" s="247"/>
      <c r="D11" s="248"/>
      <c r="E11" s="249"/>
      <c r="F11" s="250" t="s">
        <v>98</v>
      </c>
      <c r="G11" s="251" t="s">
        <v>99</v>
      </c>
      <c r="H11" s="252" t="s">
        <v>100</v>
      </c>
      <c r="I11" s="250" t="s">
        <v>98</v>
      </c>
      <c r="J11" s="251" t="s">
        <v>99</v>
      </c>
      <c r="K11" s="252" t="s">
        <v>100</v>
      </c>
      <c r="L11" s="250" t="s">
        <v>98</v>
      </c>
      <c r="M11" s="251" t="s">
        <v>99</v>
      </c>
      <c r="N11" s="252" t="s">
        <v>100</v>
      </c>
      <c r="O11" s="250" t="s">
        <v>98</v>
      </c>
      <c r="P11" s="251" t="s">
        <v>99</v>
      </c>
      <c r="Q11" s="252" t="s">
        <v>100</v>
      </c>
      <c r="R11" s="250" t="s">
        <v>98</v>
      </c>
      <c r="S11" s="251" t="s">
        <v>99</v>
      </c>
      <c r="T11" s="252" t="s">
        <v>100</v>
      </c>
      <c r="U11" s="250" t="s">
        <v>98</v>
      </c>
      <c r="V11" s="251" t="s">
        <v>99</v>
      </c>
      <c r="W11" s="252" t="s">
        <v>100</v>
      </c>
      <c r="X11" s="250" t="s">
        <v>98</v>
      </c>
      <c r="Y11" s="251" t="s">
        <v>99</v>
      </c>
      <c r="Z11" s="252" t="s">
        <v>100</v>
      </c>
      <c r="AA11" s="250" t="s">
        <v>98</v>
      </c>
      <c r="AB11" s="251" t="s">
        <v>99</v>
      </c>
      <c r="AC11" s="252" t="s">
        <v>100</v>
      </c>
      <c r="AD11" s="250" t="s">
        <v>98</v>
      </c>
      <c r="AE11" s="251" t="s">
        <v>99</v>
      </c>
      <c r="AF11" s="252" t="s">
        <v>100</v>
      </c>
      <c r="AG11" s="250" t="s">
        <v>98</v>
      </c>
      <c r="AH11" s="251" t="s">
        <v>99</v>
      </c>
      <c r="AI11" s="252" t="s">
        <v>100</v>
      </c>
      <c r="AJ11" s="250" t="s">
        <v>98</v>
      </c>
      <c r="AK11" s="251" t="s">
        <v>99</v>
      </c>
      <c r="AL11" s="252" t="s">
        <v>100</v>
      </c>
      <c r="AM11" s="250" t="s">
        <v>98</v>
      </c>
      <c r="AN11" s="251" t="s">
        <v>99</v>
      </c>
      <c r="AO11" s="252" t="s">
        <v>100</v>
      </c>
      <c r="AP11" s="253"/>
      <c r="AQ11" s="254"/>
      <c r="AR11" s="255"/>
      <c r="AS11" s="3"/>
    </row>
    <row r="12" spans="1:45" s="266" customFormat="1" ht="18" customHeight="1" x14ac:dyDescent="0.2">
      <c r="A12" s="256"/>
      <c r="B12" s="257" t="s">
        <v>169</v>
      </c>
      <c r="C12" s="258"/>
      <c r="D12" s="259"/>
      <c r="E12" s="260"/>
      <c r="F12" s="260"/>
      <c r="G12" s="261"/>
      <c r="H12" s="259"/>
      <c r="I12" s="260"/>
      <c r="J12" s="262"/>
      <c r="K12" s="263"/>
      <c r="L12" s="260"/>
      <c r="M12" s="262"/>
      <c r="N12" s="263"/>
      <c r="O12" s="260"/>
      <c r="P12" s="262"/>
      <c r="Q12" s="263"/>
      <c r="R12" s="260"/>
      <c r="S12" s="262"/>
      <c r="T12" s="263"/>
      <c r="U12" s="260"/>
      <c r="V12" s="262"/>
      <c r="W12" s="263"/>
      <c r="X12" s="260"/>
      <c r="Y12" s="262"/>
      <c r="Z12" s="263"/>
      <c r="AA12" s="260"/>
      <c r="AB12" s="262"/>
      <c r="AC12" s="263"/>
      <c r="AD12" s="260"/>
      <c r="AE12" s="262"/>
      <c r="AF12" s="263"/>
      <c r="AG12" s="260"/>
      <c r="AH12" s="262"/>
      <c r="AI12" s="263"/>
      <c r="AJ12" s="260"/>
      <c r="AK12" s="262"/>
      <c r="AL12" s="263"/>
      <c r="AM12" s="260"/>
      <c r="AN12" s="262"/>
      <c r="AO12" s="263"/>
      <c r="AP12" s="259"/>
      <c r="AQ12" s="264"/>
      <c r="AR12" s="265"/>
    </row>
    <row r="13" spans="1:45" ht="18" customHeight="1" x14ac:dyDescent="0.2">
      <c r="A13" s="9"/>
      <c r="B13" s="267" t="s">
        <v>170</v>
      </c>
      <c r="C13" s="268">
        <v>1072</v>
      </c>
      <c r="D13" s="269">
        <v>350</v>
      </c>
      <c r="E13" s="270">
        <f t="shared" ref="E13:E15" si="0">D13*3</f>
        <v>1050</v>
      </c>
      <c r="F13" s="270">
        <f t="shared" ref="F13:F15" si="1">G13+H13</f>
        <v>156</v>
      </c>
      <c r="G13" s="271">
        <v>0</v>
      </c>
      <c r="H13" s="272">
        <v>156</v>
      </c>
      <c r="I13" s="270">
        <f t="shared" ref="I13:I15" si="2">J13+K13</f>
        <v>123</v>
      </c>
      <c r="J13" s="273">
        <v>0</v>
      </c>
      <c r="K13" s="274">
        <v>123</v>
      </c>
      <c r="L13" s="270">
        <f t="shared" ref="L13:L15" si="3">M13+N13</f>
        <v>0</v>
      </c>
      <c r="M13" s="273"/>
      <c r="N13" s="274"/>
      <c r="O13" s="270">
        <f t="shared" ref="O13:O15" si="4">P13+Q13</f>
        <v>0</v>
      </c>
      <c r="P13" s="273"/>
      <c r="Q13" s="274"/>
      <c r="R13" s="270">
        <f t="shared" ref="R13:R15" si="5">S13+T13</f>
        <v>0</v>
      </c>
      <c r="S13" s="273"/>
      <c r="T13" s="274"/>
      <c r="U13" s="270">
        <f t="shared" ref="U13:U15" si="6">V13+W13</f>
        <v>0</v>
      </c>
      <c r="V13" s="273"/>
      <c r="W13" s="274"/>
      <c r="X13" s="270">
        <f t="shared" ref="X13:X15" si="7">Y13+Z13</f>
        <v>0</v>
      </c>
      <c r="Y13" s="273"/>
      <c r="Z13" s="274"/>
      <c r="AA13" s="270">
        <f t="shared" ref="AA13:AA15" si="8">AB13+AC13</f>
        <v>0</v>
      </c>
      <c r="AB13" s="273"/>
      <c r="AC13" s="274"/>
      <c r="AD13" s="270">
        <f t="shared" ref="AD13:AD15" si="9">AE13+AF13</f>
        <v>0</v>
      </c>
      <c r="AE13" s="273"/>
      <c r="AF13" s="274"/>
      <c r="AG13" s="270">
        <f t="shared" ref="AG13:AG15" si="10">AH13+AI13</f>
        <v>0</v>
      </c>
      <c r="AH13" s="273"/>
      <c r="AI13" s="274"/>
      <c r="AJ13" s="270">
        <f t="shared" ref="AJ13:AJ15" si="11">AK13+AL13</f>
        <v>0</v>
      </c>
      <c r="AK13" s="273"/>
      <c r="AL13" s="274"/>
      <c r="AM13" s="270">
        <f t="shared" ref="AM13:AM15" si="12">AN13+AO13</f>
        <v>0</v>
      </c>
      <c r="AN13" s="273"/>
      <c r="AO13" s="274"/>
      <c r="AP13" s="269">
        <f t="shared" ref="AP13:AP15" si="13">F13+L13+R13+X13+AD13+AJ13</f>
        <v>156</v>
      </c>
      <c r="AQ13" s="275">
        <f t="shared" ref="AQ13:AQ15" si="14">AP13/E13</f>
        <v>0.14857142857142858</v>
      </c>
    </row>
    <row r="14" spans="1:45" ht="18" customHeight="1" x14ac:dyDescent="0.2">
      <c r="A14" s="9"/>
      <c r="B14" s="267" t="s">
        <v>171</v>
      </c>
      <c r="C14" s="268">
        <v>1302</v>
      </c>
      <c r="D14" s="269">
        <v>440</v>
      </c>
      <c r="E14" s="270">
        <f t="shared" si="0"/>
        <v>1320</v>
      </c>
      <c r="F14" s="270">
        <f t="shared" si="1"/>
        <v>222</v>
      </c>
      <c r="G14" s="271">
        <v>0</v>
      </c>
      <c r="H14" s="272">
        <v>222</v>
      </c>
      <c r="I14" s="270">
        <f t="shared" si="2"/>
        <v>177</v>
      </c>
      <c r="J14" s="273">
        <v>0</v>
      </c>
      <c r="K14" s="274">
        <v>177</v>
      </c>
      <c r="L14" s="270">
        <f t="shared" si="3"/>
        <v>0</v>
      </c>
      <c r="M14" s="273"/>
      <c r="N14" s="274"/>
      <c r="O14" s="270">
        <f t="shared" si="4"/>
        <v>0</v>
      </c>
      <c r="P14" s="273"/>
      <c r="Q14" s="274"/>
      <c r="R14" s="270">
        <f t="shared" si="5"/>
        <v>0</v>
      </c>
      <c r="S14" s="273"/>
      <c r="T14" s="274"/>
      <c r="U14" s="270">
        <f t="shared" si="6"/>
        <v>0</v>
      </c>
      <c r="V14" s="273"/>
      <c r="W14" s="274"/>
      <c r="X14" s="270">
        <f t="shared" si="7"/>
        <v>0</v>
      </c>
      <c r="Y14" s="273"/>
      <c r="Z14" s="274"/>
      <c r="AA14" s="270">
        <f t="shared" si="8"/>
        <v>0</v>
      </c>
      <c r="AB14" s="273"/>
      <c r="AC14" s="274"/>
      <c r="AD14" s="270">
        <f t="shared" si="9"/>
        <v>0</v>
      </c>
      <c r="AE14" s="273"/>
      <c r="AF14" s="274"/>
      <c r="AG14" s="270">
        <f t="shared" si="10"/>
        <v>0</v>
      </c>
      <c r="AH14" s="273"/>
      <c r="AI14" s="274"/>
      <c r="AJ14" s="270">
        <f t="shared" si="11"/>
        <v>0</v>
      </c>
      <c r="AK14" s="273"/>
      <c r="AL14" s="274"/>
      <c r="AM14" s="270">
        <f t="shared" si="12"/>
        <v>0</v>
      </c>
      <c r="AN14" s="273"/>
      <c r="AO14" s="274"/>
      <c r="AP14" s="269">
        <f t="shared" si="13"/>
        <v>222</v>
      </c>
      <c r="AQ14" s="275">
        <f t="shared" si="14"/>
        <v>0.16818181818181818</v>
      </c>
    </row>
    <row r="15" spans="1:45" ht="18" customHeight="1" x14ac:dyDescent="0.2">
      <c r="A15" s="9"/>
      <c r="B15" s="267" t="s">
        <v>172</v>
      </c>
      <c r="C15" s="268">
        <v>330</v>
      </c>
      <c r="D15" s="269">
        <v>130</v>
      </c>
      <c r="E15" s="270">
        <f t="shared" si="0"/>
        <v>390</v>
      </c>
      <c r="F15" s="270">
        <f t="shared" si="1"/>
        <v>123</v>
      </c>
      <c r="G15" s="271">
        <v>0</v>
      </c>
      <c r="H15" s="272">
        <v>123</v>
      </c>
      <c r="I15" s="270">
        <f t="shared" si="2"/>
        <v>100</v>
      </c>
      <c r="J15" s="273">
        <v>0</v>
      </c>
      <c r="K15" s="274">
        <v>100</v>
      </c>
      <c r="L15" s="270">
        <f t="shared" si="3"/>
        <v>0</v>
      </c>
      <c r="M15" s="273"/>
      <c r="N15" s="274"/>
      <c r="O15" s="270">
        <f t="shared" si="4"/>
        <v>0</v>
      </c>
      <c r="P15" s="273"/>
      <c r="Q15" s="274"/>
      <c r="R15" s="270">
        <f t="shared" si="5"/>
        <v>0</v>
      </c>
      <c r="S15" s="273"/>
      <c r="T15" s="274"/>
      <c r="U15" s="270">
        <f t="shared" si="6"/>
        <v>0</v>
      </c>
      <c r="V15" s="273"/>
      <c r="W15" s="274"/>
      <c r="X15" s="270">
        <f t="shared" si="7"/>
        <v>0</v>
      </c>
      <c r="Y15" s="273"/>
      <c r="Z15" s="274"/>
      <c r="AA15" s="270">
        <f t="shared" si="8"/>
        <v>0</v>
      </c>
      <c r="AB15" s="273"/>
      <c r="AC15" s="274"/>
      <c r="AD15" s="270">
        <f t="shared" si="9"/>
        <v>0</v>
      </c>
      <c r="AE15" s="273"/>
      <c r="AF15" s="274"/>
      <c r="AG15" s="270">
        <f t="shared" si="10"/>
        <v>0</v>
      </c>
      <c r="AH15" s="273"/>
      <c r="AI15" s="274"/>
      <c r="AJ15" s="270">
        <f t="shared" si="11"/>
        <v>0</v>
      </c>
      <c r="AK15" s="273"/>
      <c r="AL15" s="274"/>
      <c r="AM15" s="270">
        <f t="shared" si="12"/>
        <v>0</v>
      </c>
      <c r="AN15" s="273"/>
      <c r="AO15" s="274"/>
      <c r="AP15" s="269">
        <f t="shared" si="13"/>
        <v>123</v>
      </c>
      <c r="AQ15" s="275">
        <f t="shared" si="14"/>
        <v>0.31538461538461537</v>
      </c>
    </row>
    <row r="16" spans="1:45" ht="18" customHeight="1" x14ac:dyDescent="0.2">
      <c r="A16" s="9"/>
      <c r="B16" s="267"/>
      <c r="C16" s="268"/>
      <c r="D16" s="269"/>
      <c r="E16" s="270"/>
      <c r="F16" s="276"/>
      <c r="G16" s="271"/>
      <c r="H16" s="272"/>
      <c r="I16" s="276"/>
      <c r="J16" s="273"/>
      <c r="K16" s="274"/>
      <c r="L16" s="276"/>
      <c r="M16" s="273"/>
      <c r="N16" s="274"/>
      <c r="O16" s="276"/>
      <c r="P16" s="273"/>
      <c r="Q16" s="274"/>
      <c r="R16" s="276"/>
      <c r="S16" s="273"/>
      <c r="T16" s="274"/>
      <c r="U16" s="276"/>
      <c r="V16" s="273"/>
      <c r="W16" s="274"/>
      <c r="X16" s="276"/>
      <c r="Y16" s="273"/>
      <c r="Z16" s="274"/>
      <c r="AA16" s="276"/>
      <c r="AB16" s="273"/>
      <c r="AC16" s="274"/>
      <c r="AD16" s="276"/>
      <c r="AE16" s="273"/>
      <c r="AF16" s="274"/>
      <c r="AG16" s="276"/>
      <c r="AH16" s="273"/>
      <c r="AI16" s="274"/>
      <c r="AJ16" s="276"/>
      <c r="AK16" s="273"/>
      <c r="AL16" s="274"/>
      <c r="AM16" s="276"/>
      <c r="AN16" s="273"/>
      <c r="AO16" s="274"/>
      <c r="AP16" s="269"/>
      <c r="AQ16" s="275"/>
    </row>
    <row r="17" spans="1:43" ht="18" customHeight="1" x14ac:dyDescent="0.2">
      <c r="A17" s="9"/>
      <c r="B17" s="277" t="s">
        <v>173</v>
      </c>
      <c r="C17" s="268"/>
      <c r="D17" s="269"/>
      <c r="E17" s="278"/>
      <c r="F17" s="276"/>
      <c r="G17" s="271"/>
      <c r="H17" s="272"/>
      <c r="I17" s="276"/>
      <c r="J17" s="273"/>
      <c r="K17" s="274"/>
      <c r="L17" s="276"/>
      <c r="M17" s="273"/>
      <c r="N17" s="274"/>
      <c r="O17" s="276"/>
      <c r="P17" s="273"/>
      <c r="Q17" s="274"/>
      <c r="R17" s="276"/>
      <c r="S17" s="273"/>
      <c r="T17" s="274"/>
      <c r="U17" s="276"/>
      <c r="V17" s="273"/>
      <c r="W17" s="274"/>
      <c r="X17" s="276"/>
      <c r="Y17" s="273"/>
      <c r="Z17" s="274"/>
      <c r="AA17" s="276"/>
      <c r="AB17" s="273"/>
      <c r="AC17" s="274"/>
      <c r="AD17" s="276"/>
      <c r="AE17" s="273"/>
      <c r="AF17" s="274"/>
      <c r="AG17" s="276"/>
      <c r="AH17" s="273"/>
      <c r="AI17" s="274"/>
      <c r="AJ17" s="276"/>
      <c r="AK17" s="273"/>
      <c r="AL17" s="274"/>
      <c r="AM17" s="276"/>
      <c r="AN17" s="273"/>
      <c r="AO17" s="274"/>
      <c r="AP17" s="269"/>
      <c r="AQ17" s="275"/>
    </row>
    <row r="18" spans="1:43" ht="18" customHeight="1" thickBot="1" x14ac:dyDescent="0.25">
      <c r="A18" s="9"/>
      <c r="B18" s="267" t="s">
        <v>170</v>
      </c>
      <c r="C18" s="268">
        <v>1045</v>
      </c>
      <c r="D18" s="269">
        <v>970</v>
      </c>
      <c r="E18" s="270">
        <f>D18*1</f>
        <v>970</v>
      </c>
      <c r="F18" s="276">
        <f t="shared" ref="F18" si="15">G18+H18</f>
        <v>117</v>
      </c>
      <c r="G18" s="271">
        <v>0</v>
      </c>
      <c r="H18" s="272">
        <v>117</v>
      </c>
      <c r="I18" s="276">
        <f t="shared" ref="I18" si="16">J18+K18</f>
        <v>91</v>
      </c>
      <c r="J18" s="273">
        <v>0</v>
      </c>
      <c r="K18" s="274">
        <v>91</v>
      </c>
      <c r="L18" s="276">
        <f t="shared" ref="L18" si="17">M18+N18</f>
        <v>0</v>
      </c>
      <c r="M18" s="273"/>
      <c r="N18" s="274"/>
      <c r="O18" s="276">
        <f t="shared" ref="O18" si="18">P18+Q18</f>
        <v>0</v>
      </c>
      <c r="P18" s="273"/>
      <c r="Q18" s="274"/>
      <c r="R18" s="276">
        <f t="shared" ref="R18" si="19">S18+T18</f>
        <v>0</v>
      </c>
      <c r="S18" s="273"/>
      <c r="T18" s="274"/>
      <c r="U18" s="276">
        <f t="shared" ref="U18" si="20">V18+W18</f>
        <v>0</v>
      </c>
      <c r="V18" s="273"/>
      <c r="W18" s="274"/>
      <c r="X18" s="276">
        <f t="shared" ref="X18" si="21">Y18+Z18</f>
        <v>0</v>
      </c>
      <c r="Y18" s="273"/>
      <c r="Z18" s="274"/>
      <c r="AA18" s="276">
        <f t="shared" ref="AA18" si="22">AB18+AC18</f>
        <v>0</v>
      </c>
      <c r="AB18" s="273"/>
      <c r="AC18" s="274"/>
      <c r="AD18" s="276">
        <f t="shared" ref="AD18" si="23">AE18+AF18</f>
        <v>0</v>
      </c>
      <c r="AE18" s="273"/>
      <c r="AF18" s="274"/>
      <c r="AG18" s="276">
        <f t="shared" ref="AG18" si="24">AH18+AI18</f>
        <v>0</v>
      </c>
      <c r="AH18" s="273"/>
      <c r="AI18" s="274"/>
      <c r="AJ18" s="276">
        <f t="shared" ref="AJ18" si="25">AK18+AL18</f>
        <v>0</v>
      </c>
      <c r="AK18" s="273"/>
      <c r="AL18" s="274"/>
      <c r="AM18" s="276">
        <f t="shared" ref="AM18" si="26">AN18+AO18</f>
        <v>0</v>
      </c>
      <c r="AN18" s="273"/>
      <c r="AO18" s="274"/>
      <c r="AP18" s="269">
        <f t="shared" ref="AP18" si="27">F18+L18+R18+X18+AD18+AJ18</f>
        <v>117</v>
      </c>
      <c r="AQ18" s="275">
        <f t="shared" ref="AQ18" si="28">AP18/E18</f>
        <v>0.12061855670103093</v>
      </c>
    </row>
    <row r="19" spans="1:43" ht="18" customHeight="1" thickTop="1" x14ac:dyDescent="0.2">
      <c r="B19" s="279" t="s">
        <v>33</v>
      </c>
      <c r="C19" s="280">
        <f t="shared" ref="C19:AP19" si="29">SUM(C12:C18)</f>
        <v>3749</v>
      </c>
      <c r="D19" s="281">
        <f t="shared" si="29"/>
        <v>1890</v>
      </c>
      <c r="E19" s="282">
        <f t="shared" si="29"/>
        <v>3730</v>
      </c>
      <c r="F19" s="282">
        <f t="shared" si="29"/>
        <v>618</v>
      </c>
      <c r="G19" s="283">
        <f t="shared" si="29"/>
        <v>0</v>
      </c>
      <c r="H19" s="284">
        <f t="shared" si="29"/>
        <v>618</v>
      </c>
      <c r="I19" s="282">
        <f t="shared" si="29"/>
        <v>491</v>
      </c>
      <c r="J19" s="283">
        <f t="shared" si="29"/>
        <v>0</v>
      </c>
      <c r="K19" s="284">
        <f t="shared" si="29"/>
        <v>491</v>
      </c>
      <c r="L19" s="282">
        <f t="shared" si="29"/>
        <v>0</v>
      </c>
      <c r="M19" s="283">
        <f t="shared" si="29"/>
        <v>0</v>
      </c>
      <c r="N19" s="284">
        <f t="shared" si="29"/>
        <v>0</v>
      </c>
      <c r="O19" s="282">
        <f t="shared" si="29"/>
        <v>0</v>
      </c>
      <c r="P19" s="283">
        <f t="shared" si="29"/>
        <v>0</v>
      </c>
      <c r="Q19" s="284">
        <f t="shared" si="29"/>
        <v>0</v>
      </c>
      <c r="R19" s="282">
        <f t="shared" si="29"/>
        <v>0</v>
      </c>
      <c r="S19" s="283">
        <f t="shared" si="29"/>
        <v>0</v>
      </c>
      <c r="T19" s="284">
        <f t="shared" si="29"/>
        <v>0</v>
      </c>
      <c r="U19" s="282">
        <f t="shared" si="29"/>
        <v>0</v>
      </c>
      <c r="V19" s="283">
        <f t="shared" si="29"/>
        <v>0</v>
      </c>
      <c r="W19" s="284">
        <f t="shared" si="29"/>
        <v>0</v>
      </c>
      <c r="X19" s="282">
        <f t="shared" si="29"/>
        <v>0</v>
      </c>
      <c r="Y19" s="283">
        <f t="shared" si="29"/>
        <v>0</v>
      </c>
      <c r="Z19" s="284">
        <f t="shared" si="29"/>
        <v>0</v>
      </c>
      <c r="AA19" s="282">
        <f t="shared" si="29"/>
        <v>0</v>
      </c>
      <c r="AB19" s="283">
        <f t="shared" si="29"/>
        <v>0</v>
      </c>
      <c r="AC19" s="284">
        <f t="shared" si="29"/>
        <v>0</v>
      </c>
      <c r="AD19" s="282">
        <f t="shared" si="29"/>
        <v>0</v>
      </c>
      <c r="AE19" s="283">
        <f t="shared" si="29"/>
        <v>0</v>
      </c>
      <c r="AF19" s="284">
        <f t="shared" si="29"/>
        <v>0</v>
      </c>
      <c r="AG19" s="282">
        <f t="shared" si="29"/>
        <v>0</v>
      </c>
      <c r="AH19" s="283">
        <f t="shared" si="29"/>
        <v>0</v>
      </c>
      <c r="AI19" s="284">
        <f t="shared" si="29"/>
        <v>0</v>
      </c>
      <c r="AJ19" s="282">
        <f t="shared" si="29"/>
        <v>0</v>
      </c>
      <c r="AK19" s="283">
        <f t="shared" si="29"/>
        <v>0</v>
      </c>
      <c r="AL19" s="284">
        <f t="shared" si="29"/>
        <v>0</v>
      </c>
      <c r="AM19" s="282">
        <f t="shared" si="29"/>
        <v>0</v>
      </c>
      <c r="AN19" s="283">
        <f t="shared" si="29"/>
        <v>0</v>
      </c>
      <c r="AO19" s="284">
        <f t="shared" si="29"/>
        <v>0</v>
      </c>
      <c r="AP19" s="281">
        <f t="shared" si="29"/>
        <v>618</v>
      </c>
      <c r="AQ19" s="285">
        <f>AP19/E19</f>
        <v>0.16568364611260053</v>
      </c>
    </row>
    <row r="20" spans="1:43" ht="18" customHeight="1" x14ac:dyDescent="0.2"/>
    <row r="21" spans="1:43" ht="18" customHeight="1" x14ac:dyDescent="0.2"/>
    <row r="22" spans="1:43" ht="18" customHeight="1" x14ac:dyDescent="0.2"/>
    <row r="23" spans="1:43" ht="18" customHeight="1" x14ac:dyDescent="0.2"/>
    <row r="24" spans="1:43" ht="18" customHeight="1" x14ac:dyDescent="0.2"/>
    <row r="25" spans="1:43" ht="18" customHeight="1" x14ac:dyDescent="0.2"/>
    <row r="26" spans="1:43" ht="18" customHeight="1" x14ac:dyDescent="0.2"/>
    <row r="27" spans="1:43" ht="18" customHeight="1" x14ac:dyDescent="0.2"/>
    <row r="28" spans="1:43" ht="18" customHeight="1" x14ac:dyDescent="0.2"/>
    <row r="29" spans="1:43" ht="18" customHeight="1" x14ac:dyDescent="0.2"/>
    <row r="30" spans="1:43" ht="18" customHeight="1" x14ac:dyDescent="0.2"/>
    <row r="31" spans="1:43" ht="18" customHeight="1" x14ac:dyDescent="0.2"/>
    <row r="32" spans="1:43" ht="18" customHeight="1" x14ac:dyDescent="0.2"/>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election activeCell="M110" sqref="M110"/>
    </sheetView>
  </sheetViews>
  <sheetFormatPr defaultColWidth="11.33203125" defaultRowHeight="18.75" customHeight="1" x14ac:dyDescent="0.2"/>
  <cols>
    <col min="1" max="1" width="2.77734375" style="16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160" t="s">
        <v>65</v>
      </c>
      <c r="I1" s="8" t="s">
        <v>106</v>
      </c>
    </row>
    <row r="2" spans="1:9" ht="18.75" customHeight="1" x14ac:dyDescent="0.2">
      <c r="G2" s="8" t="s">
        <v>109</v>
      </c>
      <c r="H2" s="5" t="str">
        <f>'様式１　プログラムを構成する授業科目'!C2</f>
        <v>十文字学園女子大学</v>
      </c>
      <c r="I2" s="7"/>
    </row>
    <row r="3" spans="1:9" ht="18.75" customHeight="1" x14ac:dyDescent="0.2">
      <c r="G3" s="8"/>
      <c r="H3" s="17"/>
      <c r="I3" s="17"/>
    </row>
    <row r="4" spans="1:9" ht="18.600000000000001" customHeight="1" x14ac:dyDescent="0.2">
      <c r="A4" s="11" t="s">
        <v>36</v>
      </c>
      <c r="B4" s="11"/>
      <c r="C4" s="11"/>
      <c r="D4" s="11"/>
      <c r="E4" s="11"/>
      <c r="F4" s="11"/>
      <c r="G4" s="11"/>
      <c r="H4" s="11"/>
      <c r="I4" s="11"/>
    </row>
    <row r="5" spans="1:9" ht="13.2" customHeight="1" x14ac:dyDescent="0.2">
      <c r="B5" s="12"/>
      <c r="C5" s="12"/>
      <c r="D5" s="12"/>
      <c r="E5" s="12"/>
      <c r="F5" s="12"/>
      <c r="G5" s="12"/>
      <c r="H5" s="12"/>
      <c r="I5" s="12"/>
    </row>
    <row r="6" spans="1:9" ht="18" customHeight="1" x14ac:dyDescent="0.2">
      <c r="A6" s="1" t="s">
        <v>0</v>
      </c>
      <c r="B6" s="17" t="s">
        <v>91</v>
      </c>
      <c r="C6" s="161" t="s">
        <v>92</v>
      </c>
      <c r="D6" s="161"/>
      <c r="E6" s="4">
        <v>152</v>
      </c>
      <c r="F6" s="12" t="s">
        <v>1</v>
      </c>
      <c r="G6" s="12" t="s">
        <v>2</v>
      </c>
      <c r="H6" s="4">
        <v>217</v>
      </c>
      <c r="I6" s="17" t="s">
        <v>1</v>
      </c>
    </row>
    <row r="7" spans="1:9" ht="12" customHeight="1" x14ac:dyDescent="0.2">
      <c r="C7" s="3"/>
      <c r="D7" s="3"/>
      <c r="E7" s="3"/>
      <c r="F7" s="3"/>
      <c r="G7" s="3"/>
      <c r="H7" s="3"/>
      <c r="I7" s="162"/>
    </row>
    <row r="8" spans="1:9" ht="18" customHeight="1" x14ac:dyDescent="0.2">
      <c r="A8" s="1" t="s">
        <v>3</v>
      </c>
      <c r="B8" s="17" t="s">
        <v>93</v>
      </c>
      <c r="E8" s="12"/>
      <c r="F8" s="12"/>
      <c r="G8" s="12"/>
      <c r="H8" s="4">
        <v>1</v>
      </c>
      <c r="I8" s="17" t="s">
        <v>1</v>
      </c>
    </row>
    <row r="9" spans="1:9" ht="9" customHeight="1" x14ac:dyDescent="0.2">
      <c r="B9" s="12"/>
      <c r="C9" s="12"/>
      <c r="D9" s="12"/>
      <c r="E9" s="12"/>
      <c r="F9" s="12"/>
      <c r="G9" s="12"/>
      <c r="H9" s="12"/>
      <c r="I9" s="12"/>
    </row>
    <row r="10" spans="1:9" ht="18" customHeight="1" x14ac:dyDescent="0.2">
      <c r="A10" s="1" t="s">
        <v>4</v>
      </c>
      <c r="B10" s="17" t="s">
        <v>94</v>
      </c>
      <c r="C10" s="12"/>
      <c r="D10" s="12"/>
      <c r="E10" s="12"/>
      <c r="F10" s="12"/>
      <c r="G10" s="12"/>
      <c r="H10" s="12"/>
      <c r="I10" s="12"/>
    </row>
    <row r="11" spans="1:9" ht="18" customHeight="1" x14ac:dyDescent="0.2">
      <c r="B11" s="8" t="s">
        <v>43</v>
      </c>
      <c r="C11" s="116" t="s">
        <v>131</v>
      </c>
      <c r="D11" s="163"/>
      <c r="E11" s="164"/>
      <c r="F11" s="162"/>
      <c r="G11" s="8" t="s">
        <v>10</v>
      </c>
      <c r="H11" s="116" t="s">
        <v>132</v>
      </c>
      <c r="I11" s="164"/>
    </row>
    <row r="12" spans="1:9" ht="10.199999999999999" customHeight="1" x14ac:dyDescent="0.2">
      <c r="B12" s="8"/>
      <c r="C12" s="17"/>
      <c r="D12" s="162"/>
      <c r="E12" s="162"/>
      <c r="F12" s="162"/>
      <c r="G12" s="8"/>
      <c r="H12" s="17"/>
      <c r="I12" s="162"/>
    </row>
    <row r="13" spans="1:9" ht="18" customHeight="1" x14ac:dyDescent="0.2">
      <c r="A13" s="1" t="s">
        <v>7</v>
      </c>
      <c r="B13" s="17" t="s">
        <v>88</v>
      </c>
      <c r="C13" s="12"/>
      <c r="D13" s="12"/>
      <c r="E13" s="12"/>
      <c r="F13" s="12"/>
      <c r="G13" s="12"/>
      <c r="H13" s="12"/>
      <c r="I13" s="12"/>
    </row>
    <row r="14" spans="1:9" ht="18" customHeight="1" x14ac:dyDescent="0.2">
      <c r="B14" s="116" t="s">
        <v>133</v>
      </c>
      <c r="C14" s="165"/>
      <c r="D14" s="165"/>
      <c r="E14" s="165"/>
      <c r="F14" s="165"/>
      <c r="G14" s="165"/>
      <c r="H14" s="165"/>
      <c r="I14" s="166"/>
    </row>
    <row r="15" spans="1:9" ht="9" customHeight="1" x14ac:dyDescent="0.2">
      <c r="B15" s="12"/>
      <c r="C15" s="12"/>
      <c r="D15" s="12"/>
      <c r="E15" s="12"/>
      <c r="F15" s="12"/>
      <c r="G15" s="12"/>
      <c r="H15" s="12"/>
      <c r="I15" s="12"/>
    </row>
    <row r="16" spans="1:9" ht="18" customHeight="1" x14ac:dyDescent="0.2">
      <c r="B16" s="8" t="s">
        <v>43</v>
      </c>
      <c r="C16" s="116" t="s">
        <v>131</v>
      </c>
      <c r="D16" s="163"/>
      <c r="E16" s="164"/>
      <c r="F16" s="162"/>
      <c r="G16" s="8" t="s">
        <v>10</v>
      </c>
      <c r="H16" s="116" t="s">
        <v>134</v>
      </c>
      <c r="I16" s="164"/>
    </row>
    <row r="17" spans="1:9" ht="18" customHeight="1" x14ac:dyDescent="0.2">
      <c r="B17" s="12"/>
      <c r="C17" s="12"/>
      <c r="D17" s="12"/>
      <c r="E17" s="12"/>
      <c r="F17" s="12"/>
      <c r="G17" s="12"/>
      <c r="H17" s="12"/>
      <c r="I17" s="12"/>
    </row>
    <row r="18" spans="1:9" ht="18.75" customHeight="1" x14ac:dyDescent="0.2">
      <c r="A18" s="1" t="s">
        <v>5</v>
      </c>
      <c r="B18" s="1" t="s">
        <v>42</v>
      </c>
      <c r="I18" s="12"/>
    </row>
    <row r="19" spans="1:9" ht="18.75" customHeight="1" x14ac:dyDescent="0.2">
      <c r="A19" s="1"/>
      <c r="B19" s="167" t="s">
        <v>140</v>
      </c>
      <c r="C19" s="168"/>
      <c r="D19" s="168"/>
      <c r="E19" s="168"/>
      <c r="F19" s="168"/>
      <c r="G19" s="168"/>
      <c r="H19" s="168"/>
      <c r="I19" s="169"/>
    </row>
    <row r="20" spans="1:9" ht="7.5" customHeight="1" x14ac:dyDescent="0.2">
      <c r="B20" s="12"/>
      <c r="C20" s="12"/>
      <c r="D20" s="12"/>
      <c r="E20" s="12"/>
      <c r="F20" s="12"/>
      <c r="G20" s="12"/>
      <c r="H20" s="12"/>
      <c r="I20" s="12"/>
    </row>
    <row r="21" spans="1:9" ht="18.75" customHeight="1" x14ac:dyDescent="0.2">
      <c r="A21" s="1" t="s">
        <v>8</v>
      </c>
      <c r="B21" s="1" t="s">
        <v>25</v>
      </c>
    </row>
    <row r="22" spans="1:9" ht="18.75" customHeight="1" x14ac:dyDescent="0.2">
      <c r="A22" s="55"/>
      <c r="B22" s="170" t="s">
        <v>152</v>
      </c>
      <c r="C22" s="171"/>
      <c r="D22" s="171"/>
      <c r="E22" s="171"/>
      <c r="F22" s="171"/>
      <c r="G22" s="171"/>
      <c r="H22" s="171"/>
      <c r="I22" s="172"/>
    </row>
    <row r="23" spans="1:9" ht="18.75" customHeight="1" x14ac:dyDescent="0.2">
      <c r="A23" s="55"/>
      <c r="B23" s="173"/>
      <c r="C23" s="174"/>
      <c r="D23" s="174"/>
      <c r="E23" s="174"/>
      <c r="F23" s="174"/>
      <c r="G23" s="174"/>
      <c r="H23" s="174"/>
      <c r="I23" s="175"/>
    </row>
    <row r="24" spans="1:9" ht="18.75" customHeight="1" x14ac:dyDescent="0.2">
      <c r="A24" s="55"/>
      <c r="B24" s="173"/>
      <c r="C24" s="174"/>
      <c r="D24" s="174"/>
      <c r="E24" s="174"/>
      <c r="F24" s="174"/>
      <c r="G24" s="174"/>
      <c r="H24" s="174"/>
      <c r="I24" s="175"/>
    </row>
    <row r="25" spans="1:9" ht="18.75" customHeight="1" x14ac:dyDescent="0.2">
      <c r="A25" s="55"/>
      <c r="B25" s="173"/>
      <c r="C25" s="174"/>
      <c r="D25" s="174"/>
      <c r="E25" s="174"/>
      <c r="F25" s="174"/>
      <c r="G25" s="174"/>
      <c r="H25" s="174"/>
      <c r="I25" s="175"/>
    </row>
    <row r="26" spans="1:9" ht="18.75" customHeight="1" x14ac:dyDescent="0.2">
      <c r="A26" s="55"/>
      <c r="B26" s="173"/>
      <c r="C26" s="174"/>
      <c r="D26" s="174"/>
      <c r="E26" s="174"/>
      <c r="F26" s="174"/>
      <c r="G26" s="174"/>
      <c r="H26" s="174"/>
      <c r="I26" s="175"/>
    </row>
    <row r="27" spans="1:9" ht="18.75" customHeight="1" x14ac:dyDescent="0.2">
      <c r="A27" s="55"/>
      <c r="B27" s="173"/>
      <c r="C27" s="174"/>
      <c r="D27" s="174"/>
      <c r="E27" s="174"/>
      <c r="F27" s="174"/>
      <c r="G27" s="174"/>
      <c r="H27" s="174"/>
      <c r="I27" s="175"/>
    </row>
    <row r="28" spans="1:9" ht="18.75" customHeight="1" x14ac:dyDescent="0.2">
      <c r="A28" s="55"/>
      <c r="B28" s="173"/>
      <c r="C28" s="174"/>
      <c r="D28" s="174"/>
      <c r="E28" s="174"/>
      <c r="F28" s="174"/>
      <c r="G28" s="174"/>
      <c r="H28" s="174"/>
      <c r="I28" s="175"/>
    </row>
    <row r="29" spans="1:9" ht="18.75" customHeight="1" x14ac:dyDescent="0.2">
      <c r="A29" s="55"/>
      <c r="B29" s="173"/>
      <c r="C29" s="174"/>
      <c r="D29" s="174"/>
      <c r="E29" s="174"/>
      <c r="F29" s="174"/>
      <c r="G29" s="174"/>
      <c r="H29" s="174"/>
      <c r="I29" s="175"/>
    </row>
    <row r="30" spans="1:9" ht="18.75" customHeight="1" x14ac:dyDescent="0.2">
      <c r="A30" s="55"/>
      <c r="B30" s="176"/>
      <c r="C30" s="177"/>
      <c r="D30" s="177"/>
      <c r="E30" s="177"/>
      <c r="F30" s="177"/>
      <c r="G30" s="177"/>
      <c r="H30" s="177"/>
      <c r="I30" s="175"/>
    </row>
    <row r="31" spans="1:9" ht="18.75" customHeight="1" x14ac:dyDescent="0.2">
      <c r="A31" s="55"/>
      <c r="B31" s="176"/>
      <c r="C31" s="177"/>
      <c r="D31" s="177"/>
      <c r="E31" s="177"/>
      <c r="F31" s="177"/>
      <c r="G31" s="177"/>
      <c r="H31" s="177"/>
      <c r="I31" s="175"/>
    </row>
    <row r="32" spans="1:9" ht="18.75" customHeight="1" x14ac:dyDescent="0.2">
      <c r="A32" s="55"/>
      <c r="B32" s="178"/>
      <c r="C32" s="179"/>
      <c r="D32" s="179"/>
      <c r="E32" s="179"/>
      <c r="F32" s="179"/>
      <c r="G32" s="179"/>
      <c r="H32" s="179"/>
      <c r="I32" s="180"/>
    </row>
    <row r="33" spans="1:10" ht="7.5" customHeight="1" x14ac:dyDescent="0.2">
      <c r="A33" s="55"/>
      <c r="B33" s="55"/>
      <c r="C33" s="55"/>
      <c r="D33" s="55"/>
      <c r="E33" s="55"/>
      <c r="F33" s="55"/>
      <c r="G33" s="55"/>
      <c r="H33" s="55"/>
      <c r="I33" s="55"/>
    </row>
    <row r="34" spans="1:10" ht="18.75" customHeight="1" x14ac:dyDescent="0.2">
      <c r="A34" s="81" t="s">
        <v>6</v>
      </c>
      <c r="B34" s="81" t="s">
        <v>9</v>
      </c>
      <c r="C34" s="17"/>
      <c r="D34" s="81"/>
      <c r="E34" s="81"/>
      <c r="F34" s="81"/>
      <c r="G34" s="81"/>
      <c r="H34" s="81"/>
      <c r="I34" s="81"/>
    </row>
    <row r="35" spans="1:10" ht="18.75" customHeight="1" x14ac:dyDescent="0.2">
      <c r="A35" s="55"/>
      <c r="B35" s="170" t="s">
        <v>174</v>
      </c>
      <c r="C35" s="171"/>
      <c r="D35" s="171"/>
      <c r="E35" s="171"/>
      <c r="F35" s="171"/>
      <c r="G35" s="171"/>
      <c r="H35" s="171"/>
      <c r="I35" s="172"/>
    </row>
    <row r="36" spans="1:10" ht="18.75" customHeight="1" x14ac:dyDescent="0.2">
      <c r="A36" s="55"/>
      <c r="B36" s="176"/>
      <c r="C36" s="177"/>
      <c r="D36" s="177"/>
      <c r="E36" s="177"/>
      <c r="F36" s="177"/>
      <c r="G36" s="177"/>
      <c r="H36" s="177"/>
      <c r="I36" s="175"/>
      <c r="J36" s="81" t="s">
        <v>141</v>
      </c>
    </row>
    <row r="37" spans="1:10" ht="18.75" customHeight="1" x14ac:dyDescent="0.2">
      <c r="A37" s="55"/>
      <c r="B37" s="176"/>
      <c r="C37" s="177"/>
      <c r="D37" s="177"/>
      <c r="E37" s="177"/>
      <c r="F37" s="177"/>
      <c r="G37" s="177"/>
      <c r="H37" s="177"/>
      <c r="I37" s="175"/>
    </row>
    <row r="38" spans="1:10" ht="18.75" customHeight="1" x14ac:dyDescent="0.2">
      <c r="A38" s="55"/>
      <c r="B38" s="176"/>
      <c r="C38" s="177"/>
      <c r="D38" s="177"/>
      <c r="E38" s="177"/>
      <c r="F38" s="177"/>
      <c r="G38" s="177"/>
      <c r="H38" s="177"/>
      <c r="I38" s="175"/>
    </row>
    <row r="39" spans="1:10" ht="18.75" customHeight="1" x14ac:dyDescent="0.2">
      <c r="A39" s="55"/>
      <c r="B39" s="176"/>
      <c r="C39" s="177"/>
      <c r="D39" s="177"/>
      <c r="E39" s="177"/>
      <c r="F39" s="177"/>
      <c r="G39" s="177"/>
      <c r="H39" s="177"/>
      <c r="I39" s="175"/>
    </row>
    <row r="40" spans="1:10" ht="18.75" customHeight="1" x14ac:dyDescent="0.2">
      <c r="A40" s="55"/>
      <c r="B40" s="176"/>
      <c r="C40" s="177"/>
      <c r="D40" s="177"/>
      <c r="E40" s="177"/>
      <c r="F40" s="177"/>
      <c r="G40" s="177"/>
      <c r="H40" s="177"/>
      <c r="I40" s="175"/>
    </row>
    <row r="41" spans="1:10" ht="18.75" customHeight="1" x14ac:dyDescent="0.2">
      <c r="A41" s="55"/>
      <c r="B41" s="176"/>
      <c r="C41" s="177"/>
      <c r="D41" s="177"/>
      <c r="E41" s="177"/>
      <c r="F41" s="177"/>
      <c r="G41" s="177"/>
      <c r="H41" s="177"/>
      <c r="I41" s="175"/>
    </row>
    <row r="42" spans="1:10" ht="18.75" customHeight="1" x14ac:dyDescent="0.2">
      <c r="A42" s="55"/>
      <c r="B42" s="176"/>
      <c r="C42" s="177"/>
      <c r="D42" s="177"/>
      <c r="E42" s="177"/>
      <c r="F42" s="177"/>
      <c r="G42" s="177"/>
      <c r="H42" s="177"/>
      <c r="I42" s="175"/>
    </row>
    <row r="43" spans="1:10" ht="18.75" customHeight="1" x14ac:dyDescent="0.2">
      <c r="A43" s="55"/>
      <c r="B43" s="176"/>
      <c r="C43" s="177"/>
      <c r="D43" s="177"/>
      <c r="E43" s="177"/>
      <c r="F43" s="177"/>
      <c r="G43" s="177"/>
      <c r="H43" s="177"/>
      <c r="I43" s="175"/>
    </row>
    <row r="44" spans="1:10" ht="18.75" customHeight="1" x14ac:dyDescent="0.2">
      <c r="A44" s="55"/>
      <c r="B44" s="176"/>
      <c r="C44" s="177"/>
      <c r="D44" s="177"/>
      <c r="E44" s="177"/>
      <c r="F44" s="177"/>
      <c r="G44" s="177"/>
      <c r="H44" s="177"/>
      <c r="I44" s="175"/>
    </row>
    <row r="45" spans="1:10" ht="18.75" customHeight="1" x14ac:dyDescent="0.2">
      <c r="A45" s="55"/>
      <c r="B45" s="176"/>
      <c r="C45" s="177"/>
      <c r="D45" s="177"/>
      <c r="E45" s="177"/>
      <c r="F45" s="177"/>
      <c r="G45" s="177"/>
      <c r="H45" s="177"/>
      <c r="I45" s="175"/>
    </row>
    <row r="46" spans="1:10" ht="18.75" customHeight="1" x14ac:dyDescent="0.2">
      <c r="A46" s="55"/>
      <c r="B46" s="178"/>
      <c r="C46" s="179"/>
      <c r="D46" s="179"/>
      <c r="E46" s="179"/>
      <c r="F46" s="179"/>
      <c r="G46" s="179"/>
      <c r="H46" s="179"/>
      <c r="I46" s="180"/>
    </row>
    <row r="47" spans="1:10" ht="7.5" customHeight="1" x14ac:dyDescent="0.2">
      <c r="A47" s="120"/>
      <c r="B47" s="120"/>
      <c r="C47" s="120"/>
      <c r="D47" s="120"/>
      <c r="E47" s="120"/>
      <c r="F47" s="120"/>
      <c r="G47" s="120"/>
      <c r="H47" s="120"/>
      <c r="I47" s="120"/>
    </row>
    <row r="48" spans="1:10" ht="18.75" customHeight="1" x14ac:dyDescent="0.2">
      <c r="A48" s="1" t="s">
        <v>31</v>
      </c>
      <c r="B48" s="1" t="s">
        <v>175</v>
      </c>
    </row>
    <row r="49" spans="1:15" s="12" customFormat="1" ht="18.75" customHeight="1" x14ac:dyDescent="0.2">
      <c r="B49" s="181" t="s">
        <v>89</v>
      </c>
      <c r="C49" s="182">
        <v>0.16568364611260053</v>
      </c>
      <c r="D49" s="182"/>
      <c r="E49" s="181" t="s">
        <v>66</v>
      </c>
      <c r="F49" s="182">
        <v>0.2</v>
      </c>
      <c r="G49" s="182"/>
      <c r="H49" s="181" t="s">
        <v>67</v>
      </c>
      <c r="I49" s="183">
        <v>0.4</v>
      </c>
      <c r="J49" s="1" t="s">
        <v>142</v>
      </c>
      <c r="M49" s="1"/>
      <c r="N49" s="184"/>
    </row>
    <row r="50" spans="1:15" s="12" customFormat="1" ht="18.75" customHeight="1" x14ac:dyDescent="0.2">
      <c r="B50" s="185" t="s">
        <v>68</v>
      </c>
      <c r="C50" s="186">
        <v>0.6</v>
      </c>
      <c r="D50" s="186"/>
      <c r="E50" s="185" t="s">
        <v>90</v>
      </c>
      <c r="F50" s="186">
        <v>0.8</v>
      </c>
      <c r="G50" s="186"/>
      <c r="H50" s="185" t="s">
        <v>69</v>
      </c>
      <c r="I50" s="187">
        <v>3730</v>
      </c>
      <c r="J50" s="1"/>
      <c r="M50" s="1"/>
      <c r="N50" s="184"/>
    </row>
    <row r="51" spans="1:15" ht="18.75" customHeight="1" x14ac:dyDescent="0.2">
      <c r="A51" s="1"/>
      <c r="B51" s="188" t="s">
        <v>70</v>
      </c>
      <c r="C51" s="189"/>
      <c r="D51" s="189"/>
      <c r="E51" s="189"/>
      <c r="F51" s="189"/>
      <c r="G51" s="189"/>
      <c r="H51" s="189"/>
      <c r="I51" s="190"/>
      <c r="N51" s="184"/>
      <c r="O51" s="12"/>
    </row>
    <row r="52" spans="1:15" ht="18.75" customHeight="1" x14ac:dyDescent="0.2">
      <c r="A52" s="1"/>
      <c r="B52" s="191" t="s">
        <v>153</v>
      </c>
      <c r="C52" s="192"/>
      <c r="D52" s="192"/>
      <c r="E52" s="192"/>
      <c r="F52" s="192"/>
      <c r="G52" s="192"/>
      <c r="H52" s="192"/>
      <c r="I52" s="193"/>
      <c r="N52" s="184"/>
      <c r="O52" s="12"/>
    </row>
    <row r="53" spans="1:15" ht="18.75" customHeight="1" x14ac:dyDescent="0.2">
      <c r="A53" s="1"/>
      <c r="B53" s="194"/>
      <c r="C53" s="195"/>
      <c r="D53" s="195"/>
      <c r="E53" s="195"/>
      <c r="F53" s="195"/>
      <c r="G53" s="195"/>
      <c r="H53" s="195"/>
      <c r="I53" s="196"/>
      <c r="N53" s="184"/>
      <c r="O53" s="12"/>
    </row>
    <row r="54" spans="1:15" ht="18.75" customHeight="1" x14ac:dyDescent="0.2">
      <c r="A54" s="1"/>
      <c r="B54" s="194"/>
      <c r="C54" s="195"/>
      <c r="D54" s="195"/>
      <c r="E54" s="195"/>
      <c r="F54" s="195"/>
      <c r="G54" s="195"/>
      <c r="H54" s="195"/>
      <c r="I54" s="196"/>
    </row>
    <row r="55" spans="1:15" ht="18.75" customHeight="1" x14ac:dyDescent="0.2">
      <c r="A55" s="1"/>
      <c r="B55" s="194"/>
      <c r="C55" s="195"/>
      <c r="D55" s="195"/>
      <c r="E55" s="195"/>
      <c r="F55" s="195"/>
      <c r="G55" s="195"/>
      <c r="H55" s="195"/>
      <c r="I55" s="196"/>
    </row>
    <row r="56" spans="1:15" ht="18.75" customHeight="1" x14ac:dyDescent="0.2">
      <c r="A56" s="1"/>
      <c r="B56" s="194"/>
      <c r="C56" s="195"/>
      <c r="D56" s="195"/>
      <c r="E56" s="195"/>
      <c r="F56" s="195"/>
      <c r="G56" s="195"/>
      <c r="H56" s="195"/>
      <c r="I56" s="196"/>
    </row>
    <row r="57" spans="1:15" ht="18.75" customHeight="1" x14ac:dyDescent="0.2">
      <c r="A57" s="1"/>
      <c r="B57" s="194"/>
      <c r="C57" s="195"/>
      <c r="D57" s="195"/>
      <c r="E57" s="195"/>
      <c r="F57" s="195"/>
      <c r="G57" s="195"/>
      <c r="H57" s="195"/>
      <c r="I57" s="196"/>
    </row>
    <row r="58" spans="1:15" ht="18.75" customHeight="1" x14ac:dyDescent="0.2">
      <c r="A58" s="1"/>
      <c r="B58" s="194"/>
      <c r="C58" s="195"/>
      <c r="D58" s="195"/>
      <c r="E58" s="195"/>
      <c r="F58" s="195"/>
      <c r="G58" s="195"/>
      <c r="H58" s="195"/>
      <c r="I58" s="196"/>
    </row>
    <row r="59" spans="1:15" ht="18.75" customHeight="1" x14ac:dyDescent="0.2">
      <c r="A59" s="1"/>
      <c r="B59" s="194"/>
      <c r="C59" s="195"/>
      <c r="D59" s="195"/>
      <c r="E59" s="195"/>
      <c r="F59" s="195"/>
      <c r="G59" s="195"/>
      <c r="H59" s="195"/>
      <c r="I59" s="196"/>
    </row>
    <row r="60" spans="1:15" ht="18.75" customHeight="1" x14ac:dyDescent="0.2">
      <c r="A60" s="1"/>
      <c r="B60" s="194"/>
      <c r="C60" s="195"/>
      <c r="D60" s="195"/>
      <c r="E60" s="195"/>
      <c r="F60" s="195"/>
      <c r="G60" s="195"/>
      <c r="H60" s="195"/>
      <c r="I60" s="196"/>
    </row>
    <row r="61" spans="1:15" ht="18.75" customHeight="1" x14ac:dyDescent="0.2">
      <c r="A61" s="1"/>
      <c r="B61" s="194"/>
      <c r="C61" s="195"/>
      <c r="D61" s="195"/>
      <c r="E61" s="195"/>
      <c r="F61" s="195"/>
      <c r="G61" s="195"/>
      <c r="H61" s="195"/>
      <c r="I61" s="196"/>
    </row>
    <row r="62" spans="1:15" ht="18.75" customHeight="1" x14ac:dyDescent="0.2">
      <c r="A62" s="1"/>
      <c r="B62" s="194"/>
      <c r="C62" s="195"/>
      <c r="D62" s="195"/>
      <c r="E62" s="195"/>
      <c r="F62" s="195"/>
      <c r="G62" s="195"/>
      <c r="H62" s="195"/>
      <c r="I62" s="196"/>
    </row>
    <row r="63" spans="1:15" ht="18.75" customHeight="1" x14ac:dyDescent="0.2">
      <c r="A63" s="1"/>
      <c r="B63" s="197"/>
      <c r="C63" s="198"/>
      <c r="D63" s="198"/>
      <c r="E63" s="198"/>
      <c r="F63" s="198"/>
      <c r="G63" s="198"/>
      <c r="H63" s="198"/>
      <c r="I63" s="199"/>
    </row>
    <row r="64" spans="1:15" ht="7.5" customHeight="1" x14ac:dyDescent="0.2">
      <c r="A64" s="55"/>
      <c r="B64" s="55"/>
      <c r="C64" s="55"/>
      <c r="D64" s="55"/>
      <c r="E64" s="55"/>
      <c r="F64" s="55"/>
      <c r="G64" s="55"/>
      <c r="H64" s="55"/>
      <c r="I64" s="55"/>
    </row>
    <row r="65" spans="1:9" ht="18.75" customHeight="1" x14ac:dyDescent="0.2">
      <c r="A65" s="81" t="s">
        <v>34</v>
      </c>
      <c r="B65" s="1" t="s">
        <v>37</v>
      </c>
      <c r="I65" s="81"/>
    </row>
    <row r="66" spans="1:9" ht="18.75" customHeight="1" x14ac:dyDescent="0.2">
      <c r="A66" s="120"/>
      <c r="B66" s="200" t="s">
        <v>176</v>
      </c>
      <c r="C66" s="201"/>
      <c r="D66" s="201"/>
      <c r="E66" s="201"/>
      <c r="F66" s="201"/>
      <c r="G66" s="201"/>
      <c r="H66" s="201"/>
      <c r="I66" s="202"/>
    </row>
    <row r="67" spans="1:9" ht="18.75" customHeight="1" x14ac:dyDescent="0.2">
      <c r="A67" s="120"/>
      <c r="B67" s="203"/>
      <c r="C67" s="204"/>
      <c r="D67" s="204"/>
      <c r="E67" s="204"/>
      <c r="F67" s="204"/>
      <c r="G67" s="204"/>
      <c r="H67" s="204"/>
      <c r="I67" s="205"/>
    </row>
    <row r="68" spans="1:9" ht="18.75" customHeight="1" x14ac:dyDescent="0.2">
      <c r="A68" s="120"/>
      <c r="B68" s="203"/>
      <c r="C68" s="204"/>
      <c r="D68" s="204"/>
      <c r="E68" s="204"/>
      <c r="F68" s="204"/>
      <c r="G68" s="204"/>
      <c r="H68" s="204"/>
      <c r="I68" s="205"/>
    </row>
    <row r="69" spans="1:9" ht="18.75" customHeight="1" x14ac:dyDescent="0.2">
      <c r="A69" s="120"/>
      <c r="B69" s="203"/>
      <c r="C69" s="204"/>
      <c r="D69" s="204"/>
      <c r="E69" s="204"/>
      <c r="F69" s="204"/>
      <c r="G69" s="204"/>
      <c r="H69" s="204"/>
      <c r="I69" s="205"/>
    </row>
    <row r="70" spans="1:9" ht="18.75" customHeight="1" x14ac:dyDescent="0.2">
      <c r="A70" s="120"/>
      <c r="B70" s="203"/>
      <c r="C70" s="204"/>
      <c r="D70" s="204"/>
      <c r="E70" s="204"/>
      <c r="F70" s="204"/>
      <c r="G70" s="204"/>
      <c r="H70" s="204"/>
      <c r="I70" s="205"/>
    </row>
    <row r="71" spans="1:9" ht="18.75" customHeight="1" x14ac:dyDescent="0.2">
      <c r="A71" s="120"/>
      <c r="B71" s="203"/>
      <c r="C71" s="204"/>
      <c r="D71" s="204"/>
      <c r="E71" s="204"/>
      <c r="F71" s="204"/>
      <c r="G71" s="204"/>
      <c r="H71" s="204"/>
      <c r="I71" s="205"/>
    </row>
    <row r="72" spans="1:9" ht="18.75" customHeight="1" x14ac:dyDescent="0.2">
      <c r="A72" s="120"/>
      <c r="B72" s="203"/>
      <c r="C72" s="204"/>
      <c r="D72" s="204"/>
      <c r="E72" s="204"/>
      <c r="F72" s="204"/>
      <c r="G72" s="204"/>
      <c r="H72" s="204"/>
      <c r="I72" s="205"/>
    </row>
    <row r="73" spans="1:9" ht="18.75" customHeight="1" x14ac:dyDescent="0.2">
      <c r="A73" s="120"/>
      <c r="B73" s="203"/>
      <c r="C73" s="204"/>
      <c r="D73" s="204"/>
      <c r="E73" s="204"/>
      <c r="F73" s="204"/>
      <c r="G73" s="204"/>
      <c r="H73" s="204"/>
      <c r="I73" s="205"/>
    </row>
    <row r="74" spans="1:9" ht="18.75" customHeight="1" x14ac:dyDescent="0.2">
      <c r="A74" s="120"/>
      <c r="B74" s="203"/>
      <c r="C74" s="204"/>
      <c r="D74" s="204"/>
      <c r="E74" s="204"/>
      <c r="F74" s="204"/>
      <c r="G74" s="204"/>
      <c r="H74" s="204"/>
      <c r="I74" s="205"/>
    </row>
    <row r="75" spans="1:9" ht="18.75" customHeight="1" x14ac:dyDescent="0.2">
      <c r="A75" s="120"/>
      <c r="B75" s="203"/>
      <c r="C75" s="204"/>
      <c r="D75" s="204"/>
      <c r="E75" s="204"/>
      <c r="F75" s="204"/>
      <c r="G75" s="204"/>
      <c r="H75" s="204"/>
      <c r="I75" s="205"/>
    </row>
    <row r="76" spans="1:9" ht="18.75" customHeight="1" x14ac:dyDescent="0.2">
      <c r="A76" s="120"/>
      <c r="B76" s="203"/>
      <c r="C76" s="204"/>
      <c r="D76" s="204"/>
      <c r="E76" s="204"/>
      <c r="F76" s="204"/>
      <c r="G76" s="204"/>
      <c r="H76" s="204"/>
      <c r="I76" s="205"/>
    </row>
    <row r="77" spans="1:9" ht="18.75" customHeight="1" x14ac:dyDescent="0.2">
      <c r="A77" s="120"/>
      <c r="B77" s="206"/>
      <c r="C77" s="207"/>
      <c r="D77" s="207"/>
      <c r="E77" s="207"/>
      <c r="F77" s="207"/>
      <c r="G77" s="207"/>
      <c r="H77" s="207"/>
      <c r="I77" s="208"/>
    </row>
    <row r="78" spans="1:9" ht="7.5" customHeight="1" x14ac:dyDescent="0.2">
      <c r="A78" s="120"/>
      <c r="B78" s="120"/>
      <c r="C78" s="120"/>
      <c r="D78" s="120"/>
      <c r="E78" s="120"/>
      <c r="F78" s="120"/>
      <c r="G78" s="120"/>
      <c r="H78" s="120"/>
      <c r="I78" s="120"/>
    </row>
    <row r="79" spans="1:9" ht="18.75" customHeight="1" x14ac:dyDescent="0.2">
      <c r="A79" s="1" t="s">
        <v>11</v>
      </c>
      <c r="B79" s="1" t="s">
        <v>41</v>
      </c>
    </row>
    <row r="80" spans="1:9" ht="18.75" customHeight="1" x14ac:dyDescent="0.2">
      <c r="A80" s="1"/>
      <c r="B80" s="200" t="s">
        <v>177</v>
      </c>
      <c r="C80" s="201"/>
      <c r="D80" s="201"/>
      <c r="E80" s="201"/>
      <c r="F80" s="201"/>
      <c r="G80" s="201"/>
      <c r="H80" s="201"/>
      <c r="I80" s="209"/>
    </row>
    <row r="81" spans="1:9" ht="18.75" customHeight="1" x14ac:dyDescent="0.2">
      <c r="A81" s="1"/>
      <c r="B81" s="210"/>
      <c r="C81" s="211"/>
      <c r="D81" s="211"/>
      <c r="E81" s="211"/>
      <c r="F81" s="211"/>
      <c r="G81" s="211"/>
      <c r="H81" s="211"/>
      <c r="I81" s="212"/>
    </row>
    <row r="82" spans="1:9" ht="18.75" customHeight="1" x14ac:dyDescent="0.2">
      <c r="A82" s="1"/>
      <c r="B82" s="210"/>
      <c r="C82" s="211"/>
      <c r="D82" s="211"/>
      <c r="E82" s="211"/>
      <c r="F82" s="211"/>
      <c r="G82" s="211"/>
      <c r="H82" s="211"/>
      <c r="I82" s="212"/>
    </row>
    <row r="83" spans="1:9" ht="18.75" customHeight="1" x14ac:dyDescent="0.2">
      <c r="A83" s="1"/>
      <c r="B83" s="210"/>
      <c r="C83" s="211"/>
      <c r="D83" s="211"/>
      <c r="E83" s="211"/>
      <c r="F83" s="211"/>
      <c r="G83" s="211"/>
      <c r="H83" s="211"/>
      <c r="I83" s="212"/>
    </row>
    <row r="84" spans="1:9" ht="18.75" customHeight="1" x14ac:dyDescent="0.2">
      <c r="A84" s="1"/>
      <c r="B84" s="210"/>
      <c r="C84" s="211"/>
      <c r="D84" s="211"/>
      <c r="E84" s="211"/>
      <c r="F84" s="211"/>
      <c r="G84" s="211"/>
      <c r="H84" s="211"/>
      <c r="I84" s="212"/>
    </row>
    <row r="85" spans="1:9" ht="18.75" customHeight="1" x14ac:dyDescent="0.2">
      <c r="A85" s="1"/>
      <c r="B85" s="210"/>
      <c r="C85" s="211"/>
      <c r="D85" s="211"/>
      <c r="E85" s="211"/>
      <c r="F85" s="211"/>
      <c r="G85" s="211"/>
      <c r="H85" s="211"/>
      <c r="I85" s="212"/>
    </row>
    <row r="86" spans="1:9" ht="18.75" customHeight="1" x14ac:dyDescent="0.2">
      <c r="A86" s="1"/>
      <c r="B86" s="210"/>
      <c r="C86" s="211"/>
      <c r="D86" s="211"/>
      <c r="E86" s="211"/>
      <c r="F86" s="211"/>
      <c r="G86" s="211"/>
      <c r="H86" s="211"/>
      <c r="I86" s="212"/>
    </row>
    <row r="87" spans="1:9" ht="18.75" customHeight="1" x14ac:dyDescent="0.2">
      <c r="A87" s="1"/>
      <c r="B87" s="210"/>
      <c r="C87" s="211"/>
      <c r="D87" s="211"/>
      <c r="E87" s="211"/>
      <c r="F87" s="211"/>
      <c r="G87" s="211"/>
      <c r="H87" s="211"/>
      <c r="I87" s="212"/>
    </row>
    <row r="88" spans="1:9" ht="18.75" customHeight="1" x14ac:dyDescent="0.2">
      <c r="A88" s="1"/>
      <c r="B88" s="210"/>
      <c r="C88" s="211"/>
      <c r="D88" s="211"/>
      <c r="E88" s="211"/>
      <c r="F88" s="211"/>
      <c r="G88" s="211"/>
      <c r="H88" s="211"/>
      <c r="I88" s="212"/>
    </row>
    <row r="89" spans="1:9" ht="18.75" customHeight="1" x14ac:dyDescent="0.2">
      <c r="A89" s="1"/>
      <c r="B89" s="210"/>
      <c r="C89" s="211"/>
      <c r="D89" s="211"/>
      <c r="E89" s="211"/>
      <c r="F89" s="211"/>
      <c r="G89" s="211"/>
      <c r="H89" s="211"/>
      <c r="I89" s="212"/>
    </row>
    <row r="90" spans="1:9" ht="18.75" customHeight="1" x14ac:dyDescent="0.2">
      <c r="A90" s="120"/>
      <c r="B90" s="210"/>
      <c r="C90" s="211"/>
      <c r="D90" s="211"/>
      <c r="E90" s="211"/>
      <c r="F90" s="211"/>
      <c r="G90" s="211"/>
      <c r="H90" s="211"/>
      <c r="I90" s="212"/>
    </row>
    <row r="91" spans="1:9" ht="18.75" customHeight="1" x14ac:dyDescent="0.2">
      <c r="A91" s="120"/>
      <c r="B91" s="213"/>
      <c r="C91" s="214"/>
      <c r="D91" s="214"/>
      <c r="E91" s="214"/>
      <c r="F91" s="214"/>
      <c r="G91" s="214"/>
      <c r="H91" s="214"/>
      <c r="I91" s="215"/>
    </row>
    <row r="92" spans="1:9" ht="7.5" customHeight="1" x14ac:dyDescent="0.2">
      <c r="A92" s="120"/>
      <c r="B92" s="120"/>
      <c r="C92" s="120"/>
      <c r="D92" s="120"/>
      <c r="E92" s="120"/>
      <c r="F92" s="120"/>
      <c r="G92" s="120"/>
      <c r="H92" s="120"/>
      <c r="I92" s="120"/>
    </row>
    <row r="93" spans="1:9" ht="18.75" customHeight="1" x14ac:dyDescent="0.2">
      <c r="A93" s="1" t="s">
        <v>44</v>
      </c>
      <c r="B93" s="1" t="s">
        <v>13</v>
      </c>
    </row>
    <row r="94" spans="1:9" ht="18.75" customHeight="1" x14ac:dyDescent="0.2">
      <c r="A94" s="1"/>
      <c r="B94" s="216" t="s">
        <v>143</v>
      </c>
      <c r="C94" s="217"/>
      <c r="D94" s="217"/>
      <c r="E94" s="217"/>
      <c r="F94" s="217"/>
      <c r="G94" s="217"/>
      <c r="H94" s="217"/>
      <c r="I94" s="218"/>
    </row>
    <row r="95" spans="1:9" ht="18.75" customHeight="1" x14ac:dyDescent="0.2">
      <c r="A95" s="1"/>
      <c r="B95" s="219"/>
      <c r="C95" s="220"/>
      <c r="D95" s="220"/>
      <c r="E95" s="220"/>
      <c r="F95" s="220"/>
      <c r="G95" s="220"/>
      <c r="H95" s="220"/>
      <c r="I95" s="221"/>
    </row>
    <row r="96" spans="1:9" ht="18.75" customHeight="1" x14ac:dyDescent="0.2">
      <c r="A96" s="1"/>
      <c r="B96" s="219"/>
      <c r="C96" s="220"/>
      <c r="D96" s="220"/>
      <c r="E96" s="220"/>
      <c r="F96" s="220"/>
      <c r="G96" s="220"/>
      <c r="H96" s="220"/>
      <c r="I96" s="221"/>
    </row>
    <row r="97" spans="1:9" ht="18.75" customHeight="1" x14ac:dyDescent="0.2">
      <c r="A97" s="1"/>
      <c r="B97" s="219"/>
      <c r="C97" s="220"/>
      <c r="D97" s="220"/>
      <c r="E97" s="220"/>
      <c r="F97" s="220"/>
      <c r="G97" s="220"/>
      <c r="H97" s="220"/>
      <c r="I97" s="221"/>
    </row>
    <row r="98" spans="1:9" ht="18.75" customHeight="1" x14ac:dyDescent="0.2">
      <c r="A98" s="1"/>
      <c r="B98" s="219"/>
      <c r="C98" s="220"/>
      <c r="D98" s="220"/>
      <c r="E98" s="220"/>
      <c r="F98" s="220"/>
      <c r="G98" s="220"/>
      <c r="H98" s="220"/>
      <c r="I98" s="221"/>
    </row>
    <row r="99" spans="1:9" ht="18.75" customHeight="1" x14ac:dyDescent="0.2">
      <c r="A99" s="1"/>
      <c r="B99" s="219"/>
      <c r="C99" s="220"/>
      <c r="D99" s="220"/>
      <c r="E99" s="220"/>
      <c r="F99" s="220"/>
      <c r="G99" s="220"/>
      <c r="H99" s="220"/>
      <c r="I99" s="221"/>
    </row>
    <row r="100" spans="1:9" ht="18.75" customHeight="1" x14ac:dyDescent="0.2">
      <c r="A100" s="1"/>
      <c r="B100" s="219"/>
      <c r="C100" s="220"/>
      <c r="D100" s="220"/>
      <c r="E100" s="220"/>
      <c r="F100" s="220"/>
      <c r="G100" s="220"/>
      <c r="H100" s="220"/>
      <c r="I100" s="221"/>
    </row>
    <row r="101" spans="1:9" ht="18.75" customHeight="1" x14ac:dyDescent="0.2">
      <c r="A101" s="1"/>
      <c r="B101" s="219"/>
      <c r="C101" s="220"/>
      <c r="D101" s="220"/>
      <c r="E101" s="220"/>
      <c r="F101" s="220"/>
      <c r="G101" s="220"/>
      <c r="H101" s="220"/>
      <c r="I101" s="221"/>
    </row>
    <row r="102" spans="1:9" ht="18.75" customHeight="1" x14ac:dyDescent="0.2">
      <c r="A102" s="1"/>
      <c r="B102" s="219"/>
      <c r="C102" s="220"/>
      <c r="D102" s="220"/>
      <c r="E102" s="220"/>
      <c r="F102" s="220"/>
      <c r="G102" s="220"/>
      <c r="H102" s="220"/>
      <c r="I102" s="221"/>
    </row>
    <row r="103" spans="1:9" ht="18.75" customHeight="1" x14ac:dyDescent="0.2">
      <c r="A103" s="1"/>
      <c r="B103" s="219"/>
      <c r="C103" s="220"/>
      <c r="D103" s="220"/>
      <c r="E103" s="220"/>
      <c r="F103" s="220"/>
      <c r="G103" s="220"/>
      <c r="H103" s="220"/>
      <c r="I103" s="221"/>
    </row>
    <row r="104" spans="1:9" ht="18.75" customHeight="1" x14ac:dyDescent="0.2">
      <c r="A104" s="1"/>
      <c r="B104" s="219"/>
      <c r="C104" s="220"/>
      <c r="D104" s="220"/>
      <c r="E104" s="220"/>
      <c r="F104" s="220"/>
      <c r="G104" s="220"/>
      <c r="H104" s="220"/>
      <c r="I104" s="221"/>
    </row>
    <row r="105" spans="1:9" ht="18.75" customHeight="1" x14ac:dyDescent="0.2">
      <c r="A105" s="120"/>
      <c r="B105" s="222"/>
      <c r="C105" s="223"/>
      <c r="D105" s="223"/>
      <c r="E105" s="223"/>
      <c r="F105" s="223"/>
      <c r="G105" s="223"/>
      <c r="H105" s="223"/>
      <c r="I105" s="224"/>
    </row>
    <row r="106" spans="1:9" ht="7.5" customHeight="1" x14ac:dyDescent="0.2">
      <c r="A106" s="120"/>
      <c r="B106" s="120"/>
      <c r="C106" s="120"/>
      <c r="D106" s="120"/>
      <c r="E106" s="120"/>
      <c r="F106" s="120"/>
      <c r="G106" s="120"/>
      <c r="H106" s="120"/>
      <c r="I106" s="120"/>
    </row>
    <row r="107" spans="1:9" ht="18.75" customHeight="1" x14ac:dyDescent="0.2">
      <c r="A107" s="1" t="s">
        <v>30</v>
      </c>
      <c r="B107" s="225" t="s">
        <v>46</v>
      </c>
      <c r="C107" s="225"/>
      <c r="D107" s="225"/>
      <c r="E107" s="225"/>
      <c r="F107" s="225"/>
      <c r="G107" s="225"/>
      <c r="H107" s="225"/>
      <c r="I107" s="225"/>
    </row>
    <row r="108" spans="1:9" ht="18.75" customHeight="1" x14ac:dyDescent="0.2">
      <c r="A108" s="120"/>
      <c r="B108" s="216" t="s">
        <v>137</v>
      </c>
      <c r="C108" s="217"/>
      <c r="D108" s="217"/>
      <c r="E108" s="217"/>
      <c r="F108" s="217"/>
      <c r="G108" s="217"/>
      <c r="H108" s="217"/>
      <c r="I108" s="218"/>
    </row>
    <row r="109" spans="1:9" ht="18.75" customHeight="1" x14ac:dyDescent="0.2">
      <c r="A109" s="120"/>
      <c r="B109" s="219"/>
      <c r="C109" s="220"/>
      <c r="D109" s="220"/>
      <c r="E109" s="220"/>
      <c r="F109" s="220"/>
      <c r="G109" s="220"/>
      <c r="H109" s="220"/>
      <c r="I109" s="221"/>
    </row>
    <row r="110" spans="1:9" ht="18.75" customHeight="1" x14ac:dyDescent="0.2">
      <c r="A110" s="120"/>
      <c r="B110" s="219"/>
      <c r="C110" s="220"/>
      <c r="D110" s="220"/>
      <c r="E110" s="220"/>
      <c r="F110" s="220"/>
      <c r="G110" s="220"/>
      <c r="H110" s="220"/>
      <c r="I110" s="221"/>
    </row>
    <row r="111" spans="1:9" ht="18.75" customHeight="1" x14ac:dyDescent="0.2">
      <c r="A111" s="120"/>
      <c r="B111" s="219"/>
      <c r="C111" s="220"/>
      <c r="D111" s="220"/>
      <c r="E111" s="220"/>
      <c r="F111" s="220"/>
      <c r="G111" s="220"/>
      <c r="H111" s="220"/>
      <c r="I111" s="221"/>
    </row>
    <row r="112" spans="1:9" ht="18.75" customHeight="1" x14ac:dyDescent="0.2">
      <c r="A112" s="120"/>
      <c r="B112" s="219"/>
      <c r="C112" s="220"/>
      <c r="D112" s="220"/>
      <c r="E112" s="220"/>
      <c r="F112" s="220"/>
      <c r="G112" s="220"/>
      <c r="H112" s="220"/>
      <c r="I112" s="221"/>
    </row>
    <row r="113" spans="1:9" ht="18.75" customHeight="1" x14ac:dyDescent="0.2">
      <c r="A113" s="120"/>
      <c r="B113" s="219"/>
      <c r="C113" s="220"/>
      <c r="D113" s="220"/>
      <c r="E113" s="220"/>
      <c r="F113" s="220"/>
      <c r="G113" s="220"/>
      <c r="H113" s="220"/>
      <c r="I113" s="221"/>
    </row>
    <row r="114" spans="1:9" ht="18.75" customHeight="1" x14ac:dyDescent="0.2">
      <c r="A114" s="120"/>
      <c r="B114" s="219"/>
      <c r="C114" s="220"/>
      <c r="D114" s="220"/>
      <c r="E114" s="220"/>
      <c r="F114" s="220"/>
      <c r="G114" s="220"/>
      <c r="H114" s="220"/>
      <c r="I114" s="221"/>
    </row>
    <row r="115" spans="1:9" ht="18.75" customHeight="1" x14ac:dyDescent="0.2">
      <c r="A115" s="120"/>
      <c r="B115" s="219"/>
      <c r="C115" s="220"/>
      <c r="D115" s="220"/>
      <c r="E115" s="220"/>
      <c r="F115" s="220"/>
      <c r="G115" s="220"/>
      <c r="H115" s="220"/>
      <c r="I115" s="221"/>
    </row>
    <row r="116" spans="1:9" ht="18.75" customHeight="1" x14ac:dyDescent="0.2">
      <c r="A116" s="120"/>
      <c r="B116" s="219"/>
      <c r="C116" s="220"/>
      <c r="D116" s="220"/>
      <c r="E116" s="220"/>
      <c r="F116" s="220"/>
      <c r="G116" s="220"/>
      <c r="H116" s="220"/>
      <c r="I116" s="221"/>
    </row>
    <row r="117" spans="1:9" ht="18.75" customHeight="1" x14ac:dyDescent="0.2">
      <c r="A117" s="120"/>
      <c r="B117" s="219"/>
      <c r="C117" s="220"/>
      <c r="D117" s="220"/>
      <c r="E117" s="220"/>
      <c r="F117" s="220"/>
      <c r="G117" s="220"/>
      <c r="H117" s="220"/>
      <c r="I117" s="221"/>
    </row>
    <row r="118" spans="1:9" ht="18.75" customHeight="1" x14ac:dyDescent="0.2">
      <c r="A118" s="120"/>
      <c r="B118" s="219"/>
      <c r="C118" s="220"/>
      <c r="D118" s="220"/>
      <c r="E118" s="220"/>
      <c r="F118" s="220"/>
      <c r="G118" s="220"/>
      <c r="H118" s="220"/>
      <c r="I118" s="221"/>
    </row>
    <row r="119" spans="1:9" ht="18.75" customHeight="1" x14ac:dyDescent="0.2">
      <c r="A119" s="120"/>
      <c r="B119" s="222"/>
      <c r="C119" s="223"/>
      <c r="D119" s="223"/>
      <c r="E119" s="223"/>
      <c r="F119" s="223"/>
      <c r="G119" s="223"/>
      <c r="H119" s="223"/>
      <c r="I119" s="224"/>
    </row>
    <row r="120" spans="1:9" ht="7.5" customHeight="1" x14ac:dyDescent="0.2">
      <c r="A120" s="120"/>
      <c r="B120" s="226"/>
      <c r="C120" s="226"/>
      <c r="D120" s="226"/>
      <c r="E120" s="226"/>
      <c r="F120" s="226"/>
      <c r="G120" s="226"/>
      <c r="H120" s="226"/>
      <c r="I120" s="226"/>
    </row>
    <row r="121" spans="1:9" ht="18.75" customHeight="1" x14ac:dyDescent="0.2">
      <c r="A121" s="120"/>
      <c r="B121" s="120"/>
      <c r="C121" s="120"/>
      <c r="D121" s="120"/>
      <c r="E121" s="120"/>
      <c r="F121" s="120"/>
      <c r="G121" s="120"/>
      <c r="H121" s="120"/>
      <c r="I121" s="120"/>
    </row>
    <row r="122" spans="1:9" ht="18.75" customHeight="1" x14ac:dyDescent="0.2">
      <c r="A122" s="120"/>
      <c r="B122" s="120"/>
      <c r="C122" s="120"/>
      <c r="D122" s="120"/>
      <c r="E122" s="120"/>
      <c r="F122" s="120"/>
      <c r="G122" s="120"/>
      <c r="H122" s="120"/>
      <c r="I122" s="120"/>
    </row>
    <row r="123" spans="1:9" ht="18.75" customHeight="1" x14ac:dyDescent="0.2">
      <c r="A123" s="120"/>
      <c r="B123" s="120"/>
      <c r="C123" s="120"/>
      <c r="D123" s="120"/>
      <c r="E123" s="120"/>
      <c r="F123" s="120"/>
      <c r="G123" s="120"/>
      <c r="H123" s="120"/>
      <c r="I123" s="120"/>
    </row>
    <row r="124" spans="1:9" ht="18.75" customHeight="1" x14ac:dyDescent="0.2">
      <c r="A124" s="120"/>
      <c r="B124" s="120"/>
      <c r="C124" s="120"/>
      <c r="D124" s="120"/>
      <c r="E124" s="120"/>
      <c r="F124" s="120"/>
      <c r="G124" s="120"/>
      <c r="H124" s="120"/>
      <c r="I124" s="120"/>
    </row>
    <row r="125" spans="1:9" ht="18.75" customHeight="1" x14ac:dyDescent="0.2">
      <c r="A125" s="120"/>
      <c r="B125" s="120"/>
      <c r="C125" s="120"/>
      <c r="D125" s="120"/>
      <c r="E125" s="120"/>
      <c r="F125" s="120"/>
      <c r="G125" s="120"/>
      <c r="H125" s="120"/>
      <c r="I125" s="120"/>
    </row>
    <row r="126" spans="1:9" ht="18.75" customHeight="1" x14ac:dyDescent="0.2">
      <c r="A126" s="120"/>
      <c r="B126" s="120"/>
      <c r="C126" s="120"/>
      <c r="D126" s="120"/>
      <c r="E126" s="120"/>
      <c r="F126" s="120"/>
      <c r="G126" s="120"/>
      <c r="H126" s="120"/>
      <c r="I126" s="120"/>
    </row>
    <row r="127" spans="1:9" ht="18.75" customHeight="1" x14ac:dyDescent="0.2">
      <c r="A127" s="120"/>
      <c r="B127" s="120"/>
      <c r="C127" s="120"/>
      <c r="D127" s="120"/>
      <c r="E127" s="120"/>
      <c r="F127" s="120"/>
      <c r="G127" s="120"/>
      <c r="H127" s="120"/>
      <c r="I127" s="120"/>
    </row>
    <row r="128" spans="1:9" ht="18.75" customHeight="1" x14ac:dyDescent="0.2">
      <c r="A128" s="120"/>
      <c r="B128" s="120"/>
      <c r="C128" s="120"/>
      <c r="D128" s="120"/>
      <c r="E128" s="120"/>
      <c r="F128" s="120"/>
      <c r="G128" s="120"/>
      <c r="H128" s="120"/>
      <c r="I128" s="120"/>
    </row>
    <row r="129" spans="1:9" ht="18.75" customHeight="1" x14ac:dyDescent="0.2">
      <c r="A129" s="120"/>
      <c r="B129" s="120"/>
      <c r="C129" s="120"/>
      <c r="D129" s="120"/>
      <c r="E129" s="120"/>
      <c r="F129" s="120"/>
      <c r="G129" s="120"/>
      <c r="H129" s="120"/>
      <c r="I129" s="120"/>
    </row>
    <row r="130" spans="1:9" ht="18.75" customHeight="1" x14ac:dyDescent="0.2">
      <c r="A130" s="120"/>
      <c r="B130" s="120"/>
      <c r="C130" s="120"/>
      <c r="D130" s="120"/>
      <c r="E130" s="120"/>
      <c r="F130" s="120"/>
      <c r="G130" s="120"/>
      <c r="H130" s="120"/>
      <c r="I130" s="120"/>
    </row>
    <row r="131" spans="1:9" ht="18.75" customHeight="1" x14ac:dyDescent="0.2">
      <c r="A131" s="120"/>
      <c r="B131" s="120"/>
      <c r="C131" s="120"/>
      <c r="D131" s="120"/>
      <c r="E131" s="120"/>
      <c r="F131" s="120"/>
      <c r="G131" s="120"/>
      <c r="H131" s="120"/>
      <c r="I131" s="120"/>
    </row>
    <row r="132" spans="1:9" ht="18.75" customHeight="1" x14ac:dyDescent="0.2">
      <c r="A132" s="120"/>
      <c r="B132" s="120"/>
      <c r="C132" s="120"/>
      <c r="D132" s="120"/>
      <c r="E132" s="120"/>
      <c r="F132" s="120"/>
      <c r="G132" s="120"/>
      <c r="H132" s="120"/>
      <c r="I132" s="120"/>
    </row>
    <row r="133" spans="1:9" ht="14.4" x14ac:dyDescent="0.2">
      <c r="A133" s="120"/>
      <c r="B133" s="120"/>
      <c r="C133" s="120"/>
      <c r="D133" s="120"/>
      <c r="E133" s="120"/>
      <c r="F133" s="120"/>
      <c r="G133" s="120"/>
      <c r="H133" s="120"/>
      <c r="I133" s="120"/>
    </row>
    <row r="134" spans="1:9" ht="7.5" customHeight="1" x14ac:dyDescent="0.2">
      <c r="A134" s="227"/>
      <c r="B134" s="227"/>
      <c r="C134" s="227"/>
      <c r="D134" s="227"/>
      <c r="E134" s="227"/>
      <c r="F134" s="227"/>
      <c r="G134" s="227"/>
      <c r="H134" s="227"/>
      <c r="I134" s="227"/>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90" zoomScaleNormal="100" zoomScaleSheetLayoutView="90" workbookViewId="0">
      <selection activeCell="M6" sqref="M6"/>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8" t="s">
        <v>105</v>
      </c>
    </row>
    <row r="2" spans="1:9" ht="18.75" customHeight="1" x14ac:dyDescent="0.2">
      <c r="H2" s="8" t="s">
        <v>109</v>
      </c>
      <c r="I2" s="4" t="str">
        <f>'様式１　プログラムを構成する授業科目'!C2</f>
        <v>十文字学園女子大学</v>
      </c>
    </row>
    <row r="3" spans="1:9" ht="18.75" customHeight="1" x14ac:dyDescent="0.2">
      <c r="A3" s="11" t="s">
        <v>28</v>
      </c>
      <c r="B3" s="11"/>
      <c r="C3" s="11"/>
      <c r="D3" s="11"/>
      <c r="E3" s="11"/>
      <c r="F3" s="11"/>
      <c r="G3" s="11"/>
      <c r="H3" s="11"/>
      <c r="I3" s="11"/>
    </row>
    <row r="4" spans="1:9" ht="18.75" customHeight="1" x14ac:dyDescent="0.2">
      <c r="A4" s="115"/>
      <c r="B4" s="115"/>
      <c r="C4" s="115"/>
      <c r="D4" s="115"/>
      <c r="E4" s="115"/>
      <c r="F4" s="115"/>
      <c r="G4" s="115"/>
      <c r="H4" s="115"/>
      <c r="I4" s="115"/>
    </row>
    <row r="5" spans="1:9" ht="18.75" customHeight="1" x14ac:dyDescent="0.2">
      <c r="A5" s="1" t="s">
        <v>0</v>
      </c>
      <c r="B5" s="17" t="s">
        <v>95</v>
      </c>
      <c r="C5" s="115"/>
      <c r="D5" s="115"/>
      <c r="E5" s="115"/>
      <c r="F5" s="115"/>
      <c r="G5" s="115"/>
      <c r="H5" s="115"/>
      <c r="I5" s="115"/>
    </row>
    <row r="6" spans="1:9" ht="26.25" customHeight="1" x14ac:dyDescent="0.2">
      <c r="A6" s="115"/>
      <c r="B6" s="116" t="s">
        <v>135</v>
      </c>
      <c r="C6" s="117"/>
      <c r="D6" s="117"/>
      <c r="E6" s="117"/>
      <c r="F6" s="117"/>
      <c r="G6" s="117"/>
      <c r="H6" s="118"/>
      <c r="I6" s="12"/>
    </row>
    <row r="7" spans="1:9" ht="9" customHeight="1" x14ac:dyDescent="0.2">
      <c r="A7" s="115"/>
      <c r="B7" s="17"/>
      <c r="C7" s="17"/>
      <c r="D7" s="17"/>
      <c r="E7" s="17"/>
      <c r="F7" s="17"/>
      <c r="G7" s="17"/>
      <c r="H7" s="17"/>
      <c r="I7" s="12"/>
    </row>
    <row r="8" spans="1:9" ht="18.75" customHeight="1" x14ac:dyDescent="0.2">
      <c r="A8" s="115"/>
      <c r="B8" s="12"/>
      <c r="C8" s="12"/>
      <c r="D8" s="8" t="s">
        <v>43</v>
      </c>
      <c r="E8" s="119" t="s">
        <v>138</v>
      </c>
      <c r="F8" s="12"/>
      <c r="G8" s="8" t="s">
        <v>10</v>
      </c>
      <c r="H8" s="119" t="s">
        <v>139</v>
      </c>
      <c r="I8" s="12"/>
    </row>
    <row r="9" spans="1:9" ht="7.5" customHeight="1" x14ac:dyDescent="0.2">
      <c r="A9" s="115"/>
      <c r="B9" s="115"/>
      <c r="C9" s="115"/>
      <c r="D9" s="115"/>
      <c r="E9" s="115"/>
      <c r="F9" s="115"/>
      <c r="G9" s="115"/>
      <c r="H9" s="115"/>
      <c r="I9" s="115"/>
    </row>
    <row r="10" spans="1:9" ht="18.75" customHeight="1" x14ac:dyDescent="0.2">
      <c r="A10" s="1" t="s">
        <v>3</v>
      </c>
      <c r="B10" s="1" t="s">
        <v>27</v>
      </c>
      <c r="C10" s="120"/>
      <c r="D10" s="120"/>
      <c r="E10" s="120"/>
      <c r="F10" s="120"/>
      <c r="G10" s="120"/>
      <c r="H10" s="120"/>
      <c r="I10" s="120"/>
    </row>
    <row r="11" spans="1:9" ht="18.75" customHeight="1" x14ac:dyDescent="0.2">
      <c r="B11" s="5" t="s">
        <v>24</v>
      </c>
      <c r="C11" s="6"/>
      <c r="D11" s="7"/>
      <c r="E11" s="6" t="s">
        <v>26</v>
      </c>
      <c r="F11" s="6"/>
      <c r="G11" s="6"/>
      <c r="H11" s="6"/>
      <c r="I11" s="7"/>
    </row>
    <row r="12" spans="1:9" ht="26.25" customHeight="1" x14ac:dyDescent="0.2">
      <c r="B12" s="121" t="s">
        <v>14</v>
      </c>
      <c r="C12" s="122"/>
      <c r="D12" s="123"/>
      <c r="E12" s="124"/>
      <c r="F12" s="124"/>
      <c r="G12" s="124"/>
      <c r="H12" s="124"/>
      <c r="I12" s="123"/>
    </row>
    <row r="13" spans="1:9" ht="210.75" customHeight="1" x14ac:dyDescent="0.2">
      <c r="B13" s="125"/>
      <c r="C13" s="126" t="s">
        <v>15</v>
      </c>
      <c r="D13" s="127"/>
      <c r="E13" s="128" t="s">
        <v>144</v>
      </c>
      <c r="F13" s="129"/>
      <c r="G13" s="129"/>
      <c r="H13" s="129"/>
      <c r="I13" s="130"/>
    </row>
    <row r="14" spans="1:9" ht="210.75" customHeight="1" x14ac:dyDescent="0.2">
      <c r="B14" s="125"/>
      <c r="C14" s="131" t="s">
        <v>16</v>
      </c>
      <c r="D14" s="132"/>
      <c r="E14" s="128" t="s">
        <v>146</v>
      </c>
      <c r="F14" s="129"/>
      <c r="G14" s="129"/>
      <c r="H14" s="129"/>
      <c r="I14" s="130"/>
    </row>
    <row r="15" spans="1:9" ht="210.75" customHeight="1" x14ac:dyDescent="0.2">
      <c r="B15" s="125"/>
      <c r="C15" s="133" t="s">
        <v>17</v>
      </c>
      <c r="D15" s="134"/>
      <c r="E15" s="135" t="s">
        <v>154</v>
      </c>
      <c r="F15" s="136"/>
      <c r="G15" s="136"/>
      <c r="H15" s="136"/>
      <c r="I15" s="137"/>
    </row>
    <row r="16" spans="1:9" ht="210.75" customHeight="1" x14ac:dyDescent="0.2">
      <c r="B16" s="125"/>
      <c r="C16" s="126" t="s">
        <v>18</v>
      </c>
      <c r="D16" s="127"/>
      <c r="E16" s="128" t="s">
        <v>149</v>
      </c>
      <c r="F16" s="129"/>
      <c r="G16" s="129"/>
      <c r="H16" s="129"/>
      <c r="I16" s="130"/>
    </row>
    <row r="17" spans="2:9" ht="210.75" customHeight="1" x14ac:dyDescent="0.2">
      <c r="B17" s="138"/>
      <c r="C17" s="139" t="s">
        <v>19</v>
      </c>
      <c r="D17" s="140"/>
      <c r="E17" s="141" t="s">
        <v>150</v>
      </c>
      <c r="F17" s="142"/>
      <c r="G17" s="142"/>
      <c r="H17" s="142"/>
      <c r="I17" s="143"/>
    </row>
    <row r="18" spans="2:9" ht="24" customHeight="1" x14ac:dyDescent="0.2">
      <c r="B18" s="121" t="s">
        <v>20</v>
      </c>
      <c r="C18" s="144"/>
      <c r="D18" s="145"/>
      <c r="E18" s="146"/>
      <c r="F18" s="146"/>
      <c r="G18" s="146"/>
      <c r="H18" s="146"/>
      <c r="I18" s="147"/>
    </row>
    <row r="19" spans="2:9" ht="218.25" customHeight="1" x14ac:dyDescent="0.2">
      <c r="B19" s="125"/>
      <c r="C19" s="126" t="s">
        <v>21</v>
      </c>
      <c r="D19" s="127"/>
      <c r="E19" s="136" t="s">
        <v>147</v>
      </c>
      <c r="F19" s="136"/>
      <c r="G19" s="136"/>
      <c r="H19" s="136"/>
      <c r="I19" s="137"/>
    </row>
    <row r="20" spans="2:9" ht="218.25" customHeight="1" x14ac:dyDescent="0.2">
      <c r="B20" s="138"/>
      <c r="C20" s="139" t="s">
        <v>22</v>
      </c>
      <c r="D20" s="140"/>
      <c r="E20" s="148" t="s">
        <v>151</v>
      </c>
      <c r="F20" s="148"/>
      <c r="G20" s="148"/>
      <c r="H20" s="148"/>
      <c r="I20" s="149"/>
    </row>
    <row r="21" spans="2:9" ht="218.25" customHeight="1" x14ac:dyDescent="0.2">
      <c r="B21" s="150" t="s">
        <v>23</v>
      </c>
      <c r="C21" s="151"/>
      <c r="D21" s="152"/>
      <c r="E21" s="153" t="s">
        <v>155</v>
      </c>
      <c r="F21" s="153"/>
      <c r="G21" s="153"/>
      <c r="H21" s="153"/>
      <c r="I21" s="154"/>
    </row>
    <row r="22" spans="2:9" ht="218.25" customHeight="1" x14ac:dyDescent="0.2">
      <c r="B22" s="155" t="s">
        <v>38</v>
      </c>
      <c r="C22" s="156"/>
      <c r="D22" s="157"/>
      <c r="E22" s="158" t="s">
        <v>148</v>
      </c>
      <c r="F22" s="158"/>
      <c r="G22" s="158"/>
      <c r="H22" s="158"/>
      <c r="I22" s="159"/>
    </row>
    <row r="23" spans="2:9" ht="22.5" customHeight="1" x14ac:dyDescent="0.2">
      <c r="B23" s="120"/>
      <c r="C23" s="120"/>
      <c r="D23" s="120"/>
      <c r="E23" s="120"/>
      <c r="F23" s="120"/>
      <c r="G23" s="120"/>
      <c r="H23" s="120"/>
      <c r="I23" s="120"/>
    </row>
    <row r="24" spans="2:9" ht="22.5" customHeight="1" x14ac:dyDescent="0.2">
      <c r="B24" s="120"/>
      <c r="C24" s="120"/>
      <c r="D24" s="120"/>
      <c r="E24" s="120"/>
      <c r="F24" s="120"/>
      <c r="G24" s="120"/>
      <c r="H24" s="120"/>
      <c r="I24" s="120"/>
    </row>
    <row r="25" spans="2:9" ht="22.5" customHeight="1" x14ac:dyDescent="0.2">
      <c r="B25" s="120"/>
      <c r="C25" s="120"/>
      <c r="D25" s="120"/>
      <c r="E25" s="120"/>
      <c r="F25" s="120"/>
      <c r="G25" s="120"/>
      <c r="H25" s="120"/>
      <c r="I25" s="120"/>
    </row>
    <row r="26" spans="2:9" ht="22.5" customHeight="1" x14ac:dyDescent="0.2">
      <c r="B26" s="120"/>
      <c r="C26" s="120"/>
      <c r="D26" s="120"/>
      <c r="E26" s="120"/>
      <c r="F26" s="120"/>
      <c r="G26" s="120"/>
      <c r="H26" s="120"/>
      <c r="I26" s="120"/>
    </row>
    <row r="27" spans="2:9" ht="22.5" customHeight="1" x14ac:dyDescent="0.2">
      <c r="B27" s="120"/>
      <c r="C27" s="120"/>
      <c r="D27" s="120"/>
      <c r="E27" s="120"/>
      <c r="F27" s="120"/>
      <c r="G27" s="120"/>
      <c r="H27" s="120"/>
      <c r="I27" s="120"/>
    </row>
    <row r="28" spans="2:9" ht="22.5" customHeight="1" x14ac:dyDescent="0.2">
      <c r="B28" s="55"/>
      <c r="C28" s="55"/>
      <c r="D28" s="55"/>
      <c r="E28" s="55"/>
      <c r="F28" s="55"/>
      <c r="G28" s="55"/>
      <c r="H28" s="55"/>
      <c r="I28" s="55"/>
    </row>
    <row r="29" spans="2:9" ht="22.5" customHeight="1" x14ac:dyDescent="0.2">
      <c r="B29" s="55"/>
      <c r="C29" s="55"/>
      <c r="D29" s="55"/>
      <c r="E29" s="55"/>
      <c r="F29" s="55"/>
      <c r="G29" s="55"/>
      <c r="H29" s="55"/>
      <c r="I29" s="55"/>
    </row>
    <row r="30" spans="2:9" ht="22.5" customHeight="1" x14ac:dyDescent="0.2">
      <c r="B30" s="55"/>
      <c r="C30" s="55"/>
      <c r="D30" s="55"/>
      <c r="E30" s="55"/>
      <c r="F30" s="55"/>
      <c r="G30" s="55"/>
      <c r="H30" s="55"/>
      <c r="I30" s="5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様式3　履修者数を向上させるための体制・計画</vt:lpstr>
      <vt:lpstr>様式４　自己点検・評価</vt:lpstr>
      <vt:lpstr>'様式１　プログラムを構成する授業科目'!Print_Area</vt:lpstr>
      <vt:lpstr>'様式２ 履修者等数の実績'!Print_Area</vt:lpstr>
      <vt:lpstr>'様式3　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職員 教務課 小黒 真由美</cp:lastModifiedBy>
  <cp:lastPrinted>2023-07-12T02:59:26Z</cp:lastPrinted>
  <dcterms:created xsi:type="dcterms:W3CDTF">2011-06-14T05:32:50Z</dcterms:created>
  <dcterms:modified xsi:type="dcterms:W3CDTF">2023-07-12T03:02:59Z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