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24226"/>
  <mc:AlternateContent xmlns:mc="http://schemas.openxmlformats.org/markup-compatibility/2006">
    <mc:Choice Requires="x15">
      <x15ac:absPath xmlns:x15ac="http://schemas.microsoft.com/office/spreadsheetml/2010/11/ac" url="\\10.1.0.3\事務局\教務課\大学教務\S_申請関係\数理・データサイエンス・AI教育プログラム認定制度（リテラシーレベル）申請\疎明資料\"/>
    </mc:Choice>
  </mc:AlternateContent>
  <xr:revisionPtr revIDLastSave="0" documentId="13_ncr:1_{C419E9FF-F023-495E-8C12-440181A4491B}" xr6:coauthVersionLast="36" xr6:coauthVersionMax="36" xr10:uidLastSave="{00000000-0000-0000-0000-000000000000}"/>
  <bookViews>
    <workbookView xWindow="0" yWindow="0" windowWidth="28800" windowHeight="1213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calcMode="manual"/>
</workbook>
</file>

<file path=xl/calcChain.xml><?xml version="1.0" encoding="utf-8"?>
<calcChain xmlns="http://schemas.openxmlformats.org/spreadsheetml/2006/main">
  <c r="I15" i="40" l="1"/>
  <c r="F15"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G32" i="40"/>
  <c r="H32" i="40"/>
  <c r="AP13" i="40"/>
  <c r="AP14" i="40"/>
  <c r="AP15" i="40"/>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<sst xmlns="http://schemas.openxmlformats.org/spreadsheetml/2006/main" count="301" uniqueCount="173">
  <si>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</si>
  <si>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</si>
  <si>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</si>
  <si>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</si>
  <si>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</si>
  <si>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</si>
  <si>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</si>
  <si>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</si>
  <si>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</si>
  <si>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</si>
  <si>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</si>
  <si>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</si>
  <si>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</si>
  <si>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</si>
  <si>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</si>
  <si>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</si>
  <si>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</si>
  <si>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</si>
  <si>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</si>
  <si>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</si>
  <si>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</si>
  <si>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</si>
  <si>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</si>
  <si>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</si>
  <si>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</si>
  <si>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</si>
  <si>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</si>
  <si>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</si>
  <si>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</si>
  <si>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</si>
  <si>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</si>
  <si>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</si>
  <si>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</si>
  <si>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</si>
  <si>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</si>
  <si>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</si>
  <si>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</si>
  <si>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</si>
  <si>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</si>
  <si>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</si>
  <si>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</si>
  <si>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</si>
  <si>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</si>
  <si>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</si>
  <si>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</si>
  <si>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</si>
  <si>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</si>
  <si>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</si>
  <si>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</si>
  <si>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</si>
  <si>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</si>
  <si>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</si>
  <si>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</si>
  <si>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</si>
  <si>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</si>
  <si>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</si>
  <si>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</si>
  <si>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</si>
  <si>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</si>
  <si>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</si>
  <si>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</si>
  <si>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</si>
  <si>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</si>
  <si>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</si>
  <si>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</si>
  <si>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</si>
  <si>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</si>
  <si>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</si>
  <si>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</si>
  <si>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</si>
  <si>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</si>
  <si>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</si>
  <si>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</si>
  <si>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</si>
  <si>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</si>
  <si>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</si>
  <si>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</si>
  <si>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</si>
  <si>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</si>
  <si>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</si>
  <si>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</si>
  <si>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</si>
  <si>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</si>
  <si>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</si>
  <si>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</si>
  <si>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</si>
  <si>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</si>
  <si>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</si>
  <si>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</si>
  <si>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</si>
  <si>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</si>
  <si>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</si>
  <si>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</si>
  <si>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</si>
  <si>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</si>
  <si>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</si>
  <si>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</si>
  <si>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</si>
  <si>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</si>
  <si>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</si>
  <si>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</si>
  <si>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</si>
  <si>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</si>
  <si>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</si>
  <si>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</si>
  <si>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</si>
  <si>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</si>
  <si>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</si>
  <si>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</si>
  <si>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</si>
  <si>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</si>
  <si>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</si>
  <si>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</si>
  <si>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</si>
  <si>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</si>
  <si>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</si>
  <si>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</si>
  <si>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</si>
  <si>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</si>
  <si>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</si>
  <si>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</si>
  <si>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</si>
  <si>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</si>
  <si>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</si>
  <si>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</si>
  <si>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</si>
  <si>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</si>
  <si>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京都文教大学</t>
    <phoneticPr fontId="1"/>
  </si>
  <si>
    <t>澤　達大</t>
    <rPh sb="0" eb="1">
      <t>サワ</t>
    </rPh>
    <rPh sb="2" eb="3">
      <t>タツ</t>
    </rPh>
    <rPh sb="3" eb="4">
      <t>ダイ</t>
    </rPh>
    <phoneticPr fontId="1"/>
  </si>
  <si>
    <t>ともいき基盤教育センター長</t>
    <rPh sb="4" eb="8">
      <t>キバンキョウイク</t>
    </rPh>
    <rPh sb="12" eb="13">
      <t>チョウ</t>
    </rPh>
    <phoneticPr fontId="1"/>
  </si>
  <si>
    <t>リテラシーレベル</t>
    <phoneticPr fontId="1"/>
  </si>
  <si>
    <t>学部・学科によって、修了要件は相違しない</t>
  </si>
  <si>
    <t>現代とICT</t>
    <phoneticPr fontId="1"/>
  </si>
  <si>
    <t>情報機器演習</t>
    <phoneticPr fontId="1"/>
  </si>
  <si>
    <t>○</t>
  </si>
  <si>
    <t>本教育プログラムについての履修をLMSにて管理し、学生が授業時間以外にいつでも不明点等を確認する環境を整えており、疑問や質問はQ＆Aシステムを通じて確実に回答する体制を整備している。</t>
    <rPh sb="48" eb="50">
      <t>カンキョウ</t>
    </rPh>
    <rPh sb="51" eb="52">
      <t>トトノ</t>
    </rPh>
    <rPh sb="57" eb="59">
      <t>ギモン</t>
    </rPh>
    <rPh sb="74" eb="76">
      <t>カクジツ</t>
    </rPh>
    <rPh sb="77" eb="79">
      <t>カイトウ</t>
    </rPh>
    <phoneticPr fontId="1"/>
  </si>
  <si>
    <t>目標を実現するために、令和4年度より、授業時間内外での学修サポートとしてLMS上での反復学習、学習指導、質問を受け付ける仕組みや教育上の工夫をともいき基盤教育センターが主導的に実施し、学生のプログラム履修を促進している。また、令和6年度よりプログラムを構成する科目群の全学必修化に向けて検討を進めている。</t>
    <rPh sb="27" eb="29">
      <t>ガクシュウ</t>
    </rPh>
    <rPh sb="39" eb="40">
      <t>ジョウ</t>
    </rPh>
    <rPh sb="42" eb="46">
      <t>ハンプクガクシュウ</t>
    </rPh>
    <rPh sb="75" eb="79">
      <t>キバンキョウイク</t>
    </rPh>
    <rPh sb="84" eb="86">
      <t>シュドウ</t>
    </rPh>
    <rPh sb="86" eb="87">
      <t>テキ</t>
    </rPh>
    <rPh sb="132" eb="133">
      <t>グン</t>
    </rPh>
    <rPh sb="138" eb="139">
      <t>カ</t>
    </rPh>
    <rPh sb="140" eb="141">
      <t>ム</t>
    </rPh>
    <rPh sb="143" eb="145">
      <t>ケントウ</t>
    </rPh>
    <rPh sb="146" eb="147">
      <t>スス</t>
    </rPh>
    <phoneticPr fontId="1"/>
  </si>
  <si>
    <t>ともいき基盤教育センターにおいて学生向け授業アンケート及び授業担当者からの意見を参考に、学生の「分かりやすさ」「学習実感」の観点から講義の内容・実施方法の見直しを検討している。</t>
    <rPh sb="18" eb="19">
      <t>ム</t>
    </rPh>
    <rPh sb="20" eb="22">
      <t>ジュギョウ</t>
    </rPh>
    <rPh sb="29" eb="34">
      <t>ジュギョウタントウシャ</t>
    </rPh>
    <rPh sb="56" eb="60">
      <t>ガクシュウジッカン</t>
    </rPh>
    <phoneticPr fontId="1"/>
  </si>
  <si>
    <t>総合社会学部・総合社会学科</t>
    <rPh sb="0" eb="2">
      <t>ソウゴウ</t>
    </rPh>
    <rPh sb="2" eb="6">
      <t>シャカイガクブ</t>
    </rPh>
    <rPh sb="7" eb="9">
      <t>ソウゴウ</t>
    </rPh>
    <rPh sb="9" eb="11">
      <t>シャカイ</t>
    </rPh>
    <rPh sb="11" eb="13">
      <t>ガッカ</t>
    </rPh>
    <phoneticPr fontId="1"/>
  </si>
  <si>
    <t>臨床心理学部・臨床心理学科</t>
    <rPh sb="0" eb="6">
      <t>リンショウシンリガクブ</t>
    </rPh>
    <rPh sb="7" eb="13">
      <t>リンショウシンリガッカ</t>
    </rPh>
    <phoneticPr fontId="1"/>
  </si>
  <si>
    <t>こども教育学部・こども教育学科</t>
    <rPh sb="3" eb="7">
      <t>キョウイクガクブ</t>
    </rPh>
    <rPh sb="11" eb="15">
      <t>キョウイクガッカ</t>
    </rPh>
    <phoneticPr fontId="1"/>
  </si>
  <si>
    <t>令和４</t>
    <rPh sb="0" eb="2">
      <t>レイワ</t>
    </rPh>
    <phoneticPr fontId="1"/>
  </si>
  <si>
    <t>京都文教大学ともいき基盤教育センター規程、京都文教大学ともいき基盤教育センター会議規程</t>
    <rPh sb="0" eb="2">
      <t>キョウト</t>
    </rPh>
    <rPh sb="2" eb="4">
      <t>ブンキョウ</t>
    </rPh>
    <rPh sb="4" eb="6">
      <t>ダイガク</t>
    </rPh>
    <rPh sb="10" eb="12">
      <t>キバン</t>
    </rPh>
    <rPh sb="12" eb="14">
      <t>キョウイク</t>
    </rPh>
    <rPh sb="18" eb="20">
      <t>キテイ</t>
    </rPh>
    <rPh sb="39" eb="41">
      <t>カイギ</t>
    </rPh>
    <phoneticPr fontId="1"/>
  </si>
  <si>
    <t>年度初めの在学生向け履修オリエンテーションや入学後のガイダンス、学内ポータルシステムでの周知および専用ページへのリンクを配信することにより、学生がプログラムについての詳細な情報を受け取りやすい環境を整えている。</t>
    <rPh sb="0" eb="3">
      <t>ネンドハジ</t>
    </rPh>
    <rPh sb="5" eb="8">
      <t>ザイガクセイ</t>
    </rPh>
    <rPh sb="8" eb="9">
      <t>ム</t>
    </rPh>
    <rPh sb="10" eb="12">
      <t>リシュウ</t>
    </rPh>
    <rPh sb="32" eb="34">
      <t>ガクナイ</t>
    </rPh>
    <rPh sb="60" eb="62">
      <t>ハイシン</t>
    </rPh>
    <rPh sb="83" eb="85">
      <t>ショウサイ</t>
    </rPh>
    <rPh sb="99" eb="100">
      <t>トトノ</t>
    </rPh>
    <phoneticPr fontId="1"/>
  </si>
  <si>
    <t>京都文教大学　数理・データサイエンス教育プログラム</t>
    <rPh sb="7" eb="9">
      <t>スウリ</t>
    </rPh>
    <rPh sb="18" eb="20">
      <t>キョウイク</t>
    </rPh>
    <phoneticPr fontId="1"/>
  </si>
  <si>
    <t>京都文教大学ともいき基盤教育センター会議</t>
    <rPh sb="0" eb="2">
      <t>キョウト</t>
    </rPh>
    <rPh sb="2" eb="6">
      <t>ブンキョウダイガク</t>
    </rPh>
    <rPh sb="10" eb="12">
      <t>キバン</t>
    </rPh>
    <rPh sb="12" eb="14">
      <t>キョウイク</t>
    </rPh>
    <rPh sb="18" eb="20">
      <t>カイギ</t>
    </rPh>
    <phoneticPr fontId="1"/>
  </si>
  <si>
    <t>教務部教務課において、プログラムの履修および取得状況の分析が可能であり、LMSを活用した履修者の学修状況の分析により、全受講者の学修進捗状況や小テスト・課題提出状況を把握することができる。</t>
    <rPh sb="0" eb="3">
      <t>キョウムブ</t>
    </rPh>
    <rPh sb="3" eb="6">
      <t>キョウムカ</t>
    </rPh>
    <rPh sb="30" eb="32">
      <t>カノウ</t>
    </rPh>
    <rPh sb="40" eb="42">
      <t>カツヨウ</t>
    </rPh>
    <rPh sb="46" eb="47">
      <t>シャ</t>
    </rPh>
    <rPh sb="48" eb="52">
      <t>ガクシュウジョウキョウ</t>
    </rPh>
    <rPh sb="53" eb="55">
      <t>ブンセキ</t>
    </rPh>
    <rPh sb="59" eb="60">
      <t>ゼン</t>
    </rPh>
    <rPh sb="64" eb="66">
      <t>ガクシュウ</t>
    </rPh>
    <rPh sb="71" eb="72">
      <t>ショウ</t>
    </rPh>
    <rPh sb="78" eb="80">
      <t>テイシュツ</t>
    </rPh>
    <rPh sb="80" eb="82">
      <t>ジョウキョウ</t>
    </rPh>
    <phoneticPr fontId="1"/>
  </si>
  <si>
    <t>本教育プログラムの必修科目においては、近未来においてSociety5.0が実現する社会を具体的にイメージできるような実例等を示しながら解説をしており、身近な例を授業に取り入れることで学ぶ楽しさを伝えている。
また、学修した科目を通じて、数理・データサイエンスの知識が卒業後の進路先においても活用されることを実感させ、学ぶことの意義を理解するとともに、学習に対する意欲を高めるよう工夫している。</t>
    <rPh sb="0" eb="1">
      <t>ホン</t>
    </rPh>
    <rPh sb="1" eb="3">
      <t>キョウイク</t>
    </rPh>
    <rPh sb="9" eb="13">
      <t>ヒッシュウカモク</t>
    </rPh>
    <rPh sb="19" eb="22">
      <t>キンミライ</t>
    </rPh>
    <rPh sb="135" eb="136">
      <t>ゴ</t>
    </rPh>
    <rPh sb="137" eb="140">
      <t>シンロサキ</t>
    </rPh>
    <phoneticPr fontId="1"/>
  </si>
  <si>
    <t>本教育プログラムの修了生は令和6年度から就職活動（令和7年度に卒業・就職）を行う予定であるため、企業の採用担当者が来校された折や企業への訪問時に本学の特色の一環として本教育プログラムについて説明を行い、積極的に意見聴収を行う。収集した意見は、ともいき基盤教育センター会議にてプログラムの改善に活用していく予定である。</t>
    <rPh sb="9" eb="12">
      <t>シュウリョウセイ</t>
    </rPh>
    <rPh sb="20" eb="24">
      <t>シュウショクカツドウ</t>
    </rPh>
    <rPh sb="25" eb="27">
      <t>レイワ</t>
    </rPh>
    <rPh sb="28" eb="30">
      <t>ネンド</t>
    </rPh>
    <rPh sb="31" eb="33">
      <t>ソツギョウ</t>
    </rPh>
    <rPh sb="34" eb="36">
      <t>シュウショク</t>
    </rPh>
    <rPh sb="38" eb="39">
      <t>オコナ</t>
    </rPh>
    <rPh sb="40" eb="42">
      <t>ヨテイ</t>
    </rPh>
    <rPh sb="48" eb="50">
      <t>キギョウ</t>
    </rPh>
    <rPh sb="51" eb="56">
      <t>サイヨウタントウシャ</t>
    </rPh>
    <rPh sb="57" eb="59">
      <t>ライコウ</t>
    </rPh>
    <rPh sb="62" eb="63">
      <t>オリ</t>
    </rPh>
    <rPh sb="64" eb="66">
      <t>キギョウ</t>
    </rPh>
    <rPh sb="68" eb="71">
      <t>ホウモンジ</t>
    </rPh>
    <rPh sb="72" eb="74">
      <t>ホンガク</t>
    </rPh>
    <rPh sb="78" eb="80">
      <t>イッカン</t>
    </rPh>
    <rPh sb="83" eb="86">
      <t>ホンキョウイク</t>
    </rPh>
    <rPh sb="95" eb="97">
      <t>セツメイ</t>
    </rPh>
    <rPh sb="98" eb="99">
      <t>オコナ</t>
    </rPh>
    <rPh sb="101" eb="104">
      <t>セッキョクテキ</t>
    </rPh>
    <rPh sb="105" eb="107">
      <t>イケン</t>
    </rPh>
    <rPh sb="107" eb="109">
      <t>チョウシュウ</t>
    </rPh>
    <rPh sb="110" eb="111">
      <t>オコナ</t>
    </rPh>
    <rPh sb="113" eb="115">
      <t>シュウシュウ</t>
    </rPh>
    <rPh sb="117" eb="119">
      <t>イケン</t>
    </rPh>
    <rPh sb="125" eb="129">
      <t>キバンキョウイク</t>
    </rPh>
    <rPh sb="133" eb="135">
      <t>カイギ</t>
    </rPh>
    <rPh sb="143" eb="145">
      <t>カイゼン</t>
    </rPh>
    <rPh sb="146" eb="148">
      <t>カツヨウ</t>
    </rPh>
    <rPh sb="152" eb="154">
      <t>ヨテイ</t>
    </rPh>
    <phoneticPr fontId="1"/>
  </si>
  <si>
    <t>本教育プログラムは令和4年度から実施しており、企業等へ就職している卒業生がいないため、現時点では企業からの評価について確認できないが、将来は本教育プログラムの修了者の企業等進路先での活躍状況、企業等の評価を把握する仕組みを構築していく。</t>
    <rPh sb="16" eb="18">
      <t>ジッシ</t>
    </rPh>
    <rPh sb="23" eb="26">
      <t>キギョウトウ</t>
    </rPh>
    <rPh sb="27" eb="29">
      <t>シュウショク</t>
    </rPh>
    <rPh sb="33" eb="36">
      <t>ソツギョウセイ</t>
    </rPh>
    <rPh sb="43" eb="46">
      <t>ゲンジテン</t>
    </rPh>
    <rPh sb="48" eb="50">
      <t>キギョウ</t>
    </rPh>
    <rPh sb="53" eb="55">
      <t>ヒョウカ</t>
    </rPh>
    <rPh sb="59" eb="61">
      <t>カクニン</t>
    </rPh>
    <rPh sb="67" eb="69">
      <t>ショウライ</t>
    </rPh>
    <rPh sb="70" eb="73">
      <t>ホンキョウイク</t>
    </rPh>
    <rPh sb="79" eb="82">
      <t>シュウリョウシャ</t>
    </rPh>
    <rPh sb="83" eb="86">
      <t>キギョウトウ</t>
    </rPh>
    <rPh sb="86" eb="89">
      <t>シンロサキ</t>
    </rPh>
    <rPh sb="91" eb="93">
      <t>カツヤク</t>
    </rPh>
    <rPh sb="93" eb="95">
      <t>ジョウキョウ</t>
    </rPh>
    <rPh sb="96" eb="99">
      <t>キギョウトウ</t>
    </rPh>
    <rPh sb="100" eb="102">
      <t>ヒョウカ</t>
    </rPh>
    <rPh sb="103" eb="105">
      <t>ハアク</t>
    </rPh>
    <rPh sb="107" eb="109">
      <t>シク</t>
    </rPh>
    <rPh sb="111" eb="113">
      <t>コウチク</t>
    </rPh>
    <phoneticPr fontId="1"/>
  </si>
  <si>
    <t>本教育プログラムを構成する当該科目については令和6年度から全学必修とすることが決まり、履修者数、履修率の向上にむけて推進している。
また、ともいき基盤教育センター会議を定期的に実施し、各学部における数理・データサイエンス・AI教育の内容について専門教育の観点からの要請を取り入れ、見直し等を検討している。ブラッシュアップした教育内容にて、より学生の履修を推進していく。</t>
    <rPh sb="13" eb="15">
      <t>トウガイ</t>
    </rPh>
    <rPh sb="73" eb="77">
      <t>キバンキョウイク</t>
    </rPh>
    <rPh sb="81" eb="83">
      <t>カイギ</t>
    </rPh>
    <rPh sb="93" eb="95">
      <t>ガクブ</t>
    </rPh>
    <rPh sb="127" eb="129">
      <t>カンテン</t>
    </rPh>
    <rPh sb="132" eb="134">
      <t>ヨウセイ</t>
    </rPh>
    <rPh sb="135" eb="136">
      <t>ト</t>
    </rPh>
    <rPh sb="137" eb="138">
      <t>イ</t>
    </rPh>
    <rPh sb="171" eb="173">
      <t>ガクセイ</t>
    </rPh>
    <rPh sb="174" eb="176">
      <t>リシュウ</t>
    </rPh>
    <rPh sb="177" eb="179">
      <t>スイシン</t>
    </rPh>
    <phoneticPr fontId="1"/>
  </si>
  <si>
    <t>ともいき基盤教育センターの設置・主導により学生にとって学部学科横断的な学びがシームレスとなるよう教育コンテンツの充実と支援をはかっている。
また、プログラムの必修科目である「現代とICT」「情報機器演習」について、全学生がLMS上にて受講できるよう講義内容をオンデマンド化するなどの環境整備を進め、各学部の担当者を通じて、必修化に向けて全学的な履修の支援と促進を行っている。</t>
    <rPh sb="16" eb="18">
      <t>シュドウ</t>
    </rPh>
    <rPh sb="21" eb="23">
      <t>ガクセイ</t>
    </rPh>
    <rPh sb="27" eb="31">
      <t>ガクブガッカ</t>
    </rPh>
    <rPh sb="31" eb="34">
      <t>オウダンテキ</t>
    </rPh>
    <rPh sb="35" eb="36">
      <t>マナ</t>
    </rPh>
    <rPh sb="56" eb="58">
      <t>ジュウジツ</t>
    </rPh>
    <rPh sb="59" eb="61">
      <t>シエン</t>
    </rPh>
    <rPh sb="79" eb="81">
      <t>ヒッシュウ</t>
    </rPh>
    <rPh sb="114" eb="115">
      <t>ジョウ</t>
    </rPh>
    <rPh sb="124" eb="128">
      <t>コウギナイヨウ</t>
    </rPh>
    <rPh sb="135" eb="136">
      <t>カ</t>
    </rPh>
    <rPh sb="141" eb="143">
      <t>カンキョウ</t>
    </rPh>
    <rPh sb="146" eb="147">
      <t>スス</t>
    </rPh>
    <rPh sb="157" eb="158">
      <t>ツウ</t>
    </rPh>
    <rPh sb="161" eb="164">
      <t>ヒッシュウカ</t>
    </rPh>
    <rPh sb="165" eb="166">
      <t>ム</t>
    </rPh>
    <rPh sb="181" eb="182">
      <t>オコナ</t>
    </rPh>
    <phoneticPr fontId="1"/>
  </si>
  <si>
    <t>本教育プログラムの授業について、LMSやGoogleMeet等を利用して、いつでも視聴可能な説明動画や資料を配信および公開し、多くの学生がいつでも講義の閲覧・反復学習が可能な環境を構築している。</t>
    <rPh sb="79" eb="83">
      <t>ハンプクガクシュウ</t>
    </rPh>
    <phoneticPr fontId="1"/>
  </si>
  <si>
    <t>全学科における入学時のオリエンテーションおよび在学生向けガイダンスにおいて、本教育プログラム紹介と履修の推奨を行うとともに、授業アンケートの受講満足度をフィードバックして後輩学生への推奨に繋げている。</t>
    <rPh sb="0" eb="3">
      <t>ゼンガッカ</t>
    </rPh>
    <rPh sb="24" eb="25">
      <t>ガク</t>
    </rPh>
    <rPh sb="38" eb="39">
      <t>ホン</t>
    </rPh>
    <rPh sb="39" eb="41">
      <t>キョウイク</t>
    </rPh>
    <rPh sb="46" eb="48">
      <t>ショウカイ</t>
    </rPh>
    <rPh sb="49" eb="51">
      <t>リシュウ</t>
    </rPh>
    <rPh sb="52" eb="54">
      <t>スイショウ</t>
    </rPh>
    <rPh sb="55" eb="56">
      <t>オコナ</t>
    </rPh>
    <rPh sb="70" eb="72">
      <t>ジュコウ</t>
    </rPh>
    <rPh sb="72" eb="75">
      <t>マンゾクド</t>
    </rPh>
    <rPh sb="85" eb="89">
      <t>コウハイガクセイ</t>
    </rPh>
    <rPh sb="91" eb="93">
      <t>スイショウ</t>
    </rPh>
    <rPh sb="94" eb="95">
      <t>ツナ</t>
    </rPh>
    <phoneticPr fontId="1"/>
  </si>
  <si>
    <t>ともいき基盤教育センター長</t>
    <rPh sb="12" eb="13">
      <t>チョウ</t>
    </rPh>
    <phoneticPr fontId="1"/>
  </si>
  <si>
    <t>京都文教大学ともいき基盤教育センター会議</t>
    <rPh sb="0" eb="6">
      <t>キョウトブンキョウダイガク</t>
    </rPh>
    <rPh sb="10" eb="12">
      <t>キバン</t>
    </rPh>
    <rPh sb="12" eb="14">
      <t>キョウイク</t>
    </rPh>
    <rPh sb="18" eb="20">
      <t>カイギ</t>
    </rPh>
    <phoneticPr fontId="1"/>
  </si>
  <si>
    <t>教務部教務課が主管するFD組織が実施する全学生向け授業アンケートにおいて「知識・スキル・技術の習得」の項目を分析することによって、授業内容の学生の学修成果をはかることができる。
また、回答の結果はともいき基盤教育センターへ共有し、本教育プログラムの評価・改善へ活用している。</t>
    <rPh sb="7" eb="9">
      <t>シュカン</t>
    </rPh>
    <rPh sb="13" eb="15">
      <t>ソシキ</t>
    </rPh>
    <rPh sb="20" eb="21">
      <t>ゼン</t>
    </rPh>
    <rPh sb="22" eb="23">
      <t>ム</t>
    </rPh>
    <rPh sb="24" eb="26">
      <t>ジュギョウ</t>
    </rPh>
    <rPh sb="37" eb="39">
      <t>チシキ</t>
    </rPh>
    <rPh sb="44" eb="46">
      <t>ギジュツ</t>
    </rPh>
    <rPh sb="47" eb="49">
      <t>シュウトク</t>
    </rPh>
    <rPh sb="73" eb="77">
      <t>ガクシュウセイカ</t>
    </rPh>
    <rPh sb="92" eb="94">
      <t>カイトウ</t>
    </rPh>
    <rPh sb="111" eb="113">
      <t>キョウユウ</t>
    </rPh>
    <phoneticPr fontId="1"/>
  </si>
  <si>
    <t>教務部教務課が主管するFD組織が実施する全学生向け授業アンケートにおいて「理解度」の項目を分析することにより、理解度を把握することができる。
また、回答の結果はともいき基盤教育センターへ共有し、本教育プログラムの評価・改善へ活用している。</t>
    <rPh sb="37" eb="40">
      <t>リカイド</t>
    </rPh>
    <rPh sb="55" eb="58">
      <t>リカイド</t>
    </rPh>
    <rPh sb="59" eb="61">
      <t>ハアク</t>
    </rPh>
    <phoneticPr fontId="1"/>
  </si>
  <si>
    <t>プログラムを構成する以下の2科目4単位を取得すること
「現代とICT」（2単位）
「情報機器演習」（2単位）</t>
    <rPh sb="0" eb="54">
      <t>グン</t>
    </rPh>
    <phoneticPr fontId="1"/>
  </si>
  <si>
    <t>現代社会で求められるデータの利活用やAI等に関する基礎的な知識やスキルを身につける。
卒業後も日常生活や仕事の現場でこれらを適切に使いこなすことができるようになる。</t>
    <phoneticPr fontId="1"/>
  </si>
  <si>
    <t>京都文教大学ともいき基盤教育センターは、全学的な視点から基盤教育に関する企画運営を中心的に担い、その充実に資することを目的として本学に設置されている。本センターはその目的に沿って、数理・データサイエンス・AI教育に関する事項を取り扱うこととしており、本プログラムの構築、推進、改善を継続的に行う。</t>
    <rPh sb="64" eb="66">
      <t>ホンガク</t>
    </rPh>
    <rPh sb="67" eb="69">
      <t>セッチ</t>
    </rPh>
    <rPh sb="75" eb="76">
      <t>ホン</t>
    </rPh>
    <rPh sb="83" eb="85">
      <t>モクテキ</t>
    </rPh>
    <rPh sb="86" eb="87">
      <t>ソ</t>
    </rPh>
    <rPh sb="113" eb="114">
      <t>ト</t>
    </rPh>
    <rPh sb="115" eb="116">
      <t>アツカ</t>
    </rPh>
    <rPh sb="125" eb="126">
      <t>ホン</t>
    </rPh>
    <rPh sb="132" eb="134">
      <t>コウチク</t>
    </rPh>
    <rPh sb="135" eb="137">
      <t>スイシン</t>
    </rPh>
    <rPh sb="138" eb="140">
      <t>カイゼン</t>
    </rPh>
    <rPh sb="141" eb="144">
      <t>ケイゾクテキ</t>
    </rPh>
    <rPh sb="145" eb="146">
      <t>オコナ</t>
    </rPh>
    <phoneticPr fontId="1"/>
  </si>
  <si>
    <t>構成員は以下の通り（ともいき基盤教育センター会議規程の順に列挙）
(1)　ともいき基盤教育センター長（委員長）：澤　達大
(2)　基盤教育責任教員：
総合社会学部　教授　小林康正‹(4)兼ねる›、助教　中西勝彦
臨床心理学部　教授　中窪靖、教授　平岡聡
こども教育学部　准教授　岡本浄実、准教授　林雅清&lt;(3)兼ねる&gt;
(3)　地域協働研究教育センター所員から1名：こども教育学部　准教授　林雅清&lt;(2)兼ねる&gt;
(4)　各学科から選出された者各1名：
総合社会学科　教授　小林康正‹(2)兼ねる›
臨床心理学科　教授　川畑直人
こども教育学科　講師　堀内詩子
(5)　大学教学会議構成員のうち学長が専門的な支援スタッフとして任命する者
総合企画課　課長　高島隆平
(6)　その他センター長が必要と認めた者
総合社会学部　教授　河本直樹、社会連携部　部長　名塩匡</t>
    <rPh sb="0" eb="3">
      <t>コウセイイン</t>
    </rPh>
    <rPh sb="4" eb="6">
      <t>イカ</t>
    </rPh>
    <rPh sb="7" eb="8">
      <t>トオ</t>
    </rPh>
    <rPh sb="22" eb="24">
      <t>カイギ</t>
    </rPh>
    <rPh sb="24" eb="26">
      <t>キテイ</t>
    </rPh>
    <rPh sb="27" eb="28">
      <t>ジュン</t>
    </rPh>
    <rPh sb="29" eb="31">
      <t>レッキョ</t>
    </rPh>
    <rPh sb="93" eb="94">
      <t>カ</t>
    </rPh>
    <rPh sb="155" eb="156">
      <t>カ</t>
    </rPh>
    <rPh sb="202" eb="203">
      <t>カ</t>
    </rPh>
    <rPh sb="232" eb="233">
      <t>カ</t>
    </rPh>
    <rPh sb="323" eb="324">
      <t>カ</t>
    </rPh>
    <rPh sb="359" eb="360">
      <t>ブ</t>
    </rPh>
    <rPh sb="375" eb="376">
      <t>ブ</t>
    </rPh>
    <phoneticPr fontId="1"/>
  </si>
  <si>
    <t>データサイエンスとは（人間とAIの関係性、人間の知的活動およびデータを起点としたものの見方）「現代とICT」（1回目）
社会の変化とデータサイエンスの役割（社会におけるデータ量の増加、計算機の処理性能の向上、AIの非連続的進化、認識技術、ルールベース、自動化技術およびAIで出来ることと出来ないことについて）「現代とICT」（2回目）
目まぐるしく進化するICT環境(Society5.0と第4次産業革命、クラウドコンピューティング、IoT、ビッグデータ、データ駆動型社会、特化型AIと汎用AIを含むAIについて、複数技術を組み合わせたAIサービス)「現代とICT」（2回目）
ロボット技術、ＡＩとロボット「現代とICT」（4回目）</t>
  </si>
  <si>
    <t>AI技術の基礎知識と最新動向（シェアリングエコノミー、商品のレコメンデーションなどのビジネスモデル）「現代とICT」（3回目）
AIとは、AIの変遷（探索、推論、フレーム問題）と最新技術（強化学習を含む機械学習、転移学習とディープラーニング）「現代とICT」（3回目）
AI技術の活用（深層生成モデル、敵対的生成ネットワーク）</t>
  </si>
  <si>
    <t>目まぐるしく進化するICT環境(Society5.0と第4次産業革命、クラウドコンピューティング、IoT、ビッグデータ、データ駆動型社会、特化型AIと汎用AIを含むAIについて)「現代とICT」（2回目）
AI技術の基礎知識と最新動向（調査・実験データ、行動ログ、機械の稼働ログについて、2次データ利用、メタ化とメタデータ、構造化データと文章、画像、動画、音声、音源などの非構造化データ、オープンデータ）「現代とICT」（3回目）</t>
  </si>
  <si>
    <t>ＡＩ活用領域の最新動向、各業界でのＡＩ活用事例（生産データ、消費データ、文化活動データの利活用、研究開発、販売調達、製造物流、マーケティング、サービスにおけるAI技術、各分野における仮説検証、知識発見、原因究明、計画策定、運転業務を含む判断支援、労働を含む活動代替などのAI利用）「現代とICT」（4回目）</t>
  </si>
  <si>
    <t>ICT社会とデータサイエンス（予測、グルーピング、パターン発見、最適化、シミュレーション・データ同化などのデータ解析について）「現代とICT」（1回目）
社会の変化とデータサイエンスの役割（社会におけるデータ量の増加、計算機の処理性能の向上、AIの非連続的進化、認識技術、ルールベース、自動化技術およびAIで出来ることと出来ないことについて）「現代とICT」（2回目）
目まぐるしく進化するICT環境(Society5.0と第4次産業革命、クラウドコンピューティング、IoT、ビッグデータ、データ駆動型社会、特化型AIと汎用AIを例としたAIについて)「現代とICT」（2回目）
データリテラシー5　データの表現方法（言語処理、画像/動画処理、音声/音楽処理などの非構造化データ処理について）、データの可視化（複合グラフ、2軸グラフ、多次元の可視化、関係性の可視化、地図上の可視化、挙動・軌跡の可視化、リアルタイム可視化などのデータ可視化について）「現代とICT」（10回目）</t>
  </si>
  <si>
    <t>身近な事例を利用したデータ分析（データの取得・管理・加工、探索的データ解析、データ解析と推論）「現代とICT」（12回目）
様々な統計資料の利用（課題抽出と定式化、抽出結果の共有・伝達、課題解決に向けた様々な提案）「現代とICT」（13回目）
e-Statの活用方法（流通、製造、金融、サービス、インフラ、公共、ヘルスケア等におけるデータ・AI利活用事例紹介）「現代とICT」（14回目）</t>
  </si>
  <si>
    <t>AI活用における留意事項（情報化社会でのデータの取り扱い、ELSI課題、社会への公平性、説明責任、透明性について、人間中心の判断、アルゴリズムバイアス）「現代とICT」（5回目）
AI活用における留意事項（個人情報やモラル、倫理観に基づく個人情報保護、GDPRの基礎知識、例示に基づく忘れられる権利、オプトアウト、データのねつ造、改ざん、盗用、プライバシー保護およびAIサービスの責任と活用における負の側面の事例紹介）「現代とICT」（5回目）</t>
  </si>
  <si>
    <t>AI活用における留意事項（データ・AI活用におけるリスク、情報セキュリティの機密性、完全性、可用性およびリスクマネジメントとしての匿名加工情報・暗号化・パスワード、悪意ある情報搾取および情報漏洩等によるセキュリティ事故の事例紹介）「現代とICT」（5回目）</t>
  </si>
  <si>
    <t>データリテラシー1　データ分析の基礎知識、代表値1（平均、中央値、最頻値）、外れ値、量的変数および質的変数、代表値の性質（主に平均値と最頻値）の違いについて「現代とICT」（6回目）
データリテラシー2　代表値2（ヒストグラム）、代表値などを用いた母集団と標本抽出（国勢調査、アンケート調査、全数調査、単純無作為抽出、層別抽出、多段抽出）、クロス集計表、分割表、相関係数行列、散布図行列を例とする統計情報の正しい理解と誇張表現にについて「現代とICT」（7回目）
データリテラシー3　分散、標準偏差、基準値、偏差値（観測データに含まれる誤差の扱いおよび打ち切りや脱落を含むデータ、層別の必要なデータについて）「現代とICT」（8回目）</t>
  </si>
  <si>
    <t>データリテラシー4　相関係数と散布図、データ表現と可視化（棒グラフ、折線グラフ、ヒートマップ）「現代とICT」（9回目）
データリテラシー5　データの表現方法、データの可視化（チャート化、チャートジャンク、不必要な視覚的要素、優れた可視化事例の紹介）「現代とICT」（10回目）
データリテラシー6データ分析手法（比較分析、トレンド分析、相関分析、条件をそろえた比較、処理の前後での比較、A/Bテスト）「現代とICT」（11回目）</t>
  </si>
  <si>
    <t>計算式と基本的な関数（和、平均などのデータの集計およびデータの並び替え）「情報機器演習」（9回目）　
グラフの作成と編集（データの集計から導く並び替えとランキング）「情報機器演習」（10回目）
絶対参照の設定、様々な関数の利用（データの並び替え、ランキング化に活用する関数）「情報機器演習」（11回目）
高度な関数の活用例（スプレッドシートを使ったデータ解析ツール例）「情報機器演習」（12回目）
データベース機能（ｃｓｖなど表形式のデータを利用したデータベース機能の基礎知識）「情報機器演習」（13回目）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</si>
</sst>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9"/>
      <color rgb="FFFF0000"/>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diagonalUp="1">
      <left style="dotted">
        <color auto="1"/>
      </left>
      <right/>
      <top style="thin">
        <color auto="1"/>
      </top>
      <bottom/>
      <diagonal style="dotted">
        <color auto="1"/>
      </diagonal>
    </border>
    <border diagonalUp="1">
      <left style="hair">
        <color auto="1"/>
      </left>
      <right style="thin">
        <color auto="1"/>
      </right>
      <top style="thin">
        <color auto="1"/>
      </top>
      <bottom/>
      <diagonal style="dotted">
        <color auto="1"/>
      </diagonal>
    </border>
    <border diagonalUp="1">
      <left style="dotted">
        <color auto="1"/>
      </left>
      <right/>
      <top style="hair">
        <color auto="1"/>
      </top>
      <bottom style="hair">
        <color auto="1"/>
      </bottom>
      <diagonal style="dotted">
        <color auto="1"/>
      </diagonal>
    </border>
    <border diagonalUp="1">
      <left style="hair">
        <color auto="1"/>
      </left>
      <right style="thin">
        <color auto="1"/>
      </right>
      <top style="hair">
        <color auto="1"/>
      </top>
      <bottom style="hair">
        <color auto="1"/>
      </bottom>
      <diagonal style="dotted">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3" fillId="2" borderId="42" xfId="0" applyFont="1" applyFill="1" applyBorder="1" applyAlignment="1">
      <alignment vertical="top" shrinkToFit="1"/>
    </xf>
    <xf numFmtId="0" fontId="13" fillId="2" borderId="43" xfId="0" applyFont="1" applyFill="1" applyBorder="1" applyAlignment="1">
      <alignment vertical="top" shrinkToFit="1"/>
    </xf>
    <xf numFmtId="0" fontId="2" fillId="0" borderId="0" xfId="0" applyFont="1">
      <alignment vertical="center"/>
    </xf>
    <xf numFmtId="0" fontId="2" fillId="0" borderId="0" xfId="0" applyFont="1">
      <alignment vertical="center"/>
    </xf>
    <xf numFmtId="9" fontId="2" fillId="0" borderId="14" xfId="0" applyNumberFormat="1" applyFont="1" applyBorder="1" applyAlignment="1">
      <alignment vertical="center" shrinkToFit="1"/>
    </xf>
    <xf numFmtId="38" fontId="2" fillId="0" borderId="60" xfId="2" applyFont="1" applyBorder="1" applyAlignment="1">
      <alignment horizontal="right" vertical="center" shrinkToFit="1"/>
    </xf>
    <xf numFmtId="38" fontId="2" fillId="0" borderId="61" xfId="2" applyFont="1" applyBorder="1" applyAlignment="1">
      <alignment horizontal="right" vertical="center" shrinkToFit="1"/>
    </xf>
    <xf numFmtId="38" fontId="2" fillId="0" borderId="62" xfId="2" applyFont="1" applyBorder="1" applyAlignment="1">
      <alignment horizontal="right" vertical="center" shrinkToFit="1"/>
    </xf>
    <xf numFmtId="38" fontId="2" fillId="0" borderId="63" xfId="2" applyFont="1" applyBorder="1" applyAlignment="1">
      <alignment horizontal="right" vertical="center" shrinkToFit="1"/>
    </xf>
    <xf numFmtId="0" fontId="12" fillId="0" borderId="0" xfId="0" applyFont="1">
      <alignment vertical="center"/>
    </xf>
    <xf numFmtId="0" fontId="14" fillId="0" borderId="0" xfId="0" applyFont="1">
      <alignment vertical="center"/>
    </xf>
    <xf numFmtId="0" fontId="12" fillId="0" borderId="1"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10" xfId="0" applyFont="1" applyBorder="1" applyAlignment="1">
      <alignment horizontal="right" vertical="center"/>
    </xf>
    <xf numFmtId="0" fontId="12" fillId="0" borderId="0" xfId="0" applyFont="1" applyAlignment="1">
      <alignment horizontal="left" vertical="center"/>
    </xf>
    <xf numFmtId="0" fontId="14" fillId="0" borderId="0" xfId="0" applyFont="1" applyAlignment="1">
      <alignment horizontal="center" vertical="center"/>
    </xf>
    <xf numFmtId="0" fontId="12" fillId="0" borderId="5" xfId="0" applyFont="1" applyBorder="1">
      <alignment vertical="center"/>
    </xf>
    <xf numFmtId="0" fontId="16" fillId="0" borderId="1" xfId="0" applyFont="1" applyBorder="1" applyAlignment="1">
      <alignment horizontal="center" vertical="center" shrinkToFit="1"/>
    </xf>
    <xf numFmtId="0" fontId="16" fillId="0" borderId="4" xfId="0" applyFont="1" applyBorder="1" applyAlignment="1">
      <alignment horizontal="center" vertical="center" shrinkToFit="1"/>
    </xf>
    <xf numFmtId="49" fontId="16"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3"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40" xfId="0" applyFont="1" applyBorder="1" applyAlignment="1">
      <alignment horizontal="center" vertical="center" shrinkToFit="1"/>
    </xf>
    <xf numFmtId="0" fontId="12" fillId="0" borderId="0" xfId="0" applyFont="1" applyAlignment="1">
      <alignment vertical="top" wrapText="1"/>
    </xf>
    <xf numFmtId="0" fontId="12" fillId="0" borderId="0" xfId="0" applyFont="1" applyAlignment="1">
      <alignment horizontal="center" vertical="center" shrinkToFit="1"/>
    </xf>
    <xf numFmtId="49" fontId="16" fillId="0" borderId="48" xfId="0" applyNumberFormat="1" applyFont="1" applyBorder="1" applyAlignment="1">
      <alignment horizontal="center" vertical="center"/>
    </xf>
    <xf numFmtId="49" fontId="16" fillId="0" borderId="49" xfId="0" applyNumberFormat="1" applyFont="1" applyBorder="1" applyAlignment="1">
      <alignment horizontal="center" vertical="center"/>
    </xf>
    <xf numFmtId="49" fontId="16" fillId="0" borderId="44" xfId="0" applyNumberFormat="1" applyFont="1" applyBorder="1" applyAlignment="1">
      <alignment horizontal="center" vertical="center"/>
    </xf>
    <xf numFmtId="49" fontId="16" fillId="0" borderId="29" xfId="0" applyNumberFormat="1" applyFont="1" applyBorder="1" applyAlignment="1">
      <alignment horizontal="center" vertical="center"/>
    </xf>
    <xf numFmtId="49" fontId="16" fillId="0" borderId="47" xfId="0" applyNumberFormat="1" applyFont="1" applyBorder="1" applyAlignment="1">
      <alignment horizontal="center" vertical="center"/>
    </xf>
    <xf numFmtId="49" fontId="16" fillId="0" borderId="32" xfId="0" applyNumberFormat="1"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37" xfId="0" applyFont="1" applyBorder="1" applyAlignment="1">
      <alignment vertical="center" shrinkToFit="1"/>
    </xf>
    <xf numFmtId="0" fontId="12" fillId="0" borderId="38" xfId="0" applyFont="1" applyBorder="1" applyAlignment="1">
      <alignment vertical="center" shrinkToFit="1"/>
    </xf>
    <xf numFmtId="0" fontId="12" fillId="0" borderId="39" xfId="0" applyFont="1" applyBorder="1" applyAlignment="1">
      <alignment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0" xfId="0" applyFont="1" applyAlignment="1">
      <alignment vertical="center" wrapText="1"/>
    </xf>
    <xf numFmtId="0" fontId="12" fillId="0" borderId="34" xfId="0" applyFont="1" applyBorder="1" applyAlignment="1">
      <alignment vertical="center"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0" xfId="0" applyFont="1" applyAlignment="1">
      <alignment horizontal="right" vertical="center"/>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5"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37" xfId="0" applyFont="1" applyBorder="1" applyAlignment="1">
      <alignment horizontal="center" vertical="center" shrinkToFit="1"/>
    </xf>
    <xf numFmtId="0" fontId="12" fillId="0" borderId="38" xfId="0" applyFont="1" applyBorder="1" applyAlignment="1">
      <alignment horizontal="center" vertical="center" shrinkToFit="1"/>
    </xf>
    <xf numFmtId="0" fontId="12" fillId="0" borderId="39"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8" xfId="0" applyFont="1" applyBorder="1" applyAlignment="1">
      <alignment horizontal="center"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0" fontId="12" fillId="0" borderId="19" xfId="0" applyFont="1" applyBorder="1" applyAlignment="1">
      <alignment vertical="center" wrapText="1" shrinkToFi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6" fillId="0" borderId="45" xfId="0" applyFont="1" applyBorder="1" applyAlignment="1">
      <alignment vertical="center" wrapText="1"/>
    </xf>
    <xf numFmtId="0" fontId="16" fillId="0" borderId="46" xfId="0" applyFont="1" applyBorder="1" applyAlignment="1">
      <alignment vertical="center" wrapText="1"/>
    </xf>
    <xf numFmtId="0" fontId="16" fillId="0" borderId="31" xfId="0" applyFont="1" applyBorder="1" applyAlignment="1">
      <alignment vertical="center" wrapText="1"/>
    </xf>
    <xf numFmtId="0" fontId="12" fillId="0" borderId="36" xfId="0" applyFont="1" applyBorder="1" applyAlignment="1">
      <alignment vertical="center" wrapText="1"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12" fillId="0" borderId="34" xfId="0" applyFont="1" applyBorder="1" applyAlignment="1">
      <alignment horizontal="center" vertical="center" shrinkToFit="1"/>
    </xf>
    <xf numFmtId="0" fontId="12" fillId="0" borderId="36" xfId="0" applyFont="1" applyBorder="1" applyAlignment="1">
      <alignment horizontal="center" vertical="center" shrinkToFit="1"/>
    </xf>
    <xf numFmtId="0" fontId="1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2"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12"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2" fillId="0" borderId="38"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2" fillId="0" borderId="42" xfId="0" applyFont="1" applyBorder="1" applyAlignment="1">
      <alignment vertical="top" wrapText="1" shrinkToFit="1"/>
    </xf>
    <xf numFmtId="0" fontId="11" fillId="0" borderId="42" xfId="0" applyFont="1" applyBorder="1" applyAlignment="1">
      <alignment vertical="top" wrapText="1" shrinkToFit="1"/>
    </xf>
    <xf numFmtId="0" fontId="11" fillId="0" borderId="43" xfId="0" applyFont="1" applyBorder="1" applyAlignment="1">
      <alignment vertical="top" wrapText="1" shrinkToFit="1"/>
    </xf>
    <xf numFmtId="0" fontId="12"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2" fillId="0" borderId="39" xfId="0" applyFont="1" applyBorder="1" applyAlignment="1">
      <alignment horizontal="lef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topLeftCell="A79" zoomScaleNormal="100" zoomScaleSheetLayoutView="100" workbookViewId="0">
      <selection activeCell="D94" sqref="D94:S94"/>
    </sheetView>
  </sheetViews>
  <sheetFormatPr defaultColWidth="9" defaultRowHeight="18.75" customHeight="1" x14ac:dyDescent="0.15"/>
  <cols>
    <col min="1" max="1" width="2.5" style="69" customWidth="1"/>
    <col min="2" max="2" width="16.5" style="69" customWidth="1"/>
    <col min="3" max="19" width="5.625" style="69" customWidth="1"/>
    <col min="20" max="20" width="9" style="69"/>
    <col min="21" max="21" width="3.625" style="69" customWidth="1"/>
    <col min="22" max="22" width="48.625" style="69" hidden="1" customWidth="1"/>
    <col min="23" max="16384" width="9" style="69"/>
  </cols>
  <sheetData>
    <row r="1" spans="1:22" ht="18.600000000000001" customHeight="1" x14ac:dyDescent="0.15">
      <c r="R1" s="114" t="s">
        <v>12</v>
      </c>
      <c r="S1" s="114"/>
      <c r="T1" s="70" t="s">
        <v>110</v>
      </c>
    </row>
    <row r="2" spans="1:22" ht="18.75" customHeight="1" x14ac:dyDescent="0.15">
      <c r="B2" s="71" t="s">
        <v>109</v>
      </c>
      <c r="C2" s="107" t="s">
        <v>127</v>
      </c>
      <c r="D2" s="108"/>
      <c r="E2" s="108"/>
      <c r="F2" s="108"/>
      <c r="G2" s="108"/>
      <c r="H2" s="108"/>
      <c r="I2" s="109"/>
      <c r="J2" s="72"/>
      <c r="K2" s="73"/>
      <c r="L2" s="73"/>
      <c r="M2" s="73"/>
      <c r="N2" s="73"/>
      <c r="O2" s="73"/>
      <c r="P2" s="73"/>
      <c r="Q2" s="73"/>
      <c r="R2" s="73"/>
      <c r="S2" s="73"/>
    </row>
    <row r="3" spans="1:22" ht="18.75" customHeight="1" x14ac:dyDescent="0.15">
      <c r="B3" s="71" t="s">
        <v>103</v>
      </c>
      <c r="C3" s="118" t="s">
        <v>144</v>
      </c>
      <c r="D3" s="119"/>
      <c r="E3" s="119"/>
      <c r="F3" s="119"/>
      <c r="G3" s="119"/>
      <c r="H3" s="119"/>
      <c r="I3" s="120"/>
      <c r="J3" s="72"/>
      <c r="K3" s="73"/>
      <c r="L3" s="73"/>
      <c r="M3" s="73"/>
      <c r="N3" s="73"/>
      <c r="O3" s="73"/>
      <c r="P3" s="73"/>
      <c r="Q3" s="73"/>
      <c r="R3" s="73"/>
      <c r="S3" s="73"/>
    </row>
    <row r="4" spans="1:22" ht="15" customHeight="1" x14ac:dyDescent="0.15">
      <c r="K4" s="72"/>
      <c r="L4" s="74"/>
      <c r="M4" s="74"/>
      <c r="N4" s="74"/>
      <c r="O4" s="74"/>
      <c r="P4" s="74"/>
      <c r="Q4" s="74"/>
      <c r="R4" s="74"/>
      <c r="S4" s="74"/>
    </row>
    <row r="5" spans="1:22" ht="18" customHeight="1" x14ac:dyDescent="0.15">
      <c r="A5" s="121" t="s">
        <v>39</v>
      </c>
      <c r="B5" s="121"/>
      <c r="C5" s="121"/>
      <c r="D5" s="121"/>
      <c r="E5" s="121"/>
      <c r="F5" s="121"/>
      <c r="G5" s="121"/>
      <c r="H5" s="121"/>
      <c r="I5" s="121"/>
      <c r="J5" s="121"/>
      <c r="K5" s="121"/>
      <c r="L5" s="121"/>
      <c r="M5" s="121"/>
      <c r="N5" s="121"/>
      <c r="O5" s="121"/>
      <c r="P5" s="121"/>
      <c r="Q5" s="121"/>
      <c r="R5" s="121"/>
      <c r="S5" s="121"/>
    </row>
    <row r="6" spans="1:22" ht="15" customHeight="1" x14ac:dyDescent="0.15">
      <c r="B6" s="75"/>
      <c r="C6" s="75"/>
      <c r="D6" s="75"/>
      <c r="E6" s="75"/>
      <c r="F6" s="75"/>
      <c r="G6" s="75"/>
      <c r="H6" s="75"/>
      <c r="I6" s="75"/>
      <c r="J6" s="75"/>
      <c r="K6" s="75"/>
      <c r="L6" s="75"/>
      <c r="M6" s="75"/>
      <c r="N6" s="75"/>
      <c r="O6" s="75"/>
      <c r="P6" s="75"/>
      <c r="Q6" s="75"/>
      <c r="R6" s="75"/>
      <c r="S6" s="75"/>
    </row>
    <row r="7" spans="1:22" ht="18" customHeight="1" x14ac:dyDescent="0.15">
      <c r="A7" s="69" t="s">
        <v>125</v>
      </c>
      <c r="C7" s="75"/>
      <c r="J7" s="76" t="s">
        <v>108</v>
      </c>
      <c r="K7" s="131" t="s">
        <v>131</v>
      </c>
      <c r="L7" s="132"/>
      <c r="M7" s="132"/>
      <c r="N7" s="132"/>
      <c r="O7" s="132"/>
      <c r="P7" s="132"/>
      <c r="Q7" s="132"/>
      <c r="R7" s="132"/>
      <c r="S7" s="133"/>
    </row>
    <row r="8" spans="1:22" ht="6" customHeight="1" x14ac:dyDescent="0.15">
      <c r="B8" s="75"/>
      <c r="C8" s="75"/>
      <c r="D8" s="75"/>
      <c r="E8" s="75"/>
      <c r="F8" s="75"/>
      <c r="G8" s="75"/>
      <c r="H8" s="75"/>
      <c r="I8" s="75"/>
      <c r="J8" s="75"/>
      <c r="K8" s="77"/>
      <c r="L8" s="75"/>
      <c r="M8" s="75"/>
      <c r="N8" s="75"/>
      <c r="O8" s="75"/>
      <c r="P8" s="75"/>
      <c r="Q8" s="75"/>
      <c r="R8" s="75"/>
      <c r="S8" s="75"/>
    </row>
    <row r="9" spans="1:22" ht="18" customHeight="1" x14ac:dyDescent="0.15">
      <c r="B9" s="95"/>
      <c r="C9" s="96"/>
      <c r="D9" s="96"/>
      <c r="E9" s="96"/>
      <c r="F9" s="96"/>
      <c r="G9" s="96"/>
      <c r="H9" s="96"/>
      <c r="I9" s="96"/>
      <c r="J9" s="96"/>
      <c r="K9" s="96"/>
      <c r="L9" s="96"/>
      <c r="M9" s="96"/>
      <c r="N9" s="96"/>
      <c r="O9" s="96"/>
      <c r="P9" s="96"/>
      <c r="Q9" s="96"/>
      <c r="R9" s="96"/>
      <c r="S9" s="97"/>
    </row>
    <row r="10" spans="1:22" ht="18" customHeight="1" x14ac:dyDescent="0.15">
      <c r="B10" s="98"/>
      <c r="C10" s="99"/>
      <c r="D10" s="99"/>
      <c r="E10" s="99"/>
      <c r="F10" s="99"/>
      <c r="G10" s="99"/>
      <c r="H10" s="99"/>
      <c r="I10" s="99"/>
      <c r="J10" s="99"/>
      <c r="K10" s="99"/>
      <c r="L10" s="99"/>
      <c r="M10" s="99"/>
      <c r="N10" s="99"/>
      <c r="O10" s="99"/>
      <c r="P10" s="99"/>
      <c r="Q10" s="99"/>
      <c r="R10" s="99"/>
      <c r="S10" s="100"/>
    </row>
    <row r="11" spans="1:22" ht="6" customHeight="1" x14ac:dyDescent="0.15">
      <c r="B11" s="75"/>
      <c r="C11" s="75"/>
      <c r="D11" s="75"/>
      <c r="E11" s="75"/>
      <c r="F11" s="75"/>
      <c r="G11" s="75"/>
      <c r="H11" s="75"/>
      <c r="I11" s="75"/>
      <c r="J11" s="75"/>
      <c r="K11" s="77"/>
      <c r="L11" s="75"/>
      <c r="M11" s="75"/>
      <c r="N11" s="75"/>
      <c r="O11" s="75"/>
      <c r="P11" s="75"/>
      <c r="Q11" s="75"/>
      <c r="R11" s="75"/>
      <c r="S11" s="75"/>
    </row>
    <row r="12" spans="1:22" ht="18" customHeight="1" x14ac:dyDescent="0.15">
      <c r="A12" s="69" t="s">
        <v>112</v>
      </c>
      <c r="B12" s="75"/>
      <c r="C12" s="75"/>
      <c r="D12" s="72"/>
      <c r="E12" s="72"/>
      <c r="F12" s="72"/>
      <c r="G12" s="72"/>
      <c r="H12" s="72"/>
      <c r="I12" s="72"/>
      <c r="J12" s="72"/>
      <c r="K12" s="78"/>
      <c r="L12" s="78"/>
      <c r="M12" s="78"/>
      <c r="N12" s="78"/>
      <c r="O12" s="78"/>
      <c r="P12" s="78"/>
      <c r="Q12" s="78"/>
      <c r="R12" s="78"/>
      <c r="S12" s="78"/>
    </row>
    <row r="13" spans="1:22" ht="18" customHeight="1" x14ac:dyDescent="0.15">
      <c r="B13" s="122" t="s">
        <v>158</v>
      </c>
      <c r="C13" s="123"/>
      <c r="D13" s="123"/>
      <c r="E13" s="123"/>
      <c r="F13" s="123"/>
      <c r="G13" s="123"/>
      <c r="H13" s="123"/>
      <c r="I13" s="123"/>
      <c r="J13" s="123"/>
      <c r="K13" s="123"/>
      <c r="L13" s="123"/>
      <c r="M13" s="123"/>
      <c r="N13" s="123"/>
      <c r="O13" s="123"/>
      <c r="P13" s="123"/>
      <c r="Q13" s="123"/>
      <c r="R13" s="123"/>
      <c r="S13" s="124"/>
      <c r="V13" s="69" t="s">
        <v>104</v>
      </c>
    </row>
    <row r="14" spans="1:22" ht="18" customHeight="1" x14ac:dyDescent="0.15">
      <c r="B14" s="125"/>
      <c r="C14" s="126"/>
      <c r="D14" s="126"/>
      <c r="E14" s="126"/>
      <c r="F14" s="126"/>
      <c r="G14" s="126"/>
      <c r="H14" s="126"/>
      <c r="I14" s="126"/>
      <c r="J14" s="126"/>
      <c r="K14" s="126"/>
      <c r="L14" s="126"/>
      <c r="M14" s="126"/>
      <c r="N14" s="126"/>
      <c r="O14" s="126"/>
      <c r="P14" s="126"/>
      <c r="Q14" s="126"/>
      <c r="R14" s="126"/>
      <c r="S14" s="127"/>
      <c r="V14" s="69" t="s">
        <v>111</v>
      </c>
    </row>
    <row r="15" spans="1:22" ht="18" customHeight="1" x14ac:dyDescent="0.15">
      <c r="B15" s="125"/>
      <c r="C15" s="126"/>
      <c r="D15" s="126"/>
      <c r="E15" s="126"/>
      <c r="F15" s="126"/>
      <c r="G15" s="126"/>
      <c r="H15" s="126"/>
      <c r="I15" s="126"/>
      <c r="J15" s="126"/>
      <c r="K15" s="126"/>
      <c r="L15" s="126"/>
      <c r="M15" s="126"/>
      <c r="N15" s="126"/>
      <c r="O15" s="126"/>
      <c r="P15" s="126"/>
      <c r="Q15" s="126"/>
      <c r="R15" s="126"/>
      <c r="S15" s="127"/>
      <c r="V15" s="69" t="s">
        <v>124</v>
      </c>
    </row>
    <row r="16" spans="1:22" ht="18" customHeight="1" x14ac:dyDescent="0.15">
      <c r="B16" s="125"/>
      <c r="C16" s="126"/>
      <c r="D16" s="126"/>
      <c r="E16" s="126"/>
      <c r="F16" s="126"/>
      <c r="G16" s="126"/>
      <c r="H16" s="126"/>
      <c r="I16" s="126"/>
      <c r="J16" s="126"/>
      <c r="K16" s="126"/>
      <c r="L16" s="126"/>
      <c r="M16" s="126"/>
      <c r="N16" s="126"/>
      <c r="O16" s="126"/>
      <c r="P16" s="126"/>
      <c r="Q16" s="126"/>
      <c r="R16" s="126"/>
      <c r="S16" s="127"/>
      <c r="V16" s="69" t="s">
        <v>126</v>
      </c>
    </row>
    <row r="17" spans="1:19" ht="18" customHeight="1" x14ac:dyDescent="0.15">
      <c r="B17" s="125"/>
      <c r="C17" s="126"/>
      <c r="D17" s="126"/>
      <c r="E17" s="126"/>
      <c r="F17" s="126"/>
      <c r="G17" s="126"/>
      <c r="H17" s="126"/>
      <c r="I17" s="126"/>
      <c r="J17" s="126"/>
      <c r="K17" s="126"/>
      <c r="L17" s="126"/>
      <c r="M17" s="126"/>
      <c r="N17" s="126"/>
      <c r="O17" s="126"/>
      <c r="P17" s="126"/>
      <c r="Q17" s="126"/>
      <c r="R17" s="126"/>
      <c r="S17" s="127"/>
    </row>
    <row r="18" spans="1:19" ht="18" customHeight="1" x14ac:dyDescent="0.15">
      <c r="B18" s="128"/>
      <c r="C18" s="129"/>
      <c r="D18" s="129"/>
      <c r="E18" s="129"/>
      <c r="F18" s="129"/>
      <c r="G18" s="129"/>
      <c r="H18" s="129"/>
      <c r="I18" s="129"/>
      <c r="J18" s="129"/>
      <c r="K18" s="129"/>
      <c r="L18" s="129"/>
      <c r="M18" s="129"/>
      <c r="N18" s="129"/>
      <c r="O18" s="129"/>
      <c r="P18" s="129"/>
      <c r="Q18" s="129"/>
      <c r="R18" s="129"/>
      <c r="S18" s="130"/>
    </row>
    <row r="19" spans="1:19" ht="7.5" customHeight="1" x14ac:dyDescent="0.15">
      <c r="B19" s="75"/>
      <c r="C19" s="75"/>
      <c r="D19" s="75"/>
      <c r="E19" s="75"/>
      <c r="F19" s="75"/>
      <c r="G19" s="75"/>
      <c r="H19" s="75"/>
      <c r="I19" s="75"/>
      <c r="J19" s="75"/>
      <c r="K19" s="75"/>
      <c r="L19" s="75"/>
      <c r="M19" s="75"/>
      <c r="N19" s="75"/>
      <c r="O19" s="75"/>
      <c r="P19" s="75"/>
      <c r="Q19" s="75"/>
      <c r="R19" s="75"/>
      <c r="S19" s="75"/>
    </row>
    <row r="20" spans="1:19" ht="19.899999999999999" customHeight="1" x14ac:dyDescent="0.15">
      <c r="B20" s="69" t="s">
        <v>113</v>
      </c>
      <c r="C20" s="107">
        <v>4</v>
      </c>
      <c r="D20" s="109"/>
      <c r="E20" s="79" t="s">
        <v>96</v>
      </c>
      <c r="G20" s="77"/>
      <c r="H20" s="75"/>
      <c r="I20" s="75"/>
      <c r="J20" s="72" t="s">
        <v>122</v>
      </c>
      <c r="K20" s="115" t="s">
        <v>124</v>
      </c>
      <c r="L20" s="116"/>
      <c r="M20" s="116"/>
      <c r="N20" s="116"/>
      <c r="O20" s="116"/>
      <c r="P20" s="116"/>
      <c r="Q20" s="116"/>
      <c r="R20" s="116"/>
      <c r="S20" s="117"/>
    </row>
    <row r="21" spans="1:19" ht="7.5" customHeight="1" x14ac:dyDescent="0.15">
      <c r="B21" s="75"/>
      <c r="C21" s="75"/>
      <c r="D21" s="75"/>
      <c r="E21" s="75"/>
      <c r="F21" s="75"/>
      <c r="G21" s="75"/>
      <c r="H21" s="75"/>
      <c r="I21" s="75"/>
      <c r="J21" s="75"/>
      <c r="K21" s="75"/>
      <c r="L21" s="75"/>
      <c r="M21" s="75"/>
      <c r="N21" s="75"/>
      <c r="O21" s="75"/>
      <c r="P21" s="75"/>
      <c r="Q21" s="75"/>
      <c r="R21" s="75"/>
      <c r="S21" s="75"/>
    </row>
    <row r="22" spans="1:19" ht="18" customHeight="1" x14ac:dyDescent="0.15">
      <c r="A22" s="110" t="s">
        <v>114</v>
      </c>
      <c r="B22" s="110"/>
      <c r="C22" s="110"/>
      <c r="D22" s="110"/>
      <c r="E22" s="110"/>
      <c r="F22" s="110"/>
      <c r="G22" s="110"/>
      <c r="H22" s="110"/>
      <c r="I22" s="110"/>
      <c r="J22" s="110"/>
      <c r="K22" s="110"/>
      <c r="L22" s="110"/>
      <c r="M22" s="110"/>
      <c r="N22" s="110"/>
      <c r="O22" s="110"/>
      <c r="P22" s="110"/>
      <c r="Q22" s="110"/>
      <c r="R22" s="110"/>
      <c r="S22" s="110"/>
    </row>
    <row r="23" spans="1:19" ht="18" customHeight="1" x14ac:dyDescent="0.15">
      <c r="A23" s="110"/>
      <c r="B23" s="110"/>
      <c r="C23" s="110"/>
      <c r="D23" s="110"/>
      <c r="E23" s="110"/>
      <c r="F23" s="110"/>
      <c r="G23" s="110"/>
      <c r="H23" s="110"/>
      <c r="I23" s="110"/>
      <c r="J23" s="110"/>
      <c r="K23" s="110"/>
      <c r="L23" s="110"/>
      <c r="M23" s="110"/>
      <c r="N23" s="110"/>
      <c r="O23" s="110"/>
      <c r="P23" s="110"/>
      <c r="Q23" s="110"/>
      <c r="R23" s="110"/>
      <c r="S23" s="110"/>
    </row>
    <row r="24" spans="1:19" ht="18" customHeight="1" x14ac:dyDescent="0.15">
      <c r="B24" s="107" t="s">
        <v>54</v>
      </c>
      <c r="C24" s="108"/>
      <c r="D24" s="108"/>
      <c r="E24" s="109"/>
      <c r="F24" s="80" t="s">
        <v>81</v>
      </c>
      <c r="G24" s="81" t="s">
        <v>85</v>
      </c>
      <c r="H24" s="82" t="s">
        <v>57</v>
      </c>
      <c r="I24" s="82" t="s">
        <v>60</v>
      </c>
      <c r="J24" s="107" t="s">
        <v>54</v>
      </c>
      <c r="K24" s="108"/>
      <c r="L24" s="108"/>
      <c r="M24" s="108"/>
      <c r="N24" s="108"/>
      <c r="O24" s="109"/>
      <c r="P24" s="80" t="s">
        <v>81</v>
      </c>
      <c r="Q24" s="81" t="s">
        <v>85</v>
      </c>
      <c r="R24" s="82" t="s">
        <v>57</v>
      </c>
      <c r="S24" s="82" t="s">
        <v>60</v>
      </c>
    </row>
    <row r="25" spans="1:19" ht="18" customHeight="1" x14ac:dyDescent="0.15">
      <c r="B25" s="111" t="s">
        <v>132</v>
      </c>
      <c r="C25" s="112"/>
      <c r="D25" s="112"/>
      <c r="E25" s="113"/>
      <c r="F25" s="83">
        <v>2</v>
      </c>
      <c r="G25" s="83" t="s">
        <v>134</v>
      </c>
      <c r="H25" s="83" t="s">
        <v>134</v>
      </c>
      <c r="I25" s="83" t="s">
        <v>134</v>
      </c>
      <c r="J25" s="111"/>
      <c r="K25" s="112"/>
      <c r="L25" s="112"/>
      <c r="M25" s="112"/>
      <c r="N25" s="112"/>
      <c r="O25" s="113"/>
      <c r="P25" s="83"/>
      <c r="Q25" s="83"/>
      <c r="R25" s="83"/>
      <c r="S25" s="83"/>
    </row>
    <row r="26" spans="1:19" ht="18" customHeight="1" x14ac:dyDescent="0.15">
      <c r="B26" s="101"/>
      <c r="C26" s="102"/>
      <c r="D26" s="102"/>
      <c r="E26" s="103"/>
      <c r="F26" s="84"/>
      <c r="G26" s="84"/>
      <c r="H26" s="84"/>
      <c r="I26" s="84"/>
      <c r="J26" s="101"/>
      <c r="K26" s="102"/>
      <c r="L26" s="102"/>
      <c r="M26" s="102"/>
      <c r="N26" s="102"/>
      <c r="O26" s="103"/>
      <c r="P26" s="84"/>
      <c r="Q26" s="84"/>
      <c r="R26" s="84"/>
      <c r="S26" s="84"/>
    </row>
    <row r="27" spans="1:19" ht="18" customHeight="1" x14ac:dyDescent="0.15">
      <c r="B27" s="101"/>
      <c r="C27" s="102"/>
      <c r="D27" s="102"/>
      <c r="E27" s="103"/>
      <c r="F27" s="84"/>
      <c r="G27" s="84"/>
      <c r="H27" s="84"/>
      <c r="I27" s="84"/>
      <c r="J27" s="101"/>
      <c r="K27" s="102"/>
      <c r="L27" s="102"/>
      <c r="M27" s="102"/>
      <c r="N27" s="102"/>
      <c r="O27" s="103"/>
      <c r="P27" s="84"/>
      <c r="Q27" s="84"/>
      <c r="R27" s="84"/>
      <c r="S27" s="84"/>
    </row>
    <row r="28" spans="1:19" ht="18" customHeight="1" x14ac:dyDescent="0.15">
      <c r="B28" s="101"/>
      <c r="C28" s="102"/>
      <c r="D28" s="102"/>
      <c r="E28" s="103"/>
      <c r="F28" s="84"/>
      <c r="G28" s="84"/>
      <c r="H28" s="84"/>
      <c r="I28" s="84"/>
      <c r="J28" s="101"/>
      <c r="K28" s="102"/>
      <c r="L28" s="102"/>
      <c r="M28" s="102"/>
      <c r="N28" s="102"/>
      <c r="O28" s="103"/>
      <c r="P28" s="84"/>
      <c r="Q28" s="84"/>
      <c r="R28" s="84"/>
      <c r="S28" s="84"/>
    </row>
    <row r="29" spans="1:19" ht="18" customHeight="1" x14ac:dyDescent="0.15">
      <c r="B29" s="101"/>
      <c r="C29" s="102"/>
      <c r="D29" s="102"/>
      <c r="E29" s="103"/>
      <c r="F29" s="84"/>
      <c r="G29" s="84"/>
      <c r="H29" s="84"/>
      <c r="I29" s="84"/>
      <c r="J29" s="101"/>
      <c r="K29" s="102"/>
      <c r="L29" s="102"/>
      <c r="M29" s="102"/>
      <c r="N29" s="102"/>
      <c r="O29" s="103"/>
      <c r="P29" s="84"/>
      <c r="Q29" s="84"/>
      <c r="R29" s="84"/>
      <c r="S29" s="84"/>
    </row>
    <row r="30" spans="1:19" ht="18" customHeight="1" x14ac:dyDescent="0.15">
      <c r="A30" s="75"/>
      <c r="B30" s="101"/>
      <c r="C30" s="102"/>
      <c r="D30" s="102"/>
      <c r="E30" s="103"/>
      <c r="F30" s="84"/>
      <c r="G30" s="84"/>
      <c r="H30" s="84"/>
      <c r="I30" s="84"/>
      <c r="J30" s="101"/>
      <c r="K30" s="102"/>
      <c r="L30" s="102"/>
      <c r="M30" s="102"/>
      <c r="N30" s="102"/>
      <c r="O30" s="103"/>
      <c r="P30" s="84"/>
      <c r="Q30" s="84"/>
      <c r="R30" s="84"/>
      <c r="S30" s="84"/>
    </row>
    <row r="31" spans="1:19" ht="18" customHeight="1" x14ac:dyDescent="0.15">
      <c r="A31" s="75"/>
      <c r="B31" s="104"/>
      <c r="C31" s="105"/>
      <c r="D31" s="105"/>
      <c r="E31" s="106"/>
      <c r="F31" s="85"/>
      <c r="G31" s="85"/>
      <c r="H31" s="86"/>
      <c r="I31" s="86"/>
      <c r="J31" s="104"/>
      <c r="K31" s="105"/>
      <c r="L31" s="105"/>
      <c r="M31" s="105"/>
      <c r="N31" s="105"/>
      <c r="O31" s="106"/>
      <c r="P31" s="85"/>
      <c r="Q31" s="85"/>
      <c r="R31" s="86"/>
      <c r="S31" s="86"/>
    </row>
    <row r="32" spans="1:19" ht="7.5" customHeight="1" x14ac:dyDescent="0.15">
      <c r="A32" s="75"/>
      <c r="B32" s="73"/>
      <c r="C32" s="73"/>
      <c r="D32" s="75"/>
      <c r="E32" s="75"/>
      <c r="F32" s="75"/>
      <c r="G32" s="75"/>
      <c r="H32" s="73"/>
      <c r="I32" s="73"/>
      <c r="J32" s="73"/>
      <c r="K32" s="73"/>
      <c r="L32" s="73"/>
      <c r="M32" s="73"/>
      <c r="N32" s="73"/>
      <c r="O32" s="73"/>
      <c r="P32" s="73"/>
      <c r="Q32" s="73"/>
      <c r="R32" s="73"/>
      <c r="S32" s="75"/>
    </row>
    <row r="33" spans="1:19" ht="18" customHeight="1" x14ac:dyDescent="0.15">
      <c r="A33" s="110" t="s">
        <v>115</v>
      </c>
      <c r="B33" s="110"/>
      <c r="C33" s="110"/>
      <c r="D33" s="110"/>
      <c r="E33" s="110"/>
      <c r="F33" s="110"/>
      <c r="G33" s="110"/>
      <c r="H33" s="110"/>
      <c r="I33" s="110"/>
      <c r="J33" s="110"/>
      <c r="K33" s="110"/>
      <c r="L33" s="110"/>
      <c r="M33" s="110"/>
      <c r="N33" s="110"/>
      <c r="O33" s="110"/>
      <c r="P33" s="110"/>
      <c r="Q33" s="110"/>
      <c r="R33" s="110"/>
      <c r="S33" s="110"/>
    </row>
    <row r="34" spans="1:19" ht="18" customHeight="1" x14ac:dyDescent="0.15">
      <c r="A34" s="110"/>
      <c r="B34" s="110"/>
      <c r="C34" s="110"/>
      <c r="D34" s="110"/>
      <c r="E34" s="110"/>
      <c r="F34" s="110"/>
      <c r="G34" s="110"/>
      <c r="H34" s="110"/>
      <c r="I34" s="110"/>
      <c r="J34" s="110"/>
      <c r="K34" s="110"/>
      <c r="L34" s="110"/>
      <c r="M34" s="110"/>
      <c r="N34" s="110"/>
      <c r="O34" s="110"/>
      <c r="P34" s="110"/>
      <c r="Q34" s="110"/>
      <c r="R34" s="110"/>
      <c r="S34" s="110"/>
    </row>
    <row r="35" spans="1:19" ht="18" customHeight="1" x14ac:dyDescent="0.15">
      <c r="B35" s="107" t="s">
        <v>54</v>
      </c>
      <c r="C35" s="108"/>
      <c r="D35" s="108"/>
      <c r="E35" s="109"/>
      <c r="F35" s="80" t="s">
        <v>81</v>
      </c>
      <c r="G35" s="81" t="s">
        <v>85</v>
      </c>
      <c r="H35" s="82" t="s">
        <v>72</v>
      </c>
      <c r="I35" s="82" t="s">
        <v>73</v>
      </c>
      <c r="J35" s="107" t="s">
        <v>54</v>
      </c>
      <c r="K35" s="108"/>
      <c r="L35" s="108"/>
      <c r="M35" s="108"/>
      <c r="N35" s="108"/>
      <c r="O35" s="109"/>
      <c r="P35" s="80" t="s">
        <v>81</v>
      </c>
      <c r="Q35" s="81" t="s">
        <v>85</v>
      </c>
      <c r="R35" s="82" t="s">
        <v>72</v>
      </c>
      <c r="S35" s="82" t="s">
        <v>73</v>
      </c>
    </row>
    <row r="36" spans="1:19" ht="18" customHeight="1" x14ac:dyDescent="0.15">
      <c r="B36" s="111" t="s">
        <v>132</v>
      </c>
      <c r="C36" s="112"/>
      <c r="D36" s="112"/>
      <c r="E36" s="113"/>
      <c r="F36" s="83">
        <v>2</v>
      </c>
      <c r="G36" s="83" t="s">
        <v>134</v>
      </c>
      <c r="H36" s="83" t="s">
        <v>134</v>
      </c>
      <c r="I36" s="83" t="s">
        <v>134</v>
      </c>
      <c r="J36" s="111"/>
      <c r="K36" s="112"/>
      <c r="L36" s="112"/>
      <c r="M36" s="112"/>
      <c r="N36" s="112"/>
      <c r="O36" s="113"/>
      <c r="P36" s="83"/>
      <c r="Q36" s="83"/>
      <c r="R36" s="83"/>
      <c r="S36" s="83"/>
    </row>
    <row r="37" spans="1:19" ht="18" customHeight="1" x14ac:dyDescent="0.15">
      <c r="B37" s="101"/>
      <c r="C37" s="102"/>
      <c r="D37" s="102"/>
      <c r="E37" s="103"/>
      <c r="F37" s="84"/>
      <c r="G37" s="84"/>
      <c r="H37" s="84"/>
      <c r="I37" s="84"/>
      <c r="J37" s="101"/>
      <c r="K37" s="102"/>
      <c r="L37" s="102"/>
      <c r="M37" s="102"/>
      <c r="N37" s="102"/>
      <c r="O37" s="103"/>
      <c r="P37" s="84"/>
      <c r="Q37" s="84"/>
      <c r="R37" s="84"/>
      <c r="S37" s="84"/>
    </row>
    <row r="38" spans="1:19" ht="18" customHeight="1" x14ac:dyDescent="0.15">
      <c r="B38" s="101"/>
      <c r="C38" s="102"/>
      <c r="D38" s="102"/>
      <c r="E38" s="103"/>
      <c r="F38" s="84"/>
      <c r="G38" s="84"/>
      <c r="H38" s="84"/>
      <c r="I38" s="84"/>
      <c r="J38" s="101"/>
      <c r="K38" s="102"/>
      <c r="L38" s="102"/>
      <c r="M38" s="102"/>
      <c r="N38" s="102"/>
      <c r="O38" s="103"/>
      <c r="P38" s="84"/>
      <c r="Q38" s="84"/>
      <c r="R38" s="84"/>
      <c r="S38" s="84"/>
    </row>
    <row r="39" spans="1:19" ht="18" customHeight="1" x14ac:dyDescent="0.15">
      <c r="B39" s="101"/>
      <c r="C39" s="102"/>
      <c r="D39" s="102"/>
      <c r="E39" s="103"/>
      <c r="F39" s="84"/>
      <c r="G39" s="84"/>
      <c r="H39" s="84"/>
      <c r="I39" s="84"/>
      <c r="J39" s="101"/>
      <c r="K39" s="102"/>
      <c r="L39" s="102"/>
      <c r="M39" s="102"/>
      <c r="N39" s="102"/>
      <c r="O39" s="103"/>
      <c r="P39" s="84"/>
      <c r="Q39" s="84"/>
      <c r="R39" s="84"/>
      <c r="S39" s="84"/>
    </row>
    <row r="40" spans="1:19" ht="18" customHeight="1" x14ac:dyDescent="0.15">
      <c r="B40" s="101"/>
      <c r="C40" s="102"/>
      <c r="D40" s="102"/>
      <c r="E40" s="103"/>
      <c r="F40" s="84"/>
      <c r="G40" s="84"/>
      <c r="H40" s="84"/>
      <c r="I40" s="84"/>
      <c r="J40" s="101"/>
      <c r="K40" s="102"/>
      <c r="L40" s="102"/>
      <c r="M40" s="102"/>
      <c r="N40" s="102"/>
      <c r="O40" s="103"/>
      <c r="P40" s="84"/>
      <c r="Q40" s="84"/>
      <c r="R40" s="84"/>
      <c r="S40" s="84"/>
    </row>
    <row r="41" spans="1:19" ht="18" customHeight="1" x14ac:dyDescent="0.15">
      <c r="B41" s="101"/>
      <c r="C41" s="102"/>
      <c r="D41" s="102"/>
      <c r="E41" s="103"/>
      <c r="F41" s="84"/>
      <c r="G41" s="84"/>
      <c r="H41" s="84"/>
      <c r="I41" s="84"/>
      <c r="J41" s="101"/>
      <c r="K41" s="102"/>
      <c r="L41" s="102"/>
      <c r="M41" s="102"/>
      <c r="N41" s="102"/>
      <c r="O41" s="103"/>
      <c r="P41" s="84"/>
      <c r="Q41" s="84"/>
      <c r="R41" s="84"/>
      <c r="S41" s="84"/>
    </row>
    <row r="42" spans="1:19" ht="18" customHeight="1" x14ac:dyDescent="0.15">
      <c r="B42" s="104"/>
      <c r="C42" s="105"/>
      <c r="D42" s="105"/>
      <c r="E42" s="106"/>
      <c r="F42" s="85"/>
      <c r="G42" s="85"/>
      <c r="H42" s="86"/>
      <c r="I42" s="86"/>
      <c r="J42" s="104"/>
      <c r="K42" s="105"/>
      <c r="L42" s="105"/>
      <c r="M42" s="105"/>
      <c r="N42" s="105"/>
      <c r="O42" s="106"/>
      <c r="P42" s="85"/>
      <c r="Q42" s="85"/>
      <c r="R42" s="86"/>
      <c r="S42" s="86"/>
    </row>
    <row r="43" spans="1:19" ht="7.5" customHeight="1" x14ac:dyDescent="0.15">
      <c r="A43" s="75"/>
      <c r="B43" s="73"/>
      <c r="C43" s="73"/>
      <c r="D43" s="75"/>
      <c r="E43" s="75"/>
      <c r="F43" s="75"/>
      <c r="G43" s="75"/>
      <c r="H43" s="73"/>
      <c r="I43" s="73"/>
      <c r="J43" s="73"/>
      <c r="K43" s="73"/>
      <c r="L43" s="73"/>
      <c r="M43" s="73"/>
      <c r="N43" s="73"/>
      <c r="O43" s="73"/>
      <c r="P43" s="73"/>
      <c r="Q43" s="73"/>
      <c r="R43" s="73"/>
      <c r="S43" s="75"/>
    </row>
    <row r="44" spans="1:19" ht="18" customHeight="1" x14ac:dyDescent="0.15">
      <c r="A44" s="110" t="s">
        <v>116</v>
      </c>
      <c r="B44" s="110"/>
      <c r="C44" s="110"/>
      <c r="D44" s="110"/>
      <c r="E44" s="110"/>
      <c r="F44" s="110"/>
      <c r="G44" s="110"/>
      <c r="H44" s="110"/>
      <c r="I44" s="110"/>
      <c r="J44" s="110"/>
      <c r="K44" s="110"/>
      <c r="L44" s="110"/>
      <c r="M44" s="110"/>
      <c r="N44" s="110"/>
      <c r="O44" s="110"/>
      <c r="P44" s="110"/>
      <c r="Q44" s="110"/>
      <c r="R44" s="110"/>
      <c r="S44" s="110"/>
    </row>
    <row r="45" spans="1:19" ht="18" customHeight="1" x14ac:dyDescent="0.15">
      <c r="A45" s="110"/>
      <c r="B45" s="110"/>
      <c r="C45" s="110"/>
      <c r="D45" s="110"/>
      <c r="E45" s="110"/>
      <c r="F45" s="110"/>
      <c r="G45" s="110"/>
      <c r="H45" s="110"/>
      <c r="I45" s="110"/>
      <c r="J45" s="110"/>
      <c r="K45" s="110"/>
      <c r="L45" s="110"/>
      <c r="M45" s="110"/>
      <c r="N45" s="110"/>
      <c r="O45" s="110"/>
      <c r="P45" s="110"/>
      <c r="Q45" s="110"/>
      <c r="R45" s="110"/>
      <c r="S45" s="110"/>
    </row>
    <row r="46" spans="1:19" ht="18" customHeight="1" x14ac:dyDescent="0.15">
      <c r="B46" s="107" t="s">
        <v>54</v>
      </c>
      <c r="C46" s="108"/>
      <c r="D46" s="108"/>
      <c r="E46" s="109"/>
      <c r="F46" s="80" t="s">
        <v>81</v>
      </c>
      <c r="G46" s="81" t="s">
        <v>85</v>
      </c>
      <c r="H46" s="82" t="s">
        <v>74</v>
      </c>
      <c r="I46" s="82" t="s">
        <v>75</v>
      </c>
      <c r="J46" s="107" t="s">
        <v>54</v>
      </c>
      <c r="K46" s="108"/>
      <c r="L46" s="108"/>
      <c r="M46" s="108"/>
      <c r="N46" s="108"/>
      <c r="O46" s="109"/>
      <c r="P46" s="80" t="s">
        <v>81</v>
      </c>
      <c r="Q46" s="81" t="s">
        <v>85</v>
      </c>
      <c r="R46" s="82" t="s">
        <v>74</v>
      </c>
      <c r="S46" s="82" t="s">
        <v>75</v>
      </c>
    </row>
    <row r="47" spans="1:19" ht="18" customHeight="1" x14ac:dyDescent="0.15">
      <c r="A47" s="75"/>
      <c r="B47" s="111" t="s">
        <v>132</v>
      </c>
      <c r="C47" s="112"/>
      <c r="D47" s="112"/>
      <c r="E47" s="113"/>
      <c r="F47" s="83">
        <v>2</v>
      </c>
      <c r="G47" s="83" t="s">
        <v>134</v>
      </c>
      <c r="H47" s="83" t="s">
        <v>134</v>
      </c>
      <c r="I47" s="83" t="s">
        <v>134</v>
      </c>
      <c r="J47" s="111"/>
      <c r="K47" s="112"/>
      <c r="L47" s="112"/>
      <c r="M47" s="112"/>
      <c r="N47" s="112"/>
      <c r="O47" s="113"/>
      <c r="P47" s="83"/>
      <c r="Q47" s="83"/>
      <c r="R47" s="83"/>
      <c r="S47" s="83"/>
    </row>
    <row r="48" spans="1:19" ht="18" customHeight="1" x14ac:dyDescent="0.15">
      <c r="A48" s="75"/>
      <c r="B48" s="101"/>
      <c r="C48" s="102"/>
      <c r="D48" s="102"/>
      <c r="E48" s="103"/>
      <c r="F48" s="84"/>
      <c r="G48" s="84"/>
      <c r="H48" s="84"/>
      <c r="I48" s="84"/>
      <c r="J48" s="101"/>
      <c r="K48" s="102"/>
      <c r="L48" s="102"/>
      <c r="M48" s="102"/>
      <c r="N48" s="102"/>
      <c r="O48" s="103"/>
      <c r="P48" s="84"/>
      <c r="Q48" s="84"/>
      <c r="R48" s="84"/>
      <c r="S48" s="84"/>
    </row>
    <row r="49" spans="1:19" ht="18" customHeight="1" x14ac:dyDescent="0.15">
      <c r="A49" s="75"/>
      <c r="B49" s="101"/>
      <c r="C49" s="102"/>
      <c r="D49" s="102"/>
      <c r="E49" s="103"/>
      <c r="F49" s="84"/>
      <c r="G49" s="84"/>
      <c r="H49" s="84"/>
      <c r="I49" s="84"/>
      <c r="J49" s="101"/>
      <c r="K49" s="102"/>
      <c r="L49" s="102"/>
      <c r="M49" s="102"/>
      <c r="N49" s="102"/>
      <c r="O49" s="103"/>
      <c r="P49" s="84"/>
      <c r="Q49" s="84"/>
      <c r="R49" s="84"/>
      <c r="S49" s="84"/>
    </row>
    <row r="50" spans="1:19" ht="18" customHeight="1" x14ac:dyDescent="0.15">
      <c r="A50" s="75"/>
      <c r="B50" s="101"/>
      <c r="C50" s="102"/>
      <c r="D50" s="102"/>
      <c r="E50" s="103"/>
      <c r="F50" s="84"/>
      <c r="G50" s="84"/>
      <c r="H50" s="84"/>
      <c r="I50" s="84"/>
      <c r="J50" s="101"/>
      <c r="K50" s="102"/>
      <c r="L50" s="102"/>
      <c r="M50" s="102"/>
      <c r="N50" s="102"/>
      <c r="O50" s="103"/>
      <c r="P50" s="84"/>
      <c r="Q50" s="84"/>
      <c r="R50" s="84"/>
      <c r="S50" s="84"/>
    </row>
    <row r="51" spans="1:19" ht="18" customHeight="1" x14ac:dyDescent="0.15">
      <c r="A51" s="75"/>
      <c r="B51" s="101"/>
      <c r="C51" s="102"/>
      <c r="D51" s="102"/>
      <c r="E51" s="103"/>
      <c r="F51" s="84"/>
      <c r="G51" s="84"/>
      <c r="H51" s="84"/>
      <c r="I51" s="84"/>
      <c r="J51" s="101"/>
      <c r="K51" s="102"/>
      <c r="L51" s="102"/>
      <c r="M51" s="102"/>
      <c r="N51" s="102"/>
      <c r="O51" s="103"/>
      <c r="P51" s="84"/>
      <c r="Q51" s="84"/>
      <c r="R51" s="84"/>
      <c r="S51" s="84"/>
    </row>
    <row r="52" spans="1:19" ht="18" customHeight="1" x14ac:dyDescent="0.15">
      <c r="A52" s="75"/>
      <c r="B52" s="101"/>
      <c r="C52" s="102"/>
      <c r="D52" s="102"/>
      <c r="E52" s="103"/>
      <c r="F52" s="84"/>
      <c r="G52" s="84"/>
      <c r="H52" s="84"/>
      <c r="I52" s="84"/>
      <c r="J52" s="101"/>
      <c r="K52" s="102"/>
      <c r="L52" s="102"/>
      <c r="M52" s="102"/>
      <c r="N52" s="102"/>
      <c r="O52" s="103"/>
      <c r="P52" s="84"/>
      <c r="Q52" s="84"/>
      <c r="R52" s="84"/>
      <c r="S52" s="84"/>
    </row>
    <row r="53" spans="1:19" ht="18" customHeight="1" x14ac:dyDescent="0.15">
      <c r="A53" s="75"/>
      <c r="B53" s="104"/>
      <c r="C53" s="105"/>
      <c r="D53" s="105"/>
      <c r="E53" s="106"/>
      <c r="F53" s="85"/>
      <c r="G53" s="85"/>
      <c r="H53" s="86"/>
      <c r="I53" s="86"/>
      <c r="J53" s="104"/>
      <c r="K53" s="105"/>
      <c r="L53" s="105"/>
      <c r="M53" s="105"/>
      <c r="N53" s="105"/>
      <c r="O53" s="106"/>
      <c r="P53" s="85"/>
      <c r="Q53" s="85"/>
      <c r="R53" s="86"/>
      <c r="S53" s="86"/>
    </row>
    <row r="54" spans="1:19" ht="7.5" customHeight="1" x14ac:dyDescent="0.15">
      <c r="B54" s="87"/>
      <c r="C54" s="87"/>
      <c r="D54" s="87"/>
      <c r="E54" s="87"/>
      <c r="F54" s="87"/>
      <c r="G54" s="87"/>
      <c r="H54" s="87"/>
      <c r="I54" s="87"/>
      <c r="J54" s="87"/>
      <c r="K54" s="87"/>
      <c r="L54" s="87"/>
      <c r="M54" s="87"/>
      <c r="N54" s="87"/>
      <c r="O54" s="87"/>
      <c r="P54" s="87"/>
      <c r="Q54" s="87"/>
      <c r="R54" s="87"/>
    </row>
    <row r="55" spans="1:19" ht="18" customHeight="1" x14ac:dyDescent="0.15">
      <c r="A55" s="110" t="s">
        <v>117</v>
      </c>
      <c r="B55" s="110"/>
      <c r="C55" s="110"/>
      <c r="D55" s="110"/>
      <c r="E55" s="110"/>
      <c r="F55" s="110"/>
      <c r="G55" s="110"/>
      <c r="H55" s="110"/>
      <c r="I55" s="110"/>
      <c r="J55" s="110"/>
      <c r="K55" s="110"/>
      <c r="L55" s="110"/>
      <c r="M55" s="110"/>
      <c r="N55" s="110"/>
      <c r="O55" s="110"/>
      <c r="P55" s="110"/>
      <c r="Q55" s="110"/>
      <c r="R55" s="110"/>
      <c r="S55" s="110"/>
    </row>
    <row r="56" spans="1:19" ht="18" customHeight="1" x14ac:dyDescent="0.15">
      <c r="A56" s="110"/>
      <c r="B56" s="110"/>
      <c r="C56" s="110"/>
      <c r="D56" s="110"/>
      <c r="E56" s="110"/>
      <c r="F56" s="110"/>
      <c r="G56" s="110"/>
      <c r="H56" s="110"/>
      <c r="I56" s="110"/>
      <c r="J56" s="110"/>
      <c r="K56" s="110"/>
      <c r="L56" s="110"/>
      <c r="M56" s="110"/>
      <c r="N56" s="110"/>
      <c r="O56" s="110"/>
      <c r="P56" s="110"/>
      <c r="Q56" s="110"/>
      <c r="R56" s="110"/>
      <c r="S56" s="110"/>
    </row>
    <row r="57" spans="1:19" ht="18" customHeight="1" x14ac:dyDescent="0.15">
      <c r="B57" s="107" t="s">
        <v>54</v>
      </c>
      <c r="C57" s="108"/>
      <c r="D57" s="108"/>
      <c r="E57" s="109"/>
      <c r="F57" s="80" t="s">
        <v>81</v>
      </c>
      <c r="G57" s="81" t="s">
        <v>85</v>
      </c>
      <c r="H57" s="82" t="s">
        <v>59</v>
      </c>
      <c r="I57" s="82" t="s">
        <v>61</v>
      </c>
      <c r="J57" s="107" t="s">
        <v>54</v>
      </c>
      <c r="K57" s="108"/>
      <c r="L57" s="108"/>
      <c r="M57" s="108"/>
      <c r="N57" s="108"/>
      <c r="O57" s="109"/>
      <c r="P57" s="80" t="s">
        <v>81</v>
      </c>
      <c r="Q57" s="81" t="s">
        <v>85</v>
      </c>
      <c r="R57" s="82" t="s">
        <v>59</v>
      </c>
      <c r="S57" s="82" t="s">
        <v>61</v>
      </c>
    </row>
    <row r="58" spans="1:19" ht="18" customHeight="1" x14ac:dyDescent="0.15">
      <c r="A58" s="75"/>
      <c r="B58" s="111" t="s">
        <v>132</v>
      </c>
      <c r="C58" s="112"/>
      <c r="D58" s="112"/>
      <c r="E58" s="113"/>
      <c r="F58" s="83">
        <v>2</v>
      </c>
      <c r="G58" s="83" t="s">
        <v>134</v>
      </c>
      <c r="H58" s="83" t="s">
        <v>134</v>
      </c>
      <c r="I58" s="83" t="s">
        <v>134</v>
      </c>
      <c r="J58" s="111"/>
      <c r="K58" s="112"/>
      <c r="L58" s="112"/>
      <c r="M58" s="112"/>
      <c r="N58" s="112"/>
      <c r="O58" s="113"/>
      <c r="P58" s="83"/>
      <c r="Q58" s="83"/>
      <c r="R58" s="83"/>
      <c r="S58" s="83"/>
    </row>
    <row r="59" spans="1:19" ht="18" customHeight="1" x14ac:dyDescent="0.15">
      <c r="A59" s="75"/>
      <c r="B59" s="101"/>
      <c r="C59" s="102"/>
      <c r="D59" s="102"/>
      <c r="E59" s="103"/>
      <c r="F59" s="84"/>
      <c r="G59" s="84"/>
      <c r="H59" s="84"/>
      <c r="I59" s="84"/>
      <c r="J59" s="101"/>
      <c r="K59" s="102"/>
      <c r="L59" s="102"/>
      <c r="M59" s="102"/>
      <c r="N59" s="102"/>
      <c r="O59" s="103"/>
      <c r="P59" s="84"/>
      <c r="Q59" s="84"/>
      <c r="R59" s="84"/>
      <c r="S59" s="84"/>
    </row>
    <row r="60" spans="1:19" ht="18" customHeight="1" x14ac:dyDescent="0.15">
      <c r="A60" s="75"/>
      <c r="B60" s="101"/>
      <c r="C60" s="102"/>
      <c r="D60" s="102"/>
      <c r="E60" s="103"/>
      <c r="F60" s="84"/>
      <c r="G60" s="84"/>
      <c r="H60" s="84"/>
      <c r="I60" s="84"/>
      <c r="J60" s="101"/>
      <c r="K60" s="102"/>
      <c r="L60" s="102"/>
      <c r="M60" s="102"/>
      <c r="N60" s="102"/>
      <c r="O60" s="103"/>
      <c r="P60" s="84"/>
      <c r="Q60" s="84"/>
      <c r="R60" s="84"/>
      <c r="S60" s="84"/>
    </row>
    <row r="61" spans="1:19" ht="18" customHeight="1" x14ac:dyDescent="0.15">
      <c r="A61" s="75"/>
      <c r="B61" s="101"/>
      <c r="C61" s="102"/>
      <c r="D61" s="102"/>
      <c r="E61" s="103"/>
      <c r="F61" s="84"/>
      <c r="G61" s="84"/>
      <c r="H61" s="84"/>
      <c r="I61" s="84"/>
      <c r="J61" s="101"/>
      <c r="K61" s="102"/>
      <c r="L61" s="102"/>
      <c r="M61" s="102"/>
      <c r="N61" s="102"/>
      <c r="O61" s="103"/>
      <c r="P61" s="84"/>
      <c r="Q61" s="84"/>
      <c r="R61" s="84"/>
      <c r="S61" s="84"/>
    </row>
    <row r="62" spans="1:19" ht="18" customHeight="1" x14ac:dyDescent="0.15">
      <c r="A62" s="75"/>
      <c r="B62" s="101"/>
      <c r="C62" s="102"/>
      <c r="D62" s="102"/>
      <c r="E62" s="103"/>
      <c r="F62" s="84"/>
      <c r="G62" s="84"/>
      <c r="H62" s="84"/>
      <c r="I62" s="84"/>
      <c r="J62" s="101"/>
      <c r="K62" s="102"/>
      <c r="L62" s="102"/>
      <c r="M62" s="102"/>
      <c r="N62" s="102"/>
      <c r="O62" s="103"/>
      <c r="P62" s="84"/>
      <c r="Q62" s="84"/>
      <c r="R62" s="84"/>
      <c r="S62" s="84"/>
    </row>
    <row r="63" spans="1:19" ht="18" customHeight="1" x14ac:dyDescent="0.15">
      <c r="A63" s="75"/>
      <c r="B63" s="101"/>
      <c r="C63" s="102"/>
      <c r="D63" s="102"/>
      <c r="E63" s="103"/>
      <c r="F63" s="84"/>
      <c r="G63" s="84"/>
      <c r="H63" s="84"/>
      <c r="I63" s="84"/>
      <c r="J63" s="101"/>
      <c r="K63" s="102"/>
      <c r="L63" s="102"/>
      <c r="M63" s="102"/>
      <c r="N63" s="102"/>
      <c r="O63" s="103"/>
      <c r="P63" s="84"/>
      <c r="Q63" s="84"/>
      <c r="R63" s="84"/>
      <c r="S63" s="84"/>
    </row>
    <row r="64" spans="1:19" ht="18" customHeight="1" x14ac:dyDescent="0.15">
      <c r="A64" s="75"/>
      <c r="B64" s="104"/>
      <c r="C64" s="105"/>
      <c r="D64" s="105"/>
      <c r="E64" s="106"/>
      <c r="F64" s="85"/>
      <c r="G64" s="85"/>
      <c r="H64" s="86"/>
      <c r="I64" s="86"/>
      <c r="J64" s="104"/>
      <c r="K64" s="105"/>
      <c r="L64" s="105"/>
      <c r="M64" s="105"/>
      <c r="N64" s="105"/>
      <c r="O64" s="106"/>
      <c r="P64" s="85"/>
      <c r="Q64" s="85"/>
      <c r="R64" s="86"/>
      <c r="S64" s="86"/>
    </row>
    <row r="65" spans="1:19" ht="7.5" customHeight="1" x14ac:dyDescent="0.15">
      <c r="B65" s="87"/>
      <c r="C65" s="87"/>
      <c r="D65" s="87"/>
      <c r="E65" s="87"/>
      <c r="F65" s="87"/>
      <c r="G65" s="87"/>
      <c r="H65" s="87"/>
      <c r="I65" s="87"/>
      <c r="J65" s="87"/>
      <c r="K65" s="87"/>
      <c r="L65" s="87"/>
      <c r="M65" s="87"/>
      <c r="N65" s="87"/>
      <c r="O65" s="87"/>
      <c r="P65" s="87"/>
      <c r="Q65" s="87"/>
      <c r="R65" s="87"/>
    </row>
    <row r="66" spans="1:19" ht="18" customHeight="1" x14ac:dyDescent="0.15">
      <c r="A66" s="110" t="s">
        <v>118</v>
      </c>
      <c r="B66" s="110"/>
      <c r="C66" s="110"/>
      <c r="D66" s="110"/>
      <c r="E66" s="110"/>
      <c r="F66" s="110"/>
      <c r="G66" s="110"/>
      <c r="H66" s="110"/>
      <c r="I66" s="110"/>
      <c r="J66" s="110"/>
      <c r="K66" s="110"/>
      <c r="L66" s="110"/>
      <c r="M66" s="110"/>
      <c r="N66" s="110"/>
      <c r="O66" s="110"/>
      <c r="P66" s="110"/>
      <c r="Q66" s="110"/>
      <c r="R66" s="110"/>
      <c r="S66" s="110"/>
    </row>
    <row r="67" spans="1:19" ht="18" customHeight="1" x14ac:dyDescent="0.15">
      <c r="A67" s="110"/>
      <c r="B67" s="110"/>
      <c r="C67" s="110"/>
      <c r="D67" s="110"/>
      <c r="E67" s="110"/>
      <c r="F67" s="110"/>
      <c r="G67" s="110"/>
      <c r="H67" s="110"/>
      <c r="I67" s="110"/>
      <c r="J67" s="110"/>
      <c r="K67" s="110"/>
      <c r="L67" s="110"/>
      <c r="M67" s="110"/>
      <c r="N67" s="110"/>
      <c r="O67" s="110"/>
      <c r="P67" s="110"/>
      <c r="Q67" s="110"/>
      <c r="R67" s="110"/>
      <c r="S67" s="110"/>
    </row>
    <row r="68" spans="1:19" ht="18" customHeight="1" x14ac:dyDescent="0.15">
      <c r="B68" s="107" t="s">
        <v>54</v>
      </c>
      <c r="C68" s="108"/>
      <c r="D68" s="108"/>
      <c r="E68" s="80" t="s">
        <v>81</v>
      </c>
      <c r="F68" s="81" t="s">
        <v>85</v>
      </c>
      <c r="G68" s="82" t="s">
        <v>102</v>
      </c>
      <c r="H68" s="82" t="s">
        <v>76</v>
      </c>
      <c r="I68" s="82" t="s">
        <v>77</v>
      </c>
      <c r="J68" s="107" t="s">
        <v>54</v>
      </c>
      <c r="K68" s="108"/>
      <c r="L68" s="108"/>
      <c r="M68" s="108"/>
      <c r="N68" s="109"/>
      <c r="O68" s="80" t="s">
        <v>81</v>
      </c>
      <c r="P68" s="81" t="s">
        <v>85</v>
      </c>
      <c r="Q68" s="82" t="s">
        <v>102</v>
      </c>
      <c r="R68" s="82" t="s">
        <v>76</v>
      </c>
      <c r="S68" s="82" t="s">
        <v>77</v>
      </c>
    </row>
    <row r="69" spans="1:19" ht="18" customHeight="1" x14ac:dyDescent="0.15">
      <c r="A69" s="75"/>
      <c r="B69" s="111" t="s">
        <v>132</v>
      </c>
      <c r="C69" s="112"/>
      <c r="D69" s="112"/>
      <c r="E69" s="83">
        <v>2</v>
      </c>
      <c r="F69" s="83" t="s">
        <v>134</v>
      </c>
      <c r="G69" s="83" t="s">
        <v>134</v>
      </c>
      <c r="H69" s="83" t="s">
        <v>134</v>
      </c>
      <c r="I69" s="83"/>
      <c r="J69" s="111"/>
      <c r="K69" s="112"/>
      <c r="L69" s="112"/>
      <c r="M69" s="112"/>
      <c r="N69" s="113"/>
      <c r="O69" s="83"/>
      <c r="P69" s="83"/>
      <c r="Q69" s="83"/>
      <c r="R69" s="83"/>
      <c r="S69" s="83"/>
    </row>
    <row r="70" spans="1:19" ht="18" customHeight="1" x14ac:dyDescent="0.15">
      <c r="A70" s="75"/>
      <c r="B70" s="101" t="s">
        <v>133</v>
      </c>
      <c r="C70" s="102"/>
      <c r="D70" s="102"/>
      <c r="E70" s="84">
        <v>2</v>
      </c>
      <c r="F70" s="84" t="s">
        <v>134</v>
      </c>
      <c r="G70" s="84"/>
      <c r="H70" s="84"/>
      <c r="I70" s="84" t="s">
        <v>134</v>
      </c>
      <c r="J70" s="101"/>
      <c r="K70" s="102"/>
      <c r="L70" s="102"/>
      <c r="M70" s="102"/>
      <c r="N70" s="103"/>
      <c r="O70" s="84"/>
      <c r="P70" s="84"/>
      <c r="Q70" s="84"/>
      <c r="R70" s="84"/>
      <c r="S70" s="84"/>
    </row>
    <row r="71" spans="1:19" ht="18" customHeight="1" x14ac:dyDescent="0.15">
      <c r="A71" s="75"/>
      <c r="B71" s="101"/>
      <c r="C71" s="102"/>
      <c r="D71" s="102"/>
      <c r="E71" s="84"/>
      <c r="F71" s="84"/>
      <c r="G71" s="84"/>
      <c r="H71" s="84"/>
      <c r="I71" s="84"/>
      <c r="J71" s="101"/>
      <c r="K71" s="102"/>
      <c r="L71" s="102"/>
      <c r="M71" s="102"/>
      <c r="N71" s="103"/>
      <c r="O71" s="84"/>
      <c r="P71" s="84"/>
      <c r="Q71" s="84"/>
      <c r="R71" s="84"/>
      <c r="S71" s="84"/>
    </row>
    <row r="72" spans="1:19" ht="18" customHeight="1" x14ac:dyDescent="0.15">
      <c r="A72" s="75"/>
      <c r="B72" s="101"/>
      <c r="C72" s="102"/>
      <c r="D72" s="102"/>
      <c r="E72" s="84"/>
      <c r="F72" s="84"/>
      <c r="G72" s="84"/>
      <c r="H72" s="84"/>
      <c r="I72" s="84"/>
      <c r="J72" s="101"/>
      <c r="K72" s="102"/>
      <c r="L72" s="102"/>
      <c r="M72" s="102"/>
      <c r="N72" s="103"/>
      <c r="O72" s="84"/>
      <c r="P72" s="84"/>
      <c r="Q72" s="84"/>
      <c r="R72" s="84"/>
      <c r="S72" s="84"/>
    </row>
    <row r="73" spans="1:19" ht="18" customHeight="1" x14ac:dyDescent="0.15">
      <c r="A73" s="75"/>
      <c r="B73" s="101"/>
      <c r="C73" s="102"/>
      <c r="D73" s="102"/>
      <c r="E73" s="84"/>
      <c r="F73" s="84"/>
      <c r="G73" s="84"/>
      <c r="H73" s="84"/>
      <c r="I73" s="84"/>
      <c r="J73" s="101"/>
      <c r="K73" s="102"/>
      <c r="L73" s="102"/>
      <c r="M73" s="102"/>
      <c r="N73" s="103"/>
      <c r="O73" s="84"/>
      <c r="P73" s="84"/>
      <c r="Q73" s="84"/>
      <c r="R73" s="84"/>
      <c r="S73" s="84"/>
    </row>
    <row r="74" spans="1:19" ht="18" customHeight="1" x14ac:dyDescent="0.15">
      <c r="A74" s="75"/>
      <c r="B74" s="101"/>
      <c r="C74" s="102"/>
      <c r="D74" s="102"/>
      <c r="E74" s="84"/>
      <c r="F74" s="84"/>
      <c r="G74" s="84"/>
      <c r="H74" s="84"/>
      <c r="I74" s="84"/>
      <c r="J74" s="101"/>
      <c r="K74" s="102"/>
      <c r="L74" s="102"/>
      <c r="M74" s="102"/>
      <c r="N74" s="103"/>
      <c r="O74" s="84"/>
      <c r="P74" s="84"/>
      <c r="Q74" s="84"/>
      <c r="R74" s="84"/>
      <c r="S74" s="84"/>
    </row>
    <row r="75" spans="1:19" ht="18" customHeight="1" x14ac:dyDescent="0.15">
      <c r="A75" s="75"/>
      <c r="B75" s="104"/>
      <c r="C75" s="105"/>
      <c r="D75" s="105"/>
      <c r="E75" s="85"/>
      <c r="F75" s="85"/>
      <c r="G75" s="86"/>
      <c r="H75" s="86"/>
      <c r="I75" s="86"/>
      <c r="J75" s="104"/>
      <c r="K75" s="105"/>
      <c r="L75" s="105"/>
      <c r="M75" s="105"/>
      <c r="N75" s="106"/>
      <c r="O75" s="85"/>
      <c r="P75" s="85"/>
      <c r="Q75" s="86"/>
      <c r="R75" s="86"/>
      <c r="S75" s="86"/>
    </row>
    <row r="76" spans="1:19" ht="7.5" customHeight="1" x14ac:dyDescent="0.15">
      <c r="B76" s="87"/>
      <c r="C76" s="87"/>
      <c r="D76" s="87"/>
      <c r="E76" s="87"/>
      <c r="F76" s="87"/>
      <c r="G76" s="87"/>
      <c r="H76" s="87"/>
      <c r="I76" s="87"/>
      <c r="J76" s="87"/>
      <c r="K76" s="87"/>
      <c r="L76" s="87"/>
      <c r="M76" s="87"/>
      <c r="N76" s="87"/>
      <c r="O76" s="87"/>
      <c r="P76" s="87"/>
      <c r="Q76" s="87"/>
      <c r="R76" s="87"/>
    </row>
    <row r="77" spans="1:19" ht="18" customHeight="1" x14ac:dyDescent="0.15">
      <c r="A77" s="69" t="s">
        <v>119</v>
      </c>
      <c r="H77" s="75"/>
      <c r="I77" s="75"/>
      <c r="J77" s="75"/>
      <c r="K77" s="75"/>
      <c r="L77" s="75"/>
      <c r="M77" s="75"/>
      <c r="N77" s="75"/>
      <c r="O77" s="75"/>
      <c r="P77" s="75"/>
      <c r="Q77" s="75"/>
      <c r="R77" s="75"/>
      <c r="S77" s="75"/>
    </row>
    <row r="78" spans="1:19" ht="18" customHeight="1" x14ac:dyDescent="0.15">
      <c r="B78" s="107" t="s">
        <v>54</v>
      </c>
      <c r="C78" s="108"/>
      <c r="D78" s="108"/>
      <c r="E78" s="109"/>
      <c r="F78" s="107" t="s">
        <v>83</v>
      </c>
      <c r="G78" s="108"/>
      <c r="H78" s="108"/>
      <c r="I78" s="109"/>
      <c r="J78" s="156" t="s">
        <v>54</v>
      </c>
      <c r="K78" s="157"/>
      <c r="L78" s="157"/>
      <c r="M78" s="157"/>
      <c r="N78" s="157"/>
      <c r="O78" s="158"/>
      <c r="P78" s="107" t="s">
        <v>83</v>
      </c>
      <c r="Q78" s="108"/>
      <c r="R78" s="108"/>
      <c r="S78" s="109"/>
    </row>
    <row r="79" spans="1:19" ht="18" customHeight="1" x14ac:dyDescent="0.15">
      <c r="A79" s="75"/>
      <c r="B79" s="111"/>
      <c r="C79" s="112"/>
      <c r="D79" s="112"/>
      <c r="E79" s="113"/>
      <c r="F79" s="171"/>
      <c r="G79" s="172"/>
      <c r="H79" s="172"/>
      <c r="I79" s="173"/>
      <c r="J79" s="111"/>
      <c r="K79" s="112"/>
      <c r="L79" s="112"/>
      <c r="M79" s="112"/>
      <c r="N79" s="112"/>
      <c r="O79" s="113"/>
      <c r="P79" s="171"/>
      <c r="Q79" s="172"/>
      <c r="R79" s="172"/>
      <c r="S79" s="173"/>
    </row>
    <row r="80" spans="1:19" ht="18" customHeight="1" x14ac:dyDescent="0.15">
      <c r="A80" s="75"/>
      <c r="B80" s="101"/>
      <c r="C80" s="102"/>
      <c r="D80" s="102"/>
      <c r="E80" s="103"/>
      <c r="F80" s="140"/>
      <c r="G80" s="141"/>
      <c r="H80" s="141"/>
      <c r="I80" s="142"/>
      <c r="J80" s="101"/>
      <c r="K80" s="102"/>
      <c r="L80" s="102"/>
      <c r="M80" s="102"/>
      <c r="N80" s="102"/>
      <c r="O80" s="103"/>
      <c r="P80" s="140"/>
      <c r="Q80" s="141"/>
      <c r="R80" s="141"/>
      <c r="S80" s="142"/>
    </row>
    <row r="81" spans="1:19" ht="18" customHeight="1" x14ac:dyDescent="0.15">
      <c r="A81" s="75"/>
      <c r="B81" s="101"/>
      <c r="C81" s="102"/>
      <c r="D81" s="102"/>
      <c r="E81" s="103"/>
      <c r="F81" s="140"/>
      <c r="G81" s="141"/>
      <c r="H81" s="141"/>
      <c r="I81" s="142"/>
      <c r="J81" s="101"/>
      <c r="K81" s="102"/>
      <c r="L81" s="102"/>
      <c r="M81" s="102"/>
      <c r="N81" s="102"/>
      <c r="O81" s="103"/>
      <c r="P81" s="140"/>
      <c r="Q81" s="141"/>
      <c r="R81" s="141"/>
      <c r="S81" s="142"/>
    </row>
    <row r="82" spans="1:19" ht="18" customHeight="1" x14ac:dyDescent="0.15">
      <c r="A82" s="75"/>
      <c r="B82" s="101"/>
      <c r="C82" s="102"/>
      <c r="D82" s="102"/>
      <c r="E82" s="103"/>
      <c r="F82" s="140"/>
      <c r="G82" s="141"/>
      <c r="H82" s="141"/>
      <c r="I82" s="142"/>
      <c r="J82" s="101"/>
      <c r="K82" s="102"/>
      <c r="L82" s="102"/>
      <c r="M82" s="102"/>
      <c r="N82" s="102"/>
      <c r="O82" s="103"/>
      <c r="P82" s="140"/>
      <c r="Q82" s="141"/>
      <c r="R82" s="141"/>
      <c r="S82" s="142"/>
    </row>
    <row r="83" spans="1:19" ht="18" customHeight="1" x14ac:dyDescent="0.15">
      <c r="A83" s="75"/>
      <c r="B83" s="101"/>
      <c r="C83" s="102"/>
      <c r="D83" s="102"/>
      <c r="E83" s="103"/>
      <c r="F83" s="140"/>
      <c r="G83" s="141"/>
      <c r="H83" s="141"/>
      <c r="I83" s="142"/>
      <c r="J83" s="101"/>
      <c r="K83" s="102"/>
      <c r="L83" s="102"/>
      <c r="M83" s="102"/>
      <c r="N83" s="102"/>
      <c r="O83" s="103"/>
      <c r="P83" s="140"/>
      <c r="Q83" s="141"/>
      <c r="R83" s="141"/>
      <c r="S83" s="142"/>
    </row>
    <row r="84" spans="1:19" ht="18" customHeight="1" x14ac:dyDescent="0.15">
      <c r="A84" s="75"/>
      <c r="B84" s="101"/>
      <c r="C84" s="102"/>
      <c r="D84" s="102"/>
      <c r="E84" s="103"/>
      <c r="F84" s="140"/>
      <c r="G84" s="141"/>
      <c r="H84" s="141"/>
      <c r="I84" s="142"/>
      <c r="J84" s="101"/>
      <c r="K84" s="102"/>
      <c r="L84" s="102"/>
      <c r="M84" s="102"/>
      <c r="N84" s="102"/>
      <c r="O84" s="103"/>
      <c r="P84" s="140"/>
      <c r="Q84" s="141"/>
      <c r="R84" s="141"/>
      <c r="S84" s="142"/>
    </row>
    <row r="85" spans="1:19" ht="18" customHeight="1" x14ac:dyDescent="0.15">
      <c r="A85" s="75"/>
      <c r="B85" s="104"/>
      <c r="C85" s="105"/>
      <c r="D85" s="105"/>
      <c r="E85" s="106"/>
      <c r="F85" s="137"/>
      <c r="G85" s="138"/>
      <c r="H85" s="138"/>
      <c r="I85" s="139"/>
      <c r="J85" s="104"/>
      <c r="K85" s="105"/>
      <c r="L85" s="105"/>
      <c r="M85" s="105"/>
      <c r="N85" s="105"/>
      <c r="O85" s="106"/>
      <c r="P85" s="137"/>
      <c r="Q85" s="138"/>
      <c r="R85" s="138"/>
      <c r="S85" s="139"/>
    </row>
    <row r="86" spans="1:19" ht="18" customHeight="1" x14ac:dyDescent="0.15">
      <c r="A86" s="75"/>
      <c r="B86" s="73"/>
      <c r="C86" s="73"/>
      <c r="D86" s="73"/>
      <c r="E86" s="73"/>
      <c r="F86" s="88"/>
      <c r="G86" s="88"/>
      <c r="H86" s="88"/>
      <c r="I86" s="88"/>
      <c r="J86" s="73"/>
      <c r="K86" s="73"/>
      <c r="L86" s="73"/>
      <c r="M86" s="73"/>
      <c r="N86" s="73"/>
      <c r="O86" s="73"/>
      <c r="P86" s="88"/>
      <c r="Q86" s="88"/>
      <c r="R86" s="88"/>
      <c r="S86" s="88"/>
    </row>
    <row r="87" spans="1:19" ht="18.75" customHeight="1" x14ac:dyDescent="0.15">
      <c r="A87" s="69" t="s">
        <v>120</v>
      </c>
    </row>
    <row r="88" spans="1:19" ht="18.75" customHeight="1" x14ac:dyDescent="0.15">
      <c r="B88" s="169" t="s">
        <v>55</v>
      </c>
      <c r="C88" s="170"/>
      <c r="D88" s="108" t="s">
        <v>56</v>
      </c>
      <c r="E88" s="108"/>
      <c r="F88" s="108"/>
      <c r="G88" s="108"/>
      <c r="H88" s="108"/>
      <c r="I88" s="108"/>
      <c r="J88" s="108"/>
      <c r="K88" s="108"/>
      <c r="L88" s="108"/>
      <c r="M88" s="108"/>
      <c r="N88" s="108"/>
      <c r="O88" s="108"/>
      <c r="P88" s="108"/>
      <c r="Q88" s="108"/>
      <c r="R88" s="108"/>
      <c r="S88" s="109"/>
    </row>
    <row r="89" spans="1:19" ht="142.5" customHeight="1" x14ac:dyDescent="0.15">
      <c r="B89" s="159" t="s">
        <v>62</v>
      </c>
      <c r="C89" s="89" t="s">
        <v>57</v>
      </c>
      <c r="D89" s="166" t="s">
        <v>162</v>
      </c>
      <c r="E89" s="167"/>
      <c r="F89" s="167"/>
      <c r="G89" s="167"/>
      <c r="H89" s="167"/>
      <c r="I89" s="167"/>
      <c r="J89" s="167"/>
      <c r="K89" s="167"/>
      <c r="L89" s="167"/>
      <c r="M89" s="167"/>
      <c r="N89" s="167"/>
      <c r="O89" s="167"/>
      <c r="P89" s="167"/>
      <c r="Q89" s="167"/>
      <c r="R89" s="167"/>
      <c r="S89" s="168"/>
    </row>
    <row r="90" spans="1:19" ht="97.5" customHeight="1" x14ac:dyDescent="0.15">
      <c r="B90" s="161"/>
      <c r="C90" s="90" t="s">
        <v>78</v>
      </c>
      <c r="D90" s="143" t="s">
        <v>163</v>
      </c>
      <c r="E90" s="144"/>
      <c r="F90" s="144"/>
      <c r="G90" s="144"/>
      <c r="H90" s="144"/>
      <c r="I90" s="144"/>
      <c r="J90" s="144"/>
      <c r="K90" s="144"/>
      <c r="L90" s="144"/>
      <c r="M90" s="144"/>
      <c r="N90" s="144"/>
      <c r="O90" s="144"/>
      <c r="P90" s="144"/>
      <c r="Q90" s="144"/>
      <c r="R90" s="144"/>
      <c r="S90" s="145"/>
    </row>
    <row r="91" spans="1:19" ht="97.5" customHeight="1" x14ac:dyDescent="0.15">
      <c r="B91" s="159" t="s">
        <v>63</v>
      </c>
      <c r="C91" s="91" t="s">
        <v>72</v>
      </c>
      <c r="D91" s="146" t="s">
        <v>164</v>
      </c>
      <c r="E91" s="147"/>
      <c r="F91" s="147"/>
      <c r="G91" s="147"/>
      <c r="H91" s="147"/>
      <c r="I91" s="147"/>
      <c r="J91" s="147"/>
      <c r="K91" s="147"/>
      <c r="L91" s="147"/>
      <c r="M91" s="147"/>
      <c r="N91" s="147"/>
      <c r="O91" s="147"/>
      <c r="P91" s="147"/>
      <c r="Q91" s="147"/>
      <c r="R91" s="147"/>
      <c r="S91" s="148"/>
    </row>
    <row r="92" spans="1:19" ht="97.5" customHeight="1" x14ac:dyDescent="0.15">
      <c r="B92" s="160"/>
      <c r="C92" s="92" t="s">
        <v>73</v>
      </c>
      <c r="D92" s="152" t="s">
        <v>165</v>
      </c>
      <c r="E92" s="153"/>
      <c r="F92" s="153"/>
      <c r="G92" s="153"/>
      <c r="H92" s="153"/>
      <c r="I92" s="153"/>
      <c r="J92" s="153"/>
      <c r="K92" s="153"/>
      <c r="L92" s="153"/>
      <c r="M92" s="153"/>
      <c r="N92" s="153"/>
      <c r="O92" s="153"/>
      <c r="P92" s="153"/>
      <c r="Q92" s="153"/>
      <c r="R92" s="153"/>
      <c r="S92" s="154"/>
    </row>
    <row r="93" spans="1:19" ht="165" customHeight="1" x14ac:dyDescent="0.15">
      <c r="B93" s="159" t="s">
        <v>64</v>
      </c>
      <c r="C93" s="91" t="s">
        <v>74</v>
      </c>
      <c r="D93" s="146" t="s">
        <v>166</v>
      </c>
      <c r="E93" s="147"/>
      <c r="F93" s="147"/>
      <c r="G93" s="147"/>
      <c r="H93" s="147"/>
      <c r="I93" s="147"/>
      <c r="J93" s="147"/>
      <c r="K93" s="147"/>
      <c r="L93" s="147"/>
      <c r="M93" s="147"/>
      <c r="N93" s="147"/>
      <c r="O93" s="147"/>
      <c r="P93" s="147"/>
      <c r="Q93" s="147"/>
      <c r="R93" s="147"/>
      <c r="S93" s="148"/>
    </row>
    <row r="94" spans="1:19" ht="97.5" customHeight="1" x14ac:dyDescent="0.15">
      <c r="B94" s="160"/>
      <c r="C94" s="93" t="s">
        <v>75</v>
      </c>
      <c r="D94" s="149" t="s">
        <v>167</v>
      </c>
      <c r="E94" s="150"/>
      <c r="F94" s="150"/>
      <c r="G94" s="150"/>
      <c r="H94" s="150"/>
      <c r="I94" s="150"/>
      <c r="J94" s="150"/>
      <c r="K94" s="150"/>
      <c r="L94" s="150"/>
      <c r="M94" s="150"/>
      <c r="N94" s="150"/>
      <c r="O94" s="150"/>
      <c r="P94" s="150"/>
      <c r="Q94" s="150"/>
      <c r="R94" s="150"/>
      <c r="S94" s="151"/>
    </row>
    <row r="95" spans="1:19" ht="97.5" customHeight="1" x14ac:dyDescent="0.15">
      <c r="B95" s="159" t="s">
        <v>79</v>
      </c>
      <c r="C95" s="89" t="s">
        <v>59</v>
      </c>
      <c r="D95" s="166" t="s">
        <v>168</v>
      </c>
      <c r="E95" s="167"/>
      <c r="F95" s="167"/>
      <c r="G95" s="167"/>
      <c r="H95" s="167"/>
      <c r="I95" s="167"/>
      <c r="J95" s="167"/>
      <c r="K95" s="167"/>
      <c r="L95" s="167"/>
      <c r="M95" s="167"/>
      <c r="N95" s="167"/>
      <c r="O95" s="167"/>
      <c r="P95" s="167"/>
      <c r="Q95" s="167"/>
      <c r="R95" s="167"/>
      <c r="S95" s="168"/>
    </row>
    <row r="96" spans="1:19" ht="97.5" customHeight="1" x14ac:dyDescent="0.15">
      <c r="B96" s="160"/>
      <c r="C96" s="92" t="s">
        <v>61</v>
      </c>
      <c r="D96" s="152" t="s">
        <v>169</v>
      </c>
      <c r="E96" s="152"/>
      <c r="F96" s="152"/>
      <c r="G96" s="152"/>
      <c r="H96" s="152"/>
      <c r="I96" s="152"/>
      <c r="J96" s="152"/>
      <c r="K96" s="152"/>
      <c r="L96" s="152"/>
      <c r="M96" s="152"/>
      <c r="N96" s="152"/>
      <c r="O96" s="152"/>
      <c r="P96" s="152"/>
      <c r="Q96" s="152"/>
      <c r="R96" s="152"/>
      <c r="S96" s="283"/>
    </row>
    <row r="97" spans="1:19" ht="142.5" customHeight="1" x14ac:dyDescent="0.15">
      <c r="B97" s="159" t="s">
        <v>80</v>
      </c>
      <c r="C97" s="91" t="s">
        <v>58</v>
      </c>
      <c r="D97" s="162" t="s">
        <v>170</v>
      </c>
      <c r="E97" s="112"/>
      <c r="F97" s="112"/>
      <c r="G97" s="112"/>
      <c r="H97" s="112"/>
      <c r="I97" s="112"/>
      <c r="J97" s="112"/>
      <c r="K97" s="112"/>
      <c r="L97" s="112"/>
      <c r="M97" s="112"/>
      <c r="N97" s="112"/>
      <c r="O97" s="112"/>
      <c r="P97" s="112"/>
      <c r="Q97" s="112"/>
      <c r="R97" s="112"/>
      <c r="S97" s="113"/>
    </row>
    <row r="98" spans="1:19" ht="97.5" customHeight="1" x14ac:dyDescent="0.15">
      <c r="B98" s="161"/>
      <c r="C98" s="94" t="s">
        <v>76</v>
      </c>
      <c r="D98" s="155" t="s">
        <v>171</v>
      </c>
      <c r="E98" s="102"/>
      <c r="F98" s="102"/>
      <c r="G98" s="102"/>
      <c r="H98" s="102"/>
      <c r="I98" s="102"/>
      <c r="J98" s="102"/>
      <c r="K98" s="102"/>
      <c r="L98" s="102"/>
      <c r="M98" s="102"/>
      <c r="N98" s="102"/>
      <c r="O98" s="102"/>
      <c r="P98" s="102"/>
      <c r="Q98" s="102"/>
      <c r="R98" s="102"/>
      <c r="S98" s="103"/>
    </row>
    <row r="99" spans="1:19" ht="142.5" customHeight="1" x14ac:dyDescent="0.15">
      <c r="B99" s="160"/>
      <c r="C99" s="93" t="s">
        <v>77</v>
      </c>
      <c r="D99" s="163" t="s">
        <v>172</v>
      </c>
      <c r="E99" s="164"/>
      <c r="F99" s="164"/>
      <c r="G99" s="164"/>
      <c r="H99" s="164"/>
      <c r="I99" s="164"/>
      <c r="J99" s="164"/>
      <c r="K99" s="164"/>
      <c r="L99" s="164"/>
      <c r="M99" s="164"/>
      <c r="N99" s="164"/>
      <c r="O99" s="164"/>
      <c r="P99" s="164"/>
      <c r="Q99" s="164"/>
      <c r="R99" s="164"/>
      <c r="S99" s="165"/>
    </row>
    <row r="100" spans="1:19" ht="6" customHeight="1" x14ac:dyDescent="0.15"/>
    <row r="101" spans="1:19" ht="18.75" customHeight="1" x14ac:dyDescent="0.15">
      <c r="A101" s="69" t="s">
        <v>121</v>
      </c>
    </row>
    <row r="102" spans="1:19" ht="81.75" customHeight="1" x14ac:dyDescent="0.15">
      <c r="B102" s="134" t="s">
        <v>159</v>
      </c>
      <c r="C102" s="135"/>
      <c r="D102" s="135"/>
      <c r="E102" s="135"/>
      <c r="F102" s="135"/>
      <c r="G102" s="135"/>
      <c r="H102" s="135"/>
      <c r="I102" s="135"/>
      <c r="J102" s="135"/>
      <c r="K102" s="135"/>
      <c r="L102" s="135"/>
      <c r="M102" s="135"/>
      <c r="N102" s="135"/>
      <c r="O102" s="135"/>
      <c r="P102" s="135"/>
      <c r="Q102" s="135"/>
      <c r="R102" s="135"/>
      <c r="S102" s="136"/>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36:I42 Q25:S31 G47:I53 Q36:S42 G58:I64 Q47:S53 P69:S75 Q58:S64 F69:I75 G25:I31"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Normal="100" zoomScaleSheetLayoutView="100" workbookViewId="0">
      <selection activeCell="A33" sqref="A33:S3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1"/>
      <c r="Q2" s="21"/>
      <c r="W2" s="21"/>
      <c r="AC2" s="21"/>
      <c r="AI2" s="21"/>
      <c r="AL2" s="21" t="s">
        <v>109</v>
      </c>
      <c r="AM2" s="177" t="str">
        <f>'様式１　プログラムを構成する授業科目'!C2</f>
        <v>京都文教大学</v>
      </c>
      <c r="AN2" s="177"/>
      <c r="AO2" s="177"/>
      <c r="AP2" s="177"/>
      <c r="AQ2" s="177"/>
    </row>
    <row r="3" spans="1:45" ht="18" customHeight="1" x14ac:dyDescent="0.15">
      <c r="A3" s="178" t="s">
        <v>48</v>
      </c>
      <c r="B3" s="178"/>
      <c r="C3" s="178"/>
      <c r="D3" s="178"/>
      <c r="E3" s="178"/>
      <c r="F3" s="178"/>
      <c r="G3" s="178"/>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9" t="s">
        <v>141</v>
      </c>
      <c r="D5" s="180"/>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1" t="s">
        <v>45</v>
      </c>
      <c r="C9" s="196" t="s">
        <v>87</v>
      </c>
      <c r="D9" s="184" t="s">
        <v>47</v>
      </c>
      <c r="E9" s="187" t="s">
        <v>40</v>
      </c>
      <c r="F9" s="176" t="s">
        <v>86</v>
      </c>
      <c r="G9" s="176"/>
      <c r="H9" s="176"/>
      <c r="I9" s="176"/>
      <c r="J9" s="176"/>
      <c r="K9" s="176"/>
      <c r="L9" s="176" t="s">
        <v>49</v>
      </c>
      <c r="M9" s="176"/>
      <c r="N9" s="176"/>
      <c r="O9" s="176"/>
      <c r="P9" s="176"/>
      <c r="Q9" s="176"/>
      <c r="R9" s="176" t="s">
        <v>50</v>
      </c>
      <c r="S9" s="176"/>
      <c r="T9" s="176"/>
      <c r="U9" s="176"/>
      <c r="V9" s="176"/>
      <c r="W9" s="176"/>
      <c r="X9" s="176" t="s">
        <v>101</v>
      </c>
      <c r="Y9" s="176"/>
      <c r="Z9" s="176"/>
      <c r="AA9" s="176"/>
      <c r="AB9" s="176"/>
      <c r="AC9" s="176"/>
      <c r="AD9" s="176" t="s">
        <v>51</v>
      </c>
      <c r="AE9" s="176"/>
      <c r="AF9" s="176"/>
      <c r="AG9" s="176"/>
      <c r="AH9" s="176"/>
      <c r="AI9" s="176"/>
      <c r="AJ9" s="176" t="s">
        <v>52</v>
      </c>
      <c r="AK9" s="176"/>
      <c r="AL9" s="176"/>
      <c r="AM9" s="176"/>
      <c r="AN9" s="176"/>
      <c r="AO9" s="176"/>
      <c r="AP9" s="190" t="s">
        <v>35</v>
      </c>
      <c r="AQ9" s="193" t="s">
        <v>32</v>
      </c>
      <c r="AS9" s="2"/>
    </row>
    <row r="10" spans="1:45" ht="16.899999999999999" customHeight="1" x14ac:dyDescent="0.15">
      <c r="B10" s="182"/>
      <c r="C10" s="197"/>
      <c r="D10" s="185"/>
      <c r="E10" s="188"/>
      <c r="F10" s="174" t="s">
        <v>97</v>
      </c>
      <c r="G10" s="175"/>
      <c r="H10" s="175"/>
      <c r="I10" s="174" t="s">
        <v>29</v>
      </c>
      <c r="J10" s="175"/>
      <c r="K10" s="175"/>
      <c r="L10" s="174" t="s">
        <v>97</v>
      </c>
      <c r="M10" s="175"/>
      <c r="N10" s="175"/>
      <c r="O10" s="174" t="s">
        <v>29</v>
      </c>
      <c r="P10" s="175"/>
      <c r="Q10" s="175"/>
      <c r="R10" s="174" t="s">
        <v>97</v>
      </c>
      <c r="S10" s="175"/>
      <c r="T10" s="175"/>
      <c r="U10" s="174" t="s">
        <v>29</v>
      </c>
      <c r="V10" s="175"/>
      <c r="W10" s="175"/>
      <c r="X10" s="174" t="s">
        <v>97</v>
      </c>
      <c r="Y10" s="175"/>
      <c r="Z10" s="175"/>
      <c r="AA10" s="174" t="s">
        <v>29</v>
      </c>
      <c r="AB10" s="175"/>
      <c r="AC10" s="175"/>
      <c r="AD10" s="174" t="s">
        <v>97</v>
      </c>
      <c r="AE10" s="175"/>
      <c r="AF10" s="175"/>
      <c r="AG10" s="174" t="s">
        <v>29</v>
      </c>
      <c r="AH10" s="175"/>
      <c r="AI10" s="175"/>
      <c r="AJ10" s="174" t="s">
        <v>97</v>
      </c>
      <c r="AK10" s="175"/>
      <c r="AL10" s="175"/>
      <c r="AM10" s="174" t="s">
        <v>29</v>
      </c>
      <c r="AN10" s="175"/>
      <c r="AO10" s="175"/>
      <c r="AP10" s="191"/>
      <c r="AQ10" s="194"/>
      <c r="AS10" s="2"/>
    </row>
    <row r="11" spans="1:45" ht="18" customHeight="1" x14ac:dyDescent="0.15">
      <c r="B11" s="183"/>
      <c r="C11" s="198"/>
      <c r="D11" s="186"/>
      <c r="E11" s="189"/>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2"/>
      <c r="AQ11" s="195"/>
      <c r="AS11" s="2"/>
    </row>
    <row r="12" spans="1:45" ht="18" customHeight="1" x14ac:dyDescent="0.15">
      <c r="A12" s="6"/>
      <c r="B12" s="11" t="s">
        <v>138</v>
      </c>
      <c r="C12" s="40">
        <v>909</v>
      </c>
      <c r="D12" s="41">
        <v>200</v>
      </c>
      <c r="E12" s="42">
        <v>804</v>
      </c>
      <c r="F12" s="42">
        <v>30</v>
      </c>
      <c r="G12" s="65"/>
      <c r="H12" s="66"/>
      <c r="I12" s="42">
        <v>27</v>
      </c>
      <c r="J12" s="65"/>
      <c r="K12" s="66"/>
      <c r="L12" s="42">
        <f>M12+N12</f>
        <v>0</v>
      </c>
      <c r="M12" s="43"/>
      <c r="N12" s="44"/>
      <c r="O12" s="42">
        <f>P12+Q12</f>
        <v>0</v>
      </c>
      <c r="P12" s="43"/>
      <c r="Q12" s="44"/>
      <c r="R12" s="42">
        <f>S12+T12</f>
        <v>0</v>
      </c>
      <c r="S12" s="43"/>
      <c r="T12" s="44"/>
      <c r="U12" s="42">
        <f>V12+W12</f>
        <v>0</v>
      </c>
      <c r="V12" s="43"/>
      <c r="W12" s="44"/>
      <c r="X12" s="42">
        <f>Y12+Z12</f>
        <v>0</v>
      </c>
      <c r="Y12" s="43"/>
      <c r="Z12" s="44"/>
      <c r="AA12" s="42">
        <f>AB12+AC12</f>
        <v>0</v>
      </c>
      <c r="AB12" s="43"/>
      <c r="AC12" s="44"/>
      <c r="AD12" s="42">
        <f>AE12+AF12</f>
        <v>0</v>
      </c>
      <c r="AE12" s="43"/>
      <c r="AF12" s="44"/>
      <c r="AG12" s="42">
        <f>AH12+AI12</f>
        <v>0</v>
      </c>
      <c r="AH12" s="43"/>
      <c r="AI12" s="44"/>
      <c r="AJ12" s="42">
        <f>AK12+AL12</f>
        <v>0</v>
      </c>
      <c r="AK12" s="43"/>
      <c r="AL12" s="44"/>
      <c r="AM12" s="42">
        <f>AN12+AO12</f>
        <v>0</v>
      </c>
      <c r="AN12" s="43"/>
      <c r="AO12" s="44"/>
      <c r="AP12" s="41">
        <f>F12+L12+R12+X12+AD12+AJ12</f>
        <v>30</v>
      </c>
      <c r="AQ12" s="64">
        <f t="shared" ref="AQ12:AQ32" si="0">AP12/E12</f>
        <v>3.7313432835820892E-2</v>
      </c>
    </row>
    <row r="13" spans="1:45" ht="18" customHeight="1" x14ac:dyDescent="0.15">
      <c r="A13" s="6"/>
      <c r="B13" s="12" t="s">
        <v>139</v>
      </c>
      <c r="C13" s="45">
        <v>678</v>
      </c>
      <c r="D13" s="46">
        <v>150</v>
      </c>
      <c r="E13" s="47">
        <v>602</v>
      </c>
      <c r="F13" s="48">
        <v>38</v>
      </c>
      <c r="G13" s="67"/>
      <c r="H13" s="68"/>
      <c r="I13" s="48">
        <v>32</v>
      </c>
      <c r="J13" s="67"/>
      <c r="K13" s="68"/>
      <c r="L13" s="48">
        <f t="shared" ref="L13:L31" si="1">M13+N13</f>
        <v>0</v>
      </c>
      <c r="M13" s="49"/>
      <c r="N13" s="50"/>
      <c r="O13" s="48">
        <f t="shared" ref="O13:O31" si="2">P13+Q13</f>
        <v>0</v>
      </c>
      <c r="P13" s="49"/>
      <c r="Q13" s="50"/>
      <c r="R13" s="48">
        <f t="shared" ref="R13:R31" si="3">S13+T13</f>
        <v>0</v>
      </c>
      <c r="S13" s="49"/>
      <c r="T13" s="50"/>
      <c r="U13" s="48">
        <f t="shared" ref="U13:U31" si="4">V13+W13</f>
        <v>0</v>
      </c>
      <c r="V13" s="49"/>
      <c r="W13" s="50"/>
      <c r="X13" s="48">
        <f t="shared" ref="X13:X31" si="5">Y13+Z13</f>
        <v>0</v>
      </c>
      <c r="Y13" s="49"/>
      <c r="Z13" s="50"/>
      <c r="AA13" s="48">
        <f t="shared" ref="AA13:AA31" si="6">AB13+AC13</f>
        <v>0</v>
      </c>
      <c r="AB13" s="49"/>
      <c r="AC13" s="50"/>
      <c r="AD13" s="48">
        <f t="shared" ref="AD13:AD31" si="7">AE13+AF13</f>
        <v>0</v>
      </c>
      <c r="AE13" s="49"/>
      <c r="AF13" s="50"/>
      <c r="AG13" s="48">
        <f t="shared" ref="AG13:AG31" si="8">AH13+AI13</f>
        <v>0</v>
      </c>
      <c r="AH13" s="49"/>
      <c r="AI13" s="50"/>
      <c r="AJ13" s="48">
        <f t="shared" ref="AJ13:AJ31" si="9">AK13+AL13</f>
        <v>0</v>
      </c>
      <c r="AK13" s="49"/>
      <c r="AL13" s="50"/>
      <c r="AM13" s="48">
        <f t="shared" ref="AM13:AM31" si="10">AN13+AO13</f>
        <v>0</v>
      </c>
      <c r="AN13" s="49"/>
      <c r="AO13" s="50"/>
      <c r="AP13" s="46">
        <f t="shared" ref="AP13:AP31" si="11">F13+L13+R13+X13+AD13+AJ13</f>
        <v>38</v>
      </c>
      <c r="AQ13" s="8">
        <f t="shared" si="0"/>
        <v>6.3122923588039864E-2</v>
      </c>
    </row>
    <row r="14" spans="1:45" ht="18" customHeight="1" x14ac:dyDescent="0.15">
      <c r="A14" s="6"/>
      <c r="B14" s="12" t="s">
        <v>140</v>
      </c>
      <c r="C14" s="45">
        <v>290</v>
      </c>
      <c r="D14" s="46">
        <v>90</v>
      </c>
      <c r="E14" s="47">
        <v>364</v>
      </c>
      <c r="F14" s="48">
        <v>28</v>
      </c>
      <c r="G14" s="67"/>
      <c r="H14" s="68"/>
      <c r="I14" s="48">
        <v>28</v>
      </c>
      <c r="J14" s="67"/>
      <c r="K14" s="68"/>
      <c r="L14" s="48">
        <f t="shared" si="1"/>
        <v>0</v>
      </c>
      <c r="M14" s="49"/>
      <c r="N14" s="50"/>
      <c r="O14" s="48">
        <f t="shared" si="2"/>
        <v>0</v>
      </c>
      <c r="P14" s="49"/>
      <c r="Q14" s="50"/>
      <c r="R14" s="48">
        <f t="shared" si="3"/>
        <v>0</v>
      </c>
      <c r="S14" s="49"/>
      <c r="T14" s="50"/>
      <c r="U14" s="48">
        <f t="shared" si="4"/>
        <v>0</v>
      </c>
      <c r="V14" s="49"/>
      <c r="W14" s="50"/>
      <c r="X14" s="48">
        <f t="shared" si="5"/>
        <v>0</v>
      </c>
      <c r="Y14" s="49"/>
      <c r="Z14" s="50"/>
      <c r="AA14" s="48">
        <f t="shared" si="6"/>
        <v>0</v>
      </c>
      <c r="AB14" s="49"/>
      <c r="AC14" s="50"/>
      <c r="AD14" s="48">
        <f t="shared" si="7"/>
        <v>0</v>
      </c>
      <c r="AE14" s="49"/>
      <c r="AF14" s="50"/>
      <c r="AG14" s="48">
        <f t="shared" si="8"/>
        <v>0</v>
      </c>
      <c r="AH14" s="49"/>
      <c r="AI14" s="50"/>
      <c r="AJ14" s="48">
        <f t="shared" si="9"/>
        <v>0</v>
      </c>
      <c r="AK14" s="49"/>
      <c r="AL14" s="50"/>
      <c r="AM14" s="48">
        <f t="shared" si="10"/>
        <v>0</v>
      </c>
      <c r="AN14" s="49"/>
      <c r="AO14" s="50"/>
      <c r="AP14" s="46">
        <f t="shared" si="11"/>
        <v>28</v>
      </c>
      <c r="AQ14" s="8">
        <f t="shared" si="0"/>
        <v>7.6923076923076927E-2</v>
      </c>
    </row>
    <row r="15" spans="1:45" ht="18" customHeight="1" x14ac:dyDescent="0.15">
      <c r="A15" s="6"/>
      <c r="B15" s="12"/>
      <c r="C15" s="45"/>
      <c r="D15" s="46"/>
      <c r="E15" s="47"/>
      <c r="F15" s="48">
        <f t="shared" ref="F15" si="12">G15+H15</f>
        <v>0</v>
      </c>
      <c r="G15" s="49"/>
      <c r="H15" s="50"/>
      <c r="I15" s="48">
        <f t="shared" ref="I15" si="13">J15+K15</f>
        <v>0</v>
      </c>
      <c r="J15" s="49"/>
      <c r="K15" s="50"/>
      <c r="L15" s="48">
        <f t="shared" si="1"/>
        <v>0</v>
      </c>
      <c r="M15" s="49"/>
      <c r="N15" s="50"/>
      <c r="O15" s="48">
        <f t="shared" si="2"/>
        <v>0</v>
      </c>
      <c r="P15" s="49"/>
      <c r="Q15" s="50"/>
      <c r="R15" s="48">
        <f t="shared" si="3"/>
        <v>0</v>
      </c>
      <c r="S15" s="49"/>
      <c r="T15" s="50"/>
      <c r="U15" s="48">
        <f t="shared" si="4"/>
        <v>0</v>
      </c>
      <c r="V15" s="49"/>
      <c r="W15" s="50"/>
      <c r="X15" s="48">
        <f t="shared" si="5"/>
        <v>0</v>
      </c>
      <c r="Y15" s="49"/>
      <c r="Z15" s="50"/>
      <c r="AA15" s="48">
        <f t="shared" si="6"/>
        <v>0</v>
      </c>
      <c r="AB15" s="49"/>
      <c r="AC15" s="50"/>
      <c r="AD15" s="48">
        <f t="shared" si="7"/>
        <v>0</v>
      </c>
      <c r="AE15" s="49"/>
      <c r="AF15" s="50"/>
      <c r="AG15" s="48">
        <f t="shared" si="8"/>
        <v>0</v>
      </c>
      <c r="AH15" s="49"/>
      <c r="AI15" s="50"/>
      <c r="AJ15" s="48">
        <f t="shared" si="9"/>
        <v>0</v>
      </c>
      <c r="AK15" s="49"/>
      <c r="AL15" s="50"/>
      <c r="AM15" s="48">
        <f t="shared" si="10"/>
        <v>0</v>
      </c>
      <c r="AN15" s="49"/>
      <c r="AO15" s="50"/>
      <c r="AP15" s="46">
        <f t="shared" si="11"/>
        <v>0</v>
      </c>
      <c r="AQ15" s="8" t="e">
        <f t="shared" si="0"/>
        <v>#DIV/0!</v>
      </c>
    </row>
    <row r="16" spans="1:45" ht="18" customHeight="1" x14ac:dyDescent="0.15">
      <c r="A16" s="6"/>
      <c r="B16" s="12"/>
      <c r="C16" s="45"/>
      <c r="D16" s="46"/>
      <c r="E16" s="47"/>
      <c r="F16" s="48">
        <f t="shared" ref="F16:F31" si="14">G16+H16</f>
        <v>0</v>
      </c>
      <c r="G16" s="49"/>
      <c r="H16" s="50"/>
      <c r="I16" s="48">
        <f t="shared" ref="I16:I31" si="15">J16+K16</f>
        <v>0</v>
      </c>
      <c r="J16" s="49"/>
      <c r="K16" s="50"/>
      <c r="L16" s="48">
        <f t="shared" si="1"/>
        <v>0</v>
      </c>
      <c r="M16" s="49"/>
      <c r="N16" s="50"/>
      <c r="O16" s="48">
        <f t="shared" si="2"/>
        <v>0</v>
      </c>
      <c r="P16" s="49"/>
      <c r="Q16" s="50"/>
      <c r="R16" s="48">
        <f t="shared" si="3"/>
        <v>0</v>
      </c>
      <c r="S16" s="49"/>
      <c r="T16" s="50"/>
      <c r="U16" s="48">
        <f t="shared" si="4"/>
        <v>0</v>
      </c>
      <c r="V16" s="49"/>
      <c r="W16" s="50"/>
      <c r="X16" s="48">
        <f t="shared" si="5"/>
        <v>0</v>
      </c>
      <c r="Y16" s="49"/>
      <c r="Z16" s="50"/>
      <c r="AA16" s="48">
        <f t="shared" si="6"/>
        <v>0</v>
      </c>
      <c r="AB16" s="49"/>
      <c r="AC16" s="50"/>
      <c r="AD16" s="48">
        <f t="shared" si="7"/>
        <v>0</v>
      </c>
      <c r="AE16" s="49"/>
      <c r="AF16" s="50"/>
      <c r="AG16" s="48">
        <f t="shared" si="8"/>
        <v>0</v>
      </c>
      <c r="AH16" s="49"/>
      <c r="AI16" s="50"/>
      <c r="AJ16" s="48">
        <f t="shared" si="9"/>
        <v>0</v>
      </c>
      <c r="AK16" s="49"/>
      <c r="AL16" s="50"/>
      <c r="AM16" s="48">
        <f t="shared" si="10"/>
        <v>0</v>
      </c>
      <c r="AN16" s="49"/>
      <c r="AO16" s="50"/>
      <c r="AP16" s="46">
        <f t="shared" si="11"/>
        <v>0</v>
      </c>
      <c r="AQ16" s="8" t="e">
        <f t="shared" si="0"/>
        <v>#DIV/0!</v>
      </c>
    </row>
    <row r="17" spans="1:43" ht="18" customHeight="1" x14ac:dyDescent="0.15">
      <c r="A17" s="6"/>
      <c r="B17" s="12"/>
      <c r="C17" s="45"/>
      <c r="D17" s="46"/>
      <c r="E17" s="47"/>
      <c r="F17" s="48">
        <f t="shared" si="14"/>
        <v>0</v>
      </c>
      <c r="G17" s="49"/>
      <c r="H17" s="50"/>
      <c r="I17" s="48">
        <f t="shared" si="15"/>
        <v>0</v>
      </c>
      <c r="J17" s="49"/>
      <c r="K17" s="50"/>
      <c r="L17" s="48">
        <f t="shared" si="1"/>
        <v>0</v>
      </c>
      <c r="M17" s="49"/>
      <c r="N17" s="50"/>
      <c r="O17" s="48">
        <f t="shared" si="2"/>
        <v>0</v>
      </c>
      <c r="P17" s="49"/>
      <c r="Q17" s="50"/>
      <c r="R17" s="48">
        <f t="shared" si="3"/>
        <v>0</v>
      </c>
      <c r="S17" s="49"/>
      <c r="T17" s="50"/>
      <c r="U17" s="48">
        <f t="shared" si="4"/>
        <v>0</v>
      </c>
      <c r="V17" s="49"/>
      <c r="W17" s="50"/>
      <c r="X17" s="48">
        <f t="shared" si="5"/>
        <v>0</v>
      </c>
      <c r="Y17" s="49"/>
      <c r="Z17" s="50"/>
      <c r="AA17" s="48">
        <f t="shared" si="6"/>
        <v>0</v>
      </c>
      <c r="AB17" s="49"/>
      <c r="AC17" s="50"/>
      <c r="AD17" s="48">
        <f t="shared" si="7"/>
        <v>0</v>
      </c>
      <c r="AE17" s="49"/>
      <c r="AF17" s="50"/>
      <c r="AG17" s="48">
        <f t="shared" si="8"/>
        <v>0</v>
      </c>
      <c r="AH17" s="49"/>
      <c r="AI17" s="50"/>
      <c r="AJ17" s="48">
        <f t="shared" si="9"/>
        <v>0</v>
      </c>
      <c r="AK17" s="49"/>
      <c r="AL17" s="50"/>
      <c r="AM17" s="48">
        <f t="shared" si="10"/>
        <v>0</v>
      </c>
      <c r="AN17" s="49"/>
      <c r="AO17" s="50"/>
      <c r="AP17" s="46">
        <f t="shared" si="11"/>
        <v>0</v>
      </c>
      <c r="AQ17" s="8" t="e">
        <f t="shared" si="0"/>
        <v>#DIV/0!</v>
      </c>
    </row>
    <row r="18" spans="1:43" ht="18" customHeight="1" x14ac:dyDescent="0.15">
      <c r="A18" s="6"/>
      <c r="B18" s="12"/>
      <c r="C18" s="45"/>
      <c r="D18" s="46"/>
      <c r="E18" s="47"/>
      <c r="F18" s="48">
        <f t="shared" si="14"/>
        <v>0</v>
      </c>
      <c r="G18" s="49"/>
      <c r="H18" s="50"/>
      <c r="I18" s="48">
        <f t="shared" si="15"/>
        <v>0</v>
      </c>
      <c r="J18" s="49"/>
      <c r="K18" s="50"/>
      <c r="L18" s="48">
        <f t="shared" si="1"/>
        <v>0</v>
      </c>
      <c r="M18" s="49"/>
      <c r="N18" s="50"/>
      <c r="O18" s="48">
        <f t="shared" si="2"/>
        <v>0</v>
      </c>
      <c r="P18" s="49"/>
      <c r="Q18" s="50"/>
      <c r="R18" s="48">
        <f t="shared" si="3"/>
        <v>0</v>
      </c>
      <c r="S18" s="49"/>
      <c r="T18" s="50"/>
      <c r="U18" s="48">
        <f t="shared" si="4"/>
        <v>0</v>
      </c>
      <c r="V18" s="49"/>
      <c r="W18" s="50"/>
      <c r="X18" s="48">
        <f t="shared" si="5"/>
        <v>0</v>
      </c>
      <c r="Y18" s="49"/>
      <c r="Z18" s="50"/>
      <c r="AA18" s="48">
        <f t="shared" si="6"/>
        <v>0</v>
      </c>
      <c r="AB18" s="49"/>
      <c r="AC18" s="50"/>
      <c r="AD18" s="48">
        <f t="shared" si="7"/>
        <v>0</v>
      </c>
      <c r="AE18" s="49"/>
      <c r="AF18" s="50"/>
      <c r="AG18" s="48">
        <f t="shared" si="8"/>
        <v>0</v>
      </c>
      <c r="AH18" s="49"/>
      <c r="AI18" s="50"/>
      <c r="AJ18" s="48">
        <f t="shared" si="9"/>
        <v>0</v>
      </c>
      <c r="AK18" s="49"/>
      <c r="AL18" s="50"/>
      <c r="AM18" s="48">
        <f t="shared" si="10"/>
        <v>0</v>
      </c>
      <c r="AN18" s="49"/>
      <c r="AO18" s="50"/>
      <c r="AP18" s="46">
        <f t="shared" si="11"/>
        <v>0</v>
      </c>
      <c r="AQ18" s="8" t="e">
        <f t="shared" si="0"/>
        <v>#DIV/0!</v>
      </c>
    </row>
    <row r="19" spans="1:43" ht="18" customHeight="1" x14ac:dyDescent="0.15">
      <c r="A19" s="6"/>
      <c r="B19" s="12"/>
      <c r="C19" s="45"/>
      <c r="D19" s="46"/>
      <c r="E19" s="47"/>
      <c r="F19" s="48">
        <f t="shared" si="14"/>
        <v>0</v>
      </c>
      <c r="G19" s="49"/>
      <c r="H19" s="50"/>
      <c r="I19" s="48">
        <f t="shared" si="15"/>
        <v>0</v>
      </c>
      <c r="J19" s="49"/>
      <c r="K19" s="50"/>
      <c r="L19" s="48">
        <f t="shared" si="1"/>
        <v>0</v>
      </c>
      <c r="M19" s="49"/>
      <c r="N19" s="50"/>
      <c r="O19" s="48">
        <f t="shared" si="2"/>
        <v>0</v>
      </c>
      <c r="P19" s="49"/>
      <c r="Q19" s="50"/>
      <c r="R19" s="48">
        <f t="shared" si="3"/>
        <v>0</v>
      </c>
      <c r="S19" s="49"/>
      <c r="T19" s="50"/>
      <c r="U19" s="48">
        <f t="shared" si="4"/>
        <v>0</v>
      </c>
      <c r="V19" s="49"/>
      <c r="W19" s="50"/>
      <c r="X19" s="48">
        <f t="shared" si="5"/>
        <v>0</v>
      </c>
      <c r="Y19" s="49"/>
      <c r="Z19" s="50"/>
      <c r="AA19" s="48">
        <f t="shared" si="6"/>
        <v>0</v>
      </c>
      <c r="AB19" s="49"/>
      <c r="AC19" s="50"/>
      <c r="AD19" s="48">
        <f t="shared" si="7"/>
        <v>0</v>
      </c>
      <c r="AE19" s="49"/>
      <c r="AF19" s="50"/>
      <c r="AG19" s="48">
        <f t="shared" si="8"/>
        <v>0</v>
      </c>
      <c r="AH19" s="49"/>
      <c r="AI19" s="50"/>
      <c r="AJ19" s="48">
        <f t="shared" si="9"/>
        <v>0</v>
      </c>
      <c r="AK19" s="49"/>
      <c r="AL19" s="50"/>
      <c r="AM19" s="48">
        <f t="shared" si="10"/>
        <v>0</v>
      </c>
      <c r="AN19" s="49"/>
      <c r="AO19" s="50"/>
      <c r="AP19" s="46">
        <f t="shared" si="11"/>
        <v>0</v>
      </c>
      <c r="AQ19" s="8" t="e">
        <f t="shared" si="0"/>
        <v>#DIV/0!</v>
      </c>
    </row>
    <row r="20" spans="1:43" ht="18" customHeight="1" x14ac:dyDescent="0.15">
      <c r="A20" s="6"/>
      <c r="B20" s="12"/>
      <c r="C20" s="45"/>
      <c r="D20" s="46"/>
      <c r="E20" s="47"/>
      <c r="F20" s="48">
        <f t="shared" si="14"/>
        <v>0</v>
      </c>
      <c r="G20" s="49"/>
      <c r="H20" s="50"/>
      <c r="I20" s="48">
        <f t="shared" si="15"/>
        <v>0</v>
      </c>
      <c r="J20" s="49"/>
      <c r="K20" s="50"/>
      <c r="L20" s="48">
        <f t="shared" si="1"/>
        <v>0</v>
      </c>
      <c r="M20" s="49"/>
      <c r="N20" s="50"/>
      <c r="O20" s="48">
        <f t="shared" si="2"/>
        <v>0</v>
      </c>
      <c r="P20" s="49"/>
      <c r="Q20" s="50"/>
      <c r="R20" s="48">
        <f t="shared" si="3"/>
        <v>0</v>
      </c>
      <c r="S20" s="49"/>
      <c r="T20" s="50"/>
      <c r="U20" s="48">
        <f t="shared" si="4"/>
        <v>0</v>
      </c>
      <c r="V20" s="49"/>
      <c r="W20" s="50"/>
      <c r="X20" s="48">
        <f t="shared" si="5"/>
        <v>0</v>
      </c>
      <c r="Y20" s="49"/>
      <c r="Z20" s="50"/>
      <c r="AA20" s="48">
        <f t="shared" si="6"/>
        <v>0</v>
      </c>
      <c r="AB20" s="49"/>
      <c r="AC20" s="50"/>
      <c r="AD20" s="48">
        <f t="shared" si="7"/>
        <v>0</v>
      </c>
      <c r="AE20" s="49"/>
      <c r="AF20" s="50"/>
      <c r="AG20" s="48">
        <f t="shared" si="8"/>
        <v>0</v>
      </c>
      <c r="AH20" s="49"/>
      <c r="AI20" s="50"/>
      <c r="AJ20" s="48">
        <f t="shared" si="9"/>
        <v>0</v>
      </c>
      <c r="AK20" s="49"/>
      <c r="AL20" s="50"/>
      <c r="AM20" s="48">
        <f t="shared" si="10"/>
        <v>0</v>
      </c>
      <c r="AN20" s="49"/>
      <c r="AO20" s="50"/>
      <c r="AP20" s="46">
        <f t="shared" si="11"/>
        <v>0</v>
      </c>
      <c r="AQ20" s="8" t="e">
        <f t="shared" si="0"/>
        <v>#DIV/0!</v>
      </c>
    </row>
    <row r="21" spans="1:43" ht="18" customHeight="1" x14ac:dyDescent="0.15">
      <c r="A21" s="6"/>
      <c r="B21" s="12"/>
      <c r="C21" s="45"/>
      <c r="D21" s="46"/>
      <c r="E21" s="47"/>
      <c r="F21" s="48">
        <f t="shared" si="14"/>
        <v>0</v>
      </c>
      <c r="G21" s="49"/>
      <c r="H21" s="50"/>
      <c r="I21" s="48">
        <f t="shared" si="15"/>
        <v>0</v>
      </c>
      <c r="J21" s="49"/>
      <c r="K21" s="50"/>
      <c r="L21" s="48">
        <f t="shared" si="1"/>
        <v>0</v>
      </c>
      <c r="M21" s="49"/>
      <c r="N21" s="50"/>
      <c r="O21" s="48">
        <f t="shared" si="2"/>
        <v>0</v>
      </c>
      <c r="P21" s="49"/>
      <c r="Q21" s="50"/>
      <c r="R21" s="48">
        <f t="shared" si="3"/>
        <v>0</v>
      </c>
      <c r="S21" s="49"/>
      <c r="T21" s="50"/>
      <c r="U21" s="48">
        <f t="shared" si="4"/>
        <v>0</v>
      </c>
      <c r="V21" s="49"/>
      <c r="W21" s="50"/>
      <c r="X21" s="48">
        <f t="shared" si="5"/>
        <v>0</v>
      </c>
      <c r="Y21" s="49"/>
      <c r="Z21" s="50"/>
      <c r="AA21" s="48">
        <f t="shared" si="6"/>
        <v>0</v>
      </c>
      <c r="AB21" s="49"/>
      <c r="AC21" s="50"/>
      <c r="AD21" s="48">
        <f t="shared" si="7"/>
        <v>0</v>
      </c>
      <c r="AE21" s="49"/>
      <c r="AF21" s="50"/>
      <c r="AG21" s="48">
        <f t="shared" si="8"/>
        <v>0</v>
      </c>
      <c r="AH21" s="49"/>
      <c r="AI21" s="50"/>
      <c r="AJ21" s="48">
        <f t="shared" si="9"/>
        <v>0</v>
      </c>
      <c r="AK21" s="49"/>
      <c r="AL21" s="50"/>
      <c r="AM21" s="48">
        <f t="shared" si="10"/>
        <v>0</v>
      </c>
      <c r="AN21" s="49"/>
      <c r="AO21" s="50"/>
      <c r="AP21" s="46">
        <f t="shared" si="11"/>
        <v>0</v>
      </c>
      <c r="AQ21" s="8" t="e">
        <f t="shared" si="0"/>
        <v>#DIV/0!</v>
      </c>
    </row>
    <row r="22" spans="1:43" ht="18" customHeight="1" x14ac:dyDescent="0.15">
      <c r="A22" s="6"/>
      <c r="B22" s="12"/>
      <c r="C22" s="45"/>
      <c r="D22" s="46"/>
      <c r="E22" s="47"/>
      <c r="F22" s="48">
        <f t="shared" si="14"/>
        <v>0</v>
      </c>
      <c r="G22" s="49"/>
      <c r="H22" s="50"/>
      <c r="I22" s="48">
        <f t="shared" si="15"/>
        <v>0</v>
      </c>
      <c r="J22" s="49"/>
      <c r="K22" s="50"/>
      <c r="L22" s="48">
        <f t="shared" si="1"/>
        <v>0</v>
      </c>
      <c r="M22" s="49"/>
      <c r="N22" s="50"/>
      <c r="O22" s="48">
        <f t="shared" si="2"/>
        <v>0</v>
      </c>
      <c r="P22" s="49"/>
      <c r="Q22" s="50"/>
      <c r="R22" s="48">
        <f t="shared" si="3"/>
        <v>0</v>
      </c>
      <c r="S22" s="49"/>
      <c r="T22" s="50"/>
      <c r="U22" s="48">
        <f t="shared" si="4"/>
        <v>0</v>
      </c>
      <c r="V22" s="49"/>
      <c r="W22" s="50"/>
      <c r="X22" s="48">
        <f t="shared" si="5"/>
        <v>0</v>
      </c>
      <c r="Y22" s="49"/>
      <c r="Z22" s="50"/>
      <c r="AA22" s="48">
        <f t="shared" si="6"/>
        <v>0</v>
      </c>
      <c r="AB22" s="49"/>
      <c r="AC22" s="50"/>
      <c r="AD22" s="48">
        <f t="shared" si="7"/>
        <v>0</v>
      </c>
      <c r="AE22" s="49"/>
      <c r="AF22" s="50"/>
      <c r="AG22" s="48">
        <f t="shared" si="8"/>
        <v>0</v>
      </c>
      <c r="AH22" s="49"/>
      <c r="AI22" s="50"/>
      <c r="AJ22" s="48">
        <f t="shared" si="9"/>
        <v>0</v>
      </c>
      <c r="AK22" s="49"/>
      <c r="AL22" s="50"/>
      <c r="AM22" s="48">
        <f t="shared" si="10"/>
        <v>0</v>
      </c>
      <c r="AN22" s="49"/>
      <c r="AO22" s="50"/>
      <c r="AP22" s="46">
        <f t="shared" si="11"/>
        <v>0</v>
      </c>
      <c r="AQ22" s="8" t="e">
        <f t="shared" si="0"/>
        <v>#DIV/0!</v>
      </c>
    </row>
    <row r="23" spans="1:43" ht="18" customHeight="1" x14ac:dyDescent="0.15">
      <c r="A23" s="6"/>
      <c r="B23" s="12"/>
      <c r="C23" s="45"/>
      <c r="D23" s="46"/>
      <c r="E23" s="47"/>
      <c r="F23" s="48">
        <f t="shared" si="14"/>
        <v>0</v>
      </c>
      <c r="G23" s="49"/>
      <c r="H23" s="50"/>
      <c r="I23" s="48">
        <f t="shared" si="15"/>
        <v>0</v>
      </c>
      <c r="J23" s="49"/>
      <c r="K23" s="50"/>
      <c r="L23" s="48">
        <f t="shared" si="1"/>
        <v>0</v>
      </c>
      <c r="M23" s="49"/>
      <c r="N23" s="50"/>
      <c r="O23" s="48">
        <f t="shared" si="2"/>
        <v>0</v>
      </c>
      <c r="P23" s="49"/>
      <c r="Q23" s="50"/>
      <c r="R23" s="48">
        <f t="shared" si="3"/>
        <v>0</v>
      </c>
      <c r="S23" s="49"/>
      <c r="T23" s="50"/>
      <c r="U23" s="48">
        <f t="shared" si="4"/>
        <v>0</v>
      </c>
      <c r="V23" s="49"/>
      <c r="W23" s="50"/>
      <c r="X23" s="48">
        <f t="shared" si="5"/>
        <v>0</v>
      </c>
      <c r="Y23" s="49"/>
      <c r="Z23" s="50"/>
      <c r="AA23" s="48">
        <f t="shared" si="6"/>
        <v>0</v>
      </c>
      <c r="AB23" s="49"/>
      <c r="AC23" s="50"/>
      <c r="AD23" s="48">
        <f t="shared" si="7"/>
        <v>0</v>
      </c>
      <c r="AE23" s="49"/>
      <c r="AF23" s="50"/>
      <c r="AG23" s="48">
        <f t="shared" si="8"/>
        <v>0</v>
      </c>
      <c r="AH23" s="49"/>
      <c r="AI23" s="50"/>
      <c r="AJ23" s="48">
        <f t="shared" si="9"/>
        <v>0</v>
      </c>
      <c r="AK23" s="49"/>
      <c r="AL23" s="50"/>
      <c r="AM23" s="48">
        <f t="shared" si="10"/>
        <v>0</v>
      </c>
      <c r="AN23" s="49"/>
      <c r="AO23" s="50"/>
      <c r="AP23" s="46">
        <f t="shared" si="11"/>
        <v>0</v>
      </c>
      <c r="AQ23" s="8" t="e">
        <f t="shared" si="0"/>
        <v>#DIV/0!</v>
      </c>
    </row>
    <row r="24" spans="1:43" ht="18" customHeight="1" x14ac:dyDescent="0.15">
      <c r="A24" s="6"/>
      <c r="B24" s="12"/>
      <c r="C24" s="45"/>
      <c r="D24" s="46"/>
      <c r="E24" s="47"/>
      <c r="F24" s="48">
        <f t="shared" si="14"/>
        <v>0</v>
      </c>
      <c r="G24" s="49"/>
      <c r="H24" s="50"/>
      <c r="I24" s="48">
        <f t="shared" si="15"/>
        <v>0</v>
      </c>
      <c r="J24" s="49"/>
      <c r="K24" s="50"/>
      <c r="L24" s="48">
        <f t="shared" si="1"/>
        <v>0</v>
      </c>
      <c r="M24" s="49"/>
      <c r="N24" s="50"/>
      <c r="O24" s="48">
        <f t="shared" si="2"/>
        <v>0</v>
      </c>
      <c r="P24" s="49"/>
      <c r="Q24" s="50"/>
      <c r="R24" s="48">
        <f t="shared" si="3"/>
        <v>0</v>
      </c>
      <c r="S24" s="49"/>
      <c r="T24" s="50"/>
      <c r="U24" s="48">
        <f t="shared" si="4"/>
        <v>0</v>
      </c>
      <c r="V24" s="49"/>
      <c r="W24" s="50"/>
      <c r="X24" s="48">
        <f t="shared" si="5"/>
        <v>0</v>
      </c>
      <c r="Y24" s="49"/>
      <c r="Z24" s="50"/>
      <c r="AA24" s="48">
        <f t="shared" si="6"/>
        <v>0</v>
      </c>
      <c r="AB24" s="49"/>
      <c r="AC24" s="50"/>
      <c r="AD24" s="48">
        <f t="shared" si="7"/>
        <v>0</v>
      </c>
      <c r="AE24" s="49"/>
      <c r="AF24" s="50"/>
      <c r="AG24" s="48">
        <f t="shared" si="8"/>
        <v>0</v>
      </c>
      <c r="AH24" s="49"/>
      <c r="AI24" s="50"/>
      <c r="AJ24" s="48">
        <f t="shared" si="9"/>
        <v>0</v>
      </c>
      <c r="AK24" s="49"/>
      <c r="AL24" s="50"/>
      <c r="AM24" s="48">
        <f t="shared" si="10"/>
        <v>0</v>
      </c>
      <c r="AN24" s="49"/>
      <c r="AO24" s="50"/>
      <c r="AP24" s="46">
        <f t="shared" si="11"/>
        <v>0</v>
      </c>
      <c r="AQ24" s="8" t="e">
        <f t="shared" si="0"/>
        <v>#DIV/0!</v>
      </c>
    </row>
    <row r="25" spans="1:43" ht="18" customHeight="1" x14ac:dyDescent="0.15">
      <c r="A25" s="6"/>
      <c r="B25" s="12"/>
      <c r="C25" s="45"/>
      <c r="D25" s="46"/>
      <c r="E25" s="47"/>
      <c r="F25" s="48">
        <f t="shared" si="14"/>
        <v>0</v>
      </c>
      <c r="G25" s="49"/>
      <c r="H25" s="50"/>
      <c r="I25" s="48">
        <f t="shared" si="15"/>
        <v>0</v>
      </c>
      <c r="J25" s="49"/>
      <c r="K25" s="50"/>
      <c r="L25" s="48">
        <f t="shared" si="1"/>
        <v>0</v>
      </c>
      <c r="M25" s="49"/>
      <c r="N25" s="50"/>
      <c r="O25" s="48">
        <f t="shared" si="2"/>
        <v>0</v>
      </c>
      <c r="P25" s="49"/>
      <c r="Q25" s="50"/>
      <c r="R25" s="48">
        <f t="shared" si="3"/>
        <v>0</v>
      </c>
      <c r="S25" s="49"/>
      <c r="T25" s="50"/>
      <c r="U25" s="48">
        <f t="shared" si="4"/>
        <v>0</v>
      </c>
      <c r="V25" s="49"/>
      <c r="W25" s="50"/>
      <c r="X25" s="48">
        <f t="shared" si="5"/>
        <v>0</v>
      </c>
      <c r="Y25" s="49"/>
      <c r="Z25" s="50"/>
      <c r="AA25" s="48">
        <f t="shared" si="6"/>
        <v>0</v>
      </c>
      <c r="AB25" s="49"/>
      <c r="AC25" s="50"/>
      <c r="AD25" s="48">
        <f t="shared" si="7"/>
        <v>0</v>
      </c>
      <c r="AE25" s="49"/>
      <c r="AF25" s="50"/>
      <c r="AG25" s="48">
        <f t="shared" si="8"/>
        <v>0</v>
      </c>
      <c r="AH25" s="49"/>
      <c r="AI25" s="50"/>
      <c r="AJ25" s="48">
        <f t="shared" si="9"/>
        <v>0</v>
      </c>
      <c r="AK25" s="49"/>
      <c r="AL25" s="50"/>
      <c r="AM25" s="48">
        <f t="shared" si="10"/>
        <v>0</v>
      </c>
      <c r="AN25" s="49"/>
      <c r="AO25" s="50"/>
      <c r="AP25" s="46">
        <f t="shared" si="11"/>
        <v>0</v>
      </c>
      <c r="AQ25" s="8" t="e">
        <f t="shared" si="0"/>
        <v>#DIV/0!</v>
      </c>
    </row>
    <row r="26" spans="1:43" ht="18" customHeight="1" x14ac:dyDescent="0.15">
      <c r="A26" s="6"/>
      <c r="B26" s="12"/>
      <c r="C26" s="45"/>
      <c r="D26" s="46"/>
      <c r="E26" s="47"/>
      <c r="F26" s="48">
        <f t="shared" si="14"/>
        <v>0</v>
      </c>
      <c r="G26" s="49"/>
      <c r="H26" s="50"/>
      <c r="I26" s="48">
        <f t="shared" si="15"/>
        <v>0</v>
      </c>
      <c r="J26" s="49"/>
      <c r="K26" s="50"/>
      <c r="L26" s="48">
        <f t="shared" si="1"/>
        <v>0</v>
      </c>
      <c r="M26" s="49"/>
      <c r="N26" s="50"/>
      <c r="O26" s="48">
        <f t="shared" si="2"/>
        <v>0</v>
      </c>
      <c r="P26" s="49"/>
      <c r="Q26" s="50"/>
      <c r="R26" s="48">
        <f t="shared" si="3"/>
        <v>0</v>
      </c>
      <c r="S26" s="49"/>
      <c r="T26" s="50"/>
      <c r="U26" s="48">
        <f t="shared" si="4"/>
        <v>0</v>
      </c>
      <c r="V26" s="49"/>
      <c r="W26" s="50"/>
      <c r="X26" s="48">
        <f t="shared" si="5"/>
        <v>0</v>
      </c>
      <c r="Y26" s="49"/>
      <c r="Z26" s="50"/>
      <c r="AA26" s="48">
        <f t="shared" si="6"/>
        <v>0</v>
      </c>
      <c r="AB26" s="49"/>
      <c r="AC26" s="50"/>
      <c r="AD26" s="48">
        <f t="shared" si="7"/>
        <v>0</v>
      </c>
      <c r="AE26" s="49"/>
      <c r="AF26" s="50"/>
      <c r="AG26" s="48">
        <f t="shared" si="8"/>
        <v>0</v>
      </c>
      <c r="AH26" s="49"/>
      <c r="AI26" s="50"/>
      <c r="AJ26" s="48">
        <f t="shared" si="9"/>
        <v>0</v>
      </c>
      <c r="AK26" s="49"/>
      <c r="AL26" s="50"/>
      <c r="AM26" s="48">
        <f t="shared" si="10"/>
        <v>0</v>
      </c>
      <c r="AN26" s="49"/>
      <c r="AO26" s="50"/>
      <c r="AP26" s="46">
        <f t="shared" si="11"/>
        <v>0</v>
      </c>
      <c r="AQ26" s="8" t="e">
        <f t="shared" si="0"/>
        <v>#DIV/0!</v>
      </c>
    </row>
    <row r="27" spans="1:43" ht="18" customHeight="1" x14ac:dyDescent="0.15">
      <c r="A27" s="6"/>
      <c r="B27" s="12"/>
      <c r="C27" s="45"/>
      <c r="D27" s="46"/>
      <c r="E27" s="47"/>
      <c r="F27" s="48">
        <f t="shared" si="14"/>
        <v>0</v>
      </c>
      <c r="G27" s="49"/>
      <c r="H27" s="50"/>
      <c r="I27" s="48">
        <f t="shared" si="15"/>
        <v>0</v>
      </c>
      <c r="J27" s="49"/>
      <c r="K27" s="50"/>
      <c r="L27" s="48">
        <f t="shared" si="1"/>
        <v>0</v>
      </c>
      <c r="M27" s="49"/>
      <c r="N27" s="50"/>
      <c r="O27" s="48">
        <f t="shared" si="2"/>
        <v>0</v>
      </c>
      <c r="P27" s="49"/>
      <c r="Q27" s="50"/>
      <c r="R27" s="48">
        <f t="shared" si="3"/>
        <v>0</v>
      </c>
      <c r="S27" s="49"/>
      <c r="T27" s="50"/>
      <c r="U27" s="48">
        <f t="shared" si="4"/>
        <v>0</v>
      </c>
      <c r="V27" s="49"/>
      <c r="W27" s="50"/>
      <c r="X27" s="48">
        <f t="shared" si="5"/>
        <v>0</v>
      </c>
      <c r="Y27" s="49"/>
      <c r="Z27" s="50"/>
      <c r="AA27" s="48">
        <f t="shared" si="6"/>
        <v>0</v>
      </c>
      <c r="AB27" s="49"/>
      <c r="AC27" s="50"/>
      <c r="AD27" s="48">
        <f t="shared" si="7"/>
        <v>0</v>
      </c>
      <c r="AE27" s="49"/>
      <c r="AF27" s="50"/>
      <c r="AG27" s="48">
        <f t="shared" si="8"/>
        <v>0</v>
      </c>
      <c r="AH27" s="49"/>
      <c r="AI27" s="50"/>
      <c r="AJ27" s="48">
        <f t="shared" si="9"/>
        <v>0</v>
      </c>
      <c r="AK27" s="49"/>
      <c r="AL27" s="50"/>
      <c r="AM27" s="48">
        <f t="shared" si="10"/>
        <v>0</v>
      </c>
      <c r="AN27" s="49"/>
      <c r="AO27" s="50"/>
      <c r="AP27" s="46">
        <f t="shared" si="11"/>
        <v>0</v>
      </c>
      <c r="AQ27" s="8" t="e">
        <f t="shared" si="0"/>
        <v>#DIV/0!</v>
      </c>
    </row>
    <row r="28" spans="1:43" ht="18" customHeight="1" x14ac:dyDescent="0.15">
      <c r="A28" s="6"/>
      <c r="B28" s="12"/>
      <c r="C28" s="45"/>
      <c r="D28" s="46"/>
      <c r="E28" s="47"/>
      <c r="F28" s="48">
        <f t="shared" si="14"/>
        <v>0</v>
      </c>
      <c r="G28" s="49"/>
      <c r="H28" s="50"/>
      <c r="I28" s="48">
        <f t="shared" si="15"/>
        <v>0</v>
      </c>
      <c r="J28" s="49"/>
      <c r="K28" s="50"/>
      <c r="L28" s="48">
        <f t="shared" si="1"/>
        <v>0</v>
      </c>
      <c r="M28" s="49"/>
      <c r="N28" s="50"/>
      <c r="O28" s="48">
        <f t="shared" si="2"/>
        <v>0</v>
      </c>
      <c r="P28" s="49"/>
      <c r="Q28" s="50"/>
      <c r="R28" s="48">
        <f t="shared" si="3"/>
        <v>0</v>
      </c>
      <c r="S28" s="49"/>
      <c r="T28" s="50"/>
      <c r="U28" s="48">
        <f t="shared" si="4"/>
        <v>0</v>
      </c>
      <c r="V28" s="49"/>
      <c r="W28" s="50"/>
      <c r="X28" s="48">
        <f t="shared" si="5"/>
        <v>0</v>
      </c>
      <c r="Y28" s="49"/>
      <c r="Z28" s="50"/>
      <c r="AA28" s="48">
        <f t="shared" si="6"/>
        <v>0</v>
      </c>
      <c r="AB28" s="49"/>
      <c r="AC28" s="50"/>
      <c r="AD28" s="48">
        <f t="shared" si="7"/>
        <v>0</v>
      </c>
      <c r="AE28" s="49"/>
      <c r="AF28" s="50"/>
      <c r="AG28" s="48">
        <f t="shared" si="8"/>
        <v>0</v>
      </c>
      <c r="AH28" s="49"/>
      <c r="AI28" s="50"/>
      <c r="AJ28" s="48">
        <f t="shared" si="9"/>
        <v>0</v>
      </c>
      <c r="AK28" s="49"/>
      <c r="AL28" s="50"/>
      <c r="AM28" s="48">
        <f t="shared" si="10"/>
        <v>0</v>
      </c>
      <c r="AN28" s="49"/>
      <c r="AO28" s="50"/>
      <c r="AP28" s="46">
        <f t="shared" si="11"/>
        <v>0</v>
      </c>
      <c r="AQ28" s="8" t="e">
        <f t="shared" si="0"/>
        <v>#DIV/0!</v>
      </c>
    </row>
    <row r="29" spans="1:43" ht="18" customHeight="1" x14ac:dyDescent="0.15">
      <c r="A29" s="6"/>
      <c r="B29" s="12"/>
      <c r="C29" s="45"/>
      <c r="D29" s="51"/>
      <c r="E29" s="47"/>
      <c r="F29" s="48">
        <f t="shared" si="14"/>
        <v>0</v>
      </c>
      <c r="G29" s="49"/>
      <c r="H29" s="50"/>
      <c r="I29" s="48">
        <f t="shared" si="15"/>
        <v>0</v>
      </c>
      <c r="J29" s="49"/>
      <c r="K29" s="50"/>
      <c r="L29" s="48">
        <f t="shared" si="1"/>
        <v>0</v>
      </c>
      <c r="M29" s="49"/>
      <c r="N29" s="50"/>
      <c r="O29" s="48">
        <f t="shared" si="2"/>
        <v>0</v>
      </c>
      <c r="P29" s="49"/>
      <c r="Q29" s="50"/>
      <c r="R29" s="48">
        <f t="shared" si="3"/>
        <v>0</v>
      </c>
      <c r="S29" s="49"/>
      <c r="T29" s="50"/>
      <c r="U29" s="48">
        <f t="shared" si="4"/>
        <v>0</v>
      </c>
      <c r="V29" s="49"/>
      <c r="W29" s="50"/>
      <c r="X29" s="48">
        <f t="shared" si="5"/>
        <v>0</v>
      </c>
      <c r="Y29" s="49"/>
      <c r="Z29" s="50"/>
      <c r="AA29" s="48">
        <f t="shared" si="6"/>
        <v>0</v>
      </c>
      <c r="AB29" s="49"/>
      <c r="AC29" s="50"/>
      <c r="AD29" s="48">
        <f t="shared" si="7"/>
        <v>0</v>
      </c>
      <c r="AE29" s="49"/>
      <c r="AF29" s="50"/>
      <c r="AG29" s="48">
        <f t="shared" si="8"/>
        <v>0</v>
      </c>
      <c r="AH29" s="49"/>
      <c r="AI29" s="50"/>
      <c r="AJ29" s="48">
        <f t="shared" si="9"/>
        <v>0</v>
      </c>
      <c r="AK29" s="49"/>
      <c r="AL29" s="50"/>
      <c r="AM29" s="48">
        <f t="shared" si="10"/>
        <v>0</v>
      </c>
      <c r="AN29" s="49"/>
      <c r="AO29" s="50"/>
      <c r="AP29" s="51">
        <f t="shared" si="11"/>
        <v>0</v>
      </c>
      <c r="AQ29" s="8" t="e">
        <f t="shared" si="0"/>
        <v>#DIV/0!</v>
      </c>
    </row>
    <row r="30" spans="1:43" ht="18" customHeight="1" x14ac:dyDescent="0.15">
      <c r="A30" s="6"/>
      <c r="B30" s="12"/>
      <c r="C30" s="45"/>
      <c r="D30" s="51"/>
      <c r="E30" s="47"/>
      <c r="F30" s="48">
        <f t="shared" si="14"/>
        <v>0</v>
      </c>
      <c r="G30" s="49"/>
      <c r="H30" s="50"/>
      <c r="I30" s="48">
        <f t="shared" si="15"/>
        <v>0</v>
      </c>
      <c r="J30" s="49"/>
      <c r="K30" s="50"/>
      <c r="L30" s="48">
        <f t="shared" si="1"/>
        <v>0</v>
      </c>
      <c r="M30" s="49"/>
      <c r="N30" s="50"/>
      <c r="O30" s="48">
        <f t="shared" si="2"/>
        <v>0</v>
      </c>
      <c r="P30" s="49"/>
      <c r="Q30" s="50"/>
      <c r="R30" s="48">
        <f t="shared" si="3"/>
        <v>0</v>
      </c>
      <c r="S30" s="49"/>
      <c r="T30" s="50"/>
      <c r="U30" s="48">
        <f t="shared" si="4"/>
        <v>0</v>
      </c>
      <c r="V30" s="49"/>
      <c r="W30" s="50"/>
      <c r="X30" s="48">
        <f t="shared" si="5"/>
        <v>0</v>
      </c>
      <c r="Y30" s="49"/>
      <c r="Z30" s="50"/>
      <c r="AA30" s="48">
        <f t="shared" si="6"/>
        <v>0</v>
      </c>
      <c r="AB30" s="49"/>
      <c r="AC30" s="50"/>
      <c r="AD30" s="48">
        <f t="shared" si="7"/>
        <v>0</v>
      </c>
      <c r="AE30" s="49"/>
      <c r="AF30" s="50"/>
      <c r="AG30" s="48">
        <f t="shared" si="8"/>
        <v>0</v>
      </c>
      <c r="AH30" s="49"/>
      <c r="AI30" s="50"/>
      <c r="AJ30" s="48">
        <f t="shared" si="9"/>
        <v>0</v>
      </c>
      <c r="AK30" s="49"/>
      <c r="AL30" s="50"/>
      <c r="AM30" s="48">
        <f t="shared" si="10"/>
        <v>0</v>
      </c>
      <c r="AN30" s="49"/>
      <c r="AO30" s="50"/>
      <c r="AP30" s="51">
        <f t="shared" si="11"/>
        <v>0</v>
      </c>
      <c r="AQ30" s="8" t="e">
        <f t="shared" si="0"/>
        <v>#DIV/0!</v>
      </c>
    </row>
    <row r="31" spans="1:43" ht="18" customHeight="1" thickBot="1" x14ac:dyDescent="0.2">
      <c r="A31" s="6"/>
      <c r="B31" s="13"/>
      <c r="C31" s="40"/>
      <c r="D31" s="52"/>
      <c r="E31" s="42"/>
      <c r="F31" s="42">
        <f t="shared" si="14"/>
        <v>0</v>
      </c>
      <c r="G31" s="53"/>
      <c r="H31" s="54"/>
      <c r="I31" s="42">
        <f t="shared" si="15"/>
        <v>0</v>
      </c>
      <c r="J31" s="53"/>
      <c r="K31" s="54"/>
      <c r="L31" s="42">
        <f t="shared" si="1"/>
        <v>0</v>
      </c>
      <c r="M31" s="53"/>
      <c r="N31" s="54"/>
      <c r="O31" s="42">
        <f t="shared" si="2"/>
        <v>0</v>
      </c>
      <c r="P31" s="53"/>
      <c r="Q31" s="54"/>
      <c r="R31" s="42">
        <f t="shared" si="3"/>
        <v>0</v>
      </c>
      <c r="S31" s="53"/>
      <c r="T31" s="54"/>
      <c r="U31" s="42">
        <f t="shared" si="4"/>
        <v>0</v>
      </c>
      <c r="V31" s="53"/>
      <c r="W31" s="54"/>
      <c r="X31" s="42">
        <f t="shared" si="5"/>
        <v>0</v>
      </c>
      <c r="Y31" s="53"/>
      <c r="Z31" s="54"/>
      <c r="AA31" s="42">
        <f t="shared" si="6"/>
        <v>0</v>
      </c>
      <c r="AB31" s="53"/>
      <c r="AC31" s="54"/>
      <c r="AD31" s="42">
        <f t="shared" si="7"/>
        <v>0</v>
      </c>
      <c r="AE31" s="53"/>
      <c r="AF31" s="54"/>
      <c r="AG31" s="42">
        <f t="shared" si="8"/>
        <v>0</v>
      </c>
      <c r="AH31" s="53"/>
      <c r="AI31" s="54"/>
      <c r="AJ31" s="42">
        <f t="shared" si="9"/>
        <v>0</v>
      </c>
      <c r="AK31" s="53"/>
      <c r="AL31" s="54"/>
      <c r="AM31" s="42">
        <f t="shared" si="10"/>
        <v>0</v>
      </c>
      <c r="AN31" s="53"/>
      <c r="AO31" s="54"/>
      <c r="AP31" s="52">
        <f t="shared" si="11"/>
        <v>0</v>
      </c>
      <c r="AQ31" s="7" t="e">
        <f t="shared" si="0"/>
        <v>#DIV/0!</v>
      </c>
    </row>
    <row r="32" spans="1:43" ht="18" customHeight="1" thickTop="1" x14ac:dyDescent="0.15">
      <c r="B32" s="14" t="s">
        <v>33</v>
      </c>
      <c r="C32" s="55">
        <f t="shared" ref="C32" si="16">SUM(C12:C31)</f>
        <v>1877</v>
      </c>
      <c r="D32" s="56">
        <f t="shared" ref="D32:AP32" si="17">SUM(D12:D31)</f>
        <v>440</v>
      </c>
      <c r="E32" s="57">
        <f t="shared" si="17"/>
        <v>1770</v>
      </c>
      <c r="F32" s="57">
        <f t="shared" si="17"/>
        <v>96</v>
      </c>
      <c r="G32" s="58">
        <f t="shared" si="17"/>
        <v>0</v>
      </c>
      <c r="H32" s="59">
        <f t="shared" si="17"/>
        <v>0</v>
      </c>
      <c r="I32" s="57">
        <f t="shared" ref="I32:N32" si="18">SUM(I12:I31)</f>
        <v>87</v>
      </c>
      <c r="J32" s="58">
        <f t="shared" si="18"/>
        <v>0</v>
      </c>
      <c r="K32" s="59">
        <f t="shared" si="18"/>
        <v>0</v>
      </c>
      <c r="L32" s="57">
        <f t="shared" si="18"/>
        <v>0</v>
      </c>
      <c r="M32" s="58">
        <f t="shared" si="18"/>
        <v>0</v>
      </c>
      <c r="N32" s="59">
        <f t="shared" si="18"/>
        <v>0</v>
      </c>
      <c r="O32" s="57">
        <f t="shared" ref="O32:T32" si="19">SUM(O12:O31)</f>
        <v>0</v>
      </c>
      <c r="P32" s="58">
        <f t="shared" si="19"/>
        <v>0</v>
      </c>
      <c r="Q32" s="59">
        <f t="shared" si="19"/>
        <v>0</v>
      </c>
      <c r="R32" s="57">
        <f t="shared" si="19"/>
        <v>0</v>
      </c>
      <c r="S32" s="58">
        <f t="shared" si="19"/>
        <v>0</v>
      </c>
      <c r="T32" s="59">
        <f t="shared" si="19"/>
        <v>0</v>
      </c>
      <c r="U32" s="57">
        <f t="shared" ref="U32:AI32" si="20">SUM(U12:U31)</f>
        <v>0</v>
      </c>
      <c r="V32" s="58">
        <f t="shared" si="20"/>
        <v>0</v>
      </c>
      <c r="W32" s="59">
        <f t="shared" si="20"/>
        <v>0</v>
      </c>
      <c r="X32" s="57">
        <f t="shared" si="20"/>
        <v>0</v>
      </c>
      <c r="Y32" s="58">
        <f t="shared" si="20"/>
        <v>0</v>
      </c>
      <c r="Z32" s="59">
        <f t="shared" si="20"/>
        <v>0</v>
      </c>
      <c r="AA32" s="57">
        <f t="shared" si="20"/>
        <v>0</v>
      </c>
      <c r="AB32" s="58">
        <f t="shared" si="20"/>
        <v>0</v>
      </c>
      <c r="AC32" s="59">
        <f t="shared" si="20"/>
        <v>0</v>
      </c>
      <c r="AD32" s="57">
        <f t="shared" si="20"/>
        <v>0</v>
      </c>
      <c r="AE32" s="58">
        <f t="shared" si="20"/>
        <v>0</v>
      </c>
      <c r="AF32" s="59">
        <f t="shared" si="20"/>
        <v>0</v>
      </c>
      <c r="AG32" s="57">
        <f t="shared" si="20"/>
        <v>0</v>
      </c>
      <c r="AH32" s="58">
        <f t="shared" si="20"/>
        <v>0</v>
      </c>
      <c r="AI32" s="59">
        <f t="shared" si="20"/>
        <v>0</v>
      </c>
      <c r="AJ32" s="57">
        <f t="shared" ref="AJ32:AO32" si="21">SUM(AJ12:AJ31)</f>
        <v>0</v>
      </c>
      <c r="AK32" s="58">
        <f t="shared" si="21"/>
        <v>0</v>
      </c>
      <c r="AL32" s="59">
        <f t="shared" si="21"/>
        <v>0</v>
      </c>
      <c r="AM32" s="57">
        <f t="shared" si="21"/>
        <v>0</v>
      </c>
      <c r="AN32" s="58">
        <f t="shared" si="21"/>
        <v>0</v>
      </c>
      <c r="AO32" s="59">
        <f t="shared" si="21"/>
        <v>0</v>
      </c>
      <c r="AP32" s="56">
        <f t="shared" si="17"/>
        <v>96</v>
      </c>
      <c r="AQ32" s="9">
        <f t="shared" si="0"/>
        <v>5.4237288135593219E-2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34"/>
  <sheetViews>
    <sheetView showZeros="0" view="pageBreakPreview" topLeftCell="A16" zoomScaleNormal="100" zoomScaleSheetLayoutView="100" workbookViewId="0">
      <selection activeCell="B47" sqref="B47"/>
    </sheetView>
  </sheetViews>
  <sheetFormatPr defaultColWidth="11.375" defaultRowHeight="18.75" customHeight="1" x14ac:dyDescent="0.15"/>
  <cols>
    <col min="1" max="1" width="2.75" style="23"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3" t="s">
        <v>65</v>
      </c>
      <c r="I1" s="21" t="s">
        <v>106</v>
      </c>
    </row>
    <row r="2" spans="1:9" ht="18.75" customHeight="1" x14ac:dyDescent="0.15">
      <c r="G2" s="21" t="s">
        <v>109</v>
      </c>
      <c r="H2" s="229" t="str">
        <f>'様式１　プログラムを構成する授業科目'!C2</f>
        <v>京都文教大学</v>
      </c>
      <c r="I2" s="230"/>
    </row>
    <row r="3" spans="1:9" ht="18.75" customHeight="1" x14ac:dyDescent="0.15">
      <c r="C3" s="1" t="s">
        <v>130</v>
      </c>
      <c r="G3" s="21"/>
      <c r="H3" s="10"/>
      <c r="I3" s="10"/>
    </row>
    <row r="4" spans="1:9" ht="18.600000000000001" customHeight="1" x14ac:dyDescent="0.15">
      <c r="A4" s="178" t="s">
        <v>36</v>
      </c>
      <c r="B4" s="178"/>
      <c r="C4" s="178"/>
      <c r="D4" s="178"/>
      <c r="E4" s="178"/>
      <c r="F4" s="178"/>
      <c r="G4" s="178"/>
      <c r="H4" s="178"/>
      <c r="I4" s="178"/>
    </row>
    <row r="5" spans="1:9" ht="13.15" customHeight="1" x14ac:dyDescent="0.15">
      <c r="B5" s="3"/>
      <c r="C5" s="3"/>
      <c r="D5" s="3"/>
      <c r="E5" s="3"/>
      <c r="F5" s="3"/>
      <c r="G5" s="3"/>
      <c r="H5" s="3"/>
      <c r="I5" s="3"/>
    </row>
    <row r="6" spans="1:9" ht="18" customHeight="1" x14ac:dyDescent="0.15">
      <c r="A6" s="1" t="s">
        <v>0</v>
      </c>
      <c r="B6" s="10" t="s">
        <v>91</v>
      </c>
      <c r="C6" s="251" t="s">
        <v>92</v>
      </c>
      <c r="D6" s="251"/>
      <c r="E6" s="20">
        <v>69</v>
      </c>
      <c r="F6" s="3" t="s">
        <v>1</v>
      </c>
      <c r="G6" s="3" t="s">
        <v>2</v>
      </c>
      <c r="H6" s="20">
        <v>182</v>
      </c>
      <c r="I6" s="10" t="s">
        <v>1</v>
      </c>
    </row>
    <row r="7" spans="1:9" ht="12" customHeight="1" x14ac:dyDescent="0.15">
      <c r="C7" s="2"/>
      <c r="D7" s="2"/>
      <c r="E7" s="2"/>
      <c r="F7" s="2"/>
      <c r="G7" s="2"/>
      <c r="H7" s="2"/>
      <c r="I7" s="24"/>
    </row>
    <row r="8" spans="1:9" ht="18" customHeight="1" x14ac:dyDescent="0.15">
      <c r="A8" s="1" t="s">
        <v>3</v>
      </c>
      <c r="B8" s="10" t="s">
        <v>93</v>
      </c>
      <c r="E8" s="3"/>
      <c r="F8" s="3"/>
      <c r="G8" s="3"/>
      <c r="H8" s="20">
        <v>4</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1" t="s">
        <v>43</v>
      </c>
      <c r="C11" s="246" t="s">
        <v>128</v>
      </c>
      <c r="D11" s="249"/>
      <c r="E11" s="250"/>
      <c r="F11" s="24"/>
      <c r="G11" s="21" t="s">
        <v>10</v>
      </c>
      <c r="H11" s="246" t="s">
        <v>129</v>
      </c>
      <c r="I11" s="250"/>
    </row>
    <row r="12" spans="1:9" ht="10.15" customHeight="1" x14ac:dyDescent="0.15">
      <c r="B12" s="21"/>
      <c r="C12" s="10"/>
      <c r="D12" s="24"/>
      <c r="E12" s="24"/>
      <c r="F12" s="24"/>
      <c r="G12" s="21"/>
      <c r="H12" s="10"/>
      <c r="I12" s="24"/>
    </row>
    <row r="13" spans="1:9" ht="18" customHeight="1" x14ac:dyDescent="0.15">
      <c r="A13" s="1" t="s">
        <v>7</v>
      </c>
      <c r="B13" s="10" t="s">
        <v>88</v>
      </c>
      <c r="C13" s="3"/>
      <c r="D13" s="3"/>
      <c r="E13" s="3"/>
      <c r="F13" s="3"/>
      <c r="G13" s="3"/>
      <c r="H13" s="3"/>
      <c r="I13" s="3"/>
    </row>
    <row r="14" spans="1:9" ht="18" customHeight="1" x14ac:dyDescent="0.15">
      <c r="B14" s="246" t="s">
        <v>145</v>
      </c>
      <c r="C14" s="247"/>
      <c r="D14" s="247"/>
      <c r="E14" s="247"/>
      <c r="F14" s="247"/>
      <c r="G14" s="247"/>
      <c r="H14" s="247"/>
      <c r="I14" s="248"/>
    </row>
    <row r="15" spans="1:9" ht="9" customHeight="1" x14ac:dyDescent="0.15">
      <c r="B15" s="3"/>
      <c r="C15" s="3"/>
      <c r="D15" s="3"/>
      <c r="E15" s="3"/>
      <c r="F15" s="3"/>
      <c r="G15" s="3"/>
      <c r="H15" s="3"/>
      <c r="I15" s="3"/>
    </row>
    <row r="16" spans="1:9" ht="18" customHeight="1" x14ac:dyDescent="0.15">
      <c r="B16" s="21" t="s">
        <v>43</v>
      </c>
      <c r="C16" s="246" t="s">
        <v>128</v>
      </c>
      <c r="D16" s="249"/>
      <c r="E16" s="250"/>
      <c r="F16" s="24"/>
      <c r="G16" s="21" t="s">
        <v>10</v>
      </c>
      <c r="H16" s="246" t="s">
        <v>129</v>
      </c>
      <c r="I16" s="250"/>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31" t="s">
        <v>142</v>
      </c>
      <c r="C19" s="232"/>
      <c r="D19" s="232"/>
      <c r="E19" s="232"/>
      <c r="F19" s="232"/>
      <c r="G19" s="232"/>
      <c r="H19" s="232"/>
      <c r="I19" s="23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8" t="s">
        <v>160</v>
      </c>
      <c r="C22" s="209"/>
      <c r="D22" s="209"/>
      <c r="E22" s="209"/>
      <c r="F22" s="209"/>
      <c r="G22" s="209"/>
      <c r="H22" s="209"/>
      <c r="I22" s="210"/>
    </row>
    <row r="23" spans="1:9" ht="18.75" customHeight="1" x14ac:dyDescent="0.15">
      <c r="A23" s="15"/>
      <c r="B23" s="234"/>
      <c r="C23" s="235"/>
      <c r="D23" s="235"/>
      <c r="E23" s="235"/>
      <c r="F23" s="235"/>
      <c r="G23" s="235"/>
      <c r="H23" s="235"/>
      <c r="I23" s="213"/>
    </row>
    <row r="24" spans="1:9" ht="18.75" customHeight="1" x14ac:dyDescent="0.15">
      <c r="A24" s="15"/>
      <c r="B24" s="234"/>
      <c r="C24" s="235"/>
      <c r="D24" s="235"/>
      <c r="E24" s="235"/>
      <c r="F24" s="235"/>
      <c r="G24" s="235"/>
      <c r="H24" s="235"/>
      <c r="I24" s="213"/>
    </row>
    <row r="25" spans="1:9" ht="18.75" customHeight="1" x14ac:dyDescent="0.15">
      <c r="A25" s="15"/>
      <c r="B25" s="234"/>
      <c r="C25" s="235"/>
      <c r="D25" s="235"/>
      <c r="E25" s="235"/>
      <c r="F25" s="235"/>
      <c r="G25" s="235"/>
      <c r="H25" s="235"/>
      <c r="I25" s="213"/>
    </row>
    <row r="26" spans="1:9" ht="18.75" customHeight="1" x14ac:dyDescent="0.15">
      <c r="A26" s="15"/>
      <c r="B26" s="234"/>
      <c r="C26" s="235"/>
      <c r="D26" s="235"/>
      <c r="E26" s="235"/>
      <c r="F26" s="235"/>
      <c r="G26" s="235"/>
      <c r="H26" s="235"/>
      <c r="I26" s="213"/>
    </row>
    <row r="27" spans="1:9" ht="18.75" customHeight="1" x14ac:dyDescent="0.15">
      <c r="A27" s="15"/>
      <c r="B27" s="234"/>
      <c r="C27" s="235"/>
      <c r="D27" s="235"/>
      <c r="E27" s="235"/>
      <c r="F27" s="235"/>
      <c r="G27" s="235"/>
      <c r="H27" s="235"/>
      <c r="I27" s="213"/>
    </row>
    <row r="28" spans="1:9" ht="18.75" customHeight="1" x14ac:dyDescent="0.15">
      <c r="A28" s="15"/>
      <c r="B28" s="234"/>
      <c r="C28" s="235"/>
      <c r="D28" s="235"/>
      <c r="E28" s="235"/>
      <c r="F28" s="235"/>
      <c r="G28" s="235"/>
      <c r="H28" s="235"/>
      <c r="I28" s="213"/>
    </row>
    <row r="29" spans="1:9" ht="18.75" customHeight="1" x14ac:dyDescent="0.15">
      <c r="A29" s="15"/>
      <c r="B29" s="234"/>
      <c r="C29" s="235"/>
      <c r="D29" s="235"/>
      <c r="E29" s="235"/>
      <c r="F29" s="235"/>
      <c r="G29" s="235"/>
      <c r="H29" s="235"/>
      <c r="I29" s="213"/>
    </row>
    <row r="30" spans="1:9" ht="18.75" customHeight="1" x14ac:dyDescent="0.15">
      <c r="A30" s="15"/>
      <c r="B30" s="211"/>
      <c r="C30" s="212"/>
      <c r="D30" s="212"/>
      <c r="E30" s="212"/>
      <c r="F30" s="212"/>
      <c r="G30" s="212"/>
      <c r="H30" s="212"/>
      <c r="I30" s="213"/>
    </row>
    <row r="31" spans="1:9" ht="18.75" customHeight="1" x14ac:dyDescent="0.15">
      <c r="A31" s="15"/>
      <c r="B31" s="211"/>
      <c r="C31" s="212"/>
      <c r="D31" s="212"/>
      <c r="E31" s="212"/>
      <c r="F31" s="212"/>
      <c r="G31" s="212"/>
      <c r="H31" s="212"/>
      <c r="I31" s="213"/>
    </row>
    <row r="32" spans="1:9" ht="18.75" customHeight="1" x14ac:dyDescent="0.15">
      <c r="A32" s="15"/>
      <c r="B32" s="214"/>
      <c r="C32" s="215"/>
      <c r="D32" s="215"/>
      <c r="E32" s="215"/>
      <c r="F32" s="215"/>
      <c r="G32" s="215"/>
      <c r="H32" s="215"/>
      <c r="I32" s="216"/>
    </row>
    <row r="33" spans="1:26" ht="7.5" customHeight="1" x14ac:dyDescent="0.15">
      <c r="A33" s="15"/>
      <c r="B33" s="15"/>
      <c r="C33" s="15"/>
      <c r="D33" s="15"/>
      <c r="E33" s="15"/>
      <c r="F33" s="15"/>
      <c r="G33" s="15"/>
      <c r="H33" s="15"/>
      <c r="I33" s="15"/>
      <c r="K33" s="63"/>
      <c r="L33" s="63"/>
      <c r="M33" s="63"/>
      <c r="N33" s="63"/>
      <c r="O33" s="63"/>
      <c r="P33" s="63"/>
      <c r="Q33" s="63"/>
      <c r="R33" s="63"/>
      <c r="S33" s="63"/>
    </row>
    <row r="34" spans="1:26" ht="18.75" customHeight="1" x14ac:dyDescent="0.15">
      <c r="A34" s="16" t="s">
        <v>6</v>
      </c>
      <c r="B34" s="16" t="s">
        <v>9</v>
      </c>
      <c r="C34" s="10"/>
      <c r="D34" s="16"/>
      <c r="E34" s="16"/>
      <c r="F34" s="16"/>
      <c r="G34" s="16"/>
      <c r="H34" s="16"/>
      <c r="I34" s="16"/>
      <c r="K34" s="63"/>
      <c r="L34" s="63"/>
      <c r="M34" s="63"/>
      <c r="N34" s="63"/>
      <c r="O34" s="63"/>
      <c r="P34" s="63"/>
      <c r="Q34" s="63"/>
      <c r="R34" s="63"/>
      <c r="S34" s="63"/>
    </row>
    <row r="35" spans="1:26" ht="18.75" customHeight="1" x14ac:dyDescent="0.15">
      <c r="A35" s="15"/>
      <c r="B35" s="199" t="s">
        <v>161</v>
      </c>
      <c r="C35" s="200"/>
      <c r="D35" s="200"/>
      <c r="E35" s="200"/>
      <c r="F35" s="200"/>
      <c r="G35" s="200"/>
      <c r="H35" s="200"/>
      <c r="I35" s="236"/>
      <c r="K35" s="63"/>
      <c r="L35" s="63"/>
      <c r="M35" s="63"/>
      <c r="N35" s="63"/>
      <c r="O35" s="63"/>
      <c r="P35" s="63"/>
      <c r="Q35" s="63"/>
      <c r="R35" s="63"/>
      <c r="S35" s="63"/>
      <c r="T35" s="62"/>
      <c r="U35" s="62"/>
      <c r="V35" s="62"/>
      <c r="W35" s="62"/>
      <c r="X35" s="62"/>
      <c r="Y35" s="62"/>
      <c r="Z35" s="62"/>
    </row>
    <row r="36" spans="1:26" ht="18.75" customHeight="1" x14ac:dyDescent="0.15">
      <c r="A36" s="15"/>
      <c r="B36" s="237"/>
      <c r="C36" s="238"/>
      <c r="D36" s="238"/>
      <c r="E36" s="238"/>
      <c r="F36" s="238"/>
      <c r="G36" s="238"/>
      <c r="H36" s="238"/>
      <c r="I36" s="239"/>
      <c r="K36" s="63"/>
      <c r="L36" s="63"/>
      <c r="M36" s="63"/>
      <c r="N36" s="63"/>
      <c r="O36" s="63"/>
      <c r="P36" s="63"/>
      <c r="Q36" s="63"/>
      <c r="R36" s="63"/>
      <c r="S36" s="63"/>
      <c r="T36" s="62"/>
      <c r="U36" s="62"/>
      <c r="V36" s="62"/>
      <c r="W36" s="62"/>
      <c r="X36" s="62"/>
      <c r="Y36" s="62"/>
      <c r="Z36" s="62"/>
    </row>
    <row r="37" spans="1:26" ht="18.75" customHeight="1" x14ac:dyDescent="0.15">
      <c r="A37" s="15"/>
      <c r="B37" s="237"/>
      <c r="C37" s="238"/>
      <c r="D37" s="238"/>
      <c r="E37" s="238"/>
      <c r="F37" s="238"/>
      <c r="G37" s="238"/>
      <c r="H37" s="238"/>
      <c r="I37" s="239"/>
      <c r="K37" s="63"/>
      <c r="L37" s="63"/>
      <c r="M37" s="63"/>
      <c r="N37" s="63"/>
      <c r="O37" s="63"/>
      <c r="P37" s="63"/>
      <c r="Q37" s="63"/>
      <c r="R37" s="63"/>
      <c r="S37" s="63"/>
      <c r="T37" s="62"/>
      <c r="U37" s="62"/>
      <c r="V37" s="62"/>
      <c r="W37" s="62"/>
      <c r="X37" s="62"/>
      <c r="Y37" s="62"/>
      <c r="Z37" s="62"/>
    </row>
    <row r="38" spans="1:26" ht="18.75" customHeight="1" x14ac:dyDescent="0.15">
      <c r="A38" s="15"/>
      <c r="B38" s="237"/>
      <c r="C38" s="238"/>
      <c r="D38" s="238"/>
      <c r="E38" s="238"/>
      <c r="F38" s="238"/>
      <c r="G38" s="238"/>
      <c r="H38" s="238"/>
      <c r="I38" s="239"/>
      <c r="K38" s="63"/>
      <c r="L38" s="63"/>
      <c r="M38" s="63"/>
      <c r="N38" s="63"/>
      <c r="O38" s="63"/>
      <c r="P38" s="63"/>
      <c r="Q38" s="63"/>
      <c r="R38" s="63"/>
      <c r="S38" s="63"/>
      <c r="T38" s="62"/>
      <c r="U38" s="62"/>
      <c r="V38" s="62"/>
      <c r="W38" s="62"/>
      <c r="X38" s="62"/>
      <c r="Y38" s="62"/>
      <c r="Z38" s="62"/>
    </row>
    <row r="39" spans="1:26" ht="18.75" customHeight="1" x14ac:dyDescent="0.15">
      <c r="A39" s="15"/>
      <c r="B39" s="237"/>
      <c r="C39" s="238"/>
      <c r="D39" s="238"/>
      <c r="E39" s="238"/>
      <c r="F39" s="238"/>
      <c r="G39" s="238"/>
      <c r="H39" s="238"/>
      <c r="I39" s="239"/>
      <c r="K39" s="63"/>
      <c r="L39" s="63"/>
      <c r="M39" s="63"/>
      <c r="N39" s="63"/>
      <c r="O39" s="63"/>
      <c r="P39" s="63"/>
      <c r="Q39" s="63"/>
      <c r="R39" s="63"/>
      <c r="S39" s="63"/>
      <c r="T39" s="62"/>
      <c r="U39" s="62"/>
      <c r="V39" s="62"/>
      <c r="W39" s="62"/>
      <c r="X39" s="62"/>
      <c r="Y39" s="62"/>
      <c r="Z39" s="62"/>
    </row>
    <row r="40" spans="1:26" ht="18.75" customHeight="1" x14ac:dyDescent="0.15">
      <c r="A40" s="15"/>
      <c r="B40" s="237"/>
      <c r="C40" s="238"/>
      <c r="D40" s="238"/>
      <c r="E40" s="238"/>
      <c r="F40" s="238"/>
      <c r="G40" s="238"/>
      <c r="H40" s="238"/>
      <c r="I40" s="239"/>
      <c r="K40" s="63"/>
      <c r="L40" s="63"/>
      <c r="M40" s="63"/>
      <c r="N40" s="63"/>
      <c r="O40" s="63"/>
      <c r="P40" s="63"/>
      <c r="Q40" s="63"/>
      <c r="R40" s="63"/>
      <c r="S40" s="63"/>
      <c r="T40" s="62"/>
      <c r="U40" s="62"/>
      <c r="V40" s="62"/>
      <c r="W40" s="62"/>
      <c r="X40" s="62"/>
      <c r="Y40" s="62"/>
      <c r="Z40" s="62"/>
    </row>
    <row r="41" spans="1:26" ht="18.75" customHeight="1" x14ac:dyDescent="0.15">
      <c r="A41" s="15"/>
      <c r="B41" s="237"/>
      <c r="C41" s="238"/>
      <c r="D41" s="238"/>
      <c r="E41" s="238"/>
      <c r="F41" s="238"/>
      <c r="G41" s="238"/>
      <c r="H41" s="238"/>
      <c r="I41" s="239"/>
      <c r="K41" s="63"/>
      <c r="L41" s="63"/>
      <c r="M41" s="63"/>
      <c r="N41" s="63"/>
      <c r="O41" s="63"/>
      <c r="P41" s="63"/>
      <c r="Q41" s="63"/>
      <c r="R41" s="63"/>
      <c r="S41" s="63"/>
      <c r="T41" s="62"/>
      <c r="U41" s="62"/>
      <c r="V41" s="62"/>
      <c r="W41" s="62"/>
      <c r="X41" s="62"/>
      <c r="Y41" s="62"/>
      <c r="Z41" s="62"/>
    </row>
    <row r="42" spans="1:26" ht="18.75" customHeight="1" x14ac:dyDescent="0.15">
      <c r="A42" s="15"/>
      <c r="B42" s="237"/>
      <c r="C42" s="238"/>
      <c r="D42" s="238"/>
      <c r="E42" s="238"/>
      <c r="F42" s="238"/>
      <c r="G42" s="238"/>
      <c r="H42" s="238"/>
      <c r="I42" s="239"/>
      <c r="K42" s="63"/>
      <c r="L42" s="63"/>
      <c r="M42" s="63"/>
      <c r="N42" s="63"/>
      <c r="O42" s="63"/>
      <c r="P42" s="63"/>
      <c r="Q42" s="63"/>
      <c r="R42" s="63"/>
      <c r="S42" s="63"/>
      <c r="T42" s="62"/>
      <c r="U42" s="62"/>
      <c r="V42" s="62"/>
      <c r="W42" s="62"/>
      <c r="X42" s="62"/>
      <c r="Y42" s="62"/>
      <c r="Z42" s="62"/>
    </row>
    <row r="43" spans="1:26" ht="18.75" customHeight="1" x14ac:dyDescent="0.15">
      <c r="A43" s="15"/>
      <c r="B43" s="237"/>
      <c r="C43" s="238"/>
      <c r="D43" s="238"/>
      <c r="E43" s="238"/>
      <c r="F43" s="238"/>
      <c r="G43" s="238"/>
      <c r="H43" s="238"/>
      <c r="I43" s="239"/>
      <c r="K43" s="63"/>
      <c r="L43" s="63"/>
      <c r="M43" s="63"/>
      <c r="N43" s="63"/>
      <c r="O43" s="63"/>
      <c r="P43" s="63"/>
      <c r="Q43" s="63"/>
      <c r="R43" s="63"/>
      <c r="S43" s="63"/>
      <c r="T43" s="62"/>
      <c r="U43" s="62"/>
      <c r="V43" s="62"/>
      <c r="W43" s="62"/>
      <c r="X43" s="62"/>
      <c r="Y43" s="62"/>
      <c r="Z43" s="62"/>
    </row>
    <row r="44" spans="1:26" ht="18.75" customHeight="1" x14ac:dyDescent="0.15">
      <c r="A44" s="15"/>
      <c r="B44" s="237"/>
      <c r="C44" s="238"/>
      <c r="D44" s="238"/>
      <c r="E44" s="238"/>
      <c r="F44" s="238"/>
      <c r="G44" s="238"/>
      <c r="H44" s="238"/>
      <c r="I44" s="239"/>
      <c r="K44" s="63"/>
      <c r="L44" s="63"/>
      <c r="M44" s="63"/>
      <c r="N44" s="63"/>
      <c r="O44" s="63"/>
      <c r="P44" s="63"/>
      <c r="Q44" s="63"/>
      <c r="R44" s="63"/>
      <c r="S44" s="63"/>
      <c r="T44" s="62"/>
      <c r="U44" s="62"/>
      <c r="V44" s="62"/>
      <c r="W44" s="62"/>
      <c r="X44" s="62"/>
      <c r="Y44" s="62"/>
      <c r="Z44" s="62"/>
    </row>
    <row r="45" spans="1:26" ht="18.75" customHeight="1" x14ac:dyDescent="0.15">
      <c r="A45" s="15"/>
      <c r="B45" s="237"/>
      <c r="C45" s="238"/>
      <c r="D45" s="238"/>
      <c r="E45" s="238"/>
      <c r="F45" s="238"/>
      <c r="G45" s="238"/>
      <c r="H45" s="238"/>
      <c r="I45" s="239"/>
      <c r="K45" s="63"/>
      <c r="L45" s="63"/>
      <c r="M45" s="63"/>
      <c r="N45" s="63"/>
      <c r="O45" s="63"/>
      <c r="P45" s="63"/>
      <c r="Q45" s="63"/>
      <c r="R45" s="63"/>
      <c r="S45" s="63"/>
      <c r="T45" s="62"/>
      <c r="U45" s="62"/>
      <c r="V45" s="62"/>
      <c r="W45" s="62"/>
      <c r="X45" s="62"/>
      <c r="Y45" s="62"/>
      <c r="Z45" s="62"/>
    </row>
    <row r="46" spans="1:26" ht="18.75" customHeight="1" x14ac:dyDescent="0.15">
      <c r="A46" s="15"/>
      <c r="B46" s="240"/>
      <c r="C46" s="241"/>
      <c r="D46" s="241"/>
      <c r="E46" s="241"/>
      <c r="F46" s="241"/>
      <c r="G46" s="241"/>
      <c r="H46" s="241"/>
      <c r="I46" s="242"/>
      <c r="K46" s="63"/>
      <c r="L46" s="63"/>
      <c r="M46" s="63"/>
      <c r="N46" s="63"/>
      <c r="O46" s="63"/>
      <c r="P46" s="63"/>
      <c r="Q46" s="63"/>
      <c r="R46" s="63"/>
      <c r="S46" s="63"/>
      <c r="T46" s="62"/>
      <c r="U46" s="62"/>
      <c r="V46" s="62"/>
      <c r="W46" s="62"/>
      <c r="X46" s="62"/>
      <c r="Y46" s="62"/>
      <c r="Z46" s="62"/>
    </row>
    <row r="47" spans="1:26" ht="7.5" customHeight="1" x14ac:dyDescent="0.15">
      <c r="A47" s="4"/>
      <c r="B47" s="4"/>
      <c r="C47" s="4"/>
      <c r="D47" s="4"/>
      <c r="E47" s="4"/>
      <c r="F47" s="4"/>
      <c r="G47" s="4"/>
      <c r="H47" s="4"/>
      <c r="I47" s="4"/>
      <c r="K47" s="63"/>
      <c r="L47" s="63"/>
      <c r="M47" s="63"/>
      <c r="N47" s="63"/>
      <c r="O47" s="63"/>
      <c r="P47" s="63"/>
      <c r="Q47" s="63"/>
      <c r="R47" s="63"/>
      <c r="S47" s="63"/>
    </row>
    <row r="48" spans="1:26" ht="18.75" customHeight="1" x14ac:dyDescent="0.15">
      <c r="A48" s="1" t="s">
        <v>31</v>
      </c>
      <c r="B48" s="1" t="s">
        <v>123</v>
      </c>
      <c r="K48" s="63"/>
      <c r="L48" s="63"/>
      <c r="M48" s="63"/>
      <c r="N48" s="63"/>
      <c r="O48" s="63"/>
      <c r="P48" s="63"/>
      <c r="Q48" s="63"/>
      <c r="R48" s="63"/>
      <c r="S48" s="63"/>
    </row>
    <row r="49" spans="1:19" s="3" customFormat="1" ht="18.75" customHeight="1" x14ac:dyDescent="0.15">
      <c r="B49" s="25" t="s">
        <v>89</v>
      </c>
      <c r="C49" s="217">
        <f>'様式２ 履修者等数の実績'!AQ32</f>
        <v>5.4237288135593219E-2</v>
      </c>
      <c r="D49" s="217"/>
      <c r="E49" s="25" t="s">
        <v>66</v>
      </c>
      <c r="F49" s="217">
        <v>0.1</v>
      </c>
      <c r="G49" s="217"/>
      <c r="H49" s="25" t="s">
        <v>67</v>
      </c>
      <c r="I49" s="26">
        <v>0.3</v>
      </c>
      <c r="J49" s="1"/>
      <c r="K49" s="63"/>
      <c r="L49" s="63"/>
      <c r="M49" s="63"/>
      <c r="N49" s="63"/>
      <c r="O49" s="63"/>
      <c r="P49" s="63"/>
      <c r="Q49" s="63"/>
      <c r="R49" s="63"/>
      <c r="S49" s="63"/>
    </row>
    <row r="50" spans="1:19" s="3" customFormat="1" ht="18.75" customHeight="1" x14ac:dyDescent="0.15">
      <c r="B50" s="28" t="s">
        <v>68</v>
      </c>
      <c r="C50" s="218">
        <v>0.55000000000000004</v>
      </c>
      <c r="D50" s="218"/>
      <c r="E50" s="28" t="s">
        <v>90</v>
      </c>
      <c r="F50" s="218">
        <v>0.8</v>
      </c>
      <c r="G50" s="218"/>
      <c r="H50" s="28" t="s">
        <v>69</v>
      </c>
      <c r="I50" s="29">
        <f>'様式２ 履修者等数の実績'!E32</f>
        <v>1770</v>
      </c>
      <c r="J50" s="1"/>
      <c r="K50" s="63"/>
      <c r="L50" s="63"/>
      <c r="M50" s="63"/>
      <c r="N50" s="63"/>
      <c r="O50" s="63"/>
      <c r="P50" s="63"/>
      <c r="Q50" s="63"/>
      <c r="R50" s="63"/>
      <c r="S50" s="63"/>
    </row>
    <row r="51" spans="1:19" ht="18.75" customHeight="1" x14ac:dyDescent="0.15">
      <c r="A51" s="1"/>
      <c r="B51" s="243" t="s">
        <v>70</v>
      </c>
      <c r="C51" s="244"/>
      <c r="D51" s="244"/>
      <c r="E51" s="244"/>
      <c r="F51" s="244"/>
      <c r="G51" s="244"/>
      <c r="H51" s="244"/>
      <c r="I51" s="245"/>
      <c r="N51" s="27"/>
      <c r="O51" s="3"/>
    </row>
    <row r="52" spans="1:19" ht="18.75" customHeight="1" x14ac:dyDescent="0.15">
      <c r="A52" s="1"/>
      <c r="B52" s="219" t="s">
        <v>136</v>
      </c>
      <c r="C52" s="220"/>
      <c r="D52" s="220"/>
      <c r="E52" s="220"/>
      <c r="F52" s="220"/>
      <c r="G52" s="220"/>
      <c r="H52" s="220"/>
      <c r="I52" s="221"/>
      <c r="N52" s="27"/>
      <c r="O52" s="3"/>
    </row>
    <row r="53" spans="1:19" ht="18.75" customHeight="1" x14ac:dyDescent="0.15">
      <c r="A53" s="1"/>
      <c r="B53" s="222"/>
      <c r="C53" s="223"/>
      <c r="D53" s="223"/>
      <c r="E53" s="223"/>
      <c r="F53" s="223"/>
      <c r="G53" s="223"/>
      <c r="H53" s="223"/>
      <c r="I53" s="224"/>
      <c r="N53" s="27"/>
      <c r="O53" s="3"/>
    </row>
    <row r="54" spans="1:19" ht="18.75" customHeight="1" x14ac:dyDescent="0.15">
      <c r="A54" s="1"/>
      <c r="B54" s="222"/>
      <c r="C54" s="223"/>
      <c r="D54" s="223"/>
      <c r="E54" s="223"/>
      <c r="F54" s="223"/>
      <c r="G54" s="223"/>
      <c r="H54" s="223"/>
      <c r="I54" s="224"/>
    </row>
    <row r="55" spans="1:19" ht="18.75" customHeight="1" x14ac:dyDescent="0.15">
      <c r="A55" s="1"/>
      <c r="B55" s="222"/>
      <c r="C55" s="223"/>
      <c r="D55" s="223"/>
      <c r="E55" s="223"/>
      <c r="F55" s="223"/>
      <c r="G55" s="223"/>
      <c r="H55" s="223"/>
      <c r="I55" s="224"/>
    </row>
    <row r="56" spans="1:19" ht="18.75" customHeight="1" x14ac:dyDescent="0.15">
      <c r="A56" s="1"/>
      <c r="B56" s="222"/>
      <c r="C56" s="223"/>
      <c r="D56" s="223"/>
      <c r="E56" s="223"/>
      <c r="F56" s="223"/>
      <c r="G56" s="223"/>
      <c r="H56" s="223"/>
      <c r="I56" s="224"/>
    </row>
    <row r="57" spans="1:19" ht="18.75" customHeight="1" x14ac:dyDescent="0.15">
      <c r="A57" s="1"/>
      <c r="B57" s="222"/>
      <c r="C57" s="223"/>
      <c r="D57" s="223"/>
      <c r="E57" s="223"/>
      <c r="F57" s="223"/>
      <c r="G57" s="223"/>
      <c r="H57" s="223"/>
      <c r="I57" s="224"/>
    </row>
    <row r="58" spans="1:19" ht="18.75" customHeight="1" x14ac:dyDescent="0.15">
      <c r="A58" s="1"/>
      <c r="B58" s="222"/>
      <c r="C58" s="223"/>
      <c r="D58" s="223"/>
      <c r="E58" s="223"/>
      <c r="F58" s="223"/>
      <c r="G58" s="223"/>
      <c r="H58" s="223"/>
      <c r="I58" s="224"/>
    </row>
    <row r="59" spans="1:19" ht="18.75" customHeight="1" x14ac:dyDescent="0.15">
      <c r="A59" s="1"/>
      <c r="B59" s="222"/>
      <c r="C59" s="223"/>
      <c r="D59" s="223"/>
      <c r="E59" s="223"/>
      <c r="F59" s="223"/>
      <c r="G59" s="223"/>
      <c r="H59" s="223"/>
      <c r="I59" s="224"/>
    </row>
    <row r="60" spans="1:19" ht="18.75" customHeight="1" x14ac:dyDescent="0.15">
      <c r="A60" s="1"/>
      <c r="B60" s="222"/>
      <c r="C60" s="223"/>
      <c r="D60" s="223"/>
      <c r="E60" s="223"/>
      <c r="F60" s="223"/>
      <c r="G60" s="223"/>
      <c r="H60" s="223"/>
      <c r="I60" s="224"/>
    </row>
    <row r="61" spans="1:19" ht="18.75" customHeight="1" x14ac:dyDescent="0.15">
      <c r="A61" s="1"/>
      <c r="B61" s="222"/>
      <c r="C61" s="223"/>
      <c r="D61" s="223"/>
      <c r="E61" s="223"/>
      <c r="F61" s="223"/>
      <c r="G61" s="223"/>
      <c r="H61" s="223"/>
      <c r="I61" s="224"/>
    </row>
    <row r="62" spans="1:19" ht="18.75" customHeight="1" x14ac:dyDescent="0.15">
      <c r="A62" s="1"/>
      <c r="B62" s="222"/>
      <c r="C62" s="223"/>
      <c r="D62" s="223"/>
      <c r="E62" s="223"/>
      <c r="F62" s="223"/>
      <c r="G62" s="223"/>
      <c r="H62" s="223"/>
      <c r="I62" s="224"/>
    </row>
    <row r="63" spans="1:19" ht="18.75" customHeight="1" x14ac:dyDescent="0.15">
      <c r="A63" s="1"/>
      <c r="B63" s="225"/>
      <c r="C63" s="226"/>
      <c r="D63" s="226"/>
      <c r="E63" s="226"/>
      <c r="F63" s="226"/>
      <c r="G63" s="226"/>
      <c r="H63" s="226"/>
      <c r="I63" s="227"/>
    </row>
    <row r="64" spans="1:19"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9" t="s">
        <v>151</v>
      </c>
      <c r="C66" s="200"/>
      <c r="D66" s="200"/>
      <c r="E66" s="200"/>
      <c r="F66" s="200"/>
      <c r="G66" s="200"/>
      <c r="H66" s="200"/>
      <c r="I66" s="201"/>
    </row>
    <row r="67" spans="1:9" ht="18.75" customHeight="1" x14ac:dyDescent="0.15">
      <c r="A67" s="4"/>
      <c r="B67" s="202"/>
      <c r="C67" s="203"/>
      <c r="D67" s="203"/>
      <c r="E67" s="203"/>
      <c r="F67" s="203"/>
      <c r="G67" s="203"/>
      <c r="H67" s="203"/>
      <c r="I67" s="204"/>
    </row>
    <row r="68" spans="1:9" ht="18.75" customHeight="1" x14ac:dyDescent="0.15">
      <c r="A68" s="4"/>
      <c r="B68" s="202"/>
      <c r="C68" s="203"/>
      <c r="D68" s="203"/>
      <c r="E68" s="203"/>
      <c r="F68" s="203"/>
      <c r="G68" s="203"/>
      <c r="H68" s="203"/>
      <c r="I68" s="204"/>
    </row>
    <row r="69" spans="1:9" ht="18.75" customHeight="1" x14ac:dyDescent="0.15">
      <c r="A69" s="4"/>
      <c r="B69" s="202"/>
      <c r="C69" s="203"/>
      <c r="D69" s="203"/>
      <c r="E69" s="203"/>
      <c r="F69" s="203"/>
      <c r="G69" s="203"/>
      <c r="H69" s="203"/>
      <c r="I69" s="204"/>
    </row>
    <row r="70" spans="1:9" ht="18.75" customHeight="1" x14ac:dyDescent="0.15">
      <c r="A70" s="4"/>
      <c r="B70" s="202"/>
      <c r="C70" s="203"/>
      <c r="D70" s="203"/>
      <c r="E70" s="203"/>
      <c r="F70" s="203"/>
      <c r="G70" s="203"/>
      <c r="H70" s="203"/>
      <c r="I70" s="204"/>
    </row>
    <row r="71" spans="1:9" ht="18.75" customHeight="1" x14ac:dyDescent="0.15">
      <c r="A71" s="4"/>
      <c r="B71" s="202"/>
      <c r="C71" s="203"/>
      <c r="D71" s="203"/>
      <c r="E71" s="203"/>
      <c r="F71" s="203"/>
      <c r="G71" s="203"/>
      <c r="H71" s="203"/>
      <c r="I71" s="204"/>
    </row>
    <row r="72" spans="1:9" ht="18.75" customHeight="1" x14ac:dyDescent="0.15">
      <c r="A72" s="4"/>
      <c r="B72" s="202"/>
      <c r="C72" s="203"/>
      <c r="D72" s="203"/>
      <c r="E72" s="203"/>
      <c r="F72" s="203"/>
      <c r="G72" s="203"/>
      <c r="H72" s="203"/>
      <c r="I72" s="204"/>
    </row>
    <row r="73" spans="1:9" ht="18.75" customHeight="1" x14ac:dyDescent="0.15">
      <c r="A73" s="4"/>
      <c r="B73" s="202"/>
      <c r="C73" s="203"/>
      <c r="D73" s="203"/>
      <c r="E73" s="203"/>
      <c r="F73" s="203"/>
      <c r="G73" s="203"/>
      <c r="H73" s="203"/>
      <c r="I73" s="204"/>
    </row>
    <row r="74" spans="1:9" ht="18.75" customHeight="1" x14ac:dyDescent="0.15">
      <c r="A74" s="4"/>
      <c r="B74" s="202"/>
      <c r="C74" s="203"/>
      <c r="D74" s="203"/>
      <c r="E74" s="203"/>
      <c r="F74" s="203"/>
      <c r="G74" s="203"/>
      <c r="H74" s="203"/>
      <c r="I74" s="204"/>
    </row>
    <row r="75" spans="1:9" ht="18.75" customHeight="1" x14ac:dyDescent="0.15">
      <c r="A75" s="4"/>
      <c r="B75" s="202"/>
      <c r="C75" s="203"/>
      <c r="D75" s="203"/>
      <c r="E75" s="203"/>
      <c r="F75" s="203"/>
      <c r="G75" s="203"/>
      <c r="H75" s="203"/>
      <c r="I75" s="204"/>
    </row>
    <row r="76" spans="1:9" ht="18.75" customHeight="1" x14ac:dyDescent="0.15">
      <c r="A76" s="4"/>
      <c r="B76" s="202"/>
      <c r="C76" s="203"/>
      <c r="D76" s="203"/>
      <c r="E76" s="203"/>
      <c r="F76" s="203"/>
      <c r="G76" s="203"/>
      <c r="H76" s="203"/>
      <c r="I76" s="204"/>
    </row>
    <row r="77" spans="1:9" ht="18.75" customHeight="1" x14ac:dyDescent="0.15">
      <c r="A77" s="4"/>
      <c r="B77" s="205"/>
      <c r="C77" s="206"/>
      <c r="D77" s="206"/>
      <c r="E77" s="206"/>
      <c r="F77" s="206"/>
      <c r="G77" s="206"/>
      <c r="H77" s="206"/>
      <c r="I77" s="207"/>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8" t="s">
        <v>143</v>
      </c>
      <c r="C80" s="209"/>
      <c r="D80" s="209"/>
      <c r="E80" s="209"/>
      <c r="F80" s="209"/>
      <c r="G80" s="209"/>
      <c r="H80" s="209"/>
      <c r="I80" s="210"/>
    </row>
    <row r="81" spans="1:9" ht="18.75" customHeight="1" x14ac:dyDescent="0.15">
      <c r="A81" s="1"/>
      <c r="B81" s="211"/>
      <c r="C81" s="212"/>
      <c r="D81" s="212"/>
      <c r="E81" s="212"/>
      <c r="F81" s="212"/>
      <c r="G81" s="212"/>
      <c r="H81" s="212"/>
      <c r="I81" s="213"/>
    </row>
    <row r="82" spans="1:9" ht="18.75" customHeight="1" x14ac:dyDescent="0.15">
      <c r="A82" s="1"/>
      <c r="B82" s="211"/>
      <c r="C82" s="212"/>
      <c r="D82" s="212"/>
      <c r="E82" s="212"/>
      <c r="F82" s="212"/>
      <c r="G82" s="212"/>
      <c r="H82" s="212"/>
      <c r="I82" s="213"/>
    </row>
    <row r="83" spans="1:9" ht="18.75" customHeight="1" x14ac:dyDescent="0.15">
      <c r="A83" s="1"/>
      <c r="B83" s="211"/>
      <c r="C83" s="212"/>
      <c r="D83" s="212"/>
      <c r="E83" s="212"/>
      <c r="F83" s="212"/>
      <c r="G83" s="212"/>
      <c r="H83" s="212"/>
      <c r="I83" s="213"/>
    </row>
    <row r="84" spans="1:9" ht="18.75" customHeight="1" x14ac:dyDescent="0.15">
      <c r="A84" s="1"/>
      <c r="B84" s="211"/>
      <c r="C84" s="212"/>
      <c r="D84" s="212"/>
      <c r="E84" s="212"/>
      <c r="F84" s="212"/>
      <c r="G84" s="212"/>
      <c r="H84" s="212"/>
      <c r="I84" s="213"/>
    </row>
    <row r="85" spans="1:9" ht="18.75" customHeight="1" x14ac:dyDescent="0.15">
      <c r="A85" s="1"/>
      <c r="B85" s="211"/>
      <c r="C85" s="212"/>
      <c r="D85" s="212"/>
      <c r="E85" s="212"/>
      <c r="F85" s="212"/>
      <c r="G85" s="212"/>
      <c r="H85" s="212"/>
      <c r="I85" s="213"/>
    </row>
    <row r="86" spans="1:9" ht="18.75" customHeight="1" x14ac:dyDescent="0.15">
      <c r="A86" s="1"/>
      <c r="B86" s="211"/>
      <c r="C86" s="212"/>
      <c r="D86" s="212"/>
      <c r="E86" s="212"/>
      <c r="F86" s="212"/>
      <c r="G86" s="212"/>
      <c r="H86" s="212"/>
      <c r="I86" s="213"/>
    </row>
    <row r="87" spans="1:9" ht="18.75" customHeight="1" x14ac:dyDescent="0.15">
      <c r="A87" s="1"/>
      <c r="B87" s="211"/>
      <c r="C87" s="212"/>
      <c r="D87" s="212"/>
      <c r="E87" s="212"/>
      <c r="F87" s="212"/>
      <c r="G87" s="212"/>
      <c r="H87" s="212"/>
      <c r="I87" s="213"/>
    </row>
    <row r="88" spans="1:9" ht="18.75" customHeight="1" x14ac:dyDescent="0.15">
      <c r="A88" s="1"/>
      <c r="B88" s="211"/>
      <c r="C88" s="212"/>
      <c r="D88" s="212"/>
      <c r="E88" s="212"/>
      <c r="F88" s="212"/>
      <c r="G88" s="212"/>
      <c r="H88" s="212"/>
      <c r="I88" s="213"/>
    </row>
    <row r="89" spans="1:9" ht="18.75" customHeight="1" x14ac:dyDescent="0.15">
      <c r="A89" s="1"/>
      <c r="B89" s="211"/>
      <c r="C89" s="212"/>
      <c r="D89" s="212"/>
      <c r="E89" s="212"/>
      <c r="F89" s="212"/>
      <c r="G89" s="212"/>
      <c r="H89" s="212"/>
      <c r="I89" s="213"/>
    </row>
    <row r="90" spans="1:9" ht="18.75" customHeight="1" x14ac:dyDescent="0.15">
      <c r="A90" s="4"/>
      <c r="B90" s="211"/>
      <c r="C90" s="212"/>
      <c r="D90" s="212"/>
      <c r="E90" s="212"/>
      <c r="F90" s="212"/>
      <c r="G90" s="212"/>
      <c r="H90" s="212"/>
      <c r="I90" s="213"/>
    </row>
    <row r="91" spans="1:9" ht="18.75" customHeight="1" x14ac:dyDescent="0.15">
      <c r="A91" s="4"/>
      <c r="B91" s="214"/>
      <c r="C91" s="215"/>
      <c r="D91" s="215"/>
      <c r="E91" s="215"/>
      <c r="F91" s="215"/>
      <c r="G91" s="215"/>
      <c r="H91" s="215"/>
      <c r="I91" s="21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8" t="s">
        <v>152</v>
      </c>
      <c r="C94" s="209"/>
      <c r="D94" s="209"/>
      <c r="E94" s="209"/>
      <c r="F94" s="209"/>
      <c r="G94" s="209"/>
      <c r="H94" s="209"/>
      <c r="I94" s="210"/>
    </row>
    <row r="95" spans="1:9" ht="18.75" customHeight="1" x14ac:dyDescent="0.15">
      <c r="A95" s="1"/>
      <c r="B95" s="211"/>
      <c r="C95" s="212"/>
      <c r="D95" s="212"/>
      <c r="E95" s="212"/>
      <c r="F95" s="212"/>
      <c r="G95" s="212"/>
      <c r="H95" s="212"/>
      <c r="I95" s="213"/>
    </row>
    <row r="96" spans="1:9" ht="18.75" customHeight="1" x14ac:dyDescent="0.15">
      <c r="A96" s="1"/>
      <c r="B96" s="211"/>
      <c r="C96" s="212"/>
      <c r="D96" s="212"/>
      <c r="E96" s="212"/>
      <c r="F96" s="212"/>
      <c r="G96" s="212"/>
      <c r="H96" s="212"/>
      <c r="I96" s="213"/>
    </row>
    <row r="97" spans="1:9" ht="18.75" customHeight="1" x14ac:dyDescent="0.15">
      <c r="A97" s="1"/>
      <c r="B97" s="211"/>
      <c r="C97" s="212"/>
      <c r="D97" s="212"/>
      <c r="E97" s="212"/>
      <c r="F97" s="212"/>
      <c r="G97" s="212"/>
      <c r="H97" s="212"/>
      <c r="I97" s="213"/>
    </row>
    <row r="98" spans="1:9" ht="18.75" customHeight="1" x14ac:dyDescent="0.15">
      <c r="A98" s="1"/>
      <c r="B98" s="211"/>
      <c r="C98" s="212"/>
      <c r="D98" s="212"/>
      <c r="E98" s="212"/>
      <c r="F98" s="212"/>
      <c r="G98" s="212"/>
      <c r="H98" s="212"/>
      <c r="I98" s="213"/>
    </row>
    <row r="99" spans="1:9" ht="18.75" customHeight="1" x14ac:dyDescent="0.15">
      <c r="A99" s="1"/>
      <c r="B99" s="211"/>
      <c r="C99" s="212"/>
      <c r="D99" s="212"/>
      <c r="E99" s="212"/>
      <c r="F99" s="212"/>
      <c r="G99" s="212"/>
      <c r="H99" s="212"/>
      <c r="I99" s="213"/>
    </row>
    <row r="100" spans="1:9" ht="18.75" customHeight="1" x14ac:dyDescent="0.15">
      <c r="A100" s="1"/>
      <c r="B100" s="211"/>
      <c r="C100" s="212"/>
      <c r="D100" s="212"/>
      <c r="E100" s="212"/>
      <c r="F100" s="212"/>
      <c r="G100" s="212"/>
      <c r="H100" s="212"/>
      <c r="I100" s="213"/>
    </row>
    <row r="101" spans="1:9" ht="18.75" customHeight="1" x14ac:dyDescent="0.15">
      <c r="A101" s="1"/>
      <c r="B101" s="211"/>
      <c r="C101" s="212"/>
      <c r="D101" s="212"/>
      <c r="E101" s="212"/>
      <c r="F101" s="212"/>
      <c r="G101" s="212"/>
      <c r="H101" s="212"/>
      <c r="I101" s="213"/>
    </row>
    <row r="102" spans="1:9" ht="18.75" customHeight="1" x14ac:dyDescent="0.15">
      <c r="A102" s="1"/>
      <c r="B102" s="211"/>
      <c r="C102" s="212"/>
      <c r="D102" s="212"/>
      <c r="E102" s="212"/>
      <c r="F102" s="212"/>
      <c r="G102" s="212"/>
      <c r="H102" s="212"/>
      <c r="I102" s="213"/>
    </row>
    <row r="103" spans="1:9" ht="18.75" customHeight="1" x14ac:dyDescent="0.15">
      <c r="A103" s="1"/>
      <c r="B103" s="211"/>
      <c r="C103" s="212"/>
      <c r="D103" s="212"/>
      <c r="E103" s="212"/>
      <c r="F103" s="212"/>
      <c r="G103" s="212"/>
      <c r="H103" s="212"/>
      <c r="I103" s="213"/>
    </row>
    <row r="104" spans="1:9" ht="18.75" customHeight="1" x14ac:dyDescent="0.15">
      <c r="A104" s="1"/>
      <c r="B104" s="211"/>
      <c r="C104" s="212"/>
      <c r="D104" s="212"/>
      <c r="E104" s="212"/>
      <c r="F104" s="212"/>
      <c r="G104" s="212"/>
      <c r="H104" s="212"/>
      <c r="I104" s="213"/>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30</v>
      </c>
      <c r="B107" s="228" t="s">
        <v>46</v>
      </c>
      <c r="C107" s="228"/>
      <c r="D107" s="228"/>
      <c r="E107" s="228"/>
      <c r="F107" s="228"/>
      <c r="G107" s="228"/>
      <c r="H107" s="228"/>
      <c r="I107" s="228"/>
    </row>
    <row r="108" spans="1:9" ht="18.75" customHeight="1" x14ac:dyDescent="0.15">
      <c r="A108" s="4"/>
      <c r="B108" s="208" t="s">
        <v>135</v>
      </c>
      <c r="C108" s="209"/>
      <c r="D108" s="209"/>
      <c r="E108" s="209"/>
      <c r="F108" s="209"/>
      <c r="G108" s="209"/>
      <c r="H108" s="209"/>
      <c r="I108" s="210"/>
    </row>
    <row r="109" spans="1:9" ht="18.75" customHeight="1" x14ac:dyDescent="0.15">
      <c r="A109" s="4"/>
      <c r="B109" s="211"/>
      <c r="C109" s="212"/>
      <c r="D109" s="212"/>
      <c r="E109" s="212"/>
      <c r="F109" s="212"/>
      <c r="G109" s="212"/>
      <c r="H109" s="212"/>
      <c r="I109" s="213"/>
    </row>
    <row r="110" spans="1:9" ht="18.75" customHeight="1" x14ac:dyDescent="0.15">
      <c r="A110" s="4"/>
      <c r="B110" s="211"/>
      <c r="C110" s="212"/>
      <c r="D110" s="212"/>
      <c r="E110" s="212"/>
      <c r="F110" s="212"/>
      <c r="G110" s="212"/>
      <c r="H110" s="212"/>
      <c r="I110" s="213"/>
    </row>
    <row r="111" spans="1:9" ht="18.75" customHeight="1" x14ac:dyDescent="0.15">
      <c r="A111" s="4"/>
      <c r="B111" s="211"/>
      <c r="C111" s="212"/>
      <c r="D111" s="212"/>
      <c r="E111" s="212"/>
      <c r="F111" s="212"/>
      <c r="G111" s="212"/>
      <c r="H111" s="212"/>
      <c r="I111" s="213"/>
    </row>
    <row r="112" spans="1:9" ht="18.75" customHeight="1" x14ac:dyDescent="0.15">
      <c r="A112" s="4"/>
      <c r="B112" s="211"/>
      <c r="C112" s="212"/>
      <c r="D112" s="212"/>
      <c r="E112" s="212"/>
      <c r="F112" s="212"/>
      <c r="G112" s="212"/>
      <c r="H112" s="212"/>
      <c r="I112" s="213"/>
    </row>
    <row r="113" spans="1:9" ht="18.75" customHeight="1" x14ac:dyDescent="0.15">
      <c r="A113" s="4"/>
      <c r="B113" s="211"/>
      <c r="C113" s="212"/>
      <c r="D113" s="212"/>
      <c r="E113" s="212"/>
      <c r="F113" s="212"/>
      <c r="G113" s="212"/>
      <c r="H113" s="212"/>
      <c r="I113" s="213"/>
    </row>
    <row r="114" spans="1:9" ht="18.75" customHeight="1" x14ac:dyDescent="0.15">
      <c r="A114" s="4"/>
      <c r="B114" s="211"/>
      <c r="C114" s="212"/>
      <c r="D114" s="212"/>
      <c r="E114" s="212"/>
      <c r="F114" s="212"/>
      <c r="G114" s="212"/>
      <c r="H114" s="212"/>
      <c r="I114" s="213"/>
    </row>
    <row r="115" spans="1:9" ht="18.75" customHeight="1" x14ac:dyDescent="0.15">
      <c r="A115" s="4"/>
      <c r="B115" s="211"/>
      <c r="C115" s="212"/>
      <c r="D115" s="212"/>
      <c r="E115" s="212"/>
      <c r="F115" s="212"/>
      <c r="G115" s="212"/>
      <c r="H115" s="212"/>
      <c r="I115" s="213"/>
    </row>
    <row r="116" spans="1:9" ht="18.75" customHeight="1" x14ac:dyDescent="0.15">
      <c r="A116" s="4"/>
      <c r="B116" s="211"/>
      <c r="C116" s="212"/>
      <c r="D116" s="212"/>
      <c r="E116" s="212"/>
      <c r="F116" s="212"/>
      <c r="G116" s="212"/>
      <c r="H116" s="212"/>
      <c r="I116" s="213"/>
    </row>
    <row r="117" spans="1:9" ht="18.75" customHeight="1" x14ac:dyDescent="0.15">
      <c r="A117" s="4"/>
      <c r="B117" s="211"/>
      <c r="C117" s="212"/>
      <c r="D117" s="212"/>
      <c r="E117" s="212"/>
      <c r="F117" s="212"/>
      <c r="G117" s="212"/>
      <c r="H117" s="212"/>
      <c r="I117" s="213"/>
    </row>
    <row r="118" spans="1:9" ht="18.75" customHeight="1" x14ac:dyDescent="0.15">
      <c r="A118" s="4"/>
      <c r="B118" s="211"/>
      <c r="C118" s="212"/>
      <c r="D118" s="212"/>
      <c r="E118" s="212"/>
      <c r="F118" s="212"/>
      <c r="G118" s="212"/>
      <c r="H118" s="212"/>
      <c r="I118" s="213"/>
    </row>
    <row r="119" spans="1:9" ht="18.75" customHeight="1" x14ac:dyDescent="0.15">
      <c r="A119" s="4"/>
      <c r="B119" s="214"/>
      <c r="C119" s="215"/>
      <c r="D119" s="215"/>
      <c r="E119" s="215"/>
      <c r="F119" s="215"/>
      <c r="G119" s="215"/>
      <c r="H119" s="215"/>
      <c r="I119" s="216"/>
    </row>
    <row r="120" spans="1:9" ht="7.5" customHeight="1" x14ac:dyDescent="0.15">
      <c r="A120" s="4"/>
      <c r="B120" s="30"/>
      <c r="C120" s="30"/>
      <c r="D120" s="30"/>
      <c r="E120" s="30"/>
      <c r="F120" s="30"/>
      <c r="G120" s="30"/>
      <c r="H120" s="30"/>
      <c r="I120" s="30"/>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1"/>
      <c r="B134" s="31"/>
      <c r="C134" s="31"/>
      <c r="D134" s="31"/>
      <c r="E134" s="31"/>
      <c r="F134" s="31"/>
      <c r="G134" s="31"/>
      <c r="H134" s="31"/>
      <c r="I134" s="31"/>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A33" sqref="A33:S3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1" t="s">
        <v>105</v>
      </c>
    </row>
    <row r="2" spans="1:9" ht="18.75" customHeight="1" x14ac:dyDescent="0.15">
      <c r="H2" s="21" t="s">
        <v>109</v>
      </c>
      <c r="I2" s="20" t="str">
        <f>'様式１　プログラムを構成する授業科目'!C2</f>
        <v>京都文教大学</v>
      </c>
    </row>
    <row r="3" spans="1:9" ht="18.75" customHeight="1" x14ac:dyDescent="0.15">
      <c r="A3" s="178" t="s">
        <v>28</v>
      </c>
      <c r="B3" s="178"/>
      <c r="C3" s="178"/>
      <c r="D3" s="178"/>
      <c r="E3" s="178"/>
      <c r="F3" s="178"/>
      <c r="G3" s="178"/>
      <c r="H3" s="178"/>
      <c r="I3" s="178"/>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46" t="s">
        <v>155</v>
      </c>
      <c r="C6" s="281"/>
      <c r="D6" s="281"/>
      <c r="E6" s="281"/>
      <c r="F6" s="281"/>
      <c r="G6" s="281"/>
      <c r="H6" s="282"/>
      <c r="I6" s="3"/>
    </row>
    <row r="7" spans="1:9" ht="9" customHeight="1" x14ac:dyDescent="0.15">
      <c r="A7" s="5"/>
      <c r="B7" s="10"/>
      <c r="C7" s="10"/>
      <c r="D7" s="10"/>
      <c r="E7" s="10"/>
      <c r="F7" s="10"/>
      <c r="G7" s="10"/>
      <c r="H7" s="10"/>
      <c r="I7" s="3"/>
    </row>
    <row r="8" spans="1:9" ht="18.75" customHeight="1" x14ac:dyDescent="0.15">
      <c r="A8" s="5"/>
      <c r="B8" s="3"/>
      <c r="C8" s="3"/>
      <c r="D8" s="21" t="s">
        <v>43</v>
      </c>
      <c r="E8" s="22" t="s">
        <v>128</v>
      </c>
      <c r="F8" s="3"/>
      <c r="G8" s="21" t="s">
        <v>10</v>
      </c>
      <c r="H8" s="22" t="s">
        <v>154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229" t="s">
        <v>24</v>
      </c>
      <c r="C11" s="280"/>
      <c r="D11" s="230"/>
      <c r="E11" s="280" t="s">
        <v>26</v>
      </c>
      <c r="F11" s="280"/>
      <c r="G11" s="280"/>
      <c r="H11" s="280"/>
      <c r="I11" s="230"/>
    </row>
    <row r="12" spans="1:9" ht="26.25" customHeight="1" x14ac:dyDescent="0.15">
      <c r="B12" s="32" t="s">
        <v>14</v>
      </c>
      <c r="C12" s="38"/>
      <c r="D12" s="33"/>
      <c r="E12" s="39"/>
      <c r="F12" s="39"/>
      <c r="G12" s="39"/>
      <c r="H12" s="39"/>
      <c r="I12" s="33"/>
    </row>
    <row r="13" spans="1:9" ht="210.75" customHeight="1" x14ac:dyDescent="0.15">
      <c r="B13" s="34"/>
      <c r="C13" s="257" t="s">
        <v>15</v>
      </c>
      <c r="D13" s="258"/>
      <c r="E13" s="272" t="s">
        <v>146</v>
      </c>
      <c r="F13" s="259"/>
      <c r="G13" s="259"/>
      <c r="H13" s="259"/>
      <c r="I13" s="260"/>
    </row>
    <row r="14" spans="1:9" ht="210.75" customHeight="1" x14ac:dyDescent="0.15">
      <c r="B14" s="34"/>
      <c r="C14" s="278" t="s">
        <v>16</v>
      </c>
      <c r="D14" s="279"/>
      <c r="E14" s="272" t="s">
        <v>156</v>
      </c>
      <c r="F14" s="259"/>
      <c r="G14" s="259"/>
      <c r="H14" s="259"/>
      <c r="I14" s="260"/>
    </row>
    <row r="15" spans="1:9" ht="210.75" customHeight="1" x14ac:dyDescent="0.15">
      <c r="B15" s="34"/>
      <c r="C15" s="257" t="s">
        <v>17</v>
      </c>
      <c r="D15" s="258"/>
      <c r="E15" s="272" t="s">
        <v>157</v>
      </c>
      <c r="F15" s="273"/>
      <c r="G15" s="273"/>
      <c r="H15" s="273"/>
      <c r="I15" s="274"/>
    </row>
    <row r="16" spans="1:9" ht="210.75" customHeight="1" x14ac:dyDescent="0.15">
      <c r="B16" s="34"/>
      <c r="C16" s="257" t="s">
        <v>18</v>
      </c>
      <c r="D16" s="258"/>
      <c r="E16" s="275" t="s">
        <v>153</v>
      </c>
      <c r="F16" s="276"/>
      <c r="G16" s="276"/>
      <c r="H16" s="276"/>
      <c r="I16" s="277"/>
    </row>
    <row r="17" spans="2:9" ht="210.75" customHeight="1" x14ac:dyDescent="0.15">
      <c r="B17" s="35"/>
      <c r="C17" s="261" t="s">
        <v>19</v>
      </c>
      <c r="D17" s="262"/>
      <c r="E17" s="275" t="s">
        <v>150</v>
      </c>
      <c r="F17" s="276"/>
      <c r="G17" s="276"/>
      <c r="H17" s="276"/>
      <c r="I17" s="277"/>
    </row>
    <row r="18" spans="2:9" ht="24" customHeight="1" x14ac:dyDescent="0.15">
      <c r="B18" s="32" t="s">
        <v>20</v>
      </c>
      <c r="C18" s="36"/>
      <c r="D18" s="37"/>
      <c r="E18" s="60"/>
      <c r="F18" s="60"/>
      <c r="G18" s="60"/>
      <c r="H18" s="60"/>
      <c r="I18" s="61"/>
    </row>
    <row r="19" spans="2:9" ht="218.25" customHeight="1" x14ac:dyDescent="0.15">
      <c r="B19" s="34"/>
      <c r="C19" s="257" t="s">
        <v>21</v>
      </c>
      <c r="D19" s="258"/>
      <c r="E19" s="259" t="s">
        <v>149</v>
      </c>
      <c r="F19" s="259"/>
      <c r="G19" s="259"/>
      <c r="H19" s="259"/>
      <c r="I19" s="260"/>
    </row>
    <row r="20" spans="2:9" ht="218.25" customHeight="1" x14ac:dyDescent="0.15">
      <c r="B20" s="35"/>
      <c r="C20" s="261" t="s">
        <v>22</v>
      </c>
      <c r="D20" s="262"/>
      <c r="E20" s="263" t="s">
        <v>148</v>
      </c>
      <c r="F20" s="264"/>
      <c r="G20" s="264"/>
      <c r="H20" s="264"/>
      <c r="I20" s="265"/>
    </row>
    <row r="21" spans="2:9" ht="218.25" customHeight="1" x14ac:dyDescent="0.15">
      <c r="B21" s="266" t="s">
        <v>23</v>
      </c>
      <c r="C21" s="267"/>
      <c r="D21" s="268"/>
      <c r="E21" s="269" t="s">
        <v>147</v>
      </c>
      <c r="F21" s="270"/>
      <c r="G21" s="270"/>
      <c r="H21" s="270"/>
      <c r="I21" s="271"/>
    </row>
    <row r="22" spans="2:9" ht="218.25" customHeight="1" x14ac:dyDescent="0.15">
      <c r="B22" s="252" t="s">
        <v>38</v>
      </c>
      <c r="C22" s="253"/>
      <c r="D22" s="254"/>
      <c r="E22" s="255" t="s">
        <v>137</v>
      </c>
      <c r="F22" s="255"/>
      <c r="G22" s="255"/>
      <c r="H22" s="255"/>
      <c r="I22" s="25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m_user</cp:lastModifiedBy>
  <cp:lastPrinted>2023-08-05T03:49:33Z</cp:lastPrinted>
  <dcterms:created xsi:type="dcterms:W3CDTF">2011-06-14T05:32:50Z</dcterms:created>
  <dcterms:modified xsi:type="dcterms:W3CDTF">2023-08-05T03:57:15Z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