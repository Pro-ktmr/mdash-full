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00_全学教育推進機構\M-DASH\M-DASHリテラシー申請\★申請資料（文科省提出資料）\甲南大学（230628修正提出）\"/>
    </mc:Choice>
  </mc:AlternateContent>
  <bookViews>
    <workbookView xWindow="0" yWindow="0" windowWidth="23040" windowHeight="9096"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F50" i="41" l="1"/>
  <c r="AQ32" i="40"/>
  <c r="C49" i="41"/>
  <c r="I49" i="41"/>
  <c r="F49" i="41"/>
  <c r="C50" i="41"/>
</calcChain>
</file>

<file path=xl/sharedStrings.xml><?xml version="1.0" encoding="utf-8"?>
<sst xmlns="http://schemas.openxmlformats.org/spreadsheetml/2006/main" count="307" uniqueCount="179">
  <si>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</si>
  <si>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</si>
  <si>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</si>
  <si>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</si>
  <si>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</si>
  <si>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</si>
  <si>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</si>
  <si>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</si>
  <si>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</si>
  <si>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</si>
  <si>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</si>
  <si>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</si>
  <si>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</si>
  <si>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</si>
  <si>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</si>
  <si>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</si>
  <si>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</si>
  <si>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</si>
  <si>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</si>
  <si>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</si>
  <si>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</si>
  <si>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</si>
  <si>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</si>
  <si>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</si>
  <si>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</si>
  <si>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</si>
  <si>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</si>
  <si>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</si>
  <si>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</si>
  <si>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</si>
  <si>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</si>
  <si>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</si>
  <si>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</si>
  <si>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</si>
  <si>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</si>
  <si>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</si>
  <si>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</si>
  <si>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</si>
  <si>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</si>
  <si>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</si>
  <si>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</si>
  <si>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</si>
  <si>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</si>
  <si>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</si>
  <si>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</si>
  <si>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</si>
  <si>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</si>
  <si>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</si>
  <si>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</si>
  <si>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</si>
  <si>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</si>
  <si>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</si>
  <si>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</si>
  <si>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</si>
  <si>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</si>
  <si>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</si>
  <si>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</si>
  <si>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</si>
  <si>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</si>
  <si>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</si>
  <si>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</si>
  <si>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</si>
  <si>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</si>
  <si>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</si>
  <si>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</si>
  <si>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</si>
  <si>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</si>
  <si>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</si>
  <si>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</si>
  <si>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</si>
  <si>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</si>
  <si>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</si>
  <si>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</si>
  <si>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</si>
  <si>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</si>
  <si>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</si>
  <si>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</si>
  <si>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</si>
  <si>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</si>
  <si>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</si>
  <si>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</si>
  <si>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</si>
  <si>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</si>
  <si>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</si>
  <si>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</si>
  <si>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</si>
  <si>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</si>
  <si>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</si>
  <si>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</si>
  <si>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</si>
  <si>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</si>
  <si>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</si>
  <si>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</si>
  <si>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</si>
  <si>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</si>
  <si>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</si>
  <si>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</si>
  <si>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</si>
  <si>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</si>
  <si>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</si>
  <si>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</si>
  <si>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</si>
  <si>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</si>
  <si>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</si>
  <si>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</si>
  <si>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</si>
  <si>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</si>
  <si>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</si>
  <si>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</si>
  <si>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</si>
  <si>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</si>
  <si>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</si>
  <si>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</si>
  <si>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</si>
  <si>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</si>
  <si>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</si>
  <si>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</si>
  <si>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</si>
  <si>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</si>
  <si>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</si>
  <si>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</si>
  <si>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</si>
  <si>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</si>
  <si>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</si>
  <si>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</si>
  <si>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</si>
  <si>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</si>
  <si>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甲南大学</t>
    <rPh sb="0" eb="2">
      <t>コウナン</t>
    </rPh>
    <rPh sb="2" eb="4">
      <t>ダイガク</t>
    </rPh>
    <phoneticPr fontId="1"/>
  </si>
  <si>
    <t>KONAN 数理・データサイエンス・AI教育プログラム</t>
    <rPh sb="6" eb="8">
      <t>スウリ</t>
    </rPh>
    <rPh sb="20" eb="22">
      <t>キョウイク</t>
    </rPh>
    <phoneticPr fontId="1"/>
  </si>
  <si>
    <t>学部・学科によって、修了要件は相違しない</t>
  </si>
  <si>
    <t>「AI・データサイエンス入門」の単位（2単位）を修得すること。　
「AI・データサイエンス入門」では、次の4つの基礎的なリテラシー能力を修得することを科目における到達目標とし、授業回ごとに課される合計15回の課題の成績に基づき単位を認定する。
• AI・データサイエンスの歴史および現状に関する基本的な理解
• 最先端のAI・データサイエンス技術の実例を通じた今後の展望の理解
• 表計算ソフトを活用した基礎的な統計処理によるデータの可視化方法の習得
• 情報セキュリティに関する基礎的な知識の習得と，データの収集と適正な管理のための知識の習得</t>
    <rPh sb="20" eb="22">
      <t>タンイ</t>
    </rPh>
    <phoneticPr fontId="1"/>
  </si>
  <si>
    <t>AI・データサイエンス入門</t>
    <phoneticPr fontId="1"/>
  </si>
  <si>
    <t>○</t>
  </si>
  <si>
    <t>4‐3データ構造とプログラミング基礎</t>
  </si>
  <si>
    <t>4‐8データ活用実践（教師あり学習）</t>
  </si>
  <si>
    <t>情報セキュリティ　機密性、完全性、可用性、匿名加工情報、暗号化、パスワード、悪意ある情報搾取（フィッシングなど）、情報漏洩等によるセキュリティ事故の事例紹介「データサイエンス入門」（第11回）</t>
    <phoneticPr fontId="1"/>
  </si>
  <si>
    <t>• AI・データサイエンスの歴史および現状に関する基本的な理解
• 最先端のAI・データサイエンス技術の実例を通じた今後の展望の理解
• 表計算ソフトを活用した基礎的な統計処理によるデータの可視化方法の習得
• 情報セキュリティに関する基礎的な知識の習得と，データの収集と適正な管理のための知識の習得</t>
    <phoneticPr fontId="1"/>
  </si>
  <si>
    <t>令和４</t>
    <rPh sb="0" eb="2">
      <t>レイワ</t>
    </rPh>
    <phoneticPr fontId="1"/>
  </si>
  <si>
    <t>文学部</t>
    <rPh sb="0" eb="3">
      <t>ブンガクブ</t>
    </rPh>
    <phoneticPr fontId="1"/>
  </si>
  <si>
    <t>理工学部</t>
    <rPh sb="0" eb="2">
      <t>リコウ</t>
    </rPh>
    <rPh sb="2" eb="4">
      <t>ガクブ</t>
    </rPh>
    <phoneticPr fontId="1"/>
  </si>
  <si>
    <t>経済学部</t>
    <rPh sb="0" eb="2">
      <t>ケイザイ</t>
    </rPh>
    <rPh sb="2" eb="4">
      <t>ガクブ</t>
    </rPh>
    <phoneticPr fontId="1"/>
  </si>
  <si>
    <t>法学部</t>
    <rPh sb="0" eb="3">
      <t>ホウガクブ</t>
    </rPh>
    <phoneticPr fontId="1"/>
  </si>
  <si>
    <t>経営学部</t>
    <rPh sb="0" eb="2">
      <t>ケイエイ</t>
    </rPh>
    <rPh sb="2" eb="4">
      <t>ガクブ</t>
    </rPh>
    <phoneticPr fontId="1"/>
  </si>
  <si>
    <t>知能情報学部</t>
    <rPh sb="0" eb="2">
      <t>チノウ</t>
    </rPh>
    <rPh sb="2" eb="4">
      <t>ジョウホウ</t>
    </rPh>
    <rPh sb="4" eb="6">
      <t>ガクブ</t>
    </rPh>
    <phoneticPr fontId="1"/>
  </si>
  <si>
    <t>マネジメント創造学部</t>
    <rPh sb="6" eb="8">
      <t>ソウゾウ</t>
    </rPh>
    <rPh sb="8" eb="10">
      <t>ガクブ</t>
    </rPh>
    <phoneticPr fontId="1"/>
  </si>
  <si>
    <t>フロンティアサイエンス学部</t>
    <rPh sb="11" eb="13">
      <t>ガクブ</t>
    </rPh>
    <phoneticPr fontId="1"/>
  </si>
  <si>
    <t>高　龍秀</t>
    <rPh sb="0" eb="1">
      <t>コウ</t>
    </rPh>
    <rPh sb="2" eb="3">
      <t>リュウ</t>
    </rPh>
    <rPh sb="3" eb="4">
      <t>シュウ</t>
    </rPh>
    <phoneticPr fontId="1"/>
  </si>
  <si>
    <t>甲南大学内部質保証規程・個別内部質保証委員会に関する内規</t>
    <phoneticPr fontId="1"/>
  </si>
  <si>
    <t>本プログラム科目の開講初年度の履修者数は400名を目標としたところ、その約1.1倍の445名が履修登録をした。令和5年度以降はその1.1倍にあたる490名の履修を目標としたい。目標を実現するために、大学公式ホームページに立ち上げた「数理・データサイエンス・AI教育プログラム」のページや入学前に新入生特設サイトを通じてプログラムの紹介を積極的に行って入学予定者への訴求を行うとともに、入学後も学内広報（ポータルサイト（My KONAN）での周知、履修要項での記載、パンフレット等の配付）を積極的に実施することで、本プログラム科目の履修者数・履修者率を向上させる。なお、学則上初年次教育に位置付けられる科目となっているが、2年次以上の学生への告知を継続的に行うことで、更なる履修者数・履修者率の向上を目指す。</t>
    <phoneticPr fontId="1"/>
  </si>
  <si>
    <t>本プログラム科目はすべての学生が1年次より受講できるように配当年次を設定している。またオンデマンド形式での授業となっており、希望する学生が全員受講可能な体制を整えている。</t>
    <phoneticPr fontId="1"/>
  </si>
  <si>
    <t>本プログラムの授業についてはオンデマンド形式となっており、動画資料、スライド資料、課題は本学の教育支援システムであるMy KONANに集約され、授業回毎に定められた期間内であれば何度も視聴することで理解を促す体制が整っている。</t>
    <phoneticPr fontId="1"/>
  </si>
  <si>
    <t>授業に対する理解の程度や感想、コメントを募集することで、履修学生の進捗度などを把握し必要に応じた対応ができるように措置している。また、本学の教育支援システムMy KONANの質問機能を用いて学生からの質問対応を行っている。</t>
    <phoneticPr fontId="1"/>
  </si>
  <si>
    <t>学生へのアンケートで，『授業を履修して、「ＡＩ・データサイエンス入門」の履修を後輩学生に勧めたいですか？』と直接質問する項目を立てて調査を実施した．その結果，252名の回答があり，64.5%の学生が「勧めたい・どちらかといえば勧めたい」と回答した．他のアンケート項目で「課題の分量が多い・やや多い」と考えている学生が半数程度おり，これがやや低い推奨度につながっている可能性がある．一方，このような課題をこなした結果が「知識が深まった・能力が高まった」という前述のポジティブな回答につながっているとも考えられるため，学習成果は保ちつつ課題の分量や内容を見直し，授業の質と学生の満足度の適切なバランスを調整していく．</t>
    <phoneticPr fontId="1"/>
  </si>
  <si>
    <t>初年度の実績として，当初400名の履修者を想定して準備を実施したが，最終的に445名の履修者を得ることができた．次年度より，履修者数・履修率の向上に向けた計画の中で立案された内容について，順次遂行し，履修者増・履修率の向上を図る．具体的には，入学前の段階での新入生特設サイトを通じたプログラムの紹介，入学後における学内広報を通じた周知，履修要項での記載，パンフレット等の配付）である．並行して2年次以上の学生への告知も継続的に実施する．</t>
    <phoneticPr fontId="1"/>
  </si>
  <si>
    <t>本授業では，「学ぶ楽しさ」を，概念だけではなく実習による体験を通じて学生に提供する．また，「学ぶことの意義」を，机上の空論にとどまらず，身近な事例によるデータサイエンスの有用性を感じ取ることができる題材を通じて学生に提供する．このため，本授業では，教材や取り上げる内容について継続的に見直しを行い，可能な範囲で最新の話題やトレンドに沿った題材を取り入れ，学生からのアンケート結果も参考に内容に調整を加える．これにより，学生にとって身近な題材がデータサイエンスの視点を通してどのように捉えられるかを，体験的に学ぶことができる授業を目指す．</t>
    <phoneticPr fontId="1"/>
  </si>
  <si>
    <t>全学共通教育センター所長・学長補佐</t>
    <rPh sb="0" eb="2">
      <t>ゼンガク</t>
    </rPh>
    <rPh sb="2" eb="4">
      <t>キョウツウ</t>
    </rPh>
    <rPh sb="4" eb="6">
      <t>キョウイク</t>
    </rPh>
    <rPh sb="10" eb="12">
      <t>ショチョウ</t>
    </rPh>
    <rPh sb="13" eb="15">
      <t>ガクチョウ</t>
    </rPh>
    <rPh sb="15" eb="17">
      <t>ホサ</t>
    </rPh>
    <phoneticPr fontId="1"/>
  </si>
  <si>
    <t>全学教育推進機構 組織別内部質保証委員会</t>
    <rPh sb="0" eb="8">
      <t>ゼンガクキョウイクスイシンキコウ</t>
    </rPh>
    <rPh sb="9" eb="11">
      <t>ソシキ</t>
    </rPh>
    <rPh sb="11" eb="12">
      <t>ベツ</t>
    </rPh>
    <rPh sb="12" eb="14">
      <t>ナイブ</t>
    </rPh>
    <rPh sb="14" eb="15">
      <t>シツ</t>
    </rPh>
    <rPh sb="15" eb="17">
      <t>ホショウ</t>
    </rPh>
    <rPh sb="17" eb="20">
      <t>イインカイ</t>
    </rPh>
    <phoneticPr fontId="1"/>
  </si>
  <si>
    <t>佐藤泰弘</t>
    <rPh sb="0" eb="2">
      <t>サトウ</t>
    </rPh>
    <rPh sb="2" eb="4">
      <t>ヤスヒロ</t>
    </rPh>
    <phoneticPr fontId="1"/>
  </si>
  <si>
    <t>全学教育推進機構長、副学長</t>
    <rPh sb="0" eb="8">
      <t>ゼンガクキョウイクスイシンキコウ</t>
    </rPh>
    <rPh sb="8" eb="9">
      <t>チョウ</t>
    </rPh>
    <rPh sb="10" eb="13">
      <t>フクガクチョウ</t>
    </rPh>
    <phoneticPr fontId="1"/>
  </si>
  <si>
    <t>全学共通教育センター 組織別内部質保証委員会</t>
    <rPh sb="2" eb="4">
      <t>キョウツウ</t>
    </rPh>
    <rPh sb="4" eb="6">
      <t>キョウイク</t>
    </rPh>
    <phoneticPr fontId="1"/>
  </si>
  <si>
    <r>
      <t>「全学共通教育センター 組織別内部質保証委員会」は、本大学の方針に基づく全学共通教育センターの目的・目標の実現に向けて活動し、絶えず自主・自律的な自己点検・評価活動を行い、組織及び活動の改善・向上に取組むことを目的としている。
本プログラムを構成する授業科目（以下、「本プログラム科目」）が全学共通教育センター開講科目であることから</t>
    </r>
    <r>
      <rPr>
        <sz val="12"/>
        <rFont val="ＭＳ Ｐゴシック"/>
        <family val="3"/>
        <charset val="128"/>
        <scheme val="minor"/>
      </rPr>
      <t>、授業担当者による授業運営におけるPDCAサイクルを確認・検証し、改善に向けたフィードバックを行うことで本プログラムの改善・進化を推進していく。</t>
    </r>
    <rPh sb="12" eb="14">
      <t>ソシキ</t>
    </rPh>
    <rPh sb="14" eb="15">
      <t>ベツ</t>
    </rPh>
    <rPh sb="15" eb="17">
      <t>ナイブ</t>
    </rPh>
    <rPh sb="17" eb="18">
      <t>シツ</t>
    </rPh>
    <rPh sb="18" eb="20">
      <t>ホショウ</t>
    </rPh>
    <rPh sb="20" eb="23">
      <t>イインカイ</t>
    </rPh>
    <rPh sb="36" eb="38">
      <t>ゼンガク</t>
    </rPh>
    <rPh sb="38" eb="40">
      <t>キョウツウ</t>
    </rPh>
    <rPh sb="40" eb="42">
      <t>キョウイク</t>
    </rPh>
    <rPh sb="218" eb="219">
      <t>ホン</t>
    </rPh>
    <rPh sb="225" eb="227">
      <t>カイゼン</t>
    </rPh>
    <rPh sb="228" eb="230">
      <t>シンカ</t>
    </rPh>
    <phoneticPr fontId="1"/>
  </si>
  <si>
    <t>⑧に記載の通り、令和4年度には学生に対して本プログラム科目の履修を促す情報提供を実施することで、一定の効果を上げている。今後は大学公式ホームページに立ち上げた「数理・データサイエンス・AI教育プログラム」のページや新入生特設サイト等で本プログラム科目に関する記事を充実させていくことで、入学予定者へのさらなる訴求を行っていく。</t>
    <rPh sb="115" eb="116">
      <t>トウ</t>
    </rPh>
    <phoneticPr fontId="1"/>
  </si>
  <si>
    <t>前述の通り，出題した課題の採点状況から，合格した学生についてはほぼすべての授業回について，学習期間内に課題の提出が実現された．また，合格者の平均点は78.8点であり，課題の内容理解においても，十分な成果が得られているものと考えられる．授業後に実施したアンケート調査における「この授業を通じて，知識が深まった，能力が高まったと感じますか」という質問項目については，252名の回答中，73.4%の学生が「そう思う・どちらかといえばそう思う」のポジティブな回答となった．以上のことから，本授業で学習者が授業内容について学びを深め，その成果をきちんと身に付ける状況が実現できているものと考えられる．</t>
  </si>
  <si>
    <t>授業後に学生に対して実施したアンケート調査では，「この授業に意欲的にとりくみましたか？」という質問に対して，252名の回答があり，75.0%の学生が「そう思う・どちらかといえばそう思う」のポジティブな回答となった．また，「授業を履修するにあたり、教員からの指示はよくわかりましたか？」という質問に対しては，253名が回答しており，75.9%の学生が「そう思う・どちらかといえばそう思う」のポジティブな回答となった．履修・習得状況にて紹介した成績の分布状況も鑑みると，本授業に真剣に取り組み，合格の評定を得た学生については，十分な理解が得られているものと考えられる．</t>
  </si>
  <si>
    <t>授業後に実施したアンケートでは，「テキストおよび講義資料等は、授業を理解するために十分な分量・内容だったと思いますか？」の質問では，252名の回答があり，64.7%の学生が，「そう思う・どちらかといえばそう思う」と回答している．この結果を踏まえ，各授業回における課題の得点状況も鑑み，実習内容について継続的な見直しを実施する．また，学内外のFD活動やデータサイエンス教育を扱う学会誌などを通じた，入門者向けのデータサイエンス教育における教示方略や魅力的な題材に関する情報の入手と活用についても実施する．</t>
    <rPh sb="116" eb="118">
      <t>ケッカ</t>
    </rPh>
    <rPh sb="119" eb="120">
      <t>フ</t>
    </rPh>
    <phoneticPr fontId="1"/>
  </si>
  <si>
    <t>本プログラムにおける学生の受講状況，そして受講後に収集したアンケートから，プログラムの履修・修得情報は次のようにまとめることができる．学習マネジメントシステム上での履修者は445名となり，このうち338名が合格し単位を取得した．合格となった学生の平均点は，78.8点となっており，成績の分布は秀：10%，優：28%，良：25%，可：14%，不可：24%となった．本授業では，指定された期間内に教材を閲覧し，出題された課題についても期限内の提出が求められる．学習マネジメントシステムからは，合格した学生の平均課題提出数14.6回（総課題数は15回）となっており，「可」以上の評定を受けた学生は，学習コースの内容について漏れなく十分に取り組んだものと考えられる．</t>
    <rPh sb="264" eb="265">
      <t>ソウ</t>
    </rPh>
    <rPh sb="265" eb="267">
      <t>カダイ</t>
    </rPh>
    <rPh sb="271" eb="272">
      <t>カイ</t>
    </rPh>
    <phoneticPr fontId="1"/>
  </si>
  <si>
    <t>（本プログラムの内容・手法等に関し，ジェネリックスキルを測定するPROGテストを開発する株式会社リアセック様よりいただいた意見は以下の通り）
文系学生も含めたすべての学生向けに提供される「AI・データサイエンス」の入門的学習プログラムとして，体系的かつ実践的な構成が組まれており，極めて効果的な授業であると評価されます．各自がそれぞれのスピードで，確認クイズを踏まえながら学習を進められることに加えて，随時質問できる環境を整えている点も，自己調整学習に対応した優れた授業運営と考えられます．
内容的には，第４回～第８回のエクセルを用いたデータハンドリングの実習の効果は高く，とりわけ，、第7・8回に布置された「活用編」の内容は，研究活動においても有効性が高く，データハンドリングスキルはもちろん，論理的思考力（特に非言語処理力）の育成にも効果的と思われます．続く，第9回～第11回でセキュリティについて学んだ後に，第12回以降でPythonを使ったプログラミングを学習する展開は，社会ニーズに合致しており実践的です．特に，scikit-learnライブラリーを使って機械学習まで経験させている点は，リテラシーレベルの学習としての完成度の高さを感じます．
一方で，第５回などで統計的検定の話題も触れられると，さらに，完成度が高まるように感じます．エクセル関数を使って，簡便に平均値の差や，独立性に関する検定を実践する回を組み込んでも良いかと思います．</t>
    <rPh sb="1" eb="2">
      <t>ホン</t>
    </rPh>
    <rPh sb="8" eb="10">
      <t>ナイヨウ</t>
    </rPh>
    <rPh sb="11" eb="13">
      <t>シュホウ</t>
    </rPh>
    <rPh sb="13" eb="14">
      <t>トウ</t>
    </rPh>
    <rPh sb="15" eb="16">
      <t>カン</t>
    </rPh>
    <rPh sb="28" eb="30">
      <t>ソクテイ</t>
    </rPh>
    <rPh sb="40" eb="42">
      <t>カイハツ</t>
    </rPh>
    <rPh sb="44" eb="48">
      <t>カブシキガイシャ</t>
    </rPh>
    <rPh sb="53" eb="54">
      <t>サマ</t>
    </rPh>
    <rPh sb="61" eb="63">
      <t>イケン</t>
    </rPh>
    <rPh sb="64" eb="66">
      <t>イカ</t>
    </rPh>
    <rPh sb="67" eb="68">
      <t>トオ</t>
    </rPh>
    <phoneticPr fontId="1"/>
  </si>
  <si>
    <t>本教育プログラムは2022年度にスタートし，低年次の履修生が多いことから，修了者の進路，活躍状況，企業等での評価を得るまでには至っていないが，今後はキャリアセンターと連携し，分析を進めていきたい．</t>
    <phoneticPr fontId="1"/>
  </si>
  <si>
    <t>委員長：高龍秀（全学共通教育センター所長・教授、学長補佐）
鵤木千加子（全学共通教育センター副所長・教授）、
上記の他、
伊東浩司(教授)、伊庭緑(教授)、梅本剛正(教授)、桂豊(教授)、金泰虎(教授)、久保はるか(教授)、胡金定(教授)、定金浩一(教授)、曽我部晋哉(教授)、谷守正寛(教授)、中村典子(教授)、西川耕平(教授)、野村和宏(教授)、鳩貝耕一(教授)、古田清和(教授)、MACHThomas(教授)、水澤克子(教授)、山崎俊輔(教授)、吉川歩(教授)、吉本忠弘(教授)、石井康一(准教授)、WANGMarian(准教授)、KIRKStanleyA(准教授)、小西幸男(准教授)、篠田有史(准教授)、千葉美保子(准教授)、野村幸宏(准教授)、山本貴揚(准教授)、吉田桂子(准教授)、武田佳久(特任教授)、長谷川雄彦(特任教授)、宮川貴美子(特任教授)、岡村こず恵(特任准教授)、西浦太郎(特任准教授)、山本シャーリ(特任講師)</t>
    <rPh sb="0" eb="2">
      <t>イイン</t>
    </rPh>
    <rPh sb="2" eb="3">
      <t>チョウ</t>
    </rPh>
    <rPh sb="24" eb="26">
      <t>ガクチョウ</t>
    </rPh>
    <rPh sb="26" eb="28">
      <t>ホサ</t>
    </rPh>
    <rPh sb="55" eb="57">
      <t>ジョウキ</t>
    </rPh>
    <rPh sb="58" eb="59">
      <t>ホカ</t>
    </rPh>
    <phoneticPr fontId="1"/>
  </si>
  <si>
    <t>調査データ、ログデータ、観測データ、構造化・非構造化データ「AI・データサイエンス入門」（第1回）</t>
  </si>
  <si>
    <t>研究開発、マーケティング、販売、サービスなどでのデータ・AI活用、仮説検証、知識発見「AI・データサイエンス入門」（第2回）</t>
  </si>
  <si>
    <t>データ解析、非構造化データ処理「AI・データサイエンス入門」(第2回）</t>
  </si>
  <si>
    <t>AI等を活用したビジネスモデル（シェアリングエコノミーなど）、AI最新技術の活用例（敵対的生成ネットワークなど）「AI・データサイエンス入門」（第3回）</t>
  </si>
  <si>
    <t>データ分析による意思決定、データサイエンスのサイクル、「AI・データサイエンス入門」（第3回）</t>
  </si>
  <si>
    <t>ビッグデータ、第4次産業革命、Society5.0、人間の知的活動とAI「AI・データサイエンス入門」（第1回）</t>
    <phoneticPr fontId="1"/>
  </si>
  <si>
    <t>データ表現「AI・データサイエンス入門」（第4回）
データ表現、データの図表表現、データの比較、不適切なグラフ表現「AI・データサイエンス入門」（第6回）
データ表現、データの比較、優れた可視化事例の紹介「AI・データサイエンス入門」（第7回）
データ表現、データの比較、優れた可視化事例の紹介「AI・データサイエンス入門」（第8回）</t>
    <phoneticPr fontId="1"/>
  </si>
  <si>
    <t>データの集計、データの並び替えほか、データ解析ツール、表形式のデータ「AI・データサイエンス入門」（第4回）
データ解析ツール「AI・データサイエンス入門」（第6回）
データの集計、データの並び替えほか、データ解析ツール、表形式のデータ「AI・データサイエンス入門」（第7回）
データの集計、データの並び替えほか、データ解析ツール、表形式のデータ「AI・データサイエンス入門」（第8回）</t>
    <phoneticPr fontId="1"/>
  </si>
  <si>
    <t>データの種類、データの分布と代表値、代表値の性質の違い、データのばらつき、打ち切りや脱落を含むデータ、層別の必要なデータ「AI・データサイエンス入門」（第5回）
相関と因果、母集団と標本抽出、クロス集計表ほか、統計情報の正しい理解「AI・データサイエンス入門」（第6回）
データの種類、データの分布と代表値、クロス集計表ほか「AI・データサイエンス入門」（第7回）
データの種類、データの分布と代表値、データのばらつき、打ち切りや脱落を含むデータ、層別の必要なデータ、相関と因果、クロス集計表ほか「AI・データサイエンス入門」（第8回）</t>
    <phoneticPr fontId="1"/>
  </si>
  <si>
    <t>ELSI（Ethical,Legal and Social Issues)、個人情報保護、EU一般データ保護規則（GDPR)　忘れられる権利、オプトアウト権　人間中心の判断　AIサービスの責任論「AI・データサイエンス入門」（第9回）
データ倫理：データ捏造、改ざん、盗用、AI社会原則（公平性、説明責任、透明性）、データバイアス、アルゴリズムバイアス、データ・AI活用における負の事例紹介「AI・データサイエンス入門」（第10回）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</si>
</sst>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2">
    <xf numFmtId="0" fontId="0" fillId="0" borderId="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1" applyFont="1" applyBorder="1" applyAlignment="1">
      <alignment vertical="center" shrinkToFit="1"/>
    </xf>
    <xf numFmtId="38" fontId="2" fillId="0" borderId="0" xfId="1" applyFont="1" applyAlignment="1">
      <alignment vertical="center" shrinkToFit="1"/>
    </xf>
    <xf numFmtId="38" fontId="2" fillId="0" borderId="5" xfId="1" applyFont="1" applyBorder="1" applyAlignment="1">
      <alignment vertical="center" shrinkToFit="1"/>
    </xf>
    <xf numFmtId="38" fontId="2" fillId="0" borderId="53" xfId="1" applyFont="1" applyBorder="1" applyAlignment="1">
      <alignment vertical="center" shrinkToFit="1"/>
    </xf>
    <xf numFmtId="38" fontId="2" fillId="0" borderId="29" xfId="1" applyFont="1" applyBorder="1" applyAlignment="1">
      <alignment vertical="center" shrinkToFit="1"/>
    </xf>
    <xf numFmtId="38" fontId="2" fillId="0" borderId="22" xfId="1" applyFont="1" applyBorder="1" applyAlignment="1">
      <alignment vertical="center" shrinkToFit="1"/>
    </xf>
    <xf numFmtId="38" fontId="2" fillId="0" borderId="20" xfId="1" applyFont="1" applyBorder="1" applyAlignment="1">
      <alignment vertical="center" shrinkToFit="1"/>
    </xf>
    <xf numFmtId="38" fontId="2" fillId="0" borderId="19" xfId="1" applyFont="1" applyBorder="1" applyAlignment="1">
      <alignment vertical="center" shrinkToFit="1"/>
    </xf>
    <xf numFmtId="38" fontId="2" fillId="0" borderId="56" xfId="1" applyFont="1" applyBorder="1" applyAlignment="1">
      <alignment vertical="center" shrinkToFit="1"/>
    </xf>
    <xf numFmtId="38" fontId="2" fillId="0" borderId="54" xfId="1" applyFont="1" applyBorder="1" applyAlignment="1">
      <alignment vertical="center" shrinkToFit="1"/>
    </xf>
    <xf numFmtId="38" fontId="2" fillId="0" borderId="31" xfId="1" applyFont="1" applyBorder="1" applyAlignment="1">
      <alignment vertical="center" shrinkToFit="1"/>
    </xf>
    <xf numFmtId="38" fontId="2" fillId="0" borderId="18" xfId="1" applyFont="1" applyBorder="1" applyAlignment="1">
      <alignment vertical="center" shrinkToFit="1"/>
    </xf>
    <xf numFmtId="38" fontId="2" fillId="0" borderId="10" xfId="1" applyFont="1" applyBorder="1" applyAlignment="1">
      <alignment vertical="center" shrinkToFit="1"/>
    </xf>
    <xf numFmtId="38" fontId="2" fillId="0" borderId="55" xfId="1" applyFont="1" applyBorder="1" applyAlignment="1">
      <alignment vertical="center" shrinkToFit="1"/>
    </xf>
    <xf numFmtId="38" fontId="2" fillId="0" borderId="50" xfId="1" applyFont="1" applyBorder="1" applyAlignment="1">
      <alignment vertical="center" shrinkToFit="1"/>
    </xf>
    <xf numFmtId="38" fontId="2" fillId="0" borderId="27" xfId="1" applyFont="1" applyBorder="1" applyAlignment="1">
      <alignment vertical="center" shrinkToFit="1"/>
    </xf>
    <xf numFmtId="38" fontId="2" fillId="0" borderId="25" xfId="1" applyFont="1" applyBorder="1" applyAlignment="1">
      <alignment vertical="center" shrinkToFit="1"/>
    </xf>
    <xf numFmtId="38" fontId="2" fillId="0" borderId="24" xfId="1" applyFont="1" applyBorder="1" applyAlignment="1">
      <alignment vertical="center" shrinkToFit="1"/>
    </xf>
    <xf numFmtId="38" fontId="2" fillId="0" borderId="57" xfId="1" applyFont="1" applyBorder="1" applyAlignment="1">
      <alignment vertical="center" shrinkToFit="1"/>
    </xf>
    <xf numFmtId="38" fontId="2" fillId="0" borderId="32" xfId="1" applyFont="1" applyBorder="1" applyAlignment="1">
      <alignment vertical="center" shrinkToFit="1"/>
    </xf>
    <xf numFmtId="0" fontId="11" fillId="0" borderId="0" xfId="0" applyFont="1">
      <alignment vertical="center"/>
    </xf>
    <xf numFmtId="0" fontId="12" fillId="0" borderId="0" xfId="0" applyFont="1" applyAlignment="1">
      <alignment vertical="top" wrapText="1"/>
    </xf>
    <xf numFmtId="0" fontId="11" fillId="2" borderId="5" xfId="0" applyFont="1" applyFill="1" applyBorder="1">
      <alignment vertical="center"/>
    </xf>
    <xf numFmtId="0" fontId="12" fillId="2" borderId="0" xfId="0" applyFont="1" applyFill="1" applyAlignment="1">
      <alignment vertical="top" wrapText="1"/>
    </xf>
    <xf numFmtId="0" fontId="12" fillId="2" borderId="10" xfId="0" applyFont="1" applyFill="1" applyBorder="1" applyAlignment="1">
      <alignment vertical="top" wrapText="1"/>
    </xf>
    <xf numFmtId="0" fontId="11" fillId="2" borderId="0" xfId="0" applyFont="1" applyFill="1">
      <alignment vertical="center"/>
    </xf>
    <xf numFmtId="0" fontId="12" fillId="2" borderId="5" xfId="0" applyFont="1" applyFill="1" applyBorder="1" applyAlignment="1">
      <alignment vertical="top" wrapText="1"/>
    </xf>
    <xf numFmtId="0" fontId="12" fillId="2" borderId="11" xfId="0" applyFont="1" applyFill="1" applyBorder="1" applyAlignment="1">
      <alignment vertical="top" wrapText="1"/>
    </xf>
    <xf numFmtId="0" fontId="12" fillId="2" borderId="41" xfId="0" applyFont="1" applyFill="1" applyBorder="1" applyAlignment="1">
      <alignment vertical="top" wrapText="1"/>
    </xf>
    <xf numFmtId="0" fontId="12" fillId="2" borderId="42" xfId="0" applyFont="1" applyFill="1" applyBorder="1" applyAlignment="1">
      <alignment vertical="top" wrapText="1"/>
    </xf>
    <xf numFmtId="0" fontId="12" fillId="2" borderId="41" xfId="0" applyFont="1" applyFill="1" applyBorder="1" applyAlignment="1">
      <alignment vertical="top" shrinkToFit="1"/>
    </xf>
    <xf numFmtId="0" fontId="12" fillId="2" borderId="42" xfId="0" applyFont="1" applyFill="1" applyBorder="1" applyAlignment="1">
      <alignment vertical="top"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30"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11" fillId="0" borderId="7"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3" fillId="0" borderId="2" xfId="0" applyFont="1" applyBorder="1" applyAlignment="1">
      <alignment horizontal="left" vertical="center"/>
    </xf>
    <xf numFmtId="0" fontId="3" fillId="0" borderId="4" xfId="0" applyFont="1" applyBorder="1" applyAlignment="1">
      <alignment horizontal="left" vertical="center"/>
    </xf>
    <xf numFmtId="0" fontId="2" fillId="0" borderId="0" xfId="0" applyFont="1" applyAlignment="1">
      <alignment horizontal="center" vertical="center"/>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41" xfId="0" applyFont="1" applyBorder="1" applyAlignment="1">
      <alignment vertical="top" wrapText="1" shrinkToFit="1"/>
    </xf>
    <xf numFmtId="0" fontId="11" fillId="0" borderId="42" xfId="0" applyFont="1" applyBorder="1" applyAlignment="1">
      <alignment vertical="top" wrapText="1" shrinkToFit="1"/>
    </xf>
    <xf numFmtId="0" fontId="11" fillId="0" borderId="17" xfId="0" applyFont="1" applyBorder="1" applyAlignment="1">
      <alignment vertical="center" wrapText="1"/>
    </xf>
    <xf numFmtId="0" fontId="11"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11" fillId="0" borderId="58" xfId="0" applyFont="1" applyBorder="1" applyAlignment="1">
      <alignment vertical="center" wrapText="1"/>
    </xf>
    <xf numFmtId="0" fontId="11" fillId="0" borderId="38"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40" xfId="0" applyFont="1" applyBorder="1" applyAlignment="1">
      <alignment vertical="center" wrapText="1"/>
    </xf>
    <xf numFmtId="0" fontId="11" fillId="0" borderId="41" xfId="0" applyFont="1" applyBorder="1" applyAlignment="1">
      <alignment vertical="center" wrapText="1"/>
    </xf>
    <xf numFmtId="0" fontId="11" fillId="0" borderId="42" xfId="0" applyFont="1" applyBorder="1" applyAlignment="1">
      <alignment vertical="center" wrapText="1"/>
    </xf>
    <xf numFmtId="0" fontId="11" fillId="0" borderId="19" xfId="0" applyFont="1" applyBorder="1" applyAlignment="1">
      <alignment vertical="top" wrapText="1" shrinkToFit="1"/>
    </xf>
    <xf numFmtId="0" fontId="11" fillId="0" borderId="36" xfId="0" applyFont="1" applyBorder="1" applyAlignment="1">
      <alignment vertical="top" wrapText="1" shrinkToFit="1"/>
    </xf>
    <xf numFmtId="0" fontId="11" fillId="0" borderId="17" xfId="0" applyFont="1" applyBorder="1">
      <alignment vertical="center"/>
    </xf>
    <xf numFmtId="0" fontId="13" fillId="0" borderId="18" xfId="0" applyFont="1" applyBorder="1">
      <alignmen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37"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34" xfId="0" applyFont="1" applyBorder="1" applyAlignment="1">
      <alignment horizontal="left" vertical="center" shrinkToFit="1"/>
    </xf>
    <xf numFmtId="0" fontId="11" fillId="0" borderId="6" xfId="0" applyFont="1" applyBorder="1" applyAlignment="1">
      <alignment horizontal="left" vertical="center" shrinkToFit="1"/>
    </xf>
    <xf numFmtId="0" fontId="11" fillId="0" borderId="12" xfId="0" applyFont="1" applyBorder="1" applyAlignment="1">
      <alignment horizontal="left" vertical="center" shrinkToFit="1"/>
    </xf>
    <xf numFmtId="0" fontId="11" fillId="0" borderId="8" xfId="0" applyFont="1" applyBorder="1" applyAlignment="1">
      <alignment horizontal="left" vertical="center" wrapText="1" shrinkToFit="1"/>
    </xf>
    <xf numFmtId="0" fontId="11" fillId="0" borderId="37" xfId="0" applyFont="1" applyBorder="1" applyAlignment="1">
      <alignment horizontal="left" vertical="center" wrapText="1"/>
    </xf>
    <xf numFmtId="0" fontId="11" fillId="0" borderId="38" xfId="0" applyFont="1" applyBorder="1" applyAlignment="1">
      <alignment horizontal="left" vertical="center" wrapText="1"/>
    </xf>
    <xf numFmtId="0" fontId="11" fillId="0" borderId="19" xfId="0" applyFont="1" applyBorder="1" applyAlignment="1">
      <alignment vertical="center" wrapText="1"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6" xfId="0" applyFont="1" applyBorder="1" applyAlignment="1">
      <alignment vertical="center" wrapText="1"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2" fillId="0" borderId="14" xfId="0" applyFont="1" applyFill="1" applyBorder="1" applyAlignment="1">
      <alignment horizontal="center" vertical="center" shrinkToFit="1"/>
    </xf>
    <xf numFmtId="0" fontId="11" fillId="0" borderId="36" xfId="0" applyFont="1" applyBorder="1" applyAlignment="1">
      <alignment horizontal="left" vertical="center" wrapText="1" shrinkToFit="1"/>
    </xf>
    <xf numFmtId="0" fontId="11" fillId="0" borderId="37" xfId="0" applyFont="1" applyBorder="1" applyAlignment="1">
      <alignment horizontal="left" vertical="center" wrapText="1" shrinkToFit="1"/>
    </xf>
    <xf numFmtId="0" fontId="11" fillId="0" borderId="38" xfId="0" applyFont="1" applyBorder="1" applyAlignment="1">
      <alignment horizontal="left" vertical="center" wrapText="1" shrinkToFit="1"/>
    </xf>
  </cellXfs>
  <cellStyles count="2">
    <cellStyle name="桁区切り" xfId="1"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84" zoomScale="85" zoomScaleNormal="100" zoomScaleSheetLayoutView="85" workbookViewId="0">
      <selection activeCell="D90" sqref="D90:S90"/>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2" t="s">
        <v>12</v>
      </c>
      <c r="S1" s="102"/>
      <c r="T1" s="2" t="s">
        <v>110</v>
      </c>
    </row>
    <row r="2" spans="1:22" ht="18.75" customHeight="1" x14ac:dyDescent="0.2">
      <c r="B2" s="34" t="s">
        <v>109</v>
      </c>
      <c r="C2" s="95" t="s">
        <v>127</v>
      </c>
      <c r="D2" s="96"/>
      <c r="E2" s="96"/>
      <c r="F2" s="96"/>
      <c r="G2" s="96"/>
      <c r="H2" s="96"/>
      <c r="I2" s="97"/>
      <c r="J2" s="35"/>
      <c r="K2" s="6"/>
      <c r="L2" s="6"/>
      <c r="M2" s="6"/>
      <c r="N2" s="6"/>
      <c r="O2" s="6"/>
      <c r="P2" s="6"/>
      <c r="Q2" s="6"/>
      <c r="R2" s="6"/>
      <c r="S2" s="6"/>
    </row>
    <row r="3" spans="1:22" ht="18.75" customHeight="1" x14ac:dyDescent="0.2">
      <c r="B3" s="34" t="s">
        <v>103</v>
      </c>
      <c r="C3" s="106" t="s">
        <v>128</v>
      </c>
      <c r="D3" s="107"/>
      <c r="E3" s="107"/>
      <c r="F3" s="107"/>
      <c r="G3" s="107"/>
      <c r="H3" s="107"/>
      <c r="I3" s="108"/>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09" t="s">
        <v>39</v>
      </c>
      <c r="B5" s="109"/>
      <c r="C5" s="109"/>
      <c r="D5" s="109"/>
      <c r="E5" s="109"/>
      <c r="F5" s="109"/>
      <c r="G5" s="109"/>
      <c r="H5" s="109"/>
      <c r="I5" s="109"/>
      <c r="J5" s="109"/>
      <c r="K5" s="109"/>
      <c r="L5" s="109"/>
      <c r="M5" s="109"/>
      <c r="N5" s="109"/>
      <c r="O5" s="109"/>
      <c r="P5" s="109"/>
      <c r="Q5" s="109"/>
      <c r="R5" s="109"/>
      <c r="S5" s="10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19" t="s">
        <v>129</v>
      </c>
      <c r="L7" s="120"/>
      <c r="M7" s="120"/>
      <c r="N7" s="120"/>
      <c r="O7" s="120"/>
      <c r="P7" s="120"/>
      <c r="Q7" s="120"/>
      <c r="R7" s="120"/>
      <c r="S7" s="121"/>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3"/>
      <c r="C9" s="84"/>
      <c r="D9" s="84"/>
      <c r="E9" s="84"/>
      <c r="F9" s="84"/>
      <c r="G9" s="84"/>
      <c r="H9" s="84"/>
      <c r="I9" s="84"/>
      <c r="J9" s="84"/>
      <c r="K9" s="84"/>
      <c r="L9" s="84"/>
      <c r="M9" s="84"/>
      <c r="N9" s="84"/>
      <c r="O9" s="84"/>
      <c r="P9" s="84"/>
      <c r="Q9" s="84"/>
      <c r="R9" s="84"/>
      <c r="S9" s="85"/>
    </row>
    <row r="10" spans="1:22" ht="18" customHeight="1" x14ac:dyDescent="0.2">
      <c r="B10" s="86"/>
      <c r="C10" s="87"/>
      <c r="D10" s="87"/>
      <c r="E10" s="87"/>
      <c r="F10" s="87"/>
      <c r="G10" s="87"/>
      <c r="H10" s="87"/>
      <c r="I10" s="87"/>
      <c r="J10" s="87"/>
      <c r="K10" s="87"/>
      <c r="L10" s="87"/>
      <c r="M10" s="87"/>
      <c r="N10" s="87"/>
      <c r="O10" s="87"/>
      <c r="P10" s="87"/>
      <c r="Q10" s="87"/>
      <c r="R10" s="87"/>
      <c r="S10" s="88"/>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10" t="s">
        <v>130</v>
      </c>
      <c r="C13" s="111"/>
      <c r="D13" s="111"/>
      <c r="E13" s="111"/>
      <c r="F13" s="111"/>
      <c r="G13" s="111"/>
      <c r="H13" s="111"/>
      <c r="I13" s="111"/>
      <c r="J13" s="111"/>
      <c r="K13" s="111"/>
      <c r="L13" s="111"/>
      <c r="M13" s="111"/>
      <c r="N13" s="111"/>
      <c r="O13" s="111"/>
      <c r="P13" s="111"/>
      <c r="Q13" s="111"/>
      <c r="R13" s="111"/>
      <c r="S13" s="112"/>
      <c r="V13" s="1" t="s">
        <v>104</v>
      </c>
    </row>
    <row r="14" spans="1:22" ht="18" customHeight="1" x14ac:dyDescent="0.2">
      <c r="B14" s="113"/>
      <c r="C14" s="114"/>
      <c r="D14" s="114"/>
      <c r="E14" s="114"/>
      <c r="F14" s="114"/>
      <c r="G14" s="114"/>
      <c r="H14" s="114"/>
      <c r="I14" s="114"/>
      <c r="J14" s="114"/>
      <c r="K14" s="114"/>
      <c r="L14" s="114"/>
      <c r="M14" s="114"/>
      <c r="N14" s="114"/>
      <c r="O14" s="114"/>
      <c r="P14" s="114"/>
      <c r="Q14" s="114"/>
      <c r="R14" s="114"/>
      <c r="S14" s="115"/>
      <c r="V14" s="1" t="s">
        <v>111</v>
      </c>
    </row>
    <row r="15" spans="1:22" ht="18" customHeight="1" x14ac:dyDescent="0.2">
      <c r="B15" s="113"/>
      <c r="C15" s="114"/>
      <c r="D15" s="114"/>
      <c r="E15" s="114"/>
      <c r="F15" s="114"/>
      <c r="G15" s="114"/>
      <c r="H15" s="114"/>
      <c r="I15" s="114"/>
      <c r="J15" s="114"/>
      <c r="K15" s="114"/>
      <c r="L15" s="114"/>
      <c r="M15" s="114"/>
      <c r="N15" s="114"/>
      <c r="O15" s="114"/>
      <c r="P15" s="114"/>
      <c r="Q15" s="114"/>
      <c r="R15" s="114"/>
      <c r="S15" s="115"/>
      <c r="V15" s="1" t="s">
        <v>124</v>
      </c>
    </row>
    <row r="16" spans="1:22" ht="18" customHeight="1" x14ac:dyDescent="0.2">
      <c r="B16" s="113"/>
      <c r="C16" s="114"/>
      <c r="D16" s="114"/>
      <c r="E16" s="114"/>
      <c r="F16" s="114"/>
      <c r="G16" s="114"/>
      <c r="H16" s="114"/>
      <c r="I16" s="114"/>
      <c r="J16" s="114"/>
      <c r="K16" s="114"/>
      <c r="L16" s="114"/>
      <c r="M16" s="114"/>
      <c r="N16" s="114"/>
      <c r="O16" s="114"/>
      <c r="P16" s="114"/>
      <c r="Q16" s="114"/>
      <c r="R16" s="114"/>
      <c r="S16" s="115"/>
      <c r="V16" s="1" t="s">
        <v>126</v>
      </c>
    </row>
    <row r="17" spans="1:19" ht="18" customHeight="1" x14ac:dyDescent="0.2">
      <c r="B17" s="113"/>
      <c r="C17" s="114"/>
      <c r="D17" s="114"/>
      <c r="E17" s="114"/>
      <c r="F17" s="114"/>
      <c r="G17" s="114"/>
      <c r="H17" s="114"/>
      <c r="I17" s="114"/>
      <c r="J17" s="114"/>
      <c r="K17" s="114"/>
      <c r="L17" s="114"/>
      <c r="M17" s="114"/>
      <c r="N17" s="114"/>
      <c r="O17" s="114"/>
      <c r="P17" s="114"/>
      <c r="Q17" s="114"/>
      <c r="R17" s="114"/>
      <c r="S17" s="115"/>
    </row>
    <row r="18" spans="1:19" ht="18" customHeight="1" x14ac:dyDescent="0.2">
      <c r="B18" s="116"/>
      <c r="C18" s="117"/>
      <c r="D18" s="117"/>
      <c r="E18" s="117"/>
      <c r="F18" s="117"/>
      <c r="G18" s="117"/>
      <c r="H18" s="117"/>
      <c r="I18" s="117"/>
      <c r="J18" s="117"/>
      <c r="K18" s="117"/>
      <c r="L18" s="117"/>
      <c r="M18" s="117"/>
      <c r="N18" s="117"/>
      <c r="O18" s="117"/>
      <c r="P18" s="117"/>
      <c r="Q18" s="117"/>
      <c r="R18" s="117"/>
      <c r="S18" s="118"/>
    </row>
    <row r="19" spans="1:19" ht="7.5" customHeight="1" x14ac:dyDescent="0.2">
      <c r="B19" s="3"/>
      <c r="C19" s="3"/>
      <c r="D19" s="3"/>
      <c r="E19" s="3"/>
      <c r="F19" s="3"/>
      <c r="G19" s="3"/>
      <c r="H19" s="3"/>
      <c r="I19" s="3"/>
      <c r="J19" s="3"/>
      <c r="K19" s="3"/>
      <c r="L19" s="3"/>
      <c r="M19" s="3"/>
      <c r="N19" s="3"/>
      <c r="O19" s="3"/>
      <c r="P19" s="3"/>
      <c r="Q19" s="3"/>
      <c r="R19" s="3"/>
      <c r="S19" s="3"/>
    </row>
    <row r="20" spans="1:19" ht="20.100000000000001" customHeight="1" x14ac:dyDescent="0.2">
      <c r="B20" s="1" t="s">
        <v>113</v>
      </c>
      <c r="C20" s="95">
        <v>2</v>
      </c>
      <c r="D20" s="97"/>
      <c r="E20" s="40" t="s">
        <v>96</v>
      </c>
      <c r="G20" s="10"/>
      <c r="H20" s="3"/>
      <c r="I20" s="3"/>
      <c r="J20" s="35" t="s">
        <v>122</v>
      </c>
      <c r="K20" s="103" t="s">
        <v>126</v>
      </c>
      <c r="L20" s="104"/>
      <c r="M20" s="104"/>
      <c r="N20" s="104"/>
      <c r="O20" s="104"/>
      <c r="P20" s="104"/>
      <c r="Q20" s="104"/>
      <c r="R20" s="104"/>
      <c r="S20" s="10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8" t="s">
        <v>114</v>
      </c>
      <c r="B22" s="98"/>
      <c r="C22" s="98"/>
      <c r="D22" s="98"/>
      <c r="E22" s="98"/>
      <c r="F22" s="98"/>
      <c r="G22" s="98"/>
      <c r="H22" s="98"/>
      <c r="I22" s="98"/>
      <c r="J22" s="98"/>
      <c r="K22" s="98"/>
      <c r="L22" s="98"/>
      <c r="M22" s="98"/>
      <c r="N22" s="98"/>
      <c r="O22" s="98"/>
      <c r="P22" s="98"/>
      <c r="Q22" s="98"/>
      <c r="R22" s="98"/>
      <c r="S22" s="98"/>
    </row>
    <row r="23" spans="1:19" ht="18" customHeight="1" x14ac:dyDescent="0.2">
      <c r="A23" s="98"/>
      <c r="B23" s="98"/>
      <c r="C23" s="98"/>
      <c r="D23" s="98"/>
      <c r="E23" s="98"/>
      <c r="F23" s="98"/>
      <c r="G23" s="98"/>
      <c r="H23" s="98"/>
      <c r="I23" s="98"/>
      <c r="J23" s="98"/>
      <c r="K23" s="98"/>
      <c r="L23" s="98"/>
      <c r="M23" s="98"/>
      <c r="N23" s="98"/>
      <c r="O23" s="98"/>
      <c r="P23" s="98"/>
      <c r="Q23" s="98"/>
      <c r="R23" s="98"/>
      <c r="S23" s="98"/>
    </row>
    <row r="24" spans="1:19" ht="18" customHeight="1" x14ac:dyDescent="0.2">
      <c r="B24" s="95" t="s">
        <v>54</v>
      </c>
      <c r="C24" s="96"/>
      <c r="D24" s="96"/>
      <c r="E24" s="97"/>
      <c r="F24" s="50" t="s">
        <v>81</v>
      </c>
      <c r="G24" s="49" t="s">
        <v>85</v>
      </c>
      <c r="H24" s="22" t="s">
        <v>57</v>
      </c>
      <c r="I24" s="22" t="s">
        <v>60</v>
      </c>
      <c r="J24" s="95" t="s">
        <v>54</v>
      </c>
      <c r="K24" s="96"/>
      <c r="L24" s="96"/>
      <c r="M24" s="96"/>
      <c r="N24" s="96"/>
      <c r="O24" s="97"/>
      <c r="P24" s="50" t="s">
        <v>81</v>
      </c>
      <c r="Q24" s="49" t="s">
        <v>85</v>
      </c>
      <c r="R24" s="22" t="s">
        <v>57</v>
      </c>
      <c r="S24" s="22" t="s">
        <v>60</v>
      </c>
    </row>
    <row r="25" spans="1:19" ht="18" customHeight="1" x14ac:dyDescent="0.2">
      <c r="B25" s="99" t="s">
        <v>131</v>
      </c>
      <c r="C25" s="100"/>
      <c r="D25" s="100"/>
      <c r="E25" s="101"/>
      <c r="F25" s="23">
        <v>2</v>
      </c>
      <c r="G25" s="262" t="s">
        <v>132</v>
      </c>
      <c r="H25" s="23" t="s">
        <v>132</v>
      </c>
      <c r="I25" s="23" t="s">
        <v>132</v>
      </c>
      <c r="J25" s="99"/>
      <c r="K25" s="100"/>
      <c r="L25" s="100"/>
      <c r="M25" s="100"/>
      <c r="N25" s="100"/>
      <c r="O25" s="101"/>
      <c r="P25" s="23"/>
      <c r="Q25" s="23"/>
      <c r="R25" s="23"/>
      <c r="S25" s="23"/>
    </row>
    <row r="26" spans="1:19" ht="18" customHeight="1" x14ac:dyDescent="0.2">
      <c r="B26" s="89"/>
      <c r="C26" s="90"/>
      <c r="D26" s="90"/>
      <c r="E26" s="91"/>
      <c r="F26" s="24"/>
      <c r="G26" s="24"/>
      <c r="H26" s="24"/>
      <c r="I26" s="24"/>
      <c r="J26" s="89"/>
      <c r="K26" s="90"/>
      <c r="L26" s="90"/>
      <c r="M26" s="90"/>
      <c r="N26" s="90"/>
      <c r="O26" s="91"/>
      <c r="P26" s="24"/>
      <c r="Q26" s="24"/>
      <c r="R26" s="24"/>
      <c r="S26" s="24"/>
    </row>
    <row r="27" spans="1:19" ht="18" customHeight="1" x14ac:dyDescent="0.2">
      <c r="B27" s="89"/>
      <c r="C27" s="90"/>
      <c r="D27" s="90"/>
      <c r="E27" s="91"/>
      <c r="F27" s="24"/>
      <c r="G27" s="24"/>
      <c r="H27" s="24"/>
      <c r="I27" s="24"/>
      <c r="J27" s="89"/>
      <c r="K27" s="90"/>
      <c r="L27" s="90"/>
      <c r="M27" s="90"/>
      <c r="N27" s="90"/>
      <c r="O27" s="91"/>
      <c r="P27" s="24"/>
      <c r="Q27" s="24"/>
      <c r="R27" s="24"/>
      <c r="S27" s="24"/>
    </row>
    <row r="28" spans="1:19" ht="18" customHeight="1" x14ac:dyDescent="0.2">
      <c r="B28" s="89"/>
      <c r="C28" s="90"/>
      <c r="D28" s="90"/>
      <c r="E28" s="91"/>
      <c r="F28" s="24"/>
      <c r="G28" s="24"/>
      <c r="H28" s="24"/>
      <c r="I28" s="24"/>
      <c r="J28" s="89"/>
      <c r="K28" s="90"/>
      <c r="L28" s="90"/>
      <c r="M28" s="90"/>
      <c r="N28" s="90"/>
      <c r="O28" s="91"/>
      <c r="P28" s="24"/>
      <c r="Q28" s="24"/>
      <c r="R28" s="24"/>
      <c r="S28" s="24"/>
    </row>
    <row r="29" spans="1:19" ht="18" customHeight="1" x14ac:dyDescent="0.2">
      <c r="B29" s="89"/>
      <c r="C29" s="90"/>
      <c r="D29" s="90"/>
      <c r="E29" s="91"/>
      <c r="F29" s="24"/>
      <c r="G29" s="24"/>
      <c r="H29" s="24"/>
      <c r="I29" s="24"/>
      <c r="J29" s="89"/>
      <c r="K29" s="90"/>
      <c r="L29" s="90"/>
      <c r="M29" s="90"/>
      <c r="N29" s="90"/>
      <c r="O29" s="91"/>
      <c r="P29" s="24"/>
      <c r="Q29" s="24"/>
      <c r="R29" s="24"/>
      <c r="S29" s="24"/>
    </row>
    <row r="30" spans="1:19" ht="18" customHeight="1" x14ac:dyDescent="0.2">
      <c r="A30" s="3"/>
      <c r="B30" s="89"/>
      <c r="C30" s="90"/>
      <c r="D30" s="90"/>
      <c r="E30" s="91"/>
      <c r="F30" s="24"/>
      <c r="G30" s="24"/>
      <c r="H30" s="24"/>
      <c r="I30" s="24"/>
      <c r="J30" s="89"/>
      <c r="K30" s="90"/>
      <c r="L30" s="90"/>
      <c r="M30" s="90"/>
      <c r="N30" s="90"/>
      <c r="O30" s="91"/>
      <c r="P30" s="24"/>
      <c r="Q30" s="24"/>
      <c r="R30" s="24"/>
      <c r="S30" s="24"/>
    </row>
    <row r="31" spans="1:19" ht="18" customHeight="1" x14ac:dyDescent="0.2">
      <c r="A31" s="3"/>
      <c r="B31" s="92"/>
      <c r="C31" s="93"/>
      <c r="D31" s="93"/>
      <c r="E31" s="94"/>
      <c r="F31" s="25"/>
      <c r="G31" s="25"/>
      <c r="H31" s="26"/>
      <c r="I31" s="26"/>
      <c r="J31" s="92"/>
      <c r="K31" s="93"/>
      <c r="L31" s="93"/>
      <c r="M31" s="93"/>
      <c r="N31" s="93"/>
      <c r="O31" s="94"/>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8" t="s">
        <v>115</v>
      </c>
      <c r="B33" s="98"/>
      <c r="C33" s="98"/>
      <c r="D33" s="98"/>
      <c r="E33" s="98"/>
      <c r="F33" s="98"/>
      <c r="G33" s="98"/>
      <c r="H33" s="98"/>
      <c r="I33" s="98"/>
      <c r="J33" s="98"/>
      <c r="K33" s="98"/>
      <c r="L33" s="98"/>
      <c r="M33" s="98"/>
      <c r="N33" s="98"/>
      <c r="O33" s="98"/>
      <c r="P33" s="98"/>
      <c r="Q33" s="98"/>
      <c r="R33" s="98"/>
      <c r="S33" s="98"/>
    </row>
    <row r="34" spans="1:19" ht="18" customHeight="1" x14ac:dyDescent="0.2">
      <c r="A34" s="98"/>
      <c r="B34" s="98"/>
      <c r="C34" s="98"/>
      <c r="D34" s="98"/>
      <c r="E34" s="98"/>
      <c r="F34" s="98"/>
      <c r="G34" s="98"/>
      <c r="H34" s="98"/>
      <c r="I34" s="98"/>
      <c r="J34" s="98"/>
      <c r="K34" s="98"/>
      <c r="L34" s="98"/>
      <c r="M34" s="98"/>
      <c r="N34" s="98"/>
      <c r="O34" s="98"/>
      <c r="P34" s="98"/>
      <c r="Q34" s="98"/>
      <c r="R34" s="98"/>
      <c r="S34" s="98"/>
    </row>
    <row r="35" spans="1:19" ht="18" customHeight="1" x14ac:dyDescent="0.2">
      <c r="B35" s="95" t="s">
        <v>54</v>
      </c>
      <c r="C35" s="96"/>
      <c r="D35" s="96"/>
      <c r="E35" s="97"/>
      <c r="F35" s="50" t="s">
        <v>81</v>
      </c>
      <c r="G35" s="49" t="s">
        <v>85</v>
      </c>
      <c r="H35" s="22" t="s">
        <v>72</v>
      </c>
      <c r="I35" s="22" t="s">
        <v>73</v>
      </c>
      <c r="J35" s="95" t="s">
        <v>54</v>
      </c>
      <c r="K35" s="96"/>
      <c r="L35" s="96"/>
      <c r="M35" s="96"/>
      <c r="N35" s="96"/>
      <c r="O35" s="97"/>
      <c r="P35" s="50" t="s">
        <v>81</v>
      </c>
      <c r="Q35" s="49" t="s">
        <v>85</v>
      </c>
      <c r="R35" s="22" t="s">
        <v>72</v>
      </c>
      <c r="S35" s="22" t="s">
        <v>73</v>
      </c>
    </row>
    <row r="36" spans="1:19" ht="18" customHeight="1" x14ac:dyDescent="0.2">
      <c r="B36" s="99" t="s">
        <v>131</v>
      </c>
      <c r="C36" s="100"/>
      <c r="D36" s="100"/>
      <c r="E36" s="101"/>
      <c r="F36" s="23">
        <v>2</v>
      </c>
      <c r="G36" s="262" t="s">
        <v>132</v>
      </c>
      <c r="H36" s="23" t="s">
        <v>132</v>
      </c>
      <c r="I36" s="23" t="s">
        <v>132</v>
      </c>
      <c r="J36" s="99"/>
      <c r="K36" s="100"/>
      <c r="L36" s="100"/>
      <c r="M36" s="100"/>
      <c r="N36" s="100"/>
      <c r="O36" s="101"/>
      <c r="P36" s="23"/>
      <c r="Q36" s="23"/>
      <c r="R36" s="23"/>
      <c r="S36" s="23"/>
    </row>
    <row r="37" spans="1:19" ht="18" customHeight="1" x14ac:dyDescent="0.2">
      <c r="B37" s="89"/>
      <c r="C37" s="90"/>
      <c r="D37" s="90"/>
      <c r="E37" s="91"/>
      <c r="F37" s="24"/>
      <c r="G37" s="24"/>
      <c r="H37" s="24"/>
      <c r="I37" s="24"/>
      <c r="J37" s="89"/>
      <c r="K37" s="90"/>
      <c r="L37" s="90"/>
      <c r="M37" s="90"/>
      <c r="N37" s="90"/>
      <c r="O37" s="91"/>
      <c r="P37" s="24"/>
      <c r="Q37" s="24"/>
      <c r="R37" s="24"/>
      <c r="S37" s="24"/>
    </row>
    <row r="38" spans="1:19" ht="18" customHeight="1" x14ac:dyDescent="0.2">
      <c r="B38" s="89"/>
      <c r="C38" s="90"/>
      <c r="D38" s="90"/>
      <c r="E38" s="91"/>
      <c r="F38" s="24"/>
      <c r="G38" s="24"/>
      <c r="H38" s="24"/>
      <c r="I38" s="24"/>
      <c r="J38" s="89"/>
      <c r="K38" s="90"/>
      <c r="L38" s="90"/>
      <c r="M38" s="90"/>
      <c r="N38" s="90"/>
      <c r="O38" s="91"/>
      <c r="P38" s="24"/>
      <c r="Q38" s="24"/>
      <c r="R38" s="24"/>
      <c r="S38" s="24"/>
    </row>
    <row r="39" spans="1:19" ht="18" customHeight="1" x14ac:dyDescent="0.2">
      <c r="B39" s="89"/>
      <c r="C39" s="90"/>
      <c r="D39" s="90"/>
      <c r="E39" s="91"/>
      <c r="F39" s="24"/>
      <c r="G39" s="24"/>
      <c r="H39" s="24"/>
      <c r="I39" s="24"/>
      <c r="J39" s="89"/>
      <c r="K39" s="90"/>
      <c r="L39" s="90"/>
      <c r="M39" s="90"/>
      <c r="N39" s="90"/>
      <c r="O39" s="91"/>
      <c r="P39" s="24"/>
      <c r="Q39" s="24"/>
      <c r="R39" s="24"/>
      <c r="S39" s="24"/>
    </row>
    <row r="40" spans="1:19" ht="18" customHeight="1" x14ac:dyDescent="0.2">
      <c r="B40" s="89"/>
      <c r="C40" s="90"/>
      <c r="D40" s="90"/>
      <c r="E40" s="91"/>
      <c r="F40" s="24"/>
      <c r="G40" s="24"/>
      <c r="H40" s="24"/>
      <c r="I40" s="24"/>
      <c r="J40" s="89"/>
      <c r="K40" s="90"/>
      <c r="L40" s="90"/>
      <c r="M40" s="90"/>
      <c r="N40" s="90"/>
      <c r="O40" s="91"/>
      <c r="P40" s="24"/>
      <c r="Q40" s="24"/>
      <c r="R40" s="24"/>
      <c r="S40" s="24"/>
    </row>
    <row r="41" spans="1:19" ht="18" customHeight="1" x14ac:dyDescent="0.2">
      <c r="B41" s="89"/>
      <c r="C41" s="90"/>
      <c r="D41" s="90"/>
      <c r="E41" s="91"/>
      <c r="F41" s="24"/>
      <c r="G41" s="24"/>
      <c r="H41" s="24"/>
      <c r="I41" s="24"/>
      <c r="J41" s="89"/>
      <c r="K41" s="90"/>
      <c r="L41" s="90"/>
      <c r="M41" s="90"/>
      <c r="N41" s="90"/>
      <c r="O41" s="91"/>
      <c r="P41" s="24"/>
      <c r="Q41" s="24"/>
      <c r="R41" s="24"/>
      <c r="S41" s="24"/>
    </row>
    <row r="42" spans="1:19" ht="18" customHeight="1" x14ac:dyDescent="0.2">
      <c r="B42" s="92"/>
      <c r="C42" s="93"/>
      <c r="D42" s="93"/>
      <c r="E42" s="94"/>
      <c r="F42" s="25"/>
      <c r="G42" s="25"/>
      <c r="H42" s="26"/>
      <c r="I42" s="26"/>
      <c r="J42" s="92"/>
      <c r="K42" s="93"/>
      <c r="L42" s="93"/>
      <c r="M42" s="93"/>
      <c r="N42" s="93"/>
      <c r="O42" s="94"/>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8" t="s">
        <v>116</v>
      </c>
      <c r="B44" s="98"/>
      <c r="C44" s="98"/>
      <c r="D44" s="98"/>
      <c r="E44" s="98"/>
      <c r="F44" s="98"/>
      <c r="G44" s="98"/>
      <c r="H44" s="98"/>
      <c r="I44" s="98"/>
      <c r="J44" s="98"/>
      <c r="K44" s="98"/>
      <c r="L44" s="98"/>
      <c r="M44" s="98"/>
      <c r="N44" s="98"/>
      <c r="O44" s="98"/>
      <c r="P44" s="98"/>
      <c r="Q44" s="98"/>
      <c r="R44" s="98"/>
      <c r="S44" s="98"/>
    </row>
    <row r="45" spans="1:19" ht="18" customHeight="1" x14ac:dyDescent="0.2">
      <c r="A45" s="98"/>
      <c r="B45" s="98"/>
      <c r="C45" s="98"/>
      <c r="D45" s="98"/>
      <c r="E45" s="98"/>
      <c r="F45" s="98"/>
      <c r="G45" s="98"/>
      <c r="H45" s="98"/>
      <c r="I45" s="98"/>
      <c r="J45" s="98"/>
      <c r="K45" s="98"/>
      <c r="L45" s="98"/>
      <c r="M45" s="98"/>
      <c r="N45" s="98"/>
      <c r="O45" s="98"/>
      <c r="P45" s="98"/>
      <c r="Q45" s="98"/>
      <c r="R45" s="98"/>
      <c r="S45" s="98"/>
    </row>
    <row r="46" spans="1:19" ht="18" customHeight="1" x14ac:dyDescent="0.2">
      <c r="B46" s="95" t="s">
        <v>54</v>
      </c>
      <c r="C46" s="96"/>
      <c r="D46" s="96"/>
      <c r="E46" s="97"/>
      <c r="F46" s="50" t="s">
        <v>81</v>
      </c>
      <c r="G46" s="49" t="s">
        <v>85</v>
      </c>
      <c r="H46" s="22" t="s">
        <v>74</v>
      </c>
      <c r="I46" s="22" t="s">
        <v>75</v>
      </c>
      <c r="J46" s="95" t="s">
        <v>54</v>
      </c>
      <c r="K46" s="96"/>
      <c r="L46" s="96"/>
      <c r="M46" s="96"/>
      <c r="N46" s="96"/>
      <c r="O46" s="97"/>
      <c r="P46" s="50" t="s">
        <v>81</v>
      </c>
      <c r="Q46" s="49" t="s">
        <v>85</v>
      </c>
      <c r="R46" s="22" t="s">
        <v>74</v>
      </c>
      <c r="S46" s="22" t="s">
        <v>75</v>
      </c>
    </row>
    <row r="47" spans="1:19" ht="18" customHeight="1" x14ac:dyDescent="0.2">
      <c r="A47" s="3"/>
      <c r="B47" s="99" t="s">
        <v>131</v>
      </c>
      <c r="C47" s="100"/>
      <c r="D47" s="100"/>
      <c r="E47" s="101"/>
      <c r="F47" s="23">
        <v>2</v>
      </c>
      <c r="G47" s="262" t="s">
        <v>132</v>
      </c>
      <c r="H47" s="23" t="s">
        <v>132</v>
      </c>
      <c r="I47" s="23" t="s">
        <v>132</v>
      </c>
      <c r="J47" s="99"/>
      <c r="K47" s="100"/>
      <c r="L47" s="100"/>
      <c r="M47" s="100"/>
      <c r="N47" s="100"/>
      <c r="O47" s="101"/>
      <c r="P47" s="23"/>
      <c r="Q47" s="23"/>
      <c r="R47" s="23"/>
      <c r="S47" s="23"/>
    </row>
    <row r="48" spans="1:19" ht="18" customHeight="1" x14ac:dyDescent="0.2">
      <c r="A48" s="3"/>
      <c r="B48" s="89"/>
      <c r="C48" s="90"/>
      <c r="D48" s="90"/>
      <c r="E48" s="91"/>
      <c r="F48" s="24"/>
      <c r="G48" s="24"/>
      <c r="H48" s="24"/>
      <c r="I48" s="24"/>
      <c r="J48" s="89"/>
      <c r="K48" s="90"/>
      <c r="L48" s="90"/>
      <c r="M48" s="90"/>
      <c r="N48" s="90"/>
      <c r="O48" s="91"/>
      <c r="P48" s="24"/>
      <c r="Q48" s="24"/>
      <c r="R48" s="24"/>
      <c r="S48" s="24"/>
    </row>
    <row r="49" spans="1:19" ht="18" customHeight="1" x14ac:dyDescent="0.2">
      <c r="A49" s="3"/>
      <c r="B49" s="89"/>
      <c r="C49" s="90"/>
      <c r="D49" s="90"/>
      <c r="E49" s="91"/>
      <c r="F49" s="24"/>
      <c r="G49" s="24"/>
      <c r="H49" s="24"/>
      <c r="I49" s="24"/>
      <c r="J49" s="89"/>
      <c r="K49" s="90"/>
      <c r="L49" s="90"/>
      <c r="M49" s="90"/>
      <c r="N49" s="90"/>
      <c r="O49" s="91"/>
      <c r="P49" s="24"/>
      <c r="Q49" s="24"/>
      <c r="R49" s="24"/>
      <c r="S49" s="24"/>
    </row>
    <row r="50" spans="1:19" ht="18" customHeight="1" x14ac:dyDescent="0.2">
      <c r="A50" s="3"/>
      <c r="B50" s="89"/>
      <c r="C50" s="90"/>
      <c r="D50" s="90"/>
      <c r="E50" s="91"/>
      <c r="F50" s="24"/>
      <c r="G50" s="24"/>
      <c r="H50" s="24"/>
      <c r="I50" s="24"/>
      <c r="J50" s="89"/>
      <c r="K50" s="90"/>
      <c r="L50" s="90"/>
      <c r="M50" s="90"/>
      <c r="N50" s="90"/>
      <c r="O50" s="91"/>
      <c r="P50" s="24"/>
      <c r="Q50" s="24"/>
      <c r="R50" s="24"/>
      <c r="S50" s="24"/>
    </row>
    <row r="51" spans="1:19" ht="18" customHeight="1" x14ac:dyDescent="0.2">
      <c r="A51" s="3"/>
      <c r="B51" s="89"/>
      <c r="C51" s="90"/>
      <c r="D51" s="90"/>
      <c r="E51" s="91"/>
      <c r="F51" s="24"/>
      <c r="G51" s="24"/>
      <c r="H51" s="24"/>
      <c r="I51" s="24"/>
      <c r="J51" s="89"/>
      <c r="K51" s="90"/>
      <c r="L51" s="90"/>
      <c r="M51" s="90"/>
      <c r="N51" s="90"/>
      <c r="O51" s="91"/>
      <c r="P51" s="24"/>
      <c r="Q51" s="24"/>
      <c r="R51" s="24"/>
      <c r="S51" s="24"/>
    </row>
    <row r="52" spans="1:19" ht="18" customHeight="1" x14ac:dyDescent="0.2">
      <c r="A52" s="3"/>
      <c r="B52" s="89"/>
      <c r="C52" s="90"/>
      <c r="D52" s="90"/>
      <c r="E52" s="91"/>
      <c r="F52" s="24"/>
      <c r="G52" s="24"/>
      <c r="H52" s="24"/>
      <c r="I52" s="24"/>
      <c r="J52" s="89"/>
      <c r="K52" s="90"/>
      <c r="L52" s="90"/>
      <c r="M52" s="90"/>
      <c r="N52" s="90"/>
      <c r="O52" s="91"/>
      <c r="P52" s="24"/>
      <c r="Q52" s="24"/>
      <c r="R52" s="24"/>
      <c r="S52" s="24"/>
    </row>
    <row r="53" spans="1:19" ht="18" customHeight="1" x14ac:dyDescent="0.2">
      <c r="A53" s="3"/>
      <c r="B53" s="92"/>
      <c r="C53" s="93"/>
      <c r="D53" s="93"/>
      <c r="E53" s="94"/>
      <c r="F53" s="25"/>
      <c r="G53" s="25"/>
      <c r="H53" s="26"/>
      <c r="I53" s="26"/>
      <c r="J53" s="92"/>
      <c r="K53" s="93"/>
      <c r="L53" s="93"/>
      <c r="M53" s="93"/>
      <c r="N53" s="93"/>
      <c r="O53" s="94"/>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8" t="s">
        <v>117</v>
      </c>
      <c r="B55" s="98"/>
      <c r="C55" s="98"/>
      <c r="D55" s="98"/>
      <c r="E55" s="98"/>
      <c r="F55" s="98"/>
      <c r="G55" s="98"/>
      <c r="H55" s="98"/>
      <c r="I55" s="98"/>
      <c r="J55" s="98"/>
      <c r="K55" s="98"/>
      <c r="L55" s="98"/>
      <c r="M55" s="98"/>
      <c r="N55" s="98"/>
      <c r="O55" s="98"/>
      <c r="P55" s="98"/>
      <c r="Q55" s="98"/>
      <c r="R55" s="98"/>
      <c r="S55" s="98"/>
    </row>
    <row r="56" spans="1:19" ht="18" customHeight="1" x14ac:dyDescent="0.2">
      <c r="A56" s="98"/>
      <c r="B56" s="98"/>
      <c r="C56" s="98"/>
      <c r="D56" s="98"/>
      <c r="E56" s="98"/>
      <c r="F56" s="98"/>
      <c r="G56" s="98"/>
      <c r="H56" s="98"/>
      <c r="I56" s="98"/>
      <c r="J56" s="98"/>
      <c r="K56" s="98"/>
      <c r="L56" s="98"/>
      <c r="M56" s="98"/>
      <c r="N56" s="98"/>
      <c r="O56" s="98"/>
      <c r="P56" s="98"/>
      <c r="Q56" s="98"/>
      <c r="R56" s="98"/>
      <c r="S56" s="98"/>
    </row>
    <row r="57" spans="1:19" ht="18" customHeight="1" x14ac:dyDescent="0.2">
      <c r="B57" s="95" t="s">
        <v>54</v>
      </c>
      <c r="C57" s="96"/>
      <c r="D57" s="96"/>
      <c r="E57" s="97"/>
      <c r="F57" s="50" t="s">
        <v>81</v>
      </c>
      <c r="G57" s="49" t="s">
        <v>85</v>
      </c>
      <c r="H57" s="22" t="s">
        <v>59</v>
      </c>
      <c r="I57" s="22" t="s">
        <v>61</v>
      </c>
      <c r="J57" s="95" t="s">
        <v>54</v>
      </c>
      <c r="K57" s="96"/>
      <c r="L57" s="96"/>
      <c r="M57" s="96"/>
      <c r="N57" s="96"/>
      <c r="O57" s="97"/>
      <c r="P57" s="50" t="s">
        <v>81</v>
      </c>
      <c r="Q57" s="49" t="s">
        <v>85</v>
      </c>
      <c r="R57" s="22" t="s">
        <v>59</v>
      </c>
      <c r="S57" s="22" t="s">
        <v>61</v>
      </c>
    </row>
    <row r="58" spans="1:19" ht="18" customHeight="1" x14ac:dyDescent="0.2">
      <c r="A58" s="3"/>
      <c r="B58" s="99" t="s">
        <v>131</v>
      </c>
      <c r="C58" s="100"/>
      <c r="D58" s="100"/>
      <c r="E58" s="101"/>
      <c r="F58" s="23">
        <v>2</v>
      </c>
      <c r="G58" s="262" t="s">
        <v>132</v>
      </c>
      <c r="H58" s="23" t="s">
        <v>132</v>
      </c>
      <c r="I58" s="23" t="s">
        <v>132</v>
      </c>
      <c r="J58" s="99"/>
      <c r="K58" s="100"/>
      <c r="L58" s="100"/>
      <c r="M58" s="100"/>
      <c r="N58" s="100"/>
      <c r="O58" s="101"/>
      <c r="P58" s="23"/>
      <c r="Q58" s="23"/>
      <c r="R58" s="23"/>
      <c r="S58" s="23"/>
    </row>
    <row r="59" spans="1:19" ht="18" customHeight="1" x14ac:dyDescent="0.2">
      <c r="A59" s="3"/>
      <c r="B59" s="89"/>
      <c r="C59" s="90"/>
      <c r="D59" s="90"/>
      <c r="E59" s="91"/>
      <c r="F59" s="24"/>
      <c r="G59" s="24"/>
      <c r="H59" s="24"/>
      <c r="I59" s="24"/>
      <c r="J59" s="89"/>
      <c r="K59" s="90"/>
      <c r="L59" s="90"/>
      <c r="M59" s="90"/>
      <c r="N59" s="90"/>
      <c r="O59" s="91"/>
      <c r="P59" s="24"/>
      <c r="Q59" s="24"/>
      <c r="R59" s="24"/>
      <c r="S59" s="24"/>
    </row>
    <row r="60" spans="1:19" ht="18" customHeight="1" x14ac:dyDescent="0.2">
      <c r="A60" s="3"/>
      <c r="B60" s="89"/>
      <c r="C60" s="90"/>
      <c r="D60" s="90"/>
      <c r="E60" s="91"/>
      <c r="F60" s="24"/>
      <c r="G60" s="24"/>
      <c r="H60" s="24"/>
      <c r="I60" s="24"/>
      <c r="J60" s="89"/>
      <c r="K60" s="90"/>
      <c r="L60" s="90"/>
      <c r="M60" s="90"/>
      <c r="N60" s="90"/>
      <c r="O60" s="91"/>
      <c r="P60" s="24"/>
      <c r="Q60" s="24"/>
      <c r="R60" s="24"/>
      <c r="S60" s="24"/>
    </row>
    <row r="61" spans="1:19" ht="18" customHeight="1" x14ac:dyDescent="0.2">
      <c r="A61" s="3"/>
      <c r="B61" s="89"/>
      <c r="C61" s="90"/>
      <c r="D61" s="90"/>
      <c r="E61" s="91"/>
      <c r="F61" s="24"/>
      <c r="G61" s="24"/>
      <c r="H61" s="24"/>
      <c r="I61" s="24"/>
      <c r="J61" s="89"/>
      <c r="K61" s="90"/>
      <c r="L61" s="90"/>
      <c r="M61" s="90"/>
      <c r="N61" s="90"/>
      <c r="O61" s="91"/>
      <c r="P61" s="24"/>
      <c r="Q61" s="24"/>
      <c r="R61" s="24"/>
      <c r="S61" s="24"/>
    </row>
    <row r="62" spans="1:19" ht="18" customHeight="1" x14ac:dyDescent="0.2">
      <c r="A62" s="3"/>
      <c r="B62" s="89"/>
      <c r="C62" s="90"/>
      <c r="D62" s="90"/>
      <c r="E62" s="91"/>
      <c r="F62" s="24"/>
      <c r="G62" s="24"/>
      <c r="H62" s="24"/>
      <c r="I62" s="24"/>
      <c r="J62" s="89"/>
      <c r="K62" s="90"/>
      <c r="L62" s="90"/>
      <c r="M62" s="90"/>
      <c r="N62" s="90"/>
      <c r="O62" s="91"/>
      <c r="P62" s="24"/>
      <c r="Q62" s="24"/>
      <c r="R62" s="24"/>
      <c r="S62" s="24"/>
    </row>
    <row r="63" spans="1:19" ht="18" customHeight="1" x14ac:dyDescent="0.2">
      <c r="A63" s="3"/>
      <c r="B63" s="89"/>
      <c r="C63" s="90"/>
      <c r="D63" s="90"/>
      <c r="E63" s="91"/>
      <c r="F63" s="24"/>
      <c r="G63" s="24"/>
      <c r="H63" s="24"/>
      <c r="I63" s="24"/>
      <c r="J63" s="89"/>
      <c r="K63" s="90"/>
      <c r="L63" s="90"/>
      <c r="M63" s="90"/>
      <c r="N63" s="90"/>
      <c r="O63" s="91"/>
      <c r="P63" s="24"/>
      <c r="Q63" s="24"/>
      <c r="R63" s="24"/>
      <c r="S63" s="24"/>
    </row>
    <row r="64" spans="1:19" ht="18" customHeight="1" x14ac:dyDescent="0.2">
      <c r="A64" s="3"/>
      <c r="B64" s="92"/>
      <c r="C64" s="93"/>
      <c r="D64" s="93"/>
      <c r="E64" s="94"/>
      <c r="F64" s="25"/>
      <c r="G64" s="25"/>
      <c r="H64" s="26"/>
      <c r="I64" s="26"/>
      <c r="J64" s="92"/>
      <c r="K64" s="93"/>
      <c r="L64" s="93"/>
      <c r="M64" s="93"/>
      <c r="N64" s="93"/>
      <c r="O64" s="94"/>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8" t="s">
        <v>118</v>
      </c>
      <c r="B66" s="98"/>
      <c r="C66" s="98"/>
      <c r="D66" s="98"/>
      <c r="E66" s="98"/>
      <c r="F66" s="98"/>
      <c r="G66" s="98"/>
      <c r="H66" s="98"/>
      <c r="I66" s="98"/>
      <c r="J66" s="98"/>
      <c r="K66" s="98"/>
      <c r="L66" s="98"/>
      <c r="M66" s="98"/>
      <c r="N66" s="98"/>
      <c r="O66" s="98"/>
      <c r="P66" s="98"/>
      <c r="Q66" s="98"/>
      <c r="R66" s="98"/>
      <c r="S66" s="98"/>
    </row>
    <row r="67" spans="1:19" ht="18" customHeight="1" x14ac:dyDescent="0.2">
      <c r="A67" s="98"/>
      <c r="B67" s="98"/>
      <c r="C67" s="98"/>
      <c r="D67" s="98"/>
      <c r="E67" s="98"/>
      <c r="F67" s="98"/>
      <c r="G67" s="98"/>
      <c r="H67" s="98"/>
      <c r="I67" s="98"/>
      <c r="J67" s="98"/>
      <c r="K67" s="98"/>
      <c r="L67" s="98"/>
      <c r="M67" s="98"/>
      <c r="N67" s="98"/>
      <c r="O67" s="98"/>
      <c r="P67" s="98"/>
      <c r="Q67" s="98"/>
      <c r="R67" s="98"/>
      <c r="S67" s="98"/>
    </row>
    <row r="68" spans="1:19" ht="18" customHeight="1" x14ac:dyDescent="0.2">
      <c r="B68" s="95" t="s">
        <v>54</v>
      </c>
      <c r="C68" s="96"/>
      <c r="D68" s="96"/>
      <c r="E68" s="50" t="s">
        <v>81</v>
      </c>
      <c r="F68" s="49" t="s">
        <v>85</v>
      </c>
      <c r="G68" s="22" t="s">
        <v>102</v>
      </c>
      <c r="H68" s="22" t="s">
        <v>76</v>
      </c>
      <c r="I68" s="22" t="s">
        <v>77</v>
      </c>
      <c r="J68" s="95" t="s">
        <v>54</v>
      </c>
      <c r="K68" s="96"/>
      <c r="L68" s="96"/>
      <c r="M68" s="96"/>
      <c r="N68" s="97"/>
      <c r="O68" s="50" t="s">
        <v>81</v>
      </c>
      <c r="P68" s="49" t="s">
        <v>85</v>
      </c>
      <c r="Q68" s="22" t="s">
        <v>102</v>
      </c>
      <c r="R68" s="22" t="s">
        <v>76</v>
      </c>
      <c r="S68" s="22" t="s">
        <v>77</v>
      </c>
    </row>
    <row r="69" spans="1:19" ht="18" customHeight="1" x14ac:dyDescent="0.2">
      <c r="A69" s="3"/>
      <c r="B69" s="99" t="s">
        <v>131</v>
      </c>
      <c r="C69" s="100"/>
      <c r="D69" s="100"/>
      <c r="E69" s="23">
        <v>2</v>
      </c>
      <c r="F69" s="262" t="s">
        <v>132</v>
      </c>
      <c r="G69" s="23" t="s">
        <v>132</v>
      </c>
      <c r="H69" s="23" t="s">
        <v>132</v>
      </c>
      <c r="I69" s="23" t="s">
        <v>132</v>
      </c>
      <c r="J69" s="99"/>
      <c r="K69" s="100"/>
      <c r="L69" s="100"/>
      <c r="M69" s="100"/>
      <c r="N69" s="101"/>
      <c r="O69" s="23"/>
      <c r="P69" s="23"/>
      <c r="Q69" s="23"/>
      <c r="R69" s="23"/>
      <c r="S69" s="23"/>
    </row>
    <row r="70" spans="1:19" ht="18" customHeight="1" x14ac:dyDescent="0.2">
      <c r="A70" s="3"/>
      <c r="B70" s="89"/>
      <c r="C70" s="90"/>
      <c r="D70" s="90"/>
      <c r="E70" s="24"/>
      <c r="F70" s="24"/>
      <c r="G70" s="24"/>
      <c r="H70" s="24"/>
      <c r="I70" s="24"/>
      <c r="J70" s="89"/>
      <c r="K70" s="90"/>
      <c r="L70" s="90"/>
      <c r="M70" s="90"/>
      <c r="N70" s="91"/>
      <c r="O70" s="24"/>
      <c r="P70" s="24"/>
      <c r="Q70" s="24"/>
      <c r="R70" s="24"/>
      <c r="S70" s="24"/>
    </row>
    <row r="71" spans="1:19" ht="18" customHeight="1" x14ac:dyDescent="0.2">
      <c r="A71" s="3"/>
      <c r="B71" s="89"/>
      <c r="C71" s="90"/>
      <c r="D71" s="90"/>
      <c r="E71" s="24"/>
      <c r="F71" s="24"/>
      <c r="G71" s="24"/>
      <c r="H71" s="24"/>
      <c r="I71" s="24"/>
      <c r="J71" s="89"/>
      <c r="K71" s="90"/>
      <c r="L71" s="90"/>
      <c r="M71" s="90"/>
      <c r="N71" s="91"/>
      <c r="O71" s="24"/>
      <c r="P71" s="24"/>
      <c r="Q71" s="24"/>
      <c r="R71" s="24"/>
      <c r="S71" s="24"/>
    </row>
    <row r="72" spans="1:19" ht="18" customHeight="1" x14ac:dyDescent="0.2">
      <c r="A72" s="3"/>
      <c r="B72" s="89"/>
      <c r="C72" s="90"/>
      <c r="D72" s="90"/>
      <c r="E72" s="24"/>
      <c r="F72" s="24"/>
      <c r="G72" s="24"/>
      <c r="H72" s="24"/>
      <c r="I72" s="24"/>
      <c r="J72" s="89"/>
      <c r="K72" s="90"/>
      <c r="L72" s="90"/>
      <c r="M72" s="90"/>
      <c r="N72" s="91"/>
      <c r="O72" s="24"/>
      <c r="P72" s="24"/>
      <c r="Q72" s="24"/>
      <c r="R72" s="24"/>
      <c r="S72" s="24"/>
    </row>
    <row r="73" spans="1:19" ht="18" customHeight="1" x14ac:dyDescent="0.2">
      <c r="A73" s="3"/>
      <c r="B73" s="89"/>
      <c r="C73" s="90"/>
      <c r="D73" s="90"/>
      <c r="E73" s="24"/>
      <c r="F73" s="24"/>
      <c r="G73" s="24"/>
      <c r="H73" s="24"/>
      <c r="I73" s="24"/>
      <c r="J73" s="89"/>
      <c r="K73" s="90"/>
      <c r="L73" s="90"/>
      <c r="M73" s="90"/>
      <c r="N73" s="91"/>
      <c r="O73" s="24"/>
      <c r="P73" s="24"/>
      <c r="Q73" s="24"/>
      <c r="R73" s="24"/>
      <c r="S73" s="24"/>
    </row>
    <row r="74" spans="1:19" ht="18" customHeight="1" x14ac:dyDescent="0.2">
      <c r="A74" s="3"/>
      <c r="B74" s="89"/>
      <c r="C74" s="90"/>
      <c r="D74" s="90"/>
      <c r="E74" s="24"/>
      <c r="F74" s="24"/>
      <c r="G74" s="24"/>
      <c r="H74" s="24"/>
      <c r="I74" s="24"/>
      <c r="J74" s="89"/>
      <c r="K74" s="90"/>
      <c r="L74" s="90"/>
      <c r="M74" s="90"/>
      <c r="N74" s="91"/>
      <c r="O74" s="24"/>
      <c r="P74" s="24"/>
      <c r="Q74" s="24"/>
      <c r="R74" s="24"/>
      <c r="S74" s="24"/>
    </row>
    <row r="75" spans="1:19" ht="18" customHeight="1" x14ac:dyDescent="0.2">
      <c r="A75" s="3"/>
      <c r="B75" s="92"/>
      <c r="C75" s="93"/>
      <c r="D75" s="93"/>
      <c r="E75" s="25"/>
      <c r="F75" s="25"/>
      <c r="G75" s="26"/>
      <c r="H75" s="26"/>
      <c r="I75" s="26"/>
      <c r="J75" s="92"/>
      <c r="K75" s="93"/>
      <c r="L75" s="93"/>
      <c r="M75" s="93"/>
      <c r="N75" s="94"/>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5" t="s">
        <v>54</v>
      </c>
      <c r="C78" s="96"/>
      <c r="D78" s="96"/>
      <c r="E78" s="97"/>
      <c r="F78" s="95" t="s">
        <v>83</v>
      </c>
      <c r="G78" s="96"/>
      <c r="H78" s="96"/>
      <c r="I78" s="97"/>
      <c r="J78" s="131" t="s">
        <v>54</v>
      </c>
      <c r="K78" s="132"/>
      <c r="L78" s="132"/>
      <c r="M78" s="132"/>
      <c r="N78" s="132"/>
      <c r="O78" s="133"/>
      <c r="P78" s="95" t="s">
        <v>83</v>
      </c>
      <c r="Q78" s="96"/>
      <c r="R78" s="96"/>
      <c r="S78" s="97"/>
    </row>
    <row r="79" spans="1:19" ht="18" customHeight="1" x14ac:dyDescent="0.2">
      <c r="A79" s="3"/>
      <c r="B79" s="99" t="s">
        <v>131</v>
      </c>
      <c r="C79" s="100"/>
      <c r="D79" s="100"/>
      <c r="E79" s="101"/>
      <c r="F79" s="139" t="s">
        <v>133</v>
      </c>
      <c r="G79" s="140"/>
      <c r="H79" s="140"/>
      <c r="I79" s="141"/>
      <c r="J79" s="99"/>
      <c r="K79" s="100"/>
      <c r="L79" s="100"/>
      <c r="M79" s="100"/>
      <c r="N79" s="100"/>
      <c r="O79" s="101"/>
      <c r="P79" s="139"/>
      <c r="Q79" s="140"/>
      <c r="R79" s="140"/>
      <c r="S79" s="141"/>
    </row>
    <row r="80" spans="1:19" ht="18" customHeight="1" x14ac:dyDescent="0.2">
      <c r="A80" s="3"/>
      <c r="B80" s="89" t="s">
        <v>131</v>
      </c>
      <c r="C80" s="90"/>
      <c r="D80" s="90"/>
      <c r="E80" s="91"/>
      <c r="F80" s="128" t="s">
        <v>134</v>
      </c>
      <c r="G80" s="129"/>
      <c r="H80" s="129"/>
      <c r="I80" s="130"/>
      <c r="J80" s="89"/>
      <c r="K80" s="90"/>
      <c r="L80" s="90"/>
      <c r="M80" s="90"/>
      <c r="N80" s="90"/>
      <c r="O80" s="91"/>
      <c r="P80" s="128"/>
      <c r="Q80" s="129"/>
      <c r="R80" s="129"/>
      <c r="S80" s="130"/>
    </row>
    <row r="81" spans="1:19" ht="18" customHeight="1" x14ac:dyDescent="0.2">
      <c r="A81" s="3"/>
      <c r="B81" s="89"/>
      <c r="C81" s="90"/>
      <c r="D81" s="90"/>
      <c r="E81" s="91"/>
      <c r="F81" s="128"/>
      <c r="G81" s="129"/>
      <c r="H81" s="129"/>
      <c r="I81" s="130"/>
      <c r="J81" s="89"/>
      <c r="K81" s="90"/>
      <c r="L81" s="90"/>
      <c r="M81" s="90"/>
      <c r="N81" s="90"/>
      <c r="O81" s="91"/>
      <c r="P81" s="128"/>
      <c r="Q81" s="129"/>
      <c r="R81" s="129"/>
      <c r="S81" s="130"/>
    </row>
    <row r="82" spans="1:19" ht="18" customHeight="1" x14ac:dyDescent="0.2">
      <c r="A82" s="3"/>
      <c r="B82" s="89"/>
      <c r="C82" s="90"/>
      <c r="D82" s="90"/>
      <c r="E82" s="91"/>
      <c r="F82" s="128"/>
      <c r="G82" s="129"/>
      <c r="H82" s="129"/>
      <c r="I82" s="130"/>
      <c r="J82" s="89"/>
      <c r="K82" s="90"/>
      <c r="L82" s="90"/>
      <c r="M82" s="90"/>
      <c r="N82" s="90"/>
      <c r="O82" s="91"/>
      <c r="P82" s="128"/>
      <c r="Q82" s="129"/>
      <c r="R82" s="129"/>
      <c r="S82" s="130"/>
    </row>
    <row r="83" spans="1:19" ht="18" customHeight="1" x14ac:dyDescent="0.2">
      <c r="A83" s="3"/>
      <c r="B83" s="89"/>
      <c r="C83" s="90"/>
      <c r="D83" s="90"/>
      <c r="E83" s="91"/>
      <c r="F83" s="128"/>
      <c r="G83" s="129"/>
      <c r="H83" s="129"/>
      <c r="I83" s="130"/>
      <c r="J83" s="89"/>
      <c r="K83" s="90"/>
      <c r="L83" s="90"/>
      <c r="M83" s="90"/>
      <c r="N83" s="90"/>
      <c r="O83" s="91"/>
      <c r="P83" s="128"/>
      <c r="Q83" s="129"/>
      <c r="R83" s="129"/>
      <c r="S83" s="130"/>
    </row>
    <row r="84" spans="1:19" ht="18" customHeight="1" x14ac:dyDescent="0.2">
      <c r="A84" s="3"/>
      <c r="B84" s="89"/>
      <c r="C84" s="90"/>
      <c r="D84" s="90"/>
      <c r="E84" s="91"/>
      <c r="F84" s="128"/>
      <c r="G84" s="129"/>
      <c r="H84" s="129"/>
      <c r="I84" s="130"/>
      <c r="J84" s="89"/>
      <c r="K84" s="90"/>
      <c r="L84" s="90"/>
      <c r="M84" s="90"/>
      <c r="N84" s="90"/>
      <c r="O84" s="91"/>
      <c r="P84" s="128"/>
      <c r="Q84" s="129"/>
      <c r="R84" s="129"/>
      <c r="S84" s="130"/>
    </row>
    <row r="85" spans="1:19" ht="18" customHeight="1" x14ac:dyDescent="0.2">
      <c r="A85" s="3"/>
      <c r="B85" s="92"/>
      <c r="C85" s="93"/>
      <c r="D85" s="93"/>
      <c r="E85" s="94"/>
      <c r="F85" s="125"/>
      <c r="G85" s="126"/>
      <c r="H85" s="126"/>
      <c r="I85" s="127"/>
      <c r="J85" s="92"/>
      <c r="K85" s="93"/>
      <c r="L85" s="93"/>
      <c r="M85" s="93"/>
      <c r="N85" s="93"/>
      <c r="O85" s="94"/>
      <c r="P85" s="125"/>
      <c r="Q85" s="126"/>
      <c r="R85" s="126"/>
      <c r="S85" s="127"/>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37" t="s">
        <v>55</v>
      </c>
      <c r="C88" s="138"/>
      <c r="D88" s="96" t="s">
        <v>56</v>
      </c>
      <c r="E88" s="96"/>
      <c r="F88" s="96"/>
      <c r="G88" s="96"/>
      <c r="H88" s="96"/>
      <c r="I88" s="96"/>
      <c r="J88" s="96"/>
      <c r="K88" s="96"/>
      <c r="L88" s="96"/>
      <c r="M88" s="96"/>
      <c r="N88" s="96"/>
      <c r="O88" s="96"/>
      <c r="P88" s="96"/>
      <c r="Q88" s="96"/>
      <c r="R88" s="96"/>
      <c r="S88" s="97"/>
    </row>
    <row r="89" spans="1:19" ht="97.5" customHeight="1" x14ac:dyDescent="0.2">
      <c r="B89" s="134" t="s">
        <v>62</v>
      </c>
      <c r="C89" s="28" t="s">
        <v>57</v>
      </c>
      <c r="D89" s="245" t="s">
        <v>174</v>
      </c>
      <c r="E89" s="245"/>
      <c r="F89" s="245"/>
      <c r="G89" s="245"/>
      <c r="H89" s="245"/>
      <c r="I89" s="245"/>
      <c r="J89" s="245"/>
      <c r="K89" s="245"/>
      <c r="L89" s="245"/>
      <c r="M89" s="245"/>
      <c r="N89" s="245"/>
      <c r="O89" s="245"/>
      <c r="P89" s="245"/>
      <c r="Q89" s="245"/>
      <c r="R89" s="245"/>
      <c r="S89" s="246"/>
    </row>
    <row r="90" spans="1:19" ht="97.5" customHeight="1" x14ac:dyDescent="0.2">
      <c r="B90" s="136"/>
      <c r="C90" s="29" t="s">
        <v>78</v>
      </c>
      <c r="D90" s="263" t="s">
        <v>172</v>
      </c>
      <c r="E90" s="264"/>
      <c r="F90" s="264"/>
      <c r="G90" s="264"/>
      <c r="H90" s="264"/>
      <c r="I90" s="264"/>
      <c r="J90" s="264"/>
      <c r="K90" s="264"/>
      <c r="L90" s="264"/>
      <c r="M90" s="264"/>
      <c r="N90" s="264"/>
      <c r="O90" s="264"/>
      <c r="P90" s="264"/>
      <c r="Q90" s="264"/>
      <c r="R90" s="264"/>
      <c r="S90" s="265"/>
    </row>
    <row r="91" spans="1:19" ht="97.5" customHeight="1" x14ac:dyDescent="0.2">
      <c r="B91" s="134" t="s">
        <v>63</v>
      </c>
      <c r="C91" s="30" t="s">
        <v>72</v>
      </c>
      <c r="D91" s="249" t="s">
        <v>169</v>
      </c>
      <c r="E91" s="249"/>
      <c r="F91" s="249"/>
      <c r="G91" s="249"/>
      <c r="H91" s="249"/>
      <c r="I91" s="249"/>
      <c r="J91" s="249"/>
      <c r="K91" s="249"/>
      <c r="L91" s="249"/>
      <c r="M91" s="249"/>
      <c r="N91" s="249"/>
      <c r="O91" s="249"/>
      <c r="P91" s="249"/>
      <c r="Q91" s="249"/>
      <c r="R91" s="249"/>
      <c r="S91" s="250"/>
    </row>
    <row r="92" spans="1:19" ht="97.5" customHeight="1" x14ac:dyDescent="0.2">
      <c r="B92" s="135"/>
      <c r="C92" s="31" t="s">
        <v>73</v>
      </c>
      <c r="D92" s="247" t="s">
        <v>170</v>
      </c>
      <c r="E92" s="247"/>
      <c r="F92" s="247"/>
      <c r="G92" s="247"/>
      <c r="H92" s="247"/>
      <c r="I92" s="247"/>
      <c r="J92" s="247"/>
      <c r="K92" s="247"/>
      <c r="L92" s="247"/>
      <c r="M92" s="247"/>
      <c r="N92" s="247"/>
      <c r="O92" s="247"/>
      <c r="P92" s="247"/>
      <c r="Q92" s="247"/>
      <c r="R92" s="247"/>
      <c r="S92" s="248"/>
    </row>
    <row r="93" spans="1:19" ht="97.5" customHeight="1" x14ac:dyDescent="0.2">
      <c r="B93" s="134" t="s">
        <v>64</v>
      </c>
      <c r="C93" s="30" t="s">
        <v>74</v>
      </c>
      <c r="D93" s="249" t="s">
        <v>171</v>
      </c>
      <c r="E93" s="249"/>
      <c r="F93" s="249"/>
      <c r="G93" s="249"/>
      <c r="H93" s="249"/>
      <c r="I93" s="249"/>
      <c r="J93" s="249"/>
      <c r="K93" s="249"/>
      <c r="L93" s="249"/>
      <c r="M93" s="249"/>
      <c r="N93" s="249"/>
      <c r="O93" s="249"/>
      <c r="P93" s="249"/>
      <c r="Q93" s="249"/>
      <c r="R93" s="249"/>
      <c r="S93" s="250"/>
    </row>
    <row r="94" spans="1:19" ht="97.5" customHeight="1" x14ac:dyDescent="0.2">
      <c r="B94" s="135"/>
      <c r="C94" s="32" t="s">
        <v>75</v>
      </c>
      <c r="D94" s="251" t="s">
        <v>173</v>
      </c>
      <c r="E94" s="251"/>
      <c r="F94" s="251"/>
      <c r="G94" s="251"/>
      <c r="H94" s="251"/>
      <c r="I94" s="251"/>
      <c r="J94" s="251"/>
      <c r="K94" s="251"/>
      <c r="L94" s="251"/>
      <c r="M94" s="251"/>
      <c r="N94" s="251"/>
      <c r="O94" s="251"/>
      <c r="P94" s="251"/>
      <c r="Q94" s="251"/>
      <c r="R94" s="251"/>
      <c r="S94" s="252"/>
    </row>
    <row r="95" spans="1:19" ht="97.5" customHeight="1" x14ac:dyDescent="0.2">
      <c r="B95" s="134" t="s">
        <v>79</v>
      </c>
      <c r="C95" s="28" t="s">
        <v>59</v>
      </c>
      <c r="D95" s="253" t="s">
        <v>178</v>
      </c>
      <c r="E95" s="245"/>
      <c r="F95" s="245"/>
      <c r="G95" s="245"/>
      <c r="H95" s="245"/>
      <c r="I95" s="245"/>
      <c r="J95" s="245"/>
      <c r="K95" s="245"/>
      <c r="L95" s="245"/>
      <c r="M95" s="245"/>
      <c r="N95" s="245"/>
      <c r="O95" s="245"/>
      <c r="P95" s="245"/>
      <c r="Q95" s="245"/>
      <c r="R95" s="245"/>
      <c r="S95" s="246"/>
    </row>
    <row r="96" spans="1:19" ht="97.5" customHeight="1" x14ac:dyDescent="0.2">
      <c r="B96" s="135"/>
      <c r="C96" s="31" t="s">
        <v>61</v>
      </c>
      <c r="D96" s="254" t="s">
        <v>135</v>
      </c>
      <c r="E96" s="254"/>
      <c r="F96" s="254"/>
      <c r="G96" s="254"/>
      <c r="H96" s="254"/>
      <c r="I96" s="254"/>
      <c r="J96" s="254"/>
      <c r="K96" s="254"/>
      <c r="L96" s="254"/>
      <c r="M96" s="254"/>
      <c r="N96" s="254"/>
      <c r="O96" s="254"/>
      <c r="P96" s="254"/>
      <c r="Q96" s="254"/>
      <c r="R96" s="254"/>
      <c r="S96" s="255"/>
    </row>
    <row r="97" spans="1:19" ht="108.6" customHeight="1" x14ac:dyDescent="0.2">
      <c r="B97" s="134" t="s">
        <v>80</v>
      </c>
      <c r="C97" s="30" t="s">
        <v>58</v>
      </c>
      <c r="D97" s="256" t="s">
        <v>177</v>
      </c>
      <c r="E97" s="257"/>
      <c r="F97" s="257"/>
      <c r="G97" s="257"/>
      <c r="H97" s="257"/>
      <c r="I97" s="257"/>
      <c r="J97" s="257"/>
      <c r="K97" s="257"/>
      <c r="L97" s="257"/>
      <c r="M97" s="257"/>
      <c r="N97" s="257"/>
      <c r="O97" s="257"/>
      <c r="P97" s="257"/>
      <c r="Q97" s="257"/>
      <c r="R97" s="257"/>
      <c r="S97" s="258"/>
    </row>
    <row r="98" spans="1:19" ht="108.6" customHeight="1" x14ac:dyDescent="0.2">
      <c r="B98" s="136"/>
      <c r="C98" s="33" t="s">
        <v>76</v>
      </c>
      <c r="D98" s="256" t="s">
        <v>175</v>
      </c>
      <c r="E98" s="257"/>
      <c r="F98" s="257"/>
      <c r="G98" s="257"/>
      <c r="H98" s="257"/>
      <c r="I98" s="257"/>
      <c r="J98" s="257"/>
      <c r="K98" s="257"/>
      <c r="L98" s="257"/>
      <c r="M98" s="257"/>
      <c r="N98" s="257"/>
      <c r="O98" s="257"/>
      <c r="P98" s="257"/>
      <c r="Q98" s="257"/>
      <c r="R98" s="257"/>
      <c r="S98" s="258"/>
    </row>
    <row r="99" spans="1:19" ht="104.4" customHeight="1" x14ac:dyDescent="0.2">
      <c r="B99" s="135"/>
      <c r="C99" s="32" t="s">
        <v>77</v>
      </c>
      <c r="D99" s="259" t="s">
        <v>176</v>
      </c>
      <c r="E99" s="260"/>
      <c r="F99" s="260"/>
      <c r="G99" s="260"/>
      <c r="H99" s="260"/>
      <c r="I99" s="260"/>
      <c r="J99" s="260"/>
      <c r="K99" s="260"/>
      <c r="L99" s="260"/>
      <c r="M99" s="260"/>
      <c r="N99" s="260"/>
      <c r="O99" s="260"/>
      <c r="P99" s="260"/>
      <c r="Q99" s="260"/>
      <c r="R99" s="260"/>
      <c r="S99" s="261"/>
    </row>
    <row r="100" spans="1:19" ht="6" customHeight="1" x14ac:dyDescent="0.2"/>
    <row r="101" spans="1:19" ht="18.75" customHeight="1" x14ac:dyDescent="0.2">
      <c r="A101" s="1" t="s">
        <v>121</v>
      </c>
    </row>
    <row r="102" spans="1:19" ht="81.75" customHeight="1" x14ac:dyDescent="0.2">
      <c r="B102" s="122" t="s">
        <v>136</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58:I64 Q25:S31 P69:S75 Q36:S42 G25:I31 Q47:S53 G36:I42 Q58:S64 G47:I53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Q83:S86 P79:P86 Q79:S80 G83:I86 F79:F86 G79:I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70" zoomScaleNormal="100" zoomScaleSheetLayoutView="70" workbookViewId="0">
      <selection activeCell="E9" sqref="E9:E11"/>
    </sheetView>
  </sheetViews>
  <sheetFormatPr defaultColWidth="9" defaultRowHeight="18.75" customHeight="1" x14ac:dyDescent="0.2"/>
  <cols>
    <col min="1" max="1" width="2.88671875" style="1" customWidth="1"/>
    <col min="2" max="2" width="20.886718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45" t="str">
        <f>'様式１　プログラムを構成する授業科目'!C2</f>
        <v>甲南大学</v>
      </c>
      <c r="AN2" s="145"/>
      <c r="AO2" s="145"/>
      <c r="AP2" s="145"/>
      <c r="AQ2" s="145"/>
    </row>
    <row r="3" spans="1:45" ht="18" customHeight="1" x14ac:dyDescent="0.2">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46" t="s">
        <v>137</v>
      </c>
      <c r="D5" s="14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48" t="s">
        <v>45</v>
      </c>
      <c r="C9" s="163" t="s">
        <v>87</v>
      </c>
      <c r="D9" s="151" t="s">
        <v>47</v>
      </c>
      <c r="E9" s="154" t="s">
        <v>40</v>
      </c>
      <c r="F9" s="144" t="s">
        <v>86</v>
      </c>
      <c r="G9" s="144"/>
      <c r="H9" s="144"/>
      <c r="I9" s="144"/>
      <c r="J9" s="144"/>
      <c r="K9" s="144"/>
      <c r="L9" s="144" t="s">
        <v>49</v>
      </c>
      <c r="M9" s="144"/>
      <c r="N9" s="144"/>
      <c r="O9" s="144"/>
      <c r="P9" s="144"/>
      <c r="Q9" s="144"/>
      <c r="R9" s="144" t="s">
        <v>50</v>
      </c>
      <c r="S9" s="144"/>
      <c r="T9" s="144"/>
      <c r="U9" s="144"/>
      <c r="V9" s="144"/>
      <c r="W9" s="144"/>
      <c r="X9" s="144" t="s">
        <v>101</v>
      </c>
      <c r="Y9" s="144"/>
      <c r="Z9" s="144"/>
      <c r="AA9" s="144"/>
      <c r="AB9" s="144"/>
      <c r="AC9" s="144"/>
      <c r="AD9" s="144" t="s">
        <v>51</v>
      </c>
      <c r="AE9" s="144"/>
      <c r="AF9" s="144"/>
      <c r="AG9" s="144"/>
      <c r="AH9" s="144"/>
      <c r="AI9" s="144"/>
      <c r="AJ9" s="144" t="s">
        <v>52</v>
      </c>
      <c r="AK9" s="144"/>
      <c r="AL9" s="144"/>
      <c r="AM9" s="144"/>
      <c r="AN9" s="144"/>
      <c r="AO9" s="144"/>
      <c r="AP9" s="157" t="s">
        <v>35</v>
      </c>
      <c r="AQ9" s="160" t="s">
        <v>32</v>
      </c>
      <c r="AS9" s="2"/>
    </row>
    <row r="10" spans="1:45" ht="17.100000000000001" customHeight="1" x14ac:dyDescent="0.2">
      <c r="B10" s="149"/>
      <c r="C10" s="164"/>
      <c r="D10" s="152"/>
      <c r="E10" s="155"/>
      <c r="F10" s="142" t="s">
        <v>97</v>
      </c>
      <c r="G10" s="143"/>
      <c r="H10" s="143"/>
      <c r="I10" s="142" t="s">
        <v>29</v>
      </c>
      <c r="J10" s="143"/>
      <c r="K10" s="143"/>
      <c r="L10" s="142" t="s">
        <v>97</v>
      </c>
      <c r="M10" s="143"/>
      <c r="N10" s="143"/>
      <c r="O10" s="142" t="s">
        <v>29</v>
      </c>
      <c r="P10" s="143"/>
      <c r="Q10" s="143"/>
      <c r="R10" s="142" t="s">
        <v>97</v>
      </c>
      <c r="S10" s="143"/>
      <c r="T10" s="143"/>
      <c r="U10" s="142" t="s">
        <v>29</v>
      </c>
      <c r="V10" s="143"/>
      <c r="W10" s="143"/>
      <c r="X10" s="142" t="s">
        <v>97</v>
      </c>
      <c r="Y10" s="143"/>
      <c r="Z10" s="143"/>
      <c r="AA10" s="142" t="s">
        <v>29</v>
      </c>
      <c r="AB10" s="143"/>
      <c r="AC10" s="143"/>
      <c r="AD10" s="142" t="s">
        <v>97</v>
      </c>
      <c r="AE10" s="143"/>
      <c r="AF10" s="143"/>
      <c r="AG10" s="142" t="s">
        <v>29</v>
      </c>
      <c r="AH10" s="143"/>
      <c r="AI10" s="143"/>
      <c r="AJ10" s="142" t="s">
        <v>97</v>
      </c>
      <c r="AK10" s="143"/>
      <c r="AL10" s="143"/>
      <c r="AM10" s="142" t="s">
        <v>29</v>
      </c>
      <c r="AN10" s="143"/>
      <c r="AO10" s="143"/>
      <c r="AP10" s="158"/>
      <c r="AQ10" s="161"/>
      <c r="AS10" s="2"/>
    </row>
    <row r="11" spans="1:45" ht="18" customHeight="1" x14ac:dyDescent="0.2">
      <c r="B11" s="150"/>
      <c r="C11" s="165"/>
      <c r="D11" s="153"/>
      <c r="E11" s="15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59"/>
      <c r="AQ11" s="162"/>
      <c r="AS11" s="2"/>
    </row>
    <row r="12" spans="1:45" ht="18" customHeight="1" x14ac:dyDescent="0.2">
      <c r="A12" s="6"/>
      <c r="B12" s="11" t="s">
        <v>138</v>
      </c>
      <c r="C12" s="51">
        <v>1812</v>
      </c>
      <c r="D12" s="52">
        <v>405</v>
      </c>
      <c r="E12" s="53">
        <v>1620</v>
      </c>
      <c r="F12" s="53">
        <f>G12+H12</f>
        <v>46</v>
      </c>
      <c r="G12" s="54">
        <v>12</v>
      </c>
      <c r="H12" s="55">
        <v>34</v>
      </c>
      <c r="I12" s="53">
        <f>J12+K12</f>
        <v>39</v>
      </c>
      <c r="J12" s="54">
        <v>9</v>
      </c>
      <c r="K12" s="55">
        <v>30</v>
      </c>
      <c r="L12" s="53">
        <f>M12+N12</f>
        <v>0</v>
      </c>
      <c r="M12" s="54"/>
      <c r="N12" s="55"/>
      <c r="O12" s="53">
        <f>P12+Q12</f>
        <v>0</v>
      </c>
      <c r="P12" s="54"/>
      <c r="Q12" s="55"/>
      <c r="R12" s="53">
        <f>S12+T12</f>
        <v>0</v>
      </c>
      <c r="S12" s="54"/>
      <c r="T12" s="55"/>
      <c r="U12" s="53">
        <f>V12+W12</f>
        <v>0</v>
      </c>
      <c r="V12" s="54"/>
      <c r="W12" s="55"/>
      <c r="X12" s="53">
        <f>Y12+Z12</f>
        <v>0</v>
      </c>
      <c r="Y12" s="54"/>
      <c r="Z12" s="55"/>
      <c r="AA12" s="53">
        <f>AB12+AC12</f>
        <v>0</v>
      </c>
      <c r="AB12" s="54"/>
      <c r="AC12" s="55"/>
      <c r="AD12" s="53">
        <f>AE12+AF12</f>
        <v>0</v>
      </c>
      <c r="AE12" s="54"/>
      <c r="AF12" s="55"/>
      <c r="AG12" s="53">
        <f>AH12+AI12</f>
        <v>0</v>
      </c>
      <c r="AH12" s="54"/>
      <c r="AI12" s="55"/>
      <c r="AJ12" s="53">
        <f>AK12+AL12</f>
        <v>0</v>
      </c>
      <c r="AK12" s="54"/>
      <c r="AL12" s="55"/>
      <c r="AM12" s="53">
        <f>AN12+AO12</f>
        <v>0</v>
      </c>
      <c r="AN12" s="54"/>
      <c r="AO12" s="55"/>
      <c r="AP12" s="52">
        <f>F12+L12+R12+X12+AD12+AJ12</f>
        <v>46</v>
      </c>
      <c r="AQ12" s="21">
        <f t="shared" ref="AQ12:AQ31" si="0">AP12/E12</f>
        <v>2.8395061728395062E-2</v>
      </c>
    </row>
    <row r="13" spans="1:45" ht="18" customHeight="1" x14ac:dyDescent="0.2">
      <c r="A13" s="6"/>
      <c r="B13" s="12" t="s">
        <v>139</v>
      </c>
      <c r="C13" s="56">
        <v>675</v>
      </c>
      <c r="D13" s="57">
        <v>155</v>
      </c>
      <c r="E13" s="58">
        <v>620</v>
      </c>
      <c r="F13" s="59">
        <f t="shared" ref="F13:F31" si="1">G13+H13</f>
        <v>73</v>
      </c>
      <c r="G13" s="60">
        <v>51</v>
      </c>
      <c r="H13" s="61">
        <v>22</v>
      </c>
      <c r="I13" s="59">
        <f t="shared" ref="I13:I31" si="2">J13+K13</f>
        <v>59</v>
      </c>
      <c r="J13" s="60">
        <v>39</v>
      </c>
      <c r="K13" s="61">
        <v>20</v>
      </c>
      <c r="L13" s="59">
        <f t="shared" ref="L13:L31" si="3">M13+N13</f>
        <v>0</v>
      </c>
      <c r="M13" s="60"/>
      <c r="N13" s="61"/>
      <c r="O13" s="59">
        <f t="shared" ref="O13:O31" si="4">P13+Q13</f>
        <v>0</v>
      </c>
      <c r="P13" s="60"/>
      <c r="Q13" s="61"/>
      <c r="R13" s="59">
        <f t="shared" ref="R13:R31" si="5">S13+T13</f>
        <v>0</v>
      </c>
      <c r="S13" s="60"/>
      <c r="T13" s="61"/>
      <c r="U13" s="59">
        <f t="shared" ref="U13:U31" si="6">V13+W13</f>
        <v>0</v>
      </c>
      <c r="V13" s="60"/>
      <c r="W13" s="61"/>
      <c r="X13" s="59">
        <f t="shared" ref="X13:X31" si="7">Y13+Z13</f>
        <v>0</v>
      </c>
      <c r="Y13" s="60"/>
      <c r="Z13" s="61"/>
      <c r="AA13" s="59">
        <f t="shared" ref="AA13:AA31" si="8">AB13+AC13</f>
        <v>0</v>
      </c>
      <c r="AB13" s="60"/>
      <c r="AC13" s="61"/>
      <c r="AD13" s="59">
        <f t="shared" ref="AD13:AD31" si="9">AE13+AF13</f>
        <v>0</v>
      </c>
      <c r="AE13" s="60"/>
      <c r="AF13" s="61"/>
      <c r="AG13" s="59">
        <f t="shared" ref="AG13:AG31" si="10">AH13+AI13</f>
        <v>0</v>
      </c>
      <c r="AH13" s="60"/>
      <c r="AI13" s="61"/>
      <c r="AJ13" s="59">
        <f t="shared" ref="AJ13:AJ31" si="11">AK13+AL13</f>
        <v>0</v>
      </c>
      <c r="AK13" s="60"/>
      <c r="AL13" s="61"/>
      <c r="AM13" s="59">
        <f t="shared" ref="AM13:AM31" si="12">AN13+AO13</f>
        <v>0</v>
      </c>
      <c r="AN13" s="60"/>
      <c r="AO13" s="61"/>
      <c r="AP13" s="57">
        <f t="shared" ref="AP13:AP31" si="13">F13+L13+R13+X13+AD13+AJ13</f>
        <v>73</v>
      </c>
      <c r="AQ13" s="20">
        <f t="shared" si="0"/>
        <v>0.11774193548387096</v>
      </c>
    </row>
    <row r="14" spans="1:45" ht="18" customHeight="1" x14ac:dyDescent="0.2">
      <c r="A14" s="6"/>
      <c r="B14" s="12" t="s">
        <v>140</v>
      </c>
      <c r="C14" s="56">
        <v>1560</v>
      </c>
      <c r="D14" s="57">
        <v>345</v>
      </c>
      <c r="E14" s="58">
        <v>1380</v>
      </c>
      <c r="F14" s="59">
        <f t="shared" si="1"/>
        <v>61</v>
      </c>
      <c r="G14" s="60">
        <v>48</v>
      </c>
      <c r="H14" s="61">
        <v>13</v>
      </c>
      <c r="I14" s="59">
        <f t="shared" si="2"/>
        <v>41</v>
      </c>
      <c r="J14" s="60">
        <v>30</v>
      </c>
      <c r="K14" s="61">
        <v>11</v>
      </c>
      <c r="L14" s="59">
        <f t="shared" si="3"/>
        <v>0</v>
      </c>
      <c r="M14" s="60"/>
      <c r="N14" s="61"/>
      <c r="O14" s="59">
        <f t="shared" si="4"/>
        <v>0</v>
      </c>
      <c r="P14" s="60"/>
      <c r="Q14" s="61"/>
      <c r="R14" s="59">
        <f t="shared" si="5"/>
        <v>0</v>
      </c>
      <c r="S14" s="60"/>
      <c r="T14" s="61"/>
      <c r="U14" s="59">
        <f t="shared" si="6"/>
        <v>0</v>
      </c>
      <c r="V14" s="60"/>
      <c r="W14" s="61"/>
      <c r="X14" s="59">
        <f t="shared" si="7"/>
        <v>0</v>
      </c>
      <c r="Y14" s="60"/>
      <c r="Z14" s="61"/>
      <c r="AA14" s="59">
        <f t="shared" si="8"/>
        <v>0</v>
      </c>
      <c r="AB14" s="60"/>
      <c r="AC14" s="61"/>
      <c r="AD14" s="59">
        <f t="shared" si="9"/>
        <v>0</v>
      </c>
      <c r="AE14" s="60"/>
      <c r="AF14" s="61"/>
      <c r="AG14" s="59">
        <f t="shared" si="10"/>
        <v>0</v>
      </c>
      <c r="AH14" s="60"/>
      <c r="AI14" s="61"/>
      <c r="AJ14" s="59">
        <f t="shared" si="11"/>
        <v>0</v>
      </c>
      <c r="AK14" s="60"/>
      <c r="AL14" s="61"/>
      <c r="AM14" s="59">
        <f t="shared" si="12"/>
        <v>0</v>
      </c>
      <c r="AN14" s="60"/>
      <c r="AO14" s="61"/>
      <c r="AP14" s="57">
        <f t="shared" si="13"/>
        <v>61</v>
      </c>
      <c r="AQ14" s="8">
        <f t="shared" si="0"/>
        <v>4.4202898550724637E-2</v>
      </c>
    </row>
    <row r="15" spans="1:45" ht="18" customHeight="1" x14ac:dyDescent="0.2">
      <c r="A15" s="6"/>
      <c r="B15" s="12" t="s">
        <v>141</v>
      </c>
      <c r="C15" s="56">
        <v>1532</v>
      </c>
      <c r="D15" s="57">
        <v>345</v>
      </c>
      <c r="E15" s="58">
        <v>1380</v>
      </c>
      <c r="F15" s="59">
        <f t="shared" si="1"/>
        <v>41</v>
      </c>
      <c r="G15" s="60">
        <v>31</v>
      </c>
      <c r="H15" s="61">
        <v>10</v>
      </c>
      <c r="I15" s="59">
        <f t="shared" si="2"/>
        <v>30</v>
      </c>
      <c r="J15" s="60">
        <v>23</v>
      </c>
      <c r="K15" s="61">
        <v>7</v>
      </c>
      <c r="L15" s="59">
        <f t="shared" si="3"/>
        <v>0</v>
      </c>
      <c r="M15" s="60"/>
      <c r="N15" s="61"/>
      <c r="O15" s="59">
        <f t="shared" si="4"/>
        <v>0</v>
      </c>
      <c r="P15" s="60"/>
      <c r="Q15" s="61"/>
      <c r="R15" s="59">
        <f t="shared" si="5"/>
        <v>0</v>
      </c>
      <c r="S15" s="60"/>
      <c r="T15" s="61"/>
      <c r="U15" s="59">
        <f t="shared" si="6"/>
        <v>0</v>
      </c>
      <c r="V15" s="60"/>
      <c r="W15" s="61"/>
      <c r="X15" s="59">
        <f t="shared" si="7"/>
        <v>0</v>
      </c>
      <c r="Y15" s="60"/>
      <c r="Z15" s="61"/>
      <c r="AA15" s="59">
        <f t="shared" si="8"/>
        <v>0</v>
      </c>
      <c r="AB15" s="60"/>
      <c r="AC15" s="61"/>
      <c r="AD15" s="59">
        <f t="shared" si="9"/>
        <v>0</v>
      </c>
      <c r="AE15" s="60"/>
      <c r="AF15" s="61"/>
      <c r="AG15" s="59">
        <f t="shared" si="10"/>
        <v>0</v>
      </c>
      <c r="AH15" s="60"/>
      <c r="AI15" s="61"/>
      <c r="AJ15" s="59">
        <f t="shared" si="11"/>
        <v>0</v>
      </c>
      <c r="AK15" s="60"/>
      <c r="AL15" s="61"/>
      <c r="AM15" s="59">
        <f t="shared" si="12"/>
        <v>0</v>
      </c>
      <c r="AN15" s="60"/>
      <c r="AO15" s="61"/>
      <c r="AP15" s="57">
        <f t="shared" si="13"/>
        <v>41</v>
      </c>
      <c r="AQ15" s="8">
        <f t="shared" si="0"/>
        <v>2.9710144927536233E-2</v>
      </c>
    </row>
    <row r="16" spans="1:45" ht="18" customHeight="1" x14ac:dyDescent="0.2">
      <c r="A16" s="6"/>
      <c r="B16" s="12" t="s">
        <v>142</v>
      </c>
      <c r="C16" s="56">
        <v>1563</v>
      </c>
      <c r="D16" s="57">
        <v>345</v>
      </c>
      <c r="E16" s="58">
        <v>1380</v>
      </c>
      <c r="F16" s="59">
        <f t="shared" si="1"/>
        <v>57</v>
      </c>
      <c r="G16" s="60">
        <v>35</v>
      </c>
      <c r="H16" s="61">
        <v>22</v>
      </c>
      <c r="I16" s="59">
        <f t="shared" si="2"/>
        <v>38</v>
      </c>
      <c r="J16" s="60">
        <v>22</v>
      </c>
      <c r="K16" s="61">
        <v>16</v>
      </c>
      <c r="L16" s="59">
        <f t="shared" si="3"/>
        <v>0</v>
      </c>
      <c r="M16" s="60"/>
      <c r="N16" s="61"/>
      <c r="O16" s="59">
        <f t="shared" si="4"/>
        <v>0</v>
      </c>
      <c r="P16" s="60"/>
      <c r="Q16" s="61"/>
      <c r="R16" s="59">
        <f t="shared" si="5"/>
        <v>0</v>
      </c>
      <c r="S16" s="60"/>
      <c r="T16" s="61"/>
      <c r="U16" s="59">
        <f t="shared" si="6"/>
        <v>0</v>
      </c>
      <c r="V16" s="60"/>
      <c r="W16" s="61"/>
      <c r="X16" s="59">
        <f t="shared" si="7"/>
        <v>0</v>
      </c>
      <c r="Y16" s="60"/>
      <c r="Z16" s="61"/>
      <c r="AA16" s="59">
        <f t="shared" si="8"/>
        <v>0</v>
      </c>
      <c r="AB16" s="60"/>
      <c r="AC16" s="61"/>
      <c r="AD16" s="59">
        <f t="shared" si="9"/>
        <v>0</v>
      </c>
      <c r="AE16" s="60"/>
      <c r="AF16" s="61"/>
      <c r="AG16" s="59">
        <f t="shared" si="10"/>
        <v>0</v>
      </c>
      <c r="AH16" s="60"/>
      <c r="AI16" s="61"/>
      <c r="AJ16" s="59">
        <f t="shared" si="11"/>
        <v>0</v>
      </c>
      <c r="AK16" s="60"/>
      <c r="AL16" s="61"/>
      <c r="AM16" s="59">
        <f t="shared" si="12"/>
        <v>0</v>
      </c>
      <c r="AN16" s="60"/>
      <c r="AO16" s="61"/>
      <c r="AP16" s="57">
        <f t="shared" si="13"/>
        <v>57</v>
      </c>
      <c r="AQ16" s="8">
        <f t="shared" si="0"/>
        <v>4.1304347826086954E-2</v>
      </c>
    </row>
    <row r="17" spans="1:43" ht="18" customHeight="1" x14ac:dyDescent="0.2">
      <c r="A17" s="6"/>
      <c r="B17" s="12" t="s">
        <v>143</v>
      </c>
      <c r="C17" s="56">
        <v>558</v>
      </c>
      <c r="D17" s="57">
        <v>120</v>
      </c>
      <c r="E17" s="58">
        <v>480</v>
      </c>
      <c r="F17" s="59">
        <f t="shared" si="1"/>
        <v>137</v>
      </c>
      <c r="G17" s="60">
        <v>115</v>
      </c>
      <c r="H17" s="61">
        <v>22</v>
      </c>
      <c r="I17" s="59">
        <f t="shared" si="2"/>
        <v>106</v>
      </c>
      <c r="J17" s="60">
        <v>88</v>
      </c>
      <c r="K17" s="61">
        <v>18</v>
      </c>
      <c r="L17" s="59">
        <f t="shared" si="3"/>
        <v>0</v>
      </c>
      <c r="M17" s="60"/>
      <c r="N17" s="61"/>
      <c r="O17" s="59">
        <f t="shared" si="4"/>
        <v>0</v>
      </c>
      <c r="P17" s="60"/>
      <c r="Q17" s="61"/>
      <c r="R17" s="59">
        <f t="shared" si="5"/>
        <v>0</v>
      </c>
      <c r="S17" s="60"/>
      <c r="T17" s="61"/>
      <c r="U17" s="59">
        <f t="shared" si="6"/>
        <v>0</v>
      </c>
      <c r="V17" s="60"/>
      <c r="W17" s="61"/>
      <c r="X17" s="59">
        <f t="shared" si="7"/>
        <v>0</v>
      </c>
      <c r="Y17" s="60"/>
      <c r="Z17" s="61"/>
      <c r="AA17" s="59">
        <f t="shared" si="8"/>
        <v>0</v>
      </c>
      <c r="AB17" s="60"/>
      <c r="AC17" s="61"/>
      <c r="AD17" s="59">
        <f t="shared" si="9"/>
        <v>0</v>
      </c>
      <c r="AE17" s="60"/>
      <c r="AF17" s="61"/>
      <c r="AG17" s="59">
        <f t="shared" si="10"/>
        <v>0</v>
      </c>
      <c r="AH17" s="60"/>
      <c r="AI17" s="61"/>
      <c r="AJ17" s="59">
        <f t="shared" si="11"/>
        <v>0</v>
      </c>
      <c r="AK17" s="60"/>
      <c r="AL17" s="61"/>
      <c r="AM17" s="59">
        <f t="shared" si="12"/>
        <v>0</v>
      </c>
      <c r="AN17" s="60"/>
      <c r="AO17" s="61"/>
      <c r="AP17" s="57">
        <f t="shared" si="13"/>
        <v>137</v>
      </c>
      <c r="AQ17" s="8">
        <f t="shared" si="0"/>
        <v>0.28541666666666665</v>
      </c>
    </row>
    <row r="18" spans="1:43" ht="18" customHeight="1" x14ac:dyDescent="0.2">
      <c r="A18" s="6"/>
      <c r="B18" s="12" t="s">
        <v>144</v>
      </c>
      <c r="C18" s="56">
        <v>780</v>
      </c>
      <c r="D18" s="57">
        <v>180</v>
      </c>
      <c r="E18" s="58">
        <v>720</v>
      </c>
      <c r="F18" s="59">
        <f t="shared" si="1"/>
        <v>29</v>
      </c>
      <c r="G18" s="60">
        <v>16</v>
      </c>
      <c r="H18" s="61">
        <v>13</v>
      </c>
      <c r="I18" s="59">
        <f t="shared" si="2"/>
        <v>24</v>
      </c>
      <c r="J18" s="60">
        <v>12</v>
      </c>
      <c r="K18" s="61">
        <v>12</v>
      </c>
      <c r="L18" s="59">
        <f t="shared" si="3"/>
        <v>0</v>
      </c>
      <c r="M18" s="60"/>
      <c r="N18" s="61"/>
      <c r="O18" s="59">
        <f t="shared" si="4"/>
        <v>0</v>
      </c>
      <c r="P18" s="60"/>
      <c r="Q18" s="61"/>
      <c r="R18" s="59">
        <f t="shared" si="5"/>
        <v>0</v>
      </c>
      <c r="S18" s="60"/>
      <c r="T18" s="61"/>
      <c r="U18" s="59">
        <f t="shared" si="6"/>
        <v>0</v>
      </c>
      <c r="V18" s="60"/>
      <c r="W18" s="61"/>
      <c r="X18" s="59">
        <f t="shared" si="7"/>
        <v>0</v>
      </c>
      <c r="Y18" s="60"/>
      <c r="Z18" s="61"/>
      <c r="AA18" s="59">
        <f t="shared" si="8"/>
        <v>0</v>
      </c>
      <c r="AB18" s="60"/>
      <c r="AC18" s="61"/>
      <c r="AD18" s="59">
        <f t="shared" si="9"/>
        <v>0</v>
      </c>
      <c r="AE18" s="60"/>
      <c r="AF18" s="61"/>
      <c r="AG18" s="59">
        <f t="shared" si="10"/>
        <v>0</v>
      </c>
      <c r="AH18" s="60"/>
      <c r="AI18" s="61"/>
      <c r="AJ18" s="59">
        <f t="shared" si="11"/>
        <v>0</v>
      </c>
      <c r="AK18" s="60"/>
      <c r="AL18" s="61"/>
      <c r="AM18" s="59">
        <f t="shared" si="12"/>
        <v>0</v>
      </c>
      <c r="AN18" s="60"/>
      <c r="AO18" s="61"/>
      <c r="AP18" s="57">
        <f t="shared" si="13"/>
        <v>29</v>
      </c>
      <c r="AQ18" s="8">
        <f t="shared" si="0"/>
        <v>4.027777777777778E-2</v>
      </c>
    </row>
    <row r="19" spans="1:43" ht="18" customHeight="1" x14ac:dyDescent="0.2">
      <c r="A19" s="6"/>
      <c r="B19" s="12" t="s">
        <v>145</v>
      </c>
      <c r="C19" s="56">
        <v>187</v>
      </c>
      <c r="D19" s="57">
        <v>45</v>
      </c>
      <c r="E19" s="58">
        <v>180</v>
      </c>
      <c r="F19" s="59">
        <f t="shared" si="1"/>
        <v>1</v>
      </c>
      <c r="G19" s="60">
        <v>1</v>
      </c>
      <c r="H19" s="61">
        <v>0</v>
      </c>
      <c r="I19" s="59">
        <f t="shared" si="2"/>
        <v>1</v>
      </c>
      <c r="J19" s="60">
        <v>1</v>
      </c>
      <c r="K19" s="61">
        <v>0</v>
      </c>
      <c r="L19" s="59">
        <f t="shared" si="3"/>
        <v>0</v>
      </c>
      <c r="M19" s="60"/>
      <c r="N19" s="61"/>
      <c r="O19" s="59">
        <f t="shared" si="4"/>
        <v>0</v>
      </c>
      <c r="P19" s="60"/>
      <c r="Q19" s="61"/>
      <c r="R19" s="59">
        <f t="shared" si="5"/>
        <v>0</v>
      </c>
      <c r="S19" s="60"/>
      <c r="T19" s="61"/>
      <c r="U19" s="59">
        <f t="shared" si="6"/>
        <v>0</v>
      </c>
      <c r="V19" s="60"/>
      <c r="W19" s="61"/>
      <c r="X19" s="59">
        <f t="shared" si="7"/>
        <v>0</v>
      </c>
      <c r="Y19" s="60"/>
      <c r="Z19" s="61"/>
      <c r="AA19" s="59">
        <f t="shared" si="8"/>
        <v>0</v>
      </c>
      <c r="AB19" s="60"/>
      <c r="AC19" s="61"/>
      <c r="AD19" s="59">
        <f t="shared" si="9"/>
        <v>0</v>
      </c>
      <c r="AE19" s="60"/>
      <c r="AF19" s="61"/>
      <c r="AG19" s="59">
        <f t="shared" si="10"/>
        <v>0</v>
      </c>
      <c r="AH19" s="60"/>
      <c r="AI19" s="61"/>
      <c r="AJ19" s="59">
        <f t="shared" si="11"/>
        <v>0</v>
      </c>
      <c r="AK19" s="60"/>
      <c r="AL19" s="61"/>
      <c r="AM19" s="59">
        <f t="shared" si="12"/>
        <v>0</v>
      </c>
      <c r="AN19" s="60"/>
      <c r="AO19" s="61"/>
      <c r="AP19" s="57">
        <f t="shared" si="13"/>
        <v>1</v>
      </c>
      <c r="AQ19" s="8">
        <f t="shared" si="0"/>
        <v>5.5555555555555558E-3</v>
      </c>
    </row>
    <row r="20" spans="1:43" ht="18" customHeight="1" x14ac:dyDescent="0.2">
      <c r="A20" s="6"/>
      <c r="B20" s="12"/>
      <c r="C20" s="56"/>
      <c r="D20" s="57"/>
      <c r="E20" s="58"/>
      <c r="F20" s="59">
        <f t="shared" si="1"/>
        <v>0</v>
      </c>
      <c r="G20" s="60"/>
      <c r="H20" s="61"/>
      <c r="I20" s="59">
        <f t="shared" si="2"/>
        <v>0</v>
      </c>
      <c r="J20" s="60"/>
      <c r="K20" s="61"/>
      <c r="L20" s="59">
        <f t="shared" si="3"/>
        <v>0</v>
      </c>
      <c r="M20" s="60"/>
      <c r="N20" s="61"/>
      <c r="O20" s="59">
        <f t="shared" si="4"/>
        <v>0</v>
      </c>
      <c r="P20" s="60"/>
      <c r="Q20" s="61"/>
      <c r="R20" s="59">
        <f t="shared" si="5"/>
        <v>0</v>
      </c>
      <c r="S20" s="60"/>
      <c r="T20" s="61"/>
      <c r="U20" s="59">
        <f t="shared" si="6"/>
        <v>0</v>
      </c>
      <c r="V20" s="60"/>
      <c r="W20" s="61"/>
      <c r="X20" s="59">
        <f t="shared" si="7"/>
        <v>0</v>
      </c>
      <c r="Y20" s="60"/>
      <c r="Z20" s="61"/>
      <c r="AA20" s="59">
        <f t="shared" si="8"/>
        <v>0</v>
      </c>
      <c r="AB20" s="60"/>
      <c r="AC20" s="61"/>
      <c r="AD20" s="59">
        <f t="shared" si="9"/>
        <v>0</v>
      </c>
      <c r="AE20" s="60"/>
      <c r="AF20" s="61"/>
      <c r="AG20" s="59">
        <f t="shared" si="10"/>
        <v>0</v>
      </c>
      <c r="AH20" s="60"/>
      <c r="AI20" s="61"/>
      <c r="AJ20" s="59">
        <f t="shared" si="11"/>
        <v>0</v>
      </c>
      <c r="AK20" s="60"/>
      <c r="AL20" s="61"/>
      <c r="AM20" s="59">
        <f t="shared" si="12"/>
        <v>0</v>
      </c>
      <c r="AN20" s="60"/>
      <c r="AO20" s="61"/>
      <c r="AP20" s="57">
        <f t="shared" si="13"/>
        <v>0</v>
      </c>
      <c r="AQ20" s="8" t="e">
        <f t="shared" si="0"/>
        <v>#DIV/0!</v>
      </c>
    </row>
    <row r="21" spans="1:43" ht="18" customHeight="1" x14ac:dyDescent="0.2">
      <c r="A21" s="6"/>
      <c r="B21" s="12"/>
      <c r="C21" s="56"/>
      <c r="D21" s="57"/>
      <c r="E21" s="58"/>
      <c r="F21" s="59">
        <f t="shared" si="1"/>
        <v>0</v>
      </c>
      <c r="G21" s="60"/>
      <c r="H21" s="61"/>
      <c r="I21" s="59">
        <f t="shared" si="2"/>
        <v>0</v>
      </c>
      <c r="J21" s="60"/>
      <c r="K21" s="61"/>
      <c r="L21" s="59">
        <f t="shared" si="3"/>
        <v>0</v>
      </c>
      <c r="M21" s="60"/>
      <c r="N21" s="61"/>
      <c r="O21" s="59">
        <f t="shared" si="4"/>
        <v>0</v>
      </c>
      <c r="P21" s="60"/>
      <c r="Q21" s="61"/>
      <c r="R21" s="59">
        <f t="shared" si="5"/>
        <v>0</v>
      </c>
      <c r="S21" s="60"/>
      <c r="T21" s="61"/>
      <c r="U21" s="59">
        <f t="shared" si="6"/>
        <v>0</v>
      </c>
      <c r="V21" s="60"/>
      <c r="W21" s="61"/>
      <c r="X21" s="59">
        <f t="shared" si="7"/>
        <v>0</v>
      </c>
      <c r="Y21" s="60"/>
      <c r="Z21" s="61"/>
      <c r="AA21" s="59">
        <f t="shared" si="8"/>
        <v>0</v>
      </c>
      <c r="AB21" s="60"/>
      <c r="AC21" s="61"/>
      <c r="AD21" s="59">
        <f t="shared" si="9"/>
        <v>0</v>
      </c>
      <c r="AE21" s="60"/>
      <c r="AF21" s="61"/>
      <c r="AG21" s="59">
        <f t="shared" si="10"/>
        <v>0</v>
      </c>
      <c r="AH21" s="60"/>
      <c r="AI21" s="61"/>
      <c r="AJ21" s="59">
        <f t="shared" si="11"/>
        <v>0</v>
      </c>
      <c r="AK21" s="60"/>
      <c r="AL21" s="61"/>
      <c r="AM21" s="59">
        <f t="shared" si="12"/>
        <v>0</v>
      </c>
      <c r="AN21" s="60"/>
      <c r="AO21" s="61"/>
      <c r="AP21" s="57">
        <f t="shared" si="13"/>
        <v>0</v>
      </c>
      <c r="AQ21" s="8" t="e">
        <f t="shared" si="0"/>
        <v>#DIV/0!</v>
      </c>
    </row>
    <row r="22" spans="1:43" ht="18" customHeight="1" x14ac:dyDescent="0.2">
      <c r="A22" s="6"/>
      <c r="B22" s="12"/>
      <c r="C22" s="56"/>
      <c r="D22" s="57"/>
      <c r="E22" s="58"/>
      <c r="F22" s="59">
        <f t="shared" si="1"/>
        <v>0</v>
      </c>
      <c r="G22" s="60"/>
      <c r="H22" s="61"/>
      <c r="I22" s="59">
        <f t="shared" si="2"/>
        <v>0</v>
      </c>
      <c r="J22" s="60"/>
      <c r="K22" s="61"/>
      <c r="L22" s="59">
        <f t="shared" si="3"/>
        <v>0</v>
      </c>
      <c r="M22" s="60"/>
      <c r="N22" s="61"/>
      <c r="O22" s="59">
        <f t="shared" si="4"/>
        <v>0</v>
      </c>
      <c r="P22" s="60"/>
      <c r="Q22" s="61"/>
      <c r="R22" s="59">
        <f t="shared" si="5"/>
        <v>0</v>
      </c>
      <c r="S22" s="60"/>
      <c r="T22" s="61"/>
      <c r="U22" s="59">
        <f t="shared" si="6"/>
        <v>0</v>
      </c>
      <c r="V22" s="60"/>
      <c r="W22" s="61"/>
      <c r="X22" s="59">
        <f t="shared" si="7"/>
        <v>0</v>
      </c>
      <c r="Y22" s="60"/>
      <c r="Z22" s="61"/>
      <c r="AA22" s="59">
        <f t="shared" si="8"/>
        <v>0</v>
      </c>
      <c r="AB22" s="60"/>
      <c r="AC22" s="61"/>
      <c r="AD22" s="59">
        <f t="shared" si="9"/>
        <v>0</v>
      </c>
      <c r="AE22" s="60"/>
      <c r="AF22" s="61"/>
      <c r="AG22" s="59">
        <f t="shared" si="10"/>
        <v>0</v>
      </c>
      <c r="AH22" s="60"/>
      <c r="AI22" s="61"/>
      <c r="AJ22" s="59">
        <f t="shared" si="11"/>
        <v>0</v>
      </c>
      <c r="AK22" s="60"/>
      <c r="AL22" s="61"/>
      <c r="AM22" s="59">
        <f t="shared" si="12"/>
        <v>0</v>
      </c>
      <c r="AN22" s="60"/>
      <c r="AO22" s="61"/>
      <c r="AP22" s="57">
        <f t="shared" si="13"/>
        <v>0</v>
      </c>
      <c r="AQ22" s="8" t="e">
        <f t="shared" si="0"/>
        <v>#DIV/0!</v>
      </c>
    </row>
    <row r="23" spans="1:43" ht="18" customHeight="1" x14ac:dyDescent="0.2">
      <c r="A23" s="6"/>
      <c r="B23" s="12"/>
      <c r="C23" s="56"/>
      <c r="D23" s="57"/>
      <c r="E23" s="58"/>
      <c r="F23" s="59">
        <f t="shared" si="1"/>
        <v>0</v>
      </c>
      <c r="G23" s="60"/>
      <c r="H23" s="61"/>
      <c r="I23" s="59">
        <f t="shared" si="2"/>
        <v>0</v>
      </c>
      <c r="J23" s="60"/>
      <c r="K23" s="61"/>
      <c r="L23" s="59">
        <f t="shared" si="3"/>
        <v>0</v>
      </c>
      <c r="M23" s="60"/>
      <c r="N23" s="61"/>
      <c r="O23" s="59">
        <f t="shared" si="4"/>
        <v>0</v>
      </c>
      <c r="P23" s="60"/>
      <c r="Q23" s="61"/>
      <c r="R23" s="59">
        <f t="shared" si="5"/>
        <v>0</v>
      </c>
      <c r="S23" s="60"/>
      <c r="T23" s="61"/>
      <c r="U23" s="59">
        <f t="shared" si="6"/>
        <v>0</v>
      </c>
      <c r="V23" s="60"/>
      <c r="W23" s="61"/>
      <c r="X23" s="59">
        <f t="shared" si="7"/>
        <v>0</v>
      </c>
      <c r="Y23" s="60"/>
      <c r="Z23" s="61"/>
      <c r="AA23" s="59">
        <f t="shared" si="8"/>
        <v>0</v>
      </c>
      <c r="AB23" s="60"/>
      <c r="AC23" s="61"/>
      <c r="AD23" s="59">
        <f t="shared" si="9"/>
        <v>0</v>
      </c>
      <c r="AE23" s="60"/>
      <c r="AF23" s="61"/>
      <c r="AG23" s="59">
        <f t="shared" si="10"/>
        <v>0</v>
      </c>
      <c r="AH23" s="60"/>
      <c r="AI23" s="61"/>
      <c r="AJ23" s="59">
        <f t="shared" si="11"/>
        <v>0</v>
      </c>
      <c r="AK23" s="60"/>
      <c r="AL23" s="61"/>
      <c r="AM23" s="59">
        <f t="shared" si="12"/>
        <v>0</v>
      </c>
      <c r="AN23" s="60"/>
      <c r="AO23" s="61"/>
      <c r="AP23" s="57">
        <f t="shared" si="13"/>
        <v>0</v>
      </c>
      <c r="AQ23" s="8" t="e">
        <f t="shared" si="0"/>
        <v>#DIV/0!</v>
      </c>
    </row>
    <row r="24" spans="1:43" ht="18" customHeight="1" x14ac:dyDescent="0.2">
      <c r="A24" s="6"/>
      <c r="B24" s="12"/>
      <c r="C24" s="56"/>
      <c r="D24" s="57"/>
      <c r="E24" s="58"/>
      <c r="F24" s="59">
        <f t="shared" si="1"/>
        <v>0</v>
      </c>
      <c r="G24" s="60"/>
      <c r="H24" s="61"/>
      <c r="I24" s="59">
        <f t="shared" si="2"/>
        <v>0</v>
      </c>
      <c r="J24" s="60"/>
      <c r="K24" s="61"/>
      <c r="L24" s="59">
        <f t="shared" si="3"/>
        <v>0</v>
      </c>
      <c r="M24" s="60"/>
      <c r="N24" s="61"/>
      <c r="O24" s="59">
        <f t="shared" si="4"/>
        <v>0</v>
      </c>
      <c r="P24" s="60"/>
      <c r="Q24" s="61"/>
      <c r="R24" s="59">
        <f t="shared" si="5"/>
        <v>0</v>
      </c>
      <c r="S24" s="60"/>
      <c r="T24" s="61"/>
      <c r="U24" s="59">
        <f t="shared" si="6"/>
        <v>0</v>
      </c>
      <c r="V24" s="60"/>
      <c r="W24" s="61"/>
      <c r="X24" s="59">
        <f t="shared" si="7"/>
        <v>0</v>
      </c>
      <c r="Y24" s="60"/>
      <c r="Z24" s="61"/>
      <c r="AA24" s="59">
        <f t="shared" si="8"/>
        <v>0</v>
      </c>
      <c r="AB24" s="60"/>
      <c r="AC24" s="61"/>
      <c r="AD24" s="59">
        <f t="shared" si="9"/>
        <v>0</v>
      </c>
      <c r="AE24" s="60"/>
      <c r="AF24" s="61"/>
      <c r="AG24" s="59">
        <f t="shared" si="10"/>
        <v>0</v>
      </c>
      <c r="AH24" s="60"/>
      <c r="AI24" s="61"/>
      <c r="AJ24" s="59">
        <f t="shared" si="11"/>
        <v>0</v>
      </c>
      <c r="AK24" s="60"/>
      <c r="AL24" s="61"/>
      <c r="AM24" s="59">
        <f t="shared" si="12"/>
        <v>0</v>
      </c>
      <c r="AN24" s="60"/>
      <c r="AO24" s="61"/>
      <c r="AP24" s="57">
        <f t="shared" si="13"/>
        <v>0</v>
      </c>
      <c r="AQ24" s="8" t="e">
        <f t="shared" si="0"/>
        <v>#DIV/0!</v>
      </c>
    </row>
    <row r="25" spans="1:43" ht="18" customHeight="1" x14ac:dyDescent="0.2">
      <c r="A25" s="6"/>
      <c r="B25" s="12"/>
      <c r="C25" s="56"/>
      <c r="D25" s="57"/>
      <c r="E25" s="58"/>
      <c r="F25" s="59">
        <f t="shared" si="1"/>
        <v>0</v>
      </c>
      <c r="G25" s="60"/>
      <c r="H25" s="61"/>
      <c r="I25" s="59">
        <f t="shared" si="2"/>
        <v>0</v>
      </c>
      <c r="J25" s="60"/>
      <c r="K25" s="61"/>
      <c r="L25" s="59">
        <f t="shared" si="3"/>
        <v>0</v>
      </c>
      <c r="M25" s="60"/>
      <c r="N25" s="61"/>
      <c r="O25" s="59">
        <f t="shared" si="4"/>
        <v>0</v>
      </c>
      <c r="P25" s="60"/>
      <c r="Q25" s="61"/>
      <c r="R25" s="59">
        <f t="shared" si="5"/>
        <v>0</v>
      </c>
      <c r="S25" s="60"/>
      <c r="T25" s="61"/>
      <c r="U25" s="59">
        <f t="shared" si="6"/>
        <v>0</v>
      </c>
      <c r="V25" s="60"/>
      <c r="W25" s="61"/>
      <c r="X25" s="59">
        <f t="shared" si="7"/>
        <v>0</v>
      </c>
      <c r="Y25" s="60"/>
      <c r="Z25" s="61"/>
      <c r="AA25" s="59">
        <f t="shared" si="8"/>
        <v>0</v>
      </c>
      <c r="AB25" s="60"/>
      <c r="AC25" s="61"/>
      <c r="AD25" s="59">
        <f t="shared" si="9"/>
        <v>0</v>
      </c>
      <c r="AE25" s="60"/>
      <c r="AF25" s="61"/>
      <c r="AG25" s="59">
        <f t="shared" si="10"/>
        <v>0</v>
      </c>
      <c r="AH25" s="60"/>
      <c r="AI25" s="61"/>
      <c r="AJ25" s="59">
        <f t="shared" si="11"/>
        <v>0</v>
      </c>
      <c r="AK25" s="60"/>
      <c r="AL25" s="61"/>
      <c r="AM25" s="59">
        <f t="shared" si="12"/>
        <v>0</v>
      </c>
      <c r="AN25" s="60"/>
      <c r="AO25" s="61"/>
      <c r="AP25" s="57">
        <f t="shared" si="13"/>
        <v>0</v>
      </c>
      <c r="AQ25" s="8" t="e">
        <f t="shared" si="0"/>
        <v>#DIV/0!</v>
      </c>
    </row>
    <row r="26" spans="1:43" ht="18" customHeight="1" x14ac:dyDescent="0.2">
      <c r="A26" s="6"/>
      <c r="B26" s="12"/>
      <c r="C26" s="56"/>
      <c r="D26" s="57"/>
      <c r="E26" s="58"/>
      <c r="F26" s="59">
        <f t="shared" si="1"/>
        <v>0</v>
      </c>
      <c r="G26" s="60"/>
      <c r="H26" s="61"/>
      <c r="I26" s="59">
        <f t="shared" si="2"/>
        <v>0</v>
      </c>
      <c r="J26" s="60"/>
      <c r="K26" s="61"/>
      <c r="L26" s="59">
        <f t="shared" si="3"/>
        <v>0</v>
      </c>
      <c r="M26" s="60"/>
      <c r="N26" s="61"/>
      <c r="O26" s="59">
        <f t="shared" si="4"/>
        <v>0</v>
      </c>
      <c r="P26" s="60"/>
      <c r="Q26" s="61"/>
      <c r="R26" s="59">
        <f t="shared" si="5"/>
        <v>0</v>
      </c>
      <c r="S26" s="60"/>
      <c r="T26" s="61"/>
      <c r="U26" s="59">
        <f t="shared" si="6"/>
        <v>0</v>
      </c>
      <c r="V26" s="60"/>
      <c r="W26" s="61"/>
      <c r="X26" s="59">
        <f t="shared" si="7"/>
        <v>0</v>
      </c>
      <c r="Y26" s="60"/>
      <c r="Z26" s="61"/>
      <c r="AA26" s="59">
        <f t="shared" si="8"/>
        <v>0</v>
      </c>
      <c r="AB26" s="60"/>
      <c r="AC26" s="61"/>
      <c r="AD26" s="59">
        <f t="shared" si="9"/>
        <v>0</v>
      </c>
      <c r="AE26" s="60"/>
      <c r="AF26" s="61"/>
      <c r="AG26" s="59">
        <f t="shared" si="10"/>
        <v>0</v>
      </c>
      <c r="AH26" s="60"/>
      <c r="AI26" s="61"/>
      <c r="AJ26" s="59">
        <f t="shared" si="11"/>
        <v>0</v>
      </c>
      <c r="AK26" s="60"/>
      <c r="AL26" s="61"/>
      <c r="AM26" s="59">
        <f t="shared" si="12"/>
        <v>0</v>
      </c>
      <c r="AN26" s="60"/>
      <c r="AO26" s="61"/>
      <c r="AP26" s="57">
        <f t="shared" si="13"/>
        <v>0</v>
      </c>
      <c r="AQ26" s="8" t="e">
        <f t="shared" si="0"/>
        <v>#DIV/0!</v>
      </c>
    </row>
    <row r="27" spans="1:43" ht="18" customHeight="1" x14ac:dyDescent="0.2">
      <c r="A27" s="6"/>
      <c r="B27" s="12"/>
      <c r="C27" s="56"/>
      <c r="D27" s="57"/>
      <c r="E27" s="58"/>
      <c r="F27" s="59">
        <f t="shared" si="1"/>
        <v>0</v>
      </c>
      <c r="G27" s="60"/>
      <c r="H27" s="61"/>
      <c r="I27" s="59">
        <f t="shared" si="2"/>
        <v>0</v>
      </c>
      <c r="J27" s="60"/>
      <c r="K27" s="61"/>
      <c r="L27" s="59">
        <f t="shared" si="3"/>
        <v>0</v>
      </c>
      <c r="M27" s="60"/>
      <c r="N27" s="61"/>
      <c r="O27" s="59">
        <f t="shared" si="4"/>
        <v>0</v>
      </c>
      <c r="P27" s="60"/>
      <c r="Q27" s="61"/>
      <c r="R27" s="59">
        <f t="shared" si="5"/>
        <v>0</v>
      </c>
      <c r="S27" s="60"/>
      <c r="T27" s="61"/>
      <c r="U27" s="59">
        <f t="shared" si="6"/>
        <v>0</v>
      </c>
      <c r="V27" s="60"/>
      <c r="W27" s="61"/>
      <c r="X27" s="59">
        <f t="shared" si="7"/>
        <v>0</v>
      </c>
      <c r="Y27" s="60"/>
      <c r="Z27" s="61"/>
      <c r="AA27" s="59">
        <f t="shared" si="8"/>
        <v>0</v>
      </c>
      <c r="AB27" s="60"/>
      <c r="AC27" s="61"/>
      <c r="AD27" s="59">
        <f t="shared" si="9"/>
        <v>0</v>
      </c>
      <c r="AE27" s="60"/>
      <c r="AF27" s="61"/>
      <c r="AG27" s="59">
        <f t="shared" si="10"/>
        <v>0</v>
      </c>
      <c r="AH27" s="60"/>
      <c r="AI27" s="61"/>
      <c r="AJ27" s="59">
        <f t="shared" si="11"/>
        <v>0</v>
      </c>
      <c r="AK27" s="60"/>
      <c r="AL27" s="61"/>
      <c r="AM27" s="59">
        <f t="shared" si="12"/>
        <v>0</v>
      </c>
      <c r="AN27" s="60"/>
      <c r="AO27" s="61"/>
      <c r="AP27" s="57">
        <f t="shared" si="13"/>
        <v>0</v>
      </c>
      <c r="AQ27" s="8" t="e">
        <f t="shared" si="0"/>
        <v>#DIV/0!</v>
      </c>
    </row>
    <row r="28" spans="1:43" ht="18" customHeight="1" x14ac:dyDescent="0.2">
      <c r="A28" s="6"/>
      <c r="B28" s="12"/>
      <c r="C28" s="56"/>
      <c r="D28" s="57"/>
      <c r="E28" s="58"/>
      <c r="F28" s="59">
        <f t="shared" si="1"/>
        <v>0</v>
      </c>
      <c r="G28" s="60"/>
      <c r="H28" s="61"/>
      <c r="I28" s="59">
        <f t="shared" si="2"/>
        <v>0</v>
      </c>
      <c r="J28" s="60"/>
      <c r="K28" s="61"/>
      <c r="L28" s="59">
        <f t="shared" si="3"/>
        <v>0</v>
      </c>
      <c r="M28" s="60"/>
      <c r="N28" s="61"/>
      <c r="O28" s="59">
        <f t="shared" si="4"/>
        <v>0</v>
      </c>
      <c r="P28" s="60"/>
      <c r="Q28" s="61"/>
      <c r="R28" s="59">
        <f t="shared" si="5"/>
        <v>0</v>
      </c>
      <c r="S28" s="60"/>
      <c r="T28" s="61"/>
      <c r="U28" s="59">
        <f t="shared" si="6"/>
        <v>0</v>
      </c>
      <c r="V28" s="60"/>
      <c r="W28" s="61"/>
      <c r="X28" s="59">
        <f t="shared" si="7"/>
        <v>0</v>
      </c>
      <c r="Y28" s="60"/>
      <c r="Z28" s="61"/>
      <c r="AA28" s="59">
        <f t="shared" si="8"/>
        <v>0</v>
      </c>
      <c r="AB28" s="60"/>
      <c r="AC28" s="61"/>
      <c r="AD28" s="59">
        <f t="shared" si="9"/>
        <v>0</v>
      </c>
      <c r="AE28" s="60"/>
      <c r="AF28" s="61"/>
      <c r="AG28" s="59">
        <f t="shared" si="10"/>
        <v>0</v>
      </c>
      <c r="AH28" s="60"/>
      <c r="AI28" s="61"/>
      <c r="AJ28" s="59">
        <f t="shared" si="11"/>
        <v>0</v>
      </c>
      <c r="AK28" s="60"/>
      <c r="AL28" s="61"/>
      <c r="AM28" s="59">
        <f t="shared" si="12"/>
        <v>0</v>
      </c>
      <c r="AN28" s="60"/>
      <c r="AO28" s="61"/>
      <c r="AP28" s="57">
        <f t="shared" si="13"/>
        <v>0</v>
      </c>
      <c r="AQ28" s="8" t="e">
        <f t="shared" si="0"/>
        <v>#DIV/0!</v>
      </c>
    </row>
    <row r="29" spans="1:43" ht="18" customHeight="1" x14ac:dyDescent="0.2">
      <c r="A29" s="6"/>
      <c r="B29" s="12"/>
      <c r="C29" s="56"/>
      <c r="D29" s="62"/>
      <c r="E29" s="58"/>
      <c r="F29" s="59">
        <f t="shared" si="1"/>
        <v>0</v>
      </c>
      <c r="G29" s="60"/>
      <c r="H29" s="61"/>
      <c r="I29" s="59">
        <f t="shared" si="2"/>
        <v>0</v>
      </c>
      <c r="J29" s="60"/>
      <c r="K29" s="61"/>
      <c r="L29" s="59">
        <f t="shared" si="3"/>
        <v>0</v>
      </c>
      <c r="M29" s="60"/>
      <c r="N29" s="61"/>
      <c r="O29" s="59">
        <f t="shared" si="4"/>
        <v>0</v>
      </c>
      <c r="P29" s="60"/>
      <c r="Q29" s="61"/>
      <c r="R29" s="59">
        <f t="shared" si="5"/>
        <v>0</v>
      </c>
      <c r="S29" s="60"/>
      <c r="T29" s="61"/>
      <c r="U29" s="59">
        <f t="shared" si="6"/>
        <v>0</v>
      </c>
      <c r="V29" s="60"/>
      <c r="W29" s="61"/>
      <c r="X29" s="59">
        <f t="shared" si="7"/>
        <v>0</v>
      </c>
      <c r="Y29" s="60"/>
      <c r="Z29" s="61"/>
      <c r="AA29" s="59">
        <f t="shared" si="8"/>
        <v>0</v>
      </c>
      <c r="AB29" s="60"/>
      <c r="AC29" s="61"/>
      <c r="AD29" s="59">
        <f t="shared" si="9"/>
        <v>0</v>
      </c>
      <c r="AE29" s="60"/>
      <c r="AF29" s="61"/>
      <c r="AG29" s="59">
        <f t="shared" si="10"/>
        <v>0</v>
      </c>
      <c r="AH29" s="60"/>
      <c r="AI29" s="61"/>
      <c r="AJ29" s="59">
        <f t="shared" si="11"/>
        <v>0</v>
      </c>
      <c r="AK29" s="60"/>
      <c r="AL29" s="61"/>
      <c r="AM29" s="59">
        <f t="shared" si="12"/>
        <v>0</v>
      </c>
      <c r="AN29" s="60"/>
      <c r="AO29" s="61"/>
      <c r="AP29" s="62">
        <f t="shared" si="13"/>
        <v>0</v>
      </c>
      <c r="AQ29" s="8" t="e">
        <f t="shared" si="0"/>
        <v>#DIV/0!</v>
      </c>
    </row>
    <row r="30" spans="1:43" ht="18" customHeight="1" x14ac:dyDescent="0.2">
      <c r="A30" s="6"/>
      <c r="B30" s="12"/>
      <c r="C30" s="56"/>
      <c r="D30" s="62"/>
      <c r="E30" s="58"/>
      <c r="F30" s="59">
        <f t="shared" si="1"/>
        <v>0</v>
      </c>
      <c r="G30" s="60"/>
      <c r="H30" s="61"/>
      <c r="I30" s="59">
        <f t="shared" si="2"/>
        <v>0</v>
      </c>
      <c r="J30" s="60"/>
      <c r="K30" s="61"/>
      <c r="L30" s="59">
        <f t="shared" si="3"/>
        <v>0</v>
      </c>
      <c r="M30" s="60"/>
      <c r="N30" s="61"/>
      <c r="O30" s="59">
        <f t="shared" si="4"/>
        <v>0</v>
      </c>
      <c r="P30" s="60"/>
      <c r="Q30" s="61"/>
      <c r="R30" s="59">
        <f t="shared" si="5"/>
        <v>0</v>
      </c>
      <c r="S30" s="60"/>
      <c r="T30" s="61"/>
      <c r="U30" s="59">
        <f t="shared" si="6"/>
        <v>0</v>
      </c>
      <c r="V30" s="60"/>
      <c r="W30" s="61"/>
      <c r="X30" s="59">
        <f t="shared" si="7"/>
        <v>0</v>
      </c>
      <c r="Y30" s="60"/>
      <c r="Z30" s="61"/>
      <c r="AA30" s="59">
        <f t="shared" si="8"/>
        <v>0</v>
      </c>
      <c r="AB30" s="60"/>
      <c r="AC30" s="61"/>
      <c r="AD30" s="59">
        <f t="shared" si="9"/>
        <v>0</v>
      </c>
      <c r="AE30" s="60"/>
      <c r="AF30" s="61"/>
      <c r="AG30" s="59">
        <f t="shared" si="10"/>
        <v>0</v>
      </c>
      <c r="AH30" s="60"/>
      <c r="AI30" s="61"/>
      <c r="AJ30" s="59">
        <f t="shared" si="11"/>
        <v>0</v>
      </c>
      <c r="AK30" s="60"/>
      <c r="AL30" s="61"/>
      <c r="AM30" s="59">
        <f t="shared" si="12"/>
        <v>0</v>
      </c>
      <c r="AN30" s="60"/>
      <c r="AO30" s="61"/>
      <c r="AP30" s="62">
        <f t="shared" si="13"/>
        <v>0</v>
      </c>
      <c r="AQ30" s="8" t="e">
        <f t="shared" si="0"/>
        <v>#DIV/0!</v>
      </c>
    </row>
    <row r="31" spans="1:43" ht="18" customHeight="1" thickBot="1" x14ac:dyDescent="0.25">
      <c r="A31" s="6"/>
      <c r="B31" s="13"/>
      <c r="C31" s="51"/>
      <c r="D31" s="63"/>
      <c r="E31" s="53"/>
      <c r="F31" s="53">
        <f t="shared" si="1"/>
        <v>0</v>
      </c>
      <c r="G31" s="64"/>
      <c r="H31" s="65"/>
      <c r="I31" s="53">
        <f t="shared" si="2"/>
        <v>0</v>
      </c>
      <c r="J31" s="64"/>
      <c r="K31" s="65"/>
      <c r="L31" s="53">
        <f t="shared" si="3"/>
        <v>0</v>
      </c>
      <c r="M31" s="64"/>
      <c r="N31" s="65"/>
      <c r="O31" s="53">
        <f t="shared" si="4"/>
        <v>0</v>
      </c>
      <c r="P31" s="64"/>
      <c r="Q31" s="65"/>
      <c r="R31" s="53">
        <f t="shared" si="5"/>
        <v>0</v>
      </c>
      <c r="S31" s="64"/>
      <c r="T31" s="65"/>
      <c r="U31" s="53">
        <f t="shared" si="6"/>
        <v>0</v>
      </c>
      <c r="V31" s="64"/>
      <c r="W31" s="65"/>
      <c r="X31" s="53">
        <f t="shared" si="7"/>
        <v>0</v>
      </c>
      <c r="Y31" s="64"/>
      <c r="Z31" s="65"/>
      <c r="AA31" s="53">
        <f t="shared" si="8"/>
        <v>0</v>
      </c>
      <c r="AB31" s="64"/>
      <c r="AC31" s="65"/>
      <c r="AD31" s="53">
        <f t="shared" si="9"/>
        <v>0</v>
      </c>
      <c r="AE31" s="64"/>
      <c r="AF31" s="65"/>
      <c r="AG31" s="53">
        <f t="shared" si="10"/>
        <v>0</v>
      </c>
      <c r="AH31" s="64"/>
      <c r="AI31" s="65"/>
      <c r="AJ31" s="53">
        <f t="shared" si="11"/>
        <v>0</v>
      </c>
      <c r="AK31" s="64"/>
      <c r="AL31" s="65"/>
      <c r="AM31" s="53">
        <f t="shared" si="12"/>
        <v>0</v>
      </c>
      <c r="AN31" s="64"/>
      <c r="AO31" s="65"/>
      <c r="AP31" s="63">
        <f t="shared" si="13"/>
        <v>0</v>
      </c>
      <c r="AQ31" s="7" t="e">
        <f t="shared" si="0"/>
        <v>#DIV/0!</v>
      </c>
    </row>
    <row r="32" spans="1:43" ht="18" customHeight="1" thickTop="1" x14ac:dyDescent="0.2">
      <c r="B32" s="14" t="s">
        <v>33</v>
      </c>
      <c r="C32" s="66">
        <f t="shared" ref="C32" si="14">SUM(C12:C31)</f>
        <v>8667</v>
      </c>
      <c r="D32" s="67">
        <f t="shared" ref="D32:AP32" si="15">SUM(D12:D31)</f>
        <v>1940</v>
      </c>
      <c r="E32" s="68">
        <f t="shared" si="15"/>
        <v>7760</v>
      </c>
      <c r="F32" s="68">
        <f t="shared" si="15"/>
        <v>445</v>
      </c>
      <c r="G32" s="69">
        <f t="shared" si="15"/>
        <v>309</v>
      </c>
      <c r="H32" s="70">
        <f t="shared" si="15"/>
        <v>136</v>
      </c>
      <c r="I32" s="68">
        <f t="shared" ref="I32:N32" si="16">SUM(I12:I31)</f>
        <v>338</v>
      </c>
      <c r="J32" s="69">
        <f t="shared" si="16"/>
        <v>224</v>
      </c>
      <c r="K32" s="70">
        <f t="shared" si="16"/>
        <v>114</v>
      </c>
      <c r="L32" s="68">
        <f t="shared" si="16"/>
        <v>0</v>
      </c>
      <c r="M32" s="69">
        <f t="shared" si="16"/>
        <v>0</v>
      </c>
      <c r="N32" s="70">
        <f t="shared" si="16"/>
        <v>0</v>
      </c>
      <c r="O32" s="68">
        <f t="shared" ref="O32:T32" si="17">SUM(O12:O31)</f>
        <v>0</v>
      </c>
      <c r="P32" s="69">
        <f t="shared" si="17"/>
        <v>0</v>
      </c>
      <c r="Q32" s="70">
        <f t="shared" si="17"/>
        <v>0</v>
      </c>
      <c r="R32" s="68">
        <f t="shared" si="17"/>
        <v>0</v>
      </c>
      <c r="S32" s="69">
        <f t="shared" si="17"/>
        <v>0</v>
      </c>
      <c r="T32" s="70">
        <f t="shared" si="17"/>
        <v>0</v>
      </c>
      <c r="U32" s="68">
        <f t="shared" ref="U32:AI32" si="18">SUM(U12:U31)</f>
        <v>0</v>
      </c>
      <c r="V32" s="69">
        <f t="shared" si="18"/>
        <v>0</v>
      </c>
      <c r="W32" s="70">
        <f t="shared" si="18"/>
        <v>0</v>
      </c>
      <c r="X32" s="68">
        <f t="shared" si="18"/>
        <v>0</v>
      </c>
      <c r="Y32" s="69">
        <f t="shared" si="18"/>
        <v>0</v>
      </c>
      <c r="Z32" s="70">
        <f t="shared" si="18"/>
        <v>0</v>
      </c>
      <c r="AA32" s="68">
        <f t="shared" si="18"/>
        <v>0</v>
      </c>
      <c r="AB32" s="69">
        <f t="shared" si="18"/>
        <v>0</v>
      </c>
      <c r="AC32" s="70">
        <f t="shared" si="18"/>
        <v>0</v>
      </c>
      <c r="AD32" s="68">
        <f t="shared" si="18"/>
        <v>0</v>
      </c>
      <c r="AE32" s="69">
        <f t="shared" si="18"/>
        <v>0</v>
      </c>
      <c r="AF32" s="70">
        <f t="shared" si="18"/>
        <v>0</v>
      </c>
      <c r="AG32" s="68">
        <f t="shared" si="18"/>
        <v>0</v>
      </c>
      <c r="AH32" s="69">
        <f t="shared" si="18"/>
        <v>0</v>
      </c>
      <c r="AI32" s="70">
        <f t="shared" si="18"/>
        <v>0</v>
      </c>
      <c r="AJ32" s="68">
        <f t="shared" ref="AJ32:AO32" si="19">SUM(AJ12:AJ31)</f>
        <v>0</v>
      </c>
      <c r="AK32" s="69">
        <f t="shared" si="19"/>
        <v>0</v>
      </c>
      <c r="AL32" s="70">
        <f t="shared" si="19"/>
        <v>0</v>
      </c>
      <c r="AM32" s="68">
        <f t="shared" si="19"/>
        <v>0</v>
      </c>
      <c r="AN32" s="69">
        <f t="shared" si="19"/>
        <v>0</v>
      </c>
      <c r="AO32" s="70">
        <f t="shared" si="19"/>
        <v>0</v>
      </c>
      <c r="AP32" s="67">
        <f t="shared" si="15"/>
        <v>445</v>
      </c>
      <c r="AQ32" s="9">
        <f>AP32/E32</f>
        <v>5.7345360824742266E-2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4"/>
  <sheetViews>
    <sheetView showZeros="0" view="pageBreakPreview" zoomScale="55" zoomScaleNormal="100" zoomScaleSheetLayoutView="55" zoomScalePageLayoutView="70" workbookViewId="0">
      <selection activeCell="H16" sqref="H16:I16"/>
    </sheetView>
  </sheetViews>
  <sheetFormatPr defaultColWidth="11.33203125" defaultRowHeight="18.75" customHeight="1" x14ac:dyDescent="0.2"/>
  <cols>
    <col min="1" max="1" width="2.88671875" style="41"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5" t="str">
        <f>'様式１　プログラムを構成する授業科目'!C2</f>
        <v>甲南大学</v>
      </c>
      <c r="I2" s="97"/>
    </row>
    <row r="3" spans="1:9" ht="18.75" customHeight="1" x14ac:dyDescent="0.2">
      <c r="G3" s="35"/>
      <c r="H3" s="10"/>
      <c r="I3" s="10"/>
    </row>
    <row r="4" spans="1:9" ht="18.600000000000001" customHeight="1" x14ac:dyDescent="0.2">
      <c r="A4" s="109" t="s">
        <v>36</v>
      </c>
      <c r="B4" s="109"/>
      <c r="C4" s="109"/>
      <c r="D4" s="109"/>
      <c r="E4" s="109"/>
      <c r="F4" s="109"/>
      <c r="G4" s="109"/>
      <c r="H4" s="109"/>
      <c r="I4" s="109"/>
    </row>
    <row r="5" spans="1:9" ht="13.35" customHeight="1" x14ac:dyDescent="0.2">
      <c r="B5" s="3"/>
      <c r="C5" s="3"/>
      <c r="D5" s="3"/>
      <c r="E5" s="3"/>
      <c r="F5" s="3"/>
      <c r="G5" s="3"/>
      <c r="H5" s="3"/>
      <c r="I5" s="3"/>
    </row>
    <row r="6" spans="1:9" ht="18" customHeight="1" x14ac:dyDescent="0.2">
      <c r="A6" s="1" t="s">
        <v>0</v>
      </c>
      <c r="B6" s="10" t="s">
        <v>91</v>
      </c>
      <c r="C6" s="219" t="s">
        <v>92</v>
      </c>
      <c r="D6" s="219"/>
      <c r="E6" s="34">
        <v>266</v>
      </c>
      <c r="F6" s="3" t="s">
        <v>1</v>
      </c>
      <c r="G6" s="3" t="s">
        <v>2</v>
      </c>
      <c r="H6" s="34">
        <v>610</v>
      </c>
      <c r="I6" s="10" t="s">
        <v>1</v>
      </c>
    </row>
    <row r="7" spans="1:9" ht="12" customHeight="1" x14ac:dyDescent="0.2">
      <c r="C7" s="2"/>
      <c r="D7" s="2"/>
      <c r="E7" s="2"/>
      <c r="F7" s="2"/>
      <c r="G7" s="2"/>
      <c r="H7" s="2"/>
      <c r="I7" s="42"/>
    </row>
    <row r="8" spans="1:9" ht="18" customHeight="1" x14ac:dyDescent="0.2">
      <c r="A8" s="1" t="s">
        <v>3</v>
      </c>
      <c r="B8" s="10" t="s">
        <v>93</v>
      </c>
      <c r="E8" s="3"/>
      <c r="F8" s="3"/>
      <c r="G8" s="3"/>
      <c r="H8" s="34">
        <v>3</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12" t="s">
        <v>146</v>
      </c>
      <c r="D11" s="215"/>
      <c r="E11" s="216"/>
      <c r="F11" s="42"/>
      <c r="G11" s="35" t="s">
        <v>10</v>
      </c>
      <c r="H11" s="217" t="s">
        <v>155</v>
      </c>
      <c r="I11" s="218"/>
    </row>
    <row r="12" spans="1:9" ht="10.35"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12" t="s">
        <v>159</v>
      </c>
      <c r="C14" s="213"/>
      <c r="D14" s="213"/>
      <c r="E14" s="213"/>
      <c r="F14" s="213"/>
      <c r="G14" s="213"/>
      <c r="H14" s="213"/>
      <c r="I14" s="214"/>
    </row>
    <row r="15" spans="1:9" ht="9" customHeight="1" x14ac:dyDescent="0.2">
      <c r="B15" s="3"/>
      <c r="C15" s="3"/>
      <c r="D15" s="3"/>
      <c r="E15" s="3"/>
      <c r="F15" s="3"/>
      <c r="G15" s="3"/>
      <c r="H15" s="3"/>
      <c r="I15" s="3"/>
    </row>
    <row r="16" spans="1:9" ht="18" customHeight="1" x14ac:dyDescent="0.2">
      <c r="B16" s="35" t="s">
        <v>43</v>
      </c>
      <c r="C16" s="212" t="s">
        <v>146</v>
      </c>
      <c r="D16" s="215"/>
      <c r="E16" s="216"/>
      <c r="F16" s="42"/>
      <c r="G16" s="35" t="s">
        <v>10</v>
      </c>
      <c r="H16" s="217" t="s">
        <v>155</v>
      </c>
      <c r="I16" s="218"/>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03" t="s">
        <v>147</v>
      </c>
      <c r="C19" s="204"/>
      <c r="D19" s="204"/>
      <c r="E19" s="204"/>
      <c r="F19" s="204"/>
      <c r="G19" s="204"/>
      <c r="H19" s="204"/>
      <c r="I19" s="205"/>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93" t="s">
        <v>160</v>
      </c>
      <c r="C22" s="194"/>
      <c r="D22" s="194"/>
      <c r="E22" s="194"/>
      <c r="F22" s="194"/>
      <c r="G22" s="194"/>
      <c r="H22" s="194"/>
      <c r="I22" s="195"/>
    </row>
    <row r="23" spans="1:9" ht="18.75" customHeight="1" x14ac:dyDescent="0.2">
      <c r="A23" s="15"/>
      <c r="B23" s="206"/>
      <c r="C23" s="207"/>
      <c r="D23" s="207"/>
      <c r="E23" s="207"/>
      <c r="F23" s="207"/>
      <c r="G23" s="207"/>
      <c r="H23" s="207"/>
      <c r="I23" s="198"/>
    </row>
    <row r="24" spans="1:9" ht="18.75" customHeight="1" x14ac:dyDescent="0.2">
      <c r="A24" s="15"/>
      <c r="B24" s="206"/>
      <c r="C24" s="207"/>
      <c r="D24" s="207"/>
      <c r="E24" s="207"/>
      <c r="F24" s="207"/>
      <c r="G24" s="207"/>
      <c r="H24" s="207"/>
      <c r="I24" s="198"/>
    </row>
    <row r="25" spans="1:9" ht="18.75" customHeight="1" x14ac:dyDescent="0.2">
      <c r="A25" s="15"/>
      <c r="B25" s="206"/>
      <c r="C25" s="207"/>
      <c r="D25" s="207"/>
      <c r="E25" s="207"/>
      <c r="F25" s="207"/>
      <c r="G25" s="207"/>
      <c r="H25" s="207"/>
      <c r="I25" s="198"/>
    </row>
    <row r="26" spans="1:9" ht="18.75" customHeight="1" x14ac:dyDescent="0.2">
      <c r="A26" s="15"/>
      <c r="B26" s="206"/>
      <c r="C26" s="207"/>
      <c r="D26" s="207"/>
      <c r="E26" s="207"/>
      <c r="F26" s="207"/>
      <c r="G26" s="207"/>
      <c r="H26" s="207"/>
      <c r="I26" s="198"/>
    </row>
    <row r="27" spans="1:9" ht="18.75" customHeight="1" x14ac:dyDescent="0.2">
      <c r="A27" s="15"/>
      <c r="B27" s="206"/>
      <c r="C27" s="207"/>
      <c r="D27" s="207"/>
      <c r="E27" s="207"/>
      <c r="F27" s="207"/>
      <c r="G27" s="207"/>
      <c r="H27" s="207"/>
      <c r="I27" s="198"/>
    </row>
    <row r="28" spans="1:9" ht="18.75" customHeight="1" x14ac:dyDescent="0.2">
      <c r="A28" s="15"/>
      <c r="B28" s="206"/>
      <c r="C28" s="207"/>
      <c r="D28" s="207"/>
      <c r="E28" s="207"/>
      <c r="F28" s="207"/>
      <c r="G28" s="207"/>
      <c r="H28" s="207"/>
      <c r="I28" s="198"/>
    </row>
    <row r="29" spans="1:9" ht="18.75" customHeight="1" x14ac:dyDescent="0.2">
      <c r="A29" s="15"/>
      <c r="B29" s="206"/>
      <c r="C29" s="207"/>
      <c r="D29" s="207"/>
      <c r="E29" s="207"/>
      <c r="F29" s="207"/>
      <c r="G29" s="207"/>
      <c r="H29" s="207"/>
      <c r="I29" s="198"/>
    </row>
    <row r="30" spans="1:9" ht="18.75" customHeight="1" x14ac:dyDescent="0.2">
      <c r="A30" s="15"/>
      <c r="B30" s="196"/>
      <c r="C30" s="197"/>
      <c r="D30" s="197"/>
      <c r="E30" s="197"/>
      <c r="F30" s="197"/>
      <c r="G30" s="197"/>
      <c r="H30" s="197"/>
      <c r="I30" s="198"/>
    </row>
    <row r="31" spans="1:9" ht="18.75" customHeight="1" x14ac:dyDescent="0.2">
      <c r="A31" s="15"/>
      <c r="B31" s="196"/>
      <c r="C31" s="197"/>
      <c r="D31" s="197"/>
      <c r="E31" s="197"/>
      <c r="F31" s="197"/>
      <c r="G31" s="197"/>
      <c r="H31" s="197"/>
      <c r="I31" s="198"/>
    </row>
    <row r="32" spans="1:9" ht="18.75" customHeight="1" x14ac:dyDescent="0.2">
      <c r="A32" s="15"/>
      <c r="B32" s="199"/>
      <c r="C32" s="200"/>
      <c r="D32" s="200"/>
      <c r="E32" s="200"/>
      <c r="F32" s="200"/>
      <c r="G32" s="200"/>
      <c r="H32" s="200"/>
      <c r="I32" s="201"/>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08" t="s">
        <v>168</v>
      </c>
      <c r="C35" s="194"/>
      <c r="D35" s="194"/>
      <c r="E35" s="194"/>
      <c r="F35" s="194"/>
      <c r="G35" s="194"/>
      <c r="H35" s="194"/>
      <c r="I35" s="195"/>
    </row>
    <row r="36" spans="1:9" ht="18.75" customHeight="1" x14ac:dyDescent="0.2">
      <c r="A36" s="15"/>
      <c r="B36" s="196"/>
      <c r="C36" s="197"/>
      <c r="D36" s="197"/>
      <c r="E36" s="197"/>
      <c r="F36" s="197"/>
      <c r="G36" s="197"/>
      <c r="H36" s="197"/>
      <c r="I36" s="198"/>
    </row>
    <row r="37" spans="1:9" ht="18.75" customHeight="1" x14ac:dyDescent="0.2">
      <c r="A37" s="15"/>
      <c r="B37" s="196"/>
      <c r="C37" s="197"/>
      <c r="D37" s="197"/>
      <c r="E37" s="197"/>
      <c r="F37" s="197"/>
      <c r="G37" s="197"/>
      <c r="H37" s="197"/>
      <c r="I37" s="198"/>
    </row>
    <row r="38" spans="1:9" ht="18.75" customHeight="1" x14ac:dyDescent="0.2">
      <c r="A38" s="15"/>
      <c r="B38" s="196"/>
      <c r="C38" s="197"/>
      <c r="D38" s="197"/>
      <c r="E38" s="197"/>
      <c r="F38" s="197"/>
      <c r="G38" s="197"/>
      <c r="H38" s="197"/>
      <c r="I38" s="198"/>
    </row>
    <row r="39" spans="1:9" ht="18.75" customHeight="1" x14ac:dyDescent="0.2">
      <c r="A39" s="15"/>
      <c r="B39" s="196"/>
      <c r="C39" s="197"/>
      <c r="D39" s="197"/>
      <c r="E39" s="197"/>
      <c r="F39" s="197"/>
      <c r="G39" s="197"/>
      <c r="H39" s="197"/>
      <c r="I39" s="198"/>
    </row>
    <row r="40" spans="1:9" ht="18.75" customHeight="1" x14ac:dyDescent="0.2">
      <c r="A40" s="15"/>
      <c r="B40" s="196"/>
      <c r="C40" s="197"/>
      <c r="D40" s="197"/>
      <c r="E40" s="197"/>
      <c r="F40" s="197"/>
      <c r="G40" s="197"/>
      <c r="H40" s="197"/>
      <c r="I40" s="198"/>
    </row>
    <row r="41" spans="1:9" ht="18.75" customHeight="1" x14ac:dyDescent="0.2">
      <c r="A41" s="15"/>
      <c r="B41" s="196"/>
      <c r="C41" s="197"/>
      <c r="D41" s="197"/>
      <c r="E41" s="197"/>
      <c r="F41" s="197"/>
      <c r="G41" s="197"/>
      <c r="H41" s="197"/>
      <c r="I41" s="198"/>
    </row>
    <row r="42" spans="1:9" ht="18.75" customHeight="1" x14ac:dyDescent="0.2">
      <c r="A42" s="15"/>
      <c r="B42" s="196"/>
      <c r="C42" s="197"/>
      <c r="D42" s="197"/>
      <c r="E42" s="197"/>
      <c r="F42" s="197"/>
      <c r="G42" s="197"/>
      <c r="H42" s="197"/>
      <c r="I42" s="198"/>
    </row>
    <row r="43" spans="1:9" ht="18.75" customHeight="1" x14ac:dyDescent="0.2">
      <c r="A43" s="15"/>
      <c r="B43" s="196"/>
      <c r="C43" s="197"/>
      <c r="D43" s="197"/>
      <c r="E43" s="197"/>
      <c r="F43" s="197"/>
      <c r="G43" s="197"/>
      <c r="H43" s="197"/>
      <c r="I43" s="198"/>
    </row>
    <row r="44" spans="1:9" ht="18.75" customHeight="1" x14ac:dyDescent="0.2">
      <c r="A44" s="15"/>
      <c r="B44" s="196"/>
      <c r="C44" s="197"/>
      <c r="D44" s="197"/>
      <c r="E44" s="197"/>
      <c r="F44" s="197"/>
      <c r="G44" s="197"/>
      <c r="H44" s="197"/>
      <c r="I44" s="198"/>
    </row>
    <row r="45" spans="1:9" ht="18.75" customHeight="1" x14ac:dyDescent="0.2">
      <c r="A45" s="15"/>
      <c r="B45" s="196"/>
      <c r="C45" s="197"/>
      <c r="D45" s="197"/>
      <c r="E45" s="197"/>
      <c r="F45" s="197"/>
      <c r="G45" s="197"/>
      <c r="H45" s="197"/>
      <c r="I45" s="198"/>
    </row>
    <row r="46" spans="1:9" ht="18.75" customHeight="1" x14ac:dyDescent="0.2">
      <c r="A46" s="15"/>
      <c r="B46" s="199"/>
      <c r="C46" s="200"/>
      <c r="D46" s="200"/>
      <c r="E46" s="200"/>
      <c r="F46" s="200"/>
      <c r="G46" s="200"/>
      <c r="H46" s="200"/>
      <c r="I46" s="201"/>
    </row>
    <row r="47" spans="1:9" ht="7.5" customHeight="1" x14ac:dyDescent="0.2">
      <c r="A47" s="4"/>
      <c r="B47" s="4"/>
      <c r="C47" s="4"/>
      <c r="D47" s="4"/>
      <c r="E47" s="4"/>
      <c r="F47" s="4"/>
      <c r="G47" s="4"/>
      <c r="H47" s="4"/>
      <c r="I47" s="4"/>
    </row>
    <row r="48" spans="1:9" ht="18.75" customHeight="1" x14ac:dyDescent="0.2">
      <c r="A48" s="1" t="s">
        <v>31</v>
      </c>
      <c r="B48" s="1" t="s">
        <v>123</v>
      </c>
    </row>
    <row r="49" spans="1:11" s="3" customFormat="1" ht="18.75" customHeight="1" x14ac:dyDescent="0.2">
      <c r="B49" s="43" t="s">
        <v>89</v>
      </c>
      <c r="C49" s="182">
        <f>'様式２ 履修者等数の実績'!AQ32</f>
        <v>5.7345360824742266E-2</v>
      </c>
      <c r="D49" s="182"/>
      <c r="E49" s="43" t="s">
        <v>66</v>
      </c>
      <c r="F49" s="182">
        <f>+('様式２ 履修者等数の実績'!AP32+490)/'様式３ 教育の質・履修者数を向上させるための体制・計画'!$I$50</f>
        <v>0.12048969072164949</v>
      </c>
      <c r="G49" s="182"/>
      <c r="H49" s="43" t="s">
        <v>67</v>
      </c>
      <c r="I49" s="44">
        <f>+('様式２ 履修者等数の実績'!AP32+490*2)/'様式３ 教育の質・履修者数を向上させるための体制・計画'!$I$50</f>
        <v>0.18363402061855671</v>
      </c>
      <c r="J49" s="1"/>
    </row>
    <row r="50" spans="1:11" s="3" customFormat="1" ht="18.75" customHeight="1" x14ac:dyDescent="0.2">
      <c r="B50" s="45" t="s">
        <v>68</v>
      </c>
      <c r="C50" s="183">
        <f>+('様式２ 履修者等数の実績'!AP32+490*3)/'様式３ 教育の質・履修者数を向上させるための体制・計画'!$I$50</f>
        <v>0.24677835051546393</v>
      </c>
      <c r="D50" s="183"/>
      <c r="E50" s="45" t="s">
        <v>90</v>
      </c>
      <c r="F50" s="183">
        <f>+('様式２ 履修者等数の実績'!AP32+490*3)/'様式３ 教育の質・履修者数を向上させるための体制・計画'!$I$50</f>
        <v>0.24677835051546393</v>
      </c>
      <c r="G50" s="183"/>
      <c r="H50" s="45" t="s">
        <v>69</v>
      </c>
      <c r="I50" s="46">
        <f>'様式２ 履修者等数の実績'!E32</f>
        <v>7760</v>
      </c>
      <c r="J50" s="1"/>
    </row>
    <row r="51" spans="1:11" ht="18.75" customHeight="1" x14ac:dyDescent="0.2">
      <c r="A51" s="1"/>
      <c r="B51" s="209" t="s">
        <v>70</v>
      </c>
      <c r="C51" s="210"/>
      <c r="D51" s="210"/>
      <c r="E51" s="210"/>
      <c r="F51" s="210"/>
      <c r="G51" s="210"/>
      <c r="H51" s="210"/>
      <c r="I51" s="211"/>
      <c r="K51" s="3"/>
    </row>
    <row r="52" spans="1:11" ht="18.75" customHeight="1" x14ac:dyDescent="0.2">
      <c r="A52" s="1"/>
      <c r="B52" s="184" t="s">
        <v>148</v>
      </c>
      <c r="C52" s="185"/>
      <c r="D52" s="185"/>
      <c r="E52" s="185"/>
      <c r="F52" s="185"/>
      <c r="G52" s="185"/>
      <c r="H52" s="185"/>
      <c r="I52" s="186"/>
      <c r="K52" s="3"/>
    </row>
    <row r="53" spans="1:11" ht="18.75" customHeight="1" x14ac:dyDescent="0.2">
      <c r="A53" s="1"/>
      <c r="B53" s="187"/>
      <c r="C53" s="188"/>
      <c r="D53" s="188"/>
      <c r="E53" s="188"/>
      <c r="F53" s="188"/>
      <c r="G53" s="188"/>
      <c r="H53" s="188"/>
      <c r="I53" s="189"/>
      <c r="K53" s="3"/>
    </row>
    <row r="54" spans="1:11" ht="18.75" customHeight="1" x14ac:dyDescent="0.2">
      <c r="A54" s="1"/>
      <c r="B54" s="187"/>
      <c r="C54" s="188"/>
      <c r="D54" s="188"/>
      <c r="E54" s="188"/>
      <c r="F54" s="188"/>
      <c r="G54" s="188"/>
      <c r="H54" s="188"/>
      <c r="I54" s="189"/>
    </row>
    <row r="55" spans="1:11" ht="18.75" customHeight="1" x14ac:dyDescent="0.2">
      <c r="A55" s="1"/>
      <c r="B55" s="187"/>
      <c r="C55" s="188"/>
      <c r="D55" s="188"/>
      <c r="E55" s="188"/>
      <c r="F55" s="188"/>
      <c r="G55" s="188"/>
      <c r="H55" s="188"/>
      <c r="I55" s="189"/>
    </row>
    <row r="56" spans="1:11" ht="18.75" customHeight="1" x14ac:dyDescent="0.2">
      <c r="A56" s="1"/>
      <c r="B56" s="187"/>
      <c r="C56" s="188"/>
      <c r="D56" s="188"/>
      <c r="E56" s="188"/>
      <c r="F56" s="188"/>
      <c r="G56" s="188"/>
      <c r="H56" s="188"/>
      <c r="I56" s="189"/>
    </row>
    <row r="57" spans="1:11" ht="18.75" customHeight="1" x14ac:dyDescent="0.2">
      <c r="A57" s="1"/>
      <c r="B57" s="187"/>
      <c r="C57" s="188"/>
      <c r="D57" s="188"/>
      <c r="E57" s="188"/>
      <c r="F57" s="188"/>
      <c r="G57" s="188"/>
      <c r="H57" s="188"/>
      <c r="I57" s="189"/>
    </row>
    <row r="58" spans="1:11" ht="18.75" customHeight="1" x14ac:dyDescent="0.2">
      <c r="A58" s="1"/>
      <c r="B58" s="187"/>
      <c r="C58" s="188"/>
      <c r="D58" s="188"/>
      <c r="E58" s="188"/>
      <c r="F58" s="188"/>
      <c r="G58" s="188"/>
      <c r="H58" s="188"/>
      <c r="I58" s="189"/>
    </row>
    <row r="59" spans="1:11" ht="18.75" customHeight="1" x14ac:dyDescent="0.2">
      <c r="A59" s="1"/>
      <c r="B59" s="187"/>
      <c r="C59" s="188"/>
      <c r="D59" s="188"/>
      <c r="E59" s="188"/>
      <c r="F59" s="188"/>
      <c r="G59" s="188"/>
      <c r="H59" s="188"/>
      <c r="I59" s="189"/>
    </row>
    <row r="60" spans="1:11" ht="18.75" customHeight="1" x14ac:dyDescent="0.2">
      <c r="A60" s="1"/>
      <c r="B60" s="187"/>
      <c r="C60" s="188"/>
      <c r="D60" s="188"/>
      <c r="E60" s="188"/>
      <c r="F60" s="188"/>
      <c r="G60" s="188"/>
      <c r="H60" s="188"/>
      <c r="I60" s="189"/>
    </row>
    <row r="61" spans="1:11" ht="18.75" customHeight="1" x14ac:dyDescent="0.2">
      <c r="A61" s="1"/>
      <c r="B61" s="187"/>
      <c r="C61" s="188"/>
      <c r="D61" s="188"/>
      <c r="E61" s="188"/>
      <c r="F61" s="188"/>
      <c r="G61" s="188"/>
      <c r="H61" s="188"/>
      <c r="I61" s="189"/>
    </row>
    <row r="62" spans="1:11" ht="18.75" customHeight="1" x14ac:dyDescent="0.2">
      <c r="A62" s="1"/>
      <c r="B62" s="187"/>
      <c r="C62" s="188"/>
      <c r="D62" s="188"/>
      <c r="E62" s="188"/>
      <c r="F62" s="188"/>
      <c r="G62" s="188"/>
      <c r="H62" s="188"/>
      <c r="I62" s="189"/>
    </row>
    <row r="63" spans="1:11" ht="18.75" customHeight="1" x14ac:dyDescent="0.2">
      <c r="A63" s="1"/>
      <c r="B63" s="190"/>
      <c r="C63" s="191"/>
      <c r="D63" s="191"/>
      <c r="E63" s="191"/>
      <c r="F63" s="191"/>
      <c r="G63" s="191"/>
      <c r="H63" s="191"/>
      <c r="I63" s="192"/>
    </row>
    <row r="64" spans="1:11"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166" t="s">
        <v>149</v>
      </c>
      <c r="C66" s="167"/>
      <c r="D66" s="167"/>
      <c r="E66" s="167"/>
      <c r="F66" s="167"/>
      <c r="G66" s="167"/>
      <c r="H66" s="167"/>
      <c r="I66" s="168"/>
    </row>
    <row r="67" spans="1:9" ht="18.75" customHeight="1" x14ac:dyDescent="0.2">
      <c r="A67" s="4"/>
      <c r="B67" s="169"/>
      <c r="C67" s="170"/>
      <c r="D67" s="170"/>
      <c r="E67" s="170"/>
      <c r="F67" s="170"/>
      <c r="G67" s="170"/>
      <c r="H67" s="170"/>
      <c r="I67" s="171"/>
    </row>
    <row r="68" spans="1:9" ht="18.75" customHeight="1" x14ac:dyDescent="0.2">
      <c r="A68" s="4"/>
      <c r="B68" s="169"/>
      <c r="C68" s="170"/>
      <c r="D68" s="170"/>
      <c r="E68" s="170"/>
      <c r="F68" s="170"/>
      <c r="G68" s="170"/>
      <c r="H68" s="170"/>
      <c r="I68" s="171"/>
    </row>
    <row r="69" spans="1:9" ht="18.75" customHeight="1" x14ac:dyDescent="0.2">
      <c r="A69" s="4"/>
      <c r="B69" s="169"/>
      <c r="C69" s="170"/>
      <c r="D69" s="170"/>
      <c r="E69" s="170"/>
      <c r="F69" s="170"/>
      <c r="G69" s="170"/>
      <c r="H69" s="170"/>
      <c r="I69" s="171"/>
    </row>
    <row r="70" spans="1:9" ht="18.75" customHeight="1" x14ac:dyDescent="0.2">
      <c r="A70" s="4"/>
      <c r="B70" s="169"/>
      <c r="C70" s="170"/>
      <c r="D70" s="170"/>
      <c r="E70" s="170"/>
      <c r="F70" s="170"/>
      <c r="G70" s="170"/>
      <c r="H70" s="170"/>
      <c r="I70" s="171"/>
    </row>
    <row r="71" spans="1:9" ht="18.75" customHeight="1" x14ac:dyDescent="0.2">
      <c r="A71" s="4"/>
      <c r="B71" s="169"/>
      <c r="C71" s="170"/>
      <c r="D71" s="170"/>
      <c r="E71" s="170"/>
      <c r="F71" s="170"/>
      <c r="G71" s="170"/>
      <c r="H71" s="170"/>
      <c r="I71" s="171"/>
    </row>
    <row r="72" spans="1:9" ht="18.75" customHeight="1" x14ac:dyDescent="0.2">
      <c r="A72" s="4"/>
      <c r="B72" s="169"/>
      <c r="C72" s="170"/>
      <c r="D72" s="170"/>
      <c r="E72" s="170"/>
      <c r="F72" s="170"/>
      <c r="G72" s="170"/>
      <c r="H72" s="170"/>
      <c r="I72" s="171"/>
    </row>
    <row r="73" spans="1:9" ht="18.75" customHeight="1" x14ac:dyDescent="0.2">
      <c r="A73" s="4"/>
      <c r="B73" s="169"/>
      <c r="C73" s="170"/>
      <c r="D73" s="170"/>
      <c r="E73" s="170"/>
      <c r="F73" s="170"/>
      <c r="G73" s="170"/>
      <c r="H73" s="170"/>
      <c r="I73" s="171"/>
    </row>
    <row r="74" spans="1:9" ht="18.75" customHeight="1" x14ac:dyDescent="0.2">
      <c r="A74" s="4"/>
      <c r="B74" s="169"/>
      <c r="C74" s="170"/>
      <c r="D74" s="170"/>
      <c r="E74" s="170"/>
      <c r="F74" s="170"/>
      <c r="G74" s="170"/>
      <c r="H74" s="170"/>
      <c r="I74" s="171"/>
    </row>
    <row r="75" spans="1:9" ht="18.75" customHeight="1" x14ac:dyDescent="0.2">
      <c r="A75" s="4"/>
      <c r="B75" s="169"/>
      <c r="C75" s="170"/>
      <c r="D75" s="170"/>
      <c r="E75" s="170"/>
      <c r="F75" s="170"/>
      <c r="G75" s="170"/>
      <c r="H75" s="170"/>
      <c r="I75" s="171"/>
    </row>
    <row r="76" spans="1:9" ht="18.75" customHeight="1" x14ac:dyDescent="0.2">
      <c r="A76" s="4"/>
      <c r="B76" s="169"/>
      <c r="C76" s="170"/>
      <c r="D76" s="170"/>
      <c r="E76" s="170"/>
      <c r="F76" s="170"/>
      <c r="G76" s="170"/>
      <c r="H76" s="170"/>
      <c r="I76" s="171"/>
    </row>
    <row r="77" spans="1:9" ht="18.75" customHeight="1" x14ac:dyDescent="0.2">
      <c r="A77" s="4"/>
      <c r="B77" s="172"/>
      <c r="C77" s="173"/>
      <c r="D77" s="173"/>
      <c r="E77" s="173"/>
      <c r="F77" s="173"/>
      <c r="G77" s="173"/>
      <c r="H77" s="173"/>
      <c r="I77" s="174"/>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66" t="s">
        <v>161</v>
      </c>
      <c r="C80" s="167"/>
      <c r="D80" s="167"/>
      <c r="E80" s="167"/>
      <c r="F80" s="167"/>
      <c r="G80" s="167"/>
      <c r="H80" s="167"/>
      <c r="I80" s="175"/>
    </row>
    <row r="81" spans="1:9" ht="18.75" customHeight="1" x14ac:dyDescent="0.2">
      <c r="A81" s="1"/>
      <c r="B81" s="176"/>
      <c r="C81" s="177"/>
      <c r="D81" s="177"/>
      <c r="E81" s="177"/>
      <c r="F81" s="177"/>
      <c r="G81" s="177"/>
      <c r="H81" s="177"/>
      <c r="I81" s="178"/>
    </row>
    <row r="82" spans="1:9" ht="18.75" customHeight="1" x14ac:dyDescent="0.2">
      <c r="A82" s="1"/>
      <c r="B82" s="176"/>
      <c r="C82" s="177"/>
      <c r="D82" s="177"/>
      <c r="E82" s="177"/>
      <c r="F82" s="177"/>
      <c r="G82" s="177"/>
      <c r="H82" s="177"/>
      <c r="I82" s="178"/>
    </row>
    <row r="83" spans="1:9" ht="18.75" customHeight="1" x14ac:dyDescent="0.2">
      <c r="A83" s="1"/>
      <c r="B83" s="176"/>
      <c r="C83" s="177"/>
      <c r="D83" s="177"/>
      <c r="E83" s="177"/>
      <c r="F83" s="177"/>
      <c r="G83" s="177"/>
      <c r="H83" s="177"/>
      <c r="I83" s="178"/>
    </row>
    <row r="84" spans="1:9" ht="18.75" customHeight="1" x14ac:dyDescent="0.2">
      <c r="A84" s="1"/>
      <c r="B84" s="176"/>
      <c r="C84" s="177"/>
      <c r="D84" s="177"/>
      <c r="E84" s="177"/>
      <c r="F84" s="177"/>
      <c r="G84" s="177"/>
      <c r="H84" s="177"/>
      <c r="I84" s="178"/>
    </row>
    <row r="85" spans="1:9" ht="18.75" customHeight="1" x14ac:dyDescent="0.2">
      <c r="A85" s="1"/>
      <c r="B85" s="176"/>
      <c r="C85" s="177"/>
      <c r="D85" s="177"/>
      <c r="E85" s="177"/>
      <c r="F85" s="177"/>
      <c r="G85" s="177"/>
      <c r="H85" s="177"/>
      <c r="I85" s="178"/>
    </row>
    <row r="86" spans="1:9" ht="18.75" customHeight="1" x14ac:dyDescent="0.2">
      <c r="A86" s="1"/>
      <c r="B86" s="176"/>
      <c r="C86" s="177"/>
      <c r="D86" s="177"/>
      <c r="E86" s="177"/>
      <c r="F86" s="177"/>
      <c r="G86" s="177"/>
      <c r="H86" s="177"/>
      <c r="I86" s="178"/>
    </row>
    <row r="87" spans="1:9" ht="18.75" customHeight="1" x14ac:dyDescent="0.2">
      <c r="A87" s="1"/>
      <c r="B87" s="176"/>
      <c r="C87" s="177"/>
      <c r="D87" s="177"/>
      <c r="E87" s="177"/>
      <c r="F87" s="177"/>
      <c r="G87" s="177"/>
      <c r="H87" s="177"/>
      <c r="I87" s="178"/>
    </row>
    <row r="88" spans="1:9" ht="18.75" customHeight="1" x14ac:dyDescent="0.2">
      <c r="A88" s="1"/>
      <c r="B88" s="176"/>
      <c r="C88" s="177"/>
      <c r="D88" s="177"/>
      <c r="E88" s="177"/>
      <c r="F88" s="177"/>
      <c r="G88" s="177"/>
      <c r="H88" s="177"/>
      <c r="I88" s="178"/>
    </row>
    <row r="89" spans="1:9" ht="18.75" customHeight="1" x14ac:dyDescent="0.2">
      <c r="A89" s="1"/>
      <c r="B89" s="176"/>
      <c r="C89" s="177"/>
      <c r="D89" s="177"/>
      <c r="E89" s="177"/>
      <c r="F89" s="177"/>
      <c r="G89" s="177"/>
      <c r="H89" s="177"/>
      <c r="I89" s="178"/>
    </row>
    <row r="90" spans="1:9" ht="18.75" customHeight="1" x14ac:dyDescent="0.2">
      <c r="A90" s="4"/>
      <c r="B90" s="176"/>
      <c r="C90" s="177"/>
      <c r="D90" s="177"/>
      <c r="E90" s="177"/>
      <c r="F90" s="177"/>
      <c r="G90" s="177"/>
      <c r="H90" s="177"/>
      <c r="I90" s="178"/>
    </row>
    <row r="91" spans="1:9" ht="18.75" customHeight="1" x14ac:dyDescent="0.2">
      <c r="A91" s="4"/>
      <c r="B91" s="179"/>
      <c r="C91" s="180"/>
      <c r="D91" s="180"/>
      <c r="E91" s="180"/>
      <c r="F91" s="180"/>
      <c r="G91" s="180"/>
      <c r="H91" s="180"/>
      <c r="I91" s="181"/>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193" t="s">
        <v>150</v>
      </c>
      <c r="C94" s="194"/>
      <c r="D94" s="194"/>
      <c r="E94" s="194"/>
      <c r="F94" s="194"/>
      <c r="G94" s="194"/>
      <c r="H94" s="194"/>
      <c r="I94" s="195"/>
    </row>
    <row r="95" spans="1:9" ht="18.75" customHeight="1" x14ac:dyDescent="0.2">
      <c r="A95" s="1"/>
      <c r="B95" s="196"/>
      <c r="C95" s="197"/>
      <c r="D95" s="197"/>
      <c r="E95" s="197"/>
      <c r="F95" s="197"/>
      <c r="G95" s="197"/>
      <c r="H95" s="197"/>
      <c r="I95" s="198"/>
    </row>
    <row r="96" spans="1:9" ht="18.75" customHeight="1" x14ac:dyDescent="0.2">
      <c r="A96" s="1"/>
      <c r="B96" s="196"/>
      <c r="C96" s="197"/>
      <c r="D96" s="197"/>
      <c r="E96" s="197"/>
      <c r="F96" s="197"/>
      <c r="G96" s="197"/>
      <c r="H96" s="197"/>
      <c r="I96" s="198"/>
    </row>
    <row r="97" spans="1:9" ht="18.75" customHeight="1" x14ac:dyDescent="0.2">
      <c r="A97" s="1"/>
      <c r="B97" s="196"/>
      <c r="C97" s="197"/>
      <c r="D97" s="197"/>
      <c r="E97" s="197"/>
      <c r="F97" s="197"/>
      <c r="G97" s="197"/>
      <c r="H97" s="197"/>
      <c r="I97" s="198"/>
    </row>
    <row r="98" spans="1:9" ht="18.75" customHeight="1" x14ac:dyDescent="0.2">
      <c r="A98" s="1"/>
      <c r="B98" s="196"/>
      <c r="C98" s="197"/>
      <c r="D98" s="197"/>
      <c r="E98" s="197"/>
      <c r="F98" s="197"/>
      <c r="G98" s="197"/>
      <c r="H98" s="197"/>
      <c r="I98" s="198"/>
    </row>
    <row r="99" spans="1:9" ht="18.75" customHeight="1" x14ac:dyDescent="0.2">
      <c r="A99" s="1"/>
      <c r="B99" s="196"/>
      <c r="C99" s="197"/>
      <c r="D99" s="197"/>
      <c r="E99" s="197"/>
      <c r="F99" s="197"/>
      <c r="G99" s="197"/>
      <c r="H99" s="197"/>
      <c r="I99" s="198"/>
    </row>
    <row r="100" spans="1:9" ht="18.75" customHeight="1" x14ac:dyDescent="0.2">
      <c r="A100" s="1"/>
      <c r="B100" s="196"/>
      <c r="C100" s="197"/>
      <c r="D100" s="197"/>
      <c r="E100" s="197"/>
      <c r="F100" s="197"/>
      <c r="G100" s="197"/>
      <c r="H100" s="197"/>
      <c r="I100" s="198"/>
    </row>
    <row r="101" spans="1:9" ht="18.75" customHeight="1" x14ac:dyDescent="0.2">
      <c r="A101" s="1"/>
      <c r="B101" s="196"/>
      <c r="C101" s="197"/>
      <c r="D101" s="197"/>
      <c r="E101" s="197"/>
      <c r="F101" s="197"/>
      <c r="G101" s="197"/>
      <c r="H101" s="197"/>
      <c r="I101" s="198"/>
    </row>
    <row r="102" spans="1:9" ht="18.75" customHeight="1" x14ac:dyDescent="0.2">
      <c r="A102" s="1"/>
      <c r="B102" s="196"/>
      <c r="C102" s="197"/>
      <c r="D102" s="197"/>
      <c r="E102" s="197"/>
      <c r="F102" s="197"/>
      <c r="G102" s="197"/>
      <c r="H102" s="197"/>
      <c r="I102" s="198"/>
    </row>
    <row r="103" spans="1:9" ht="18.75" customHeight="1" x14ac:dyDescent="0.2">
      <c r="A103" s="1"/>
      <c r="B103" s="196"/>
      <c r="C103" s="197"/>
      <c r="D103" s="197"/>
      <c r="E103" s="197"/>
      <c r="F103" s="197"/>
      <c r="G103" s="197"/>
      <c r="H103" s="197"/>
      <c r="I103" s="198"/>
    </row>
    <row r="104" spans="1:9" ht="18.75" customHeight="1" x14ac:dyDescent="0.2">
      <c r="A104" s="1"/>
      <c r="B104" s="196"/>
      <c r="C104" s="197"/>
      <c r="D104" s="197"/>
      <c r="E104" s="197"/>
      <c r="F104" s="197"/>
      <c r="G104" s="197"/>
      <c r="H104" s="197"/>
      <c r="I104" s="198"/>
    </row>
    <row r="105" spans="1:9" ht="18.75" customHeight="1" x14ac:dyDescent="0.2">
      <c r="A105" s="4"/>
      <c r="B105" s="199"/>
      <c r="C105" s="200"/>
      <c r="D105" s="200"/>
      <c r="E105" s="200"/>
      <c r="F105" s="200"/>
      <c r="G105" s="200"/>
      <c r="H105" s="200"/>
      <c r="I105" s="201"/>
    </row>
    <row r="106" spans="1:9" ht="7.5" customHeight="1" x14ac:dyDescent="0.2">
      <c r="A106" s="4"/>
      <c r="B106" s="4"/>
      <c r="C106" s="4"/>
      <c r="D106" s="4"/>
      <c r="E106" s="4"/>
      <c r="F106" s="4"/>
      <c r="G106" s="4"/>
      <c r="H106" s="4"/>
      <c r="I106" s="4"/>
    </row>
    <row r="107" spans="1:9" ht="18.75" customHeight="1" x14ac:dyDescent="0.2">
      <c r="A107" s="1" t="s">
        <v>30</v>
      </c>
      <c r="B107" s="202" t="s">
        <v>46</v>
      </c>
      <c r="C107" s="202"/>
      <c r="D107" s="202"/>
      <c r="E107" s="202"/>
      <c r="F107" s="202"/>
      <c r="G107" s="202"/>
      <c r="H107" s="202"/>
      <c r="I107" s="202"/>
    </row>
    <row r="108" spans="1:9" ht="18.75" customHeight="1" x14ac:dyDescent="0.2">
      <c r="A108" s="4"/>
      <c r="B108" s="193" t="s">
        <v>151</v>
      </c>
      <c r="C108" s="194"/>
      <c r="D108" s="194"/>
      <c r="E108" s="194"/>
      <c r="F108" s="194"/>
      <c r="G108" s="194"/>
      <c r="H108" s="194"/>
      <c r="I108" s="195"/>
    </row>
    <row r="109" spans="1:9" ht="18.75" customHeight="1" x14ac:dyDescent="0.2">
      <c r="A109" s="4"/>
      <c r="B109" s="196"/>
      <c r="C109" s="197"/>
      <c r="D109" s="197"/>
      <c r="E109" s="197"/>
      <c r="F109" s="197"/>
      <c r="G109" s="197"/>
      <c r="H109" s="197"/>
      <c r="I109" s="198"/>
    </row>
    <row r="110" spans="1:9" ht="18.75" customHeight="1" x14ac:dyDescent="0.2">
      <c r="A110" s="4"/>
      <c r="B110" s="196"/>
      <c r="C110" s="197"/>
      <c r="D110" s="197"/>
      <c r="E110" s="197"/>
      <c r="F110" s="197"/>
      <c r="G110" s="197"/>
      <c r="H110" s="197"/>
      <c r="I110" s="198"/>
    </row>
    <row r="111" spans="1:9" ht="18.75" customHeight="1" x14ac:dyDescent="0.2">
      <c r="A111" s="4"/>
      <c r="B111" s="196"/>
      <c r="C111" s="197"/>
      <c r="D111" s="197"/>
      <c r="E111" s="197"/>
      <c r="F111" s="197"/>
      <c r="G111" s="197"/>
      <c r="H111" s="197"/>
      <c r="I111" s="198"/>
    </row>
    <row r="112" spans="1:9" ht="18.75" customHeight="1" x14ac:dyDescent="0.2">
      <c r="A112" s="4"/>
      <c r="B112" s="196"/>
      <c r="C112" s="197"/>
      <c r="D112" s="197"/>
      <c r="E112" s="197"/>
      <c r="F112" s="197"/>
      <c r="G112" s="197"/>
      <c r="H112" s="197"/>
      <c r="I112" s="198"/>
    </row>
    <row r="113" spans="1:9" ht="18.75" customHeight="1" x14ac:dyDescent="0.2">
      <c r="A113" s="4"/>
      <c r="B113" s="196"/>
      <c r="C113" s="197"/>
      <c r="D113" s="197"/>
      <c r="E113" s="197"/>
      <c r="F113" s="197"/>
      <c r="G113" s="197"/>
      <c r="H113" s="197"/>
      <c r="I113" s="198"/>
    </row>
    <row r="114" spans="1:9" ht="18.75" customHeight="1" x14ac:dyDescent="0.2">
      <c r="A114" s="4"/>
      <c r="B114" s="196"/>
      <c r="C114" s="197"/>
      <c r="D114" s="197"/>
      <c r="E114" s="197"/>
      <c r="F114" s="197"/>
      <c r="G114" s="197"/>
      <c r="H114" s="197"/>
      <c r="I114" s="198"/>
    </row>
    <row r="115" spans="1:9" ht="18.75" customHeight="1" x14ac:dyDescent="0.2">
      <c r="A115" s="4"/>
      <c r="B115" s="196"/>
      <c r="C115" s="197"/>
      <c r="D115" s="197"/>
      <c r="E115" s="197"/>
      <c r="F115" s="197"/>
      <c r="G115" s="197"/>
      <c r="H115" s="197"/>
      <c r="I115" s="198"/>
    </row>
    <row r="116" spans="1:9" ht="18.75" customHeight="1" x14ac:dyDescent="0.2">
      <c r="A116" s="4"/>
      <c r="B116" s="196"/>
      <c r="C116" s="197"/>
      <c r="D116" s="197"/>
      <c r="E116" s="197"/>
      <c r="F116" s="197"/>
      <c r="G116" s="197"/>
      <c r="H116" s="197"/>
      <c r="I116" s="198"/>
    </row>
    <row r="117" spans="1:9" ht="18.75" customHeight="1" x14ac:dyDescent="0.2">
      <c r="A117" s="4"/>
      <c r="B117" s="196"/>
      <c r="C117" s="197"/>
      <c r="D117" s="197"/>
      <c r="E117" s="197"/>
      <c r="F117" s="197"/>
      <c r="G117" s="197"/>
      <c r="H117" s="197"/>
      <c r="I117" s="198"/>
    </row>
    <row r="118" spans="1:9" ht="18.75" customHeight="1" x14ac:dyDescent="0.2">
      <c r="A118" s="4"/>
      <c r="B118" s="196"/>
      <c r="C118" s="197"/>
      <c r="D118" s="197"/>
      <c r="E118" s="197"/>
      <c r="F118" s="197"/>
      <c r="G118" s="197"/>
      <c r="H118" s="197"/>
      <c r="I118" s="198"/>
    </row>
    <row r="119" spans="1:9" ht="18.75" customHeight="1" x14ac:dyDescent="0.2">
      <c r="A119" s="4"/>
      <c r="B119" s="199"/>
      <c r="C119" s="200"/>
      <c r="D119" s="200"/>
      <c r="E119" s="200"/>
      <c r="F119" s="200"/>
      <c r="G119" s="200"/>
      <c r="H119" s="200"/>
      <c r="I119" s="201"/>
    </row>
    <row r="120" spans="1:9" ht="7.5" customHeight="1" x14ac:dyDescent="0.2">
      <c r="A120" s="4"/>
      <c r="B120" s="47"/>
      <c r="C120" s="47"/>
      <c r="D120" s="47"/>
      <c r="E120" s="47"/>
      <c r="F120" s="47"/>
      <c r="G120" s="47"/>
      <c r="H120" s="47"/>
      <c r="I120" s="47"/>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6" zoomScale="40" zoomScaleNormal="100" zoomScaleSheetLayoutView="40" workbookViewId="0">
      <selection activeCell="L19" sqref="L19"/>
    </sheetView>
  </sheetViews>
  <sheetFormatPr defaultColWidth="11.33203125" defaultRowHeight="22.5" customHeight="1" x14ac:dyDescent="0.2"/>
  <cols>
    <col min="1" max="3" width="2.88671875" style="1" customWidth="1"/>
    <col min="4" max="4" width="22.109375" style="1" customWidth="1"/>
    <col min="5" max="5" width="30.88671875" style="1" customWidth="1"/>
    <col min="6" max="7" width="7.88671875" style="1" customWidth="1"/>
    <col min="8" max="9" width="30.886718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甲南大学</v>
      </c>
    </row>
    <row r="3" spans="1:9" ht="18.75" customHeight="1" x14ac:dyDescent="0.2">
      <c r="A3" s="109" t="s">
        <v>28</v>
      </c>
      <c r="B3" s="109"/>
      <c r="C3" s="109"/>
      <c r="D3" s="109"/>
      <c r="E3" s="109"/>
      <c r="F3" s="109"/>
      <c r="G3" s="109"/>
      <c r="H3" s="109"/>
      <c r="I3" s="109"/>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12" t="s">
        <v>156</v>
      </c>
      <c r="C6" s="243"/>
      <c r="D6" s="243"/>
      <c r="E6" s="243"/>
      <c r="F6" s="243"/>
      <c r="G6" s="243"/>
      <c r="H6" s="244"/>
      <c r="I6" s="3"/>
    </row>
    <row r="7" spans="1:9" ht="9" customHeight="1" x14ac:dyDescent="0.2">
      <c r="A7" s="5"/>
      <c r="B7" s="10"/>
      <c r="C7" s="10"/>
      <c r="D7" s="10"/>
      <c r="E7" s="10"/>
      <c r="F7" s="10"/>
      <c r="G7" s="10"/>
      <c r="H7" s="10"/>
      <c r="I7" s="3"/>
    </row>
    <row r="8" spans="1:9" ht="18.75" customHeight="1" x14ac:dyDescent="0.2">
      <c r="A8" s="5"/>
      <c r="B8" s="3"/>
      <c r="C8" s="3"/>
      <c r="D8" s="35" t="s">
        <v>43</v>
      </c>
      <c r="E8" s="36" t="s">
        <v>157</v>
      </c>
      <c r="F8" s="3"/>
      <c r="G8" s="35" t="s">
        <v>10</v>
      </c>
      <c r="H8" s="36" t="s">
        <v>158</v>
      </c>
      <c r="I8" s="3"/>
    </row>
    <row r="9" spans="1:9" ht="7.5" customHeight="1" x14ac:dyDescent="0.2">
      <c r="A9" s="5"/>
      <c r="B9" s="5"/>
      <c r="C9" s="5"/>
      <c r="D9" s="5"/>
      <c r="E9" s="5"/>
      <c r="F9" s="5"/>
      <c r="G9" s="5"/>
      <c r="H9" s="5"/>
      <c r="I9" s="5"/>
    </row>
    <row r="10" spans="1:9" ht="18.75" customHeight="1" x14ac:dyDescent="0.2">
      <c r="A10" s="71" t="s">
        <v>3</v>
      </c>
      <c r="B10" s="71" t="s">
        <v>27</v>
      </c>
      <c r="C10" s="72"/>
      <c r="D10" s="72"/>
      <c r="E10" s="72"/>
      <c r="F10" s="72"/>
      <c r="G10" s="72"/>
      <c r="H10" s="72"/>
      <c r="I10" s="72"/>
    </row>
    <row r="11" spans="1:9" ht="18.75" customHeight="1" x14ac:dyDescent="0.2">
      <c r="A11" s="71"/>
      <c r="B11" s="240" t="s">
        <v>24</v>
      </c>
      <c r="C11" s="241"/>
      <c r="D11" s="242"/>
      <c r="E11" s="241" t="s">
        <v>26</v>
      </c>
      <c r="F11" s="241"/>
      <c r="G11" s="241"/>
      <c r="H11" s="241"/>
      <c r="I11" s="242"/>
    </row>
    <row r="12" spans="1:9" ht="26.25" customHeight="1" x14ac:dyDescent="0.2">
      <c r="A12" s="71"/>
      <c r="B12" s="73" t="s">
        <v>14</v>
      </c>
      <c r="C12" s="74"/>
      <c r="D12" s="75"/>
      <c r="E12" s="76"/>
      <c r="F12" s="76"/>
      <c r="G12" s="76"/>
      <c r="H12" s="76"/>
      <c r="I12" s="75"/>
    </row>
    <row r="13" spans="1:9" ht="210.75" customHeight="1" x14ac:dyDescent="0.2">
      <c r="A13" s="71"/>
      <c r="B13" s="77"/>
      <c r="C13" s="225" t="s">
        <v>15</v>
      </c>
      <c r="D13" s="226"/>
      <c r="E13" s="236" t="s">
        <v>165</v>
      </c>
      <c r="F13" s="227"/>
      <c r="G13" s="227"/>
      <c r="H13" s="227"/>
      <c r="I13" s="228"/>
    </row>
    <row r="14" spans="1:9" ht="210.75" customHeight="1" x14ac:dyDescent="0.2">
      <c r="A14" s="71"/>
      <c r="B14" s="77"/>
      <c r="C14" s="238" t="s">
        <v>16</v>
      </c>
      <c r="D14" s="239"/>
      <c r="E14" s="236" t="s">
        <v>162</v>
      </c>
      <c r="F14" s="227"/>
      <c r="G14" s="227"/>
      <c r="H14" s="227"/>
      <c r="I14" s="228"/>
    </row>
    <row r="15" spans="1:9" ht="210.75" customHeight="1" x14ac:dyDescent="0.2">
      <c r="A15" s="71"/>
      <c r="B15" s="77"/>
      <c r="C15" s="225" t="s">
        <v>17</v>
      </c>
      <c r="D15" s="226"/>
      <c r="E15" s="236" t="s">
        <v>163</v>
      </c>
      <c r="F15" s="227"/>
      <c r="G15" s="227"/>
      <c r="H15" s="227"/>
      <c r="I15" s="228"/>
    </row>
    <row r="16" spans="1:9" ht="210.75" customHeight="1" x14ac:dyDescent="0.2">
      <c r="A16" s="71"/>
      <c r="B16" s="77"/>
      <c r="C16" s="225" t="s">
        <v>18</v>
      </c>
      <c r="D16" s="226"/>
      <c r="E16" s="236" t="s">
        <v>152</v>
      </c>
      <c r="F16" s="227"/>
      <c r="G16" s="227"/>
      <c r="H16" s="227"/>
      <c r="I16" s="228"/>
    </row>
    <row r="17" spans="1:9" ht="210.75" customHeight="1" x14ac:dyDescent="0.2">
      <c r="A17" s="71"/>
      <c r="B17" s="78"/>
      <c r="C17" s="229" t="s">
        <v>19</v>
      </c>
      <c r="D17" s="230"/>
      <c r="E17" s="237" t="s">
        <v>153</v>
      </c>
      <c r="F17" s="231"/>
      <c r="G17" s="231"/>
      <c r="H17" s="231"/>
      <c r="I17" s="232"/>
    </row>
    <row r="18" spans="1:9" ht="24" customHeight="1" x14ac:dyDescent="0.2">
      <c r="A18" s="71"/>
      <c r="B18" s="73" t="s">
        <v>20</v>
      </c>
      <c r="C18" s="79"/>
      <c r="D18" s="80"/>
      <c r="E18" s="81"/>
      <c r="F18" s="81"/>
      <c r="G18" s="81"/>
      <c r="H18" s="81"/>
      <c r="I18" s="82"/>
    </row>
    <row r="19" spans="1:9" ht="218.25" customHeight="1" x14ac:dyDescent="0.2">
      <c r="A19" s="71"/>
      <c r="B19" s="77"/>
      <c r="C19" s="225" t="s">
        <v>21</v>
      </c>
      <c r="D19" s="226"/>
      <c r="E19" s="227" t="s">
        <v>167</v>
      </c>
      <c r="F19" s="227"/>
      <c r="G19" s="227"/>
      <c r="H19" s="227"/>
      <c r="I19" s="228"/>
    </row>
    <row r="20" spans="1:9" ht="218.25" customHeight="1" x14ac:dyDescent="0.2">
      <c r="A20" s="71"/>
      <c r="B20" s="78"/>
      <c r="C20" s="229" t="s">
        <v>22</v>
      </c>
      <c r="D20" s="230"/>
      <c r="E20" s="231" t="s">
        <v>166</v>
      </c>
      <c r="F20" s="231"/>
      <c r="G20" s="231"/>
      <c r="H20" s="231"/>
      <c r="I20" s="232"/>
    </row>
    <row r="21" spans="1:9" ht="218.25" customHeight="1" x14ac:dyDescent="0.2">
      <c r="A21" s="71"/>
      <c r="B21" s="233" t="s">
        <v>23</v>
      </c>
      <c r="C21" s="234"/>
      <c r="D21" s="235"/>
      <c r="E21" s="223" t="s">
        <v>154</v>
      </c>
      <c r="F21" s="223"/>
      <c r="G21" s="223"/>
      <c r="H21" s="223"/>
      <c r="I21" s="224"/>
    </row>
    <row r="22" spans="1:9" ht="218.25" customHeight="1" x14ac:dyDescent="0.2">
      <c r="A22" s="71"/>
      <c r="B22" s="220" t="s">
        <v>38</v>
      </c>
      <c r="C22" s="221"/>
      <c r="D22" s="222"/>
      <c r="E22" s="223" t="s">
        <v>164</v>
      </c>
      <c r="F22" s="223"/>
      <c r="G22" s="223"/>
      <c r="H22" s="223"/>
      <c r="I22" s="224"/>
    </row>
    <row r="23" spans="1:9" ht="22.5" customHeight="1" x14ac:dyDescent="0.2">
      <c r="B23" s="4"/>
      <c r="C23" s="4"/>
      <c r="D23" s="4"/>
      <c r="E23" s="4"/>
      <c r="F23" s="4"/>
      <c r="G23" s="4"/>
      <c r="H23" s="4"/>
      <c r="I23" s="4"/>
    </row>
    <row r="24" spans="1:9" ht="22.5" customHeight="1" x14ac:dyDescent="0.2">
      <c r="B24" s="4"/>
      <c r="C24" s="4"/>
      <c r="D24" s="4"/>
      <c r="E24" s="4"/>
      <c r="F24" s="4"/>
      <c r="G24" s="4"/>
      <c r="H24" s="4"/>
      <c r="I24" s="4"/>
    </row>
    <row r="25" spans="1:9" ht="22.5" customHeight="1" x14ac:dyDescent="0.2">
      <c r="B25" s="4"/>
      <c r="C25" s="4"/>
      <c r="D25" s="4"/>
      <c r="E25" s="4"/>
      <c r="F25" s="4"/>
      <c r="G25" s="4"/>
      <c r="H25" s="4"/>
      <c r="I25" s="4"/>
    </row>
    <row r="26" spans="1:9" ht="22.5" customHeight="1" x14ac:dyDescent="0.2">
      <c r="B26" s="4"/>
      <c r="C26" s="4"/>
      <c r="D26" s="4"/>
      <c r="E26" s="4"/>
      <c r="F26" s="4"/>
      <c r="G26" s="4"/>
      <c r="H26" s="4"/>
      <c r="I26" s="4"/>
    </row>
    <row r="27" spans="1:9" ht="22.5" customHeight="1" x14ac:dyDescent="0.2">
      <c r="B27" s="4"/>
      <c r="C27" s="4"/>
      <c r="D27" s="4"/>
      <c r="E27" s="4"/>
      <c r="F27" s="4"/>
      <c r="G27" s="4"/>
      <c r="H27" s="4"/>
      <c r="I27" s="4"/>
    </row>
    <row r="28" spans="1:9" ht="22.5" customHeight="1" x14ac:dyDescent="0.2">
      <c r="B28" s="15"/>
      <c r="C28" s="15"/>
      <c r="D28" s="15"/>
      <c r="E28" s="15"/>
      <c r="F28" s="15"/>
      <c r="G28" s="15"/>
      <c r="H28" s="15"/>
      <c r="I28" s="15"/>
    </row>
    <row r="29" spans="1:9" ht="22.5" customHeight="1" x14ac:dyDescent="0.2">
      <c r="B29" s="15"/>
      <c r="C29" s="15"/>
      <c r="D29" s="15"/>
      <c r="E29" s="15"/>
      <c r="F29" s="15"/>
      <c r="G29" s="15"/>
      <c r="H29" s="15"/>
      <c r="I29" s="15"/>
    </row>
    <row r="30" spans="1: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arii</cp:lastModifiedBy>
  <cp:lastPrinted>2023-06-26T06:29:10Z</cp:lastPrinted>
  <dcterms:created xsi:type="dcterms:W3CDTF">2011-06-14T05:32:50Z</dcterms:created>
  <dcterms:modified xsi:type="dcterms:W3CDTF">2023-06-28T03:13:53Z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