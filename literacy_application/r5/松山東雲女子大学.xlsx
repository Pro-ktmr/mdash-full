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defaultThemeVersion="124226"/>
  <mc:AlternateContent xmlns:mc="http://schemas.openxmlformats.org/markup-compatibility/2006">
    <mc:Choice Requires="x15">
      <x15ac:absPath xmlns:x15ac="http://schemas.microsoft.com/office/spreadsheetml/2010/11/ac" url="Z:\教務課\★MDASH\★修正書類（2023.7.14）\松山東雲女子大学\"/>
    </mc:Choice>
  </mc:AlternateContent>
  <xr:revisionPtr revIDLastSave="0" documentId="13_ncr:1_{FC4A7525-785A-4A11-90D8-905D0C65C8C1}" xr6:coauthVersionLast="36"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<sst xmlns="http://schemas.openxmlformats.org/spreadsheetml/2006/main" count="314" uniqueCount="179">
  <si>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</si>
  <si>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</si>
  <si>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</si>
  <si>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</si>
  <si>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</si>
  <si>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</si>
  <si>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</si>
  <si>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</si>
  <si>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</si>
  <si>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</si>
  <si>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</si>
  <si>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</si>
  <si>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</si>
  <si>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</si>
  <si>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</si>
  <si>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</si>
  <si>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</si>
  <si>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</si>
  <si>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</si>
  <si>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</si>
  <si>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</si>
  <si>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</si>
  <si>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</si>
  <si>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</si>
  <si>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</si>
  <si>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</si>
  <si>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</si>
  <si>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</si>
  <si>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</si>
  <si>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</si>
  <si>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</si>
  <si>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</si>
  <si>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</si>
  <si>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</si>
  <si>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</si>
  <si>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</si>
  <si>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</si>
  <si>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</si>
  <si>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</si>
  <si>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</si>
  <si>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</si>
  <si>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</si>
  <si>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</si>
  <si>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</si>
  <si>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</si>
  <si>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</si>
  <si>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</si>
  <si>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</si>
  <si>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</si>
  <si>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</si>
  <si>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</si>
  <si>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</si>
  <si>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</si>
  <si>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</si>
  <si>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</si>
  <si>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</si>
  <si>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</si>
  <si>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</si>
  <si>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</si>
  <si>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</si>
  <si>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</si>
  <si>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</si>
  <si>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</si>
  <si>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</si>
  <si>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</si>
  <si>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</si>
  <si>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</si>
  <si>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</si>
  <si>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</si>
  <si>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</si>
  <si>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</si>
  <si>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</si>
  <si>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</si>
  <si>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</si>
  <si>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</si>
  <si>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</si>
  <si>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</si>
  <si>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</si>
  <si>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</si>
  <si>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</si>
  <si>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</si>
  <si>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</si>
  <si>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</si>
  <si>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</si>
  <si>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</si>
  <si>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</si>
  <si>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</si>
  <si>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</si>
  <si>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</si>
  <si>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</si>
  <si>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</si>
  <si>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</si>
  <si>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</si>
  <si>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</si>
  <si>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</si>
  <si>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</si>
  <si>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</si>
  <si>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</si>
  <si>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</si>
  <si>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</si>
  <si>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</si>
  <si>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</si>
  <si>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</si>
  <si>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</si>
  <si>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</si>
  <si>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</si>
  <si>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</si>
  <si>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</si>
  <si>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</si>
  <si>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</si>
  <si>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</si>
  <si>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</si>
  <si>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</si>
  <si>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</si>
  <si>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</si>
  <si>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</si>
  <si>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</si>
  <si>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</si>
  <si>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</si>
  <si>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</si>
  <si>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</si>
  <si>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</si>
  <si>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</si>
  <si>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</si>
  <si>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</si>
  <si>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</si>
  <si>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</si>
  <si>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</si>
  <si>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AIとデータサイエンス</t>
    <phoneticPr fontId="1"/>
  </si>
  <si>
    <t>松山東雲女子大学</t>
    <rPh sb="0" eb="8">
      <t>マツヤマシン</t>
    </rPh>
    <phoneticPr fontId="1"/>
  </si>
  <si>
    <t>数理・データサイエンス・AI教育プログラム</t>
    <rPh sb="0" eb="2">
      <t>スウリ</t>
    </rPh>
    <rPh sb="14" eb="16">
      <t>キョウイク</t>
    </rPh>
    <phoneticPr fontId="1"/>
  </si>
  <si>
    <t>教務部長</t>
    <rPh sb="0" eb="4">
      <t>キョウ</t>
    </rPh>
    <phoneticPr fontId="1"/>
  </si>
  <si>
    <t>河原　理</t>
    <rPh sb="0" eb="2">
      <t>カワハラ</t>
    </rPh>
    <rPh sb="3" eb="4">
      <t xml:space="preserve">リ </t>
    </rPh>
    <phoneticPr fontId="1"/>
  </si>
  <si>
    <t>○</t>
  </si>
  <si>
    <t>4‐2アルゴリズム基礎</t>
  </si>
  <si>
    <t>小西敏雄</t>
    <rPh sb="0" eb="2">
      <t>コニシ</t>
    </rPh>
    <rPh sb="2" eb="4">
      <t>トシオ</t>
    </rPh>
    <phoneticPr fontId="1"/>
  </si>
  <si>
    <t>小西敏雄</t>
    <rPh sb="0" eb="2">
      <t>コニシ</t>
    </rPh>
    <rPh sb="2" eb="4">
      <t xml:space="preserve">トシオ </t>
    </rPh>
    <phoneticPr fontId="1"/>
  </si>
  <si>
    <t>人文科学部教授</t>
    <rPh sb="0" eb="5">
      <t>ジンブn</t>
    </rPh>
    <rPh sb="5" eb="7">
      <t>キョウジュ</t>
    </rPh>
    <phoneticPr fontId="1"/>
  </si>
  <si>
    <t>授業で使用する教材はGoogle Classroomで公開している。過去分の講義資料も掲載している。
毎回の出席は、Google Formで課題と一緒にその日の授業の感想や質問なども記入させている。
その回答を読んで、必要に応じて直接指導をする機会を設けている。</t>
    <rPh sb="0" eb="1">
      <t>ジュギョウ</t>
    </rPh>
    <rPh sb="7" eb="9">
      <t>キョウザイ</t>
    </rPh>
    <rPh sb="27" eb="29">
      <t>コウカイ</t>
    </rPh>
    <rPh sb="34" eb="36">
      <t>カコブ</t>
    </rPh>
    <rPh sb="40" eb="42">
      <t xml:space="preserve">ブンオ </t>
    </rPh>
    <rPh sb="51" eb="53">
      <t>マイカイ</t>
    </rPh>
    <rPh sb="70" eb="72">
      <t>カダイ</t>
    </rPh>
    <rPh sb="86" eb="88">
      <t>シツモn</t>
    </rPh>
    <rPh sb="91" eb="93">
      <t>キニュウ</t>
    </rPh>
    <rPh sb="102" eb="104">
      <t>カイトウ</t>
    </rPh>
    <rPh sb="105" eb="106">
      <t>ヨンデ</t>
    </rPh>
    <rPh sb="109" eb="111">
      <t>ヒツヨウ</t>
    </rPh>
    <rPh sb="117" eb="119">
      <t>シドウ</t>
    </rPh>
    <rPh sb="125" eb="126">
      <t>モウケ</t>
    </rPh>
    <phoneticPr fontId="1"/>
  </si>
  <si>
    <t>2023年度の授業が4月から始まっているが、2年生以上の学生、特に3年生の履修が増えていて、昨年度の受講学生からの評判が伝わっていると思われる。3年生以上の学生は卒業必修ではないので基本的に受講しなくても良いのであるが、「関心があったので受講した」ということであった。</t>
    <rPh sb="4" eb="6">
      <t>ネンド</t>
    </rPh>
    <rPh sb="7" eb="9">
      <t>ジュギョウ</t>
    </rPh>
    <rPh sb="14" eb="15">
      <t>ハジマッテ</t>
    </rPh>
    <rPh sb="28" eb="30">
      <t>ガクセイ</t>
    </rPh>
    <rPh sb="31" eb="32">
      <t>トクニ</t>
    </rPh>
    <rPh sb="37" eb="39">
      <t>リシュウ</t>
    </rPh>
    <rPh sb="46" eb="49">
      <t>サクネn</t>
    </rPh>
    <rPh sb="52" eb="54">
      <t>ガクセイ</t>
    </rPh>
    <rPh sb="57" eb="59">
      <t>ヒョウバn</t>
    </rPh>
    <rPh sb="67" eb="68">
      <t>オモワレ</t>
    </rPh>
    <rPh sb="78" eb="80">
      <t>ガクセイ</t>
    </rPh>
    <rPh sb="81" eb="83">
      <t>ソツギョウ</t>
    </rPh>
    <rPh sb="91" eb="94">
      <t>キホンテキ</t>
    </rPh>
    <rPh sb="95" eb="97">
      <t>ジュコウシン</t>
    </rPh>
    <rPh sb="102" eb="103">
      <t>ヨイ</t>
    </rPh>
    <rPh sb="111" eb="113">
      <t>カンシn</t>
    </rPh>
    <phoneticPr fontId="1"/>
  </si>
  <si>
    <t>2022年度から必修化したので、まだ卒業者は出していない。
しかし、第15回の授業に補助として参加して頂いた愛媛デジタルデータ・ソリューション協会の複数の方々から、「今後がとても楽しみである」「学生の視点はよくできている。もう少し磨いてあげるともっと光ると思う」などの声を得た。
地元のデジタル人材育成に貢献できる科目になると確信する。</t>
    <rPh sb="0" eb="1">
      <t>２０２２ネンド</t>
    </rPh>
    <rPh sb="18" eb="21">
      <t xml:space="preserve">ソツギョウシャ </t>
    </rPh>
    <rPh sb="22" eb="23">
      <t xml:space="preserve">ダヘシテイナイ </t>
    </rPh>
    <rPh sb="33" eb="34">
      <t>ダイ1</t>
    </rPh>
    <rPh sb="38" eb="40">
      <t>ジュギョウ</t>
    </rPh>
    <rPh sb="41" eb="43">
      <t>ホジョ</t>
    </rPh>
    <rPh sb="50" eb="51">
      <t xml:space="preserve">イタダイタ </t>
    </rPh>
    <rPh sb="73" eb="75">
      <t>フクスウ</t>
    </rPh>
    <rPh sb="76" eb="77">
      <t>カタガタジカ</t>
    </rPh>
    <rPh sb="82" eb="84">
      <t>コンゴガト</t>
    </rPh>
    <rPh sb="88" eb="89">
      <t>タノシミ</t>
    </rPh>
    <rPh sb="96" eb="98">
      <t>ガクセイ</t>
    </rPh>
    <rPh sb="99" eb="101">
      <t>シテn</t>
    </rPh>
    <rPh sb="114" eb="115">
      <t>ミガイ</t>
    </rPh>
    <rPh sb="124" eb="125">
      <t>ヒカル</t>
    </rPh>
    <rPh sb="133" eb="134">
      <t>コエ</t>
    </rPh>
    <rPh sb="135" eb="136">
      <t xml:space="preserve">エタ </t>
    </rPh>
    <rPh sb="140" eb="142">
      <t>ジモト</t>
    </rPh>
    <rPh sb="152" eb="154">
      <t>コウケn</t>
    </rPh>
    <rPh sb="157" eb="159">
      <t>カモク</t>
    </rPh>
    <rPh sb="163" eb="165">
      <t>カクシンス</t>
    </rPh>
    <phoneticPr fontId="1"/>
  </si>
  <si>
    <t>本学は幼稚園教諭・保育士・社会福祉士などの資格取得希望の学生と、一般就職を目指す学生が居るが、大半が文系の学生であり、高校の時に数学を満足に学習していない学生も多い。
しかし、データ収集の方法、加工の方法など、また実際のデータ分析が自分たちがGoogle Collaboratoryを使うと瞬時にPythonで実施できることに関心を持ってくれた。
データ分析の目的に応じたデータ収集の必要性、実際の分析のプロセスなどは使用したテキストにサンプルが掲載されており、卒業後に必要になった時にいつでも手軽に活用できることを授業の中で説明している。
今までデータ分析から遠かった人も、手順を理解することで、今後の学習に貢献できると思う。</t>
    <rPh sb="0" eb="2">
      <t>ホンガク</t>
    </rPh>
    <rPh sb="3" eb="8">
      <t>ヨウチ</t>
    </rPh>
    <rPh sb="9" eb="12">
      <t>ホイク</t>
    </rPh>
    <rPh sb="13" eb="18">
      <t>シャカイ</t>
    </rPh>
    <rPh sb="21" eb="27">
      <t>シカク</t>
    </rPh>
    <rPh sb="28" eb="30">
      <t>ガクセイ</t>
    </rPh>
    <rPh sb="32" eb="36">
      <t>イッパンシュ</t>
    </rPh>
    <rPh sb="37" eb="39">
      <t>メザス</t>
    </rPh>
    <rPh sb="40" eb="42">
      <t>ガクセイ</t>
    </rPh>
    <rPh sb="43" eb="44">
      <t xml:space="preserve">イルガ </t>
    </rPh>
    <rPh sb="47" eb="49">
      <t>タイハn</t>
    </rPh>
    <rPh sb="50" eb="52">
      <t>ブンケイ</t>
    </rPh>
    <rPh sb="53" eb="55">
      <t>ガクセイ</t>
    </rPh>
    <rPh sb="59" eb="61">
      <t>コウコウ</t>
    </rPh>
    <rPh sb="64" eb="66">
      <t>スウガク</t>
    </rPh>
    <rPh sb="67" eb="69">
      <t>マンゾク</t>
    </rPh>
    <rPh sb="70" eb="72">
      <t>ガクシュウ</t>
    </rPh>
    <rPh sb="77" eb="79">
      <t>ガクセイ</t>
    </rPh>
    <rPh sb="80" eb="81">
      <t>オオイ</t>
    </rPh>
    <rPh sb="91" eb="93">
      <t>シュウシュウ</t>
    </rPh>
    <rPh sb="97" eb="99">
      <t>カコウ</t>
    </rPh>
    <rPh sb="107" eb="109">
      <t>ジッサイ</t>
    </rPh>
    <rPh sb="116" eb="118">
      <t>ジブn</t>
    </rPh>
    <rPh sb="145" eb="147">
      <t>シュンジ</t>
    </rPh>
    <rPh sb="155" eb="157">
      <t>ジッシ</t>
    </rPh>
    <rPh sb="163" eb="165">
      <t>カンシn</t>
    </rPh>
    <rPh sb="180" eb="182">
      <t>モクテキ</t>
    </rPh>
    <rPh sb="183" eb="184">
      <t>オウ</t>
    </rPh>
    <rPh sb="192" eb="195">
      <t>ヒツヨウ</t>
    </rPh>
    <rPh sb="196" eb="198">
      <t>ジッサイ</t>
    </rPh>
    <rPh sb="199" eb="201">
      <t>ブンスケ</t>
    </rPh>
    <rPh sb="209" eb="211">
      <t>シヨウ</t>
    </rPh>
    <rPh sb="223" eb="225">
      <t>ケイサイ</t>
    </rPh>
    <rPh sb="231" eb="234">
      <t>ソツギョウ</t>
    </rPh>
    <rPh sb="235" eb="237">
      <t>ヒツヨウ</t>
    </rPh>
    <rPh sb="247" eb="249">
      <t>テガル</t>
    </rPh>
    <rPh sb="250" eb="252">
      <t>カツヨウ</t>
    </rPh>
    <rPh sb="261" eb="262">
      <t>ジュギョウ</t>
    </rPh>
    <rPh sb="271" eb="272">
      <t>イマ</t>
    </rPh>
    <rPh sb="281" eb="282">
      <t>トオカ</t>
    </rPh>
    <rPh sb="288" eb="290">
      <t>テジュn</t>
    </rPh>
    <rPh sb="291" eb="293">
      <t>リカイ</t>
    </rPh>
    <rPh sb="299" eb="301">
      <t>コンゴ</t>
    </rPh>
    <rPh sb="302" eb="304">
      <t>ガクシュウ</t>
    </rPh>
    <rPh sb="305" eb="307">
      <t>コウケンデケ</t>
    </rPh>
    <rPh sb="311" eb="312">
      <t>オモウ</t>
    </rPh>
    <phoneticPr fontId="1"/>
  </si>
  <si>
    <t>第14回のときにGoogle Formで「今日の授業は理解できましたか」という質問をして回答を得た。
その結果、「大変よく理解できた」が27名（35.1％）、「やや理解できた（雰囲気はわかった）」が44名（57.1％）、「どちらともいえない」が４名（5.2％）、「あまり理解できなかった」が２名（2.6％）であった。総合的に、学生の授業参加の満足度は高かったと思われる。
また、自由記述で書かせた感想の中にも、内容に関する理解度も高い記述が多く見られた。
授業に参加した学生の意見から、課題解決型の授業科目の充実が必要なことがよく分かった。</t>
    <rPh sb="0" eb="1">
      <t>ダイ1</t>
    </rPh>
    <rPh sb="21" eb="23">
      <t>キョウ</t>
    </rPh>
    <rPh sb="39" eb="41">
      <t>シツモn</t>
    </rPh>
    <rPh sb="44" eb="46">
      <t>カイトウ</t>
    </rPh>
    <rPh sb="47" eb="48">
      <t>エタ</t>
    </rPh>
    <rPh sb="57" eb="59">
      <t>タイヘn</t>
    </rPh>
    <rPh sb="61" eb="63">
      <t>リカイデ</t>
    </rPh>
    <rPh sb="82" eb="84">
      <t>リカイデ</t>
    </rPh>
    <rPh sb="88" eb="91">
      <t>フンイキ</t>
    </rPh>
    <rPh sb="134" eb="136">
      <t>リカイ</t>
    </rPh>
    <rPh sb="157" eb="160">
      <t>ソウゴウ</t>
    </rPh>
    <rPh sb="162" eb="164">
      <t>ガクセイ</t>
    </rPh>
    <rPh sb="165" eb="169">
      <t>ジュギョウス</t>
    </rPh>
    <rPh sb="170" eb="173">
      <t>マンゾク</t>
    </rPh>
    <rPh sb="189" eb="193">
      <t>ジユウ</t>
    </rPh>
    <rPh sb="198" eb="200">
      <t>カンソウ</t>
    </rPh>
    <rPh sb="205" eb="207">
      <t>ナイヨウ</t>
    </rPh>
    <rPh sb="211" eb="214">
      <t>リカイド</t>
    </rPh>
    <rPh sb="215" eb="216">
      <t>タカイ</t>
    </rPh>
    <rPh sb="228" eb="230">
      <t>ジュギョウ</t>
    </rPh>
    <rPh sb="231" eb="233">
      <t>サンカ</t>
    </rPh>
    <rPh sb="238" eb="240">
      <t>イケンカ</t>
    </rPh>
    <rPh sb="243" eb="248">
      <t>カダイ</t>
    </rPh>
    <rPh sb="249" eb="253">
      <t>ジュギョウカ</t>
    </rPh>
    <rPh sb="254" eb="256">
      <t>ジュウジテゥ</t>
    </rPh>
    <rPh sb="265" eb="266">
      <t>💡</t>
    </rPh>
    <phoneticPr fontId="1"/>
  </si>
  <si>
    <t>令和４</t>
    <rPh sb="0" eb="2">
      <t>レイワ</t>
    </rPh>
    <phoneticPr fontId="1"/>
  </si>
  <si>
    <t>数理・データサイエンス・AI教育プログラム専門委員会規則</t>
    <phoneticPr fontId="1"/>
  </si>
  <si>
    <t>本学の『数理・データサイエンス・AI 教育プログラム』の目的は、学生の数理・データサイエンス・AIへの関心を高め、かつ、数理・データサイエンス・A Iを適切に理解し、それを活用する基礎的な能力を育成するために必要な知識及び技術を体系的に修得させること、である。
このプログラムを適切に運営し改善をしていくための体制として、専門委員会を設置した。
この委員会は、本学において、数理・データサイエンス・AI教育に関連した科目の授業担当者で、学内外に関わらず構成メンバーとすることで、担当者間の協議を行い、プログラム内容の改善を継続して行うことが可能になった。</t>
    <rPh sb="0" eb="2">
      <t>ホンガク</t>
    </rPh>
    <rPh sb="31" eb="33">
      <t>モクテキ</t>
    </rPh>
    <rPh sb="145" eb="147">
      <t>テキセテゥ</t>
    </rPh>
    <rPh sb="148" eb="150">
      <t>ウンエイ</t>
    </rPh>
    <rPh sb="151" eb="153">
      <t>カイゼn</t>
    </rPh>
    <rPh sb="161" eb="163">
      <t>タイセイ</t>
    </rPh>
    <rPh sb="167" eb="172">
      <t>センモn</t>
    </rPh>
    <rPh sb="173" eb="175">
      <t>セッチ</t>
    </rPh>
    <rPh sb="181" eb="184">
      <t>イインカイノコウセイム</t>
    </rPh>
    <rPh sb="186" eb="188">
      <t>ホンガク</t>
    </rPh>
    <rPh sb="193" eb="195">
      <t>スウリ</t>
    </rPh>
    <rPh sb="207" eb="209">
      <t>キョウイク</t>
    </rPh>
    <rPh sb="210" eb="212">
      <t>カンレンシ</t>
    </rPh>
    <rPh sb="217" eb="222">
      <t>ジュギョウ</t>
    </rPh>
    <rPh sb="224" eb="227">
      <t>ガクナイ</t>
    </rPh>
    <rPh sb="232" eb="234">
      <t>コウセイ</t>
    </rPh>
    <rPh sb="245" eb="249">
      <t>タントウ</t>
    </rPh>
    <rPh sb="250" eb="252">
      <t>⚾️</t>
    </rPh>
    <rPh sb="253" eb="254">
      <t>オコナイ</t>
    </rPh>
    <rPh sb="264" eb="266">
      <t>カイゼn</t>
    </rPh>
    <rPh sb="267" eb="269">
      <t>ケイゾク</t>
    </rPh>
    <rPh sb="276" eb="278">
      <t>カノウ</t>
    </rPh>
    <phoneticPr fontId="1"/>
  </si>
  <si>
    <t>数理・データサイエンス・AI 教育プログラム専門委員会</t>
    <phoneticPr fontId="1"/>
  </si>
  <si>
    <t>本学は人文科学部の単科大学であり、全学必修が実施しやすい状況にある。
加えて、AIやデータサイエンスに関する学生の関心も高く、学生自身の積極的な受講が見られている。</t>
    <rPh sb="0" eb="2">
      <t>ホンガク</t>
    </rPh>
    <rPh sb="9" eb="13">
      <t>タンカダイガク</t>
    </rPh>
    <rPh sb="17" eb="21">
      <t>ゼンガク</t>
    </rPh>
    <rPh sb="22" eb="24">
      <t>ジッシ</t>
    </rPh>
    <rPh sb="28" eb="30">
      <t>ジョウキョウ</t>
    </rPh>
    <rPh sb="35" eb="36">
      <t>クワエ</t>
    </rPh>
    <rPh sb="54" eb="56">
      <t>ガクセイ</t>
    </rPh>
    <rPh sb="57" eb="59">
      <t>カンシn</t>
    </rPh>
    <rPh sb="63" eb="65">
      <t>ガクセイ</t>
    </rPh>
    <rPh sb="65" eb="67">
      <t>ジシン</t>
    </rPh>
    <rPh sb="68" eb="71">
      <t>セッキョク</t>
    </rPh>
    <rPh sb="75" eb="76">
      <t>ミラレ</t>
    </rPh>
    <phoneticPr fontId="1"/>
  </si>
  <si>
    <t>2022年度の実績は、必修科目「AIとデータサイエンス」の受講者数83名に対して、単位認定者80名（合格率96.4％）であった。
2022年度から必修になったので、他の選択科目は資格取得などで今後の受講が予測され、卒業時にはほぼ全員がプログラム履修を完了する予定である。</t>
    <rPh sb="11" eb="15">
      <t>ヒッシュウ</t>
    </rPh>
    <rPh sb="29" eb="33">
      <t>ジュコウ</t>
    </rPh>
    <rPh sb="41" eb="46">
      <t>タンイ</t>
    </rPh>
    <rPh sb="50" eb="53">
      <t>ゴウカク</t>
    </rPh>
    <rPh sb="69" eb="71">
      <t>ネンド</t>
    </rPh>
    <rPh sb="82" eb="83">
      <t>ホカ</t>
    </rPh>
    <rPh sb="84" eb="88">
      <t>センタク</t>
    </rPh>
    <rPh sb="89" eb="93">
      <t>シカクシュトク</t>
    </rPh>
    <rPh sb="96" eb="98">
      <t>コンゴ</t>
    </rPh>
    <rPh sb="99" eb="101">
      <t>ジュコウ</t>
    </rPh>
    <rPh sb="102" eb="104">
      <t>ヨソク</t>
    </rPh>
    <rPh sb="107" eb="109">
      <t>ソツギョウ</t>
    </rPh>
    <rPh sb="109" eb="110">
      <t xml:space="preserve">ジニハ </t>
    </rPh>
    <rPh sb="114" eb="116">
      <t>ゼンイn</t>
    </rPh>
    <rPh sb="122" eb="124">
      <t>リシュウ</t>
    </rPh>
    <rPh sb="125" eb="127">
      <t>カンリョウ</t>
    </rPh>
    <rPh sb="129" eb="131">
      <t>ヨテイ</t>
    </rPh>
    <phoneticPr fontId="1"/>
  </si>
  <si>
    <t>2022年度から必修化したので、今後本学に入学する学生はすべて受講する。
本学の在籍者の中での履修割合は年度ごとに確実に増加する。</t>
    <rPh sb="0" eb="1">
      <t>２０２２ネンド</t>
    </rPh>
    <rPh sb="16" eb="18">
      <t>コンゴ</t>
    </rPh>
    <rPh sb="18" eb="20">
      <t>ホンガク</t>
    </rPh>
    <rPh sb="21" eb="23">
      <t>ニュウガクス</t>
    </rPh>
    <rPh sb="25" eb="27">
      <t>ガクセイ</t>
    </rPh>
    <rPh sb="31" eb="33">
      <t>ジュコウ</t>
    </rPh>
    <rPh sb="37" eb="39">
      <t>ホンガク</t>
    </rPh>
    <rPh sb="40" eb="43">
      <t>ザイセキス</t>
    </rPh>
    <rPh sb="47" eb="51">
      <t>リシュウ</t>
    </rPh>
    <rPh sb="52" eb="54">
      <t>ネンド</t>
    </rPh>
    <rPh sb="57" eb="59">
      <t>カクジテゥ</t>
    </rPh>
    <rPh sb="60" eb="62">
      <t>ゾウカ</t>
    </rPh>
    <phoneticPr fontId="1"/>
  </si>
  <si>
    <t>必修科目「AI とデータサイエンス」の開講回数は15回であり、そのうち13回が「AI とデータサイエンスに関する講義」、残り2回で実務家講師による講義とグループワークを行なっている。
グループワークでは、１チームを5名程度とし、スピーカー、プロデューサー、サーチャー、記録担当などに役割分担し、作業を行う。
2022年度は、「愛媛県の特産物を県外の人に知らせるには」という課題を与え、PBLを行なった。最後にグループごとのプレゼン発表を行なった。
短い時間ではあったが、学生たちはとても刺激的だったようで、女子の視点からの発表も多く、とても内容の濃い発表が多かった。本学が女子大学であるという効果が最大限に発揮されたと思われる。
このような課題発見・課題解決型の授業は、大学卒業後、社会に出てから役立つので、2023年度はグループワークの回数を2回に増やし、プレゼンのブラッシュアップをさせる予定である。
15回の授業のときには、えひめ産業振興財団の担当者の方も授業に出席されたが、「とても楽しく有意義であった。次年度はぜひ回数を増やして内容の充実をしましょう」とのコメントをいただいた。</t>
    <rPh sb="0" eb="4">
      <t>ヒッシュウカム</t>
    </rPh>
    <rPh sb="19" eb="23">
      <t>カイコウ</t>
    </rPh>
    <rPh sb="83" eb="84">
      <t>オコナッテ</t>
    </rPh>
    <rPh sb="109" eb="111">
      <t>テイ</t>
    </rPh>
    <rPh sb="134" eb="136">
      <t>キロク</t>
    </rPh>
    <rPh sb="136" eb="138">
      <t>タントウ</t>
    </rPh>
    <rPh sb="138" eb="141">
      <t>ヤクワリ</t>
    </rPh>
    <rPh sb="141" eb="145">
      <t>ヤクワリ</t>
    </rPh>
    <rPh sb="147" eb="149">
      <t>サギョウ</t>
    </rPh>
    <rPh sb="150" eb="151">
      <t>オコナ</t>
    </rPh>
    <rPh sb="163" eb="166">
      <t>エヒメ</t>
    </rPh>
    <rPh sb="171" eb="173">
      <t>ケンガイ</t>
    </rPh>
    <rPh sb="176" eb="177">
      <t>シラセ</t>
    </rPh>
    <rPh sb="186" eb="188">
      <t>カダイ</t>
    </rPh>
    <rPh sb="189" eb="190">
      <t>アタエ</t>
    </rPh>
    <rPh sb="196" eb="197">
      <t>オコナッタ</t>
    </rPh>
    <rPh sb="201" eb="203">
      <t>サイゴ</t>
    </rPh>
    <rPh sb="218" eb="219">
      <t>オコナッタ</t>
    </rPh>
    <rPh sb="224" eb="225">
      <t>ミジカイ</t>
    </rPh>
    <rPh sb="235" eb="237">
      <t>ガクセイ</t>
    </rPh>
    <rPh sb="243" eb="246">
      <t>シゲキ</t>
    </rPh>
    <rPh sb="253" eb="255">
      <t>ジョシ</t>
    </rPh>
    <rPh sb="256" eb="258">
      <t>シテン</t>
    </rPh>
    <rPh sb="261" eb="263">
      <t>ハッピョウ</t>
    </rPh>
    <rPh sb="264" eb="265">
      <t>オオ</t>
    </rPh>
    <rPh sb="270" eb="272">
      <t>ナイヨウ</t>
    </rPh>
    <rPh sb="273" eb="274">
      <t>コ</t>
    </rPh>
    <rPh sb="275" eb="277">
      <t>ハッピョウ</t>
    </rPh>
    <rPh sb="283" eb="285">
      <t>ホンガク</t>
    </rPh>
    <rPh sb="286" eb="290">
      <t>ジョシダイガク</t>
    </rPh>
    <rPh sb="296" eb="298">
      <t>コウカ</t>
    </rPh>
    <rPh sb="299" eb="302">
      <t>サイダイゲン</t>
    </rPh>
    <rPh sb="303" eb="305">
      <t>ハッキ</t>
    </rPh>
    <rPh sb="309" eb="310">
      <t>オモ</t>
    </rPh>
    <rPh sb="320" eb="324">
      <t>カダイ</t>
    </rPh>
    <rPh sb="325" eb="330">
      <t>カダイ</t>
    </rPh>
    <rPh sb="331" eb="333">
      <t>ジュギョウ</t>
    </rPh>
    <rPh sb="335" eb="337">
      <t>ダイガク</t>
    </rPh>
    <rPh sb="337" eb="340">
      <t>ソツギョウ</t>
    </rPh>
    <rPh sb="341" eb="343">
      <t>シャカイ</t>
    </rPh>
    <rPh sb="348" eb="350">
      <t xml:space="preserve">ヤクダツノデ </t>
    </rPh>
    <rPh sb="369" eb="371">
      <t>カイスウヲ</t>
    </rPh>
    <rPh sb="375" eb="376">
      <t>フ</t>
    </rPh>
    <rPh sb="407" eb="409">
      <t>ジュギョウ</t>
    </rPh>
    <rPh sb="418" eb="424">
      <t>サンギョウ</t>
    </rPh>
    <rPh sb="425" eb="428">
      <t>タントウ</t>
    </rPh>
    <rPh sb="431" eb="433">
      <t>ジュギョウ</t>
    </rPh>
    <rPh sb="434" eb="436">
      <t>シュッセキ</t>
    </rPh>
    <rPh sb="445" eb="446">
      <t>タノシク</t>
    </rPh>
    <rPh sb="448" eb="451">
      <t>ユウイ</t>
    </rPh>
    <rPh sb="462" eb="464">
      <t>カイスウヲ</t>
    </rPh>
    <rPh sb="465" eb="466">
      <t>フヤシ</t>
    </rPh>
    <rPh sb="469" eb="471">
      <t>ナイヨウ</t>
    </rPh>
    <phoneticPr fontId="1"/>
  </si>
  <si>
    <t>第15回の授業でNTTデータ四国の女性の方3名に協力をしていただいた。
「今回実施した問題発見・課題解決型の授業は、実際の現場で必ず必要になるものであり、それが大学1年生の段階で、しかも必修で授業が受けれることは素晴らしい。」「受講学生の目の輝きが素晴らしい」との評価を得た。
今後も継続してこの形の授業を運営していきたいと思う。</t>
    <rPh sb="5" eb="7">
      <t>ジュギョウ</t>
    </rPh>
    <rPh sb="17" eb="19">
      <t>ジョセイ</t>
    </rPh>
    <rPh sb="20" eb="21">
      <t>カタ</t>
    </rPh>
    <rPh sb="24" eb="26">
      <t>キョウリョク</t>
    </rPh>
    <rPh sb="37" eb="39">
      <t>コンカイ</t>
    </rPh>
    <rPh sb="39" eb="41">
      <t>j</t>
    </rPh>
    <rPh sb="43" eb="47">
      <t>モンダイヘ</t>
    </rPh>
    <rPh sb="48" eb="53">
      <t>カダイ</t>
    </rPh>
    <rPh sb="54" eb="56">
      <t>ジュギョウ</t>
    </rPh>
    <rPh sb="58" eb="60">
      <t>ジッサイ</t>
    </rPh>
    <rPh sb="61" eb="63">
      <t>ゲンバ</t>
    </rPh>
    <rPh sb="64" eb="65">
      <t>カナラズ</t>
    </rPh>
    <rPh sb="66" eb="68">
      <t>ヒツヨウ</t>
    </rPh>
    <rPh sb="80" eb="82">
      <t>ダイガク</t>
    </rPh>
    <rPh sb="83" eb="85">
      <t>ネンセイ</t>
    </rPh>
    <rPh sb="86" eb="88">
      <t>ダンカイ</t>
    </rPh>
    <rPh sb="93" eb="95">
      <t>ヒッシュウ</t>
    </rPh>
    <rPh sb="106" eb="108">
      <t>スバラシ</t>
    </rPh>
    <rPh sb="119" eb="120">
      <t>メノ</t>
    </rPh>
    <rPh sb="132" eb="134">
      <t>ヒョウカ</t>
    </rPh>
    <rPh sb="135" eb="136">
      <t xml:space="preserve">エタ。 </t>
    </rPh>
    <rPh sb="139" eb="141">
      <t>コンゴ</t>
    </rPh>
    <rPh sb="142" eb="144">
      <t>ケイゾク</t>
    </rPh>
    <rPh sb="150" eb="152">
      <t>ジュギョウ</t>
    </rPh>
    <rPh sb="162" eb="163">
      <t>オモウ</t>
    </rPh>
    <phoneticPr fontId="1"/>
  </si>
  <si>
    <t>どんなに素晴らしい、面白い話題であっても、中身が理解できないものであれば今後の学習継続に繋がらない。
何が面白いのか、データサイエンスの手法を使うと何ができるのか、そのような部分を分かりやすく伝えることによって、記憶中心の従来の学習から、本人の関心に応じた効果的なものに変化していると思う。
今後も内容のわかりやすさに重点を置いて、プログラムの運営をしていきたい。</t>
    <rPh sb="4" eb="6">
      <t>スバラシ</t>
    </rPh>
    <rPh sb="10" eb="12">
      <t>オモシロイ</t>
    </rPh>
    <rPh sb="13" eb="15">
      <t>ワダイ</t>
    </rPh>
    <rPh sb="21" eb="23">
      <t>ナカ</t>
    </rPh>
    <rPh sb="36" eb="38">
      <t xml:space="preserve">コンゴノ </t>
    </rPh>
    <rPh sb="44" eb="45">
      <t>ツナガラナ</t>
    </rPh>
    <rPh sb="51" eb="52">
      <t>ナニ</t>
    </rPh>
    <rPh sb="68" eb="70">
      <t>シュホウ</t>
    </rPh>
    <rPh sb="74" eb="75">
      <t>ナニガデ</t>
    </rPh>
    <rPh sb="87" eb="89">
      <t>ブブn</t>
    </rPh>
    <rPh sb="90" eb="91">
      <t>ワカリヤスクツタエ</t>
    </rPh>
    <rPh sb="106" eb="110">
      <t>キオク</t>
    </rPh>
    <rPh sb="111" eb="113">
      <t>ジュウライ</t>
    </rPh>
    <rPh sb="119" eb="121">
      <t>ホンニn</t>
    </rPh>
    <rPh sb="122" eb="124">
      <t>カンシンニオ</t>
    </rPh>
    <rPh sb="135" eb="137">
      <t>ヘンカ</t>
    </rPh>
    <rPh sb="142" eb="143">
      <t>オモウ</t>
    </rPh>
    <rPh sb="146" eb="148">
      <t>コンゴ</t>
    </rPh>
    <rPh sb="149" eb="151">
      <t>ナイヨウ</t>
    </rPh>
    <rPh sb="159" eb="161">
      <t>ジュウテn</t>
    </rPh>
    <rPh sb="172" eb="174">
      <t>ウンエイ</t>
    </rPh>
    <phoneticPr fontId="1"/>
  </si>
  <si>
    <t>『AIとデータサイエンス』第2回「社会でどのような変化が起きているか」
2-1ビッグデータ、IoT、5Gなどの登場
2-2第４次産業革命、Society５.０
2-3データ駆動型社会
以上に加えて、愛媛大学データサイエンスセンターの動画教材を活用して補足説明を加えた。</t>
    <rPh sb="13" eb="14">
      <t>ダイ2</t>
    </rPh>
    <rPh sb="17" eb="19">
      <t>シャカイ</t>
    </rPh>
    <rPh sb="25" eb="27">
      <t>ヘンカ</t>
    </rPh>
    <rPh sb="86" eb="88">
      <t>シャカイ</t>
    </rPh>
    <rPh sb="92" eb="94">
      <t>イジョウ</t>
    </rPh>
    <rPh sb="99" eb="103">
      <t>エヒメ</t>
    </rPh>
    <rPh sb="116" eb="120">
      <t>ドウガク</t>
    </rPh>
    <rPh sb="121" eb="123">
      <t>カツヨウス</t>
    </rPh>
    <rPh sb="125" eb="129">
      <t>ホソク</t>
    </rPh>
    <rPh sb="130" eb="131">
      <t>クワエ</t>
    </rPh>
    <phoneticPr fontId="1"/>
  </si>
  <si>
    <t>『AIとデータサイエンス』第3回「社会でどのようなデータが活用されているか」
3-1人の動線をめぐるデータ
3-2多くの機器のログとオープンデータ
3-31次データ、2次データ、メタデータ
3-4非構造化データの増大
以上に加えて、愛媛大学データサイエンスセンターの動画教材を活用して補足説明を加えた。</t>
    <rPh sb="13" eb="14">
      <t>ダイ3</t>
    </rPh>
    <rPh sb="17" eb="19">
      <t>シャカイ</t>
    </rPh>
    <rPh sb="42" eb="43">
      <t>ヒト</t>
    </rPh>
    <rPh sb="44" eb="46">
      <t>ドウセn</t>
    </rPh>
    <rPh sb="57" eb="58">
      <t>オオク</t>
    </rPh>
    <rPh sb="98" eb="102">
      <t>ヒコウ</t>
    </rPh>
    <rPh sb="106" eb="108">
      <t>ゾウダイ</t>
    </rPh>
    <rPh sb="109" eb="111">
      <t>イジョウニクウ</t>
    </rPh>
    <rPh sb="116" eb="118">
      <t>エヒメ</t>
    </rPh>
    <rPh sb="118" eb="120">
      <t>ダイ</t>
    </rPh>
    <rPh sb="133" eb="137">
      <t>ドウガ</t>
    </rPh>
    <rPh sb="138" eb="140">
      <t>カツヨウ</t>
    </rPh>
    <rPh sb="142" eb="144">
      <t>ホソク</t>
    </rPh>
    <rPh sb="144" eb="146">
      <t>セツメイ</t>
    </rPh>
    <rPh sb="147" eb="148">
      <t>クワエ</t>
    </rPh>
    <phoneticPr fontId="1"/>
  </si>
  <si>
    <t>『AIとデータサイエンス』第4回「データ・AIを何に使えるか」
4-1データ・AIの活用領域の広がり
4-2具体的にどう使えばいいのか
4-3シェアリングエコノミー、エビデンスベース社会、ナッジ
以上に加えて、愛媛大学データサイエンスセンターの動画教材を活用して補足説明を加えた。</t>
    <rPh sb="13" eb="14">
      <t>ダイ4</t>
    </rPh>
    <rPh sb="24" eb="25">
      <t>ナニ</t>
    </rPh>
    <rPh sb="26" eb="27">
      <t>ツカエ</t>
    </rPh>
    <rPh sb="42" eb="46">
      <t>カツヨウ</t>
    </rPh>
    <rPh sb="54" eb="57">
      <t>グタイテキニ</t>
    </rPh>
    <rPh sb="60" eb="61">
      <t>ツカエバ</t>
    </rPh>
    <phoneticPr fontId="1"/>
  </si>
  <si>
    <t>『AIとデータサイエンス』第5回「データ・AIの技術」
5-1データ解析とは何をしているのか
5-2可視化の手法にはどういったものがあるのか
5-3非構造化データの処理とは
5-4AIの技術とは
以上に加えて、愛媛大学データサイエンスセンターの動画教材を活用して補足説明を加えた。</t>
    <rPh sb="13" eb="14">
      <t>ダイ5</t>
    </rPh>
    <rPh sb="24" eb="26">
      <t>ギジュテゥ</t>
    </rPh>
    <rPh sb="38" eb="39">
      <t>ナニ</t>
    </rPh>
    <rPh sb="50" eb="53">
      <t xml:space="preserve">カシカノ </t>
    </rPh>
    <rPh sb="74" eb="78">
      <t>ヒコウ</t>
    </rPh>
    <rPh sb="82" eb="84">
      <t>ショリ</t>
    </rPh>
    <rPh sb="93" eb="95">
      <t>ギジュテゥ</t>
    </rPh>
    <phoneticPr fontId="1"/>
  </si>
  <si>
    <t>『AIとデータサイエンス』第7回「データ・AIを扱うときに注意すること」
7-1データ活用の負の側面
7-2GDPR、忘れられる権利、ELSI、オプトイン・オプトアウト
7-3データの正義について
以上に加えて、愛媛大学データサイエンスセンターの動画教材を活用して補足説明を加えた。</t>
    <rPh sb="13" eb="14">
      <t>ダイ7</t>
    </rPh>
    <rPh sb="24" eb="25">
      <t>アツカウ</t>
    </rPh>
    <rPh sb="29" eb="31">
      <t>チュウイ</t>
    </rPh>
    <rPh sb="46" eb="47">
      <t xml:space="preserve">フノ </t>
    </rPh>
    <rPh sb="59" eb="60">
      <t>ワスレラレル</t>
    </rPh>
    <rPh sb="64" eb="66">
      <t>ケンリ</t>
    </rPh>
    <rPh sb="92" eb="94">
      <t xml:space="preserve">セイギ </t>
    </rPh>
    <phoneticPr fontId="1"/>
  </si>
  <si>
    <t>『AIとデータサイエンス』第8回「データ・AIにまつわるセキュリティ」
8-1情報セキュリティの基礎
8-2情報のCIA
8-3暗号化と匿名加工情報</t>
    <rPh sb="13" eb="14">
      <t>ダイ8</t>
    </rPh>
    <rPh sb="39" eb="41">
      <t>ジョウホウ</t>
    </rPh>
    <rPh sb="48" eb="50">
      <t>キソ</t>
    </rPh>
    <rPh sb="54" eb="56">
      <t>ジョウホウ</t>
    </rPh>
    <rPh sb="64" eb="67">
      <t>アンゴウ</t>
    </rPh>
    <rPh sb="68" eb="70">
      <t>トクメイ</t>
    </rPh>
    <rPh sb="70" eb="74">
      <t>k</t>
    </rPh>
    <phoneticPr fontId="1"/>
  </si>
  <si>
    <t>統計学Ⅰ</t>
    <rPh sb="0" eb="3">
      <t>トウケイガク</t>
    </rPh>
    <phoneticPr fontId="1"/>
  </si>
  <si>
    <t>統計学Ⅱ</t>
    <rPh sb="0" eb="3">
      <t>トウケイガク</t>
    </rPh>
    <phoneticPr fontId="1"/>
  </si>
  <si>
    <t>『AIとデータサイエンス』第6回「データを読み、説明し、扱う」
6-1データの種類を知る、6-2基本統計量でデータの特徴をつかむ、6-3もととなるデータを集める
6-4集めたデータを集計する、」6-5誤読しないデータの読み方、データの比較方法
『AIとデータサイエンス』第9回「統計と数学のきほん」
9-1AIに必要な数学、9-2AIに必要な集合・場合の数、9-3AIに必要な確率・統計
『統計学Ⅰ』では、基本統計量や相関係数の性質を学び、データの読み方について学んでいる。</t>
    <rPh sb="13" eb="14">
      <t>ダイ6</t>
    </rPh>
    <rPh sb="21" eb="22">
      <t>ヨミ</t>
    </rPh>
    <rPh sb="24" eb="26">
      <t>セツメイ</t>
    </rPh>
    <rPh sb="28" eb="29">
      <t>アツカウ</t>
    </rPh>
    <rPh sb="39" eb="41">
      <t>シュルイ</t>
    </rPh>
    <rPh sb="42" eb="43">
      <t>シル</t>
    </rPh>
    <rPh sb="48" eb="53">
      <t>キホント</t>
    </rPh>
    <rPh sb="77" eb="78">
      <t>アツメ</t>
    </rPh>
    <rPh sb="84" eb="85">
      <t>アツメ</t>
    </rPh>
    <rPh sb="91" eb="93">
      <t>シュウケイ</t>
    </rPh>
    <rPh sb="100" eb="102">
      <t>ゴドク</t>
    </rPh>
    <rPh sb="117" eb="121">
      <t>ヒカク</t>
    </rPh>
    <rPh sb="135" eb="136">
      <t>ダイ9</t>
    </rPh>
    <rPh sb="139" eb="141">
      <t>トウケイ</t>
    </rPh>
    <rPh sb="142" eb="144">
      <t>スウガク</t>
    </rPh>
    <rPh sb="156" eb="158">
      <t>ヒツヨウ</t>
    </rPh>
    <rPh sb="168" eb="170">
      <t>ヒツヨウ</t>
    </rPh>
    <rPh sb="171" eb="173">
      <t>シュウゴウ</t>
    </rPh>
    <rPh sb="174" eb="176">
      <t>バアイ</t>
    </rPh>
    <rPh sb="185" eb="187">
      <t>ヒツヨウ</t>
    </rPh>
    <rPh sb="188" eb="190">
      <t>カクリテゥ</t>
    </rPh>
    <rPh sb="191" eb="193">
      <t>トウケイ</t>
    </rPh>
    <rPh sb="195" eb="198">
      <t>トウケイガク</t>
    </rPh>
    <rPh sb="203" eb="208">
      <t>キホントウケイリョウ</t>
    </rPh>
    <rPh sb="209" eb="213">
      <t>ソウカンケイスウ</t>
    </rPh>
    <rPh sb="214" eb="216">
      <t>セイシツ</t>
    </rPh>
    <rPh sb="217" eb="218">
      <t>マナ</t>
    </rPh>
    <rPh sb="224" eb="225">
      <t>ヨ</t>
    </rPh>
    <rPh sb="226" eb="227">
      <t>カタ</t>
    </rPh>
    <rPh sb="231" eb="232">
      <t>マナ</t>
    </rPh>
    <phoneticPr fontId="1"/>
  </si>
  <si>
    <t>人文科学部心理子ども学科</t>
    <rPh sb="0" eb="7">
      <t>ジンブn</t>
    </rPh>
    <rPh sb="7" eb="8">
      <t>コ</t>
    </rPh>
    <rPh sb="10" eb="12">
      <t xml:space="preserve">ガッカ </t>
    </rPh>
    <phoneticPr fontId="1"/>
  </si>
  <si>
    <t>『AIとデータサイエンス』第14回の授業において、気象ビジネス推進コンソーシアムでの活動の紹介、気象情報を活用した事例として、スマホアプリ「テンキュール」による気象データの活用の実例紹介、また東温市の農業現場でのAI活用などの現状を解説した。</t>
    <rPh sb="13" eb="14">
      <t>ダイ1</t>
    </rPh>
    <rPh sb="18" eb="20">
      <t>ジュギョウ</t>
    </rPh>
    <rPh sb="25" eb="27">
      <t>キショウ</t>
    </rPh>
    <rPh sb="31" eb="33">
      <t>スイシン</t>
    </rPh>
    <rPh sb="42" eb="44">
      <t xml:space="preserve">カツドウ </t>
    </rPh>
    <rPh sb="45" eb="47">
      <t>ショウカイ</t>
    </rPh>
    <rPh sb="52" eb="54">
      <t>カツヨウシテ</t>
    </rPh>
    <rPh sb="80" eb="82">
      <t>キショウ</t>
    </rPh>
    <rPh sb="86" eb="88">
      <t>カツヨウ</t>
    </rPh>
    <rPh sb="106" eb="108">
      <t>カツヨウ</t>
    </rPh>
    <rPh sb="111" eb="113">
      <t>ゲンジョウ</t>
    </rPh>
    <rPh sb="114" eb="116">
      <t>カイセテゥ</t>
    </rPh>
    <phoneticPr fontId="1"/>
  </si>
  <si>
    <t>「AI のしくみや原理」「AI の限界や注意点」「AI の発展と人間の自由」に関する知識を学習し、今後の社会変化に適応できる基礎能力を身に付ける。また、グループワークを実践することにより社会での共同生活に適応できる基礎能力を身に付ける。また、PBLによる問題発見・課題解決の体験をし、卒業後のデジタル人材として活躍をする基礎を身に付ける。</t>
    <rPh sb="132" eb="136">
      <t>モンダイハッケン</t>
    </rPh>
    <phoneticPr fontId="1"/>
  </si>
  <si>
    <r>
      <t>「AIとデータサイエンス」科目は全学必修化し、卒業要件にしているので、在籍した学生に対する履修率は１００％になる予定である。
また選択科目も資格取得上では選択必修の科目である。
具体的には、幼稚園教諭</t>
    </r>
    <r>
      <rPr>
        <sz val="12"/>
        <color theme="1"/>
        <rFont val="ＭＳ Ｐゴシック"/>
        <family val="3"/>
        <charset val="128"/>
      </rPr>
      <t>一</t>
    </r>
    <r>
      <rPr>
        <sz val="12"/>
        <color theme="1"/>
        <rFont val="ＭＳ Ｐゴシック"/>
        <family val="3"/>
        <charset val="128"/>
        <scheme val="minor"/>
      </rPr>
      <t>種免許、保育士資格において、「情報機器の操作」分野で必修である。
「情報リテラシー」科目については、日商PC検定（日本商工会議所）の文書作成・データ活用3級を到達目標としており、社会で即戦力として働ける技術を習得させている。この科目については、出身高校で全商検定などのビジネス関連の資格をすでに取得している場合には、単位認定をする制度がある。このため、在学生のほぼ全員がこのプログラムを履修して卒業することが可能である。</t>
    </r>
    <rPh sb="13" eb="15">
      <t>カモク</t>
    </rPh>
    <rPh sb="23" eb="27">
      <t>ソツギョウ</t>
    </rPh>
    <rPh sb="35" eb="37">
      <t>ザイセキ</t>
    </rPh>
    <rPh sb="39" eb="41">
      <t>ガクセイ</t>
    </rPh>
    <rPh sb="42" eb="43">
      <t>タイ</t>
    </rPh>
    <rPh sb="45" eb="48">
      <t>リシュウ</t>
    </rPh>
    <rPh sb="56" eb="58">
      <t>ヨテイ</t>
    </rPh>
    <rPh sb="65" eb="69">
      <t>センタクカモクモ</t>
    </rPh>
    <rPh sb="70" eb="72">
      <t>シカク</t>
    </rPh>
    <rPh sb="72" eb="74">
      <t>シュトク</t>
    </rPh>
    <rPh sb="74" eb="75">
      <t>ジョウデハ</t>
    </rPh>
    <rPh sb="77" eb="81">
      <t>センタク</t>
    </rPh>
    <rPh sb="82" eb="84">
      <t>カモク</t>
    </rPh>
    <rPh sb="89" eb="92">
      <t>グタイ</t>
    </rPh>
    <rPh sb="95" eb="100">
      <t>ヨウチ</t>
    </rPh>
    <rPh sb="100" eb="101">
      <t>１</t>
    </rPh>
    <rPh sb="102" eb="104">
      <t>m</t>
    </rPh>
    <rPh sb="116" eb="120">
      <t>ジョウホウ</t>
    </rPh>
    <rPh sb="120" eb="121">
      <t>ジョウホウ</t>
    </rPh>
    <rPh sb="121" eb="123">
      <t>ソウサ</t>
    </rPh>
    <rPh sb="124" eb="126">
      <t>ブn</t>
    </rPh>
    <rPh sb="127" eb="129">
      <t>ヒッシュウ</t>
    </rPh>
    <rPh sb="135" eb="137">
      <t>ジョウホウ</t>
    </rPh>
    <rPh sb="143" eb="145">
      <t xml:space="preserve">カモク </t>
    </rPh>
    <rPh sb="151" eb="153">
      <t>ニッショウ</t>
    </rPh>
    <rPh sb="155" eb="157">
      <t>ケンテイ</t>
    </rPh>
    <rPh sb="158" eb="162">
      <t>ニホンショウコウ</t>
    </rPh>
    <rPh sb="162" eb="165">
      <t>カイギ</t>
    </rPh>
    <rPh sb="167" eb="171">
      <t>ブンショ</t>
    </rPh>
    <rPh sb="175" eb="177">
      <t>カツヨウ</t>
    </rPh>
    <rPh sb="180" eb="184">
      <t>トウタツモクヘ</t>
    </rPh>
    <rPh sb="190" eb="192">
      <t>シャカイ</t>
    </rPh>
    <rPh sb="199" eb="200">
      <t>ハタラケ</t>
    </rPh>
    <rPh sb="202" eb="204">
      <t>ギジュテゥ</t>
    </rPh>
    <rPh sb="215" eb="217">
      <t>カモク</t>
    </rPh>
    <phoneticPr fontId="1"/>
  </si>
  <si>
    <t>全学必修であるから、本学に入学した全学生の履修が可能である。
また過年度入学の上級生による他学年履修を可能にしており、必修化する前の年度に入学した学生も、時間割の空き状況を考えて履修している。これらの単位はすべて卒業要件単位としてカウントできて無駄が無い。</t>
    <rPh sb="0" eb="4">
      <t>ゼンガク</t>
    </rPh>
    <rPh sb="10" eb="12">
      <t>ホンガク</t>
    </rPh>
    <rPh sb="13" eb="15">
      <t>ニュウガク</t>
    </rPh>
    <rPh sb="17" eb="18">
      <t>ゼンガク</t>
    </rPh>
    <rPh sb="18" eb="20">
      <t>ガク</t>
    </rPh>
    <rPh sb="21" eb="23">
      <t>リシュウ</t>
    </rPh>
    <rPh sb="33" eb="36">
      <t>カネンド</t>
    </rPh>
    <rPh sb="36" eb="38">
      <t>ニュウガク</t>
    </rPh>
    <rPh sb="39" eb="42">
      <t>ジョウキュウセイ</t>
    </rPh>
    <rPh sb="45" eb="50">
      <t>タガク</t>
    </rPh>
    <rPh sb="51" eb="53">
      <t xml:space="preserve">カノウナノ </t>
    </rPh>
    <rPh sb="59" eb="62">
      <t>ヒッシュウ</t>
    </rPh>
    <rPh sb="66" eb="68">
      <t>ネn</t>
    </rPh>
    <rPh sb="69" eb="71">
      <t>ニュウガク</t>
    </rPh>
    <rPh sb="73" eb="75">
      <t>ガクセイ</t>
    </rPh>
    <rPh sb="77" eb="80">
      <t>ジカンワリ</t>
    </rPh>
    <rPh sb="86" eb="87">
      <t>カンガエ</t>
    </rPh>
    <rPh sb="106" eb="110">
      <t>ソツギョウ</t>
    </rPh>
    <rPh sb="110" eb="112">
      <t>タンイ</t>
    </rPh>
    <rPh sb="122" eb="124">
      <t>ムダ</t>
    </rPh>
    <rPh sb="125" eb="126">
      <t>ナ</t>
    </rPh>
    <phoneticPr fontId="1"/>
  </si>
  <si>
    <t>授業運営は、Google Classroomで管理している。
授業の資料配付や愛媛大学データサイエンスセンターの動画もClassroomから視聴可能である。
ここで学生の授業に関する感想を毎回の授業終了後に回答させているので、授業改善に繋げることができる。</t>
    <rPh sb="0" eb="2">
      <t>ジュギョウ</t>
    </rPh>
    <rPh sb="2" eb="4">
      <t>ウンエイ</t>
    </rPh>
    <rPh sb="23" eb="25">
      <t>カンリ</t>
    </rPh>
    <rPh sb="31" eb="33">
      <t>ジュギョウノシル</t>
    </rPh>
    <rPh sb="37" eb="38">
      <t>フ</t>
    </rPh>
    <rPh sb="39" eb="41">
      <t>エヒメ</t>
    </rPh>
    <rPh sb="41" eb="43">
      <t>ダイ</t>
    </rPh>
    <rPh sb="56" eb="58">
      <t>ドウガ</t>
    </rPh>
    <rPh sb="70" eb="74">
      <t>シチョウ</t>
    </rPh>
    <rPh sb="82" eb="84">
      <t>ガクセイ</t>
    </rPh>
    <rPh sb="85" eb="87">
      <t>ジュギョウ</t>
    </rPh>
    <rPh sb="91" eb="93">
      <t>カンソウヲ</t>
    </rPh>
    <rPh sb="94" eb="96">
      <t>マイカイ</t>
    </rPh>
    <rPh sb="97" eb="102">
      <t>ジュギョウシュウリョウゴ</t>
    </rPh>
    <rPh sb="103" eb="105">
      <t>カイトウ</t>
    </rPh>
    <rPh sb="113" eb="115">
      <t>ジュギョウ</t>
    </rPh>
    <rPh sb="115" eb="117">
      <t>カイゼn</t>
    </rPh>
    <rPh sb="118" eb="119">
      <t>ツナゲ</t>
    </rPh>
    <phoneticPr fontId="1"/>
  </si>
  <si>
    <t>数理・データサイエンス・AI教育プログラム専門委員会　自己点検・評価部会</t>
    <rPh sb="0" eb="2">
      <t>スウリ</t>
    </rPh>
    <rPh sb="14" eb="16">
      <t>キョウイク</t>
    </rPh>
    <rPh sb="21" eb="23">
      <t>センモン</t>
    </rPh>
    <rPh sb="23" eb="26">
      <t>イインカイ</t>
    </rPh>
    <rPh sb="27" eb="31">
      <t>ジコテンケン</t>
    </rPh>
    <rPh sb="32" eb="34">
      <t>ヒョウカ</t>
    </rPh>
    <rPh sb="34" eb="35">
      <t>ブ</t>
    </rPh>
    <rPh sb="35" eb="36">
      <t>カイ</t>
    </rPh>
    <phoneticPr fontId="1"/>
  </si>
  <si>
    <t>必修科目　『AIとデータサイエンス』（２単位）
　この科目では、文部科学省の認定制度に準拠した内容である『はじめてのAIリテラシー』（技術評論社、2021年）をテキストとして使用する。
選択科目　『情報リテラシー』『統計学Ⅰ』『統計学Ⅱ』（各２単位）より１科目
　　以上の合計２科目（４単位）以上で修了とする。</t>
    <rPh sb="0" eb="4">
      <t>ヒッシュ</t>
    </rPh>
    <rPh sb="20" eb="22">
      <t>タンイ</t>
    </rPh>
    <rPh sb="27" eb="29">
      <t>カモク</t>
    </rPh>
    <rPh sb="32" eb="37">
      <t>モンブカガクショウ</t>
    </rPh>
    <rPh sb="38" eb="42">
      <t>ニンテイセイド</t>
    </rPh>
    <rPh sb="43" eb="45">
      <t>ジュンキョ</t>
    </rPh>
    <rPh sb="47" eb="49">
      <t>ナイヨウ</t>
    </rPh>
    <rPh sb="67" eb="72">
      <t>ギジュツヒョウロンシャ</t>
    </rPh>
    <rPh sb="77" eb="78">
      <t>ネン</t>
    </rPh>
    <rPh sb="87" eb="89">
      <t>シヨウ</t>
    </rPh>
    <rPh sb="93" eb="97">
      <t>センタクカモク</t>
    </rPh>
    <rPh sb="108" eb="111">
      <t>トウケイ</t>
    </rPh>
    <rPh sb="120" eb="121">
      <t xml:space="preserve">カク </t>
    </rPh>
    <rPh sb="122" eb="124">
      <t>タンイ</t>
    </rPh>
    <rPh sb="134" eb="136">
      <t>イジョウ</t>
    </rPh>
    <rPh sb="137" eb="139">
      <t>ゴウケイ</t>
    </rPh>
    <rPh sb="150" eb="152">
      <t>シュウリョウ</t>
    </rPh>
    <phoneticPr fontId="1"/>
  </si>
  <si>
    <t xml:space="preserve">2022年度『数理・データサイエンス・AI 教育プログラム』専門委員会
 河原　理(松山東雲女子大学　准教授、教務部長)
 安田　孝(松山東雲女子大学　准教授、情報メディアセンター長)
 小西　敏雄(委員長、松山東雲女子大学　教授)
 木川　智美(松山東雲短期大学保育科　専任講師)
 中島　悦子(松山東雲短期大学食物栄養学科　専任講師)
 河村　泰之(松山東雲短期大学　非常勤講師、愛媛大学教育学部　准教授)
 藤本　正己(松山東雲短期大学　非常勤講師)
 越智　正昭(松山東雲女子大学・松山東雲短期大学　派遣講師、
　　　　　　　　愛媛デジタルデータ・ソリューション協会会長、
　　　　　　　　元㈱NTTデータ営業企画部長、元株式会社ハレックス　代表取締役社長 ） 
</t>
    <rPh sb="181" eb="189">
      <t>マツヤマシノノメタンキダイガク</t>
    </rPh>
    <phoneticPr fontId="1"/>
  </si>
  <si>
    <t>4-1統計および数理基礎</t>
  </si>
  <si>
    <t>4‐3データ構造とプログラミング基礎</t>
  </si>
  <si>
    <t>4‐4時系列データ解析</t>
  </si>
  <si>
    <t>4‐5テキスト解析</t>
  </si>
  <si>
    <t>情報リテラシー</t>
    <rPh sb="0" eb="2">
      <t>ジョウホウ</t>
    </rPh>
    <phoneticPr fontId="1"/>
  </si>
  <si>
    <t>『AIとデータサイエンス』第4回「データ・AIを何に使えるか」
4-3シェアリングエコノミー、エビデンスベース社会、ナッジ
以上に加えて、愛媛大学データサイエンスセンターの動画教材を活用して、最新の状況を解説した。
第14回で越智正昭先生から、社会環境の変化に関する最新の話を加えた。</t>
    <rPh sb="62" eb="64">
      <t>イジョウ</t>
    </rPh>
    <rPh sb="65" eb="66">
      <t>クワエ</t>
    </rPh>
    <rPh sb="69" eb="73">
      <t>エヒメ</t>
    </rPh>
    <rPh sb="86" eb="90">
      <t>ドウガ</t>
    </rPh>
    <rPh sb="91" eb="93">
      <t>カツヨウ</t>
    </rPh>
    <rPh sb="96" eb="98">
      <t>サイシn</t>
    </rPh>
    <rPh sb="99" eb="101">
      <t>ジョウキョウ</t>
    </rPh>
    <rPh sb="102" eb="104">
      <t>カイセテゥ</t>
    </rPh>
    <rPh sb="109" eb="110">
      <t>ダイ1</t>
    </rPh>
    <rPh sb="114" eb="116">
      <t xml:space="preserve">オチ </t>
    </rPh>
    <rPh sb="116" eb="118">
      <t>マサアキ</t>
    </rPh>
    <rPh sb="118" eb="120">
      <t>センセイ</t>
    </rPh>
    <rPh sb="123" eb="127">
      <t>シャカイ</t>
    </rPh>
    <rPh sb="131" eb="132">
      <t>カンスル</t>
    </rPh>
    <rPh sb="134" eb="136">
      <t>サイシn</t>
    </rPh>
    <rPh sb="137" eb="138">
      <t>ハナシ</t>
    </rPh>
    <rPh sb="139" eb="140">
      <t>クワエ</t>
    </rPh>
    <phoneticPr fontId="1"/>
  </si>
  <si>
    <t>『AIとデータサイエンス』第6回「データを読み、説明し、扱う」
6-5誤読しないデータの読み方、データの比較方法
『AIとデータサイエンス』第7回「データ・AIを扱うときに注意すること」
7-1データ活用の負の側面
『統計学Ⅱ』では、推測統計学を学び、統計的検定による群や群間の違いに関する説明ができるように学んでいる。</t>
    <rPh sb="117" eb="122">
      <t>スイソクトウケイガク</t>
    </rPh>
    <rPh sb="123" eb="124">
      <t>マナ</t>
    </rPh>
    <rPh sb="126" eb="131">
      <t>トウケイテキケンテイ</t>
    </rPh>
    <rPh sb="134" eb="135">
      <t>グン</t>
    </rPh>
    <rPh sb="136" eb="138">
      <t>グンカン</t>
    </rPh>
    <rPh sb="139" eb="140">
      <t>チガ</t>
    </rPh>
    <rPh sb="142" eb="143">
      <t>カン</t>
    </rPh>
    <rPh sb="145" eb="147">
      <t>セツメイ</t>
    </rPh>
    <phoneticPr fontId="1"/>
  </si>
  <si>
    <t>『AIとデータサイエンス』第6回「データを読み、説明し、扱う」
6-1データの種類を知る、6-2基本統計量でデータの特徴をつかむ、6-3もととなるデータを集める
6-4集めたデータを集計する
『統計学Ⅰ・Ⅱ』では、政府統計e-STATや気象データなどのビッグデータをｃｓｖ形式でダウンロードし、ＥｘｃｅｌやＲを使って、回帰分析や分散分析の基礎を学習している。</t>
    <rPh sb="107" eb="111">
      <t>セイフトウケイ</t>
    </rPh>
    <rPh sb="118" eb="120">
      <t>キショウ</t>
    </rPh>
    <rPh sb="136" eb="138">
      <t>ケイシキ</t>
    </rPh>
    <rPh sb="155" eb="156">
      <t>ツカ</t>
    </rPh>
    <rPh sb="159" eb="163">
      <t>カイキブンセキ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</si>
</sst>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34" xfId="0" applyFont="1" applyFill="1" applyBorder="1" applyAlignment="1">
      <alignment vertical="center"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34" xfId="0" applyFont="1" applyFill="1" applyBorder="1" applyAlignment="1">
      <alignment horizontal="center" vertical="center" shrinkToFit="1"/>
    </xf>
    <xf numFmtId="0" fontId="2" fillId="0" borderId="36"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0" fontId="2" fillId="0" borderId="19" xfId="0" applyFont="1" applyFill="1" applyBorder="1" applyAlignment="1">
      <alignment vertical="center"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19"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18" xfId="0" applyFont="1" applyFill="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8" t="s">
        <v>12</v>
      </c>
      <c r="S1" s="128"/>
      <c r="T1" s="2" t="s">
        <v>110</v>
      </c>
    </row>
    <row r="2" spans="1:22" ht="18.75" customHeight="1" x14ac:dyDescent="0.15">
      <c r="B2" s="33" t="s">
        <v>109</v>
      </c>
      <c r="C2" s="88" t="s">
        <v>129</v>
      </c>
      <c r="D2" s="89"/>
      <c r="E2" s="89"/>
      <c r="F2" s="89"/>
      <c r="G2" s="89"/>
      <c r="H2" s="89"/>
      <c r="I2" s="90"/>
      <c r="J2" s="34"/>
      <c r="K2" s="6"/>
      <c r="L2" s="6"/>
      <c r="M2" s="6"/>
      <c r="N2" s="6"/>
      <c r="O2" s="6"/>
      <c r="P2" s="6"/>
      <c r="Q2" s="6"/>
      <c r="R2" s="6"/>
      <c r="S2" s="6"/>
    </row>
    <row r="3" spans="1:22" ht="18.75" customHeight="1" x14ac:dyDescent="0.15">
      <c r="B3" s="33" t="s">
        <v>103</v>
      </c>
      <c r="C3" s="88" t="s">
        <v>130</v>
      </c>
      <c r="D3" s="89"/>
      <c r="E3" s="89"/>
      <c r="F3" s="89"/>
      <c r="G3" s="89"/>
      <c r="H3" s="89"/>
      <c r="I3" s="9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32" t="s">
        <v>39</v>
      </c>
      <c r="B5" s="132"/>
      <c r="C5" s="132"/>
      <c r="D5" s="132"/>
      <c r="E5" s="132"/>
      <c r="F5" s="132"/>
      <c r="G5" s="132"/>
      <c r="H5" s="132"/>
      <c r="I5" s="132"/>
      <c r="J5" s="132"/>
      <c r="K5" s="132"/>
      <c r="L5" s="132"/>
      <c r="M5" s="132"/>
      <c r="N5" s="132"/>
      <c r="O5" s="132"/>
      <c r="P5" s="132"/>
      <c r="Q5" s="132"/>
      <c r="R5" s="132"/>
      <c r="S5" s="13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42" t="s">
        <v>127</v>
      </c>
      <c r="L7" s="143"/>
      <c r="M7" s="143"/>
      <c r="N7" s="143"/>
      <c r="O7" s="143"/>
      <c r="P7" s="143"/>
      <c r="Q7" s="143"/>
      <c r="R7" s="143"/>
      <c r="S7" s="14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5"/>
      <c r="C9" s="146"/>
      <c r="D9" s="146"/>
      <c r="E9" s="146"/>
      <c r="F9" s="146"/>
      <c r="G9" s="146"/>
      <c r="H9" s="146"/>
      <c r="I9" s="146"/>
      <c r="J9" s="146"/>
      <c r="K9" s="146"/>
      <c r="L9" s="146"/>
      <c r="M9" s="146"/>
      <c r="N9" s="146"/>
      <c r="O9" s="146"/>
      <c r="P9" s="146"/>
      <c r="Q9" s="146"/>
      <c r="R9" s="146"/>
      <c r="S9" s="147"/>
    </row>
    <row r="10" spans="1:22" ht="18" customHeight="1" x14ac:dyDescent="0.15">
      <c r="B10" s="148"/>
      <c r="C10" s="149"/>
      <c r="D10" s="149"/>
      <c r="E10" s="149"/>
      <c r="F10" s="149"/>
      <c r="G10" s="149"/>
      <c r="H10" s="149"/>
      <c r="I10" s="149"/>
      <c r="J10" s="149"/>
      <c r="K10" s="149"/>
      <c r="L10" s="149"/>
      <c r="M10" s="149"/>
      <c r="N10" s="149"/>
      <c r="O10" s="149"/>
      <c r="P10" s="149"/>
      <c r="Q10" s="149"/>
      <c r="R10" s="149"/>
      <c r="S10" s="150"/>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33" t="s">
        <v>169</v>
      </c>
      <c r="C13" s="134"/>
      <c r="D13" s="134"/>
      <c r="E13" s="134"/>
      <c r="F13" s="134"/>
      <c r="G13" s="134"/>
      <c r="H13" s="134"/>
      <c r="I13" s="134"/>
      <c r="J13" s="134"/>
      <c r="K13" s="134"/>
      <c r="L13" s="134"/>
      <c r="M13" s="134"/>
      <c r="N13" s="134"/>
      <c r="O13" s="134"/>
      <c r="P13" s="134"/>
      <c r="Q13" s="134"/>
      <c r="R13" s="134"/>
      <c r="S13" s="135"/>
      <c r="V13" s="1" t="s">
        <v>104</v>
      </c>
    </row>
    <row r="14" spans="1:22" ht="18" customHeight="1" x14ac:dyDescent="0.15">
      <c r="B14" s="136"/>
      <c r="C14" s="137"/>
      <c r="D14" s="137"/>
      <c r="E14" s="137"/>
      <c r="F14" s="137"/>
      <c r="G14" s="137"/>
      <c r="H14" s="137"/>
      <c r="I14" s="137"/>
      <c r="J14" s="137"/>
      <c r="K14" s="137"/>
      <c r="L14" s="137"/>
      <c r="M14" s="137"/>
      <c r="N14" s="137"/>
      <c r="O14" s="137"/>
      <c r="P14" s="137"/>
      <c r="Q14" s="137"/>
      <c r="R14" s="137"/>
      <c r="S14" s="138"/>
      <c r="V14" s="1" t="s">
        <v>111</v>
      </c>
    </row>
    <row r="15" spans="1:22" ht="18" customHeight="1" x14ac:dyDescent="0.15">
      <c r="B15" s="136"/>
      <c r="C15" s="137"/>
      <c r="D15" s="137"/>
      <c r="E15" s="137"/>
      <c r="F15" s="137"/>
      <c r="G15" s="137"/>
      <c r="H15" s="137"/>
      <c r="I15" s="137"/>
      <c r="J15" s="137"/>
      <c r="K15" s="137"/>
      <c r="L15" s="137"/>
      <c r="M15" s="137"/>
      <c r="N15" s="137"/>
      <c r="O15" s="137"/>
      <c r="P15" s="137"/>
      <c r="Q15" s="137"/>
      <c r="R15" s="137"/>
      <c r="S15" s="138"/>
      <c r="V15" s="1" t="s">
        <v>124</v>
      </c>
    </row>
    <row r="16" spans="1:22" ht="18" customHeight="1" x14ac:dyDescent="0.15">
      <c r="B16" s="136"/>
      <c r="C16" s="137"/>
      <c r="D16" s="137"/>
      <c r="E16" s="137"/>
      <c r="F16" s="137"/>
      <c r="G16" s="137"/>
      <c r="H16" s="137"/>
      <c r="I16" s="137"/>
      <c r="J16" s="137"/>
      <c r="K16" s="137"/>
      <c r="L16" s="137"/>
      <c r="M16" s="137"/>
      <c r="N16" s="137"/>
      <c r="O16" s="137"/>
      <c r="P16" s="137"/>
      <c r="Q16" s="137"/>
      <c r="R16" s="137"/>
      <c r="S16" s="138"/>
      <c r="V16" s="1" t="s">
        <v>126</v>
      </c>
    </row>
    <row r="17" spans="1:19" ht="18" customHeight="1" x14ac:dyDescent="0.15">
      <c r="B17" s="136"/>
      <c r="C17" s="137"/>
      <c r="D17" s="137"/>
      <c r="E17" s="137"/>
      <c r="F17" s="137"/>
      <c r="G17" s="137"/>
      <c r="H17" s="137"/>
      <c r="I17" s="137"/>
      <c r="J17" s="137"/>
      <c r="K17" s="137"/>
      <c r="L17" s="137"/>
      <c r="M17" s="137"/>
      <c r="N17" s="137"/>
      <c r="O17" s="137"/>
      <c r="P17" s="137"/>
      <c r="Q17" s="137"/>
      <c r="R17" s="137"/>
      <c r="S17" s="138"/>
    </row>
    <row r="18" spans="1:19" ht="18" customHeight="1" x14ac:dyDescent="0.15">
      <c r="B18" s="139"/>
      <c r="C18" s="140"/>
      <c r="D18" s="140"/>
      <c r="E18" s="140"/>
      <c r="F18" s="140"/>
      <c r="G18" s="140"/>
      <c r="H18" s="140"/>
      <c r="I18" s="140"/>
      <c r="J18" s="140"/>
      <c r="K18" s="140"/>
      <c r="L18" s="140"/>
      <c r="M18" s="140"/>
      <c r="N18" s="140"/>
      <c r="O18" s="140"/>
      <c r="P18" s="140"/>
      <c r="Q18" s="140"/>
      <c r="R18" s="140"/>
      <c r="S18" s="141"/>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88">
        <v>4</v>
      </c>
      <c r="D20" s="90"/>
      <c r="E20" s="39" t="s">
        <v>96</v>
      </c>
      <c r="G20" s="10"/>
      <c r="H20" s="3"/>
      <c r="I20" s="3"/>
      <c r="J20" s="34" t="s">
        <v>122</v>
      </c>
      <c r="K20" s="129" t="s">
        <v>111</v>
      </c>
      <c r="L20" s="130"/>
      <c r="M20" s="130"/>
      <c r="N20" s="130"/>
      <c r="O20" s="130"/>
      <c r="P20" s="130"/>
      <c r="Q20" s="130"/>
      <c r="R20" s="130"/>
      <c r="S20" s="13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60" t="s">
        <v>81</v>
      </c>
      <c r="G24" s="59" t="s">
        <v>85</v>
      </c>
      <c r="H24" s="21" t="s">
        <v>57</v>
      </c>
      <c r="I24" s="21" t="s">
        <v>60</v>
      </c>
      <c r="J24" s="88" t="s">
        <v>54</v>
      </c>
      <c r="K24" s="89"/>
      <c r="L24" s="89"/>
      <c r="M24" s="89"/>
      <c r="N24" s="89"/>
      <c r="O24" s="90"/>
      <c r="P24" s="60" t="s">
        <v>81</v>
      </c>
      <c r="Q24" s="59" t="s">
        <v>85</v>
      </c>
      <c r="R24" s="21" t="s">
        <v>57</v>
      </c>
      <c r="S24" s="21" t="s">
        <v>60</v>
      </c>
    </row>
    <row r="25" spans="1:19" ht="18" customHeight="1" x14ac:dyDescent="0.15">
      <c r="B25" s="82" t="s">
        <v>128</v>
      </c>
      <c r="C25" s="83"/>
      <c r="D25" s="83"/>
      <c r="E25" s="84"/>
      <c r="F25" s="22">
        <v>2</v>
      </c>
      <c r="G25" s="22" t="s">
        <v>133</v>
      </c>
      <c r="H25" s="22" t="s">
        <v>133</v>
      </c>
      <c r="I25" s="22" t="s">
        <v>133</v>
      </c>
      <c r="J25" s="82"/>
      <c r="K25" s="83"/>
      <c r="L25" s="83"/>
      <c r="M25" s="83"/>
      <c r="N25" s="83"/>
      <c r="O25" s="84"/>
      <c r="P25" s="22"/>
      <c r="Q25" s="22"/>
      <c r="R25" s="22"/>
      <c r="S25" s="22"/>
    </row>
    <row r="26" spans="1:19" ht="18" customHeight="1" x14ac:dyDescent="0.15">
      <c r="B26" s="85"/>
      <c r="C26" s="86"/>
      <c r="D26" s="86"/>
      <c r="E26" s="87"/>
      <c r="F26" s="23"/>
      <c r="G26" s="23"/>
      <c r="H26" s="23"/>
      <c r="I26" s="23"/>
      <c r="J26" s="85"/>
      <c r="K26" s="86"/>
      <c r="L26" s="86"/>
      <c r="M26" s="86"/>
      <c r="N26" s="86"/>
      <c r="O26" s="87"/>
      <c r="P26" s="23"/>
      <c r="Q26" s="23"/>
      <c r="R26" s="23"/>
      <c r="S26" s="23"/>
    </row>
    <row r="27" spans="1:19" ht="18" customHeight="1" x14ac:dyDescent="0.15">
      <c r="B27" s="85"/>
      <c r="C27" s="86"/>
      <c r="D27" s="86"/>
      <c r="E27" s="87"/>
      <c r="F27" s="23"/>
      <c r="G27" s="23"/>
      <c r="H27" s="23"/>
      <c r="I27" s="23"/>
      <c r="J27" s="85"/>
      <c r="K27" s="86"/>
      <c r="L27" s="86"/>
      <c r="M27" s="86"/>
      <c r="N27" s="86"/>
      <c r="O27" s="87"/>
      <c r="P27" s="23"/>
      <c r="Q27" s="23"/>
      <c r="R27" s="23"/>
      <c r="S27" s="23"/>
    </row>
    <row r="28" spans="1:19" ht="18" customHeight="1" x14ac:dyDescent="0.15">
      <c r="B28" s="85"/>
      <c r="C28" s="86"/>
      <c r="D28" s="86"/>
      <c r="E28" s="87"/>
      <c r="F28" s="23"/>
      <c r="G28" s="23"/>
      <c r="H28" s="23"/>
      <c r="I28" s="23"/>
      <c r="J28" s="85"/>
      <c r="K28" s="86"/>
      <c r="L28" s="86"/>
      <c r="M28" s="86"/>
      <c r="N28" s="86"/>
      <c r="O28" s="87"/>
      <c r="P28" s="23"/>
      <c r="Q28" s="23"/>
      <c r="R28" s="23"/>
      <c r="S28" s="23"/>
    </row>
    <row r="29" spans="1:19" ht="18" customHeight="1" x14ac:dyDescent="0.15">
      <c r="B29" s="85"/>
      <c r="C29" s="86"/>
      <c r="D29" s="86"/>
      <c r="E29" s="87"/>
      <c r="F29" s="23"/>
      <c r="G29" s="23"/>
      <c r="H29" s="23"/>
      <c r="I29" s="23"/>
      <c r="J29" s="85"/>
      <c r="K29" s="86"/>
      <c r="L29" s="86"/>
      <c r="M29" s="86"/>
      <c r="N29" s="86"/>
      <c r="O29" s="87"/>
      <c r="P29" s="23"/>
      <c r="Q29" s="23"/>
      <c r="R29" s="23"/>
      <c r="S29" s="23"/>
    </row>
    <row r="30" spans="1:19" ht="18" customHeight="1" x14ac:dyDescent="0.15">
      <c r="A30" s="3"/>
      <c r="B30" s="85"/>
      <c r="C30" s="86"/>
      <c r="D30" s="86"/>
      <c r="E30" s="87"/>
      <c r="F30" s="23"/>
      <c r="G30" s="23"/>
      <c r="H30" s="23"/>
      <c r="I30" s="23"/>
      <c r="J30" s="85"/>
      <c r="K30" s="86"/>
      <c r="L30" s="86"/>
      <c r="M30" s="86"/>
      <c r="N30" s="86"/>
      <c r="O30" s="87"/>
      <c r="P30" s="23"/>
      <c r="Q30" s="23"/>
      <c r="R30" s="23"/>
      <c r="S30" s="23"/>
    </row>
    <row r="31" spans="1:19" ht="18" customHeight="1" x14ac:dyDescent="0.15">
      <c r="A31" s="3"/>
      <c r="B31" s="91"/>
      <c r="C31" s="92"/>
      <c r="D31" s="92"/>
      <c r="E31" s="93"/>
      <c r="F31" s="24"/>
      <c r="G31" s="24"/>
      <c r="H31" s="25"/>
      <c r="I31" s="25"/>
      <c r="J31" s="91"/>
      <c r="K31" s="92"/>
      <c r="L31" s="92"/>
      <c r="M31" s="92"/>
      <c r="N31" s="92"/>
      <c r="O31" s="9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60" t="s">
        <v>81</v>
      </c>
      <c r="G35" s="59" t="s">
        <v>85</v>
      </c>
      <c r="H35" s="21" t="s">
        <v>72</v>
      </c>
      <c r="I35" s="21" t="s">
        <v>73</v>
      </c>
      <c r="J35" s="88" t="s">
        <v>54</v>
      </c>
      <c r="K35" s="89"/>
      <c r="L35" s="89"/>
      <c r="M35" s="89"/>
      <c r="N35" s="89"/>
      <c r="O35" s="90"/>
      <c r="P35" s="60" t="s">
        <v>81</v>
      </c>
      <c r="Q35" s="59" t="s">
        <v>85</v>
      </c>
      <c r="R35" s="21" t="s">
        <v>72</v>
      </c>
      <c r="S35" s="21" t="s">
        <v>73</v>
      </c>
    </row>
    <row r="36" spans="1:19" ht="18" customHeight="1" x14ac:dyDescent="0.15">
      <c r="B36" s="82" t="s">
        <v>128</v>
      </c>
      <c r="C36" s="83"/>
      <c r="D36" s="83"/>
      <c r="E36" s="84"/>
      <c r="F36" s="22">
        <v>2</v>
      </c>
      <c r="G36" s="22" t="s">
        <v>133</v>
      </c>
      <c r="H36" s="22" t="s">
        <v>133</v>
      </c>
      <c r="I36" s="22" t="s">
        <v>133</v>
      </c>
      <c r="J36" s="82"/>
      <c r="K36" s="83"/>
      <c r="L36" s="83"/>
      <c r="M36" s="83"/>
      <c r="N36" s="83"/>
      <c r="O36" s="84"/>
      <c r="P36" s="22"/>
      <c r="Q36" s="22"/>
      <c r="R36" s="22"/>
      <c r="S36" s="22"/>
    </row>
    <row r="37" spans="1:19" ht="18" customHeight="1" x14ac:dyDescent="0.15">
      <c r="B37" s="85"/>
      <c r="C37" s="86"/>
      <c r="D37" s="86"/>
      <c r="E37" s="87"/>
      <c r="F37" s="23"/>
      <c r="G37" s="23"/>
      <c r="H37" s="23"/>
      <c r="I37" s="23"/>
      <c r="J37" s="85"/>
      <c r="K37" s="86"/>
      <c r="L37" s="86"/>
      <c r="M37" s="86"/>
      <c r="N37" s="86"/>
      <c r="O37" s="87"/>
      <c r="P37" s="23"/>
      <c r="Q37" s="23"/>
      <c r="R37" s="23"/>
      <c r="S37" s="23"/>
    </row>
    <row r="38" spans="1:19" ht="18" customHeight="1" x14ac:dyDescent="0.15">
      <c r="B38" s="85"/>
      <c r="C38" s="86"/>
      <c r="D38" s="86"/>
      <c r="E38" s="87"/>
      <c r="F38" s="23"/>
      <c r="G38" s="23"/>
      <c r="H38" s="23"/>
      <c r="I38" s="23"/>
      <c r="J38" s="85"/>
      <c r="K38" s="86"/>
      <c r="L38" s="86"/>
      <c r="M38" s="86"/>
      <c r="N38" s="86"/>
      <c r="O38" s="87"/>
      <c r="P38" s="23"/>
      <c r="Q38" s="23"/>
      <c r="R38" s="23"/>
      <c r="S38" s="23"/>
    </row>
    <row r="39" spans="1:19" ht="18" customHeight="1" x14ac:dyDescent="0.15">
      <c r="B39" s="85"/>
      <c r="C39" s="86"/>
      <c r="D39" s="86"/>
      <c r="E39" s="87"/>
      <c r="F39" s="23"/>
      <c r="G39" s="23"/>
      <c r="H39" s="23"/>
      <c r="I39" s="23"/>
      <c r="J39" s="85"/>
      <c r="K39" s="86"/>
      <c r="L39" s="86"/>
      <c r="M39" s="86"/>
      <c r="N39" s="86"/>
      <c r="O39" s="87"/>
      <c r="P39" s="23"/>
      <c r="Q39" s="23"/>
      <c r="R39" s="23"/>
      <c r="S39" s="23"/>
    </row>
    <row r="40" spans="1:19" ht="18" customHeight="1" x14ac:dyDescent="0.15">
      <c r="B40" s="85"/>
      <c r="C40" s="86"/>
      <c r="D40" s="86"/>
      <c r="E40" s="87"/>
      <c r="F40" s="23"/>
      <c r="G40" s="23"/>
      <c r="H40" s="23"/>
      <c r="I40" s="23"/>
      <c r="J40" s="85"/>
      <c r="K40" s="86"/>
      <c r="L40" s="86"/>
      <c r="M40" s="86"/>
      <c r="N40" s="86"/>
      <c r="O40" s="87"/>
      <c r="P40" s="23"/>
      <c r="Q40" s="23"/>
      <c r="R40" s="23"/>
      <c r="S40" s="23"/>
    </row>
    <row r="41" spans="1:19" ht="18" customHeight="1" x14ac:dyDescent="0.15">
      <c r="B41" s="85"/>
      <c r="C41" s="86"/>
      <c r="D41" s="86"/>
      <c r="E41" s="87"/>
      <c r="F41" s="23"/>
      <c r="G41" s="23"/>
      <c r="H41" s="23"/>
      <c r="I41" s="23"/>
      <c r="J41" s="85"/>
      <c r="K41" s="86"/>
      <c r="L41" s="86"/>
      <c r="M41" s="86"/>
      <c r="N41" s="86"/>
      <c r="O41" s="87"/>
      <c r="P41" s="23"/>
      <c r="Q41" s="23"/>
      <c r="R41" s="23"/>
      <c r="S41" s="23"/>
    </row>
    <row r="42" spans="1:19" ht="18" customHeight="1" x14ac:dyDescent="0.15">
      <c r="B42" s="91"/>
      <c r="C42" s="92"/>
      <c r="D42" s="92"/>
      <c r="E42" s="93"/>
      <c r="F42" s="24"/>
      <c r="G42" s="24"/>
      <c r="H42" s="25"/>
      <c r="I42" s="25"/>
      <c r="J42" s="91"/>
      <c r="K42" s="92"/>
      <c r="L42" s="92"/>
      <c r="M42" s="92"/>
      <c r="N42" s="92"/>
      <c r="O42" s="9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60" t="s">
        <v>81</v>
      </c>
      <c r="G46" s="59" t="s">
        <v>85</v>
      </c>
      <c r="H46" s="21" t="s">
        <v>74</v>
      </c>
      <c r="I46" s="21" t="s">
        <v>75</v>
      </c>
      <c r="J46" s="88" t="s">
        <v>54</v>
      </c>
      <c r="K46" s="89"/>
      <c r="L46" s="89"/>
      <c r="M46" s="89"/>
      <c r="N46" s="89"/>
      <c r="O46" s="90"/>
      <c r="P46" s="60" t="s">
        <v>81</v>
      </c>
      <c r="Q46" s="59" t="s">
        <v>85</v>
      </c>
      <c r="R46" s="21" t="s">
        <v>74</v>
      </c>
      <c r="S46" s="21" t="s">
        <v>75</v>
      </c>
    </row>
    <row r="47" spans="1:19" ht="18" customHeight="1" x14ac:dyDescent="0.15">
      <c r="A47" s="3"/>
      <c r="B47" s="82" t="s">
        <v>128</v>
      </c>
      <c r="C47" s="83"/>
      <c r="D47" s="83"/>
      <c r="E47" s="84"/>
      <c r="F47" s="22">
        <v>2</v>
      </c>
      <c r="G47" s="22" t="s">
        <v>133</v>
      </c>
      <c r="H47" s="22" t="s">
        <v>133</v>
      </c>
      <c r="I47" s="22" t="s">
        <v>133</v>
      </c>
      <c r="J47" s="82"/>
      <c r="K47" s="83"/>
      <c r="L47" s="83"/>
      <c r="M47" s="83"/>
      <c r="N47" s="83"/>
      <c r="O47" s="84"/>
      <c r="P47" s="22"/>
      <c r="Q47" s="22"/>
      <c r="R47" s="22"/>
      <c r="S47" s="22"/>
    </row>
    <row r="48" spans="1:19" ht="18" customHeight="1" x14ac:dyDescent="0.15">
      <c r="A48" s="3"/>
      <c r="B48" s="85"/>
      <c r="C48" s="86"/>
      <c r="D48" s="86"/>
      <c r="E48" s="87"/>
      <c r="F48" s="23"/>
      <c r="G48" s="23"/>
      <c r="H48" s="23"/>
      <c r="I48" s="23"/>
      <c r="J48" s="85"/>
      <c r="K48" s="86"/>
      <c r="L48" s="86"/>
      <c r="M48" s="86"/>
      <c r="N48" s="86"/>
      <c r="O48" s="87"/>
      <c r="P48" s="23"/>
      <c r="Q48" s="23"/>
      <c r="R48" s="23"/>
      <c r="S48" s="23"/>
    </row>
    <row r="49" spans="1:19" ht="18" customHeight="1" x14ac:dyDescent="0.15">
      <c r="A49" s="3"/>
      <c r="B49" s="85"/>
      <c r="C49" s="86"/>
      <c r="D49" s="86"/>
      <c r="E49" s="87"/>
      <c r="F49" s="23"/>
      <c r="G49" s="23"/>
      <c r="H49" s="23"/>
      <c r="I49" s="23"/>
      <c r="J49" s="85"/>
      <c r="K49" s="86"/>
      <c r="L49" s="86"/>
      <c r="M49" s="86"/>
      <c r="N49" s="86"/>
      <c r="O49" s="87"/>
      <c r="P49" s="23"/>
      <c r="Q49" s="23"/>
      <c r="R49" s="23"/>
      <c r="S49" s="23"/>
    </row>
    <row r="50" spans="1:19" ht="18" customHeight="1" x14ac:dyDescent="0.15">
      <c r="A50" s="3"/>
      <c r="B50" s="85"/>
      <c r="C50" s="86"/>
      <c r="D50" s="86"/>
      <c r="E50" s="87"/>
      <c r="F50" s="23"/>
      <c r="G50" s="23"/>
      <c r="H50" s="23"/>
      <c r="I50" s="23"/>
      <c r="J50" s="85"/>
      <c r="K50" s="86"/>
      <c r="L50" s="86"/>
      <c r="M50" s="86"/>
      <c r="N50" s="86"/>
      <c r="O50" s="87"/>
      <c r="P50" s="23"/>
      <c r="Q50" s="23"/>
      <c r="R50" s="23"/>
      <c r="S50" s="23"/>
    </row>
    <row r="51" spans="1:19" ht="18" customHeight="1" x14ac:dyDescent="0.15">
      <c r="A51" s="3"/>
      <c r="B51" s="85"/>
      <c r="C51" s="86"/>
      <c r="D51" s="86"/>
      <c r="E51" s="87"/>
      <c r="F51" s="23"/>
      <c r="G51" s="23"/>
      <c r="H51" s="23"/>
      <c r="I51" s="23"/>
      <c r="J51" s="85"/>
      <c r="K51" s="86"/>
      <c r="L51" s="86"/>
      <c r="M51" s="86"/>
      <c r="N51" s="86"/>
      <c r="O51" s="87"/>
      <c r="P51" s="23"/>
      <c r="Q51" s="23"/>
      <c r="R51" s="23"/>
      <c r="S51" s="23"/>
    </row>
    <row r="52" spans="1:19" ht="18" customHeight="1" x14ac:dyDescent="0.15">
      <c r="A52" s="3"/>
      <c r="B52" s="85"/>
      <c r="C52" s="86"/>
      <c r="D52" s="86"/>
      <c r="E52" s="87"/>
      <c r="F52" s="23"/>
      <c r="G52" s="23"/>
      <c r="H52" s="23"/>
      <c r="I52" s="23"/>
      <c r="J52" s="85"/>
      <c r="K52" s="86"/>
      <c r="L52" s="86"/>
      <c r="M52" s="86"/>
      <c r="N52" s="86"/>
      <c r="O52" s="87"/>
      <c r="P52" s="23"/>
      <c r="Q52" s="23"/>
      <c r="R52" s="23"/>
      <c r="S52" s="23"/>
    </row>
    <row r="53" spans="1:19" ht="18" customHeight="1" x14ac:dyDescent="0.15">
      <c r="A53" s="3"/>
      <c r="B53" s="91"/>
      <c r="C53" s="92"/>
      <c r="D53" s="92"/>
      <c r="E53" s="93"/>
      <c r="F53" s="24"/>
      <c r="G53" s="24"/>
      <c r="H53" s="25"/>
      <c r="I53" s="25"/>
      <c r="J53" s="91"/>
      <c r="K53" s="92"/>
      <c r="L53" s="92"/>
      <c r="M53" s="92"/>
      <c r="N53" s="92"/>
      <c r="O53" s="93"/>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60" t="s">
        <v>81</v>
      </c>
      <c r="G57" s="59" t="s">
        <v>85</v>
      </c>
      <c r="H57" s="21" t="s">
        <v>59</v>
      </c>
      <c r="I57" s="21" t="s">
        <v>61</v>
      </c>
      <c r="J57" s="88" t="s">
        <v>54</v>
      </c>
      <c r="K57" s="89"/>
      <c r="L57" s="89"/>
      <c r="M57" s="89"/>
      <c r="N57" s="89"/>
      <c r="O57" s="90"/>
      <c r="P57" s="60" t="s">
        <v>81</v>
      </c>
      <c r="Q57" s="59" t="s">
        <v>85</v>
      </c>
      <c r="R57" s="21" t="s">
        <v>59</v>
      </c>
      <c r="S57" s="21" t="s">
        <v>61</v>
      </c>
    </row>
    <row r="58" spans="1:19" ht="18" customHeight="1" x14ac:dyDescent="0.15">
      <c r="A58" s="3"/>
      <c r="B58" s="82" t="s">
        <v>128</v>
      </c>
      <c r="C58" s="83"/>
      <c r="D58" s="83"/>
      <c r="E58" s="84"/>
      <c r="F58" s="22">
        <v>2</v>
      </c>
      <c r="G58" s="22" t="s">
        <v>133</v>
      </c>
      <c r="H58" s="22" t="s">
        <v>133</v>
      </c>
      <c r="I58" s="22" t="s">
        <v>133</v>
      </c>
      <c r="J58" s="82"/>
      <c r="K58" s="83"/>
      <c r="L58" s="83"/>
      <c r="M58" s="83"/>
      <c r="N58" s="83"/>
      <c r="O58" s="84"/>
      <c r="P58" s="22"/>
      <c r="Q58" s="22"/>
      <c r="R58" s="22"/>
      <c r="S58" s="22"/>
    </row>
    <row r="59" spans="1:19" ht="18" customHeight="1" x14ac:dyDescent="0.15">
      <c r="A59" s="3"/>
      <c r="B59" s="85"/>
      <c r="C59" s="86"/>
      <c r="D59" s="86"/>
      <c r="E59" s="87"/>
      <c r="F59" s="23"/>
      <c r="G59" s="23"/>
      <c r="H59" s="23"/>
      <c r="I59" s="23"/>
      <c r="J59" s="85"/>
      <c r="K59" s="86"/>
      <c r="L59" s="86"/>
      <c r="M59" s="86"/>
      <c r="N59" s="86"/>
      <c r="O59" s="87"/>
      <c r="P59" s="23"/>
      <c r="Q59" s="23"/>
      <c r="R59" s="23"/>
      <c r="S59" s="23"/>
    </row>
    <row r="60" spans="1:19" ht="18" customHeight="1" x14ac:dyDescent="0.15">
      <c r="A60" s="3"/>
      <c r="B60" s="85"/>
      <c r="C60" s="86"/>
      <c r="D60" s="86"/>
      <c r="E60" s="87"/>
      <c r="F60" s="23"/>
      <c r="G60" s="23"/>
      <c r="H60" s="23"/>
      <c r="I60" s="23"/>
      <c r="J60" s="85"/>
      <c r="K60" s="86"/>
      <c r="L60" s="86"/>
      <c r="M60" s="86"/>
      <c r="N60" s="86"/>
      <c r="O60" s="87"/>
      <c r="P60" s="23"/>
      <c r="Q60" s="23"/>
      <c r="R60" s="23"/>
      <c r="S60" s="23"/>
    </row>
    <row r="61" spans="1:19" ht="18" customHeight="1" x14ac:dyDescent="0.15">
      <c r="A61" s="3"/>
      <c r="B61" s="85"/>
      <c r="C61" s="86"/>
      <c r="D61" s="86"/>
      <c r="E61" s="87"/>
      <c r="F61" s="23"/>
      <c r="G61" s="23"/>
      <c r="H61" s="23"/>
      <c r="I61" s="23"/>
      <c r="J61" s="85"/>
      <c r="K61" s="86"/>
      <c r="L61" s="86"/>
      <c r="M61" s="86"/>
      <c r="N61" s="86"/>
      <c r="O61" s="87"/>
      <c r="P61" s="23"/>
      <c r="Q61" s="23"/>
      <c r="R61" s="23"/>
      <c r="S61" s="23"/>
    </row>
    <row r="62" spans="1:19" ht="18" customHeight="1" x14ac:dyDescent="0.15">
      <c r="A62" s="3"/>
      <c r="B62" s="85"/>
      <c r="C62" s="86"/>
      <c r="D62" s="86"/>
      <c r="E62" s="87"/>
      <c r="F62" s="23"/>
      <c r="G62" s="23"/>
      <c r="H62" s="23"/>
      <c r="I62" s="23"/>
      <c r="J62" s="85"/>
      <c r="K62" s="86"/>
      <c r="L62" s="86"/>
      <c r="M62" s="86"/>
      <c r="N62" s="86"/>
      <c r="O62" s="87"/>
      <c r="P62" s="23"/>
      <c r="Q62" s="23"/>
      <c r="R62" s="23"/>
      <c r="S62" s="23"/>
    </row>
    <row r="63" spans="1:19" ht="18" customHeight="1" x14ac:dyDescent="0.15">
      <c r="A63" s="3"/>
      <c r="B63" s="85"/>
      <c r="C63" s="86"/>
      <c r="D63" s="86"/>
      <c r="E63" s="87"/>
      <c r="F63" s="23"/>
      <c r="G63" s="23"/>
      <c r="H63" s="23"/>
      <c r="I63" s="23"/>
      <c r="J63" s="85"/>
      <c r="K63" s="86"/>
      <c r="L63" s="86"/>
      <c r="M63" s="86"/>
      <c r="N63" s="86"/>
      <c r="O63" s="87"/>
      <c r="P63" s="23"/>
      <c r="Q63" s="23"/>
      <c r="R63" s="23"/>
      <c r="S63" s="23"/>
    </row>
    <row r="64" spans="1:19" ht="18" customHeight="1" x14ac:dyDescent="0.15">
      <c r="A64" s="3"/>
      <c r="B64" s="91"/>
      <c r="C64" s="92"/>
      <c r="D64" s="92"/>
      <c r="E64" s="93"/>
      <c r="F64" s="24"/>
      <c r="G64" s="24"/>
      <c r="H64" s="25"/>
      <c r="I64" s="25"/>
      <c r="J64" s="91"/>
      <c r="K64" s="92"/>
      <c r="L64" s="92"/>
      <c r="M64" s="92"/>
      <c r="N64" s="92"/>
      <c r="O64" s="93"/>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60" t="s">
        <v>81</v>
      </c>
      <c r="F68" s="59" t="s">
        <v>85</v>
      </c>
      <c r="G68" s="21" t="s">
        <v>102</v>
      </c>
      <c r="H68" s="21" t="s">
        <v>76</v>
      </c>
      <c r="I68" s="21" t="s">
        <v>77</v>
      </c>
      <c r="J68" s="88" t="s">
        <v>54</v>
      </c>
      <c r="K68" s="89"/>
      <c r="L68" s="89"/>
      <c r="M68" s="89"/>
      <c r="N68" s="90"/>
      <c r="O68" s="60" t="s">
        <v>81</v>
      </c>
      <c r="P68" s="59" t="s">
        <v>85</v>
      </c>
      <c r="Q68" s="21" t="s">
        <v>102</v>
      </c>
      <c r="R68" s="21" t="s">
        <v>76</v>
      </c>
      <c r="S68" s="21" t="s">
        <v>77</v>
      </c>
    </row>
    <row r="69" spans="1:19" ht="18" customHeight="1" x14ac:dyDescent="0.15">
      <c r="A69" s="3"/>
      <c r="B69" s="82" t="s">
        <v>128</v>
      </c>
      <c r="C69" s="83"/>
      <c r="D69" s="84"/>
      <c r="E69" s="22">
        <v>2</v>
      </c>
      <c r="F69" s="22" t="s">
        <v>133</v>
      </c>
      <c r="G69" s="22" t="s">
        <v>133</v>
      </c>
      <c r="H69" s="22" t="s">
        <v>133</v>
      </c>
      <c r="I69" s="22" t="s">
        <v>133</v>
      </c>
      <c r="J69" s="82"/>
      <c r="K69" s="83"/>
      <c r="L69" s="83"/>
      <c r="M69" s="83"/>
      <c r="N69" s="84"/>
      <c r="O69" s="22"/>
      <c r="P69" s="22"/>
      <c r="Q69" s="22"/>
      <c r="R69" s="22"/>
      <c r="S69" s="22"/>
    </row>
    <row r="70" spans="1:19" ht="18" customHeight="1" x14ac:dyDescent="0.15">
      <c r="A70" s="3"/>
      <c r="B70" s="85" t="s">
        <v>159</v>
      </c>
      <c r="C70" s="86"/>
      <c r="D70" s="86"/>
      <c r="E70" s="23">
        <v>2</v>
      </c>
      <c r="F70" s="23"/>
      <c r="G70" s="23" t="s">
        <v>133</v>
      </c>
      <c r="H70" s="23"/>
      <c r="I70" s="23" t="s">
        <v>133</v>
      </c>
      <c r="J70" s="85"/>
      <c r="K70" s="86"/>
      <c r="L70" s="86"/>
      <c r="M70" s="86"/>
      <c r="N70" s="87"/>
      <c r="O70" s="23"/>
      <c r="P70" s="23"/>
      <c r="Q70" s="23"/>
      <c r="R70" s="23"/>
      <c r="S70" s="23"/>
    </row>
    <row r="71" spans="1:19" ht="18" customHeight="1" x14ac:dyDescent="0.15">
      <c r="A71" s="3"/>
      <c r="B71" s="85" t="s">
        <v>160</v>
      </c>
      <c r="C71" s="86"/>
      <c r="D71" s="86"/>
      <c r="E71" s="23">
        <v>2</v>
      </c>
      <c r="F71" s="23"/>
      <c r="G71" s="23"/>
      <c r="H71" s="23" t="s">
        <v>133</v>
      </c>
      <c r="I71" s="23" t="s">
        <v>133</v>
      </c>
      <c r="J71" s="85"/>
      <c r="K71" s="86"/>
      <c r="L71" s="86"/>
      <c r="M71" s="86"/>
      <c r="N71" s="87"/>
      <c r="O71" s="23"/>
      <c r="P71" s="23"/>
      <c r="Q71" s="23"/>
      <c r="R71" s="23"/>
      <c r="S71" s="23"/>
    </row>
    <row r="72" spans="1:19" ht="18" customHeight="1" x14ac:dyDescent="0.15">
      <c r="A72" s="3"/>
      <c r="B72" s="85"/>
      <c r="C72" s="86"/>
      <c r="D72" s="86"/>
      <c r="E72" s="23"/>
      <c r="F72" s="23"/>
      <c r="G72" s="23"/>
      <c r="H72" s="23"/>
      <c r="I72" s="23"/>
      <c r="J72" s="85"/>
      <c r="K72" s="86"/>
      <c r="L72" s="86"/>
      <c r="M72" s="86"/>
      <c r="N72" s="87"/>
      <c r="O72" s="23"/>
      <c r="P72" s="23"/>
      <c r="Q72" s="23"/>
      <c r="R72" s="23"/>
      <c r="S72" s="23"/>
    </row>
    <row r="73" spans="1:19" ht="18" customHeight="1" x14ac:dyDescent="0.15">
      <c r="A73" s="3"/>
      <c r="B73" s="85"/>
      <c r="C73" s="86"/>
      <c r="D73" s="86"/>
      <c r="E73" s="23"/>
      <c r="F73" s="23"/>
      <c r="G73" s="23"/>
      <c r="H73" s="23"/>
      <c r="I73" s="23"/>
      <c r="J73" s="85"/>
      <c r="K73" s="86"/>
      <c r="L73" s="86"/>
      <c r="M73" s="86"/>
      <c r="N73" s="87"/>
      <c r="O73" s="23"/>
      <c r="P73" s="23"/>
      <c r="Q73" s="23"/>
      <c r="R73" s="23"/>
      <c r="S73" s="23"/>
    </row>
    <row r="74" spans="1:19" ht="18" customHeight="1" x14ac:dyDescent="0.15">
      <c r="A74" s="3"/>
      <c r="B74" s="85"/>
      <c r="C74" s="86"/>
      <c r="D74" s="86"/>
      <c r="E74" s="23"/>
      <c r="F74" s="23"/>
      <c r="G74" s="23"/>
      <c r="H74" s="23"/>
      <c r="I74" s="23"/>
      <c r="J74" s="85"/>
      <c r="K74" s="86"/>
      <c r="L74" s="86"/>
      <c r="M74" s="86"/>
      <c r="N74" s="87"/>
      <c r="O74" s="23"/>
      <c r="P74" s="23"/>
      <c r="Q74" s="23"/>
      <c r="R74" s="23"/>
      <c r="S74" s="23"/>
    </row>
    <row r="75" spans="1:19" ht="18" customHeight="1" x14ac:dyDescent="0.15">
      <c r="A75" s="3"/>
      <c r="B75" s="91"/>
      <c r="C75" s="92"/>
      <c r="D75" s="92"/>
      <c r="E75" s="24"/>
      <c r="F75" s="24"/>
      <c r="G75" s="25"/>
      <c r="H75" s="25"/>
      <c r="I75" s="25"/>
      <c r="J75" s="91"/>
      <c r="K75" s="92"/>
      <c r="L75" s="92"/>
      <c r="M75" s="92"/>
      <c r="N75" s="93"/>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0" t="s">
        <v>54</v>
      </c>
      <c r="K78" s="111"/>
      <c r="L78" s="111"/>
      <c r="M78" s="111"/>
      <c r="N78" s="111"/>
      <c r="O78" s="112"/>
      <c r="P78" s="88" t="s">
        <v>83</v>
      </c>
      <c r="Q78" s="89"/>
      <c r="R78" s="89"/>
      <c r="S78" s="90"/>
    </row>
    <row r="79" spans="1:19" ht="18" customHeight="1" x14ac:dyDescent="0.15">
      <c r="A79" s="3"/>
      <c r="B79" s="250" t="s">
        <v>128</v>
      </c>
      <c r="C79" s="251"/>
      <c r="D79" s="251"/>
      <c r="E79" s="252"/>
      <c r="F79" s="253" t="s">
        <v>171</v>
      </c>
      <c r="G79" s="254"/>
      <c r="H79" s="254"/>
      <c r="I79" s="255"/>
      <c r="J79" s="82"/>
      <c r="K79" s="83"/>
      <c r="L79" s="83"/>
      <c r="M79" s="83"/>
      <c r="N79" s="83"/>
      <c r="O79" s="84"/>
      <c r="P79" s="104"/>
      <c r="Q79" s="105"/>
      <c r="R79" s="105"/>
      <c r="S79" s="106"/>
    </row>
    <row r="80" spans="1:19" ht="18" customHeight="1" x14ac:dyDescent="0.15">
      <c r="A80" s="3"/>
      <c r="B80" s="256" t="s">
        <v>128</v>
      </c>
      <c r="C80" s="257"/>
      <c r="D80" s="257"/>
      <c r="E80" s="258"/>
      <c r="F80" s="259" t="s">
        <v>134</v>
      </c>
      <c r="G80" s="260"/>
      <c r="H80" s="260"/>
      <c r="I80" s="261"/>
      <c r="J80" s="85"/>
      <c r="K80" s="86"/>
      <c r="L80" s="86"/>
      <c r="M80" s="86"/>
      <c r="N80" s="86"/>
      <c r="O80" s="87"/>
      <c r="P80" s="107"/>
      <c r="Q80" s="108"/>
      <c r="R80" s="108"/>
      <c r="S80" s="109"/>
    </row>
    <row r="81" spans="1:19" ht="18" customHeight="1" x14ac:dyDescent="0.15">
      <c r="A81" s="3"/>
      <c r="B81" s="256" t="s">
        <v>128</v>
      </c>
      <c r="C81" s="257"/>
      <c r="D81" s="257"/>
      <c r="E81" s="258"/>
      <c r="F81" s="259" t="s">
        <v>172</v>
      </c>
      <c r="G81" s="260"/>
      <c r="H81" s="260"/>
      <c r="I81" s="261"/>
      <c r="J81" s="85"/>
      <c r="K81" s="86"/>
      <c r="L81" s="86"/>
      <c r="M81" s="86"/>
      <c r="N81" s="86"/>
      <c r="O81" s="87"/>
      <c r="P81" s="107"/>
      <c r="Q81" s="108"/>
      <c r="R81" s="108"/>
      <c r="S81" s="109"/>
    </row>
    <row r="82" spans="1:19" ht="18" customHeight="1" x14ac:dyDescent="0.15">
      <c r="A82" s="3"/>
      <c r="B82" s="256" t="s">
        <v>128</v>
      </c>
      <c r="C82" s="257"/>
      <c r="D82" s="257"/>
      <c r="E82" s="258"/>
      <c r="F82" s="259" t="s">
        <v>173</v>
      </c>
      <c r="G82" s="260"/>
      <c r="H82" s="260"/>
      <c r="I82" s="261"/>
      <c r="J82" s="85"/>
      <c r="K82" s="86"/>
      <c r="L82" s="86"/>
      <c r="M82" s="86"/>
      <c r="N82" s="86"/>
      <c r="O82" s="87"/>
      <c r="P82" s="107"/>
      <c r="Q82" s="108"/>
      <c r="R82" s="108"/>
      <c r="S82" s="109"/>
    </row>
    <row r="83" spans="1:19" ht="18" customHeight="1" x14ac:dyDescent="0.15">
      <c r="A83" s="3"/>
      <c r="B83" s="256" t="s">
        <v>128</v>
      </c>
      <c r="C83" s="257"/>
      <c r="D83" s="257"/>
      <c r="E83" s="258"/>
      <c r="F83" s="259" t="s">
        <v>174</v>
      </c>
      <c r="G83" s="260"/>
      <c r="H83" s="260"/>
      <c r="I83" s="261"/>
      <c r="J83" s="85"/>
      <c r="K83" s="86"/>
      <c r="L83" s="86"/>
      <c r="M83" s="86"/>
      <c r="N83" s="86"/>
      <c r="O83" s="87"/>
      <c r="P83" s="107"/>
      <c r="Q83" s="108"/>
      <c r="R83" s="108"/>
      <c r="S83" s="109"/>
    </row>
    <row r="84" spans="1:19" ht="18" customHeight="1" x14ac:dyDescent="0.15">
      <c r="A84" s="3"/>
      <c r="B84" s="256" t="s">
        <v>175</v>
      </c>
      <c r="C84" s="257"/>
      <c r="D84" s="257"/>
      <c r="E84" s="258"/>
      <c r="F84" s="259" t="s">
        <v>134</v>
      </c>
      <c r="G84" s="260"/>
      <c r="H84" s="260"/>
      <c r="I84" s="261"/>
      <c r="J84" s="85"/>
      <c r="K84" s="86"/>
      <c r="L84" s="86"/>
      <c r="M84" s="86"/>
      <c r="N84" s="86"/>
      <c r="O84" s="87"/>
      <c r="P84" s="107"/>
      <c r="Q84" s="108"/>
      <c r="R84" s="108"/>
      <c r="S84" s="109"/>
    </row>
    <row r="85" spans="1:19" ht="18" customHeight="1" x14ac:dyDescent="0.15">
      <c r="A85" s="3"/>
      <c r="B85" s="91"/>
      <c r="C85" s="92"/>
      <c r="D85" s="92"/>
      <c r="E85" s="93"/>
      <c r="F85" s="116"/>
      <c r="G85" s="117"/>
      <c r="H85" s="117"/>
      <c r="I85" s="118"/>
      <c r="J85" s="91"/>
      <c r="K85" s="92"/>
      <c r="L85" s="92"/>
      <c r="M85" s="92"/>
      <c r="N85" s="92"/>
      <c r="O85" s="93"/>
      <c r="P85" s="116"/>
      <c r="Q85" s="117"/>
      <c r="R85" s="117"/>
      <c r="S85" s="118"/>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02" t="s">
        <v>55</v>
      </c>
      <c r="C88" s="103"/>
      <c r="D88" s="89" t="s">
        <v>56</v>
      </c>
      <c r="E88" s="89"/>
      <c r="F88" s="89"/>
      <c r="G88" s="89"/>
      <c r="H88" s="89"/>
      <c r="I88" s="89"/>
      <c r="J88" s="89"/>
      <c r="K88" s="89"/>
      <c r="L88" s="89"/>
      <c r="M88" s="89"/>
      <c r="N88" s="89"/>
      <c r="O88" s="89"/>
      <c r="P88" s="89"/>
      <c r="Q88" s="89"/>
      <c r="R88" s="89"/>
      <c r="S88" s="90"/>
    </row>
    <row r="89" spans="1:19" ht="97.5" customHeight="1" x14ac:dyDescent="0.15">
      <c r="B89" s="95" t="s">
        <v>62</v>
      </c>
      <c r="C89" s="27" t="s">
        <v>57</v>
      </c>
      <c r="D89" s="99" t="s">
        <v>153</v>
      </c>
      <c r="E89" s="100"/>
      <c r="F89" s="100"/>
      <c r="G89" s="100"/>
      <c r="H89" s="100"/>
      <c r="I89" s="100"/>
      <c r="J89" s="100"/>
      <c r="K89" s="100"/>
      <c r="L89" s="100"/>
      <c r="M89" s="100"/>
      <c r="N89" s="100"/>
      <c r="O89" s="100"/>
      <c r="P89" s="100"/>
      <c r="Q89" s="100"/>
      <c r="R89" s="100"/>
      <c r="S89" s="101"/>
    </row>
    <row r="90" spans="1:19" ht="105" customHeight="1" x14ac:dyDescent="0.15">
      <c r="B90" s="96"/>
      <c r="C90" s="28" t="s">
        <v>78</v>
      </c>
      <c r="D90" s="262" t="s">
        <v>176</v>
      </c>
      <c r="E90" s="263"/>
      <c r="F90" s="263"/>
      <c r="G90" s="263"/>
      <c r="H90" s="263"/>
      <c r="I90" s="263"/>
      <c r="J90" s="263"/>
      <c r="K90" s="263"/>
      <c r="L90" s="263"/>
      <c r="M90" s="263"/>
      <c r="N90" s="263"/>
      <c r="O90" s="263"/>
      <c r="P90" s="263"/>
      <c r="Q90" s="263"/>
      <c r="R90" s="263"/>
      <c r="S90" s="264"/>
    </row>
    <row r="91" spans="1:19" ht="97.5" customHeight="1" x14ac:dyDescent="0.15">
      <c r="B91" s="95" t="s">
        <v>63</v>
      </c>
      <c r="C91" s="29" t="s">
        <v>72</v>
      </c>
      <c r="D91" s="119" t="s">
        <v>154</v>
      </c>
      <c r="E91" s="120"/>
      <c r="F91" s="120"/>
      <c r="G91" s="120"/>
      <c r="H91" s="120"/>
      <c r="I91" s="120"/>
      <c r="J91" s="120"/>
      <c r="K91" s="120"/>
      <c r="L91" s="120"/>
      <c r="M91" s="120"/>
      <c r="N91" s="120"/>
      <c r="O91" s="120"/>
      <c r="P91" s="120"/>
      <c r="Q91" s="120"/>
      <c r="R91" s="120"/>
      <c r="S91" s="121"/>
    </row>
    <row r="92" spans="1:19" ht="97.5" customHeight="1" x14ac:dyDescent="0.15">
      <c r="B92" s="97"/>
      <c r="C92" s="30" t="s">
        <v>73</v>
      </c>
      <c r="D92" s="125" t="s">
        <v>155</v>
      </c>
      <c r="E92" s="126"/>
      <c r="F92" s="126"/>
      <c r="G92" s="126"/>
      <c r="H92" s="126"/>
      <c r="I92" s="126"/>
      <c r="J92" s="126"/>
      <c r="K92" s="126"/>
      <c r="L92" s="126"/>
      <c r="M92" s="126"/>
      <c r="N92" s="126"/>
      <c r="O92" s="126"/>
      <c r="P92" s="126"/>
      <c r="Q92" s="126"/>
      <c r="R92" s="126"/>
      <c r="S92" s="127"/>
    </row>
    <row r="93" spans="1:19" ht="97.5" customHeight="1" x14ac:dyDescent="0.15">
      <c r="B93" s="95" t="s">
        <v>64</v>
      </c>
      <c r="C93" s="29" t="s">
        <v>74</v>
      </c>
      <c r="D93" s="119" t="s">
        <v>156</v>
      </c>
      <c r="E93" s="120"/>
      <c r="F93" s="120"/>
      <c r="G93" s="120"/>
      <c r="H93" s="120"/>
      <c r="I93" s="120"/>
      <c r="J93" s="120"/>
      <c r="K93" s="120"/>
      <c r="L93" s="120"/>
      <c r="M93" s="120"/>
      <c r="N93" s="120"/>
      <c r="O93" s="120"/>
      <c r="P93" s="120"/>
      <c r="Q93" s="120"/>
      <c r="R93" s="120"/>
      <c r="S93" s="121"/>
    </row>
    <row r="94" spans="1:19" ht="97.5" customHeight="1" x14ac:dyDescent="0.15">
      <c r="B94" s="97"/>
      <c r="C94" s="31" t="s">
        <v>75</v>
      </c>
      <c r="D94" s="122" t="s">
        <v>163</v>
      </c>
      <c r="E94" s="123"/>
      <c r="F94" s="123"/>
      <c r="G94" s="123"/>
      <c r="H94" s="123"/>
      <c r="I94" s="123"/>
      <c r="J94" s="123"/>
      <c r="K94" s="123"/>
      <c r="L94" s="123"/>
      <c r="M94" s="123"/>
      <c r="N94" s="123"/>
      <c r="O94" s="123"/>
      <c r="P94" s="123"/>
      <c r="Q94" s="123"/>
      <c r="R94" s="123"/>
      <c r="S94" s="124"/>
    </row>
    <row r="95" spans="1:19" ht="97.5" customHeight="1" x14ac:dyDescent="0.15">
      <c r="B95" s="95" t="s">
        <v>79</v>
      </c>
      <c r="C95" s="27" t="s">
        <v>59</v>
      </c>
      <c r="D95" s="99" t="s">
        <v>157</v>
      </c>
      <c r="E95" s="100"/>
      <c r="F95" s="100"/>
      <c r="G95" s="100"/>
      <c r="H95" s="100"/>
      <c r="I95" s="100"/>
      <c r="J95" s="100"/>
      <c r="K95" s="100"/>
      <c r="L95" s="100"/>
      <c r="M95" s="100"/>
      <c r="N95" s="100"/>
      <c r="O95" s="100"/>
      <c r="P95" s="100"/>
      <c r="Q95" s="100"/>
      <c r="R95" s="100"/>
      <c r="S95" s="101"/>
    </row>
    <row r="96" spans="1:19" ht="97.5" customHeight="1" x14ac:dyDescent="0.15">
      <c r="B96" s="97"/>
      <c r="C96" s="30" t="s">
        <v>61</v>
      </c>
      <c r="D96" s="125" t="s">
        <v>158</v>
      </c>
      <c r="E96" s="126"/>
      <c r="F96" s="126"/>
      <c r="G96" s="126"/>
      <c r="H96" s="126"/>
      <c r="I96" s="126"/>
      <c r="J96" s="126"/>
      <c r="K96" s="126"/>
      <c r="L96" s="126"/>
      <c r="M96" s="126"/>
      <c r="N96" s="126"/>
      <c r="O96" s="126"/>
      <c r="P96" s="126"/>
      <c r="Q96" s="126"/>
      <c r="R96" s="126"/>
      <c r="S96" s="127"/>
    </row>
    <row r="97" spans="1:19" ht="97.5" customHeight="1" x14ac:dyDescent="0.15">
      <c r="B97" s="95" t="s">
        <v>80</v>
      </c>
      <c r="C97" s="29" t="s">
        <v>58</v>
      </c>
      <c r="D97" s="98" t="s">
        <v>161</v>
      </c>
      <c r="E97" s="83"/>
      <c r="F97" s="83"/>
      <c r="G97" s="83"/>
      <c r="H97" s="83"/>
      <c r="I97" s="83"/>
      <c r="J97" s="83"/>
      <c r="K97" s="83"/>
      <c r="L97" s="83"/>
      <c r="M97" s="83"/>
      <c r="N97" s="83"/>
      <c r="O97" s="83"/>
      <c r="P97" s="83"/>
      <c r="Q97" s="83"/>
      <c r="R97" s="83"/>
      <c r="S97" s="84"/>
    </row>
    <row r="98" spans="1:19" ht="120.75" customHeight="1" x14ac:dyDescent="0.15">
      <c r="B98" s="96"/>
      <c r="C98" s="32" t="s">
        <v>76</v>
      </c>
      <c r="D98" s="265" t="s">
        <v>177</v>
      </c>
      <c r="E98" s="266"/>
      <c r="F98" s="266"/>
      <c r="G98" s="266"/>
      <c r="H98" s="266"/>
      <c r="I98" s="266"/>
      <c r="J98" s="266"/>
      <c r="K98" s="266"/>
      <c r="L98" s="266"/>
      <c r="M98" s="266"/>
      <c r="N98" s="266"/>
      <c r="O98" s="266"/>
      <c r="P98" s="266"/>
      <c r="Q98" s="266"/>
      <c r="R98" s="266"/>
      <c r="S98" s="267"/>
    </row>
    <row r="99" spans="1:19" ht="117.75" customHeight="1" x14ac:dyDescent="0.15">
      <c r="B99" s="97"/>
      <c r="C99" s="31" t="s">
        <v>77</v>
      </c>
      <c r="D99" s="268" t="s">
        <v>178</v>
      </c>
      <c r="E99" s="269"/>
      <c r="F99" s="269"/>
      <c r="G99" s="269"/>
      <c r="H99" s="269"/>
      <c r="I99" s="269"/>
      <c r="J99" s="269"/>
      <c r="K99" s="269"/>
      <c r="L99" s="269"/>
      <c r="M99" s="269"/>
      <c r="N99" s="269"/>
      <c r="O99" s="269"/>
      <c r="P99" s="269"/>
      <c r="Q99" s="269"/>
      <c r="R99" s="269"/>
      <c r="S99" s="270"/>
    </row>
    <row r="100" spans="1:19" ht="6" customHeight="1" x14ac:dyDescent="0.15"/>
    <row r="101" spans="1:19" ht="18.75" customHeight="1" x14ac:dyDescent="0.15">
      <c r="A101" s="1" t="s">
        <v>121</v>
      </c>
    </row>
    <row r="102" spans="1:19" ht="81.75" customHeight="1" x14ac:dyDescent="0.15">
      <c r="B102" s="113" t="s">
        <v>164</v>
      </c>
      <c r="C102" s="114"/>
      <c r="D102" s="114"/>
      <c r="E102" s="114"/>
      <c r="F102" s="114"/>
      <c r="G102" s="114"/>
      <c r="H102" s="114"/>
      <c r="I102" s="114"/>
      <c r="J102" s="114"/>
      <c r="K102" s="114"/>
      <c r="L102" s="114"/>
      <c r="M102" s="114"/>
      <c r="N102" s="114"/>
      <c r="O102" s="114"/>
      <c r="P102" s="114"/>
      <c r="Q102" s="114"/>
      <c r="R102" s="114"/>
      <c r="S102" s="115"/>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Q83:S86 P79:P86 G83:I86 Q79:S80 F79:F86 G79:I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54" t="str">
        <f>'様式１　プログラムを構成する授業科目'!C2</f>
        <v>松山東雲女子大学</v>
      </c>
      <c r="AN2" s="154"/>
      <c r="AO2" s="154"/>
      <c r="AP2" s="154"/>
      <c r="AQ2" s="154"/>
    </row>
    <row r="3" spans="1:45" ht="18" customHeight="1" x14ac:dyDescent="0.15">
      <c r="A3" s="132" t="s">
        <v>48</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55" t="s">
        <v>143</v>
      </c>
      <c r="D5" s="15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7" t="s">
        <v>45</v>
      </c>
      <c r="C9" s="172" t="s">
        <v>87</v>
      </c>
      <c r="D9" s="160" t="s">
        <v>47</v>
      </c>
      <c r="E9" s="163" t="s">
        <v>40</v>
      </c>
      <c r="F9" s="151" t="s">
        <v>86</v>
      </c>
      <c r="G9" s="151"/>
      <c r="H9" s="151"/>
      <c r="I9" s="151"/>
      <c r="J9" s="151"/>
      <c r="K9" s="151"/>
      <c r="L9" s="151" t="s">
        <v>49</v>
      </c>
      <c r="M9" s="151"/>
      <c r="N9" s="151"/>
      <c r="O9" s="151"/>
      <c r="P9" s="151"/>
      <c r="Q9" s="151"/>
      <c r="R9" s="151" t="s">
        <v>50</v>
      </c>
      <c r="S9" s="151"/>
      <c r="T9" s="151"/>
      <c r="U9" s="151"/>
      <c r="V9" s="151"/>
      <c r="W9" s="151"/>
      <c r="X9" s="151" t="s">
        <v>101</v>
      </c>
      <c r="Y9" s="151"/>
      <c r="Z9" s="151"/>
      <c r="AA9" s="151"/>
      <c r="AB9" s="151"/>
      <c r="AC9" s="151"/>
      <c r="AD9" s="151" t="s">
        <v>51</v>
      </c>
      <c r="AE9" s="151"/>
      <c r="AF9" s="151"/>
      <c r="AG9" s="151"/>
      <c r="AH9" s="151"/>
      <c r="AI9" s="151"/>
      <c r="AJ9" s="151" t="s">
        <v>52</v>
      </c>
      <c r="AK9" s="151"/>
      <c r="AL9" s="151"/>
      <c r="AM9" s="151"/>
      <c r="AN9" s="151"/>
      <c r="AO9" s="151"/>
      <c r="AP9" s="166" t="s">
        <v>35</v>
      </c>
      <c r="AQ9" s="169" t="s">
        <v>32</v>
      </c>
      <c r="AS9" s="2"/>
    </row>
    <row r="10" spans="1:45" ht="17.100000000000001" customHeight="1" x14ac:dyDescent="0.15">
      <c r="B10" s="158"/>
      <c r="C10" s="173"/>
      <c r="D10" s="161"/>
      <c r="E10" s="164"/>
      <c r="F10" s="152" t="s">
        <v>97</v>
      </c>
      <c r="G10" s="153"/>
      <c r="H10" s="153"/>
      <c r="I10" s="152" t="s">
        <v>29</v>
      </c>
      <c r="J10" s="153"/>
      <c r="K10" s="153"/>
      <c r="L10" s="152" t="s">
        <v>97</v>
      </c>
      <c r="M10" s="153"/>
      <c r="N10" s="153"/>
      <c r="O10" s="152" t="s">
        <v>29</v>
      </c>
      <c r="P10" s="153"/>
      <c r="Q10" s="153"/>
      <c r="R10" s="152" t="s">
        <v>97</v>
      </c>
      <c r="S10" s="153"/>
      <c r="T10" s="153"/>
      <c r="U10" s="152" t="s">
        <v>29</v>
      </c>
      <c r="V10" s="153"/>
      <c r="W10" s="153"/>
      <c r="X10" s="152" t="s">
        <v>97</v>
      </c>
      <c r="Y10" s="153"/>
      <c r="Z10" s="153"/>
      <c r="AA10" s="152" t="s">
        <v>29</v>
      </c>
      <c r="AB10" s="153"/>
      <c r="AC10" s="153"/>
      <c r="AD10" s="152" t="s">
        <v>97</v>
      </c>
      <c r="AE10" s="153"/>
      <c r="AF10" s="153"/>
      <c r="AG10" s="152" t="s">
        <v>29</v>
      </c>
      <c r="AH10" s="153"/>
      <c r="AI10" s="153"/>
      <c r="AJ10" s="152" t="s">
        <v>97</v>
      </c>
      <c r="AK10" s="153"/>
      <c r="AL10" s="153"/>
      <c r="AM10" s="152" t="s">
        <v>29</v>
      </c>
      <c r="AN10" s="153"/>
      <c r="AO10" s="153"/>
      <c r="AP10" s="167"/>
      <c r="AQ10" s="170"/>
      <c r="AS10" s="2"/>
    </row>
    <row r="11" spans="1:45" ht="18" customHeight="1" x14ac:dyDescent="0.15">
      <c r="B11" s="159"/>
      <c r="C11" s="174"/>
      <c r="D11" s="162"/>
      <c r="E11" s="16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68"/>
      <c r="AQ11" s="171"/>
      <c r="AS11" s="2"/>
    </row>
    <row r="12" spans="1:45" ht="18" customHeight="1" x14ac:dyDescent="0.15">
      <c r="A12" s="6"/>
      <c r="B12" s="11" t="s">
        <v>162</v>
      </c>
      <c r="C12" s="61">
        <v>352</v>
      </c>
      <c r="D12" s="62">
        <v>110</v>
      </c>
      <c r="E12" s="63">
        <v>460</v>
      </c>
      <c r="F12" s="63">
        <v>65</v>
      </c>
      <c r="G12" s="64">
        <v>0</v>
      </c>
      <c r="H12" s="65">
        <v>65</v>
      </c>
      <c r="I12" s="63">
        <v>59</v>
      </c>
      <c r="J12" s="64">
        <v>0</v>
      </c>
      <c r="K12" s="65">
        <v>59</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65</v>
      </c>
      <c r="AQ12" s="81">
        <f t="shared" ref="AQ12:AQ32" si="0">AP12/E12</f>
        <v>0.14130434782608695</v>
      </c>
    </row>
    <row r="13" spans="1:45" ht="18" customHeight="1" x14ac:dyDescent="0.15">
      <c r="A13" s="6"/>
      <c r="B13" s="12"/>
      <c r="C13" s="66"/>
      <c r="D13" s="67"/>
      <c r="E13" s="68"/>
      <c r="F13" s="69">
        <f t="shared" ref="F13:F31" si="1">G13+H13</f>
        <v>0</v>
      </c>
      <c r="G13" s="70"/>
      <c r="H13" s="71"/>
      <c r="I13" s="69">
        <f t="shared" ref="I13:I31" si="2">J13+K13</f>
        <v>0</v>
      </c>
      <c r="J13" s="70"/>
      <c r="K13" s="71"/>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0</v>
      </c>
      <c r="AQ13" s="20" t="e">
        <f t="shared" si="0"/>
        <v>#DIV/0!</v>
      </c>
    </row>
    <row r="14" spans="1:45" ht="18" customHeight="1" x14ac:dyDescent="0.15">
      <c r="A14" s="6"/>
      <c r="B14" s="12"/>
      <c r="C14" s="66"/>
      <c r="D14" s="67"/>
      <c r="E14" s="68"/>
      <c r="F14" s="69">
        <f t="shared" si="1"/>
        <v>0</v>
      </c>
      <c r="G14" s="70"/>
      <c r="H14" s="71"/>
      <c r="I14" s="69">
        <f t="shared" si="2"/>
        <v>0</v>
      </c>
      <c r="J14" s="70"/>
      <c r="K14" s="71"/>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0</v>
      </c>
      <c r="AQ14" s="8" t="e">
        <f t="shared" si="0"/>
        <v>#DIV/0!</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352</v>
      </c>
      <c r="D32" s="77">
        <f t="shared" ref="D32:AP32" si="15">SUM(D12:D31)</f>
        <v>110</v>
      </c>
      <c r="E32" s="78">
        <f t="shared" si="15"/>
        <v>460</v>
      </c>
      <c r="F32" s="78">
        <f t="shared" si="15"/>
        <v>65</v>
      </c>
      <c r="G32" s="79">
        <f t="shared" si="15"/>
        <v>0</v>
      </c>
      <c r="H32" s="80">
        <f t="shared" si="15"/>
        <v>65</v>
      </c>
      <c r="I32" s="78">
        <f t="shared" ref="I32:N32" si="16">SUM(I12:I31)</f>
        <v>59</v>
      </c>
      <c r="J32" s="79">
        <f t="shared" si="16"/>
        <v>0</v>
      </c>
      <c r="K32" s="80">
        <f t="shared" si="16"/>
        <v>59</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65</v>
      </c>
      <c r="AQ32" s="9">
        <f t="shared" si="0"/>
        <v>0.14130434782608695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875" style="4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106</v>
      </c>
    </row>
    <row r="2" spans="1:9" ht="18.75" customHeight="1" x14ac:dyDescent="0.15">
      <c r="G2" s="34" t="s">
        <v>109</v>
      </c>
      <c r="H2" s="88" t="str">
        <f>'様式１　プログラムを構成する授業科目'!C2</f>
        <v>松山東雲女子大学</v>
      </c>
      <c r="I2" s="90"/>
    </row>
    <row r="3" spans="1:9" ht="18.75" customHeight="1" x14ac:dyDescent="0.15">
      <c r="G3" s="34"/>
      <c r="H3" s="10"/>
      <c r="I3" s="10"/>
    </row>
    <row r="4" spans="1:9" ht="18.600000000000001" customHeight="1" x14ac:dyDescent="0.15">
      <c r="A4" s="132" t="s">
        <v>36</v>
      </c>
      <c r="B4" s="132"/>
      <c r="C4" s="132"/>
      <c r="D4" s="132"/>
      <c r="E4" s="132"/>
      <c r="F4" s="132"/>
      <c r="G4" s="132"/>
      <c r="H4" s="132"/>
      <c r="I4" s="132"/>
    </row>
    <row r="5" spans="1:9" ht="13.35" customHeight="1" x14ac:dyDescent="0.15">
      <c r="B5" s="3"/>
      <c r="C5" s="3"/>
      <c r="D5" s="3"/>
      <c r="E5" s="3"/>
      <c r="F5" s="3"/>
      <c r="G5" s="3"/>
      <c r="H5" s="3"/>
      <c r="I5" s="3"/>
    </row>
    <row r="6" spans="1:9" ht="18" customHeight="1" x14ac:dyDescent="0.15">
      <c r="A6" s="1" t="s">
        <v>0</v>
      </c>
      <c r="B6" s="10" t="s">
        <v>91</v>
      </c>
      <c r="C6" s="198" t="s">
        <v>92</v>
      </c>
      <c r="D6" s="198"/>
      <c r="E6" s="33">
        <v>22</v>
      </c>
      <c r="F6" s="3" t="s">
        <v>1</v>
      </c>
      <c r="G6" s="3" t="s">
        <v>2</v>
      </c>
      <c r="H6" s="33">
        <v>50</v>
      </c>
      <c r="I6" s="10" t="s">
        <v>1</v>
      </c>
    </row>
    <row r="7" spans="1:9" ht="12" customHeight="1" x14ac:dyDescent="0.15">
      <c r="C7" s="2"/>
      <c r="D7" s="2"/>
      <c r="E7" s="2"/>
      <c r="F7" s="2"/>
      <c r="G7" s="2"/>
      <c r="H7" s="2"/>
      <c r="I7" s="41"/>
    </row>
    <row r="8" spans="1:9" ht="18" customHeight="1" x14ac:dyDescent="0.15">
      <c r="A8" s="1" t="s">
        <v>3</v>
      </c>
      <c r="B8" s="10" t="s">
        <v>93</v>
      </c>
      <c r="E8" s="3"/>
      <c r="F8" s="3"/>
      <c r="G8" s="3"/>
      <c r="H8" s="33">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193" t="s">
        <v>136</v>
      </c>
      <c r="D11" s="196"/>
      <c r="E11" s="197"/>
      <c r="F11" s="41"/>
      <c r="G11" s="34" t="s">
        <v>10</v>
      </c>
      <c r="H11" s="193" t="s">
        <v>137</v>
      </c>
      <c r="I11" s="197"/>
    </row>
    <row r="12" spans="1:9" ht="10.3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193" t="s">
        <v>146</v>
      </c>
      <c r="C14" s="194"/>
      <c r="D14" s="194"/>
      <c r="E14" s="194"/>
      <c r="F14" s="194"/>
      <c r="G14" s="194"/>
      <c r="H14" s="194"/>
      <c r="I14" s="195"/>
    </row>
    <row r="15" spans="1:9" ht="9" customHeight="1" x14ac:dyDescent="0.15">
      <c r="B15" s="3"/>
      <c r="C15" s="3"/>
      <c r="D15" s="3"/>
      <c r="E15" s="3"/>
      <c r="F15" s="3"/>
      <c r="G15" s="3"/>
      <c r="H15" s="3"/>
      <c r="I15" s="3"/>
    </row>
    <row r="16" spans="1:9" ht="18" customHeight="1" x14ac:dyDescent="0.15">
      <c r="B16" s="34" t="s">
        <v>43</v>
      </c>
      <c r="C16" s="193" t="s">
        <v>135</v>
      </c>
      <c r="D16" s="196"/>
      <c r="E16" s="197"/>
      <c r="F16" s="41"/>
      <c r="G16" s="34" t="s">
        <v>10</v>
      </c>
      <c r="H16" s="193" t="s">
        <v>137</v>
      </c>
      <c r="I16" s="197"/>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85" t="s">
        <v>144</v>
      </c>
      <c r="C19" s="186"/>
      <c r="D19" s="186"/>
      <c r="E19" s="186"/>
      <c r="F19" s="186"/>
      <c r="G19" s="186"/>
      <c r="H19" s="186"/>
      <c r="I19" s="18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75" t="s">
        <v>145</v>
      </c>
      <c r="C22" s="176"/>
      <c r="D22" s="176"/>
      <c r="E22" s="176"/>
      <c r="F22" s="176"/>
      <c r="G22" s="176"/>
      <c r="H22" s="176"/>
      <c r="I22" s="177"/>
    </row>
    <row r="23" spans="1:9" ht="18.75" customHeight="1" x14ac:dyDescent="0.15">
      <c r="A23" s="15"/>
      <c r="B23" s="188"/>
      <c r="C23" s="189"/>
      <c r="D23" s="189"/>
      <c r="E23" s="189"/>
      <c r="F23" s="189"/>
      <c r="G23" s="189"/>
      <c r="H23" s="189"/>
      <c r="I23" s="180"/>
    </row>
    <row r="24" spans="1:9" ht="18.75" customHeight="1" x14ac:dyDescent="0.15">
      <c r="A24" s="15"/>
      <c r="B24" s="188"/>
      <c r="C24" s="189"/>
      <c r="D24" s="189"/>
      <c r="E24" s="189"/>
      <c r="F24" s="189"/>
      <c r="G24" s="189"/>
      <c r="H24" s="189"/>
      <c r="I24" s="180"/>
    </row>
    <row r="25" spans="1:9" ht="18.75" customHeight="1" x14ac:dyDescent="0.15">
      <c r="A25" s="15"/>
      <c r="B25" s="188"/>
      <c r="C25" s="189"/>
      <c r="D25" s="189"/>
      <c r="E25" s="189"/>
      <c r="F25" s="189"/>
      <c r="G25" s="189"/>
      <c r="H25" s="189"/>
      <c r="I25" s="180"/>
    </row>
    <row r="26" spans="1:9" ht="18.75" customHeight="1" x14ac:dyDescent="0.15">
      <c r="A26" s="15"/>
      <c r="B26" s="188"/>
      <c r="C26" s="189"/>
      <c r="D26" s="189"/>
      <c r="E26" s="189"/>
      <c r="F26" s="189"/>
      <c r="G26" s="189"/>
      <c r="H26" s="189"/>
      <c r="I26" s="180"/>
    </row>
    <row r="27" spans="1:9" ht="18.75" customHeight="1" x14ac:dyDescent="0.15">
      <c r="A27" s="15"/>
      <c r="B27" s="188"/>
      <c r="C27" s="189"/>
      <c r="D27" s="189"/>
      <c r="E27" s="189"/>
      <c r="F27" s="189"/>
      <c r="G27" s="189"/>
      <c r="H27" s="189"/>
      <c r="I27" s="180"/>
    </row>
    <row r="28" spans="1:9" ht="18.75" customHeight="1" x14ac:dyDescent="0.15">
      <c r="A28" s="15"/>
      <c r="B28" s="188"/>
      <c r="C28" s="189"/>
      <c r="D28" s="189"/>
      <c r="E28" s="189"/>
      <c r="F28" s="189"/>
      <c r="G28" s="189"/>
      <c r="H28" s="189"/>
      <c r="I28" s="180"/>
    </row>
    <row r="29" spans="1:9" ht="18.75" customHeight="1" x14ac:dyDescent="0.15">
      <c r="A29" s="15"/>
      <c r="B29" s="188"/>
      <c r="C29" s="189"/>
      <c r="D29" s="189"/>
      <c r="E29" s="189"/>
      <c r="F29" s="189"/>
      <c r="G29" s="189"/>
      <c r="H29" s="189"/>
      <c r="I29" s="180"/>
    </row>
    <row r="30" spans="1:9" ht="18.75" customHeight="1" x14ac:dyDescent="0.15">
      <c r="A30" s="15"/>
      <c r="B30" s="178"/>
      <c r="C30" s="179"/>
      <c r="D30" s="179"/>
      <c r="E30" s="179"/>
      <c r="F30" s="179"/>
      <c r="G30" s="179"/>
      <c r="H30" s="179"/>
      <c r="I30" s="180"/>
    </row>
    <row r="31" spans="1:9" ht="18.75" customHeight="1" x14ac:dyDescent="0.15">
      <c r="A31" s="15"/>
      <c r="B31" s="178"/>
      <c r="C31" s="179"/>
      <c r="D31" s="179"/>
      <c r="E31" s="179"/>
      <c r="F31" s="179"/>
      <c r="G31" s="179"/>
      <c r="H31" s="179"/>
      <c r="I31" s="180"/>
    </row>
    <row r="32" spans="1:9" ht="18.75" customHeight="1" x14ac:dyDescent="0.15">
      <c r="A32" s="15"/>
      <c r="B32" s="181"/>
      <c r="C32" s="182"/>
      <c r="D32" s="182"/>
      <c r="E32" s="182"/>
      <c r="F32" s="182"/>
      <c r="G32" s="182"/>
      <c r="H32" s="182"/>
      <c r="I32" s="183"/>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75" t="s">
        <v>170</v>
      </c>
      <c r="C35" s="176"/>
      <c r="D35" s="176"/>
      <c r="E35" s="176"/>
      <c r="F35" s="176"/>
      <c r="G35" s="176"/>
      <c r="H35" s="176"/>
      <c r="I35" s="177"/>
    </row>
    <row r="36" spans="1:9" ht="18.75" customHeight="1" x14ac:dyDescent="0.15">
      <c r="A36" s="15"/>
      <c r="B36" s="178"/>
      <c r="C36" s="179"/>
      <c r="D36" s="179"/>
      <c r="E36" s="179"/>
      <c r="F36" s="179"/>
      <c r="G36" s="179"/>
      <c r="H36" s="179"/>
      <c r="I36" s="180"/>
    </row>
    <row r="37" spans="1:9" ht="18.75" customHeight="1" x14ac:dyDescent="0.15">
      <c r="A37" s="15"/>
      <c r="B37" s="178"/>
      <c r="C37" s="179"/>
      <c r="D37" s="179"/>
      <c r="E37" s="179"/>
      <c r="F37" s="179"/>
      <c r="G37" s="179"/>
      <c r="H37" s="179"/>
      <c r="I37" s="180"/>
    </row>
    <row r="38" spans="1:9" ht="18.75" customHeight="1" x14ac:dyDescent="0.15">
      <c r="A38" s="15"/>
      <c r="B38" s="178"/>
      <c r="C38" s="179"/>
      <c r="D38" s="179"/>
      <c r="E38" s="179"/>
      <c r="F38" s="179"/>
      <c r="G38" s="179"/>
      <c r="H38" s="179"/>
      <c r="I38" s="180"/>
    </row>
    <row r="39" spans="1:9" ht="18.75" customHeight="1" x14ac:dyDescent="0.15">
      <c r="A39" s="15"/>
      <c r="B39" s="178"/>
      <c r="C39" s="179"/>
      <c r="D39" s="179"/>
      <c r="E39" s="179"/>
      <c r="F39" s="179"/>
      <c r="G39" s="179"/>
      <c r="H39" s="179"/>
      <c r="I39" s="180"/>
    </row>
    <row r="40" spans="1:9" ht="18.75" customHeight="1" x14ac:dyDescent="0.15">
      <c r="A40" s="15"/>
      <c r="B40" s="178"/>
      <c r="C40" s="179"/>
      <c r="D40" s="179"/>
      <c r="E40" s="179"/>
      <c r="F40" s="179"/>
      <c r="G40" s="179"/>
      <c r="H40" s="179"/>
      <c r="I40" s="180"/>
    </row>
    <row r="41" spans="1:9" ht="18.75" customHeight="1" x14ac:dyDescent="0.15">
      <c r="A41" s="15"/>
      <c r="B41" s="178"/>
      <c r="C41" s="179"/>
      <c r="D41" s="179"/>
      <c r="E41" s="179"/>
      <c r="F41" s="179"/>
      <c r="G41" s="179"/>
      <c r="H41" s="179"/>
      <c r="I41" s="180"/>
    </row>
    <row r="42" spans="1:9" ht="18.75" customHeight="1" x14ac:dyDescent="0.15">
      <c r="A42" s="15"/>
      <c r="B42" s="178"/>
      <c r="C42" s="179"/>
      <c r="D42" s="179"/>
      <c r="E42" s="179"/>
      <c r="F42" s="179"/>
      <c r="G42" s="179"/>
      <c r="H42" s="179"/>
      <c r="I42" s="180"/>
    </row>
    <row r="43" spans="1:9" ht="18.75" customHeight="1" x14ac:dyDescent="0.15">
      <c r="A43" s="15"/>
      <c r="B43" s="178"/>
      <c r="C43" s="179"/>
      <c r="D43" s="179"/>
      <c r="E43" s="179"/>
      <c r="F43" s="179"/>
      <c r="G43" s="179"/>
      <c r="H43" s="179"/>
      <c r="I43" s="180"/>
    </row>
    <row r="44" spans="1:9" ht="18.75" customHeight="1" x14ac:dyDescent="0.15">
      <c r="A44" s="15"/>
      <c r="B44" s="178"/>
      <c r="C44" s="179"/>
      <c r="D44" s="179"/>
      <c r="E44" s="179"/>
      <c r="F44" s="179"/>
      <c r="G44" s="179"/>
      <c r="H44" s="179"/>
      <c r="I44" s="180"/>
    </row>
    <row r="45" spans="1:9" ht="18.75" customHeight="1" x14ac:dyDescent="0.15">
      <c r="A45" s="15"/>
      <c r="B45" s="178"/>
      <c r="C45" s="179"/>
      <c r="D45" s="179"/>
      <c r="E45" s="179"/>
      <c r="F45" s="179"/>
      <c r="G45" s="179"/>
      <c r="H45" s="179"/>
      <c r="I45" s="180"/>
    </row>
    <row r="46" spans="1:9" ht="18.75" customHeight="1" x14ac:dyDescent="0.15">
      <c r="A46" s="15"/>
      <c r="B46" s="181"/>
      <c r="C46" s="182"/>
      <c r="D46" s="182"/>
      <c r="E46" s="182"/>
      <c r="F46" s="182"/>
      <c r="G46" s="182"/>
      <c r="H46" s="182"/>
      <c r="I46" s="183"/>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16">
        <f>'様式２ 履修者等数の実績'!AQ32</f>
        <v>0.14130434782608695</v>
      </c>
      <c r="D49" s="216"/>
      <c r="E49" s="42" t="s">
        <v>66</v>
      </c>
      <c r="F49" s="216">
        <v>0.45</v>
      </c>
      <c r="G49" s="216"/>
      <c r="H49" s="42" t="s">
        <v>67</v>
      </c>
      <c r="I49" s="43">
        <v>0.7</v>
      </c>
      <c r="J49" s="1"/>
      <c r="M49" s="1"/>
      <c r="N49" s="44"/>
    </row>
    <row r="50" spans="1:15" s="3" customFormat="1" ht="18.75" customHeight="1" x14ac:dyDescent="0.15">
      <c r="B50" s="45" t="s">
        <v>68</v>
      </c>
      <c r="C50" s="199">
        <v>1</v>
      </c>
      <c r="D50" s="199"/>
      <c r="E50" s="45" t="s">
        <v>90</v>
      </c>
      <c r="F50" s="199">
        <v>1</v>
      </c>
      <c r="G50" s="199"/>
      <c r="H50" s="45" t="s">
        <v>69</v>
      </c>
      <c r="I50" s="46">
        <f>'様式２ 履修者等数の実績'!E32</f>
        <v>460</v>
      </c>
      <c r="J50" s="1"/>
      <c r="M50" s="1"/>
      <c r="N50" s="44"/>
    </row>
    <row r="51" spans="1:15" ht="18.75" customHeight="1" x14ac:dyDescent="0.15">
      <c r="A51" s="1"/>
      <c r="B51" s="190" t="s">
        <v>70</v>
      </c>
      <c r="C51" s="191"/>
      <c r="D51" s="191"/>
      <c r="E51" s="191"/>
      <c r="F51" s="191"/>
      <c r="G51" s="191"/>
      <c r="H51" s="191"/>
      <c r="I51" s="192"/>
      <c r="N51" s="44"/>
      <c r="O51" s="3"/>
    </row>
    <row r="52" spans="1:15" ht="18.75" customHeight="1" x14ac:dyDescent="0.15">
      <c r="A52" s="1"/>
      <c r="B52" s="217" t="s">
        <v>165</v>
      </c>
      <c r="C52" s="218"/>
      <c r="D52" s="218"/>
      <c r="E52" s="218"/>
      <c r="F52" s="218"/>
      <c r="G52" s="218"/>
      <c r="H52" s="218"/>
      <c r="I52" s="219"/>
      <c r="N52" s="44"/>
      <c r="O52" s="3"/>
    </row>
    <row r="53" spans="1:15" ht="18.75" customHeight="1" x14ac:dyDescent="0.15">
      <c r="A53" s="1"/>
      <c r="B53" s="220"/>
      <c r="C53" s="221"/>
      <c r="D53" s="221"/>
      <c r="E53" s="221"/>
      <c r="F53" s="221"/>
      <c r="G53" s="221"/>
      <c r="H53" s="221"/>
      <c r="I53" s="222"/>
      <c r="N53" s="44"/>
      <c r="O53" s="3"/>
    </row>
    <row r="54" spans="1:15" ht="18.75" customHeight="1" x14ac:dyDescent="0.15">
      <c r="A54" s="1"/>
      <c r="B54" s="220"/>
      <c r="C54" s="221"/>
      <c r="D54" s="221"/>
      <c r="E54" s="221"/>
      <c r="F54" s="221"/>
      <c r="G54" s="221"/>
      <c r="H54" s="221"/>
      <c r="I54" s="222"/>
    </row>
    <row r="55" spans="1:15" ht="18.75" customHeight="1" x14ac:dyDescent="0.15">
      <c r="A55" s="1"/>
      <c r="B55" s="220"/>
      <c r="C55" s="221"/>
      <c r="D55" s="221"/>
      <c r="E55" s="221"/>
      <c r="F55" s="221"/>
      <c r="G55" s="221"/>
      <c r="H55" s="221"/>
      <c r="I55" s="222"/>
    </row>
    <row r="56" spans="1:15" ht="18.75" customHeight="1" x14ac:dyDescent="0.15">
      <c r="A56" s="1"/>
      <c r="B56" s="220"/>
      <c r="C56" s="221"/>
      <c r="D56" s="221"/>
      <c r="E56" s="221"/>
      <c r="F56" s="221"/>
      <c r="G56" s="221"/>
      <c r="H56" s="221"/>
      <c r="I56" s="222"/>
    </row>
    <row r="57" spans="1:15" ht="18.75" customHeight="1" x14ac:dyDescent="0.15">
      <c r="A57" s="1"/>
      <c r="B57" s="220"/>
      <c r="C57" s="221"/>
      <c r="D57" s="221"/>
      <c r="E57" s="221"/>
      <c r="F57" s="221"/>
      <c r="G57" s="221"/>
      <c r="H57" s="221"/>
      <c r="I57" s="222"/>
    </row>
    <row r="58" spans="1:15" ht="18.75" customHeight="1" x14ac:dyDescent="0.15">
      <c r="A58" s="1"/>
      <c r="B58" s="220"/>
      <c r="C58" s="221"/>
      <c r="D58" s="221"/>
      <c r="E58" s="221"/>
      <c r="F58" s="221"/>
      <c r="G58" s="221"/>
      <c r="H58" s="221"/>
      <c r="I58" s="222"/>
    </row>
    <row r="59" spans="1:15" ht="18.75" customHeight="1" x14ac:dyDescent="0.15">
      <c r="A59" s="1"/>
      <c r="B59" s="220"/>
      <c r="C59" s="221"/>
      <c r="D59" s="221"/>
      <c r="E59" s="221"/>
      <c r="F59" s="221"/>
      <c r="G59" s="221"/>
      <c r="H59" s="221"/>
      <c r="I59" s="222"/>
    </row>
    <row r="60" spans="1:15" ht="18.75" customHeight="1" x14ac:dyDescent="0.15">
      <c r="A60" s="1"/>
      <c r="B60" s="220"/>
      <c r="C60" s="221"/>
      <c r="D60" s="221"/>
      <c r="E60" s="221"/>
      <c r="F60" s="221"/>
      <c r="G60" s="221"/>
      <c r="H60" s="221"/>
      <c r="I60" s="222"/>
    </row>
    <row r="61" spans="1:15" ht="18.75" customHeight="1" x14ac:dyDescent="0.15">
      <c r="A61" s="1"/>
      <c r="B61" s="220"/>
      <c r="C61" s="221"/>
      <c r="D61" s="221"/>
      <c r="E61" s="221"/>
      <c r="F61" s="221"/>
      <c r="G61" s="221"/>
      <c r="H61" s="221"/>
      <c r="I61" s="222"/>
    </row>
    <row r="62" spans="1:15" ht="18.75" customHeight="1" x14ac:dyDescent="0.15">
      <c r="A62" s="1"/>
      <c r="B62" s="220"/>
      <c r="C62" s="221"/>
      <c r="D62" s="221"/>
      <c r="E62" s="221"/>
      <c r="F62" s="221"/>
      <c r="G62" s="221"/>
      <c r="H62" s="221"/>
      <c r="I62" s="222"/>
    </row>
    <row r="63" spans="1:15" ht="18.75" customHeight="1" x14ac:dyDescent="0.15">
      <c r="A63" s="1"/>
      <c r="B63" s="223"/>
      <c r="C63" s="224"/>
      <c r="D63" s="224"/>
      <c r="E63" s="224"/>
      <c r="F63" s="224"/>
      <c r="G63" s="224"/>
      <c r="H63" s="224"/>
      <c r="I63" s="225"/>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0" t="s">
        <v>147</v>
      </c>
      <c r="C66" s="201"/>
      <c r="D66" s="201"/>
      <c r="E66" s="201"/>
      <c r="F66" s="201"/>
      <c r="G66" s="201"/>
      <c r="H66" s="201"/>
      <c r="I66" s="202"/>
    </row>
    <row r="67" spans="1:9" ht="18.75" customHeight="1" x14ac:dyDescent="0.15">
      <c r="A67" s="4"/>
      <c r="B67" s="203"/>
      <c r="C67" s="204"/>
      <c r="D67" s="204"/>
      <c r="E67" s="204"/>
      <c r="F67" s="204"/>
      <c r="G67" s="204"/>
      <c r="H67" s="204"/>
      <c r="I67" s="205"/>
    </row>
    <row r="68" spans="1:9" ht="18.75" customHeight="1" x14ac:dyDescent="0.15">
      <c r="A68" s="4"/>
      <c r="B68" s="203"/>
      <c r="C68" s="204"/>
      <c r="D68" s="204"/>
      <c r="E68" s="204"/>
      <c r="F68" s="204"/>
      <c r="G68" s="204"/>
      <c r="H68" s="204"/>
      <c r="I68" s="205"/>
    </row>
    <row r="69" spans="1:9" ht="18.75" customHeight="1" x14ac:dyDescent="0.15">
      <c r="A69" s="4"/>
      <c r="B69" s="203"/>
      <c r="C69" s="204"/>
      <c r="D69" s="204"/>
      <c r="E69" s="204"/>
      <c r="F69" s="204"/>
      <c r="G69" s="204"/>
      <c r="H69" s="204"/>
      <c r="I69" s="205"/>
    </row>
    <row r="70" spans="1:9" ht="18.75" customHeight="1" x14ac:dyDescent="0.15">
      <c r="A70" s="4"/>
      <c r="B70" s="203"/>
      <c r="C70" s="204"/>
      <c r="D70" s="204"/>
      <c r="E70" s="204"/>
      <c r="F70" s="204"/>
      <c r="G70" s="204"/>
      <c r="H70" s="204"/>
      <c r="I70" s="205"/>
    </row>
    <row r="71" spans="1:9" ht="18.75" customHeight="1" x14ac:dyDescent="0.15">
      <c r="A71" s="4"/>
      <c r="B71" s="203"/>
      <c r="C71" s="204"/>
      <c r="D71" s="204"/>
      <c r="E71" s="204"/>
      <c r="F71" s="204"/>
      <c r="G71" s="204"/>
      <c r="H71" s="204"/>
      <c r="I71" s="205"/>
    </row>
    <row r="72" spans="1:9" ht="18.75" customHeight="1" x14ac:dyDescent="0.15">
      <c r="A72" s="4"/>
      <c r="B72" s="203"/>
      <c r="C72" s="204"/>
      <c r="D72" s="204"/>
      <c r="E72" s="204"/>
      <c r="F72" s="204"/>
      <c r="G72" s="204"/>
      <c r="H72" s="204"/>
      <c r="I72" s="205"/>
    </row>
    <row r="73" spans="1:9" ht="18.75" customHeight="1" x14ac:dyDescent="0.15">
      <c r="A73" s="4"/>
      <c r="B73" s="203"/>
      <c r="C73" s="204"/>
      <c r="D73" s="204"/>
      <c r="E73" s="204"/>
      <c r="F73" s="204"/>
      <c r="G73" s="204"/>
      <c r="H73" s="204"/>
      <c r="I73" s="205"/>
    </row>
    <row r="74" spans="1:9" ht="18.75" customHeight="1" x14ac:dyDescent="0.15">
      <c r="A74" s="4"/>
      <c r="B74" s="203"/>
      <c r="C74" s="204"/>
      <c r="D74" s="204"/>
      <c r="E74" s="204"/>
      <c r="F74" s="204"/>
      <c r="G74" s="204"/>
      <c r="H74" s="204"/>
      <c r="I74" s="205"/>
    </row>
    <row r="75" spans="1:9" ht="18.75" customHeight="1" x14ac:dyDescent="0.15">
      <c r="A75" s="4"/>
      <c r="B75" s="203"/>
      <c r="C75" s="204"/>
      <c r="D75" s="204"/>
      <c r="E75" s="204"/>
      <c r="F75" s="204"/>
      <c r="G75" s="204"/>
      <c r="H75" s="204"/>
      <c r="I75" s="205"/>
    </row>
    <row r="76" spans="1:9" ht="18.75" customHeight="1" x14ac:dyDescent="0.15">
      <c r="A76" s="4"/>
      <c r="B76" s="203"/>
      <c r="C76" s="204"/>
      <c r="D76" s="204"/>
      <c r="E76" s="204"/>
      <c r="F76" s="204"/>
      <c r="G76" s="204"/>
      <c r="H76" s="204"/>
      <c r="I76" s="205"/>
    </row>
    <row r="77" spans="1:9" ht="18.75" customHeight="1" x14ac:dyDescent="0.15">
      <c r="A77" s="4"/>
      <c r="B77" s="206"/>
      <c r="C77" s="207"/>
      <c r="D77" s="207"/>
      <c r="E77" s="207"/>
      <c r="F77" s="207"/>
      <c r="G77" s="207"/>
      <c r="H77" s="207"/>
      <c r="I77" s="208"/>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0" t="s">
        <v>166</v>
      </c>
      <c r="C80" s="201"/>
      <c r="D80" s="201"/>
      <c r="E80" s="201"/>
      <c r="F80" s="201"/>
      <c r="G80" s="201"/>
      <c r="H80" s="201"/>
      <c r="I80" s="209"/>
    </row>
    <row r="81" spans="1:9" ht="18.75" customHeight="1" x14ac:dyDescent="0.15">
      <c r="A81" s="1"/>
      <c r="B81" s="210"/>
      <c r="C81" s="211"/>
      <c r="D81" s="211"/>
      <c r="E81" s="211"/>
      <c r="F81" s="211"/>
      <c r="G81" s="211"/>
      <c r="H81" s="211"/>
      <c r="I81" s="212"/>
    </row>
    <row r="82" spans="1:9" ht="18.75" customHeight="1" x14ac:dyDescent="0.15">
      <c r="A82" s="1"/>
      <c r="B82" s="210"/>
      <c r="C82" s="211"/>
      <c r="D82" s="211"/>
      <c r="E82" s="211"/>
      <c r="F82" s="211"/>
      <c r="G82" s="211"/>
      <c r="H82" s="211"/>
      <c r="I82" s="212"/>
    </row>
    <row r="83" spans="1:9" ht="18.75" customHeight="1" x14ac:dyDescent="0.15">
      <c r="A83" s="1"/>
      <c r="B83" s="210"/>
      <c r="C83" s="211"/>
      <c r="D83" s="211"/>
      <c r="E83" s="211"/>
      <c r="F83" s="211"/>
      <c r="G83" s="211"/>
      <c r="H83" s="211"/>
      <c r="I83" s="212"/>
    </row>
    <row r="84" spans="1:9" ht="18.75" customHeight="1" x14ac:dyDescent="0.15">
      <c r="A84" s="1"/>
      <c r="B84" s="210"/>
      <c r="C84" s="211"/>
      <c r="D84" s="211"/>
      <c r="E84" s="211"/>
      <c r="F84" s="211"/>
      <c r="G84" s="211"/>
      <c r="H84" s="211"/>
      <c r="I84" s="212"/>
    </row>
    <row r="85" spans="1:9" ht="18.75" customHeight="1" x14ac:dyDescent="0.15">
      <c r="A85" s="1"/>
      <c r="B85" s="210"/>
      <c r="C85" s="211"/>
      <c r="D85" s="211"/>
      <c r="E85" s="211"/>
      <c r="F85" s="211"/>
      <c r="G85" s="211"/>
      <c r="H85" s="211"/>
      <c r="I85" s="212"/>
    </row>
    <row r="86" spans="1:9" ht="18.75" customHeight="1" x14ac:dyDescent="0.15">
      <c r="A86" s="1"/>
      <c r="B86" s="210"/>
      <c r="C86" s="211"/>
      <c r="D86" s="211"/>
      <c r="E86" s="211"/>
      <c r="F86" s="211"/>
      <c r="G86" s="211"/>
      <c r="H86" s="211"/>
      <c r="I86" s="212"/>
    </row>
    <row r="87" spans="1:9" ht="18.75" customHeight="1" x14ac:dyDescent="0.15">
      <c r="A87" s="1"/>
      <c r="B87" s="210"/>
      <c r="C87" s="211"/>
      <c r="D87" s="211"/>
      <c r="E87" s="211"/>
      <c r="F87" s="211"/>
      <c r="G87" s="211"/>
      <c r="H87" s="211"/>
      <c r="I87" s="212"/>
    </row>
    <row r="88" spans="1:9" ht="18.75" customHeight="1" x14ac:dyDescent="0.15">
      <c r="A88" s="1"/>
      <c r="B88" s="210"/>
      <c r="C88" s="211"/>
      <c r="D88" s="211"/>
      <c r="E88" s="211"/>
      <c r="F88" s="211"/>
      <c r="G88" s="211"/>
      <c r="H88" s="211"/>
      <c r="I88" s="212"/>
    </row>
    <row r="89" spans="1:9" ht="18.75" customHeight="1" x14ac:dyDescent="0.15">
      <c r="A89" s="1"/>
      <c r="B89" s="210"/>
      <c r="C89" s="211"/>
      <c r="D89" s="211"/>
      <c r="E89" s="211"/>
      <c r="F89" s="211"/>
      <c r="G89" s="211"/>
      <c r="H89" s="211"/>
      <c r="I89" s="212"/>
    </row>
    <row r="90" spans="1:9" ht="18.75" customHeight="1" x14ac:dyDescent="0.15">
      <c r="A90" s="4"/>
      <c r="B90" s="210"/>
      <c r="C90" s="211"/>
      <c r="D90" s="211"/>
      <c r="E90" s="211"/>
      <c r="F90" s="211"/>
      <c r="G90" s="211"/>
      <c r="H90" s="211"/>
      <c r="I90" s="212"/>
    </row>
    <row r="91" spans="1:9" ht="18.75" customHeight="1" x14ac:dyDescent="0.15">
      <c r="A91" s="4"/>
      <c r="B91" s="213"/>
      <c r="C91" s="214"/>
      <c r="D91" s="214"/>
      <c r="E91" s="214"/>
      <c r="F91" s="214"/>
      <c r="G91" s="214"/>
      <c r="H91" s="214"/>
      <c r="I91" s="215"/>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75" t="s">
        <v>167</v>
      </c>
      <c r="C94" s="176"/>
      <c r="D94" s="176"/>
      <c r="E94" s="176"/>
      <c r="F94" s="176"/>
      <c r="G94" s="176"/>
      <c r="H94" s="176"/>
      <c r="I94" s="177"/>
    </row>
    <row r="95" spans="1:9" ht="18.75" customHeight="1" x14ac:dyDescent="0.15">
      <c r="A95" s="1"/>
      <c r="B95" s="178"/>
      <c r="C95" s="179"/>
      <c r="D95" s="179"/>
      <c r="E95" s="179"/>
      <c r="F95" s="179"/>
      <c r="G95" s="179"/>
      <c r="H95" s="179"/>
      <c r="I95" s="180"/>
    </row>
    <row r="96" spans="1:9" ht="18.75" customHeight="1" x14ac:dyDescent="0.15">
      <c r="A96" s="1"/>
      <c r="B96" s="178"/>
      <c r="C96" s="179"/>
      <c r="D96" s="179"/>
      <c r="E96" s="179"/>
      <c r="F96" s="179"/>
      <c r="G96" s="179"/>
      <c r="H96" s="179"/>
      <c r="I96" s="180"/>
    </row>
    <row r="97" spans="1:9" ht="18.75" customHeight="1" x14ac:dyDescent="0.15">
      <c r="A97" s="1"/>
      <c r="B97" s="178"/>
      <c r="C97" s="179"/>
      <c r="D97" s="179"/>
      <c r="E97" s="179"/>
      <c r="F97" s="179"/>
      <c r="G97" s="179"/>
      <c r="H97" s="179"/>
      <c r="I97" s="180"/>
    </row>
    <row r="98" spans="1:9" ht="18.75" customHeight="1" x14ac:dyDescent="0.15">
      <c r="A98" s="1"/>
      <c r="B98" s="178"/>
      <c r="C98" s="179"/>
      <c r="D98" s="179"/>
      <c r="E98" s="179"/>
      <c r="F98" s="179"/>
      <c r="G98" s="179"/>
      <c r="H98" s="179"/>
      <c r="I98" s="180"/>
    </row>
    <row r="99" spans="1:9" ht="18.75" customHeight="1" x14ac:dyDescent="0.15">
      <c r="A99" s="1"/>
      <c r="B99" s="178"/>
      <c r="C99" s="179"/>
      <c r="D99" s="179"/>
      <c r="E99" s="179"/>
      <c r="F99" s="179"/>
      <c r="G99" s="179"/>
      <c r="H99" s="179"/>
      <c r="I99" s="180"/>
    </row>
    <row r="100" spans="1:9" ht="18.75" customHeight="1" x14ac:dyDescent="0.15">
      <c r="A100" s="1"/>
      <c r="B100" s="178"/>
      <c r="C100" s="179"/>
      <c r="D100" s="179"/>
      <c r="E100" s="179"/>
      <c r="F100" s="179"/>
      <c r="G100" s="179"/>
      <c r="H100" s="179"/>
      <c r="I100" s="180"/>
    </row>
    <row r="101" spans="1:9" ht="18.75" customHeight="1" x14ac:dyDescent="0.15">
      <c r="A101" s="1"/>
      <c r="B101" s="178"/>
      <c r="C101" s="179"/>
      <c r="D101" s="179"/>
      <c r="E101" s="179"/>
      <c r="F101" s="179"/>
      <c r="G101" s="179"/>
      <c r="H101" s="179"/>
      <c r="I101" s="180"/>
    </row>
    <row r="102" spans="1:9" ht="18.75" customHeight="1" x14ac:dyDescent="0.15">
      <c r="A102" s="1"/>
      <c r="B102" s="178"/>
      <c r="C102" s="179"/>
      <c r="D102" s="179"/>
      <c r="E102" s="179"/>
      <c r="F102" s="179"/>
      <c r="G102" s="179"/>
      <c r="H102" s="179"/>
      <c r="I102" s="180"/>
    </row>
    <row r="103" spans="1:9" ht="18.75" customHeight="1" x14ac:dyDescent="0.15">
      <c r="A103" s="1"/>
      <c r="B103" s="178"/>
      <c r="C103" s="179"/>
      <c r="D103" s="179"/>
      <c r="E103" s="179"/>
      <c r="F103" s="179"/>
      <c r="G103" s="179"/>
      <c r="H103" s="179"/>
      <c r="I103" s="180"/>
    </row>
    <row r="104" spans="1:9" ht="18.75" customHeight="1" x14ac:dyDescent="0.15">
      <c r="A104" s="1"/>
      <c r="B104" s="178"/>
      <c r="C104" s="179"/>
      <c r="D104" s="179"/>
      <c r="E104" s="179"/>
      <c r="F104" s="179"/>
      <c r="G104" s="179"/>
      <c r="H104" s="179"/>
      <c r="I104" s="180"/>
    </row>
    <row r="105" spans="1:9" ht="18.75" customHeight="1" x14ac:dyDescent="0.15">
      <c r="A105" s="4"/>
      <c r="B105" s="181"/>
      <c r="C105" s="182"/>
      <c r="D105" s="182"/>
      <c r="E105" s="182"/>
      <c r="F105" s="182"/>
      <c r="G105" s="182"/>
      <c r="H105" s="182"/>
      <c r="I105" s="183"/>
    </row>
    <row r="106" spans="1:9" ht="7.5" customHeight="1" x14ac:dyDescent="0.15">
      <c r="A106" s="4"/>
      <c r="B106" s="4"/>
      <c r="C106" s="4"/>
      <c r="D106" s="4"/>
      <c r="E106" s="4"/>
      <c r="F106" s="4"/>
      <c r="G106" s="4"/>
      <c r="H106" s="4"/>
      <c r="I106" s="4"/>
    </row>
    <row r="107" spans="1:9" ht="18.75" customHeight="1" x14ac:dyDescent="0.15">
      <c r="A107" s="1" t="s">
        <v>30</v>
      </c>
      <c r="B107" s="184" t="s">
        <v>46</v>
      </c>
      <c r="C107" s="184"/>
      <c r="D107" s="184"/>
      <c r="E107" s="184"/>
      <c r="F107" s="184"/>
      <c r="G107" s="184"/>
      <c r="H107" s="184"/>
      <c r="I107" s="184"/>
    </row>
    <row r="108" spans="1:9" ht="18.75" customHeight="1" x14ac:dyDescent="0.15">
      <c r="A108" s="4"/>
      <c r="B108" s="175" t="s">
        <v>138</v>
      </c>
      <c r="C108" s="176"/>
      <c r="D108" s="176"/>
      <c r="E108" s="176"/>
      <c r="F108" s="176"/>
      <c r="G108" s="176"/>
      <c r="H108" s="176"/>
      <c r="I108" s="177"/>
    </row>
    <row r="109" spans="1:9" ht="18.75" customHeight="1" x14ac:dyDescent="0.15">
      <c r="A109" s="4"/>
      <c r="B109" s="178"/>
      <c r="C109" s="179"/>
      <c r="D109" s="179"/>
      <c r="E109" s="179"/>
      <c r="F109" s="179"/>
      <c r="G109" s="179"/>
      <c r="H109" s="179"/>
      <c r="I109" s="180"/>
    </row>
    <row r="110" spans="1:9" ht="18.75" customHeight="1" x14ac:dyDescent="0.15">
      <c r="A110" s="4"/>
      <c r="B110" s="178"/>
      <c r="C110" s="179"/>
      <c r="D110" s="179"/>
      <c r="E110" s="179"/>
      <c r="F110" s="179"/>
      <c r="G110" s="179"/>
      <c r="H110" s="179"/>
      <c r="I110" s="180"/>
    </row>
    <row r="111" spans="1:9" ht="18.75" customHeight="1" x14ac:dyDescent="0.15">
      <c r="A111" s="4"/>
      <c r="B111" s="178"/>
      <c r="C111" s="179"/>
      <c r="D111" s="179"/>
      <c r="E111" s="179"/>
      <c r="F111" s="179"/>
      <c r="G111" s="179"/>
      <c r="H111" s="179"/>
      <c r="I111" s="180"/>
    </row>
    <row r="112" spans="1:9" ht="18.75" customHeight="1" x14ac:dyDescent="0.15">
      <c r="A112" s="4"/>
      <c r="B112" s="178"/>
      <c r="C112" s="179"/>
      <c r="D112" s="179"/>
      <c r="E112" s="179"/>
      <c r="F112" s="179"/>
      <c r="G112" s="179"/>
      <c r="H112" s="179"/>
      <c r="I112" s="180"/>
    </row>
    <row r="113" spans="1:9" ht="18.75" customHeight="1" x14ac:dyDescent="0.15">
      <c r="A113" s="4"/>
      <c r="B113" s="178"/>
      <c r="C113" s="179"/>
      <c r="D113" s="179"/>
      <c r="E113" s="179"/>
      <c r="F113" s="179"/>
      <c r="G113" s="179"/>
      <c r="H113" s="179"/>
      <c r="I113" s="180"/>
    </row>
    <row r="114" spans="1:9" ht="18.75" customHeight="1" x14ac:dyDescent="0.15">
      <c r="A114" s="4"/>
      <c r="B114" s="178"/>
      <c r="C114" s="179"/>
      <c r="D114" s="179"/>
      <c r="E114" s="179"/>
      <c r="F114" s="179"/>
      <c r="G114" s="179"/>
      <c r="H114" s="179"/>
      <c r="I114" s="180"/>
    </row>
    <row r="115" spans="1:9" ht="18.75" customHeight="1" x14ac:dyDescent="0.15">
      <c r="A115" s="4"/>
      <c r="B115" s="178"/>
      <c r="C115" s="179"/>
      <c r="D115" s="179"/>
      <c r="E115" s="179"/>
      <c r="F115" s="179"/>
      <c r="G115" s="179"/>
      <c r="H115" s="179"/>
      <c r="I115" s="180"/>
    </row>
    <row r="116" spans="1:9" ht="18.75" customHeight="1" x14ac:dyDescent="0.15">
      <c r="A116" s="4"/>
      <c r="B116" s="178"/>
      <c r="C116" s="179"/>
      <c r="D116" s="179"/>
      <c r="E116" s="179"/>
      <c r="F116" s="179"/>
      <c r="G116" s="179"/>
      <c r="H116" s="179"/>
      <c r="I116" s="180"/>
    </row>
    <row r="117" spans="1:9" ht="18.75" customHeight="1" x14ac:dyDescent="0.15">
      <c r="A117" s="4"/>
      <c r="B117" s="178"/>
      <c r="C117" s="179"/>
      <c r="D117" s="179"/>
      <c r="E117" s="179"/>
      <c r="F117" s="179"/>
      <c r="G117" s="179"/>
      <c r="H117" s="179"/>
      <c r="I117" s="180"/>
    </row>
    <row r="118" spans="1:9" ht="18.75" customHeight="1" x14ac:dyDescent="0.15">
      <c r="A118" s="4"/>
      <c r="B118" s="178"/>
      <c r="C118" s="179"/>
      <c r="D118" s="179"/>
      <c r="E118" s="179"/>
      <c r="F118" s="179"/>
      <c r="G118" s="179"/>
      <c r="H118" s="179"/>
      <c r="I118" s="180"/>
    </row>
    <row r="119" spans="1:9" ht="18.75" customHeight="1" x14ac:dyDescent="0.15">
      <c r="A119" s="4"/>
      <c r="B119" s="181"/>
      <c r="C119" s="182"/>
      <c r="D119" s="182"/>
      <c r="E119" s="182"/>
      <c r="F119" s="182"/>
      <c r="G119" s="182"/>
      <c r="H119" s="182"/>
      <c r="I119" s="183"/>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C1" sqref="C1"/>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松山東雲女子大学</v>
      </c>
    </row>
    <row r="3" spans="1:9" ht="18.75" customHeight="1" x14ac:dyDescent="0.15">
      <c r="A3" s="132" t="s">
        <v>28</v>
      </c>
      <c r="B3" s="132"/>
      <c r="C3" s="132"/>
      <c r="D3" s="132"/>
      <c r="E3" s="132"/>
      <c r="F3" s="132"/>
      <c r="G3" s="132"/>
      <c r="H3" s="132"/>
      <c r="I3" s="13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93" t="s">
        <v>168</v>
      </c>
      <c r="C6" s="233"/>
      <c r="D6" s="233"/>
      <c r="E6" s="233"/>
      <c r="F6" s="233"/>
      <c r="G6" s="233"/>
      <c r="H6" s="234"/>
      <c r="I6" s="3"/>
    </row>
    <row r="7" spans="1:9" ht="9" customHeight="1" x14ac:dyDescent="0.15">
      <c r="A7" s="5"/>
      <c r="B7" s="10"/>
      <c r="C7" s="10"/>
      <c r="D7" s="10"/>
      <c r="E7" s="10"/>
      <c r="F7" s="10"/>
      <c r="G7" s="10"/>
      <c r="H7" s="10"/>
      <c r="I7" s="3"/>
    </row>
    <row r="8" spans="1:9" ht="18.75" customHeight="1" x14ac:dyDescent="0.15">
      <c r="A8" s="5"/>
      <c r="B8" s="3"/>
      <c r="C8" s="3"/>
      <c r="D8" s="34" t="s">
        <v>43</v>
      </c>
      <c r="E8" s="35" t="s">
        <v>132</v>
      </c>
      <c r="F8" s="3"/>
      <c r="G8" s="34" t="s">
        <v>10</v>
      </c>
      <c r="H8" s="35" t="s">
        <v>131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49" t="s">
        <v>14</v>
      </c>
      <c r="C12" s="56"/>
      <c r="D12" s="50"/>
      <c r="E12" s="57"/>
      <c r="F12" s="57"/>
      <c r="G12" s="57"/>
      <c r="H12" s="57"/>
      <c r="I12" s="50"/>
    </row>
    <row r="13" spans="1:9" ht="210.75" customHeight="1" x14ac:dyDescent="0.15">
      <c r="B13" s="51"/>
      <c r="C13" s="231" t="s">
        <v>15</v>
      </c>
      <c r="D13" s="232"/>
      <c r="E13" s="228" t="s">
        <v>148</v>
      </c>
      <c r="F13" s="229"/>
      <c r="G13" s="229"/>
      <c r="H13" s="229"/>
      <c r="I13" s="230"/>
    </row>
    <row r="14" spans="1:9" ht="210.75" customHeight="1" x14ac:dyDescent="0.15">
      <c r="B14" s="51"/>
      <c r="C14" s="226" t="s">
        <v>16</v>
      </c>
      <c r="D14" s="227"/>
      <c r="E14" s="228" t="s">
        <v>150</v>
      </c>
      <c r="F14" s="229"/>
      <c r="G14" s="229"/>
      <c r="H14" s="229"/>
      <c r="I14" s="230"/>
    </row>
    <row r="15" spans="1:9" ht="210.75" customHeight="1" x14ac:dyDescent="0.15">
      <c r="B15" s="51"/>
      <c r="C15" s="231" t="s">
        <v>17</v>
      </c>
      <c r="D15" s="232"/>
      <c r="E15" s="228" t="s">
        <v>142</v>
      </c>
      <c r="F15" s="229"/>
      <c r="G15" s="229"/>
      <c r="H15" s="229"/>
      <c r="I15" s="230"/>
    </row>
    <row r="16" spans="1:9" ht="210.75" customHeight="1" x14ac:dyDescent="0.15">
      <c r="B16" s="51"/>
      <c r="C16" s="231" t="s">
        <v>18</v>
      </c>
      <c r="D16" s="232"/>
      <c r="E16" s="228" t="s">
        <v>139</v>
      </c>
      <c r="F16" s="229"/>
      <c r="G16" s="229"/>
      <c r="H16" s="229"/>
      <c r="I16" s="230"/>
    </row>
    <row r="17" spans="2:9" ht="210.75" customHeight="1" x14ac:dyDescent="0.15">
      <c r="B17" s="52"/>
      <c r="C17" s="235" t="s">
        <v>19</v>
      </c>
      <c r="D17" s="236"/>
      <c r="E17" s="237" t="s">
        <v>149</v>
      </c>
      <c r="F17" s="238"/>
      <c r="G17" s="238"/>
      <c r="H17" s="238"/>
      <c r="I17" s="239"/>
    </row>
    <row r="18" spans="2:9" ht="24" customHeight="1" x14ac:dyDescent="0.15">
      <c r="B18" s="49" t="s">
        <v>20</v>
      </c>
      <c r="C18" s="53"/>
      <c r="D18" s="54"/>
      <c r="E18" s="55"/>
      <c r="F18" s="55"/>
      <c r="G18" s="55"/>
      <c r="H18" s="55"/>
      <c r="I18" s="58"/>
    </row>
    <row r="19" spans="2:9" ht="218.25" customHeight="1" x14ac:dyDescent="0.15">
      <c r="B19" s="51"/>
      <c r="C19" s="231" t="s">
        <v>21</v>
      </c>
      <c r="D19" s="232"/>
      <c r="E19" s="229" t="s">
        <v>140</v>
      </c>
      <c r="F19" s="229"/>
      <c r="G19" s="229"/>
      <c r="H19" s="229"/>
      <c r="I19" s="230"/>
    </row>
    <row r="20" spans="2:9" ht="218.25" customHeight="1" x14ac:dyDescent="0.15">
      <c r="B20" s="52"/>
      <c r="C20" s="235" t="s">
        <v>22</v>
      </c>
      <c r="D20" s="236"/>
      <c r="E20" s="238" t="s">
        <v>151</v>
      </c>
      <c r="F20" s="238"/>
      <c r="G20" s="238"/>
      <c r="H20" s="238"/>
      <c r="I20" s="239"/>
    </row>
    <row r="21" spans="2:9" ht="218.25" customHeight="1" x14ac:dyDescent="0.15">
      <c r="B21" s="245" t="s">
        <v>23</v>
      </c>
      <c r="C21" s="246"/>
      <c r="D21" s="247"/>
      <c r="E21" s="248" t="s">
        <v>141</v>
      </c>
      <c r="F21" s="248"/>
      <c r="G21" s="248"/>
      <c r="H21" s="248"/>
      <c r="I21" s="249"/>
    </row>
    <row r="22" spans="2:9" ht="218.25" customHeight="1" x14ac:dyDescent="0.15">
      <c r="B22" s="240" t="s">
        <v>38</v>
      </c>
      <c r="C22" s="241"/>
      <c r="D22" s="242"/>
      <c r="E22" s="243" t="s">
        <v>152</v>
      </c>
      <c r="F22" s="243"/>
      <c r="G22" s="243"/>
      <c r="H22" s="243"/>
      <c r="I22" s="24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村越 由佳</cp:lastModifiedBy>
  <cp:lastPrinted>2023-05-15T02:00:24Z</cp:lastPrinted>
  <dcterms:created xsi:type="dcterms:W3CDTF">2011-06-14T05:32:50Z</dcterms:created>
  <dcterms:modified xsi:type="dcterms:W3CDTF">2023-07-14T05:18:47Z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