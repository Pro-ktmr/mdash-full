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revisions/revisionHeaders.xml" ContentType="application/vnd.openxmlformats-officedocument.spreadsheetml.revisionHeaders+xml"/>
  <Override PartName="/xl/revisions/revisionLog35.xml" ContentType="application/vnd.openxmlformats-officedocument.spreadsheetml.revisionLog+xml"/>
  <Override PartName="/xl/revisions/userNames.xml" ContentType="application/vnd.openxmlformats-officedocument.spreadsheetml.userNam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revisions/revisionLog8.xml" ContentType="application/vnd.openxmlformats-officedocument.spreadsheetml.revisionLog+xml"/>
  <Override PartName="/xl/revisions/revisionLog13.xml" ContentType="application/vnd.openxmlformats-officedocument.spreadsheetml.revisionLog+xml"/>
  <Override PartName="/xl/revisions/revisionLog18.xml" ContentType="application/vnd.openxmlformats-officedocument.spreadsheetml.revisionLog+xml"/>
  <Override PartName="/xl/revisions/revisionLog3.xml" ContentType="application/vnd.openxmlformats-officedocument.spreadsheetml.revisionLog+xml"/>
  <Override PartName="/xl/revisions/revisionLog21.xml" ContentType="application/vnd.openxmlformats-officedocument.spreadsheetml.revisionLog+xml"/>
  <Override PartName="/xl/revisions/revisionLog30.xml" ContentType="application/vnd.openxmlformats-officedocument.spreadsheetml.revisionLog+xml"/>
  <Override PartName="/xl/revisions/revisionLog7.xml" ContentType="application/vnd.openxmlformats-officedocument.spreadsheetml.revisionLog+xml"/>
  <Override PartName="/xl/revisions/revisionLog12.xml" ContentType="application/vnd.openxmlformats-officedocument.spreadsheetml.revisionLog+xml"/>
  <Override PartName="/xl/revisions/revisionLog17.xml" ContentType="application/vnd.openxmlformats-officedocument.spreadsheetml.revisionLog+xml"/>
  <Override PartName="/xl/revisions/revisionLog2.xml" ContentType="application/vnd.openxmlformats-officedocument.spreadsheetml.revisionLog+xml"/>
  <Override PartName="/xl/revisions/revisionLog29.xml" ContentType="application/vnd.openxmlformats-officedocument.spreadsheetml.revisionLog+xml"/>
  <Override PartName="/xl/revisions/revisionLog34.xml" ContentType="application/vnd.openxmlformats-officedocument.spreadsheetml.revisionLog+xml"/>
  <Override PartName="/xl/revisions/revisionLog20.xml" ContentType="application/vnd.openxmlformats-officedocument.spreadsheetml.revisionLog+xml"/>
  <Override PartName="/xl/revisions/revisionLog16.xml" ContentType="application/vnd.openxmlformats-officedocument.spreadsheetml.revisionLog+xml"/>
  <Override PartName="/xl/revisions/revisionLog25.xml" ContentType="application/vnd.openxmlformats-officedocument.spreadsheetml.revisionLog+xml"/>
  <Override PartName="/xl/revisions/revisionLog11.xml" ContentType="application/vnd.openxmlformats-officedocument.spreadsheetml.revisionLog+xml"/>
  <Override PartName="/xl/revisions/revisionLog6.xml" ContentType="application/vnd.openxmlformats-officedocument.spreadsheetml.revisionLog+xml"/>
  <Override PartName="/xl/revisions/revisionLog1.xml" ContentType="application/vnd.openxmlformats-officedocument.spreadsheetml.revisionLog+xml"/>
  <Override PartName="/xl/revisions/revisionLog28.xml" ContentType="application/vnd.openxmlformats-officedocument.spreadsheetml.revisionLog+xml"/>
  <Override PartName="/xl/revisions/revisionLog33.xml" ContentType="application/vnd.openxmlformats-officedocument.spreadsheetml.revisionLog+xml"/>
  <Override PartName="/xl/revisions/revisionLog5.xml" ContentType="application/vnd.openxmlformats-officedocument.spreadsheetml.revisionLog+xml"/>
  <Override PartName="/xl/revisions/revisionLog15.xml" ContentType="application/vnd.openxmlformats-officedocument.spreadsheetml.revisionLog+xml"/>
  <Override PartName="/xl/revisions/revisionLog23.xml" ContentType="application/vnd.openxmlformats-officedocument.spreadsheetml.revisionLog+xml"/>
  <Override PartName="/xl/revisions/revisionLog24.xml" ContentType="application/vnd.openxmlformats-officedocument.spreadsheetml.revisionLog+xml"/>
  <Override PartName="/xl/revisions/revisionLog32.xml" ContentType="application/vnd.openxmlformats-officedocument.spreadsheetml.revisionLog+xml"/>
  <Override PartName="/xl/revisions/revisionLog10.xml" ContentType="application/vnd.openxmlformats-officedocument.spreadsheetml.revisionLog+xml"/>
  <Override PartName="/xl/revisions/revisionLog19.xml" ContentType="application/vnd.openxmlformats-officedocument.spreadsheetml.revisionLog+xml"/>
  <Override PartName="/xl/revisions/revisionLog27.xml" ContentType="application/vnd.openxmlformats-officedocument.spreadsheetml.revisionLog+xml"/>
  <Override PartName="/xl/revisions/revisionLog22.xml" ContentType="application/vnd.openxmlformats-officedocument.spreadsheetml.revisionLog+xml"/>
  <Override PartName="/xl/revisions/revisionLog9.xml" ContentType="application/vnd.openxmlformats-officedocument.spreadsheetml.revisionLog+xml"/>
  <Override PartName="/xl/revisions/revisionLog14.xml" ContentType="application/vnd.openxmlformats-officedocument.spreadsheetml.revisionLog+xml"/>
  <Override PartName="/xl/revisions/revisionLog4.xml" ContentType="application/vnd.openxmlformats-officedocument.spreadsheetml.revisionLog+xml"/>
  <Override PartName="/xl/revisions/revisionLog26.xml" ContentType="application/vnd.openxmlformats-officedocument.spreadsheetml.revisionLog+xml"/>
  <Override PartName="/xl/revisions/revisionLog31.xml" ContentType="application/vnd.openxmlformats-officedocument.spreadsheetml.revisionLog+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82"/>
  <workbookPr defaultThemeVersion="124226"/>
  <mc:AlternateContent xmlns:mc="http://schemas.openxmlformats.org/markup-compatibility/2006">
    <mc:Choice Requires="x15">
      <x15ac:absPath xmlns:x15ac="http://schemas.microsoft.com/office/spreadsheetml/2010/11/ac" url="I:\作業フォルダ(大江)\m)文科省\文科省　数理・データサイエンス・AI教育プログラム認定制度\令和5申請_●2023.05.15〆切。様式・要領は↑の★にある\大学\6.再提出(修正したファイルのみアップロードする)\"/>
    </mc:Choice>
  </mc:AlternateContent>
  <xr:revisionPtr revIDLastSave="0" documentId="13_ncr:81_{979FC5A8-9064-4452-8C5B-8813144D2CE0}" xr6:coauthVersionLast="36" xr6:coauthVersionMax="47" xr10:uidLastSave="{00000000-0000-0000-0000-000000000000}"/>
  <bookViews>
    <workbookView xWindow="7920" yWindow="1164" windowWidth="29460" windowHeight="18684" tabRatio="803" xr2:uid="{00000000-000D-0000-FFFF-FFFF00000000}"/>
  </bookViews>
  <sheets>
    <sheet name="様式１-１　プログラムを構成する授業科目" sheetId="1" r:id="rId1"/>
    <sheet name="様式１-２　プログラムを構成する授業科目 (国際看護学部)" sheetId="2" r:id="rId2"/>
    <sheet name="様式２ 履修者等数の実績" sheetId="3" r:id="rId3"/>
    <sheet name="様式３ 教育の質・履修者数を向上させるための体制・計画" sheetId="4" r:id="rId4"/>
    <sheet name="様式４　自己点検・評価" sheetId="5" r:id="rId5"/>
  </sheets>
  <definedNames>
    <definedName name="_xlnm._FilterDatabase" localSheetId="0" hidden="1">'様式１-１　プログラムを構成する授業科目'!$V$14:$V$16</definedName>
    <definedName name="_xlnm._FilterDatabase" localSheetId="1" hidden="1">'様式１-２　プログラムを構成する授業科目 (国際看護学部)'!$V$14:$V$16</definedName>
    <definedName name="_xlnm._FilterDatabase" localSheetId="2" hidden="1">'様式２ 履修者等数の実績'!#REF!</definedName>
    <definedName name="_xlnm.Print_Area" localSheetId="0">'様式１-１　プログラムを構成する授業科目'!$A$1:$S$102</definedName>
    <definedName name="_xlnm.Print_Area" localSheetId="1">'様式１-２　プログラムを構成する授業科目 (国際看護学部)'!$A$1:$S$102</definedName>
    <definedName name="_xlnm.Print_Area" localSheetId="2">'様式２ 履修者等数の実績'!$A$1:$AQ$32</definedName>
    <definedName name="_xlnm.Print_Area" localSheetId="3">'様式３ 教育の質・履修者数を向上させるための体制・計画'!$A$1:$I$120</definedName>
    <definedName name="_xlnm.Print_Area" localSheetId="4">'様式４　自己点検・評価'!$A$1:$I$22</definedName>
    <definedName name="_xlnm.Print_Titles" localSheetId="4">'様式４　自己点検・評価'!$11:$11</definedName>
    <definedName name="Z_1F7DD307_FDAD_4F12_A71C_909420D0BA34_.wvu.Cols" localSheetId="0" hidden="1">'様式１-１　プログラムを構成する授業科目'!$V:$V</definedName>
    <definedName name="Z_1F7DD307_FDAD_4F12_A71C_909420D0BA34_.wvu.Cols" localSheetId="1" hidden="1">'様式１-２　プログラムを構成する授業科目 (国際看護学部)'!$V:$V</definedName>
    <definedName name="Z_1F7DD307_FDAD_4F12_A71C_909420D0BA34_.wvu.FilterData" localSheetId="0" hidden="1">'様式１-１　プログラムを構成する授業科目'!$V$14:$V$16</definedName>
    <definedName name="Z_1F7DD307_FDAD_4F12_A71C_909420D0BA34_.wvu.FilterData" localSheetId="1" hidden="1">'様式１-２　プログラムを構成する授業科目 (国際看護学部)'!$V$14:$V$16</definedName>
    <definedName name="Z_1F7DD307_FDAD_4F12_A71C_909420D0BA34_.wvu.PrintArea" localSheetId="0" hidden="1">'様式１-１　プログラムを構成する授業科目'!$A$1:$S$102</definedName>
    <definedName name="Z_1F7DD307_FDAD_4F12_A71C_909420D0BA34_.wvu.PrintArea" localSheetId="1" hidden="1">'様式１-２　プログラムを構成する授業科目 (国際看護学部)'!$A$1:$S$102</definedName>
    <definedName name="Z_1F7DD307_FDAD_4F12_A71C_909420D0BA34_.wvu.PrintArea" localSheetId="2" hidden="1">'様式２ 履修者等数の実績'!$A$1:$AQ$32</definedName>
    <definedName name="Z_1F7DD307_FDAD_4F12_A71C_909420D0BA34_.wvu.PrintArea" localSheetId="3" hidden="1">'様式３ 教育の質・履修者数を向上させるための体制・計画'!$A$1:$I$120</definedName>
    <definedName name="Z_1F7DD307_FDAD_4F12_A71C_909420D0BA34_.wvu.PrintArea" localSheetId="4" hidden="1">'様式４　自己点検・評価'!$A$1:$I$22</definedName>
    <definedName name="Z_1F7DD307_FDAD_4F12_A71C_909420D0BA34_.wvu.PrintTitles" localSheetId="4" hidden="1">'様式４　自己点検・評価'!$11:$11</definedName>
    <definedName name="Z_8C9D52A6_6DCF_4B21_8AFD_E83D9E686319_.wvu.Cols" localSheetId="0" hidden="1">'様式１-１　プログラムを構成する授業科目'!$V:$V</definedName>
    <definedName name="Z_8C9D52A6_6DCF_4B21_8AFD_E83D9E686319_.wvu.Cols" localSheetId="1" hidden="1">'様式１-２　プログラムを構成する授業科目 (国際看護学部)'!$V:$V</definedName>
    <definedName name="Z_8C9D52A6_6DCF_4B21_8AFD_E83D9E686319_.wvu.FilterData" localSheetId="0" hidden="1">'様式１-１　プログラムを構成する授業科目'!$V$14:$V$16</definedName>
    <definedName name="Z_8C9D52A6_6DCF_4B21_8AFD_E83D9E686319_.wvu.FilterData" localSheetId="1" hidden="1">'様式１-２　プログラムを構成する授業科目 (国際看護学部)'!$V$14:$V$16</definedName>
    <definedName name="Z_8C9D52A6_6DCF_4B21_8AFD_E83D9E686319_.wvu.PrintArea" localSheetId="0" hidden="1">'様式１-１　プログラムを構成する授業科目'!$A$1:$S$102</definedName>
    <definedName name="Z_8C9D52A6_6DCF_4B21_8AFD_E83D9E686319_.wvu.PrintArea" localSheetId="1" hidden="1">'様式１-２　プログラムを構成する授業科目 (国際看護学部)'!$A$1:$S$102</definedName>
    <definedName name="Z_8C9D52A6_6DCF_4B21_8AFD_E83D9E686319_.wvu.PrintArea" localSheetId="2" hidden="1">'様式２ 履修者等数の実績'!$A$1:$AQ$32</definedName>
    <definedName name="Z_8C9D52A6_6DCF_4B21_8AFD_E83D9E686319_.wvu.PrintArea" localSheetId="3" hidden="1">'様式３ 教育の質・履修者数を向上させるための体制・計画'!$A$1:$I$120</definedName>
    <definedName name="Z_8C9D52A6_6DCF_4B21_8AFD_E83D9E686319_.wvu.PrintArea" localSheetId="4" hidden="1">'様式４　自己点検・評価'!$A$1:$I$22</definedName>
    <definedName name="Z_8C9D52A6_6DCF_4B21_8AFD_E83D9E686319_.wvu.PrintTitles" localSheetId="4" hidden="1">'様式４　自己点検・評価'!$11:$11</definedName>
  </definedNames>
  <calcPr calcId="191029"/>
  <customWorkbookViews>
    <customWorkbookView name="総合企画室 - 個人用ビュー" guid="{1F7DD307-FDAD-4F12-A71C-909420D0BA34}" mergeInterval="0" personalView="1" maximized="1" xWindow="-8" yWindow="-1088" windowWidth="1936" windowHeight="1056" tabRatio="803" activeSheetId="1"/>
    <customWorkbookView name="hata - 個人用ビュー" guid="{8C9D52A6-6DCF-4B21-8AFD-E83D9E686319}" mergeInterval="0" personalView="1" xWindow="792" yWindow="116" windowWidth="2946" windowHeight="1868" tabRatio="803" activeSheetId="2"/>
  </customWorkbookViews>
</workbook>
</file>

<file path=xl/calcChain.xml><?xml version="1.0" encoding="utf-8"?>
<calcChain xmlns="http://schemas.openxmlformats.org/spreadsheetml/2006/main">
  <c r="H2" i="4" l="1"/>
  <c r="AM2" i="3"/>
  <c r="AO32" i="3" l="1"/>
  <c r="AN32" i="3"/>
  <c r="AL32" i="3"/>
  <c r="AK32" i="3"/>
  <c r="AM31" i="3"/>
  <c r="AJ31" i="3"/>
  <c r="AM30" i="3"/>
  <c r="AJ30" i="3"/>
  <c r="AM29" i="3"/>
  <c r="AJ29" i="3"/>
  <c r="AM28" i="3"/>
  <c r="AJ28" i="3"/>
  <c r="AM27" i="3"/>
  <c r="AJ27" i="3"/>
  <c r="AM26" i="3"/>
  <c r="AJ26" i="3"/>
  <c r="AM25" i="3"/>
  <c r="AJ25" i="3"/>
  <c r="AM24" i="3"/>
  <c r="AJ24" i="3"/>
  <c r="AM23" i="3"/>
  <c r="AJ23" i="3"/>
  <c r="AM22" i="3"/>
  <c r="AJ22" i="3"/>
  <c r="AM21" i="3"/>
  <c r="AJ21" i="3"/>
  <c r="AM20" i="3"/>
  <c r="AJ20" i="3"/>
  <c r="AM19" i="3"/>
  <c r="AJ19" i="3"/>
  <c r="AM18" i="3"/>
  <c r="AJ18" i="3"/>
  <c r="AM17" i="3"/>
  <c r="AJ17" i="3"/>
  <c r="AM16" i="3"/>
  <c r="AJ16" i="3"/>
  <c r="AM15" i="3"/>
  <c r="AJ15" i="3"/>
  <c r="AM14" i="3"/>
  <c r="AJ14" i="3"/>
  <c r="AM13" i="3"/>
  <c r="AJ13" i="3"/>
  <c r="AM12" i="3"/>
  <c r="AJ12" i="3"/>
  <c r="AI32" i="3"/>
  <c r="AH32" i="3"/>
  <c r="AF32" i="3"/>
  <c r="AE32" i="3"/>
  <c r="AG31" i="3"/>
  <c r="AD31" i="3"/>
  <c r="AG30" i="3"/>
  <c r="AD30" i="3"/>
  <c r="AG29" i="3"/>
  <c r="AD29" i="3"/>
  <c r="AG28" i="3"/>
  <c r="AD28" i="3"/>
  <c r="AG27" i="3"/>
  <c r="AD27" i="3"/>
  <c r="AG26" i="3"/>
  <c r="AD26" i="3"/>
  <c r="AG25" i="3"/>
  <c r="AD25" i="3"/>
  <c r="AG24" i="3"/>
  <c r="AD24" i="3"/>
  <c r="AG23" i="3"/>
  <c r="AD23" i="3"/>
  <c r="AG22" i="3"/>
  <c r="AD22" i="3"/>
  <c r="AG21" i="3"/>
  <c r="AD21" i="3"/>
  <c r="AG20" i="3"/>
  <c r="AD20" i="3"/>
  <c r="AG19" i="3"/>
  <c r="AD19" i="3"/>
  <c r="AG18" i="3"/>
  <c r="AD18" i="3"/>
  <c r="AG17" i="3"/>
  <c r="AD17" i="3"/>
  <c r="AG16" i="3"/>
  <c r="AD16" i="3"/>
  <c r="AG15" i="3"/>
  <c r="AD15" i="3"/>
  <c r="AG14" i="3"/>
  <c r="AD14" i="3"/>
  <c r="AG13" i="3"/>
  <c r="AD13" i="3"/>
  <c r="AG12" i="3"/>
  <c r="AD12" i="3"/>
  <c r="AC32" i="3"/>
  <c r="AB32" i="3"/>
  <c r="Z32" i="3"/>
  <c r="Y32" i="3"/>
  <c r="AA31" i="3"/>
  <c r="X31" i="3"/>
  <c r="AA30" i="3"/>
  <c r="X30" i="3"/>
  <c r="AA29" i="3"/>
  <c r="X29" i="3"/>
  <c r="AA28" i="3"/>
  <c r="X28" i="3"/>
  <c r="AA27" i="3"/>
  <c r="X27" i="3"/>
  <c r="AA26" i="3"/>
  <c r="X26" i="3"/>
  <c r="AA25" i="3"/>
  <c r="X25" i="3"/>
  <c r="AA24" i="3"/>
  <c r="X24" i="3"/>
  <c r="AA23" i="3"/>
  <c r="X23" i="3"/>
  <c r="AA22" i="3"/>
  <c r="X22" i="3"/>
  <c r="AA21" i="3"/>
  <c r="X21" i="3"/>
  <c r="AA20" i="3"/>
  <c r="X20" i="3"/>
  <c r="AA19" i="3"/>
  <c r="X19" i="3"/>
  <c r="AA18" i="3"/>
  <c r="X18" i="3"/>
  <c r="AA17" i="3"/>
  <c r="X17" i="3"/>
  <c r="AA16" i="3"/>
  <c r="X16" i="3"/>
  <c r="AA15" i="3"/>
  <c r="X15" i="3"/>
  <c r="AA14" i="3"/>
  <c r="X14" i="3"/>
  <c r="AA13" i="3"/>
  <c r="X13" i="3"/>
  <c r="AA12" i="3"/>
  <c r="X12" i="3"/>
  <c r="W32" i="3"/>
  <c r="V32" i="3"/>
  <c r="T32" i="3"/>
  <c r="S32" i="3"/>
  <c r="U31" i="3"/>
  <c r="R31" i="3"/>
  <c r="U30" i="3"/>
  <c r="R30" i="3"/>
  <c r="U29" i="3"/>
  <c r="R29" i="3"/>
  <c r="U28" i="3"/>
  <c r="R28" i="3"/>
  <c r="U27" i="3"/>
  <c r="R27" i="3"/>
  <c r="U26" i="3"/>
  <c r="R26" i="3"/>
  <c r="U25" i="3"/>
  <c r="R25" i="3"/>
  <c r="U24" i="3"/>
  <c r="R24" i="3"/>
  <c r="U23" i="3"/>
  <c r="R23" i="3"/>
  <c r="U22" i="3"/>
  <c r="R22" i="3"/>
  <c r="U21" i="3"/>
  <c r="R21" i="3"/>
  <c r="U20" i="3"/>
  <c r="R20" i="3"/>
  <c r="U19" i="3"/>
  <c r="R19" i="3"/>
  <c r="U18" i="3"/>
  <c r="R18" i="3"/>
  <c r="U17" i="3"/>
  <c r="R17" i="3"/>
  <c r="U16" i="3"/>
  <c r="R16" i="3"/>
  <c r="U15" i="3"/>
  <c r="R15" i="3"/>
  <c r="U14" i="3"/>
  <c r="R14" i="3"/>
  <c r="U13" i="3"/>
  <c r="R13" i="3"/>
  <c r="U12" i="3"/>
  <c r="R12" i="3"/>
  <c r="Q32" i="3"/>
  <c r="P32" i="3"/>
  <c r="N32" i="3"/>
  <c r="M32" i="3"/>
  <c r="O31" i="3"/>
  <c r="L31" i="3"/>
  <c r="O30" i="3"/>
  <c r="L30" i="3"/>
  <c r="O29" i="3"/>
  <c r="L29" i="3"/>
  <c r="O28" i="3"/>
  <c r="L28" i="3"/>
  <c r="O27" i="3"/>
  <c r="L27" i="3"/>
  <c r="O26" i="3"/>
  <c r="L26" i="3"/>
  <c r="O25" i="3"/>
  <c r="L25" i="3"/>
  <c r="O24" i="3"/>
  <c r="L24" i="3"/>
  <c r="O23" i="3"/>
  <c r="L23" i="3"/>
  <c r="O22" i="3"/>
  <c r="L22" i="3"/>
  <c r="O21" i="3"/>
  <c r="L21" i="3"/>
  <c r="O20" i="3"/>
  <c r="L20" i="3"/>
  <c r="O19" i="3"/>
  <c r="L19" i="3"/>
  <c r="O18" i="3"/>
  <c r="L18" i="3"/>
  <c r="O17" i="3"/>
  <c r="L17" i="3"/>
  <c r="O16" i="3"/>
  <c r="L16" i="3"/>
  <c r="O15" i="3"/>
  <c r="L15" i="3"/>
  <c r="O14" i="3"/>
  <c r="L14" i="3"/>
  <c r="O13" i="3"/>
  <c r="L13" i="3"/>
  <c r="O12" i="3"/>
  <c r="L12" i="3"/>
  <c r="O32" i="3" l="1"/>
  <c r="AA32" i="3"/>
  <c r="AJ32" i="3"/>
  <c r="AM32" i="3"/>
  <c r="AG32" i="3"/>
  <c r="AD32" i="3"/>
  <c r="X32" i="3"/>
  <c r="R32" i="3"/>
  <c r="U32" i="3"/>
  <c r="L32" i="3"/>
  <c r="K32" i="3" l="1"/>
  <c r="J32" i="3"/>
  <c r="I31" i="3"/>
  <c r="I30" i="3"/>
  <c r="I29" i="3"/>
  <c r="I28" i="3"/>
  <c r="I27" i="3"/>
  <c r="I26" i="3"/>
  <c r="I25" i="3"/>
  <c r="I24" i="3"/>
  <c r="I23" i="3"/>
  <c r="I22" i="3"/>
  <c r="I21" i="3"/>
  <c r="I20" i="3"/>
  <c r="I19" i="3"/>
  <c r="I18" i="3"/>
  <c r="I17" i="3"/>
  <c r="G32" i="3"/>
  <c r="H32" i="3"/>
  <c r="AP13" i="3"/>
  <c r="AP14" i="3"/>
  <c r="AP15" i="3"/>
  <c r="AP16" i="3"/>
  <c r="F17" i="3"/>
  <c r="AP17" i="3" s="1"/>
  <c r="F18" i="3"/>
  <c r="AP18" i="3" s="1"/>
  <c r="F19" i="3"/>
  <c r="AP19" i="3" s="1"/>
  <c r="F20" i="3"/>
  <c r="AP20" i="3" s="1"/>
  <c r="F21" i="3"/>
  <c r="AP21" i="3" s="1"/>
  <c r="F22" i="3"/>
  <c r="AP22" i="3" s="1"/>
  <c r="F23" i="3"/>
  <c r="AP23" i="3" s="1"/>
  <c r="F24" i="3"/>
  <c r="AP24" i="3" s="1"/>
  <c r="F25" i="3"/>
  <c r="AP25" i="3" s="1"/>
  <c r="F26" i="3"/>
  <c r="AP26" i="3" s="1"/>
  <c r="F27" i="3"/>
  <c r="AP27" i="3" s="1"/>
  <c r="F28" i="3"/>
  <c r="AP28" i="3" s="1"/>
  <c r="F29" i="3"/>
  <c r="AP29" i="3" s="1"/>
  <c r="F30" i="3"/>
  <c r="AP30" i="3" s="1"/>
  <c r="F31" i="3"/>
  <c r="AP31" i="3" s="1"/>
  <c r="AP12" i="3"/>
  <c r="AQ12" i="3" s="1"/>
  <c r="C32" i="3"/>
  <c r="I32" i="3" l="1"/>
  <c r="F32" i="3" l="1"/>
  <c r="E32" i="3"/>
  <c r="I50" i="4" s="1"/>
  <c r="D32" i="3"/>
  <c r="AQ31" i="3"/>
  <c r="AQ30" i="3"/>
  <c r="AQ29" i="3"/>
  <c r="AQ28" i="3"/>
  <c r="AQ27" i="3"/>
  <c r="AQ26" i="3"/>
  <c r="AQ25" i="3"/>
  <c r="AQ24" i="3"/>
  <c r="AQ23" i="3"/>
  <c r="AQ22" i="3"/>
  <c r="AQ21" i="3"/>
  <c r="AQ20" i="3"/>
  <c r="AQ19" i="3"/>
  <c r="AQ18" i="3"/>
  <c r="AQ17" i="3"/>
  <c r="AQ16" i="3"/>
  <c r="AQ15" i="3"/>
  <c r="AQ14" i="3"/>
  <c r="AQ13" i="3"/>
  <c r="AP32" i="3" l="1"/>
  <c r="AQ32" i="3" s="1"/>
  <c r="C49" i="4" s="1"/>
</calcChain>
</file>

<file path=xl/sharedStrings.xml><?xml version="1.0" encoding="utf-8"?>
<sst xmlns="http://schemas.openxmlformats.org/spreadsheetml/2006/main" count="458" uniqueCount="195">
  <si>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</si>
  <si>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</si>
  <si>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</si>
  <si>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</si>
  <si>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</si>
  <si>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</si>
  <si>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</si>
  <si>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</si>
  <si>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</si>
  <si>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</si>
  <si>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</si>
  <si>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</si>
  <si>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</si>
  <si>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</si>
  <si>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</si>
  <si>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</si>
  <si>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</si>
  <si>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</si>
  <si>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</si>
  <si>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</si>
  <si>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</si>
  <si>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</si>
  <si>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</si>
  <si>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</si>
  <si>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</si>
  <si>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</si>
  <si>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</si>
  <si>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</si>
  <si>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</si>
  <si>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</si>
  <si>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</si>
  <si>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</si>
  <si>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</si>
  <si>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</si>
  <si>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</si>
  <si>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</si>
  <si>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</si>
  <si>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</si>
  <si>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</si>
  <si>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</si>
  <si>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</si>
  <si>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</si>
  <si>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</si>
  <si>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</si>
  <si>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</si>
  <si>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</si>
  <si>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</si>
  <si>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</si>
  <si>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</si>
  <si>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</si>
  <si>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</si>
  <si>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</si>
  <si>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</si>
  <si>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</si>
  <si>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</si>
  <si>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</si>
  <si>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</si>
  <si>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</si>
  <si>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</si>
  <si>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</si>
  <si>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</si>
  <si>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</si>
  <si>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</si>
  <si>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</si>
  <si>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</si>
  <si>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</si>
  <si>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</si>
  <si>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</si>
  <si>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</si>
  <si>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</si>
  <si>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</si>
  <si>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</si>
  <si>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</si>
  <si>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</si>
  <si>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</si>
  <si>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</si>
  <si>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</si>
  <si>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</si>
  <si>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</si>
  <si>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</si>
  <si>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</si>
  <si>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</si>
  <si>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</si>
  <si>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</si>
  <si>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</si>
  <si>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</si>
  <si>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</si>
  <si>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</si>
  <si>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</si>
  <si>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</si>
  <si>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</si>
  <si>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</si>
  <si>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</si>
  <si>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</si>
  <si>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</si>
  <si>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</si>
  <si>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</si>
  <si>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</si>
  <si>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</si>
  <si>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</si>
  <si>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</si>
  <si>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</si>
  <si>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</si>
  <si>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</si>
  <si>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</si>
  <si>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</si>
  <si>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</si>
  <si>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</si>
  <si>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</si>
  <si>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</si>
  <si>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</si>
  <si>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</si>
  <si>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</si>
  <si>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</si>
  <si>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</si>
  <si>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</si>
  <si>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</si>
  <si>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</si>
  <si>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</si>
  <si>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</si>
  <si>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</si>
  <si>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</si>
  <si>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</si>
  <si>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</si>
  <si>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</si>
  <si>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</si>
  <si>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大手前大学</t>
    <rPh sb="0" eb="3">
      <t>オオテマエ</t>
    </rPh>
    <rPh sb="3" eb="5">
      <t>ダイガク</t>
    </rPh>
    <phoneticPr fontId="1"/>
  </si>
  <si>
    <t>数理・データサイエンス・AI教育プログラム</t>
    <rPh sb="0" eb="2">
      <t>スウリ</t>
    </rPh>
    <rPh sb="14" eb="16">
      <t>キョウイク</t>
    </rPh>
    <phoneticPr fontId="1"/>
  </si>
  <si>
    <t>AI・データサイエンスの扉</t>
    <rPh sb="12" eb="13">
      <t>トビラ</t>
    </rPh>
    <phoneticPr fontId="1"/>
  </si>
  <si>
    <t>○</t>
  </si>
  <si>
    <t>AI・データサイエンスの扉</t>
    <phoneticPr fontId="1"/>
  </si>
  <si>
    <t>情報活用Ⅰ</t>
    <rPh sb="0" eb="2">
      <t>ジョウホウ</t>
    </rPh>
    <rPh sb="2" eb="4">
      <t>カツヨウ</t>
    </rPh>
    <phoneticPr fontId="1"/>
  </si>
  <si>
    <t>令和4</t>
    <rPh sb="0" eb="2">
      <t>レイワ</t>
    </rPh>
    <phoneticPr fontId="1"/>
  </si>
  <si>
    <t>川口　宏海</t>
    <rPh sb="0" eb="2">
      <t>カワグチ</t>
    </rPh>
    <rPh sb="3" eb="5">
      <t>ヒロウミ</t>
    </rPh>
    <phoneticPr fontId="1"/>
  </si>
  <si>
    <t>教学担当副学長</t>
    <rPh sb="0" eb="2">
      <t>キョウガク</t>
    </rPh>
    <rPh sb="2" eb="4">
      <t>タントウ</t>
    </rPh>
    <rPh sb="4" eb="7">
      <t>フクガクチョウ</t>
    </rPh>
    <phoneticPr fontId="1"/>
  </si>
  <si>
    <t>コア教育連絡協議会</t>
    <rPh sb="2" eb="4">
      <t>キョウイク</t>
    </rPh>
    <rPh sb="4" eb="6">
      <t>レンラク</t>
    </rPh>
    <rPh sb="6" eb="9">
      <t>キョウギカイ</t>
    </rPh>
    <phoneticPr fontId="1"/>
  </si>
  <si>
    <t>瀬口　昌生</t>
    <rPh sb="0" eb="2">
      <t>セグチ</t>
    </rPh>
    <rPh sb="3" eb="5">
      <t>マサキ</t>
    </rPh>
    <phoneticPr fontId="1"/>
  </si>
  <si>
    <t>議長</t>
    <rPh sb="0" eb="2">
      <t>ギチョウ</t>
    </rPh>
    <phoneticPr fontId="1"/>
  </si>
  <si>
    <t>自己点検・評価委員会</t>
    <rPh sb="0" eb="2">
      <t>ジコ</t>
    </rPh>
    <rPh sb="2" eb="4">
      <t>テンケン</t>
    </rPh>
    <rPh sb="5" eb="7">
      <t>ヒョウカ</t>
    </rPh>
    <rPh sb="7" eb="10">
      <t>イインカイ</t>
    </rPh>
    <phoneticPr fontId="1"/>
  </si>
  <si>
    <t>井澤　幸三</t>
    <rPh sb="0" eb="2">
      <t>イザワ</t>
    </rPh>
    <rPh sb="3" eb="5">
      <t>コウゾウ</t>
    </rPh>
    <phoneticPr fontId="1"/>
  </si>
  <si>
    <t>委員長</t>
    <rPh sb="0" eb="3">
      <t>イインチョウ</t>
    </rPh>
    <phoneticPr fontId="1"/>
  </si>
  <si>
    <t>「情報活用Ⅰ」1単位および「AI・データサイエンスの扉」2単位の合計3単位を取得すること。</t>
    <phoneticPr fontId="1"/>
  </si>
  <si>
    <t>本プログラムを履修した学生は、他の科目での活用、例えば演習授業やアクティブラーニング(PBL)授業での応用や、専門科目「卒業研究」「卒業制作」といった授業での統計学的な知識が活用できると思われる。また、正課授業のみならず、課外授業にも応用でき、卒業後のキャリア支援にも有効な働きをもたらすものと思われる。</t>
    <phoneticPr fontId="1"/>
  </si>
  <si>
    <t>学部・学科によって、修了要件は相違する</t>
  </si>
  <si>
    <t>国際日本学部、建築＆芸術学部、現代社会学部、健康栄養学部</t>
    <phoneticPr fontId="1"/>
  </si>
  <si>
    <t>国際看護学部</t>
    <rPh sb="0" eb="2">
      <t>コクサイ</t>
    </rPh>
    <rPh sb="2" eb="4">
      <t>カンゴ</t>
    </rPh>
    <rPh sb="4" eb="6">
      <t>ガクブ</t>
    </rPh>
    <phoneticPr fontId="1"/>
  </si>
  <si>
    <t>情報活用Ⅰ</t>
    <phoneticPr fontId="1"/>
  </si>
  <si>
    <t>・我々の身の周りで使用されている技術の概要を学習する（「AI・データサイエンスの扉」第4回）
・AI・データ活用のための技術（統計的手法、機械学習）（「AI・データサイエンスの扉」第4回）
・非構造化データ（音声・テキスト）の処理（「AI・データサイエンスの扉」第4回）
・非構造化データ（画像・動画）の処理（「AI・データサイエンスの扉」第4回）</t>
    <rPh sb="42" eb="43">
      <t>ダイ</t>
    </rPh>
    <phoneticPr fontId="1"/>
  </si>
  <si>
    <t>・AI・データを活用することによって生まれる価値について学習する（「AI・データサイエンスの扉」第5回）
・データサイエンスのサイクル（PPDACサイクルとマーケティング）（「AI・データサイエンスの扉」第5回）
・AI・データ利活用の事例（スポーツ、物流、マーケティング）（「AI・データサイエンスの扉」第5回）</t>
    <rPh sb="48" eb="49">
      <t>ダイ</t>
    </rPh>
    <phoneticPr fontId="1"/>
  </si>
  <si>
    <t>・我々の身の周りでは多種多様なデータが集められていること、そしてそれがどのように活用されているかを学習する（「AI・データサイエンスの扉」第2回）
・代表的なデータの分類（量的データ、質的データ、フローデータ、ストックデータ）（「AI・データサイエンスの扉」第2回）
・データとその取得方法（IoT、センサー、オープンデータ）（「AI・データサイエンスの扉」第2回）
・1次データ、 2 次データ、 3 次データ（「AI・データサイエンスの扉」第2回）
・ビッグデータの種類（構造化データ、非構造データ）（「AI・データサイエンスの扉」第2回）</t>
    <rPh sb="69" eb="70">
      <t>ダイ</t>
    </rPh>
    <phoneticPr fontId="1"/>
  </si>
  <si>
    <t>・社会で起きている変化を知り、データサイエンス、AIを学ぶ意義を認識する（「AI・データサイエンスの扉」第1回）
・ビッグデータ、IoT 、 AI 、 ロボット、 Society 5.0 、データ駆動型社会（「AI・データサイエンスの扉」第1回）</t>
  </si>
  <si>
    <t>・データ、AI利活用に関する情報セキュリティの基礎として、セキュリティとリスクの関係性、情報のCIA等について学習する（「AI・データサイエンスの扉」第13回）
・情報セキュリティ（機密性、 完全性、 可用性）（「AI・データサイエンスの扉」第13回、「情報活用Ⅰ」第1回）
・ハッキング、不正アクセス（「AI・データサイエンスの扉」第13回）
・コンピュータウイルス（「AI・データサイエンスの扉」第13回）
・個人情報保護法、匿名加工情報 （「AI・データサイエンスの扉」第13回）
・認証の三要素（「AI・データサイエンスの扉」第14回）
・暗号化（共通鍵暗号方式、公開鍵暗号方式）（「AI・データサイエンスの扉」第14回）
・情報セキュリティとモラル（「情報活用Ⅰ」第2回）</t>
    <rPh sb="75" eb="76">
      <t>ダイ</t>
    </rPh>
    <phoneticPr fontId="1"/>
  </si>
  <si>
    <t>デジタル技術やデータに対して自らの意志で適切な活用や判断ができる力を身につけ、人工知能をはじめとする先端デジタル技術やデータサイエンスの恩恵を享受できる素養を深めることができる。
・AIやデータサイエンスの社会的役割とその活用について具体例を示して説明することができる。
・AIおよびデータを利活用する際に求められるモラルや倫理観を向上することができる。
・簡易なデータについてはデータを統計的に集計、可視化することができる。</t>
    <phoneticPr fontId="1"/>
  </si>
  <si>
    <t>本学では教育活動において、関係部局及び委員会並びに教職員相互の連携を密にし、もって教育運営事務を効率的に遂行するための施策を協議するため、各種の教育連絡協議会を設置している。その中でコア教育連絡協議会はキャリア教育、語学教育、情報教育などの初年次教育やゼミナールや卒業研究など大学教育のコアとなる学びについて、教育の質の向上に向けた改善・進化を推進することを目的として活動している。</t>
    <rPh sb="0" eb="2">
      <t>ホンガク</t>
    </rPh>
    <rPh sb="80" eb="82">
      <t>セッチ</t>
    </rPh>
    <rPh sb="89" eb="90">
      <t>ナカ</t>
    </rPh>
    <rPh sb="93" eb="95">
      <t>キョウイク</t>
    </rPh>
    <rPh sb="95" eb="97">
      <t>レンラク</t>
    </rPh>
    <rPh sb="97" eb="99">
      <t>キョウギ</t>
    </rPh>
    <rPh sb="99" eb="100">
      <t>カイ</t>
    </rPh>
    <rPh sb="105" eb="107">
      <t>キョウイク</t>
    </rPh>
    <rPh sb="108" eb="110">
      <t>ゴガク</t>
    </rPh>
    <rPh sb="110" eb="112">
      <t>キョウイク</t>
    </rPh>
    <rPh sb="113" eb="115">
      <t>ジョウホウ</t>
    </rPh>
    <rPh sb="115" eb="117">
      <t>キョウイク</t>
    </rPh>
    <rPh sb="120" eb="121">
      <t>ショ</t>
    </rPh>
    <rPh sb="121" eb="123">
      <t>ネンジ</t>
    </rPh>
    <rPh sb="123" eb="125">
      <t>キョウイク</t>
    </rPh>
    <rPh sb="132" eb="134">
      <t>ソツギョウ</t>
    </rPh>
    <rPh sb="134" eb="136">
      <t>ケンキュウ</t>
    </rPh>
    <rPh sb="138" eb="140">
      <t>ダイガク</t>
    </rPh>
    <rPh sb="140" eb="142">
      <t>キョウイク</t>
    </rPh>
    <rPh sb="148" eb="149">
      <t>マナ</t>
    </rPh>
    <rPh sb="155" eb="157">
      <t>キョウイク</t>
    </rPh>
    <rPh sb="158" eb="159">
      <t>シツ</t>
    </rPh>
    <rPh sb="160" eb="162">
      <t>コウジョウ</t>
    </rPh>
    <rPh sb="163" eb="164">
      <t>ム</t>
    </rPh>
    <rPh sb="166" eb="168">
      <t>カイゼン</t>
    </rPh>
    <rPh sb="169" eb="171">
      <t>シンカ</t>
    </rPh>
    <rPh sb="172" eb="174">
      <t>スイシン</t>
    </rPh>
    <rPh sb="179" eb="181">
      <t>モクテキ</t>
    </rPh>
    <rPh sb="184" eb="186">
      <t>カツドウ</t>
    </rPh>
    <phoneticPr fontId="1"/>
  </si>
  <si>
    <t>国際日本学部</t>
    <rPh sb="0" eb="2">
      <t>コクサイ</t>
    </rPh>
    <rPh sb="2" eb="4">
      <t>ニホン</t>
    </rPh>
    <rPh sb="4" eb="6">
      <t>ガクブ</t>
    </rPh>
    <phoneticPr fontId="1"/>
  </si>
  <si>
    <t>建築＆芸術学部</t>
    <rPh sb="0" eb="2">
      <t>ケンチク</t>
    </rPh>
    <rPh sb="3" eb="5">
      <t>ゲイジュツ</t>
    </rPh>
    <rPh sb="5" eb="7">
      <t>ガクブ</t>
    </rPh>
    <phoneticPr fontId="1"/>
  </si>
  <si>
    <t>現代社会学部</t>
    <rPh sb="0" eb="2">
      <t>ゲンダイ</t>
    </rPh>
    <rPh sb="2" eb="4">
      <t>シャカイ</t>
    </rPh>
    <rPh sb="4" eb="6">
      <t>ガクブ</t>
    </rPh>
    <phoneticPr fontId="1"/>
  </si>
  <si>
    <t>健康栄養学部</t>
    <rPh sb="0" eb="2">
      <t>ケンコウ</t>
    </rPh>
    <rPh sb="2" eb="4">
      <t>エイヨウ</t>
    </rPh>
    <rPh sb="4" eb="6">
      <t>ガクブ</t>
    </rPh>
    <phoneticPr fontId="1"/>
  </si>
  <si>
    <t>・データの種類を知り、連続データ、離散データ、量的データ、質的データについて学習する（「AI・データサイエンスの扉」第8回）
・データに含まれる誤差の取り扱い、統計情報の正しい理解について学習する（「AI・データサイエンスの扉」第8回）
・回帰、相関、因果（「AI・データサイエンスの扉」第8回）
・母集団と標本（「AI・データサイエンスの扉」第8回）
・データの分布(ヒストグラム)と代表値（平均値、中央値、最頻値）（「AI・データサイエンスの扉」第9回）
・データのばらつき（分散、標準偏差、変動係数）（「AI・データサイエンスの扉」第9回）
・5数要約と箱ひげ図（「AI・データサイエンスの扉」第9回）</t>
    <rPh sb="58" eb="59">
      <t>ダイ</t>
    </rPh>
    <rPh sb="114" eb="115">
      <t>ダイ</t>
    </rPh>
    <phoneticPr fontId="1"/>
  </si>
  <si>
    <t>・データの表現方法、不適切なグラフ表現と優れた可視化事例について学び、サンプルデータを用いて適切な表現方法を学習する（「AI・データサイエンスの扉」第11回）
・データの信頼性（「AI・データサイエンスの扉」第10回）
・記述統計 と 推測統計（「AI・データサイエンスの扉」第10回）
・統計データの抽出方法（単純無作為抽出、層化抽出、多段抽出）（「AI・データサイエンスの扉」第10回）
・二つの質的データの関係（独立性検定、カイ 2乗検定）（「AI・データサイエンスの扉」第10回）</t>
    <rPh sb="74" eb="75">
      <t>ダイ</t>
    </rPh>
    <rPh sb="219" eb="220">
      <t>ノ</t>
    </rPh>
    <phoneticPr fontId="1"/>
  </si>
  <si>
    <t>「情報活用Ⅰ」1単位および「情報活用Ⅱ（含医療情報の統計学）」1単位の合計2単位を取得すること。</t>
    <phoneticPr fontId="1"/>
  </si>
  <si>
    <t>情報活用Ⅱ（含医療情報の統計学）</t>
    <phoneticPr fontId="1"/>
  </si>
  <si>
    <t>様式１-２</t>
    <rPh sb="0" eb="2">
      <t>ヨウシキ</t>
    </rPh>
    <phoneticPr fontId="1"/>
  </si>
  <si>
    <t>様式１-１</t>
    <rPh sb="0" eb="2">
      <t>ヨウシキ</t>
    </rPh>
    <phoneticPr fontId="1"/>
  </si>
  <si>
    <t>教育連絡協議会設置規程</t>
    <rPh sb="9" eb="11">
      <t>キテイ</t>
    </rPh>
    <phoneticPr fontId="1"/>
  </si>
  <si>
    <t>1年次春学期配当の「情報活用Ⅰ」は、全学的な卒業必修科目に位置付けられているため、すべての学生が履修する。当該年次に単位修得できなかった一部の学生については、同年の秋学期以降に再履修する。さらにｅラーニング形式で実施する「AI・データサイエンスの扉」のデジタル教材については、ｅラーニング用のデジタル教材を数多く開発してきた本学園の出資会社である株式会社デジタルエデュケーショナルサポートのインストラクショナルデザイナーらの支援のもと、担当教員とともに質の高いデジタル教材の開発と授業運営を行う体制が整っている。</t>
    <rPh sb="103" eb="105">
      <t>ケイシキ</t>
    </rPh>
    <rPh sb="106" eb="108">
      <t>ジッシ</t>
    </rPh>
    <rPh sb="130" eb="132">
      <t>キョウザイ</t>
    </rPh>
    <rPh sb="144" eb="145">
      <t>ヨウ</t>
    </rPh>
    <rPh sb="150" eb="152">
      <t>キョウザイ</t>
    </rPh>
    <rPh sb="153" eb="155">
      <t>カズオオ</t>
    </rPh>
    <rPh sb="156" eb="158">
      <t>カイハツ</t>
    </rPh>
    <rPh sb="166" eb="168">
      <t>シュッシ</t>
    </rPh>
    <rPh sb="212" eb="214">
      <t>シエン</t>
    </rPh>
    <rPh sb="218" eb="220">
      <t>タントウ</t>
    </rPh>
    <rPh sb="220" eb="222">
      <t>キョウイン</t>
    </rPh>
    <rPh sb="226" eb="227">
      <t>シツ</t>
    </rPh>
    <rPh sb="228" eb="229">
      <t>タカ</t>
    </rPh>
    <rPh sb="234" eb="236">
      <t>キョウザイ</t>
    </rPh>
    <rPh sb="237" eb="239">
      <t>カイハツ</t>
    </rPh>
    <rPh sb="240" eb="242">
      <t>ジュギョウ</t>
    </rPh>
    <rPh sb="242" eb="244">
      <t>ウンエイ</t>
    </rPh>
    <rPh sb="245" eb="246">
      <t>オコナ</t>
    </rPh>
    <rPh sb="247" eb="249">
      <t>タイセイ</t>
    </rPh>
    <rPh sb="250" eb="251">
      <t>トトノ</t>
    </rPh>
    <phoneticPr fontId="1"/>
  </si>
  <si>
    <t>入学直後に実施しているオリエンテーションや履修ガイダンスでの指導を徹底して実施している。さらに学内ポータルシステムや履修ガイド冊子等を用いて、履修に必要な情報が確認できるようにしている。また、「AI・データサイエンスの扉」は、時間割に縛られることなく、指定した学習期間内であればいつでも学習することができるオンデマンド型のeラーニングで実施し、履修を促している。</t>
    <phoneticPr fontId="1"/>
  </si>
  <si>
    <t>さくら夙川キャンパスならびに大阪大手前キャンパスには、学修支援の専門家（チューター）を配置した学修サポートセンターを設置している。学修サポートセンターでは、対面サポートに加え、Zoomなどを用いたオンラインサポートも実施しており、学生ひとりひとりに丁寧なアドバイスを行う環境を整えている。また、eラーニング学習の支援は、両キャンパスに設置しているIT技術者を配置したITサポートデスクにて実施している。さらに情報メディアセンターではICT環境の利活用に関する幅広いサポートを行っており、学内での自習環境や自宅から遠隔で学内情報環境に接続して利用できる環境などを整備し、eラーニングの学習をサポートしている。</t>
    <rPh sb="204" eb="206">
      <t>ジョウホウ</t>
    </rPh>
    <phoneticPr fontId="1"/>
  </si>
  <si>
    <t>授業運営に関するおしらせの掲示や学習教材の提供、課題の提出、教員への質問などについては、ポータル機能と学習管理機能が融合したWEB型の総合学修システム「el-Campus」を用いて実施している。さらに学内メールやチャットシステムのMicrosoftTeamsも整備しており、学生はパソコンやスマートフォンを用いて、自宅などの学内環境からも簡単にこれらのシステムを利用し、学習指導を受けることが可能になっている。</t>
    <rPh sb="67" eb="69">
      <t>ソウゴウ</t>
    </rPh>
    <rPh sb="69" eb="71">
      <t>ガクシュウ</t>
    </rPh>
    <phoneticPr fontId="1"/>
  </si>
  <si>
    <t>「情報活用Ⅰ」「AI・データサイエンスの扉」は、本学の総合科目として全学部に配置されており、「情報活用Ⅰ」は全学必修科目として全員が履修する。また、「AI・データサイエンスの扉」はeラーニング科目として選択科目として配置しており、学部の専門の科目の履修の妨げにならないよう、履修し易く配置している。本学独自の総合学修システム「el-Campus」により、科目ごとの進捗状況等が把握でき、出席管理もおこなっており、芳しくない学生に対しては、注意やアドバイスを行うことで、ドロップアウトする学生を防止している。</t>
    <rPh sb="154" eb="156">
      <t>ソウゴウ</t>
    </rPh>
    <rPh sb="156" eb="158">
      <t>ガクシュウ</t>
    </rPh>
    <phoneticPr fontId="1"/>
  </si>
  <si>
    <t>本学では、春・秋学期により良い授業となるよう、授業改善を目的とし「学生による授業アンケート」を全科目を対象として実施している。本アンケートでは学生の理解度を問う設問もあり、自由記述欄を設定し学生は授業に対しての様々な意見を記載できる。また、教員は学生が記載したことに対してフィードバックを行い、相互において授業への理解度等共有をはかっている。</t>
    <rPh sb="133" eb="134">
      <t>タイ</t>
    </rPh>
    <phoneticPr fontId="1"/>
  </si>
  <si>
    <t>「学生による授業アンケート」の集計結果は、本学独自の総合学修システム「el-Campus」上で公表し、全学生及び教職員が閲覧することを可能にしてある。本プログラムの授業を履修したことのない学生は、本公開結果を閲覧することにより、授業への理解や興味がそそられることで、履修への刺激となると思われる。</t>
    <rPh sb="26" eb="28">
      <t>ソウゴウ</t>
    </rPh>
    <rPh sb="28" eb="30">
      <t>ガクシュウ</t>
    </rPh>
    <rPh sb="101" eb="103">
      <t>ケッカ</t>
    </rPh>
    <phoneticPr fontId="1"/>
  </si>
  <si>
    <t>「情報活用Ⅰ」は、本学の総合科目の中に全学必修科目として配置されているため、履修率は100％となる。
また、「AI・データサイエンスの扉」はeラーニング科目として選択科目として配置しており、学部の専門の科目の履修の妨げにならないよう、履修し易く配置している。本プログラムを履修しリテラシーを修得できることを、履修オリエンテーションにてきめ細かく説明し、学生の興味を刺激し履修率の向上につなげていく。</t>
    <phoneticPr fontId="1"/>
  </si>
  <si>
    <t>本プログラム修了者については、統計スキル等を身につけて就職活動ができることとなり、様々な業界・職種において活用できるものと思われる。また、本プログラムがきっかけとなり、様々な資格取得に興味を持ち、資格の取得が増えることにより、様々な進路先での活用が考えられる。本学主催の業界説明会を開催した際、企業の人事担当者より今後の人材養成として「データサイエンス・AI」等についての重要性をうかがうことが多い。</t>
    <rPh sb="6" eb="8">
      <t>シュウリョウ</t>
    </rPh>
    <rPh sb="104" eb="105">
      <t>フ</t>
    </rPh>
    <phoneticPr fontId="1"/>
  </si>
  <si>
    <t>本学独自の制度として「教育ボランティア」制度があり、産業界の方や様々な方に、本学へ登録いただき、学生の授業での様子を参観していただいたり、プレゼンテーションの審査、個別面談（3年生を対象）などを担当いただき、学生の伸長度の可視化を図っており、本プログラムに関してもご意見を拝聴していく予定である。</t>
    <rPh sb="58" eb="60">
      <t>サンカン</t>
    </rPh>
    <rPh sb="82" eb="84">
      <t>コベツ</t>
    </rPh>
    <rPh sb="84" eb="86">
      <t>メンダン</t>
    </rPh>
    <phoneticPr fontId="1"/>
  </si>
  <si>
    <t>本プログラムにおいては、「情報活用Ⅰ」については、必修科目となり全員が履修することとなり、その授業の中で、単に「数学嫌い」という、ありがちなイメージと違う角度から興味を抱かせ、選択科目の「AI・データサイエンスの扉」への履修と段階を経て学修の楽しさを認識してもらう。</t>
    <rPh sb="116" eb="117">
      <t>ヘ</t>
    </rPh>
    <phoneticPr fontId="1"/>
  </si>
  <si>
    <t>「学生による授業アンケート」からの意見やｅラーニング科目については学習ログの分析結果を参考に、学生の「分かりやすさ」の観点から講義の内容・実施方法の見直しを実施する予定である。</t>
    <rPh sb="6" eb="8">
      <t>ジュギョウ</t>
    </rPh>
    <rPh sb="26" eb="28">
      <t>カモク</t>
    </rPh>
    <rPh sb="33" eb="35">
      <t>ガクシュウ</t>
    </rPh>
    <rPh sb="38" eb="40">
      <t>ブンセキ</t>
    </rPh>
    <rPh sb="40" eb="42">
      <t>ケッカ</t>
    </rPh>
    <rPh sb="78" eb="80">
      <t>ジッシ</t>
    </rPh>
    <rPh sb="82" eb="84">
      <t>ヨテイ</t>
    </rPh>
    <phoneticPr fontId="1"/>
  </si>
  <si>
    <r>
      <t>（令和4年度　コア教育連絡協議会　構成員）
コア教育連絡協議会議長</t>
    </r>
    <r>
      <rPr>
        <sz val="12"/>
        <rFont val="ＭＳ Ｐゴシック"/>
        <family val="3"/>
        <charset val="128"/>
        <scheme val="minor"/>
      </rPr>
      <t xml:space="preserve">　准教授 </t>
    </r>
    <r>
      <rPr>
        <sz val="12"/>
        <color theme="1"/>
        <rFont val="ＭＳ Ｐゴシック"/>
        <family val="3"/>
        <charset val="128"/>
        <scheme val="minor"/>
      </rPr>
      <t>瀬口 昌生
教学担当副学長　教授 川口 宏海
教務部長　教授 尾﨑 耕司
コア教育アドバイザー　准教授 瀬口 昌生、教授 坂本 理郎、教授 谷村 要、教授 山口 正晃
ゼミナールコーディネーター　准教授 森元 伸枝、准教授 増岡 亮、准教授 海老 良平、准教授 本田 直也
卒研コーディネーター　教授 中島 由佳、准教授 西岡 健司、准教授 鈴木 基伸、准教授 和田 淳
情報教育コーディネーター　准教授 本田 直也
情報活用コーディネーター　准教授 中崎 修一
英語教育コーディネーター　教授 尾﨑 耕司、准教授 石野 尚、准教授 ジョン・ジャクソン
英語コーディネーター　講師 森井 祐介、准教授 ゴードン・カールソン</t>
    </r>
    <rPh sb="45" eb="47">
      <t>キョウガク</t>
    </rPh>
    <rPh sb="47" eb="49">
      <t>タントウ</t>
    </rPh>
    <rPh sb="49" eb="52">
      <t>フクガクチョウ</t>
    </rPh>
    <rPh sb="53" eb="55">
      <t>キョウジュ</t>
    </rPh>
    <rPh sb="56" eb="58">
      <t>カワグチ</t>
    </rPh>
    <rPh sb="59" eb="61">
      <t>ヒロウミ</t>
    </rPh>
    <rPh sb="70" eb="72">
      <t>オザキ</t>
    </rPh>
    <rPh sb="97" eb="99">
      <t>キョウジュ</t>
    </rPh>
    <rPh sb="100" eb="102">
      <t>サカモト</t>
    </rPh>
    <rPh sb="106" eb="108">
      <t>キョウジュ</t>
    </rPh>
    <rPh sb="109" eb="111">
      <t>タニムラ</t>
    </rPh>
    <rPh sb="112" eb="113">
      <t>カナメ</t>
    </rPh>
    <rPh sb="160" eb="162">
      <t>エビ</t>
    </rPh>
    <rPh sb="163" eb="165">
      <t>リョウヘイ</t>
    </rPh>
    <rPh sb="166" eb="169">
      <t>ジュンキョウジュ</t>
    </rPh>
    <rPh sb="170" eb="172">
      <t>ホンダ</t>
    </rPh>
    <rPh sb="173" eb="175">
      <t>ナオヤ</t>
    </rPh>
    <rPh sb="200" eb="202">
      <t>ニシオカ</t>
    </rPh>
    <rPh sb="216" eb="219">
      <t>ジュンキョウジュ</t>
    </rPh>
    <rPh sb="238" eb="241">
      <t>ジュンキョウジュ</t>
    </rPh>
    <rPh sb="242" eb="244">
      <t>ホンダ</t>
    </rPh>
    <rPh sb="245" eb="247">
      <t>ナオヤ</t>
    </rPh>
    <rPh sb="261" eb="264">
      <t>ジュンキョウジュ</t>
    </rPh>
    <phoneticPr fontId="1"/>
  </si>
  <si>
    <t>「情報活用Ⅰ」および国際看護学部の「情報活用Ⅱ（含医療情報の統計学）」は引き続き必修科目として全学生への100%履修を徹底する。また「AI・データサイエンスの扉」は令和4年度は1年生のみが受講対象となっていたが、年次進行で令和5年度には1・2年生、令和6年度には1～3年生、令和7年度には全学年の学生が履修可能とする計画である。</t>
    <rPh sb="1" eb="3">
      <t>ジョウホウ</t>
    </rPh>
    <rPh sb="3" eb="5">
      <t>カツヨウ</t>
    </rPh>
    <rPh sb="10" eb="12">
      <t>コクサイ</t>
    </rPh>
    <rPh sb="12" eb="14">
      <t>カンゴ</t>
    </rPh>
    <rPh sb="14" eb="16">
      <t>ガクブ</t>
    </rPh>
    <rPh sb="18" eb="20">
      <t>ジョウホウ</t>
    </rPh>
    <rPh sb="20" eb="22">
      <t>カツヨウ</t>
    </rPh>
    <rPh sb="36" eb="37">
      <t>ヒ</t>
    </rPh>
    <rPh sb="38" eb="39">
      <t>ツヅ</t>
    </rPh>
    <rPh sb="40" eb="42">
      <t>ヒッシュウ</t>
    </rPh>
    <rPh sb="42" eb="44">
      <t>カモク</t>
    </rPh>
    <rPh sb="47" eb="48">
      <t>ゼン</t>
    </rPh>
    <rPh sb="48" eb="50">
      <t>ガクセイ</t>
    </rPh>
    <rPh sb="56" eb="58">
      <t>リシュウ</t>
    </rPh>
    <rPh sb="59" eb="61">
      <t>テッテイ</t>
    </rPh>
    <rPh sb="79" eb="80">
      <t>トビラ</t>
    </rPh>
    <rPh sb="82" eb="84">
      <t>レイワ</t>
    </rPh>
    <rPh sb="85" eb="87">
      <t>ネンド</t>
    </rPh>
    <rPh sb="89" eb="91">
      <t>ネンセイ</t>
    </rPh>
    <rPh sb="94" eb="96">
      <t>ジュコウ</t>
    </rPh>
    <rPh sb="96" eb="98">
      <t>タイショウ</t>
    </rPh>
    <rPh sb="106" eb="108">
      <t>ネンジ</t>
    </rPh>
    <rPh sb="108" eb="110">
      <t>シンコウ</t>
    </rPh>
    <rPh sb="111" eb="113">
      <t>レイワ</t>
    </rPh>
    <rPh sb="114" eb="116">
      <t>ネンド</t>
    </rPh>
    <rPh sb="121" eb="123">
      <t>ネンセイ</t>
    </rPh>
    <rPh sb="124" eb="126">
      <t>レイワ</t>
    </rPh>
    <rPh sb="127" eb="129">
      <t>ネンド</t>
    </rPh>
    <rPh sb="134" eb="136">
      <t>ネンセイ</t>
    </rPh>
    <rPh sb="137" eb="139">
      <t>レイワ</t>
    </rPh>
    <rPh sb="140" eb="142">
      <t>ネンド</t>
    </rPh>
    <rPh sb="145" eb="147">
      <t>ガクネン</t>
    </rPh>
    <rPh sb="148" eb="150">
      <t>ガクセイ</t>
    </rPh>
    <rPh sb="151" eb="153">
      <t>リシュウ</t>
    </rPh>
    <rPh sb="153" eb="155">
      <t>カノウ</t>
    </rPh>
    <rPh sb="158" eb="160">
      <t>ケイカク</t>
    </rPh>
    <phoneticPr fontId="1"/>
  </si>
  <si>
    <t>・AI・データを活用する際の負の側面について学習する（「AI・データサイエンスの扉」第12回）
・GDPR（General Data Protection Regulation）（「AI・データサイエンスの扉」第12回）
・ELSI（Ethical、 Legal and Social Issues）（「AI・データサイエンスの扉」第12回）
・データ倫理、AIの倫理指針（「AI・データサイエンスの扉」第12回）
・AI・データサイエンスの倫理（「AI・データサイエンスの扉」第12回）
・情報の盗用、 ねつ造・改ざん（「AI・データサイエンスの扉」第13回）
・プライバシー保護（「AI・データサイエンスの扉」第13回）
・情報セキュリティとモラル（「情報活用Ⅰ」第1回）</t>
    <rPh sb="42" eb="43">
      <t>ダイ</t>
    </rPh>
    <phoneticPr fontId="1"/>
  </si>
  <si>
    <t>・情報セキュリティ（機密性, 完全性, 可用性）（「情報活用Ⅰ」第2回）
・情報漏洩等によるセキュリティ事故の事例紹介（「情報活用Ⅰ」第2回）</t>
    <rPh sb="38" eb="40">
      <t>ジョウホウ</t>
    </rPh>
    <rPh sb="40" eb="42">
      <t>ロウエイ</t>
    </rPh>
    <rPh sb="42" eb="43">
      <t>ナド</t>
    </rPh>
    <rPh sb="52" eb="54">
      <t>ジコ</t>
    </rPh>
    <rPh sb="55" eb="57">
      <t>ジレイ</t>
    </rPh>
    <rPh sb="57" eb="59">
      <t>ショウカイ</t>
    </rPh>
    <phoneticPr fontId="1"/>
  </si>
  <si>
    <t>情報活用Ⅰ</t>
    <rPh sb="0" eb="2">
      <t>ジョウホウ</t>
    </rPh>
    <rPh sb="2" eb="4">
      <t>カツヨウ</t>
    </rPh>
    <phoneticPr fontId="1"/>
  </si>
  <si>
    <t>・統計データの種類（連続、離散、量的、質的）（「情報活用Ⅱ（含医療情報の統計学）」第1回）
・データの特徴（度数分布）（「情報活用Ⅱ（含医療情報の統計学）」第3回）
・データのばらつき（分散、標準偏差、変動係数）（「情報活用Ⅱ（含医療情報の統計学）」第4回）
・データの分布(ヒストグラム)と代表値（平均値、中央値、最頻値）（「情報活用Ⅱ（含医療情報の統計学）」第5回）
・箱ひげ図（「情報活用Ⅱ（含医療情報の統計学）」第5回）
・母集団と標本（「情報活用Ⅱ（含医療情報の統計学）」第6回）
・回帰、相関、因果（「情報活用Ⅱ（含医療情報の統計学）」第7回）</t>
    <rPh sb="51" eb="53">
      <t>トクチョウ</t>
    </rPh>
    <rPh sb="54" eb="56">
      <t>ドスウ</t>
    </rPh>
    <rPh sb="56" eb="58">
      <t>ブンプ</t>
    </rPh>
    <phoneticPr fontId="1"/>
  </si>
  <si>
    <t>・不適切なグラフ表現と優れた可視化事例について学び、サンプルデータを用いて適切な表現方法を学習する（「AI・データサイエンスの扉」第11回）
・データの集計（「AI・データサイエンスの扉」第11回）
・データの並び替え、ランキング（「AI・データサイエンスの扉」第11回）
・質的データの図表表現（名義尺度、順序尺度）（「AI・データサイエンスの扉」第11回）
・量的データの図表表現（間隔尺度、比例尺度）（「AI・データサイエンスの扉」第11回）
・不適切なデータの表現（「AI・データサイエンスの扉」第11回）
・データの取り扱い（txt形式、csv形式）に関する演習（「情報活用Ⅰ」第13回）</t>
    <rPh sb="65" eb="66">
      <t>ダイ</t>
    </rPh>
    <rPh sb="76" eb="78">
      <t>シュウケイ</t>
    </rPh>
    <rPh sb="105" eb="106">
      <t>ナラ</t>
    </rPh>
    <rPh sb="107" eb="108">
      <t>カ</t>
    </rPh>
    <rPh sb="271" eb="273">
      <t>ケイシキ</t>
    </rPh>
    <rPh sb="277" eb="279">
      <t>ケイシキ</t>
    </rPh>
    <rPh sb="288" eb="290">
      <t>ジョウホウ</t>
    </rPh>
    <rPh sb="290" eb="292">
      <t>カツヨウ</t>
    </rPh>
    <phoneticPr fontId="1"/>
  </si>
  <si>
    <t>・AI・データ利活用の最新動向を学習する（「AI・データサイエンスの扉」第6回）
・AI等を活用した新しいビジネスモデル（「AI・データサイエンスの扉」第6回）
・ニューラルネットワークと深層学習（「AI・データサイエンスの扉」第6回）
・画像認識に使用されるCNN と GAN（「AI・データサイエンスの扉」第6回）
・複数のデジタル技術の組み合わせによる取り組み（「AI・データサイエンスの扉」第7回）</t>
    <rPh sb="44" eb="45">
      <t>ナド</t>
    </rPh>
    <rPh sb="46" eb="48">
      <t>カツヨウ</t>
    </rPh>
    <rPh sb="50" eb="51">
      <t>アタラ</t>
    </rPh>
    <rPh sb="161" eb="163">
      <t>フクスウ</t>
    </rPh>
    <rPh sb="171" eb="172">
      <t>ク</t>
    </rPh>
    <rPh sb="173" eb="174">
      <t>ア</t>
    </rPh>
    <rPh sb="179" eb="180">
      <t>ト</t>
    </rPh>
    <rPh sb="181" eb="182">
      <t>ク</t>
    </rPh>
    <phoneticPr fontId="1"/>
  </si>
  <si>
    <t>・データ・AI活用領域の広がり（「AI・データサイエンスの扉」第3回）
・Society5.0社会で実現する技術（医療分野、交通分野、食品分野、エネルギー分野、防災分野）（「AI・データサイエンスの扉」第1回）
・企業におけるAI・データの利活用事例（「AI・データサイエンスの扉」第3回）</t>
    <rPh sb="7" eb="9">
      <t>カツヨウ</t>
    </rPh>
    <rPh sb="9" eb="11">
      <t>リョウイキ</t>
    </rPh>
    <rPh sb="12" eb="13">
      <t>ヒロ</t>
    </rPh>
    <rPh sb="107" eb="109">
      <t>キギョウ</t>
    </rPh>
    <rPh sb="120" eb="123">
      <t>リカツヨウ</t>
    </rPh>
    <rPh sb="123" eb="125">
      <t>ジレイ</t>
    </rPh>
    <phoneticPr fontId="1"/>
  </si>
  <si>
    <t>・データ表現（棒グラフ、折線グラフ、散布図、円グラフ）（「情報活用Ⅰ」第12回）　
・不適切なグラフ表現（「情報活用Ⅰ」第12回）　
・基本統計量（「情報活用Ⅱ（含医療情報の統計学）」第4回）</t>
    <rPh sb="4" eb="6">
      <t>ヒョウゲン</t>
    </rPh>
    <rPh sb="7" eb="8">
      <t>ボウ</t>
    </rPh>
    <rPh sb="12" eb="13">
      <t>オ</t>
    </rPh>
    <rPh sb="13" eb="14">
      <t>セン</t>
    </rPh>
    <rPh sb="18" eb="21">
      <t>サンプズ</t>
    </rPh>
    <rPh sb="22" eb="23">
      <t>エン</t>
    </rPh>
    <rPh sb="43" eb="46">
      <t>フテキセツ</t>
    </rPh>
    <rPh sb="50" eb="52">
      <t>ヒョウゲン</t>
    </rPh>
    <phoneticPr fontId="1"/>
  </si>
  <si>
    <t>・データの抽出方法（「情報活用Ⅱ（含医療情報の統計学）」第2回）
・データ解析ツール（Excelの分析ツール）（「情報活用Ⅱ（含医療情報の統計学）」第3回、第4回）
・データの集計（「情報活用Ⅰ」第9回）
・データの並び替え（「情報活用Ⅰ」第9回）
・データの取り扱い（txt形式、csv形式）に関する演習（「情報活用Ⅰ」第14回）
・Excelを用いたデータの分析（「情報活用Ⅱ（含医療情報の統計学）」第7回、第8回）</t>
    <rPh sb="37" eb="39">
      <t>カイセキ</t>
    </rPh>
    <rPh sb="49" eb="51">
      <t>ブンセキ</t>
    </rPh>
    <rPh sb="78" eb="79">
      <t>ダイ</t>
    </rPh>
    <rPh sb="80" eb="81">
      <t>カイ</t>
    </rPh>
    <rPh sb="88" eb="90">
      <t>シュウケイ</t>
    </rPh>
    <phoneticPr fontId="1"/>
  </si>
  <si>
    <t>・ELSI（Ethical、 Legal and Social Issues）（「情報活用Ⅰ」第2回）
・AIの倫理指針（「情報活用Ⅰ」第2回）
・AI・データサイエンスの倫理（「情報活用Ⅰ」第2回）
・データ倫理：データのねつ造、改ざん、盗用、プライバシー保護（「情報活用Ⅰ」第2回）</t>
    <rPh sb="105" eb="107">
      <t>リンリ</t>
    </rPh>
    <phoneticPr fontId="1"/>
  </si>
  <si>
    <t>・健康に関する統計（1次データ、2次データ、データのメタ化）（「情報活用Ⅱ（含医療情報の統計学）」第1回）
・医療・看護分野における調査・実験データ（「情報活用Ⅱ（含医療情報の統計学）」第1回）</t>
    <rPh sb="1" eb="3">
      <t>ケンコウ</t>
    </rPh>
    <rPh sb="11" eb="12">
      <t>ツギ</t>
    </rPh>
    <rPh sb="17" eb="18">
      <t>ツギ</t>
    </rPh>
    <rPh sb="28" eb="29">
      <t>カ</t>
    </rPh>
    <rPh sb="66" eb="68">
      <t>チョウサ</t>
    </rPh>
    <rPh sb="69" eb="71">
      <t>ジッケン</t>
    </rPh>
    <phoneticPr fontId="1"/>
  </si>
  <si>
    <t>・データ・AI活用領域の広がり（医療・看護分野での活用事例）（「情報活用Ⅰ」第1回）
・医療・看護分野におけるデ－タの活用「情報活用Ⅱ（含医療情報の統計学）」第1回）</t>
    <rPh sb="7" eb="9">
      <t>カツヨウ</t>
    </rPh>
    <rPh sb="9" eb="11">
      <t>リョウイキ</t>
    </rPh>
    <rPh sb="12" eb="13">
      <t>ヒロ</t>
    </rPh>
    <rPh sb="16" eb="18">
      <t>イリョウ</t>
    </rPh>
    <rPh sb="19" eb="21">
      <t>カンゴ</t>
    </rPh>
    <rPh sb="21" eb="23">
      <t>ブンヤ</t>
    </rPh>
    <rPh sb="25" eb="27">
      <t>カツヨウ</t>
    </rPh>
    <rPh sb="27" eb="29">
      <t>ジレイ</t>
    </rPh>
    <rPh sb="59" eb="61">
      <t>カツヨウ</t>
    </rPh>
    <phoneticPr fontId="1"/>
  </si>
  <si>
    <t>・データ可視化　（「情報活用Ⅰ」第12回）
・非構造化データ処理（動画処理）（「情報活用Ⅰ」第14回）
・AI・データ活用のための技術（統計的手法、機械学習）（「情報活用Ⅱ（含医療情報の統計学）」第1回）</t>
    <rPh sb="4" eb="7">
      <t>カシカ</t>
    </rPh>
    <phoneticPr fontId="1"/>
  </si>
  <si>
    <t>・医療・看護分野におけるデータ・AI利活用事例紹介（「情報活用Ⅱ（含医療情報の統計学）」第1回）
・データサイエンスのサイクル（データ解析と推論、結果の共有、課題解決に向けた提案）（「情報活用Ⅱ（含医療情報の統計学）」第14回）</t>
    <rPh sb="67" eb="69">
      <t>カイセキ</t>
    </rPh>
    <rPh sb="70" eb="72">
      <t>スイロン</t>
    </rPh>
    <rPh sb="73" eb="75">
      <t>ケッカ</t>
    </rPh>
    <rPh sb="76" eb="78">
      <t>キョウユウ</t>
    </rPh>
    <rPh sb="79" eb="81">
      <t>カダイ</t>
    </rPh>
    <rPh sb="81" eb="83">
      <t>カイケツ</t>
    </rPh>
    <rPh sb="84" eb="85">
      <t>ム</t>
    </rPh>
    <rPh sb="87" eb="89">
      <t>テイアン</t>
    </rPh>
    <phoneticPr fontId="1"/>
  </si>
  <si>
    <t>・デジタル社会の概要（Soceity5.0、ビックデータ、AI、IoT）（「情報活用Ⅰ」第1回）
・社会で起きている変化を知り、データサイエンス、AIを学ぶ意義を認識する（「情報活用Ⅱ（含医療情報の統計学）」第1回）</t>
    <rPh sb="63" eb="65">
      <t>チュウイ</t>
    </rPh>
    <rPh sb="65" eb="66">
      <t>テン</t>
    </rPh>
    <phoneticPr fontId="1"/>
  </si>
  <si>
    <t>・AI最新技術の活用例（ディープラーニング、強化学習）（「情報活用Ⅰ」第1回）
・医療・看護分野におけるAI活用事例（「情報活用Ⅰ」第1回）</t>
    <rPh sb="3" eb="5">
      <t>サイシン</t>
    </rPh>
    <rPh sb="5" eb="7">
      <t>ギジュツ</t>
    </rPh>
    <rPh sb="8" eb="11">
      <t>カツヨウレイ</t>
    </rPh>
    <rPh sb="22" eb="24">
      <t>キョウカ</t>
    </rPh>
    <rPh sb="24" eb="26">
      <t>ガクシュウ</t>
    </rPh>
    <rPh sb="54" eb="56">
      <t>カツヨウ</t>
    </rPh>
    <rPh sb="56" eb="58">
      <t>ジレイ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</si>
</sst>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2"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78">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9" fontId="2" fillId="0" borderId="14" xfId="0" applyNumberFormat="1" applyFont="1" applyBorder="1" applyAlignment="1">
      <alignment vertical="center" shrinkToFit="1"/>
    </xf>
    <xf numFmtId="9" fontId="2" fillId="0" borderId="1" xfId="0" applyNumberFormat="1" applyFont="1" applyBorder="1" applyAlignment="1">
      <alignment horizontal="center" vertical="center" shrinkToFit="1"/>
    </xf>
    <xf numFmtId="0" fontId="11" fillId="0" borderId="23" xfId="0" applyFont="1" applyFill="1" applyBorder="1" applyAlignment="1">
      <alignment horizontal="center" vertical="center" shrinkToFit="1"/>
    </xf>
    <xf numFmtId="0" fontId="2" fillId="0" borderId="14" xfId="0" applyFont="1" applyFill="1" applyBorder="1" applyAlignment="1">
      <alignment horizontal="center" vertical="center" shrinkToFit="1"/>
    </xf>
    <xf numFmtId="0" fontId="11" fillId="0" borderId="14" xfId="0" applyFont="1" applyFill="1" applyBorder="1" applyAlignment="1">
      <alignment horizontal="center" vertical="center" shrinkToFi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vertical="center" wrapTex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11" fillId="0" borderId="22" xfId="0" applyFont="1" applyBorder="1" applyAlignment="1">
      <alignment horizontal="left" vertical="center" wrapText="1" shrinkToFit="1"/>
    </xf>
    <xf numFmtId="0" fontId="11" fillId="0" borderId="21" xfId="0" applyFont="1" applyBorder="1" applyAlignment="1">
      <alignment horizontal="left" vertical="center" wrapText="1" shrinkToFit="1"/>
    </xf>
    <xf numFmtId="0" fontId="11" fillId="0" borderId="36" xfId="0" applyFont="1" applyBorder="1" applyAlignment="1">
      <alignment horizontal="left" vertical="center" wrapText="1" shrinkToFit="1"/>
    </xf>
    <xf numFmtId="0" fontId="11" fillId="0" borderId="35" xfId="0" applyFont="1" applyBorder="1" applyAlignment="1">
      <alignment horizontal="left" vertical="center" wrapText="1" shrinkToFit="1"/>
    </xf>
    <xf numFmtId="0" fontId="2" fillId="0" borderId="6" xfId="0" applyFont="1" applyBorder="1" applyAlignment="1">
      <alignment horizontal="left" vertical="center" wrapText="1" shrinkToFit="1"/>
    </xf>
    <xf numFmtId="0" fontId="2" fillId="0" borderId="12" xfId="0" applyFont="1" applyBorder="1" applyAlignment="1">
      <alignment horizontal="left" vertical="center" wrapText="1" shrinkToFit="1"/>
    </xf>
    <xf numFmtId="0" fontId="11" fillId="0" borderId="38" xfId="0" applyFont="1" applyBorder="1" applyAlignment="1">
      <alignment horizontal="left" vertical="center" wrapText="1" shrinkToFit="1"/>
    </xf>
    <xf numFmtId="0" fontId="11" fillId="0" borderId="39" xfId="0" applyFont="1" applyBorder="1" applyAlignment="1">
      <alignment horizontal="left" vertical="center" wrapText="1" shrinkToFit="1"/>
    </xf>
    <xf numFmtId="0" fontId="2" fillId="0" borderId="36" xfId="0" applyFont="1" applyBorder="1" applyAlignment="1">
      <alignment horizontal="left" vertical="center" wrapText="1" shrinkToFit="1"/>
    </xf>
    <xf numFmtId="0" fontId="2" fillId="0" borderId="35" xfId="0" applyFont="1" applyBorder="1" applyAlignment="1">
      <alignment horizontal="left" vertical="center" wrapText="1" shrinkToFit="1"/>
    </xf>
    <xf numFmtId="0" fontId="2" fillId="0" borderId="38" xfId="0" applyFont="1" applyBorder="1" applyAlignment="1">
      <alignment horizontal="left" vertical="center" wrapText="1" shrinkToFit="1"/>
    </xf>
    <xf numFmtId="0" fontId="2" fillId="0" borderId="39" xfId="0" applyFont="1" applyBorder="1" applyAlignment="1">
      <alignment horizontal="left" vertical="center" wrapText="1" shrinkToFit="1"/>
    </xf>
    <xf numFmtId="0" fontId="2" fillId="0" borderId="19" xfId="0" applyFont="1" applyBorder="1" applyAlignment="1">
      <alignment vertical="center" wrapText="1" shrinkToFit="1"/>
    </xf>
    <xf numFmtId="0" fontId="2" fillId="0" borderId="20" xfId="0" applyFont="1" applyBorder="1" applyAlignment="1">
      <alignment vertical="center" wrapText="1" shrinkToFit="1"/>
    </xf>
    <xf numFmtId="0" fontId="2" fillId="0" borderId="18" xfId="0" applyFont="1" applyBorder="1" applyAlignment="1">
      <alignment vertical="center" wrapText="1"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11" fillId="0" borderId="19" xfId="0" applyFont="1" applyFill="1" applyBorder="1" applyAlignment="1">
      <alignment vertical="center" shrinkToFit="1"/>
    </xf>
    <xf numFmtId="0" fontId="11" fillId="0" borderId="20" xfId="0" applyFont="1" applyFill="1" applyBorder="1" applyAlignment="1">
      <alignment vertical="center" shrinkToFit="1"/>
    </xf>
    <xf numFmtId="0" fontId="11" fillId="0" borderId="18" xfId="0" applyFont="1" applyFill="1" applyBorder="1" applyAlignment="1">
      <alignment vertical="center" shrinkToFit="1"/>
    </xf>
    <xf numFmtId="0" fontId="3" fillId="0" borderId="45" xfId="0" applyFont="1" applyBorder="1" applyAlignment="1">
      <alignment vertical="center" wrapText="1"/>
    </xf>
    <xf numFmtId="0" fontId="3" fillId="0" borderId="46" xfId="0" applyFont="1" applyBorder="1" applyAlignment="1">
      <alignment vertical="center" wrapText="1"/>
    </xf>
    <xf numFmtId="0" fontId="3" fillId="0" borderId="31" xfId="0" applyFont="1" applyBorder="1" applyAlignment="1">
      <alignment vertical="center" wrapText="1"/>
    </xf>
    <xf numFmtId="0" fontId="2" fillId="0" borderId="36" xfId="0" applyFont="1" applyBorder="1" applyAlignment="1">
      <alignment vertical="center" wrapText="1" shrinkToFit="1"/>
    </xf>
    <xf numFmtId="0" fontId="2" fillId="0" borderId="35" xfId="0" applyFont="1" applyBorder="1" applyAlignment="1">
      <alignment vertical="center" wrapText="1" shrinkToFit="1"/>
    </xf>
    <xf numFmtId="0" fontId="11" fillId="0" borderId="6" xfId="0" applyFont="1" applyFill="1" applyBorder="1" applyAlignment="1">
      <alignment vertical="center" wrapText="1" shrinkToFit="1"/>
    </xf>
    <xf numFmtId="0" fontId="11" fillId="0" borderId="12" xfId="0" applyFont="1" applyFill="1" applyBorder="1" applyAlignment="1">
      <alignment vertical="center" wrapText="1" shrinkToFit="1"/>
    </xf>
    <xf numFmtId="0" fontId="2" fillId="0" borderId="8" xfId="0" applyFont="1" applyBorder="1" applyAlignment="1">
      <alignment horizontal="left" vertical="center" wrapText="1" shrinkToFit="1"/>
    </xf>
    <xf numFmtId="0" fontId="2" fillId="0" borderId="9" xfId="0" applyFont="1" applyBorder="1" applyAlignment="1">
      <alignment horizontal="left" vertical="center" wrapText="1"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11" fillId="0" borderId="36" xfId="0" applyFont="1" applyBorder="1" applyAlignment="1">
      <alignment vertical="center" wrapText="1" shrinkToFit="1"/>
    </xf>
    <xf numFmtId="0" fontId="11" fillId="0" borderId="35" xfId="0" applyFont="1" applyBorder="1" applyAlignment="1">
      <alignment vertical="center" wrapText="1" shrinkToFit="1"/>
    </xf>
    <xf numFmtId="0" fontId="11" fillId="0" borderId="19" xfId="0" applyFont="1" applyFill="1" applyBorder="1" applyAlignment="1">
      <alignment vertical="center" wrapText="1" shrinkToFit="1"/>
    </xf>
    <xf numFmtId="0" fontId="11" fillId="0" borderId="20" xfId="0" applyFont="1" applyFill="1" applyBorder="1" applyAlignment="1">
      <alignment vertical="center" wrapText="1" shrinkToFit="1"/>
    </xf>
    <xf numFmtId="0" fontId="11" fillId="0" borderId="18" xfId="0" applyFont="1" applyFill="1" applyBorder="1" applyAlignment="1">
      <alignment vertical="center" wrapText="1" shrinkToFit="1"/>
    </xf>
    <xf numFmtId="0" fontId="11" fillId="0" borderId="36" xfId="0" applyFont="1" applyFill="1" applyBorder="1" applyAlignment="1">
      <alignment horizontal="left" vertical="center" wrapText="1" shrinkToFit="1"/>
    </xf>
    <xf numFmtId="0" fontId="11" fillId="0" borderId="35" xfId="0" applyFont="1" applyFill="1" applyBorder="1" applyAlignment="1">
      <alignment horizontal="left" vertical="center" wrapText="1" shrinkToFit="1"/>
    </xf>
    <xf numFmtId="0" fontId="11" fillId="0" borderId="6" xfId="0" applyFont="1" applyFill="1" applyBorder="1" applyAlignment="1">
      <alignment horizontal="left" vertical="center" wrapText="1" shrinkToFit="1"/>
    </xf>
    <xf numFmtId="0" fontId="11" fillId="0" borderId="12" xfId="0" applyFont="1" applyFill="1" applyBorder="1" applyAlignment="1">
      <alignment horizontal="left" vertical="center" wrapText="1" shrinkToFit="1"/>
    </xf>
    <xf numFmtId="0" fontId="11" fillId="0" borderId="8" xfId="0" applyFont="1" applyFill="1" applyBorder="1" applyAlignment="1">
      <alignment horizontal="left" vertical="center" wrapText="1" shrinkToFit="1"/>
    </xf>
    <xf numFmtId="0" fontId="11" fillId="0" borderId="9" xfId="0" applyFont="1" applyFill="1" applyBorder="1" applyAlignment="1">
      <alignment horizontal="left" vertical="center" wrapText="1" shrinkToFit="1"/>
    </xf>
    <xf numFmtId="0" fontId="11" fillId="0" borderId="38" xfId="0" applyFont="1" applyFill="1" applyBorder="1" applyAlignment="1">
      <alignment horizontal="left" vertical="center" wrapText="1" shrinkToFit="1"/>
    </xf>
    <xf numFmtId="0" fontId="11" fillId="0" borderId="39" xfId="0" applyFont="1" applyFill="1" applyBorder="1" applyAlignment="1">
      <alignment horizontal="left" vertical="center" wrapText="1" shrinkToFit="1"/>
    </xf>
    <xf numFmtId="0" fontId="11" fillId="0" borderId="22" xfId="0" applyFont="1" applyFill="1" applyBorder="1" applyAlignment="1">
      <alignment horizontal="left" vertical="center" wrapText="1" shrinkToFit="1"/>
    </xf>
    <xf numFmtId="0" fontId="11" fillId="0" borderId="21" xfId="0" applyFont="1" applyFill="1" applyBorder="1" applyAlignment="1">
      <alignment horizontal="left" vertical="center" wrapText="1" shrinkToFit="1"/>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xf numFmtId="0" fontId="2" fillId="0" borderId="19" xfId="0" applyFont="1" applyBorder="1" applyAlignment="1">
      <alignment vertical="top" wrapText="1" shrinkToFit="1"/>
    </xf>
    <xf numFmtId="0" fontId="2" fillId="0" borderId="37" xfId="0" applyFont="1" applyBorder="1" applyAlignment="1">
      <alignment vertical="top" wrapText="1" shrinkToFit="1"/>
    </xf>
    <xf numFmtId="0" fontId="2" fillId="0" borderId="17" xfId="0" applyFont="1" applyBorder="1">
      <alignment vertical="center"/>
    </xf>
    <xf numFmtId="0" fontId="5" fillId="0" borderId="18"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usernames" Target="revisions/userNames.xml"/><Relationship Id="rId5" Type="http://schemas.openxmlformats.org/officeDocument/2006/relationships/worksheet" Target="worksheets/sheet5.xml"/><Relationship Id="rId10" Type="http://schemas.openxmlformats.org/officeDocument/2006/relationships/revisionHeaders" Target="revisions/revisionHeaders.xml"/><Relationship Id="rId4" Type="http://schemas.openxmlformats.org/officeDocument/2006/relationships/worksheet" Target="worksheets/sheet4.xml"/><Relationship Id="rId9" Type="http://schemas.openxmlformats.org/officeDocument/2006/relationships/calcChain" Target="calcChain.xml"/></Relationships>
</file>

<file path=xl/revisions/_rels/revisionHeaders.xml.rels><?xml version="1.0" encoding="UTF-8" standalone="yes"?>
<Relationships xmlns="http://schemas.openxmlformats.org/package/2006/relationships"><Relationship Id="rId8" Type="http://schemas.openxmlformats.org/officeDocument/2006/relationships/revisionLog" Target="revisionLog8.xml"/><Relationship Id="rId13" Type="http://schemas.openxmlformats.org/officeDocument/2006/relationships/revisionLog" Target="revisionLog13.xml"/><Relationship Id="rId18" Type="http://schemas.openxmlformats.org/officeDocument/2006/relationships/revisionLog" Target="revisionLog18.xml"/><Relationship Id="rId26" Type="http://schemas.openxmlformats.org/officeDocument/2006/relationships/revisionLog" Target="revisionLog3.xml"/><Relationship Id="rId39" Type="http://schemas.openxmlformats.org/officeDocument/2006/relationships/revisionLog" Target="revisionLog35.xml"/><Relationship Id="rId21" Type="http://schemas.openxmlformats.org/officeDocument/2006/relationships/revisionLog" Target="revisionLog21.xml"/><Relationship Id="rId34" Type="http://schemas.openxmlformats.org/officeDocument/2006/relationships/revisionLog" Target="revisionLog30.xml"/><Relationship Id="rId7" Type="http://schemas.openxmlformats.org/officeDocument/2006/relationships/revisionLog" Target="revisionLog7.xml"/><Relationship Id="rId12" Type="http://schemas.openxmlformats.org/officeDocument/2006/relationships/revisionLog" Target="revisionLog12.xml"/><Relationship Id="rId17" Type="http://schemas.openxmlformats.org/officeDocument/2006/relationships/revisionLog" Target="revisionLog17.xml"/><Relationship Id="rId25" Type="http://schemas.openxmlformats.org/officeDocument/2006/relationships/revisionLog" Target="revisionLog2.xml"/><Relationship Id="rId33" Type="http://schemas.openxmlformats.org/officeDocument/2006/relationships/revisionLog" Target="revisionLog29.xml"/><Relationship Id="rId38" Type="http://schemas.openxmlformats.org/officeDocument/2006/relationships/revisionLog" Target="revisionLog34.xml"/><Relationship Id="rId20" Type="http://schemas.openxmlformats.org/officeDocument/2006/relationships/revisionLog" Target="revisionLog20.xml"/><Relationship Id="rId16" Type="http://schemas.openxmlformats.org/officeDocument/2006/relationships/revisionLog" Target="revisionLog16.xml"/><Relationship Id="rId29" Type="http://schemas.openxmlformats.org/officeDocument/2006/relationships/revisionLog" Target="revisionLog25.xml"/><Relationship Id="rId11" Type="http://schemas.openxmlformats.org/officeDocument/2006/relationships/revisionLog" Target="revisionLog11.xml"/><Relationship Id="rId6" Type="http://schemas.openxmlformats.org/officeDocument/2006/relationships/revisionLog" Target="revisionLog6.xml"/><Relationship Id="rId24" Type="http://schemas.openxmlformats.org/officeDocument/2006/relationships/revisionLog" Target="revisionLog1.xml"/><Relationship Id="rId32" Type="http://schemas.openxmlformats.org/officeDocument/2006/relationships/revisionLog" Target="revisionLog28.xml"/><Relationship Id="rId37" Type="http://schemas.openxmlformats.org/officeDocument/2006/relationships/revisionLog" Target="revisionLog33.xml"/><Relationship Id="rId5" Type="http://schemas.openxmlformats.org/officeDocument/2006/relationships/revisionLog" Target="revisionLog5.xml"/><Relationship Id="rId15" Type="http://schemas.openxmlformats.org/officeDocument/2006/relationships/revisionLog" Target="revisionLog15.xml"/><Relationship Id="rId23" Type="http://schemas.openxmlformats.org/officeDocument/2006/relationships/revisionLog" Target="revisionLog23.xml"/><Relationship Id="rId28" Type="http://schemas.openxmlformats.org/officeDocument/2006/relationships/revisionLog" Target="revisionLog24.xml"/><Relationship Id="rId36" Type="http://schemas.openxmlformats.org/officeDocument/2006/relationships/revisionLog" Target="revisionLog32.xml"/><Relationship Id="rId10" Type="http://schemas.openxmlformats.org/officeDocument/2006/relationships/revisionLog" Target="revisionLog10.xml"/><Relationship Id="rId19" Type="http://schemas.openxmlformats.org/officeDocument/2006/relationships/revisionLog" Target="revisionLog19.xml"/><Relationship Id="rId31" Type="http://schemas.openxmlformats.org/officeDocument/2006/relationships/revisionLog" Target="revisionLog27.xml"/><Relationship Id="rId22" Type="http://schemas.openxmlformats.org/officeDocument/2006/relationships/revisionLog" Target="revisionLog22.xml"/><Relationship Id="rId9" Type="http://schemas.openxmlformats.org/officeDocument/2006/relationships/revisionLog" Target="revisionLog9.xml"/><Relationship Id="rId14" Type="http://schemas.openxmlformats.org/officeDocument/2006/relationships/revisionLog" Target="revisionLog14.xml"/><Relationship Id="rId27" Type="http://schemas.openxmlformats.org/officeDocument/2006/relationships/revisionLog" Target="revisionLog4.xml"/><Relationship Id="rId30" Type="http://schemas.openxmlformats.org/officeDocument/2006/relationships/revisionLog" Target="revisionLog26.xml"/><Relationship Id="rId35" Type="http://schemas.openxmlformats.org/officeDocument/2006/relationships/revisionLog" Target="revisionLog31.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E99FCAC0-899E-4416-9D40-79D48A214BE5}" diskRevisions="1" revisionId="338" version="39">
  <header guid="{2EAD15FA-E429-4BE6-BC1D-198EF2D6C821}" dateTime="2023-05-01T14:10:58" maxSheetId="6" userName="総合企画室" r:id="rId5" minRId="21" maxRId="41">
    <sheetIdMap count="5">
      <sheetId val="1"/>
      <sheetId val="2"/>
      <sheetId val="3"/>
      <sheetId val="4"/>
      <sheetId val="5"/>
    </sheetIdMap>
    <reviewedList count="21">
      <reviewed rId="21"/>
      <reviewed rId="22"/>
      <reviewed rId="23"/>
      <reviewed rId="24"/>
      <reviewed rId="25"/>
      <reviewed rId="26"/>
      <reviewed rId="27"/>
      <reviewed rId="28"/>
      <reviewed rId="29"/>
      <reviewed rId="30"/>
      <reviewed rId="31"/>
      <reviewed rId="32"/>
      <reviewed rId="33"/>
      <reviewed rId="34"/>
      <reviewed rId="35"/>
      <reviewed rId="36"/>
      <reviewed rId="37"/>
      <reviewed rId="38"/>
      <reviewed rId="39"/>
      <reviewed rId="40"/>
      <reviewed rId="41"/>
    </reviewedList>
  </header>
  <header guid="{4FB0CC96-76C2-44DE-968E-92830BB17F63}" dateTime="2023-05-01T15:14:38" maxSheetId="6" userName="総合企画室" r:id="rId6">
    <sheetIdMap count="5">
      <sheetId val="1"/>
      <sheetId val="2"/>
      <sheetId val="3"/>
      <sheetId val="4"/>
      <sheetId val="5"/>
    </sheetIdMap>
  </header>
  <header guid="{D40B49B3-4088-4F80-8AD2-6FCD79EA02F6}" dateTime="2023-05-01T15:27:59" maxSheetId="6" userName="総合企画室" r:id="rId7">
    <sheetIdMap count="5">
      <sheetId val="1"/>
      <sheetId val="2"/>
      <sheetId val="3"/>
      <sheetId val="4"/>
      <sheetId val="5"/>
    </sheetIdMap>
  </header>
  <header guid="{E2399EFE-1D91-46B3-A11B-28B6E288A6BA}" dateTime="2023-05-01T16:13:24" maxSheetId="6" userName="総合企画室" r:id="rId8" minRId="62">
    <sheetIdMap count="5">
      <sheetId val="1"/>
      <sheetId val="2"/>
      <sheetId val="3"/>
      <sheetId val="4"/>
      <sheetId val="5"/>
    </sheetIdMap>
  </header>
  <header guid="{59C58D2C-5062-4AEC-AF24-45C76544A4B6}" dateTime="2023-05-01T16:24:06" maxSheetId="6" userName="総合企画室" r:id="rId9" minRId="63" maxRId="65">
    <sheetIdMap count="5">
      <sheetId val="1"/>
      <sheetId val="2"/>
      <sheetId val="3"/>
      <sheetId val="4"/>
      <sheetId val="5"/>
    </sheetIdMap>
  </header>
  <header guid="{F039263B-5406-418D-9AC8-D628C3F339BE}" dateTime="2023-05-01T17:05:59" maxSheetId="6" userName="総合企画室" r:id="rId10">
    <sheetIdMap count="5">
      <sheetId val="1"/>
      <sheetId val="2"/>
      <sheetId val="3"/>
      <sheetId val="4"/>
      <sheetId val="5"/>
    </sheetIdMap>
  </header>
  <header guid="{197C0A43-54F9-4D11-B0EB-069B03C26E5B}" dateTime="2023-05-01T17:15:36" maxSheetId="6" userName="総合企画室" r:id="rId11">
    <sheetIdMap count="5">
      <sheetId val="1"/>
      <sheetId val="2"/>
      <sheetId val="3"/>
      <sheetId val="4"/>
      <sheetId val="5"/>
    </sheetIdMap>
  </header>
  <header guid="{0D056EB9-4B51-43F7-9ADD-5FDF5B259E69}" dateTime="2023-05-01T17:16:18" maxSheetId="6" userName="総合企画室" r:id="rId12">
    <sheetIdMap count="5">
      <sheetId val="1"/>
      <sheetId val="2"/>
      <sheetId val="3"/>
      <sheetId val="4"/>
      <sheetId val="5"/>
    </sheetIdMap>
  </header>
  <header guid="{57A1462E-D2D8-4AC4-9510-195999639ACA}" dateTime="2023-05-01T18:03:30" maxSheetId="6" userName="総合企画室" r:id="rId13">
    <sheetIdMap count="5">
      <sheetId val="1"/>
      <sheetId val="2"/>
      <sheetId val="3"/>
      <sheetId val="4"/>
      <sheetId val="5"/>
    </sheetIdMap>
  </header>
  <header guid="{2CE60699-06BC-499E-9D71-8350AFFBD20B}" dateTime="2023-05-09T11:48:10" maxSheetId="6" userName="総合企画室" r:id="rId14" minRId="106">
    <sheetIdMap count="5">
      <sheetId val="1"/>
      <sheetId val="2"/>
      <sheetId val="3"/>
      <sheetId val="4"/>
      <sheetId val="5"/>
    </sheetIdMap>
  </header>
  <header guid="{14257061-6E63-4FDC-B3BE-490CAAEEB650}" dateTime="2023-05-09T14:35:36" maxSheetId="6" userName="総合企画室" r:id="rId15">
    <sheetIdMap count="5">
      <sheetId val="1"/>
      <sheetId val="2"/>
      <sheetId val="3"/>
      <sheetId val="4"/>
      <sheetId val="5"/>
    </sheetIdMap>
  </header>
  <header guid="{5E5B71C7-1066-4D6B-A119-425EB9246459}" dateTime="2023-05-09T16:43:01" maxSheetId="6" userName="総合企画室" r:id="rId16" minRId="127" maxRId="131">
    <sheetIdMap count="5">
      <sheetId val="1"/>
      <sheetId val="2"/>
      <sheetId val="3"/>
      <sheetId val="4"/>
      <sheetId val="5"/>
    </sheetIdMap>
  </header>
  <header guid="{A0BD4413-1FB0-445B-BC49-2A78800D77DE}" dateTime="2023-05-09T16:56:12" maxSheetId="6" userName="総合企画室" r:id="rId17" minRId="132">
    <sheetIdMap count="5">
      <sheetId val="1"/>
      <sheetId val="2"/>
      <sheetId val="3"/>
      <sheetId val="4"/>
      <sheetId val="5"/>
    </sheetIdMap>
  </header>
  <header guid="{C38005AB-A655-445D-BF28-A43065F488CB}" dateTime="2023-05-09T17:51:38" maxSheetId="6" userName="総合企画室" r:id="rId18">
    <sheetIdMap count="5">
      <sheetId val="1"/>
      <sheetId val="2"/>
      <sheetId val="3"/>
      <sheetId val="4"/>
      <sheetId val="5"/>
    </sheetIdMap>
  </header>
  <header guid="{E43F72FE-E659-400F-9B4D-F23D87E16BFA}" dateTime="2023-05-09T18:02:21" maxSheetId="6" userName="総合企画室" r:id="rId19" minRId="153">
    <sheetIdMap count="5">
      <sheetId val="1"/>
      <sheetId val="2"/>
      <sheetId val="3"/>
      <sheetId val="4"/>
      <sheetId val="5"/>
    </sheetIdMap>
  </header>
  <header guid="{6E7000BD-24AD-43B9-A931-EBDF1A172059}" dateTime="2023-05-10T18:51:59" maxSheetId="6" userName="総合企画室" r:id="rId20" minRId="164">
    <sheetIdMap count="5">
      <sheetId val="1"/>
      <sheetId val="2"/>
      <sheetId val="3"/>
      <sheetId val="4"/>
      <sheetId val="5"/>
    </sheetIdMap>
  </header>
  <header guid="{D87ED787-4AE2-4725-A403-A68248FA079D}" dateTime="2023-05-10T18:52:41" maxSheetId="6" userName="総合企画室" r:id="rId21">
    <sheetIdMap count="5">
      <sheetId val="1"/>
      <sheetId val="2"/>
      <sheetId val="3"/>
      <sheetId val="4"/>
      <sheetId val="5"/>
    </sheetIdMap>
  </header>
  <header guid="{7B190EF7-9059-4BE7-BFF3-F6F801C31824}" dateTime="2023-05-12T13:21:40" maxSheetId="6" userName="総合企画室" r:id="rId22">
    <sheetIdMap count="5">
      <sheetId val="1"/>
      <sheetId val="2"/>
      <sheetId val="3"/>
      <sheetId val="4"/>
      <sheetId val="5"/>
    </sheetIdMap>
  </header>
  <header guid="{D5F19788-81EC-4203-B91B-046A8BC8E870}" dateTime="2023-05-15T09:36:33" maxSheetId="6" userName="総合企画室" r:id="rId23">
    <sheetIdMap count="5">
      <sheetId val="1"/>
      <sheetId val="2"/>
      <sheetId val="3"/>
      <sheetId val="4"/>
      <sheetId val="5"/>
    </sheetIdMap>
  </header>
  <header guid="{BCD9D6B2-984C-4C84-BD05-F8CFAD25E019}" dateTime="2023-07-06T17:52:35" maxSheetId="6" userName="hata" r:id="rId24" minRId="195">
    <sheetIdMap count="5">
      <sheetId val="1"/>
      <sheetId val="2"/>
      <sheetId val="3"/>
      <sheetId val="4"/>
      <sheetId val="5"/>
    </sheetIdMap>
  </header>
  <header guid="{4CA9398B-34E8-4AEC-985F-DFEFB2BBE55E}" dateTime="2023-07-06T18:56:20" maxSheetId="6" userName="hata" r:id="rId25" minRId="206" maxRId="216">
    <sheetIdMap count="5">
      <sheetId val="1"/>
      <sheetId val="2"/>
      <sheetId val="3"/>
      <sheetId val="4"/>
      <sheetId val="5"/>
    </sheetIdMap>
  </header>
  <header guid="{F6A6549A-02F1-45CF-84CD-B767D8425870}" dateTime="2023-07-06T18:58:50" maxSheetId="6" userName="hata" r:id="rId26" minRId="227" maxRId="228">
    <sheetIdMap count="5">
      <sheetId val="1"/>
      <sheetId val="2"/>
      <sheetId val="3"/>
      <sheetId val="4"/>
      <sheetId val="5"/>
    </sheetIdMap>
  </header>
  <header guid="{FCA4B72D-11E9-48B1-904C-7E5C4F34DFB3}" dateTime="2023-07-06T18:59:15" maxSheetId="6" userName="hata" r:id="rId27">
    <sheetIdMap count="5">
      <sheetId val="1"/>
      <sheetId val="2"/>
      <sheetId val="3"/>
      <sheetId val="4"/>
      <sheetId val="5"/>
    </sheetIdMap>
  </header>
  <header guid="{DEFB8D79-5195-471D-8DFC-D80AD2AEA8DD}" dateTime="2023-07-10T18:38:32" maxSheetId="6" userName="hata" r:id="rId28" minRId="239" maxRId="249">
    <sheetIdMap count="5">
      <sheetId val="1"/>
      <sheetId val="2"/>
      <sheetId val="3"/>
      <sheetId val="4"/>
      <sheetId val="5"/>
    </sheetIdMap>
  </header>
  <header guid="{C21C6AA7-ACEA-4276-A5A6-0BC431BB0AC1}" dateTime="2023-07-10T18:38:46" maxSheetId="6" userName="hata" r:id="rId29">
    <sheetIdMap count="5">
      <sheetId val="1"/>
      <sheetId val="2"/>
      <sheetId val="3"/>
      <sheetId val="4"/>
      <sheetId val="5"/>
    </sheetIdMap>
  </header>
  <header guid="{8123C511-EE52-4B97-86F8-8D531CA91674}" dateTime="2023-07-11T10:03:18" maxSheetId="6" userName="総合企画室" r:id="rId30" minRId="260">
    <sheetIdMap count="5">
      <sheetId val="1"/>
      <sheetId val="2"/>
      <sheetId val="3"/>
      <sheetId val="4"/>
      <sheetId val="5"/>
    </sheetIdMap>
  </header>
  <header guid="{0A2B7AA7-ED3E-4D3C-B1BA-38B900A52D13}" dateTime="2023-07-11T10:07:43" maxSheetId="6" userName="総合企画室" r:id="rId31" minRId="271" maxRId="275">
    <sheetIdMap count="5">
      <sheetId val="1"/>
      <sheetId val="2"/>
      <sheetId val="3"/>
      <sheetId val="4"/>
      <sheetId val="5"/>
    </sheetIdMap>
  </header>
  <header guid="{B61B7196-DC9F-46E0-AB7E-98C6CE569603}" dateTime="2023-07-11T10:15:41" maxSheetId="6" userName="総合企画室" r:id="rId32" minRId="276" maxRId="277">
    <sheetIdMap count="5">
      <sheetId val="1"/>
      <sheetId val="2"/>
      <sheetId val="3"/>
      <sheetId val="4"/>
      <sheetId val="5"/>
    </sheetIdMap>
  </header>
  <header guid="{87591640-4131-4C2C-BF84-5F8352A3A0DB}" dateTime="2023-07-11T10:31:05" maxSheetId="6" userName="総合企画室" r:id="rId33" minRId="278" maxRId="288">
    <sheetIdMap count="5">
      <sheetId val="1"/>
      <sheetId val="2"/>
      <sheetId val="3"/>
      <sheetId val="4"/>
      <sheetId val="5"/>
    </sheetIdMap>
  </header>
  <header guid="{123E0BF4-C134-4513-A60F-8F1EEBBE9E44}" dateTime="2023-07-11T10:32:13" maxSheetId="6" userName="総合企画室" r:id="rId34">
    <sheetIdMap count="5">
      <sheetId val="1"/>
      <sheetId val="2"/>
      <sheetId val="3"/>
      <sheetId val="4"/>
      <sheetId val="5"/>
    </sheetIdMap>
  </header>
  <header guid="{7BE1654A-6407-4D14-AEDB-9F715B74A033}" dateTime="2023-07-11T10:38:35" maxSheetId="6" userName="総合企画室" r:id="rId35">
    <sheetIdMap count="5">
      <sheetId val="1"/>
      <sheetId val="2"/>
      <sheetId val="3"/>
      <sheetId val="4"/>
      <sheetId val="5"/>
    </sheetIdMap>
  </header>
  <header guid="{07A9982B-FDB9-4729-AF00-4F349302BBE0}" dateTime="2023-07-11T15:58:13" maxSheetId="6" userName="総合企画室" r:id="rId36">
    <sheetIdMap count="5">
      <sheetId val="1"/>
      <sheetId val="2"/>
      <sheetId val="3"/>
      <sheetId val="4"/>
      <sheetId val="5"/>
    </sheetIdMap>
  </header>
  <header guid="{0A75ADC1-2A47-47B7-949B-7A340F88CD57}" dateTime="2023-07-11T15:59:33" maxSheetId="6" userName="総合企画室" r:id="rId37">
    <sheetIdMap count="5">
      <sheetId val="1"/>
      <sheetId val="2"/>
      <sheetId val="3"/>
      <sheetId val="4"/>
      <sheetId val="5"/>
    </sheetIdMap>
  </header>
  <header guid="{739C38FC-71B1-462E-A5DE-66B938AA1A58}" dateTime="2023-07-11T16:56:30" maxSheetId="6" userName="総合企画室" r:id="rId38">
    <sheetIdMap count="5">
      <sheetId val="1"/>
      <sheetId val="2"/>
      <sheetId val="3"/>
      <sheetId val="4"/>
      <sheetId val="5"/>
    </sheetIdMap>
  </header>
  <header guid="{E99FCAC0-899E-4416-9D40-79D48A214BE5}" dateTime="2023-07-11T17:41:46" maxSheetId="6" userName="総合企画室" r:id="rId39">
    <sheetIdMap count="5">
      <sheetId val="1"/>
      <sheetId val="2"/>
      <sheetId val="3"/>
      <sheetId val="4"/>
      <sheetId val="5"/>
    </sheetIdMap>
  </header>
</headers>
</file>

<file path=xl/revisions/revisionLog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5" sId="1">
    <oc r="D99" t="inlineStr">
      <is>
        <t>・不適切なグラフ表現と優れた可視化事例について学び、サンプルデータを用いて適切な表現方法を学習する（「AI・データサイエンスの扉」第11回）
・質的データの図表表現（名義尺度、順序尺度）（「AI・データサイエンスの扉」第11回）
・量的データの図表表現（間隔尺度、比例尺度）（「AI・データサイエンスの扉」第11回）
・不適切なデータの表現（「AI・データサイエンスの扉」第11回）
・データの取り扱いに関する演習（「情報活用Ⅰ」第13回）</t>
        <rPh sb="65" eb="66">
          <t>ダイ</t>
        </rPh>
        <rPh sb="209" eb="211">
          <t>ジョウホウ</t>
        </rPh>
        <rPh sb="211" eb="213">
          <t>カツヨウ</t>
        </rPh>
        <phoneticPr fontId="0"/>
      </is>
    </oc>
    <nc r="D99" t="inlineStr">
      <is>
        <r>
          <t xml:space="preserve">・不適切なグラフ表現と優れた可視化事例について学び、サンプルデータを用いて適切な表現方法を学習する（「AI・データサイエンスの扉」第11回）
</t>
        </r>
        <r>
          <rPr>
            <sz val="12"/>
            <color rgb="FFFF0000"/>
            <rFont val="ＭＳ Ｐゴシック"/>
            <family val="3"/>
            <charset val="128"/>
          </rPr>
          <t xml:space="preserve">・データの集計、並び替え、ランキング（「AI・データサイエンスの扉」第11回）
</t>
        </r>
        <r>
          <rPr>
            <sz val="12"/>
            <color theme="1"/>
            <rFont val="ＭＳ Ｐゴシック"/>
            <family val="3"/>
            <charset val="128"/>
          </rPr>
          <t>・質的データの図表表現（名義尺度、順序尺度）（「AI・データサイエンスの扉」第11回）
・量的データの図表表現（間隔尺度、比例尺度）（「AI・データサイエンスの扉」第11回）
・不適切なデータの表現（「AI・データサイエンスの扉」第11回）
・データの取り扱い</t>
        </r>
        <r>
          <rPr>
            <sz val="12"/>
            <color rgb="FFFF0000"/>
            <rFont val="ＭＳ Ｐゴシック"/>
            <family val="3"/>
            <charset val="128"/>
          </rPr>
          <t>（txt形式,csv形式）</t>
        </r>
        <r>
          <rPr>
            <sz val="12"/>
            <color theme="1"/>
            <rFont val="ＭＳ Ｐゴシック"/>
            <family val="3"/>
            <charset val="128"/>
          </rPr>
          <t>に関する演習（「情報活用Ⅰ」第13回）</t>
        </r>
        <rPh sb="65" eb="66">
          <t>ダイ</t>
        </rPh>
        <rPh sb="76" eb="78">
          <t>シュウケイ</t>
        </rPh>
        <rPh sb="79" eb="80">
          <t>ナラ</t>
        </rPh>
        <rPh sb="81" eb="82">
          <t>カ</t>
        </rPh>
        <rPh sb="245" eb="247">
          <t>ケイシキ</t>
        </rPh>
        <rPh sb="251" eb="253">
          <t>ケイシキ</t>
        </rPh>
        <rPh sb="262" eb="264">
          <t>ジョウホウ</t>
        </rPh>
        <rPh sb="264" eb="266">
          <t>カツヨウ</t>
        </rPh>
        <phoneticPr fontId="0"/>
      </is>
    </nc>
  </rcc>
  <rdn rId="0" localSheetId="1" customView="1" name="Z_8C9D52A6_6DCF_4B21_8AFD_E83D9E686319_.wvu.PrintArea" hidden="1" oldHidden="1">
    <formula>'様式１-１　プログラムを構成する授業科目'!$A$1:$S$102</formula>
  </rdn>
  <rdn rId="0" localSheetId="1" customView="1" name="Z_8C9D52A6_6DCF_4B21_8AFD_E83D9E686319_.wvu.Cols" hidden="1" oldHidden="1">
    <formula>'様式１-１　プログラムを構成する授業科目'!$V:$V</formula>
  </rdn>
  <rdn rId="0" localSheetId="1" customView="1" name="Z_8C9D52A6_6DCF_4B21_8AFD_E83D9E686319_.wvu.FilterData" hidden="1" oldHidden="1">
    <formula>'様式１-１　プログラムを構成する授業科目'!$V$14:$V$16</formula>
  </rdn>
  <rdn rId="0" localSheetId="2" customView="1" name="Z_8C9D52A6_6DCF_4B21_8AFD_E83D9E686319_.wvu.PrintArea" hidden="1" oldHidden="1">
    <formula>'様式１-２　プログラムを構成する授業科目 (国際看護学部)'!$A$1:$S$102</formula>
  </rdn>
  <rdn rId="0" localSheetId="2" customView="1" name="Z_8C9D52A6_6DCF_4B21_8AFD_E83D9E686319_.wvu.Cols" hidden="1" oldHidden="1">
    <formula>'様式１-２　プログラムを構成する授業科目 (国際看護学部)'!$V:$V</formula>
  </rdn>
  <rdn rId="0" localSheetId="2" customView="1" name="Z_8C9D52A6_6DCF_4B21_8AFD_E83D9E686319_.wvu.FilterData" hidden="1" oldHidden="1">
    <formula>'様式１-２　プログラムを構成する授業科目 (国際看護学部)'!$V$14:$V$16</formula>
  </rdn>
  <rdn rId="0" localSheetId="3" customView="1" name="Z_8C9D52A6_6DCF_4B21_8AFD_E83D9E686319_.wvu.PrintArea" hidden="1" oldHidden="1">
    <formula>'様式２ 履修者等数の実績'!$A$1:$AQ$32</formula>
  </rdn>
  <rdn rId="0" localSheetId="4" customView="1" name="Z_8C9D52A6_6DCF_4B21_8AFD_E83D9E686319_.wvu.PrintArea" hidden="1" oldHidden="1">
    <formula>'様式３ 教育の質・履修者数を向上させるための体制・計画'!$A$1:$I$120</formula>
  </rdn>
  <rdn rId="0" localSheetId="5" customView="1" name="Z_8C9D52A6_6DCF_4B21_8AFD_E83D9E686319_.wvu.PrintArea" hidden="1" oldHidden="1">
    <formula>'様式４　自己点検・評価'!$A$1:$I$22</formula>
  </rdn>
  <rdn rId="0" localSheetId="5" customView="1" name="Z_8C9D52A6_6DCF_4B21_8AFD_E83D9E686319_.wvu.PrintTitles" hidden="1" oldHidden="1">
    <formula>'様式４　自己点検・評価'!$11:$11</formula>
  </rdn>
  <rcv guid="{8C9D52A6-6DCF-4B21-8AFD-E83D9E686319}" action="add"/>
</revisions>
</file>

<file path=xl/revisions/revisionLog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06" sId="1">
    <oc r="D99" t="inlineStr">
      <is>
        <r>
          <t xml:space="preserve">・不適切なグラフ表現と優れた可視化事例について学び、サンプルデータを用いて適切な表現方法を学習する（「AI・データサイエンスの扉」第11回）
</t>
        </r>
        <r>
          <rPr>
            <sz val="12"/>
            <color rgb="FFFF0000"/>
            <rFont val="ＭＳ Ｐゴシック"/>
            <family val="3"/>
            <charset val="128"/>
          </rPr>
          <t xml:space="preserve">・データの集計、並び替え、ランキング（「AI・データサイエンスの扉」第11回）
</t>
        </r>
        <r>
          <rPr>
            <sz val="12"/>
            <color theme="1"/>
            <rFont val="ＭＳ Ｐゴシック"/>
            <family val="3"/>
            <charset val="128"/>
          </rPr>
          <t>・質的データの図表表現（名義尺度、順序尺度）（「AI・データサイエンスの扉」第11回）
・量的データの図表表現（間隔尺度、比例尺度）（「AI・データサイエンスの扉」第11回）
・不適切なデータの表現（「AI・データサイエンスの扉」第11回）
・データの取り扱い</t>
        </r>
        <r>
          <rPr>
            <sz val="12"/>
            <color rgb="FFFF0000"/>
            <rFont val="ＭＳ Ｐゴシック"/>
            <family val="3"/>
            <charset val="128"/>
          </rPr>
          <t>（txt形式,csv形式）</t>
        </r>
        <r>
          <rPr>
            <sz val="12"/>
            <color theme="1"/>
            <rFont val="ＭＳ Ｐゴシック"/>
            <family val="3"/>
            <charset val="128"/>
          </rPr>
          <t>に関する演習（「情報活用Ⅰ」第13回）</t>
        </r>
        <rPh sb="65" eb="66">
          <t>ダイ</t>
        </rPh>
        <rPh sb="76" eb="78">
          <t>シュウケイ</t>
        </rPh>
        <rPh sb="79" eb="80">
          <t>ナラ</t>
        </rPh>
        <rPh sb="81" eb="82">
          <t>カ</t>
        </rPh>
        <rPh sb="245" eb="247">
          <t>ケイシキ</t>
        </rPh>
        <rPh sb="251" eb="253">
          <t>ケイシキ</t>
        </rPh>
        <rPh sb="262" eb="264">
          <t>ジョウホウ</t>
        </rPh>
        <rPh sb="264" eb="266">
          <t>カツヨウ</t>
        </rPh>
        <phoneticPr fontId="2"/>
      </is>
    </oc>
    <nc r="D99" t="inlineStr">
      <is>
        <r>
          <t xml:space="preserve">・不適切なグラフ表現と優れた可視化事例について学び、サンプルデータを用いて適切な表現方法を学習する（「AI・データサイエンスの扉」第11回）
</t>
        </r>
        <r>
          <rPr>
            <sz val="12"/>
            <color rgb="FFFF0000"/>
            <rFont val="ＭＳ Ｐゴシック"/>
            <family val="3"/>
            <charset val="128"/>
          </rPr>
          <t xml:space="preserve">・データの集計、並び替え、ランキング（「AI・データサイエンスの扉」第11回）
</t>
        </r>
        <r>
          <rPr>
            <sz val="12"/>
            <color theme="1"/>
            <rFont val="ＭＳ Ｐゴシック"/>
            <family val="3"/>
            <charset val="128"/>
          </rPr>
          <t>・質的データの図表表現（名義尺度、順序尺度）（「AI・データサイエンスの扉」第11回）
・量的データの図表表現（間隔尺度、比例尺度）（「AI・データサイエンスの扉」第11回）
・不適切なデータの表現（「AI・データサイエンスの扉」第11回）
・データの取り扱い</t>
        </r>
        <r>
          <rPr>
            <sz val="12"/>
            <color rgb="FFFF0000"/>
            <rFont val="ＭＳ Ｐゴシック"/>
            <family val="3"/>
            <charset val="128"/>
          </rPr>
          <t>（txt形式、csv形式）</t>
        </r>
        <r>
          <rPr>
            <sz val="12"/>
            <color theme="1"/>
            <rFont val="ＭＳ Ｐゴシック"/>
            <family val="3"/>
            <charset val="128"/>
          </rPr>
          <t>に関する演習（「情報活用Ⅰ」第13回）</t>
        </r>
        <rPh sb="65" eb="66">
          <t>ダイ</t>
        </rPh>
        <rPh sb="76" eb="78">
          <t>シュウケイ</t>
        </rPh>
        <rPh sb="79" eb="80">
          <t>ナラ</t>
        </rPh>
        <rPh sb="81" eb="82">
          <t>カ</t>
        </rPh>
        <rPh sb="245" eb="247">
          <t>ケイシキ</t>
        </rPh>
        <rPh sb="251" eb="253">
          <t>ケイシキ</t>
        </rPh>
        <rPh sb="262" eb="264">
          <t>ジョウホウ</t>
        </rPh>
        <rPh sb="264" eb="266">
          <t>カツヨウ</t>
        </rPh>
        <phoneticPr fontId="2"/>
      </is>
    </nc>
  </rcc>
  <rcc rId="207" sId="2">
    <oc r="D95" t="inlineStr">
      <is>
        <t>・モラルとセキュリティ（AI・データを活用する際の注意点）（「情報活用Ⅰ」第2回）</t>
        <phoneticPr fontId="0"/>
      </is>
    </oc>
    <nc r="D95" t="inlineStr">
      <is>
        <r>
          <t>・モラルとセキュリティ（AI・データを活用する際の注意点</t>
        </r>
        <r>
          <rPr>
            <sz val="12"/>
            <color rgb="FFFF0000"/>
            <rFont val="ＭＳ Ｐゴシック"/>
            <family val="3"/>
            <charset val="128"/>
          </rPr>
          <t>、個人情報保護、ＥＬＳＩ</t>
        </r>
        <r>
          <rPr>
            <sz val="12"/>
            <rFont val="ＭＳ Ｐゴシック"/>
            <family val="3"/>
            <charset val="128"/>
          </rPr>
          <t>）（「情報活用Ⅰ」第2回）</t>
        </r>
        <rPh sb="29" eb="31">
          <t>コジン</t>
        </rPh>
        <rPh sb="31" eb="33">
          <t>ジョウホウ</t>
        </rPh>
        <rPh sb="33" eb="35">
          <t>ホゴ</t>
        </rPh>
        <phoneticPr fontId="0"/>
      </is>
    </nc>
  </rcc>
  <rcc rId="208" sId="2">
    <oc r="D96" t="inlineStr">
      <is>
        <t>・モラルとセキュリティ（情報セキュリティ（機密性, 完全性, 可用性）、ハッキング、不正アクセス、コンピュータウイルス）（「情報活用Ⅰ」第3回）</t>
        <phoneticPr fontId="0"/>
      </is>
    </oc>
    <nc r="D96" t="inlineStr">
      <is>
        <r>
          <t>・モラルとセキュリティ（情報セキュリティ（機密性, 完全性, 可用性）、ハッキング、不正アクセス、コンピュータウイルス）（「情報活用Ⅰ」第</t>
        </r>
        <r>
          <rPr>
            <sz val="12"/>
            <color rgb="FFFF0000"/>
            <rFont val="ＭＳ Ｐゴシック"/>
            <family val="3"/>
            <charset val="128"/>
          </rPr>
          <t>2</t>
        </r>
        <r>
          <rPr>
            <sz val="12"/>
            <rFont val="ＭＳ Ｐゴシック"/>
            <family val="3"/>
            <charset val="128"/>
          </rPr>
          <t>回）</t>
        </r>
        <phoneticPr fontId="0"/>
      </is>
    </nc>
  </rcc>
  <rcc rId="209" sId="2">
    <oc r="D98" t="inlineStr">
      <is>
        <t>・データリテラシーの基礎（「情報活用Ⅰ」第2回）　
・統計データの抽出方法（「情報活用Ⅱ（含医療情報の統計学）」第2回）
・基本統計量（「情報活用Ⅱ（含医療情報の統計学）」第4回）</t>
        <phoneticPr fontId="0"/>
      </is>
    </oc>
    <nc r="D98" t="inlineStr">
      <is>
        <r>
          <rPr>
            <sz val="12"/>
            <color rgb="FFFF0000"/>
            <rFont val="ＭＳ Ｐゴシック"/>
            <family val="3"/>
            <charset val="128"/>
          </rPr>
          <t>・データ表現（棒グラフ、折れ線グラフ、散布図、円グラフ）（「情報活用Ⅰ」第12回）　
・不適切なグラフ（「情報活用Ⅰ」第12回）　</t>
        </r>
        <r>
          <rPr>
            <sz val="12"/>
            <rFont val="ＭＳ Ｐゴシック"/>
            <family val="3"/>
            <charset val="128"/>
          </rPr>
          <t xml:space="preserve">
・基本統計量（「情報活用Ⅱ（含医療情報の統計学）」第4回）</t>
        </r>
        <rPh sb="4" eb="6">
          <t>ヒョウゲン</t>
        </rPh>
        <rPh sb="7" eb="8">
          <t>ボウ</t>
        </rPh>
        <rPh sb="12" eb="13">
          <t>オ</t>
        </rPh>
        <rPh sb="14" eb="15">
          <t>セン</t>
        </rPh>
        <rPh sb="19" eb="22">
          <t>サンプズ</t>
        </rPh>
        <rPh sb="23" eb="24">
          <t>エン</t>
        </rPh>
        <rPh sb="44" eb="47">
          <t>フテキセツ</t>
        </rPh>
        <phoneticPr fontId="0"/>
      </is>
    </nc>
  </rcc>
  <rcc rId="210" sId="2">
    <oc r="D99" t="inlineStr">
      <is>
        <t xml:space="preserve">
・Excelを用いたデータの可視化（「情報活用Ⅰ」第12回、第13回、第14回）
・Excelを用いたデータの分析（「情報活用Ⅱ（含医療情報の統計学）」第7回、第8回）
</t>
        <phoneticPr fontId="0"/>
      </is>
    </oc>
    <nc r="D99" t="inlineStr">
      <is>
        <r>
          <rPr>
            <sz val="12"/>
            <color rgb="FFFF0000"/>
            <rFont val="ＭＳ Ｐゴシック"/>
            <family val="3"/>
            <charset val="128"/>
          </rPr>
          <t>・データの抽出方法（「情報活用Ⅱ（含医療情報の統計学）」第2回）
・データ解析ツール（Excelの分析ツール）（「情報活用Ⅱ（含医療情報の統計学）」第3回、第4回）
・Excelを用いたデータ操作（集計、並び替え）（「情報活用Ⅰ」第9回）
・データの取り扱い（txt形式、csv形式）に関する演習（「情報活用Ⅰ」第14回）</t>
        </r>
        <r>
          <rPr>
            <sz val="12"/>
            <rFont val="ＭＳ Ｐゴシック"/>
            <family val="3"/>
            <charset val="128"/>
          </rPr>
          <t xml:space="preserve">
・Excelを用いたデータの分析（「情報活用Ⅱ（含医療情報の統計学）」第7回、第8回）
</t>
        </r>
        <rPh sb="37" eb="39">
          <t>カイセキ</t>
        </rPh>
        <rPh sb="49" eb="51">
          <t>ブンセキ</t>
        </rPh>
        <rPh sb="78" eb="79">
          <t>ダイ</t>
        </rPh>
        <rPh sb="80" eb="81">
          <t>カイ</t>
        </rPh>
        <rPh sb="96" eb="98">
          <t>ソウサ</t>
        </rPh>
        <rPh sb="99" eb="101">
          <t>シュウケイ</t>
        </rPh>
        <rPh sb="102" eb="103">
          <t>ナラ</t>
        </rPh>
        <rPh sb="104" eb="105">
          <t>カ</t>
        </rPh>
        <phoneticPr fontId="0"/>
      </is>
    </nc>
  </rcc>
  <rcc rId="211" sId="2">
    <oc r="D89" t="inlineStr">
      <is>
        <t>・デジタル社会の概要（「情報活用Ⅰ」第1回）
・社会で起きている変化を知り、データサイエンス、AIを学ぶ意義を認識する（「情報活用Ⅱ（含医療情報の統計学）」第1回）</t>
        <rPh sb="37" eb="39">
          <t>チュウイ</t>
        </rPh>
        <rPh sb="39" eb="40">
          <t>テン</t>
        </rPh>
        <phoneticPr fontId="0"/>
      </is>
    </oc>
    <nc r="D89" t="inlineStr">
      <is>
        <r>
          <t>・デジタル社会の概要</t>
        </r>
        <r>
          <rPr>
            <sz val="12"/>
            <color rgb="FFFF0000"/>
            <rFont val="ＭＳ Ｐゴシック"/>
            <family val="3"/>
            <charset val="128"/>
          </rPr>
          <t>（Soceity5.0、ビックデータ、AI）</t>
        </r>
        <r>
          <rPr>
            <sz val="12"/>
            <rFont val="ＭＳ Ｐゴシック"/>
            <family val="3"/>
            <charset val="128"/>
          </rPr>
          <t>（「情報活用Ⅰ」第1回）
・社会で起きている変化を知り、データサイエンス、AIを学ぶ意義を認識する</t>
        </r>
        <r>
          <rPr>
            <sz val="12"/>
            <color rgb="FFFF0000"/>
            <rFont val="ＭＳ Ｐゴシック"/>
            <family val="3"/>
            <charset val="128"/>
          </rPr>
          <t>（人間の知的活動とAIの関係性）</t>
        </r>
        <r>
          <rPr>
            <sz val="12"/>
            <rFont val="ＭＳ Ｐゴシック"/>
            <family val="3"/>
            <charset val="128"/>
          </rPr>
          <t>（「情報活用Ⅱ（含医療情報の統計学）」第1回）</t>
        </r>
        <rPh sb="59" eb="61">
          <t>チュウイ</t>
        </rPh>
        <rPh sb="61" eb="62">
          <t>テン</t>
        </rPh>
        <rPh sb="82" eb="84">
          <t>ニンゲン</t>
        </rPh>
        <rPh sb="85" eb="87">
          <t>チテキ</t>
        </rPh>
        <rPh sb="87" eb="89">
          <t>カツドウ</t>
        </rPh>
        <rPh sb="93" eb="96">
          <t>カンケイセイ</t>
        </rPh>
        <phoneticPr fontId="0"/>
      </is>
    </nc>
  </rcc>
  <rcc rId="212" sId="2">
    <oc r="D90" t="inlineStr">
      <is>
        <t>・AI・データ駆動型社会におけるデータ活用（「情報活用Ⅱ（含医療情報の統計学）」第1回）</t>
        <phoneticPr fontId="0"/>
      </is>
    </oc>
    <nc r="D90" t="inlineStr">
      <is>
        <r>
          <rPr>
            <sz val="12"/>
            <color rgb="FFFF0000"/>
            <rFont val="ＭＳ Ｐゴシック"/>
            <family val="3"/>
            <charset val="128"/>
          </rPr>
          <t>・医療・看護分野におけるAI活用（「情報活用Ⅱ（含医療情報の統計学）」第1回）</t>
        </r>
        <r>
          <rPr>
            <sz val="12"/>
            <rFont val="ＭＳ Ｐゴシック"/>
            <family val="3"/>
            <charset val="128"/>
          </rPr>
          <t xml:space="preserve">
</t>
        </r>
        <r>
          <rPr>
            <sz val="12"/>
            <color rgb="FFFF0000"/>
            <rFont val="ＭＳ Ｐゴシック"/>
            <family val="3"/>
            <charset val="128"/>
          </rPr>
          <t>・AI最新技術（ディープラーニング、強化学習）（「情報活用Ⅰ」第1回）</t>
        </r>
        <rPh sb="1" eb="3">
          <t>イリョウ</t>
        </rPh>
        <rPh sb="4" eb="6">
          <t>カンゴ</t>
        </rPh>
        <rPh sb="43" eb="45">
          <t>サイシン</t>
        </rPh>
        <rPh sb="45" eb="47">
          <t>ギジュツ</t>
        </rPh>
        <rPh sb="58" eb="60">
          <t>キョウカ</t>
        </rPh>
        <rPh sb="60" eb="62">
          <t>ガクシュウ</t>
        </rPh>
        <phoneticPr fontId="0"/>
      </is>
    </nc>
  </rcc>
  <rcc rId="213" sId="2">
    <oc r="D91" t="inlineStr">
      <is>
        <t>・デジタル社会の概要（「情報活用Ⅰ」第1回）
・健康に関する統計の指標（「情報活用Ⅱ（含医療情報の統計学）」第1回）</t>
        <phoneticPr fontId="0"/>
      </is>
    </oc>
    <nc r="D91" t="inlineStr">
      <is>
        <r>
          <rPr>
            <sz val="12"/>
            <color rgb="FFFF0000"/>
            <rFont val="ＭＳ Ｐゴシック"/>
            <family val="3"/>
            <charset val="128"/>
          </rPr>
          <t>・健康に関する統計（1次データ、2次データ、構造化データ、非構造化データ）（「情報活用Ⅱ（含医療情報の統計学）」第1回）</t>
        </r>
        <r>
          <rPr>
            <sz val="12"/>
            <rFont val="ＭＳ Ｐゴシック"/>
            <family val="3"/>
            <charset val="128"/>
          </rPr>
          <t xml:space="preserve">
・</t>
        </r>
        <r>
          <rPr>
            <sz val="12"/>
            <color rgb="FFFF0000"/>
            <rFont val="ＭＳ Ｐゴシック"/>
            <family val="3"/>
            <charset val="128"/>
          </rPr>
          <t>医療・看護分野における調査・実験データ（「情報活用Ⅱ（含医療情報の統計学）」第1回）</t>
        </r>
        <rPh sb="1" eb="3">
          <t>ケンコウ</t>
        </rPh>
        <rPh sb="11" eb="12">
          <t>ツギ</t>
        </rPh>
        <rPh sb="17" eb="18">
          <t>ツギ</t>
        </rPh>
        <rPh sb="22" eb="25">
          <t>コウゾウカ</t>
        </rPh>
        <rPh sb="29" eb="30">
          <t>ヒ</t>
        </rPh>
        <rPh sb="30" eb="33">
          <t>コウゾウカ</t>
        </rPh>
        <rPh sb="73" eb="75">
          <t>チョウサ</t>
        </rPh>
        <rPh sb="76" eb="78">
          <t>ジッケン</t>
        </rPh>
        <phoneticPr fontId="0"/>
      </is>
    </nc>
  </rcc>
  <rcc rId="214" sId="2">
    <oc r="D92" t="inlineStr">
      <is>
        <t>・保健・健康分野における統計学の概要（「情報活用Ⅱ（含医療情報の統計学）」第1回）</t>
        <phoneticPr fontId="0"/>
      </is>
    </oc>
    <nc r="D92" t="inlineStr">
      <is>
        <r>
          <rPr>
            <sz val="12"/>
            <color rgb="FFFF0000"/>
            <rFont val="ＭＳ Ｐゴシック"/>
            <family val="3"/>
            <charset val="128"/>
          </rPr>
          <t>・AI活用領域の広がり（医療・看護分野での活用事例）（「情報活用Ⅰ」第1回）</t>
        </r>
        <r>
          <rPr>
            <sz val="12"/>
            <rFont val="ＭＳ Ｐゴシック"/>
            <family val="3"/>
            <charset val="128"/>
          </rPr>
          <t xml:space="preserve">
・</t>
        </r>
        <r>
          <rPr>
            <sz val="12"/>
            <color rgb="FFFF0000"/>
            <rFont val="ＭＳ Ｐゴシック"/>
            <family val="3"/>
            <charset val="128"/>
          </rPr>
          <t>医療・看護分野におけるデ－タの活用「情報活用Ⅱ（含医療情報の統計学）」第1回）</t>
        </r>
        <rPh sb="3" eb="5">
          <t>カツヨウ</t>
        </rPh>
        <rPh sb="5" eb="7">
          <t>リョウイキ</t>
        </rPh>
        <rPh sb="8" eb="9">
          <t>ヒロ</t>
        </rPh>
        <rPh sb="12" eb="14">
          <t>イリョウ</t>
        </rPh>
        <rPh sb="15" eb="17">
          <t>カンゴ</t>
        </rPh>
        <rPh sb="17" eb="19">
          <t>ブンヤ</t>
        </rPh>
        <rPh sb="21" eb="23">
          <t>カツヨウ</t>
        </rPh>
        <rPh sb="23" eb="25">
          <t>ジレイ</t>
        </rPh>
        <rPh sb="55" eb="57">
          <t>カツヨウ</t>
        </rPh>
        <phoneticPr fontId="0"/>
      </is>
    </nc>
  </rcc>
  <rcc rId="215" sId="2">
    <oc r="D93" t="inlineStr">
      <is>
        <t>・データリテラシーの基礎　（「情報活用Ⅰ」第2回）
・AI・データ活用のための技術（統計的手法、機械学習）（「情報活用Ⅱ（含医療情報の統計学）」第1回）</t>
        <phoneticPr fontId="0"/>
      </is>
    </oc>
    <nc r="D93" t="inlineStr">
      <is>
        <r>
          <rPr>
            <sz val="12"/>
            <color rgb="FFFF0000"/>
            <rFont val="ＭＳ Ｐゴシック"/>
            <family val="3"/>
            <charset val="128"/>
          </rPr>
          <t xml:space="preserve">・データの可視化　（「情報活用Ⅰ」第12回）
・非構造化データの処理（動画処理）（「情報活用Ⅰ」第14回）
</t>
        </r>
        <r>
          <rPr>
            <sz val="12"/>
            <rFont val="ＭＳ Ｐゴシック"/>
            <family val="3"/>
            <charset val="128"/>
          </rPr>
          <t>・AI・データ活用のための技術（統計的手法、機械学習）（「情報活用Ⅱ（含医療情報の統計学）」第1回）</t>
        </r>
        <rPh sb="5" eb="8">
          <t>カシカ</t>
        </rPh>
        <phoneticPr fontId="0"/>
      </is>
    </nc>
  </rcc>
  <rcc rId="216" sId="2">
    <oc r="D94" t="inlineStr">
      <is>
        <t>・データリテラシーの基礎　（「情報活用Ⅰ」第2回）
・AI・データ駆動型社会におけるデータ活用（「情報活用Ⅱ（含医療情報の統計学）」第1回）</t>
        <phoneticPr fontId="0"/>
      </is>
    </oc>
    <nc r="D94" t="inlineStr">
      <is>
        <r>
          <t xml:space="preserve">・医療・看護分野におけるデータ・AI利活用事例紹介（「情報活用Ⅱ（含医療情報の統計学）」第1回）
</t>
        </r>
        <r>
          <rPr>
            <sz val="12"/>
            <color rgb="FFFF0000"/>
            <rFont val="ＭＳ Ｐゴシック"/>
            <family val="3"/>
            <charset val="128"/>
          </rPr>
          <t>・データ分析と推論（結果の共有、課題解決の向けた提案）（「情報活用Ⅱ（含医療情報の統計学）」第14回）</t>
        </r>
        <rPh sb="53" eb="55">
          <t>ブンセキ</t>
        </rPh>
        <rPh sb="56" eb="58">
          <t>スイロン</t>
        </rPh>
        <rPh sb="59" eb="61">
          <t>ケッカ</t>
        </rPh>
        <rPh sb="62" eb="64">
          <t>キョウユウ</t>
        </rPh>
        <rPh sb="65" eb="67">
          <t>カダイ</t>
        </rPh>
        <rPh sb="67" eb="69">
          <t>カイケツ</t>
        </rPh>
        <rPh sb="70" eb="71">
          <t>ム</t>
        </rPh>
        <rPh sb="73" eb="75">
          <t>テイアン</t>
        </rPh>
        <phoneticPr fontId="0"/>
      </is>
    </nc>
  </rcc>
  <rcv guid="{8C9D52A6-6DCF-4B21-8AFD-E83D9E686319}" action="delete"/>
  <rdn rId="0" localSheetId="1" customView="1" name="Z_8C9D52A6_6DCF_4B21_8AFD_E83D9E686319_.wvu.PrintArea" hidden="1" oldHidden="1">
    <formula>'様式１-１　プログラムを構成する授業科目'!$A$1:$S$102</formula>
    <oldFormula>'様式１-１　プログラムを構成する授業科目'!$A$1:$S$102</oldFormula>
  </rdn>
  <rdn rId="0" localSheetId="1" customView="1" name="Z_8C9D52A6_6DCF_4B21_8AFD_E83D9E686319_.wvu.Cols" hidden="1" oldHidden="1">
    <formula>'様式１-１　プログラムを構成する授業科目'!$V:$V</formula>
    <oldFormula>'様式１-１　プログラムを構成する授業科目'!$V:$V</oldFormula>
  </rdn>
  <rdn rId="0" localSheetId="1" customView="1" name="Z_8C9D52A6_6DCF_4B21_8AFD_E83D9E686319_.wvu.FilterData" hidden="1" oldHidden="1">
    <formula>'様式１-１　プログラムを構成する授業科目'!$V$14:$V$16</formula>
    <oldFormula>'様式１-１　プログラムを構成する授業科目'!$V$14:$V$16</oldFormula>
  </rdn>
  <rdn rId="0" localSheetId="2" customView="1" name="Z_8C9D52A6_6DCF_4B21_8AFD_E83D9E686319_.wvu.PrintArea" hidden="1" oldHidden="1">
    <formula>'様式１-２　プログラムを構成する授業科目 (国際看護学部)'!$A$1:$S$102</formula>
    <oldFormula>'様式１-２　プログラムを構成する授業科目 (国際看護学部)'!$A$1:$S$102</oldFormula>
  </rdn>
  <rdn rId="0" localSheetId="2" customView="1" name="Z_8C9D52A6_6DCF_4B21_8AFD_E83D9E686319_.wvu.Cols" hidden="1" oldHidden="1">
    <formula>'様式１-２　プログラムを構成する授業科目 (国際看護学部)'!$V:$V</formula>
    <oldFormula>'様式１-２　プログラムを構成する授業科目 (国際看護学部)'!$V:$V</oldFormula>
  </rdn>
  <rdn rId="0" localSheetId="2" customView="1" name="Z_8C9D52A6_6DCF_4B21_8AFD_E83D9E686319_.wvu.FilterData" hidden="1" oldHidden="1">
    <formula>'様式１-２　プログラムを構成する授業科目 (国際看護学部)'!$V$14:$V$16</formula>
    <oldFormula>'様式１-２　プログラムを構成する授業科目 (国際看護学部)'!$V$14:$V$16</oldFormula>
  </rdn>
  <rdn rId="0" localSheetId="3" customView="1" name="Z_8C9D52A6_6DCF_4B21_8AFD_E83D9E686319_.wvu.PrintArea" hidden="1" oldHidden="1">
    <formula>'様式２ 履修者等数の実績'!$A$1:$AQ$32</formula>
    <oldFormula>'様式２ 履修者等数の実績'!$A$1:$AQ$32</oldFormula>
  </rdn>
  <rdn rId="0" localSheetId="4" customView="1" name="Z_8C9D52A6_6DCF_4B21_8AFD_E83D9E686319_.wvu.PrintArea" hidden="1" oldHidden="1">
    <formula>'様式３ 教育の質・履修者数を向上させるための体制・計画'!$A$1:$I$120</formula>
    <oldFormula>'様式３ 教育の質・履修者数を向上させるための体制・計画'!$A$1:$I$120</oldFormula>
  </rdn>
  <rdn rId="0" localSheetId="5" customView="1" name="Z_8C9D52A6_6DCF_4B21_8AFD_E83D9E686319_.wvu.PrintArea" hidden="1" oldHidden="1">
    <formula>'様式４　自己点検・評価'!$A$1:$I$22</formula>
    <oldFormula>'様式４　自己点検・評価'!$A$1:$I$22</oldFormula>
  </rdn>
  <rdn rId="0" localSheetId="5" customView="1" name="Z_8C9D52A6_6DCF_4B21_8AFD_E83D9E686319_.wvu.PrintTitles" hidden="1" oldHidden="1">
    <formula>'様式４　自己点検・評価'!$11:$11</formula>
    <oldFormula>'様式４　自己点検・評価'!$11:$11</oldFormula>
  </rdn>
  <rcv guid="{8C9D52A6-6DCF-4B21-8AFD-E83D9E686319}" action="add"/>
</revisions>
</file>

<file path=xl/revisions/revisionLog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2" sqref="D90" start="0" length="0">
    <dxf>
      <font>
        <sz val="12"/>
        <color rgb="FFFF0000"/>
        <family val="3"/>
      </font>
    </dxf>
  </rfmt>
  <rcc rId="227" sId="2">
    <oc r="D90" t="inlineStr">
      <is>
        <r>
          <rPr>
            <sz val="12"/>
            <color rgb="FFFF0000"/>
            <rFont val="ＭＳ Ｐゴシック"/>
            <family val="3"/>
            <charset val="128"/>
          </rPr>
          <t>・医療・看護分野におけるAI活用（「情報活用Ⅱ（含医療情報の統計学）」第1回）</t>
        </r>
        <r>
          <rPr>
            <sz val="12"/>
            <rFont val="ＭＳ Ｐゴシック"/>
            <family val="3"/>
            <charset val="128"/>
          </rPr>
          <t xml:space="preserve">
</t>
        </r>
        <r>
          <rPr>
            <sz val="12"/>
            <color rgb="FFFF0000"/>
            <rFont val="ＭＳ Ｐゴシック"/>
            <family val="3"/>
            <charset val="128"/>
          </rPr>
          <t>・AI最新技術（ディープラーニング、強化学習）（「情報活用Ⅰ」第1回）</t>
        </r>
        <rPh sb="1" eb="3">
          <t>イリョウ</t>
        </rPh>
        <rPh sb="4" eb="6">
          <t>カンゴ</t>
        </rPh>
        <rPh sb="43" eb="45">
          <t>サイシン</t>
        </rPh>
        <rPh sb="45" eb="47">
          <t>ギジュツ</t>
        </rPh>
        <rPh sb="58" eb="60">
          <t>キョウカ</t>
        </rPh>
        <rPh sb="60" eb="62">
          <t>ガクシュウ</t>
        </rPh>
        <phoneticPr fontId="2"/>
      </is>
    </oc>
    <nc r="D90" t="inlineStr">
      <is>
        <t>・AI最新技術（ディープラーニング、強化学習）（「情報活用Ⅰ」第1回）
・医療・看護分野におけるAI活用事例（「情報活用Ⅰ」第1回）</t>
        <rPh sb="3" eb="5">
          <t>サイシン</t>
        </rPh>
        <rPh sb="5" eb="7">
          <t>ギジュツ</t>
        </rPh>
        <rPh sb="18" eb="20">
          <t>キョウカ</t>
        </rPh>
        <rPh sb="20" eb="22">
          <t>ガクシュウ</t>
        </rPh>
        <rPh sb="50" eb="52">
          <t>カツヨウ</t>
        </rPh>
        <rPh sb="52" eb="54">
          <t>ジレイ</t>
        </rPh>
        <phoneticPr fontId="2"/>
      </is>
    </nc>
  </rcc>
  <rcc rId="228" sId="2">
    <oc r="D89" t="inlineStr">
      <is>
        <r>
          <t>・デジタル社会の概要</t>
        </r>
        <r>
          <rPr>
            <sz val="12"/>
            <color rgb="FFFF0000"/>
            <rFont val="ＭＳ Ｐゴシック"/>
            <family val="3"/>
            <charset val="128"/>
          </rPr>
          <t>（Soceity5.0、ビックデータ、AI）</t>
        </r>
        <r>
          <rPr>
            <sz val="12"/>
            <rFont val="ＭＳ Ｐゴシック"/>
            <family val="3"/>
            <charset val="128"/>
          </rPr>
          <t>（「情報活用Ⅰ」第1回）
・社会で起きている変化を知り、データサイエンス、AIを学ぶ意義を認識する</t>
        </r>
        <r>
          <rPr>
            <sz val="12"/>
            <color rgb="FFFF0000"/>
            <rFont val="ＭＳ Ｐゴシック"/>
            <family val="3"/>
            <charset val="128"/>
          </rPr>
          <t>（人間の知的活動とAIの関係性）</t>
        </r>
        <r>
          <rPr>
            <sz val="12"/>
            <rFont val="ＭＳ Ｐゴシック"/>
            <family val="3"/>
            <charset val="128"/>
          </rPr>
          <t>（「情報活用Ⅱ（含医療情報の統計学）」第1回）</t>
        </r>
        <rPh sb="59" eb="61">
          <t>チュウイ</t>
        </rPh>
        <rPh sb="61" eb="62">
          <t>テン</t>
        </rPh>
        <rPh sb="82" eb="84">
          <t>ニンゲン</t>
        </rPh>
        <rPh sb="85" eb="87">
          <t>チテキ</t>
        </rPh>
        <rPh sb="87" eb="89">
          <t>カツドウ</t>
        </rPh>
        <rPh sb="93" eb="96">
          <t>カンケイセイ</t>
        </rPh>
        <phoneticPr fontId="2"/>
      </is>
    </oc>
    <nc r="D89" t="inlineStr">
      <is>
        <r>
          <t>・デジタル社会の概要</t>
        </r>
        <r>
          <rPr>
            <sz val="12"/>
            <color rgb="FFFF0000"/>
            <rFont val="ＭＳ Ｐゴシック"/>
            <family val="3"/>
            <charset val="128"/>
          </rPr>
          <t>（Soceity5.0、ビックデータ、AI、IoT）</t>
        </r>
        <r>
          <rPr>
            <sz val="12"/>
            <rFont val="ＭＳ Ｐゴシック"/>
            <family val="3"/>
            <charset val="128"/>
          </rPr>
          <t>（「情報活用Ⅰ」第1回）
・社会で起きている変化を知り、データサイエンス、AIを学ぶ意義を認識する（「情報活用Ⅱ（含医療情報の統計学）」第1回）</t>
        </r>
        <rPh sb="63" eb="65">
          <t>チュウイ</t>
        </rPh>
        <rPh sb="65" eb="66">
          <t>テン</t>
        </rPh>
        <phoneticPr fontId="2"/>
      </is>
    </nc>
  </rcc>
</revisions>
</file>

<file path=xl/revisions/revisionLog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8C9D52A6-6DCF-4B21-8AFD-E83D9E686319}" action="delete"/>
  <rdn rId="0" localSheetId="1" customView="1" name="Z_8C9D52A6_6DCF_4B21_8AFD_E83D9E686319_.wvu.PrintArea" hidden="1" oldHidden="1">
    <formula>'様式１-１　プログラムを構成する授業科目'!$A$1:$S$102</formula>
    <oldFormula>'様式１-１　プログラムを構成する授業科目'!$A$1:$S$102</oldFormula>
  </rdn>
  <rdn rId="0" localSheetId="1" customView="1" name="Z_8C9D52A6_6DCF_4B21_8AFD_E83D9E686319_.wvu.Cols" hidden="1" oldHidden="1">
    <formula>'様式１-１　プログラムを構成する授業科目'!$V:$V</formula>
    <oldFormula>'様式１-１　プログラムを構成する授業科目'!$V:$V</oldFormula>
  </rdn>
  <rdn rId="0" localSheetId="1" customView="1" name="Z_8C9D52A6_6DCF_4B21_8AFD_E83D9E686319_.wvu.FilterData" hidden="1" oldHidden="1">
    <formula>'様式１-１　プログラムを構成する授業科目'!$V$14:$V$16</formula>
    <oldFormula>'様式１-１　プログラムを構成する授業科目'!$V$14:$V$16</oldFormula>
  </rdn>
  <rdn rId="0" localSheetId="2" customView="1" name="Z_8C9D52A6_6DCF_4B21_8AFD_E83D9E686319_.wvu.PrintArea" hidden="1" oldHidden="1">
    <formula>'様式１-２　プログラムを構成する授業科目 (国際看護学部)'!$A$1:$S$102</formula>
    <oldFormula>'様式１-２　プログラムを構成する授業科目 (国際看護学部)'!$A$1:$S$102</oldFormula>
  </rdn>
  <rdn rId="0" localSheetId="2" customView="1" name="Z_8C9D52A6_6DCF_4B21_8AFD_E83D9E686319_.wvu.Cols" hidden="1" oldHidden="1">
    <formula>'様式１-２　プログラムを構成する授業科目 (国際看護学部)'!$V:$V</formula>
    <oldFormula>'様式１-２　プログラムを構成する授業科目 (国際看護学部)'!$V:$V</oldFormula>
  </rdn>
  <rdn rId="0" localSheetId="2" customView="1" name="Z_8C9D52A6_6DCF_4B21_8AFD_E83D9E686319_.wvu.FilterData" hidden="1" oldHidden="1">
    <formula>'様式１-２　プログラムを構成する授業科目 (国際看護学部)'!$V$14:$V$16</formula>
    <oldFormula>'様式１-２　プログラムを構成する授業科目 (国際看護学部)'!$V$14:$V$16</oldFormula>
  </rdn>
  <rdn rId="0" localSheetId="3" customView="1" name="Z_8C9D52A6_6DCF_4B21_8AFD_E83D9E686319_.wvu.PrintArea" hidden="1" oldHidden="1">
    <formula>'様式２ 履修者等数の実績'!$A$1:$AQ$32</formula>
    <oldFormula>'様式２ 履修者等数の実績'!$A$1:$AQ$32</oldFormula>
  </rdn>
  <rdn rId="0" localSheetId="4" customView="1" name="Z_8C9D52A6_6DCF_4B21_8AFD_E83D9E686319_.wvu.PrintArea" hidden="1" oldHidden="1">
    <formula>'様式３ 教育の質・履修者数を向上させるための体制・計画'!$A$1:$I$120</formula>
    <oldFormula>'様式３ 教育の質・履修者数を向上させるための体制・計画'!$A$1:$I$120</oldFormula>
  </rdn>
  <rdn rId="0" localSheetId="5" customView="1" name="Z_8C9D52A6_6DCF_4B21_8AFD_E83D9E686319_.wvu.PrintArea" hidden="1" oldHidden="1">
    <formula>'様式４　自己点検・評価'!$A$1:$I$22</formula>
    <oldFormula>'様式４　自己点検・評価'!$A$1:$I$22</oldFormula>
  </rdn>
  <rdn rId="0" localSheetId="5" customView="1" name="Z_8C9D52A6_6DCF_4B21_8AFD_E83D9E686319_.wvu.PrintTitles" hidden="1" oldHidden="1">
    <formula>'様式４　自己点検・評価'!$11:$11</formula>
    <oldFormula>'様式４　自己点検・評価'!$11:$11</oldFormula>
  </rdn>
  <rcv guid="{8C9D52A6-6DCF-4B21-8AFD-E83D9E686319}" action="add"/>
</revisions>
</file>

<file path=xl/revisions/revisionLog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1" sId="2">
    <oc r="B59" t="inlineStr">
      <is>
        <t>情報活用Ⅱ（含医療情報の統計学）</t>
        <phoneticPr fontId="0"/>
      </is>
    </oc>
    <nc r="B59"/>
  </rcc>
  <rcc rId="22" sId="2">
    <oc r="F59">
      <v>1</v>
    </oc>
    <nc r="F59"/>
  </rcc>
  <rcc rId="23" sId="2">
    <oc r="G59" t="inlineStr">
      <is>
        <t>○</t>
      </is>
    </oc>
    <nc r="G59"/>
  </rcc>
  <rcc rId="24" sId="2">
    <oc r="R1" t="inlineStr">
      <is>
        <t>様式１-2</t>
        <rPh sb="0" eb="2">
          <t>ヨウシキ</t>
        </rPh>
        <phoneticPr fontId="0"/>
      </is>
    </oc>
    <nc r="R1" t="inlineStr">
      <is>
        <t>様式１-２</t>
        <rPh sb="0" eb="2">
          <t>ヨウシキ</t>
        </rPh>
        <phoneticPr fontId="0"/>
      </is>
    </nc>
  </rcc>
  <rcc rId="25" sId="1">
    <oc r="R1" t="inlineStr">
      <is>
        <t>様式１-1</t>
        <rPh sb="0" eb="2">
          <t>ヨウシキ</t>
        </rPh>
        <phoneticPr fontId="0"/>
      </is>
    </oc>
    <nc r="R1" t="inlineStr">
      <is>
        <t>様式１-１</t>
        <rPh sb="0" eb="2">
          <t>ヨウシキ</t>
        </rPh>
        <phoneticPr fontId="0"/>
      </is>
    </nc>
  </rcc>
  <rfmt sheetId="4" sqref="G6">
    <dxf>
      <alignment shrinkToFit="1"/>
    </dxf>
  </rfmt>
  <rcc rId="26" sId="4">
    <oc r="B19" t="inlineStr">
      <is>
        <t>教育連絡協議会設置規定</t>
        <phoneticPr fontId="0"/>
      </is>
    </oc>
    <nc r="B19" t="inlineStr">
      <is>
        <t>教育連絡協議会設置規程</t>
        <rPh sb="9" eb="11">
          <t>キテイ</t>
        </rPh>
        <phoneticPr fontId="0"/>
      </is>
    </nc>
  </rcc>
  <rcc rId="27" sId="4">
    <oc r="A33" t="inlineStr">
      <is>
        <t>コア教育連絡協議会</t>
      </is>
    </oc>
    <nc r="A33"/>
  </rcc>
  <rcc rId="28" sId="4">
    <oc r="B35" t="inlineStr">
      <is>
        <r>
          <t>（令和5年度　コア教育連絡協議会　　構成員）
コア教育連絡協議会議長</t>
        </r>
        <r>
          <rPr>
            <sz val="12"/>
            <rFont val="ＭＳ Ｐゴシック"/>
            <family val="3"/>
            <charset val="128"/>
          </rPr>
          <t>　准教授　</t>
        </r>
        <r>
          <rPr>
            <sz val="12"/>
            <color theme="1"/>
            <rFont val="ＭＳ Ｐゴシック"/>
            <family val="3"/>
            <charset val="128"/>
          </rPr>
          <t>瀬口　昌生
教務部長　教授　尾崎　耕司
コア教育アドバイザー　准教授　瀬口　昌生
コア教育アドバイザー　教授　坂本　理郎
コア教育アドバイザー　教授　谷村　要
ゼミナールコーディネーター　准教授　増岡　亮、准教授　森元 伸枝、准教授　坂元 英毅
卒研コーディネーター　教授　中島 由佳、准教授　鈴木 基伸、教授　和田 淳、准教授　下田 元毅
情報教育コーディネーター　教授　本田　直也
情報活用コーディネーター　准教授　中崎 修一
英語教育コーディネーター　准教授　石野 尚、准教授　ジョン・ジャクソン
英語コーディネーター　准教授　ゴードンカールソン、講師　森井 祐介</t>
        </r>
        <rPh sb="92" eb="94">
          <t>キョウジュ</t>
        </rPh>
        <rPh sb="95" eb="97">
          <t>サカモト</t>
        </rPh>
        <rPh sb="112" eb="114">
          <t>キョウジュ</t>
        </rPh>
        <rPh sb="115" eb="117">
          <t>タニムラ</t>
        </rPh>
        <rPh sb="118" eb="119">
          <t>カナメ</t>
        </rPh>
        <rPh sb="224" eb="226">
          <t>キョウジュ</t>
        </rPh>
        <rPh sb="227" eb="229">
          <t>ホンダ</t>
        </rPh>
        <rPh sb="230" eb="232">
          <t>ナオヤ</t>
        </rPh>
        <rPh sb="246" eb="249">
          <t>ジュンキョウジュ</t>
        </rPh>
        <phoneticPr fontId="2"/>
      </is>
    </oc>
    <nc r="B35" t="inlineStr">
      <is>
        <r>
          <t>（令和5年度　コア教育連絡協議会　　構成員）</t>
        </r>
        <r>
          <rPr>
            <sz val="12"/>
            <color rgb="FFFF0000"/>
            <rFont val="ＭＳ Ｐゴシック"/>
            <family val="3"/>
            <charset val="128"/>
          </rPr>
          <t>←記入例に「昨年度時点の構成員を記載願います」とありますので、令和4年度の構成員を記入する必要があります。</t>
        </r>
        <r>
          <rPr>
            <sz val="12"/>
            <color theme="1"/>
            <rFont val="ＭＳ Ｐゴシック"/>
            <family val="3"/>
            <charset val="128"/>
          </rPr>
          <t xml:space="preserve">
コア教育連絡協議会議長</t>
        </r>
        <r>
          <rPr>
            <sz val="12"/>
            <rFont val="ＭＳ Ｐゴシック"/>
            <family val="3"/>
            <charset val="128"/>
          </rPr>
          <t>　准教授　</t>
        </r>
        <r>
          <rPr>
            <sz val="12"/>
            <color theme="1"/>
            <rFont val="ＭＳ Ｐゴシック"/>
            <family val="3"/>
            <charset val="128"/>
          </rPr>
          <t>瀬口　昌生
教務部長　教授　尾﨑　耕司
コア教育アドバイザー　准教授　瀬口　昌生
コア教育アドバイザー　教授　坂本　理郎
コア教育アドバイザー　教授　谷村　要
ゼミナールコーディネーター　准教授　増岡　亮、准教授　森元 伸枝、准教授　坂元 英毅
卒研コーディネーター　教授　中島 由佳、准教授　鈴木 基伸、教授　和田 淳、准教授　下田 元毅
情報教育コーディネーター　教授　本田　直也
情報活用コーディネーター　准教授　中崎 修一
英語教育コーディネーター　准教授　石野 尚、准教授　ジョン・ジャクソン
英語コーディネーター　准教授　ゴードン・カールソン、講師　森井 祐介</t>
        </r>
        <rPh sb="23" eb="25">
          <t>キニュウ</t>
        </rPh>
        <rPh sb="25" eb="26">
          <t>レイ</t>
        </rPh>
        <rPh sb="53" eb="55">
          <t>レイワ</t>
        </rPh>
        <rPh sb="56" eb="58">
          <t>ネンド</t>
        </rPh>
        <rPh sb="59" eb="62">
          <t>コウセイイン</t>
        </rPh>
        <rPh sb="63" eb="65">
          <t>キニュウ</t>
        </rPh>
        <rPh sb="67" eb="69">
          <t>ヒツヨウ</t>
        </rPh>
        <rPh sb="107" eb="109">
          <t>オザキ</t>
        </rPh>
        <rPh sb="145" eb="147">
          <t>キョウジュ</t>
        </rPh>
        <rPh sb="148" eb="150">
          <t>サカモト</t>
        </rPh>
        <rPh sb="165" eb="167">
          <t>キョウジュ</t>
        </rPh>
        <rPh sb="168" eb="170">
          <t>タニムラ</t>
        </rPh>
        <rPh sb="171" eb="172">
          <t>カナメ</t>
        </rPh>
        <rPh sb="277" eb="279">
          <t>キョウジュ</t>
        </rPh>
        <rPh sb="280" eb="282">
          <t>ホンダ</t>
        </rPh>
        <rPh sb="283" eb="285">
          <t>ナオヤ</t>
        </rPh>
        <rPh sb="299" eb="302">
          <t>ジュンキョウジュ</t>
        </rPh>
        <phoneticPr fontId="2"/>
      </is>
    </nc>
  </rcc>
  <rfmt sheetId="4" sqref="B35:I46">
    <dxf>
      <fill>
        <patternFill patternType="solid">
          <bgColor rgb="FFFFFF00"/>
        </patternFill>
      </fill>
    </dxf>
  </rfmt>
  <rfmt sheetId="4" sqref="F49:G50">
    <dxf>
      <fill>
        <patternFill patternType="solid">
          <bgColor rgb="FFFFFF00"/>
        </patternFill>
      </fill>
    </dxf>
  </rfmt>
  <rfmt sheetId="4" sqref="I49">
    <dxf>
      <fill>
        <patternFill patternType="solid">
          <bgColor rgb="FFFFFF00"/>
        </patternFill>
      </fill>
    </dxf>
  </rfmt>
  <rfmt sheetId="4" sqref="C50:D50">
    <dxf>
      <fill>
        <patternFill patternType="solid">
          <bgColor rgb="FFFFFF00"/>
        </patternFill>
      </fill>
    </dxf>
  </rfmt>
  <rcc rId="29" sId="4">
    <oc r="B52" t="inlineStr">
      <is>
        <t>「情報活用Ⅰ」および「情報活用Ⅱ」は引き続き必修科目として全学生への履修を徹底する。また「AI・データサイエンスの扉」は現在は1、2年生のみが受講対象となっているが年次進行で令和6年には3年生、令和7年には4年生も履修が可能とする計画である。</t>
        <rPh sb="1" eb="3">
          <t>ジョウホウ</t>
        </rPh>
        <rPh sb="3" eb="5">
          <t>カツヨウ</t>
        </rPh>
        <rPh sb="11" eb="13">
          <t>ジョウホウ</t>
        </rPh>
        <rPh sb="13" eb="15">
          <t>カツヨウ</t>
        </rPh>
        <rPh sb="18" eb="19">
          <t>ヒ</t>
        </rPh>
        <rPh sb="20" eb="21">
          <t>ツヅ</t>
        </rPh>
        <rPh sb="22" eb="24">
          <t>ヒッシュウ</t>
        </rPh>
        <rPh sb="24" eb="26">
          <t>カモク</t>
        </rPh>
        <rPh sb="29" eb="30">
          <t>ゼン</t>
        </rPh>
        <rPh sb="30" eb="32">
          <t>ガクセイ</t>
        </rPh>
        <rPh sb="34" eb="36">
          <t>リシュウ</t>
        </rPh>
        <rPh sb="37" eb="39">
          <t>テッテイ</t>
        </rPh>
        <rPh sb="57" eb="58">
          <t>トビラ</t>
        </rPh>
        <rPh sb="60" eb="62">
          <t>ゲンザイ</t>
        </rPh>
        <rPh sb="66" eb="68">
          <t>ネンセイ</t>
        </rPh>
        <rPh sb="71" eb="73">
          <t>ジュコウ</t>
        </rPh>
        <rPh sb="73" eb="75">
          <t>タイショウ</t>
        </rPh>
        <rPh sb="82" eb="84">
          <t>ネンジ</t>
        </rPh>
        <rPh sb="84" eb="86">
          <t>シンコウ</t>
        </rPh>
        <rPh sb="87" eb="89">
          <t>レイワ</t>
        </rPh>
        <rPh sb="90" eb="91">
          <t>ネン</t>
        </rPh>
        <rPh sb="94" eb="96">
          <t>ネンセイ</t>
        </rPh>
        <rPh sb="97" eb="99">
          <t>レイワ</t>
        </rPh>
        <rPh sb="100" eb="101">
          <t>ネン</t>
        </rPh>
        <rPh sb="104" eb="106">
          <t>ネンセイ</t>
        </rPh>
        <rPh sb="107" eb="109">
          <t>リシュウ</t>
        </rPh>
        <rPh sb="110" eb="112">
          <t>カノウ</t>
        </rPh>
        <rPh sb="115" eb="117">
          <t>ケイカク</t>
        </rPh>
        <phoneticPr fontId="0"/>
      </is>
    </oc>
    <nc r="B52" t="inlineStr">
      <is>
        <t>「情報活用Ⅰ」および国際看護学部の「情報活用Ⅱ（含医療情報の統計学）」は引き続き必修科目として全学生への履修を徹底する。また「AI・データサイエンスの扉」は現在は1、2年生のみが受講対象となっているが年次進行で令和6年度には3年生、令和7年度には4年生も履修可能とする計画である。</t>
        <rPh sb="1" eb="3">
          <t>ジョウホウ</t>
        </rPh>
        <rPh sb="3" eb="5">
          <t>カツヨウ</t>
        </rPh>
        <rPh sb="10" eb="12">
          <t>コクサイ</t>
        </rPh>
        <rPh sb="12" eb="14">
          <t>カンゴ</t>
        </rPh>
        <rPh sb="14" eb="16">
          <t>ガクブ</t>
        </rPh>
        <rPh sb="18" eb="20">
          <t>ジョウホウ</t>
        </rPh>
        <rPh sb="20" eb="22">
          <t>カツヨウ</t>
        </rPh>
        <rPh sb="36" eb="37">
          <t>ヒ</t>
        </rPh>
        <rPh sb="38" eb="39">
          <t>ツヅ</t>
        </rPh>
        <rPh sb="40" eb="42">
          <t>ヒッシュウ</t>
        </rPh>
        <rPh sb="42" eb="44">
          <t>カモク</t>
        </rPh>
        <rPh sb="47" eb="48">
          <t>ゼン</t>
        </rPh>
        <rPh sb="48" eb="50">
          <t>ガクセイ</t>
        </rPh>
        <rPh sb="52" eb="54">
          <t>リシュウ</t>
        </rPh>
        <rPh sb="55" eb="57">
          <t>テッテイ</t>
        </rPh>
        <rPh sb="75" eb="76">
          <t>トビラ</t>
        </rPh>
        <rPh sb="78" eb="80">
          <t>ゲンザイ</t>
        </rPh>
        <rPh sb="84" eb="86">
          <t>ネンセイ</t>
        </rPh>
        <rPh sb="89" eb="91">
          <t>ジュコウ</t>
        </rPh>
        <rPh sb="91" eb="93">
          <t>タイショウ</t>
        </rPh>
        <rPh sb="100" eb="102">
          <t>ネンジ</t>
        </rPh>
        <rPh sb="102" eb="104">
          <t>シンコウ</t>
        </rPh>
        <rPh sb="105" eb="107">
          <t>レイワ</t>
        </rPh>
        <rPh sb="108" eb="110">
          <t>ネンド</t>
        </rPh>
        <rPh sb="113" eb="115">
          <t>ネンセイ</t>
        </rPh>
        <rPh sb="116" eb="118">
          <t>レイワ</t>
        </rPh>
        <rPh sb="119" eb="121">
          <t>ネンド</t>
        </rPh>
        <rPh sb="124" eb="126">
          <t>ネンセイ</t>
        </rPh>
        <rPh sb="127" eb="129">
          <t>リシュウ</t>
        </rPh>
        <rPh sb="129" eb="131">
          <t>カノウ</t>
        </rPh>
        <rPh sb="134" eb="136">
          <t>ケイカク</t>
        </rPh>
        <phoneticPr fontId="0"/>
      </is>
    </nc>
  </rcc>
  <rcc rId="30" sId="4">
    <oc r="B66" t="inlineStr">
      <is>
        <t>1年次春学期配当の「情報活用Ⅰ」は、全学的な卒業必修科目に位置付けられているため、すべての学生が履修する。当該年次に単位修得できなかった一部の学生については、同年の秋学期以降に再履修する。さらにｅラーニング形式で実施する「AI・データサイエンスの扉」のデジタル教材については、ｅラーニング用のデジタル教材を数多く開発してきた本学園の子会社である株式会社デジタルエデュケーショナルサポートのインストラクショナルデザイナーらの支援のもと、担当教員とともに質の高いデジタル教材の開発と授業運営を行う体制が整っている。</t>
        <rPh sb="103" eb="105">
          <t>ケイシキ</t>
        </rPh>
        <rPh sb="106" eb="108">
          <t>ジッシ</t>
        </rPh>
        <rPh sb="130" eb="132">
          <t>キョウザイ</t>
        </rPh>
        <rPh sb="144" eb="145">
          <t>ヨウ</t>
        </rPh>
        <rPh sb="150" eb="152">
          <t>キョウザイ</t>
        </rPh>
        <rPh sb="153" eb="155">
          <t>カズオオ</t>
        </rPh>
        <rPh sb="156" eb="158">
          <t>カイハツ</t>
        </rPh>
        <rPh sb="211" eb="213">
          <t>シエン</t>
        </rPh>
        <rPh sb="217" eb="219">
          <t>タントウ</t>
        </rPh>
        <rPh sb="219" eb="221">
          <t>キョウイン</t>
        </rPh>
        <rPh sb="225" eb="226">
          <t>シツ</t>
        </rPh>
        <rPh sb="227" eb="228">
          <t>タカ</t>
        </rPh>
        <rPh sb="233" eb="235">
          <t>キョウザイ</t>
        </rPh>
        <rPh sb="236" eb="238">
          <t>カイハツ</t>
        </rPh>
        <rPh sb="239" eb="241">
          <t>ジュギョウ</t>
        </rPh>
        <rPh sb="241" eb="243">
          <t>ウンエイ</t>
        </rPh>
        <rPh sb="244" eb="245">
          <t>オコナ</t>
        </rPh>
        <rPh sb="246" eb="248">
          <t>タイセイ</t>
        </rPh>
        <rPh sb="249" eb="250">
          <t>トトノ</t>
        </rPh>
        <phoneticPr fontId="0"/>
      </is>
    </oc>
    <nc r="B66" t="inlineStr">
      <is>
        <t>1年次春学期配当の「情報活用Ⅰ」は、全学的な卒業必修科目に位置付けられているため、すべての学生が履修する。当該年次に単位修得できなかった一部の学生については、同年の秋学期以降に再履修する。さらにｅラーニング形式で実施する「AI・データサイエンスの扉」のデジタル教材については、ｅラーニング用のデジタル教材を数多く開発してきた本学園の出資会社である株式会社デジタルエデュケーショナルサポートのインストラクショナルデザイナーらの支援のもと、担当教員とともに質の高いデジタル教材の開発と授業運営を行う体制が整っている。</t>
        <rPh sb="103" eb="105">
          <t>ケイシキ</t>
        </rPh>
        <rPh sb="106" eb="108">
          <t>ジッシ</t>
        </rPh>
        <rPh sb="130" eb="132">
          <t>キョウザイ</t>
        </rPh>
        <rPh sb="144" eb="145">
          <t>ヨウ</t>
        </rPh>
        <rPh sb="150" eb="152">
          <t>キョウザイ</t>
        </rPh>
        <rPh sb="153" eb="155">
          <t>カズオオ</t>
        </rPh>
        <rPh sb="156" eb="158">
          <t>カイハツ</t>
        </rPh>
        <rPh sb="166" eb="168">
          <t>シュッシ</t>
        </rPh>
        <rPh sb="212" eb="214">
          <t>シエン</t>
        </rPh>
        <rPh sb="218" eb="220">
          <t>タントウ</t>
        </rPh>
        <rPh sb="220" eb="222">
          <t>キョウイン</t>
        </rPh>
        <rPh sb="226" eb="227">
          <t>シツ</t>
        </rPh>
        <rPh sb="228" eb="229">
          <t>タカ</t>
        </rPh>
        <rPh sb="234" eb="236">
          <t>キョウザイ</t>
        </rPh>
        <rPh sb="237" eb="239">
          <t>カイハツ</t>
        </rPh>
        <rPh sb="240" eb="242">
          <t>ジュギョウ</t>
        </rPh>
        <rPh sb="242" eb="244">
          <t>ウンエイ</t>
        </rPh>
        <rPh sb="245" eb="246">
          <t>オコナ</t>
        </rPh>
        <rPh sb="247" eb="249">
          <t>タイセイ</t>
        </rPh>
        <rPh sb="250" eb="251">
          <t>トトノ</t>
        </rPh>
        <phoneticPr fontId="0"/>
      </is>
    </nc>
  </rcc>
  <rcc rId="31" sId="4">
    <oc r="B80" t="inlineStr">
      <is>
        <t>入学直後に実施しているオリエンテーションや履修ガイダンスでの指導を徹底して実施している。さらに学内ポータルシステムや履修ガイド冊子等を用いて、履修に必要な情報が確認できるようにしている。また、AI・「データサイエンスの扉」は、時間割に縛られることなく、指定した学習期間内であればいつでも学習することができるオンデマンド型のeラーニングで実施し、履修を促している。</t>
        <phoneticPr fontId="0"/>
      </is>
    </oc>
    <nc r="B80" t="inlineStr">
      <is>
        <t>入学直後に実施しているオリエンテーションや履修ガイダンスでの指導を徹底して実施している。さらに学内ポータルシステムや履修ガイド冊子等を用いて、履修に必要な情報が確認できるようにしている。また、「AI・データサイエンスの扉」は、時間割に縛られることなく、指定した学習期間内であればいつでも学習することができるオンデマンド型のeラーニングで実施し、履修を促している。</t>
        <phoneticPr fontId="0"/>
      </is>
    </nc>
  </rcc>
  <rcc rId="32" sId="4">
    <oc r="B94" t="inlineStr">
      <is>
        <t>さくら夙川キャンパスならびに大阪大手前キャンパスには、学修支援の専門家（チュータ）を配置した学修サポートセンターを設置している。学修サポートセンターでは、対面サポートに加え、Ｚｏｏｍなどを用いたオンラインサポートも実施しており、学生ひとりひとりに丁寧なアドバイスを行う環境を整えている。また、eラーニング学習の支援は、両キャンパスに設置しているIT技術者を配置したITサポートデスクにて実施している。さらに情報メディアセンターではICT環境の利活用に関する幅広いサポートを行っており、学内での自習環境や自宅から遠隔で学内情報環境に接続して利用できる環境などを整備し、eラーニングの学習をサポートしている。</t>
        <rPh sb="203" eb="205">
          <t>ジョウホウ</t>
        </rPh>
        <phoneticPr fontId="0"/>
      </is>
    </oc>
    <nc r="B94" t="inlineStr">
      <is>
        <t>さくら夙川キャンパスならびに大阪大手前キャンパスには、学修支援の専門家（チューター）を配置した学修サポートセンターを設置している。学修サポートセンターでは、対面サポートに加え、Zoomなどを用いたオンラインサポートも実施しており、学生ひとりひとりに丁寧なアドバイスを行う環境を整えている。また、eラーニング学習の支援は、両キャンパスに設置しているIT技術者を配置したITサポートデスクにて実施している。さらに情報メディアセンターではICT環境の利活用に関する幅広いサポートを行っており、学内での自習環境や自宅から遠隔で学内情報環境に接続して利用できる環境などを整備し、eラーニングの学習をサポートしている。</t>
        <rPh sb="204" eb="206">
          <t>ジョウホウ</t>
        </rPh>
        <phoneticPr fontId="0"/>
      </is>
    </nc>
  </rcc>
  <rcc rId="33" sId="4">
    <oc r="B108" t="inlineStr">
      <is>
        <t>授業運営に関するおしらせの掲示や学習教材の提供、課題の提出、教員への質問などについては、ポータル機能と学習管理機能が融合したWEB型の学習支援システム「el-Campus」を用いて実施している。さらに学内メールやチャットシステムのMicrosoftTeamsも整備しており、学生はパソコンやスマートフォンを用いて、自宅などの学内環境からも簡単にこれらのシステムを利用し、学習指導を受けることが可能になっている。</t>
        <phoneticPr fontId="0"/>
      </is>
    </oc>
    <nc r="B108" t="inlineStr">
      <is>
        <t>授業運営に関するおしらせの掲示や学習教材の提供、課題の提出、教員への質問などについては、ポータル機能と学習管理機能が融合したWEB型の総合学修システム「el-Campus」を用いて実施している。さらに学内メールやチャットシステムのMicrosoftTeamsも整備しており、学生はパソコンやスマートフォンを用いて、自宅などの学内環境からも簡単にこれらのシステムを利用し、学習指導を受けることが可能になっている。</t>
        <rPh sb="67" eb="69">
          <t>ソウゴウ</t>
        </rPh>
        <rPh sb="69" eb="71">
          <t>ガクシュウ</t>
        </rPh>
        <phoneticPr fontId="0"/>
      </is>
    </nc>
  </rcc>
  <rcc rId="34" sId="5">
    <oc r="E13" t="inlineStr">
      <is>
        <t>「情報活用Ⅰ」「AI・データサイエンスの扉」は、本学の総合科目として全学部に配置されており、「情報活用Ⅰ」は全学必修科目として全員が履修する。また、「AI・データサイエンスの扉」はe-ラーニング科目として選択科目として配置しており、学部の専門の科目の履修の妨げにならないよう、履修し易く配置している。本学独自の学習支援システム「el-campus」により、科目ごとの進捗状況等が把握でき、出席管理もおこなっており、芳しくない学生に対しては、注意やアドバイスを行うことで、ドロップアウトする学生を防止している。</t>
        <phoneticPr fontId="0"/>
      </is>
    </oc>
    <nc r="E13" t="inlineStr">
      <is>
        <t>「情報活用Ⅰ」「AI・データサイエンスの扉」は、本学の総合科目として全学部に配置されており、「情報活用Ⅰ」は全学必修科目として全員が履修する。また、「AI・データサイエンスの扉」はeラーニング科目として選択科目として配置しており、学部の専門の科目の履修の妨げにならないよう、履修し易く配置している。本学独自の総合学修システム「el-Campus」により、科目ごとの進捗状況等が把握でき、出席管理もおこなっており、芳しくない学生に対しては、注意やアドバイスを行うことで、ドロップアウトする学生を防止している。</t>
        <rPh sb="154" eb="156">
          <t>ソウゴウ</t>
        </rPh>
        <rPh sb="156" eb="158">
          <t>ガクシュウ</t>
        </rPh>
        <phoneticPr fontId="0"/>
      </is>
    </nc>
  </rcc>
  <rcc rId="35" sId="5">
    <oc r="E15" t="inlineStr">
      <is>
        <t>本学では、春・秋学期により良い授業となるよう、授業改善を目的とし「学生による授業アンケート」を全科目を対象として実施している。本アンケートでは学生の理解度を問う設問もあり、自由記述欄を設定し学生は授業に対しての様々な意見を記載できる。また、教員は学生が記載したことにたいして、フィードバックを行い。相互において授業への理解度等共有をはかっている。</t>
        <phoneticPr fontId="0"/>
      </is>
    </oc>
    <nc r="E15" t="inlineStr">
      <is>
        <t>本学では、春・秋学期により良い授業となるよう、授業改善を目的とし「学生による授業アンケート」を全科目を対象として実施している。本アンケートでは学生の理解度を問う設問もあり、自由記述欄を設定し学生は授業に対しての様々な意見を記載できる。また、教員は学生が記載したことに対してフィードバックを行い、相互において授業への理解度等共有をはかっている。</t>
        <rPh sb="133" eb="134">
          <t>タイ</t>
        </rPh>
        <phoneticPr fontId="0"/>
      </is>
    </nc>
  </rcc>
  <rcc rId="36" sId="5">
    <oc r="E16" t="inlineStr">
      <is>
        <t>学生による授業アンケートの集計結果は、本学独自の学習支援システム「el-campus」上の公表し、全学生及び教職員は閲覧することが可能にしてある。本プログラムの授業を履修したことのない学生は、本公開科目を閲覧することにより、授業への理解や興味がそそられることで、履修への刺激となると思われる。</t>
        <phoneticPr fontId="0"/>
      </is>
    </oc>
    <nc r="E16" t="inlineStr">
      <is>
        <t>「学生による授業アンケート」の集計結果は、本学独自の総合学修システム「el-Campus」上で公表し、全学生及び教職員が閲覧することを可能にしてある。本プログラムの授業を履修したことのない学生は、本公開結果を閲覧することにより、授業への理解や興味がそそられることで、履修への刺激となると思われる。</t>
        <rPh sb="26" eb="28">
          <t>ソウゴウ</t>
        </rPh>
        <rPh sb="28" eb="30">
          <t>ガクシュウ</t>
        </rPh>
        <rPh sb="101" eb="103">
          <t>ケッカ</t>
        </rPh>
        <phoneticPr fontId="0"/>
      </is>
    </nc>
  </rcc>
  <rcc rId="37" sId="5">
    <oc r="E17" t="inlineStr">
      <is>
        <t>「情報活用Ⅰ」は、本学の総合科目の中に全学必修科目として配置されているため、履修率は100％となる。
また、「AI・データサイエンスの扉」はe-ラーニング科目として選択科目として配置しており、学部の専門の科目の履修の妨げにならないよう、履修し易く配置している。本プログラムを履修しリテラシーを修得できることを、履修オリエンテーションにてきめ細かく説明し、学生の興味を刺激し履修率の向上につなげていく。</t>
        <phoneticPr fontId="0"/>
      </is>
    </oc>
    <nc r="E17" t="inlineStr">
      <is>
        <t>「情報活用Ⅰ」は、本学の総合科目の中に全学必修科目として配置されているため、履修率は100％となる。
また、「AI・データサイエンスの扉」はeラーニング科目として選択科目として配置しており、学部の専門の科目の履修の妨げにならないよう、履修し易く配置している。本プログラムを履修しリテラシーを修得できることを、履修オリエンテーションにてきめ細かく説明し、学生の興味を刺激し履修率の向上につなげていく。</t>
        <phoneticPr fontId="0"/>
      </is>
    </nc>
  </rcc>
  <rcc rId="38" sId="5">
    <oc r="E19" t="inlineStr">
      <is>
        <t>本プログラム修得者については、統計スキル等身に着けて就職活動ができることとなり、様々な業界・職種において活用できるものと思われる。また、本プログラムがきっかけとなり、様々な資格取得に興味を持ち、資格の取得が不売ることにより、様々な進路先での活用が考えられる。本学主催の業界説明会を開催した際、企業の人事担当者より今後の人材養成として「データサイエンス・AI」等についての重要性をうかがうことが多い。</t>
        <phoneticPr fontId="0"/>
      </is>
    </oc>
    <nc r="E19" t="inlineStr">
      <is>
        <t>本プログラム修了者については、統計スキル等を身につけて就職活動ができることとなり、様々な業界・職種において活用できるものと思われる。また、本プログラムがきっかけとなり、様々な資格取得に興味を持ち、資格の取得が増えることにより、様々な進路先での活用が考えられる。本学主催の業界説明会を開催した際、企業の人事担当者より今後の人材養成として「データサイエンス・AI」等についての重要性をうかがうことが多い。</t>
        <rPh sb="6" eb="8">
          <t>シュウリョウ</t>
        </rPh>
        <rPh sb="104" eb="105">
          <t>フ</t>
        </rPh>
        <phoneticPr fontId="0"/>
      </is>
    </nc>
  </rcc>
  <rcc rId="39" sId="5">
    <oc r="E20" t="inlineStr">
      <is>
        <t>本学独自の制度として「教育ボランティア」制度があり、産業界の方や様々な方に、本学へ登録いただき、学生の授業での様子を参観していただいたり、プレゼンテーションの審査、個別面談（3年生を対象）などを担当いただき、学生の伸長度を可視化を図っており、本プログラムに関してもご意見を拝聴していく予定である。</t>
        <rPh sb="58" eb="60">
          <t>サンカン</t>
        </rPh>
        <rPh sb="82" eb="84">
          <t>コベツ</t>
        </rPh>
        <rPh sb="84" eb="86">
          <t>メンダン</t>
        </rPh>
        <phoneticPr fontId="0"/>
      </is>
    </oc>
    <nc r="E20" t="inlineStr">
      <is>
        <t>本学独自の制度として「教育ボランティア」制度があり、産業界の方や様々な方に、本学へ登録いただき、学生の授業での様子を参観していただいたり、プレゼンテーションの審査、個別面談（3年生を対象）などを担当いただき、学生の伸長度の可視化を図っており、本プログラムに関してもご意見を拝聴していく予定である。</t>
        <rPh sb="58" eb="60">
          <t>サンカン</t>
        </rPh>
        <rPh sb="82" eb="84">
          <t>コベツ</t>
        </rPh>
        <rPh sb="84" eb="86">
          <t>メンダン</t>
        </rPh>
        <phoneticPr fontId="0"/>
      </is>
    </nc>
  </rcc>
  <rcc rId="40" sId="5">
    <oc r="E21" t="inlineStr">
      <is>
        <t>本プログラムにおいては、「情報活用Ⅰ」については、必修科目となり全員が履修することとなり、その授業の中で、単に「数学嫌い」という、ありがちなイメージから違う角度から興味を抱かせ、選択科目の「AI/データサイエンスの扉」への履修と段階を得て学修の楽しさを認識してもらう。</t>
        <phoneticPr fontId="0"/>
      </is>
    </oc>
    <nc r="E21" t="inlineStr">
      <is>
        <t>本プログラムにおいては、「情報活用Ⅰ」については、必修科目となり全員が履修することとなり、その授業の中で、単に「数学嫌い」という、ありがちなイメージと違う角度から興味を抱かせ、選択科目の「AI・データサイエンスの扉」への履修と段階を経て学修の楽しさを認識してもらう。</t>
        <rPh sb="116" eb="117">
          <t>ヘ</t>
        </rPh>
        <phoneticPr fontId="0"/>
      </is>
    </nc>
  </rcc>
  <rcc rId="41" sId="5">
    <oc r="E22" t="inlineStr">
      <is>
        <t>学生アンケート及び授業アンケートからの意見やｅラーニング科目については学習ログの分析結果を参考に、学生の「分かりやすさ」の観点から講義の内容・実施方法の見直しを実施する予定である。</t>
        <rPh sb="9" eb="11">
          <t>ジュギョウ</t>
        </rPh>
        <rPh sb="28" eb="30">
          <t>カモク</t>
        </rPh>
        <rPh sb="35" eb="37">
          <t>ガクシュウ</t>
        </rPh>
        <rPh sb="40" eb="42">
          <t>ブンセキ</t>
        </rPh>
        <rPh sb="42" eb="44">
          <t>ケッカ</t>
        </rPh>
        <rPh sb="80" eb="82">
          <t>ジッシ</t>
        </rPh>
        <rPh sb="84" eb="86">
          <t>ヨテイ</t>
        </rPh>
        <phoneticPr fontId="0"/>
      </is>
    </oc>
    <nc r="E22" t="inlineStr">
      <is>
        <t>「学生による授業アンケート」からの意見やｅラーニング科目については学習ログの分析結果を参考に、学生の「分かりやすさ」の観点から講義の内容・実施方法の見直しを実施する予定である。</t>
        <rPh sb="6" eb="8">
          <t>ジュギョウ</t>
        </rPh>
        <rPh sb="26" eb="28">
          <t>カモク</t>
        </rPh>
        <rPh sb="33" eb="35">
          <t>ガクシュウ</t>
        </rPh>
        <rPh sb="38" eb="40">
          <t>ブンセキ</t>
        </rPh>
        <rPh sb="40" eb="42">
          <t>ケッカ</t>
        </rPh>
        <rPh sb="78" eb="80">
          <t>ジッシ</t>
        </rPh>
        <rPh sb="82" eb="84">
          <t>ヨテイ</t>
        </rPh>
        <phoneticPr fontId="0"/>
      </is>
    </nc>
  </rcc>
</revisions>
</file>

<file path=xl/revisions/revisionLog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F7DD307-FDAD-4F12-A71C-909420D0BA34}" action="delete"/>
  <rdn rId="0" localSheetId="1" customView="1" name="Z_1F7DD307_FDAD_4F12_A71C_909420D0BA34_.wvu.PrintArea" hidden="1" oldHidden="1">
    <formula>'様式１-１　プログラムを構成する授業科目'!$A$1:$S$102</formula>
    <oldFormula>'様式１-１　プログラムを構成する授業科目'!$A$1:$S$102</oldFormula>
  </rdn>
  <rdn rId="0" localSheetId="1" customView="1" name="Z_1F7DD307_FDAD_4F12_A71C_909420D0BA34_.wvu.Cols" hidden="1" oldHidden="1">
    <formula>'様式１-１　プログラムを構成する授業科目'!$V:$V</formula>
    <oldFormula>'様式１-１　プログラムを構成する授業科目'!$V:$V</oldFormula>
  </rdn>
  <rdn rId="0" localSheetId="1" customView="1" name="Z_1F7DD307_FDAD_4F12_A71C_909420D0BA34_.wvu.FilterData" hidden="1" oldHidden="1">
    <formula>'様式１-１　プログラムを構成する授業科目'!$V$14:$V$16</formula>
    <oldFormula>'様式１-１　プログラムを構成する授業科目'!$V$14:$V$16</oldFormula>
  </rdn>
  <rdn rId="0" localSheetId="2" customView="1" name="Z_1F7DD307_FDAD_4F12_A71C_909420D0BA34_.wvu.PrintArea" hidden="1" oldHidden="1">
    <formula>'様式１-２　プログラムを構成する授業科目 (国際看護学部)'!$A$1:$S$102</formula>
    <oldFormula>'様式１-２　プログラムを構成する授業科目 (国際看護学部)'!$A$1:$S$102</oldFormula>
  </rdn>
  <rdn rId="0" localSheetId="2" customView="1" name="Z_1F7DD307_FDAD_4F12_A71C_909420D0BA34_.wvu.Cols" hidden="1" oldHidden="1">
    <formula>'様式１-２　プログラムを構成する授業科目 (国際看護学部)'!$V:$V</formula>
    <oldFormula>'様式１-２　プログラムを構成する授業科目 (国際看護学部)'!$V:$V</oldFormula>
  </rdn>
  <rdn rId="0" localSheetId="2" customView="1" name="Z_1F7DD307_FDAD_4F12_A71C_909420D0BA34_.wvu.FilterData" hidden="1" oldHidden="1">
    <formula>'様式１-２　プログラムを構成する授業科目 (国際看護学部)'!$V$14:$V$16</formula>
    <oldFormula>'様式１-２　プログラムを構成する授業科目 (国際看護学部)'!$V$14:$V$16</oldFormula>
  </rdn>
  <rdn rId="0" localSheetId="3" customView="1" name="Z_1F7DD307_FDAD_4F12_A71C_909420D0BA34_.wvu.PrintArea" hidden="1" oldHidden="1">
    <formula>'様式２ 履修者等数の実績'!$A$1:$AQ$32</formula>
    <oldFormula>'様式２ 履修者等数の実績'!$A$1:$AQ$32</oldFormula>
  </rdn>
  <rdn rId="0" localSheetId="4" customView="1" name="Z_1F7DD307_FDAD_4F12_A71C_909420D0BA34_.wvu.PrintArea" hidden="1" oldHidden="1">
    <formula>'様式３ 教育の質・履修者数を向上させるための体制・計画'!$A$1:$I$120</formula>
    <oldFormula>'様式３ 教育の質・履修者数を向上させるための体制・計画'!$A$1:$I$120</oldFormula>
  </rdn>
  <rdn rId="0" localSheetId="5" customView="1" name="Z_1F7DD307_FDAD_4F12_A71C_909420D0BA34_.wvu.PrintArea" hidden="1" oldHidden="1">
    <formula>'様式４　自己点検・評価'!$A$1:$I$22</formula>
    <oldFormula>'様式４　自己点検・評価'!$A$1:$I$22</oldFormula>
  </rdn>
  <rdn rId="0" localSheetId="5" customView="1" name="Z_1F7DD307_FDAD_4F12_A71C_909420D0BA34_.wvu.PrintTitles" hidden="1" oldHidden="1">
    <formula>'様式４　自己点検・評価'!$11:$11</formula>
    <oldFormula>'様式４　自己点検・評価'!$11:$11</oldFormula>
  </rdn>
  <rcv guid="{1F7DD307-FDAD-4F12-A71C-909420D0BA34}" action="add"/>
</revisions>
</file>

<file path=xl/revisions/revisionLog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F7DD307-FDAD-4F12-A71C-909420D0BA34}" action="delete"/>
  <rdn rId="0" localSheetId="1" customView="1" name="Z_1F7DD307_FDAD_4F12_A71C_909420D0BA34_.wvu.PrintArea" hidden="1" oldHidden="1">
    <formula>'様式１-１　プログラムを構成する授業科目'!$A$1:$S$102</formula>
    <oldFormula>'様式１-１　プログラムを構成する授業科目'!$A$1:$S$102</oldFormula>
  </rdn>
  <rdn rId="0" localSheetId="1" customView="1" name="Z_1F7DD307_FDAD_4F12_A71C_909420D0BA34_.wvu.Cols" hidden="1" oldHidden="1">
    <formula>'様式１-１　プログラムを構成する授業科目'!$V:$V</formula>
    <oldFormula>'様式１-１　プログラムを構成する授業科目'!$V:$V</oldFormula>
  </rdn>
  <rdn rId="0" localSheetId="1" customView="1" name="Z_1F7DD307_FDAD_4F12_A71C_909420D0BA34_.wvu.FilterData" hidden="1" oldHidden="1">
    <formula>'様式１-１　プログラムを構成する授業科目'!$V$14:$V$16</formula>
    <oldFormula>'様式１-１　プログラムを構成する授業科目'!$V$14:$V$16</oldFormula>
  </rdn>
  <rdn rId="0" localSheetId="2" customView="1" name="Z_1F7DD307_FDAD_4F12_A71C_909420D0BA34_.wvu.PrintArea" hidden="1" oldHidden="1">
    <formula>'様式１-２　プログラムを構成する授業科目 (国際看護学部)'!$A$1:$S$102</formula>
    <oldFormula>'様式１-２　プログラムを構成する授業科目 (国際看護学部)'!$A$1:$S$102</oldFormula>
  </rdn>
  <rdn rId="0" localSheetId="2" customView="1" name="Z_1F7DD307_FDAD_4F12_A71C_909420D0BA34_.wvu.Cols" hidden="1" oldHidden="1">
    <formula>'様式１-２　プログラムを構成する授業科目 (国際看護学部)'!$V:$V</formula>
    <oldFormula>'様式１-２　プログラムを構成する授業科目 (国際看護学部)'!$V:$V</oldFormula>
  </rdn>
  <rdn rId="0" localSheetId="2" customView="1" name="Z_1F7DD307_FDAD_4F12_A71C_909420D0BA34_.wvu.FilterData" hidden="1" oldHidden="1">
    <formula>'様式１-２　プログラムを構成する授業科目 (国際看護学部)'!$V$14:$V$16</formula>
    <oldFormula>'様式１-２　プログラムを構成する授業科目 (国際看護学部)'!$V$14:$V$16</oldFormula>
  </rdn>
  <rdn rId="0" localSheetId="3" customView="1" name="Z_1F7DD307_FDAD_4F12_A71C_909420D0BA34_.wvu.PrintArea" hidden="1" oldHidden="1">
    <formula>'様式２ 履修者等数の実績'!$A$1:$AQ$32</formula>
    <oldFormula>'様式２ 履修者等数の実績'!$A$1:$AQ$32</oldFormula>
  </rdn>
  <rdn rId="0" localSheetId="4" customView="1" name="Z_1F7DD307_FDAD_4F12_A71C_909420D0BA34_.wvu.PrintArea" hidden="1" oldHidden="1">
    <formula>'様式３ 教育の質・履修者数を向上させるための体制・計画'!$A$1:$I$120</formula>
    <oldFormula>'様式３ 教育の質・履修者数を向上させるための体制・計画'!$A$1:$I$120</oldFormula>
  </rdn>
  <rdn rId="0" localSheetId="5" customView="1" name="Z_1F7DD307_FDAD_4F12_A71C_909420D0BA34_.wvu.PrintArea" hidden="1" oldHidden="1">
    <formula>'様式４　自己点検・評価'!$A$1:$I$22</formula>
    <oldFormula>'様式４　自己点検・評価'!$A$1:$I$22</oldFormula>
  </rdn>
  <rdn rId="0" localSheetId="5" customView="1" name="Z_1F7DD307_FDAD_4F12_A71C_909420D0BA34_.wvu.PrintTitles" hidden="1" oldHidden="1">
    <formula>'様式４　自己点検・評価'!$11:$11</formula>
    <oldFormula>'様式４　自己点検・評価'!$11:$11</oldFormula>
  </rdn>
  <rcv guid="{1F7DD307-FDAD-4F12-A71C-909420D0BA34}" action="add"/>
</revisions>
</file>

<file path=xl/revisions/revisionLog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2" sId="4">
    <oc r="B35" t="inlineStr">
      <is>
        <r>
          <t>（令和5年度　コア教育連絡協議会　　構成員）</t>
        </r>
        <r>
          <rPr>
            <sz val="12"/>
            <color rgb="FFFF0000"/>
            <rFont val="ＭＳ Ｐゴシック"/>
            <family val="3"/>
            <charset val="128"/>
          </rPr>
          <t>←記入例に「昨年度時点の構成員を記載願います」とありますので、令和4年度の構成員を記入する必要があります。</t>
        </r>
        <r>
          <rPr>
            <sz val="12"/>
            <color theme="1"/>
            <rFont val="ＭＳ Ｐゴシック"/>
            <family val="3"/>
            <charset val="128"/>
          </rPr>
          <t xml:space="preserve">
コア教育連絡協議会議長</t>
        </r>
        <r>
          <rPr>
            <sz val="12"/>
            <rFont val="ＭＳ Ｐゴシック"/>
            <family val="3"/>
            <charset val="128"/>
          </rPr>
          <t>　准教授　</t>
        </r>
        <r>
          <rPr>
            <sz val="12"/>
            <color theme="1"/>
            <rFont val="ＭＳ Ｐゴシック"/>
            <family val="3"/>
            <charset val="128"/>
          </rPr>
          <t>瀬口　昌生
教務部長　教授　尾﨑　耕司
コア教育アドバイザー　准教授　瀬口　昌生
コア教育アドバイザー　教授　坂本　理郎
コア教育アドバイザー　教授　谷村　要
ゼミナールコーディネーター　准教授　増岡　亮、准教授　森元 伸枝、准教授　坂元 英毅
卒研コーディネーター　教授　中島 由佳、准教授　鈴木 基伸、教授　和田 淳、准教授　下田 元毅
情報教育コーディネーター　教授　本田　直也
情報活用コーディネーター　准教授　中崎 修一
英語教育コーディネーター　准教授　石野 尚、准教授　ジョン・ジャクソン
英語コーディネーター　准教授　ゴードン・カールソン、講師　森井 祐介</t>
        </r>
        <rPh sb="23" eb="25">
          <t>キニュウ</t>
        </rPh>
        <rPh sb="25" eb="26">
          <t>レイ</t>
        </rPh>
        <rPh sb="53" eb="55">
          <t>レイワ</t>
        </rPh>
        <rPh sb="56" eb="58">
          <t>ネンド</t>
        </rPh>
        <rPh sb="59" eb="62">
          <t>コウセイイン</t>
        </rPh>
        <rPh sb="63" eb="65">
          <t>キニュウ</t>
        </rPh>
        <rPh sb="67" eb="69">
          <t>ヒツヨウ</t>
        </rPh>
        <rPh sb="107" eb="109">
          <t>オザキ</t>
        </rPh>
        <rPh sb="145" eb="147">
          <t>キョウジュ</t>
        </rPh>
        <rPh sb="148" eb="150">
          <t>サカモト</t>
        </rPh>
        <rPh sb="165" eb="167">
          <t>キョウジュ</t>
        </rPh>
        <rPh sb="168" eb="170">
          <t>タニムラ</t>
        </rPh>
        <rPh sb="171" eb="172">
          <t>カナメ</t>
        </rPh>
        <rPh sb="277" eb="279">
          <t>キョウジュ</t>
        </rPh>
        <rPh sb="280" eb="282">
          <t>ホンダ</t>
        </rPh>
        <rPh sb="283" eb="285">
          <t>ナオヤ</t>
        </rPh>
        <rPh sb="299" eb="302">
          <t>ジュンキョウジュ</t>
        </rPh>
        <phoneticPr fontId="3"/>
      </is>
    </oc>
    <nc r="B35" t="inlineStr">
      <is>
        <r>
          <t>（令和4年度　コア教育連絡協議会　構成員）
コア教育連絡協議会議長</t>
        </r>
        <r>
          <rPr>
            <sz val="12"/>
            <rFont val="ＭＳ Ｐゴシック"/>
            <family val="3"/>
            <charset val="128"/>
          </rPr>
          <t xml:space="preserve">　准教授 </t>
        </r>
        <r>
          <rPr>
            <sz val="12"/>
            <color theme="1"/>
            <rFont val="ＭＳ Ｐゴシック"/>
            <family val="3"/>
            <charset val="128"/>
          </rPr>
          <t>瀬口 昌生
教学担当副学長　教授 川口 宏海
教務部長　教授 尾﨑 耕司
コア教育アドバイザー　准教授 瀬口 昌生、教授 坂本 理郎、教授 谷村 要、教授 山口 正晃
ゼミナールコーディネーター　准教授 森元 伸枝、准教授 増岡 亮、准教授 海老 良平、准教授 本田 直也
卒研コーディネーター　教授 中島 由佳、准教授 西岡 健司、准教授 鈴木 基伸、准教授 和田 淳
情報教育コーディネーター　准教授 本田 直也
情報活用コーディネーター　准教授 中崎 修一
英語教育コーディネーター　教授 尾﨑 耕司、准教授 石野 尚、准教授 ジョン・ジャクソン
英語コーディネーター　講師 森井 祐介、准教授 ゴードン・カールソン</t>
        </r>
        <rPh sb="45" eb="47">
          <t>キョウガク</t>
        </rPh>
        <rPh sb="47" eb="49">
          <t>タントウ</t>
        </rPh>
        <rPh sb="49" eb="52">
          <t>フクガクチョウ</t>
        </rPh>
        <rPh sb="53" eb="55">
          <t>キョウジュ</t>
        </rPh>
        <rPh sb="56" eb="58">
          <t>カワグチ</t>
        </rPh>
        <rPh sb="59" eb="61">
          <t>ヒロウミ</t>
        </rPh>
        <rPh sb="70" eb="72">
          <t>オザキ</t>
        </rPh>
        <rPh sb="97" eb="99">
          <t>キョウジュ</t>
        </rPh>
        <rPh sb="100" eb="102">
          <t>サカモト</t>
        </rPh>
        <rPh sb="106" eb="108">
          <t>キョウジュ</t>
        </rPh>
        <rPh sb="109" eb="111">
          <t>タニムラ</t>
        </rPh>
        <rPh sb="112" eb="113">
          <t>カナメ</t>
        </rPh>
        <rPh sb="160" eb="162">
          <t>エビ</t>
        </rPh>
        <rPh sb="163" eb="165">
          <t>リョウヘイ</t>
        </rPh>
        <rPh sb="166" eb="169">
          <t>ジュンキョウジュ</t>
        </rPh>
        <rPh sb="170" eb="172">
          <t>ホンダ</t>
        </rPh>
        <rPh sb="173" eb="175">
          <t>ナオヤ</t>
        </rPh>
        <rPh sb="200" eb="202">
          <t>ニシオカ</t>
        </rPh>
        <rPh sb="216" eb="219">
          <t>ジュンキョウジュ</t>
        </rPh>
        <rPh sb="238" eb="241">
          <t>ジュンキョウジュ</t>
        </rPh>
        <rPh sb="242" eb="244">
          <t>ホンダ</t>
        </rPh>
        <rPh sb="245" eb="247">
          <t>ナオヤ</t>
        </rPh>
        <rPh sb="261" eb="264">
          <t>ジュンキョウジュ</t>
        </rPh>
        <phoneticPr fontId="3"/>
      </is>
    </nc>
  </rcc>
</revisions>
</file>

<file path=xl/revisions/revisionLog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3" sId="4">
    <nc r="E6">
      <v>134</v>
    </nc>
  </rcc>
  <rcc rId="64" sId="4">
    <nc r="H6">
      <v>212</v>
    </nc>
  </rcc>
  <rcc rId="65" sId="4">
    <nc r="H8">
      <v>14</v>
    </nc>
  </rcc>
</revisions>
</file>

<file path=xl/revisions/revisionLog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F7DD307-FDAD-4F12-A71C-909420D0BA34}" action="delete"/>
  <rdn rId="0" localSheetId="1" customView="1" name="Z_1F7DD307_FDAD_4F12_A71C_909420D0BA34_.wvu.PrintArea" hidden="1" oldHidden="1">
    <formula>'様式１-１　プログラムを構成する授業科目'!$A$1:$S$102</formula>
    <oldFormula>'様式１-１　プログラムを構成する授業科目'!$A$1:$S$102</oldFormula>
  </rdn>
  <rdn rId="0" localSheetId="1" customView="1" name="Z_1F7DD307_FDAD_4F12_A71C_909420D0BA34_.wvu.Cols" hidden="1" oldHidden="1">
    <formula>'様式１-１　プログラムを構成する授業科目'!$V:$V</formula>
    <oldFormula>'様式１-１　プログラムを構成する授業科目'!$V:$V</oldFormula>
  </rdn>
  <rdn rId="0" localSheetId="1" customView="1" name="Z_1F7DD307_FDAD_4F12_A71C_909420D0BA34_.wvu.FilterData" hidden="1" oldHidden="1">
    <formula>'様式１-１　プログラムを構成する授業科目'!$V$14:$V$16</formula>
    <oldFormula>'様式１-１　プログラムを構成する授業科目'!$V$14:$V$16</oldFormula>
  </rdn>
  <rdn rId="0" localSheetId="2" customView="1" name="Z_1F7DD307_FDAD_4F12_A71C_909420D0BA34_.wvu.PrintArea" hidden="1" oldHidden="1">
    <formula>'様式１-２　プログラムを構成する授業科目 (国際看護学部)'!$A$1:$S$102</formula>
    <oldFormula>'様式１-２　プログラムを構成する授業科目 (国際看護学部)'!$A$1:$S$102</oldFormula>
  </rdn>
  <rdn rId="0" localSheetId="2" customView="1" name="Z_1F7DD307_FDAD_4F12_A71C_909420D0BA34_.wvu.Cols" hidden="1" oldHidden="1">
    <formula>'様式１-２　プログラムを構成する授業科目 (国際看護学部)'!$V:$V</formula>
    <oldFormula>'様式１-２　プログラムを構成する授業科目 (国際看護学部)'!$V:$V</oldFormula>
  </rdn>
  <rdn rId="0" localSheetId="2" customView="1" name="Z_1F7DD307_FDAD_4F12_A71C_909420D0BA34_.wvu.FilterData" hidden="1" oldHidden="1">
    <formula>'様式１-２　プログラムを構成する授業科目 (国際看護学部)'!$V$14:$V$16</formula>
    <oldFormula>'様式１-２　プログラムを構成する授業科目 (国際看護学部)'!$V$14:$V$16</oldFormula>
  </rdn>
  <rdn rId="0" localSheetId="3" customView="1" name="Z_1F7DD307_FDAD_4F12_A71C_909420D0BA34_.wvu.PrintArea" hidden="1" oldHidden="1">
    <formula>'様式２ 履修者等数の実績'!$A$1:$AQ$32</formula>
    <oldFormula>'様式２ 履修者等数の実績'!$A$1:$AQ$32</oldFormula>
  </rdn>
  <rdn rId="0" localSheetId="4" customView="1" name="Z_1F7DD307_FDAD_4F12_A71C_909420D0BA34_.wvu.PrintArea" hidden="1" oldHidden="1">
    <formula>'様式３ 教育の質・履修者数を向上させるための体制・計画'!$A$1:$I$120</formula>
    <oldFormula>'様式３ 教育の質・履修者数を向上させるための体制・計画'!$A$1:$I$120</oldFormula>
  </rdn>
  <rdn rId="0" localSheetId="5" customView="1" name="Z_1F7DD307_FDAD_4F12_A71C_909420D0BA34_.wvu.PrintArea" hidden="1" oldHidden="1">
    <formula>'様式４　自己点検・評価'!$A$1:$I$22</formula>
    <oldFormula>'様式４　自己点検・評価'!$A$1:$I$22</oldFormula>
  </rdn>
  <rdn rId="0" localSheetId="5" customView="1" name="Z_1F7DD307_FDAD_4F12_A71C_909420D0BA34_.wvu.PrintTitles" hidden="1" oldHidden="1">
    <formula>'様式４　自己点検・評価'!$11:$11</formula>
    <oldFormula>'様式４　自己点検・評価'!$11:$11</oldFormula>
  </rdn>
  <rcv guid="{1F7DD307-FDAD-4F12-A71C-909420D0BA34}" action="add"/>
</revisions>
</file>

<file path=xl/revisions/revisionLog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F7DD307-FDAD-4F12-A71C-909420D0BA34}" action="delete"/>
  <rdn rId="0" localSheetId="1" customView="1" name="Z_1F7DD307_FDAD_4F12_A71C_909420D0BA34_.wvu.PrintArea" hidden="1" oldHidden="1">
    <formula>'様式１-１　プログラムを構成する授業科目'!$A$1:$S$102</formula>
    <oldFormula>'様式１-１　プログラムを構成する授業科目'!$A$1:$S$102</oldFormula>
  </rdn>
  <rdn rId="0" localSheetId="1" customView="1" name="Z_1F7DD307_FDAD_4F12_A71C_909420D0BA34_.wvu.Cols" hidden="1" oldHidden="1">
    <formula>'様式１-１　プログラムを構成する授業科目'!$V:$V</formula>
    <oldFormula>'様式１-１　プログラムを構成する授業科目'!$V:$V</oldFormula>
  </rdn>
  <rdn rId="0" localSheetId="1" customView="1" name="Z_1F7DD307_FDAD_4F12_A71C_909420D0BA34_.wvu.FilterData" hidden="1" oldHidden="1">
    <formula>'様式１-１　プログラムを構成する授業科目'!$V$14:$V$16</formula>
    <oldFormula>'様式１-１　プログラムを構成する授業科目'!$V$14:$V$16</oldFormula>
  </rdn>
  <rdn rId="0" localSheetId="2" customView="1" name="Z_1F7DD307_FDAD_4F12_A71C_909420D0BA34_.wvu.PrintArea" hidden="1" oldHidden="1">
    <formula>'様式１-２　プログラムを構成する授業科目 (国際看護学部)'!$A$1:$S$102</formula>
    <oldFormula>'様式１-２　プログラムを構成する授業科目 (国際看護学部)'!$A$1:$S$102</oldFormula>
  </rdn>
  <rdn rId="0" localSheetId="2" customView="1" name="Z_1F7DD307_FDAD_4F12_A71C_909420D0BA34_.wvu.Cols" hidden="1" oldHidden="1">
    <formula>'様式１-２　プログラムを構成する授業科目 (国際看護学部)'!$V:$V</formula>
    <oldFormula>'様式１-２　プログラムを構成する授業科目 (国際看護学部)'!$V:$V</oldFormula>
  </rdn>
  <rdn rId="0" localSheetId="2" customView="1" name="Z_1F7DD307_FDAD_4F12_A71C_909420D0BA34_.wvu.FilterData" hidden="1" oldHidden="1">
    <formula>'様式１-２　プログラムを構成する授業科目 (国際看護学部)'!$V$14:$V$16</formula>
    <oldFormula>'様式１-２　プログラムを構成する授業科目 (国際看護学部)'!$V$14:$V$16</oldFormula>
  </rdn>
  <rdn rId="0" localSheetId="3" customView="1" name="Z_1F7DD307_FDAD_4F12_A71C_909420D0BA34_.wvu.PrintArea" hidden="1" oldHidden="1">
    <formula>'様式２ 履修者等数の実績'!$A$1:$AQ$32</formula>
    <oldFormula>'様式２ 履修者等数の実績'!$A$1:$AQ$32</oldFormula>
  </rdn>
  <rdn rId="0" localSheetId="4" customView="1" name="Z_1F7DD307_FDAD_4F12_A71C_909420D0BA34_.wvu.PrintArea" hidden="1" oldHidden="1">
    <formula>'様式３ 教育の質・履修者数を向上させるための体制・計画'!$A$1:$I$120</formula>
    <oldFormula>'様式３ 教育の質・履修者数を向上させるための体制・計画'!$A$1:$I$120</oldFormula>
  </rdn>
  <rdn rId="0" localSheetId="5" customView="1" name="Z_1F7DD307_FDAD_4F12_A71C_909420D0BA34_.wvu.PrintArea" hidden="1" oldHidden="1">
    <formula>'様式４　自己点検・評価'!$A$1:$I$22</formula>
    <oldFormula>'様式４　自己点検・評価'!$A$1:$I$22</oldFormula>
  </rdn>
  <rdn rId="0" localSheetId="5" customView="1" name="Z_1F7DD307_FDAD_4F12_A71C_909420D0BA34_.wvu.PrintTitles" hidden="1" oldHidden="1">
    <formula>'様式４　自己点検・評価'!$11:$11</formula>
    <oldFormula>'様式４　自己点検・評価'!$11:$11</oldFormula>
  </rdn>
  <rcv guid="{1F7DD307-FDAD-4F12-A71C-909420D0BA34}" action="add"/>
</revisions>
</file>

<file path=xl/revisions/revisionLog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F7DD307-FDAD-4F12-A71C-909420D0BA34}" action="delete"/>
  <rdn rId="0" localSheetId="1" customView="1" name="Z_1F7DD307_FDAD_4F12_A71C_909420D0BA34_.wvu.PrintArea" hidden="1" oldHidden="1">
    <formula>'様式１-１　プログラムを構成する授業科目'!$A$1:$S$102</formula>
    <oldFormula>'様式１-１　プログラムを構成する授業科目'!$A$1:$S$102</oldFormula>
  </rdn>
  <rdn rId="0" localSheetId="1" customView="1" name="Z_1F7DD307_FDAD_4F12_A71C_909420D0BA34_.wvu.Cols" hidden="1" oldHidden="1">
    <formula>'様式１-１　プログラムを構成する授業科目'!$V:$V</formula>
    <oldFormula>'様式１-１　プログラムを構成する授業科目'!$V:$V</oldFormula>
  </rdn>
  <rdn rId="0" localSheetId="1" customView="1" name="Z_1F7DD307_FDAD_4F12_A71C_909420D0BA34_.wvu.FilterData" hidden="1" oldHidden="1">
    <formula>'様式１-１　プログラムを構成する授業科目'!$V$14:$V$16</formula>
    <oldFormula>'様式１-１　プログラムを構成する授業科目'!$V$14:$V$16</oldFormula>
  </rdn>
  <rdn rId="0" localSheetId="2" customView="1" name="Z_1F7DD307_FDAD_4F12_A71C_909420D0BA34_.wvu.PrintArea" hidden="1" oldHidden="1">
    <formula>'様式１-２　プログラムを構成する授業科目 (国際看護学部)'!$A$1:$S$102</formula>
    <oldFormula>'様式１-２　プログラムを構成する授業科目 (国際看護学部)'!$A$1:$S$102</oldFormula>
  </rdn>
  <rdn rId="0" localSheetId="2" customView="1" name="Z_1F7DD307_FDAD_4F12_A71C_909420D0BA34_.wvu.Cols" hidden="1" oldHidden="1">
    <formula>'様式１-２　プログラムを構成する授業科目 (国際看護学部)'!$V:$V</formula>
    <oldFormula>'様式１-２　プログラムを構成する授業科目 (国際看護学部)'!$V:$V</oldFormula>
  </rdn>
  <rdn rId="0" localSheetId="2" customView="1" name="Z_1F7DD307_FDAD_4F12_A71C_909420D0BA34_.wvu.FilterData" hidden="1" oldHidden="1">
    <formula>'様式１-２　プログラムを構成する授業科目 (国際看護学部)'!$V$14:$V$16</formula>
    <oldFormula>'様式１-２　プログラムを構成する授業科目 (国際看護学部)'!$V$14:$V$16</oldFormula>
  </rdn>
  <rdn rId="0" localSheetId="3" customView="1" name="Z_1F7DD307_FDAD_4F12_A71C_909420D0BA34_.wvu.PrintArea" hidden="1" oldHidden="1">
    <formula>'様式２ 履修者等数の実績'!$A$1:$AQ$32</formula>
    <oldFormula>'様式２ 履修者等数の実績'!$A$1:$AQ$32</oldFormula>
  </rdn>
  <rdn rId="0" localSheetId="4" customView="1" name="Z_1F7DD307_FDAD_4F12_A71C_909420D0BA34_.wvu.PrintArea" hidden="1" oldHidden="1">
    <formula>'様式３ 教育の質・履修者数を向上させるための体制・計画'!$A$1:$I$120</formula>
    <oldFormula>'様式３ 教育の質・履修者数を向上させるための体制・計画'!$A$1:$I$120</oldFormula>
  </rdn>
  <rdn rId="0" localSheetId="5" customView="1" name="Z_1F7DD307_FDAD_4F12_A71C_909420D0BA34_.wvu.PrintArea" hidden="1" oldHidden="1">
    <formula>'様式４　自己点検・評価'!$A$1:$I$22</formula>
    <oldFormula>'様式４　自己点検・評価'!$A$1:$I$22</oldFormula>
  </rdn>
  <rdn rId="0" localSheetId="5" customView="1" name="Z_1F7DD307_FDAD_4F12_A71C_909420D0BA34_.wvu.PrintTitles" hidden="1" oldHidden="1">
    <formula>'様式４　自己点検・評価'!$11:$11</formula>
    <oldFormula>'様式４　自己点検・評価'!$11:$11</oldFormula>
  </rdn>
  <rcv guid="{1F7DD307-FDAD-4F12-A71C-909420D0BA34}" action="add"/>
</revisions>
</file>

<file path=xl/revisions/revisionLog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F7DD307-FDAD-4F12-A71C-909420D0BA34}" action="delete"/>
  <rdn rId="0" localSheetId="1" customView="1" name="Z_1F7DD307_FDAD_4F12_A71C_909420D0BA34_.wvu.PrintArea" hidden="1" oldHidden="1">
    <formula>'様式１-１　プログラムを構成する授業科目'!$A$1:$S$102</formula>
    <oldFormula>'様式１-１　プログラムを構成する授業科目'!$A$1:$S$102</oldFormula>
  </rdn>
  <rdn rId="0" localSheetId="1" customView="1" name="Z_1F7DD307_FDAD_4F12_A71C_909420D0BA34_.wvu.Cols" hidden="1" oldHidden="1">
    <formula>'様式１-１　プログラムを構成する授業科目'!$V:$V</formula>
    <oldFormula>'様式１-１　プログラムを構成する授業科目'!$V:$V</oldFormula>
  </rdn>
  <rdn rId="0" localSheetId="1" customView="1" name="Z_1F7DD307_FDAD_4F12_A71C_909420D0BA34_.wvu.FilterData" hidden="1" oldHidden="1">
    <formula>'様式１-１　プログラムを構成する授業科目'!$V$14:$V$16</formula>
    <oldFormula>'様式１-１　プログラムを構成する授業科目'!$V$14:$V$16</oldFormula>
  </rdn>
  <rdn rId="0" localSheetId="2" customView="1" name="Z_1F7DD307_FDAD_4F12_A71C_909420D0BA34_.wvu.PrintArea" hidden="1" oldHidden="1">
    <formula>'様式１-２　プログラムを構成する授業科目 (国際看護学部)'!$A$1:$S$102</formula>
    <oldFormula>'様式１-２　プログラムを構成する授業科目 (国際看護学部)'!$A$1:$S$102</oldFormula>
  </rdn>
  <rdn rId="0" localSheetId="2" customView="1" name="Z_1F7DD307_FDAD_4F12_A71C_909420D0BA34_.wvu.Cols" hidden="1" oldHidden="1">
    <formula>'様式１-２　プログラムを構成する授業科目 (国際看護学部)'!$V:$V</formula>
    <oldFormula>'様式１-２　プログラムを構成する授業科目 (国際看護学部)'!$V:$V</oldFormula>
  </rdn>
  <rdn rId="0" localSheetId="2" customView="1" name="Z_1F7DD307_FDAD_4F12_A71C_909420D0BA34_.wvu.FilterData" hidden="1" oldHidden="1">
    <formula>'様式１-２　プログラムを構成する授業科目 (国際看護学部)'!$V$14:$V$16</formula>
    <oldFormula>'様式１-２　プログラムを構成する授業科目 (国際看護学部)'!$V$14:$V$16</oldFormula>
  </rdn>
  <rdn rId="0" localSheetId="3" customView="1" name="Z_1F7DD307_FDAD_4F12_A71C_909420D0BA34_.wvu.PrintArea" hidden="1" oldHidden="1">
    <formula>'様式２ 履修者等数の実績'!$A$1:$AQ$32</formula>
    <oldFormula>'様式２ 履修者等数の実績'!$A$1:$AQ$32</oldFormula>
  </rdn>
  <rdn rId="0" localSheetId="4" customView="1" name="Z_1F7DD307_FDAD_4F12_A71C_909420D0BA34_.wvu.PrintArea" hidden="1" oldHidden="1">
    <formula>'様式３ 教育の質・履修者数を向上させるための体制・計画'!$A$1:$I$120</formula>
    <oldFormula>'様式３ 教育の質・履修者数を向上させるための体制・計画'!$A$1:$I$120</oldFormula>
  </rdn>
  <rdn rId="0" localSheetId="5" customView="1" name="Z_1F7DD307_FDAD_4F12_A71C_909420D0BA34_.wvu.PrintArea" hidden="1" oldHidden="1">
    <formula>'様式４　自己点検・評価'!$A$1:$I$22</formula>
    <oldFormula>'様式４　自己点検・評価'!$A$1:$I$22</oldFormula>
  </rdn>
  <rdn rId="0" localSheetId="5" customView="1" name="Z_1F7DD307_FDAD_4F12_A71C_909420D0BA34_.wvu.PrintTitles" hidden="1" oldHidden="1">
    <formula>'様式４　自己点検・評価'!$11:$11</formula>
    <oldFormula>'様式４　自己点検・評価'!$11:$11</oldFormula>
  </rdn>
  <rcv guid="{1F7DD307-FDAD-4F12-A71C-909420D0BA34}" action="add"/>
</revisions>
</file>

<file path=xl/revisions/revisionLog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6" sId="3" numFmtId="4">
    <oc r="C14">
      <v>1015</v>
    </oc>
    <nc r="C14">
      <v>1014</v>
    </nc>
  </rcc>
  <rfmt sheetId="3" sqref="AQ12:AQ13">
    <dxf>
      <border>
        <top style="hair">
          <color auto="1"/>
        </top>
        <bottom style="hair">
          <color auto="1"/>
        </bottom>
        <horizontal style="hair">
          <color auto="1"/>
        </horizontal>
      </border>
    </dxf>
  </rfmt>
  <rcv guid="{1F7DD307-FDAD-4F12-A71C-909420D0BA34}" action="delete"/>
  <rdn rId="0" localSheetId="1" customView="1" name="Z_1F7DD307_FDAD_4F12_A71C_909420D0BA34_.wvu.PrintArea" hidden="1" oldHidden="1">
    <formula>'様式１-１　プログラムを構成する授業科目'!$A$1:$S$102</formula>
    <oldFormula>'様式１-１　プログラムを構成する授業科目'!$A$1:$S$102</oldFormula>
  </rdn>
  <rdn rId="0" localSheetId="1" customView="1" name="Z_1F7DD307_FDAD_4F12_A71C_909420D0BA34_.wvu.Cols" hidden="1" oldHidden="1">
    <formula>'様式１-１　プログラムを構成する授業科目'!$V:$V</formula>
    <oldFormula>'様式１-１　プログラムを構成する授業科目'!$V:$V</oldFormula>
  </rdn>
  <rdn rId="0" localSheetId="1" customView="1" name="Z_1F7DD307_FDAD_4F12_A71C_909420D0BA34_.wvu.FilterData" hidden="1" oldHidden="1">
    <formula>'様式１-１　プログラムを構成する授業科目'!$V$14:$V$16</formula>
    <oldFormula>'様式１-１　プログラムを構成する授業科目'!$V$14:$V$16</oldFormula>
  </rdn>
  <rdn rId="0" localSheetId="2" customView="1" name="Z_1F7DD307_FDAD_4F12_A71C_909420D0BA34_.wvu.PrintArea" hidden="1" oldHidden="1">
    <formula>'様式１-２　プログラムを構成する授業科目 (国際看護学部)'!$A$1:$S$102</formula>
    <oldFormula>'様式１-２　プログラムを構成する授業科目 (国際看護学部)'!$A$1:$S$102</oldFormula>
  </rdn>
  <rdn rId="0" localSheetId="2" customView="1" name="Z_1F7DD307_FDAD_4F12_A71C_909420D0BA34_.wvu.Cols" hidden="1" oldHidden="1">
    <formula>'様式１-２　プログラムを構成する授業科目 (国際看護学部)'!$V:$V</formula>
    <oldFormula>'様式１-２　プログラムを構成する授業科目 (国際看護学部)'!$V:$V</oldFormula>
  </rdn>
  <rdn rId="0" localSheetId="2" customView="1" name="Z_1F7DD307_FDAD_4F12_A71C_909420D0BA34_.wvu.FilterData" hidden="1" oldHidden="1">
    <formula>'様式１-２　プログラムを構成する授業科目 (国際看護学部)'!$V$14:$V$16</formula>
    <oldFormula>'様式１-２　プログラムを構成する授業科目 (国際看護学部)'!$V$14:$V$16</oldFormula>
  </rdn>
  <rdn rId="0" localSheetId="3" customView="1" name="Z_1F7DD307_FDAD_4F12_A71C_909420D0BA34_.wvu.PrintArea" hidden="1" oldHidden="1">
    <formula>'様式２ 履修者等数の実績'!$A$1:$AQ$32</formula>
    <oldFormula>'様式２ 履修者等数の実績'!$A$1:$AQ$32</oldFormula>
  </rdn>
  <rdn rId="0" localSheetId="4" customView="1" name="Z_1F7DD307_FDAD_4F12_A71C_909420D0BA34_.wvu.PrintArea" hidden="1" oldHidden="1">
    <formula>'様式３ 教育の質・履修者数を向上させるための体制・計画'!$A$1:$I$120</formula>
    <oldFormula>'様式３ 教育の質・履修者数を向上させるための体制・計画'!$A$1:$I$120</oldFormula>
  </rdn>
  <rdn rId="0" localSheetId="5" customView="1" name="Z_1F7DD307_FDAD_4F12_A71C_909420D0BA34_.wvu.PrintArea" hidden="1" oldHidden="1">
    <formula>'様式４　自己点検・評価'!$A$1:$I$22</formula>
    <oldFormula>'様式４　自己点検・評価'!$A$1:$I$22</oldFormula>
  </rdn>
  <rdn rId="0" localSheetId="5" customView="1" name="Z_1F7DD307_FDAD_4F12_A71C_909420D0BA34_.wvu.PrintTitles" hidden="1" oldHidden="1">
    <formula>'様式４　自己点検・評価'!$11:$11</formula>
    <oldFormula>'様式４　自己点検・評価'!$11:$11</oldFormula>
  </rdn>
  <rcv guid="{1F7DD307-FDAD-4F12-A71C-909420D0BA34}" action="add"/>
</revisions>
</file>

<file path=xl/revisions/revisionLog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F7DD307-FDAD-4F12-A71C-909420D0BA34}" action="delete"/>
  <rdn rId="0" localSheetId="1" customView="1" name="Z_1F7DD307_FDAD_4F12_A71C_909420D0BA34_.wvu.PrintArea" hidden="1" oldHidden="1">
    <formula>'様式１-１　プログラムを構成する授業科目'!$A$1:$S$102</formula>
    <oldFormula>'様式１-１　プログラムを構成する授業科目'!$A$1:$S$102</oldFormula>
  </rdn>
  <rdn rId="0" localSheetId="1" customView="1" name="Z_1F7DD307_FDAD_4F12_A71C_909420D0BA34_.wvu.Cols" hidden="1" oldHidden="1">
    <formula>'様式１-１　プログラムを構成する授業科目'!$V:$V</formula>
    <oldFormula>'様式１-１　プログラムを構成する授業科目'!$V:$V</oldFormula>
  </rdn>
  <rdn rId="0" localSheetId="1" customView="1" name="Z_1F7DD307_FDAD_4F12_A71C_909420D0BA34_.wvu.FilterData" hidden="1" oldHidden="1">
    <formula>'様式１-１　プログラムを構成する授業科目'!$V$14:$V$16</formula>
    <oldFormula>'様式１-１　プログラムを構成する授業科目'!$V$14:$V$16</oldFormula>
  </rdn>
  <rdn rId="0" localSheetId="2" customView="1" name="Z_1F7DD307_FDAD_4F12_A71C_909420D0BA34_.wvu.PrintArea" hidden="1" oldHidden="1">
    <formula>'様式１-２　プログラムを構成する授業科目 (国際看護学部)'!$A$1:$S$102</formula>
    <oldFormula>'様式１-２　プログラムを構成する授業科目 (国際看護学部)'!$A$1:$S$102</oldFormula>
  </rdn>
  <rdn rId="0" localSheetId="2" customView="1" name="Z_1F7DD307_FDAD_4F12_A71C_909420D0BA34_.wvu.Cols" hidden="1" oldHidden="1">
    <formula>'様式１-２　プログラムを構成する授業科目 (国際看護学部)'!$V:$V</formula>
    <oldFormula>'様式１-２　プログラムを構成する授業科目 (国際看護学部)'!$V:$V</oldFormula>
  </rdn>
  <rdn rId="0" localSheetId="2" customView="1" name="Z_1F7DD307_FDAD_4F12_A71C_909420D0BA34_.wvu.FilterData" hidden="1" oldHidden="1">
    <formula>'様式１-２　プログラムを構成する授業科目 (国際看護学部)'!$V$14:$V$16</formula>
    <oldFormula>'様式１-２　プログラムを構成する授業科目 (国際看護学部)'!$V$14:$V$16</oldFormula>
  </rdn>
  <rdn rId="0" localSheetId="3" customView="1" name="Z_1F7DD307_FDAD_4F12_A71C_909420D0BA34_.wvu.PrintArea" hidden="1" oldHidden="1">
    <formula>'様式２ 履修者等数の実績'!$A$1:$AQ$32</formula>
    <oldFormula>'様式２ 履修者等数の実績'!$A$1:$AQ$32</oldFormula>
  </rdn>
  <rdn rId="0" localSheetId="4" customView="1" name="Z_1F7DD307_FDAD_4F12_A71C_909420D0BA34_.wvu.PrintArea" hidden="1" oldHidden="1">
    <formula>'様式３ 教育の質・履修者数を向上させるための体制・計画'!$A$1:$I$120</formula>
    <oldFormula>'様式３ 教育の質・履修者数を向上させるための体制・計画'!$A$1:$I$120</oldFormula>
  </rdn>
  <rdn rId="0" localSheetId="5" customView="1" name="Z_1F7DD307_FDAD_4F12_A71C_909420D0BA34_.wvu.PrintArea" hidden="1" oldHidden="1">
    <formula>'様式４　自己点検・評価'!$A$1:$I$22</formula>
    <oldFormula>'様式４　自己点検・評価'!$A$1:$I$22</oldFormula>
  </rdn>
  <rdn rId="0" localSheetId="5" customView="1" name="Z_1F7DD307_FDAD_4F12_A71C_909420D0BA34_.wvu.PrintTitles" hidden="1" oldHidden="1">
    <formula>'様式４　自己点検・評価'!$11:$11</formula>
    <oldFormula>'様式４　自己点検・評価'!$11:$11</oldFormula>
  </rdn>
  <rcv guid="{1F7DD307-FDAD-4F12-A71C-909420D0BA34}" action="add"/>
</revisions>
</file>

<file path=xl/revisions/revisionLog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4" sqref="B35:I46">
    <dxf>
      <fill>
        <patternFill patternType="none">
          <bgColor auto="1"/>
        </patternFill>
      </fill>
    </dxf>
  </rfmt>
  <rcc rId="127" sId="4" numFmtId="13">
    <nc r="F49">
      <v>0.3</v>
    </nc>
  </rcc>
  <rcc rId="128" sId="4" numFmtId="13">
    <nc r="I49">
      <v>0.5</v>
    </nc>
  </rcc>
  <rcc rId="129" sId="4" numFmtId="13">
    <nc r="C50">
      <v>0.7</v>
    </nc>
  </rcc>
  <rcc rId="130" sId="4" numFmtId="13">
    <nc r="F50">
      <v>1</v>
    </nc>
  </rcc>
  <rfmt sheetId="4" sqref="B52:I63">
    <dxf>
      <fill>
        <patternFill patternType="solid">
          <bgColor rgb="FFFFFF00"/>
        </patternFill>
      </fill>
    </dxf>
  </rfmt>
  <rcc rId="131" sId="4">
    <oc r="B52" t="inlineStr">
      <is>
        <t>「情報活用Ⅰ」および国際看護学部の「情報活用Ⅱ（含医療情報の統計学）」は引き続き必修科目として全学生への履修を徹底する。また「AI・データサイエンスの扉」は現在は1、2年生のみが受講対象となっているが年次進行で令和6年度には3年生、令和7年度には4年生も履修可能とする計画である。</t>
        <rPh sb="1" eb="3">
          <t>ジョウホウ</t>
        </rPh>
        <rPh sb="3" eb="5">
          <t>カツヨウ</t>
        </rPh>
        <rPh sb="10" eb="12">
          <t>コクサイ</t>
        </rPh>
        <rPh sb="12" eb="14">
          <t>カンゴ</t>
        </rPh>
        <rPh sb="14" eb="16">
          <t>ガクブ</t>
        </rPh>
        <rPh sb="18" eb="20">
          <t>ジョウホウ</t>
        </rPh>
        <rPh sb="20" eb="22">
          <t>カツヨウ</t>
        </rPh>
        <rPh sb="36" eb="37">
          <t>ヒ</t>
        </rPh>
        <rPh sb="38" eb="39">
          <t>ツヅ</t>
        </rPh>
        <rPh sb="40" eb="42">
          <t>ヒッシュウ</t>
        </rPh>
        <rPh sb="42" eb="44">
          <t>カモク</t>
        </rPh>
        <rPh sb="47" eb="48">
          <t>ゼン</t>
        </rPh>
        <rPh sb="48" eb="50">
          <t>ガクセイ</t>
        </rPh>
        <rPh sb="52" eb="54">
          <t>リシュウ</t>
        </rPh>
        <rPh sb="55" eb="57">
          <t>テッテイ</t>
        </rPh>
        <rPh sb="75" eb="76">
          <t>トビラ</t>
        </rPh>
        <rPh sb="78" eb="80">
          <t>ゲンザイ</t>
        </rPh>
        <rPh sb="84" eb="86">
          <t>ネンセイ</t>
        </rPh>
        <rPh sb="89" eb="91">
          <t>ジュコウ</t>
        </rPh>
        <rPh sb="91" eb="93">
          <t>タイショウ</t>
        </rPh>
        <rPh sb="100" eb="102">
          <t>ネンジ</t>
        </rPh>
        <rPh sb="102" eb="104">
          <t>シンコウ</t>
        </rPh>
        <rPh sb="105" eb="107">
          <t>レイワ</t>
        </rPh>
        <rPh sb="108" eb="110">
          <t>ネンド</t>
        </rPh>
        <rPh sb="113" eb="115">
          <t>ネンセイ</t>
        </rPh>
        <rPh sb="116" eb="118">
          <t>レイワ</t>
        </rPh>
        <rPh sb="119" eb="121">
          <t>ネンド</t>
        </rPh>
        <rPh sb="124" eb="126">
          <t>ネンセイ</t>
        </rPh>
        <rPh sb="127" eb="129">
          <t>リシュウ</t>
        </rPh>
        <rPh sb="129" eb="131">
          <t>カノウ</t>
        </rPh>
        <rPh sb="134" eb="136">
          <t>ケイカク</t>
        </rPh>
        <phoneticPr fontId="0"/>
      </is>
    </oc>
    <nc r="B52" t="inlineStr">
      <is>
        <t>「情報活用Ⅰ」および国際看護学部の「情報活用Ⅱ（含医療情報の統計学）」は引き続き必修科目として全学生への100%履修を徹底する。また「AI・データサイエンスの扉」は令和4年度は1年生のみが受講対象となっていたが、年次進行で令和5年度には1・2年生、令和6年度には1～3年生、令和7年度には全学生が履修可能とする計画である。</t>
        <rPh sb="1" eb="3">
          <t>ジョウホウ</t>
        </rPh>
        <rPh sb="3" eb="5">
          <t>カツヨウ</t>
        </rPh>
        <rPh sb="10" eb="12">
          <t>コクサイ</t>
        </rPh>
        <rPh sb="12" eb="14">
          <t>カンゴ</t>
        </rPh>
        <rPh sb="14" eb="16">
          <t>ガクブ</t>
        </rPh>
        <rPh sb="18" eb="20">
          <t>ジョウホウ</t>
        </rPh>
        <rPh sb="20" eb="22">
          <t>カツヨウ</t>
        </rPh>
        <rPh sb="36" eb="37">
          <t>ヒ</t>
        </rPh>
        <rPh sb="38" eb="39">
          <t>ツヅ</t>
        </rPh>
        <rPh sb="40" eb="42">
          <t>ヒッシュウ</t>
        </rPh>
        <rPh sb="42" eb="44">
          <t>カモク</t>
        </rPh>
        <rPh sb="47" eb="48">
          <t>ゼン</t>
        </rPh>
        <rPh sb="48" eb="50">
          <t>ガクセイ</t>
        </rPh>
        <rPh sb="56" eb="58">
          <t>リシュウ</t>
        </rPh>
        <rPh sb="59" eb="61">
          <t>テッテイ</t>
        </rPh>
        <rPh sb="79" eb="80">
          <t>トビラ</t>
        </rPh>
        <rPh sb="82" eb="84">
          <t>レイワ</t>
        </rPh>
        <rPh sb="85" eb="87">
          <t>ネンド</t>
        </rPh>
        <rPh sb="89" eb="91">
          <t>ネンセイ</t>
        </rPh>
        <rPh sb="94" eb="96">
          <t>ジュコウ</t>
        </rPh>
        <rPh sb="96" eb="98">
          <t>タイショウ</t>
        </rPh>
        <rPh sb="106" eb="108">
          <t>ネンジ</t>
        </rPh>
        <rPh sb="108" eb="110">
          <t>シンコウ</t>
        </rPh>
        <rPh sb="111" eb="113">
          <t>レイワ</t>
        </rPh>
        <rPh sb="114" eb="116">
          <t>ネンド</t>
        </rPh>
        <rPh sb="121" eb="123">
          <t>ネンセイ</t>
        </rPh>
        <rPh sb="124" eb="126">
          <t>レイワ</t>
        </rPh>
        <rPh sb="127" eb="129">
          <t>ネンド</t>
        </rPh>
        <rPh sb="134" eb="136">
          <t>ネンセイ</t>
        </rPh>
        <rPh sb="137" eb="139">
          <t>レイワ</t>
        </rPh>
        <rPh sb="140" eb="142">
          <t>ネンド</t>
        </rPh>
        <rPh sb="148" eb="150">
          <t>リシュウ</t>
        </rPh>
        <rPh sb="150" eb="152">
          <t>カノウ</t>
        </rPh>
        <rPh sb="155" eb="157">
          <t>ケイカク</t>
        </rPh>
        <phoneticPr fontId="0"/>
      </is>
    </nc>
  </rcc>
</revisions>
</file>

<file path=xl/revisions/revisionLog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2" sId="4">
    <oc r="B52" t="inlineStr">
      <is>
        <t>「情報活用Ⅰ」および国際看護学部の「情報活用Ⅱ（含医療情報の統計学）」は引き続き必修科目として全学生への100%履修を徹底する。また「AI・データサイエンスの扉」は令和4年度は1年生のみが受講対象となっていたが、年次進行で令和5年度には1・2年生、令和6年度には1～3年生、令和7年度には全学生が履修可能とする計画である。</t>
        <rPh sb="1" eb="3">
          <t>ジョウホウ</t>
        </rPh>
        <rPh sb="3" eb="5">
          <t>カツヨウ</t>
        </rPh>
        <rPh sb="10" eb="12">
          <t>コクサイ</t>
        </rPh>
        <rPh sb="12" eb="14">
          <t>カンゴ</t>
        </rPh>
        <rPh sb="14" eb="16">
          <t>ガクブ</t>
        </rPh>
        <rPh sb="18" eb="20">
          <t>ジョウホウ</t>
        </rPh>
        <rPh sb="20" eb="22">
          <t>カツヨウ</t>
        </rPh>
        <rPh sb="36" eb="37">
          <t>ヒ</t>
        </rPh>
        <rPh sb="38" eb="39">
          <t>ツヅ</t>
        </rPh>
        <rPh sb="40" eb="42">
          <t>ヒッシュウ</t>
        </rPh>
        <rPh sb="42" eb="44">
          <t>カモク</t>
        </rPh>
        <rPh sb="47" eb="48">
          <t>ゼン</t>
        </rPh>
        <rPh sb="48" eb="50">
          <t>ガクセイ</t>
        </rPh>
        <rPh sb="56" eb="58">
          <t>リシュウ</t>
        </rPh>
        <rPh sb="59" eb="61">
          <t>テッテイ</t>
        </rPh>
        <rPh sb="79" eb="80">
          <t>トビラ</t>
        </rPh>
        <rPh sb="82" eb="84">
          <t>レイワ</t>
        </rPh>
        <rPh sb="85" eb="87">
          <t>ネンド</t>
        </rPh>
        <rPh sb="89" eb="91">
          <t>ネンセイ</t>
        </rPh>
        <rPh sb="94" eb="96">
          <t>ジュコウ</t>
        </rPh>
        <rPh sb="96" eb="98">
          <t>タイショウ</t>
        </rPh>
        <rPh sb="106" eb="108">
          <t>ネンジ</t>
        </rPh>
        <rPh sb="108" eb="110">
          <t>シンコウ</t>
        </rPh>
        <rPh sb="111" eb="113">
          <t>レイワ</t>
        </rPh>
        <rPh sb="114" eb="116">
          <t>ネンド</t>
        </rPh>
        <rPh sb="121" eb="123">
          <t>ネンセイ</t>
        </rPh>
        <rPh sb="124" eb="126">
          <t>レイワ</t>
        </rPh>
        <rPh sb="127" eb="129">
          <t>ネンド</t>
        </rPh>
        <rPh sb="134" eb="136">
          <t>ネンセイ</t>
        </rPh>
        <rPh sb="137" eb="139">
          <t>レイワ</t>
        </rPh>
        <rPh sb="140" eb="142">
          <t>ネンド</t>
        </rPh>
        <rPh sb="148" eb="150">
          <t>リシュウ</t>
        </rPh>
        <rPh sb="150" eb="152">
          <t>カノウ</t>
        </rPh>
        <rPh sb="155" eb="157">
          <t>ケイカク</t>
        </rPh>
        <phoneticPr fontId="0"/>
      </is>
    </oc>
    <nc r="B52" t="inlineStr">
      <is>
        <t>「情報活用Ⅰ」および国際看護学部の「情報活用Ⅱ（含医療情報の統計学）」は引き続き必修科目として全学生への100%履修を徹底する。また「AI・データサイエンスの扉」は令和4年度は1年生のみが受講対象となっていたが、年次進行で令和5年度には1・2年生、令和6年度には1～3年生、令和7年度には全学年の学生が履修可能とする計画である。</t>
        <rPh sb="1" eb="3">
          <t>ジョウホウ</t>
        </rPh>
        <rPh sb="3" eb="5">
          <t>カツヨウ</t>
        </rPh>
        <rPh sb="10" eb="12">
          <t>コクサイ</t>
        </rPh>
        <rPh sb="12" eb="14">
          <t>カンゴ</t>
        </rPh>
        <rPh sb="14" eb="16">
          <t>ガクブ</t>
        </rPh>
        <rPh sb="18" eb="20">
          <t>ジョウホウ</t>
        </rPh>
        <rPh sb="20" eb="22">
          <t>カツヨウ</t>
        </rPh>
        <rPh sb="36" eb="37">
          <t>ヒ</t>
        </rPh>
        <rPh sb="38" eb="39">
          <t>ツヅ</t>
        </rPh>
        <rPh sb="40" eb="42">
          <t>ヒッシュウ</t>
        </rPh>
        <rPh sb="42" eb="44">
          <t>カモク</t>
        </rPh>
        <rPh sb="47" eb="48">
          <t>ゼン</t>
        </rPh>
        <rPh sb="48" eb="50">
          <t>ガクセイ</t>
        </rPh>
        <rPh sb="56" eb="58">
          <t>リシュウ</t>
        </rPh>
        <rPh sb="59" eb="61">
          <t>テッテイ</t>
        </rPh>
        <rPh sb="79" eb="80">
          <t>トビラ</t>
        </rPh>
        <rPh sb="82" eb="84">
          <t>レイワ</t>
        </rPh>
        <rPh sb="85" eb="87">
          <t>ネンド</t>
        </rPh>
        <rPh sb="89" eb="91">
          <t>ネンセイ</t>
        </rPh>
        <rPh sb="94" eb="96">
          <t>ジュコウ</t>
        </rPh>
        <rPh sb="96" eb="98">
          <t>タイショウ</t>
        </rPh>
        <rPh sb="106" eb="108">
          <t>ネンジ</t>
        </rPh>
        <rPh sb="108" eb="110">
          <t>シンコウ</t>
        </rPh>
        <rPh sb="111" eb="113">
          <t>レイワ</t>
        </rPh>
        <rPh sb="114" eb="116">
          <t>ネンド</t>
        </rPh>
        <rPh sb="121" eb="123">
          <t>ネンセイ</t>
        </rPh>
        <rPh sb="124" eb="126">
          <t>レイワ</t>
        </rPh>
        <rPh sb="127" eb="129">
          <t>ネンド</t>
        </rPh>
        <rPh sb="134" eb="136">
          <t>ネンセイ</t>
        </rPh>
        <rPh sb="137" eb="139">
          <t>レイワ</t>
        </rPh>
        <rPh sb="140" eb="142">
          <t>ネンド</t>
        </rPh>
        <rPh sb="145" eb="147">
          <t>ガクネン</t>
        </rPh>
        <rPh sb="148" eb="150">
          <t>ガクセイ</t>
        </rPh>
        <rPh sb="151" eb="153">
          <t>リシュウ</t>
        </rPh>
        <rPh sb="153" eb="155">
          <t>カノウ</t>
        </rPh>
        <rPh sb="158" eb="160">
          <t>ケイカク</t>
        </rPh>
        <phoneticPr fontId="0"/>
      </is>
    </nc>
  </rcc>
  <rcv guid="{1F7DD307-FDAD-4F12-A71C-909420D0BA34}" action="delete"/>
  <rdn rId="0" localSheetId="1" customView="1" name="Z_1F7DD307_FDAD_4F12_A71C_909420D0BA34_.wvu.PrintArea" hidden="1" oldHidden="1">
    <formula>'様式１-１　プログラムを構成する授業科目'!$A$1:$S$102</formula>
    <oldFormula>'様式１-１　プログラムを構成する授業科目'!$A$1:$S$102</oldFormula>
  </rdn>
  <rdn rId="0" localSheetId="1" customView="1" name="Z_1F7DD307_FDAD_4F12_A71C_909420D0BA34_.wvu.Cols" hidden="1" oldHidden="1">
    <formula>'様式１-１　プログラムを構成する授業科目'!$V:$V</formula>
    <oldFormula>'様式１-１　プログラムを構成する授業科目'!$V:$V</oldFormula>
  </rdn>
  <rdn rId="0" localSheetId="1" customView="1" name="Z_1F7DD307_FDAD_4F12_A71C_909420D0BA34_.wvu.FilterData" hidden="1" oldHidden="1">
    <formula>'様式１-１　プログラムを構成する授業科目'!$V$14:$V$16</formula>
    <oldFormula>'様式１-１　プログラムを構成する授業科目'!$V$14:$V$16</oldFormula>
  </rdn>
  <rdn rId="0" localSheetId="2" customView="1" name="Z_1F7DD307_FDAD_4F12_A71C_909420D0BA34_.wvu.PrintArea" hidden="1" oldHidden="1">
    <formula>'様式１-２　プログラムを構成する授業科目 (国際看護学部)'!$A$1:$S$102</formula>
    <oldFormula>'様式１-２　プログラムを構成する授業科目 (国際看護学部)'!$A$1:$S$102</oldFormula>
  </rdn>
  <rdn rId="0" localSheetId="2" customView="1" name="Z_1F7DD307_FDAD_4F12_A71C_909420D0BA34_.wvu.Cols" hidden="1" oldHidden="1">
    <formula>'様式１-２　プログラムを構成する授業科目 (国際看護学部)'!$V:$V</formula>
    <oldFormula>'様式１-２　プログラムを構成する授業科目 (国際看護学部)'!$V:$V</oldFormula>
  </rdn>
  <rdn rId="0" localSheetId="2" customView="1" name="Z_1F7DD307_FDAD_4F12_A71C_909420D0BA34_.wvu.FilterData" hidden="1" oldHidden="1">
    <formula>'様式１-２　プログラムを構成する授業科目 (国際看護学部)'!$V$14:$V$16</formula>
    <oldFormula>'様式１-２　プログラムを構成する授業科目 (国際看護学部)'!$V$14:$V$16</oldFormula>
  </rdn>
  <rdn rId="0" localSheetId="3" customView="1" name="Z_1F7DD307_FDAD_4F12_A71C_909420D0BA34_.wvu.PrintArea" hidden="1" oldHidden="1">
    <formula>'様式２ 履修者等数の実績'!$A$1:$AQ$32</formula>
    <oldFormula>'様式２ 履修者等数の実績'!$A$1:$AQ$32</oldFormula>
  </rdn>
  <rdn rId="0" localSheetId="4" customView="1" name="Z_1F7DD307_FDAD_4F12_A71C_909420D0BA34_.wvu.PrintArea" hidden="1" oldHidden="1">
    <formula>'様式３ 教育の質・履修者数を向上させるための体制・計画'!$A$1:$I$120</formula>
    <oldFormula>'様式３ 教育の質・履修者数を向上させるための体制・計画'!$A$1:$I$120</oldFormula>
  </rdn>
  <rdn rId="0" localSheetId="5" customView="1" name="Z_1F7DD307_FDAD_4F12_A71C_909420D0BA34_.wvu.PrintArea" hidden="1" oldHidden="1">
    <formula>'様式４　自己点検・評価'!$A$1:$I$22</formula>
    <oldFormula>'様式４　自己点検・評価'!$A$1:$I$22</oldFormula>
  </rdn>
  <rdn rId="0" localSheetId="5" customView="1" name="Z_1F7DD307_FDAD_4F12_A71C_909420D0BA34_.wvu.PrintTitles" hidden="1" oldHidden="1">
    <formula>'様式４　自己点検・評価'!$11:$11</formula>
    <oldFormula>'様式４　自己点検・評価'!$11:$11</oldFormula>
  </rdn>
  <rcv guid="{1F7DD307-FDAD-4F12-A71C-909420D0BA34}" action="add"/>
</revisions>
</file>

<file path=xl/revisions/revisionLog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F7DD307-FDAD-4F12-A71C-909420D0BA34}" action="delete"/>
  <rdn rId="0" localSheetId="1" customView="1" name="Z_1F7DD307_FDAD_4F12_A71C_909420D0BA34_.wvu.PrintArea" hidden="1" oldHidden="1">
    <formula>'様式１-１　プログラムを構成する授業科目'!$A$1:$S$102</formula>
    <oldFormula>'様式１-１　プログラムを構成する授業科目'!$A$1:$S$102</oldFormula>
  </rdn>
  <rdn rId="0" localSheetId="1" customView="1" name="Z_1F7DD307_FDAD_4F12_A71C_909420D0BA34_.wvu.Cols" hidden="1" oldHidden="1">
    <formula>'様式１-１　プログラムを構成する授業科目'!$V:$V</formula>
    <oldFormula>'様式１-１　プログラムを構成する授業科目'!$V:$V</oldFormula>
  </rdn>
  <rdn rId="0" localSheetId="1" customView="1" name="Z_1F7DD307_FDAD_4F12_A71C_909420D0BA34_.wvu.FilterData" hidden="1" oldHidden="1">
    <formula>'様式１-１　プログラムを構成する授業科目'!$V$14:$V$16</formula>
    <oldFormula>'様式１-１　プログラムを構成する授業科目'!$V$14:$V$16</oldFormula>
  </rdn>
  <rdn rId="0" localSheetId="2" customView="1" name="Z_1F7DD307_FDAD_4F12_A71C_909420D0BA34_.wvu.PrintArea" hidden="1" oldHidden="1">
    <formula>'様式１-２　プログラムを構成する授業科目 (国際看護学部)'!$A$1:$S$102</formula>
    <oldFormula>'様式１-２　プログラムを構成する授業科目 (国際看護学部)'!$A$1:$S$102</oldFormula>
  </rdn>
  <rdn rId="0" localSheetId="2" customView="1" name="Z_1F7DD307_FDAD_4F12_A71C_909420D0BA34_.wvu.Cols" hidden="1" oldHidden="1">
    <formula>'様式１-２　プログラムを構成する授業科目 (国際看護学部)'!$V:$V</formula>
    <oldFormula>'様式１-２　プログラムを構成する授業科目 (国際看護学部)'!$V:$V</oldFormula>
  </rdn>
  <rdn rId="0" localSheetId="2" customView="1" name="Z_1F7DD307_FDAD_4F12_A71C_909420D0BA34_.wvu.FilterData" hidden="1" oldHidden="1">
    <formula>'様式１-２　プログラムを構成する授業科目 (国際看護学部)'!$V$14:$V$16</formula>
    <oldFormula>'様式１-２　プログラムを構成する授業科目 (国際看護学部)'!$V$14:$V$16</oldFormula>
  </rdn>
  <rdn rId="0" localSheetId="3" customView="1" name="Z_1F7DD307_FDAD_4F12_A71C_909420D0BA34_.wvu.PrintArea" hidden="1" oldHidden="1">
    <formula>'様式２ 履修者等数の実績'!$A$1:$AQ$32</formula>
    <oldFormula>'様式２ 履修者等数の実績'!$A$1:$AQ$32</oldFormula>
  </rdn>
  <rdn rId="0" localSheetId="4" customView="1" name="Z_1F7DD307_FDAD_4F12_A71C_909420D0BA34_.wvu.PrintArea" hidden="1" oldHidden="1">
    <formula>'様式３ 教育の質・履修者数を向上させるための体制・計画'!$A$1:$I$120</formula>
    <oldFormula>'様式３ 教育の質・履修者数を向上させるための体制・計画'!$A$1:$I$120</oldFormula>
  </rdn>
  <rdn rId="0" localSheetId="5" customView="1" name="Z_1F7DD307_FDAD_4F12_A71C_909420D0BA34_.wvu.PrintArea" hidden="1" oldHidden="1">
    <formula>'様式４　自己点検・評価'!$A$1:$I$22</formula>
    <oldFormula>'様式４　自己点検・評価'!$A$1:$I$22</oldFormula>
  </rdn>
  <rdn rId="0" localSheetId="5" customView="1" name="Z_1F7DD307_FDAD_4F12_A71C_909420D0BA34_.wvu.PrintTitles" hidden="1" oldHidden="1">
    <formula>'様式４　自己点検・評価'!$11:$11</formula>
    <oldFormula>'様式４　自己点検・評価'!$11:$11</oldFormula>
  </rdn>
  <rcv guid="{1F7DD307-FDAD-4F12-A71C-909420D0BA34}" action="add"/>
</revisions>
</file>

<file path=xl/revisions/revisionLog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3" sId="4" numFmtId="13">
    <oc r="F49">
      <v>0.3</v>
    </oc>
    <nc r="F49">
      <v>0.2</v>
    </nc>
  </rcc>
  <rcv guid="{1F7DD307-FDAD-4F12-A71C-909420D0BA34}" action="delete"/>
  <rdn rId="0" localSheetId="1" customView="1" name="Z_1F7DD307_FDAD_4F12_A71C_909420D0BA34_.wvu.PrintArea" hidden="1" oldHidden="1">
    <formula>'様式１-１　プログラムを構成する授業科目'!$A$1:$S$102</formula>
    <oldFormula>'様式１-１　プログラムを構成する授業科目'!$A$1:$S$102</oldFormula>
  </rdn>
  <rdn rId="0" localSheetId="1" customView="1" name="Z_1F7DD307_FDAD_4F12_A71C_909420D0BA34_.wvu.Cols" hidden="1" oldHidden="1">
    <formula>'様式１-１　プログラムを構成する授業科目'!$V:$V</formula>
    <oldFormula>'様式１-１　プログラムを構成する授業科目'!$V:$V</oldFormula>
  </rdn>
  <rdn rId="0" localSheetId="1" customView="1" name="Z_1F7DD307_FDAD_4F12_A71C_909420D0BA34_.wvu.FilterData" hidden="1" oldHidden="1">
    <formula>'様式１-１　プログラムを構成する授業科目'!$V$14:$V$16</formula>
    <oldFormula>'様式１-１　プログラムを構成する授業科目'!$V$14:$V$16</oldFormula>
  </rdn>
  <rdn rId="0" localSheetId="2" customView="1" name="Z_1F7DD307_FDAD_4F12_A71C_909420D0BA34_.wvu.PrintArea" hidden="1" oldHidden="1">
    <formula>'様式１-２　プログラムを構成する授業科目 (国際看護学部)'!$A$1:$S$102</formula>
    <oldFormula>'様式１-２　プログラムを構成する授業科目 (国際看護学部)'!$A$1:$S$102</oldFormula>
  </rdn>
  <rdn rId="0" localSheetId="2" customView="1" name="Z_1F7DD307_FDAD_4F12_A71C_909420D0BA34_.wvu.Cols" hidden="1" oldHidden="1">
    <formula>'様式１-２　プログラムを構成する授業科目 (国際看護学部)'!$V:$V</formula>
    <oldFormula>'様式１-２　プログラムを構成する授業科目 (国際看護学部)'!$V:$V</oldFormula>
  </rdn>
  <rdn rId="0" localSheetId="2" customView="1" name="Z_1F7DD307_FDAD_4F12_A71C_909420D0BA34_.wvu.FilterData" hidden="1" oldHidden="1">
    <formula>'様式１-２　プログラムを構成する授業科目 (国際看護学部)'!$V$14:$V$16</formula>
    <oldFormula>'様式１-２　プログラムを構成する授業科目 (国際看護学部)'!$V$14:$V$16</oldFormula>
  </rdn>
  <rdn rId="0" localSheetId="3" customView="1" name="Z_1F7DD307_FDAD_4F12_A71C_909420D0BA34_.wvu.PrintArea" hidden="1" oldHidden="1">
    <formula>'様式２ 履修者等数の実績'!$A$1:$AQ$32</formula>
    <oldFormula>'様式２ 履修者等数の実績'!$A$1:$AQ$32</oldFormula>
  </rdn>
  <rdn rId="0" localSheetId="4" customView="1" name="Z_1F7DD307_FDAD_4F12_A71C_909420D0BA34_.wvu.PrintArea" hidden="1" oldHidden="1">
    <formula>'様式３ 教育の質・履修者数を向上させるための体制・計画'!$A$1:$I$120</formula>
    <oldFormula>'様式３ 教育の質・履修者数を向上させるための体制・計画'!$A$1:$I$120</oldFormula>
  </rdn>
  <rdn rId="0" localSheetId="5" customView="1" name="Z_1F7DD307_FDAD_4F12_A71C_909420D0BA34_.wvu.PrintArea" hidden="1" oldHidden="1">
    <formula>'様式４　自己点検・評価'!$A$1:$I$22</formula>
    <oldFormula>'様式４　自己点検・評価'!$A$1:$I$22</oldFormula>
  </rdn>
  <rdn rId="0" localSheetId="5" customView="1" name="Z_1F7DD307_FDAD_4F12_A71C_909420D0BA34_.wvu.PrintTitles" hidden="1" oldHidden="1">
    <formula>'様式４　自己点検・評価'!$11:$11</formula>
    <oldFormula>'様式４　自己点検・評価'!$11:$11</oldFormula>
  </rdn>
  <rcv guid="{1F7DD307-FDAD-4F12-A71C-909420D0BA34}" action="add"/>
</revisions>
</file>

<file path=xl/revisions/revisionLog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4" sId="1">
    <oc r="D95" t="inlineStr">
      <is>
        <t>・AI・データを活用する際の負の側面について学習する（「AI・データサイエンスの扉」第12回）
・GDPR（General Data Protection Regulation）（「AI・データサイエンスの扉」第12回）
・ELSI（Ethical、 Legal and Social Issues）（「AI・データサイエンスの扉」第12回）
・データ倫理、AIの倫理指針（「AI・データサイエンスの扉」第12回）
・AI・データサイエンスの倫理（「AI・データサイエンスの扉」第12回）
・情報の盗用、 ねつ造・改ざん（「AI・データサイエンスの扉」第13回）
・プライバシー保護（「AI・データサイエンスの扉」第13回）
・情報セキュリティとモラル（「情報活用Ⅰ」第1回目）</t>
        <rPh sb="42" eb="43">
          <t>ダイ</t>
        </rPh>
        <phoneticPr fontId="0"/>
      </is>
    </oc>
    <nc r="D95" t="inlineStr">
      <is>
        <t>・AI・データを活用する際の負の側面について学習する（「AI・データサイエンスの扉」第12回）
・GDPR（General Data Protection Regulation）（「AI・データサイエンスの扉」第12回）
・ELSI（Ethical、 Legal and Social Issues）（「AI・データサイエンスの扉」第12回）
・データ倫理、AIの倫理指針（「AI・データサイエンスの扉」第12回）
・AI・データサイエンスの倫理（「AI・データサイエンスの扉」第12回）
・情報の盗用、 ねつ造・改ざん（「AI・データサイエンスの扉」第13回）
・プライバシー保護（「AI・データサイエンスの扉」第13回）
・情報セキュリティとモラル（「情報活用Ⅰ」第1回）</t>
        <rPh sb="42" eb="43">
          <t>ダイ</t>
        </rPh>
        <phoneticPr fontId="0"/>
      </is>
    </nc>
  </rcc>
  <rcv guid="{1F7DD307-FDAD-4F12-A71C-909420D0BA34}" action="delete"/>
  <rdn rId="0" localSheetId="1" customView="1" name="Z_1F7DD307_FDAD_4F12_A71C_909420D0BA34_.wvu.PrintArea" hidden="1" oldHidden="1">
    <formula>'様式１-１　プログラムを構成する授業科目'!$A$1:$S$102</formula>
    <oldFormula>'様式１-１　プログラムを構成する授業科目'!$A$1:$S$102</oldFormula>
  </rdn>
  <rdn rId="0" localSheetId="1" customView="1" name="Z_1F7DD307_FDAD_4F12_A71C_909420D0BA34_.wvu.Cols" hidden="1" oldHidden="1">
    <formula>'様式１-１　プログラムを構成する授業科目'!$V:$V</formula>
    <oldFormula>'様式１-１　プログラムを構成する授業科目'!$V:$V</oldFormula>
  </rdn>
  <rdn rId="0" localSheetId="1" customView="1" name="Z_1F7DD307_FDAD_4F12_A71C_909420D0BA34_.wvu.FilterData" hidden="1" oldHidden="1">
    <formula>'様式１-１　プログラムを構成する授業科目'!$V$14:$V$16</formula>
    <oldFormula>'様式１-１　プログラムを構成する授業科目'!$V$14:$V$16</oldFormula>
  </rdn>
  <rdn rId="0" localSheetId="2" customView="1" name="Z_1F7DD307_FDAD_4F12_A71C_909420D0BA34_.wvu.PrintArea" hidden="1" oldHidden="1">
    <formula>'様式１-２　プログラムを構成する授業科目 (国際看護学部)'!$A$1:$S$102</formula>
    <oldFormula>'様式１-２　プログラムを構成する授業科目 (国際看護学部)'!$A$1:$S$102</oldFormula>
  </rdn>
  <rdn rId="0" localSheetId="2" customView="1" name="Z_1F7DD307_FDAD_4F12_A71C_909420D0BA34_.wvu.Cols" hidden="1" oldHidden="1">
    <formula>'様式１-２　プログラムを構成する授業科目 (国際看護学部)'!$V:$V</formula>
    <oldFormula>'様式１-２　プログラムを構成する授業科目 (国際看護学部)'!$V:$V</oldFormula>
  </rdn>
  <rdn rId="0" localSheetId="2" customView="1" name="Z_1F7DD307_FDAD_4F12_A71C_909420D0BA34_.wvu.FilterData" hidden="1" oldHidden="1">
    <formula>'様式１-２　プログラムを構成する授業科目 (国際看護学部)'!$V$14:$V$16</formula>
    <oldFormula>'様式１-２　プログラムを構成する授業科目 (国際看護学部)'!$V$14:$V$16</oldFormula>
  </rdn>
  <rdn rId="0" localSheetId="3" customView="1" name="Z_1F7DD307_FDAD_4F12_A71C_909420D0BA34_.wvu.PrintArea" hidden="1" oldHidden="1">
    <formula>'様式２ 履修者等数の実績'!$A$1:$AQ$32</formula>
    <oldFormula>'様式２ 履修者等数の実績'!$A$1:$AQ$32</oldFormula>
  </rdn>
  <rdn rId="0" localSheetId="4" customView="1" name="Z_1F7DD307_FDAD_4F12_A71C_909420D0BA34_.wvu.PrintArea" hidden="1" oldHidden="1">
    <formula>'様式３ 教育の質・履修者数を向上させるための体制・計画'!$A$1:$I$120</formula>
    <oldFormula>'様式３ 教育の質・履修者数を向上させるための体制・計画'!$A$1:$I$120</oldFormula>
  </rdn>
  <rdn rId="0" localSheetId="5" customView="1" name="Z_1F7DD307_FDAD_4F12_A71C_909420D0BA34_.wvu.PrintArea" hidden="1" oldHidden="1">
    <formula>'様式４　自己点検・評価'!$A$1:$I$22</formula>
    <oldFormula>'様式４　自己点検・評価'!$A$1:$I$22</oldFormula>
  </rdn>
  <rdn rId="0" localSheetId="5" customView="1" name="Z_1F7DD307_FDAD_4F12_A71C_909420D0BA34_.wvu.PrintTitles" hidden="1" oldHidden="1">
    <formula>'様式４　自己点検・評価'!$11:$11</formula>
    <oldFormula>'様式４　自己点検・評価'!$11:$11</oldFormula>
  </rdn>
  <rcv guid="{1F7DD307-FDAD-4F12-A71C-909420D0BA34}" action="add"/>
</revisions>
</file>

<file path=xl/revisions/revisionLog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4" sqref="C50:D50">
    <dxf>
      <fill>
        <patternFill patternType="none">
          <bgColor auto="1"/>
        </patternFill>
      </fill>
    </dxf>
  </rfmt>
  <rfmt sheetId="4" sqref="F49:G50">
    <dxf>
      <fill>
        <patternFill patternType="none">
          <bgColor auto="1"/>
        </patternFill>
      </fill>
    </dxf>
  </rfmt>
  <rfmt sheetId="4" sqref="I49">
    <dxf>
      <fill>
        <patternFill patternType="none">
          <bgColor auto="1"/>
        </patternFill>
      </fill>
    </dxf>
  </rfmt>
  <rfmt sheetId="4" sqref="B52:I63">
    <dxf>
      <fill>
        <patternFill patternType="none">
          <bgColor auto="1"/>
        </patternFill>
      </fill>
    </dxf>
  </rfmt>
</revisions>
</file>

<file path=xl/revisions/revisionLog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F7DD307-FDAD-4F12-A71C-909420D0BA34}" action="delete"/>
  <rdn rId="0" localSheetId="1" customView="1" name="Z_1F7DD307_FDAD_4F12_A71C_909420D0BA34_.wvu.PrintArea" hidden="1" oldHidden="1">
    <formula>'様式１-１　プログラムを構成する授業科目'!$A$1:$S$102</formula>
    <oldFormula>'様式１-１　プログラムを構成する授業科目'!$A$1:$S$102</oldFormula>
  </rdn>
  <rdn rId="0" localSheetId="1" customView="1" name="Z_1F7DD307_FDAD_4F12_A71C_909420D0BA34_.wvu.Cols" hidden="1" oldHidden="1">
    <formula>'様式１-１　プログラムを構成する授業科目'!$V:$V</formula>
    <oldFormula>'様式１-１　プログラムを構成する授業科目'!$V:$V</oldFormula>
  </rdn>
  <rdn rId="0" localSheetId="1" customView="1" name="Z_1F7DD307_FDAD_4F12_A71C_909420D0BA34_.wvu.FilterData" hidden="1" oldHidden="1">
    <formula>'様式１-１　プログラムを構成する授業科目'!$V$14:$V$16</formula>
    <oldFormula>'様式１-１　プログラムを構成する授業科目'!$V$14:$V$16</oldFormula>
  </rdn>
  <rdn rId="0" localSheetId="2" customView="1" name="Z_1F7DD307_FDAD_4F12_A71C_909420D0BA34_.wvu.PrintArea" hidden="1" oldHidden="1">
    <formula>'様式１-２　プログラムを構成する授業科目 (国際看護学部)'!$A$1:$S$102</formula>
    <oldFormula>'様式１-２　プログラムを構成する授業科目 (国際看護学部)'!$A$1:$S$102</oldFormula>
  </rdn>
  <rdn rId="0" localSheetId="2" customView="1" name="Z_1F7DD307_FDAD_4F12_A71C_909420D0BA34_.wvu.Cols" hidden="1" oldHidden="1">
    <formula>'様式１-２　プログラムを構成する授業科目 (国際看護学部)'!$V:$V</formula>
    <oldFormula>'様式１-２　プログラムを構成する授業科目 (国際看護学部)'!$V:$V</oldFormula>
  </rdn>
  <rdn rId="0" localSheetId="2" customView="1" name="Z_1F7DD307_FDAD_4F12_A71C_909420D0BA34_.wvu.FilterData" hidden="1" oldHidden="1">
    <formula>'様式１-２　プログラムを構成する授業科目 (国際看護学部)'!$V$14:$V$16</formula>
    <oldFormula>'様式１-２　プログラムを構成する授業科目 (国際看護学部)'!$V$14:$V$16</oldFormula>
  </rdn>
  <rdn rId="0" localSheetId="3" customView="1" name="Z_1F7DD307_FDAD_4F12_A71C_909420D0BA34_.wvu.PrintArea" hidden="1" oldHidden="1">
    <formula>'様式２ 履修者等数の実績'!$A$1:$AQ$32</formula>
    <oldFormula>'様式２ 履修者等数の実績'!$A$1:$AQ$32</oldFormula>
  </rdn>
  <rdn rId="0" localSheetId="4" customView="1" name="Z_1F7DD307_FDAD_4F12_A71C_909420D0BA34_.wvu.PrintArea" hidden="1" oldHidden="1">
    <formula>'様式３ 教育の質・履修者数を向上させるための体制・計画'!$A$1:$I$120</formula>
    <oldFormula>'様式３ 教育の質・履修者数を向上させるための体制・計画'!$A$1:$I$120</oldFormula>
  </rdn>
  <rdn rId="0" localSheetId="5" customView="1" name="Z_1F7DD307_FDAD_4F12_A71C_909420D0BA34_.wvu.PrintArea" hidden="1" oldHidden="1">
    <formula>'様式４　自己点検・評価'!$A$1:$I$22</formula>
    <oldFormula>'様式４　自己点検・評価'!$A$1:$I$22</oldFormula>
  </rdn>
  <rdn rId="0" localSheetId="5" customView="1" name="Z_1F7DD307_FDAD_4F12_A71C_909420D0BA34_.wvu.PrintTitles" hidden="1" oldHidden="1">
    <formula>'様式４　自己点検・評価'!$11:$11</formula>
    <oldFormula>'様式４　自己点検・評価'!$11:$11</oldFormula>
  </rdn>
  <rcv guid="{1F7DD307-FDAD-4F12-A71C-909420D0BA34}" action="add"/>
</revisions>
</file>

<file path=xl/revisions/revisionLog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F7DD307-FDAD-4F12-A71C-909420D0BA34}" action="delete"/>
  <rdn rId="0" localSheetId="1" customView="1" name="Z_1F7DD307_FDAD_4F12_A71C_909420D0BA34_.wvu.PrintArea" hidden="1" oldHidden="1">
    <formula>'様式１-１　プログラムを構成する授業科目'!$A$1:$S$102</formula>
    <oldFormula>'様式１-１　プログラムを構成する授業科目'!$A$1:$S$102</oldFormula>
  </rdn>
  <rdn rId="0" localSheetId="1" customView="1" name="Z_1F7DD307_FDAD_4F12_A71C_909420D0BA34_.wvu.Cols" hidden="1" oldHidden="1">
    <formula>'様式１-１　プログラムを構成する授業科目'!$V:$V</formula>
    <oldFormula>'様式１-１　プログラムを構成する授業科目'!$V:$V</oldFormula>
  </rdn>
  <rdn rId="0" localSheetId="1" customView="1" name="Z_1F7DD307_FDAD_4F12_A71C_909420D0BA34_.wvu.FilterData" hidden="1" oldHidden="1">
    <formula>'様式１-１　プログラムを構成する授業科目'!$V$14:$V$16</formula>
    <oldFormula>'様式１-１　プログラムを構成する授業科目'!$V$14:$V$16</oldFormula>
  </rdn>
  <rdn rId="0" localSheetId="2" customView="1" name="Z_1F7DD307_FDAD_4F12_A71C_909420D0BA34_.wvu.PrintArea" hidden="1" oldHidden="1">
    <formula>'様式１-２　プログラムを構成する授業科目 (国際看護学部)'!$A$1:$S$102</formula>
    <oldFormula>'様式１-２　プログラムを構成する授業科目 (国際看護学部)'!$A$1:$S$102</oldFormula>
  </rdn>
  <rdn rId="0" localSheetId="2" customView="1" name="Z_1F7DD307_FDAD_4F12_A71C_909420D0BA34_.wvu.Cols" hidden="1" oldHidden="1">
    <formula>'様式１-２　プログラムを構成する授業科目 (国際看護学部)'!$V:$V</formula>
    <oldFormula>'様式１-２　プログラムを構成する授業科目 (国際看護学部)'!$V:$V</oldFormula>
  </rdn>
  <rdn rId="0" localSheetId="2" customView="1" name="Z_1F7DD307_FDAD_4F12_A71C_909420D0BA34_.wvu.FilterData" hidden="1" oldHidden="1">
    <formula>'様式１-２　プログラムを構成する授業科目 (国際看護学部)'!$V$14:$V$16</formula>
    <oldFormula>'様式１-２　プログラムを構成する授業科目 (国際看護学部)'!$V$14:$V$16</oldFormula>
  </rdn>
  <rdn rId="0" localSheetId="3" customView="1" name="Z_1F7DD307_FDAD_4F12_A71C_909420D0BA34_.wvu.PrintArea" hidden="1" oldHidden="1">
    <formula>'様式２ 履修者等数の実績'!$A$1:$AQ$32</formula>
    <oldFormula>'様式２ 履修者等数の実績'!$A$1:$AQ$32</oldFormula>
  </rdn>
  <rdn rId="0" localSheetId="4" customView="1" name="Z_1F7DD307_FDAD_4F12_A71C_909420D0BA34_.wvu.PrintArea" hidden="1" oldHidden="1">
    <formula>'様式３ 教育の質・履修者数を向上させるための体制・計画'!$A$1:$I$120</formula>
    <oldFormula>'様式３ 教育の質・履修者数を向上させるための体制・計画'!$A$1:$I$120</oldFormula>
  </rdn>
  <rdn rId="0" localSheetId="5" customView="1" name="Z_1F7DD307_FDAD_4F12_A71C_909420D0BA34_.wvu.PrintArea" hidden="1" oldHidden="1">
    <formula>'様式４　自己点検・評価'!$A$1:$I$22</formula>
    <oldFormula>'様式４　自己点検・評価'!$A$1:$I$22</oldFormula>
  </rdn>
  <rdn rId="0" localSheetId="5" customView="1" name="Z_1F7DD307_FDAD_4F12_A71C_909420D0BA34_.wvu.PrintTitles" hidden="1" oldHidden="1">
    <formula>'様式４　自己点検・評価'!$11:$11</formula>
    <oldFormula>'様式４　自己点検・評価'!$11:$11</oldFormula>
  </rdn>
  <rcv guid="{1F7DD307-FDAD-4F12-A71C-909420D0BA34}" action="add"/>
</revisions>
</file>

<file path=xl/revisions/revisionLog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39" sId="2">
    <oc r="D90" t="inlineStr">
      <is>
        <t>・AI最新技術（ディープラーニング、強化学習）（「情報活用Ⅰ」第1回）
・医療・看護分野におけるAI活用事例（「情報活用Ⅰ」第1回）</t>
        <rPh sb="3" eb="5">
          <t>サイシン</t>
        </rPh>
        <rPh sb="5" eb="7">
          <t>ギジュツ</t>
        </rPh>
        <rPh sb="18" eb="20">
          <t>キョウカ</t>
        </rPh>
        <rPh sb="20" eb="22">
          <t>ガクシュウ</t>
        </rPh>
        <rPh sb="50" eb="52">
          <t>カツヨウ</t>
        </rPh>
        <rPh sb="52" eb="54">
          <t>ジレイ</t>
        </rPh>
        <phoneticPr fontId="0"/>
      </is>
    </oc>
    <nc r="D90" t="inlineStr">
      <is>
        <r>
          <rPr>
            <sz val="12"/>
            <color rgb="FF00B050"/>
            <rFont val="ＭＳ Ｐゴシック"/>
            <family val="3"/>
            <charset val="128"/>
          </rPr>
          <t>・AI最新技術の活用例（ディープラーニング、強化学習）（「情報活用Ⅰ」第1回）</t>
        </r>
        <r>
          <rPr>
            <sz val="12"/>
            <color rgb="FFFF0000"/>
            <rFont val="ＭＳ Ｐゴシック"/>
            <family val="3"/>
            <charset val="128"/>
          </rPr>
          <t xml:space="preserve">
・医療・看護分野におけるAI活用事例（「情報活用Ⅰ」第1回）</t>
        </r>
        <rPh sb="3" eb="5">
          <t>サイシン</t>
        </rPh>
        <rPh sb="5" eb="7">
          <t>ギジュツ</t>
        </rPh>
        <rPh sb="8" eb="11">
          <t>カツヨウレイ</t>
        </rPh>
        <rPh sb="22" eb="24">
          <t>キョウカ</t>
        </rPh>
        <rPh sb="24" eb="26">
          <t>ガクシュウ</t>
        </rPh>
        <rPh sb="54" eb="56">
          <t>カツヨウ</t>
        </rPh>
        <rPh sb="56" eb="58">
          <t>ジレイ</t>
        </rPh>
        <phoneticPr fontId="0"/>
      </is>
    </nc>
  </rcc>
  <rcc rId="240" sId="2">
    <oc r="D91" t="inlineStr">
      <is>
        <r>
          <rPr>
            <sz val="12"/>
            <color rgb="FFFF0000"/>
            <rFont val="ＭＳ Ｐゴシック"/>
            <family val="3"/>
            <charset val="128"/>
          </rPr>
          <t>・健康に関する統計（1次データ、2次データ、構造化データ、非構造化データ）（「情報活用Ⅱ（含医療情報の統計学）」第1回）</t>
        </r>
        <r>
          <rPr>
            <sz val="12"/>
            <rFont val="ＭＳ Ｐゴシック"/>
            <family val="3"/>
            <charset val="128"/>
          </rPr>
          <t xml:space="preserve">
・</t>
        </r>
        <r>
          <rPr>
            <sz val="12"/>
            <color rgb="FFFF0000"/>
            <rFont val="ＭＳ Ｐゴシック"/>
            <family val="3"/>
            <charset val="128"/>
          </rPr>
          <t>医療・看護分野における調査・実験データ（「情報活用Ⅱ（含医療情報の統計学）」第1回）</t>
        </r>
        <rPh sb="1" eb="3">
          <t>ケンコウ</t>
        </rPh>
        <rPh sb="11" eb="12">
          <t>ツギ</t>
        </rPh>
        <rPh sb="17" eb="18">
          <t>ツギ</t>
        </rPh>
        <rPh sb="22" eb="25">
          <t>コウゾウカ</t>
        </rPh>
        <rPh sb="29" eb="30">
          <t>ヒ</t>
        </rPh>
        <rPh sb="30" eb="33">
          <t>コウゾウカ</t>
        </rPh>
        <rPh sb="73" eb="75">
          <t>チョウサ</t>
        </rPh>
        <rPh sb="76" eb="78">
          <t>ジッケン</t>
        </rPh>
        <phoneticPr fontId="2"/>
      </is>
    </oc>
    <nc r="D91" t="inlineStr">
      <is>
        <r>
          <rPr>
            <sz val="12"/>
            <color rgb="FFFF0000"/>
            <rFont val="ＭＳ Ｐゴシック"/>
            <family val="3"/>
            <charset val="128"/>
          </rPr>
          <t>・健康に関する統計（</t>
        </r>
        <r>
          <rPr>
            <sz val="12"/>
            <color rgb="FF00B050"/>
            <rFont val="ＭＳ Ｐゴシック"/>
            <family val="3"/>
            <charset val="128"/>
          </rPr>
          <t>1次データ、2次データ、データのメタ化</t>
        </r>
        <r>
          <rPr>
            <sz val="12"/>
            <color rgb="FFFF0000"/>
            <rFont val="ＭＳ Ｐゴシック"/>
            <family val="3"/>
            <charset val="128"/>
          </rPr>
          <t>）（「情報活用Ⅱ（含医療情報の統計学）」第1回）</t>
        </r>
        <r>
          <rPr>
            <sz val="12"/>
            <rFont val="ＭＳ Ｐゴシック"/>
            <family val="3"/>
            <charset val="128"/>
          </rPr>
          <t xml:space="preserve">
・</t>
        </r>
        <r>
          <rPr>
            <sz val="12"/>
            <color rgb="FFFF0000"/>
            <rFont val="ＭＳ Ｐゴシック"/>
            <family val="3"/>
            <charset val="128"/>
          </rPr>
          <t>医療・看護分野における調査・実験データ（「情報活用Ⅱ（含医療情報の統計学）」第1回）</t>
        </r>
        <rPh sb="1" eb="3">
          <t>ケンコウ</t>
        </rPh>
        <rPh sb="11" eb="12">
          <t>ツギ</t>
        </rPh>
        <rPh sb="17" eb="18">
          <t>ツギ</t>
        </rPh>
        <rPh sb="28" eb="29">
          <t>カ</t>
        </rPh>
        <rPh sb="66" eb="68">
          <t>チョウサ</t>
        </rPh>
        <rPh sb="69" eb="71">
          <t>ジッケン</t>
        </rPh>
        <phoneticPr fontId="2"/>
      </is>
    </nc>
  </rcc>
  <rcc rId="241" sId="2">
    <oc r="D92" t="inlineStr">
      <is>
        <r>
          <rPr>
            <sz val="12"/>
            <color rgb="FFFF0000"/>
            <rFont val="ＭＳ Ｐゴシック"/>
            <family val="3"/>
            <charset val="128"/>
          </rPr>
          <t>・AI活用領域の広がり（医療・看護分野での活用事例）（「情報活用Ⅰ」第1回）</t>
        </r>
        <r>
          <rPr>
            <sz val="12"/>
            <rFont val="ＭＳ Ｐゴシック"/>
            <family val="3"/>
            <charset val="128"/>
          </rPr>
          <t xml:space="preserve">
・</t>
        </r>
        <r>
          <rPr>
            <sz val="12"/>
            <color rgb="FFFF0000"/>
            <rFont val="ＭＳ Ｐゴシック"/>
            <family val="3"/>
            <charset val="128"/>
          </rPr>
          <t>医療・看護分野におけるデ－タの活用「情報活用Ⅱ（含医療情報の統計学）」第1回）</t>
        </r>
        <rPh sb="3" eb="5">
          <t>カツヨウ</t>
        </rPh>
        <rPh sb="5" eb="7">
          <t>リョウイキ</t>
        </rPh>
        <rPh sb="8" eb="9">
          <t>ヒロ</t>
        </rPh>
        <rPh sb="12" eb="14">
          <t>イリョウ</t>
        </rPh>
        <rPh sb="15" eb="17">
          <t>カンゴ</t>
        </rPh>
        <rPh sb="17" eb="19">
          <t>ブンヤ</t>
        </rPh>
        <rPh sb="21" eb="23">
          <t>カツヨウ</t>
        </rPh>
        <rPh sb="23" eb="25">
          <t>ジレイ</t>
        </rPh>
        <rPh sb="55" eb="57">
          <t>カツヨウ</t>
        </rPh>
        <phoneticPr fontId="2"/>
      </is>
    </oc>
    <nc r="D92" t="inlineStr">
      <is>
        <r>
          <rPr>
            <sz val="12"/>
            <color rgb="FF00B050"/>
            <rFont val="ＭＳ Ｐゴシック"/>
            <family val="3"/>
            <charset val="128"/>
          </rPr>
          <t>・データ・AI活用領域の広がり</t>
        </r>
        <r>
          <rPr>
            <sz val="12"/>
            <color rgb="FFFF0000"/>
            <rFont val="ＭＳ Ｐゴシック"/>
            <family val="3"/>
            <charset val="128"/>
          </rPr>
          <t>（医療・看護分野での活用事例）（「情報活用Ⅰ」第1回）</t>
        </r>
        <r>
          <rPr>
            <sz val="12"/>
            <rFont val="ＭＳ Ｐゴシック"/>
            <family val="3"/>
            <charset val="128"/>
          </rPr>
          <t xml:space="preserve">
・</t>
        </r>
        <r>
          <rPr>
            <sz val="12"/>
            <color rgb="FFFF0000"/>
            <rFont val="ＭＳ Ｐゴシック"/>
            <family val="3"/>
            <charset val="128"/>
          </rPr>
          <t>医療・看護分野におけるデ－タの活用「情報活用Ⅱ（含医療情報の統計学）」第1回）</t>
        </r>
        <rPh sb="7" eb="9">
          <t>カツヨウ</t>
        </rPh>
        <rPh sb="9" eb="11">
          <t>リョウイキ</t>
        </rPh>
        <rPh sb="12" eb="13">
          <t>ヒロ</t>
        </rPh>
        <rPh sb="16" eb="18">
          <t>イリョウ</t>
        </rPh>
        <rPh sb="19" eb="21">
          <t>カンゴ</t>
        </rPh>
        <rPh sb="21" eb="23">
          <t>ブンヤ</t>
        </rPh>
        <rPh sb="25" eb="27">
          <t>カツヨウ</t>
        </rPh>
        <rPh sb="27" eb="29">
          <t>ジレイ</t>
        </rPh>
        <rPh sb="59" eb="61">
          <t>カツヨウ</t>
        </rPh>
        <phoneticPr fontId="2"/>
      </is>
    </nc>
  </rcc>
  <rcc rId="242" sId="2">
    <oc r="D93" t="inlineStr">
      <is>
        <r>
          <rPr>
            <sz val="12"/>
            <color rgb="FFFF0000"/>
            <rFont val="ＭＳ Ｐゴシック"/>
            <family val="3"/>
            <charset val="128"/>
          </rPr>
          <t xml:space="preserve">・データの可視化　（「情報活用Ⅰ」第12回）
・非構造化データの処理（動画処理）（「情報活用Ⅰ」第14回）
</t>
        </r>
        <r>
          <rPr>
            <sz val="12"/>
            <rFont val="ＭＳ Ｐゴシック"/>
            <family val="3"/>
            <charset val="128"/>
          </rPr>
          <t>・AI・データ活用のための技術（統計的手法、機械学習）（「情報活用Ⅱ（含医療情報の統計学）」第1回）</t>
        </r>
        <rPh sb="5" eb="8">
          <t>カシカ</t>
        </rPh>
        <phoneticPr fontId="2"/>
      </is>
    </oc>
    <nc r="D93" t="inlineStr">
      <is>
        <r>
          <rPr>
            <sz val="12"/>
            <color rgb="FFFF0000"/>
            <rFont val="ＭＳ Ｐゴシック"/>
            <family val="3"/>
            <charset val="128"/>
          </rPr>
          <t xml:space="preserve">・データの可視化　（「情報活用Ⅰ」第12回）
</t>
        </r>
        <r>
          <rPr>
            <sz val="12"/>
            <color rgb="FF00B050"/>
            <rFont val="ＭＳ Ｐゴシック"/>
            <family val="3"/>
            <charset val="128"/>
          </rPr>
          <t>・非構造化データの処理（動画処理）（</t>
        </r>
        <r>
          <rPr>
            <sz val="12"/>
            <color rgb="FFFF0000"/>
            <rFont val="ＭＳ Ｐゴシック"/>
            <family val="3"/>
            <charset val="128"/>
          </rPr>
          <t xml:space="preserve">「情報活用Ⅰ」第14回）
</t>
        </r>
        <r>
          <rPr>
            <sz val="12"/>
            <rFont val="ＭＳ Ｐゴシック"/>
            <family val="3"/>
            <charset val="128"/>
          </rPr>
          <t>・AI・データ活用のための技術（統計的手法、機械学習）（「情報活用Ⅱ（含医療情報の統計学）」第1回）</t>
        </r>
        <rPh sb="5" eb="8">
          <t>カシカ</t>
        </rPh>
        <phoneticPr fontId="2"/>
      </is>
    </nc>
  </rcc>
  <rcc rId="243" sId="2">
    <oc r="D94" t="inlineStr">
      <is>
        <r>
          <t xml:space="preserve">・医療・看護分野におけるデータ・AI利活用事例紹介（「情報活用Ⅱ（含医療情報の統計学）」第1回）
</t>
        </r>
        <r>
          <rPr>
            <sz val="12"/>
            <color rgb="FFFF0000"/>
            <rFont val="ＭＳ Ｐゴシック"/>
            <family val="3"/>
            <charset val="128"/>
          </rPr>
          <t>・データ分析と推論（結果の共有、課題解決の向けた提案）（「情報活用Ⅱ（含医療情報の統計学）」第14回）</t>
        </r>
        <rPh sb="53" eb="55">
          <t>ブンセキ</t>
        </rPh>
        <rPh sb="56" eb="58">
          <t>スイロン</t>
        </rPh>
        <rPh sb="59" eb="61">
          <t>ケッカ</t>
        </rPh>
        <rPh sb="62" eb="64">
          <t>キョウユウ</t>
        </rPh>
        <rPh sb="65" eb="67">
          <t>カダイ</t>
        </rPh>
        <rPh sb="67" eb="69">
          <t>カイケツ</t>
        </rPh>
        <rPh sb="70" eb="71">
          <t>ム</t>
        </rPh>
        <rPh sb="73" eb="75">
          <t>テイアン</t>
        </rPh>
        <phoneticPr fontId="1"/>
      </is>
    </oc>
    <nc r="D94" t="inlineStr">
      <is>
        <r>
          <t>・医療・看護分野におけるデータ</t>
        </r>
        <r>
          <rPr>
            <sz val="12"/>
            <color rgb="FF00B050"/>
            <rFont val="ＭＳ Ｐゴシック"/>
            <family val="3"/>
            <charset val="128"/>
          </rPr>
          <t>・AI利活用事例紹介</t>
        </r>
        <r>
          <rPr>
            <sz val="12"/>
            <rFont val="ＭＳ Ｐゴシック"/>
            <family val="3"/>
            <charset val="128"/>
          </rPr>
          <t xml:space="preserve">（「情報活用Ⅱ（含医療情報の統計学）」第1回）
</t>
        </r>
        <r>
          <rPr>
            <sz val="12"/>
            <color rgb="FFFF0000"/>
            <rFont val="ＭＳ Ｐゴシック"/>
            <family val="3"/>
            <charset val="128"/>
          </rPr>
          <t>・</t>
        </r>
        <r>
          <rPr>
            <sz val="12"/>
            <color rgb="FF00B050"/>
            <rFont val="ＭＳ Ｐゴシック"/>
            <family val="3"/>
            <charset val="128"/>
          </rPr>
          <t>データサイエンスのサイクル（データの解析から推論、結果の共有、課題解決の向けた提案</t>
        </r>
        <r>
          <rPr>
            <sz val="12"/>
            <color rgb="FFFF0000"/>
            <rFont val="ＭＳ Ｐゴシック"/>
            <family val="3"/>
            <charset val="128"/>
          </rPr>
          <t>）（「情報活用Ⅱ（含医療情報の統計学）」第14回）</t>
        </r>
        <rPh sb="68" eb="70">
          <t>カイセキ</t>
        </rPh>
        <rPh sb="72" eb="74">
          <t>スイロン</t>
        </rPh>
        <rPh sb="75" eb="77">
          <t>ケッカ</t>
        </rPh>
        <rPh sb="78" eb="80">
          <t>キョウユウ</t>
        </rPh>
        <rPh sb="81" eb="83">
          <t>カダイ</t>
        </rPh>
        <rPh sb="83" eb="85">
          <t>カイケツ</t>
        </rPh>
        <rPh sb="86" eb="87">
          <t>ム</t>
        </rPh>
        <rPh sb="89" eb="91">
          <t>テイアン</t>
        </rPh>
        <phoneticPr fontId="1"/>
      </is>
    </nc>
  </rcc>
  <rcc rId="244" sId="2" odxf="1" dxf="1">
    <oc r="D95" t="inlineStr">
      <is>
        <r>
          <t>・モラルとセキュリティ（AI・データを活用する際の注意点</t>
        </r>
        <r>
          <rPr>
            <sz val="12"/>
            <color rgb="FFFF0000"/>
            <rFont val="ＭＳ Ｐゴシック"/>
            <family val="3"/>
            <charset val="128"/>
          </rPr>
          <t>、個人情報保護、ＥＬＳＩ</t>
        </r>
        <r>
          <rPr>
            <sz val="12"/>
            <rFont val="ＭＳ Ｐゴシック"/>
            <family val="3"/>
            <charset val="128"/>
          </rPr>
          <t>）（「情報活用Ⅰ」第2回）</t>
        </r>
        <rPh sb="29" eb="31">
          <t>コジン</t>
        </rPh>
        <rPh sb="31" eb="33">
          <t>ジョウホウ</t>
        </rPh>
        <rPh sb="33" eb="35">
          <t>ホゴ</t>
        </rPh>
        <phoneticPr fontId="2"/>
      </is>
    </oc>
    <nc r="D95" t="inlineStr">
      <is>
        <t>・ELSI（Ethical、 Legal and Social Issues）（「情報活用Ⅰ」第2回）
・データ倫理、AIの倫理指針（「情報活用Ⅰ」第2回）
・AI・データサイエンスの倫理（「情報活用Ⅰ」第2回）
・情報の盗用、 ねつ造・改ざん（「情報活用Ⅰ」第2回）
・プライバシー保護（「情報活用Ⅰ」第2回）</t>
        <phoneticPr fontId="2"/>
      </is>
    </nc>
    <ndxf>
      <font>
        <sz val="12"/>
        <color rgb="FF00B050"/>
        <family val="3"/>
      </font>
    </ndxf>
  </rcc>
  <rcc rId="245" sId="2" odxf="1" dxf="1">
    <oc r="D96" t="inlineStr">
      <is>
        <r>
          <t>・モラルとセキュリティ（情報セキュリティ（機密性, 完全性, 可用性）、ハッキング、不正アクセス、コンピュータウイルス）（「情報活用Ⅰ」第</t>
        </r>
        <r>
          <rPr>
            <sz val="12"/>
            <color rgb="FFFF0000"/>
            <rFont val="ＭＳ Ｐゴシック"/>
            <family val="3"/>
            <charset val="128"/>
          </rPr>
          <t>2</t>
        </r>
        <r>
          <rPr>
            <sz val="12"/>
            <rFont val="ＭＳ Ｐゴシック"/>
            <family val="3"/>
            <charset val="128"/>
          </rPr>
          <t>回）</t>
        </r>
        <phoneticPr fontId="2"/>
      </is>
    </oc>
    <nc r="D96" t="inlineStr">
      <is>
        <t>・情報セキュリティ（機密性, 完全性, 可用性）（「情報活用Ⅰ」第2回）
・情報漏洩等によるセキュリティ事故の事例紹介（「情報活用Ⅰ」第2回）</t>
        <rPh sb="38" eb="40">
          <t>ジョウホウ</t>
        </rPh>
        <rPh sb="40" eb="42">
          <t>ロウエイ</t>
        </rPh>
        <rPh sb="42" eb="43">
          <t>ナド</t>
        </rPh>
        <rPh sb="52" eb="54">
          <t>ジコ</t>
        </rPh>
        <rPh sb="55" eb="57">
          <t>ジレイ</t>
        </rPh>
        <rPh sb="57" eb="59">
          <t>ショウカイ</t>
        </rPh>
        <phoneticPr fontId="2"/>
      </is>
    </nc>
    <odxf>
      <font>
        <sz val="12"/>
        <color auto="1"/>
        <family val="3"/>
      </font>
    </odxf>
    <ndxf>
      <font>
        <sz val="12"/>
        <color rgb="FF00B050"/>
        <family val="3"/>
      </font>
    </ndxf>
  </rcc>
  <rcc rId="246" sId="2">
    <oc r="D98" t="inlineStr">
      <is>
        <r>
          <rPr>
            <sz val="12"/>
            <color rgb="FFFF0000"/>
            <rFont val="ＭＳ Ｐゴシック"/>
            <family val="3"/>
            <charset val="128"/>
          </rPr>
          <t>・データ表現（棒グラフ、折れ線グラフ、散布図、円グラフ）（「情報活用Ⅰ」第12回）　
・不適切なグラフ（「情報活用Ⅰ」第12回）　</t>
        </r>
        <r>
          <rPr>
            <sz val="12"/>
            <rFont val="ＭＳ Ｐゴシック"/>
            <family val="3"/>
            <charset val="128"/>
          </rPr>
          <t xml:space="preserve">
・基本統計量（「情報活用Ⅱ（含医療情報の統計学）」第4回）</t>
        </r>
        <rPh sb="4" eb="6">
          <t>ヒョウゲン</t>
        </rPh>
        <rPh sb="7" eb="8">
          <t>ボウ</t>
        </rPh>
        <rPh sb="12" eb="13">
          <t>オ</t>
        </rPh>
        <rPh sb="14" eb="15">
          <t>セン</t>
        </rPh>
        <rPh sb="19" eb="22">
          <t>サンプズ</t>
        </rPh>
        <rPh sb="23" eb="24">
          <t>エン</t>
        </rPh>
        <rPh sb="44" eb="47">
          <t>フテキセツ</t>
        </rPh>
        <phoneticPr fontId="2"/>
      </is>
    </oc>
    <nc r="D98" t="inlineStr">
      <is>
        <r>
          <rPr>
            <sz val="12"/>
            <color rgb="FF00B050"/>
            <rFont val="ＭＳ Ｐゴシック"/>
            <family val="3"/>
            <charset val="128"/>
          </rPr>
          <t xml:space="preserve">・データ表現（棒グラフ、折れ線グラフ、散布図、円グラフ）（「情報活用Ⅰ」第12回）　
・不適切なグラフ（「情報活用Ⅰ」第12回）　
</t>
        </r>
        <r>
          <rPr>
            <sz val="12"/>
            <rFont val="ＭＳ Ｐゴシック"/>
            <family val="3"/>
            <charset val="128"/>
          </rPr>
          <t>・基本統計量（「情報活用Ⅱ（含医療情報の統計学）」第4回）</t>
        </r>
        <rPh sb="4" eb="6">
          <t>ヒョウゲン</t>
        </rPh>
        <rPh sb="7" eb="8">
          <t>ボウ</t>
        </rPh>
        <rPh sb="12" eb="13">
          <t>オ</t>
        </rPh>
        <rPh sb="14" eb="15">
          <t>セン</t>
        </rPh>
        <rPh sb="19" eb="22">
          <t>サンプズ</t>
        </rPh>
        <rPh sb="23" eb="24">
          <t>エン</t>
        </rPh>
        <rPh sb="44" eb="47">
          <t>フテキセツ</t>
        </rPh>
        <phoneticPr fontId="2"/>
      </is>
    </nc>
  </rcc>
  <rcc rId="247" sId="2">
    <oc r="D99" t="inlineStr">
      <is>
        <r>
          <rPr>
            <sz val="12"/>
            <color rgb="FFFF0000"/>
            <rFont val="ＭＳ Ｐゴシック"/>
            <family val="3"/>
            <charset val="128"/>
          </rPr>
          <t>・データの抽出方法（「情報活用Ⅱ（含医療情報の統計学）」第2回）
・データ解析ツール（Excelの分析ツール）（「情報活用Ⅱ（含医療情報の統計学）」第3回、第4回）
・Excelを用いたデータ操作（集計、並び替え）（「情報活用Ⅰ」第9回）
・データの取り扱い（txt形式、csv形式）に関する演習（「情報活用Ⅰ」第14回）</t>
        </r>
        <r>
          <rPr>
            <sz val="12"/>
            <rFont val="ＭＳ Ｐゴシック"/>
            <family val="3"/>
            <charset val="128"/>
          </rPr>
          <t xml:space="preserve">
・Excelを用いたデータの分析（「情報活用Ⅱ（含医療情報の統計学）」第7回、第8回）
</t>
        </r>
        <rPh sb="37" eb="39">
          <t>カイセキ</t>
        </rPh>
        <rPh sb="49" eb="51">
          <t>ブンセキ</t>
        </rPh>
        <rPh sb="78" eb="79">
          <t>ダイ</t>
        </rPh>
        <rPh sb="80" eb="81">
          <t>カイ</t>
        </rPh>
        <rPh sb="96" eb="98">
          <t>ソウサ</t>
        </rPh>
        <rPh sb="99" eb="101">
          <t>シュウケイ</t>
        </rPh>
        <rPh sb="102" eb="103">
          <t>ナラ</t>
        </rPh>
        <rPh sb="104" eb="105">
          <t>カ</t>
        </rPh>
        <phoneticPr fontId="2"/>
      </is>
    </oc>
    <nc r="D99" t="inlineStr">
      <is>
        <r>
          <rPr>
            <sz val="12"/>
            <color rgb="FFFF0000"/>
            <rFont val="ＭＳ Ｐゴシック"/>
            <family val="3"/>
            <charset val="128"/>
          </rPr>
          <t xml:space="preserve">・データの抽出方法（「情報活用Ⅱ（含医療情報の統計学）」第2回）
・データ解析ツール（Excelの分析ツール）（「情報活用Ⅱ（含医療情報の統計学）」第3回、第4回）
</t>
        </r>
        <r>
          <rPr>
            <sz val="12"/>
            <color rgb="FF00B050"/>
            <rFont val="ＭＳ Ｐゴシック"/>
            <family val="3"/>
            <charset val="128"/>
          </rPr>
          <t xml:space="preserve">・データの集計（「情報活用Ⅰ」第9回）
・データの並び替え）（「情報活用Ⅰ」第9回）
</t>
        </r>
        <r>
          <rPr>
            <sz val="12"/>
            <color rgb="FFFF0000"/>
            <rFont val="ＭＳ Ｐゴシック"/>
            <family val="3"/>
            <charset val="128"/>
          </rPr>
          <t>・データの取り扱い（txt形式、csv形式）に関する演習（「情報活用Ⅰ」第14回）</t>
        </r>
        <r>
          <rPr>
            <sz val="12"/>
            <rFont val="ＭＳ Ｐゴシック"/>
            <family val="3"/>
            <charset val="128"/>
          </rPr>
          <t xml:space="preserve">
・Excelを用いたデータの分析（「情報活用Ⅱ（含医療情報の統計学）」第7回、第8回）
</t>
        </r>
        <rPh sb="37" eb="39">
          <t>カイセキ</t>
        </rPh>
        <rPh sb="49" eb="51">
          <t>ブンセキ</t>
        </rPh>
        <rPh sb="78" eb="79">
          <t>ダイ</t>
        </rPh>
        <rPh sb="80" eb="81">
          <t>カイ</t>
        </rPh>
        <rPh sb="88" eb="90">
          <t>シュウケイ</t>
        </rPh>
        <phoneticPr fontId="2"/>
      </is>
    </nc>
  </rcc>
  <rcc rId="248" sId="1">
    <oc r="D90" t="inlineStr">
      <is>
        <t>・AI・データ利活用の最新動向を学習する（「AI・データサイエンスの扉」第6回）
・ニューラルネットワークと深層学習（「AI・データサイエンスの扉」第6回）
・画像認識に使用されるCNN と GAN（「AI・データサイエンスの扉」第6回）
・複数のデジタル技術の組み合わせによる取り組み（「AI・データサイエンスの扉」第7回）</t>
        <rPh sb="121" eb="123">
          <t>フクスウ</t>
        </rPh>
        <rPh sb="131" eb="132">
          <t>ク</t>
        </rPh>
        <rPh sb="133" eb="134">
          <t>ア</t>
        </rPh>
        <rPh sb="139" eb="140">
          <t>ト</t>
        </rPh>
        <rPh sb="141" eb="142">
          <t>ク</t>
        </rPh>
        <phoneticPr fontId="0"/>
      </is>
    </oc>
    <nc r="D90" t="inlineStr">
      <is>
        <r>
          <t xml:space="preserve">・AI・データ利活用の最新動向を学習する（「AI・データサイエンスの扉」第6回）
</t>
        </r>
        <r>
          <rPr>
            <sz val="12"/>
            <color rgb="FF00B050"/>
            <rFont val="ＭＳ Ｐゴシック"/>
            <family val="3"/>
            <charset val="128"/>
          </rPr>
          <t>・AI等を活用した新しいビジネスモデル（「AI・データサイエンスの扉」第6回）</t>
        </r>
        <r>
          <rPr>
            <sz val="12"/>
            <color theme="1"/>
            <rFont val="ＭＳ Ｐゴシック"/>
            <family val="3"/>
            <charset val="128"/>
          </rPr>
          <t xml:space="preserve">
・ニューラルネットワークと深層学習（「AI・データサイエンスの扉」第6回）
・画像認識に使用されるCNN と GAN（「AI・データサイエンスの扉」第6回）
・複数のデジタル技術の組み合わせによる取り組み（「AI・データサイエンスの扉」第7回）</t>
        </r>
        <rPh sb="44" eb="45">
          <t>ナド</t>
        </rPh>
        <rPh sb="46" eb="48">
          <t>カツヨウ</t>
        </rPh>
        <rPh sb="50" eb="51">
          <t>アタラ</t>
        </rPh>
        <rPh sb="161" eb="163">
          <t>フクスウ</t>
        </rPh>
        <rPh sb="171" eb="172">
          <t>ク</t>
        </rPh>
        <rPh sb="173" eb="174">
          <t>ア</t>
        </rPh>
        <rPh sb="179" eb="180">
          <t>ト</t>
        </rPh>
        <rPh sb="181" eb="182">
          <t>ク</t>
        </rPh>
        <phoneticPr fontId="0"/>
      </is>
    </nc>
  </rcc>
  <rcc rId="249" sId="1">
    <oc r="D92" t="inlineStr">
      <is>
        <t>・我々の身の周りの様々な領域でデータが活用されていることを学習する（「AI・データサイエンスの扉」第3回）
・Society5.0社会で実現する技術（医療分野、交通分野、食品分野、エネルギー分野、防災分野）（「AI・データサイエンスの扉」第1回）
・企業におけるAI・データの利活用事例（「AI・データサイエンスの扉」第3回）</t>
        <rPh sb="49" eb="50">
          <t>ダイ</t>
        </rPh>
        <rPh sb="125" eb="127">
          <t>キギョウ</t>
        </rPh>
        <rPh sb="138" eb="141">
          <t>リカツヨウ</t>
        </rPh>
        <rPh sb="141" eb="143">
          <t>ジレイ</t>
        </rPh>
        <phoneticPr fontId="0"/>
      </is>
    </oc>
    <nc r="D92" t="inlineStr">
      <is>
        <r>
          <rPr>
            <sz val="12"/>
            <color rgb="FF00B050"/>
            <rFont val="ＭＳ Ｐゴシック"/>
            <family val="3"/>
            <charset val="128"/>
          </rPr>
          <t>・データ・AI活用領域の広がり（「AI・データサイエンスの扉」第3回）</t>
        </r>
        <r>
          <rPr>
            <sz val="12"/>
            <color theme="1"/>
            <rFont val="ＭＳ Ｐゴシック"/>
            <family val="3"/>
            <charset val="128"/>
          </rPr>
          <t xml:space="preserve">
・Society5.0社会で実現する技術（医療分野、交通分野、食品分野、エネルギー分野、防災分野）（「AI・データサイエンスの扉」第1回）
・企業におけるAI・データの利活用事例（「AI・データサイエンスの扉」第3回）</t>
        </r>
        <rPh sb="7" eb="9">
          <t>カツヨウ</t>
        </rPh>
        <rPh sb="9" eb="11">
          <t>リョウイキ</t>
        </rPh>
        <rPh sb="12" eb="13">
          <t>ヒロ</t>
        </rPh>
        <rPh sb="107" eb="109">
          <t>キギョウ</t>
        </rPh>
        <rPh sb="120" eb="123">
          <t>リカツヨウ</t>
        </rPh>
        <rPh sb="123" eb="125">
          <t>ジレイ</t>
        </rPh>
        <phoneticPr fontId="0"/>
      </is>
    </nc>
  </rcc>
</revisions>
</file>

<file path=xl/revisions/revisionLog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8C9D52A6-6DCF-4B21-8AFD-E83D9E686319}" action="delete"/>
  <rdn rId="0" localSheetId="1" customView="1" name="Z_8C9D52A6_6DCF_4B21_8AFD_E83D9E686319_.wvu.PrintArea" hidden="1" oldHidden="1">
    <formula>'様式１-１　プログラムを構成する授業科目'!$A$1:$S$102</formula>
    <oldFormula>'様式１-１　プログラムを構成する授業科目'!$A$1:$S$102</oldFormula>
  </rdn>
  <rdn rId="0" localSheetId="1" customView="1" name="Z_8C9D52A6_6DCF_4B21_8AFD_E83D9E686319_.wvu.Cols" hidden="1" oldHidden="1">
    <formula>'様式１-１　プログラムを構成する授業科目'!$V:$V</formula>
    <oldFormula>'様式１-１　プログラムを構成する授業科目'!$V:$V</oldFormula>
  </rdn>
  <rdn rId="0" localSheetId="1" customView="1" name="Z_8C9D52A6_6DCF_4B21_8AFD_E83D9E686319_.wvu.FilterData" hidden="1" oldHidden="1">
    <formula>'様式１-１　プログラムを構成する授業科目'!$V$14:$V$16</formula>
    <oldFormula>'様式１-１　プログラムを構成する授業科目'!$V$14:$V$16</oldFormula>
  </rdn>
  <rdn rId="0" localSheetId="2" customView="1" name="Z_8C9D52A6_6DCF_4B21_8AFD_E83D9E686319_.wvu.PrintArea" hidden="1" oldHidden="1">
    <formula>'様式１-２　プログラムを構成する授業科目 (国際看護学部)'!$A$1:$S$102</formula>
    <oldFormula>'様式１-２　プログラムを構成する授業科目 (国際看護学部)'!$A$1:$S$102</oldFormula>
  </rdn>
  <rdn rId="0" localSheetId="2" customView="1" name="Z_8C9D52A6_6DCF_4B21_8AFD_E83D9E686319_.wvu.Cols" hidden="1" oldHidden="1">
    <formula>'様式１-２　プログラムを構成する授業科目 (国際看護学部)'!$V:$V</formula>
    <oldFormula>'様式１-２　プログラムを構成する授業科目 (国際看護学部)'!$V:$V</oldFormula>
  </rdn>
  <rdn rId="0" localSheetId="2" customView="1" name="Z_8C9D52A6_6DCF_4B21_8AFD_E83D9E686319_.wvu.FilterData" hidden="1" oldHidden="1">
    <formula>'様式１-２　プログラムを構成する授業科目 (国際看護学部)'!$V$14:$V$16</formula>
    <oldFormula>'様式１-２　プログラムを構成する授業科目 (国際看護学部)'!$V$14:$V$16</oldFormula>
  </rdn>
  <rdn rId="0" localSheetId="3" customView="1" name="Z_8C9D52A6_6DCF_4B21_8AFD_E83D9E686319_.wvu.PrintArea" hidden="1" oldHidden="1">
    <formula>'様式２ 履修者等数の実績'!$A$1:$AQ$32</formula>
    <oldFormula>'様式２ 履修者等数の実績'!$A$1:$AQ$32</oldFormula>
  </rdn>
  <rdn rId="0" localSheetId="4" customView="1" name="Z_8C9D52A6_6DCF_4B21_8AFD_E83D9E686319_.wvu.PrintArea" hidden="1" oldHidden="1">
    <formula>'様式３ 教育の質・履修者数を向上させるための体制・計画'!$A$1:$I$120</formula>
    <oldFormula>'様式３ 教育の質・履修者数を向上させるための体制・計画'!$A$1:$I$120</oldFormula>
  </rdn>
  <rdn rId="0" localSheetId="5" customView="1" name="Z_8C9D52A6_6DCF_4B21_8AFD_E83D9E686319_.wvu.PrintArea" hidden="1" oldHidden="1">
    <formula>'様式４　自己点検・評価'!$A$1:$I$22</formula>
    <oldFormula>'様式４　自己点検・評価'!$A$1:$I$22</oldFormula>
  </rdn>
  <rdn rId="0" localSheetId="5" customView="1" name="Z_8C9D52A6_6DCF_4B21_8AFD_E83D9E686319_.wvu.PrintTitles" hidden="1" oldHidden="1">
    <formula>'様式４　自己点検・評価'!$11:$11</formula>
    <oldFormula>'様式４　自己点検・評価'!$11:$11</oldFormula>
  </rdn>
  <rcv guid="{8C9D52A6-6DCF-4B21-8AFD-E83D9E686319}" action="add"/>
</revisions>
</file>

<file path=xl/revisions/revisionLog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60" sId="1">
    <oc r="D99" t="inlineStr">
      <is>
        <r>
          <t xml:space="preserve">・不適切なグラフ表現と優れた可視化事例について学び、サンプルデータを用いて適切な表現方法を学習する（「AI・データサイエンスの扉」第11回）
</t>
        </r>
        <r>
          <rPr>
            <sz val="12"/>
            <color rgb="FFFF0000"/>
            <rFont val="ＭＳ Ｐゴシック"/>
            <family val="3"/>
            <charset val="128"/>
          </rPr>
          <t xml:space="preserve">・データの集計、並び替え、ランキング（「AI・データサイエンスの扉」第11回）
</t>
        </r>
        <r>
          <rPr>
            <sz val="12"/>
            <color theme="1"/>
            <rFont val="ＭＳ Ｐゴシック"/>
            <family val="3"/>
            <charset val="128"/>
          </rPr>
          <t>・質的データの図表表現（名義尺度、順序尺度）（「AI・データサイエンスの扉」第11回）
・量的データの図表表現（間隔尺度、比例尺度）（「AI・データサイエンスの扉」第11回）
・不適切なデータの表現（「AI・データサイエンスの扉」第11回）
・データの取り扱い</t>
        </r>
        <r>
          <rPr>
            <sz val="12"/>
            <color rgb="FFFF0000"/>
            <rFont val="ＭＳ Ｐゴシック"/>
            <family val="3"/>
            <charset val="128"/>
          </rPr>
          <t>（txt形式、csv形式）</t>
        </r>
        <r>
          <rPr>
            <sz val="12"/>
            <color theme="1"/>
            <rFont val="ＭＳ Ｐゴシック"/>
            <family val="3"/>
            <charset val="128"/>
          </rPr>
          <t>に関する演習（「情報活用Ⅰ」第13回）</t>
        </r>
        <rPh sb="65" eb="66">
          <t>ダイ</t>
        </rPh>
        <rPh sb="76" eb="78">
          <t>シュウケイ</t>
        </rPh>
        <rPh sb="79" eb="80">
          <t>ナラ</t>
        </rPh>
        <rPh sb="81" eb="82">
          <t>カ</t>
        </rPh>
        <rPh sb="245" eb="247">
          <t>ケイシキ</t>
        </rPh>
        <rPh sb="251" eb="253">
          <t>ケイシキ</t>
        </rPh>
        <rPh sb="262" eb="264">
          <t>ジョウホウ</t>
        </rPh>
        <rPh sb="264" eb="266">
          <t>カツヨウ</t>
        </rPh>
        <phoneticPr fontId="2"/>
      </is>
    </oc>
    <nc r="D99" t="inlineStr">
      <is>
        <r>
          <t xml:space="preserve">・不適切なグラフ表現と優れた可視化事例について学び、サンプルデータを用いて適切な表現方法を学習する（「AI・データサイエンスの扉」第11回）
</t>
        </r>
        <r>
          <rPr>
            <sz val="12"/>
            <color rgb="FFFF0000"/>
            <rFont val="ＭＳ Ｐゴシック"/>
            <family val="3"/>
            <charset val="128"/>
          </rPr>
          <t>・データの集計</t>
        </r>
        <r>
          <rPr>
            <sz val="12"/>
            <color rgb="FF00B0F0"/>
            <rFont val="ＭＳ Ｐゴシック"/>
            <family val="3"/>
            <charset val="128"/>
          </rPr>
          <t>（「AI・データサイエンスの扉」第11回）</t>
        </r>
        <r>
          <rPr>
            <sz val="12"/>
            <color rgb="FFFF0000"/>
            <rFont val="ＭＳ Ｐゴシック"/>
            <family val="3"/>
            <charset val="128"/>
          </rPr>
          <t xml:space="preserve">
</t>
        </r>
        <r>
          <rPr>
            <sz val="12"/>
            <color rgb="FF00B0F0"/>
            <rFont val="ＭＳ Ｐゴシック"/>
            <family val="3"/>
            <charset val="128"/>
          </rPr>
          <t>・データの</t>
        </r>
        <r>
          <rPr>
            <sz val="12"/>
            <color rgb="FFFF0000"/>
            <rFont val="ＭＳ Ｐゴシック"/>
            <family val="3"/>
            <charset val="128"/>
          </rPr>
          <t xml:space="preserve">並び替え、ランキング（「AI・データサイエンスの扉」第11回）
</t>
        </r>
        <r>
          <rPr>
            <sz val="12"/>
            <color theme="1"/>
            <rFont val="ＭＳ Ｐゴシック"/>
            <family val="3"/>
            <charset val="128"/>
          </rPr>
          <t>・質的データの図表表現（名義尺度、順序尺度）（「AI・データサイエンスの扉」第11回）
・量的データの図表表現（間隔尺度、比例尺度）（「AI・データサイエンスの扉」第11回）
・不適切なデータの表現（「AI・データサイエンスの扉」第11回）
・データの取り扱い</t>
        </r>
        <r>
          <rPr>
            <sz val="12"/>
            <color rgb="FFFF0000"/>
            <rFont val="ＭＳ Ｐゴシック"/>
            <family val="3"/>
            <charset val="128"/>
          </rPr>
          <t>（txt形式、csv形式）</t>
        </r>
        <r>
          <rPr>
            <sz val="12"/>
            <color theme="1"/>
            <rFont val="ＭＳ Ｐゴシック"/>
            <family val="3"/>
            <charset val="128"/>
          </rPr>
          <t>に関する演習（「情報活用Ⅰ」第13回）</t>
        </r>
        <rPh sb="65" eb="66">
          <t>ダイ</t>
        </rPh>
        <rPh sb="76" eb="78">
          <t>シュウケイ</t>
        </rPh>
        <rPh sb="105" eb="106">
          <t>ナラ</t>
        </rPh>
        <rPh sb="107" eb="108">
          <t>カ</t>
        </rPh>
        <rPh sb="271" eb="273">
          <t>ケイシキ</t>
        </rPh>
        <rPh sb="277" eb="279">
          <t>ケイシキ</t>
        </rPh>
        <rPh sb="288" eb="290">
          <t>ジョウホウ</t>
        </rPh>
        <rPh sb="290" eb="292">
          <t>カツヨウ</t>
        </rPh>
        <phoneticPr fontId="2"/>
      </is>
    </nc>
  </rcc>
  <rfmt sheetId="1" sqref="D99:S99">
    <dxf>
      <fill>
        <patternFill patternType="solid">
          <bgColor rgb="FFFFFF00"/>
        </patternFill>
      </fill>
    </dxf>
  </rfmt>
  <rcv guid="{1F7DD307-FDAD-4F12-A71C-909420D0BA34}" action="delete"/>
  <rdn rId="0" localSheetId="1" customView="1" name="Z_1F7DD307_FDAD_4F12_A71C_909420D0BA34_.wvu.PrintArea" hidden="1" oldHidden="1">
    <formula>'様式１-１　プログラムを構成する授業科目'!$A$1:$S$102</formula>
    <oldFormula>'様式１-１　プログラムを構成する授業科目'!$A$1:$S$102</oldFormula>
  </rdn>
  <rdn rId="0" localSheetId="1" customView="1" name="Z_1F7DD307_FDAD_4F12_A71C_909420D0BA34_.wvu.Cols" hidden="1" oldHidden="1">
    <formula>'様式１-１　プログラムを構成する授業科目'!$V:$V</formula>
    <oldFormula>'様式１-１　プログラムを構成する授業科目'!$V:$V</oldFormula>
  </rdn>
  <rdn rId="0" localSheetId="1" customView="1" name="Z_1F7DD307_FDAD_4F12_A71C_909420D0BA34_.wvu.FilterData" hidden="1" oldHidden="1">
    <formula>'様式１-１　プログラムを構成する授業科目'!$V$14:$V$16</formula>
    <oldFormula>'様式１-１　プログラムを構成する授業科目'!$V$14:$V$16</oldFormula>
  </rdn>
  <rdn rId="0" localSheetId="2" customView="1" name="Z_1F7DD307_FDAD_4F12_A71C_909420D0BA34_.wvu.PrintArea" hidden="1" oldHidden="1">
    <formula>'様式１-２　プログラムを構成する授業科目 (国際看護学部)'!$A$1:$S$102</formula>
    <oldFormula>'様式１-２　プログラムを構成する授業科目 (国際看護学部)'!$A$1:$S$102</oldFormula>
  </rdn>
  <rdn rId="0" localSheetId="2" customView="1" name="Z_1F7DD307_FDAD_4F12_A71C_909420D0BA34_.wvu.Cols" hidden="1" oldHidden="1">
    <formula>'様式１-２　プログラムを構成する授業科目 (国際看護学部)'!$V:$V</formula>
    <oldFormula>'様式１-２　プログラムを構成する授業科目 (国際看護学部)'!$V:$V</oldFormula>
  </rdn>
  <rdn rId="0" localSheetId="2" customView="1" name="Z_1F7DD307_FDAD_4F12_A71C_909420D0BA34_.wvu.FilterData" hidden="1" oldHidden="1">
    <formula>'様式１-２　プログラムを構成する授業科目 (国際看護学部)'!$V$14:$V$16</formula>
    <oldFormula>'様式１-２　プログラムを構成する授業科目 (国際看護学部)'!$V$14:$V$16</oldFormula>
  </rdn>
  <rdn rId="0" localSheetId="3" customView="1" name="Z_1F7DD307_FDAD_4F12_A71C_909420D0BA34_.wvu.PrintArea" hidden="1" oldHidden="1">
    <formula>'様式２ 履修者等数の実績'!$A$1:$AQ$32</formula>
    <oldFormula>'様式２ 履修者等数の実績'!$A$1:$AQ$32</oldFormula>
  </rdn>
  <rdn rId="0" localSheetId="4" customView="1" name="Z_1F7DD307_FDAD_4F12_A71C_909420D0BA34_.wvu.PrintArea" hidden="1" oldHidden="1">
    <formula>'様式３ 教育の質・履修者数を向上させるための体制・計画'!$A$1:$I$120</formula>
    <oldFormula>'様式３ 教育の質・履修者数を向上させるための体制・計画'!$A$1:$I$120</oldFormula>
  </rdn>
  <rdn rId="0" localSheetId="5" customView="1" name="Z_1F7DD307_FDAD_4F12_A71C_909420D0BA34_.wvu.PrintArea" hidden="1" oldHidden="1">
    <formula>'様式４　自己点検・評価'!$A$1:$I$22</formula>
    <oldFormula>'様式４　自己点検・評価'!$A$1:$I$22</oldFormula>
  </rdn>
  <rdn rId="0" localSheetId="5" customView="1" name="Z_1F7DD307_FDAD_4F12_A71C_909420D0BA34_.wvu.PrintTitles" hidden="1" oldHidden="1">
    <formula>'様式４　自己点検・評価'!$11:$11</formula>
    <oldFormula>'様式４　自己点検・評価'!$11:$11</oldFormula>
  </rdn>
  <rcv guid="{1F7DD307-FDAD-4F12-A71C-909420D0BA34}" action="add"/>
</revisions>
</file>

<file path=xl/revisions/revisionLog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71" sId="1">
    <oc r="F59">
      <v>2</v>
    </oc>
    <nc r="F59">
      <v>1</v>
    </nc>
  </rcc>
  <rfmt sheetId="1" sqref="F59" start="0" length="2147483647">
    <dxf>
      <font>
        <color rgb="FF00B0F0"/>
      </font>
    </dxf>
  </rfmt>
  <rfmt sheetId="1" sqref="F59">
    <dxf>
      <fill>
        <patternFill patternType="solid">
          <bgColor rgb="FFFFFF00"/>
        </patternFill>
      </fill>
    </dxf>
  </rfmt>
  <rcc rId="272" sId="1">
    <nc r="B70" t="inlineStr">
      <is>
        <t>情報活用Ⅰ</t>
        <rPh sb="0" eb="2">
          <t>ジョウホウ</t>
        </rPh>
        <rPh sb="2" eb="4">
          <t>カツヨウ</t>
        </rPh>
        <phoneticPr fontId="0"/>
      </is>
    </nc>
  </rcc>
  <rfmt sheetId="1" sqref="B70:D70" start="0" length="2147483647">
    <dxf>
      <font>
        <color rgb="FF00B0F0"/>
      </font>
    </dxf>
  </rfmt>
  <rfmt sheetId="1" sqref="B70:D70">
    <dxf>
      <fill>
        <patternFill patternType="solid">
          <bgColor rgb="FFFFFF00"/>
        </patternFill>
      </fill>
    </dxf>
  </rfmt>
  <rcc rId="273" sId="1">
    <nc r="E70">
      <v>1</v>
    </nc>
  </rcc>
  <rfmt sheetId="1" sqref="E70" start="0" length="2147483647">
    <dxf>
      <font>
        <color rgb="FF00B0F0"/>
      </font>
    </dxf>
  </rfmt>
  <rfmt sheetId="1" sqref="E70">
    <dxf>
      <fill>
        <patternFill patternType="solid">
          <bgColor rgb="FFFFFF00"/>
        </patternFill>
      </fill>
    </dxf>
  </rfmt>
  <rcc rId="274" sId="1">
    <nc r="F70" t="inlineStr">
      <is>
        <t>○</t>
      </is>
    </nc>
  </rcc>
  <rfmt sheetId="1" sqref="F70">
    <dxf>
      <fill>
        <patternFill patternType="solid">
          <bgColor rgb="FFFFFF00"/>
        </patternFill>
      </fill>
    </dxf>
  </rfmt>
  <rfmt sheetId="1" sqref="F70" start="0" length="2147483647">
    <dxf>
      <font>
        <color rgb="FF00B0F0"/>
      </font>
    </dxf>
  </rfmt>
  <rcc rId="275" sId="1">
    <nc r="I70" t="inlineStr">
      <is>
        <t>○</t>
      </is>
    </nc>
  </rcc>
  <rfmt sheetId="1" sqref="I70">
    <dxf>
      <fill>
        <patternFill patternType="solid">
          <bgColor rgb="FFFFFF00"/>
        </patternFill>
      </fill>
    </dxf>
  </rfmt>
  <rfmt sheetId="1" sqref="I70" start="0" length="2147483647">
    <dxf>
      <font>
        <color rgb="FF00B0F0"/>
      </font>
    </dxf>
  </rfmt>
</revisions>
</file>

<file path=xl/revisions/revisionLog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76" sId="2">
    <oc r="D93" t="inlineStr">
      <is>
        <r>
          <rPr>
            <sz val="12"/>
            <color rgb="FFFF0000"/>
            <rFont val="ＭＳ Ｐゴシック"/>
            <family val="3"/>
            <charset val="128"/>
          </rPr>
          <t xml:space="preserve">・データの可視化　（「情報活用Ⅰ」第12回）
</t>
        </r>
        <r>
          <rPr>
            <sz val="12"/>
            <color rgb="FF00B050"/>
            <rFont val="ＭＳ Ｐゴシック"/>
            <family val="3"/>
            <charset val="128"/>
          </rPr>
          <t>・非構造化データの処理（動画処理）（</t>
        </r>
        <r>
          <rPr>
            <sz val="12"/>
            <color rgb="FFFF0000"/>
            <rFont val="ＭＳ Ｐゴシック"/>
            <family val="3"/>
            <charset val="128"/>
          </rPr>
          <t xml:space="preserve">「情報活用Ⅰ」第14回）
</t>
        </r>
        <r>
          <rPr>
            <sz val="12"/>
            <rFont val="ＭＳ Ｐゴシック"/>
            <family val="3"/>
            <charset val="128"/>
          </rPr>
          <t>・AI・データ活用のための技術（統計的手法、機械学習）（「情報活用Ⅱ（含医療情報の統計学）」第1回）</t>
        </r>
        <rPh sb="5" eb="8">
          <t>カシカ</t>
        </rPh>
        <phoneticPr fontId="3"/>
      </is>
    </oc>
    <nc r="D93" t="inlineStr">
      <is>
        <r>
          <rPr>
            <sz val="12"/>
            <color rgb="FFFF0000"/>
            <rFont val="ＭＳ Ｐゴシック"/>
            <family val="3"/>
            <charset val="128"/>
          </rPr>
          <t>・デー</t>
        </r>
        <r>
          <rPr>
            <u/>
            <sz val="12"/>
            <color rgb="FF00B0F0"/>
            <rFont val="ＭＳ Ｐゴシック"/>
            <family val="3"/>
            <charset val="128"/>
          </rPr>
          <t>タ可</t>
        </r>
        <r>
          <rPr>
            <sz val="12"/>
            <color rgb="FFFF0000"/>
            <rFont val="ＭＳ Ｐゴシック"/>
            <family val="3"/>
            <charset val="128"/>
          </rPr>
          <t xml:space="preserve">視化　（「情報活用Ⅰ」第12回）
</t>
        </r>
        <r>
          <rPr>
            <sz val="12"/>
            <color rgb="FF00B050"/>
            <rFont val="ＭＳ Ｐゴシック"/>
            <family val="3"/>
            <charset val="128"/>
          </rPr>
          <t>・非構造化デー</t>
        </r>
        <r>
          <rPr>
            <u/>
            <sz val="12"/>
            <color rgb="FF00B0F0"/>
            <rFont val="ＭＳ Ｐゴシック"/>
            <family val="3"/>
            <charset val="128"/>
          </rPr>
          <t>タ処</t>
        </r>
        <r>
          <rPr>
            <sz val="12"/>
            <color rgb="FF00B050"/>
            <rFont val="ＭＳ Ｐゴシック"/>
            <family val="3"/>
            <charset val="128"/>
          </rPr>
          <t>理（動画処理）（</t>
        </r>
        <r>
          <rPr>
            <sz val="12"/>
            <color rgb="FFFF0000"/>
            <rFont val="ＭＳ Ｐゴシック"/>
            <family val="3"/>
            <charset val="128"/>
          </rPr>
          <t xml:space="preserve">「情報活用Ⅰ」第14回）
</t>
        </r>
        <r>
          <rPr>
            <sz val="12"/>
            <rFont val="ＭＳ Ｐゴシック"/>
            <family val="3"/>
            <charset val="128"/>
          </rPr>
          <t>・AI・データ活用のための技術（統計的手法、機械学習）（「情報活用Ⅱ（含医療情報の統計学）」第1回）</t>
        </r>
        <rPh sb="4" eb="7">
          <t>カシカ</t>
        </rPh>
        <phoneticPr fontId="3"/>
      </is>
    </nc>
  </rcc>
  <rcc rId="277" sId="2">
    <oc r="D94" t="inlineStr">
      <is>
        <r>
          <t>・医療・看護分野におけるデータ</t>
        </r>
        <r>
          <rPr>
            <sz val="12"/>
            <color rgb="FF00B050"/>
            <rFont val="ＭＳ Ｐゴシック"/>
            <family val="3"/>
            <charset val="128"/>
          </rPr>
          <t>・AI利活用事例紹介</t>
        </r>
        <r>
          <rPr>
            <sz val="12"/>
            <rFont val="ＭＳ Ｐゴシック"/>
            <family val="3"/>
            <charset val="128"/>
          </rPr>
          <t xml:space="preserve">（「情報活用Ⅱ（含医療情報の統計学）」第1回）
</t>
        </r>
        <r>
          <rPr>
            <sz val="12"/>
            <color rgb="FFFF0000"/>
            <rFont val="ＭＳ Ｐゴシック"/>
            <family val="3"/>
            <charset val="128"/>
          </rPr>
          <t>・</t>
        </r>
        <r>
          <rPr>
            <sz val="12"/>
            <color rgb="FF00B050"/>
            <rFont val="ＭＳ Ｐゴシック"/>
            <family val="3"/>
            <charset val="128"/>
          </rPr>
          <t>データサイエンスのサイクル（データの解析から推論、結果の共有、課題解決の向けた提案</t>
        </r>
        <r>
          <rPr>
            <sz val="12"/>
            <color rgb="FFFF0000"/>
            <rFont val="ＭＳ Ｐゴシック"/>
            <family val="3"/>
            <charset val="128"/>
          </rPr>
          <t>）（「情報活用Ⅱ（含医療情報の統計学）」第14回）</t>
        </r>
        <rPh sb="68" eb="70">
          <t>カイセキ</t>
        </rPh>
        <rPh sb="72" eb="74">
          <t>スイロン</t>
        </rPh>
        <rPh sb="75" eb="77">
          <t>ケッカ</t>
        </rPh>
        <rPh sb="78" eb="80">
          <t>キョウユウ</t>
        </rPh>
        <rPh sb="81" eb="83">
          <t>カダイ</t>
        </rPh>
        <rPh sb="83" eb="85">
          <t>カイケツ</t>
        </rPh>
        <rPh sb="86" eb="87">
          <t>ム</t>
        </rPh>
        <rPh sb="89" eb="91">
          <t>テイアン</t>
        </rPh>
        <phoneticPr fontId="3"/>
      </is>
    </oc>
    <nc r="D94" t="inlineStr">
      <is>
        <r>
          <t>・医療・看護分野におけるデータ</t>
        </r>
        <r>
          <rPr>
            <sz val="12"/>
            <color rgb="FF00B050"/>
            <rFont val="ＭＳ Ｐゴシック"/>
            <family val="3"/>
            <charset val="128"/>
          </rPr>
          <t>・AI利活用事例紹介</t>
        </r>
        <r>
          <rPr>
            <sz val="12"/>
            <rFont val="ＭＳ Ｐゴシック"/>
            <family val="3"/>
            <charset val="128"/>
          </rPr>
          <t xml:space="preserve">（「情報活用Ⅱ（含医療情報の統計学）」第1回）
</t>
        </r>
        <r>
          <rPr>
            <sz val="12"/>
            <color rgb="FFFF0000"/>
            <rFont val="ＭＳ Ｐゴシック"/>
            <family val="3"/>
            <charset val="128"/>
          </rPr>
          <t>・</t>
        </r>
        <r>
          <rPr>
            <sz val="12"/>
            <color rgb="FF00B050"/>
            <rFont val="ＭＳ Ｐゴシック"/>
            <family val="3"/>
            <charset val="128"/>
          </rPr>
          <t>データサイエンスのサイクル（デー</t>
        </r>
        <r>
          <rPr>
            <u/>
            <sz val="12"/>
            <color rgb="FF00B0F0"/>
            <rFont val="ＭＳ Ｐゴシック"/>
            <family val="3"/>
            <charset val="128"/>
          </rPr>
          <t>タ解</t>
        </r>
        <r>
          <rPr>
            <sz val="12"/>
            <color rgb="FF00B050"/>
            <rFont val="ＭＳ Ｐゴシック"/>
            <family val="3"/>
            <charset val="128"/>
          </rPr>
          <t>析</t>
        </r>
        <r>
          <rPr>
            <u/>
            <sz val="12"/>
            <color rgb="FF00B0F0"/>
            <rFont val="ＭＳ Ｐゴシック"/>
            <family val="3"/>
            <charset val="128"/>
          </rPr>
          <t>と</t>
        </r>
        <r>
          <rPr>
            <sz val="12"/>
            <color rgb="FF00B050"/>
            <rFont val="ＭＳ Ｐゴシック"/>
            <family val="3"/>
            <charset val="128"/>
          </rPr>
          <t>推論、結果の共有、課題解決</t>
        </r>
        <r>
          <rPr>
            <u/>
            <sz val="12"/>
            <color rgb="FF00B0F0"/>
            <rFont val="ＭＳ Ｐゴシック"/>
            <family val="3"/>
            <charset val="128"/>
          </rPr>
          <t>に</t>
        </r>
        <r>
          <rPr>
            <sz val="12"/>
            <color rgb="FF00B050"/>
            <rFont val="ＭＳ Ｐゴシック"/>
            <family val="3"/>
            <charset val="128"/>
          </rPr>
          <t>向けた提案</t>
        </r>
        <r>
          <rPr>
            <sz val="12"/>
            <color rgb="FFFF0000"/>
            <rFont val="ＭＳ Ｐゴシック"/>
            <family val="3"/>
            <charset val="128"/>
          </rPr>
          <t>）（「情報活用Ⅱ（含医療情報の統計学）」第14回）</t>
        </r>
        <rPh sb="67" eb="69">
          <t>カイセキ</t>
        </rPh>
        <rPh sb="70" eb="72">
          <t>スイロン</t>
        </rPh>
        <rPh sb="73" eb="75">
          <t>ケッカ</t>
        </rPh>
        <rPh sb="76" eb="78">
          <t>キョウユウ</t>
        </rPh>
        <rPh sb="79" eb="81">
          <t>カダイ</t>
        </rPh>
        <rPh sb="81" eb="83">
          <t>カイケツ</t>
        </rPh>
        <rPh sb="84" eb="85">
          <t>ム</t>
        </rPh>
        <rPh sb="87" eb="89">
          <t>テイアン</t>
        </rPh>
        <phoneticPr fontId="3"/>
      </is>
    </nc>
  </rcc>
  <rfmt sheetId="2" sqref="D93:S94">
    <dxf>
      <fill>
        <patternFill patternType="solid">
          <bgColor rgb="FFFFFF00"/>
        </patternFill>
      </fill>
    </dxf>
  </rfmt>
</revisions>
</file>

<file path=xl/revisions/revisionLog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78" sId="1">
    <oc r="D99" t="inlineStr">
      <is>
        <r>
          <t xml:space="preserve">・不適切なグラフ表現と優れた可視化事例について学び、サンプルデータを用いて適切な表現方法を学習する（「AI・データサイエンスの扉」第11回）
</t>
        </r>
        <r>
          <rPr>
            <sz val="12"/>
            <color rgb="FFFF0000"/>
            <rFont val="ＭＳ Ｐゴシック"/>
            <family val="3"/>
            <charset val="128"/>
          </rPr>
          <t>・データの集計</t>
        </r>
        <r>
          <rPr>
            <sz val="12"/>
            <color rgb="FF00B0F0"/>
            <rFont val="ＭＳ Ｐゴシック"/>
            <family val="3"/>
            <charset val="128"/>
          </rPr>
          <t>（「AI・データサイエンスの扉」第11回）</t>
        </r>
        <r>
          <rPr>
            <sz val="12"/>
            <color rgb="FFFF0000"/>
            <rFont val="ＭＳ Ｐゴシック"/>
            <family val="3"/>
            <charset val="128"/>
          </rPr>
          <t xml:space="preserve">
</t>
        </r>
        <r>
          <rPr>
            <sz val="12"/>
            <color rgb="FF00B0F0"/>
            <rFont val="ＭＳ Ｐゴシック"/>
            <family val="3"/>
            <charset val="128"/>
          </rPr>
          <t>・データの</t>
        </r>
        <r>
          <rPr>
            <sz val="12"/>
            <color rgb="FFFF0000"/>
            <rFont val="ＭＳ Ｐゴシック"/>
            <family val="3"/>
            <charset val="128"/>
          </rPr>
          <t xml:space="preserve">並び替え、ランキング（「AI・データサイエンスの扉」第11回）
</t>
        </r>
        <r>
          <rPr>
            <sz val="12"/>
            <color theme="1"/>
            <rFont val="ＭＳ Ｐゴシック"/>
            <family val="3"/>
            <charset val="128"/>
          </rPr>
          <t>・質的データの図表表現（名義尺度、順序尺度）（「AI・データサイエンスの扉」第11回）
・量的データの図表表現（間隔尺度、比例尺度）（「AI・データサイエンスの扉」第11回）
・不適切なデータの表現（「AI・データサイエンスの扉」第11回）
・データの取り扱い</t>
        </r>
        <r>
          <rPr>
            <sz val="12"/>
            <color rgb="FFFF0000"/>
            <rFont val="ＭＳ Ｐゴシック"/>
            <family val="3"/>
            <charset val="128"/>
          </rPr>
          <t>（txt形式、csv形式）</t>
        </r>
        <r>
          <rPr>
            <sz val="12"/>
            <color theme="1"/>
            <rFont val="ＭＳ Ｐゴシック"/>
            <family val="3"/>
            <charset val="128"/>
          </rPr>
          <t>に関する演習（「情報活用Ⅰ」第13回）</t>
        </r>
        <rPh sb="65" eb="66">
          <t>ダイ</t>
        </rPh>
        <rPh sb="76" eb="78">
          <t>シュウケイ</t>
        </rPh>
        <rPh sb="105" eb="106">
          <t>ナラ</t>
        </rPh>
        <rPh sb="107" eb="108">
          <t>カ</t>
        </rPh>
        <rPh sb="271" eb="273">
          <t>ケイシキ</t>
        </rPh>
        <rPh sb="277" eb="279">
          <t>ケイシキ</t>
        </rPh>
        <rPh sb="288" eb="290">
          <t>ジョウホウ</t>
        </rPh>
        <rPh sb="290" eb="292">
          <t>カツヨウ</t>
        </rPh>
        <phoneticPr fontId="3"/>
      </is>
    </oc>
    <nc r="D99" t="inlineStr">
      <is>
        <r>
          <t xml:space="preserve">・不適切なグラフ表現と優れた可視化事例について学び、サンプルデータを用いて適切な表現方法を学習する（「AI・データサイエンスの扉」第11回）
</t>
        </r>
        <r>
          <rPr>
            <sz val="12"/>
            <color rgb="FFFF0000"/>
            <rFont val="ＭＳ Ｐゴシック"/>
            <family val="3"/>
            <charset val="128"/>
          </rPr>
          <t>・データの集計</t>
        </r>
        <r>
          <rPr>
            <u/>
            <sz val="12"/>
            <color rgb="FF00B0F0"/>
            <rFont val="ＭＳ Ｐゴシック"/>
            <family val="3"/>
            <charset val="128"/>
          </rPr>
          <t>（「AI・データサイエンスの扉」第11回）</t>
        </r>
        <r>
          <rPr>
            <sz val="12"/>
            <color rgb="FFFF0000"/>
            <rFont val="ＭＳ Ｐゴシック"/>
            <family val="3"/>
            <charset val="128"/>
          </rPr>
          <t xml:space="preserve">
</t>
        </r>
        <r>
          <rPr>
            <u/>
            <sz val="12"/>
            <color rgb="FF00B0F0"/>
            <rFont val="ＭＳ Ｐゴシック"/>
            <family val="3"/>
            <charset val="128"/>
          </rPr>
          <t>・データの</t>
        </r>
        <r>
          <rPr>
            <sz val="12"/>
            <color rgb="FFFF0000"/>
            <rFont val="ＭＳ Ｐゴシック"/>
            <family val="3"/>
            <charset val="128"/>
          </rPr>
          <t xml:space="preserve">並び替え、ランキング（「AI・データサイエンスの扉」第11回）
</t>
        </r>
        <r>
          <rPr>
            <sz val="12"/>
            <color theme="1"/>
            <rFont val="ＭＳ Ｐゴシック"/>
            <family val="3"/>
            <charset val="128"/>
          </rPr>
          <t>・質的データの図表表現（名義尺度、順序尺度）（「AI・データサイエンスの扉」第11回）
・量的データの図表表現（間隔尺度、比例尺度）（「AI・データサイエンスの扉」第11回）
・不適切なデータの表現（「AI・データサイエンスの扉」第11回）
・データの取り扱い</t>
        </r>
        <r>
          <rPr>
            <sz val="12"/>
            <color rgb="FFFF0000"/>
            <rFont val="ＭＳ Ｐゴシック"/>
            <family val="3"/>
            <charset val="128"/>
          </rPr>
          <t>（txt形式、csv形式）</t>
        </r>
        <r>
          <rPr>
            <sz val="12"/>
            <color theme="1"/>
            <rFont val="ＭＳ Ｐゴシック"/>
            <family val="3"/>
            <charset val="128"/>
          </rPr>
          <t>に関する演習（「情報活用Ⅰ」第13回）</t>
        </r>
        <rPh sb="65" eb="66">
          <t>ダイ</t>
        </rPh>
        <rPh sb="76" eb="78">
          <t>シュウケイ</t>
        </rPh>
        <rPh sb="105" eb="106">
          <t>ナラ</t>
        </rPh>
        <rPh sb="107" eb="108">
          <t>カ</t>
        </rPh>
        <rPh sb="271" eb="273">
          <t>ケイシキ</t>
        </rPh>
        <rPh sb="277" eb="279">
          <t>ケイシキ</t>
        </rPh>
        <rPh sb="288" eb="290">
          <t>ジョウホウ</t>
        </rPh>
        <rPh sb="290" eb="292">
          <t>カツヨウ</t>
        </rPh>
        <phoneticPr fontId="3"/>
      </is>
    </nc>
  </rcc>
  <rcc rId="279" sId="2">
    <oc r="D97" t="inlineStr">
      <is>
        <t xml:space="preserve">・統計データの種類（連続、離散、量的、質的）（「情報活用Ⅱ（含医療情報の統計学）」第1回）
・データの特徴（度数分布）（「情報活用Ⅱ（含医療情報の統計学）」第3回）
・データのばらつき（分散、標準偏差、変動係数）（「情報活用Ⅱ（含医療情報の統計学）」第4回）
・データの分布(ヒストグラム)と代表値（平均値、中央値、最頻値）（「情報活用Ⅱ（含医療情報の統計学）」第5回）
・箱ひげ図（「情報活用Ⅱ（含医療情報の統計学）」第5回）
・母集団と標本（「情報活用Ⅱ（含医療情報の統計学）」第6回）
・回帰、相関、因果（「情報活用Ⅱ（含医療情報の統計学）」第7回）
</t>
        <rPh sb="51" eb="53">
          <t>トクチョウ</t>
        </rPh>
        <rPh sb="54" eb="56">
          <t>ドスウ</t>
        </rPh>
        <rPh sb="56" eb="58">
          <t>ブンプ</t>
        </rPh>
        <phoneticPr fontId="0"/>
      </is>
    </oc>
    <nc r="D97" t="inlineStr">
      <is>
        <t>・統計データの種類（連続、離散、量的、質的）（「情報活用Ⅱ（含医療情報の統計学）」第1回）
・データの特徴（度数分布）（「情報活用Ⅱ（含医療情報の統計学）」第3回）
・データのばらつき（分散、標準偏差、変動係数）（「情報活用Ⅱ（含医療情報の統計学）」第4回）
・データの分布(ヒストグラム)と代表値（平均値、中央値、最頻値）（「情報活用Ⅱ（含医療情報の統計学）」第5回）
・箱ひげ図（「情報活用Ⅱ（含医療情報の統計学）」第5回）
・母集団と標本（「情報活用Ⅱ（含医療情報の統計学）」第6回）
・回帰、相関、因果（「情報活用Ⅱ（含医療情報の統計学）」第7回）</t>
        <rPh sb="51" eb="53">
          <t>トクチョウ</t>
        </rPh>
        <rPh sb="54" eb="56">
          <t>ドスウ</t>
        </rPh>
        <rPh sb="56" eb="58">
          <t>ブンプ</t>
        </rPh>
        <phoneticPr fontId="0"/>
      </is>
    </nc>
  </rcc>
  <rfmt sheetId="2" sqref="D98:S98">
    <dxf>
      <fill>
        <patternFill patternType="solid">
          <bgColor rgb="FFFFFF00"/>
        </patternFill>
      </fill>
    </dxf>
  </rfmt>
  <rcc rId="280" sId="2">
    <oc r="D98" t="inlineStr">
      <is>
        <r>
          <rPr>
            <sz val="12"/>
            <color rgb="FF00B050"/>
            <rFont val="ＭＳ Ｐゴシック"/>
            <family val="3"/>
            <charset val="128"/>
          </rPr>
          <t xml:space="preserve">・データ表現（棒グラフ、折れ線グラフ、散布図、円グラフ）（「情報活用Ⅰ」第12回）　
・不適切なグラフ（「情報活用Ⅰ」第12回）　
</t>
        </r>
        <r>
          <rPr>
            <sz val="12"/>
            <rFont val="ＭＳ Ｐゴシック"/>
            <family val="3"/>
            <charset val="128"/>
          </rPr>
          <t>・基本統計量（「情報活用Ⅱ（含医療情報の統計学）」第4回）</t>
        </r>
        <rPh sb="4" eb="6">
          <t>ヒョウゲン</t>
        </rPh>
        <rPh sb="7" eb="8">
          <t>ボウ</t>
        </rPh>
        <rPh sb="12" eb="13">
          <t>オ</t>
        </rPh>
        <rPh sb="14" eb="15">
          <t>セン</t>
        </rPh>
        <rPh sb="19" eb="22">
          <t>サンプズ</t>
        </rPh>
        <rPh sb="23" eb="24">
          <t>エン</t>
        </rPh>
        <rPh sb="44" eb="47">
          <t>フテキセツ</t>
        </rPh>
        <phoneticPr fontId="2"/>
      </is>
    </oc>
    <nc r="D98" t="inlineStr">
      <is>
        <r>
          <rPr>
            <sz val="12"/>
            <color rgb="FF00B050"/>
            <rFont val="ＭＳ Ｐゴシック"/>
            <family val="3"/>
            <charset val="128"/>
          </rPr>
          <t>・データ表現（棒グラフ、</t>
        </r>
        <r>
          <rPr>
            <u/>
            <sz val="12"/>
            <color rgb="FF00B0F0"/>
            <rFont val="ＭＳ Ｐゴシック"/>
            <family val="3"/>
            <charset val="128"/>
          </rPr>
          <t>折線</t>
        </r>
        <r>
          <rPr>
            <sz val="12"/>
            <color rgb="FF00B050"/>
            <rFont val="ＭＳ Ｐゴシック"/>
            <family val="3"/>
            <charset val="128"/>
          </rPr>
          <t>グラフ、散布図、円グラフ）（「情報活用Ⅰ」第12回）　
・不適切なグラフ</t>
        </r>
        <r>
          <rPr>
            <u/>
            <sz val="12"/>
            <color rgb="FF00B0F0"/>
            <rFont val="ＭＳ Ｐゴシック"/>
            <family val="3"/>
            <charset val="128"/>
          </rPr>
          <t>表現</t>
        </r>
        <r>
          <rPr>
            <sz val="12"/>
            <color rgb="FF00B050"/>
            <rFont val="ＭＳ Ｐゴシック"/>
            <family val="3"/>
            <charset val="128"/>
          </rPr>
          <t xml:space="preserve">（「情報活用Ⅰ」第12回）　
</t>
        </r>
        <r>
          <rPr>
            <sz val="12"/>
            <rFont val="ＭＳ Ｐゴシック"/>
            <family val="3"/>
            <charset val="128"/>
          </rPr>
          <t>・基本統計量（「情報活用Ⅱ（含医療情報の統計学）」第4回）</t>
        </r>
        <rPh sb="4" eb="6">
          <t>ヒョウゲン</t>
        </rPh>
        <rPh sb="7" eb="8">
          <t>ボウ</t>
        </rPh>
        <rPh sb="12" eb="13">
          <t>オ</t>
        </rPh>
        <rPh sb="13" eb="14">
          <t>セン</t>
        </rPh>
        <rPh sb="18" eb="21">
          <t>サンプズ</t>
        </rPh>
        <rPh sb="22" eb="23">
          <t>エン</t>
        </rPh>
        <rPh sb="43" eb="46">
          <t>フテキセツ</t>
        </rPh>
        <rPh sb="50" eb="52">
          <t>ヒョウゲン</t>
        </rPh>
        <phoneticPr fontId="2"/>
      </is>
    </nc>
  </rcc>
  <rfmt sheetId="2" sqref="D99:S99">
    <dxf>
      <fill>
        <patternFill patternType="solid">
          <bgColor rgb="FFFFFF00"/>
        </patternFill>
      </fill>
    </dxf>
  </rfmt>
  <rcc rId="281" sId="2">
    <oc r="D99" t="inlineStr">
      <is>
        <r>
          <rPr>
            <sz val="12"/>
            <color rgb="FFFF0000"/>
            <rFont val="ＭＳ Ｐゴシック"/>
            <family val="3"/>
            <charset val="128"/>
          </rPr>
          <t xml:space="preserve">・データの抽出方法（「情報活用Ⅱ（含医療情報の統計学）」第2回）
・データ解析ツール（Excelの分析ツール）（「情報活用Ⅱ（含医療情報の統計学）」第3回、第4回）
</t>
        </r>
        <r>
          <rPr>
            <sz val="12"/>
            <color rgb="FF00B050"/>
            <rFont val="ＭＳ Ｐゴシック"/>
            <family val="3"/>
            <charset val="128"/>
          </rPr>
          <t xml:space="preserve">・データの集計（「情報活用Ⅰ」第9回）
・データの並び替え）（「情報活用Ⅰ」第9回）
</t>
        </r>
        <r>
          <rPr>
            <sz val="12"/>
            <color rgb="FFFF0000"/>
            <rFont val="ＭＳ Ｐゴシック"/>
            <family val="3"/>
            <charset val="128"/>
          </rPr>
          <t>・データの取り扱い（txt形式、csv形式）に関する演習（「情報活用Ⅰ」第14回）</t>
        </r>
        <r>
          <rPr>
            <sz val="12"/>
            <rFont val="ＭＳ Ｐゴシック"/>
            <family val="3"/>
            <charset val="128"/>
          </rPr>
          <t xml:space="preserve">
・Excelを用いたデータの分析（「情報活用Ⅱ（含医療情報の統計学）」第7回、第8回）
</t>
        </r>
        <rPh sb="37" eb="39">
          <t>カイセキ</t>
        </rPh>
        <rPh sb="49" eb="51">
          <t>ブンセキ</t>
        </rPh>
        <rPh sb="78" eb="79">
          <t>ダイ</t>
        </rPh>
        <rPh sb="80" eb="81">
          <t>カイ</t>
        </rPh>
        <rPh sb="88" eb="90">
          <t>シュウケイ</t>
        </rPh>
        <phoneticPr fontId="3"/>
      </is>
    </oc>
    <nc r="D99" t="inlineStr">
      <is>
        <r>
          <rPr>
            <sz val="12"/>
            <color rgb="FFFF0000"/>
            <rFont val="ＭＳ Ｐゴシック"/>
            <family val="3"/>
            <charset val="128"/>
          </rPr>
          <t xml:space="preserve">・データの抽出方法（「情報活用Ⅱ（含医療情報の統計学）」第2回）
・データ解析ツール（Excelの分析ツール）（「情報活用Ⅱ（含医療情報の統計学）」第3回、第4回）
</t>
        </r>
        <r>
          <rPr>
            <sz val="12"/>
            <color rgb="FF00B050"/>
            <rFont val="ＭＳ Ｐゴシック"/>
            <family val="3"/>
            <charset val="128"/>
          </rPr>
          <t>・データの集計（「情報活用Ⅰ」第9回）
・データの並び替</t>
        </r>
        <r>
          <rPr>
            <u/>
            <sz val="12"/>
            <color rgb="FF00B0F0"/>
            <rFont val="ＭＳ Ｐゴシック"/>
            <family val="3"/>
            <charset val="128"/>
          </rPr>
          <t>え（</t>
        </r>
        <r>
          <rPr>
            <sz val="12"/>
            <color rgb="FF00B050"/>
            <rFont val="ＭＳ Ｐゴシック"/>
            <family val="3"/>
            <charset val="128"/>
          </rPr>
          <t xml:space="preserve">「情報活用Ⅰ」第9回）
</t>
        </r>
        <r>
          <rPr>
            <sz val="12"/>
            <color rgb="FFFF0000"/>
            <rFont val="ＭＳ Ｐゴシック"/>
            <family val="3"/>
            <charset val="128"/>
          </rPr>
          <t>・データの取り扱い（txt形式、csv形式）に関する演習（「情報活用Ⅰ」第14回）</t>
        </r>
        <r>
          <rPr>
            <sz val="12"/>
            <rFont val="ＭＳ Ｐゴシック"/>
            <family val="3"/>
            <charset val="128"/>
          </rPr>
          <t xml:space="preserve">
・Excelを用いたデータの分析（「情報活用Ⅱ（含医療情報の統計学）」第7回、第8回）</t>
        </r>
        <rPh sb="37" eb="39">
          <t>カイセキ</t>
        </rPh>
        <rPh sb="49" eb="51">
          <t>ブンセキ</t>
        </rPh>
        <rPh sb="78" eb="79">
          <t>ダイ</t>
        </rPh>
        <rPh sb="80" eb="81">
          <t>カイ</t>
        </rPh>
        <rPh sb="88" eb="90">
          <t>シュウケイ</t>
        </rPh>
        <phoneticPr fontId="3"/>
      </is>
    </nc>
  </rcc>
  <rcc rId="282" sId="2">
    <oc r="D95" t="inlineStr">
      <is>
        <t>・ELSI（Ethical、 Legal and Social Issues）（「情報活用Ⅰ」第2回）
・データ倫理、AIの倫理指針（「情報活用Ⅰ」第2回）
・AI・データサイエンスの倫理（「情報活用Ⅰ」第2回）
・情報の盗用、 ねつ造・改ざん（「情報活用Ⅰ」第2回）
・プライバシー保護（「情報活用Ⅰ」第2回）</t>
        <phoneticPr fontId="0"/>
      </is>
    </oc>
    <nc r="D95" t="inlineStr">
      <is>
        <r>
          <t xml:space="preserve">・ELSI（Ethical、 Legal and Social Issues）（「情報活用Ⅰ」第2回）
</t>
        </r>
        <r>
          <rPr>
            <u/>
            <sz val="12"/>
            <color rgb="FF00B0F0"/>
            <rFont val="ＭＳ Ｐゴシック"/>
            <family val="3"/>
            <charset val="128"/>
          </rPr>
          <t>・A</t>
        </r>
        <r>
          <rPr>
            <sz val="12"/>
            <color rgb="FF00B050"/>
            <rFont val="ＭＳ Ｐゴシック"/>
            <family val="3"/>
            <charset val="128"/>
          </rPr>
          <t>Iの倫理指針（「情報活用Ⅰ」第2回）
・AI・データサイエンスの倫理（「情報活用Ⅰ」第2回）
・データ倫理</t>
        </r>
        <r>
          <rPr>
            <u/>
            <sz val="12"/>
            <color rgb="FF00B0F0"/>
            <rFont val="ＭＳ Ｐゴシック"/>
            <family val="3"/>
            <charset val="128"/>
          </rPr>
          <t>：データ</t>
        </r>
        <r>
          <rPr>
            <sz val="12"/>
            <color rgb="FF00B050"/>
            <rFont val="ＭＳ Ｐゴシック"/>
            <family val="3"/>
            <charset val="128"/>
          </rPr>
          <t>のねつ造</t>
        </r>
        <r>
          <rPr>
            <u/>
            <sz val="12"/>
            <color rgb="FF00B0F0"/>
            <rFont val="ＭＳ Ｐゴシック"/>
            <family val="3"/>
            <charset val="128"/>
          </rPr>
          <t>、</t>
        </r>
        <r>
          <rPr>
            <sz val="12"/>
            <color rgb="FF00B050"/>
            <rFont val="ＭＳ Ｐゴシック"/>
            <family val="3"/>
            <charset val="128"/>
          </rPr>
          <t>改ざん、盗用、プライバシー保護（「情報活用Ⅰ」第2回）</t>
        </r>
        <rPh sb="105" eb="107">
          <t>リンリ</t>
        </rPh>
        <phoneticPr fontId="0"/>
      </is>
    </nc>
  </rcc>
  <rfmt sheetId="2" sqref="D95:S95">
    <dxf>
      <fill>
        <patternFill patternType="solid">
          <bgColor rgb="FFFFFF00"/>
        </patternFill>
      </fill>
    </dxf>
  </rfmt>
  <rcc rId="283" sId="2">
    <nc r="H26" t="inlineStr">
      <is>
        <t>○</t>
      </is>
    </nc>
  </rcc>
  <rcc rId="284" sId="2">
    <nc r="I25" t="inlineStr">
      <is>
        <t>○</t>
      </is>
    </nc>
  </rcc>
  <rcc rId="285" sId="2">
    <oc r="I26" t="inlineStr">
      <is>
        <t>○</t>
      </is>
    </oc>
    <nc r="I26"/>
  </rcc>
  <rfmt sheetId="2" sqref="H26:I26">
    <dxf>
      <fill>
        <patternFill patternType="solid">
          <bgColor rgb="FFFFFF00"/>
        </patternFill>
      </fill>
    </dxf>
  </rfmt>
  <rfmt sheetId="2" sqref="I25">
    <dxf>
      <fill>
        <patternFill patternType="solid">
          <bgColor rgb="FFFFFF00"/>
        </patternFill>
      </fill>
    </dxf>
  </rfmt>
  <rfmt sheetId="2" sqref="I25" start="0" length="2147483647">
    <dxf>
      <font>
        <color rgb="FF00B0F0"/>
      </font>
    </dxf>
  </rfmt>
  <rfmt sheetId="2" sqref="H26" start="0" length="2147483647">
    <dxf>
      <font>
        <color rgb="FF00B0F0"/>
      </font>
    </dxf>
  </rfmt>
  <rfmt sheetId="2" sqref="H36:I36">
    <dxf>
      <fill>
        <patternFill patternType="solid">
          <bgColor rgb="FFFFFF00"/>
        </patternFill>
      </fill>
    </dxf>
  </rfmt>
  <rcc rId="286" sId="2">
    <oc r="H36" t="inlineStr">
      <is>
        <t>○</t>
      </is>
    </oc>
    <nc r="H36"/>
  </rcc>
  <rcc rId="287" sId="2">
    <nc r="I36" t="inlineStr">
      <is>
        <t>○</t>
      </is>
    </nc>
  </rcc>
  <rcc rId="288" sId="2">
    <oc r="I47" t="inlineStr">
      <is>
        <t>○</t>
      </is>
    </oc>
    <nc r="I47"/>
  </rcc>
  <rfmt sheetId="2" sqref="I47">
    <dxf>
      <fill>
        <patternFill patternType="solid">
          <bgColor rgb="FFFFFF00"/>
        </patternFill>
      </fill>
    </dxf>
  </rfmt>
  <rfmt sheetId="2" sqref="I36" start="0" length="2147483647">
    <dxf>
      <font>
        <color rgb="FF00B0F0"/>
      </font>
    </dxf>
  </rfmt>
</revisions>
</file>

<file path=xl/revisions/revisionLog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F7DD307-FDAD-4F12-A71C-909420D0BA34}" action="delete"/>
  <rdn rId="0" localSheetId="1" customView="1" name="Z_1F7DD307_FDAD_4F12_A71C_909420D0BA34_.wvu.PrintArea" hidden="1" oldHidden="1">
    <formula>'様式１-１　プログラムを構成する授業科目'!$A$1:$S$102</formula>
    <oldFormula>'様式１-１　プログラムを構成する授業科目'!$A$1:$S$102</oldFormula>
  </rdn>
  <rdn rId="0" localSheetId="1" customView="1" name="Z_1F7DD307_FDAD_4F12_A71C_909420D0BA34_.wvu.Cols" hidden="1" oldHidden="1">
    <formula>'様式１-１　プログラムを構成する授業科目'!$V:$V</formula>
    <oldFormula>'様式１-１　プログラムを構成する授業科目'!$V:$V</oldFormula>
  </rdn>
  <rdn rId="0" localSheetId="1" customView="1" name="Z_1F7DD307_FDAD_4F12_A71C_909420D0BA34_.wvu.FilterData" hidden="1" oldHidden="1">
    <formula>'様式１-１　プログラムを構成する授業科目'!$V$14:$V$16</formula>
    <oldFormula>'様式１-１　プログラムを構成する授業科目'!$V$14:$V$16</oldFormula>
  </rdn>
  <rdn rId="0" localSheetId="2" customView="1" name="Z_1F7DD307_FDAD_4F12_A71C_909420D0BA34_.wvu.PrintArea" hidden="1" oldHidden="1">
    <formula>'様式１-２　プログラムを構成する授業科目 (国際看護学部)'!$A$1:$S$102</formula>
    <oldFormula>'様式１-２　プログラムを構成する授業科目 (国際看護学部)'!$A$1:$S$102</oldFormula>
  </rdn>
  <rdn rId="0" localSheetId="2" customView="1" name="Z_1F7DD307_FDAD_4F12_A71C_909420D0BA34_.wvu.Cols" hidden="1" oldHidden="1">
    <formula>'様式１-２　プログラムを構成する授業科目 (国際看護学部)'!$V:$V</formula>
    <oldFormula>'様式１-２　プログラムを構成する授業科目 (国際看護学部)'!$V:$V</oldFormula>
  </rdn>
  <rdn rId="0" localSheetId="2" customView="1" name="Z_1F7DD307_FDAD_4F12_A71C_909420D0BA34_.wvu.FilterData" hidden="1" oldHidden="1">
    <formula>'様式１-２　プログラムを構成する授業科目 (国際看護学部)'!$V$14:$V$16</formula>
    <oldFormula>'様式１-２　プログラムを構成する授業科目 (国際看護学部)'!$V$14:$V$16</oldFormula>
  </rdn>
  <rdn rId="0" localSheetId="3" customView="1" name="Z_1F7DD307_FDAD_4F12_A71C_909420D0BA34_.wvu.PrintArea" hidden="1" oldHidden="1">
    <formula>'様式２ 履修者等数の実績'!$A$1:$AQ$32</formula>
    <oldFormula>'様式２ 履修者等数の実績'!$A$1:$AQ$32</oldFormula>
  </rdn>
  <rdn rId="0" localSheetId="4" customView="1" name="Z_1F7DD307_FDAD_4F12_A71C_909420D0BA34_.wvu.PrintArea" hidden="1" oldHidden="1">
    <formula>'様式３ 教育の質・履修者数を向上させるための体制・計画'!$A$1:$I$120</formula>
    <oldFormula>'様式３ 教育の質・履修者数を向上させるための体制・計画'!$A$1:$I$120</oldFormula>
  </rdn>
  <rdn rId="0" localSheetId="5" customView="1" name="Z_1F7DD307_FDAD_4F12_A71C_909420D0BA34_.wvu.PrintArea" hidden="1" oldHidden="1">
    <formula>'様式４　自己点検・評価'!$A$1:$I$22</formula>
    <oldFormula>'様式４　自己点検・評価'!$A$1:$I$22</oldFormula>
  </rdn>
  <rdn rId="0" localSheetId="5" customView="1" name="Z_1F7DD307_FDAD_4F12_A71C_909420D0BA34_.wvu.PrintTitles" hidden="1" oldHidden="1">
    <formula>'様式４　自己点検・評価'!$11:$11</formula>
    <oldFormula>'様式４　自己点検・評価'!$11:$11</oldFormula>
  </rdn>
  <rcv guid="{1F7DD307-FDAD-4F12-A71C-909420D0BA34}" action="add"/>
</revisions>
</file>

<file path=xl/revisions/revisionLog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F7DD307-FDAD-4F12-A71C-909420D0BA34}" action="delete"/>
  <rdn rId="0" localSheetId="1" customView="1" name="Z_1F7DD307_FDAD_4F12_A71C_909420D0BA34_.wvu.PrintArea" hidden="1" oldHidden="1">
    <formula>'様式１-１　プログラムを構成する授業科目'!$A$1:$S$102</formula>
    <oldFormula>'様式１-１　プログラムを構成する授業科目'!$A$1:$S$102</oldFormula>
  </rdn>
  <rdn rId="0" localSheetId="1" customView="1" name="Z_1F7DD307_FDAD_4F12_A71C_909420D0BA34_.wvu.Cols" hidden="1" oldHidden="1">
    <formula>'様式１-１　プログラムを構成する授業科目'!$V:$V</formula>
    <oldFormula>'様式１-１　プログラムを構成する授業科目'!$V:$V</oldFormula>
  </rdn>
  <rdn rId="0" localSheetId="1" customView="1" name="Z_1F7DD307_FDAD_4F12_A71C_909420D0BA34_.wvu.FilterData" hidden="1" oldHidden="1">
    <formula>'様式１-１　プログラムを構成する授業科目'!$V$14:$V$16</formula>
    <oldFormula>'様式１-１　プログラムを構成する授業科目'!$V$14:$V$16</oldFormula>
  </rdn>
  <rdn rId="0" localSheetId="2" customView="1" name="Z_1F7DD307_FDAD_4F12_A71C_909420D0BA34_.wvu.PrintArea" hidden="1" oldHidden="1">
    <formula>'様式１-２　プログラムを構成する授業科目 (国際看護学部)'!$A$1:$S$102</formula>
    <oldFormula>'様式１-２　プログラムを構成する授業科目 (国際看護学部)'!$A$1:$S$102</oldFormula>
  </rdn>
  <rdn rId="0" localSheetId="2" customView="1" name="Z_1F7DD307_FDAD_4F12_A71C_909420D0BA34_.wvu.Cols" hidden="1" oldHidden="1">
    <formula>'様式１-２　プログラムを構成する授業科目 (国際看護学部)'!$V:$V</formula>
    <oldFormula>'様式１-２　プログラムを構成する授業科目 (国際看護学部)'!$V:$V</oldFormula>
  </rdn>
  <rdn rId="0" localSheetId="2" customView="1" name="Z_1F7DD307_FDAD_4F12_A71C_909420D0BA34_.wvu.FilterData" hidden="1" oldHidden="1">
    <formula>'様式１-２　プログラムを構成する授業科目 (国際看護学部)'!$V$14:$V$16</formula>
    <oldFormula>'様式１-２　プログラムを構成する授業科目 (国際看護学部)'!$V$14:$V$16</oldFormula>
  </rdn>
  <rdn rId="0" localSheetId="3" customView="1" name="Z_1F7DD307_FDAD_4F12_A71C_909420D0BA34_.wvu.PrintArea" hidden="1" oldHidden="1">
    <formula>'様式２ 履修者等数の実績'!$A$1:$AQ$32</formula>
    <oldFormula>'様式２ 履修者等数の実績'!$A$1:$AQ$32</oldFormula>
  </rdn>
  <rdn rId="0" localSheetId="4" customView="1" name="Z_1F7DD307_FDAD_4F12_A71C_909420D0BA34_.wvu.PrintArea" hidden="1" oldHidden="1">
    <formula>'様式３ 教育の質・履修者数を向上させるための体制・計画'!$A$1:$I$120</formula>
    <oldFormula>'様式３ 教育の質・履修者数を向上させるための体制・計画'!$A$1:$I$120</oldFormula>
  </rdn>
  <rdn rId="0" localSheetId="5" customView="1" name="Z_1F7DD307_FDAD_4F12_A71C_909420D0BA34_.wvu.PrintArea" hidden="1" oldHidden="1">
    <formula>'様式４　自己点検・評価'!$A$1:$I$22</formula>
    <oldFormula>'様式４　自己点検・評価'!$A$1:$I$22</oldFormula>
  </rdn>
  <rdn rId="0" localSheetId="5" customView="1" name="Z_1F7DD307_FDAD_4F12_A71C_909420D0BA34_.wvu.PrintTitles" hidden="1" oldHidden="1">
    <formula>'様式４　自己点検・評価'!$11:$11</formula>
    <oldFormula>'様式４　自己点検・評価'!$11:$11</oldFormula>
  </rdn>
  <rcv guid="{1F7DD307-FDAD-4F12-A71C-909420D0BA34}" action="add"/>
</revisions>
</file>

<file path=xl/revisions/revisionLog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D99:S99">
    <dxf>
      <fill>
        <patternFill patternType="none">
          <bgColor auto="1"/>
        </patternFill>
      </fill>
    </dxf>
  </rfmt>
  <rfmt sheetId="1" sqref="D99:S99" start="0" length="2147483647">
    <dxf>
      <font>
        <color auto="1"/>
      </font>
    </dxf>
  </rfmt>
  <rfmt sheetId="1" sqref="D99:S99" start="0" length="2147483647">
    <dxf>
      <font>
        <u/>
      </font>
    </dxf>
  </rfmt>
  <rfmt sheetId="1" sqref="D99:S99" start="0" length="2147483647">
    <dxf>
      <font>
        <u val="none"/>
      </font>
    </dxf>
  </rfmt>
  <rfmt sheetId="1" sqref="D90:S92" start="0" length="2147483647">
    <dxf>
      <font>
        <color auto="1"/>
      </font>
    </dxf>
  </rfmt>
  <rfmt sheetId="1" sqref="D89:S99">
    <dxf>
      <alignment vertical="center"/>
    </dxf>
  </rfmt>
  <rfmt sheetId="1" sqref="F59">
    <dxf>
      <fill>
        <patternFill patternType="none">
          <bgColor auto="1"/>
        </patternFill>
      </fill>
    </dxf>
  </rfmt>
  <rfmt sheetId="1" sqref="F59" start="0" length="2147483647">
    <dxf>
      <font>
        <color auto="1"/>
      </font>
    </dxf>
  </rfmt>
  <rfmt sheetId="1" sqref="B70:I70" start="0" length="2147483647">
    <dxf>
      <font>
        <color auto="1"/>
      </font>
    </dxf>
  </rfmt>
  <rfmt sheetId="1" sqref="B70:I70">
    <dxf>
      <fill>
        <patternFill patternType="none">
          <bgColor auto="1"/>
        </patternFill>
      </fill>
    </dxf>
  </rfmt>
  <rcv guid="{1F7DD307-FDAD-4F12-A71C-909420D0BA34}" action="delete"/>
  <rdn rId="0" localSheetId="1" customView="1" name="Z_1F7DD307_FDAD_4F12_A71C_909420D0BA34_.wvu.PrintArea" hidden="1" oldHidden="1">
    <formula>'様式１-１　プログラムを構成する授業科目'!$A$1:$S$102</formula>
    <oldFormula>'様式１-１　プログラムを構成する授業科目'!$A$1:$S$102</oldFormula>
  </rdn>
  <rdn rId="0" localSheetId="1" customView="1" name="Z_1F7DD307_FDAD_4F12_A71C_909420D0BA34_.wvu.Cols" hidden="1" oldHidden="1">
    <formula>'様式１-１　プログラムを構成する授業科目'!$V:$V</formula>
    <oldFormula>'様式１-１　プログラムを構成する授業科目'!$V:$V</oldFormula>
  </rdn>
  <rdn rId="0" localSheetId="1" customView="1" name="Z_1F7DD307_FDAD_4F12_A71C_909420D0BA34_.wvu.FilterData" hidden="1" oldHidden="1">
    <formula>'様式１-１　プログラムを構成する授業科目'!$V$14:$V$16</formula>
    <oldFormula>'様式１-１　プログラムを構成する授業科目'!$V$14:$V$16</oldFormula>
  </rdn>
  <rdn rId="0" localSheetId="2" customView="1" name="Z_1F7DD307_FDAD_4F12_A71C_909420D0BA34_.wvu.PrintArea" hidden="1" oldHidden="1">
    <formula>'様式１-２　プログラムを構成する授業科目 (国際看護学部)'!$A$1:$S$102</formula>
    <oldFormula>'様式１-２　プログラムを構成する授業科目 (国際看護学部)'!$A$1:$S$102</oldFormula>
  </rdn>
  <rdn rId="0" localSheetId="2" customView="1" name="Z_1F7DD307_FDAD_4F12_A71C_909420D0BA34_.wvu.Cols" hidden="1" oldHidden="1">
    <formula>'様式１-２　プログラムを構成する授業科目 (国際看護学部)'!$V:$V</formula>
    <oldFormula>'様式１-２　プログラムを構成する授業科目 (国際看護学部)'!$V:$V</oldFormula>
  </rdn>
  <rdn rId="0" localSheetId="2" customView="1" name="Z_1F7DD307_FDAD_4F12_A71C_909420D0BA34_.wvu.FilterData" hidden="1" oldHidden="1">
    <formula>'様式１-２　プログラムを構成する授業科目 (国際看護学部)'!$V$14:$V$16</formula>
    <oldFormula>'様式１-２　プログラムを構成する授業科目 (国際看護学部)'!$V$14:$V$16</oldFormula>
  </rdn>
  <rdn rId="0" localSheetId="3" customView="1" name="Z_1F7DD307_FDAD_4F12_A71C_909420D0BA34_.wvu.PrintArea" hidden="1" oldHidden="1">
    <formula>'様式２ 履修者等数の実績'!$A$1:$AQ$32</formula>
    <oldFormula>'様式２ 履修者等数の実績'!$A$1:$AQ$32</oldFormula>
  </rdn>
  <rdn rId="0" localSheetId="4" customView="1" name="Z_1F7DD307_FDAD_4F12_A71C_909420D0BA34_.wvu.PrintArea" hidden="1" oldHidden="1">
    <formula>'様式３ 教育の質・履修者数を向上させるための体制・計画'!$A$1:$I$120</formula>
    <oldFormula>'様式３ 教育の質・履修者数を向上させるための体制・計画'!$A$1:$I$120</oldFormula>
  </rdn>
  <rdn rId="0" localSheetId="5" customView="1" name="Z_1F7DD307_FDAD_4F12_A71C_909420D0BA34_.wvu.PrintArea" hidden="1" oldHidden="1">
    <formula>'様式４　自己点検・評価'!$A$1:$I$22</formula>
    <oldFormula>'様式４　自己点検・評価'!$A$1:$I$22</oldFormula>
  </rdn>
  <rdn rId="0" localSheetId="5" customView="1" name="Z_1F7DD307_FDAD_4F12_A71C_909420D0BA34_.wvu.PrintTitles" hidden="1" oldHidden="1">
    <formula>'様式４　自己点検・評価'!$11:$11</formula>
    <oldFormula>'様式４　自己点検・評価'!$11:$11</oldFormula>
  </rdn>
  <rcv guid="{1F7DD307-FDAD-4F12-A71C-909420D0BA34}" action="add"/>
</revisions>
</file>

<file path=xl/revisions/revisionLog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2" sqref="D98:S99">
    <dxf>
      <fill>
        <patternFill patternType="none">
          <bgColor auto="1"/>
        </patternFill>
      </fill>
    </dxf>
  </rfmt>
  <rfmt sheetId="2" sqref="D98:S99" start="0" length="2147483647">
    <dxf>
      <font>
        <color auto="1"/>
      </font>
    </dxf>
  </rfmt>
  <rfmt sheetId="2" sqref="D98:S99" start="0" length="2147483647">
    <dxf>
      <font>
        <u/>
      </font>
    </dxf>
  </rfmt>
  <rfmt sheetId="2" sqref="D98:S99" start="0" length="2147483647">
    <dxf>
      <font>
        <u val="none"/>
      </font>
    </dxf>
  </rfmt>
  <rfmt sheetId="2" sqref="D95:S96">
    <dxf>
      <fill>
        <patternFill patternType="none">
          <bgColor auto="1"/>
        </patternFill>
      </fill>
    </dxf>
  </rfmt>
  <rfmt sheetId="2" sqref="D95:S96" start="0" length="2147483647">
    <dxf>
      <font>
        <color auto="1"/>
      </font>
    </dxf>
  </rfmt>
  <rfmt sheetId="2" sqref="D95:S96" start="0" length="2147483647">
    <dxf/>
  </rfmt>
  <rfmt sheetId="2" sqref="D95:S96" start="0" length="2147483647">
    <dxf>
      <font>
        <u/>
      </font>
    </dxf>
  </rfmt>
  <rfmt sheetId="2" sqref="D95:S96" start="0" length="2147483647">
    <dxf>
      <font>
        <u val="none"/>
      </font>
    </dxf>
  </rfmt>
  <rfmt sheetId="2" sqref="D91:S94">
    <dxf>
      <fill>
        <patternFill patternType="none">
          <bgColor auto="1"/>
        </patternFill>
      </fill>
    </dxf>
  </rfmt>
  <rfmt sheetId="2" sqref="D91:S94" start="0" length="2147483647">
    <dxf>
      <font>
        <color auto="1"/>
      </font>
    </dxf>
  </rfmt>
  <rfmt sheetId="2" sqref="D91:S94" start="0" length="2147483647">
    <dxf/>
  </rfmt>
  <rfmt sheetId="2" sqref="D91:S94" start="0" length="2147483647">
    <dxf>
      <font>
        <u/>
      </font>
    </dxf>
  </rfmt>
  <rfmt sheetId="2" sqref="D91:S94" start="0" length="2147483647">
    <dxf>
      <font>
        <u val="none"/>
      </font>
    </dxf>
  </rfmt>
  <rfmt sheetId="2" sqref="D89:S90" start="0" length="2147483647">
    <dxf>
      <font>
        <color auto="1"/>
      </font>
    </dxf>
  </rfmt>
  <rfmt sheetId="2" sqref="D89:S90" start="0" length="2147483647">
    <dxf>
      <font>
        <u/>
      </font>
    </dxf>
  </rfmt>
  <rfmt sheetId="2" sqref="D89:S90" start="0" length="2147483647">
    <dxf>
      <font>
        <u val="none"/>
      </font>
    </dxf>
  </rfmt>
  <rfmt sheetId="2" sqref="D89:S90">
    <dxf>
      <fill>
        <patternFill>
          <bgColor auto="1"/>
        </patternFill>
      </fill>
    </dxf>
  </rfmt>
  <rfmt sheetId="2" sqref="I47">
    <dxf>
      <fill>
        <patternFill patternType="none">
          <bgColor auto="1"/>
        </patternFill>
      </fill>
    </dxf>
  </rfmt>
  <rfmt sheetId="2" sqref="H36:I36">
    <dxf>
      <fill>
        <patternFill patternType="none">
          <bgColor auto="1"/>
        </patternFill>
      </fill>
    </dxf>
  </rfmt>
  <rfmt sheetId="2" sqref="I36" start="0" length="2147483647">
    <dxf>
      <font>
        <color auto="1"/>
      </font>
    </dxf>
  </rfmt>
  <rfmt sheetId="2" sqref="H25:I26">
    <dxf>
      <fill>
        <patternFill patternType="none">
          <bgColor auto="1"/>
        </patternFill>
      </fill>
    </dxf>
  </rfmt>
  <rfmt sheetId="2" sqref="H25:I26" start="0" length="2147483647">
    <dxf>
      <font>
        <color auto="1"/>
      </font>
    </dxf>
  </rfmt>
</revisions>
</file>

<file path=xl/revisions/revisionLog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F7DD307-FDAD-4F12-A71C-909420D0BA34}" action="delete"/>
  <rdn rId="0" localSheetId="1" customView="1" name="Z_1F7DD307_FDAD_4F12_A71C_909420D0BA34_.wvu.PrintArea" hidden="1" oldHidden="1">
    <formula>'様式１-１　プログラムを構成する授業科目'!$A$1:$S$102</formula>
    <oldFormula>'様式１-１　プログラムを構成する授業科目'!$A$1:$S$102</oldFormula>
  </rdn>
  <rdn rId="0" localSheetId="1" customView="1" name="Z_1F7DD307_FDAD_4F12_A71C_909420D0BA34_.wvu.Cols" hidden="1" oldHidden="1">
    <formula>'様式１-１　プログラムを構成する授業科目'!$V:$V</formula>
    <oldFormula>'様式１-１　プログラムを構成する授業科目'!$V:$V</oldFormula>
  </rdn>
  <rdn rId="0" localSheetId="1" customView="1" name="Z_1F7DD307_FDAD_4F12_A71C_909420D0BA34_.wvu.FilterData" hidden="1" oldHidden="1">
    <formula>'様式１-１　プログラムを構成する授業科目'!$V$14:$V$16</formula>
    <oldFormula>'様式１-１　プログラムを構成する授業科目'!$V$14:$V$16</oldFormula>
  </rdn>
  <rdn rId="0" localSheetId="2" customView="1" name="Z_1F7DD307_FDAD_4F12_A71C_909420D0BA34_.wvu.PrintArea" hidden="1" oldHidden="1">
    <formula>'様式１-２　プログラムを構成する授業科目 (国際看護学部)'!$A$1:$S$102</formula>
    <oldFormula>'様式１-２　プログラムを構成する授業科目 (国際看護学部)'!$A$1:$S$102</oldFormula>
  </rdn>
  <rdn rId="0" localSheetId="2" customView="1" name="Z_1F7DD307_FDAD_4F12_A71C_909420D0BA34_.wvu.Cols" hidden="1" oldHidden="1">
    <formula>'様式１-２　プログラムを構成する授業科目 (国際看護学部)'!$V:$V</formula>
    <oldFormula>'様式１-２　プログラムを構成する授業科目 (国際看護学部)'!$V:$V</oldFormula>
  </rdn>
  <rdn rId="0" localSheetId="2" customView="1" name="Z_1F7DD307_FDAD_4F12_A71C_909420D0BA34_.wvu.FilterData" hidden="1" oldHidden="1">
    <formula>'様式１-２　プログラムを構成する授業科目 (国際看護学部)'!$V$14:$V$16</formula>
    <oldFormula>'様式１-２　プログラムを構成する授業科目 (国際看護学部)'!$V$14:$V$16</oldFormula>
  </rdn>
  <rdn rId="0" localSheetId="3" customView="1" name="Z_1F7DD307_FDAD_4F12_A71C_909420D0BA34_.wvu.PrintArea" hidden="1" oldHidden="1">
    <formula>'様式２ 履修者等数の実績'!$A$1:$AQ$32</formula>
    <oldFormula>'様式２ 履修者等数の実績'!$A$1:$AQ$32</oldFormula>
  </rdn>
  <rdn rId="0" localSheetId="4" customView="1" name="Z_1F7DD307_FDAD_4F12_A71C_909420D0BA34_.wvu.PrintArea" hidden="1" oldHidden="1">
    <formula>'様式３ 教育の質・履修者数を向上させるための体制・計画'!$A$1:$I$120</formula>
    <oldFormula>'様式３ 教育の質・履修者数を向上させるための体制・計画'!$A$1:$I$120</oldFormula>
  </rdn>
  <rdn rId="0" localSheetId="5" customView="1" name="Z_1F7DD307_FDAD_4F12_A71C_909420D0BA34_.wvu.PrintArea" hidden="1" oldHidden="1">
    <formula>'様式４　自己点検・評価'!$A$1:$I$22</formula>
    <oldFormula>'様式４　自己点検・評価'!$A$1:$I$22</oldFormula>
  </rdn>
  <rdn rId="0" localSheetId="5" customView="1" name="Z_1F7DD307_FDAD_4F12_A71C_909420D0BA34_.wvu.PrintTitles" hidden="1" oldHidden="1">
    <formula>'様式４　自己点検・評価'!$11:$11</formula>
    <oldFormula>'様式４　自己点検・評価'!$11:$11</oldFormula>
  </rdn>
  <rcv guid="{1F7DD307-FDAD-4F12-A71C-909420D0BA34}" action="add"/>
</revisions>
</file>

<file path=xl/revisions/revisionLog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F7DD307-FDAD-4F12-A71C-909420D0BA34}" action="delete"/>
  <rdn rId="0" localSheetId="1" customView="1" name="Z_1F7DD307_FDAD_4F12_A71C_909420D0BA34_.wvu.PrintArea" hidden="1" oldHidden="1">
    <formula>'様式１-１　プログラムを構成する授業科目'!$A$1:$S$102</formula>
    <oldFormula>'様式１-１　プログラムを構成する授業科目'!$A$1:$S$102</oldFormula>
  </rdn>
  <rdn rId="0" localSheetId="1" customView="1" name="Z_1F7DD307_FDAD_4F12_A71C_909420D0BA34_.wvu.Cols" hidden="1" oldHidden="1">
    <formula>'様式１-１　プログラムを構成する授業科目'!$V:$V</formula>
    <oldFormula>'様式１-１　プログラムを構成する授業科目'!$V:$V</oldFormula>
  </rdn>
  <rdn rId="0" localSheetId="1" customView="1" name="Z_1F7DD307_FDAD_4F12_A71C_909420D0BA34_.wvu.FilterData" hidden="1" oldHidden="1">
    <formula>'様式１-１　プログラムを構成する授業科目'!$V$14:$V$16</formula>
    <oldFormula>'様式１-１　プログラムを構成する授業科目'!$V$14:$V$16</oldFormula>
  </rdn>
  <rdn rId="0" localSheetId="2" customView="1" name="Z_1F7DD307_FDAD_4F12_A71C_909420D0BA34_.wvu.PrintArea" hidden="1" oldHidden="1">
    <formula>'様式１-２　プログラムを構成する授業科目 (国際看護学部)'!$A$1:$S$102</formula>
    <oldFormula>'様式１-２　プログラムを構成する授業科目 (国際看護学部)'!$A$1:$S$102</oldFormula>
  </rdn>
  <rdn rId="0" localSheetId="2" customView="1" name="Z_1F7DD307_FDAD_4F12_A71C_909420D0BA34_.wvu.Cols" hidden="1" oldHidden="1">
    <formula>'様式１-２　プログラムを構成する授業科目 (国際看護学部)'!$V:$V</formula>
    <oldFormula>'様式１-２　プログラムを構成する授業科目 (国際看護学部)'!$V:$V</oldFormula>
  </rdn>
  <rdn rId="0" localSheetId="2" customView="1" name="Z_1F7DD307_FDAD_4F12_A71C_909420D0BA34_.wvu.FilterData" hidden="1" oldHidden="1">
    <formula>'様式１-２　プログラムを構成する授業科目 (国際看護学部)'!$V$14:$V$16</formula>
    <oldFormula>'様式１-２　プログラムを構成する授業科目 (国際看護学部)'!$V$14:$V$16</oldFormula>
  </rdn>
  <rdn rId="0" localSheetId="3" customView="1" name="Z_1F7DD307_FDAD_4F12_A71C_909420D0BA34_.wvu.PrintArea" hidden="1" oldHidden="1">
    <formula>'様式２ 履修者等数の実績'!$A$1:$AQ$32</formula>
    <oldFormula>'様式２ 履修者等数の実績'!$A$1:$AQ$32</oldFormula>
  </rdn>
  <rdn rId="0" localSheetId="4" customView="1" name="Z_1F7DD307_FDAD_4F12_A71C_909420D0BA34_.wvu.PrintArea" hidden="1" oldHidden="1">
    <formula>'様式３ 教育の質・履修者数を向上させるための体制・計画'!$A$1:$I$120</formula>
    <oldFormula>'様式３ 教育の質・履修者数を向上させるための体制・計画'!$A$1:$I$120</oldFormula>
  </rdn>
  <rdn rId="0" localSheetId="5" customView="1" name="Z_1F7DD307_FDAD_4F12_A71C_909420D0BA34_.wvu.PrintArea" hidden="1" oldHidden="1">
    <formula>'様式４　自己点検・評価'!$A$1:$I$22</formula>
    <oldFormula>'様式４　自己点検・評価'!$A$1:$I$22</oldFormula>
  </rdn>
  <rdn rId="0" localSheetId="5" customView="1" name="Z_1F7DD307_FDAD_4F12_A71C_909420D0BA34_.wvu.PrintTitles" hidden="1" oldHidden="1">
    <formula>'様式４　自己点検・評価'!$11:$11</formula>
    <oldFormula>'様式４　自己点検・評価'!$11:$11</oldFormula>
  </rdn>
  <rcv guid="{1F7DD307-FDAD-4F12-A71C-909420D0BA34}" action="add"/>
</revisions>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2">
  <userInfo guid="{2EAD15FA-E429-4BE6-BC1D-198EF2D6C821}" name="総合企画室" id="-1127651999" dateTime="2023-05-01T12:50:03"/>
  <userInfo guid="{7B190EF7-9059-4BE7-BFF3-F6F801C31824}" name="総合企画室" id="-1127671707" dateTime="2023-05-15T09:33:34"/>
</user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AAFD091-6886-4E7D-9EF3-37957E4D45A9}">
  <we:reference id="wa200003696" version="1.2.0.0" store="ja-JP" storeType="OMEX"/>
  <we:alternateReferences>
    <we:reference id="wa200003696" version="1.2.0.0" store="WA200003696"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xmlns="">
        <we:customFunctionIds>_xldudf_LABS_GENERATIVEAI</we:customFunctionIds>
      </we:customFunctionIdList>
    </a:ext>
  </we:extLst>
</we:webextension>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V110"/>
  <sheetViews>
    <sheetView showZeros="0" tabSelected="1" view="pageBreakPreview" zoomScaleNormal="100" zoomScaleSheetLayoutView="100" workbookViewId="0"/>
  </sheetViews>
  <sheetFormatPr defaultColWidth="9" defaultRowHeight="18.75" customHeight="1" x14ac:dyDescent="0.2"/>
  <cols>
    <col min="1" max="1" width="2.44140625" style="1" customWidth="1"/>
    <col min="2" max="2" width="16.44140625" style="1" customWidth="1"/>
    <col min="3" max="19" width="5.6640625" style="1" customWidth="1"/>
    <col min="20" max="20" width="9" style="1"/>
    <col min="21" max="21" width="3.6640625" style="1" customWidth="1"/>
    <col min="22" max="22" width="48.6640625" style="1" hidden="1" customWidth="1"/>
    <col min="23" max="16384" width="9" style="1"/>
  </cols>
  <sheetData>
    <row r="1" spans="1:22" ht="18.600000000000001" customHeight="1" x14ac:dyDescent="0.2">
      <c r="R1" s="103" t="s">
        <v>163</v>
      </c>
      <c r="S1" s="103"/>
      <c r="T1" s="2" t="s">
        <v>109</v>
      </c>
    </row>
    <row r="2" spans="1:22" ht="18.75" customHeight="1" x14ac:dyDescent="0.2">
      <c r="B2" s="32" t="s">
        <v>108</v>
      </c>
      <c r="C2" s="96" t="s">
        <v>126</v>
      </c>
      <c r="D2" s="97"/>
      <c r="E2" s="97"/>
      <c r="F2" s="97"/>
      <c r="G2" s="97"/>
      <c r="H2" s="97"/>
      <c r="I2" s="98"/>
      <c r="J2" s="33"/>
      <c r="K2" s="6"/>
      <c r="L2" s="6"/>
      <c r="M2" s="6"/>
      <c r="N2" s="6"/>
      <c r="O2" s="6"/>
      <c r="P2" s="6"/>
      <c r="Q2" s="6"/>
      <c r="R2" s="6"/>
      <c r="S2" s="6"/>
    </row>
    <row r="3" spans="1:22" ht="18.75" customHeight="1" x14ac:dyDescent="0.2">
      <c r="B3" s="32" t="s">
        <v>102</v>
      </c>
      <c r="C3" s="96" t="s">
        <v>127</v>
      </c>
      <c r="D3" s="97"/>
      <c r="E3" s="97"/>
      <c r="F3" s="97"/>
      <c r="G3" s="97"/>
      <c r="H3" s="97"/>
      <c r="I3" s="98"/>
      <c r="J3" s="33"/>
      <c r="K3" s="6"/>
      <c r="L3" s="6"/>
      <c r="M3" s="6"/>
      <c r="N3" s="6"/>
      <c r="O3" s="6"/>
      <c r="P3" s="6"/>
      <c r="Q3" s="6"/>
      <c r="R3" s="6"/>
      <c r="S3" s="6"/>
    </row>
    <row r="4" spans="1:22" ht="15" customHeight="1" x14ac:dyDescent="0.2">
      <c r="K4" s="33"/>
      <c r="L4" s="35"/>
      <c r="M4" s="35"/>
      <c r="N4" s="35"/>
      <c r="O4" s="35"/>
      <c r="P4" s="35"/>
      <c r="Q4" s="35"/>
      <c r="R4" s="35"/>
      <c r="S4" s="35"/>
    </row>
    <row r="5" spans="1:22" ht="18" customHeight="1" x14ac:dyDescent="0.2">
      <c r="A5" s="107" t="s">
        <v>38</v>
      </c>
      <c r="B5" s="107"/>
      <c r="C5" s="107"/>
      <c r="D5" s="107"/>
      <c r="E5" s="107"/>
      <c r="F5" s="107"/>
      <c r="G5" s="107"/>
      <c r="H5" s="107"/>
      <c r="I5" s="107"/>
      <c r="J5" s="107"/>
      <c r="K5" s="107"/>
      <c r="L5" s="107"/>
      <c r="M5" s="107"/>
      <c r="N5" s="107"/>
      <c r="O5" s="107"/>
      <c r="P5" s="107"/>
      <c r="Q5" s="107"/>
      <c r="R5" s="107"/>
      <c r="S5" s="107"/>
    </row>
    <row r="6" spans="1:22" ht="15" customHeight="1" x14ac:dyDescent="0.2">
      <c r="B6" s="3"/>
      <c r="C6" s="3"/>
      <c r="D6" s="3"/>
      <c r="E6" s="3"/>
      <c r="F6" s="3"/>
      <c r="G6" s="3"/>
      <c r="H6" s="3"/>
      <c r="I6" s="3"/>
      <c r="J6" s="3"/>
      <c r="K6" s="3"/>
      <c r="L6" s="3"/>
      <c r="M6" s="3"/>
      <c r="N6" s="3"/>
      <c r="O6" s="3"/>
      <c r="P6" s="3"/>
      <c r="Q6" s="3"/>
      <c r="R6" s="3"/>
      <c r="S6" s="3"/>
    </row>
    <row r="7" spans="1:22" ht="18" customHeight="1" x14ac:dyDescent="0.2">
      <c r="A7" s="1" t="s">
        <v>124</v>
      </c>
      <c r="C7" s="3"/>
      <c r="J7" s="36" t="s">
        <v>107</v>
      </c>
      <c r="K7" s="117" t="s">
        <v>143</v>
      </c>
      <c r="L7" s="118"/>
      <c r="M7" s="118"/>
      <c r="N7" s="118"/>
      <c r="O7" s="118"/>
      <c r="P7" s="118"/>
      <c r="Q7" s="118"/>
      <c r="R7" s="118"/>
      <c r="S7" s="119"/>
    </row>
    <row r="8" spans="1:22" ht="6" customHeight="1" x14ac:dyDescent="0.2">
      <c r="B8" s="3"/>
      <c r="C8" s="3"/>
      <c r="D8" s="3"/>
      <c r="E8" s="3"/>
      <c r="F8" s="3"/>
      <c r="G8" s="3"/>
      <c r="H8" s="3"/>
      <c r="I8" s="3"/>
      <c r="J8" s="3"/>
      <c r="K8" s="10"/>
      <c r="L8" s="3"/>
      <c r="M8" s="3"/>
      <c r="N8" s="3"/>
      <c r="O8" s="3"/>
      <c r="P8" s="3"/>
      <c r="Q8" s="3"/>
      <c r="R8" s="3"/>
      <c r="S8" s="3"/>
    </row>
    <row r="9" spans="1:22" ht="18" customHeight="1" x14ac:dyDescent="0.2">
      <c r="B9" s="84" t="s">
        <v>144</v>
      </c>
      <c r="C9" s="85"/>
      <c r="D9" s="85"/>
      <c r="E9" s="85"/>
      <c r="F9" s="85"/>
      <c r="G9" s="85"/>
      <c r="H9" s="85"/>
      <c r="I9" s="85"/>
      <c r="J9" s="85"/>
      <c r="K9" s="85"/>
      <c r="L9" s="85"/>
      <c r="M9" s="85"/>
      <c r="N9" s="85"/>
      <c r="O9" s="85"/>
      <c r="P9" s="85"/>
      <c r="Q9" s="85"/>
      <c r="R9" s="85"/>
      <c r="S9" s="86"/>
    </row>
    <row r="10" spans="1:22" ht="18" customHeight="1" x14ac:dyDescent="0.2">
      <c r="B10" s="87"/>
      <c r="C10" s="88"/>
      <c r="D10" s="88"/>
      <c r="E10" s="88"/>
      <c r="F10" s="88"/>
      <c r="G10" s="88"/>
      <c r="H10" s="88"/>
      <c r="I10" s="88"/>
      <c r="J10" s="88"/>
      <c r="K10" s="88"/>
      <c r="L10" s="88"/>
      <c r="M10" s="88"/>
      <c r="N10" s="88"/>
      <c r="O10" s="88"/>
      <c r="P10" s="88"/>
      <c r="Q10" s="88"/>
      <c r="R10" s="88"/>
      <c r="S10" s="89"/>
    </row>
    <row r="11" spans="1:22" ht="6" customHeight="1" x14ac:dyDescent="0.2">
      <c r="B11" s="3"/>
      <c r="C11" s="3"/>
      <c r="D11" s="3"/>
      <c r="E11" s="3"/>
      <c r="F11" s="3"/>
      <c r="G11" s="3"/>
      <c r="H11" s="3"/>
      <c r="I11" s="3"/>
      <c r="J11" s="3"/>
      <c r="K11" s="10"/>
      <c r="L11" s="3"/>
      <c r="M11" s="3"/>
      <c r="N11" s="3"/>
      <c r="O11" s="3"/>
      <c r="P11" s="3"/>
      <c r="Q11" s="3"/>
      <c r="R11" s="3"/>
      <c r="S11" s="3"/>
    </row>
    <row r="12" spans="1:22" ht="18" customHeight="1" x14ac:dyDescent="0.2">
      <c r="A12" s="1" t="s">
        <v>111</v>
      </c>
      <c r="B12" s="3"/>
      <c r="C12" s="3"/>
      <c r="D12" s="33"/>
      <c r="E12" s="33"/>
      <c r="F12" s="33"/>
      <c r="G12" s="33"/>
      <c r="H12" s="33"/>
      <c r="I12" s="33"/>
      <c r="J12" s="33"/>
      <c r="K12" s="37"/>
      <c r="L12" s="37"/>
      <c r="M12" s="37"/>
      <c r="N12" s="37"/>
      <c r="O12" s="37"/>
      <c r="P12" s="37"/>
      <c r="Q12" s="37"/>
      <c r="R12" s="37"/>
      <c r="S12" s="37"/>
    </row>
    <row r="13" spans="1:22" ht="18" customHeight="1" x14ac:dyDescent="0.2">
      <c r="B13" s="108" t="s">
        <v>141</v>
      </c>
      <c r="C13" s="109"/>
      <c r="D13" s="109"/>
      <c r="E13" s="109"/>
      <c r="F13" s="109"/>
      <c r="G13" s="109"/>
      <c r="H13" s="109"/>
      <c r="I13" s="109"/>
      <c r="J13" s="109"/>
      <c r="K13" s="109"/>
      <c r="L13" s="109"/>
      <c r="M13" s="109"/>
      <c r="N13" s="109"/>
      <c r="O13" s="109"/>
      <c r="P13" s="109"/>
      <c r="Q13" s="109"/>
      <c r="R13" s="109"/>
      <c r="S13" s="110"/>
      <c r="V13" s="1" t="s">
        <v>103</v>
      </c>
    </row>
    <row r="14" spans="1:22" ht="18" customHeight="1" x14ac:dyDescent="0.2">
      <c r="B14" s="111"/>
      <c r="C14" s="112"/>
      <c r="D14" s="112"/>
      <c r="E14" s="112"/>
      <c r="F14" s="112"/>
      <c r="G14" s="112"/>
      <c r="H14" s="112"/>
      <c r="I14" s="112"/>
      <c r="J14" s="112"/>
      <c r="K14" s="112"/>
      <c r="L14" s="112"/>
      <c r="M14" s="112"/>
      <c r="N14" s="112"/>
      <c r="O14" s="112"/>
      <c r="P14" s="112"/>
      <c r="Q14" s="112"/>
      <c r="R14" s="112"/>
      <c r="S14" s="113"/>
      <c r="V14" s="1" t="s">
        <v>110</v>
      </c>
    </row>
    <row r="15" spans="1:22" ht="18" customHeight="1" x14ac:dyDescent="0.2">
      <c r="B15" s="111"/>
      <c r="C15" s="112"/>
      <c r="D15" s="112"/>
      <c r="E15" s="112"/>
      <c r="F15" s="112"/>
      <c r="G15" s="112"/>
      <c r="H15" s="112"/>
      <c r="I15" s="112"/>
      <c r="J15" s="112"/>
      <c r="K15" s="112"/>
      <c r="L15" s="112"/>
      <c r="M15" s="112"/>
      <c r="N15" s="112"/>
      <c r="O15" s="112"/>
      <c r="P15" s="112"/>
      <c r="Q15" s="112"/>
      <c r="R15" s="112"/>
      <c r="S15" s="113"/>
      <c r="V15" s="1" t="s">
        <v>123</v>
      </c>
    </row>
    <row r="16" spans="1:22" ht="18" customHeight="1" x14ac:dyDescent="0.2">
      <c r="B16" s="111"/>
      <c r="C16" s="112"/>
      <c r="D16" s="112"/>
      <c r="E16" s="112"/>
      <c r="F16" s="112"/>
      <c r="G16" s="112"/>
      <c r="H16" s="112"/>
      <c r="I16" s="112"/>
      <c r="J16" s="112"/>
      <c r="K16" s="112"/>
      <c r="L16" s="112"/>
      <c r="M16" s="112"/>
      <c r="N16" s="112"/>
      <c r="O16" s="112"/>
      <c r="P16" s="112"/>
      <c r="Q16" s="112"/>
      <c r="R16" s="112"/>
      <c r="S16" s="113"/>
      <c r="V16" s="1" t="s">
        <v>125</v>
      </c>
    </row>
    <row r="17" spans="1:19" ht="18" customHeight="1" x14ac:dyDescent="0.2">
      <c r="B17" s="111"/>
      <c r="C17" s="112"/>
      <c r="D17" s="112"/>
      <c r="E17" s="112"/>
      <c r="F17" s="112"/>
      <c r="G17" s="112"/>
      <c r="H17" s="112"/>
      <c r="I17" s="112"/>
      <c r="J17" s="112"/>
      <c r="K17" s="112"/>
      <c r="L17" s="112"/>
      <c r="M17" s="112"/>
      <c r="N17" s="112"/>
      <c r="O17" s="112"/>
      <c r="P17" s="112"/>
      <c r="Q17" s="112"/>
      <c r="R17" s="112"/>
      <c r="S17" s="113"/>
    </row>
    <row r="18" spans="1:19" ht="18" customHeight="1" x14ac:dyDescent="0.2">
      <c r="B18" s="114"/>
      <c r="C18" s="115"/>
      <c r="D18" s="115"/>
      <c r="E18" s="115"/>
      <c r="F18" s="115"/>
      <c r="G18" s="115"/>
      <c r="H18" s="115"/>
      <c r="I18" s="115"/>
      <c r="J18" s="115"/>
      <c r="K18" s="115"/>
      <c r="L18" s="115"/>
      <c r="M18" s="115"/>
      <c r="N18" s="115"/>
      <c r="O18" s="115"/>
      <c r="P18" s="115"/>
      <c r="Q18" s="115"/>
      <c r="R18" s="115"/>
      <c r="S18" s="116"/>
    </row>
    <row r="19" spans="1:19" ht="7.5" customHeight="1" x14ac:dyDescent="0.2">
      <c r="B19" s="3"/>
      <c r="C19" s="3"/>
      <c r="D19" s="3"/>
      <c r="E19" s="3"/>
      <c r="F19" s="3"/>
      <c r="G19" s="3"/>
      <c r="H19" s="3"/>
      <c r="I19" s="3"/>
      <c r="J19" s="3"/>
      <c r="K19" s="3"/>
      <c r="L19" s="3"/>
      <c r="M19" s="3"/>
      <c r="N19" s="3"/>
      <c r="O19" s="3"/>
      <c r="P19" s="3"/>
      <c r="Q19" s="3"/>
      <c r="R19" s="3"/>
      <c r="S19" s="3"/>
    </row>
    <row r="20" spans="1:19" ht="19.95" customHeight="1" x14ac:dyDescent="0.2">
      <c r="B20" s="1" t="s">
        <v>112</v>
      </c>
      <c r="C20" s="96">
        <v>3</v>
      </c>
      <c r="D20" s="98"/>
      <c r="E20" s="38" t="s">
        <v>95</v>
      </c>
      <c r="G20" s="10"/>
      <c r="H20" s="3"/>
      <c r="I20" s="3"/>
      <c r="J20" s="33" t="s">
        <v>121</v>
      </c>
      <c r="K20" s="104" t="s">
        <v>125</v>
      </c>
      <c r="L20" s="105"/>
      <c r="M20" s="105"/>
      <c r="N20" s="105"/>
      <c r="O20" s="105"/>
      <c r="P20" s="105"/>
      <c r="Q20" s="105"/>
      <c r="R20" s="105"/>
      <c r="S20" s="106"/>
    </row>
    <row r="21" spans="1:19" ht="7.5" customHeight="1" x14ac:dyDescent="0.2">
      <c r="B21" s="3"/>
      <c r="C21" s="3"/>
      <c r="D21" s="3"/>
      <c r="E21" s="3"/>
      <c r="F21" s="3"/>
      <c r="G21" s="3"/>
      <c r="H21" s="3"/>
      <c r="I21" s="3"/>
      <c r="J21" s="3"/>
      <c r="K21" s="3"/>
      <c r="L21" s="3"/>
      <c r="M21" s="3"/>
      <c r="N21" s="3"/>
      <c r="O21" s="3"/>
      <c r="P21" s="3"/>
      <c r="Q21" s="3"/>
      <c r="R21" s="3"/>
      <c r="S21" s="3"/>
    </row>
    <row r="22" spans="1:19" ht="18" customHeight="1" x14ac:dyDescent="0.2">
      <c r="A22" s="99" t="s">
        <v>113</v>
      </c>
      <c r="B22" s="99"/>
      <c r="C22" s="99"/>
      <c r="D22" s="99"/>
      <c r="E22" s="99"/>
      <c r="F22" s="99"/>
      <c r="G22" s="99"/>
      <c r="H22" s="99"/>
      <c r="I22" s="99"/>
      <c r="J22" s="99"/>
      <c r="K22" s="99"/>
      <c r="L22" s="99"/>
      <c r="M22" s="99"/>
      <c r="N22" s="99"/>
      <c r="O22" s="99"/>
      <c r="P22" s="99"/>
      <c r="Q22" s="99"/>
      <c r="R22" s="99"/>
      <c r="S22" s="99"/>
    </row>
    <row r="23" spans="1:19" ht="18" customHeight="1" x14ac:dyDescent="0.2">
      <c r="A23" s="99"/>
      <c r="B23" s="99"/>
      <c r="C23" s="99"/>
      <c r="D23" s="99"/>
      <c r="E23" s="99"/>
      <c r="F23" s="99"/>
      <c r="G23" s="99"/>
      <c r="H23" s="99"/>
      <c r="I23" s="99"/>
      <c r="J23" s="99"/>
      <c r="K23" s="99"/>
      <c r="L23" s="99"/>
      <c r="M23" s="99"/>
      <c r="N23" s="99"/>
      <c r="O23" s="99"/>
      <c r="P23" s="99"/>
      <c r="Q23" s="99"/>
      <c r="R23" s="99"/>
      <c r="S23" s="99"/>
    </row>
    <row r="24" spans="1:19" ht="18" customHeight="1" x14ac:dyDescent="0.2">
      <c r="B24" s="96" t="s">
        <v>53</v>
      </c>
      <c r="C24" s="97"/>
      <c r="D24" s="97"/>
      <c r="E24" s="98"/>
      <c r="F24" s="58" t="s">
        <v>80</v>
      </c>
      <c r="G24" s="57" t="s">
        <v>84</v>
      </c>
      <c r="H24" s="20" t="s">
        <v>56</v>
      </c>
      <c r="I24" s="20" t="s">
        <v>59</v>
      </c>
      <c r="J24" s="96" t="s">
        <v>53</v>
      </c>
      <c r="K24" s="97"/>
      <c r="L24" s="97"/>
      <c r="M24" s="97"/>
      <c r="N24" s="97"/>
      <c r="O24" s="98"/>
      <c r="P24" s="58" t="s">
        <v>80</v>
      </c>
      <c r="Q24" s="57" t="s">
        <v>84</v>
      </c>
      <c r="R24" s="20" t="s">
        <v>56</v>
      </c>
      <c r="S24" s="20" t="s">
        <v>59</v>
      </c>
    </row>
    <row r="25" spans="1:19" ht="18" customHeight="1" x14ac:dyDescent="0.2">
      <c r="B25" s="100" t="s">
        <v>128</v>
      </c>
      <c r="C25" s="101"/>
      <c r="D25" s="101"/>
      <c r="E25" s="102"/>
      <c r="F25" s="21">
        <v>2</v>
      </c>
      <c r="G25" s="21" t="s">
        <v>129</v>
      </c>
      <c r="H25" s="21" t="s">
        <v>129</v>
      </c>
      <c r="I25" s="21" t="s">
        <v>129</v>
      </c>
      <c r="J25" s="100"/>
      <c r="K25" s="101"/>
      <c r="L25" s="101"/>
      <c r="M25" s="101"/>
      <c r="N25" s="101"/>
      <c r="O25" s="102"/>
      <c r="P25" s="21"/>
      <c r="Q25" s="21"/>
      <c r="R25" s="21"/>
      <c r="S25" s="21"/>
    </row>
    <row r="26" spans="1:19" ht="18" customHeight="1" x14ac:dyDescent="0.2">
      <c r="B26" s="90"/>
      <c r="C26" s="91"/>
      <c r="D26" s="91"/>
      <c r="E26" s="92"/>
      <c r="F26" s="22"/>
      <c r="G26" s="22"/>
      <c r="H26" s="22"/>
      <c r="I26" s="22"/>
      <c r="J26" s="90"/>
      <c r="K26" s="91"/>
      <c r="L26" s="91"/>
      <c r="M26" s="91"/>
      <c r="N26" s="91"/>
      <c r="O26" s="92"/>
      <c r="P26" s="22"/>
      <c r="Q26" s="22"/>
      <c r="R26" s="22"/>
      <c r="S26" s="22"/>
    </row>
    <row r="27" spans="1:19" ht="18" customHeight="1" x14ac:dyDescent="0.2">
      <c r="B27" s="90"/>
      <c r="C27" s="91"/>
      <c r="D27" s="91"/>
      <c r="E27" s="92"/>
      <c r="F27" s="22"/>
      <c r="G27" s="22"/>
      <c r="H27" s="22"/>
      <c r="I27" s="22"/>
      <c r="J27" s="90"/>
      <c r="K27" s="91"/>
      <c r="L27" s="91"/>
      <c r="M27" s="91"/>
      <c r="N27" s="91"/>
      <c r="O27" s="92"/>
      <c r="P27" s="22"/>
      <c r="Q27" s="22"/>
      <c r="R27" s="22"/>
      <c r="S27" s="22"/>
    </row>
    <row r="28" spans="1:19" ht="18" customHeight="1" x14ac:dyDescent="0.2">
      <c r="B28" s="90"/>
      <c r="C28" s="91"/>
      <c r="D28" s="91"/>
      <c r="E28" s="92"/>
      <c r="F28" s="22"/>
      <c r="G28" s="22"/>
      <c r="H28" s="22"/>
      <c r="I28" s="22"/>
      <c r="J28" s="90"/>
      <c r="K28" s="91"/>
      <c r="L28" s="91"/>
      <c r="M28" s="91"/>
      <c r="N28" s="91"/>
      <c r="O28" s="92"/>
      <c r="P28" s="22"/>
      <c r="Q28" s="22"/>
      <c r="R28" s="22"/>
      <c r="S28" s="22"/>
    </row>
    <row r="29" spans="1:19" ht="18" customHeight="1" x14ac:dyDescent="0.2">
      <c r="B29" s="90"/>
      <c r="C29" s="91"/>
      <c r="D29" s="91"/>
      <c r="E29" s="92"/>
      <c r="F29" s="22"/>
      <c r="G29" s="22"/>
      <c r="H29" s="22"/>
      <c r="I29" s="22"/>
      <c r="J29" s="90"/>
      <c r="K29" s="91"/>
      <c r="L29" s="91"/>
      <c r="M29" s="91"/>
      <c r="N29" s="91"/>
      <c r="O29" s="92"/>
      <c r="P29" s="22"/>
      <c r="Q29" s="22"/>
      <c r="R29" s="22"/>
      <c r="S29" s="22"/>
    </row>
    <row r="30" spans="1:19" ht="18" customHeight="1" x14ac:dyDescent="0.2">
      <c r="A30" s="3"/>
      <c r="B30" s="90"/>
      <c r="C30" s="91"/>
      <c r="D30" s="91"/>
      <c r="E30" s="92"/>
      <c r="F30" s="22"/>
      <c r="G30" s="22"/>
      <c r="H30" s="22"/>
      <c r="I30" s="22"/>
      <c r="J30" s="90"/>
      <c r="K30" s="91"/>
      <c r="L30" s="91"/>
      <c r="M30" s="91"/>
      <c r="N30" s="91"/>
      <c r="O30" s="92"/>
      <c r="P30" s="22"/>
      <c r="Q30" s="22"/>
      <c r="R30" s="22"/>
      <c r="S30" s="22"/>
    </row>
    <row r="31" spans="1:19" ht="18" customHeight="1" x14ac:dyDescent="0.2">
      <c r="A31" s="3"/>
      <c r="B31" s="93"/>
      <c r="C31" s="94"/>
      <c r="D31" s="94"/>
      <c r="E31" s="95"/>
      <c r="F31" s="23"/>
      <c r="G31" s="23"/>
      <c r="H31" s="24"/>
      <c r="I31" s="24"/>
      <c r="J31" s="93"/>
      <c r="K31" s="94"/>
      <c r="L31" s="94"/>
      <c r="M31" s="94"/>
      <c r="N31" s="94"/>
      <c r="O31" s="95"/>
      <c r="P31" s="23"/>
      <c r="Q31" s="23"/>
      <c r="R31" s="24"/>
      <c r="S31" s="24"/>
    </row>
    <row r="32" spans="1:19" ht="7.5" customHeight="1" x14ac:dyDescent="0.2">
      <c r="A32" s="3"/>
      <c r="B32" s="6"/>
      <c r="C32" s="6"/>
      <c r="D32" s="3"/>
      <c r="E32" s="3"/>
      <c r="F32" s="3"/>
      <c r="G32" s="3"/>
      <c r="H32" s="6"/>
      <c r="I32" s="6"/>
      <c r="J32" s="6"/>
      <c r="K32" s="6"/>
      <c r="L32" s="6"/>
      <c r="M32" s="6"/>
      <c r="N32" s="6"/>
      <c r="O32" s="6"/>
      <c r="P32" s="6"/>
      <c r="Q32" s="6"/>
      <c r="R32" s="6"/>
      <c r="S32" s="3"/>
    </row>
    <row r="33" spans="1:19" ht="18" customHeight="1" x14ac:dyDescent="0.2">
      <c r="A33" s="99" t="s">
        <v>114</v>
      </c>
      <c r="B33" s="99"/>
      <c r="C33" s="99"/>
      <c r="D33" s="99"/>
      <c r="E33" s="99"/>
      <c r="F33" s="99"/>
      <c r="G33" s="99"/>
      <c r="H33" s="99"/>
      <c r="I33" s="99"/>
      <c r="J33" s="99"/>
      <c r="K33" s="99"/>
      <c r="L33" s="99"/>
      <c r="M33" s="99"/>
      <c r="N33" s="99"/>
      <c r="O33" s="99"/>
      <c r="P33" s="99"/>
      <c r="Q33" s="99"/>
      <c r="R33" s="99"/>
      <c r="S33" s="99"/>
    </row>
    <row r="34" spans="1:19" ht="18" customHeight="1" x14ac:dyDescent="0.2">
      <c r="A34" s="99"/>
      <c r="B34" s="99"/>
      <c r="C34" s="99"/>
      <c r="D34" s="99"/>
      <c r="E34" s="99"/>
      <c r="F34" s="99"/>
      <c r="G34" s="99"/>
      <c r="H34" s="99"/>
      <c r="I34" s="99"/>
      <c r="J34" s="99"/>
      <c r="K34" s="99"/>
      <c r="L34" s="99"/>
      <c r="M34" s="99"/>
      <c r="N34" s="99"/>
      <c r="O34" s="99"/>
      <c r="P34" s="99"/>
      <c r="Q34" s="99"/>
      <c r="R34" s="99"/>
      <c r="S34" s="99"/>
    </row>
    <row r="35" spans="1:19" ht="18" customHeight="1" x14ac:dyDescent="0.2">
      <c r="B35" s="96" t="s">
        <v>53</v>
      </c>
      <c r="C35" s="97"/>
      <c r="D35" s="97"/>
      <c r="E35" s="98"/>
      <c r="F35" s="58" t="s">
        <v>80</v>
      </c>
      <c r="G35" s="57" t="s">
        <v>84</v>
      </c>
      <c r="H35" s="20" t="s">
        <v>71</v>
      </c>
      <c r="I35" s="20" t="s">
        <v>72</v>
      </c>
      <c r="J35" s="96" t="s">
        <v>53</v>
      </c>
      <c r="K35" s="97"/>
      <c r="L35" s="97"/>
      <c r="M35" s="97"/>
      <c r="N35" s="97"/>
      <c r="O35" s="98"/>
      <c r="P35" s="58" t="s">
        <v>80</v>
      </c>
      <c r="Q35" s="57" t="s">
        <v>84</v>
      </c>
      <c r="R35" s="20" t="s">
        <v>71</v>
      </c>
      <c r="S35" s="20" t="s">
        <v>72</v>
      </c>
    </row>
    <row r="36" spans="1:19" ht="18" customHeight="1" x14ac:dyDescent="0.2">
      <c r="B36" s="100" t="s">
        <v>130</v>
      </c>
      <c r="C36" s="101"/>
      <c r="D36" s="101"/>
      <c r="E36" s="102"/>
      <c r="F36" s="21">
        <v>2</v>
      </c>
      <c r="G36" s="21" t="s">
        <v>129</v>
      </c>
      <c r="H36" s="21" t="s">
        <v>129</v>
      </c>
      <c r="I36" s="21" t="s">
        <v>129</v>
      </c>
      <c r="J36" s="100"/>
      <c r="K36" s="101"/>
      <c r="L36" s="101"/>
      <c r="M36" s="101"/>
      <c r="N36" s="101"/>
      <c r="O36" s="102"/>
      <c r="P36" s="21"/>
      <c r="Q36" s="21"/>
      <c r="R36" s="21"/>
      <c r="S36" s="21"/>
    </row>
    <row r="37" spans="1:19" ht="18" customHeight="1" x14ac:dyDescent="0.2">
      <c r="B37" s="90"/>
      <c r="C37" s="91"/>
      <c r="D37" s="91"/>
      <c r="E37" s="92"/>
      <c r="F37" s="22"/>
      <c r="G37" s="22"/>
      <c r="H37" s="22"/>
      <c r="I37" s="22"/>
      <c r="J37" s="90"/>
      <c r="K37" s="91"/>
      <c r="L37" s="91"/>
      <c r="M37" s="91"/>
      <c r="N37" s="91"/>
      <c r="O37" s="92"/>
      <c r="P37" s="22"/>
      <c r="Q37" s="22"/>
      <c r="R37" s="22"/>
      <c r="S37" s="22"/>
    </row>
    <row r="38" spans="1:19" ht="18" customHeight="1" x14ac:dyDescent="0.2">
      <c r="B38" s="90"/>
      <c r="C38" s="91"/>
      <c r="D38" s="91"/>
      <c r="E38" s="92"/>
      <c r="F38" s="22"/>
      <c r="G38" s="22"/>
      <c r="H38" s="22"/>
      <c r="I38" s="22"/>
      <c r="J38" s="90"/>
      <c r="K38" s="91"/>
      <c r="L38" s="91"/>
      <c r="M38" s="91"/>
      <c r="N38" s="91"/>
      <c r="O38" s="92"/>
      <c r="P38" s="22"/>
      <c r="Q38" s="22"/>
      <c r="R38" s="22"/>
      <c r="S38" s="22"/>
    </row>
    <row r="39" spans="1:19" ht="18" customHeight="1" x14ac:dyDescent="0.2">
      <c r="B39" s="90"/>
      <c r="C39" s="91"/>
      <c r="D39" s="91"/>
      <c r="E39" s="92"/>
      <c r="F39" s="22"/>
      <c r="G39" s="22"/>
      <c r="H39" s="22"/>
      <c r="I39" s="22"/>
      <c r="J39" s="90"/>
      <c r="K39" s="91"/>
      <c r="L39" s="91"/>
      <c r="M39" s="91"/>
      <c r="N39" s="91"/>
      <c r="O39" s="92"/>
      <c r="P39" s="22"/>
      <c r="Q39" s="22"/>
      <c r="R39" s="22"/>
      <c r="S39" s="22"/>
    </row>
    <row r="40" spans="1:19" ht="18" customHeight="1" x14ac:dyDescent="0.2">
      <c r="B40" s="90"/>
      <c r="C40" s="91"/>
      <c r="D40" s="91"/>
      <c r="E40" s="92"/>
      <c r="F40" s="22"/>
      <c r="G40" s="22"/>
      <c r="H40" s="22"/>
      <c r="I40" s="22"/>
      <c r="J40" s="90"/>
      <c r="K40" s="91"/>
      <c r="L40" s="91"/>
      <c r="M40" s="91"/>
      <c r="N40" s="91"/>
      <c r="O40" s="92"/>
      <c r="P40" s="22"/>
      <c r="Q40" s="22"/>
      <c r="R40" s="22"/>
      <c r="S40" s="22"/>
    </row>
    <row r="41" spans="1:19" ht="18" customHeight="1" x14ac:dyDescent="0.2">
      <c r="B41" s="90"/>
      <c r="C41" s="91"/>
      <c r="D41" s="91"/>
      <c r="E41" s="92"/>
      <c r="F41" s="22"/>
      <c r="G41" s="22"/>
      <c r="H41" s="22"/>
      <c r="I41" s="22"/>
      <c r="J41" s="90"/>
      <c r="K41" s="91"/>
      <c r="L41" s="91"/>
      <c r="M41" s="91"/>
      <c r="N41" s="91"/>
      <c r="O41" s="92"/>
      <c r="P41" s="22"/>
      <c r="Q41" s="22"/>
      <c r="R41" s="22"/>
      <c r="S41" s="22"/>
    </row>
    <row r="42" spans="1:19" ht="18" customHeight="1" x14ac:dyDescent="0.2">
      <c r="B42" s="93"/>
      <c r="C42" s="94"/>
      <c r="D42" s="94"/>
      <c r="E42" s="95"/>
      <c r="F42" s="23"/>
      <c r="G42" s="23"/>
      <c r="H42" s="24"/>
      <c r="I42" s="24"/>
      <c r="J42" s="93"/>
      <c r="K42" s="94"/>
      <c r="L42" s="94"/>
      <c r="M42" s="94"/>
      <c r="N42" s="94"/>
      <c r="O42" s="95"/>
      <c r="P42" s="23"/>
      <c r="Q42" s="23"/>
      <c r="R42" s="24"/>
      <c r="S42" s="24"/>
    </row>
    <row r="43" spans="1:19" ht="7.5" customHeight="1" x14ac:dyDescent="0.2">
      <c r="A43" s="3"/>
      <c r="B43" s="6"/>
      <c r="C43" s="6"/>
      <c r="D43" s="3"/>
      <c r="E43" s="3"/>
      <c r="F43" s="3"/>
      <c r="G43" s="3"/>
      <c r="H43" s="6"/>
      <c r="I43" s="6"/>
      <c r="J43" s="6"/>
      <c r="K43" s="6"/>
      <c r="L43" s="6"/>
      <c r="M43" s="6"/>
      <c r="N43" s="6"/>
      <c r="O43" s="6"/>
      <c r="P43" s="6"/>
      <c r="Q43" s="6"/>
      <c r="R43" s="6"/>
      <c r="S43" s="3"/>
    </row>
    <row r="44" spans="1:19" ht="18" customHeight="1" x14ac:dyDescent="0.2">
      <c r="A44" s="99" t="s">
        <v>115</v>
      </c>
      <c r="B44" s="99"/>
      <c r="C44" s="99"/>
      <c r="D44" s="99"/>
      <c r="E44" s="99"/>
      <c r="F44" s="99"/>
      <c r="G44" s="99"/>
      <c r="H44" s="99"/>
      <c r="I44" s="99"/>
      <c r="J44" s="99"/>
      <c r="K44" s="99"/>
      <c r="L44" s="99"/>
      <c r="M44" s="99"/>
      <c r="N44" s="99"/>
      <c r="O44" s="99"/>
      <c r="P44" s="99"/>
      <c r="Q44" s="99"/>
      <c r="R44" s="99"/>
      <c r="S44" s="99"/>
    </row>
    <row r="45" spans="1:19" ht="18" customHeight="1" x14ac:dyDescent="0.2">
      <c r="A45" s="99"/>
      <c r="B45" s="99"/>
      <c r="C45" s="99"/>
      <c r="D45" s="99"/>
      <c r="E45" s="99"/>
      <c r="F45" s="99"/>
      <c r="G45" s="99"/>
      <c r="H45" s="99"/>
      <c r="I45" s="99"/>
      <c r="J45" s="99"/>
      <c r="K45" s="99"/>
      <c r="L45" s="99"/>
      <c r="M45" s="99"/>
      <c r="N45" s="99"/>
      <c r="O45" s="99"/>
      <c r="P45" s="99"/>
      <c r="Q45" s="99"/>
      <c r="R45" s="99"/>
      <c r="S45" s="99"/>
    </row>
    <row r="46" spans="1:19" ht="18" customHeight="1" x14ac:dyDescent="0.2">
      <c r="B46" s="96" t="s">
        <v>53</v>
      </c>
      <c r="C46" s="97"/>
      <c r="D46" s="97"/>
      <c r="E46" s="98"/>
      <c r="F46" s="58" t="s">
        <v>80</v>
      </c>
      <c r="G46" s="57" t="s">
        <v>84</v>
      </c>
      <c r="H46" s="20" t="s">
        <v>73</v>
      </c>
      <c r="I46" s="20" t="s">
        <v>74</v>
      </c>
      <c r="J46" s="96" t="s">
        <v>53</v>
      </c>
      <c r="K46" s="97"/>
      <c r="L46" s="97"/>
      <c r="M46" s="97"/>
      <c r="N46" s="97"/>
      <c r="O46" s="98"/>
      <c r="P46" s="58" t="s">
        <v>80</v>
      </c>
      <c r="Q46" s="57" t="s">
        <v>84</v>
      </c>
      <c r="R46" s="20" t="s">
        <v>73</v>
      </c>
      <c r="S46" s="20" t="s">
        <v>74</v>
      </c>
    </row>
    <row r="47" spans="1:19" ht="18" customHeight="1" x14ac:dyDescent="0.2">
      <c r="A47" s="3"/>
      <c r="B47" s="100" t="s">
        <v>130</v>
      </c>
      <c r="C47" s="101"/>
      <c r="D47" s="101"/>
      <c r="E47" s="102"/>
      <c r="F47" s="21">
        <v>2</v>
      </c>
      <c r="G47" s="21" t="s">
        <v>129</v>
      </c>
      <c r="H47" s="21" t="s">
        <v>129</v>
      </c>
      <c r="I47" s="21" t="s">
        <v>129</v>
      </c>
      <c r="J47" s="100"/>
      <c r="K47" s="101"/>
      <c r="L47" s="101"/>
      <c r="M47" s="101"/>
      <c r="N47" s="101"/>
      <c r="O47" s="102"/>
      <c r="P47" s="21"/>
      <c r="Q47" s="21"/>
      <c r="R47" s="21"/>
      <c r="S47" s="21"/>
    </row>
    <row r="48" spans="1:19" ht="18" customHeight="1" x14ac:dyDescent="0.2">
      <c r="A48" s="3"/>
      <c r="B48" s="90"/>
      <c r="C48" s="91"/>
      <c r="D48" s="91"/>
      <c r="E48" s="92"/>
      <c r="F48" s="22"/>
      <c r="G48" s="22"/>
      <c r="H48" s="22"/>
      <c r="I48" s="22"/>
      <c r="J48" s="90"/>
      <c r="K48" s="91"/>
      <c r="L48" s="91"/>
      <c r="M48" s="91"/>
      <c r="N48" s="91"/>
      <c r="O48" s="92"/>
      <c r="P48" s="22"/>
      <c r="Q48" s="22"/>
      <c r="R48" s="22"/>
      <c r="S48" s="22"/>
    </row>
    <row r="49" spans="1:19" ht="18" customHeight="1" x14ac:dyDescent="0.2">
      <c r="A49" s="3"/>
      <c r="B49" s="90"/>
      <c r="C49" s="91"/>
      <c r="D49" s="91"/>
      <c r="E49" s="92"/>
      <c r="F49" s="22"/>
      <c r="G49" s="22"/>
      <c r="H49" s="22"/>
      <c r="I49" s="22"/>
      <c r="J49" s="90"/>
      <c r="K49" s="91"/>
      <c r="L49" s="91"/>
      <c r="M49" s="91"/>
      <c r="N49" s="91"/>
      <c r="O49" s="92"/>
      <c r="P49" s="22"/>
      <c r="Q49" s="22"/>
      <c r="R49" s="22"/>
      <c r="S49" s="22"/>
    </row>
    <row r="50" spans="1:19" ht="18" customHeight="1" x14ac:dyDescent="0.2">
      <c r="A50" s="3"/>
      <c r="B50" s="90"/>
      <c r="C50" s="91"/>
      <c r="D50" s="91"/>
      <c r="E50" s="92"/>
      <c r="F50" s="22"/>
      <c r="G50" s="22"/>
      <c r="H50" s="22"/>
      <c r="I50" s="22"/>
      <c r="J50" s="90"/>
      <c r="K50" s="91"/>
      <c r="L50" s="91"/>
      <c r="M50" s="91"/>
      <c r="N50" s="91"/>
      <c r="O50" s="92"/>
      <c r="P50" s="22"/>
      <c r="Q50" s="22"/>
      <c r="R50" s="22"/>
      <c r="S50" s="22"/>
    </row>
    <row r="51" spans="1:19" ht="18" customHeight="1" x14ac:dyDescent="0.2">
      <c r="A51" s="3"/>
      <c r="B51" s="90"/>
      <c r="C51" s="91"/>
      <c r="D51" s="91"/>
      <c r="E51" s="92"/>
      <c r="F51" s="22"/>
      <c r="G51" s="22"/>
      <c r="H51" s="22"/>
      <c r="I51" s="22"/>
      <c r="J51" s="90"/>
      <c r="K51" s="91"/>
      <c r="L51" s="91"/>
      <c r="M51" s="91"/>
      <c r="N51" s="91"/>
      <c r="O51" s="92"/>
      <c r="P51" s="22"/>
      <c r="Q51" s="22"/>
      <c r="R51" s="22"/>
      <c r="S51" s="22"/>
    </row>
    <row r="52" spans="1:19" ht="18" customHeight="1" x14ac:dyDescent="0.2">
      <c r="A52" s="3"/>
      <c r="B52" s="90"/>
      <c r="C52" s="91"/>
      <c r="D52" s="91"/>
      <c r="E52" s="92"/>
      <c r="F52" s="22"/>
      <c r="G52" s="22"/>
      <c r="H52" s="22"/>
      <c r="I52" s="22"/>
      <c r="J52" s="90"/>
      <c r="K52" s="91"/>
      <c r="L52" s="91"/>
      <c r="M52" s="91"/>
      <c r="N52" s="91"/>
      <c r="O52" s="92"/>
      <c r="P52" s="22"/>
      <c r="Q52" s="22"/>
      <c r="R52" s="22"/>
      <c r="S52" s="22"/>
    </row>
    <row r="53" spans="1:19" ht="18" customHeight="1" x14ac:dyDescent="0.2">
      <c r="A53" s="3"/>
      <c r="B53" s="93"/>
      <c r="C53" s="94"/>
      <c r="D53" s="94"/>
      <c r="E53" s="95"/>
      <c r="F53" s="23"/>
      <c r="G53" s="23"/>
      <c r="H53" s="24"/>
      <c r="I53" s="24"/>
      <c r="J53" s="93"/>
      <c r="K53" s="94"/>
      <c r="L53" s="94"/>
      <c r="M53" s="94"/>
      <c r="N53" s="94"/>
      <c r="O53" s="95"/>
      <c r="P53" s="23"/>
      <c r="Q53" s="23"/>
      <c r="R53" s="24"/>
      <c r="S53" s="24"/>
    </row>
    <row r="54" spans="1:19" ht="7.5" customHeight="1" x14ac:dyDescent="0.2">
      <c r="B54" s="15"/>
      <c r="C54" s="15"/>
      <c r="D54" s="15"/>
      <c r="E54" s="15"/>
      <c r="F54" s="15"/>
      <c r="G54" s="15"/>
      <c r="H54" s="15"/>
      <c r="I54" s="15"/>
      <c r="J54" s="15"/>
      <c r="K54" s="15"/>
      <c r="L54" s="15"/>
      <c r="M54" s="15"/>
      <c r="N54" s="15"/>
      <c r="O54" s="15"/>
      <c r="P54" s="15"/>
      <c r="Q54" s="15"/>
      <c r="R54" s="15"/>
    </row>
    <row r="55" spans="1:19" ht="18" customHeight="1" x14ac:dyDescent="0.2">
      <c r="A55" s="99" t="s">
        <v>116</v>
      </c>
      <c r="B55" s="99"/>
      <c r="C55" s="99"/>
      <c r="D55" s="99"/>
      <c r="E55" s="99"/>
      <c r="F55" s="99"/>
      <c r="G55" s="99"/>
      <c r="H55" s="99"/>
      <c r="I55" s="99"/>
      <c r="J55" s="99"/>
      <c r="K55" s="99"/>
      <c r="L55" s="99"/>
      <c r="M55" s="99"/>
      <c r="N55" s="99"/>
      <c r="O55" s="99"/>
      <c r="P55" s="99"/>
      <c r="Q55" s="99"/>
      <c r="R55" s="99"/>
      <c r="S55" s="99"/>
    </row>
    <row r="56" spans="1:19" ht="18" customHeight="1" x14ac:dyDescent="0.2">
      <c r="A56" s="99"/>
      <c r="B56" s="99"/>
      <c r="C56" s="99"/>
      <c r="D56" s="99"/>
      <c r="E56" s="99"/>
      <c r="F56" s="99"/>
      <c r="G56" s="99"/>
      <c r="H56" s="99"/>
      <c r="I56" s="99"/>
      <c r="J56" s="99"/>
      <c r="K56" s="99"/>
      <c r="L56" s="99"/>
      <c r="M56" s="99"/>
      <c r="N56" s="99"/>
      <c r="O56" s="99"/>
      <c r="P56" s="99"/>
      <c r="Q56" s="99"/>
      <c r="R56" s="99"/>
      <c r="S56" s="99"/>
    </row>
    <row r="57" spans="1:19" ht="18" customHeight="1" x14ac:dyDescent="0.2">
      <c r="B57" s="96" t="s">
        <v>53</v>
      </c>
      <c r="C57" s="97"/>
      <c r="D57" s="97"/>
      <c r="E57" s="98"/>
      <c r="F57" s="58" t="s">
        <v>80</v>
      </c>
      <c r="G57" s="57" t="s">
        <v>84</v>
      </c>
      <c r="H57" s="20" t="s">
        <v>58</v>
      </c>
      <c r="I57" s="20" t="s">
        <v>60</v>
      </c>
      <c r="J57" s="96" t="s">
        <v>53</v>
      </c>
      <c r="K57" s="97"/>
      <c r="L57" s="97"/>
      <c r="M57" s="97"/>
      <c r="N57" s="97"/>
      <c r="O57" s="98"/>
      <c r="P57" s="58" t="s">
        <v>80</v>
      </c>
      <c r="Q57" s="57" t="s">
        <v>84</v>
      </c>
      <c r="R57" s="20" t="s">
        <v>58</v>
      </c>
      <c r="S57" s="20" t="s">
        <v>60</v>
      </c>
    </row>
    <row r="58" spans="1:19" ht="18" customHeight="1" x14ac:dyDescent="0.2">
      <c r="A58" s="3"/>
      <c r="B58" s="100" t="s">
        <v>130</v>
      </c>
      <c r="C58" s="101"/>
      <c r="D58" s="101"/>
      <c r="E58" s="102"/>
      <c r="F58" s="21">
        <v>2</v>
      </c>
      <c r="G58" s="21" t="s">
        <v>129</v>
      </c>
      <c r="H58" s="21" t="s">
        <v>129</v>
      </c>
      <c r="I58" s="21" t="s">
        <v>129</v>
      </c>
      <c r="J58" s="100"/>
      <c r="K58" s="101"/>
      <c r="L58" s="101"/>
      <c r="M58" s="101"/>
      <c r="N58" s="101"/>
      <c r="O58" s="102"/>
      <c r="P58" s="21"/>
      <c r="Q58" s="21"/>
      <c r="R58" s="21"/>
      <c r="S58" s="21"/>
    </row>
    <row r="59" spans="1:19" ht="18" customHeight="1" x14ac:dyDescent="0.2">
      <c r="A59" s="3"/>
      <c r="B59" s="90" t="s">
        <v>131</v>
      </c>
      <c r="C59" s="91"/>
      <c r="D59" s="91"/>
      <c r="E59" s="92"/>
      <c r="F59" s="81">
        <v>1</v>
      </c>
      <c r="G59" s="22" t="s">
        <v>129</v>
      </c>
      <c r="H59" s="22" t="s">
        <v>129</v>
      </c>
      <c r="I59" s="22" t="s">
        <v>129</v>
      </c>
      <c r="J59" s="90"/>
      <c r="K59" s="91"/>
      <c r="L59" s="91"/>
      <c r="M59" s="91"/>
      <c r="N59" s="91"/>
      <c r="O59" s="92"/>
      <c r="P59" s="22"/>
      <c r="Q59" s="22"/>
      <c r="R59" s="22"/>
      <c r="S59" s="22"/>
    </row>
    <row r="60" spans="1:19" ht="18" customHeight="1" x14ac:dyDescent="0.2">
      <c r="A60" s="3"/>
      <c r="B60" s="90"/>
      <c r="C60" s="91"/>
      <c r="D60" s="91"/>
      <c r="E60" s="92"/>
      <c r="F60" s="22"/>
      <c r="G60" s="22"/>
      <c r="H60" s="22"/>
      <c r="I60" s="22"/>
      <c r="J60" s="90"/>
      <c r="K60" s="91"/>
      <c r="L60" s="91"/>
      <c r="M60" s="91"/>
      <c r="N60" s="91"/>
      <c r="O60" s="92"/>
      <c r="P60" s="22"/>
      <c r="Q60" s="22"/>
      <c r="R60" s="22"/>
      <c r="S60" s="22"/>
    </row>
    <row r="61" spans="1:19" ht="18" customHeight="1" x14ac:dyDescent="0.2">
      <c r="A61" s="3"/>
      <c r="B61" s="90"/>
      <c r="C61" s="91"/>
      <c r="D61" s="91"/>
      <c r="E61" s="92"/>
      <c r="F61" s="22"/>
      <c r="G61" s="22"/>
      <c r="H61" s="22"/>
      <c r="I61" s="22"/>
      <c r="J61" s="90"/>
      <c r="K61" s="91"/>
      <c r="L61" s="91"/>
      <c r="M61" s="91"/>
      <c r="N61" s="91"/>
      <c r="O61" s="92"/>
      <c r="P61" s="22"/>
      <c r="Q61" s="22"/>
      <c r="R61" s="22"/>
      <c r="S61" s="22"/>
    </row>
    <row r="62" spans="1:19" ht="18" customHeight="1" x14ac:dyDescent="0.2">
      <c r="A62" s="3"/>
      <c r="B62" s="90"/>
      <c r="C62" s="91"/>
      <c r="D62" s="91"/>
      <c r="E62" s="92"/>
      <c r="F62" s="22"/>
      <c r="G62" s="22"/>
      <c r="H62" s="22"/>
      <c r="I62" s="22"/>
      <c r="J62" s="90"/>
      <c r="K62" s="91"/>
      <c r="L62" s="91"/>
      <c r="M62" s="91"/>
      <c r="N62" s="91"/>
      <c r="O62" s="92"/>
      <c r="P62" s="22"/>
      <c r="Q62" s="22"/>
      <c r="R62" s="22"/>
      <c r="S62" s="22"/>
    </row>
    <row r="63" spans="1:19" ht="18" customHeight="1" x14ac:dyDescent="0.2">
      <c r="A63" s="3"/>
      <c r="B63" s="90"/>
      <c r="C63" s="91"/>
      <c r="D63" s="91"/>
      <c r="E63" s="92"/>
      <c r="F63" s="22"/>
      <c r="G63" s="22"/>
      <c r="H63" s="22"/>
      <c r="I63" s="22"/>
      <c r="J63" s="90"/>
      <c r="K63" s="91"/>
      <c r="L63" s="91"/>
      <c r="M63" s="91"/>
      <c r="N63" s="91"/>
      <c r="O63" s="92"/>
      <c r="P63" s="22"/>
      <c r="Q63" s="22"/>
      <c r="R63" s="22"/>
      <c r="S63" s="22"/>
    </row>
    <row r="64" spans="1:19" ht="18" customHeight="1" x14ac:dyDescent="0.2">
      <c r="A64" s="3"/>
      <c r="B64" s="93"/>
      <c r="C64" s="94"/>
      <c r="D64" s="94"/>
      <c r="E64" s="95"/>
      <c r="F64" s="23"/>
      <c r="G64" s="23"/>
      <c r="H64" s="24"/>
      <c r="I64" s="24"/>
      <c r="J64" s="93"/>
      <c r="K64" s="94"/>
      <c r="L64" s="94"/>
      <c r="M64" s="94"/>
      <c r="N64" s="94"/>
      <c r="O64" s="95"/>
      <c r="P64" s="23"/>
      <c r="Q64" s="23"/>
      <c r="R64" s="24"/>
      <c r="S64" s="24"/>
    </row>
    <row r="65" spans="1:19" ht="7.5" customHeight="1" x14ac:dyDescent="0.2">
      <c r="B65" s="15"/>
      <c r="C65" s="15"/>
      <c r="D65" s="15"/>
      <c r="E65" s="15"/>
      <c r="F65" s="15"/>
      <c r="G65" s="15"/>
      <c r="H65" s="15"/>
      <c r="I65" s="15"/>
      <c r="J65" s="15"/>
      <c r="K65" s="15"/>
      <c r="L65" s="15"/>
      <c r="M65" s="15"/>
      <c r="N65" s="15"/>
      <c r="O65" s="15"/>
      <c r="P65" s="15"/>
      <c r="Q65" s="15"/>
      <c r="R65" s="15"/>
    </row>
    <row r="66" spans="1:19" ht="18" customHeight="1" x14ac:dyDescent="0.2">
      <c r="A66" s="99" t="s">
        <v>117</v>
      </c>
      <c r="B66" s="99"/>
      <c r="C66" s="99"/>
      <c r="D66" s="99"/>
      <c r="E66" s="99"/>
      <c r="F66" s="99"/>
      <c r="G66" s="99"/>
      <c r="H66" s="99"/>
      <c r="I66" s="99"/>
      <c r="J66" s="99"/>
      <c r="K66" s="99"/>
      <c r="L66" s="99"/>
      <c r="M66" s="99"/>
      <c r="N66" s="99"/>
      <c r="O66" s="99"/>
      <c r="P66" s="99"/>
      <c r="Q66" s="99"/>
      <c r="R66" s="99"/>
      <c r="S66" s="99"/>
    </row>
    <row r="67" spans="1:19" ht="18" customHeight="1" x14ac:dyDescent="0.2">
      <c r="A67" s="99"/>
      <c r="B67" s="99"/>
      <c r="C67" s="99"/>
      <c r="D67" s="99"/>
      <c r="E67" s="99"/>
      <c r="F67" s="99"/>
      <c r="G67" s="99"/>
      <c r="H67" s="99"/>
      <c r="I67" s="99"/>
      <c r="J67" s="99"/>
      <c r="K67" s="99"/>
      <c r="L67" s="99"/>
      <c r="M67" s="99"/>
      <c r="N67" s="99"/>
      <c r="O67" s="99"/>
      <c r="P67" s="99"/>
      <c r="Q67" s="99"/>
      <c r="R67" s="99"/>
      <c r="S67" s="99"/>
    </row>
    <row r="68" spans="1:19" ht="18" customHeight="1" x14ac:dyDescent="0.2">
      <c r="B68" s="96" t="s">
        <v>53</v>
      </c>
      <c r="C68" s="97"/>
      <c r="D68" s="97"/>
      <c r="E68" s="58" t="s">
        <v>80</v>
      </c>
      <c r="F68" s="57" t="s">
        <v>84</v>
      </c>
      <c r="G68" s="20" t="s">
        <v>101</v>
      </c>
      <c r="H68" s="20" t="s">
        <v>75</v>
      </c>
      <c r="I68" s="20" t="s">
        <v>76</v>
      </c>
      <c r="J68" s="96" t="s">
        <v>53</v>
      </c>
      <c r="K68" s="97"/>
      <c r="L68" s="97"/>
      <c r="M68" s="97"/>
      <c r="N68" s="98"/>
      <c r="O68" s="58" t="s">
        <v>80</v>
      </c>
      <c r="P68" s="57" t="s">
        <v>84</v>
      </c>
      <c r="Q68" s="20" t="s">
        <v>101</v>
      </c>
      <c r="R68" s="20" t="s">
        <v>75</v>
      </c>
      <c r="S68" s="20" t="s">
        <v>76</v>
      </c>
    </row>
    <row r="69" spans="1:19" ht="18" customHeight="1" x14ac:dyDescent="0.2">
      <c r="A69" s="3"/>
      <c r="B69" s="100" t="s">
        <v>130</v>
      </c>
      <c r="C69" s="101"/>
      <c r="D69" s="101"/>
      <c r="E69" s="21">
        <v>2</v>
      </c>
      <c r="F69" s="21" t="s">
        <v>129</v>
      </c>
      <c r="G69" s="21" t="s">
        <v>129</v>
      </c>
      <c r="H69" s="21" t="s">
        <v>129</v>
      </c>
      <c r="I69" s="21" t="s">
        <v>129</v>
      </c>
      <c r="J69" s="100"/>
      <c r="K69" s="101"/>
      <c r="L69" s="101"/>
      <c r="M69" s="101"/>
      <c r="N69" s="102"/>
      <c r="O69" s="21"/>
      <c r="P69" s="21"/>
      <c r="Q69" s="21"/>
      <c r="R69" s="21"/>
      <c r="S69" s="21"/>
    </row>
    <row r="70" spans="1:19" ht="18" customHeight="1" x14ac:dyDescent="0.2">
      <c r="A70" s="3"/>
      <c r="B70" s="147" t="s">
        <v>181</v>
      </c>
      <c r="C70" s="148"/>
      <c r="D70" s="149"/>
      <c r="E70" s="81">
        <v>1</v>
      </c>
      <c r="F70" s="81" t="s">
        <v>129</v>
      </c>
      <c r="G70" s="81"/>
      <c r="H70" s="81"/>
      <c r="I70" s="81" t="s">
        <v>129</v>
      </c>
      <c r="J70" s="90"/>
      <c r="K70" s="91"/>
      <c r="L70" s="91"/>
      <c r="M70" s="91"/>
      <c r="N70" s="92"/>
      <c r="O70" s="22"/>
      <c r="P70" s="22"/>
      <c r="Q70" s="22"/>
      <c r="R70" s="22"/>
      <c r="S70" s="22"/>
    </row>
    <row r="71" spans="1:19" ht="18" customHeight="1" x14ac:dyDescent="0.2">
      <c r="A71" s="3"/>
      <c r="B71" s="90"/>
      <c r="C71" s="91"/>
      <c r="D71" s="91"/>
      <c r="E71" s="22"/>
      <c r="F71" s="22"/>
      <c r="G71" s="22"/>
      <c r="H71" s="22"/>
      <c r="I71" s="22"/>
      <c r="J71" s="90"/>
      <c r="K71" s="91"/>
      <c r="L71" s="91"/>
      <c r="M71" s="91"/>
      <c r="N71" s="92"/>
      <c r="O71" s="22"/>
      <c r="P71" s="22"/>
      <c r="Q71" s="22"/>
      <c r="R71" s="22"/>
      <c r="S71" s="22"/>
    </row>
    <row r="72" spans="1:19" ht="18" customHeight="1" x14ac:dyDescent="0.2">
      <c r="A72" s="3"/>
      <c r="B72" s="90"/>
      <c r="C72" s="91"/>
      <c r="D72" s="91"/>
      <c r="E72" s="22"/>
      <c r="F72" s="22"/>
      <c r="G72" s="22"/>
      <c r="H72" s="22"/>
      <c r="I72" s="22"/>
      <c r="J72" s="90"/>
      <c r="K72" s="91"/>
      <c r="L72" s="91"/>
      <c r="M72" s="91"/>
      <c r="N72" s="92"/>
      <c r="O72" s="22"/>
      <c r="P72" s="22"/>
      <c r="Q72" s="22"/>
      <c r="R72" s="22"/>
      <c r="S72" s="22"/>
    </row>
    <row r="73" spans="1:19" ht="18" customHeight="1" x14ac:dyDescent="0.2">
      <c r="A73" s="3"/>
      <c r="B73" s="90"/>
      <c r="C73" s="91"/>
      <c r="D73" s="91"/>
      <c r="E73" s="22"/>
      <c r="F73" s="22"/>
      <c r="G73" s="22"/>
      <c r="H73" s="22"/>
      <c r="I73" s="22"/>
      <c r="J73" s="90"/>
      <c r="K73" s="91"/>
      <c r="L73" s="91"/>
      <c r="M73" s="91"/>
      <c r="N73" s="92"/>
      <c r="O73" s="22"/>
      <c r="P73" s="22"/>
      <c r="Q73" s="22"/>
      <c r="R73" s="22"/>
      <c r="S73" s="22"/>
    </row>
    <row r="74" spans="1:19" ht="18" customHeight="1" x14ac:dyDescent="0.2">
      <c r="A74" s="3"/>
      <c r="B74" s="90"/>
      <c r="C74" s="91"/>
      <c r="D74" s="91"/>
      <c r="E74" s="22"/>
      <c r="F74" s="22"/>
      <c r="G74" s="22"/>
      <c r="H74" s="22"/>
      <c r="I74" s="22"/>
      <c r="J74" s="90"/>
      <c r="K74" s="91"/>
      <c r="L74" s="91"/>
      <c r="M74" s="91"/>
      <c r="N74" s="92"/>
      <c r="O74" s="22"/>
      <c r="P74" s="22"/>
      <c r="Q74" s="22"/>
      <c r="R74" s="22"/>
      <c r="S74" s="22"/>
    </row>
    <row r="75" spans="1:19" ht="18" customHeight="1" x14ac:dyDescent="0.2">
      <c r="A75" s="3"/>
      <c r="B75" s="93"/>
      <c r="C75" s="94"/>
      <c r="D75" s="94"/>
      <c r="E75" s="23"/>
      <c r="F75" s="23"/>
      <c r="G75" s="24"/>
      <c r="H75" s="24"/>
      <c r="I75" s="24"/>
      <c r="J75" s="93"/>
      <c r="K75" s="94"/>
      <c r="L75" s="94"/>
      <c r="M75" s="94"/>
      <c r="N75" s="95"/>
      <c r="O75" s="23"/>
      <c r="P75" s="23"/>
      <c r="Q75" s="24"/>
      <c r="R75" s="24"/>
      <c r="S75" s="24"/>
    </row>
    <row r="76" spans="1:19" ht="7.5" customHeight="1" x14ac:dyDescent="0.2">
      <c r="B76" s="15"/>
      <c r="C76" s="15"/>
      <c r="D76" s="15"/>
      <c r="E76" s="15"/>
      <c r="F76" s="15"/>
      <c r="G76" s="15"/>
      <c r="H76" s="15"/>
      <c r="I76" s="15"/>
      <c r="J76" s="15"/>
      <c r="K76" s="15"/>
      <c r="L76" s="15"/>
      <c r="M76" s="15"/>
      <c r="N76" s="15"/>
      <c r="O76" s="15"/>
      <c r="P76" s="15"/>
      <c r="Q76" s="15"/>
      <c r="R76" s="15"/>
    </row>
    <row r="77" spans="1:19" ht="18" customHeight="1" x14ac:dyDescent="0.2">
      <c r="A77" s="1" t="s">
        <v>118</v>
      </c>
      <c r="H77" s="3"/>
      <c r="I77" s="3"/>
      <c r="J77" s="3"/>
      <c r="K77" s="3"/>
      <c r="L77" s="3"/>
      <c r="M77" s="3"/>
      <c r="N77" s="3"/>
      <c r="O77" s="3"/>
      <c r="P77" s="3"/>
      <c r="Q77" s="3"/>
      <c r="R77" s="3"/>
      <c r="S77" s="3"/>
    </row>
    <row r="78" spans="1:19" ht="18" customHeight="1" x14ac:dyDescent="0.2">
      <c r="B78" s="96" t="s">
        <v>53</v>
      </c>
      <c r="C78" s="97"/>
      <c r="D78" s="97"/>
      <c r="E78" s="98"/>
      <c r="F78" s="96" t="s">
        <v>82</v>
      </c>
      <c r="G78" s="97"/>
      <c r="H78" s="97"/>
      <c r="I78" s="98"/>
      <c r="J78" s="144" t="s">
        <v>53</v>
      </c>
      <c r="K78" s="145"/>
      <c r="L78" s="145"/>
      <c r="M78" s="145"/>
      <c r="N78" s="145"/>
      <c r="O78" s="146"/>
      <c r="P78" s="96" t="s">
        <v>82</v>
      </c>
      <c r="Q78" s="97"/>
      <c r="R78" s="97"/>
      <c r="S78" s="98"/>
    </row>
    <row r="79" spans="1:19" ht="18" customHeight="1" x14ac:dyDescent="0.2">
      <c r="A79" s="3"/>
      <c r="B79" s="100"/>
      <c r="C79" s="101"/>
      <c r="D79" s="101"/>
      <c r="E79" s="102"/>
      <c r="F79" s="161"/>
      <c r="G79" s="162"/>
      <c r="H79" s="162"/>
      <c r="I79" s="163"/>
      <c r="J79" s="100"/>
      <c r="K79" s="101"/>
      <c r="L79" s="101"/>
      <c r="M79" s="101"/>
      <c r="N79" s="101"/>
      <c r="O79" s="102"/>
      <c r="P79" s="161"/>
      <c r="Q79" s="162"/>
      <c r="R79" s="162"/>
      <c r="S79" s="163"/>
    </row>
    <row r="80" spans="1:19" ht="18" customHeight="1" x14ac:dyDescent="0.2">
      <c r="A80" s="3"/>
      <c r="B80" s="90"/>
      <c r="C80" s="91"/>
      <c r="D80" s="91"/>
      <c r="E80" s="92"/>
      <c r="F80" s="126"/>
      <c r="G80" s="127"/>
      <c r="H80" s="127"/>
      <c r="I80" s="128"/>
      <c r="J80" s="90"/>
      <c r="K80" s="91"/>
      <c r="L80" s="91"/>
      <c r="M80" s="91"/>
      <c r="N80" s="91"/>
      <c r="O80" s="92"/>
      <c r="P80" s="126"/>
      <c r="Q80" s="127"/>
      <c r="R80" s="127"/>
      <c r="S80" s="128"/>
    </row>
    <row r="81" spans="1:19" ht="18" customHeight="1" x14ac:dyDescent="0.2">
      <c r="A81" s="3"/>
      <c r="B81" s="90"/>
      <c r="C81" s="91"/>
      <c r="D81" s="91"/>
      <c r="E81" s="92"/>
      <c r="F81" s="126"/>
      <c r="G81" s="127"/>
      <c r="H81" s="127"/>
      <c r="I81" s="128"/>
      <c r="J81" s="90"/>
      <c r="K81" s="91"/>
      <c r="L81" s="91"/>
      <c r="M81" s="91"/>
      <c r="N81" s="91"/>
      <c r="O81" s="92"/>
      <c r="P81" s="126"/>
      <c r="Q81" s="127"/>
      <c r="R81" s="127"/>
      <c r="S81" s="128"/>
    </row>
    <row r="82" spans="1:19" ht="18" customHeight="1" x14ac:dyDescent="0.2">
      <c r="A82" s="3"/>
      <c r="B82" s="90"/>
      <c r="C82" s="91"/>
      <c r="D82" s="91"/>
      <c r="E82" s="92"/>
      <c r="F82" s="126"/>
      <c r="G82" s="127"/>
      <c r="H82" s="127"/>
      <c r="I82" s="128"/>
      <c r="J82" s="90"/>
      <c r="K82" s="91"/>
      <c r="L82" s="91"/>
      <c r="M82" s="91"/>
      <c r="N82" s="91"/>
      <c r="O82" s="92"/>
      <c r="P82" s="126"/>
      <c r="Q82" s="127"/>
      <c r="R82" s="127"/>
      <c r="S82" s="128"/>
    </row>
    <row r="83" spans="1:19" ht="18" customHeight="1" x14ac:dyDescent="0.2">
      <c r="A83" s="3"/>
      <c r="B83" s="90"/>
      <c r="C83" s="91"/>
      <c r="D83" s="91"/>
      <c r="E83" s="92"/>
      <c r="F83" s="126"/>
      <c r="G83" s="127"/>
      <c r="H83" s="127"/>
      <c r="I83" s="128"/>
      <c r="J83" s="90"/>
      <c r="K83" s="91"/>
      <c r="L83" s="91"/>
      <c r="M83" s="91"/>
      <c r="N83" s="91"/>
      <c r="O83" s="92"/>
      <c r="P83" s="126"/>
      <c r="Q83" s="127"/>
      <c r="R83" s="127"/>
      <c r="S83" s="128"/>
    </row>
    <row r="84" spans="1:19" ht="18" customHeight="1" x14ac:dyDescent="0.2">
      <c r="A84" s="3"/>
      <c r="B84" s="90"/>
      <c r="C84" s="91"/>
      <c r="D84" s="91"/>
      <c r="E84" s="92"/>
      <c r="F84" s="126"/>
      <c r="G84" s="127"/>
      <c r="H84" s="127"/>
      <c r="I84" s="128"/>
      <c r="J84" s="90"/>
      <c r="K84" s="91"/>
      <c r="L84" s="91"/>
      <c r="M84" s="91"/>
      <c r="N84" s="91"/>
      <c r="O84" s="92"/>
      <c r="P84" s="126"/>
      <c r="Q84" s="127"/>
      <c r="R84" s="127"/>
      <c r="S84" s="128"/>
    </row>
    <row r="85" spans="1:19" ht="18" customHeight="1" x14ac:dyDescent="0.2">
      <c r="A85" s="3"/>
      <c r="B85" s="93"/>
      <c r="C85" s="94"/>
      <c r="D85" s="94"/>
      <c r="E85" s="95"/>
      <c r="F85" s="123"/>
      <c r="G85" s="124"/>
      <c r="H85" s="124"/>
      <c r="I85" s="125"/>
      <c r="J85" s="93"/>
      <c r="K85" s="94"/>
      <c r="L85" s="94"/>
      <c r="M85" s="94"/>
      <c r="N85" s="94"/>
      <c r="O85" s="95"/>
      <c r="P85" s="123"/>
      <c r="Q85" s="124"/>
      <c r="R85" s="124"/>
      <c r="S85" s="125"/>
    </row>
    <row r="86" spans="1:19" ht="18" customHeight="1" x14ac:dyDescent="0.2">
      <c r="A86" s="3"/>
      <c r="B86" s="6"/>
      <c r="C86" s="6"/>
      <c r="D86" s="6"/>
      <c r="E86" s="6"/>
      <c r="F86" s="25"/>
      <c r="G86" s="25"/>
      <c r="H86" s="25"/>
      <c r="I86" s="25"/>
      <c r="J86" s="6"/>
      <c r="K86" s="6"/>
      <c r="L86" s="6"/>
      <c r="M86" s="6"/>
      <c r="N86" s="6"/>
      <c r="O86" s="6"/>
      <c r="P86" s="25"/>
      <c r="Q86" s="25"/>
      <c r="R86" s="25"/>
      <c r="S86" s="25"/>
    </row>
    <row r="87" spans="1:19" ht="18.75" customHeight="1" x14ac:dyDescent="0.2">
      <c r="A87" s="1" t="s">
        <v>119</v>
      </c>
    </row>
    <row r="88" spans="1:19" ht="18.75" customHeight="1" x14ac:dyDescent="0.2">
      <c r="B88" s="159" t="s">
        <v>54</v>
      </c>
      <c r="C88" s="160"/>
      <c r="D88" s="97" t="s">
        <v>55</v>
      </c>
      <c r="E88" s="97"/>
      <c r="F88" s="97"/>
      <c r="G88" s="97"/>
      <c r="H88" s="97"/>
      <c r="I88" s="97"/>
      <c r="J88" s="97"/>
      <c r="K88" s="97"/>
      <c r="L88" s="97"/>
      <c r="M88" s="97"/>
      <c r="N88" s="97"/>
      <c r="O88" s="97"/>
      <c r="P88" s="97"/>
      <c r="Q88" s="97"/>
      <c r="R88" s="97"/>
      <c r="S88" s="98"/>
    </row>
    <row r="89" spans="1:19" ht="72" customHeight="1" x14ac:dyDescent="0.2">
      <c r="B89" s="150" t="s">
        <v>61</v>
      </c>
      <c r="C89" s="26" t="s">
        <v>56</v>
      </c>
      <c r="D89" s="157" t="s">
        <v>150</v>
      </c>
      <c r="E89" s="157"/>
      <c r="F89" s="157"/>
      <c r="G89" s="157"/>
      <c r="H89" s="157"/>
      <c r="I89" s="157"/>
      <c r="J89" s="157"/>
      <c r="K89" s="157"/>
      <c r="L89" s="157"/>
      <c r="M89" s="157"/>
      <c r="N89" s="157"/>
      <c r="O89" s="157"/>
      <c r="P89" s="157"/>
      <c r="Q89" s="157"/>
      <c r="R89" s="157"/>
      <c r="S89" s="158"/>
    </row>
    <row r="90" spans="1:19" ht="97.5" customHeight="1" x14ac:dyDescent="0.2">
      <c r="B90" s="152"/>
      <c r="C90" s="27" t="s">
        <v>77</v>
      </c>
      <c r="D90" s="129" t="s">
        <v>184</v>
      </c>
      <c r="E90" s="129"/>
      <c r="F90" s="129"/>
      <c r="G90" s="129"/>
      <c r="H90" s="129"/>
      <c r="I90" s="129"/>
      <c r="J90" s="129"/>
      <c r="K90" s="129"/>
      <c r="L90" s="129"/>
      <c r="M90" s="129"/>
      <c r="N90" s="129"/>
      <c r="O90" s="129"/>
      <c r="P90" s="129"/>
      <c r="Q90" s="129"/>
      <c r="R90" s="129"/>
      <c r="S90" s="130"/>
    </row>
    <row r="91" spans="1:19" ht="120" customHeight="1" x14ac:dyDescent="0.2">
      <c r="B91" s="150" t="s">
        <v>62</v>
      </c>
      <c r="C91" s="28" t="s">
        <v>71</v>
      </c>
      <c r="D91" s="131" t="s">
        <v>149</v>
      </c>
      <c r="E91" s="131"/>
      <c r="F91" s="131"/>
      <c r="G91" s="131"/>
      <c r="H91" s="131"/>
      <c r="I91" s="131"/>
      <c r="J91" s="131"/>
      <c r="K91" s="131"/>
      <c r="L91" s="131"/>
      <c r="M91" s="131"/>
      <c r="N91" s="131"/>
      <c r="O91" s="131"/>
      <c r="P91" s="131"/>
      <c r="Q91" s="131"/>
      <c r="R91" s="131"/>
      <c r="S91" s="132"/>
    </row>
    <row r="92" spans="1:19" ht="97.5" customHeight="1" x14ac:dyDescent="0.2">
      <c r="B92" s="151"/>
      <c r="C92" s="29" t="s">
        <v>72</v>
      </c>
      <c r="D92" s="135" t="s">
        <v>185</v>
      </c>
      <c r="E92" s="135"/>
      <c r="F92" s="135"/>
      <c r="G92" s="135"/>
      <c r="H92" s="135"/>
      <c r="I92" s="135"/>
      <c r="J92" s="135"/>
      <c r="K92" s="135"/>
      <c r="L92" s="135"/>
      <c r="M92" s="135"/>
      <c r="N92" s="135"/>
      <c r="O92" s="135"/>
      <c r="P92" s="135"/>
      <c r="Q92" s="135"/>
      <c r="R92" s="135"/>
      <c r="S92" s="136"/>
    </row>
    <row r="93" spans="1:19" ht="97.5" customHeight="1" x14ac:dyDescent="0.2">
      <c r="B93" s="150" t="s">
        <v>63</v>
      </c>
      <c r="C93" s="28" t="s">
        <v>73</v>
      </c>
      <c r="D93" s="137" t="s">
        <v>147</v>
      </c>
      <c r="E93" s="137"/>
      <c r="F93" s="137"/>
      <c r="G93" s="137"/>
      <c r="H93" s="137"/>
      <c r="I93" s="137"/>
      <c r="J93" s="137"/>
      <c r="K93" s="137"/>
      <c r="L93" s="137"/>
      <c r="M93" s="137"/>
      <c r="N93" s="137"/>
      <c r="O93" s="137"/>
      <c r="P93" s="137"/>
      <c r="Q93" s="137"/>
      <c r="R93" s="137"/>
      <c r="S93" s="138"/>
    </row>
    <row r="94" spans="1:19" ht="97.5" customHeight="1" x14ac:dyDescent="0.2">
      <c r="B94" s="151"/>
      <c r="C94" s="30" t="s">
        <v>74</v>
      </c>
      <c r="D94" s="133" t="s">
        <v>148</v>
      </c>
      <c r="E94" s="133"/>
      <c r="F94" s="133"/>
      <c r="G94" s="133"/>
      <c r="H94" s="133"/>
      <c r="I94" s="133"/>
      <c r="J94" s="133"/>
      <c r="K94" s="133"/>
      <c r="L94" s="133"/>
      <c r="M94" s="133"/>
      <c r="N94" s="133"/>
      <c r="O94" s="133"/>
      <c r="P94" s="133"/>
      <c r="Q94" s="133"/>
      <c r="R94" s="133"/>
      <c r="S94" s="134"/>
    </row>
    <row r="95" spans="1:19" ht="138.6" customHeight="1" x14ac:dyDescent="0.2">
      <c r="B95" s="150" t="s">
        <v>78</v>
      </c>
      <c r="C95" s="26" t="s">
        <v>58</v>
      </c>
      <c r="D95" s="157" t="s">
        <v>179</v>
      </c>
      <c r="E95" s="157"/>
      <c r="F95" s="157"/>
      <c r="G95" s="157"/>
      <c r="H95" s="157"/>
      <c r="I95" s="157"/>
      <c r="J95" s="157"/>
      <c r="K95" s="157"/>
      <c r="L95" s="157"/>
      <c r="M95" s="157"/>
      <c r="N95" s="157"/>
      <c r="O95" s="157"/>
      <c r="P95" s="157"/>
      <c r="Q95" s="157"/>
      <c r="R95" s="157"/>
      <c r="S95" s="158"/>
    </row>
    <row r="96" spans="1:19" ht="168" customHeight="1" x14ac:dyDescent="0.2">
      <c r="B96" s="151"/>
      <c r="C96" s="29" t="s">
        <v>60</v>
      </c>
      <c r="D96" s="139" t="s">
        <v>151</v>
      </c>
      <c r="E96" s="139"/>
      <c r="F96" s="139"/>
      <c r="G96" s="139"/>
      <c r="H96" s="139"/>
      <c r="I96" s="139"/>
      <c r="J96" s="139"/>
      <c r="K96" s="139"/>
      <c r="L96" s="139"/>
      <c r="M96" s="139"/>
      <c r="N96" s="139"/>
      <c r="O96" s="139"/>
      <c r="P96" s="139"/>
      <c r="Q96" s="139"/>
      <c r="R96" s="139"/>
      <c r="S96" s="140"/>
    </row>
    <row r="97" spans="1:19" ht="177.75" customHeight="1" x14ac:dyDescent="0.2">
      <c r="B97" s="150" t="s">
        <v>79</v>
      </c>
      <c r="C97" s="28" t="s">
        <v>57</v>
      </c>
      <c r="D97" s="153" t="s">
        <v>158</v>
      </c>
      <c r="E97" s="153"/>
      <c r="F97" s="153"/>
      <c r="G97" s="153"/>
      <c r="H97" s="153"/>
      <c r="I97" s="153"/>
      <c r="J97" s="153"/>
      <c r="K97" s="153"/>
      <c r="L97" s="153"/>
      <c r="M97" s="153"/>
      <c r="N97" s="153"/>
      <c r="O97" s="153"/>
      <c r="P97" s="153"/>
      <c r="Q97" s="153"/>
      <c r="R97" s="153"/>
      <c r="S97" s="154"/>
    </row>
    <row r="98" spans="1:19" ht="135.75" customHeight="1" x14ac:dyDescent="0.2">
      <c r="B98" s="152"/>
      <c r="C98" s="31" t="s">
        <v>75</v>
      </c>
      <c r="D98" s="141" t="s">
        <v>159</v>
      </c>
      <c r="E98" s="142"/>
      <c r="F98" s="142"/>
      <c r="G98" s="142"/>
      <c r="H98" s="142"/>
      <c r="I98" s="142"/>
      <c r="J98" s="142"/>
      <c r="K98" s="142"/>
      <c r="L98" s="142"/>
      <c r="M98" s="142"/>
      <c r="N98" s="142"/>
      <c r="O98" s="142"/>
      <c r="P98" s="142"/>
      <c r="Q98" s="142"/>
      <c r="R98" s="142"/>
      <c r="S98" s="143"/>
    </row>
    <row r="99" spans="1:19" ht="138" customHeight="1" x14ac:dyDescent="0.2">
      <c r="B99" s="151"/>
      <c r="C99" s="30" t="s">
        <v>76</v>
      </c>
      <c r="D99" s="155" t="s">
        <v>183</v>
      </c>
      <c r="E99" s="155"/>
      <c r="F99" s="155"/>
      <c r="G99" s="155"/>
      <c r="H99" s="155"/>
      <c r="I99" s="155"/>
      <c r="J99" s="155"/>
      <c r="K99" s="155"/>
      <c r="L99" s="155"/>
      <c r="M99" s="155"/>
      <c r="N99" s="155"/>
      <c r="O99" s="155"/>
      <c r="P99" s="155"/>
      <c r="Q99" s="155"/>
      <c r="R99" s="155"/>
      <c r="S99" s="156"/>
    </row>
    <row r="100" spans="1:19" ht="6" customHeight="1" x14ac:dyDescent="0.2"/>
    <row r="101" spans="1:19" ht="18.75" customHeight="1" x14ac:dyDescent="0.2">
      <c r="A101" s="1" t="s">
        <v>120</v>
      </c>
    </row>
    <row r="102" spans="1:19" ht="96" customHeight="1" x14ac:dyDescent="0.2">
      <c r="B102" s="120" t="s">
        <v>152</v>
      </c>
      <c r="C102" s="121"/>
      <c r="D102" s="121"/>
      <c r="E102" s="121"/>
      <c r="F102" s="121"/>
      <c r="G102" s="121"/>
      <c r="H102" s="121"/>
      <c r="I102" s="121"/>
      <c r="J102" s="121"/>
      <c r="K102" s="121"/>
      <c r="L102" s="121"/>
      <c r="M102" s="121"/>
      <c r="N102" s="121"/>
      <c r="O102" s="121"/>
      <c r="P102" s="121"/>
      <c r="Q102" s="121"/>
      <c r="R102" s="121"/>
      <c r="S102" s="122"/>
    </row>
    <row r="110" spans="1:19" ht="18" customHeight="1" x14ac:dyDescent="0.2"/>
  </sheetData>
  <customSheetViews>
    <customSheetView guid="{1F7DD307-FDAD-4F12-A71C-909420D0BA34}" showPageBreaks="1" zeroValues="0" fitToPage="1" printArea="1" hiddenColumns="1" view="pageBreakPreview">
      <rowBreaks count="2" manualBreakCount="2">
        <brk id="65" max="18" man="1"/>
        <brk id="94" max="18" man="1"/>
      </rowBreaks>
      <pageMargins left="0.78740157480314965" right="0.78740157480314965" top="0.78740157480314965" bottom="0.19685039370078741" header="0.31496062992125984" footer="0.19685039370078741"/>
      <printOptions horizontalCentered="1"/>
      <pageSetup paperSize="9" scale="75" fitToHeight="0" orientation="portrait" r:id="rId1"/>
      <headerFooter>
        <oddHeader>&amp;C数理・データサイエンス・AI教育プログラム認定制度【リテラシーレベル】</oddHeader>
      </headerFooter>
    </customSheetView>
    <customSheetView guid="{8C9D52A6-6DCF-4B21-8AFD-E83D9E686319}" showPageBreaks="1" zeroValues="0" fitToPage="1" printArea="1" hiddenColumns="1" view="pageBreakPreview" topLeftCell="A87">
      <selection activeCell="D99" sqref="D99:S99"/>
      <rowBreaks count="2" manualBreakCount="2">
        <brk id="65" max="18" man="1"/>
        <brk id="94" max="18" man="1"/>
      </rowBreaks>
      <pageMargins left="0.78740157480314965" right="0.78740157480314965" top="0.78740157480314965" bottom="0.19685039370078741" header="0.31496062992125984" footer="0.19685039370078741"/>
      <printOptions horizontalCentered="1"/>
      <pageSetup paperSize="9" scale="75" fitToHeight="0" orientation="portrait" r:id="rId2"/>
      <headerFooter>
        <oddHeader>&amp;C数理・データサイエンス・AI教育プログラム認定制度【リテラシーレベル】</oddHeader>
      </headerFooter>
    </customSheetView>
  </customSheetViews>
  <mergeCells count="145">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60:E60"/>
    <mergeCell ref="B61:E61"/>
    <mergeCell ref="B62:E62"/>
    <mergeCell ref="B63:E63"/>
    <mergeCell ref="B64:E64"/>
    <mergeCell ref="J46:O46"/>
    <mergeCell ref="F78:I78"/>
    <mergeCell ref="J78:O78"/>
    <mergeCell ref="B69:D69"/>
    <mergeCell ref="B70:D70"/>
    <mergeCell ref="J53:O53"/>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s>
  <phoneticPr fontId="1"/>
  <conditionalFormatting sqref="B9:S10">
    <cfRule type="expression" dxfId="1"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F79:F86 P79:P86 G79:I80 G83:I86 Q83:S86 Q79:S80"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3"/>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AC1AE-6D08-42FD-A614-CC1C2EFFC644}">
  <sheetPr>
    <pageSetUpPr fitToPage="1"/>
  </sheetPr>
  <dimension ref="A1:V110"/>
  <sheetViews>
    <sheetView showZeros="0" view="pageBreakPreview" zoomScaleNormal="100" zoomScaleSheetLayoutView="100" workbookViewId="0"/>
  </sheetViews>
  <sheetFormatPr defaultColWidth="9" defaultRowHeight="18.75" customHeight="1" x14ac:dyDescent="0.2"/>
  <cols>
    <col min="1" max="1" width="2.44140625" style="1" customWidth="1"/>
    <col min="2" max="2" width="16.44140625" style="1" customWidth="1"/>
    <col min="3" max="19" width="5.6640625" style="1" customWidth="1"/>
    <col min="20" max="20" width="9" style="1"/>
    <col min="21" max="21" width="3.6640625" style="1" customWidth="1"/>
    <col min="22" max="22" width="48.6640625" style="1" hidden="1" customWidth="1"/>
    <col min="23" max="16384" width="9" style="1"/>
  </cols>
  <sheetData>
    <row r="1" spans="1:22" ht="18.600000000000001" customHeight="1" x14ac:dyDescent="0.2">
      <c r="R1" s="103" t="s">
        <v>162</v>
      </c>
      <c r="S1" s="103"/>
      <c r="T1" s="2" t="s">
        <v>109</v>
      </c>
    </row>
    <row r="2" spans="1:22" ht="18.75" customHeight="1" x14ac:dyDescent="0.2">
      <c r="B2" s="32" t="s">
        <v>108</v>
      </c>
      <c r="C2" s="96" t="s">
        <v>126</v>
      </c>
      <c r="D2" s="97"/>
      <c r="E2" s="97"/>
      <c r="F2" s="97"/>
      <c r="G2" s="97"/>
      <c r="H2" s="97"/>
      <c r="I2" s="98"/>
      <c r="J2" s="33"/>
      <c r="K2" s="6"/>
      <c r="L2" s="6"/>
      <c r="M2" s="6"/>
      <c r="N2" s="6"/>
      <c r="O2" s="6"/>
      <c r="P2" s="6"/>
      <c r="Q2" s="6"/>
      <c r="R2" s="6"/>
      <c r="S2" s="6"/>
    </row>
    <row r="3" spans="1:22" ht="18.75" customHeight="1" x14ac:dyDescent="0.2">
      <c r="B3" s="32" t="s">
        <v>102</v>
      </c>
      <c r="C3" s="96" t="s">
        <v>127</v>
      </c>
      <c r="D3" s="97"/>
      <c r="E3" s="97"/>
      <c r="F3" s="97"/>
      <c r="G3" s="97"/>
      <c r="H3" s="97"/>
      <c r="I3" s="98"/>
      <c r="J3" s="33"/>
      <c r="K3" s="6"/>
      <c r="L3" s="6"/>
      <c r="M3" s="6"/>
      <c r="N3" s="6"/>
      <c r="O3" s="6"/>
      <c r="P3" s="6"/>
      <c r="Q3" s="6"/>
      <c r="R3" s="6"/>
      <c r="S3" s="6"/>
    </row>
    <row r="4" spans="1:22" ht="15" customHeight="1" x14ac:dyDescent="0.2">
      <c r="K4" s="33"/>
      <c r="L4" s="35"/>
      <c r="M4" s="35"/>
      <c r="N4" s="35"/>
      <c r="O4" s="35"/>
      <c r="P4" s="35"/>
      <c r="Q4" s="35"/>
      <c r="R4" s="35"/>
      <c r="S4" s="35"/>
    </row>
    <row r="5" spans="1:22" ht="18" customHeight="1" x14ac:dyDescent="0.2">
      <c r="A5" s="107" t="s">
        <v>38</v>
      </c>
      <c r="B5" s="107"/>
      <c r="C5" s="107"/>
      <c r="D5" s="107"/>
      <c r="E5" s="107"/>
      <c r="F5" s="107"/>
      <c r="G5" s="107"/>
      <c r="H5" s="107"/>
      <c r="I5" s="107"/>
      <c r="J5" s="107"/>
      <c r="K5" s="107"/>
      <c r="L5" s="107"/>
      <c r="M5" s="107"/>
      <c r="N5" s="107"/>
      <c r="O5" s="107"/>
      <c r="P5" s="107"/>
      <c r="Q5" s="107"/>
      <c r="R5" s="107"/>
      <c r="S5" s="107"/>
    </row>
    <row r="6" spans="1:22" ht="15" customHeight="1" x14ac:dyDescent="0.2">
      <c r="B6" s="3"/>
      <c r="C6" s="3"/>
      <c r="D6" s="3"/>
      <c r="E6" s="3"/>
      <c r="F6" s="3"/>
      <c r="G6" s="3"/>
      <c r="H6" s="3"/>
      <c r="I6" s="3"/>
      <c r="J6" s="3"/>
      <c r="K6" s="3"/>
      <c r="L6" s="3"/>
      <c r="M6" s="3"/>
      <c r="N6" s="3"/>
      <c r="O6" s="3"/>
      <c r="P6" s="3"/>
      <c r="Q6" s="3"/>
      <c r="R6" s="3"/>
      <c r="S6" s="3"/>
    </row>
    <row r="7" spans="1:22" ht="18" customHeight="1" x14ac:dyDescent="0.2">
      <c r="A7" s="1" t="s">
        <v>124</v>
      </c>
      <c r="C7" s="3"/>
      <c r="J7" s="36" t="s">
        <v>107</v>
      </c>
      <c r="K7" s="117" t="s">
        <v>143</v>
      </c>
      <c r="L7" s="118"/>
      <c r="M7" s="118"/>
      <c r="N7" s="118"/>
      <c r="O7" s="118"/>
      <c r="P7" s="118"/>
      <c r="Q7" s="118"/>
      <c r="R7" s="118"/>
      <c r="S7" s="119"/>
    </row>
    <row r="8" spans="1:22" ht="6" customHeight="1" x14ac:dyDescent="0.2">
      <c r="B8" s="3"/>
      <c r="C8" s="3"/>
      <c r="D8" s="3"/>
      <c r="E8" s="3"/>
      <c r="F8" s="3"/>
      <c r="G8" s="3"/>
      <c r="H8" s="3"/>
      <c r="I8" s="3"/>
      <c r="J8" s="3"/>
      <c r="K8" s="10"/>
      <c r="L8" s="3"/>
      <c r="M8" s="3"/>
      <c r="N8" s="3"/>
      <c r="O8" s="3"/>
      <c r="P8" s="3"/>
      <c r="Q8" s="3"/>
      <c r="R8" s="3"/>
      <c r="S8" s="3"/>
    </row>
    <row r="9" spans="1:22" ht="18" customHeight="1" x14ac:dyDescent="0.2">
      <c r="B9" s="84" t="s">
        <v>145</v>
      </c>
      <c r="C9" s="85"/>
      <c r="D9" s="85"/>
      <c r="E9" s="85"/>
      <c r="F9" s="85"/>
      <c r="G9" s="85"/>
      <c r="H9" s="85"/>
      <c r="I9" s="85"/>
      <c r="J9" s="85"/>
      <c r="K9" s="85"/>
      <c r="L9" s="85"/>
      <c r="M9" s="85"/>
      <c r="N9" s="85"/>
      <c r="O9" s="85"/>
      <c r="P9" s="85"/>
      <c r="Q9" s="85"/>
      <c r="R9" s="85"/>
      <c r="S9" s="86"/>
    </row>
    <row r="10" spans="1:22" ht="18" customHeight="1" x14ac:dyDescent="0.2">
      <c r="B10" s="87"/>
      <c r="C10" s="88"/>
      <c r="D10" s="88"/>
      <c r="E10" s="88"/>
      <c r="F10" s="88"/>
      <c r="G10" s="88"/>
      <c r="H10" s="88"/>
      <c r="I10" s="88"/>
      <c r="J10" s="88"/>
      <c r="K10" s="88"/>
      <c r="L10" s="88"/>
      <c r="M10" s="88"/>
      <c r="N10" s="88"/>
      <c r="O10" s="88"/>
      <c r="P10" s="88"/>
      <c r="Q10" s="88"/>
      <c r="R10" s="88"/>
      <c r="S10" s="89"/>
    </row>
    <row r="11" spans="1:22" ht="6" customHeight="1" x14ac:dyDescent="0.2">
      <c r="B11" s="3"/>
      <c r="C11" s="3"/>
      <c r="D11" s="3"/>
      <c r="E11" s="3"/>
      <c r="F11" s="3"/>
      <c r="G11" s="3"/>
      <c r="H11" s="3"/>
      <c r="I11" s="3"/>
      <c r="J11" s="3"/>
      <c r="K11" s="10"/>
      <c r="L11" s="3"/>
      <c r="M11" s="3"/>
      <c r="N11" s="3"/>
      <c r="O11" s="3"/>
      <c r="P11" s="3"/>
      <c r="Q11" s="3"/>
      <c r="R11" s="3"/>
      <c r="S11" s="3"/>
    </row>
    <row r="12" spans="1:22" ht="18" customHeight="1" x14ac:dyDescent="0.2">
      <c r="A12" s="1" t="s">
        <v>111</v>
      </c>
      <c r="B12" s="3"/>
      <c r="C12" s="3"/>
      <c r="D12" s="33"/>
      <c r="E12" s="33"/>
      <c r="F12" s="33"/>
      <c r="G12" s="33"/>
      <c r="H12" s="33"/>
      <c r="I12" s="33"/>
      <c r="J12" s="33"/>
      <c r="K12" s="37"/>
      <c r="L12" s="37"/>
      <c r="M12" s="37"/>
      <c r="N12" s="37"/>
      <c r="O12" s="37"/>
      <c r="P12" s="37"/>
      <c r="Q12" s="37"/>
      <c r="R12" s="37"/>
      <c r="S12" s="37"/>
    </row>
    <row r="13" spans="1:22" ht="18" customHeight="1" x14ac:dyDescent="0.2">
      <c r="B13" s="108" t="s">
        <v>160</v>
      </c>
      <c r="C13" s="109"/>
      <c r="D13" s="109"/>
      <c r="E13" s="109"/>
      <c r="F13" s="109"/>
      <c r="G13" s="109"/>
      <c r="H13" s="109"/>
      <c r="I13" s="109"/>
      <c r="J13" s="109"/>
      <c r="K13" s="109"/>
      <c r="L13" s="109"/>
      <c r="M13" s="109"/>
      <c r="N13" s="109"/>
      <c r="O13" s="109"/>
      <c r="P13" s="109"/>
      <c r="Q13" s="109"/>
      <c r="R13" s="109"/>
      <c r="S13" s="110"/>
      <c r="V13" s="1" t="s">
        <v>103</v>
      </c>
    </row>
    <row r="14" spans="1:22" ht="18" customHeight="1" x14ac:dyDescent="0.2">
      <c r="B14" s="111"/>
      <c r="C14" s="112"/>
      <c r="D14" s="112"/>
      <c r="E14" s="112"/>
      <c r="F14" s="112"/>
      <c r="G14" s="112"/>
      <c r="H14" s="112"/>
      <c r="I14" s="112"/>
      <c r="J14" s="112"/>
      <c r="K14" s="112"/>
      <c r="L14" s="112"/>
      <c r="M14" s="112"/>
      <c r="N14" s="112"/>
      <c r="O14" s="112"/>
      <c r="P14" s="112"/>
      <c r="Q14" s="112"/>
      <c r="R14" s="112"/>
      <c r="S14" s="113"/>
      <c r="V14" s="1" t="s">
        <v>110</v>
      </c>
    </row>
    <row r="15" spans="1:22" ht="18" customHeight="1" x14ac:dyDescent="0.2">
      <c r="B15" s="111"/>
      <c r="C15" s="112"/>
      <c r="D15" s="112"/>
      <c r="E15" s="112"/>
      <c r="F15" s="112"/>
      <c r="G15" s="112"/>
      <c r="H15" s="112"/>
      <c r="I15" s="112"/>
      <c r="J15" s="112"/>
      <c r="K15" s="112"/>
      <c r="L15" s="112"/>
      <c r="M15" s="112"/>
      <c r="N15" s="112"/>
      <c r="O15" s="112"/>
      <c r="P15" s="112"/>
      <c r="Q15" s="112"/>
      <c r="R15" s="112"/>
      <c r="S15" s="113"/>
      <c r="V15" s="1" t="s">
        <v>123</v>
      </c>
    </row>
    <row r="16" spans="1:22" ht="18" customHeight="1" x14ac:dyDescent="0.2">
      <c r="B16" s="111"/>
      <c r="C16" s="112"/>
      <c r="D16" s="112"/>
      <c r="E16" s="112"/>
      <c r="F16" s="112"/>
      <c r="G16" s="112"/>
      <c r="H16" s="112"/>
      <c r="I16" s="112"/>
      <c r="J16" s="112"/>
      <c r="K16" s="112"/>
      <c r="L16" s="112"/>
      <c r="M16" s="112"/>
      <c r="N16" s="112"/>
      <c r="O16" s="112"/>
      <c r="P16" s="112"/>
      <c r="Q16" s="112"/>
      <c r="R16" s="112"/>
      <c r="S16" s="113"/>
      <c r="V16" s="1" t="s">
        <v>125</v>
      </c>
    </row>
    <row r="17" spans="1:19" ht="18" customHeight="1" x14ac:dyDescent="0.2">
      <c r="B17" s="111"/>
      <c r="C17" s="112"/>
      <c r="D17" s="112"/>
      <c r="E17" s="112"/>
      <c r="F17" s="112"/>
      <c r="G17" s="112"/>
      <c r="H17" s="112"/>
      <c r="I17" s="112"/>
      <c r="J17" s="112"/>
      <c r="K17" s="112"/>
      <c r="L17" s="112"/>
      <c r="M17" s="112"/>
      <c r="N17" s="112"/>
      <c r="O17" s="112"/>
      <c r="P17" s="112"/>
      <c r="Q17" s="112"/>
      <c r="R17" s="112"/>
      <c r="S17" s="113"/>
    </row>
    <row r="18" spans="1:19" ht="18" customHeight="1" x14ac:dyDescent="0.2">
      <c r="B18" s="114"/>
      <c r="C18" s="115"/>
      <c r="D18" s="115"/>
      <c r="E18" s="115"/>
      <c r="F18" s="115"/>
      <c r="G18" s="115"/>
      <c r="H18" s="115"/>
      <c r="I18" s="115"/>
      <c r="J18" s="115"/>
      <c r="K18" s="115"/>
      <c r="L18" s="115"/>
      <c r="M18" s="115"/>
      <c r="N18" s="115"/>
      <c r="O18" s="115"/>
      <c r="P18" s="115"/>
      <c r="Q18" s="115"/>
      <c r="R18" s="115"/>
      <c r="S18" s="116"/>
    </row>
    <row r="19" spans="1:19" ht="7.5" customHeight="1" x14ac:dyDescent="0.2">
      <c r="B19" s="3"/>
      <c r="C19" s="3"/>
      <c r="D19" s="3"/>
      <c r="E19" s="3"/>
      <c r="F19" s="3"/>
      <c r="G19" s="3"/>
      <c r="H19" s="3"/>
      <c r="I19" s="3"/>
      <c r="J19" s="3"/>
      <c r="K19" s="3"/>
      <c r="L19" s="3"/>
      <c r="M19" s="3"/>
      <c r="N19" s="3"/>
      <c r="O19" s="3"/>
      <c r="P19" s="3"/>
      <c r="Q19" s="3"/>
      <c r="R19" s="3"/>
      <c r="S19" s="3"/>
    </row>
    <row r="20" spans="1:19" ht="19.95" customHeight="1" x14ac:dyDescent="0.2">
      <c r="B20" s="1" t="s">
        <v>112</v>
      </c>
      <c r="C20" s="96">
        <v>2</v>
      </c>
      <c r="D20" s="98"/>
      <c r="E20" s="38" t="s">
        <v>95</v>
      </c>
      <c r="G20" s="10"/>
      <c r="H20" s="3"/>
      <c r="I20" s="3"/>
      <c r="J20" s="33" t="s">
        <v>121</v>
      </c>
      <c r="K20" s="104" t="s">
        <v>110</v>
      </c>
      <c r="L20" s="105"/>
      <c r="M20" s="105"/>
      <c r="N20" s="105"/>
      <c r="O20" s="105"/>
      <c r="P20" s="105"/>
      <c r="Q20" s="105"/>
      <c r="R20" s="105"/>
      <c r="S20" s="106"/>
    </row>
    <row r="21" spans="1:19" ht="7.5" customHeight="1" x14ac:dyDescent="0.2">
      <c r="B21" s="3"/>
      <c r="C21" s="3"/>
      <c r="D21" s="3"/>
      <c r="E21" s="3"/>
      <c r="F21" s="3"/>
      <c r="G21" s="3"/>
      <c r="H21" s="3"/>
      <c r="I21" s="3"/>
      <c r="J21" s="3"/>
      <c r="K21" s="3"/>
      <c r="L21" s="3"/>
      <c r="M21" s="3"/>
      <c r="N21" s="3"/>
      <c r="O21" s="3"/>
      <c r="P21" s="3"/>
      <c r="Q21" s="3"/>
      <c r="R21" s="3"/>
      <c r="S21" s="3"/>
    </row>
    <row r="22" spans="1:19" ht="18" customHeight="1" x14ac:dyDescent="0.2">
      <c r="A22" s="99" t="s">
        <v>113</v>
      </c>
      <c r="B22" s="99"/>
      <c r="C22" s="99"/>
      <c r="D22" s="99"/>
      <c r="E22" s="99"/>
      <c r="F22" s="99"/>
      <c r="G22" s="99"/>
      <c r="H22" s="99"/>
      <c r="I22" s="99"/>
      <c r="J22" s="99"/>
      <c r="K22" s="99"/>
      <c r="L22" s="99"/>
      <c r="M22" s="99"/>
      <c r="N22" s="99"/>
      <c r="O22" s="99"/>
      <c r="P22" s="99"/>
      <c r="Q22" s="99"/>
      <c r="R22" s="99"/>
      <c r="S22" s="99"/>
    </row>
    <row r="23" spans="1:19" ht="18" customHeight="1" x14ac:dyDescent="0.2">
      <c r="A23" s="99"/>
      <c r="B23" s="99"/>
      <c r="C23" s="99"/>
      <c r="D23" s="99"/>
      <c r="E23" s="99"/>
      <c r="F23" s="99"/>
      <c r="G23" s="99"/>
      <c r="H23" s="99"/>
      <c r="I23" s="99"/>
      <c r="J23" s="99"/>
      <c r="K23" s="99"/>
      <c r="L23" s="99"/>
      <c r="M23" s="99"/>
      <c r="N23" s="99"/>
      <c r="O23" s="99"/>
      <c r="P23" s="99"/>
      <c r="Q23" s="99"/>
      <c r="R23" s="99"/>
      <c r="S23" s="99"/>
    </row>
    <row r="24" spans="1:19" ht="18" customHeight="1" x14ac:dyDescent="0.2">
      <c r="B24" s="96" t="s">
        <v>53</v>
      </c>
      <c r="C24" s="97"/>
      <c r="D24" s="97"/>
      <c r="E24" s="98"/>
      <c r="F24" s="58" t="s">
        <v>80</v>
      </c>
      <c r="G24" s="57" t="s">
        <v>84</v>
      </c>
      <c r="H24" s="20" t="s">
        <v>56</v>
      </c>
      <c r="I24" s="20" t="s">
        <v>59</v>
      </c>
      <c r="J24" s="96" t="s">
        <v>53</v>
      </c>
      <c r="K24" s="97"/>
      <c r="L24" s="97"/>
      <c r="M24" s="97"/>
      <c r="N24" s="97"/>
      <c r="O24" s="98"/>
      <c r="P24" s="58" t="s">
        <v>80</v>
      </c>
      <c r="Q24" s="57" t="s">
        <v>84</v>
      </c>
      <c r="R24" s="20" t="s">
        <v>56</v>
      </c>
      <c r="S24" s="20" t="s">
        <v>59</v>
      </c>
    </row>
    <row r="25" spans="1:19" ht="18" customHeight="1" x14ac:dyDescent="0.2">
      <c r="B25" s="100" t="s">
        <v>131</v>
      </c>
      <c r="C25" s="101"/>
      <c r="D25" s="101"/>
      <c r="E25" s="102"/>
      <c r="F25" s="21">
        <v>1</v>
      </c>
      <c r="G25" s="21" t="s">
        <v>129</v>
      </c>
      <c r="H25" s="83" t="s">
        <v>129</v>
      </c>
      <c r="I25" s="83" t="s">
        <v>129</v>
      </c>
      <c r="J25" s="100"/>
      <c r="K25" s="101"/>
      <c r="L25" s="101"/>
      <c r="M25" s="101"/>
      <c r="N25" s="101"/>
      <c r="O25" s="102"/>
      <c r="P25" s="21"/>
      <c r="Q25" s="21"/>
      <c r="R25" s="21"/>
      <c r="S25" s="21"/>
    </row>
    <row r="26" spans="1:19" ht="18" customHeight="1" x14ac:dyDescent="0.2">
      <c r="B26" s="90" t="s">
        <v>161</v>
      </c>
      <c r="C26" s="91"/>
      <c r="D26" s="91"/>
      <c r="E26" s="92"/>
      <c r="F26" s="22">
        <v>1</v>
      </c>
      <c r="G26" s="22" t="s">
        <v>129</v>
      </c>
      <c r="H26" s="81" t="s">
        <v>129</v>
      </c>
      <c r="I26" s="81"/>
      <c r="J26" s="90"/>
      <c r="K26" s="91"/>
      <c r="L26" s="91"/>
      <c r="M26" s="91"/>
      <c r="N26" s="91"/>
      <c r="O26" s="92"/>
      <c r="P26" s="22"/>
      <c r="Q26" s="22"/>
      <c r="R26" s="22"/>
      <c r="S26" s="22"/>
    </row>
    <row r="27" spans="1:19" ht="18" customHeight="1" x14ac:dyDescent="0.2">
      <c r="B27" s="90"/>
      <c r="C27" s="91"/>
      <c r="D27" s="91"/>
      <c r="E27" s="92"/>
      <c r="F27" s="22"/>
      <c r="G27" s="22"/>
      <c r="H27" s="22"/>
      <c r="I27" s="22"/>
      <c r="J27" s="90"/>
      <c r="K27" s="91"/>
      <c r="L27" s="91"/>
      <c r="M27" s="91"/>
      <c r="N27" s="91"/>
      <c r="O27" s="92"/>
      <c r="P27" s="22"/>
      <c r="Q27" s="22"/>
      <c r="R27" s="22"/>
      <c r="S27" s="22"/>
    </row>
    <row r="28" spans="1:19" ht="18" customHeight="1" x14ac:dyDescent="0.2">
      <c r="B28" s="90"/>
      <c r="C28" s="91"/>
      <c r="D28" s="91"/>
      <c r="E28" s="92"/>
      <c r="F28" s="22"/>
      <c r="G28" s="22"/>
      <c r="H28" s="22"/>
      <c r="I28" s="22"/>
      <c r="J28" s="90"/>
      <c r="K28" s="91"/>
      <c r="L28" s="91"/>
      <c r="M28" s="91"/>
      <c r="N28" s="91"/>
      <c r="O28" s="92"/>
      <c r="P28" s="22"/>
      <c r="Q28" s="22"/>
      <c r="R28" s="22"/>
      <c r="S28" s="22"/>
    </row>
    <row r="29" spans="1:19" ht="18" customHeight="1" x14ac:dyDescent="0.2">
      <c r="B29" s="90"/>
      <c r="C29" s="91"/>
      <c r="D29" s="91"/>
      <c r="E29" s="92"/>
      <c r="F29" s="22"/>
      <c r="G29" s="22"/>
      <c r="H29" s="22"/>
      <c r="I29" s="22"/>
      <c r="J29" s="90"/>
      <c r="K29" s="91"/>
      <c r="L29" s="91"/>
      <c r="M29" s="91"/>
      <c r="N29" s="91"/>
      <c r="O29" s="92"/>
      <c r="P29" s="22"/>
      <c r="Q29" s="22"/>
      <c r="R29" s="22"/>
      <c r="S29" s="22"/>
    </row>
    <row r="30" spans="1:19" ht="18" customHeight="1" x14ac:dyDescent="0.2">
      <c r="A30" s="3"/>
      <c r="B30" s="90"/>
      <c r="C30" s="91"/>
      <c r="D30" s="91"/>
      <c r="E30" s="92"/>
      <c r="F30" s="22"/>
      <c r="G30" s="22"/>
      <c r="H30" s="22"/>
      <c r="I30" s="22"/>
      <c r="J30" s="90"/>
      <c r="K30" s="91"/>
      <c r="L30" s="91"/>
      <c r="M30" s="91"/>
      <c r="N30" s="91"/>
      <c r="O30" s="92"/>
      <c r="P30" s="22"/>
      <c r="Q30" s="22"/>
      <c r="R30" s="22"/>
      <c r="S30" s="22"/>
    </row>
    <row r="31" spans="1:19" ht="18" customHeight="1" x14ac:dyDescent="0.2">
      <c r="A31" s="3"/>
      <c r="B31" s="93"/>
      <c r="C31" s="94"/>
      <c r="D31" s="94"/>
      <c r="E31" s="95"/>
      <c r="F31" s="23"/>
      <c r="G31" s="23"/>
      <c r="H31" s="24"/>
      <c r="I31" s="24"/>
      <c r="J31" s="93"/>
      <c r="K31" s="94"/>
      <c r="L31" s="94"/>
      <c r="M31" s="94"/>
      <c r="N31" s="94"/>
      <c r="O31" s="95"/>
      <c r="P31" s="23"/>
      <c r="Q31" s="23"/>
      <c r="R31" s="24"/>
      <c r="S31" s="24"/>
    </row>
    <row r="32" spans="1:19" ht="7.5" customHeight="1" x14ac:dyDescent="0.2">
      <c r="A32" s="3"/>
      <c r="B32" s="6"/>
      <c r="C32" s="6"/>
      <c r="D32" s="3"/>
      <c r="E32" s="3"/>
      <c r="F32" s="3"/>
      <c r="G32" s="3"/>
      <c r="H32" s="6"/>
      <c r="I32" s="6"/>
      <c r="J32" s="6"/>
      <c r="K32" s="6"/>
      <c r="L32" s="6"/>
      <c r="M32" s="6"/>
      <c r="N32" s="6"/>
      <c r="O32" s="6"/>
      <c r="P32" s="6"/>
      <c r="Q32" s="6"/>
      <c r="R32" s="6"/>
      <c r="S32" s="3"/>
    </row>
    <row r="33" spans="1:19" ht="18" customHeight="1" x14ac:dyDescent="0.2">
      <c r="A33" s="99" t="s">
        <v>114</v>
      </c>
      <c r="B33" s="99"/>
      <c r="C33" s="99"/>
      <c r="D33" s="99"/>
      <c r="E33" s="99"/>
      <c r="F33" s="99"/>
      <c r="G33" s="99"/>
      <c r="H33" s="99"/>
      <c r="I33" s="99"/>
      <c r="J33" s="99"/>
      <c r="K33" s="99"/>
      <c r="L33" s="99"/>
      <c r="M33" s="99"/>
      <c r="N33" s="99"/>
      <c r="O33" s="99"/>
      <c r="P33" s="99"/>
      <c r="Q33" s="99"/>
      <c r="R33" s="99"/>
      <c r="S33" s="99"/>
    </row>
    <row r="34" spans="1:19" ht="18" customHeight="1" x14ac:dyDescent="0.2">
      <c r="A34" s="99"/>
      <c r="B34" s="99"/>
      <c r="C34" s="99"/>
      <c r="D34" s="99"/>
      <c r="E34" s="99"/>
      <c r="F34" s="99"/>
      <c r="G34" s="99"/>
      <c r="H34" s="99"/>
      <c r="I34" s="99"/>
      <c r="J34" s="99"/>
      <c r="K34" s="99"/>
      <c r="L34" s="99"/>
      <c r="M34" s="99"/>
      <c r="N34" s="99"/>
      <c r="O34" s="99"/>
      <c r="P34" s="99"/>
      <c r="Q34" s="99"/>
      <c r="R34" s="99"/>
      <c r="S34" s="99"/>
    </row>
    <row r="35" spans="1:19" ht="18" customHeight="1" x14ac:dyDescent="0.2">
      <c r="B35" s="96" t="s">
        <v>53</v>
      </c>
      <c r="C35" s="97"/>
      <c r="D35" s="97"/>
      <c r="E35" s="98"/>
      <c r="F35" s="58" t="s">
        <v>80</v>
      </c>
      <c r="G35" s="57" t="s">
        <v>84</v>
      </c>
      <c r="H35" s="20" t="s">
        <v>71</v>
      </c>
      <c r="I35" s="20" t="s">
        <v>72</v>
      </c>
      <c r="J35" s="96" t="s">
        <v>53</v>
      </c>
      <c r="K35" s="97"/>
      <c r="L35" s="97"/>
      <c r="M35" s="97"/>
      <c r="N35" s="97"/>
      <c r="O35" s="98"/>
      <c r="P35" s="58" t="s">
        <v>80</v>
      </c>
      <c r="Q35" s="57" t="s">
        <v>84</v>
      </c>
      <c r="R35" s="20" t="s">
        <v>71</v>
      </c>
      <c r="S35" s="20" t="s">
        <v>72</v>
      </c>
    </row>
    <row r="36" spans="1:19" ht="18" customHeight="1" x14ac:dyDescent="0.2">
      <c r="B36" s="100" t="s">
        <v>146</v>
      </c>
      <c r="C36" s="101"/>
      <c r="D36" s="101"/>
      <c r="E36" s="102"/>
      <c r="F36" s="21">
        <v>1</v>
      </c>
      <c r="G36" s="21" t="s">
        <v>129</v>
      </c>
      <c r="H36" s="82"/>
      <c r="I36" s="83" t="s">
        <v>129</v>
      </c>
      <c r="J36" s="100"/>
      <c r="K36" s="101"/>
      <c r="L36" s="101"/>
      <c r="M36" s="101"/>
      <c r="N36" s="101"/>
      <c r="O36" s="102"/>
      <c r="P36" s="21"/>
      <c r="Q36" s="21"/>
      <c r="R36" s="21"/>
      <c r="S36" s="21"/>
    </row>
    <row r="37" spans="1:19" ht="18" customHeight="1" x14ac:dyDescent="0.2">
      <c r="B37" s="90" t="s">
        <v>161</v>
      </c>
      <c r="C37" s="91"/>
      <c r="D37" s="91"/>
      <c r="E37" s="92"/>
      <c r="F37" s="22">
        <v>1</v>
      </c>
      <c r="G37" s="22" t="s">
        <v>129</v>
      </c>
      <c r="H37" s="22" t="s">
        <v>129</v>
      </c>
      <c r="I37" s="22" t="s">
        <v>129</v>
      </c>
      <c r="J37" s="90"/>
      <c r="K37" s="91"/>
      <c r="L37" s="91"/>
      <c r="M37" s="91"/>
      <c r="N37" s="91"/>
      <c r="O37" s="92"/>
      <c r="P37" s="22"/>
      <c r="Q37" s="22"/>
      <c r="R37" s="22"/>
      <c r="S37" s="22"/>
    </row>
    <row r="38" spans="1:19" ht="18" customHeight="1" x14ac:dyDescent="0.2">
      <c r="B38" s="90"/>
      <c r="C38" s="91"/>
      <c r="D38" s="91"/>
      <c r="E38" s="92"/>
      <c r="F38" s="22"/>
      <c r="G38" s="22"/>
      <c r="H38" s="22"/>
      <c r="I38" s="22"/>
      <c r="J38" s="90"/>
      <c r="K38" s="91"/>
      <c r="L38" s="91"/>
      <c r="M38" s="91"/>
      <c r="N38" s="91"/>
      <c r="O38" s="92"/>
      <c r="P38" s="22"/>
      <c r="Q38" s="22"/>
      <c r="R38" s="22"/>
      <c r="S38" s="22"/>
    </row>
    <row r="39" spans="1:19" ht="18" customHeight="1" x14ac:dyDescent="0.2">
      <c r="B39" s="90"/>
      <c r="C39" s="91"/>
      <c r="D39" s="91"/>
      <c r="E39" s="92"/>
      <c r="F39" s="22"/>
      <c r="G39" s="22"/>
      <c r="H39" s="22"/>
      <c r="I39" s="22"/>
      <c r="J39" s="90"/>
      <c r="K39" s="91"/>
      <c r="L39" s="91"/>
      <c r="M39" s="91"/>
      <c r="N39" s="91"/>
      <c r="O39" s="92"/>
      <c r="P39" s="22"/>
      <c r="Q39" s="22"/>
      <c r="R39" s="22"/>
      <c r="S39" s="22"/>
    </row>
    <row r="40" spans="1:19" ht="18" customHeight="1" x14ac:dyDescent="0.2">
      <c r="B40" s="90"/>
      <c r="C40" s="91"/>
      <c r="D40" s="91"/>
      <c r="E40" s="92"/>
      <c r="F40" s="22"/>
      <c r="G40" s="22"/>
      <c r="H40" s="22"/>
      <c r="I40" s="22"/>
      <c r="J40" s="90"/>
      <c r="K40" s="91"/>
      <c r="L40" s="91"/>
      <c r="M40" s="91"/>
      <c r="N40" s="91"/>
      <c r="O40" s="92"/>
      <c r="P40" s="22"/>
      <c r="Q40" s="22"/>
      <c r="R40" s="22"/>
      <c r="S40" s="22"/>
    </row>
    <row r="41" spans="1:19" ht="18" customHeight="1" x14ac:dyDescent="0.2">
      <c r="B41" s="90"/>
      <c r="C41" s="91"/>
      <c r="D41" s="91"/>
      <c r="E41" s="92"/>
      <c r="F41" s="22"/>
      <c r="G41" s="22"/>
      <c r="H41" s="22"/>
      <c r="I41" s="22"/>
      <c r="J41" s="90"/>
      <c r="K41" s="91"/>
      <c r="L41" s="91"/>
      <c r="M41" s="91"/>
      <c r="N41" s="91"/>
      <c r="O41" s="92"/>
      <c r="P41" s="22"/>
      <c r="Q41" s="22"/>
      <c r="R41" s="22"/>
      <c r="S41" s="22"/>
    </row>
    <row r="42" spans="1:19" ht="18" customHeight="1" x14ac:dyDescent="0.2">
      <c r="B42" s="93"/>
      <c r="C42" s="94"/>
      <c r="D42" s="94"/>
      <c r="E42" s="95"/>
      <c r="F42" s="23"/>
      <c r="G42" s="23"/>
      <c r="H42" s="24"/>
      <c r="I42" s="24"/>
      <c r="J42" s="93"/>
      <c r="K42" s="94"/>
      <c r="L42" s="94"/>
      <c r="M42" s="94"/>
      <c r="N42" s="94"/>
      <c r="O42" s="95"/>
      <c r="P42" s="23"/>
      <c r="Q42" s="23"/>
      <c r="R42" s="24"/>
      <c r="S42" s="24"/>
    </row>
    <row r="43" spans="1:19" ht="7.5" customHeight="1" x14ac:dyDescent="0.2">
      <c r="A43" s="3"/>
      <c r="B43" s="6"/>
      <c r="C43" s="6"/>
      <c r="D43" s="3"/>
      <c r="E43" s="3"/>
      <c r="F43" s="3"/>
      <c r="G43" s="3"/>
      <c r="H43" s="6"/>
      <c r="I43" s="6"/>
      <c r="J43" s="6"/>
      <c r="K43" s="6"/>
      <c r="L43" s="6"/>
      <c r="M43" s="6"/>
      <c r="N43" s="6"/>
      <c r="O43" s="6"/>
      <c r="P43" s="6"/>
      <c r="Q43" s="6"/>
      <c r="R43" s="6"/>
      <c r="S43" s="3"/>
    </row>
    <row r="44" spans="1:19" ht="18" customHeight="1" x14ac:dyDescent="0.2">
      <c r="A44" s="99" t="s">
        <v>115</v>
      </c>
      <c r="B44" s="99"/>
      <c r="C44" s="99"/>
      <c r="D44" s="99"/>
      <c r="E44" s="99"/>
      <c r="F44" s="99"/>
      <c r="G44" s="99"/>
      <c r="H44" s="99"/>
      <c r="I44" s="99"/>
      <c r="J44" s="99"/>
      <c r="K44" s="99"/>
      <c r="L44" s="99"/>
      <c r="M44" s="99"/>
      <c r="N44" s="99"/>
      <c r="O44" s="99"/>
      <c r="P44" s="99"/>
      <c r="Q44" s="99"/>
      <c r="R44" s="99"/>
      <c r="S44" s="99"/>
    </row>
    <row r="45" spans="1:19" ht="18" customHeight="1" x14ac:dyDescent="0.2">
      <c r="A45" s="99"/>
      <c r="B45" s="99"/>
      <c r="C45" s="99"/>
      <c r="D45" s="99"/>
      <c r="E45" s="99"/>
      <c r="F45" s="99"/>
      <c r="G45" s="99"/>
      <c r="H45" s="99"/>
      <c r="I45" s="99"/>
      <c r="J45" s="99"/>
      <c r="K45" s="99"/>
      <c r="L45" s="99"/>
      <c r="M45" s="99"/>
      <c r="N45" s="99"/>
      <c r="O45" s="99"/>
      <c r="P45" s="99"/>
      <c r="Q45" s="99"/>
      <c r="R45" s="99"/>
      <c r="S45" s="99"/>
    </row>
    <row r="46" spans="1:19" ht="18" customHeight="1" x14ac:dyDescent="0.2">
      <c r="B46" s="96" t="s">
        <v>53</v>
      </c>
      <c r="C46" s="97"/>
      <c r="D46" s="97"/>
      <c r="E46" s="98"/>
      <c r="F46" s="58" t="s">
        <v>80</v>
      </c>
      <c r="G46" s="57" t="s">
        <v>84</v>
      </c>
      <c r="H46" s="20" t="s">
        <v>73</v>
      </c>
      <c r="I46" s="20" t="s">
        <v>74</v>
      </c>
      <c r="J46" s="96" t="s">
        <v>53</v>
      </c>
      <c r="K46" s="97"/>
      <c r="L46" s="97"/>
      <c r="M46" s="97"/>
      <c r="N46" s="97"/>
      <c r="O46" s="98"/>
      <c r="P46" s="58" t="s">
        <v>80</v>
      </c>
      <c r="Q46" s="57" t="s">
        <v>84</v>
      </c>
      <c r="R46" s="20" t="s">
        <v>73</v>
      </c>
      <c r="S46" s="20" t="s">
        <v>74</v>
      </c>
    </row>
    <row r="47" spans="1:19" ht="18" customHeight="1" x14ac:dyDescent="0.2">
      <c r="A47" s="3"/>
      <c r="B47" s="100" t="s">
        <v>146</v>
      </c>
      <c r="C47" s="101"/>
      <c r="D47" s="101"/>
      <c r="E47" s="102"/>
      <c r="F47" s="21">
        <v>1</v>
      </c>
      <c r="G47" s="21" t="s">
        <v>129</v>
      </c>
      <c r="H47" s="21" t="s">
        <v>129</v>
      </c>
      <c r="I47" s="82"/>
      <c r="J47" s="100"/>
      <c r="K47" s="101"/>
      <c r="L47" s="101"/>
      <c r="M47" s="101"/>
      <c r="N47" s="101"/>
      <c r="O47" s="102"/>
      <c r="P47" s="21"/>
      <c r="Q47" s="21"/>
      <c r="R47" s="21"/>
      <c r="S47" s="21"/>
    </row>
    <row r="48" spans="1:19" ht="18" customHeight="1" x14ac:dyDescent="0.2">
      <c r="A48" s="3"/>
      <c r="B48" s="90" t="s">
        <v>161</v>
      </c>
      <c r="C48" s="91"/>
      <c r="D48" s="91"/>
      <c r="E48" s="92"/>
      <c r="F48" s="22">
        <v>1</v>
      </c>
      <c r="G48" s="22" t="s">
        <v>129</v>
      </c>
      <c r="H48" s="22" t="s">
        <v>129</v>
      </c>
      <c r="I48" s="22" t="s">
        <v>129</v>
      </c>
      <c r="J48" s="90"/>
      <c r="K48" s="91"/>
      <c r="L48" s="91"/>
      <c r="M48" s="91"/>
      <c r="N48" s="91"/>
      <c r="O48" s="92"/>
      <c r="P48" s="22"/>
      <c r="Q48" s="22"/>
      <c r="R48" s="22"/>
      <c r="S48" s="22"/>
    </row>
    <row r="49" spans="1:19" ht="18" customHeight="1" x14ac:dyDescent="0.2">
      <c r="A49" s="3"/>
      <c r="B49" s="90"/>
      <c r="C49" s="91"/>
      <c r="D49" s="91"/>
      <c r="E49" s="92"/>
      <c r="F49" s="22"/>
      <c r="G49" s="22"/>
      <c r="H49" s="22"/>
      <c r="I49" s="22"/>
      <c r="J49" s="90"/>
      <c r="K49" s="91"/>
      <c r="L49" s="91"/>
      <c r="M49" s="91"/>
      <c r="N49" s="91"/>
      <c r="O49" s="92"/>
      <c r="P49" s="22"/>
      <c r="Q49" s="22"/>
      <c r="R49" s="22"/>
      <c r="S49" s="22"/>
    </row>
    <row r="50" spans="1:19" ht="18" customHeight="1" x14ac:dyDescent="0.2">
      <c r="A50" s="3"/>
      <c r="B50" s="90"/>
      <c r="C50" s="91"/>
      <c r="D50" s="91"/>
      <c r="E50" s="92"/>
      <c r="F50" s="22"/>
      <c r="G50" s="22"/>
      <c r="H50" s="22"/>
      <c r="I50" s="22"/>
      <c r="J50" s="90"/>
      <c r="K50" s="91"/>
      <c r="L50" s="91"/>
      <c r="M50" s="91"/>
      <c r="N50" s="91"/>
      <c r="O50" s="92"/>
      <c r="P50" s="22"/>
      <c r="Q50" s="22"/>
      <c r="R50" s="22"/>
      <c r="S50" s="22"/>
    </row>
    <row r="51" spans="1:19" ht="18" customHeight="1" x14ac:dyDescent="0.2">
      <c r="A51" s="3"/>
      <c r="B51" s="90"/>
      <c r="C51" s="91"/>
      <c r="D51" s="91"/>
      <c r="E51" s="92"/>
      <c r="F51" s="22"/>
      <c r="G51" s="22"/>
      <c r="H51" s="22"/>
      <c r="I51" s="22"/>
      <c r="J51" s="90"/>
      <c r="K51" s="91"/>
      <c r="L51" s="91"/>
      <c r="M51" s="91"/>
      <c r="N51" s="91"/>
      <c r="O51" s="92"/>
      <c r="P51" s="22"/>
      <c r="Q51" s="22"/>
      <c r="R51" s="22"/>
      <c r="S51" s="22"/>
    </row>
    <row r="52" spans="1:19" ht="18" customHeight="1" x14ac:dyDescent="0.2">
      <c r="A52" s="3"/>
      <c r="B52" s="90"/>
      <c r="C52" s="91"/>
      <c r="D52" s="91"/>
      <c r="E52" s="92"/>
      <c r="F52" s="22"/>
      <c r="G52" s="22"/>
      <c r="H52" s="22"/>
      <c r="I52" s="22"/>
      <c r="J52" s="90"/>
      <c r="K52" s="91"/>
      <c r="L52" s="91"/>
      <c r="M52" s="91"/>
      <c r="N52" s="91"/>
      <c r="O52" s="92"/>
      <c r="P52" s="22"/>
      <c r="Q52" s="22"/>
      <c r="R52" s="22"/>
      <c r="S52" s="22"/>
    </row>
    <row r="53" spans="1:19" ht="18" customHeight="1" x14ac:dyDescent="0.2">
      <c r="A53" s="3"/>
      <c r="B53" s="93"/>
      <c r="C53" s="94"/>
      <c r="D53" s="94"/>
      <c r="E53" s="95"/>
      <c r="F53" s="23"/>
      <c r="G53" s="23"/>
      <c r="H53" s="24"/>
      <c r="I53" s="24"/>
      <c r="J53" s="93"/>
      <c r="K53" s="94"/>
      <c r="L53" s="94"/>
      <c r="M53" s="94"/>
      <c r="N53" s="94"/>
      <c r="O53" s="95"/>
      <c r="P53" s="23"/>
      <c r="Q53" s="23"/>
      <c r="R53" s="24"/>
      <c r="S53" s="24"/>
    </row>
    <row r="54" spans="1:19" ht="7.5" customHeight="1" x14ac:dyDescent="0.2">
      <c r="B54" s="15"/>
      <c r="C54" s="15"/>
      <c r="D54" s="15"/>
      <c r="E54" s="15"/>
      <c r="F54" s="15"/>
      <c r="G54" s="15"/>
      <c r="H54" s="15"/>
      <c r="I54" s="15"/>
      <c r="J54" s="15"/>
      <c r="K54" s="15"/>
      <c r="L54" s="15"/>
      <c r="M54" s="15"/>
      <c r="N54" s="15"/>
      <c r="O54" s="15"/>
      <c r="P54" s="15"/>
      <c r="Q54" s="15"/>
      <c r="R54" s="15"/>
    </row>
    <row r="55" spans="1:19" ht="18" customHeight="1" x14ac:dyDescent="0.2">
      <c r="A55" s="99" t="s">
        <v>116</v>
      </c>
      <c r="B55" s="99"/>
      <c r="C55" s="99"/>
      <c r="D55" s="99"/>
      <c r="E55" s="99"/>
      <c r="F55" s="99"/>
      <c r="G55" s="99"/>
      <c r="H55" s="99"/>
      <c r="I55" s="99"/>
      <c r="J55" s="99"/>
      <c r="K55" s="99"/>
      <c r="L55" s="99"/>
      <c r="M55" s="99"/>
      <c r="N55" s="99"/>
      <c r="O55" s="99"/>
      <c r="P55" s="99"/>
      <c r="Q55" s="99"/>
      <c r="R55" s="99"/>
      <c r="S55" s="99"/>
    </row>
    <row r="56" spans="1:19" ht="18" customHeight="1" x14ac:dyDescent="0.2">
      <c r="A56" s="99"/>
      <c r="B56" s="99"/>
      <c r="C56" s="99"/>
      <c r="D56" s="99"/>
      <c r="E56" s="99"/>
      <c r="F56" s="99"/>
      <c r="G56" s="99"/>
      <c r="H56" s="99"/>
      <c r="I56" s="99"/>
      <c r="J56" s="99"/>
      <c r="K56" s="99"/>
      <c r="L56" s="99"/>
      <c r="M56" s="99"/>
      <c r="N56" s="99"/>
      <c r="O56" s="99"/>
      <c r="P56" s="99"/>
      <c r="Q56" s="99"/>
      <c r="R56" s="99"/>
      <c r="S56" s="99"/>
    </row>
    <row r="57" spans="1:19" ht="18" customHeight="1" x14ac:dyDescent="0.2">
      <c r="B57" s="96" t="s">
        <v>53</v>
      </c>
      <c r="C57" s="97"/>
      <c r="D57" s="97"/>
      <c r="E57" s="98"/>
      <c r="F57" s="58" t="s">
        <v>80</v>
      </c>
      <c r="G57" s="57" t="s">
        <v>84</v>
      </c>
      <c r="H57" s="20" t="s">
        <v>58</v>
      </c>
      <c r="I57" s="20" t="s">
        <v>60</v>
      </c>
      <c r="J57" s="96" t="s">
        <v>53</v>
      </c>
      <c r="K57" s="97"/>
      <c r="L57" s="97"/>
      <c r="M57" s="97"/>
      <c r="N57" s="97"/>
      <c r="O57" s="98"/>
      <c r="P57" s="58" t="s">
        <v>80</v>
      </c>
      <c r="Q57" s="57" t="s">
        <v>84</v>
      </c>
      <c r="R57" s="20" t="s">
        <v>58</v>
      </c>
      <c r="S57" s="20" t="s">
        <v>60</v>
      </c>
    </row>
    <row r="58" spans="1:19" ht="18" customHeight="1" x14ac:dyDescent="0.2">
      <c r="A58" s="3"/>
      <c r="B58" s="100" t="s">
        <v>146</v>
      </c>
      <c r="C58" s="101"/>
      <c r="D58" s="101"/>
      <c r="E58" s="102"/>
      <c r="F58" s="21">
        <v>1</v>
      </c>
      <c r="G58" s="21" t="s">
        <v>129</v>
      </c>
      <c r="H58" s="21" t="s">
        <v>129</v>
      </c>
      <c r="I58" s="21" t="s">
        <v>129</v>
      </c>
      <c r="J58" s="100"/>
      <c r="K58" s="101"/>
      <c r="L58" s="101"/>
      <c r="M58" s="101"/>
      <c r="N58" s="101"/>
      <c r="O58" s="102"/>
      <c r="P58" s="21"/>
      <c r="Q58" s="21"/>
      <c r="R58" s="21"/>
      <c r="S58" s="21"/>
    </row>
    <row r="59" spans="1:19" ht="18" customHeight="1" x14ac:dyDescent="0.2">
      <c r="A59" s="3"/>
      <c r="B59" s="90"/>
      <c r="C59" s="91"/>
      <c r="D59" s="91"/>
      <c r="E59" s="92"/>
      <c r="F59" s="22"/>
      <c r="G59" s="22"/>
      <c r="H59" s="22"/>
      <c r="I59" s="22"/>
      <c r="J59" s="90"/>
      <c r="K59" s="91"/>
      <c r="L59" s="91"/>
      <c r="M59" s="91"/>
      <c r="N59" s="91"/>
      <c r="O59" s="92"/>
      <c r="P59" s="22"/>
      <c r="Q59" s="22"/>
      <c r="R59" s="22"/>
      <c r="S59" s="22"/>
    </row>
    <row r="60" spans="1:19" ht="18" customHeight="1" x14ac:dyDescent="0.2">
      <c r="A60" s="3"/>
      <c r="B60" s="90"/>
      <c r="C60" s="91"/>
      <c r="D60" s="91"/>
      <c r="E60" s="92"/>
      <c r="F60" s="22"/>
      <c r="G60" s="22"/>
      <c r="H60" s="22"/>
      <c r="I60" s="22"/>
      <c r="J60" s="90"/>
      <c r="K60" s="91"/>
      <c r="L60" s="91"/>
      <c r="M60" s="91"/>
      <c r="N60" s="91"/>
      <c r="O60" s="92"/>
      <c r="P60" s="22"/>
      <c r="Q60" s="22"/>
      <c r="R60" s="22"/>
      <c r="S60" s="22"/>
    </row>
    <row r="61" spans="1:19" ht="18" customHeight="1" x14ac:dyDescent="0.2">
      <c r="A61" s="3"/>
      <c r="B61" s="90"/>
      <c r="C61" s="91"/>
      <c r="D61" s="91"/>
      <c r="E61" s="92"/>
      <c r="F61" s="22"/>
      <c r="G61" s="22"/>
      <c r="H61" s="22"/>
      <c r="I61" s="22"/>
      <c r="J61" s="90"/>
      <c r="K61" s="91"/>
      <c r="L61" s="91"/>
      <c r="M61" s="91"/>
      <c r="N61" s="91"/>
      <c r="O61" s="92"/>
      <c r="P61" s="22"/>
      <c r="Q61" s="22"/>
      <c r="R61" s="22"/>
      <c r="S61" s="22"/>
    </row>
    <row r="62" spans="1:19" ht="18" customHeight="1" x14ac:dyDescent="0.2">
      <c r="A62" s="3"/>
      <c r="B62" s="90"/>
      <c r="C62" s="91"/>
      <c r="D62" s="91"/>
      <c r="E62" s="92"/>
      <c r="F62" s="22"/>
      <c r="G62" s="22"/>
      <c r="H62" s="22"/>
      <c r="I62" s="22"/>
      <c r="J62" s="90"/>
      <c r="K62" s="91"/>
      <c r="L62" s="91"/>
      <c r="M62" s="91"/>
      <c r="N62" s="91"/>
      <c r="O62" s="92"/>
      <c r="P62" s="22"/>
      <c r="Q62" s="22"/>
      <c r="R62" s="22"/>
      <c r="S62" s="22"/>
    </row>
    <row r="63" spans="1:19" ht="18" customHeight="1" x14ac:dyDescent="0.2">
      <c r="A63" s="3"/>
      <c r="B63" s="90"/>
      <c r="C63" s="91"/>
      <c r="D63" s="91"/>
      <c r="E63" s="92"/>
      <c r="F63" s="22"/>
      <c r="G63" s="22"/>
      <c r="H63" s="22"/>
      <c r="I63" s="22"/>
      <c r="J63" s="90"/>
      <c r="K63" s="91"/>
      <c r="L63" s="91"/>
      <c r="M63" s="91"/>
      <c r="N63" s="91"/>
      <c r="O63" s="92"/>
      <c r="P63" s="22"/>
      <c r="Q63" s="22"/>
      <c r="R63" s="22"/>
      <c r="S63" s="22"/>
    </row>
    <row r="64" spans="1:19" ht="18" customHeight="1" x14ac:dyDescent="0.2">
      <c r="A64" s="3"/>
      <c r="B64" s="93"/>
      <c r="C64" s="94"/>
      <c r="D64" s="94"/>
      <c r="E64" s="95"/>
      <c r="F64" s="23"/>
      <c r="G64" s="23"/>
      <c r="H64" s="24"/>
      <c r="I64" s="24"/>
      <c r="J64" s="93"/>
      <c r="K64" s="94"/>
      <c r="L64" s="94"/>
      <c r="M64" s="94"/>
      <c r="N64" s="94"/>
      <c r="O64" s="95"/>
      <c r="P64" s="23"/>
      <c r="Q64" s="23"/>
      <c r="R64" s="24"/>
      <c r="S64" s="24"/>
    </row>
    <row r="65" spans="1:19" ht="7.5" customHeight="1" x14ac:dyDescent="0.2">
      <c r="B65" s="15"/>
      <c r="C65" s="15"/>
      <c r="D65" s="15"/>
      <c r="E65" s="15"/>
      <c r="F65" s="15"/>
      <c r="G65" s="15"/>
      <c r="H65" s="15"/>
      <c r="I65" s="15"/>
      <c r="J65" s="15"/>
      <c r="K65" s="15"/>
      <c r="L65" s="15"/>
      <c r="M65" s="15"/>
      <c r="N65" s="15"/>
      <c r="O65" s="15"/>
      <c r="P65" s="15"/>
      <c r="Q65" s="15"/>
      <c r="R65" s="15"/>
    </row>
    <row r="66" spans="1:19" ht="18" customHeight="1" x14ac:dyDescent="0.2">
      <c r="A66" s="99" t="s">
        <v>117</v>
      </c>
      <c r="B66" s="99"/>
      <c r="C66" s="99"/>
      <c r="D66" s="99"/>
      <c r="E66" s="99"/>
      <c r="F66" s="99"/>
      <c r="G66" s="99"/>
      <c r="H66" s="99"/>
      <c r="I66" s="99"/>
      <c r="J66" s="99"/>
      <c r="K66" s="99"/>
      <c r="L66" s="99"/>
      <c r="M66" s="99"/>
      <c r="N66" s="99"/>
      <c r="O66" s="99"/>
      <c r="P66" s="99"/>
      <c r="Q66" s="99"/>
      <c r="R66" s="99"/>
      <c r="S66" s="99"/>
    </row>
    <row r="67" spans="1:19" ht="18" customHeight="1" x14ac:dyDescent="0.2">
      <c r="A67" s="99"/>
      <c r="B67" s="99"/>
      <c r="C67" s="99"/>
      <c r="D67" s="99"/>
      <c r="E67" s="99"/>
      <c r="F67" s="99"/>
      <c r="G67" s="99"/>
      <c r="H67" s="99"/>
      <c r="I67" s="99"/>
      <c r="J67" s="99"/>
      <c r="K67" s="99"/>
      <c r="L67" s="99"/>
      <c r="M67" s="99"/>
      <c r="N67" s="99"/>
      <c r="O67" s="99"/>
      <c r="P67" s="99"/>
      <c r="Q67" s="99"/>
      <c r="R67" s="99"/>
      <c r="S67" s="99"/>
    </row>
    <row r="68" spans="1:19" ht="18" customHeight="1" x14ac:dyDescent="0.2">
      <c r="B68" s="96" t="s">
        <v>53</v>
      </c>
      <c r="C68" s="97"/>
      <c r="D68" s="97"/>
      <c r="E68" s="58" t="s">
        <v>80</v>
      </c>
      <c r="F68" s="57" t="s">
        <v>84</v>
      </c>
      <c r="G68" s="20" t="s">
        <v>101</v>
      </c>
      <c r="H68" s="20" t="s">
        <v>75</v>
      </c>
      <c r="I68" s="20" t="s">
        <v>76</v>
      </c>
      <c r="J68" s="96" t="s">
        <v>53</v>
      </c>
      <c r="K68" s="97"/>
      <c r="L68" s="97"/>
      <c r="M68" s="97"/>
      <c r="N68" s="98"/>
      <c r="O68" s="58" t="s">
        <v>80</v>
      </c>
      <c r="P68" s="57" t="s">
        <v>84</v>
      </c>
      <c r="Q68" s="20" t="s">
        <v>101</v>
      </c>
      <c r="R68" s="20" t="s">
        <v>75</v>
      </c>
      <c r="S68" s="20" t="s">
        <v>76</v>
      </c>
    </row>
    <row r="69" spans="1:19" ht="18" customHeight="1" x14ac:dyDescent="0.2">
      <c r="A69" s="3"/>
      <c r="B69" s="100" t="s">
        <v>146</v>
      </c>
      <c r="C69" s="101"/>
      <c r="D69" s="101"/>
      <c r="E69" s="21">
        <v>1</v>
      </c>
      <c r="F69" s="21" t="s">
        <v>129</v>
      </c>
      <c r="G69" s="21"/>
      <c r="H69" s="21" t="s">
        <v>129</v>
      </c>
      <c r="I69" s="21" t="s">
        <v>129</v>
      </c>
      <c r="J69" s="100"/>
      <c r="K69" s="101"/>
      <c r="L69" s="101"/>
      <c r="M69" s="101"/>
      <c r="N69" s="102"/>
      <c r="O69" s="21"/>
      <c r="P69" s="21"/>
      <c r="Q69" s="21"/>
      <c r="R69" s="21"/>
      <c r="S69" s="21"/>
    </row>
    <row r="70" spans="1:19" ht="18" customHeight="1" x14ac:dyDescent="0.2">
      <c r="A70" s="3"/>
      <c r="B70" s="90" t="s">
        <v>161</v>
      </c>
      <c r="C70" s="91"/>
      <c r="D70" s="91"/>
      <c r="E70" s="22">
        <v>1</v>
      </c>
      <c r="F70" s="22" t="s">
        <v>129</v>
      </c>
      <c r="G70" s="22" t="s">
        <v>129</v>
      </c>
      <c r="H70" s="22" t="s">
        <v>129</v>
      </c>
      <c r="I70" s="22" t="s">
        <v>129</v>
      </c>
      <c r="J70" s="90"/>
      <c r="K70" s="91"/>
      <c r="L70" s="91"/>
      <c r="M70" s="91"/>
      <c r="N70" s="92"/>
      <c r="O70" s="22"/>
      <c r="P70" s="22"/>
      <c r="Q70" s="22"/>
      <c r="R70" s="22"/>
      <c r="S70" s="22"/>
    </row>
    <row r="71" spans="1:19" ht="18" customHeight="1" x14ac:dyDescent="0.2">
      <c r="A71" s="3"/>
      <c r="B71" s="90"/>
      <c r="C71" s="91"/>
      <c r="D71" s="91"/>
      <c r="E71" s="22"/>
      <c r="F71" s="22"/>
      <c r="G71" s="22"/>
      <c r="H71" s="22"/>
      <c r="I71" s="22"/>
      <c r="J71" s="90"/>
      <c r="K71" s="91"/>
      <c r="L71" s="91"/>
      <c r="M71" s="91"/>
      <c r="N71" s="92"/>
      <c r="O71" s="22"/>
      <c r="P71" s="22"/>
      <c r="Q71" s="22"/>
      <c r="R71" s="22"/>
      <c r="S71" s="22"/>
    </row>
    <row r="72" spans="1:19" ht="18" customHeight="1" x14ac:dyDescent="0.2">
      <c r="A72" s="3"/>
      <c r="B72" s="90"/>
      <c r="C72" s="91"/>
      <c r="D72" s="91"/>
      <c r="E72" s="22"/>
      <c r="F72" s="22"/>
      <c r="G72" s="22"/>
      <c r="H72" s="22"/>
      <c r="I72" s="22"/>
      <c r="J72" s="90"/>
      <c r="K72" s="91"/>
      <c r="L72" s="91"/>
      <c r="M72" s="91"/>
      <c r="N72" s="92"/>
      <c r="O72" s="22"/>
      <c r="P72" s="22"/>
      <c r="Q72" s="22"/>
      <c r="R72" s="22"/>
      <c r="S72" s="22"/>
    </row>
    <row r="73" spans="1:19" ht="18" customHeight="1" x14ac:dyDescent="0.2">
      <c r="A73" s="3"/>
      <c r="B73" s="90"/>
      <c r="C73" s="91"/>
      <c r="D73" s="91"/>
      <c r="E73" s="22"/>
      <c r="F73" s="22"/>
      <c r="G73" s="22"/>
      <c r="H73" s="22"/>
      <c r="I73" s="22"/>
      <c r="J73" s="90"/>
      <c r="K73" s="91"/>
      <c r="L73" s="91"/>
      <c r="M73" s="91"/>
      <c r="N73" s="92"/>
      <c r="O73" s="22"/>
      <c r="P73" s="22"/>
      <c r="Q73" s="22"/>
      <c r="R73" s="22"/>
      <c r="S73" s="22"/>
    </row>
    <row r="74" spans="1:19" ht="18" customHeight="1" x14ac:dyDescent="0.2">
      <c r="A74" s="3"/>
      <c r="B74" s="90"/>
      <c r="C74" s="91"/>
      <c r="D74" s="91"/>
      <c r="E74" s="22"/>
      <c r="F74" s="22"/>
      <c r="G74" s="22"/>
      <c r="H74" s="22"/>
      <c r="I74" s="22"/>
      <c r="J74" s="90"/>
      <c r="K74" s="91"/>
      <c r="L74" s="91"/>
      <c r="M74" s="91"/>
      <c r="N74" s="92"/>
      <c r="O74" s="22"/>
      <c r="P74" s="22"/>
      <c r="Q74" s="22"/>
      <c r="R74" s="22"/>
      <c r="S74" s="22"/>
    </row>
    <row r="75" spans="1:19" ht="18" customHeight="1" x14ac:dyDescent="0.2">
      <c r="A75" s="3"/>
      <c r="B75" s="93"/>
      <c r="C75" s="94"/>
      <c r="D75" s="94"/>
      <c r="E75" s="23"/>
      <c r="F75" s="23"/>
      <c r="G75" s="24"/>
      <c r="H75" s="24"/>
      <c r="I75" s="24"/>
      <c r="J75" s="93"/>
      <c r="K75" s="94"/>
      <c r="L75" s="94"/>
      <c r="M75" s="94"/>
      <c r="N75" s="95"/>
      <c r="O75" s="23"/>
      <c r="P75" s="23"/>
      <c r="Q75" s="24"/>
      <c r="R75" s="24"/>
      <c r="S75" s="24"/>
    </row>
    <row r="76" spans="1:19" ht="7.5" customHeight="1" x14ac:dyDescent="0.2">
      <c r="B76" s="15"/>
      <c r="C76" s="15"/>
      <c r="D76" s="15"/>
      <c r="E76" s="15"/>
      <c r="F76" s="15"/>
      <c r="G76" s="15"/>
      <c r="H76" s="15"/>
      <c r="I76" s="15"/>
      <c r="J76" s="15"/>
      <c r="K76" s="15"/>
      <c r="L76" s="15"/>
      <c r="M76" s="15"/>
      <c r="N76" s="15"/>
      <c r="O76" s="15"/>
      <c r="P76" s="15"/>
      <c r="Q76" s="15"/>
      <c r="R76" s="15"/>
    </row>
    <row r="77" spans="1:19" ht="18" customHeight="1" x14ac:dyDescent="0.2">
      <c r="A77" s="1" t="s">
        <v>118</v>
      </c>
      <c r="H77" s="3"/>
      <c r="I77" s="3"/>
      <c r="J77" s="3"/>
      <c r="K77" s="3"/>
      <c r="L77" s="3"/>
      <c r="M77" s="3"/>
      <c r="N77" s="3"/>
      <c r="O77" s="3"/>
      <c r="P77" s="3"/>
      <c r="Q77" s="3"/>
      <c r="R77" s="3"/>
      <c r="S77" s="3"/>
    </row>
    <row r="78" spans="1:19" ht="18" customHeight="1" x14ac:dyDescent="0.2">
      <c r="B78" s="96" t="s">
        <v>53</v>
      </c>
      <c r="C78" s="97"/>
      <c r="D78" s="97"/>
      <c r="E78" s="98"/>
      <c r="F78" s="96" t="s">
        <v>82</v>
      </c>
      <c r="G78" s="97"/>
      <c r="H78" s="97"/>
      <c r="I78" s="98"/>
      <c r="J78" s="144" t="s">
        <v>53</v>
      </c>
      <c r="K78" s="145"/>
      <c r="L78" s="145"/>
      <c r="M78" s="145"/>
      <c r="N78" s="145"/>
      <c r="O78" s="146"/>
      <c r="P78" s="96" t="s">
        <v>82</v>
      </c>
      <c r="Q78" s="97"/>
      <c r="R78" s="97"/>
      <c r="S78" s="98"/>
    </row>
    <row r="79" spans="1:19" ht="18" customHeight="1" x14ac:dyDescent="0.2">
      <c r="A79" s="3"/>
      <c r="B79" s="100"/>
      <c r="C79" s="101"/>
      <c r="D79" s="101"/>
      <c r="E79" s="102"/>
      <c r="F79" s="161"/>
      <c r="G79" s="162"/>
      <c r="H79" s="162"/>
      <c r="I79" s="163"/>
      <c r="J79" s="100"/>
      <c r="K79" s="101"/>
      <c r="L79" s="101"/>
      <c r="M79" s="101"/>
      <c r="N79" s="101"/>
      <c r="O79" s="102"/>
      <c r="P79" s="161"/>
      <c r="Q79" s="162"/>
      <c r="R79" s="162"/>
      <c r="S79" s="163"/>
    </row>
    <row r="80" spans="1:19" ht="18" customHeight="1" x14ac:dyDescent="0.2">
      <c r="A80" s="3"/>
      <c r="B80" s="90"/>
      <c r="C80" s="91"/>
      <c r="D80" s="91"/>
      <c r="E80" s="92"/>
      <c r="F80" s="126"/>
      <c r="G80" s="127"/>
      <c r="H80" s="127"/>
      <c r="I80" s="128"/>
      <c r="J80" s="90"/>
      <c r="K80" s="91"/>
      <c r="L80" s="91"/>
      <c r="M80" s="91"/>
      <c r="N80" s="91"/>
      <c r="O80" s="92"/>
      <c r="P80" s="126"/>
      <c r="Q80" s="127"/>
      <c r="R80" s="127"/>
      <c r="S80" s="128"/>
    </row>
    <row r="81" spans="1:19" ht="18" customHeight="1" x14ac:dyDescent="0.2">
      <c r="A81" s="3"/>
      <c r="B81" s="90"/>
      <c r="C81" s="91"/>
      <c r="D81" s="91"/>
      <c r="E81" s="92"/>
      <c r="F81" s="126"/>
      <c r="G81" s="127"/>
      <c r="H81" s="127"/>
      <c r="I81" s="128"/>
      <c r="J81" s="90"/>
      <c r="K81" s="91"/>
      <c r="L81" s="91"/>
      <c r="M81" s="91"/>
      <c r="N81" s="91"/>
      <c r="O81" s="92"/>
      <c r="P81" s="126"/>
      <c r="Q81" s="127"/>
      <c r="R81" s="127"/>
      <c r="S81" s="128"/>
    </row>
    <row r="82" spans="1:19" ht="18" customHeight="1" x14ac:dyDescent="0.2">
      <c r="A82" s="3"/>
      <c r="B82" s="90"/>
      <c r="C82" s="91"/>
      <c r="D82" s="91"/>
      <c r="E82" s="92"/>
      <c r="F82" s="126"/>
      <c r="G82" s="127"/>
      <c r="H82" s="127"/>
      <c r="I82" s="128"/>
      <c r="J82" s="90"/>
      <c r="K82" s="91"/>
      <c r="L82" s="91"/>
      <c r="M82" s="91"/>
      <c r="N82" s="91"/>
      <c r="O82" s="92"/>
      <c r="P82" s="126"/>
      <c r="Q82" s="127"/>
      <c r="R82" s="127"/>
      <c r="S82" s="128"/>
    </row>
    <row r="83" spans="1:19" ht="18" customHeight="1" x14ac:dyDescent="0.2">
      <c r="A83" s="3"/>
      <c r="B83" s="90"/>
      <c r="C83" s="91"/>
      <c r="D83" s="91"/>
      <c r="E83" s="92"/>
      <c r="F83" s="126"/>
      <c r="G83" s="127"/>
      <c r="H83" s="127"/>
      <c r="I83" s="128"/>
      <c r="J83" s="90"/>
      <c r="K83" s="91"/>
      <c r="L83" s="91"/>
      <c r="M83" s="91"/>
      <c r="N83" s="91"/>
      <c r="O83" s="92"/>
      <c r="P83" s="126"/>
      <c r="Q83" s="127"/>
      <c r="R83" s="127"/>
      <c r="S83" s="128"/>
    </row>
    <row r="84" spans="1:19" ht="18" customHeight="1" x14ac:dyDescent="0.2">
      <c r="A84" s="3"/>
      <c r="B84" s="90"/>
      <c r="C84" s="91"/>
      <c r="D84" s="91"/>
      <c r="E84" s="92"/>
      <c r="F84" s="126"/>
      <c r="G84" s="127"/>
      <c r="H84" s="127"/>
      <c r="I84" s="128"/>
      <c r="J84" s="90"/>
      <c r="K84" s="91"/>
      <c r="L84" s="91"/>
      <c r="M84" s="91"/>
      <c r="N84" s="91"/>
      <c r="O84" s="92"/>
      <c r="P84" s="126"/>
      <c r="Q84" s="127"/>
      <c r="R84" s="127"/>
      <c r="S84" s="128"/>
    </row>
    <row r="85" spans="1:19" ht="18" customHeight="1" x14ac:dyDescent="0.2">
      <c r="A85" s="3"/>
      <c r="B85" s="93"/>
      <c r="C85" s="94"/>
      <c r="D85" s="94"/>
      <c r="E85" s="95"/>
      <c r="F85" s="123"/>
      <c r="G85" s="124"/>
      <c r="H85" s="124"/>
      <c r="I85" s="125"/>
      <c r="J85" s="93"/>
      <c r="K85" s="94"/>
      <c r="L85" s="94"/>
      <c r="M85" s="94"/>
      <c r="N85" s="94"/>
      <c r="O85" s="95"/>
      <c r="P85" s="123"/>
      <c r="Q85" s="124"/>
      <c r="R85" s="124"/>
      <c r="S85" s="125"/>
    </row>
    <row r="86" spans="1:19" ht="18" customHeight="1" x14ac:dyDescent="0.2">
      <c r="A86" s="3"/>
      <c r="B86" s="6"/>
      <c r="C86" s="6"/>
      <c r="D86" s="6"/>
      <c r="E86" s="6"/>
      <c r="F86" s="25"/>
      <c r="G86" s="25"/>
      <c r="H86" s="25"/>
      <c r="I86" s="25"/>
      <c r="J86" s="6"/>
      <c r="K86" s="6"/>
      <c r="L86" s="6"/>
      <c r="M86" s="6"/>
      <c r="N86" s="6"/>
      <c r="O86" s="6"/>
      <c r="P86" s="25"/>
      <c r="Q86" s="25"/>
      <c r="R86" s="25"/>
      <c r="S86" s="25"/>
    </row>
    <row r="87" spans="1:19" ht="18.75" customHeight="1" x14ac:dyDescent="0.2">
      <c r="A87" s="1" t="s">
        <v>119</v>
      </c>
    </row>
    <row r="88" spans="1:19" ht="18.75" customHeight="1" x14ac:dyDescent="0.2">
      <c r="B88" s="159" t="s">
        <v>54</v>
      </c>
      <c r="C88" s="160"/>
      <c r="D88" s="97" t="s">
        <v>55</v>
      </c>
      <c r="E88" s="97"/>
      <c r="F88" s="97"/>
      <c r="G88" s="97"/>
      <c r="H88" s="97"/>
      <c r="I88" s="97"/>
      <c r="J88" s="97"/>
      <c r="K88" s="97"/>
      <c r="L88" s="97"/>
      <c r="M88" s="97"/>
      <c r="N88" s="97"/>
      <c r="O88" s="97"/>
      <c r="P88" s="97"/>
      <c r="Q88" s="97"/>
      <c r="R88" s="97"/>
      <c r="S88" s="98"/>
    </row>
    <row r="89" spans="1:19" ht="75" customHeight="1" x14ac:dyDescent="0.2">
      <c r="B89" s="150" t="s">
        <v>61</v>
      </c>
      <c r="C89" s="26" t="s">
        <v>56</v>
      </c>
      <c r="D89" s="173" t="s">
        <v>193</v>
      </c>
      <c r="E89" s="173"/>
      <c r="F89" s="173"/>
      <c r="G89" s="173"/>
      <c r="H89" s="173"/>
      <c r="I89" s="173"/>
      <c r="J89" s="173"/>
      <c r="K89" s="173"/>
      <c r="L89" s="173"/>
      <c r="M89" s="173"/>
      <c r="N89" s="173"/>
      <c r="O89" s="173"/>
      <c r="P89" s="173"/>
      <c r="Q89" s="173"/>
      <c r="R89" s="173"/>
      <c r="S89" s="174"/>
    </row>
    <row r="90" spans="1:19" ht="75" customHeight="1" x14ac:dyDescent="0.2">
      <c r="B90" s="152"/>
      <c r="C90" s="27" t="s">
        <v>77</v>
      </c>
      <c r="D90" s="177" t="s">
        <v>194</v>
      </c>
      <c r="E90" s="177"/>
      <c r="F90" s="177"/>
      <c r="G90" s="177"/>
      <c r="H90" s="177"/>
      <c r="I90" s="177"/>
      <c r="J90" s="177"/>
      <c r="K90" s="177"/>
      <c r="L90" s="177"/>
      <c r="M90" s="177"/>
      <c r="N90" s="177"/>
      <c r="O90" s="177"/>
      <c r="P90" s="177"/>
      <c r="Q90" s="177"/>
      <c r="R90" s="177"/>
      <c r="S90" s="178"/>
    </row>
    <row r="91" spans="1:19" ht="75" customHeight="1" x14ac:dyDescent="0.2">
      <c r="B91" s="150" t="s">
        <v>62</v>
      </c>
      <c r="C91" s="28" t="s">
        <v>71</v>
      </c>
      <c r="D91" s="169" t="s">
        <v>189</v>
      </c>
      <c r="E91" s="169"/>
      <c r="F91" s="169"/>
      <c r="G91" s="169"/>
      <c r="H91" s="169"/>
      <c r="I91" s="169"/>
      <c r="J91" s="169"/>
      <c r="K91" s="169"/>
      <c r="L91" s="169"/>
      <c r="M91" s="169"/>
      <c r="N91" s="169"/>
      <c r="O91" s="169"/>
      <c r="P91" s="169"/>
      <c r="Q91" s="169"/>
      <c r="R91" s="169"/>
      <c r="S91" s="170"/>
    </row>
    <row r="92" spans="1:19" ht="75" customHeight="1" x14ac:dyDescent="0.2">
      <c r="B92" s="151"/>
      <c r="C92" s="29" t="s">
        <v>72</v>
      </c>
      <c r="D92" s="175" t="s">
        <v>190</v>
      </c>
      <c r="E92" s="175"/>
      <c r="F92" s="175"/>
      <c r="G92" s="175"/>
      <c r="H92" s="175"/>
      <c r="I92" s="175"/>
      <c r="J92" s="175"/>
      <c r="K92" s="175"/>
      <c r="L92" s="175"/>
      <c r="M92" s="175"/>
      <c r="N92" s="175"/>
      <c r="O92" s="175"/>
      <c r="P92" s="175"/>
      <c r="Q92" s="175"/>
      <c r="R92" s="175"/>
      <c r="S92" s="176"/>
    </row>
    <row r="93" spans="1:19" ht="87" customHeight="1" x14ac:dyDescent="0.2">
      <c r="B93" s="150" t="s">
        <v>63</v>
      </c>
      <c r="C93" s="28" t="s">
        <v>73</v>
      </c>
      <c r="D93" s="169" t="s">
        <v>191</v>
      </c>
      <c r="E93" s="169"/>
      <c r="F93" s="169"/>
      <c r="G93" s="169"/>
      <c r="H93" s="169"/>
      <c r="I93" s="169"/>
      <c r="J93" s="169"/>
      <c r="K93" s="169"/>
      <c r="L93" s="169"/>
      <c r="M93" s="169"/>
      <c r="N93" s="169"/>
      <c r="O93" s="169"/>
      <c r="P93" s="169"/>
      <c r="Q93" s="169"/>
      <c r="R93" s="169"/>
      <c r="S93" s="170"/>
    </row>
    <row r="94" spans="1:19" ht="87" customHeight="1" x14ac:dyDescent="0.2">
      <c r="B94" s="151"/>
      <c r="C94" s="30" t="s">
        <v>74</v>
      </c>
      <c r="D94" s="171" t="s">
        <v>192</v>
      </c>
      <c r="E94" s="171"/>
      <c r="F94" s="171"/>
      <c r="G94" s="171"/>
      <c r="H94" s="171"/>
      <c r="I94" s="171"/>
      <c r="J94" s="171"/>
      <c r="K94" s="171"/>
      <c r="L94" s="171"/>
      <c r="M94" s="171"/>
      <c r="N94" s="171"/>
      <c r="O94" s="171"/>
      <c r="P94" s="171"/>
      <c r="Q94" s="171"/>
      <c r="R94" s="171"/>
      <c r="S94" s="172"/>
    </row>
    <row r="95" spans="1:19" ht="87" customHeight="1" x14ac:dyDescent="0.2">
      <c r="B95" s="150" t="s">
        <v>78</v>
      </c>
      <c r="C95" s="26" t="s">
        <v>58</v>
      </c>
      <c r="D95" s="173" t="s">
        <v>188</v>
      </c>
      <c r="E95" s="173"/>
      <c r="F95" s="173"/>
      <c r="G95" s="173"/>
      <c r="H95" s="173"/>
      <c r="I95" s="173"/>
      <c r="J95" s="173"/>
      <c r="K95" s="173"/>
      <c r="L95" s="173"/>
      <c r="M95" s="173"/>
      <c r="N95" s="173"/>
      <c r="O95" s="173"/>
      <c r="P95" s="173"/>
      <c r="Q95" s="173"/>
      <c r="R95" s="173"/>
      <c r="S95" s="174"/>
    </row>
    <row r="96" spans="1:19" ht="87" customHeight="1" x14ac:dyDescent="0.2">
      <c r="B96" s="151"/>
      <c r="C96" s="29" t="s">
        <v>60</v>
      </c>
      <c r="D96" s="175" t="s">
        <v>180</v>
      </c>
      <c r="E96" s="175"/>
      <c r="F96" s="175"/>
      <c r="G96" s="175"/>
      <c r="H96" s="175"/>
      <c r="I96" s="175"/>
      <c r="J96" s="175"/>
      <c r="K96" s="175"/>
      <c r="L96" s="175"/>
      <c r="M96" s="175"/>
      <c r="N96" s="175"/>
      <c r="O96" s="175"/>
      <c r="P96" s="175"/>
      <c r="Q96" s="175"/>
      <c r="R96" s="175"/>
      <c r="S96" s="176"/>
    </row>
    <row r="97" spans="1:19" ht="147.75" customHeight="1" x14ac:dyDescent="0.2">
      <c r="B97" s="150" t="s">
        <v>79</v>
      </c>
      <c r="C97" s="28" t="s">
        <v>57</v>
      </c>
      <c r="D97" s="164" t="s">
        <v>182</v>
      </c>
      <c r="E97" s="164"/>
      <c r="F97" s="164"/>
      <c r="G97" s="164"/>
      <c r="H97" s="164"/>
      <c r="I97" s="164"/>
      <c r="J97" s="164"/>
      <c r="K97" s="164"/>
      <c r="L97" s="164"/>
      <c r="M97" s="164"/>
      <c r="N97" s="164"/>
      <c r="O97" s="164"/>
      <c r="P97" s="164"/>
      <c r="Q97" s="164"/>
      <c r="R97" s="164"/>
      <c r="S97" s="165"/>
    </row>
    <row r="98" spans="1:19" ht="78" customHeight="1" x14ac:dyDescent="0.2">
      <c r="B98" s="152"/>
      <c r="C98" s="31" t="s">
        <v>75</v>
      </c>
      <c r="D98" s="166" t="s">
        <v>186</v>
      </c>
      <c r="E98" s="167"/>
      <c r="F98" s="167"/>
      <c r="G98" s="167"/>
      <c r="H98" s="167"/>
      <c r="I98" s="167"/>
      <c r="J98" s="167"/>
      <c r="K98" s="167"/>
      <c r="L98" s="167"/>
      <c r="M98" s="167"/>
      <c r="N98" s="167"/>
      <c r="O98" s="167"/>
      <c r="P98" s="167"/>
      <c r="Q98" s="167"/>
      <c r="R98" s="167"/>
      <c r="S98" s="168"/>
    </row>
    <row r="99" spans="1:19" ht="111" customHeight="1" x14ac:dyDescent="0.2">
      <c r="B99" s="151"/>
      <c r="C99" s="30" t="s">
        <v>76</v>
      </c>
      <c r="D99" s="155" t="s">
        <v>187</v>
      </c>
      <c r="E99" s="155"/>
      <c r="F99" s="155"/>
      <c r="G99" s="155"/>
      <c r="H99" s="155"/>
      <c r="I99" s="155"/>
      <c r="J99" s="155"/>
      <c r="K99" s="155"/>
      <c r="L99" s="155"/>
      <c r="M99" s="155"/>
      <c r="N99" s="155"/>
      <c r="O99" s="155"/>
      <c r="P99" s="155"/>
      <c r="Q99" s="155"/>
      <c r="R99" s="155"/>
      <c r="S99" s="156"/>
    </row>
    <row r="100" spans="1:19" ht="6" customHeight="1" x14ac:dyDescent="0.2"/>
    <row r="101" spans="1:19" ht="18.75" customHeight="1" x14ac:dyDescent="0.2">
      <c r="A101" s="1" t="s">
        <v>120</v>
      </c>
    </row>
    <row r="102" spans="1:19" ht="96" customHeight="1" x14ac:dyDescent="0.2">
      <c r="B102" s="120" t="s">
        <v>152</v>
      </c>
      <c r="C102" s="121"/>
      <c r="D102" s="121"/>
      <c r="E102" s="121"/>
      <c r="F102" s="121"/>
      <c r="G102" s="121"/>
      <c r="H102" s="121"/>
      <c r="I102" s="121"/>
      <c r="J102" s="121"/>
      <c r="K102" s="121"/>
      <c r="L102" s="121"/>
      <c r="M102" s="121"/>
      <c r="N102" s="121"/>
      <c r="O102" s="121"/>
      <c r="P102" s="121"/>
      <c r="Q102" s="121"/>
      <c r="R102" s="121"/>
      <c r="S102" s="122"/>
    </row>
    <row r="110" spans="1:19" ht="18" customHeight="1" x14ac:dyDescent="0.2"/>
  </sheetData>
  <customSheetViews>
    <customSheetView guid="{1F7DD307-FDAD-4F12-A71C-909420D0BA34}" showPageBreaks="1" zeroValues="0" fitToPage="1" printArea="1" hiddenColumns="1" view="pageBreakPreview">
      <rowBreaks count="2" manualBreakCount="2">
        <brk id="65" max="18" man="1"/>
        <brk id="94" max="18" man="1"/>
      </rowBreaks>
      <pageMargins left="0.78740157480314965" right="0.78740157480314965" top="0.78740157480314965" bottom="0.19685039370078741" header="0.31496062992125984" footer="0.19685039370078741"/>
      <printOptions horizontalCentered="1"/>
      <pageSetup paperSize="9" scale="75" fitToHeight="0" orientation="portrait" r:id="rId1"/>
      <headerFooter>
        <oddHeader>&amp;C数理・データサイエンス・AI教育プログラム認定制度【リテラシーレベル】</oddHeader>
      </headerFooter>
    </customSheetView>
    <customSheetView guid="{8C9D52A6-6DCF-4B21-8AFD-E83D9E686319}" showPageBreaks="1" zeroValues="0" fitToPage="1" printArea="1" hiddenColumns="1" view="pageBreakPreview" topLeftCell="A95">
      <selection activeCell="D95" sqref="D95:S95"/>
      <rowBreaks count="2" manualBreakCount="2">
        <brk id="65" max="18" man="1"/>
        <brk id="94" max="18" man="1"/>
      </rowBreaks>
      <pageMargins left="0.78740157480314965" right="0.78740157480314965" top="0.78740157480314965" bottom="0.19685039370078741" header="0.31496062992125984" footer="0.19685039370078741"/>
      <printOptions horizontalCentered="1"/>
      <pageSetup paperSize="9" scale="75" fitToHeight="0" orientation="portrait" r:id="rId2"/>
      <headerFooter>
        <oddHeader>&amp;C数理・データサイエンス・AI教育プログラム認定制度【リテラシーレベル】</oddHeader>
      </headerFooter>
    </customSheetView>
  </customSheetViews>
  <mergeCells count="145">
    <mergeCell ref="B13:S18"/>
    <mergeCell ref="C20:D20"/>
    <mergeCell ref="K20:S20"/>
    <mergeCell ref="A22:S23"/>
    <mergeCell ref="B24:E24"/>
    <mergeCell ref="J24:O24"/>
    <mergeCell ref="R1:S1"/>
    <mergeCell ref="C2:I2"/>
    <mergeCell ref="C3:I3"/>
    <mergeCell ref="A5:S5"/>
    <mergeCell ref="K7:S7"/>
    <mergeCell ref="B9:S10"/>
    <mergeCell ref="B28:E28"/>
    <mergeCell ref="J28:O28"/>
    <mergeCell ref="B29:E29"/>
    <mergeCell ref="J29:O29"/>
    <mergeCell ref="B30:E30"/>
    <mergeCell ref="J30:O30"/>
    <mergeCell ref="B25:E25"/>
    <mergeCell ref="J25:O25"/>
    <mergeCell ref="B26:E26"/>
    <mergeCell ref="J26:O26"/>
    <mergeCell ref="B27:E27"/>
    <mergeCell ref="J27:O27"/>
    <mergeCell ref="B37:E37"/>
    <mergeCell ref="J37:O37"/>
    <mergeCell ref="B38:E38"/>
    <mergeCell ref="J38:O38"/>
    <mergeCell ref="B39:E39"/>
    <mergeCell ref="J39:O39"/>
    <mergeCell ref="B31:E31"/>
    <mergeCell ref="J31:O31"/>
    <mergeCell ref="A33:S34"/>
    <mergeCell ref="B35:E35"/>
    <mergeCell ref="J35:O35"/>
    <mergeCell ref="B36:E36"/>
    <mergeCell ref="J36:O36"/>
    <mergeCell ref="A44:S45"/>
    <mergeCell ref="B46:E46"/>
    <mergeCell ref="J46:O46"/>
    <mergeCell ref="B47:E47"/>
    <mergeCell ref="J47:O47"/>
    <mergeCell ref="B48:E48"/>
    <mergeCell ref="J48:O48"/>
    <mergeCell ref="B40:E40"/>
    <mergeCell ref="J40:O40"/>
    <mergeCell ref="B41:E41"/>
    <mergeCell ref="J41:O41"/>
    <mergeCell ref="B42:E42"/>
    <mergeCell ref="J42:O42"/>
    <mergeCell ref="B52:E52"/>
    <mergeCell ref="J52:O52"/>
    <mergeCell ref="B53:E53"/>
    <mergeCell ref="J53:O53"/>
    <mergeCell ref="A55:S56"/>
    <mergeCell ref="B57:E57"/>
    <mergeCell ref="J57:O57"/>
    <mergeCell ref="B49:E49"/>
    <mergeCell ref="J49:O49"/>
    <mergeCell ref="B50:E50"/>
    <mergeCell ref="J50:O50"/>
    <mergeCell ref="B51:E51"/>
    <mergeCell ref="J51:O51"/>
    <mergeCell ref="B61:E61"/>
    <mergeCell ref="J61:O61"/>
    <mergeCell ref="B62:E62"/>
    <mergeCell ref="J62:O62"/>
    <mergeCell ref="B63:E63"/>
    <mergeCell ref="J63:O63"/>
    <mergeCell ref="B58:E58"/>
    <mergeCell ref="J58:O58"/>
    <mergeCell ref="B59:E59"/>
    <mergeCell ref="J59:O59"/>
    <mergeCell ref="B60:E60"/>
    <mergeCell ref="J60:O60"/>
    <mergeCell ref="B70:D70"/>
    <mergeCell ref="J70:N70"/>
    <mergeCell ref="B71:D71"/>
    <mergeCell ref="J71:N71"/>
    <mergeCell ref="B72:D72"/>
    <mergeCell ref="J72:N72"/>
    <mergeCell ref="B64:E64"/>
    <mergeCell ref="J64:O64"/>
    <mergeCell ref="A66:S67"/>
    <mergeCell ref="B68:D68"/>
    <mergeCell ref="J68:N68"/>
    <mergeCell ref="B69:D69"/>
    <mergeCell ref="J69:N69"/>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97:B99"/>
    <mergeCell ref="D97:S97"/>
    <mergeCell ref="D98:S98"/>
    <mergeCell ref="D99:S99"/>
    <mergeCell ref="B102:S102"/>
    <mergeCell ref="B93:B94"/>
    <mergeCell ref="D93:S93"/>
    <mergeCell ref="D94:S94"/>
    <mergeCell ref="B95:B96"/>
    <mergeCell ref="D95:S95"/>
    <mergeCell ref="D96:S96"/>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K20:S20" xr:uid="{18462CB3-B379-4CBE-9872-3F41098BC66E}">
      <formula1>$V$14:$V$16</formula1>
    </dataValidation>
    <dataValidation type="list" allowBlank="1" showInputMessage="1" showErrorMessage="1" sqref="F79:F86 P79:P86 G79:I80 G83:I86 Q83:S86 Q79:S80" xr:uid="{C2BEF229-22E1-440E-A5C3-EAC2AF5E53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xr:uid="{47E4209E-F423-4CC4-95C3-803E4523CADE}">
      <formula1>"学部・学科によって、修了要件は相違する,学部・学科によって、修了要件は相違しない"</formula1>
    </dataValidation>
    <dataValidation type="list" allowBlank="1" showInputMessage="1" showErrorMessage="1" sqref="S32 S43 D32:G32 D43:G43" xr:uid="{D9B130C9-549D-45B1-B367-7F4E33149908}">
      <formula1>"全学開講,一部開講"</formula1>
    </dataValidation>
    <dataValidation type="list" allowBlank="1" showInputMessage="1" showErrorMessage="1" sqref="G25:I31 Q25:S31 G36:I42 Q36:S42 P69:S75 Q47:S53 G58:I64 Q58:S64 F69:I75 G47:I53" xr:uid="{6AB731AF-01A8-4684-A9E1-3EBB4C057A3B}">
      <formula1>"○"</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3"/>
  <headerFooter>
    <oddHeader>&amp;C数理・データサイエンス・AI教育プログラム認定制度【リテラシーレベル】</oddHeader>
  </headerFooter>
  <rowBreaks count="2" manualBreakCount="2">
    <brk id="65" max="18" man="1"/>
    <brk id="94" max="18"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zoomScaleNormal="100" zoomScaleSheetLayoutView="100" workbookViewId="0">
      <selection activeCell="C14" sqref="C14"/>
    </sheetView>
  </sheetViews>
  <sheetFormatPr defaultColWidth="9" defaultRowHeight="18.75" customHeight="1" x14ac:dyDescent="0.2"/>
  <cols>
    <col min="1" max="1" width="2.77734375" style="1" customWidth="1"/>
    <col min="2" max="2" width="20.77734375" style="1" customWidth="1"/>
    <col min="3" max="5" width="6.109375" style="1" customWidth="1"/>
    <col min="6" max="42" width="4.88671875" style="1" customWidth="1"/>
    <col min="43" max="43" width="6.6640625" style="1" customWidth="1"/>
    <col min="44" max="16384" width="9" style="1"/>
  </cols>
  <sheetData>
    <row r="1" spans="1:45" ht="18" customHeight="1" x14ac:dyDescent="0.2">
      <c r="AQ1" s="1" t="s">
        <v>106</v>
      </c>
    </row>
    <row r="2" spans="1:45" ht="18" customHeight="1" x14ac:dyDescent="0.2">
      <c r="K2" s="33"/>
      <c r="Q2" s="33"/>
      <c r="W2" s="33"/>
      <c r="AC2" s="33"/>
      <c r="AI2" s="33"/>
      <c r="AL2" s="33" t="s">
        <v>108</v>
      </c>
      <c r="AM2" s="182" t="str">
        <f>'様式１-１　プログラムを構成する授業科目'!C2</f>
        <v>大手前大学</v>
      </c>
      <c r="AN2" s="182"/>
      <c r="AO2" s="182"/>
      <c r="AP2" s="182"/>
      <c r="AQ2" s="182"/>
    </row>
    <row r="3" spans="1:45" ht="18" customHeight="1" x14ac:dyDescent="0.2">
      <c r="A3" s="107" t="s">
        <v>47</v>
      </c>
      <c r="B3" s="107"/>
      <c r="C3" s="107"/>
      <c r="D3" s="107"/>
      <c r="E3" s="107"/>
      <c r="F3" s="107"/>
      <c r="G3" s="107"/>
      <c r="H3" s="107"/>
      <c r="I3" s="107"/>
      <c r="J3" s="107"/>
      <c r="K3" s="107"/>
      <c r="L3" s="107"/>
      <c r="M3" s="107"/>
      <c r="N3" s="107"/>
      <c r="O3" s="107"/>
      <c r="P3" s="107"/>
      <c r="Q3" s="107"/>
      <c r="R3" s="107"/>
      <c r="S3" s="107"/>
      <c r="T3" s="107"/>
      <c r="U3" s="107"/>
      <c r="V3" s="107"/>
      <c r="W3" s="107"/>
      <c r="X3" s="107"/>
      <c r="Y3" s="107"/>
      <c r="Z3" s="107"/>
      <c r="AA3" s="107"/>
      <c r="AB3" s="107"/>
      <c r="AC3" s="107"/>
      <c r="AD3" s="107"/>
      <c r="AE3" s="107"/>
      <c r="AF3" s="107"/>
      <c r="AG3" s="107"/>
      <c r="AH3" s="107"/>
      <c r="AI3" s="107"/>
      <c r="AJ3" s="107"/>
      <c r="AK3" s="107"/>
      <c r="AL3" s="107"/>
      <c r="AM3" s="107"/>
      <c r="AN3" s="107"/>
      <c r="AO3" s="107"/>
      <c r="AP3" s="107"/>
      <c r="AQ3" s="107"/>
    </row>
    <row r="4" spans="1:45" ht="7.5" customHeight="1" x14ac:dyDescent="0.2">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2">
      <c r="A5" s="1" t="s">
        <v>83</v>
      </c>
      <c r="C5" s="183" t="s">
        <v>132</v>
      </c>
      <c r="D5" s="184"/>
      <c r="E5" s="3" t="s">
        <v>52</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2">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2">
      <c r="A7" s="1" t="s">
        <v>81</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2">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2">
      <c r="B9" s="185" t="s">
        <v>44</v>
      </c>
      <c r="C9" s="200" t="s">
        <v>86</v>
      </c>
      <c r="D9" s="188" t="s">
        <v>46</v>
      </c>
      <c r="E9" s="191" t="s">
        <v>39</v>
      </c>
      <c r="F9" s="181" t="s">
        <v>85</v>
      </c>
      <c r="G9" s="181"/>
      <c r="H9" s="181"/>
      <c r="I9" s="181"/>
      <c r="J9" s="181"/>
      <c r="K9" s="181"/>
      <c r="L9" s="181" t="s">
        <v>48</v>
      </c>
      <c r="M9" s="181"/>
      <c r="N9" s="181"/>
      <c r="O9" s="181"/>
      <c r="P9" s="181"/>
      <c r="Q9" s="181"/>
      <c r="R9" s="181" t="s">
        <v>49</v>
      </c>
      <c r="S9" s="181"/>
      <c r="T9" s="181"/>
      <c r="U9" s="181"/>
      <c r="V9" s="181"/>
      <c r="W9" s="181"/>
      <c r="X9" s="181" t="s">
        <v>100</v>
      </c>
      <c r="Y9" s="181"/>
      <c r="Z9" s="181"/>
      <c r="AA9" s="181"/>
      <c r="AB9" s="181"/>
      <c r="AC9" s="181"/>
      <c r="AD9" s="181" t="s">
        <v>50</v>
      </c>
      <c r="AE9" s="181"/>
      <c r="AF9" s="181"/>
      <c r="AG9" s="181"/>
      <c r="AH9" s="181"/>
      <c r="AI9" s="181"/>
      <c r="AJ9" s="181" t="s">
        <v>51</v>
      </c>
      <c r="AK9" s="181"/>
      <c r="AL9" s="181"/>
      <c r="AM9" s="181"/>
      <c r="AN9" s="181"/>
      <c r="AO9" s="181"/>
      <c r="AP9" s="194" t="s">
        <v>34</v>
      </c>
      <c r="AQ9" s="197" t="s">
        <v>31</v>
      </c>
      <c r="AS9" s="2"/>
    </row>
    <row r="10" spans="1:45" ht="16.95" customHeight="1" x14ac:dyDescent="0.2">
      <c r="B10" s="186"/>
      <c r="C10" s="201"/>
      <c r="D10" s="189"/>
      <c r="E10" s="192"/>
      <c r="F10" s="179" t="s">
        <v>96</v>
      </c>
      <c r="G10" s="180"/>
      <c r="H10" s="180"/>
      <c r="I10" s="179" t="s">
        <v>28</v>
      </c>
      <c r="J10" s="180"/>
      <c r="K10" s="180"/>
      <c r="L10" s="179" t="s">
        <v>96</v>
      </c>
      <c r="M10" s="180"/>
      <c r="N10" s="180"/>
      <c r="O10" s="179" t="s">
        <v>28</v>
      </c>
      <c r="P10" s="180"/>
      <c r="Q10" s="180"/>
      <c r="R10" s="179" t="s">
        <v>96</v>
      </c>
      <c r="S10" s="180"/>
      <c r="T10" s="180"/>
      <c r="U10" s="179" t="s">
        <v>28</v>
      </c>
      <c r="V10" s="180"/>
      <c r="W10" s="180"/>
      <c r="X10" s="179" t="s">
        <v>96</v>
      </c>
      <c r="Y10" s="180"/>
      <c r="Z10" s="180"/>
      <c r="AA10" s="179" t="s">
        <v>28</v>
      </c>
      <c r="AB10" s="180"/>
      <c r="AC10" s="180"/>
      <c r="AD10" s="179" t="s">
        <v>96</v>
      </c>
      <c r="AE10" s="180"/>
      <c r="AF10" s="180"/>
      <c r="AG10" s="179" t="s">
        <v>28</v>
      </c>
      <c r="AH10" s="180"/>
      <c r="AI10" s="180"/>
      <c r="AJ10" s="179" t="s">
        <v>96</v>
      </c>
      <c r="AK10" s="180"/>
      <c r="AL10" s="180"/>
      <c r="AM10" s="179" t="s">
        <v>28</v>
      </c>
      <c r="AN10" s="180"/>
      <c r="AO10" s="180"/>
      <c r="AP10" s="195"/>
      <c r="AQ10" s="198"/>
      <c r="AS10" s="2"/>
    </row>
    <row r="11" spans="1:45" ht="18" customHeight="1" x14ac:dyDescent="0.2">
      <c r="B11" s="187"/>
      <c r="C11" s="202"/>
      <c r="D11" s="190"/>
      <c r="E11" s="193"/>
      <c r="F11" s="17" t="s">
        <v>97</v>
      </c>
      <c r="G11" s="18" t="s">
        <v>98</v>
      </c>
      <c r="H11" s="19" t="s">
        <v>99</v>
      </c>
      <c r="I11" s="17" t="s">
        <v>97</v>
      </c>
      <c r="J11" s="18" t="s">
        <v>98</v>
      </c>
      <c r="K11" s="19" t="s">
        <v>99</v>
      </c>
      <c r="L11" s="17" t="s">
        <v>97</v>
      </c>
      <c r="M11" s="18" t="s">
        <v>98</v>
      </c>
      <c r="N11" s="19" t="s">
        <v>99</v>
      </c>
      <c r="O11" s="17" t="s">
        <v>97</v>
      </c>
      <c r="P11" s="18" t="s">
        <v>98</v>
      </c>
      <c r="Q11" s="19" t="s">
        <v>99</v>
      </c>
      <c r="R11" s="17" t="s">
        <v>97</v>
      </c>
      <c r="S11" s="18" t="s">
        <v>98</v>
      </c>
      <c r="T11" s="19" t="s">
        <v>99</v>
      </c>
      <c r="U11" s="17" t="s">
        <v>97</v>
      </c>
      <c r="V11" s="18" t="s">
        <v>98</v>
      </c>
      <c r="W11" s="19" t="s">
        <v>99</v>
      </c>
      <c r="X11" s="17" t="s">
        <v>97</v>
      </c>
      <c r="Y11" s="18" t="s">
        <v>98</v>
      </c>
      <c r="Z11" s="19" t="s">
        <v>99</v>
      </c>
      <c r="AA11" s="17" t="s">
        <v>97</v>
      </c>
      <c r="AB11" s="18" t="s">
        <v>98</v>
      </c>
      <c r="AC11" s="19" t="s">
        <v>99</v>
      </c>
      <c r="AD11" s="17" t="s">
        <v>97</v>
      </c>
      <c r="AE11" s="18" t="s">
        <v>98</v>
      </c>
      <c r="AF11" s="19" t="s">
        <v>99</v>
      </c>
      <c r="AG11" s="17" t="s">
        <v>97</v>
      </c>
      <c r="AH11" s="18" t="s">
        <v>98</v>
      </c>
      <c r="AI11" s="19" t="s">
        <v>99</v>
      </c>
      <c r="AJ11" s="17" t="s">
        <v>97</v>
      </c>
      <c r="AK11" s="18" t="s">
        <v>98</v>
      </c>
      <c r="AL11" s="19" t="s">
        <v>99</v>
      </c>
      <c r="AM11" s="17" t="s">
        <v>97</v>
      </c>
      <c r="AN11" s="18" t="s">
        <v>98</v>
      </c>
      <c r="AO11" s="19" t="s">
        <v>99</v>
      </c>
      <c r="AP11" s="196"/>
      <c r="AQ11" s="199"/>
      <c r="AS11" s="2"/>
    </row>
    <row r="12" spans="1:45" ht="18" customHeight="1" x14ac:dyDescent="0.2">
      <c r="A12" s="6"/>
      <c r="B12" s="11" t="s">
        <v>154</v>
      </c>
      <c r="C12" s="59">
        <v>811</v>
      </c>
      <c r="D12" s="60">
        <v>190</v>
      </c>
      <c r="E12" s="61">
        <v>776</v>
      </c>
      <c r="F12" s="61">
        <v>3</v>
      </c>
      <c r="G12" s="62">
        <v>2</v>
      </c>
      <c r="H12" s="63">
        <v>1</v>
      </c>
      <c r="I12" s="61">
        <v>3</v>
      </c>
      <c r="J12" s="62">
        <v>2</v>
      </c>
      <c r="K12" s="63">
        <v>1</v>
      </c>
      <c r="L12" s="61">
        <f>M12+N12</f>
        <v>0</v>
      </c>
      <c r="M12" s="62"/>
      <c r="N12" s="63"/>
      <c r="O12" s="61">
        <f>P12+Q12</f>
        <v>0</v>
      </c>
      <c r="P12" s="62"/>
      <c r="Q12" s="63"/>
      <c r="R12" s="61">
        <f>S12+T12</f>
        <v>0</v>
      </c>
      <c r="S12" s="62"/>
      <c r="T12" s="63"/>
      <c r="U12" s="61">
        <f>V12+W12</f>
        <v>0</v>
      </c>
      <c r="V12" s="62"/>
      <c r="W12" s="63"/>
      <c r="X12" s="61">
        <f>Y12+Z12</f>
        <v>0</v>
      </c>
      <c r="Y12" s="62"/>
      <c r="Z12" s="63"/>
      <c r="AA12" s="61">
        <f>AB12+AC12</f>
        <v>0</v>
      </c>
      <c r="AB12" s="62"/>
      <c r="AC12" s="63"/>
      <c r="AD12" s="61">
        <f>AE12+AF12</f>
        <v>0</v>
      </c>
      <c r="AE12" s="62"/>
      <c r="AF12" s="63"/>
      <c r="AG12" s="61">
        <f>AH12+AI12</f>
        <v>0</v>
      </c>
      <c r="AH12" s="62"/>
      <c r="AI12" s="63"/>
      <c r="AJ12" s="61">
        <f>AK12+AL12</f>
        <v>0</v>
      </c>
      <c r="AK12" s="62"/>
      <c r="AL12" s="63"/>
      <c r="AM12" s="61">
        <f>AN12+AO12</f>
        <v>0</v>
      </c>
      <c r="AN12" s="62"/>
      <c r="AO12" s="63"/>
      <c r="AP12" s="60">
        <f>F12+L12+R12+X12+AD12+AJ12</f>
        <v>3</v>
      </c>
      <c r="AQ12" s="79">
        <f t="shared" ref="AQ12:AQ32" si="0">AP12/E12</f>
        <v>3.8659793814432991E-3</v>
      </c>
    </row>
    <row r="13" spans="1:45" ht="18" customHeight="1" x14ac:dyDescent="0.2">
      <c r="A13" s="6"/>
      <c r="B13" s="12" t="s">
        <v>155</v>
      </c>
      <c r="C13" s="64">
        <v>837</v>
      </c>
      <c r="D13" s="65">
        <v>180</v>
      </c>
      <c r="E13" s="66">
        <v>736</v>
      </c>
      <c r="F13" s="67">
        <v>15</v>
      </c>
      <c r="G13" s="68">
        <v>7</v>
      </c>
      <c r="H13" s="69">
        <v>8</v>
      </c>
      <c r="I13" s="67">
        <v>14</v>
      </c>
      <c r="J13" s="68">
        <v>6</v>
      </c>
      <c r="K13" s="69">
        <v>8</v>
      </c>
      <c r="L13" s="67">
        <f t="shared" ref="L13:L31" si="1">M13+N13</f>
        <v>0</v>
      </c>
      <c r="M13" s="68"/>
      <c r="N13" s="69"/>
      <c r="O13" s="67">
        <f t="shared" ref="O13:O31" si="2">P13+Q13</f>
        <v>0</v>
      </c>
      <c r="P13" s="68"/>
      <c r="Q13" s="69"/>
      <c r="R13" s="67">
        <f t="shared" ref="R13:R31" si="3">S13+T13</f>
        <v>0</v>
      </c>
      <c r="S13" s="68"/>
      <c r="T13" s="69"/>
      <c r="U13" s="67">
        <f t="shared" ref="U13:U31" si="4">V13+W13</f>
        <v>0</v>
      </c>
      <c r="V13" s="68"/>
      <c r="W13" s="69"/>
      <c r="X13" s="67">
        <f t="shared" ref="X13:X31" si="5">Y13+Z13</f>
        <v>0</v>
      </c>
      <c r="Y13" s="68"/>
      <c r="Z13" s="69"/>
      <c r="AA13" s="67">
        <f t="shared" ref="AA13:AA31" si="6">AB13+AC13</f>
        <v>0</v>
      </c>
      <c r="AB13" s="68"/>
      <c r="AC13" s="69"/>
      <c r="AD13" s="67">
        <f t="shared" ref="AD13:AD31" si="7">AE13+AF13</f>
        <v>0</v>
      </c>
      <c r="AE13" s="68"/>
      <c r="AF13" s="69"/>
      <c r="AG13" s="67">
        <f t="shared" ref="AG13:AG31" si="8">AH13+AI13</f>
        <v>0</v>
      </c>
      <c r="AH13" s="68"/>
      <c r="AI13" s="69"/>
      <c r="AJ13" s="67">
        <f t="shared" ref="AJ13:AJ31" si="9">AK13+AL13</f>
        <v>0</v>
      </c>
      <c r="AK13" s="68"/>
      <c r="AL13" s="69"/>
      <c r="AM13" s="67">
        <f t="shared" ref="AM13:AM31" si="10">AN13+AO13</f>
        <v>0</v>
      </c>
      <c r="AN13" s="68"/>
      <c r="AO13" s="69"/>
      <c r="AP13" s="65">
        <f t="shared" ref="AP13:AP31" si="11">F13+L13+R13+X13+AD13+AJ13</f>
        <v>15</v>
      </c>
      <c r="AQ13" s="8">
        <f t="shared" si="0"/>
        <v>2.0380434782608696E-2</v>
      </c>
    </row>
    <row r="14" spans="1:45" ht="18" customHeight="1" x14ac:dyDescent="0.2">
      <c r="A14" s="6"/>
      <c r="B14" s="12" t="s">
        <v>156</v>
      </c>
      <c r="C14" s="64">
        <v>1014</v>
      </c>
      <c r="D14" s="65">
        <v>220</v>
      </c>
      <c r="E14" s="66">
        <v>896</v>
      </c>
      <c r="F14" s="67">
        <v>36</v>
      </c>
      <c r="G14" s="68">
        <v>25</v>
      </c>
      <c r="H14" s="69">
        <v>11</v>
      </c>
      <c r="I14" s="67">
        <v>33</v>
      </c>
      <c r="J14" s="68">
        <v>23</v>
      </c>
      <c r="K14" s="69">
        <v>10</v>
      </c>
      <c r="L14" s="67">
        <f t="shared" si="1"/>
        <v>0</v>
      </c>
      <c r="M14" s="68"/>
      <c r="N14" s="69"/>
      <c r="O14" s="67">
        <f t="shared" si="2"/>
        <v>0</v>
      </c>
      <c r="P14" s="68"/>
      <c r="Q14" s="69"/>
      <c r="R14" s="67">
        <f t="shared" si="3"/>
        <v>0</v>
      </c>
      <c r="S14" s="68"/>
      <c r="T14" s="69"/>
      <c r="U14" s="67">
        <f t="shared" si="4"/>
        <v>0</v>
      </c>
      <c r="V14" s="68"/>
      <c r="W14" s="69"/>
      <c r="X14" s="67">
        <f t="shared" si="5"/>
        <v>0</v>
      </c>
      <c r="Y14" s="68"/>
      <c r="Z14" s="69"/>
      <c r="AA14" s="67">
        <f t="shared" si="6"/>
        <v>0</v>
      </c>
      <c r="AB14" s="68"/>
      <c r="AC14" s="69"/>
      <c r="AD14" s="67">
        <f t="shared" si="7"/>
        <v>0</v>
      </c>
      <c r="AE14" s="68"/>
      <c r="AF14" s="69"/>
      <c r="AG14" s="67">
        <f t="shared" si="8"/>
        <v>0</v>
      </c>
      <c r="AH14" s="68"/>
      <c r="AI14" s="69"/>
      <c r="AJ14" s="67">
        <f t="shared" si="9"/>
        <v>0</v>
      </c>
      <c r="AK14" s="68"/>
      <c r="AL14" s="69"/>
      <c r="AM14" s="67">
        <f t="shared" si="10"/>
        <v>0</v>
      </c>
      <c r="AN14" s="68"/>
      <c r="AO14" s="69"/>
      <c r="AP14" s="65">
        <f t="shared" si="11"/>
        <v>36</v>
      </c>
      <c r="AQ14" s="8">
        <f t="shared" si="0"/>
        <v>4.0178571428571432E-2</v>
      </c>
    </row>
    <row r="15" spans="1:45" ht="18" customHeight="1" x14ac:dyDescent="0.2">
      <c r="A15" s="6"/>
      <c r="B15" s="12" t="s">
        <v>157</v>
      </c>
      <c r="C15" s="64">
        <v>311</v>
      </c>
      <c r="D15" s="65">
        <v>80</v>
      </c>
      <c r="E15" s="66">
        <v>352</v>
      </c>
      <c r="F15" s="67">
        <v>0</v>
      </c>
      <c r="G15" s="68">
        <v>0</v>
      </c>
      <c r="H15" s="69">
        <v>0</v>
      </c>
      <c r="I15" s="67">
        <v>0</v>
      </c>
      <c r="J15" s="68">
        <v>0</v>
      </c>
      <c r="K15" s="69">
        <v>0</v>
      </c>
      <c r="L15" s="67">
        <f t="shared" si="1"/>
        <v>0</v>
      </c>
      <c r="M15" s="68"/>
      <c r="N15" s="69"/>
      <c r="O15" s="67">
        <f t="shared" si="2"/>
        <v>0</v>
      </c>
      <c r="P15" s="68"/>
      <c r="Q15" s="69"/>
      <c r="R15" s="67">
        <f t="shared" si="3"/>
        <v>0</v>
      </c>
      <c r="S15" s="68"/>
      <c r="T15" s="69"/>
      <c r="U15" s="67">
        <f t="shared" si="4"/>
        <v>0</v>
      </c>
      <c r="V15" s="68"/>
      <c r="W15" s="69"/>
      <c r="X15" s="67">
        <f t="shared" si="5"/>
        <v>0</v>
      </c>
      <c r="Y15" s="68"/>
      <c r="Z15" s="69"/>
      <c r="AA15" s="67">
        <f t="shared" si="6"/>
        <v>0</v>
      </c>
      <c r="AB15" s="68"/>
      <c r="AC15" s="69"/>
      <c r="AD15" s="67">
        <f t="shared" si="7"/>
        <v>0</v>
      </c>
      <c r="AE15" s="68"/>
      <c r="AF15" s="69"/>
      <c r="AG15" s="67">
        <f t="shared" si="8"/>
        <v>0</v>
      </c>
      <c r="AH15" s="68"/>
      <c r="AI15" s="69"/>
      <c r="AJ15" s="67">
        <f t="shared" si="9"/>
        <v>0</v>
      </c>
      <c r="AK15" s="68"/>
      <c r="AL15" s="69"/>
      <c r="AM15" s="67">
        <f t="shared" si="10"/>
        <v>0</v>
      </c>
      <c r="AN15" s="68"/>
      <c r="AO15" s="69"/>
      <c r="AP15" s="65">
        <f t="shared" si="11"/>
        <v>0</v>
      </c>
      <c r="AQ15" s="8">
        <f t="shared" si="0"/>
        <v>0</v>
      </c>
    </row>
    <row r="16" spans="1:45" ht="18" customHeight="1" x14ac:dyDescent="0.2">
      <c r="A16" s="6"/>
      <c r="B16" s="12" t="s">
        <v>145</v>
      </c>
      <c r="C16" s="64">
        <v>330</v>
      </c>
      <c r="D16" s="65">
        <v>80</v>
      </c>
      <c r="E16" s="66">
        <v>320</v>
      </c>
      <c r="F16" s="67">
        <v>85</v>
      </c>
      <c r="G16" s="68">
        <v>9</v>
      </c>
      <c r="H16" s="69">
        <v>76</v>
      </c>
      <c r="I16" s="67">
        <v>83</v>
      </c>
      <c r="J16" s="68">
        <v>8</v>
      </c>
      <c r="K16" s="69">
        <v>75</v>
      </c>
      <c r="L16" s="67">
        <f t="shared" si="1"/>
        <v>0</v>
      </c>
      <c r="M16" s="68"/>
      <c r="N16" s="69"/>
      <c r="O16" s="67">
        <f t="shared" si="2"/>
        <v>0</v>
      </c>
      <c r="P16" s="68"/>
      <c r="Q16" s="69"/>
      <c r="R16" s="67">
        <f t="shared" si="3"/>
        <v>0</v>
      </c>
      <c r="S16" s="68"/>
      <c r="T16" s="69"/>
      <c r="U16" s="67">
        <f t="shared" si="4"/>
        <v>0</v>
      </c>
      <c r="V16" s="68"/>
      <c r="W16" s="69"/>
      <c r="X16" s="67">
        <f t="shared" si="5"/>
        <v>0</v>
      </c>
      <c r="Y16" s="68"/>
      <c r="Z16" s="69"/>
      <c r="AA16" s="67">
        <f t="shared" si="6"/>
        <v>0</v>
      </c>
      <c r="AB16" s="68"/>
      <c r="AC16" s="69"/>
      <c r="AD16" s="67">
        <f t="shared" si="7"/>
        <v>0</v>
      </c>
      <c r="AE16" s="68"/>
      <c r="AF16" s="69"/>
      <c r="AG16" s="67">
        <f t="shared" si="8"/>
        <v>0</v>
      </c>
      <c r="AH16" s="68"/>
      <c r="AI16" s="69"/>
      <c r="AJ16" s="67">
        <f t="shared" si="9"/>
        <v>0</v>
      </c>
      <c r="AK16" s="68"/>
      <c r="AL16" s="69"/>
      <c r="AM16" s="67">
        <f t="shared" si="10"/>
        <v>0</v>
      </c>
      <c r="AN16" s="68"/>
      <c r="AO16" s="69"/>
      <c r="AP16" s="65">
        <f t="shared" si="11"/>
        <v>85</v>
      </c>
      <c r="AQ16" s="8">
        <f t="shared" si="0"/>
        <v>0.265625</v>
      </c>
    </row>
    <row r="17" spans="1:43" ht="18" customHeight="1" x14ac:dyDescent="0.2">
      <c r="A17" s="6"/>
      <c r="B17" s="12"/>
      <c r="C17" s="64"/>
      <c r="D17" s="65"/>
      <c r="E17" s="66"/>
      <c r="F17" s="67">
        <f t="shared" ref="F17:F31" si="12">G17+H17</f>
        <v>0</v>
      </c>
      <c r="G17" s="68"/>
      <c r="H17" s="69"/>
      <c r="I17" s="67">
        <f t="shared" ref="I17:I31" si="13">J17+K17</f>
        <v>0</v>
      </c>
      <c r="J17" s="68"/>
      <c r="K17" s="69"/>
      <c r="L17" s="67">
        <f t="shared" si="1"/>
        <v>0</v>
      </c>
      <c r="M17" s="68"/>
      <c r="N17" s="69"/>
      <c r="O17" s="67">
        <f t="shared" si="2"/>
        <v>0</v>
      </c>
      <c r="P17" s="68"/>
      <c r="Q17" s="69"/>
      <c r="R17" s="67">
        <f t="shared" si="3"/>
        <v>0</v>
      </c>
      <c r="S17" s="68"/>
      <c r="T17" s="69"/>
      <c r="U17" s="67">
        <f t="shared" si="4"/>
        <v>0</v>
      </c>
      <c r="V17" s="68"/>
      <c r="W17" s="69"/>
      <c r="X17" s="67">
        <f t="shared" si="5"/>
        <v>0</v>
      </c>
      <c r="Y17" s="68"/>
      <c r="Z17" s="69"/>
      <c r="AA17" s="67">
        <f t="shared" si="6"/>
        <v>0</v>
      </c>
      <c r="AB17" s="68"/>
      <c r="AC17" s="69"/>
      <c r="AD17" s="67">
        <f t="shared" si="7"/>
        <v>0</v>
      </c>
      <c r="AE17" s="68"/>
      <c r="AF17" s="69"/>
      <c r="AG17" s="67">
        <f t="shared" si="8"/>
        <v>0</v>
      </c>
      <c r="AH17" s="68"/>
      <c r="AI17" s="69"/>
      <c r="AJ17" s="67">
        <f t="shared" si="9"/>
        <v>0</v>
      </c>
      <c r="AK17" s="68"/>
      <c r="AL17" s="69"/>
      <c r="AM17" s="67">
        <f t="shared" si="10"/>
        <v>0</v>
      </c>
      <c r="AN17" s="68"/>
      <c r="AO17" s="69"/>
      <c r="AP17" s="65">
        <f t="shared" si="11"/>
        <v>0</v>
      </c>
      <c r="AQ17" s="8" t="e">
        <f t="shared" si="0"/>
        <v>#DIV/0!</v>
      </c>
    </row>
    <row r="18" spans="1:43" ht="18" customHeight="1" x14ac:dyDescent="0.2">
      <c r="A18" s="6"/>
      <c r="B18" s="12"/>
      <c r="C18" s="64"/>
      <c r="D18" s="65"/>
      <c r="E18" s="66"/>
      <c r="F18" s="67">
        <f t="shared" si="12"/>
        <v>0</v>
      </c>
      <c r="G18" s="68"/>
      <c r="H18" s="69"/>
      <c r="I18" s="67">
        <f t="shared" si="13"/>
        <v>0</v>
      </c>
      <c r="J18" s="68"/>
      <c r="K18" s="69"/>
      <c r="L18" s="67">
        <f t="shared" si="1"/>
        <v>0</v>
      </c>
      <c r="M18" s="68"/>
      <c r="N18" s="69"/>
      <c r="O18" s="67">
        <f t="shared" si="2"/>
        <v>0</v>
      </c>
      <c r="P18" s="68"/>
      <c r="Q18" s="69"/>
      <c r="R18" s="67">
        <f t="shared" si="3"/>
        <v>0</v>
      </c>
      <c r="S18" s="68"/>
      <c r="T18" s="69"/>
      <c r="U18" s="67">
        <f t="shared" si="4"/>
        <v>0</v>
      </c>
      <c r="V18" s="68"/>
      <c r="W18" s="69"/>
      <c r="X18" s="67">
        <f t="shared" si="5"/>
        <v>0</v>
      </c>
      <c r="Y18" s="68"/>
      <c r="Z18" s="69"/>
      <c r="AA18" s="67">
        <f t="shared" si="6"/>
        <v>0</v>
      </c>
      <c r="AB18" s="68"/>
      <c r="AC18" s="69"/>
      <c r="AD18" s="67">
        <f t="shared" si="7"/>
        <v>0</v>
      </c>
      <c r="AE18" s="68"/>
      <c r="AF18" s="69"/>
      <c r="AG18" s="67">
        <f t="shared" si="8"/>
        <v>0</v>
      </c>
      <c r="AH18" s="68"/>
      <c r="AI18" s="69"/>
      <c r="AJ18" s="67">
        <f t="shared" si="9"/>
        <v>0</v>
      </c>
      <c r="AK18" s="68"/>
      <c r="AL18" s="69"/>
      <c r="AM18" s="67">
        <f t="shared" si="10"/>
        <v>0</v>
      </c>
      <c r="AN18" s="68"/>
      <c r="AO18" s="69"/>
      <c r="AP18" s="65">
        <f t="shared" si="11"/>
        <v>0</v>
      </c>
      <c r="AQ18" s="8" t="e">
        <f t="shared" si="0"/>
        <v>#DIV/0!</v>
      </c>
    </row>
    <row r="19" spans="1:43" ht="18" customHeight="1" x14ac:dyDescent="0.2">
      <c r="A19" s="6"/>
      <c r="B19" s="12"/>
      <c r="C19" s="64"/>
      <c r="D19" s="65"/>
      <c r="E19" s="66"/>
      <c r="F19" s="67">
        <f t="shared" si="12"/>
        <v>0</v>
      </c>
      <c r="G19" s="68"/>
      <c r="H19" s="69"/>
      <c r="I19" s="67">
        <f t="shared" si="13"/>
        <v>0</v>
      </c>
      <c r="J19" s="68"/>
      <c r="K19" s="69"/>
      <c r="L19" s="67">
        <f t="shared" si="1"/>
        <v>0</v>
      </c>
      <c r="M19" s="68"/>
      <c r="N19" s="69"/>
      <c r="O19" s="67">
        <f t="shared" si="2"/>
        <v>0</v>
      </c>
      <c r="P19" s="68"/>
      <c r="Q19" s="69"/>
      <c r="R19" s="67">
        <f t="shared" si="3"/>
        <v>0</v>
      </c>
      <c r="S19" s="68"/>
      <c r="T19" s="69"/>
      <c r="U19" s="67">
        <f t="shared" si="4"/>
        <v>0</v>
      </c>
      <c r="V19" s="68"/>
      <c r="W19" s="69"/>
      <c r="X19" s="67">
        <f t="shared" si="5"/>
        <v>0</v>
      </c>
      <c r="Y19" s="68"/>
      <c r="Z19" s="69"/>
      <c r="AA19" s="67">
        <f t="shared" si="6"/>
        <v>0</v>
      </c>
      <c r="AB19" s="68"/>
      <c r="AC19" s="69"/>
      <c r="AD19" s="67">
        <f t="shared" si="7"/>
        <v>0</v>
      </c>
      <c r="AE19" s="68"/>
      <c r="AF19" s="69"/>
      <c r="AG19" s="67">
        <f t="shared" si="8"/>
        <v>0</v>
      </c>
      <c r="AH19" s="68"/>
      <c r="AI19" s="69"/>
      <c r="AJ19" s="67">
        <f t="shared" si="9"/>
        <v>0</v>
      </c>
      <c r="AK19" s="68"/>
      <c r="AL19" s="69"/>
      <c r="AM19" s="67">
        <f t="shared" si="10"/>
        <v>0</v>
      </c>
      <c r="AN19" s="68"/>
      <c r="AO19" s="69"/>
      <c r="AP19" s="65">
        <f t="shared" si="11"/>
        <v>0</v>
      </c>
      <c r="AQ19" s="8" t="e">
        <f t="shared" si="0"/>
        <v>#DIV/0!</v>
      </c>
    </row>
    <row r="20" spans="1:43" ht="18" customHeight="1" x14ac:dyDescent="0.2">
      <c r="A20" s="6"/>
      <c r="B20" s="12"/>
      <c r="C20" s="64"/>
      <c r="D20" s="65"/>
      <c r="E20" s="66"/>
      <c r="F20" s="67">
        <f t="shared" si="12"/>
        <v>0</v>
      </c>
      <c r="G20" s="68"/>
      <c r="H20" s="69"/>
      <c r="I20" s="67">
        <f t="shared" si="13"/>
        <v>0</v>
      </c>
      <c r="J20" s="68"/>
      <c r="K20" s="69"/>
      <c r="L20" s="67">
        <f t="shared" si="1"/>
        <v>0</v>
      </c>
      <c r="M20" s="68"/>
      <c r="N20" s="69"/>
      <c r="O20" s="67">
        <f t="shared" si="2"/>
        <v>0</v>
      </c>
      <c r="P20" s="68"/>
      <c r="Q20" s="69"/>
      <c r="R20" s="67">
        <f t="shared" si="3"/>
        <v>0</v>
      </c>
      <c r="S20" s="68"/>
      <c r="T20" s="69"/>
      <c r="U20" s="67">
        <f t="shared" si="4"/>
        <v>0</v>
      </c>
      <c r="V20" s="68"/>
      <c r="W20" s="69"/>
      <c r="X20" s="67">
        <f t="shared" si="5"/>
        <v>0</v>
      </c>
      <c r="Y20" s="68"/>
      <c r="Z20" s="69"/>
      <c r="AA20" s="67">
        <f t="shared" si="6"/>
        <v>0</v>
      </c>
      <c r="AB20" s="68"/>
      <c r="AC20" s="69"/>
      <c r="AD20" s="67">
        <f t="shared" si="7"/>
        <v>0</v>
      </c>
      <c r="AE20" s="68"/>
      <c r="AF20" s="69"/>
      <c r="AG20" s="67">
        <f t="shared" si="8"/>
        <v>0</v>
      </c>
      <c r="AH20" s="68"/>
      <c r="AI20" s="69"/>
      <c r="AJ20" s="67">
        <f t="shared" si="9"/>
        <v>0</v>
      </c>
      <c r="AK20" s="68"/>
      <c r="AL20" s="69"/>
      <c r="AM20" s="67">
        <f t="shared" si="10"/>
        <v>0</v>
      </c>
      <c r="AN20" s="68"/>
      <c r="AO20" s="69"/>
      <c r="AP20" s="65">
        <f t="shared" si="11"/>
        <v>0</v>
      </c>
      <c r="AQ20" s="8" t="e">
        <f t="shared" si="0"/>
        <v>#DIV/0!</v>
      </c>
    </row>
    <row r="21" spans="1:43" ht="18" customHeight="1" x14ac:dyDescent="0.2">
      <c r="A21" s="6"/>
      <c r="B21" s="12"/>
      <c r="C21" s="64"/>
      <c r="D21" s="65"/>
      <c r="E21" s="66"/>
      <c r="F21" s="67">
        <f t="shared" si="12"/>
        <v>0</v>
      </c>
      <c r="G21" s="68"/>
      <c r="H21" s="69"/>
      <c r="I21" s="67">
        <f t="shared" si="13"/>
        <v>0</v>
      </c>
      <c r="J21" s="68"/>
      <c r="K21" s="69"/>
      <c r="L21" s="67">
        <f t="shared" si="1"/>
        <v>0</v>
      </c>
      <c r="M21" s="68"/>
      <c r="N21" s="69"/>
      <c r="O21" s="67">
        <f t="shared" si="2"/>
        <v>0</v>
      </c>
      <c r="P21" s="68"/>
      <c r="Q21" s="69"/>
      <c r="R21" s="67">
        <f t="shared" si="3"/>
        <v>0</v>
      </c>
      <c r="S21" s="68"/>
      <c r="T21" s="69"/>
      <c r="U21" s="67">
        <f t="shared" si="4"/>
        <v>0</v>
      </c>
      <c r="V21" s="68"/>
      <c r="W21" s="69"/>
      <c r="X21" s="67">
        <f t="shared" si="5"/>
        <v>0</v>
      </c>
      <c r="Y21" s="68"/>
      <c r="Z21" s="69"/>
      <c r="AA21" s="67">
        <f t="shared" si="6"/>
        <v>0</v>
      </c>
      <c r="AB21" s="68"/>
      <c r="AC21" s="69"/>
      <c r="AD21" s="67">
        <f t="shared" si="7"/>
        <v>0</v>
      </c>
      <c r="AE21" s="68"/>
      <c r="AF21" s="69"/>
      <c r="AG21" s="67">
        <f t="shared" si="8"/>
        <v>0</v>
      </c>
      <c r="AH21" s="68"/>
      <c r="AI21" s="69"/>
      <c r="AJ21" s="67">
        <f t="shared" si="9"/>
        <v>0</v>
      </c>
      <c r="AK21" s="68"/>
      <c r="AL21" s="69"/>
      <c r="AM21" s="67">
        <f t="shared" si="10"/>
        <v>0</v>
      </c>
      <c r="AN21" s="68"/>
      <c r="AO21" s="69"/>
      <c r="AP21" s="65">
        <f t="shared" si="11"/>
        <v>0</v>
      </c>
      <c r="AQ21" s="8" t="e">
        <f t="shared" si="0"/>
        <v>#DIV/0!</v>
      </c>
    </row>
    <row r="22" spans="1:43" ht="18" customHeight="1" x14ac:dyDescent="0.2">
      <c r="A22" s="6"/>
      <c r="B22" s="12"/>
      <c r="C22" s="64"/>
      <c r="D22" s="65"/>
      <c r="E22" s="66"/>
      <c r="F22" s="67">
        <f t="shared" si="12"/>
        <v>0</v>
      </c>
      <c r="G22" s="68"/>
      <c r="H22" s="69"/>
      <c r="I22" s="67">
        <f t="shared" si="13"/>
        <v>0</v>
      </c>
      <c r="J22" s="68"/>
      <c r="K22" s="69"/>
      <c r="L22" s="67">
        <f t="shared" si="1"/>
        <v>0</v>
      </c>
      <c r="M22" s="68"/>
      <c r="N22" s="69"/>
      <c r="O22" s="67">
        <f t="shared" si="2"/>
        <v>0</v>
      </c>
      <c r="P22" s="68"/>
      <c r="Q22" s="69"/>
      <c r="R22" s="67">
        <f t="shared" si="3"/>
        <v>0</v>
      </c>
      <c r="S22" s="68"/>
      <c r="T22" s="69"/>
      <c r="U22" s="67">
        <f t="shared" si="4"/>
        <v>0</v>
      </c>
      <c r="V22" s="68"/>
      <c r="W22" s="69"/>
      <c r="X22" s="67">
        <f t="shared" si="5"/>
        <v>0</v>
      </c>
      <c r="Y22" s="68"/>
      <c r="Z22" s="69"/>
      <c r="AA22" s="67">
        <f t="shared" si="6"/>
        <v>0</v>
      </c>
      <c r="AB22" s="68"/>
      <c r="AC22" s="69"/>
      <c r="AD22" s="67">
        <f t="shared" si="7"/>
        <v>0</v>
      </c>
      <c r="AE22" s="68"/>
      <c r="AF22" s="69"/>
      <c r="AG22" s="67">
        <f t="shared" si="8"/>
        <v>0</v>
      </c>
      <c r="AH22" s="68"/>
      <c r="AI22" s="69"/>
      <c r="AJ22" s="67">
        <f t="shared" si="9"/>
        <v>0</v>
      </c>
      <c r="AK22" s="68"/>
      <c r="AL22" s="69"/>
      <c r="AM22" s="67">
        <f t="shared" si="10"/>
        <v>0</v>
      </c>
      <c r="AN22" s="68"/>
      <c r="AO22" s="69"/>
      <c r="AP22" s="65">
        <f t="shared" si="11"/>
        <v>0</v>
      </c>
      <c r="AQ22" s="8" t="e">
        <f t="shared" si="0"/>
        <v>#DIV/0!</v>
      </c>
    </row>
    <row r="23" spans="1:43" ht="18" customHeight="1" x14ac:dyDescent="0.2">
      <c r="A23" s="6"/>
      <c r="B23" s="12"/>
      <c r="C23" s="64"/>
      <c r="D23" s="65"/>
      <c r="E23" s="66"/>
      <c r="F23" s="67">
        <f t="shared" si="12"/>
        <v>0</v>
      </c>
      <c r="G23" s="68"/>
      <c r="H23" s="69"/>
      <c r="I23" s="67">
        <f t="shared" si="13"/>
        <v>0</v>
      </c>
      <c r="J23" s="68"/>
      <c r="K23" s="69"/>
      <c r="L23" s="67">
        <f t="shared" si="1"/>
        <v>0</v>
      </c>
      <c r="M23" s="68"/>
      <c r="N23" s="69"/>
      <c r="O23" s="67">
        <f t="shared" si="2"/>
        <v>0</v>
      </c>
      <c r="P23" s="68"/>
      <c r="Q23" s="69"/>
      <c r="R23" s="67">
        <f t="shared" si="3"/>
        <v>0</v>
      </c>
      <c r="S23" s="68"/>
      <c r="T23" s="69"/>
      <c r="U23" s="67">
        <f t="shared" si="4"/>
        <v>0</v>
      </c>
      <c r="V23" s="68"/>
      <c r="W23" s="69"/>
      <c r="X23" s="67">
        <f t="shared" si="5"/>
        <v>0</v>
      </c>
      <c r="Y23" s="68"/>
      <c r="Z23" s="69"/>
      <c r="AA23" s="67">
        <f t="shared" si="6"/>
        <v>0</v>
      </c>
      <c r="AB23" s="68"/>
      <c r="AC23" s="69"/>
      <c r="AD23" s="67">
        <f t="shared" si="7"/>
        <v>0</v>
      </c>
      <c r="AE23" s="68"/>
      <c r="AF23" s="69"/>
      <c r="AG23" s="67">
        <f t="shared" si="8"/>
        <v>0</v>
      </c>
      <c r="AH23" s="68"/>
      <c r="AI23" s="69"/>
      <c r="AJ23" s="67">
        <f t="shared" si="9"/>
        <v>0</v>
      </c>
      <c r="AK23" s="68"/>
      <c r="AL23" s="69"/>
      <c r="AM23" s="67">
        <f t="shared" si="10"/>
        <v>0</v>
      </c>
      <c r="AN23" s="68"/>
      <c r="AO23" s="69"/>
      <c r="AP23" s="65">
        <f t="shared" si="11"/>
        <v>0</v>
      </c>
      <c r="AQ23" s="8" t="e">
        <f t="shared" si="0"/>
        <v>#DIV/0!</v>
      </c>
    </row>
    <row r="24" spans="1:43" ht="18" customHeight="1" x14ac:dyDescent="0.2">
      <c r="A24" s="6"/>
      <c r="B24" s="12"/>
      <c r="C24" s="64"/>
      <c r="D24" s="65"/>
      <c r="E24" s="66"/>
      <c r="F24" s="67">
        <f t="shared" si="12"/>
        <v>0</v>
      </c>
      <c r="G24" s="68"/>
      <c r="H24" s="69"/>
      <c r="I24" s="67">
        <f t="shared" si="13"/>
        <v>0</v>
      </c>
      <c r="J24" s="68"/>
      <c r="K24" s="69"/>
      <c r="L24" s="67">
        <f t="shared" si="1"/>
        <v>0</v>
      </c>
      <c r="M24" s="68"/>
      <c r="N24" s="69"/>
      <c r="O24" s="67">
        <f t="shared" si="2"/>
        <v>0</v>
      </c>
      <c r="P24" s="68"/>
      <c r="Q24" s="69"/>
      <c r="R24" s="67">
        <f t="shared" si="3"/>
        <v>0</v>
      </c>
      <c r="S24" s="68"/>
      <c r="T24" s="69"/>
      <c r="U24" s="67">
        <f t="shared" si="4"/>
        <v>0</v>
      </c>
      <c r="V24" s="68"/>
      <c r="W24" s="69"/>
      <c r="X24" s="67">
        <f t="shared" si="5"/>
        <v>0</v>
      </c>
      <c r="Y24" s="68"/>
      <c r="Z24" s="69"/>
      <c r="AA24" s="67">
        <f t="shared" si="6"/>
        <v>0</v>
      </c>
      <c r="AB24" s="68"/>
      <c r="AC24" s="69"/>
      <c r="AD24" s="67">
        <f t="shared" si="7"/>
        <v>0</v>
      </c>
      <c r="AE24" s="68"/>
      <c r="AF24" s="69"/>
      <c r="AG24" s="67">
        <f t="shared" si="8"/>
        <v>0</v>
      </c>
      <c r="AH24" s="68"/>
      <c r="AI24" s="69"/>
      <c r="AJ24" s="67">
        <f t="shared" si="9"/>
        <v>0</v>
      </c>
      <c r="AK24" s="68"/>
      <c r="AL24" s="69"/>
      <c r="AM24" s="67">
        <f t="shared" si="10"/>
        <v>0</v>
      </c>
      <c r="AN24" s="68"/>
      <c r="AO24" s="69"/>
      <c r="AP24" s="65">
        <f t="shared" si="11"/>
        <v>0</v>
      </c>
      <c r="AQ24" s="8" t="e">
        <f t="shared" si="0"/>
        <v>#DIV/0!</v>
      </c>
    </row>
    <row r="25" spans="1:43" ht="18" customHeight="1" x14ac:dyDescent="0.2">
      <c r="A25" s="6"/>
      <c r="B25" s="12"/>
      <c r="C25" s="64"/>
      <c r="D25" s="65"/>
      <c r="E25" s="66"/>
      <c r="F25" s="67">
        <f t="shared" si="12"/>
        <v>0</v>
      </c>
      <c r="G25" s="68"/>
      <c r="H25" s="69"/>
      <c r="I25" s="67">
        <f t="shared" si="13"/>
        <v>0</v>
      </c>
      <c r="J25" s="68"/>
      <c r="K25" s="69"/>
      <c r="L25" s="67">
        <f t="shared" si="1"/>
        <v>0</v>
      </c>
      <c r="M25" s="68"/>
      <c r="N25" s="69"/>
      <c r="O25" s="67">
        <f t="shared" si="2"/>
        <v>0</v>
      </c>
      <c r="P25" s="68"/>
      <c r="Q25" s="69"/>
      <c r="R25" s="67">
        <f t="shared" si="3"/>
        <v>0</v>
      </c>
      <c r="S25" s="68"/>
      <c r="T25" s="69"/>
      <c r="U25" s="67">
        <f t="shared" si="4"/>
        <v>0</v>
      </c>
      <c r="V25" s="68"/>
      <c r="W25" s="69"/>
      <c r="X25" s="67">
        <f t="shared" si="5"/>
        <v>0</v>
      </c>
      <c r="Y25" s="68"/>
      <c r="Z25" s="69"/>
      <c r="AA25" s="67">
        <f t="shared" si="6"/>
        <v>0</v>
      </c>
      <c r="AB25" s="68"/>
      <c r="AC25" s="69"/>
      <c r="AD25" s="67">
        <f t="shared" si="7"/>
        <v>0</v>
      </c>
      <c r="AE25" s="68"/>
      <c r="AF25" s="69"/>
      <c r="AG25" s="67">
        <f t="shared" si="8"/>
        <v>0</v>
      </c>
      <c r="AH25" s="68"/>
      <c r="AI25" s="69"/>
      <c r="AJ25" s="67">
        <f t="shared" si="9"/>
        <v>0</v>
      </c>
      <c r="AK25" s="68"/>
      <c r="AL25" s="69"/>
      <c r="AM25" s="67">
        <f t="shared" si="10"/>
        <v>0</v>
      </c>
      <c r="AN25" s="68"/>
      <c r="AO25" s="69"/>
      <c r="AP25" s="65">
        <f t="shared" si="11"/>
        <v>0</v>
      </c>
      <c r="AQ25" s="8" t="e">
        <f t="shared" si="0"/>
        <v>#DIV/0!</v>
      </c>
    </row>
    <row r="26" spans="1:43" ht="18" customHeight="1" x14ac:dyDescent="0.2">
      <c r="A26" s="6"/>
      <c r="B26" s="12"/>
      <c r="C26" s="64"/>
      <c r="D26" s="65"/>
      <c r="E26" s="66"/>
      <c r="F26" s="67">
        <f t="shared" si="12"/>
        <v>0</v>
      </c>
      <c r="G26" s="68"/>
      <c r="H26" s="69"/>
      <c r="I26" s="67">
        <f t="shared" si="13"/>
        <v>0</v>
      </c>
      <c r="J26" s="68"/>
      <c r="K26" s="69"/>
      <c r="L26" s="67">
        <f t="shared" si="1"/>
        <v>0</v>
      </c>
      <c r="M26" s="68"/>
      <c r="N26" s="69"/>
      <c r="O26" s="67">
        <f t="shared" si="2"/>
        <v>0</v>
      </c>
      <c r="P26" s="68"/>
      <c r="Q26" s="69"/>
      <c r="R26" s="67">
        <f t="shared" si="3"/>
        <v>0</v>
      </c>
      <c r="S26" s="68"/>
      <c r="T26" s="69"/>
      <c r="U26" s="67">
        <f t="shared" si="4"/>
        <v>0</v>
      </c>
      <c r="V26" s="68"/>
      <c r="W26" s="69"/>
      <c r="X26" s="67">
        <f t="shared" si="5"/>
        <v>0</v>
      </c>
      <c r="Y26" s="68"/>
      <c r="Z26" s="69"/>
      <c r="AA26" s="67">
        <f t="shared" si="6"/>
        <v>0</v>
      </c>
      <c r="AB26" s="68"/>
      <c r="AC26" s="69"/>
      <c r="AD26" s="67">
        <f t="shared" si="7"/>
        <v>0</v>
      </c>
      <c r="AE26" s="68"/>
      <c r="AF26" s="69"/>
      <c r="AG26" s="67">
        <f t="shared" si="8"/>
        <v>0</v>
      </c>
      <c r="AH26" s="68"/>
      <c r="AI26" s="69"/>
      <c r="AJ26" s="67">
        <f t="shared" si="9"/>
        <v>0</v>
      </c>
      <c r="AK26" s="68"/>
      <c r="AL26" s="69"/>
      <c r="AM26" s="67">
        <f t="shared" si="10"/>
        <v>0</v>
      </c>
      <c r="AN26" s="68"/>
      <c r="AO26" s="69"/>
      <c r="AP26" s="65">
        <f t="shared" si="11"/>
        <v>0</v>
      </c>
      <c r="AQ26" s="8" t="e">
        <f t="shared" si="0"/>
        <v>#DIV/0!</v>
      </c>
    </row>
    <row r="27" spans="1:43" ht="18" customHeight="1" x14ac:dyDescent="0.2">
      <c r="A27" s="6"/>
      <c r="B27" s="12"/>
      <c r="C27" s="64"/>
      <c r="D27" s="65"/>
      <c r="E27" s="66"/>
      <c r="F27" s="67">
        <f t="shared" si="12"/>
        <v>0</v>
      </c>
      <c r="G27" s="68"/>
      <c r="H27" s="69"/>
      <c r="I27" s="67">
        <f t="shared" si="13"/>
        <v>0</v>
      </c>
      <c r="J27" s="68"/>
      <c r="K27" s="69"/>
      <c r="L27" s="67">
        <f t="shared" si="1"/>
        <v>0</v>
      </c>
      <c r="M27" s="68"/>
      <c r="N27" s="69"/>
      <c r="O27" s="67">
        <f t="shared" si="2"/>
        <v>0</v>
      </c>
      <c r="P27" s="68"/>
      <c r="Q27" s="69"/>
      <c r="R27" s="67">
        <f t="shared" si="3"/>
        <v>0</v>
      </c>
      <c r="S27" s="68"/>
      <c r="T27" s="69"/>
      <c r="U27" s="67">
        <f t="shared" si="4"/>
        <v>0</v>
      </c>
      <c r="V27" s="68"/>
      <c r="W27" s="69"/>
      <c r="X27" s="67">
        <f t="shared" si="5"/>
        <v>0</v>
      </c>
      <c r="Y27" s="68"/>
      <c r="Z27" s="69"/>
      <c r="AA27" s="67">
        <f t="shared" si="6"/>
        <v>0</v>
      </c>
      <c r="AB27" s="68"/>
      <c r="AC27" s="69"/>
      <c r="AD27" s="67">
        <f t="shared" si="7"/>
        <v>0</v>
      </c>
      <c r="AE27" s="68"/>
      <c r="AF27" s="69"/>
      <c r="AG27" s="67">
        <f t="shared" si="8"/>
        <v>0</v>
      </c>
      <c r="AH27" s="68"/>
      <c r="AI27" s="69"/>
      <c r="AJ27" s="67">
        <f t="shared" si="9"/>
        <v>0</v>
      </c>
      <c r="AK27" s="68"/>
      <c r="AL27" s="69"/>
      <c r="AM27" s="67">
        <f t="shared" si="10"/>
        <v>0</v>
      </c>
      <c r="AN27" s="68"/>
      <c r="AO27" s="69"/>
      <c r="AP27" s="65">
        <f t="shared" si="11"/>
        <v>0</v>
      </c>
      <c r="AQ27" s="8" t="e">
        <f t="shared" si="0"/>
        <v>#DIV/0!</v>
      </c>
    </row>
    <row r="28" spans="1:43" ht="18" customHeight="1" x14ac:dyDescent="0.2">
      <c r="A28" s="6"/>
      <c r="B28" s="12"/>
      <c r="C28" s="64"/>
      <c r="D28" s="65"/>
      <c r="E28" s="66"/>
      <c r="F28" s="67">
        <f t="shared" si="12"/>
        <v>0</v>
      </c>
      <c r="G28" s="68"/>
      <c r="H28" s="69"/>
      <c r="I28" s="67">
        <f t="shared" si="13"/>
        <v>0</v>
      </c>
      <c r="J28" s="68"/>
      <c r="K28" s="69"/>
      <c r="L28" s="67">
        <f t="shared" si="1"/>
        <v>0</v>
      </c>
      <c r="M28" s="68"/>
      <c r="N28" s="69"/>
      <c r="O28" s="67">
        <f t="shared" si="2"/>
        <v>0</v>
      </c>
      <c r="P28" s="68"/>
      <c r="Q28" s="69"/>
      <c r="R28" s="67">
        <f t="shared" si="3"/>
        <v>0</v>
      </c>
      <c r="S28" s="68"/>
      <c r="T28" s="69"/>
      <c r="U28" s="67">
        <f t="shared" si="4"/>
        <v>0</v>
      </c>
      <c r="V28" s="68"/>
      <c r="W28" s="69"/>
      <c r="X28" s="67">
        <f t="shared" si="5"/>
        <v>0</v>
      </c>
      <c r="Y28" s="68"/>
      <c r="Z28" s="69"/>
      <c r="AA28" s="67">
        <f t="shared" si="6"/>
        <v>0</v>
      </c>
      <c r="AB28" s="68"/>
      <c r="AC28" s="69"/>
      <c r="AD28" s="67">
        <f t="shared" si="7"/>
        <v>0</v>
      </c>
      <c r="AE28" s="68"/>
      <c r="AF28" s="69"/>
      <c r="AG28" s="67">
        <f t="shared" si="8"/>
        <v>0</v>
      </c>
      <c r="AH28" s="68"/>
      <c r="AI28" s="69"/>
      <c r="AJ28" s="67">
        <f t="shared" si="9"/>
        <v>0</v>
      </c>
      <c r="AK28" s="68"/>
      <c r="AL28" s="69"/>
      <c r="AM28" s="67">
        <f t="shared" si="10"/>
        <v>0</v>
      </c>
      <c r="AN28" s="68"/>
      <c r="AO28" s="69"/>
      <c r="AP28" s="65">
        <f t="shared" si="11"/>
        <v>0</v>
      </c>
      <c r="AQ28" s="8" t="e">
        <f t="shared" si="0"/>
        <v>#DIV/0!</v>
      </c>
    </row>
    <row r="29" spans="1:43" ht="18" customHeight="1" x14ac:dyDescent="0.2">
      <c r="A29" s="6"/>
      <c r="B29" s="12"/>
      <c r="C29" s="64"/>
      <c r="D29" s="70"/>
      <c r="E29" s="66"/>
      <c r="F29" s="67">
        <f t="shared" si="12"/>
        <v>0</v>
      </c>
      <c r="G29" s="68"/>
      <c r="H29" s="69"/>
      <c r="I29" s="67">
        <f t="shared" si="13"/>
        <v>0</v>
      </c>
      <c r="J29" s="68"/>
      <c r="K29" s="69"/>
      <c r="L29" s="67">
        <f t="shared" si="1"/>
        <v>0</v>
      </c>
      <c r="M29" s="68"/>
      <c r="N29" s="69"/>
      <c r="O29" s="67">
        <f t="shared" si="2"/>
        <v>0</v>
      </c>
      <c r="P29" s="68"/>
      <c r="Q29" s="69"/>
      <c r="R29" s="67">
        <f t="shared" si="3"/>
        <v>0</v>
      </c>
      <c r="S29" s="68"/>
      <c r="T29" s="69"/>
      <c r="U29" s="67">
        <f t="shared" si="4"/>
        <v>0</v>
      </c>
      <c r="V29" s="68"/>
      <c r="W29" s="69"/>
      <c r="X29" s="67">
        <f t="shared" si="5"/>
        <v>0</v>
      </c>
      <c r="Y29" s="68"/>
      <c r="Z29" s="69"/>
      <c r="AA29" s="67">
        <f t="shared" si="6"/>
        <v>0</v>
      </c>
      <c r="AB29" s="68"/>
      <c r="AC29" s="69"/>
      <c r="AD29" s="67">
        <f t="shared" si="7"/>
        <v>0</v>
      </c>
      <c r="AE29" s="68"/>
      <c r="AF29" s="69"/>
      <c r="AG29" s="67">
        <f t="shared" si="8"/>
        <v>0</v>
      </c>
      <c r="AH29" s="68"/>
      <c r="AI29" s="69"/>
      <c r="AJ29" s="67">
        <f t="shared" si="9"/>
        <v>0</v>
      </c>
      <c r="AK29" s="68"/>
      <c r="AL29" s="69"/>
      <c r="AM29" s="67">
        <f t="shared" si="10"/>
        <v>0</v>
      </c>
      <c r="AN29" s="68"/>
      <c r="AO29" s="69"/>
      <c r="AP29" s="70">
        <f t="shared" si="11"/>
        <v>0</v>
      </c>
      <c r="AQ29" s="8" t="e">
        <f t="shared" si="0"/>
        <v>#DIV/0!</v>
      </c>
    </row>
    <row r="30" spans="1:43" ht="18" customHeight="1" x14ac:dyDescent="0.2">
      <c r="A30" s="6"/>
      <c r="B30" s="12"/>
      <c r="C30" s="64"/>
      <c r="D30" s="70"/>
      <c r="E30" s="66"/>
      <c r="F30" s="67">
        <f t="shared" si="12"/>
        <v>0</v>
      </c>
      <c r="G30" s="68"/>
      <c r="H30" s="69"/>
      <c r="I30" s="67">
        <f t="shared" si="13"/>
        <v>0</v>
      </c>
      <c r="J30" s="68"/>
      <c r="K30" s="69"/>
      <c r="L30" s="67">
        <f t="shared" si="1"/>
        <v>0</v>
      </c>
      <c r="M30" s="68"/>
      <c r="N30" s="69"/>
      <c r="O30" s="67">
        <f t="shared" si="2"/>
        <v>0</v>
      </c>
      <c r="P30" s="68"/>
      <c r="Q30" s="69"/>
      <c r="R30" s="67">
        <f t="shared" si="3"/>
        <v>0</v>
      </c>
      <c r="S30" s="68"/>
      <c r="T30" s="69"/>
      <c r="U30" s="67">
        <f t="shared" si="4"/>
        <v>0</v>
      </c>
      <c r="V30" s="68"/>
      <c r="W30" s="69"/>
      <c r="X30" s="67">
        <f t="shared" si="5"/>
        <v>0</v>
      </c>
      <c r="Y30" s="68"/>
      <c r="Z30" s="69"/>
      <c r="AA30" s="67">
        <f t="shared" si="6"/>
        <v>0</v>
      </c>
      <c r="AB30" s="68"/>
      <c r="AC30" s="69"/>
      <c r="AD30" s="67">
        <f t="shared" si="7"/>
        <v>0</v>
      </c>
      <c r="AE30" s="68"/>
      <c r="AF30" s="69"/>
      <c r="AG30" s="67">
        <f t="shared" si="8"/>
        <v>0</v>
      </c>
      <c r="AH30" s="68"/>
      <c r="AI30" s="69"/>
      <c r="AJ30" s="67">
        <f t="shared" si="9"/>
        <v>0</v>
      </c>
      <c r="AK30" s="68"/>
      <c r="AL30" s="69"/>
      <c r="AM30" s="67">
        <f t="shared" si="10"/>
        <v>0</v>
      </c>
      <c r="AN30" s="68"/>
      <c r="AO30" s="69"/>
      <c r="AP30" s="70">
        <f t="shared" si="11"/>
        <v>0</v>
      </c>
      <c r="AQ30" s="8" t="e">
        <f t="shared" si="0"/>
        <v>#DIV/0!</v>
      </c>
    </row>
    <row r="31" spans="1:43" ht="18" customHeight="1" thickBot="1" x14ac:dyDescent="0.25">
      <c r="A31" s="6"/>
      <c r="B31" s="13"/>
      <c r="C31" s="59"/>
      <c r="D31" s="71"/>
      <c r="E31" s="61"/>
      <c r="F31" s="61">
        <f t="shared" si="12"/>
        <v>0</v>
      </c>
      <c r="G31" s="72"/>
      <c r="H31" s="73"/>
      <c r="I31" s="61">
        <f t="shared" si="13"/>
        <v>0</v>
      </c>
      <c r="J31" s="72"/>
      <c r="K31" s="73"/>
      <c r="L31" s="61">
        <f t="shared" si="1"/>
        <v>0</v>
      </c>
      <c r="M31" s="72"/>
      <c r="N31" s="73"/>
      <c r="O31" s="61">
        <f t="shared" si="2"/>
        <v>0</v>
      </c>
      <c r="P31" s="72"/>
      <c r="Q31" s="73"/>
      <c r="R31" s="61">
        <f t="shared" si="3"/>
        <v>0</v>
      </c>
      <c r="S31" s="72"/>
      <c r="T31" s="73"/>
      <c r="U31" s="61">
        <f t="shared" si="4"/>
        <v>0</v>
      </c>
      <c r="V31" s="72"/>
      <c r="W31" s="73"/>
      <c r="X31" s="61">
        <f t="shared" si="5"/>
        <v>0</v>
      </c>
      <c r="Y31" s="72"/>
      <c r="Z31" s="73"/>
      <c r="AA31" s="61">
        <f t="shared" si="6"/>
        <v>0</v>
      </c>
      <c r="AB31" s="72"/>
      <c r="AC31" s="73"/>
      <c r="AD31" s="61">
        <f t="shared" si="7"/>
        <v>0</v>
      </c>
      <c r="AE31" s="72"/>
      <c r="AF31" s="73"/>
      <c r="AG31" s="61">
        <f t="shared" si="8"/>
        <v>0</v>
      </c>
      <c r="AH31" s="72"/>
      <c r="AI31" s="73"/>
      <c r="AJ31" s="61">
        <f t="shared" si="9"/>
        <v>0</v>
      </c>
      <c r="AK31" s="72"/>
      <c r="AL31" s="73"/>
      <c r="AM31" s="61">
        <f t="shared" si="10"/>
        <v>0</v>
      </c>
      <c r="AN31" s="72"/>
      <c r="AO31" s="73"/>
      <c r="AP31" s="71">
        <f t="shared" si="11"/>
        <v>0</v>
      </c>
      <c r="AQ31" s="7" t="e">
        <f t="shared" si="0"/>
        <v>#DIV/0!</v>
      </c>
    </row>
    <row r="32" spans="1:43" ht="18" customHeight="1" thickTop="1" x14ac:dyDescent="0.2">
      <c r="B32" s="14" t="s">
        <v>32</v>
      </c>
      <c r="C32" s="74">
        <f t="shared" ref="C32" si="14">SUM(C12:C31)</f>
        <v>3303</v>
      </c>
      <c r="D32" s="75">
        <f t="shared" ref="D32:AP32" si="15">SUM(D12:D31)</f>
        <v>750</v>
      </c>
      <c r="E32" s="76">
        <f t="shared" si="15"/>
        <v>3080</v>
      </c>
      <c r="F32" s="76">
        <f t="shared" si="15"/>
        <v>139</v>
      </c>
      <c r="G32" s="77">
        <f t="shared" si="15"/>
        <v>43</v>
      </c>
      <c r="H32" s="78">
        <f t="shared" si="15"/>
        <v>96</v>
      </c>
      <c r="I32" s="76">
        <f t="shared" ref="I32:N32" si="16">SUM(I12:I31)</f>
        <v>133</v>
      </c>
      <c r="J32" s="77">
        <f t="shared" si="16"/>
        <v>39</v>
      </c>
      <c r="K32" s="78">
        <f t="shared" si="16"/>
        <v>94</v>
      </c>
      <c r="L32" s="76">
        <f t="shared" si="16"/>
        <v>0</v>
      </c>
      <c r="M32" s="77">
        <f t="shared" si="16"/>
        <v>0</v>
      </c>
      <c r="N32" s="78">
        <f t="shared" si="16"/>
        <v>0</v>
      </c>
      <c r="O32" s="76">
        <f t="shared" ref="O32:T32" si="17">SUM(O12:O31)</f>
        <v>0</v>
      </c>
      <c r="P32" s="77">
        <f t="shared" si="17"/>
        <v>0</v>
      </c>
      <c r="Q32" s="78">
        <f t="shared" si="17"/>
        <v>0</v>
      </c>
      <c r="R32" s="76">
        <f t="shared" si="17"/>
        <v>0</v>
      </c>
      <c r="S32" s="77">
        <f t="shared" si="17"/>
        <v>0</v>
      </c>
      <c r="T32" s="78">
        <f t="shared" si="17"/>
        <v>0</v>
      </c>
      <c r="U32" s="76">
        <f t="shared" ref="U32:AI32" si="18">SUM(U12:U31)</f>
        <v>0</v>
      </c>
      <c r="V32" s="77">
        <f t="shared" si="18"/>
        <v>0</v>
      </c>
      <c r="W32" s="78">
        <f t="shared" si="18"/>
        <v>0</v>
      </c>
      <c r="X32" s="76">
        <f t="shared" si="18"/>
        <v>0</v>
      </c>
      <c r="Y32" s="77">
        <f t="shared" si="18"/>
        <v>0</v>
      </c>
      <c r="Z32" s="78">
        <f t="shared" si="18"/>
        <v>0</v>
      </c>
      <c r="AA32" s="76">
        <f t="shared" si="18"/>
        <v>0</v>
      </c>
      <c r="AB32" s="77">
        <f t="shared" si="18"/>
        <v>0</v>
      </c>
      <c r="AC32" s="78">
        <f t="shared" si="18"/>
        <v>0</v>
      </c>
      <c r="AD32" s="76">
        <f t="shared" si="18"/>
        <v>0</v>
      </c>
      <c r="AE32" s="77">
        <f t="shared" si="18"/>
        <v>0</v>
      </c>
      <c r="AF32" s="78">
        <f t="shared" si="18"/>
        <v>0</v>
      </c>
      <c r="AG32" s="76">
        <f t="shared" si="18"/>
        <v>0</v>
      </c>
      <c r="AH32" s="77">
        <f t="shared" si="18"/>
        <v>0</v>
      </c>
      <c r="AI32" s="78">
        <f t="shared" si="18"/>
        <v>0</v>
      </c>
      <c r="AJ32" s="76">
        <f t="shared" ref="AJ32:AO32" si="19">SUM(AJ12:AJ31)</f>
        <v>0</v>
      </c>
      <c r="AK32" s="77">
        <f t="shared" si="19"/>
        <v>0</v>
      </c>
      <c r="AL32" s="78">
        <f t="shared" si="19"/>
        <v>0</v>
      </c>
      <c r="AM32" s="76">
        <f t="shared" si="19"/>
        <v>0</v>
      </c>
      <c r="AN32" s="77">
        <f t="shared" si="19"/>
        <v>0</v>
      </c>
      <c r="AO32" s="78">
        <f t="shared" si="19"/>
        <v>0</v>
      </c>
      <c r="AP32" s="75">
        <f t="shared" si="15"/>
        <v>139</v>
      </c>
      <c r="AQ32" s="9">
        <f t="shared" si="0"/>
        <v>4.5129870129870131E-2</v>
      </c>
    </row>
  </sheetData>
  <customSheetViews>
    <customSheetView guid="{1F7DD307-FDAD-4F12-A71C-909420D0BA34}" showPageBreaks="1" fitToPage="1" printArea="1" view="pageBreakPreview">
      <selection activeCell="C14" sqref="C14"/>
      <pageMargins left="0.78740157480314965" right="0.78740157480314965" top="0.78740157480314965" bottom="0.59055118110236227" header="0.31496062992125984" footer="0.31496062992125984"/>
      <printOptions horizontalCentered="1"/>
      <pageSetup paperSize="9" scale="57" orientation="landscape" r:id="rId1"/>
      <headerFooter>
        <oddHeader>&amp;C数理・データサイエンス・AI教育プログラム認定制度【リテラシーレベル】</oddHeader>
      </headerFooter>
    </customSheetView>
    <customSheetView guid="{8C9D52A6-6DCF-4B21-8AFD-E83D9E686319}" showPageBreaks="1" fitToPage="1" printArea="1" view="pageBreakPreview">
      <selection activeCell="C14" sqref="C14"/>
      <pageMargins left="0.78740157480314965" right="0.78740157480314965" top="0.78740157480314965" bottom="0.59055118110236227" header="0.31496062992125984" footer="0.31496062992125984"/>
      <printOptions horizontalCentered="1"/>
      <pageSetup paperSize="9" scale="57" orientation="landscape" r:id="rId2"/>
      <headerFooter>
        <oddHeader>&amp;C数理・データサイエンス・AI教育プログラム認定制度【リテラシーレベル】</oddHeader>
      </headerFooter>
    </customSheetView>
  </customSheetViews>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3"/>
  <headerFooter>
    <oddHeader>&amp;C数理・データサイエンス・AI教育プログラム認定制度【リテラシーレベル】</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heetViews>
  <sheetFormatPr defaultColWidth="11.33203125" defaultRowHeight="18.75" customHeight="1" x14ac:dyDescent="0.2"/>
  <cols>
    <col min="1" max="1" width="2.77734375" style="39" customWidth="1"/>
    <col min="2" max="2" width="16.6640625" style="1" customWidth="1"/>
    <col min="3" max="3" width="8.88671875" style="1" customWidth="1"/>
    <col min="4" max="4" width="2.21875" style="1" customWidth="1"/>
    <col min="5" max="5" width="16.6640625" style="1" customWidth="1"/>
    <col min="6" max="6" width="4.33203125" style="1" customWidth="1"/>
    <col min="7" max="7" width="9" style="1" customWidth="1"/>
    <col min="8" max="8" width="16.6640625" style="1" customWidth="1"/>
    <col min="9" max="9" width="12.109375" style="1" customWidth="1"/>
    <col min="10" max="16384" width="11.33203125" style="1"/>
  </cols>
  <sheetData>
    <row r="1" spans="1:9" ht="18.75" customHeight="1" x14ac:dyDescent="0.2">
      <c r="A1" s="39" t="s">
        <v>64</v>
      </c>
      <c r="I1" s="33" t="s">
        <v>105</v>
      </c>
    </row>
    <row r="2" spans="1:9" ht="18.75" customHeight="1" x14ac:dyDescent="0.2">
      <c r="G2" s="33" t="s">
        <v>108</v>
      </c>
      <c r="H2" s="96" t="str">
        <f>'様式１-１　プログラムを構成する授業科目'!C2</f>
        <v>大手前大学</v>
      </c>
      <c r="I2" s="98"/>
    </row>
    <row r="3" spans="1:9" ht="18.75" customHeight="1" x14ac:dyDescent="0.2">
      <c r="G3" s="33"/>
      <c r="H3" s="10"/>
      <c r="I3" s="10"/>
    </row>
    <row r="4" spans="1:9" ht="18.600000000000001" customHeight="1" x14ac:dyDescent="0.2">
      <c r="A4" s="107" t="s">
        <v>35</v>
      </c>
      <c r="B4" s="107"/>
      <c r="C4" s="107"/>
      <c r="D4" s="107"/>
      <c r="E4" s="107"/>
      <c r="F4" s="107"/>
      <c r="G4" s="107"/>
      <c r="H4" s="107"/>
      <c r="I4" s="107"/>
    </row>
    <row r="5" spans="1:9" ht="13.2" customHeight="1" x14ac:dyDescent="0.2">
      <c r="B5" s="3"/>
      <c r="C5" s="3"/>
      <c r="D5" s="3"/>
      <c r="E5" s="3"/>
      <c r="F5" s="3"/>
      <c r="G5" s="3"/>
      <c r="H5" s="3"/>
      <c r="I5" s="3"/>
    </row>
    <row r="6" spans="1:9" ht="18" customHeight="1" x14ac:dyDescent="0.2">
      <c r="A6" s="1" t="s">
        <v>0</v>
      </c>
      <c r="B6" s="10" t="s">
        <v>90</v>
      </c>
      <c r="C6" s="253" t="s">
        <v>91</v>
      </c>
      <c r="D6" s="253"/>
      <c r="E6" s="32">
        <v>134</v>
      </c>
      <c r="F6" s="3" t="s">
        <v>1</v>
      </c>
      <c r="G6" s="25" t="s">
        <v>2</v>
      </c>
      <c r="H6" s="32">
        <v>212</v>
      </c>
      <c r="I6" s="10" t="s">
        <v>1</v>
      </c>
    </row>
    <row r="7" spans="1:9" ht="12" customHeight="1" x14ac:dyDescent="0.2">
      <c r="C7" s="2"/>
      <c r="D7" s="2"/>
      <c r="E7" s="2"/>
      <c r="F7" s="2"/>
      <c r="G7" s="2"/>
      <c r="H7" s="2"/>
      <c r="I7" s="40"/>
    </row>
    <row r="8" spans="1:9" ht="18" customHeight="1" x14ac:dyDescent="0.2">
      <c r="A8" s="1" t="s">
        <v>3</v>
      </c>
      <c r="B8" s="10" t="s">
        <v>92</v>
      </c>
      <c r="E8" s="3"/>
      <c r="F8" s="3"/>
      <c r="G8" s="3"/>
      <c r="H8" s="32">
        <v>14</v>
      </c>
      <c r="I8" s="10" t="s">
        <v>1</v>
      </c>
    </row>
    <row r="9" spans="1:9" ht="9" customHeight="1" x14ac:dyDescent="0.2">
      <c r="B9" s="3"/>
      <c r="C9" s="3"/>
      <c r="D9" s="3"/>
      <c r="E9" s="3"/>
      <c r="F9" s="3"/>
      <c r="G9" s="3"/>
      <c r="H9" s="3"/>
      <c r="I9" s="3"/>
    </row>
    <row r="10" spans="1:9" ht="18" customHeight="1" x14ac:dyDescent="0.2">
      <c r="A10" s="1" t="s">
        <v>4</v>
      </c>
      <c r="B10" s="10" t="s">
        <v>93</v>
      </c>
      <c r="C10" s="3"/>
      <c r="D10" s="3"/>
      <c r="E10" s="3"/>
      <c r="F10" s="3"/>
      <c r="G10" s="3"/>
      <c r="H10" s="3"/>
      <c r="I10" s="3"/>
    </row>
    <row r="11" spans="1:9" ht="18" customHeight="1" x14ac:dyDescent="0.2">
      <c r="B11" s="33" t="s">
        <v>42</v>
      </c>
      <c r="C11" s="248" t="s">
        <v>133</v>
      </c>
      <c r="D11" s="251"/>
      <c r="E11" s="252"/>
      <c r="F11" s="40"/>
      <c r="G11" s="33" t="s">
        <v>10</v>
      </c>
      <c r="H11" s="248" t="s">
        <v>134</v>
      </c>
      <c r="I11" s="252"/>
    </row>
    <row r="12" spans="1:9" ht="10.199999999999999" customHeight="1" x14ac:dyDescent="0.2">
      <c r="B12" s="33"/>
      <c r="C12" s="10"/>
      <c r="D12" s="40"/>
      <c r="E12" s="40"/>
      <c r="F12" s="40"/>
      <c r="G12" s="33"/>
      <c r="H12" s="10"/>
      <c r="I12" s="40"/>
    </row>
    <row r="13" spans="1:9" ht="18" customHeight="1" x14ac:dyDescent="0.2">
      <c r="A13" s="1" t="s">
        <v>7</v>
      </c>
      <c r="B13" s="10" t="s">
        <v>87</v>
      </c>
      <c r="C13" s="3"/>
      <c r="D13" s="3"/>
      <c r="E13" s="3"/>
      <c r="F13" s="3"/>
      <c r="G13" s="3"/>
      <c r="H13" s="3"/>
      <c r="I13" s="3"/>
    </row>
    <row r="14" spans="1:9" ht="18" customHeight="1" x14ac:dyDescent="0.2">
      <c r="B14" s="248" t="s">
        <v>135</v>
      </c>
      <c r="C14" s="249"/>
      <c r="D14" s="249"/>
      <c r="E14" s="249"/>
      <c r="F14" s="249"/>
      <c r="G14" s="249"/>
      <c r="H14" s="249"/>
      <c r="I14" s="250"/>
    </row>
    <row r="15" spans="1:9" ht="9" customHeight="1" x14ac:dyDescent="0.2">
      <c r="B15" s="3"/>
      <c r="C15" s="3"/>
      <c r="D15" s="3"/>
      <c r="E15" s="3"/>
      <c r="F15" s="3"/>
      <c r="G15" s="3"/>
      <c r="H15" s="3"/>
      <c r="I15" s="3"/>
    </row>
    <row r="16" spans="1:9" ht="18" customHeight="1" x14ac:dyDescent="0.2">
      <c r="B16" s="33" t="s">
        <v>42</v>
      </c>
      <c r="C16" s="248" t="s">
        <v>136</v>
      </c>
      <c r="D16" s="251"/>
      <c r="E16" s="252"/>
      <c r="F16" s="40"/>
      <c r="G16" s="33" t="s">
        <v>10</v>
      </c>
      <c r="H16" s="248" t="s">
        <v>137</v>
      </c>
      <c r="I16" s="252"/>
    </row>
    <row r="17" spans="1:9" ht="18" customHeight="1" x14ac:dyDescent="0.2">
      <c r="B17" s="3"/>
      <c r="C17" s="3"/>
      <c r="D17" s="3"/>
      <c r="E17" s="3"/>
      <c r="F17" s="3"/>
      <c r="G17" s="3"/>
      <c r="H17" s="3"/>
      <c r="I17" s="3"/>
    </row>
    <row r="18" spans="1:9" ht="18.75" customHeight="1" x14ac:dyDescent="0.2">
      <c r="A18" s="1" t="s">
        <v>5</v>
      </c>
      <c r="B18" s="1" t="s">
        <v>41</v>
      </c>
      <c r="I18" s="3"/>
    </row>
    <row r="19" spans="1:9" ht="18.75" customHeight="1" x14ac:dyDescent="0.2">
      <c r="A19" s="1"/>
      <c r="B19" s="240" t="s">
        <v>164</v>
      </c>
      <c r="C19" s="241"/>
      <c r="D19" s="241"/>
      <c r="E19" s="241"/>
      <c r="F19" s="241"/>
      <c r="G19" s="241"/>
      <c r="H19" s="241"/>
      <c r="I19" s="242"/>
    </row>
    <row r="20" spans="1:9" ht="7.5" customHeight="1" x14ac:dyDescent="0.2">
      <c r="B20" s="3"/>
      <c r="C20" s="3"/>
      <c r="D20" s="3"/>
      <c r="E20" s="3"/>
      <c r="F20" s="3"/>
      <c r="G20" s="3"/>
      <c r="H20" s="3"/>
      <c r="I20" s="3"/>
    </row>
    <row r="21" spans="1:9" ht="18.75" customHeight="1" x14ac:dyDescent="0.2">
      <c r="A21" s="1" t="s">
        <v>8</v>
      </c>
      <c r="B21" s="1" t="s">
        <v>24</v>
      </c>
    </row>
    <row r="22" spans="1:9" ht="18.75" customHeight="1" x14ac:dyDescent="0.2">
      <c r="A22" s="15"/>
      <c r="B22" s="230" t="s">
        <v>153</v>
      </c>
      <c r="C22" s="231"/>
      <c r="D22" s="231"/>
      <c r="E22" s="231"/>
      <c r="F22" s="231"/>
      <c r="G22" s="231"/>
      <c r="H22" s="231"/>
      <c r="I22" s="232"/>
    </row>
    <row r="23" spans="1:9" ht="18.75" customHeight="1" x14ac:dyDescent="0.2">
      <c r="A23" s="15"/>
      <c r="B23" s="243"/>
      <c r="C23" s="244"/>
      <c r="D23" s="244"/>
      <c r="E23" s="244"/>
      <c r="F23" s="244"/>
      <c r="G23" s="244"/>
      <c r="H23" s="244"/>
      <c r="I23" s="235"/>
    </row>
    <row r="24" spans="1:9" ht="18.75" customHeight="1" x14ac:dyDescent="0.2">
      <c r="A24" s="15"/>
      <c r="B24" s="243"/>
      <c r="C24" s="244"/>
      <c r="D24" s="244"/>
      <c r="E24" s="244"/>
      <c r="F24" s="244"/>
      <c r="G24" s="244"/>
      <c r="H24" s="244"/>
      <c r="I24" s="235"/>
    </row>
    <row r="25" spans="1:9" ht="18.75" customHeight="1" x14ac:dyDescent="0.2">
      <c r="A25" s="15"/>
      <c r="B25" s="243"/>
      <c r="C25" s="244"/>
      <c r="D25" s="244"/>
      <c r="E25" s="244"/>
      <c r="F25" s="244"/>
      <c r="G25" s="244"/>
      <c r="H25" s="244"/>
      <c r="I25" s="235"/>
    </row>
    <row r="26" spans="1:9" ht="18.75" customHeight="1" x14ac:dyDescent="0.2">
      <c r="A26" s="15"/>
      <c r="B26" s="243"/>
      <c r="C26" s="244"/>
      <c r="D26" s="244"/>
      <c r="E26" s="244"/>
      <c r="F26" s="244"/>
      <c r="G26" s="244"/>
      <c r="H26" s="244"/>
      <c r="I26" s="235"/>
    </row>
    <row r="27" spans="1:9" ht="18.75" customHeight="1" x14ac:dyDescent="0.2">
      <c r="A27" s="15"/>
      <c r="B27" s="243"/>
      <c r="C27" s="244"/>
      <c r="D27" s="244"/>
      <c r="E27" s="244"/>
      <c r="F27" s="244"/>
      <c r="G27" s="244"/>
      <c r="H27" s="244"/>
      <c r="I27" s="235"/>
    </row>
    <row r="28" spans="1:9" ht="18.75" customHeight="1" x14ac:dyDescent="0.2">
      <c r="A28" s="15"/>
      <c r="B28" s="243"/>
      <c r="C28" s="244"/>
      <c r="D28" s="244"/>
      <c r="E28" s="244"/>
      <c r="F28" s="244"/>
      <c r="G28" s="244"/>
      <c r="H28" s="244"/>
      <c r="I28" s="235"/>
    </row>
    <row r="29" spans="1:9" ht="18.75" customHeight="1" x14ac:dyDescent="0.2">
      <c r="A29" s="15"/>
      <c r="B29" s="243"/>
      <c r="C29" s="244"/>
      <c r="D29" s="244"/>
      <c r="E29" s="244"/>
      <c r="F29" s="244"/>
      <c r="G29" s="244"/>
      <c r="H29" s="244"/>
      <c r="I29" s="235"/>
    </row>
    <row r="30" spans="1:9" ht="18.75" customHeight="1" x14ac:dyDescent="0.2">
      <c r="A30" s="15"/>
      <c r="B30" s="233"/>
      <c r="C30" s="234"/>
      <c r="D30" s="234"/>
      <c r="E30" s="234"/>
      <c r="F30" s="234"/>
      <c r="G30" s="234"/>
      <c r="H30" s="234"/>
      <c r="I30" s="235"/>
    </row>
    <row r="31" spans="1:9" ht="18.75" customHeight="1" x14ac:dyDescent="0.2">
      <c r="A31" s="15"/>
      <c r="B31" s="233"/>
      <c r="C31" s="234"/>
      <c r="D31" s="234"/>
      <c r="E31" s="234"/>
      <c r="F31" s="234"/>
      <c r="G31" s="234"/>
      <c r="H31" s="234"/>
      <c r="I31" s="235"/>
    </row>
    <row r="32" spans="1:9" ht="18.75" customHeight="1" x14ac:dyDescent="0.2">
      <c r="A32" s="15"/>
      <c r="B32" s="236"/>
      <c r="C32" s="237"/>
      <c r="D32" s="237"/>
      <c r="E32" s="237"/>
      <c r="F32" s="237"/>
      <c r="G32" s="237"/>
      <c r="H32" s="237"/>
      <c r="I32" s="238"/>
    </row>
    <row r="33" spans="1:9" ht="7.5" customHeight="1" x14ac:dyDescent="0.2">
      <c r="A33" s="15"/>
      <c r="B33" s="15"/>
      <c r="C33" s="15"/>
      <c r="D33" s="15"/>
      <c r="E33" s="15"/>
      <c r="F33" s="15"/>
      <c r="G33" s="15"/>
      <c r="H33" s="15"/>
      <c r="I33" s="15"/>
    </row>
    <row r="34" spans="1:9" ht="18.75" customHeight="1" x14ac:dyDescent="0.2">
      <c r="A34" s="16" t="s">
        <v>6</v>
      </c>
      <c r="B34" s="16" t="s">
        <v>9</v>
      </c>
      <c r="C34" s="10"/>
      <c r="D34" s="16"/>
      <c r="E34" s="16"/>
      <c r="F34" s="16"/>
      <c r="G34" s="16"/>
      <c r="H34" s="16"/>
      <c r="I34" s="16"/>
    </row>
    <row r="35" spans="1:9" ht="18.75" customHeight="1" x14ac:dyDescent="0.2">
      <c r="A35" s="15"/>
      <c r="B35" s="230" t="s">
        <v>177</v>
      </c>
      <c r="C35" s="231"/>
      <c r="D35" s="231"/>
      <c r="E35" s="231"/>
      <c r="F35" s="231"/>
      <c r="G35" s="231"/>
      <c r="H35" s="231"/>
      <c r="I35" s="232"/>
    </row>
    <row r="36" spans="1:9" ht="18.75" customHeight="1" x14ac:dyDescent="0.2">
      <c r="A36" s="15"/>
      <c r="B36" s="233"/>
      <c r="C36" s="234"/>
      <c r="D36" s="234"/>
      <c r="E36" s="234"/>
      <c r="F36" s="234"/>
      <c r="G36" s="234"/>
      <c r="H36" s="234"/>
      <c r="I36" s="235"/>
    </row>
    <row r="37" spans="1:9" ht="18.75" customHeight="1" x14ac:dyDescent="0.2">
      <c r="A37" s="15"/>
      <c r="B37" s="233"/>
      <c r="C37" s="234"/>
      <c r="D37" s="234"/>
      <c r="E37" s="234"/>
      <c r="F37" s="234"/>
      <c r="G37" s="234"/>
      <c r="H37" s="234"/>
      <c r="I37" s="235"/>
    </row>
    <row r="38" spans="1:9" ht="18.75" customHeight="1" x14ac:dyDescent="0.2">
      <c r="A38" s="15"/>
      <c r="B38" s="233"/>
      <c r="C38" s="234"/>
      <c r="D38" s="234"/>
      <c r="E38" s="234"/>
      <c r="F38" s="234"/>
      <c r="G38" s="234"/>
      <c r="H38" s="234"/>
      <c r="I38" s="235"/>
    </row>
    <row r="39" spans="1:9" ht="18.75" customHeight="1" x14ac:dyDescent="0.2">
      <c r="A39" s="15"/>
      <c r="B39" s="233"/>
      <c r="C39" s="234"/>
      <c r="D39" s="234"/>
      <c r="E39" s="234"/>
      <c r="F39" s="234"/>
      <c r="G39" s="234"/>
      <c r="H39" s="234"/>
      <c r="I39" s="235"/>
    </row>
    <row r="40" spans="1:9" ht="18.75" customHeight="1" x14ac:dyDescent="0.2">
      <c r="A40" s="15"/>
      <c r="B40" s="233"/>
      <c r="C40" s="234"/>
      <c r="D40" s="234"/>
      <c r="E40" s="234"/>
      <c r="F40" s="234"/>
      <c r="G40" s="234"/>
      <c r="H40" s="234"/>
      <c r="I40" s="235"/>
    </row>
    <row r="41" spans="1:9" ht="18.75" customHeight="1" x14ac:dyDescent="0.2">
      <c r="A41" s="15"/>
      <c r="B41" s="233"/>
      <c r="C41" s="234"/>
      <c r="D41" s="234"/>
      <c r="E41" s="234"/>
      <c r="F41" s="234"/>
      <c r="G41" s="234"/>
      <c r="H41" s="234"/>
      <c r="I41" s="235"/>
    </row>
    <row r="42" spans="1:9" ht="18.75" customHeight="1" x14ac:dyDescent="0.2">
      <c r="A42" s="15"/>
      <c r="B42" s="233"/>
      <c r="C42" s="234"/>
      <c r="D42" s="234"/>
      <c r="E42" s="234"/>
      <c r="F42" s="234"/>
      <c r="G42" s="234"/>
      <c r="H42" s="234"/>
      <c r="I42" s="235"/>
    </row>
    <row r="43" spans="1:9" ht="18.75" customHeight="1" x14ac:dyDescent="0.2">
      <c r="A43" s="15"/>
      <c r="B43" s="233"/>
      <c r="C43" s="234"/>
      <c r="D43" s="234"/>
      <c r="E43" s="234"/>
      <c r="F43" s="234"/>
      <c r="G43" s="234"/>
      <c r="H43" s="234"/>
      <c r="I43" s="235"/>
    </row>
    <row r="44" spans="1:9" ht="18.75" customHeight="1" x14ac:dyDescent="0.2">
      <c r="A44" s="15"/>
      <c r="B44" s="233"/>
      <c r="C44" s="234"/>
      <c r="D44" s="234"/>
      <c r="E44" s="234"/>
      <c r="F44" s="234"/>
      <c r="G44" s="234"/>
      <c r="H44" s="234"/>
      <c r="I44" s="235"/>
    </row>
    <row r="45" spans="1:9" ht="18.75" customHeight="1" x14ac:dyDescent="0.2">
      <c r="A45" s="15"/>
      <c r="B45" s="233"/>
      <c r="C45" s="234"/>
      <c r="D45" s="234"/>
      <c r="E45" s="234"/>
      <c r="F45" s="234"/>
      <c r="G45" s="234"/>
      <c r="H45" s="234"/>
      <c r="I45" s="235"/>
    </row>
    <row r="46" spans="1:9" ht="18.75" customHeight="1" x14ac:dyDescent="0.2">
      <c r="A46" s="15"/>
      <c r="B46" s="236"/>
      <c r="C46" s="237"/>
      <c r="D46" s="237"/>
      <c r="E46" s="237"/>
      <c r="F46" s="237"/>
      <c r="G46" s="237"/>
      <c r="H46" s="237"/>
      <c r="I46" s="238"/>
    </row>
    <row r="47" spans="1:9" ht="7.5" customHeight="1" x14ac:dyDescent="0.2">
      <c r="A47" s="4"/>
      <c r="B47" s="4"/>
      <c r="C47" s="4"/>
      <c r="D47" s="4"/>
      <c r="E47" s="4"/>
      <c r="F47" s="4"/>
      <c r="G47" s="4"/>
      <c r="H47" s="4"/>
      <c r="I47" s="4"/>
    </row>
    <row r="48" spans="1:9" ht="18.75" customHeight="1" x14ac:dyDescent="0.2">
      <c r="A48" s="1" t="s">
        <v>30</v>
      </c>
      <c r="B48" s="1" t="s">
        <v>122</v>
      </c>
    </row>
    <row r="49" spans="1:15" s="3" customFormat="1" ht="18.75" customHeight="1" x14ac:dyDescent="0.2">
      <c r="B49" s="41" t="s">
        <v>88</v>
      </c>
      <c r="C49" s="219">
        <f>'様式２ 履修者等数の実績'!AQ32</f>
        <v>4.5129870129870131E-2</v>
      </c>
      <c r="D49" s="219"/>
      <c r="E49" s="41" t="s">
        <v>65</v>
      </c>
      <c r="F49" s="219">
        <v>0.2</v>
      </c>
      <c r="G49" s="219"/>
      <c r="H49" s="41" t="s">
        <v>66</v>
      </c>
      <c r="I49" s="80">
        <v>0.5</v>
      </c>
      <c r="J49" s="1"/>
      <c r="M49" s="1"/>
      <c r="N49" s="42"/>
    </row>
    <row r="50" spans="1:15" s="3" customFormat="1" ht="18.75" customHeight="1" x14ac:dyDescent="0.2">
      <c r="B50" s="43" t="s">
        <v>67</v>
      </c>
      <c r="C50" s="220">
        <v>0.7</v>
      </c>
      <c r="D50" s="220"/>
      <c r="E50" s="43" t="s">
        <v>89</v>
      </c>
      <c r="F50" s="220">
        <v>1</v>
      </c>
      <c r="G50" s="220"/>
      <c r="H50" s="43" t="s">
        <v>68</v>
      </c>
      <c r="I50" s="44">
        <f>'様式２ 履修者等数の実績'!E32</f>
        <v>3080</v>
      </c>
      <c r="J50" s="1"/>
      <c r="M50" s="1"/>
      <c r="N50" s="42"/>
    </row>
    <row r="51" spans="1:15" ht="18.75" customHeight="1" x14ac:dyDescent="0.2">
      <c r="A51" s="1"/>
      <c r="B51" s="245" t="s">
        <v>69</v>
      </c>
      <c r="C51" s="246"/>
      <c r="D51" s="246"/>
      <c r="E51" s="246"/>
      <c r="F51" s="246"/>
      <c r="G51" s="246"/>
      <c r="H51" s="246"/>
      <c r="I51" s="247"/>
      <c r="N51" s="42"/>
      <c r="O51" s="3"/>
    </row>
    <row r="52" spans="1:15" ht="18.75" customHeight="1" x14ac:dyDescent="0.2">
      <c r="A52" s="1"/>
      <c r="B52" s="221" t="s">
        <v>178</v>
      </c>
      <c r="C52" s="222"/>
      <c r="D52" s="222"/>
      <c r="E52" s="222"/>
      <c r="F52" s="222"/>
      <c r="G52" s="222"/>
      <c r="H52" s="222"/>
      <c r="I52" s="223"/>
      <c r="N52" s="42"/>
      <c r="O52" s="3"/>
    </row>
    <row r="53" spans="1:15" ht="18.75" customHeight="1" x14ac:dyDescent="0.2">
      <c r="A53" s="1"/>
      <c r="B53" s="224"/>
      <c r="C53" s="225"/>
      <c r="D53" s="225"/>
      <c r="E53" s="225"/>
      <c r="F53" s="225"/>
      <c r="G53" s="225"/>
      <c r="H53" s="225"/>
      <c r="I53" s="226"/>
      <c r="N53" s="42"/>
      <c r="O53" s="3"/>
    </row>
    <row r="54" spans="1:15" ht="18.75" customHeight="1" x14ac:dyDescent="0.2">
      <c r="A54" s="1"/>
      <c r="B54" s="224"/>
      <c r="C54" s="225"/>
      <c r="D54" s="225"/>
      <c r="E54" s="225"/>
      <c r="F54" s="225"/>
      <c r="G54" s="225"/>
      <c r="H54" s="225"/>
      <c r="I54" s="226"/>
    </row>
    <row r="55" spans="1:15" ht="18.75" customHeight="1" x14ac:dyDescent="0.2">
      <c r="A55" s="1"/>
      <c r="B55" s="224"/>
      <c r="C55" s="225"/>
      <c r="D55" s="225"/>
      <c r="E55" s="225"/>
      <c r="F55" s="225"/>
      <c r="G55" s="225"/>
      <c r="H55" s="225"/>
      <c r="I55" s="226"/>
    </row>
    <row r="56" spans="1:15" ht="18.75" customHeight="1" x14ac:dyDescent="0.2">
      <c r="A56" s="1"/>
      <c r="B56" s="224"/>
      <c r="C56" s="225"/>
      <c r="D56" s="225"/>
      <c r="E56" s="225"/>
      <c r="F56" s="225"/>
      <c r="G56" s="225"/>
      <c r="H56" s="225"/>
      <c r="I56" s="226"/>
    </row>
    <row r="57" spans="1:15" ht="18.75" customHeight="1" x14ac:dyDescent="0.2">
      <c r="A57" s="1"/>
      <c r="B57" s="224"/>
      <c r="C57" s="225"/>
      <c r="D57" s="225"/>
      <c r="E57" s="225"/>
      <c r="F57" s="225"/>
      <c r="G57" s="225"/>
      <c r="H57" s="225"/>
      <c r="I57" s="226"/>
    </row>
    <row r="58" spans="1:15" ht="18.75" customHeight="1" x14ac:dyDescent="0.2">
      <c r="A58" s="1"/>
      <c r="B58" s="224"/>
      <c r="C58" s="225"/>
      <c r="D58" s="225"/>
      <c r="E58" s="225"/>
      <c r="F58" s="225"/>
      <c r="G58" s="225"/>
      <c r="H58" s="225"/>
      <c r="I58" s="226"/>
    </row>
    <row r="59" spans="1:15" ht="18.75" customHeight="1" x14ac:dyDescent="0.2">
      <c r="A59" s="1"/>
      <c r="B59" s="224"/>
      <c r="C59" s="225"/>
      <c r="D59" s="225"/>
      <c r="E59" s="225"/>
      <c r="F59" s="225"/>
      <c r="G59" s="225"/>
      <c r="H59" s="225"/>
      <c r="I59" s="226"/>
    </row>
    <row r="60" spans="1:15" ht="18.75" customHeight="1" x14ac:dyDescent="0.2">
      <c r="A60" s="1"/>
      <c r="B60" s="224"/>
      <c r="C60" s="225"/>
      <c r="D60" s="225"/>
      <c r="E60" s="225"/>
      <c r="F60" s="225"/>
      <c r="G60" s="225"/>
      <c r="H60" s="225"/>
      <c r="I60" s="226"/>
    </row>
    <row r="61" spans="1:15" ht="18.75" customHeight="1" x14ac:dyDescent="0.2">
      <c r="A61" s="1"/>
      <c r="B61" s="224"/>
      <c r="C61" s="225"/>
      <c r="D61" s="225"/>
      <c r="E61" s="225"/>
      <c r="F61" s="225"/>
      <c r="G61" s="225"/>
      <c r="H61" s="225"/>
      <c r="I61" s="226"/>
    </row>
    <row r="62" spans="1:15" ht="18.75" customHeight="1" x14ac:dyDescent="0.2">
      <c r="A62" s="1"/>
      <c r="B62" s="224"/>
      <c r="C62" s="225"/>
      <c r="D62" s="225"/>
      <c r="E62" s="225"/>
      <c r="F62" s="225"/>
      <c r="G62" s="225"/>
      <c r="H62" s="225"/>
      <c r="I62" s="226"/>
    </row>
    <row r="63" spans="1:15" ht="18.75" customHeight="1" x14ac:dyDescent="0.2">
      <c r="A63" s="1"/>
      <c r="B63" s="227"/>
      <c r="C63" s="228"/>
      <c r="D63" s="228"/>
      <c r="E63" s="228"/>
      <c r="F63" s="228"/>
      <c r="G63" s="228"/>
      <c r="H63" s="228"/>
      <c r="I63" s="229"/>
    </row>
    <row r="64" spans="1:15" ht="7.5" customHeight="1" x14ac:dyDescent="0.2">
      <c r="A64" s="15"/>
      <c r="B64" s="15"/>
      <c r="C64" s="15"/>
      <c r="D64" s="15"/>
      <c r="E64" s="15"/>
      <c r="F64" s="15"/>
      <c r="G64" s="15"/>
      <c r="H64" s="15"/>
      <c r="I64" s="15"/>
    </row>
    <row r="65" spans="1:9" ht="18.75" customHeight="1" x14ac:dyDescent="0.2">
      <c r="A65" s="16" t="s">
        <v>33</v>
      </c>
      <c r="B65" s="1" t="s">
        <v>36</v>
      </c>
      <c r="I65" s="16"/>
    </row>
    <row r="66" spans="1:9" ht="18.75" customHeight="1" x14ac:dyDescent="0.2">
      <c r="A66" s="4"/>
      <c r="B66" s="203" t="s">
        <v>165</v>
      </c>
      <c r="C66" s="204"/>
      <c r="D66" s="204"/>
      <c r="E66" s="204"/>
      <c r="F66" s="204"/>
      <c r="G66" s="204"/>
      <c r="H66" s="204"/>
      <c r="I66" s="205"/>
    </row>
    <row r="67" spans="1:9" ht="18.75" customHeight="1" x14ac:dyDescent="0.2">
      <c r="A67" s="4"/>
      <c r="B67" s="206"/>
      <c r="C67" s="207"/>
      <c r="D67" s="207"/>
      <c r="E67" s="207"/>
      <c r="F67" s="207"/>
      <c r="G67" s="207"/>
      <c r="H67" s="207"/>
      <c r="I67" s="208"/>
    </row>
    <row r="68" spans="1:9" ht="18.75" customHeight="1" x14ac:dyDescent="0.2">
      <c r="A68" s="4"/>
      <c r="B68" s="206"/>
      <c r="C68" s="207"/>
      <c r="D68" s="207"/>
      <c r="E68" s="207"/>
      <c r="F68" s="207"/>
      <c r="G68" s="207"/>
      <c r="H68" s="207"/>
      <c r="I68" s="208"/>
    </row>
    <row r="69" spans="1:9" ht="18.75" customHeight="1" x14ac:dyDescent="0.2">
      <c r="A69" s="4"/>
      <c r="B69" s="206"/>
      <c r="C69" s="207"/>
      <c r="D69" s="207"/>
      <c r="E69" s="207"/>
      <c r="F69" s="207"/>
      <c r="G69" s="207"/>
      <c r="H69" s="207"/>
      <c r="I69" s="208"/>
    </row>
    <row r="70" spans="1:9" ht="18.75" customHeight="1" x14ac:dyDescent="0.2">
      <c r="A70" s="4"/>
      <c r="B70" s="206"/>
      <c r="C70" s="207"/>
      <c r="D70" s="207"/>
      <c r="E70" s="207"/>
      <c r="F70" s="207"/>
      <c r="G70" s="207"/>
      <c r="H70" s="207"/>
      <c r="I70" s="208"/>
    </row>
    <row r="71" spans="1:9" ht="18.75" customHeight="1" x14ac:dyDescent="0.2">
      <c r="A71" s="4"/>
      <c r="B71" s="206"/>
      <c r="C71" s="207"/>
      <c r="D71" s="207"/>
      <c r="E71" s="207"/>
      <c r="F71" s="207"/>
      <c r="G71" s="207"/>
      <c r="H71" s="207"/>
      <c r="I71" s="208"/>
    </row>
    <row r="72" spans="1:9" ht="18.75" customHeight="1" x14ac:dyDescent="0.2">
      <c r="A72" s="4"/>
      <c r="B72" s="206"/>
      <c r="C72" s="207"/>
      <c r="D72" s="207"/>
      <c r="E72" s="207"/>
      <c r="F72" s="207"/>
      <c r="G72" s="207"/>
      <c r="H72" s="207"/>
      <c r="I72" s="208"/>
    </row>
    <row r="73" spans="1:9" ht="18.75" customHeight="1" x14ac:dyDescent="0.2">
      <c r="A73" s="4"/>
      <c r="B73" s="206"/>
      <c r="C73" s="207"/>
      <c r="D73" s="207"/>
      <c r="E73" s="207"/>
      <c r="F73" s="207"/>
      <c r="G73" s="207"/>
      <c r="H73" s="207"/>
      <c r="I73" s="208"/>
    </row>
    <row r="74" spans="1:9" ht="18.75" customHeight="1" x14ac:dyDescent="0.2">
      <c r="A74" s="4"/>
      <c r="B74" s="206"/>
      <c r="C74" s="207"/>
      <c r="D74" s="207"/>
      <c r="E74" s="207"/>
      <c r="F74" s="207"/>
      <c r="G74" s="207"/>
      <c r="H74" s="207"/>
      <c r="I74" s="208"/>
    </row>
    <row r="75" spans="1:9" ht="18.75" customHeight="1" x14ac:dyDescent="0.2">
      <c r="A75" s="4"/>
      <c r="B75" s="206"/>
      <c r="C75" s="207"/>
      <c r="D75" s="207"/>
      <c r="E75" s="207"/>
      <c r="F75" s="207"/>
      <c r="G75" s="207"/>
      <c r="H75" s="207"/>
      <c r="I75" s="208"/>
    </row>
    <row r="76" spans="1:9" ht="18.75" customHeight="1" x14ac:dyDescent="0.2">
      <c r="A76" s="4"/>
      <c r="B76" s="206"/>
      <c r="C76" s="207"/>
      <c r="D76" s="207"/>
      <c r="E76" s="207"/>
      <c r="F76" s="207"/>
      <c r="G76" s="207"/>
      <c r="H76" s="207"/>
      <c r="I76" s="208"/>
    </row>
    <row r="77" spans="1:9" ht="18.75" customHeight="1" x14ac:dyDescent="0.2">
      <c r="A77" s="4"/>
      <c r="B77" s="209"/>
      <c r="C77" s="210"/>
      <c r="D77" s="210"/>
      <c r="E77" s="210"/>
      <c r="F77" s="210"/>
      <c r="G77" s="210"/>
      <c r="H77" s="210"/>
      <c r="I77" s="211"/>
    </row>
    <row r="78" spans="1:9" ht="7.5" customHeight="1" x14ac:dyDescent="0.2">
      <c r="A78" s="4"/>
      <c r="B78" s="4"/>
      <c r="C78" s="4"/>
      <c r="D78" s="4"/>
      <c r="E78" s="4"/>
      <c r="F78" s="4"/>
      <c r="G78" s="4"/>
      <c r="H78" s="4"/>
      <c r="I78" s="4"/>
    </row>
    <row r="79" spans="1:9" ht="18.75" customHeight="1" x14ac:dyDescent="0.2">
      <c r="A79" s="1" t="s">
        <v>11</v>
      </c>
      <c r="B79" s="1" t="s">
        <v>40</v>
      </c>
    </row>
    <row r="80" spans="1:9" ht="18.75" customHeight="1" x14ac:dyDescent="0.2">
      <c r="A80" s="1"/>
      <c r="B80" s="203" t="s">
        <v>166</v>
      </c>
      <c r="C80" s="204"/>
      <c r="D80" s="204"/>
      <c r="E80" s="204"/>
      <c r="F80" s="204"/>
      <c r="G80" s="204"/>
      <c r="H80" s="204"/>
      <c r="I80" s="212"/>
    </row>
    <row r="81" spans="1:9" ht="18.75" customHeight="1" x14ac:dyDescent="0.2">
      <c r="A81" s="1"/>
      <c r="B81" s="213"/>
      <c r="C81" s="214"/>
      <c r="D81" s="214"/>
      <c r="E81" s="214"/>
      <c r="F81" s="214"/>
      <c r="G81" s="214"/>
      <c r="H81" s="214"/>
      <c r="I81" s="215"/>
    </row>
    <row r="82" spans="1:9" ht="18.75" customHeight="1" x14ac:dyDescent="0.2">
      <c r="A82" s="1"/>
      <c r="B82" s="213"/>
      <c r="C82" s="214"/>
      <c r="D82" s="214"/>
      <c r="E82" s="214"/>
      <c r="F82" s="214"/>
      <c r="G82" s="214"/>
      <c r="H82" s="214"/>
      <c r="I82" s="215"/>
    </row>
    <row r="83" spans="1:9" ht="18.75" customHeight="1" x14ac:dyDescent="0.2">
      <c r="A83" s="1"/>
      <c r="B83" s="213"/>
      <c r="C83" s="214"/>
      <c r="D83" s="214"/>
      <c r="E83" s="214"/>
      <c r="F83" s="214"/>
      <c r="G83" s="214"/>
      <c r="H83" s="214"/>
      <c r="I83" s="215"/>
    </row>
    <row r="84" spans="1:9" ht="18.75" customHeight="1" x14ac:dyDescent="0.2">
      <c r="A84" s="1"/>
      <c r="B84" s="213"/>
      <c r="C84" s="214"/>
      <c r="D84" s="214"/>
      <c r="E84" s="214"/>
      <c r="F84" s="214"/>
      <c r="G84" s="214"/>
      <c r="H84" s="214"/>
      <c r="I84" s="215"/>
    </row>
    <row r="85" spans="1:9" ht="18.75" customHeight="1" x14ac:dyDescent="0.2">
      <c r="A85" s="1"/>
      <c r="B85" s="213"/>
      <c r="C85" s="214"/>
      <c r="D85" s="214"/>
      <c r="E85" s="214"/>
      <c r="F85" s="214"/>
      <c r="G85" s="214"/>
      <c r="H85" s="214"/>
      <c r="I85" s="215"/>
    </row>
    <row r="86" spans="1:9" ht="18.75" customHeight="1" x14ac:dyDescent="0.2">
      <c r="A86" s="1"/>
      <c r="B86" s="213"/>
      <c r="C86" s="214"/>
      <c r="D86" s="214"/>
      <c r="E86" s="214"/>
      <c r="F86" s="214"/>
      <c r="G86" s="214"/>
      <c r="H86" s="214"/>
      <c r="I86" s="215"/>
    </row>
    <row r="87" spans="1:9" ht="18.75" customHeight="1" x14ac:dyDescent="0.2">
      <c r="A87" s="1"/>
      <c r="B87" s="213"/>
      <c r="C87" s="214"/>
      <c r="D87" s="214"/>
      <c r="E87" s="214"/>
      <c r="F87" s="214"/>
      <c r="G87" s="214"/>
      <c r="H87" s="214"/>
      <c r="I87" s="215"/>
    </row>
    <row r="88" spans="1:9" ht="18.75" customHeight="1" x14ac:dyDescent="0.2">
      <c r="A88" s="1"/>
      <c r="B88" s="213"/>
      <c r="C88" s="214"/>
      <c r="D88" s="214"/>
      <c r="E88" s="214"/>
      <c r="F88" s="214"/>
      <c r="G88" s="214"/>
      <c r="H88" s="214"/>
      <c r="I88" s="215"/>
    </row>
    <row r="89" spans="1:9" ht="18.75" customHeight="1" x14ac:dyDescent="0.2">
      <c r="A89" s="1"/>
      <c r="B89" s="213"/>
      <c r="C89" s="214"/>
      <c r="D89" s="214"/>
      <c r="E89" s="214"/>
      <c r="F89" s="214"/>
      <c r="G89" s="214"/>
      <c r="H89" s="214"/>
      <c r="I89" s="215"/>
    </row>
    <row r="90" spans="1:9" ht="18.75" customHeight="1" x14ac:dyDescent="0.2">
      <c r="A90" s="4"/>
      <c r="B90" s="213"/>
      <c r="C90" s="214"/>
      <c r="D90" s="214"/>
      <c r="E90" s="214"/>
      <c r="F90" s="214"/>
      <c r="G90" s="214"/>
      <c r="H90" s="214"/>
      <c r="I90" s="215"/>
    </row>
    <row r="91" spans="1:9" ht="18.75" customHeight="1" x14ac:dyDescent="0.2">
      <c r="A91" s="4"/>
      <c r="B91" s="216"/>
      <c r="C91" s="217"/>
      <c r="D91" s="217"/>
      <c r="E91" s="217"/>
      <c r="F91" s="217"/>
      <c r="G91" s="217"/>
      <c r="H91" s="217"/>
      <c r="I91" s="218"/>
    </row>
    <row r="92" spans="1:9" ht="7.5" customHeight="1" x14ac:dyDescent="0.2">
      <c r="A92" s="4"/>
      <c r="B92" s="4"/>
      <c r="C92" s="4"/>
      <c r="D92" s="4"/>
      <c r="E92" s="4"/>
      <c r="F92" s="4"/>
      <c r="G92" s="4"/>
      <c r="H92" s="4"/>
      <c r="I92" s="4"/>
    </row>
    <row r="93" spans="1:9" ht="18.75" customHeight="1" x14ac:dyDescent="0.2">
      <c r="A93" s="1" t="s">
        <v>43</v>
      </c>
      <c r="B93" s="1" t="s">
        <v>12</v>
      </c>
    </row>
    <row r="94" spans="1:9" ht="18.75" customHeight="1" x14ac:dyDescent="0.2">
      <c r="A94" s="1"/>
      <c r="B94" s="230" t="s">
        <v>167</v>
      </c>
      <c r="C94" s="231"/>
      <c r="D94" s="231"/>
      <c r="E94" s="231"/>
      <c r="F94" s="231"/>
      <c r="G94" s="231"/>
      <c r="H94" s="231"/>
      <c r="I94" s="232"/>
    </row>
    <row r="95" spans="1:9" ht="18.75" customHeight="1" x14ac:dyDescent="0.2">
      <c r="A95" s="1"/>
      <c r="B95" s="233"/>
      <c r="C95" s="234"/>
      <c r="D95" s="234"/>
      <c r="E95" s="234"/>
      <c r="F95" s="234"/>
      <c r="G95" s="234"/>
      <c r="H95" s="234"/>
      <c r="I95" s="235"/>
    </row>
    <row r="96" spans="1:9" ht="18.75" customHeight="1" x14ac:dyDescent="0.2">
      <c r="A96" s="1"/>
      <c r="B96" s="233"/>
      <c r="C96" s="234"/>
      <c r="D96" s="234"/>
      <c r="E96" s="234"/>
      <c r="F96" s="234"/>
      <c r="G96" s="234"/>
      <c r="H96" s="234"/>
      <c r="I96" s="235"/>
    </row>
    <row r="97" spans="1:9" ht="18.75" customHeight="1" x14ac:dyDescent="0.2">
      <c r="A97" s="1"/>
      <c r="B97" s="233"/>
      <c r="C97" s="234"/>
      <c r="D97" s="234"/>
      <c r="E97" s="234"/>
      <c r="F97" s="234"/>
      <c r="G97" s="234"/>
      <c r="H97" s="234"/>
      <c r="I97" s="235"/>
    </row>
    <row r="98" spans="1:9" ht="18.75" customHeight="1" x14ac:dyDescent="0.2">
      <c r="A98" s="1"/>
      <c r="B98" s="233"/>
      <c r="C98" s="234"/>
      <c r="D98" s="234"/>
      <c r="E98" s="234"/>
      <c r="F98" s="234"/>
      <c r="G98" s="234"/>
      <c r="H98" s="234"/>
      <c r="I98" s="235"/>
    </row>
    <row r="99" spans="1:9" ht="18.75" customHeight="1" x14ac:dyDescent="0.2">
      <c r="A99" s="1"/>
      <c r="B99" s="233"/>
      <c r="C99" s="234"/>
      <c r="D99" s="234"/>
      <c r="E99" s="234"/>
      <c r="F99" s="234"/>
      <c r="G99" s="234"/>
      <c r="H99" s="234"/>
      <c r="I99" s="235"/>
    </row>
    <row r="100" spans="1:9" ht="18.75" customHeight="1" x14ac:dyDescent="0.2">
      <c r="A100" s="1"/>
      <c r="B100" s="233"/>
      <c r="C100" s="234"/>
      <c r="D100" s="234"/>
      <c r="E100" s="234"/>
      <c r="F100" s="234"/>
      <c r="G100" s="234"/>
      <c r="H100" s="234"/>
      <c r="I100" s="235"/>
    </row>
    <row r="101" spans="1:9" ht="18.75" customHeight="1" x14ac:dyDescent="0.2">
      <c r="A101" s="1"/>
      <c r="B101" s="233"/>
      <c r="C101" s="234"/>
      <c r="D101" s="234"/>
      <c r="E101" s="234"/>
      <c r="F101" s="234"/>
      <c r="G101" s="234"/>
      <c r="H101" s="234"/>
      <c r="I101" s="235"/>
    </row>
    <row r="102" spans="1:9" ht="18.75" customHeight="1" x14ac:dyDescent="0.2">
      <c r="A102" s="1"/>
      <c r="B102" s="233"/>
      <c r="C102" s="234"/>
      <c r="D102" s="234"/>
      <c r="E102" s="234"/>
      <c r="F102" s="234"/>
      <c r="G102" s="234"/>
      <c r="H102" s="234"/>
      <c r="I102" s="235"/>
    </row>
    <row r="103" spans="1:9" ht="18.75" customHeight="1" x14ac:dyDescent="0.2">
      <c r="A103" s="1"/>
      <c r="B103" s="233"/>
      <c r="C103" s="234"/>
      <c r="D103" s="234"/>
      <c r="E103" s="234"/>
      <c r="F103" s="234"/>
      <c r="G103" s="234"/>
      <c r="H103" s="234"/>
      <c r="I103" s="235"/>
    </row>
    <row r="104" spans="1:9" ht="18.75" customHeight="1" x14ac:dyDescent="0.2">
      <c r="A104" s="1"/>
      <c r="B104" s="233"/>
      <c r="C104" s="234"/>
      <c r="D104" s="234"/>
      <c r="E104" s="234"/>
      <c r="F104" s="234"/>
      <c r="G104" s="234"/>
      <c r="H104" s="234"/>
      <c r="I104" s="235"/>
    </row>
    <row r="105" spans="1:9" ht="18.75" customHeight="1" x14ac:dyDescent="0.2">
      <c r="A105" s="4"/>
      <c r="B105" s="236"/>
      <c r="C105" s="237"/>
      <c r="D105" s="237"/>
      <c r="E105" s="237"/>
      <c r="F105" s="237"/>
      <c r="G105" s="237"/>
      <c r="H105" s="237"/>
      <c r="I105" s="238"/>
    </row>
    <row r="106" spans="1:9" ht="7.5" customHeight="1" x14ac:dyDescent="0.2">
      <c r="A106" s="4"/>
      <c r="B106" s="4"/>
      <c r="C106" s="4"/>
      <c r="D106" s="4"/>
      <c r="E106" s="4"/>
      <c r="F106" s="4"/>
      <c r="G106" s="4"/>
      <c r="H106" s="4"/>
      <c r="I106" s="4"/>
    </row>
    <row r="107" spans="1:9" ht="18.75" customHeight="1" x14ac:dyDescent="0.2">
      <c r="A107" s="1" t="s">
        <v>29</v>
      </c>
      <c r="B107" s="239" t="s">
        <v>45</v>
      </c>
      <c r="C107" s="239"/>
      <c r="D107" s="239"/>
      <c r="E107" s="239"/>
      <c r="F107" s="239"/>
      <c r="G107" s="239"/>
      <c r="H107" s="239"/>
      <c r="I107" s="239"/>
    </row>
    <row r="108" spans="1:9" ht="18.75" customHeight="1" x14ac:dyDescent="0.2">
      <c r="A108" s="4"/>
      <c r="B108" s="230" t="s">
        <v>168</v>
      </c>
      <c r="C108" s="231"/>
      <c r="D108" s="231"/>
      <c r="E108" s="231"/>
      <c r="F108" s="231"/>
      <c r="G108" s="231"/>
      <c r="H108" s="231"/>
      <c r="I108" s="232"/>
    </row>
    <row r="109" spans="1:9" ht="18.75" customHeight="1" x14ac:dyDescent="0.2">
      <c r="A109" s="4"/>
      <c r="B109" s="233"/>
      <c r="C109" s="234"/>
      <c r="D109" s="234"/>
      <c r="E109" s="234"/>
      <c r="F109" s="234"/>
      <c r="G109" s="234"/>
      <c r="H109" s="234"/>
      <c r="I109" s="235"/>
    </row>
    <row r="110" spans="1:9" ht="18.75" customHeight="1" x14ac:dyDescent="0.2">
      <c r="A110" s="4"/>
      <c r="B110" s="233"/>
      <c r="C110" s="234"/>
      <c r="D110" s="234"/>
      <c r="E110" s="234"/>
      <c r="F110" s="234"/>
      <c r="G110" s="234"/>
      <c r="H110" s="234"/>
      <c r="I110" s="235"/>
    </row>
    <row r="111" spans="1:9" ht="18.75" customHeight="1" x14ac:dyDescent="0.2">
      <c r="A111" s="4"/>
      <c r="B111" s="233"/>
      <c r="C111" s="234"/>
      <c r="D111" s="234"/>
      <c r="E111" s="234"/>
      <c r="F111" s="234"/>
      <c r="G111" s="234"/>
      <c r="H111" s="234"/>
      <c r="I111" s="235"/>
    </row>
    <row r="112" spans="1:9" ht="18.75" customHeight="1" x14ac:dyDescent="0.2">
      <c r="A112" s="4"/>
      <c r="B112" s="233"/>
      <c r="C112" s="234"/>
      <c r="D112" s="234"/>
      <c r="E112" s="234"/>
      <c r="F112" s="234"/>
      <c r="G112" s="234"/>
      <c r="H112" s="234"/>
      <c r="I112" s="235"/>
    </row>
    <row r="113" spans="1:9" ht="18.75" customHeight="1" x14ac:dyDescent="0.2">
      <c r="A113" s="4"/>
      <c r="B113" s="233"/>
      <c r="C113" s="234"/>
      <c r="D113" s="234"/>
      <c r="E113" s="234"/>
      <c r="F113" s="234"/>
      <c r="G113" s="234"/>
      <c r="H113" s="234"/>
      <c r="I113" s="235"/>
    </row>
    <row r="114" spans="1:9" ht="18.75" customHeight="1" x14ac:dyDescent="0.2">
      <c r="A114" s="4"/>
      <c r="B114" s="233"/>
      <c r="C114" s="234"/>
      <c r="D114" s="234"/>
      <c r="E114" s="234"/>
      <c r="F114" s="234"/>
      <c r="G114" s="234"/>
      <c r="H114" s="234"/>
      <c r="I114" s="235"/>
    </row>
    <row r="115" spans="1:9" ht="18.75" customHeight="1" x14ac:dyDescent="0.2">
      <c r="A115" s="4"/>
      <c r="B115" s="233"/>
      <c r="C115" s="234"/>
      <c r="D115" s="234"/>
      <c r="E115" s="234"/>
      <c r="F115" s="234"/>
      <c r="G115" s="234"/>
      <c r="H115" s="234"/>
      <c r="I115" s="235"/>
    </row>
    <row r="116" spans="1:9" ht="18.75" customHeight="1" x14ac:dyDescent="0.2">
      <c r="A116" s="4"/>
      <c r="B116" s="233"/>
      <c r="C116" s="234"/>
      <c r="D116" s="234"/>
      <c r="E116" s="234"/>
      <c r="F116" s="234"/>
      <c r="G116" s="234"/>
      <c r="H116" s="234"/>
      <c r="I116" s="235"/>
    </row>
    <row r="117" spans="1:9" ht="18.75" customHeight="1" x14ac:dyDescent="0.2">
      <c r="A117" s="4"/>
      <c r="B117" s="233"/>
      <c r="C117" s="234"/>
      <c r="D117" s="234"/>
      <c r="E117" s="234"/>
      <c r="F117" s="234"/>
      <c r="G117" s="234"/>
      <c r="H117" s="234"/>
      <c r="I117" s="235"/>
    </row>
    <row r="118" spans="1:9" ht="18.75" customHeight="1" x14ac:dyDescent="0.2">
      <c r="A118" s="4"/>
      <c r="B118" s="233"/>
      <c r="C118" s="234"/>
      <c r="D118" s="234"/>
      <c r="E118" s="234"/>
      <c r="F118" s="234"/>
      <c r="G118" s="234"/>
      <c r="H118" s="234"/>
      <c r="I118" s="235"/>
    </row>
    <row r="119" spans="1:9" ht="18.75" customHeight="1" x14ac:dyDescent="0.2">
      <c r="A119" s="4"/>
      <c r="B119" s="236"/>
      <c r="C119" s="237"/>
      <c r="D119" s="237"/>
      <c r="E119" s="237"/>
      <c r="F119" s="237"/>
      <c r="G119" s="237"/>
      <c r="H119" s="237"/>
      <c r="I119" s="238"/>
    </row>
    <row r="120" spans="1:9" ht="7.5" customHeight="1" x14ac:dyDescent="0.2">
      <c r="A120" s="4"/>
      <c r="B120" s="45"/>
      <c r="C120" s="45"/>
      <c r="D120" s="45"/>
      <c r="E120" s="45"/>
      <c r="F120" s="45"/>
      <c r="G120" s="45"/>
      <c r="H120" s="45"/>
      <c r="I120" s="45"/>
    </row>
    <row r="121" spans="1:9" ht="18.75" customHeight="1" x14ac:dyDescent="0.2">
      <c r="A121" s="4"/>
      <c r="B121" s="4"/>
      <c r="C121" s="4"/>
      <c r="D121" s="4"/>
      <c r="E121" s="4"/>
      <c r="F121" s="4"/>
      <c r="G121" s="4"/>
      <c r="H121" s="4"/>
      <c r="I121" s="4"/>
    </row>
    <row r="122" spans="1:9" ht="18.75" customHeight="1" x14ac:dyDescent="0.2">
      <c r="A122" s="4"/>
      <c r="B122" s="4"/>
      <c r="C122" s="4"/>
      <c r="D122" s="4"/>
      <c r="E122" s="4"/>
      <c r="F122" s="4"/>
      <c r="G122" s="4"/>
      <c r="H122" s="4"/>
      <c r="I122" s="4"/>
    </row>
    <row r="123" spans="1:9" ht="18.75" customHeight="1" x14ac:dyDescent="0.2">
      <c r="A123" s="4"/>
      <c r="B123" s="4"/>
      <c r="C123" s="4"/>
      <c r="D123" s="4"/>
      <c r="E123" s="4"/>
      <c r="F123" s="4"/>
      <c r="G123" s="4"/>
      <c r="H123" s="4"/>
      <c r="I123" s="4"/>
    </row>
    <row r="124" spans="1:9" ht="18.75" customHeight="1" x14ac:dyDescent="0.2">
      <c r="A124" s="4"/>
      <c r="B124" s="4"/>
      <c r="C124" s="4"/>
      <c r="D124" s="4"/>
      <c r="E124" s="4"/>
      <c r="F124" s="4"/>
      <c r="G124" s="4"/>
      <c r="H124" s="4"/>
      <c r="I124" s="4"/>
    </row>
    <row r="125" spans="1:9" ht="18.75" customHeight="1" x14ac:dyDescent="0.2">
      <c r="A125" s="4"/>
      <c r="B125" s="4"/>
      <c r="C125" s="4"/>
      <c r="D125" s="4"/>
      <c r="E125" s="4"/>
      <c r="F125" s="4"/>
      <c r="G125" s="4"/>
      <c r="H125" s="4"/>
      <c r="I125" s="4"/>
    </row>
    <row r="126" spans="1:9" ht="18.75" customHeight="1" x14ac:dyDescent="0.2">
      <c r="A126" s="4"/>
      <c r="B126" s="4"/>
      <c r="C126" s="4"/>
      <c r="D126" s="4"/>
      <c r="E126" s="4"/>
      <c r="F126" s="4"/>
      <c r="G126" s="4"/>
      <c r="H126" s="4"/>
      <c r="I126" s="4"/>
    </row>
    <row r="127" spans="1:9" ht="18.75" customHeight="1" x14ac:dyDescent="0.2">
      <c r="A127" s="4"/>
      <c r="B127" s="4"/>
      <c r="C127" s="4"/>
      <c r="D127" s="4"/>
      <c r="E127" s="4"/>
      <c r="F127" s="4"/>
      <c r="G127" s="4"/>
      <c r="H127" s="4"/>
      <c r="I127" s="4"/>
    </row>
    <row r="128" spans="1:9" ht="18.75" customHeight="1" x14ac:dyDescent="0.2">
      <c r="A128" s="4"/>
      <c r="B128" s="4"/>
      <c r="C128" s="4"/>
      <c r="D128" s="4"/>
      <c r="E128" s="4"/>
      <c r="F128" s="4"/>
      <c r="G128" s="4"/>
      <c r="H128" s="4"/>
      <c r="I128" s="4"/>
    </row>
    <row r="129" spans="1:9" ht="18.75" customHeight="1" x14ac:dyDescent="0.2">
      <c r="A129" s="4"/>
      <c r="B129" s="4"/>
      <c r="C129" s="4"/>
      <c r="D129" s="4"/>
      <c r="E129" s="4"/>
      <c r="F129" s="4"/>
      <c r="G129" s="4"/>
      <c r="H129" s="4"/>
      <c r="I129" s="4"/>
    </row>
    <row r="130" spans="1:9" ht="18.75" customHeight="1" x14ac:dyDescent="0.2">
      <c r="A130" s="4"/>
      <c r="B130" s="4"/>
      <c r="C130" s="4"/>
      <c r="D130" s="4"/>
      <c r="E130" s="4"/>
      <c r="F130" s="4"/>
      <c r="G130" s="4"/>
      <c r="H130" s="4"/>
      <c r="I130" s="4"/>
    </row>
    <row r="131" spans="1:9" ht="18.75" customHeight="1" x14ac:dyDescent="0.2">
      <c r="A131" s="4"/>
      <c r="B131" s="4"/>
      <c r="C131" s="4"/>
      <c r="D131" s="4"/>
      <c r="E131" s="4"/>
      <c r="F131" s="4"/>
      <c r="G131" s="4"/>
      <c r="H131" s="4"/>
      <c r="I131" s="4"/>
    </row>
    <row r="132" spans="1:9" ht="18.75" customHeight="1" x14ac:dyDescent="0.2">
      <c r="A132" s="4"/>
      <c r="B132" s="4"/>
      <c r="C132" s="4"/>
      <c r="D132" s="4"/>
      <c r="E132" s="4"/>
      <c r="F132" s="4"/>
      <c r="G132" s="4"/>
      <c r="H132" s="4"/>
      <c r="I132" s="4"/>
    </row>
    <row r="133" spans="1:9" ht="14.4" x14ac:dyDescent="0.2">
      <c r="A133" s="4"/>
      <c r="B133" s="4"/>
      <c r="C133" s="4"/>
      <c r="D133" s="4"/>
      <c r="E133" s="4"/>
      <c r="F133" s="4"/>
      <c r="G133" s="4"/>
      <c r="H133" s="4"/>
      <c r="I133" s="4"/>
    </row>
    <row r="134" spans="1:9" ht="7.5" customHeight="1" x14ac:dyDescent="0.2">
      <c r="A134" s="46"/>
      <c r="B134" s="46"/>
      <c r="C134" s="46"/>
      <c r="D134" s="46"/>
      <c r="E134" s="46"/>
      <c r="F134" s="46"/>
      <c r="G134" s="46"/>
      <c r="H134" s="46"/>
      <c r="I134" s="46"/>
    </row>
  </sheetData>
  <customSheetViews>
    <customSheetView guid="{1F7DD307-FDAD-4F12-A71C-909420D0BA34}" showPageBreaks="1" zeroValues="0" fitToPage="1" printArea="1" view="pageBreakPreview">
      <rowBreaks count="2" manualBreakCount="2">
        <brk id="47" max="9" man="1"/>
        <brk id="92" max="9" man="1"/>
      </rowBreaks>
      <pageMargins left="0.59055118110236227" right="0.59055118110236227" top="0.78740157480314965" bottom="0.39370078740157483" header="0.31496062992125984" footer="0.19685039370078741"/>
      <printOptions horizontalCentered="1"/>
      <pageSetup paperSize="9" fitToHeight="0" orientation="portrait" r:id="rId1"/>
      <headerFooter>
        <oddHeader>&amp;C数理・データサイエンス・AI教育プログラム認定制度【リテラシーレベル】</oddHeader>
      </headerFooter>
    </customSheetView>
    <customSheetView guid="{8C9D52A6-6DCF-4B21-8AFD-E83D9E686319}" showPageBreaks="1" zeroValues="0" fitToPage="1" printArea="1" view="pageBreakPreview">
      <rowBreaks count="2" manualBreakCount="2">
        <brk id="47" max="9" man="1"/>
        <brk id="92" max="9" man="1"/>
      </rowBreaks>
      <pageMargins left="0.59055118110236227" right="0.59055118110236227" top="0.78740157480314965" bottom="0.39370078740157483" header="0.31496062992125984" footer="0.19685039370078741"/>
      <printOptions horizontalCentered="1"/>
      <pageSetup paperSize="9" fitToHeight="0" orientation="portrait" r:id="rId2"/>
      <headerFooter>
        <oddHeader>&amp;C数理・データサイエンス・AI教育プログラム認定制度【リテラシーレベル】</oddHeader>
      </headerFooter>
    </customSheetView>
  </customSheetViews>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3"/>
  <headerFooter>
    <oddHeader>&amp;C数理・データサイエンス・AI教育プログラム認定制度【リテラシーレベル】</oddHeader>
  </headerFooter>
  <rowBreaks count="2" manualBreakCount="2">
    <brk id="47" max="9" man="1"/>
    <brk id="92"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Normal="100" zoomScaleSheetLayoutView="100" workbookViewId="0"/>
  </sheetViews>
  <sheetFormatPr defaultColWidth="11.33203125" defaultRowHeight="22.5" customHeight="1" x14ac:dyDescent="0.2"/>
  <cols>
    <col min="1" max="3" width="2.77734375" style="1" customWidth="1"/>
    <col min="4" max="4" width="22.21875" style="1" customWidth="1"/>
    <col min="5" max="5" width="30.77734375" style="1" customWidth="1"/>
    <col min="6" max="7" width="7.77734375" style="1" customWidth="1"/>
    <col min="8" max="9" width="30.77734375" style="1" customWidth="1"/>
    <col min="10" max="10" width="4.109375" style="1" customWidth="1"/>
    <col min="11" max="16384" width="11.33203125" style="1"/>
  </cols>
  <sheetData>
    <row r="1" spans="1:9" ht="18.75" customHeight="1" x14ac:dyDescent="0.2">
      <c r="A1" s="1" t="s">
        <v>70</v>
      </c>
      <c r="I1" s="33" t="s">
        <v>104</v>
      </c>
    </row>
    <row r="2" spans="1:9" ht="18.75" customHeight="1" x14ac:dyDescent="0.2">
      <c r="H2" s="33" t="s">
        <v>108</v>
      </c>
      <c r="I2" s="32" t="s">
        <v>126</v>
      </c>
    </row>
    <row r="3" spans="1:9" ht="18.75" customHeight="1" x14ac:dyDescent="0.2">
      <c r="A3" s="107" t="s">
        <v>27</v>
      </c>
      <c r="B3" s="107"/>
      <c r="C3" s="107"/>
      <c r="D3" s="107"/>
      <c r="E3" s="107"/>
      <c r="F3" s="107"/>
      <c r="G3" s="107"/>
      <c r="H3" s="107"/>
      <c r="I3" s="107"/>
    </row>
    <row r="4" spans="1:9" ht="18.75" customHeight="1" x14ac:dyDescent="0.2">
      <c r="A4" s="5"/>
      <c r="B4" s="5"/>
      <c r="C4" s="5"/>
      <c r="D4" s="5"/>
      <c r="E4" s="5"/>
      <c r="F4" s="5"/>
      <c r="G4" s="5"/>
      <c r="H4" s="5"/>
      <c r="I4" s="5"/>
    </row>
    <row r="5" spans="1:9" ht="18.75" customHeight="1" x14ac:dyDescent="0.2">
      <c r="A5" s="1" t="s">
        <v>0</v>
      </c>
      <c r="B5" s="10" t="s">
        <v>94</v>
      </c>
      <c r="C5" s="5"/>
      <c r="D5" s="5"/>
      <c r="E5" s="5"/>
      <c r="F5" s="5"/>
      <c r="G5" s="5"/>
      <c r="H5" s="5"/>
      <c r="I5" s="5"/>
    </row>
    <row r="6" spans="1:9" ht="26.25" customHeight="1" x14ac:dyDescent="0.2">
      <c r="A6" s="5"/>
      <c r="B6" s="248" t="s">
        <v>138</v>
      </c>
      <c r="C6" s="276"/>
      <c r="D6" s="276"/>
      <c r="E6" s="276"/>
      <c r="F6" s="276"/>
      <c r="G6" s="276"/>
      <c r="H6" s="277"/>
      <c r="I6" s="3"/>
    </row>
    <row r="7" spans="1:9" ht="9" customHeight="1" x14ac:dyDescent="0.2">
      <c r="A7" s="5"/>
      <c r="B7" s="10"/>
      <c r="C7" s="10"/>
      <c r="D7" s="10"/>
      <c r="E7" s="10"/>
      <c r="F7" s="10"/>
      <c r="G7" s="10"/>
      <c r="H7" s="10"/>
      <c r="I7" s="3"/>
    </row>
    <row r="8" spans="1:9" ht="18.75" customHeight="1" x14ac:dyDescent="0.2">
      <c r="A8" s="5"/>
      <c r="B8" s="3"/>
      <c r="C8" s="3"/>
      <c r="D8" s="33" t="s">
        <v>42</v>
      </c>
      <c r="E8" s="34" t="s">
        <v>139</v>
      </c>
      <c r="F8" s="3"/>
      <c r="G8" s="33" t="s">
        <v>10</v>
      </c>
      <c r="H8" s="34" t="s">
        <v>140</v>
      </c>
      <c r="I8" s="3"/>
    </row>
    <row r="9" spans="1:9" ht="7.5" customHeight="1" x14ac:dyDescent="0.2">
      <c r="A9" s="5"/>
      <c r="B9" s="5"/>
      <c r="C9" s="5"/>
      <c r="D9" s="5"/>
      <c r="E9" s="5"/>
      <c r="F9" s="5"/>
      <c r="G9" s="5"/>
      <c r="H9" s="5"/>
      <c r="I9" s="5"/>
    </row>
    <row r="10" spans="1:9" ht="18.75" customHeight="1" x14ac:dyDescent="0.2">
      <c r="A10" s="1" t="s">
        <v>3</v>
      </c>
      <c r="B10" s="1" t="s">
        <v>26</v>
      </c>
      <c r="C10" s="4"/>
      <c r="D10" s="4"/>
      <c r="E10" s="4"/>
      <c r="F10" s="4"/>
      <c r="G10" s="4"/>
      <c r="H10" s="4"/>
      <c r="I10" s="4"/>
    </row>
    <row r="11" spans="1:9" ht="18.75" customHeight="1" x14ac:dyDescent="0.2">
      <c r="B11" s="96" t="s">
        <v>23</v>
      </c>
      <c r="C11" s="97"/>
      <c r="D11" s="98"/>
      <c r="E11" s="97" t="s">
        <v>25</v>
      </c>
      <c r="F11" s="97"/>
      <c r="G11" s="97"/>
      <c r="H11" s="97"/>
      <c r="I11" s="98"/>
    </row>
    <row r="12" spans="1:9" ht="26.25" customHeight="1" x14ac:dyDescent="0.2">
      <c r="B12" s="47" t="s">
        <v>13</v>
      </c>
      <c r="C12" s="54"/>
      <c r="D12" s="48"/>
      <c r="E12" s="55"/>
      <c r="F12" s="55"/>
      <c r="G12" s="55"/>
      <c r="H12" s="55"/>
      <c r="I12" s="48"/>
    </row>
    <row r="13" spans="1:9" ht="210.75" customHeight="1" x14ac:dyDescent="0.2">
      <c r="B13" s="49"/>
      <c r="C13" s="259" t="s">
        <v>14</v>
      </c>
      <c r="D13" s="260"/>
      <c r="E13" s="272" t="s">
        <v>169</v>
      </c>
      <c r="F13" s="261"/>
      <c r="G13" s="261"/>
      <c r="H13" s="261"/>
      <c r="I13" s="262"/>
    </row>
    <row r="14" spans="1:9" ht="210.75" customHeight="1" x14ac:dyDescent="0.2">
      <c r="B14" s="49"/>
      <c r="C14" s="274" t="s">
        <v>15</v>
      </c>
      <c r="D14" s="275"/>
      <c r="E14" s="272" t="s">
        <v>142</v>
      </c>
      <c r="F14" s="261"/>
      <c r="G14" s="261"/>
      <c r="H14" s="261"/>
      <c r="I14" s="262"/>
    </row>
    <row r="15" spans="1:9" ht="210.75" customHeight="1" x14ac:dyDescent="0.2">
      <c r="B15" s="49"/>
      <c r="C15" s="259" t="s">
        <v>16</v>
      </c>
      <c r="D15" s="260"/>
      <c r="E15" s="272" t="s">
        <v>170</v>
      </c>
      <c r="F15" s="261"/>
      <c r="G15" s="261"/>
      <c r="H15" s="261"/>
      <c r="I15" s="262"/>
    </row>
    <row r="16" spans="1:9" ht="210.75" customHeight="1" x14ac:dyDescent="0.2">
      <c r="B16" s="49"/>
      <c r="C16" s="259" t="s">
        <v>17</v>
      </c>
      <c r="D16" s="260"/>
      <c r="E16" s="272" t="s">
        <v>171</v>
      </c>
      <c r="F16" s="261"/>
      <c r="G16" s="261"/>
      <c r="H16" s="261"/>
      <c r="I16" s="262"/>
    </row>
    <row r="17" spans="2:9" ht="210.75" customHeight="1" x14ac:dyDescent="0.2">
      <c r="B17" s="50"/>
      <c r="C17" s="263" t="s">
        <v>18</v>
      </c>
      <c r="D17" s="264"/>
      <c r="E17" s="273" t="s">
        <v>172</v>
      </c>
      <c r="F17" s="265"/>
      <c r="G17" s="265"/>
      <c r="H17" s="265"/>
      <c r="I17" s="266"/>
    </row>
    <row r="18" spans="2:9" ht="24" customHeight="1" x14ac:dyDescent="0.2">
      <c r="B18" s="47" t="s">
        <v>19</v>
      </c>
      <c r="C18" s="51"/>
      <c r="D18" s="52"/>
      <c r="E18" s="53"/>
      <c r="F18" s="53"/>
      <c r="G18" s="53"/>
      <c r="H18" s="53"/>
      <c r="I18" s="56"/>
    </row>
    <row r="19" spans="2:9" ht="218.25" customHeight="1" x14ac:dyDescent="0.2">
      <c r="B19" s="49"/>
      <c r="C19" s="259" t="s">
        <v>20</v>
      </c>
      <c r="D19" s="260"/>
      <c r="E19" s="261" t="s">
        <v>173</v>
      </c>
      <c r="F19" s="261"/>
      <c r="G19" s="261"/>
      <c r="H19" s="261"/>
      <c r="I19" s="262"/>
    </row>
    <row r="20" spans="2:9" ht="218.25" customHeight="1" x14ac:dyDescent="0.2">
      <c r="B20" s="50"/>
      <c r="C20" s="263" t="s">
        <v>21</v>
      </c>
      <c r="D20" s="264"/>
      <c r="E20" s="265" t="s">
        <v>174</v>
      </c>
      <c r="F20" s="265"/>
      <c r="G20" s="265"/>
      <c r="H20" s="265"/>
      <c r="I20" s="266"/>
    </row>
    <row r="21" spans="2:9" ht="218.25" customHeight="1" x14ac:dyDescent="0.2">
      <c r="B21" s="267" t="s">
        <v>22</v>
      </c>
      <c r="C21" s="268"/>
      <c r="D21" s="269"/>
      <c r="E21" s="270" t="s">
        <v>175</v>
      </c>
      <c r="F21" s="270"/>
      <c r="G21" s="270"/>
      <c r="H21" s="270"/>
      <c r="I21" s="271"/>
    </row>
    <row r="22" spans="2:9" ht="218.25" customHeight="1" x14ac:dyDescent="0.2">
      <c r="B22" s="254" t="s">
        <v>37</v>
      </c>
      <c r="C22" s="255"/>
      <c r="D22" s="256"/>
      <c r="E22" s="257" t="s">
        <v>176</v>
      </c>
      <c r="F22" s="257"/>
      <c r="G22" s="257"/>
      <c r="H22" s="257"/>
      <c r="I22" s="258"/>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5"/>
      <c r="C28" s="15"/>
      <c r="D28" s="15"/>
      <c r="E28" s="15"/>
      <c r="F28" s="15"/>
      <c r="G28" s="15"/>
      <c r="H28" s="15"/>
      <c r="I28" s="15"/>
    </row>
    <row r="29" spans="2:9" ht="22.5" customHeight="1" x14ac:dyDescent="0.2">
      <c r="B29" s="15"/>
      <c r="C29" s="15"/>
      <c r="D29" s="15"/>
      <c r="E29" s="15"/>
      <c r="F29" s="15"/>
      <c r="G29" s="15"/>
      <c r="H29" s="15"/>
      <c r="I29" s="15"/>
    </row>
    <row r="30" spans="2:9" ht="22.5" customHeight="1" x14ac:dyDescent="0.2">
      <c r="B30" s="15"/>
      <c r="C30" s="15"/>
      <c r="D30" s="15"/>
      <c r="E30" s="15"/>
      <c r="F30" s="15"/>
      <c r="G30" s="15"/>
      <c r="H30" s="15"/>
      <c r="I30" s="15"/>
    </row>
  </sheetData>
  <customSheetViews>
    <customSheetView guid="{1F7DD307-FDAD-4F12-A71C-909420D0BA34}" showPageBreaks="1" zeroValues="0" fitToPage="1" printArea="1" view="pageBreakPreview">
      <rowBreaks count="1" manualBreakCount="1">
        <brk id="17" max="9" man="1"/>
      </rowBreaks>
      <pageMargins left="0.78740157480314965" right="0.78740157480314965" top="0.78740157480314965" bottom="0.59055118110236227" header="0.31496062992125984" footer="0.31496062992125984"/>
      <printOptions horizontalCentered="1"/>
      <pageSetup paperSize="9" scale="62" fitToHeight="0" orientation="portrait" r:id="rId1"/>
      <headerFooter>
        <oddHeader>&amp;C数理・データサイエンス・AI教育プログラム認定制度【リテラシーレベル】</oddHeader>
      </headerFooter>
    </customSheetView>
    <customSheetView guid="{8C9D52A6-6DCF-4B21-8AFD-E83D9E686319}" showPageBreaks="1" zeroValues="0" fitToPage="1" printArea="1" view="pageBreakPreview">
      <rowBreaks count="1" manualBreakCount="1">
        <brk id="17" max="9" man="1"/>
      </rowBreaks>
      <pageMargins left="0.78740157480314965" right="0.78740157480314965" top="0.78740157480314965" bottom="0.59055118110236227" header="0.31496062992125984" footer="0.31496062992125984"/>
      <printOptions horizontalCentered="1"/>
      <pageSetup paperSize="9" scale="62" fitToHeight="0" orientation="portrait" r:id="rId2"/>
      <headerFooter>
        <oddHeader>&amp;C数理・データサイエンス・AI教育プログラム認定制度【リテラシーレベル】</oddHeader>
      </headerFooter>
    </customSheetView>
  </customSheetViews>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3"/>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様式１-１　プログラムを構成する授業科目</vt:lpstr>
      <vt:lpstr>様式１-２　プログラムを構成する授業科目 (国際看護学部)</vt:lpstr>
      <vt:lpstr>様式２ 履修者等数の実績</vt:lpstr>
      <vt:lpstr>様式３ 教育の質・履修者数を向上させるための体制・計画</vt:lpstr>
      <vt:lpstr>様式４　自己点検・評価</vt:lpstr>
      <vt:lpstr>'様式１-１　プログラムを構成する授業科目'!Print_Area</vt:lpstr>
      <vt:lpstr>'様式１-２　プログラムを構成する授業科目 (国際看護学部)'!Print_Area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総合企画室</cp:lastModifiedBy>
  <cp:lastPrinted>2023-07-11T08:41:39Z</cp:lastPrinted>
  <dcterms:created xsi:type="dcterms:W3CDTF">2011-06-14T05:32:50Z</dcterms:created>
  <dcterms:modified xsi:type="dcterms:W3CDTF">2023-07-11T08:41:46Z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