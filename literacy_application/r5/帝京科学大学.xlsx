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9"/>
  <workbookPr defaultThemeVersion="124226"/>
  <mc:AlternateContent xmlns:mc="http://schemas.openxmlformats.org/markup-compatibility/2006">
    <mc:Choice Requires="x15">
      <x15ac:absPath xmlns:x15ac="http://schemas.microsoft.com/office/spreadsheetml/2010/11/ac" url="\\sc-tusjim\redirect\fujisaku\Desktop\"/>
    </mc:Choice>
  </mc:AlternateContent>
  <xr:revisionPtr revIDLastSave="0" documentId="13_ncr:1_{4513A6C6-BDC0-4705-92BA-4F2C71D3D87C}" xr6:coauthVersionLast="36" xr6:coauthVersionMax="47" xr10:uidLastSave="{00000000-0000-0000-0000-000000000000}"/>
  <bookViews>
    <workbookView xWindow="-105" yWindow="-105" windowWidth="23250" windowHeight="1257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I27" i="40" l="1"/>
  <c r="F27" i="40"/>
  <c r="I26" i="40"/>
  <c r="F26" i="40"/>
  <c r="I25" i="40"/>
  <c r="F25" i="40"/>
  <c r="I24" i="40"/>
  <c r="F24" i="40"/>
  <c r="I23" i="40"/>
  <c r="F23" i="40"/>
  <c r="I22" i="40"/>
  <c r="F22" i="40"/>
  <c r="I21" i="40"/>
  <c r="F21" i="40"/>
  <c r="I20" i="40"/>
  <c r="F20" i="40"/>
  <c r="I19" i="40"/>
  <c r="F19" i="40"/>
  <c r="I18" i="40"/>
  <c r="F18" i="40"/>
  <c r="I17" i="40"/>
  <c r="F17" i="40"/>
  <c r="I16" i="40"/>
  <c r="F16" i="40"/>
  <c r="I15" i="40"/>
  <c r="F15" i="40"/>
  <c r="I14" i="40"/>
  <c r="F14" i="40"/>
  <c r="I13" i="40"/>
  <c r="F13" i="40"/>
  <c r="I12" i="40"/>
  <c r="F12"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G32" i="40"/>
  <c r="H32" i="40"/>
  <c r="AP13" i="40"/>
  <c r="AP14" i="40"/>
  <c r="AP15" i="40"/>
  <c r="AP16" i="40"/>
  <c r="AP17" i="40"/>
  <c r="AP18" i="40"/>
  <c r="AP19" i="40"/>
  <c r="AP20" i="40"/>
  <c r="AP21" i="40"/>
  <c r="AP22" i="40"/>
  <c r="AP23" i="40"/>
  <c r="AP24" i="40"/>
  <c r="AP25" i="40"/>
  <c r="AP26" i="40"/>
  <c r="AP27" i="40"/>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<sst xmlns="http://schemas.openxmlformats.org/spreadsheetml/2006/main" count="327" uniqueCount="186">
  <si>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</si>
  <si>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</si>
  <si>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</si>
  <si>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</si>
  <si>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</si>
  <si>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</si>
  <si>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</si>
  <si>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</si>
  <si>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</si>
  <si>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</si>
  <si>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</si>
  <si>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</si>
  <si>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</si>
  <si>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</si>
  <si>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</si>
  <si>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</si>
  <si>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</si>
  <si>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</si>
  <si>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</si>
  <si>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</si>
  <si>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</si>
  <si>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</si>
  <si>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</si>
  <si>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</si>
  <si>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</si>
  <si>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</si>
  <si>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</si>
  <si>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</si>
  <si>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</si>
  <si>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</si>
  <si>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</si>
  <si>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</si>
  <si>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</si>
  <si>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</si>
  <si>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</si>
  <si>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</si>
  <si>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</si>
  <si>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</si>
  <si>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</si>
  <si>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</si>
  <si>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</si>
  <si>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</si>
  <si>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</si>
  <si>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</si>
  <si>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</si>
  <si>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</si>
  <si>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</si>
  <si>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</si>
  <si>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</si>
  <si>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</si>
  <si>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</si>
  <si>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</si>
  <si>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</si>
  <si>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</si>
  <si>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</si>
  <si>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</si>
  <si>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</si>
  <si>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</si>
  <si>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</si>
  <si>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</si>
  <si>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</si>
  <si>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</si>
  <si>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</si>
  <si>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</si>
  <si>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</si>
  <si>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</si>
  <si>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</si>
  <si>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</si>
  <si>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</si>
  <si>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</si>
  <si>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</si>
  <si>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</si>
  <si>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</si>
  <si>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</si>
  <si>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</si>
  <si>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</si>
  <si>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</si>
  <si>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</si>
  <si>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</si>
  <si>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</si>
  <si>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</si>
  <si>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</si>
  <si>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</si>
  <si>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</si>
  <si>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</si>
  <si>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</si>
  <si>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</si>
  <si>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</si>
  <si>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</si>
  <si>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</si>
  <si>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</si>
  <si>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</si>
  <si>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</si>
  <si>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</si>
  <si>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</si>
  <si>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</si>
  <si>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</si>
  <si>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</si>
  <si>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</si>
  <si>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</si>
  <si>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</si>
  <si>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</si>
  <si>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</si>
  <si>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</si>
  <si>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</si>
  <si>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</si>
  <si>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</si>
  <si>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</si>
  <si>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</si>
  <si>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</si>
  <si>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</si>
  <si>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</si>
  <si>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</si>
  <si>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</si>
  <si>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</si>
  <si>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</si>
  <si>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</si>
  <si>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</si>
  <si>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</si>
  <si>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</si>
  <si>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</si>
  <si>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</si>
  <si>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</si>
  <si>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</si>
  <si>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</si>
  <si>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</si>
  <si>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</si>
  <si>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帝京科学大学</t>
    <phoneticPr fontId="1"/>
  </si>
  <si>
    <t>学部・学科によって、修了要件は相違しない</t>
  </si>
  <si>
    <t>情報Ⅰ</t>
    <rPh sb="0" eb="2">
      <t>ジョウホウ</t>
    </rPh>
    <phoneticPr fontId="1"/>
  </si>
  <si>
    <t>情報Ⅱ</t>
    <rPh sb="0" eb="2">
      <t>ジョウホウ</t>
    </rPh>
    <phoneticPr fontId="1"/>
  </si>
  <si>
    <t>○</t>
  </si>
  <si>
    <t>斉藤 幸喜</t>
    <rPh sb="0" eb="5">
      <t>サ</t>
    </rPh>
    <phoneticPr fontId="1"/>
  </si>
  <si>
    <t>自己点検評価委員会</t>
    <phoneticPr fontId="1"/>
  </si>
  <si>
    <t>統計学</t>
    <rPh sb="0" eb="3">
      <t>トウケイガク</t>
    </rPh>
    <phoneticPr fontId="1"/>
  </si>
  <si>
    <t>数理・データサイエンス・ＡＩ教育プログラム</t>
    <phoneticPr fontId="1"/>
  </si>
  <si>
    <t>情報Ⅰおよび情報Ⅱの単位を取得すること。
統計学の履修はオプション。</t>
    <phoneticPr fontId="1"/>
  </si>
  <si>
    <t>学長</t>
    <rPh sb="0" eb="2">
      <t>ガクチョウ</t>
    </rPh>
    <phoneticPr fontId="1"/>
  </si>
  <si>
    <t>部会長</t>
    <rPh sb="0" eb="3">
      <t>ブカイチョウ</t>
    </rPh>
    <phoneticPr fontId="1"/>
  </si>
  <si>
    <t>4-1統計および数理基礎</t>
    <phoneticPr fontId="1"/>
  </si>
  <si>
    <t>冲永　莊八</t>
    <phoneticPr fontId="1"/>
  </si>
  <si>
    <t>令和４</t>
    <rPh sb="0" eb="2">
      <t>レイワ</t>
    </rPh>
    <phoneticPr fontId="1"/>
  </si>
  <si>
    <t>生命科学科</t>
    <rPh sb="0" eb="2">
      <t>セイメイ</t>
    </rPh>
    <rPh sb="2" eb="4">
      <t>カガク</t>
    </rPh>
    <rPh sb="4" eb="5">
      <t>カ</t>
    </rPh>
    <phoneticPr fontId="1"/>
  </si>
  <si>
    <t>自然環境学科</t>
    <rPh sb="0" eb="2">
      <t>シゼン</t>
    </rPh>
    <rPh sb="2" eb="4">
      <t>カンキョウ</t>
    </rPh>
    <rPh sb="4" eb="6">
      <t>ガッカ</t>
    </rPh>
    <phoneticPr fontId="1"/>
  </si>
  <si>
    <t>アニマルサイエンス学科</t>
    <rPh sb="9" eb="11">
      <t>ガッカ</t>
    </rPh>
    <phoneticPr fontId="1"/>
  </si>
  <si>
    <t>理学療法学科</t>
    <rPh sb="0" eb="2">
      <t>リガク</t>
    </rPh>
    <rPh sb="2" eb="4">
      <t>リョウホウ</t>
    </rPh>
    <rPh sb="4" eb="6">
      <t>ガッカ</t>
    </rPh>
    <phoneticPr fontId="1"/>
  </si>
  <si>
    <t>作業療法学科</t>
    <rPh sb="0" eb="2">
      <t>サギョウ</t>
    </rPh>
    <rPh sb="2" eb="4">
      <t>リョウホウ</t>
    </rPh>
    <rPh sb="4" eb="6">
      <t>ガッカ</t>
    </rPh>
    <phoneticPr fontId="1"/>
  </si>
  <si>
    <t>柔道整復学科</t>
    <rPh sb="0" eb="2">
      <t>ジュウドウ</t>
    </rPh>
    <rPh sb="2" eb="4">
      <t>セイフク</t>
    </rPh>
    <rPh sb="4" eb="6">
      <t>ガッカ</t>
    </rPh>
    <phoneticPr fontId="1"/>
  </si>
  <si>
    <t>東京理学療法学科</t>
    <rPh sb="0" eb="2">
      <t>トウキョウ</t>
    </rPh>
    <rPh sb="2" eb="4">
      <t>リガク</t>
    </rPh>
    <rPh sb="4" eb="6">
      <t>リョウホウ</t>
    </rPh>
    <rPh sb="6" eb="8">
      <t>ガッカ</t>
    </rPh>
    <phoneticPr fontId="1"/>
  </si>
  <si>
    <t>東京柔道整復学科</t>
    <rPh sb="0" eb="2">
      <t>トウキョウ</t>
    </rPh>
    <rPh sb="2" eb="4">
      <t>ジュウドウ</t>
    </rPh>
    <rPh sb="4" eb="6">
      <t>セイフク</t>
    </rPh>
    <rPh sb="6" eb="8">
      <t>ガッカ</t>
    </rPh>
    <phoneticPr fontId="1"/>
  </si>
  <si>
    <t>看護学科</t>
    <rPh sb="0" eb="2">
      <t>カンゴ</t>
    </rPh>
    <rPh sb="2" eb="4">
      <t>ガッカ</t>
    </rPh>
    <phoneticPr fontId="1"/>
  </si>
  <si>
    <t>医療福祉学科</t>
    <rPh sb="0" eb="2">
      <t>イリョウ</t>
    </rPh>
    <rPh sb="2" eb="4">
      <t>フクシ</t>
    </rPh>
    <rPh sb="4" eb="6">
      <t>ガッカ</t>
    </rPh>
    <phoneticPr fontId="1"/>
  </si>
  <si>
    <t>こども学科</t>
    <rPh sb="3" eb="5">
      <t>ガッカ</t>
    </rPh>
    <phoneticPr fontId="1"/>
  </si>
  <si>
    <t>幼児保育学科</t>
    <rPh sb="0" eb="2">
      <t>ヨウジ</t>
    </rPh>
    <rPh sb="2" eb="4">
      <t>ホイク</t>
    </rPh>
    <rPh sb="4" eb="6">
      <t>ガッカ</t>
    </rPh>
    <phoneticPr fontId="1"/>
  </si>
  <si>
    <t>学校教育学科</t>
    <rPh sb="0" eb="2">
      <t>ガッコウ</t>
    </rPh>
    <rPh sb="2" eb="4">
      <t>キョウイク</t>
    </rPh>
    <rPh sb="4" eb="6">
      <t>ガッカ</t>
    </rPh>
    <phoneticPr fontId="1"/>
  </si>
  <si>
    <t>（注意）　　　　　　　　　　　　　　　　　　　　　　　　　　　　　　　　　　　　　　　　　　　　　　　　　　　　　　　　　　　　　　　　　　　　　　　　　　　　　　　　　　　　　　　　　　　　　　　　　　　　　　　　　　　　　　　　　　　　　　　　　　　　　　　　　　　　　　　　　　　　　　　　　　　　　　　　　　　　　　　　　　　　　　　　　　　　　　　　　　　　　　　　　　　　　　　　　　　　　　　　　　　　　　　　　　　　　　　　　　　　　　　　　　　　　　　　　　　　　　　　　　　　　　　　　　　　　　　　　　　　　　　　　　　　　　　　　　　　　　　　　　　　　　　　　　　　　　　　　　　　　　1)履修者数欄：情報Ⅰ・情報Ⅱの２科目を履修登録した学生数。　　２）修了者数欄：情報Ⅰ・情報Ⅱの２科目を単位修得した学生数。　　　　　　　　　　　　　　　　　　　　　　　　　　　　　　　　　　　　　　　　　　　　　　　　　　　　　　　　　　　　　　　　　　　　　　　　　　　　　　　　　　　　　　　　　　　　　　　　　　　　　　　　　　　　　　　　　　　　　　　　　　　　　　　　　　　　　　　　　　　　　　３）上記の理学療法・作用療法・柔道整復学科の３学科（東京西キャンパス）については、必修・情報Ⅰのみの履修者・修了者（定員80+40+30合計１５０名相当）が履修しているが、情報Ⅱが選択のため、R4年度の本学プログラム修了認定者としては、対象外（０表示）とした。</t>
    <rPh sb="1" eb="3">
      <t>チュウイ</t>
    </rPh>
    <rPh sb="308" eb="310">
      <t>リシュウ</t>
    </rPh>
    <rPh sb="310" eb="311">
      <t>シャ</t>
    </rPh>
    <rPh sb="311" eb="312">
      <t>スウ</t>
    </rPh>
    <rPh sb="312" eb="313">
      <t>ラン</t>
    </rPh>
    <rPh sb="314" eb="316">
      <t>ジョウホウ</t>
    </rPh>
    <rPh sb="318" eb="320">
      <t>ジョウホウ</t>
    </rPh>
    <rPh sb="323" eb="325">
      <t>カモク</t>
    </rPh>
    <rPh sb="326" eb="328">
      <t>リシュウ</t>
    </rPh>
    <rPh sb="328" eb="330">
      <t>トウロク</t>
    </rPh>
    <rPh sb="332" eb="335">
      <t>ガクセイスウ</t>
    </rPh>
    <rPh sb="340" eb="343">
      <t>シュウリョウシャ</t>
    </rPh>
    <rPh sb="343" eb="344">
      <t>スウ</t>
    </rPh>
    <rPh sb="344" eb="345">
      <t>ラン</t>
    </rPh>
    <rPh sb="346" eb="348">
      <t>ジョウホウ</t>
    </rPh>
    <rPh sb="350" eb="352">
      <t>ジョウホウ</t>
    </rPh>
    <rPh sb="355" eb="357">
      <t>カモク</t>
    </rPh>
    <rPh sb="358" eb="360">
      <t>タンイ</t>
    </rPh>
    <rPh sb="360" eb="361">
      <t>オサ</t>
    </rPh>
    <rPh sb="361" eb="362">
      <t>トク</t>
    </rPh>
    <rPh sb="364" eb="367">
      <t>ガクセイスウ</t>
    </rPh>
    <rPh sb="512" eb="514">
      <t>ジョウキ</t>
    </rPh>
    <rPh sb="515" eb="517">
      <t>リガク</t>
    </rPh>
    <rPh sb="517" eb="519">
      <t>リョウホウ</t>
    </rPh>
    <rPh sb="520" eb="522">
      <t>サヨウ</t>
    </rPh>
    <rPh sb="522" eb="524">
      <t>リョウホウ</t>
    </rPh>
    <rPh sb="525" eb="527">
      <t>ジュウドウ</t>
    </rPh>
    <rPh sb="527" eb="529">
      <t>セイフク</t>
    </rPh>
    <rPh sb="529" eb="530">
      <t>ガク</t>
    </rPh>
    <rPh sb="536" eb="538">
      <t>トウキョウ</t>
    </rPh>
    <rPh sb="538" eb="539">
      <t>ニシ</t>
    </rPh>
    <rPh sb="551" eb="552">
      <t>ヒツ</t>
    </rPh>
    <rPh sb="552" eb="553">
      <t>オサ</t>
    </rPh>
    <rPh sb="560" eb="562">
      <t>リシュウ</t>
    </rPh>
    <rPh sb="562" eb="563">
      <t>シャ</t>
    </rPh>
    <rPh sb="564" eb="567">
      <t>シュウリョウシャ</t>
    </rPh>
    <rPh sb="568" eb="570">
      <t>テイイン</t>
    </rPh>
    <rPh sb="578" eb="580">
      <t>ゴウケイ</t>
    </rPh>
    <rPh sb="583" eb="584">
      <t>メイ</t>
    </rPh>
    <rPh sb="584" eb="586">
      <t>ソウトウ</t>
    </rPh>
    <rPh sb="588" eb="590">
      <t>リシュウ</t>
    </rPh>
    <rPh sb="596" eb="598">
      <t>ジョウホウ</t>
    </rPh>
    <rPh sb="600" eb="602">
      <t>センタク</t>
    </rPh>
    <rPh sb="608" eb="610">
      <t>ネンド</t>
    </rPh>
    <rPh sb="611" eb="613">
      <t>ホンガク</t>
    </rPh>
    <rPh sb="618" eb="620">
      <t>シュウリョウ</t>
    </rPh>
    <rPh sb="620" eb="622">
      <t>ニンテイ</t>
    </rPh>
    <rPh sb="622" eb="623">
      <t>シャ</t>
    </rPh>
    <rPh sb="628" eb="631">
      <t>タイショウガイ</t>
    </rPh>
    <rPh sb="633" eb="635">
      <t>ヒョウジ</t>
    </rPh>
    <phoneticPr fontId="1"/>
  </si>
  <si>
    <t>「情報Ⅰ」「情報Ⅱ」および「統計学」は、いずれも全学対象の共通科目であるデータサイエンス分野の科目であり、学部・学科に関係無く希望する学生全員が受講可能となるような体制となっている。</t>
    <rPh sb="14" eb="17">
      <t>トウケイガク</t>
    </rPh>
    <rPh sb="29" eb="31">
      <t>キョウツウ</t>
    </rPh>
    <rPh sb="44" eb="46">
      <t>ブンヤ</t>
    </rPh>
    <rPh sb="47" eb="49">
      <t>カモク</t>
    </rPh>
    <rPh sb="61" eb="62">
      <t>ナ</t>
    </rPh>
    <phoneticPr fontId="1"/>
  </si>
  <si>
    <t>各年度の履修者数の目標を以下の通りとする。（（　）内は履修率。）
令和５年度　2228名　（45%）
令和６年度　3465名　（70%）
令和７年度　4950名　（100%）
令和８年度　4950名　（100%）
本学の中で、理学療法学科，作業療法学科，柔道整復学科，こども学科では、プログラム
の構成科目の「情報Ⅰ」は必修科目であるが、「情報Ⅱ」は選択科目となっている。
そこで、目標を実現するために、これらの学科の学生へ「情報Ⅰ」の授業内で数理・データサイエンス・AI教育の重要性を理解させ、「情報Ⅱ」の履修を推奨していく。さらに、令和７年度を目途に全学必修化する。</t>
    <rPh sb="15" eb="16">
      <t>トオ</t>
    </rPh>
    <rPh sb="36" eb="38">
      <t>ネンド</t>
    </rPh>
    <rPh sb="111" eb="112">
      <t>ナカ</t>
    </rPh>
    <rPh sb="152" eb="154">
      <t>カモク</t>
    </rPh>
    <rPh sb="161" eb="165">
      <t>ヒッシュウカモク</t>
    </rPh>
    <rPh sb="207" eb="209">
      <t>ガッカ</t>
    </rPh>
    <rPh sb="210" eb="212">
      <t>ガクセイ</t>
    </rPh>
    <rPh sb="219" eb="222">
      <t>ジュギョウナイ</t>
    </rPh>
    <rPh sb="223" eb="225">
      <t>スウリ</t>
    </rPh>
    <rPh sb="237" eb="239">
      <t>キョウイク</t>
    </rPh>
    <rPh sb="240" eb="243">
      <t>ジュウヨウセイ</t>
    </rPh>
    <rPh sb="244" eb="246">
      <t>リカイ</t>
    </rPh>
    <rPh sb="255" eb="257">
      <t>リシュウ</t>
    </rPh>
    <rPh sb="258" eb="260">
      <t>スイショウ</t>
    </rPh>
    <rPh sb="280" eb="282">
      <t>ヒッシュウ</t>
    </rPh>
    <phoneticPr fontId="1"/>
  </si>
  <si>
    <t>本学のホームページに、本学「数理・データサイエンス・AI教育推進プログラム」のリンクを掲示し、このページ内でプログラムの内容を紹介している。さらに、入学時の全学共通科目ガイダンスで新入生全員に周知している。</t>
    <rPh sb="28" eb="30">
      <t>キョウイク</t>
    </rPh>
    <rPh sb="30" eb="32">
      <t>スイシン</t>
    </rPh>
    <rPh sb="52" eb="53">
      <t>ナイ</t>
    </rPh>
    <rPh sb="60" eb="62">
      <t>ナイヨウ</t>
    </rPh>
    <rPh sb="90" eb="95">
      <t>シンニュウセイゼンイン</t>
    </rPh>
    <phoneticPr fontId="1"/>
  </si>
  <si>
    <t>授業担当教員が授業時間内に講義，パソコン演習，課題に対する添削・フィードバックなどの学習指導および質問の受け付けを行う。また、パソコン演習を行うほとんどのクラスに学生アシスタント(TA, SA)を配置し、教員を補助している。
また、授業時間外については、教育支援システムWebClassから教材の利用や学生からの質問に対応できる体制を整えている。</t>
    <rPh sb="67" eb="69">
      <t>エンシュウ</t>
    </rPh>
    <rPh sb="70" eb="71">
      <t>オコナ</t>
    </rPh>
    <rPh sb="98" eb="100">
      <t>ハイチ</t>
    </rPh>
    <rPh sb="116" eb="121">
      <t>ジュギョウジカンガイ</t>
    </rPh>
    <rPh sb="127" eb="131">
      <t>キョウイクシエン</t>
    </rPh>
    <rPh sb="145" eb="147">
      <t>キョウザイ</t>
    </rPh>
    <rPh sb="148" eb="150">
      <t>リヨウ</t>
    </rPh>
    <rPh sb="151" eb="153">
      <t>ガクセイ</t>
    </rPh>
    <rPh sb="156" eb="158">
      <t>シツモン</t>
    </rPh>
    <rPh sb="159" eb="161">
      <t>タイオウ</t>
    </rPh>
    <rPh sb="164" eb="166">
      <t>タイセイ</t>
    </rPh>
    <rPh sb="167" eb="168">
      <t>トトノ</t>
    </rPh>
    <phoneticPr fontId="1"/>
  </si>
  <si>
    <t>全学的に授業改善アンケートを各学期末に実施し、集計結果を授業担当教員及び当該授業を履修した学生に公開している。データサイエンス科目に関する共通科目においても実施し、各授業担当教員はこれらを参考にして、授業内容や水準を維持・向上しつつ、より分かりやすい授業を展開するよう改善を行っている。これらの結果を各担当教員および学内で共有することで、今後のカリキュラムのあり方などにおける検討資料の一部としている。</t>
    <rPh sb="87" eb="89">
      <t>キョウイン</t>
    </rPh>
    <rPh sb="153" eb="155">
      <t>キョウイン</t>
    </rPh>
    <phoneticPr fontId="1"/>
  </si>
  <si>
    <t>令和4年度は「情報Ⅰ」が1年次全学必修であり、「情報Ⅱ」は一部学科で1年次必修であるため、「情報Ⅱ」が必修でない学科の学生に対して、新入生オリエンテーションなどの履修指導を通じて履修を促している。さらに、平成7年度には「情報Ⅱ」についても全学必修科目とすることで、履修率向上を目指している。</t>
    <rPh sb="102" eb="104">
      <t>ヘイセイ</t>
    </rPh>
    <rPh sb="105" eb="107">
      <t>ネンド</t>
    </rPh>
    <rPh sb="138" eb="140">
      <t>メザ</t>
    </rPh>
    <phoneticPr fontId="1"/>
  </si>
  <si>
    <t xml:space="preserve">本プログラムを構成する科目については各学科／コース単位の少人数科目として開講され、必要に応じて学生アシスタント(TA, SA)が配置されるなど、多くの学生が修得できるサポート体制を備えている。
</t>
    <rPh sb="0" eb="1">
      <t>ホン</t>
    </rPh>
    <rPh sb="7" eb="9">
      <t>コウセイ</t>
    </rPh>
    <phoneticPr fontId="1"/>
  </si>
  <si>
    <t>令和4年度において1年次前期科目の「情報Ⅰ」は全学必修であり、全学生が履修している。1年次後期科目である「情報Ⅱ」は学科によって必修あるいは選択となっている。 
「情報Ⅱ」履修者に対して実施したアンケート結果を示す。
・後輩など他の学生へ、履修を推奨しますか？
　積極的に推奨する17.6%、推奨する42.7%、あまり推奨しない 3.5%、推奨しない 0.4%、必修科目なので該当しない 35.7%
「あまり推奨しない」または「推奨しない」と答えた学生は合計で3.9%と低く、数理・データサイエンス・AI教育の重要性が認識されたと考えられる。</t>
    <rPh sb="206" eb="208">
      <t>スイショウ</t>
    </rPh>
    <rPh sb="216" eb="218">
      <t>スイショウ</t>
    </rPh>
    <rPh sb="223" eb="224">
      <t>コタ</t>
    </rPh>
    <rPh sb="226" eb="228">
      <t>ガクセイ</t>
    </rPh>
    <rPh sb="229" eb="231">
      <t>ゴウケイ</t>
    </rPh>
    <rPh sb="237" eb="238">
      <t>ヒク</t>
    </rPh>
    <rPh sb="240" eb="242">
      <t>スウリ</t>
    </rPh>
    <rPh sb="254" eb="256">
      <t>キョウイク</t>
    </rPh>
    <rPh sb="257" eb="260">
      <t>ジュウヨウセイ</t>
    </rPh>
    <rPh sb="261" eb="263">
      <t>ニンシキ</t>
    </rPh>
    <rPh sb="267" eb="268">
      <t>カンガ</t>
    </rPh>
    <phoneticPr fontId="1"/>
  </si>
  <si>
    <t>本年度から「情報Ⅰ」の授業において、実社会で活用されているデータサイエンス・AIについて講義を行い、学生各自に調査させた。さらに、「情報Ⅱ」の授業においては、e-Statを利用して様々な統計データの調査と分析を行った。このような内容を取り入れたところ、後期に実施したアンケートでは、次のような結果が得られた。
・数理・データサイエンス・ＡＩの講義内容を理解出来ましたか
　よく理解できた 23.9%、やや理解できた68.1%、あまり理解出来なかった 7.4%、理解出来なかった 0.7%
・数理・データサイエンス・ＡＩを「学ぶ楽しさ」「学ぶことの意義」について理解が出来ましたか
　よく理解できた 25.5%、ある程度理解できた 63.3%、あまり理解出来なかった 10.0%、理解出来なかった1.2%
この調査結果を授業担当教員間で共有し、検討を行い、授業改善に取り組んでいる。</t>
    <rPh sb="0" eb="3">
      <t>ホンネンド</t>
    </rPh>
    <rPh sb="11" eb="13">
      <t>ジュギョウ</t>
    </rPh>
    <rPh sb="18" eb="21">
      <t>ジッシャカイ</t>
    </rPh>
    <rPh sb="22" eb="24">
      <t>カツヨウ</t>
    </rPh>
    <rPh sb="44" eb="46">
      <t>コウギ</t>
    </rPh>
    <rPh sb="47" eb="48">
      <t>オコナ</t>
    </rPh>
    <rPh sb="50" eb="54">
      <t>ガクセイカクジ</t>
    </rPh>
    <rPh sb="55" eb="57">
      <t>チョウサ</t>
    </rPh>
    <rPh sb="71" eb="73">
      <t>ジュギョウ</t>
    </rPh>
    <rPh sb="86" eb="88">
      <t>リヨウ</t>
    </rPh>
    <rPh sb="90" eb="92">
      <t>サマザマ</t>
    </rPh>
    <rPh sb="93" eb="95">
      <t>トウケイ</t>
    </rPh>
    <rPh sb="105" eb="106">
      <t>オコナ</t>
    </rPh>
    <rPh sb="114" eb="116">
      <t>ナイヨウ</t>
    </rPh>
    <rPh sb="117" eb="118">
      <t>ト</t>
    </rPh>
    <rPh sb="119" eb="120">
      <t>イ</t>
    </rPh>
    <rPh sb="367" eb="368">
      <t>カン</t>
    </rPh>
    <rPh sb="373" eb="375">
      <t>ケントウ</t>
    </rPh>
    <rPh sb="376" eb="377">
      <t>オコナ</t>
    </rPh>
    <phoneticPr fontId="1"/>
  </si>
  <si>
    <t>数理・データサイエンス・AI（リテラシーレベル）モデルカリキュラムの導入部分の内容を講義において展開し、社会の様々な分野においてどのようにAI等が活用され、どのような成果が得られ、またどのような課題があるかという観点で、実例を基に解説した。これに基づいて、学生自身が興味を持った実社会におけるデータサイエンス・AIの応用分野について各自で調査させ、レポートとしてまとめさせた。
また、心得の部分では、データ・AIを扱う上での留意事項について重点的に説明した。
さらに、基礎に関わる部分では、e-Statなどの実データを用いることで、その成果を実感できるようにした。
これらの実習を通して、数理・データサイエンス・ＡＩを学ぶ楽しさ、意義を理解できるよう工夫した。</t>
    <rPh sb="113" eb="114">
      <t>モト</t>
    </rPh>
    <rPh sb="123" eb="124">
      <t>モト</t>
    </rPh>
    <rPh sb="133" eb="135">
      <t>キョウミ</t>
    </rPh>
    <rPh sb="136" eb="137">
      <t>モ</t>
    </rPh>
    <rPh sb="160" eb="162">
      <t>ブンヤ</t>
    </rPh>
    <rPh sb="166" eb="168">
      <t>カクジ</t>
    </rPh>
    <rPh sb="169" eb="171">
      <t>チョウサ</t>
    </rPh>
    <rPh sb="192" eb="194">
      <t>ココロエ</t>
    </rPh>
    <rPh sb="207" eb="208">
      <t>アツカ</t>
    </rPh>
    <rPh sb="212" eb="216">
      <t>リュウイジコウ</t>
    </rPh>
    <rPh sb="220" eb="223">
      <t>ジュウテンテキ</t>
    </rPh>
    <rPh sb="224" eb="226">
      <t>セツメイ</t>
    </rPh>
    <phoneticPr fontId="1"/>
  </si>
  <si>
    <t>帝京科学大学 数理・データサイエンス・ＡＩ教育推進部会，自己点検評価委員会第二部会（教育）</t>
    <rPh sb="25" eb="27">
      <t>ブカイ</t>
    </rPh>
    <rPh sb="28" eb="30">
      <t>ジコ</t>
    </rPh>
    <rPh sb="30" eb="32">
      <t>テンケン</t>
    </rPh>
    <rPh sb="32" eb="34">
      <t>ヒョウカ</t>
    </rPh>
    <rPh sb="34" eb="37">
      <t>イインカイ</t>
    </rPh>
    <rPh sb="37" eb="39">
      <t>ダイニ</t>
    </rPh>
    <rPh sb="39" eb="41">
      <t>ブカイ</t>
    </rPh>
    <rPh sb="42" eb="44">
      <t>キョウイク</t>
    </rPh>
    <phoneticPr fontId="1"/>
  </si>
  <si>
    <t>本学では、数理・データサイエンス・AI教育プログラム（リテラシーレベル）のモデルカリキュラムの実施組織として、「数理・データサイエンス・AI教育推進部会」を組織し、共通教育科目を担当する総合教育センターおよび学部の連携協力の下にプログラムの実施・運営に当たっている。この他、常設の全学自己点検・評価委員会第二部会(教育）が設置されており、同評価委員会を通じて、本件モデルカリキュラムの自己点検評価を実施した。この自己点検評価委員会には、新たに数理・データサイエンス・AI教育プログラムの学外（産業界）評価委員として、NTTビジネスイノベーション本部ソリューションアーキテクト部長：両角武志氏の参加を得て、令和5年4月17日，19日自己点検評価会議を開催した。自己点検評価会議では、以下のような評価意見をいただいた。
（1）現状のカリキュラム内容に関して、実社会で必要となるコンピュータリテラシーやデータサイエンスの内容は、数理・データサイエンス・AI（リテラシーレベル）モデルカリキュラムに則して、網羅的に構成されており、実践的なカリキュラムとして実行されているところは評価できる。
（2）自己点検評価委員会を通じて、教育プログラムの内容・手法等への改善に向けて、継続的な議論が行われている。
（3）情報技術の進展は非常に早く、教育内容における教職員側の負担があるが、常に最新技術の取込み、実践演習課題やシラバス等の更新を続けることが必要である。
（4）情報Ⅱは、医療・健康分野などの実践・実習、また実社会でも必要となる授業内容のため、さらに全学的必修化の検討を進めていくことを提案する。</t>
    <rPh sb="135" eb="136">
      <t>ホカ</t>
    </rPh>
    <rPh sb="302" eb="304">
      <t>レイワ</t>
    </rPh>
    <rPh sb="305" eb="306">
      <t>ネン</t>
    </rPh>
    <phoneticPr fontId="1"/>
  </si>
  <si>
    <t>本学では、令和4年3月に策定された、令和4～8年度（5か年）の中期目標・中期計画に基づき、学習者本位の教育の実現を掲げている。また、ディプロマ・ポリシーおよびカリキュラム・ポリシーに基づいた授業科目の編成・体系化を予定している。中期計画と連動した形で、,急速に進展する情報化社会に対応するため、令和4年度に「数理・データサイエンス・AI教育推進部会」を設置した。同推進部会と連携組織の総合教育センターおよび学部教員との連携により、プログラムの推進、点検・評価、改善・進化に関する事項を検討・実施し、データを活用して社会におけるさまざまな課題を発見・解決できる人材を育成することを目的とする。
さらに、令和4年度において実施したリテラシーレベルのデータサイエンスプログラムについて、自己点検・評価を行うため、全学・自己点検評価委員会第二部会（教育）および外部評価委員参加による評価体制を整備した。また、令和5年3月～4月にかけて、複数会の自己点検評価会議を開催した。
本学では、これら数理・データサイエンス・AI教育推進部会および学内外の評価委員の参画による自己点検評価委員会を通じたPDCAサイクルの循環が確立しつつあり、数理・データサイエンス・AI教育プログラムの恒常的教育改善を伴った組織体制が整備されている。</t>
    <rPh sb="5" eb="7">
      <t>レイワ</t>
    </rPh>
    <rPh sb="8" eb="9">
      <t>ネン</t>
    </rPh>
    <rPh sb="147" eb="149">
      <t>レイワ</t>
    </rPh>
    <rPh sb="441" eb="443">
      <t>スウリ</t>
    </rPh>
    <phoneticPr fontId="1"/>
  </si>
  <si>
    <t>数理・データサイエンス・AI教育プログラム（リテラシーレベル）のモデルカリキュラムは、令和4年度入学の1年生を主な対象として導入した。上記にも記載の通り、令和4年度のデータサイエンス前期科目の「情報Ⅰ」履修者は1,217人、そのうち単位修得者数1,133人で単位修得率93.1%であった。後期科目の「情報Ⅱ」履修者は1,060人、うち単位修得者967人、単位修得率91.2%であった。本学では、まだ令和4年度の履修者は卒業に至らないが、学年進行で本件プログラムの履修者を拡充する予定である。
本学は、生命環境，医療科学，教育人間科学の3学部13学科構成であり、令和4年度の全学の就職率は94.2%である（https://www.ntu.ac.jp/career/recruit/graduatelist.html)。また、本学では、国家資格・各種免許取得による実践的な教育課程編成による専門職業人養成を最大の特色としており、看護師，理学療法士，作業療法士，柔道整復師，介護福祉士，保育士，幼稚園・小学校・中学校・高等学校教諭，臨床工学技士などの専門職業人材の養成において、病院，医療・福祉施設，学校，企業などから高い評価を得ている。モデルカリキュラムを履修した学生は、今後、各々の専門分野の就職先において、数理・データサイエンス・AI教育プログラムの応用実践が期待されている。
また、令和4年9月に実施した、「帝京科学大学卒業生に関する就職先アンケート」の中で、ディプロマポリシーに関連して、A.専攻分野で身につけるべき内容，B.卒業後の職業・社会生活で身につけるべき技能，C.市民・社会人として身につけるべき態度，D.獲得した知識・技能・態度等を相互的に活用し課題を発見し解決する能力の各4項目において、「身についている＋どちらかと言えば身についている」との回答は、A.82.4%，B.84.2%，C.86.0%，D.79.0%の高い定着率の集計結果を得ている。</t>
    <rPh sb="74" eb="75">
      <t>トオ</t>
    </rPh>
    <rPh sb="288" eb="291">
      <t>シュウショクリツ</t>
    </rPh>
    <rPh sb="536" eb="538">
      <t>オノオノ</t>
    </rPh>
    <rPh sb="552" eb="554">
      <t>スウリ</t>
    </rPh>
    <phoneticPr fontId="1"/>
  </si>
  <si>
    <t>数理・データサイエンス・ＡＩ教育推進部会および自己点検評価委員会において、授業改善アンケート，産業界からの意見，プログラム担当教員間の意見交換等から、学生の「分かりやすさ」の観点から講義の内容・実施方法の見直しを検討し、より分かりやすい授業を目指し、改善を進める。</t>
    <rPh sb="37" eb="41">
      <t>ジュギョウカイゼン</t>
    </rPh>
    <rPh sb="112" eb="113">
      <t>ワ</t>
    </rPh>
    <rPh sb="118" eb="120">
      <t>ジュギョウ</t>
    </rPh>
    <rPh sb="121" eb="123">
      <t>メザ</t>
    </rPh>
    <phoneticPr fontId="1"/>
  </si>
  <si>
    <t>数理・データサイエンス・ＡＩ教育推進部会　部会長　斉藤幸喜（教授）
　教務部長　釘田強志（教授）
　総合教育センター長　内藤可夫（教授）
　自然環境学科/総合教育センター教員　松影香子（教授）
　総合教育センター教員　内藤隆宏（講師）
　総合教育センター教員　松本ディオゴけんじ（講師）
自己点検評価委員会第二部会（教育）　部会長　釘田強志（教授）
　総合教育センター長　内藤可夫（教授）
　柔道整復学科長　二神弘子（教授）
　看護学科教員　糸井和佳（教授）
　学校教育学科教員　馬場千秋（教授）
　自然環境学科/総合教育センター教員　松影香子（教授）
　教職センター教員　鈴木貴史（准教授）
学外評価委員　両角武志（NTT東日本ビジネスイノベーション本部ソリューションアーキテクト部 部長）</t>
    <rPh sb="30" eb="32">
      <t>キョウジュ</t>
    </rPh>
    <rPh sb="35" eb="39">
      <t>キョウムブチョウ</t>
    </rPh>
    <rPh sb="70" eb="72">
      <t>シゼン</t>
    </rPh>
    <rPh sb="72" eb="74">
      <t>カンキョウ</t>
    </rPh>
    <rPh sb="74" eb="75">
      <t>ガク</t>
    </rPh>
    <rPh sb="140" eb="142">
      <t>コウシ</t>
    </rPh>
    <rPh sb="250" eb="252">
      <t>シゼン</t>
    </rPh>
    <rPh sb="252" eb="254">
      <t>カンキョウ</t>
    </rPh>
    <rPh sb="254" eb="255">
      <t>ガク</t>
    </rPh>
    <rPh sb="292" eb="295">
      <t>ジュンキョウジュ</t>
    </rPh>
    <phoneticPr fontId="1"/>
  </si>
  <si>
    <t>帝京科学大学 数理・データサイエンス・ＡＩ教育推進部会要項</t>
    <rPh sb="0" eb="2">
      <t>テイキョウ</t>
    </rPh>
    <rPh sb="2" eb="4">
      <t>カガク</t>
    </rPh>
    <rPh sb="4" eb="6">
      <t>ダイガク</t>
    </rPh>
    <rPh sb="7" eb="9">
      <t>スウリ</t>
    </rPh>
    <rPh sb="21" eb="23">
      <t>キョウイク</t>
    </rPh>
    <rPh sb="25" eb="27">
      <t>ブカイ</t>
    </rPh>
    <rPh sb="27" eb="29">
      <t>ヨウコウ</t>
    </rPh>
    <phoneticPr fontId="1"/>
  </si>
  <si>
    <t>・AI、データサイエンスを含む情報科学に関する基礎的知識
・データを統計的に分析、可視化する能力
・課題に関するデータを収集分析し、解決に必要な知見を抽出する能力</t>
  </si>
  <si>
    <r>
      <t>令和４年度のデータサイエンス前期科目の「情報Ⅰ」履修者は1,217人、そのうち単位修得者数1,133人で単位修得率93.1%であった。後期科目の「情報Ⅱ」履修者は1,060人、うち単位修得者967人、単位修得率91.2%であった。
全学生が1人1台のPCを用いて、理解度を重視した授業を実施している。さらに、千住キャンパスではクラス人数最大</t>
    </r>
    <r>
      <rPr>
        <b/>
        <u/>
        <sz val="12"/>
        <color rgb="FFFF0000"/>
        <rFont val="ＭＳ Ｐゴシック"/>
        <family val="3"/>
        <charset val="128"/>
        <scheme val="minor"/>
      </rPr>
      <t>64</t>
    </r>
    <r>
      <rPr>
        <sz val="12"/>
        <color theme="1"/>
        <rFont val="ＭＳ Ｐゴシック"/>
        <family val="3"/>
        <charset val="128"/>
        <scheme val="minor"/>
      </rPr>
      <t>名の少人数クラスで授業行って</t>
    </r>
    <r>
      <rPr>
        <sz val="12"/>
        <rFont val="ＭＳ Ｐゴシック"/>
        <family val="3"/>
        <charset val="128"/>
        <scheme val="minor"/>
      </rPr>
      <t>おり、</t>
    </r>
    <r>
      <rPr>
        <sz val="12"/>
        <color theme="1"/>
        <rFont val="ＭＳ Ｐゴシック"/>
        <family val="3"/>
        <charset val="128"/>
        <scheme val="minor"/>
      </rPr>
      <t>このように比較的高い単位修得率が得られたと考えられる。</t>
    </r>
    <rPh sb="0" eb="2">
      <t>レイワ</t>
    </rPh>
    <rPh sb="52" eb="54">
      <t>タンイ</t>
    </rPh>
    <rPh sb="54" eb="56">
      <t>シュウトク</t>
    </rPh>
    <rPh sb="100" eb="102">
      <t>タンイ</t>
    </rPh>
    <rPh sb="194" eb="198">
      <t>ヒカクテキタカ</t>
    </rPh>
    <rPh sb="205" eb="206">
      <t>エ</t>
    </rPh>
    <rPh sb="210" eb="211">
      <t>カンガ</t>
    </rPh>
    <phoneticPr fontId="1"/>
  </si>
  <si>
    <r>
      <rPr>
        <sz val="12"/>
        <color rgb="FFFF0000"/>
        <rFont val="ＭＳ Ｐゴシック"/>
        <family val="3"/>
        <charset val="128"/>
      </rPr>
      <t>AIの最新動向（具体例）の紹介。</t>
    </r>
    <r>
      <rPr>
        <u/>
        <sz val="12"/>
        <color rgb="FFFF0000"/>
        <rFont val="ＭＳ Ｐゴシック"/>
        <family val="2"/>
        <charset val="128"/>
      </rPr>
      <t>（特化型AIと汎用AI、今のAIで出来ることと出来ないこと、AIとビッグデータ、認識技術、ルールべース、自動化技術など）</t>
    </r>
    <r>
      <rPr>
        <sz val="12"/>
        <color rgb="FFFF0000"/>
        <rFont val="ＭＳ Ｐゴシック"/>
        <family val="3"/>
        <charset val="128"/>
      </rPr>
      <t>「情報Ⅱ」（1回目，2回目）</t>
    </r>
    <r>
      <rPr>
        <sz val="12"/>
        <color theme="1"/>
        <rFont val="ＭＳ Ｐゴシック"/>
        <family val="3"/>
        <charset val="128"/>
        <scheme val="minor"/>
      </rPr>
      <t xml:space="preserve">
データ・AI 利活用のための技術。具体的な</t>
    </r>
    <r>
      <rPr>
        <u/>
        <sz val="12"/>
        <color rgb="FFFF0000"/>
        <rFont val="ＭＳ Ｐゴシック"/>
        <family val="2"/>
        <charset val="128"/>
      </rPr>
      <t>構造化／非構造化</t>
    </r>
    <r>
      <rPr>
        <sz val="12"/>
        <color theme="1"/>
        <rFont val="ＭＳ Ｐゴシック"/>
        <family val="3"/>
        <charset val="128"/>
        <scheme val="minor"/>
      </rPr>
      <t>データ（教育、健康など）における</t>
    </r>
    <r>
      <rPr>
        <u/>
        <sz val="12"/>
        <color rgb="FFFF0000"/>
        <rFont val="ＭＳ Ｐゴシック"/>
        <family val="2"/>
        <charset val="128"/>
      </rPr>
      <t>データ処理・解析・可視化</t>
    </r>
    <r>
      <rPr>
        <sz val="12"/>
        <color theme="1"/>
        <rFont val="ＭＳ Ｐゴシック"/>
        <family val="3"/>
        <charset val="128"/>
        <scheme val="minor"/>
      </rPr>
      <t>例および演習。「情報Ⅱ」（4回目</t>
    </r>
    <r>
      <rPr>
        <sz val="12"/>
        <color rgb="FFFF0000"/>
        <rFont val="ＭＳ Ｐゴシック"/>
        <family val="3"/>
        <charset val="128"/>
        <scheme val="minor"/>
      </rPr>
      <t>，14回目</t>
    </r>
    <r>
      <rPr>
        <sz val="12"/>
        <color theme="1"/>
        <rFont val="ＭＳ Ｐゴシック"/>
        <family val="3"/>
        <charset val="128"/>
        <scheme val="minor"/>
      </rPr>
      <t>）</t>
    </r>
    <rPh sb="23" eb="26">
      <t xml:space="preserve">コウゾウカ </t>
    </rPh>
    <rPh sb="41" eb="43">
      <t xml:space="preserve">カイセキ </t>
    </rPh>
    <rPh sb="69" eb="71">
      <t xml:space="preserve">ジョウホウ </t>
    </rPh>
    <rPh sb="85" eb="86">
      <t>メ</t>
    </rPh>
    <rPh sb="89" eb="90">
      <t>メ</t>
    </rPh>
    <rPh sb="148" eb="151">
      <t>カシカ</t>
    </rPh>
    <rPh sb="171" eb="172">
      <t>メ</t>
    </rPh>
    <phoneticPr fontId="1"/>
  </si>
  <si>
    <r>
      <t>データ・AIのさまざまな利活用の可能性。</t>
    </r>
    <r>
      <rPr>
        <u/>
        <sz val="12"/>
        <color rgb="FFFF0000"/>
        <rFont val="ＭＳ Ｐゴシック"/>
        <family val="2"/>
        <charset val="128"/>
      </rPr>
      <t>流通、製造、金融、サービス、インフラ、公共、ヘルスケア等におけるデータ・AI利活用事例紹介。</t>
    </r>
    <r>
      <rPr>
        <sz val="12"/>
        <color theme="1"/>
        <rFont val="ＭＳ Ｐゴシック"/>
        <family val="3"/>
        <charset val="128"/>
        <scheme val="minor"/>
      </rPr>
      <t xml:space="preserve">「情報Ⅰ」（15回目）
</t>
    </r>
    <r>
      <rPr>
        <sz val="12"/>
        <color rgb="FFFF0000"/>
        <rFont val="ＭＳ Ｐゴシック"/>
        <family val="3"/>
        <charset val="128"/>
      </rPr>
      <t>実社会におけるビジネスとデータ活用。ビジネス文書。商取引とコミュニケーション。広告・マーケティングにおけるデータ活用。消費者調査方法と分析。POSシステムなどビッグデータの分析活用の広がり</t>
    </r>
    <r>
      <rPr>
        <u/>
        <sz val="12"/>
        <color rgb="FFFF0000"/>
        <rFont val="ＭＳ Ｐゴシック"/>
        <family val="2"/>
        <charset val="128"/>
      </rPr>
      <t>とデータサイエンスのサイクル(課題抽出と定式化、データの取得・管理・加工、 探索的データ解析、データ解析と推論、結果の共有・伝達、課題解決に向けた提案)</t>
    </r>
    <r>
      <rPr>
        <sz val="12"/>
        <color rgb="FFFF0000"/>
        <rFont val="ＭＳ Ｐゴシック"/>
        <family val="3"/>
        <charset val="128"/>
      </rPr>
      <t>。「情報Ⅱ」（11回目，15回目）</t>
    </r>
    <rPh sb="125" eb="127">
      <t xml:space="preserve">ジョウホウ </t>
    </rPh>
    <rPh sb="131" eb="132">
      <t xml:space="preserve">ダイ１１カイ </t>
    </rPh>
    <rPh sb="258" eb="259">
      <t>メ</t>
    </rPh>
    <rPh sb="262" eb="264">
      <t>カイメ</t>
    </rPh>
    <phoneticPr fontId="1"/>
  </si>
  <si>
    <r>
      <t>データサイエンス、ICTリテラシー、社会におけるIT、AI、データサイエンス。「情報Ⅰ」（1回目）
データサイエンス概論</t>
    </r>
    <r>
      <rPr>
        <sz val="12"/>
        <color rgb="FFFF0000"/>
        <rFont val="ＭＳ Ｐゴシック"/>
        <family val="3"/>
        <charset val="128"/>
      </rPr>
      <t>：第4次産業革命、Society 5.0、データ駆動型社会ビッグデータ、IoT、AI、ロボット、データ量の増加、計算機の処理性能の向上、AIの非連続的進化、人間の知的活動とAIの関係性、データを起点としたものの見方、人間の知的活動を起点としたものの見方など</t>
    </r>
    <r>
      <rPr>
        <sz val="12"/>
        <color theme="1"/>
        <rFont val="ＭＳ Ｐゴシック"/>
        <family val="3"/>
        <charset val="128"/>
        <scheme val="minor"/>
      </rPr>
      <t>。「情報Ⅰ」（2回目）</t>
    </r>
    <phoneticPr fontId="1"/>
  </si>
  <si>
    <r>
      <t>データサイエンス、AIの最新動向。検索エンジンにおけるデータとAIの活用事例（</t>
    </r>
    <r>
      <rPr>
        <sz val="12"/>
        <color rgb="FFFF0000"/>
        <rFont val="ＭＳ Ｐゴシック"/>
        <family val="3"/>
        <charset val="128"/>
      </rPr>
      <t>AI等を活用した新しいビジネスモデル：シェアリングエコノミー、商品のレコメンデーションなど）</t>
    </r>
    <r>
      <rPr>
        <sz val="12"/>
        <color theme="1"/>
        <rFont val="ＭＳ Ｐゴシック"/>
        <family val="3"/>
        <charset val="128"/>
        <scheme val="minor"/>
      </rPr>
      <t>。情報収集（情報収集・選別／整理・蓄積／加工・分析／表現）。「情報Ⅱ」（1回目）
データ・AIの今後の活用と展開の動向（ロードマップ）の解説</t>
    </r>
    <r>
      <rPr>
        <sz val="12"/>
        <color rgb="FFFF0000"/>
        <rFont val="ＭＳ Ｐゴシック"/>
        <family val="3"/>
        <charset val="128"/>
      </rPr>
      <t>：AI最新技術の活用例（深層生成モデル、敵対的生成ネットワーク、強化学習、転移学習など）</t>
    </r>
    <r>
      <rPr>
        <sz val="12"/>
        <color theme="1"/>
        <rFont val="ＭＳ Ｐゴシック"/>
        <family val="3"/>
        <charset val="128"/>
        <scheme val="minor"/>
      </rPr>
      <t>。情報運用と注意点（著作権、肖像権、個人情報漏洩、ウイルスなど）、安全の確保。「情報Ⅱ」（2回目）</t>
    </r>
    <phoneticPr fontId="1"/>
  </si>
  <si>
    <r>
      <t>社会で活用されるデータ、活用領域や現状の具体例（</t>
    </r>
    <r>
      <rPr>
        <sz val="12"/>
        <color rgb="FFFF0000"/>
        <rFont val="ＭＳ Ｐゴシック"/>
        <family val="3"/>
        <charset val="128"/>
      </rPr>
      <t>調査データ、実験データ、人の行動ログデータ、機械の稼働ログデータなど</t>
    </r>
    <r>
      <rPr>
        <sz val="12"/>
        <color theme="1"/>
        <rFont val="ＭＳ Ｐゴシック"/>
        <family val="3"/>
        <charset val="128"/>
        <scheme val="minor"/>
      </rPr>
      <t>）。</t>
    </r>
    <r>
      <rPr>
        <sz val="12"/>
        <color rgb="FFFF0000"/>
        <rFont val="ＭＳ Ｐゴシック"/>
        <family val="3"/>
        <charset val="128"/>
      </rPr>
      <t>1次データ、2次データ、データのメタ化、</t>
    </r>
    <r>
      <rPr>
        <sz val="12"/>
        <color theme="1"/>
        <rFont val="ＭＳ Ｐゴシック"/>
        <family val="3"/>
        <charset val="128"/>
        <scheme val="minor"/>
      </rPr>
      <t>ビッグデータと</t>
    </r>
    <r>
      <rPr>
        <sz val="12"/>
        <color rgb="FFFF0000"/>
        <rFont val="ＭＳ Ｐゴシック"/>
        <family val="3"/>
        <charset val="128"/>
      </rPr>
      <t>アノテーション</t>
    </r>
    <r>
      <rPr>
        <sz val="12"/>
        <color theme="1"/>
        <rFont val="ＭＳ Ｐゴシック"/>
        <family val="3"/>
        <charset val="128"/>
        <scheme val="minor"/>
      </rPr>
      <t>：実態と将来の可能性。「情報Ⅰ」（14回目）
社会で活用されているデータの事例（</t>
    </r>
    <r>
      <rPr>
        <sz val="12"/>
        <color rgb="FFFF0000"/>
        <rFont val="ＭＳ Ｐゴシック"/>
        <family val="3"/>
        <charset val="128"/>
      </rPr>
      <t>構造化データ、非構造化データ（文章、画像/動画、音声/音楽など）</t>
    </r>
    <r>
      <rPr>
        <sz val="12"/>
        <color theme="1"/>
        <rFont val="ＭＳ Ｐゴシック"/>
        <family val="3"/>
        <charset val="128"/>
        <scheme val="minor"/>
      </rPr>
      <t>）、インターネット普及率など分析演習。「情報Ⅱ」（5回目）
実社会におけるビジネスとデータ活用。商取引とコミュニケーション。広告・マーケティングにおけるデータ活用。消費者調査方法と分析。POSシステム、</t>
    </r>
    <r>
      <rPr>
        <sz val="12"/>
        <color rgb="FFFF0000"/>
        <rFont val="ＭＳ Ｐゴシック"/>
        <family val="3"/>
        <charset val="128"/>
      </rPr>
      <t>オープンデータ</t>
    </r>
    <r>
      <rPr>
        <sz val="12"/>
        <color theme="1"/>
        <rFont val="ＭＳ Ｐゴシック"/>
        <family val="3"/>
        <charset val="128"/>
        <scheme val="minor"/>
      </rPr>
      <t>など</t>
    </r>
    <r>
      <rPr>
        <sz val="12"/>
        <color rgb="FFFF0000"/>
        <rFont val="ＭＳ Ｐゴシック"/>
        <family val="3"/>
        <charset val="128"/>
      </rPr>
      <t>データ</t>
    </r>
    <r>
      <rPr>
        <sz val="12"/>
        <color theme="1"/>
        <rFont val="ＭＳ Ｐゴシック"/>
        <family val="3"/>
        <charset val="128"/>
        <scheme val="minor"/>
      </rPr>
      <t>の分析活用の広がり。「情報Ⅱ」（11回目）</t>
    </r>
    <phoneticPr fontId="1"/>
  </si>
  <si>
    <r>
      <t xml:space="preserve">情報倫理、データ倫理の概要。電子メールなどのコミュニケーションにおける留意点。著作権。「情報Ⅰ」（3回目）
</t>
    </r>
    <r>
      <rPr>
        <sz val="12"/>
        <color rgb="FFFF0000"/>
        <rFont val="ＭＳ Ｐゴシック"/>
        <family val="3"/>
        <charset val="128"/>
      </rPr>
      <t>ELSI（Ethical, Legal and Social Issues）</t>
    </r>
    <r>
      <rPr>
        <sz val="12"/>
        <color theme="1"/>
        <rFont val="ＭＳ Ｐゴシック"/>
        <family val="3"/>
        <charset val="128"/>
        <scheme val="minor"/>
      </rPr>
      <t>、インターネット普及の歴史とデータの変化。データのやりとりにおける注意点。ビジネスメールなど。個人情報などデータに関する扱いの変化、法令。</t>
    </r>
    <r>
      <rPr>
        <sz val="12"/>
        <color rgb="FFFF0000"/>
        <rFont val="ＭＳ Ｐゴシック"/>
        <family val="3"/>
        <charset val="128"/>
      </rPr>
      <t>EU一般データ保護規則(GDPR)、忘れられる権利、オプトアウト。</t>
    </r>
    <r>
      <rPr>
        <sz val="12"/>
        <color theme="1"/>
        <rFont val="ＭＳ Ｐゴシック"/>
        <family val="3"/>
        <charset val="128"/>
        <scheme val="minor"/>
      </rPr>
      <t>「情報Ⅱ」（8回目）
データ倫理とデータ利用の社会的課題。</t>
    </r>
    <r>
      <rPr>
        <sz val="12"/>
        <color rgb="FFFF0000"/>
        <rFont val="ＭＳ Ｐゴシック"/>
        <family val="3"/>
        <charset val="128"/>
      </rPr>
      <t>データのねつ造、改ざん、盗用、プライバシー保護</t>
    </r>
    <r>
      <rPr>
        <sz val="12"/>
        <color theme="1"/>
        <rFont val="ＭＳ Ｐゴシック"/>
        <family val="3"/>
        <charset val="128"/>
        <scheme val="minor"/>
      </rPr>
      <t>。情報発信におけるリスクと責任、ルール。AI社会原則</t>
    </r>
    <r>
      <rPr>
        <sz val="12"/>
        <color rgb="FFFF0000"/>
        <rFont val="ＭＳ Ｐゴシック"/>
        <family val="3"/>
        <charset val="128"/>
      </rPr>
      <t>（公平性、説明責任、透明性、人間中心の判断、データバイアス、アルゴリズムバイアス）</t>
    </r>
    <r>
      <rPr>
        <sz val="12"/>
        <color theme="1"/>
        <rFont val="ＭＳ Ｐゴシック"/>
        <family val="3"/>
        <charset val="128"/>
        <scheme val="minor"/>
      </rPr>
      <t>などデータAIに関連する倫理的法的問題。</t>
    </r>
    <r>
      <rPr>
        <sz val="12"/>
        <color rgb="FFFF0000"/>
        <rFont val="ＭＳ Ｐゴシック"/>
        <family val="3"/>
        <charset val="128"/>
      </rPr>
      <t>AIサービスの責任論</t>
    </r>
    <r>
      <rPr>
        <sz val="12"/>
        <color theme="1"/>
        <rFont val="ＭＳ Ｐゴシック"/>
        <family val="3"/>
        <charset val="128"/>
        <scheme val="minor"/>
      </rPr>
      <t>。「情報Ⅱ」（9回目）
著作権などの権利と情報・データ。参考文献、引用文献と剽窃、盗用などデータ活用における留意点（著作権法と適用範囲、要配慮個人情報とデータの取得方法、個人情報保護法など）。</t>
    </r>
    <r>
      <rPr>
        <sz val="12"/>
        <color rgb="FFFF0000"/>
        <rFont val="ＭＳ Ｐゴシック"/>
        <family val="3"/>
        <charset val="128"/>
      </rPr>
      <t>データ・AI活用における負の事例紹介。</t>
    </r>
    <r>
      <rPr>
        <sz val="12"/>
        <color theme="1"/>
        <rFont val="ＭＳ Ｐゴシック"/>
        <family val="3"/>
        <charset val="128"/>
        <scheme val="minor"/>
      </rPr>
      <t>「情報Ⅱ」（10回目）</t>
    </r>
    <rPh sb="130" eb="131">
      <t>カイ</t>
    </rPh>
    <phoneticPr fontId="1"/>
  </si>
  <si>
    <r>
      <t>データ（情報）に関する危険と守るための方法。守るべきデータ（個人情報）。ウイルスなどの脅威、PW、暗号化やOSの管理、ネットリテラシー全般。</t>
    </r>
    <r>
      <rPr>
        <sz val="12"/>
        <color rgb="FFFF0000"/>
        <rFont val="ＭＳ Ｐゴシック"/>
        <family val="3"/>
        <charset val="128"/>
      </rPr>
      <t>匿名加工情報、暗号化、パスワード、悪意ある情報搾取。情報漏洩等によるセキュリティ事故の事例紹介。</t>
    </r>
    <r>
      <rPr>
        <sz val="12"/>
        <color theme="1"/>
        <rFont val="ＭＳ Ｐゴシック"/>
        <family val="3"/>
        <charset val="128"/>
        <scheme val="minor"/>
      </rPr>
      <t>「情報Ⅰ」（4回目）
ファイルやデータの管理とセキュリティ</t>
    </r>
    <r>
      <rPr>
        <sz val="12"/>
        <color rgb="FFFF0000"/>
        <rFont val="ＭＳ Ｐゴシック"/>
        <family val="3"/>
        <charset val="128"/>
      </rPr>
      <t>：機密性、完全性、可用性</t>
    </r>
    <r>
      <rPr>
        <sz val="12"/>
        <color theme="1"/>
        <rFont val="ＭＳ Ｐゴシック"/>
        <family val="3"/>
        <charset val="128"/>
        <scheme val="minor"/>
      </rPr>
      <t>。ファイルの整理、性質・種類、やり取り、メンテナンス（保全・安全）。「情報Ⅱ」（7回目）</t>
    </r>
    <phoneticPr fontId="1"/>
  </si>
  <si>
    <r>
      <t>Excelによる統計とグラフ。度数分布とヒストグラム。条件判断。平均値、標準偏差などの演習を通じ、データの統計・計算とグラフの関係。</t>
    </r>
    <r>
      <rPr>
        <sz val="12"/>
        <color rgb="FFFF0000"/>
        <rFont val="ＭＳ Ｐゴシック"/>
        <family val="3"/>
        <charset val="128"/>
      </rPr>
      <t>代表値の性質の違い</t>
    </r>
    <r>
      <rPr>
        <sz val="12"/>
        <color theme="1"/>
        <rFont val="ＭＳ Ｐゴシック"/>
        <family val="3"/>
        <charset val="128"/>
        <scheme val="minor"/>
      </rPr>
      <t>。「情報Ⅰ」（11回目）
統計データの処理方法とグラフ。散布図、最小二乗法によるデータ分析、</t>
    </r>
    <r>
      <rPr>
        <sz val="12"/>
        <color rgb="FFFF0000"/>
        <rFont val="ＭＳ Ｐゴシック"/>
        <family val="3"/>
        <charset val="128"/>
      </rPr>
      <t>クロス集計表、分割表、相関係数行列、</t>
    </r>
    <r>
      <rPr>
        <sz val="12"/>
        <color theme="1"/>
        <rFont val="ＭＳ Ｐゴシック"/>
        <family val="3"/>
        <charset val="128"/>
        <scheme val="minor"/>
      </rPr>
      <t>近似値と予測。</t>
    </r>
    <r>
      <rPr>
        <sz val="12"/>
        <color rgb="FFFF0000"/>
        <rFont val="ＭＳ Ｐゴシック"/>
        <family val="3"/>
        <charset val="128"/>
      </rPr>
      <t>データのばらつき（分散、標準偏差、偏差値）、観測データに含まれる誤差の扱い。</t>
    </r>
    <r>
      <rPr>
        <sz val="12"/>
        <color theme="1"/>
        <rFont val="ＭＳ Ｐゴシック"/>
        <family val="3"/>
        <charset val="128"/>
        <scheme val="minor"/>
      </rPr>
      <t>「情報Ⅰ」（12回目）
質的データと量的データ分析の基本テクニック（比較、変化、構成）とグラフの選択、データ加工。</t>
    </r>
    <r>
      <rPr>
        <sz val="12"/>
        <color rgb="FFFF0000"/>
        <rFont val="ＭＳ Ｐゴシック"/>
        <family val="3"/>
        <charset val="128"/>
      </rPr>
      <t>打ち切りや脱落を含むデータ、層別の必要なデータ。相関と因果（相関係数、擬似相関、交絡）、母集団と標本抽出</t>
    </r>
    <r>
      <rPr>
        <sz val="12"/>
        <color theme="1"/>
        <rFont val="ＭＳ Ｐゴシック"/>
        <family val="3"/>
        <charset val="128"/>
        <scheme val="minor"/>
      </rPr>
      <t>関数、論理式と条件分岐。適切なデータの読み方・分析。</t>
    </r>
    <r>
      <rPr>
        <sz val="12"/>
        <color rgb="FFFF0000"/>
        <rFont val="ＭＳ Ｐゴシック"/>
        <family val="3"/>
        <charset val="128"/>
      </rPr>
      <t>統計情報の正しい理解（誇張表現に惑わされない</t>
    </r>
    <r>
      <rPr>
        <sz val="12"/>
        <color theme="1"/>
        <rFont val="ＭＳ Ｐゴシック"/>
        <family val="3"/>
        <charset val="128"/>
        <scheme val="minor"/>
      </rPr>
      <t>）。「情報Ⅱ」（3回目）</t>
    </r>
    <phoneticPr fontId="1"/>
  </si>
  <si>
    <r>
      <t>データ・AI活用の概説：</t>
    </r>
    <r>
      <rPr>
        <sz val="12"/>
        <color rgb="FFFF0000"/>
        <rFont val="ＭＳ Ｐゴシック"/>
        <family val="3"/>
        <charset val="128"/>
        <scheme val="minor"/>
      </rPr>
      <t>仮説検証、知識発見、原因究明、計画策定、判断支援、活動代替、新規生成など。</t>
    </r>
    <r>
      <rPr>
        <sz val="12"/>
        <color theme="1"/>
        <rFont val="ＭＳ Ｐゴシック"/>
        <family val="3"/>
        <charset val="128"/>
        <scheme val="minor"/>
      </rPr>
      <t>現状と将来の活用の可能性の調査</t>
    </r>
    <r>
      <rPr>
        <sz val="12"/>
        <color rgb="FFFF0000"/>
        <rFont val="ＭＳ Ｐゴシック"/>
        <family val="3"/>
        <charset val="128"/>
        <scheme val="minor"/>
      </rPr>
      <t>：研究開発、調達、製造、物流、販売、マーケティング、サービスなど。</t>
    </r>
    <r>
      <rPr>
        <sz val="12"/>
        <color theme="1"/>
        <rFont val="ＭＳ Ｐゴシック"/>
        <family val="3"/>
        <charset val="128"/>
        <scheme val="minor"/>
      </rPr>
      <t>「情報Ⅰ」（13回目）
社会で活用されているデータ・AIの調査：</t>
    </r>
    <r>
      <rPr>
        <sz val="12"/>
        <color rgb="FFFF0000"/>
        <rFont val="ＭＳ Ｐゴシック"/>
        <family val="3"/>
        <charset val="128"/>
        <scheme val="minor"/>
      </rPr>
      <t>データ・AI活用領域の広がり(生産、消費、文化活動など)。</t>
    </r>
    <r>
      <rPr>
        <sz val="12"/>
        <color theme="1"/>
        <rFont val="ＭＳ Ｐゴシック"/>
        <family val="3"/>
        <charset val="128"/>
        <scheme val="minor"/>
      </rPr>
      <t>「情報Ⅰ」（14回目）</t>
    </r>
    <phoneticPr fontId="1"/>
  </si>
  <si>
    <r>
      <t>視覚表現の特徴と方法。</t>
    </r>
    <r>
      <rPr>
        <sz val="12"/>
        <color rgb="FFFF0000"/>
        <rFont val="ＭＳ Ｐゴシック"/>
        <family val="3"/>
        <charset val="128"/>
        <scheme val="minor"/>
      </rPr>
      <t>データ表現（棒グラフ、折線グラフ、散布図、ヒートマップ）</t>
    </r>
    <r>
      <rPr>
        <sz val="12"/>
        <color theme="1"/>
        <rFont val="ＭＳ Ｐゴシック"/>
        <family val="3"/>
        <charset val="128"/>
        <scheme val="minor"/>
      </rPr>
      <t>。視認性、色と図形、配色、ルール付け、図解方法、</t>
    </r>
    <r>
      <rPr>
        <sz val="12"/>
        <color rgb="FFFF0000"/>
        <rFont val="ＭＳ Ｐゴシック"/>
        <family val="3"/>
        <charset val="128"/>
        <scheme val="minor"/>
      </rPr>
      <t>データの図表表現（チャート化）</t>
    </r>
    <r>
      <rPr>
        <sz val="12"/>
        <color theme="1"/>
        <rFont val="ＭＳ Ｐゴシック"/>
        <family val="3"/>
        <charset val="128"/>
        <scheme val="minor"/>
      </rPr>
      <t>。「情報Ⅱ」（12回目）
e-Statを利用した社会の調査と分析・データ作成。「情報Ⅱ」（13回目）
統計データを用いた視覚表現・グラフなど：</t>
    </r>
    <r>
      <rPr>
        <sz val="12"/>
        <color rgb="FFFF0000"/>
        <rFont val="ＭＳ Ｐゴシック"/>
        <family val="3"/>
        <charset val="128"/>
        <scheme val="minor"/>
      </rPr>
      <t>データの比較（条件をそろえた比較、処理の前後での比較、A/Bテスト)、不適切なグラフ表現（チャートジャンク、不必要な視覚的要素）、優れた可視化事例の紹介。</t>
    </r>
    <r>
      <rPr>
        <sz val="12"/>
        <color theme="1"/>
        <rFont val="ＭＳ Ｐゴシック"/>
        <family val="3"/>
        <charset val="128"/>
        <scheme val="minor"/>
      </rPr>
      <t>「情報Ⅱ」（１4回目）
データサイエンス基礎についての総括。「情報Ⅱ」（15回目）</t>
    </r>
    <phoneticPr fontId="1"/>
  </si>
  <si>
    <r>
      <t>ファイル管理全般。「情報Ⅰ」（6回目）
図の作成、クラウドや内部ストレージなどへのファイル（データ）の保存。「情報Ⅰ」（6回目）
Excelによる表計算の基礎。</t>
    </r>
    <r>
      <rPr>
        <sz val="12"/>
        <color rgb="FFFF0000"/>
        <rFont val="ＭＳ Ｐゴシック"/>
        <family val="3"/>
        <charset val="128"/>
        <scheme val="minor"/>
      </rPr>
      <t>データの集計（和、平均）</t>
    </r>
    <r>
      <rPr>
        <sz val="12"/>
        <color theme="1"/>
        <rFont val="ＭＳ Ｐゴシック"/>
        <family val="3"/>
        <charset val="128"/>
        <scheme val="minor"/>
      </rPr>
      <t>、グラフ作成。</t>
    </r>
    <r>
      <rPr>
        <sz val="12"/>
        <color rgb="FFFF0000"/>
        <rFont val="ＭＳ Ｐゴシック"/>
        <family val="3"/>
        <charset val="128"/>
        <scheme val="minor"/>
      </rPr>
      <t>データ解析ツール（スプレッドシート）。表形式のデータ（csv）。</t>
    </r>
    <r>
      <rPr>
        <sz val="12"/>
        <color theme="1"/>
        <rFont val="ＭＳ Ｐゴシック"/>
        <family val="3"/>
        <charset val="128"/>
        <scheme val="minor"/>
      </rPr>
      <t>「情報Ⅰ」（7回目）
Excel計算式、数データと文字データ、グラフ。「情報Ⅰ」（8回目）
Excelの関数。IF関数のNEST構造。条件判断とプログラミング。「情報Ⅰ」（9回目）
データベースの活用。具体例、定形データと非定型データ。リスト、抽出、並べ替え、ランキングなど。「情報Ⅱ」（6回目）</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</si>
</sst>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font>
    <font>
      <u/>
      <sz val="12"/>
      <color rgb="FFFF0000"/>
      <name val="ＭＳ Ｐゴシック"/>
      <family val="2"/>
      <charset val="128"/>
    </font>
    <font>
      <sz val="12"/>
      <color rgb="FFFF0000"/>
      <name val="ＭＳ Ｐゴシック"/>
      <family val="3"/>
      <charset val="128"/>
      <scheme val="minor"/>
    </font>
    <font>
      <sz val="12"/>
      <name val="ＭＳ Ｐゴシック"/>
      <family val="3"/>
      <charset val="128"/>
      <scheme val="minor"/>
    </font>
    <font>
      <b/>
      <u/>
      <sz val="12"/>
      <color rgb="FFFF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13" fillId="0" borderId="22" xfId="0" applyFont="1" applyBorder="1" applyAlignment="1">
      <alignment horizontal="center" vertical="center" shrinkToFit="1"/>
    </xf>
    <xf numFmtId="0" fontId="14" fillId="0" borderId="22" xfId="0" applyFont="1" applyBorder="1" applyAlignment="1">
      <alignment horizontal="center" vertical="center" shrinkToFit="1"/>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0" xfId="0" applyFont="1" applyAlignment="1">
      <alignment vertical="center" wrapText="1"/>
    </xf>
    <xf numFmtId="0" fontId="3" fillId="0" borderId="44" xfId="0" applyFont="1" applyBorder="1" applyAlignment="1">
      <alignment vertical="center" wrapText="1"/>
    </xf>
    <xf numFmtId="0" fontId="3" fillId="0" borderId="30" xfId="0" applyFont="1" applyBorder="1" applyAlignment="1">
      <alignment vertical="center" wrapText="1"/>
    </xf>
    <xf numFmtId="0" fontId="3" fillId="0" borderId="45" xfId="0" applyFont="1" applyBorder="1" applyAlignment="1">
      <alignment vertical="center" wrapText="1"/>
    </xf>
    <xf numFmtId="0" fontId="2" fillId="0" borderId="35"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3" xfId="0" applyFont="1" applyBorder="1" applyAlignment="1">
      <alignment horizontal="left" vertical="center" wrapText="1" shrinkToFit="1"/>
    </xf>
    <xf numFmtId="0" fontId="2" fillId="0" borderId="35" xfId="0" applyFont="1" applyBorder="1" applyAlignment="1">
      <alignment horizontal="left" vertical="center" shrinkToFit="1"/>
    </xf>
    <xf numFmtId="0" fontId="2" fillId="0" borderId="34" xfId="0" applyFont="1" applyBorder="1" applyAlignment="1">
      <alignment horizontal="left" vertical="center"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6" xfId="0" applyFont="1" applyBorder="1" applyAlignment="1">
      <alignment horizontal="left" vertical="center" wrapText="1" shrinkToFit="1"/>
    </xf>
    <xf numFmtId="0" fontId="2" fillId="0" borderId="37" xfId="0" applyFont="1" applyBorder="1" applyAlignment="1">
      <alignment horizontal="left" vertical="center" shrinkToFit="1"/>
    </xf>
    <xf numFmtId="0" fontId="2" fillId="0" borderId="38" xfId="0" applyFont="1" applyBorder="1" applyAlignment="1">
      <alignment horizontal="left" vertical="center" shrinkToFit="1"/>
    </xf>
    <xf numFmtId="0" fontId="2" fillId="0" borderId="35"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7" xfId="0" applyFont="1" applyBorder="1" applyAlignment="1">
      <alignment horizontal="left" vertical="center" wrapText="1" shrinkToFit="1"/>
    </xf>
    <xf numFmtId="0" fontId="2" fillId="0" borderId="34"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4"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2" fillId="0" borderId="0" xfId="0" applyFont="1" applyAlignment="1">
      <alignment horizontal="left" vertical="center"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3" xfId="0" applyFont="1" applyBorder="1" applyAlignment="1">
      <alignment horizontal="center"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58" xfId="0" applyFont="1" applyBorder="1" applyAlignment="1">
      <alignment vertical="center" wrapText="1"/>
    </xf>
    <xf numFmtId="0" fontId="2" fillId="0" borderId="38"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1" xfId="0" applyFont="1" applyBorder="1" applyAlignment="1">
      <alignment vertical="top" wrapText="1" shrinkToFit="1"/>
    </xf>
    <xf numFmtId="0" fontId="2" fillId="0" borderId="42"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topLeftCell="A86" zoomScale="90" zoomScaleNormal="100" zoomScaleSheetLayoutView="90" workbookViewId="0">
      <selection activeCell="D91" sqref="D91:S91"/>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399999999999999" customHeight="1" x14ac:dyDescent="0.15">
      <c r="R1" s="135" t="s">
        <v>12</v>
      </c>
      <c r="S1" s="135"/>
      <c r="T1" s="2" t="s">
        <v>110</v>
      </c>
    </row>
    <row r="2" spans="1:22" ht="18.75" customHeight="1" x14ac:dyDescent="0.15">
      <c r="B2" s="33" t="s">
        <v>109</v>
      </c>
      <c r="C2" s="88" t="s">
        <v>127</v>
      </c>
      <c r="D2" s="89"/>
      <c r="E2" s="89"/>
      <c r="F2" s="89"/>
      <c r="G2" s="89"/>
      <c r="H2" s="89"/>
      <c r="I2" s="90"/>
      <c r="J2" s="34"/>
      <c r="K2" s="6"/>
      <c r="L2" s="6"/>
      <c r="M2" s="6"/>
      <c r="N2" s="6"/>
      <c r="O2" s="6"/>
      <c r="P2" s="6"/>
      <c r="Q2" s="6"/>
      <c r="R2" s="6"/>
      <c r="S2" s="6"/>
    </row>
    <row r="3" spans="1:22" ht="18.75" customHeight="1" x14ac:dyDescent="0.15">
      <c r="B3" s="33" t="s">
        <v>103</v>
      </c>
      <c r="C3" s="88" t="s">
        <v>135</v>
      </c>
      <c r="D3" s="89"/>
      <c r="E3" s="89"/>
      <c r="F3" s="89"/>
      <c r="G3" s="89"/>
      <c r="H3" s="89"/>
      <c r="I3" s="90"/>
      <c r="J3" s="34"/>
      <c r="K3" s="6"/>
      <c r="L3" s="6"/>
      <c r="M3" s="6"/>
      <c r="N3" s="6"/>
      <c r="O3" s="6"/>
      <c r="P3" s="6"/>
      <c r="Q3" s="6"/>
      <c r="R3" s="6"/>
      <c r="S3" s="6"/>
    </row>
    <row r="4" spans="1:22" ht="15" customHeight="1" x14ac:dyDescent="0.15">
      <c r="K4" s="34"/>
      <c r="L4" s="35"/>
      <c r="M4" s="35"/>
      <c r="N4" s="35"/>
      <c r="O4" s="35"/>
      <c r="P4" s="35"/>
      <c r="Q4" s="35"/>
      <c r="R4" s="35"/>
      <c r="S4" s="35"/>
    </row>
    <row r="5" spans="1:22" ht="18" customHeight="1" x14ac:dyDescent="0.15">
      <c r="A5" s="139" t="s">
        <v>39</v>
      </c>
      <c r="B5" s="139"/>
      <c r="C5" s="139"/>
      <c r="D5" s="139"/>
      <c r="E5" s="139"/>
      <c r="F5" s="139"/>
      <c r="G5" s="139"/>
      <c r="H5" s="139"/>
      <c r="I5" s="139"/>
      <c r="J5" s="139"/>
      <c r="K5" s="139"/>
      <c r="L5" s="139"/>
      <c r="M5" s="139"/>
      <c r="N5" s="139"/>
      <c r="O5" s="139"/>
      <c r="P5" s="139"/>
      <c r="Q5" s="139"/>
      <c r="R5" s="139"/>
      <c r="S5" s="139"/>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6" t="s">
        <v>108</v>
      </c>
      <c r="K7" s="149" t="s">
        <v>128</v>
      </c>
      <c r="L7" s="150"/>
      <c r="M7" s="150"/>
      <c r="N7" s="150"/>
      <c r="O7" s="150"/>
      <c r="P7" s="150"/>
      <c r="Q7" s="150"/>
      <c r="R7" s="150"/>
      <c r="S7" s="15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52"/>
      <c r="C9" s="153"/>
      <c r="D9" s="153"/>
      <c r="E9" s="153"/>
      <c r="F9" s="153"/>
      <c r="G9" s="153"/>
      <c r="H9" s="153"/>
      <c r="I9" s="153"/>
      <c r="J9" s="153"/>
      <c r="K9" s="153"/>
      <c r="L9" s="153"/>
      <c r="M9" s="153"/>
      <c r="N9" s="153"/>
      <c r="O9" s="153"/>
      <c r="P9" s="153"/>
      <c r="Q9" s="153"/>
      <c r="R9" s="153"/>
      <c r="S9" s="154"/>
    </row>
    <row r="10" spans="1:22" ht="18" customHeight="1" x14ac:dyDescent="0.15">
      <c r="B10" s="155"/>
      <c r="C10" s="156"/>
      <c r="D10" s="156"/>
      <c r="E10" s="156"/>
      <c r="F10" s="156"/>
      <c r="G10" s="156"/>
      <c r="H10" s="156"/>
      <c r="I10" s="156"/>
      <c r="J10" s="156"/>
      <c r="K10" s="156"/>
      <c r="L10" s="156"/>
      <c r="M10" s="156"/>
      <c r="N10" s="156"/>
      <c r="O10" s="156"/>
      <c r="P10" s="156"/>
      <c r="Q10" s="156"/>
      <c r="R10" s="156"/>
      <c r="S10" s="157"/>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4"/>
      <c r="E12" s="34"/>
      <c r="F12" s="34"/>
      <c r="G12" s="34"/>
      <c r="H12" s="34"/>
      <c r="I12" s="34"/>
      <c r="J12" s="34"/>
      <c r="K12" s="37"/>
      <c r="L12" s="37"/>
      <c r="M12" s="37"/>
      <c r="N12" s="37"/>
      <c r="O12" s="37"/>
      <c r="P12" s="37"/>
      <c r="Q12" s="37"/>
      <c r="R12" s="37"/>
      <c r="S12" s="37"/>
    </row>
    <row r="13" spans="1:22" ht="18" customHeight="1" x14ac:dyDescent="0.15">
      <c r="B13" s="140" t="s">
        <v>136</v>
      </c>
      <c r="C13" s="141"/>
      <c r="D13" s="141"/>
      <c r="E13" s="141"/>
      <c r="F13" s="141"/>
      <c r="G13" s="141"/>
      <c r="H13" s="141"/>
      <c r="I13" s="141"/>
      <c r="J13" s="141"/>
      <c r="K13" s="141"/>
      <c r="L13" s="141"/>
      <c r="M13" s="141"/>
      <c r="N13" s="141"/>
      <c r="O13" s="141"/>
      <c r="P13" s="141"/>
      <c r="Q13" s="141"/>
      <c r="R13" s="141"/>
      <c r="S13" s="142"/>
      <c r="V13" s="1" t="s">
        <v>104</v>
      </c>
    </row>
    <row r="14" spans="1:22" ht="18" customHeight="1" x14ac:dyDescent="0.15">
      <c r="B14" s="143"/>
      <c r="C14" s="144"/>
      <c r="D14" s="144"/>
      <c r="E14" s="144"/>
      <c r="F14" s="144"/>
      <c r="G14" s="144"/>
      <c r="H14" s="144"/>
      <c r="I14" s="144"/>
      <c r="J14" s="144"/>
      <c r="K14" s="144"/>
      <c r="L14" s="144"/>
      <c r="M14" s="144"/>
      <c r="N14" s="144"/>
      <c r="O14" s="144"/>
      <c r="P14" s="144"/>
      <c r="Q14" s="144"/>
      <c r="R14" s="144"/>
      <c r="S14" s="145"/>
      <c r="V14" s="1" t="s">
        <v>111</v>
      </c>
    </row>
    <row r="15" spans="1:22" ht="18" customHeight="1" x14ac:dyDescent="0.15">
      <c r="B15" s="143"/>
      <c r="C15" s="144"/>
      <c r="D15" s="144"/>
      <c r="E15" s="144"/>
      <c r="F15" s="144"/>
      <c r="G15" s="144"/>
      <c r="H15" s="144"/>
      <c r="I15" s="144"/>
      <c r="J15" s="144"/>
      <c r="K15" s="144"/>
      <c r="L15" s="144"/>
      <c r="M15" s="144"/>
      <c r="N15" s="144"/>
      <c r="O15" s="144"/>
      <c r="P15" s="144"/>
      <c r="Q15" s="144"/>
      <c r="R15" s="144"/>
      <c r="S15" s="145"/>
      <c r="V15" s="1" t="s">
        <v>124</v>
      </c>
    </row>
    <row r="16" spans="1:22" ht="18" customHeight="1" x14ac:dyDescent="0.15">
      <c r="B16" s="143"/>
      <c r="C16" s="144"/>
      <c r="D16" s="144"/>
      <c r="E16" s="144"/>
      <c r="F16" s="144"/>
      <c r="G16" s="144"/>
      <c r="H16" s="144"/>
      <c r="I16" s="144"/>
      <c r="J16" s="144"/>
      <c r="K16" s="144"/>
      <c r="L16" s="144"/>
      <c r="M16" s="144"/>
      <c r="N16" s="144"/>
      <c r="O16" s="144"/>
      <c r="P16" s="144"/>
      <c r="Q16" s="144"/>
      <c r="R16" s="144"/>
      <c r="S16" s="145"/>
      <c r="V16" s="1" t="s">
        <v>126</v>
      </c>
    </row>
    <row r="17" spans="1:19" ht="18" customHeight="1" x14ac:dyDescent="0.15">
      <c r="B17" s="143"/>
      <c r="C17" s="144"/>
      <c r="D17" s="144"/>
      <c r="E17" s="144"/>
      <c r="F17" s="144"/>
      <c r="G17" s="144"/>
      <c r="H17" s="144"/>
      <c r="I17" s="144"/>
      <c r="J17" s="144"/>
      <c r="K17" s="144"/>
      <c r="L17" s="144"/>
      <c r="M17" s="144"/>
      <c r="N17" s="144"/>
      <c r="O17" s="144"/>
      <c r="P17" s="144"/>
      <c r="Q17" s="144"/>
      <c r="R17" s="144"/>
      <c r="S17" s="145"/>
    </row>
    <row r="18" spans="1:19" ht="18" customHeight="1" x14ac:dyDescent="0.15">
      <c r="B18" s="146"/>
      <c r="C18" s="147"/>
      <c r="D18" s="147"/>
      <c r="E18" s="147"/>
      <c r="F18" s="147"/>
      <c r="G18" s="147"/>
      <c r="H18" s="147"/>
      <c r="I18" s="147"/>
      <c r="J18" s="147"/>
      <c r="K18" s="147"/>
      <c r="L18" s="147"/>
      <c r="M18" s="147"/>
      <c r="N18" s="147"/>
      <c r="O18" s="147"/>
      <c r="P18" s="147"/>
      <c r="Q18" s="147"/>
      <c r="R18" s="147"/>
      <c r="S18" s="148"/>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88">
        <v>2</v>
      </c>
      <c r="D20" s="90"/>
      <c r="E20" s="38" t="s">
        <v>96</v>
      </c>
      <c r="G20" s="10"/>
      <c r="H20" s="3"/>
      <c r="I20" s="3"/>
      <c r="J20" s="34" t="s">
        <v>122</v>
      </c>
      <c r="K20" s="136" t="s">
        <v>124</v>
      </c>
      <c r="L20" s="137"/>
      <c r="M20" s="137"/>
      <c r="N20" s="137"/>
      <c r="O20" s="137"/>
      <c r="P20" s="137"/>
      <c r="Q20" s="137"/>
      <c r="R20" s="137"/>
      <c r="S20" s="138"/>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4" t="s">
        <v>114</v>
      </c>
      <c r="B22" s="94"/>
      <c r="C22" s="94"/>
      <c r="D22" s="94"/>
      <c r="E22" s="94"/>
      <c r="F22" s="94"/>
      <c r="G22" s="94"/>
      <c r="H22" s="94"/>
      <c r="I22" s="94"/>
      <c r="J22" s="94"/>
      <c r="K22" s="94"/>
      <c r="L22" s="94"/>
      <c r="M22" s="94"/>
      <c r="N22" s="94"/>
      <c r="O22" s="94"/>
      <c r="P22" s="94"/>
      <c r="Q22" s="94"/>
      <c r="R22" s="94"/>
      <c r="S22" s="94"/>
    </row>
    <row r="23" spans="1:19" ht="18" customHeight="1" x14ac:dyDescent="0.15">
      <c r="A23" s="94"/>
      <c r="B23" s="94"/>
      <c r="C23" s="94"/>
      <c r="D23" s="94"/>
      <c r="E23" s="94"/>
      <c r="F23" s="94"/>
      <c r="G23" s="94"/>
      <c r="H23" s="94"/>
      <c r="I23" s="94"/>
      <c r="J23" s="94"/>
      <c r="K23" s="94"/>
      <c r="L23" s="94"/>
      <c r="M23" s="94"/>
      <c r="N23" s="94"/>
      <c r="O23" s="94"/>
      <c r="P23" s="94"/>
      <c r="Q23" s="94"/>
      <c r="R23" s="94"/>
      <c r="S23" s="94"/>
    </row>
    <row r="24" spans="1:19" ht="18" customHeight="1" x14ac:dyDescent="0.15">
      <c r="B24" s="88" t="s">
        <v>54</v>
      </c>
      <c r="C24" s="89"/>
      <c r="D24" s="89"/>
      <c r="E24" s="90"/>
      <c r="F24" s="59" t="s">
        <v>81</v>
      </c>
      <c r="G24" s="58" t="s">
        <v>85</v>
      </c>
      <c r="H24" s="21" t="s">
        <v>57</v>
      </c>
      <c r="I24" s="21" t="s">
        <v>60</v>
      </c>
      <c r="J24" s="88" t="s">
        <v>54</v>
      </c>
      <c r="K24" s="89"/>
      <c r="L24" s="89"/>
      <c r="M24" s="89"/>
      <c r="N24" s="89"/>
      <c r="O24" s="90"/>
      <c r="P24" s="59" t="s">
        <v>81</v>
      </c>
      <c r="Q24" s="58" t="s">
        <v>85</v>
      </c>
      <c r="R24" s="21" t="s">
        <v>57</v>
      </c>
      <c r="S24" s="21" t="s">
        <v>60</v>
      </c>
    </row>
    <row r="25" spans="1:19" ht="18" customHeight="1" x14ac:dyDescent="0.15">
      <c r="B25" s="82" t="s">
        <v>129</v>
      </c>
      <c r="C25" s="83"/>
      <c r="D25" s="83"/>
      <c r="E25" s="84"/>
      <c r="F25" s="22">
        <v>1</v>
      </c>
      <c r="G25" s="22" t="s">
        <v>131</v>
      </c>
      <c r="H25" s="22" t="s">
        <v>131</v>
      </c>
      <c r="I25" s="22"/>
      <c r="J25" s="82"/>
      <c r="K25" s="83"/>
      <c r="L25" s="83"/>
      <c r="M25" s="83"/>
      <c r="N25" s="83"/>
      <c r="O25" s="84"/>
      <c r="P25" s="22"/>
      <c r="Q25" s="22"/>
      <c r="R25" s="22"/>
      <c r="S25" s="22"/>
    </row>
    <row r="26" spans="1:19" ht="18" customHeight="1" x14ac:dyDescent="0.15">
      <c r="B26" s="85" t="s">
        <v>130</v>
      </c>
      <c r="C26" s="86"/>
      <c r="D26" s="86"/>
      <c r="E26" s="87"/>
      <c r="F26" s="23">
        <v>1</v>
      </c>
      <c r="G26" s="80" t="s">
        <v>131</v>
      </c>
      <c r="H26" s="23"/>
      <c r="I26" s="23" t="s">
        <v>131</v>
      </c>
      <c r="J26" s="85"/>
      <c r="K26" s="86"/>
      <c r="L26" s="86"/>
      <c r="M26" s="86"/>
      <c r="N26" s="86"/>
      <c r="O26" s="87"/>
      <c r="P26" s="23"/>
      <c r="Q26" s="23"/>
      <c r="R26" s="23"/>
      <c r="S26" s="23"/>
    </row>
    <row r="27" spans="1:19" ht="18" customHeight="1" x14ac:dyDescent="0.15">
      <c r="B27" s="85"/>
      <c r="C27" s="86"/>
      <c r="D27" s="86"/>
      <c r="E27" s="87"/>
      <c r="F27" s="23"/>
      <c r="G27" s="23"/>
      <c r="H27" s="23"/>
      <c r="I27" s="23"/>
      <c r="J27" s="85"/>
      <c r="K27" s="86"/>
      <c r="L27" s="86"/>
      <c r="M27" s="86"/>
      <c r="N27" s="86"/>
      <c r="O27" s="87"/>
      <c r="P27" s="23"/>
      <c r="Q27" s="23"/>
      <c r="R27" s="23"/>
      <c r="S27" s="23"/>
    </row>
    <row r="28" spans="1:19" ht="18" customHeight="1" x14ac:dyDescent="0.15">
      <c r="B28" s="85"/>
      <c r="C28" s="86"/>
      <c r="D28" s="86"/>
      <c r="E28" s="87"/>
      <c r="F28" s="23"/>
      <c r="G28" s="23"/>
      <c r="H28" s="23"/>
      <c r="I28" s="23"/>
      <c r="J28" s="85"/>
      <c r="K28" s="86"/>
      <c r="L28" s="86"/>
      <c r="M28" s="86"/>
      <c r="N28" s="86"/>
      <c r="O28" s="87"/>
      <c r="P28" s="23"/>
      <c r="Q28" s="23"/>
      <c r="R28" s="23"/>
      <c r="S28" s="23"/>
    </row>
    <row r="29" spans="1:19" ht="18" customHeight="1" x14ac:dyDescent="0.15">
      <c r="B29" s="85"/>
      <c r="C29" s="86"/>
      <c r="D29" s="86"/>
      <c r="E29" s="87"/>
      <c r="F29" s="23"/>
      <c r="G29" s="23"/>
      <c r="H29" s="23"/>
      <c r="I29" s="23"/>
      <c r="J29" s="85"/>
      <c r="K29" s="86"/>
      <c r="L29" s="86"/>
      <c r="M29" s="86"/>
      <c r="N29" s="86"/>
      <c r="O29" s="87"/>
      <c r="P29" s="23"/>
      <c r="Q29" s="23"/>
      <c r="R29" s="23"/>
      <c r="S29" s="23"/>
    </row>
    <row r="30" spans="1:19" ht="18" customHeight="1" x14ac:dyDescent="0.15">
      <c r="A30" s="3"/>
      <c r="B30" s="85"/>
      <c r="C30" s="86"/>
      <c r="D30" s="86"/>
      <c r="E30" s="87"/>
      <c r="F30" s="23"/>
      <c r="G30" s="23"/>
      <c r="H30" s="23"/>
      <c r="I30" s="23"/>
      <c r="J30" s="85"/>
      <c r="K30" s="86"/>
      <c r="L30" s="86"/>
      <c r="M30" s="86"/>
      <c r="N30" s="86"/>
      <c r="O30" s="87"/>
      <c r="P30" s="23"/>
      <c r="Q30" s="23"/>
      <c r="R30" s="23"/>
      <c r="S30" s="23"/>
    </row>
    <row r="31" spans="1:19" ht="18" customHeight="1" x14ac:dyDescent="0.15">
      <c r="A31" s="3"/>
      <c r="B31" s="91"/>
      <c r="C31" s="92"/>
      <c r="D31" s="92"/>
      <c r="E31" s="93"/>
      <c r="F31" s="24"/>
      <c r="G31" s="24"/>
      <c r="H31" s="25"/>
      <c r="I31" s="25"/>
      <c r="J31" s="91"/>
      <c r="K31" s="92"/>
      <c r="L31" s="92"/>
      <c r="M31" s="92"/>
      <c r="N31" s="92"/>
      <c r="O31" s="93"/>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4" t="s">
        <v>115</v>
      </c>
      <c r="B33" s="94"/>
      <c r="C33" s="94"/>
      <c r="D33" s="94"/>
      <c r="E33" s="94"/>
      <c r="F33" s="94"/>
      <c r="G33" s="94"/>
      <c r="H33" s="94"/>
      <c r="I33" s="94"/>
      <c r="J33" s="94"/>
      <c r="K33" s="94"/>
      <c r="L33" s="94"/>
      <c r="M33" s="94"/>
      <c r="N33" s="94"/>
      <c r="O33" s="94"/>
      <c r="P33" s="94"/>
      <c r="Q33" s="94"/>
      <c r="R33" s="94"/>
      <c r="S33" s="94"/>
    </row>
    <row r="34" spans="1:19" ht="18" customHeight="1" x14ac:dyDescent="0.15">
      <c r="A34" s="94"/>
      <c r="B34" s="94"/>
      <c r="C34" s="94"/>
      <c r="D34" s="94"/>
      <c r="E34" s="94"/>
      <c r="F34" s="94"/>
      <c r="G34" s="94"/>
      <c r="H34" s="94"/>
      <c r="I34" s="94"/>
      <c r="J34" s="94"/>
      <c r="K34" s="94"/>
      <c r="L34" s="94"/>
      <c r="M34" s="94"/>
      <c r="N34" s="94"/>
      <c r="O34" s="94"/>
      <c r="P34" s="94"/>
      <c r="Q34" s="94"/>
      <c r="R34" s="94"/>
      <c r="S34" s="94"/>
    </row>
    <row r="35" spans="1:19" ht="18" customHeight="1" x14ac:dyDescent="0.15">
      <c r="B35" s="88" t="s">
        <v>54</v>
      </c>
      <c r="C35" s="89"/>
      <c r="D35" s="89"/>
      <c r="E35" s="90"/>
      <c r="F35" s="59" t="s">
        <v>81</v>
      </c>
      <c r="G35" s="58" t="s">
        <v>85</v>
      </c>
      <c r="H35" s="21" t="s">
        <v>72</v>
      </c>
      <c r="I35" s="21" t="s">
        <v>73</v>
      </c>
      <c r="J35" s="88" t="s">
        <v>54</v>
      </c>
      <c r="K35" s="89"/>
      <c r="L35" s="89"/>
      <c r="M35" s="89"/>
      <c r="N35" s="89"/>
      <c r="O35" s="90"/>
      <c r="P35" s="59" t="s">
        <v>81</v>
      </c>
      <c r="Q35" s="58" t="s">
        <v>85</v>
      </c>
      <c r="R35" s="21" t="s">
        <v>72</v>
      </c>
      <c r="S35" s="21" t="s">
        <v>73</v>
      </c>
    </row>
    <row r="36" spans="1:19" ht="18" customHeight="1" x14ac:dyDescent="0.15">
      <c r="B36" s="82" t="s">
        <v>129</v>
      </c>
      <c r="C36" s="83"/>
      <c r="D36" s="83"/>
      <c r="E36" s="84"/>
      <c r="F36" s="22">
        <v>1</v>
      </c>
      <c r="G36" s="22" t="s">
        <v>131</v>
      </c>
      <c r="H36" s="22" t="s">
        <v>131</v>
      </c>
      <c r="I36" s="22" t="s">
        <v>131</v>
      </c>
      <c r="J36" s="82"/>
      <c r="K36" s="83"/>
      <c r="L36" s="83"/>
      <c r="M36" s="83"/>
      <c r="N36" s="83"/>
      <c r="O36" s="84"/>
      <c r="P36" s="22"/>
      <c r="Q36" s="22"/>
      <c r="R36" s="22"/>
      <c r="S36" s="22"/>
    </row>
    <row r="37" spans="1:19" ht="18" customHeight="1" x14ac:dyDescent="0.15">
      <c r="B37" s="85" t="s">
        <v>130</v>
      </c>
      <c r="C37" s="86"/>
      <c r="D37" s="86"/>
      <c r="E37" s="87"/>
      <c r="F37" s="23">
        <v>1</v>
      </c>
      <c r="G37" s="80" t="s">
        <v>131</v>
      </c>
      <c r="H37" s="23" t="s">
        <v>131</v>
      </c>
      <c r="I37" s="23"/>
      <c r="J37" s="85"/>
      <c r="K37" s="86"/>
      <c r="L37" s="86"/>
      <c r="M37" s="86"/>
      <c r="N37" s="86"/>
      <c r="O37" s="87"/>
      <c r="P37" s="23"/>
      <c r="Q37" s="23"/>
      <c r="R37" s="23"/>
      <c r="S37" s="23"/>
    </row>
    <row r="38" spans="1:19" ht="18" customHeight="1" x14ac:dyDescent="0.15">
      <c r="B38" s="85"/>
      <c r="C38" s="86"/>
      <c r="D38" s="86"/>
      <c r="E38" s="87"/>
      <c r="F38" s="23"/>
      <c r="G38" s="23"/>
      <c r="H38" s="23"/>
      <c r="I38" s="23"/>
      <c r="J38" s="85"/>
      <c r="K38" s="86"/>
      <c r="L38" s="86"/>
      <c r="M38" s="86"/>
      <c r="N38" s="86"/>
      <c r="O38" s="87"/>
      <c r="P38" s="23"/>
      <c r="Q38" s="23"/>
      <c r="R38" s="23"/>
      <c r="S38" s="23"/>
    </row>
    <row r="39" spans="1:19" ht="18" customHeight="1" x14ac:dyDescent="0.15">
      <c r="B39" s="85"/>
      <c r="C39" s="86"/>
      <c r="D39" s="86"/>
      <c r="E39" s="87"/>
      <c r="F39" s="23"/>
      <c r="G39" s="23"/>
      <c r="H39" s="23"/>
      <c r="I39" s="23"/>
      <c r="J39" s="85"/>
      <c r="K39" s="86"/>
      <c r="L39" s="86"/>
      <c r="M39" s="86"/>
      <c r="N39" s="86"/>
      <c r="O39" s="87"/>
      <c r="P39" s="23"/>
      <c r="Q39" s="23"/>
      <c r="R39" s="23"/>
      <c r="S39" s="23"/>
    </row>
    <row r="40" spans="1:19" ht="18" customHeight="1" x14ac:dyDescent="0.15">
      <c r="B40" s="85"/>
      <c r="C40" s="86"/>
      <c r="D40" s="86"/>
      <c r="E40" s="87"/>
      <c r="F40" s="23"/>
      <c r="G40" s="23"/>
      <c r="H40" s="23"/>
      <c r="I40" s="23"/>
      <c r="J40" s="85"/>
      <c r="K40" s="86"/>
      <c r="L40" s="86"/>
      <c r="M40" s="86"/>
      <c r="N40" s="86"/>
      <c r="O40" s="87"/>
      <c r="P40" s="23"/>
      <c r="Q40" s="23"/>
      <c r="R40" s="23"/>
      <c r="S40" s="23"/>
    </row>
    <row r="41" spans="1:19" ht="18" customHeight="1" x14ac:dyDescent="0.15">
      <c r="B41" s="85"/>
      <c r="C41" s="86"/>
      <c r="D41" s="86"/>
      <c r="E41" s="87"/>
      <c r="F41" s="23"/>
      <c r="G41" s="23"/>
      <c r="H41" s="23"/>
      <c r="I41" s="23"/>
      <c r="J41" s="85"/>
      <c r="K41" s="86"/>
      <c r="L41" s="86"/>
      <c r="M41" s="86"/>
      <c r="N41" s="86"/>
      <c r="O41" s="87"/>
      <c r="P41" s="23"/>
      <c r="Q41" s="23"/>
      <c r="R41" s="23"/>
      <c r="S41" s="23"/>
    </row>
    <row r="42" spans="1:19" ht="18" customHeight="1" x14ac:dyDescent="0.15">
      <c r="B42" s="91"/>
      <c r="C42" s="92"/>
      <c r="D42" s="92"/>
      <c r="E42" s="93"/>
      <c r="F42" s="24"/>
      <c r="G42" s="24"/>
      <c r="H42" s="25"/>
      <c r="I42" s="25"/>
      <c r="J42" s="91"/>
      <c r="K42" s="92"/>
      <c r="L42" s="92"/>
      <c r="M42" s="92"/>
      <c r="N42" s="92"/>
      <c r="O42" s="93"/>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4" t="s">
        <v>116</v>
      </c>
      <c r="B44" s="94"/>
      <c r="C44" s="94"/>
      <c r="D44" s="94"/>
      <c r="E44" s="94"/>
      <c r="F44" s="94"/>
      <c r="G44" s="94"/>
      <c r="H44" s="94"/>
      <c r="I44" s="94"/>
      <c r="J44" s="94"/>
      <c r="K44" s="94"/>
      <c r="L44" s="94"/>
      <c r="M44" s="94"/>
      <c r="N44" s="94"/>
      <c r="O44" s="94"/>
      <c r="P44" s="94"/>
      <c r="Q44" s="94"/>
      <c r="R44" s="94"/>
      <c r="S44" s="94"/>
    </row>
    <row r="45" spans="1:19" ht="18" customHeight="1" x14ac:dyDescent="0.15">
      <c r="A45" s="94"/>
      <c r="B45" s="94"/>
      <c r="C45" s="94"/>
      <c r="D45" s="94"/>
      <c r="E45" s="94"/>
      <c r="F45" s="94"/>
      <c r="G45" s="94"/>
      <c r="H45" s="94"/>
      <c r="I45" s="94"/>
      <c r="J45" s="94"/>
      <c r="K45" s="94"/>
      <c r="L45" s="94"/>
      <c r="M45" s="94"/>
      <c r="N45" s="94"/>
      <c r="O45" s="94"/>
      <c r="P45" s="94"/>
      <c r="Q45" s="94"/>
      <c r="R45" s="94"/>
      <c r="S45" s="94"/>
    </row>
    <row r="46" spans="1:19" ht="18" customHeight="1" x14ac:dyDescent="0.15">
      <c r="B46" s="88" t="s">
        <v>54</v>
      </c>
      <c r="C46" s="89"/>
      <c r="D46" s="89"/>
      <c r="E46" s="90"/>
      <c r="F46" s="59" t="s">
        <v>81</v>
      </c>
      <c r="G46" s="58" t="s">
        <v>85</v>
      </c>
      <c r="H46" s="21" t="s">
        <v>74</v>
      </c>
      <c r="I46" s="21" t="s">
        <v>75</v>
      </c>
      <c r="J46" s="88" t="s">
        <v>54</v>
      </c>
      <c r="K46" s="89"/>
      <c r="L46" s="89"/>
      <c r="M46" s="89"/>
      <c r="N46" s="89"/>
      <c r="O46" s="90"/>
      <c r="P46" s="59" t="s">
        <v>81</v>
      </c>
      <c r="Q46" s="58" t="s">
        <v>85</v>
      </c>
      <c r="R46" s="21" t="s">
        <v>74</v>
      </c>
      <c r="S46" s="21" t="s">
        <v>75</v>
      </c>
    </row>
    <row r="47" spans="1:19" ht="18" customHeight="1" x14ac:dyDescent="0.15">
      <c r="A47" s="3"/>
      <c r="B47" s="82" t="s">
        <v>129</v>
      </c>
      <c r="C47" s="83"/>
      <c r="D47" s="83"/>
      <c r="E47" s="84"/>
      <c r="F47" s="22">
        <v>1</v>
      </c>
      <c r="G47" s="22" t="s">
        <v>131</v>
      </c>
      <c r="H47" s="22"/>
      <c r="I47" s="22" t="s">
        <v>131</v>
      </c>
      <c r="J47" s="82"/>
      <c r="K47" s="83"/>
      <c r="L47" s="83"/>
      <c r="M47" s="83"/>
      <c r="N47" s="83"/>
      <c r="O47" s="84"/>
      <c r="P47" s="22"/>
      <c r="Q47" s="22"/>
      <c r="R47" s="22"/>
      <c r="S47" s="22"/>
    </row>
    <row r="48" spans="1:19" ht="18" customHeight="1" x14ac:dyDescent="0.15">
      <c r="A48" s="3"/>
      <c r="B48" s="85" t="s">
        <v>130</v>
      </c>
      <c r="C48" s="86"/>
      <c r="D48" s="86"/>
      <c r="E48" s="87"/>
      <c r="F48" s="23">
        <v>1</v>
      </c>
      <c r="G48" s="80" t="s">
        <v>131</v>
      </c>
      <c r="H48" s="23" t="s">
        <v>131</v>
      </c>
      <c r="I48" s="80" t="s">
        <v>131</v>
      </c>
      <c r="J48" s="85"/>
      <c r="K48" s="86"/>
      <c r="L48" s="86"/>
      <c r="M48" s="86"/>
      <c r="N48" s="86"/>
      <c r="O48" s="87"/>
      <c r="P48" s="23"/>
      <c r="Q48" s="23"/>
      <c r="R48" s="23"/>
      <c r="S48" s="23"/>
    </row>
    <row r="49" spans="1:19" ht="18" customHeight="1" x14ac:dyDescent="0.15">
      <c r="A49" s="3"/>
      <c r="B49" s="85"/>
      <c r="C49" s="86"/>
      <c r="D49" s="86"/>
      <c r="E49" s="87"/>
      <c r="F49" s="23"/>
      <c r="G49" s="23"/>
      <c r="H49" s="23"/>
      <c r="I49" s="23"/>
      <c r="J49" s="85"/>
      <c r="K49" s="86"/>
      <c r="L49" s="86"/>
      <c r="M49" s="86"/>
      <c r="N49" s="86"/>
      <c r="O49" s="87"/>
      <c r="P49" s="23"/>
      <c r="Q49" s="23"/>
      <c r="R49" s="23"/>
      <c r="S49" s="23"/>
    </row>
    <row r="50" spans="1:19" ht="18" customHeight="1" x14ac:dyDescent="0.15">
      <c r="A50" s="3"/>
      <c r="B50" s="85"/>
      <c r="C50" s="86"/>
      <c r="D50" s="86"/>
      <c r="E50" s="87"/>
      <c r="F50" s="23"/>
      <c r="G50" s="23"/>
      <c r="H50" s="23"/>
      <c r="I50" s="23"/>
      <c r="J50" s="85"/>
      <c r="K50" s="86"/>
      <c r="L50" s="86"/>
      <c r="M50" s="86"/>
      <c r="N50" s="86"/>
      <c r="O50" s="87"/>
      <c r="P50" s="23"/>
      <c r="Q50" s="23"/>
      <c r="R50" s="23"/>
      <c r="S50" s="23"/>
    </row>
    <row r="51" spans="1:19" ht="18" customHeight="1" x14ac:dyDescent="0.15">
      <c r="A51" s="3"/>
      <c r="B51" s="85"/>
      <c r="C51" s="86"/>
      <c r="D51" s="86"/>
      <c r="E51" s="87"/>
      <c r="F51" s="23"/>
      <c r="G51" s="23"/>
      <c r="H51" s="23"/>
      <c r="I51" s="23"/>
      <c r="J51" s="85"/>
      <c r="K51" s="86"/>
      <c r="L51" s="86"/>
      <c r="M51" s="86"/>
      <c r="N51" s="86"/>
      <c r="O51" s="87"/>
      <c r="P51" s="23"/>
      <c r="Q51" s="23"/>
      <c r="R51" s="23"/>
      <c r="S51" s="23"/>
    </row>
    <row r="52" spans="1:19" ht="18" customHeight="1" x14ac:dyDescent="0.15">
      <c r="A52" s="3"/>
      <c r="B52" s="85"/>
      <c r="C52" s="86"/>
      <c r="D52" s="86"/>
      <c r="E52" s="87"/>
      <c r="F52" s="23"/>
      <c r="G52" s="23"/>
      <c r="H52" s="23"/>
      <c r="I52" s="23"/>
      <c r="J52" s="85"/>
      <c r="K52" s="86"/>
      <c r="L52" s="86"/>
      <c r="M52" s="86"/>
      <c r="N52" s="86"/>
      <c r="O52" s="87"/>
      <c r="P52" s="23"/>
      <c r="Q52" s="23"/>
      <c r="R52" s="23"/>
      <c r="S52" s="23"/>
    </row>
    <row r="53" spans="1:19" ht="18" customHeight="1" x14ac:dyDescent="0.15">
      <c r="A53" s="3"/>
      <c r="B53" s="91"/>
      <c r="C53" s="92"/>
      <c r="D53" s="92"/>
      <c r="E53" s="93"/>
      <c r="F53" s="24"/>
      <c r="G53" s="24"/>
      <c r="H53" s="25"/>
      <c r="I53" s="25"/>
      <c r="J53" s="91"/>
      <c r="K53" s="92"/>
      <c r="L53" s="92"/>
      <c r="M53" s="92"/>
      <c r="N53" s="92"/>
      <c r="O53" s="93"/>
      <c r="P53" s="24"/>
      <c r="Q53" s="24"/>
      <c r="R53" s="25"/>
      <c r="S53" s="25"/>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94" t="s">
        <v>117</v>
      </c>
      <c r="B55" s="94"/>
      <c r="C55" s="94"/>
      <c r="D55" s="94"/>
      <c r="E55" s="94"/>
      <c r="F55" s="94"/>
      <c r="G55" s="94"/>
      <c r="H55" s="94"/>
      <c r="I55" s="94"/>
      <c r="J55" s="94"/>
      <c r="K55" s="94"/>
      <c r="L55" s="94"/>
      <c r="M55" s="94"/>
      <c r="N55" s="94"/>
      <c r="O55" s="94"/>
      <c r="P55" s="94"/>
      <c r="Q55" s="94"/>
      <c r="R55" s="94"/>
      <c r="S55" s="94"/>
    </row>
    <row r="56" spans="1:19" ht="18" customHeight="1" x14ac:dyDescent="0.15">
      <c r="A56" s="94"/>
      <c r="B56" s="94"/>
      <c r="C56" s="94"/>
      <c r="D56" s="94"/>
      <c r="E56" s="94"/>
      <c r="F56" s="94"/>
      <c r="G56" s="94"/>
      <c r="H56" s="94"/>
      <c r="I56" s="94"/>
      <c r="J56" s="94"/>
      <c r="K56" s="94"/>
      <c r="L56" s="94"/>
      <c r="M56" s="94"/>
      <c r="N56" s="94"/>
      <c r="O56" s="94"/>
      <c r="P56" s="94"/>
      <c r="Q56" s="94"/>
      <c r="R56" s="94"/>
      <c r="S56" s="94"/>
    </row>
    <row r="57" spans="1:19" ht="18" customHeight="1" x14ac:dyDescent="0.15">
      <c r="B57" s="88" t="s">
        <v>54</v>
      </c>
      <c r="C57" s="89"/>
      <c r="D57" s="89"/>
      <c r="E57" s="90"/>
      <c r="F57" s="59" t="s">
        <v>81</v>
      </c>
      <c r="G57" s="58" t="s">
        <v>85</v>
      </c>
      <c r="H57" s="21" t="s">
        <v>59</v>
      </c>
      <c r="I57" s="21" t="s">
        <v>61</v>
      </c>
      <c r="J57" s="88" t="s">
        <v>54</v>
      </c>
      <c r="K57" s="89"/>
      <c r="L57" s="89"/>
      <c r="M57" s="89"/>
      <c r="N57" s="89"/>
      <c r="O57" s="90"/>
      <c r="P57" s="59" t="s">
        <v>81</v>
      </c>
      <c r="Q57" s="58" t="s">
        <v>85</v>
      </c>
      <c r="R57" s="21" t="s">
        <v>59</v>
      </c>
      <c r="S57" s="21" t="s">
        <v>61</v>
      </c>
    </row>
    <row r="58" spans="1:19" ht="18" customHeight="1" x14ac:dyDescent="0.15">
      <c r="A58" s="3"/>
      <c r="B58" s="82" t="s">
        <v>129</v>
      </c>
      <c r="C58" s="83"/>
      <c r="D58" s="83"/>
      <c r="E58" s="84"/>
      <c r="F58" s="22">
        <v>1</v>
      </c>
      <c r="G58" s="22" t="s">
        <v>131</v>
      </c>
      <c r="H58" s="22" t="s">
        <v>131</v>
      </c>
      <c r="I58" s="22" t="s">
        <v>131</v>
      </c>
      <c r="J58" s="82"/>
      <c r="K58" s="83"/>
      <c r="L58" s="83"/>
      <c r="M58" s="83"/>
      <c r="N58" s="83"/>
      <c r="O58" s="84"/>
      <c r="P58" s="22"/>
      <c r="Q58" s="22"/>
      <c r="R58" s="22"/>
      <c r="S58" s="22"/>
    </row>
    <row r="59" spans="1:19" ht="18" customHeight="1" x14ac:dyDescent="0.15">
      <c r="A59" s="3"/>
      <c r="B59" s="85" t="s">
        <v>130</v>
      </c>
      <c r="C59" s="86"/>
      <c r="D59" s="86"/>
      <c r="E59" s="87"/>
      <c r="F59" s="23">
        <v>1</v>
      </c>
      <c r="G59" s="80" t="s">
        <v>131</v>
      </c>
      <c r="H59" s="23" t="s">
        <v>131</v>
      </c>
      <c r="I59" s="23" t="s">
        <v>131</v>
      </c>
      <c r="J59" s="85"/>
      <c r="K59" s="86"/>
      <c r="L59" s="86"/>
      <c r="M59" s="86"/>
      <c r="N59" s="86"/>
      <c r="O59" s="87"/>
      <c r="P59" s="23"/>
      <c r="Q59" s="23"/>
      <c r="R59" s="23"/>
      <c r="S59" s="23"/>
    </row>
    <row r="60" spans="1:19" ht="18" customHeight="1" x14ac:dyDescent="0.15">
      <c r="A60" s="3"/>
      <c r="B60" s="85"/>
      <c r="C60" s="86"/>
      <c r="D60" s="86"/>
      <c r="E60" s="87"/>
      <c r="F60" s="23"/>
      <c r="G60" s="23"/>
      <c r="H60" s="23"/>
      <c r="I60" s="23"/>
      <c r="J60" s="85"/>
      <c r="K60" s="86"/>
      <c r="L60" s="86"/>
      <c r="M60" s="86"/>
      <c r="N60" s="86"/>
      <c r="O60" s="87"/>
      <c r="P60" s="23"/>
      <c r="Q60" s="23"/>
      <c r="R60" s="23"/>
      <c r="S60" s="23"/>
    </row>
    <row r="61" spans="1:19" ht="18" customHeight="1" x14ac:dyDescent="0.15">
      <c r="A61" s="3"/>
      <c r="B61" s="85"/>
      <c r="C61" s="86"/>
      <c r="D61" s="86"/>
      <c r="E61" s="87"/>
      <c r="F61" s="23"/>
      <c r="G61" s="23"/>
      <c r="H61" s="23"/>
      <c r="I61" s="23"/>
      <c r="J61" s="85"/>
      <c r="K61" s="86"/>
      <c r="L61" s="86"/>
      <c r="M61" s="86"/>
      <c r="N61" s="86"/>
      <c r="O61" s="87"/>
      <c r="P61" s="23"/>
      <c r="Q61" s="23"/>
      <c r="R61" s="23"/>
      <c r="S61" s="23"/>
    </row>
    <row r="62" spans="1:19" ht="18" customHeight="1" x14ac:dyDescent="0.15">
      <c r="A62" s="3"/>
      <c r="B62" s="85"/>
      <c r="C62" s="86"/>
      <c r="D62" s="86"/>
      <c r="E62" s="87"/>
      <c r="F62" s="23"/>
      <c r="G62" s="23"/>
      <c r="H62" s="23"/>
      <c r="I62" s="23"/>
      <c r="J62" s="85"/>
      <c r="K62" s="86"/>
      <c r="L62" s="86"/>
      <c r="M62" s="86"/>
      <c r="N62" s="86"/>
      <c r="O62" s="87"/>
      <c r="P62" s="23"/>
      <c r="Q62" s="23"/>
      <c r="R62" s="23"/>
      <c r="S62" s="23"/>
    </row>
    <row r="63" spans="1:19" ht="18" customHeight="1" x14ac:dyDescent="0.15">
      <c r="A63" s="3"/>
      <c r="B63" s="85"/>
      <c r="C63" s="86"/>
      <c r="D63" s="86"/>
      <c r="E63" s="87"/>
      <c r="F63" s="23"/>
      <c r="G63" s="23"/>
      <c r="H63" s="23"/>
      <c r="I63" s="23"/>
      <c r="J63" s="85"/>
      <c r="K63" s="86"/>
      <c r="L63" s="86"/>
      <c r="M63" s="86"/>
      <c r="N63" s="86"/>
      <c r="O63" s="87"/>
      <c r="P63" s="23"/>
      <c r="Q63" s="23"/>
      <c r="R63" s="23"/>
      <c r="S63" s="23"/>
    </row>
    <row r="64" spans="1:19" ht="18" customHeight="1" x14ac:dyDescent="0.15">
      <c r="A64" s="3"/>
      <c r="B64" s="91"/>
      <c r="C64" s="92"/>
      <c r="D64" s="92"/>
      <c r="E64" s="93"/>
      <c r="F64" s="24"/>
      <c r="G64" s="24"/>
      <c r="H64" s="25"/>
      <c r="I64" s="25"/>
      <c r="J64" s="91"/>
      <c r="K64" s="92"/>
      <c r="L64" s="92"/>
      <c r="M64" s="92"/>
      <c r="N64" s="92"/>
      <c r="O64" s="93"/>
      <c r="P64" s="24"/>
      <c r="Q64" s="24"/>
      <c r="R64" s="25"/>
      <c r="S64" s="25"/>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94" t="s">
        <v>118</v>
      </c>
      <c r="B66" s="94"/>
      <c r="C66" s="94"/>
      <c r="D66" s="94"/>
      <c r="E66" s="94"/>
      <c r="F66" s="94"/>
      <c r="G66" s="94"/>
      <c r="H66" s="94"/>
      <c r="I66" s="94"/>
      <c r="J66" s="94"/>
      <c r="K66" s="94"/>
      <c r="L66" s="94"/>
      <c r="M66" s="94"/>
      <c r="N66" s="94"/>
      <c r="O66" s="94"/>
      <c r="P66" s="94"/>
      <c r="Q66" s="94"/>
      <c r="R66" s="94"/>
      <c r="S66" s="94"/>
    </row>
    <row r="67" spans="1:19" ht="18" customHeight="1" x14ac:dyDescent="0.15">
      <c r="A67" s="94"/>
      <c r="B67" s="94"/>
      <c r="C67" s="94"/>
      <c r="D67" s="94"/>
      <c r="E67" s="94"/>
      <c r="F67" s="94"/>
      <c r="G67" s="94"/>
      <c r="H67" s="94"/>
      <c r="I67" s="94"/>
      <c r="J67" s="94"/>
      <c r="K67" s="94"/>
      <c r="L67" s="94"/>
      <c r="M67" s="94"/>
      <c r="N67" s="94"/>
      <c r="O67" s="94"/>
      <c r="P67" s="94"/>
      <c r="Q67" s="94"/>
      <c r="R67" s="94"/>
      <c r="S67" s="94"/>
    </row>
    <row r="68" spans="1:19" ht="18" customHeight="1" x14ac:dyDescent="0.15">
      <c r="B68" s="88" t="s">
        <v>54</v>
      </c>
      <c r="C68" s="89"/>
      <c r="D68" s="89"/>
      <c r="E68" s="59" t="s">
        <v>81</v>
      </c>
      <c r="F68" s="58" t="s">
        <v>85</v>
      </c>
      <c r="G68" s="21" t="s">
        <v>102</v>
      </c>
      <c r="H68" s="21" t="s">
        <v>76</v>
      </c>
      <c r="I68" s="21" t="s">
        <v>77</v>
      </c>
      <c r="J68" s="88" t="s">
        <v>54</v>
      </c>
      <c r="K68" s="89"/>
      <c r="L68" s="89"/>
      <c r="M68" s="89"/>
      <c r="N68" s="90"/>
      <c r="O68" s="59" t="s">
        <v>81</v>
      </c>
      <c r="P68" s="58" t="s">
        <v>85</v>
      </c>
      <c r="Q68" s="21" t="s">
        <v>102</v>
      </c>
      <c r="R68" s="21" t="s">
        <v>76</v>
      </c>
      <c r="S68" s="21" t="s">
        <v>77</v>
      </c>
    </row>
    <row r="69" spans="1:19" ht="18" customHeight="1" x14ac:dyDescent="0.15">
      <c r="A69" s="3"/>
      <c r="B69" s="82" t="s">
        <v>129</v>
      </c>
      <c r="C69" s="83"/>
      <c r="D69" s="84"/>
      <c r="E69" s="22">
        <v>1</v>
      </c>
      <c r="F69" s="22" t="s">
        <v>131</v>
      </c>
      <c r="G69" s="22" t="s">
        <v>131</v>
      </c>
      <c r="H69" s="22"/>
      <c r="I69" s="22" t="s">
        <v>131</v>
      </c>
      <c r="J69" s="82"/>
      <c r="K69" s="83"/>
      <c r="L69" s="83"/>
      <c r="M69" s="83"/>
      <c r="N69" s="84"/>
      <c r="O69" s="22"/>
      <c r="P69" s="22"/>
      <c r="Q69" s="22"/>
      <c r="R69" s="22"/>
      <c r="S69" s="22"/>
    </row>
    <row r="70" spans="1:19" ht="18" customHeight="1" x14ac:dyDescent="0.15">
      <c r="A70" s="3"/>
      <c r="B70" s="85" t="s">
        <v>130</v>
      </c>
      <c r="C70" s="86"/>
      <c r="D70" s="87"/>
      <c r="E70" s="23">
        <v>1</v>
      </c>
      <c r="F70" s="80" t="s">
        <v>131</v>
      </c>
      <c r="G70" s="81" t="s">
        <v>131</v>
      </c>
      <c r="H70" s="23" t="s">
        <v>131</v>
      </c>
      <c r="I70" s="23" t="s">
        <v>131</v>
      </c>
      <c r="J70" s="85"/>
      <c r="K70" s="86"/>
      <c r="L70" s="86"/>
      <c r="M70" s="86"/>
      <c r="N70" s="87"/>
      <c r="O70" s="23"/>
      <c r="P70" s="23"/>
      <c r="Q70" s="23"/>
      <c r="R70" s="23"/>
      <c r="S70" s="23"/>
    </row>
    <row r="71" spans="1:19" ht="18" customHeight="1" x14ac:dyDescent="0.15">
      <c r="A71" s="3"/>
      <c r="B71" s="85"/>
      <c r="C71" s="86"/>
      <c r="D71" s="86"/>
      <c r="E71" s="23"/>
      <c r="F71" s="23"/>
      <c r="G71" s="23"/>
      <c r="H71" s="23"/>
      <c r="I71" s="23"/>
      <c r="J71" s="85"/>
      <c r="K71" s="86"/>
      <c r="L71" s="86"/>
      <c r="M71" s="86"/>
      <c r="N71" s="87"/>
      <c r="O71" s="23"/>
      <c r="P71" s="23"/>
      <c r="Q71" s="23"/>
      <c r="R71" s="23"/>
      <c r="S71" s="23"/>
    </row>
    <row r="72" spans="1:19" ht="18" customHeight="1" x14ac:dyDescent="0.15">
      <c r="A72" s="3"/>
      <c r="B72" s="85"/>
      <c r="C72" s="86"/>
      <c r="D72" s="86"/>
      <c r="E72" s="23"/>
      <c r="F72" s="23"/>
      <c r="G72" s="23"/>
      <c r="H72" s="23"/>
      <c r="I72" s="23"/>
      <c r="J72" s="85"/>
      <c r="K72" s="86"/>
      <c r="L72" s="86"/>
      <c r="M72" s="86"/>
      <c r="N72" s="87"/>
      <c r="O72" s="23"/>
      <c r="P72" s="23"/>
      <c r="Q72" s="23"/>
      <c r="R72" s="23"/>
      <c r="S72" s="23"/>
    </row>
    <row r="73" spans="1:19" ht="18" customHeight="1" x14ac:dyDescent="0.15">
      <c r="A73" s="3"/>
      <c r="B73" s="85"/>
      <c r="C73" s="86"/>
      <c r="D73" s="86"/>
      <c r="E73" s="23"/>
      <c r="F73" s="23"/>
      <c r="G73" s="23"/>
      <c r="H73" s="23"/>
      <c r="I73" s="23"/>
      <c r="J73" s="85"/>
      <c r="K73" s="86"/>
      <c r="L73" s="86"/>
      <c r="M73" s="86"/>
      <c r="N73" s="87"/>
      <c r="O73" s="23"/>
      <c r="P73" s="23"/>
      <c r="Q73" s="23"/>
      <c r="R73" s="23"/>
      <c r="S73" s="23"/>
    </row>
    <row r="74" spans="1:19" ht="18" customHeight="1" x14ac:dyDescent="0.15">
      <c r="A74" s="3"/>
      <c r="B74" s="85"/>
      <c r="C74" s="86"/>
      <c r="D74" s="86"/>
      <c r="E74" s="23"/>
      <c r="F74" s="23"/>
      <c r="G74" s="23"/>
      <c r="H74" s="23"/>
      <c r="I74" s="23"/>
      <c r="J74" s="85"/>
      <c r="K74" s="86"/>
      <c r="L74" s="86"/>
      <c r="M74" s="86"/>
      <c r="N74" s="87"/>
      <c r="O74" s="23"/>
      <c r="P74" s="23"/>
      <c r="Q74" s="23"/>
      <c r="R74" s="23"/>
      <c r="S74" s="23"/>
    </row>
    <row r="75" spans="1:19" ht="18" customHeight="1" x14ac:dyDescent="0.15">
      <c r="A75" s="3"/>
      <c r="B75" s="91"/>
      <c r="C75" s="92"/>
      <c r="D75" s="92"/>
      <c r="E75" s="24"/>
      <c r="F75" s="24"/>
      <c r="G75" s="25"/>
      <c r="H75" s="25"/>
      <c r="I75" s="25"/>
      <c r="J75" s="91"/>
      <c r="K75" s="92"/>
      <c r="L75" s="92"/>
      <c r="M75" s="92"/>
      <c r="N75" s="93"/>
      <c r="O75" s="24"/>
      <c r="P75" s="24"/>
      <c r="Q75" s="25"/>
      <c r="R75" s="25"/>
      <c r="S75" s="25"/>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119</v>
      </c>
      <c r="H77" s="3"/>
      <c r="I77" s="3"/>
      <c r="J77" s="3"/>
      <c r="K77" s="3"/>
      <c r="L77" s="3"/>
      <c r="M77" s="3"/>
      <c r="N77" s="3"/>
      <c r="O77" s="3"/>
      <c r="P77" s="3"/>
      <c r="Q77" s="3"/>
      <c r="R77" s="3"/>
      <c r="S77" s="3"/>
    </row>
    <row r="78" spans="1:19" ht="18" customHeight="1" x14ac:dyDescent="0.15">
      <c r="B78" s="88" t="s">
        <v>54</v>
      </c>
      <c r="C78" s="89"/>
      <c r="D78" s="89"/>
      <c r="E78" s="90"/>
      <c r="F78" s="88" t="s">
        <v>83</v>
      </c>
      <c r="G78" s="89"/>
      <c r="H78" s="89"/>
      <c r="I78" s="90"/>
      <c r="J78" s="116" t="s">
        <v>54</v>
      </c>
      <c r="K78" s="117"/>
      <c r="L78" s="117"/>
      <c r="M78" s="117"/>
      <c r="N78" s="117"/>
      <c r="O78" s="118"/>
      <c r="P78" s="88" t="s">
        <v>83</v>
      </c>
      <c r="Q78" s="89"/>
      <c r="R78" s="89"/>
      <c r="S78" s="90"/>
    </row>
    <row r="79" spans="1:19" ht="18" customHeight="1" x14ac:dyDescent="0.15">
      <c r="A79" s="3"/>
      <c r="B79" s="82" t="s">
        <v>134</v>
      </c>
      <c r="C79" s="83"/>
      <c r="D79" s="83"/>
      <c r="E79" s="84"/>
      <c r="F79" s="110" t="s">
        <v>139</v>
      </c>
      <c r="G79" s="111"/>
      <c r="H79" s="111"/>
      <c r="I79" s="112"/>
      <c r="J79" s="82"/>
      <c r="K79" s="83"/>
      <c r="L79" s="83"/>
      <c r="M79" s="83"/>
      <c r="N79" s="83"/>
      <c r="O79" s="84"/>
      <c r="P79" s="110"/>
      <c r="Q79" s="111"/>
      <c r="R79" s="111"/>
      <c r="S79" s="112"/>
    </row>
    <row r="80" spans="1:19" ht="18" customHeight="1" x14ac:dyDescent="0.15">
      <c r="A80" s="3"/>
      <c r="B80" s="85"/>
      <c r="C80" s="86"/>
      <c r="D80" s="86"/>
      <c r="E80" s="87"/>
      <c r="F80" s="113"/>
      <c r="G80" s="114"/>
      <c r="H80" s="114"/>
      <c r="I80" s="115"/>
      <c r="J80" s="85"/>
      <c r="K80" s="86"/>
      <c r="L80" s="86"/>
      <c r="M80" s="86"/>
      <c r="N80" s="86"/>
      <c r="O80" s="87"/>
      <c r="P80" s="113"/>
      <c r="Q80" s="114"/>
      <c r="R80" s="114"/>
      <c r="S80" s="115"/>
    </row>
    <row r="81" spans="1:19" ht="18" customHeight="1" x14ac:dyDescent="0.15">
      <c r="A81" s="3"/>
      <c r="B81" s="85"/>
      <c r="C81" s="86"/>
      <c r="D81" s="86"/>
      <c r="E81" s="87"/>
      <c r="F81" s="113"/>
      <c r="G81" s="114"/>
      <c r="H81" s="114"/>
      <c r="I81" s="115"/>
      <c r="J81" s="85"/>
      <c r="K81" s="86"/>
      <c r="L81" s="86"/>
      <c r="M81" s="86"/>
      <c r="N81" s="86"/>
      <c r="O81" s="87"/>
      <c r="P81" s="113"/>
      <c r="Q81" s="114"/>
      <c r="R81" s="114"/>
      <c r="S81" s="115"/>
    </row>
    <row r="82" spans="1:19" ht="18" customHeight="1" x14ac:dyDescent="0.15">
      <c r="A82" s="3"/>
      <c r="B82" s="85"/>
      <c r="C82" s="86"/>
      <c r="D82" s="86"/>
      <c r="E82" s="87"/>
      <c r="F82" s="113"/>
      <c r="G82" s="114"/>
      <c r="H82" s="114"/>
      <c r="I82" s="115"/>
      <c r="J82" s="85"/>
      <c r="K82" s="86"/>
      <c r="L82" s="86"/>
      <c r="M82" s="86"/>
      <c r="N82" s="86"/>
      <c r="O82" s="87"/>
      <c r="P82" s="113"/>
      <c r="Q82" s="114"/>
      <c r="R82" s="114"/>
      <c r="S82" s="115"/>
    </row>
    <row r="83" spans="1:19" ht="18" customHeight="1" x14ac:dyDescent="0.15">
      <c r="A83" s="3"/>
      <c r="B83" s="85"/>
      <c r="C83" s="86"/>
      <c r="D83" s="86"/>
      <c r="E83" s="87"/>
      <c r="F83" s="113"/>
      <c r="G83" s="114"/>
      <c r="H83" s="114"/>
      <c r="I83" s="115"/>
      <c r="J83" s="85"/>
      <c r="K83" s="86"/>
      <c r="L83" s="86"/>
      <c r="M83" s="86"/>
      <c r="N83" s="86"/>
      <c r="O83" s="87"/>
      <c r="P83" s="113"/>
      <c r="Q83" s="114"/>
      <c r="R83" s="114"/>
      <c r="S83" s="115"/>
    </row>
    <row r="84" spans="1:19" ht="18" customHeight="1" x14ac:dyDescent="0.15">
      <c r="A84" s="3"/>
      <c r="B84" s="85"/>
      <c r="C84" s="86"/>
      <c r="D84" s="86"/>
      <c r="E84" s="87"/>
      <c r="F84" s="113"/>
      <c r="G84" s="114"/>
      <c r="H84" s="114"/>
      <c r="I84" s="115"/>
      <c r="J84" s="85"/>
      <c r="K84" s="86"/>
      <c r="L84" s="86"/>
      <c r="M84" s="86"/>
      <c r="N84" s="86"/>
      <c r="O84" s="87"/>
      <c r="P84" s="113"/>
      <c r="Q84" s="114"/>
      <c r="R84" s="114"/>
      <c r="S84" s="115"/>
    </row>
    <row r="85" spans="1:19" ht="18" customHeight="1" x14ac:dyDescent="0.15">
      <c r="A85" s="3"/>
      <c r="B85" s="91"/>
      <c r="C85" s="92"/>
      <c r="D85" s="92"/>
      <c r="E85" s="93"/>
      <c r="F85" s="122"/>
      <c r="G85" s="123"/>
      <c r="H85" s="123"/>
      <c r="I85" s="124"/>
      <c r="J85" s="91"/>
      <c r="K85" s="92"/>
      <c r="L85" s="92"/>
      <c r="M85" s="92"/>
      <c r="N85" s="92"/>
      <c r="O85" s="93"/>
      <c r="P85" s="122"/>
      <c r="Q85" s="123"/>
      <c r="R85" s="123"/>
      <c r="S85" s="124"/>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120</v>
      </c>
    </row>
    <row r="88" spans="1:19" ht="18.75" customHeight="1" x14ac:dyDescent="0.15">
      <c r="B88" s="105" t="s">
        <v>55</v>
      </c>
      <c r="C88" s="106"/>
      <c r="D88" s="89" t="s">
        <v>56</v>
      </c>
      <c r="E88" s="89"/>
      <c r="F88" s="89"/>
      <c r="G88" s="89"/>
      <c r="H88" s="89"/>
      <c r="I88" s="89"/>
      <c r="J88" s="89"/>
      <c r="K88" s="89"/>
      <c r="L88" s="89"/>
      <c r="M88" s="89"/>
      <c r="N88" s="89"/>
      <c r="O88" s="89"/>
      <c r="P88" s="89"/>
      <c r="Q88" s="89"/>
      <c r="R88" s="89"/>
      <c r="S88" s="90"/>
    </row>
    <row r="89" spans="1:19" ht="83.45" customHeight="1" x14ac:dyDescent="0.15">
      <c r="B89" s="95" t="s">
        <v>62</v>
      </c>
      <c r="C89" s="27" t="s">
        <v>57</v>
      </c>
      <c r="D89" s="107" t="s">
        <v>177</v>
      </c>
      <c r="E89" s="108"/>
      <c r="F89" s="108"/>
      <c r="G89" s="108"/>
      <c r="H89" s="108"/>
      <c r="I89" s="108"/>
      <c r="J89" s="108"/>
      <c r="K89" s="108"/>
      <c r="L89" s="108"/>
      <c r="M89" s="108"/>
      <c r="N89" s="108"/>
      <c r="O89" s="108"/>
      <c r="P89" s="108"/>
      <c r="Q89" s="108"/>
      <c r="R89" s="108"/>
      <c r="S89" s="109"/>
    </row>
    <row r="90" spans="1:19" ht="97.5" customHeight="1" x14ac:dyDescent="0.15">
      <c r="B90" s="96"/>
      <c r="C90" s="28" t="s">
        <v>78</v>
      </c>
      <c r="D90" s="125" t="s">
        <v>178</v>
      </c>
      <c r="E90" s="126"/>
      <c r="F90" s="126"/>
      <c r="G90" s="126"/>
      <c r="H90" s="126"/>
      <c r="I90" s="126"/>
      <c r="J90" s="126"/>
      <c r="K90" s="126"/>
      <c r="L90" s="126"/>
      <c r="M90" s="126"/>
      <c r="N90" s="126"/>
      <c r="O90" s="126"/>
      <c r="P90" s="126"/>
      <c r="Q90" s="126"/>
      <c r="R90" s="126"/>
      <c r="S90" s="127"/>
    </row>
    <row r="91" spans="1:19" ht="125.45" customHeight="1" x14ac:dyDescent="0.15">
      <c r="B91" s="95" t="s">
        <v>63</v>
      </c>
      <c r="C91" s="29" t="s">
        <v>72</v>
      </c>
      <c r="D91" s="128" t="s">
        <v>179</v>
      </c>
      <c r="E91" s="108"/>
      <c r="F91" s="108"/>
      <c r="G91" s="108"/>
      <c r="H91" s="108"/>
      <c r="I91" s="108"/>
      <c r="J91" s="108"/>
      <c r="K91" s="108"/>
      <c r="L91" s="108"/>
      <c r="M91" s="108"/>
      <c r="N91" s="108"/>
      <c r="O91" s="108"/>
      <c r="P91" s="108"/>
      <c r="Q91" s="108"/>
      <c r="R91" s="108"/>
      <c r="S91" s="109"/>
    </row>
    <row r="92" spans="1:19" ht="84.6" customHeight="1" x14ac:dyDescent="0.15">
      <c r="B92" s="97"/>
      <c r="C92" s="30" t="s">
        <v>73</v>
      </c>
      <c r="D92" s="132" t="s">
        <v>183</v>
      </c>
      <c r="E92" s="126"/>
      <c r="F92" s="126"/>
      <c r="G92" s="126"/>
      <c r="H92" s="126"/>
      <c r="I92" s="126"/>
      <c r="J92" s="126"/>
      <c r="K92" s="126"/>
      <c r="L92" s="126"/>
      <c r="M92" s="126"/>
      <c r="N92" s="126"/>
      <c r="O92" s="126"/>
      <c r="P92" s="126"/>
      <c r="Q92" s="126"/>
      <c r="R92" s="126"/>
      <c r="S92" s="127"/>
    </row>
    <row r="93" spans="1:19" ht="71.45" customHeight="1" x14ac:dyDescent="0.15">
      <c r="B93" s="95" t="s">
        <v>64</v>
      </c>
      <c r="C93" s="29" t="s">
        <v>74</v>
      </c>
      <c r="D93" s="128" t="s">
        <v>175</v>
      </c>
      <c r="E93" s="128"/>
      <c r="F93" s="128"/>
      <c r="G93" s="128"/>
      <c r="H93" s="128"/>
      <c r="I93" s="128"/>
      <c r="J93" s="128"/>
      <c r="K93" s="128"/>
      <c r="L93" s="128"/>
      <c r="M93" s="128"/>
      <c r="N93" s="128"/>
      <c r="O93" s="128"/>
      <c r="P93" s="128"/>
      <c r="Q93" s="128"/>
      <c r="R93" s="128"/>
      <c r="S93" s="133"/>
    </row>
    <row r="94" spans="1:19" ht="114.6" customHeight="1" x14ac:dyDescent="0.15">
      <c r="B94" s="97"/>
      <c r="C94" s="31" t="s">
        <v>75</v>
      </c>
      <c r="D94" s="129" t="s">
        <v>176</v>
      </c>
      <c r="E94" s="130"/>
      <c r="F94" s="130"/>
      <c r="G94" s="130"/>
      <c r="H94" s="130"/>
      <c r="I94" s="130"/>
      <c r="J94" s="130"/>
      <c r="K94" s="130"/>
      <c r="L94" s="130"/>
      <c r="M94" s="130"/>
      <c r="N94" s="130"/>
      <c r="O94" s="130"/>
      <c r="P94" s="130"/>
      <c r="Q94" s="130"/>
      <c r="R94" s="130"/>
      <c r="S94" s="131"/>
    </row>
    <row r="95" spans="1:19" ht="191.45" customHeight="1" x14ac:dyDescent="0.15">
      <c r="B95" s="95" t="s">
        <v>79</v>
      </c>
      <c r="C95" s="27" t="s">
        <v>59</v>
      </c>
      <c r="D95" s="102" t="s">
        <v>180</v>
      </c>
      <c r="E95" s="103"/>
      <c r="F95" s="103"/>
      <c r="G95" s="103"/>
      <c r="H95" s="103"/>
      <c r="I95" s="103"/>
      <c r="J95" s="103"/>
      <c r="K95" s="103"/>
      <c r="L95" s="103"/>
      <c r="M95" s="103"/>
      <c r="N95" s="103"/>
      <c r="O95" s="103"/>
      <c r="P95" s="103"/>
      <c r="Q95" s="103"/>
      <c r="R95" s="103"/>
      <c r="S95" s="104"/>
    </row>
    <row r="96" spans="1:19" ht="87" customHeight="1" x14ac:dyDescent="0.15">
      <c r="B96" s="97"/>
      <c r="C96" s="30" t="s">
        <v>61</v>
      </c>
      <c r="D96" s="132" t="s">
        <v>181</v>
      </c>
      <c r="E96" s="126"/>
      <c r="F96" s="126"/>
      <c r="G96" s="126"/>
      <c r="H96" s="126"/>
      <c r="I96" s="126"/>
      <c r="J96" s="126"/>
      <c r="K96" s="126"/>
      <c r="L96" s="126"/>
      <c r="M96" s="126"/>
      <c r="N96" s="126"/>
      <c r="O96" s="126"/>
      <c r="P96" s="126"/>
      <c r="Q96" s="126"/>
      <c r="R96" s="126"/>
      <c r="S96" s="127"/>
    </row>
    <row r="97" spans="1:19" ht="145.15" customHeight="1" x14ac:dyDescent="0.15">
      <c r="B97" s="95" t="s">
        <v>80</v>
      </c>
      <c r="C97" s="29" t="s">
        <v>58</v>
      </c>
      <c r="D97" s="98" t="s">
        <v>182</v>
      </c>
      <c r="E97" s="83"/>
      <c r="F97" s="83"/>
      <c r="G97" s="83"/>
      <c r="H97" s="83"/>
      <c r="I97" s="83"/>
      <c r="J97" s="83"/>
      <c r="K97" s="83"/>
      <c r="L97" s="83"/>
      <c r="M97" s="83"/>
      <c r="N97" s="83"/>
      <c r="O97" s="83"/>
      <c r="P97" s="83"/>
      <c r="Q97" s="83"/>
      <c r="R97" s="83"/>
      <c r="S97" s="84"/>
    </row>
    <row r="98" spans="1:19" ht="111.6" customHeight="1" x14ac:dyDescent="0.15">
      <c r="B98" s="96"/>
      <c r="C98" s="32" t="s">
        <v>76</v>
      </c>
      <c r="D98" s="134" t="s">
        <v>184</v>
      </c>
      <c r="E98" s="86"/>
      <c r="F98" s="86"/>
      <c r="G98" s="86"/>
      <c r="H98" s="86"/>
      <c r="I98" s="86"/>
      <c r="J98" s="86"/>
      <c r="K98" s="86"/>
      <c r="L98" s="86"/>
      <c r="M98" s="86"/>
      <c r="N98" s="86"/>
      <c r="O98" s="86"/>
      <c r="P98" s="86"/>
      <c r="Q98" s="86"/>
      <c r="R98" s="86"/>
      <c r="S98" s="87"/>
    </row>
    <row r="99" spans="1:19" ht="125.45" customHeight="1" x14ac:dyDescent="0.15">
      <c r="B99" s="97"/>
      <c r="C99" s="31" t="s">
        <v>77</v>
      </c>
      <c r="D99" s="99" t="s">
        <v>185</v>
      </c>
      <c r="E99" s="100"/>
      <c r="F99" s="100"/>
      <c r="G99" s="100"/>
      <c r="H99" s="100"/>
      <c r="I99" s="100"/>
      <c r="J99" s="100"/>
      <c r="K99" s="100"/>
      <c r="L99" s="100"/>
      <c r="M99" s="100"/>
      <c r="N99" s="100"/>
      <c r="O99" s="100"/>
      <c r="P99" s="100"/>
      <c r="Q99" s="100"/>
      <c r="R99" s="100"/>
      <c r="S99" s="101"/>
    </row>
    <row r="100" spans="1:19" ht="6" customHeight="1" x14ac:dyDescent="0.15"/>
    <row r="101" spans="1:19" ht="18.75" customHeight="1" x14ac:dyDescent="0.15">
      <c r="A101" s="1" t="s">
        <v>121</v>
      </c>
    </row>
    <row r="102" spans="1:19" ht="81.75" customHeight="1" x14ac:dyDescent="0.15">
      <c r="B102" s="119" t="s">
        <v>173</v>
      </c>
      <c r="C102" s="120"/>
      <c r="D102" s="120"/>
      <c r="E102" s="120"/>
      <c r="F102" s="120"/>
      <c r="G102" s="120"/>
      <c r="H102" s="120"/>
      <c r="I102" s="120"/>
      <c r="J102" s="120"/>
      <c r="K102" s="120"/>
      <c r="L102" s="120"/>
      <c r="M102" s="120"/>
      <c r="N102" s="120"/>
      <c r="O102" s="120"/>
      <c r="P102" s="120"/>
      <c r="Q102" s="120"/>
      <c r="R102" s="120"/>
      <c r="S102" s="121"/>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47:I53 Q25:S31 P69:S75 Q36:S42 G36:I42 Q47:S53 G25:I31 Q58:S64 G58:I64 F69:I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7"/>
  <sheetViews>
    <sheetView view="pageBreakPreview" zoomScaleNormal="100" zoomScaleSheetLayoutView="100" workbookViewId="0">
      <selection activeCell="B22" sqref="B22"/>
    </sheetView>
  </sheetViews>
  <sheetFormatPr defaultColWidth="9" defaultRowHeight="18.75" customHeight="1" x14ac:dyDescent="0.15"/>
  <cols>
    <col min="1" max="1" width="2.625" style="1" customWidth="1"/>
    <col min="2" max="2" width="20.625" style="1" customWidth="1"/>
    <col min="3" max="5" width="6.125" style="1" customWidth="1"/>
    <col min="6" max="42" width="4.625" style="1" customWidth="1"/>
    <col min="43" max="43" width="6.625" style="1" customWidth="1"/>
    <col min="44" max="16384" width="9" style="1"/>
  </cols>
  <sheetData>
    <row r="1" spans="1:45" ht="18" customHeight="1" x14ac:dyDescent="0.15">
      <c r="AQ1" s="1" t="s">
        <v>107</v>
      </c>
    </row>
    <row r="2" spans="1:45" ht="18" customHeight="1" x14ac:dyDescent="0.15">
      <c r="K2" s="34"/>
      <c r="Q2" s="34"/>
      <c r="W2" s="34"/>
      <c r="AC2" s="34"/>
      <c r="AI2" s="34"/>
      <c r="AL2" s="34" t="s">
        <v>109</v>
      </c>
      <c r="AM2" s="158" t="str">
        <f>'様式１　プログラムを構成する授業科目'!C2</f>
        <v>帝京科学大学</v>
      </c>
      <c r="AN2" s="158"/>
      <c r="AO2" s="158"/>
      <c r="AP2" s="158"/>
      <c r="AQ2" s="158"/>
    </row>
    <row r="3" spans="1:45" ht="18" customHeight="1" x14ac:dyDescent="0.15">
      <c r="A3" s="139" t="s">
        <v>48</v>
      </c>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2" t="s">
        <v>141</v>
      </c>
      <c r="D5" s="163"/>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4" t="s">
        <v>45</v>
      </c>
      <c r="C9" s="179" t="s">
        <v>87</v>
      </c>
      <c r="D9" s="167" t="s">
        <v>47</v>
      </c>
      <c r="E9" s="170" t="s">
        <v>40</v>
      </c>
      <c r="F9" s="161" t="s">
        <v>86</v>
      </c>
      <c r="G9" s="161"/>
      <c r="H9" s="161"/>
      <c r="I9" s="161"/>
      <c r="J9" s="161"/>
      <c r="K9" s="161"/>
      <c r="L9" s="161" t="s">
        <v>49</v>
      </c>
      <c r="M9" s="161"/>
      <c r="N9" s="161"/>
      <c r="O9" s="161"/>
      <c r="P9" s="161"/>
      <c r="Q9" s="161"/>
      <c r="R9" s="161" t="s">
        <v>50</v>
      </c>
      <c r="S9" s="161"/>
      <c r="T9" s="161"/>
      <c r="U9" s="161"/>
      <c r="V9" s="161"/>
      <c r="W9" s="161"/>
      <c r="X9" s="161" t="s">
        <v>101</v>
      </c>
      <c r="Y9" s="161"/>
      <c r="Z9" s="161"/>
      <c r="AA9" s="161"/>
      <c r="AB9" s="161"/>
      <c r="AC9" s="161"/>
      <c r="AD9" s="161" t="s">
        <v>51</v>
      </c>
      <c r="AE9" s="161"/>
      <c r="AF9" s="161"/>
      <c r="AG9" s="161"/>
      <c r="AH9" s="161"/>
      <c r="AI9" s="161"/>
      <c r="AJ9" s="161" t="s">
        <v>52</v>
      </c>
      <c r="AK9" s="161"/>
      <c r="AL9" s="161"/>
      <c r="AM9" s="161"/>
      <c r="AN9" s="161"/>
      <c r="AO9" s="161"/>
      <c r="AP9" s="173" t="s">
        <v>35</v>
      </c>
      <c r="AQ9" s="176" t="s">
        <v>32</v>
      </c>
      <c r="AS9" s="2"/>
    </row>
    <row r="10" spans="1:45" ht="16.899999999999999" customHeight="1" x14ac:dyDescent="0.15">
      <c r="B10" s="165"/>
      <c r="C10" s="180"/>
      <c r="D10" s="168"/>
      <c r="E10" s="171"/>
      <c r="F10" s="159" t="s">
        <v>97</v>
      </c>
      <c r="G10" s="160"/>
      <c r="H10" s="160"/>
      <c r="I10" s="159" t="s">
        <v>29</v>
      </c>
      <c r="J10" s="160"/>
      <c r="K10" s="160"/>
      <c r="L10" s="159" t="s">
        <v>97</v>
      </c>
      <c r="M10" s="160"/>
      <c r="N10" s="160"/>
      <c r="O10" s="159" t="s">
        <v>29</v>
      </c>
      <c r="P10" s="160"/>
      <c r="Q10" s="160"/>
      <c r="R10" s="159" t="s">
        <v>97</v>
      </c>
      <c r="S10" s="160"/>
      <c r="T10" s="160"/>
      <c r="U10" s="159" t="s">
        <v>29</v>
      </c>
      <c r="V10" s="160"/>
      <c r="W10" s="160"/>
      <c r="X10" s="159" t="s">
        <v>97</v>
      </c>
      <c r="Y10" s="160"/>
      <c r="Z10" s="160"/>
      <c r="AA10" s="159" t="s">
        <v>29</v>
      </c>
      <c r="AB10" s="160"/>
      <c r="AC10" s="160"/>
      <c r="AD10" s="159" t="s">
        <v>97</v>
      </c>
      <c r="AE10" s="160"/>
      <c r="AF10" s="160"/>
      <c r="AG10" s="159" t="s">
        <v>29</v>
      </c>
      <c r="AH10" s="160"/>
      <c r="AI10" s="160"/>
      <c r="AJ10" s="159" t="s">
        <v>97</v>
      </c>
      <c r="AK10" s="160"/>
      <c r="AL10" s="160"/>
      <c r="AM10" s="159" t="s">
        <v>29</v>
      </c>
      <c r="AN10" s="160"/>
      <c r="AO10" s="160"/>
      <c r="AP10" s="174"/>
      <c r="AQ10" s="177"/>
      <c r="AS10" s="2"/>
    </row>
    <row r="11" spans="1:45" ht="18" customHeight="1" x14ac:dyDescent="0.15">
      <c r="B11" s="166"/>
      <c r="C11" s="181"/>
      <c r="D11" s="169"/>
      <c r="E11" s="172"/>
      <c r="F11" s="16" t="s">
        <v>98</v>
      </c>
      <c r="G11" s="17" t="s">
        <v>99</v>
      </c>
      <c r="H11" s="18" t="s">
        <v>100</v>
      </c>
      <c r="I11" s="16" t="s">
        <v>98</v>
      </c>
      <c r="J11" s="17" t="s">
        <v>99</v>
      </c>
      <c r="K11" s="18" t="s">
        <v>100</v>
      </c>
      <c r="L11" s="16" t="s">
        <v>98</v>
      </c>
      <c r="M11" s="17" t="s">
        <v>99</v>
      </c>
      <c r="N11" s="18" t="s">
        <v>100</v>
      </c>
      <c r="O11" s="16" t="s">
        <v>98</v>
      </c>
      <c r="P11" s="17" t="s">
        <v>99</v>
      </c>
      <c r="Q11" s="18" t="s">
        <v>100</v>
      </c>
      <c r="R11" s="16" t="s">
        <v>98</v>
      </c>
      <c r="S11" s="17" t="s">
        <v>99</v>
      </c>
      <c r="T11" s="18" t="s">
        <v>100</v>
      </c>
      <c r="U11" s="16" t="s">
        <v>98</v>
      </c>
      <c r="V11" s="17" t="s">
        <v>99</v>
      </c>
      <c r="W11" s="18" t="s">
        <v>100</v>
      </c>
      <c r="X11" s="16" t="s">
        <v>98</v>
      </c>
      <c r="Y11" s="17" t="s">
        <v>99</v>
      </c>
      <c r="Z11" s="18" t="s">
        <v>100</v>
      </c>
      <c r="AA11" s="16" t="s">
        <v>98</v>
      </c>
      <c r="AB11" s="17" t="s">
        <v>99</v>
      </c>
      <c r="AC11" s="18" t="s">
        <v>100</v>
      </c>
      <c r="AD11" s="16" t="s">
        <v>98</v>
      </c>
      <c r="AE11" s="17" t="s">
        <v>99</v>
      </c>
      <c r="AF11" s="18" t="s">
        <v>100</v>
      </c>
      <c r="AG11" s="16" t="s">
        <v>98</v>
      </c>
      <c r="AH11" s="17" t="s">
        <v>99</v>
      </c>
      <c r="AI11" s="18" t="s">
        <v>100</v>
      </c>
      <c r="AJ11" s="16" t="s">
        <v>98</v>
      </c>
      <c r="AK11" s="17" t="s">
        <v>99</v>
      </c>
      <c r="AL11" s="18" t="s">
        <v>100</v>
      </c>
      <c r="AM11" s="16" t="s">
        <v>98</v>
      </c>
      <c r="AN11" s="17" t="s">
        <v>99</v>
      </c>
      <c r="AO11" s="18" t="s">
        <v>100</v>
      </c>
      <c r="AP11" s="175"/>
      <c r="AQ11" s="178"/>
      <c r="AS11" s="2"/>
    </row>
    <row r="12" spans="1:45" ht="18" customHeight="1" x14ac:dyDescent="0.15">
      <c r="A12" s="6"/>
      <c r="B12" s="11" t="s">
        <v>142</v>
      </c>
      <c r="C12" s="65">
        <v>369</v>
      </c>
      <c r="D12" s="66">
        <v>100</v>
      </c>
      <c r="E12" s="67">
        <v>420</v>
      </c>
      <c r="F12" s="68">
        <f t="shared" ref="F12:F27" si="0">G12+H12</f>
        <v>96</v>
      </c>
      <c r="G12" s="69">
        <v>55</v>
      </c>
      <c r="H12" s="70">
        <v>41</v>
      </c>
      <c r="I12" s="68">
        <f t="shared" ref="I12:I27" si="1">J12+K12</f>
        <v>84</v>
      </c>
      <c r="J12" s="69">
        <v>48</v>
      </c>
      <c r="K12" s="70">
        <v>36</v>
      </c>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96</v>
      </c>
      <c r="AQ12" s="20">
        <f t="shared" ref="AQ12:AQ32" si="2">AP12/E12</f>
        <v>0.22857142857142856</v>
      </c>
    </row>
    <row r="13" spans="1:45" ht="18" customHeight="1" x14ac:dyDescent="0.15">
      <c r="A13" s="6"/>
      <c r="B13" s="11" t="s">
        <v>143</v>
      </c>
      <c r="C13" s="65">
        <v>356</v>
      </c>
      <c r="D13" s="66">
        <v>100</v>
      </c>
      <c r="E13" s="67">
        <v>410</v>
      </c>
      <c r="F13" s="68">
        <f t="shared" si="0"/>
        <v>83</v>
      </c>
      <c r="G13" s="69">
        <v>65</v>
      </c>
      <c r="H13" s="70">
        <v>18</v>
      </c>
      <c r="I13" s="68">
        <f t="shared" si="1"/>
        <v>78</v>
      </c>
      <c r="J13" s="69">
        <v>60</v>
      </c>
      <c r="K13" s="70">
        <v>18</v>
      </c>
      <c r="L13" s="68">
        <f t="shared" ref="L13:L31" si="3">M13+N13</f>
        <v>0</v>
      </c>
      <c r="M13" s="69"/>
      <c r="N13" s="70"/>
      <c r="O13" s="68">
        <f t="shared" ref="O13:O31" si="4">P13+Q13</f>
        <v>0</v>
      </c>
      <c r="P13" s="69"/>
      <c r="Q13" s="70"/>
      <c r="R13" s="68">
        <f t="shared" ref="R13:R31" si="5">S13+T13</f>
        <v>0</v>
      </c>
      <c r="S13" s="69"/>
      <c r="T13" s="70"/>
      <c r="U13" s="68">
        <f t="shared" ref="U13:U31" si="6">V13+W13</f>
        <v>0</v>
      </c>
      <c r="V13" s="69"/>
      <c r="W13" s="70"/>
      <c r="X13" s="68">
        <f t="shared" ref="X13:X31" si="7">Y13+Z13</f>
        <v>0</v>
      </c>
      <c r="Y13" s="69"/>
      <c r="Z13" s="70"/>
      <c r="AA13" s="68">
        <f t="shared" ref="AA13:AA31" si="8">AB13+AC13</f>
        <v>0</v>
      </c>
      <c r="AB13" s="69"/>
      <c r="AC13" s="70"/>
      <c r="AD13" s="68">
        <f t="shared" ref="AD13:AD31" si="9">AE13+AF13</f>
        <v>0</v>
      </c>
      <c r="AE13" s="69"/>
      <c r="AF13" s="70"/>
      <c r="AG13" s="68">
        <f t="shared" ref="AG13:AG31" si="10">AH13+AI13</f>
        <v>0</v>
      </c>
      <c r="AH13" s="69"/>
      <c r="AI13" s="70"/>
      <c r="AJ13" s="68">
        <f t="shared" ref="AJ13:AJ31" si="11">AK13+AL13</f>
        <v>0</v>
      </c>
      <c r="AK13" s="69"/>
      <c r="AL13" s="70"/>
      <c r="AM13" s="68">
        <f t="shared" ref="AM13:AM31" si="12">AN13+AO13</f>
        <v>0</v>
      </c>
      <c r="AN13" s="69"/>
      <c r="AO13" s="70"/>
      <c r="AP13" s="66">
        <f t="shared" ref="AP13:AP31" si="13">F13+L13+R13+X13+AD13+AJ13</f>
        <v>83</v>
      </c>
      <c r="AQ13" s="19">
        <f t="shared" si="2"/>
        <v>0.20243902439024392</v>
      </c>
    </row>
    <row r="14" spans="1:45" ht="18" customHeight="1" x14ac:dyDescent="0.15">
      <c r="A14" s="6"/>
      <c r="B14" s="11" t="s">
        <v>144</v>
      </c>
      <c r="C14" s="65">
        <v>1221</v>
      </c>
      <c r="D14" s="66">
        <v>290</v>
      </c>
      <c r="E14" s="67">
        <v>1170</v>
      </c>
      <c r="F14" s="68">
        <f t="shared" si="0"/>
        <v>326</v>
      </c>
      <c r="G14" s="69">
        <v>101</v>
      </c>
      <c r="H14" s="70">
        <v>225</v>
      </c>
      <c r="I14" s="68">
        <f t="shared" si="1"/>
        <v>274</v>
      </c>
      <c r="J14" s="69">
        <v>72</v>
      </c>
      <c r="K14" s="70">
        <v>202</v>
      </c>
      <c r="L14" s="68">
        <f t="shared" si="3"/>
        <v>0</v>
      </c>
      <c r="M14" s="69"/>
      <c r="N14" s="70"/>
      <c r="O14" s="68">
        <f t="shared" si="4"/>
        <v>0</v>
      </c>
      <c r="P14" s="69"/>
      <c r="Q14" s="70"/>
      <c r="R14" s="68">
        <f t="shared" si="5"/>
        <v>0</v>
      </c>
      <c r="S14" s="69"/>
      <c r="T14" s="70"/>
      <c r="U14" s="68">
        <f t="shared" si="6"/>
        <v>0</v>
      </c>
      <c r="V14" s="69"/>
      <c r="W14" s="70"/>
      <c r="X14" s="68">
        <f t="shared" si="7"/>
        <v>0</v>
      </c>
      <c r="Y14" s="69"/>
      <c r="Z14" s="70"/>
      <c r="AA14" s="68">
        <f t="shared" si="8"/>
        <v>0</v>
      </c>
      <c r="AB14" s="69"/>
      <c r="AC14" s="70"/>
      <c r="AD14" s="68">
        <f t="shared" si="9"/>
        <v>0</v>
      </c>
      <c r="AE14" s="69"/>
      <c r="AF14" s="70"/>
      <c r="AG14" s="68">
        <f t="shared" si="10"/>
        <v>0</v>
      </c>
      <c r="AH14" s="69"/>
      <c r="AI14" s="70"/>
      <c r="AJ14" s="68">
        <f t="shared" si="11"/>
        <v>0</v>
      </c>
      <c r="AK14" s="69"/>
      <c r="AL14" s="70"/>
      <c r="AM14" s="68">
        <f t="shared" si="12"/>
        <v>0</v>
      </c>
      <c r="AN14" s="69"/>
      <c r="AO14" s="70"/>
      <c r="AP14" s="66">
        <f t="shared" si="13"/>
        <v>326</v>
      </c>
      <c r="AQ14" s="8">
        <f t="shared" si="2"/>
        <v>0.27863247863247864</v>
      </c>
    </row>
    <row r="15" spans="1:45" ht="18" customHeight="1" x14ac:dyDescent="0.15">
      <c r="A15" s="6"/>
      <c r="B15" s="11" t="s">
        <v>145</v>
      </c>
      <c r="C15" s="65">
        <v>324</v>
      </c>
      <c r="D15" s="66">
        <v>80</v>
      </c>
      <c r="E15" s="67">
        <v>320</v>
      </c>
      <c r="F15" s="68">
        <f t="shared" si="0"/>
        <v>0</v>
      </c>
      <c r="G15" s="69">
        <v>0</v>
      </c>
      <c r="H15" s="70">
        <v>0</v>
      </c>
      <c r="I15" s="68">
        <f t="shared" si="1"/>
        <v>0</v>
      </c>
      <c r="J15" s="69">
        <v>0</v>
      </c>
      <c r="K15" s="70">
        <v>0</v>
      </c>
      <c r="L15" s="68">
        <f t="shared" si="3"/>
        <v>0</v>
      </c>
      <c r="M15" s="69"/>
      <c r="N15" s="70"/>
      <c r="O15" s="68">
        <f t="shared" si="4"/>
        <v>0</v>
      </c>
      <c r="P15" s="69"/>
      <c r="Q15" s="70"/>
      <c r="R15" s="68">
        <f t="shared" si="5"/>
        <v>0</v>
      </c>
      <c r="S15" s="69"/>
      <c r="T15" s="70"/>
      <c r="U15" s="68">
        <f t="shared" si="6"/>
        <v>0</v>
      </c>
      <c r="V15" s="69"/>
      <c r="W15" s="70"/>
      <c r="X15" s="68">
        <f t="shared" si="7"/>
        <v>0</v>
      </c>
      <c r="Y15" s="69"/>
      <c r="Z15" s="70"/>
      <c r="AA15" s="68">
        <f t="shared" si="8"/>
        <v>0</v>
      </c>
      <c r="AB15" s="69"/>
      <c r="AC15" s="70"/>
      <c r="AD15" s="68">
        <f t="shared" si="9"/>
        <v>0</v>
      </c>
      <c r="AE15" s="69"/>
      <c r="AF15" s="70"/>
      <c r="AG15" s="68">
        <f t="shared" si="10"/>
        <v>0</v>
      </c>
      <c r="AH15" s="69"/>
      <c r="AI15" s="70"/>
      <c r="AJ15" s="68">
        <f t="shared" si="11"/>
        <v>0</v>
      </c>
      <c r="AK15" s="69"/>
      <c r="AL15" s="70"/>
      <c r="AM15" s="68">
        <f t="shared" si="12"/>
        <v>0</v>
      </c>
      <c r="AN15" s="69"/>
      <c r="AO15" s="70"/>
      <c r="AP15" s="66">
        <f t="shared" si="13"/>
        <v>0</v>
      </c>
      <c r="AQ15" s="8">
        <f t="shared" si="2"/>
        <v>0</v>
      </c>
    </row>
    <row r="16" spans="1:45" ht="18" customHeight="1" x14ac:dyDescent="0.15">
      <c r="A16" s="6"/>
      <c r="B16" s="11" t="s">
        <v>146</v>
      </c>
      <c r="C16" s="65">
        <v>109</v>
      </c>
      <c r="D16" s="66">
        <v>40</v>
      </c>
      <c r="E16" s="67">
        <v>160</v>
      </c>
      <c r="F16" s="68">
        <f t="shared" si="0"/>
        <v>0</v>
      </c>
      <c r="G16" s="69">
        <v>0</v>
      </c>
      <c r="H16" s="70">
        <v>0</v>
      </c>
      <c r="I16" s="68">
        <f t="shared" si="1"/>
        <v>0</v>
      </c>
      <c r="J16" s="69">
        <v>0</v>
      </c>
      <c r="K16" s="70">
        <v>0</v>
      </c>
      <c r="L16" s="68">
        <f t="shared" si="3"/>
        <v>0</v>
      </c>
      <c r="M16" s="69"/>
      <c r="N16" s="70"/>
      <c r="O16" s="68">
        <f t="shared" si="4"/>
        <v>0</v>
      </c>
      <c r="P16" s="69"/>
      <c r="Q16" s="70"/>
      <c r="R16" s="68">
        <f t="shared" si="5"/>
        <v>0</v>
      </c>
      <c r="S16" s="69"/>
      <c r="T16" s="70"/>
      <c r="U16" s="68">
        <f t="shared" si="6"/>
        <v>0</v>
      </c>
      <c r="V16" s="69"/>
      <c r="W16" s="70"/>
      <c r="X16" s="68">
        <f t="shared" si="7"/>
        <v>0</v>
      </c>
      <c r="Y16" s="69"/>
      <c r="Z16" s="70"/>
      <c r="AA16" s="68">
        <f t="shared" si="8"/>
        <v>0</v>
      </c>
      <c r="AB16" s="69"/>
      <c r="AC16" s="70"/>
      <c r="AD16" s="68">
        <f t="shared" si="9"/>
        <v>0</v>
      </c>
      <c r="AE16" s="69"/>
      <c r="AF16" s="70"/>
      <c r="AG16" s="68">
        <f t="shared" si="10"/>
        <v>0</v>
      </c>
      <c r="AH16" s="69"/>
      <c r="AI16" s="70"/>
      <c r="AJ16" s="68">
        <f t="shared" si="11"/>
        <v>0</v>
      </c>
      <c r="AK16" s="69"/>
      <c r="AL16" s="70"/>
      <c r="AM16" s="68">
        <f t="shared" si="12"/>
        <v>0</v>
      </c>
      <c r="AN16" s="69"/>
      <c r="AO16" s="70"/>
      <c r="AP16" s="66">
        <f t="shared" si="13"/>
        <v>0</v>
      </c>
      <c r="AQ16" s="8">
        <f t="shared" si="2"/>
        <v>0</v>
      </c>
    </row>
    <row r="17" spans="1:43" ht="18" customHeight="1" x14ac:dyDescent="0.15">
      <c r="A17" s="6"/>
      <c r="B17" s="11" t="s">
        <v>147</v>
      </c>
      <c r="C17" s="65">
        <v>98</v>
      </c>
      <c r="D17" s="66">
        <v>30</v>
      </c>
      <c r="E17" s="67">
        <v>120</v>
      </c>
      <c r="F17" s="68">
        <f t="shared" si="0"/>
        <v>0</v>
      </c>
      <c r="G17" s="69">
        <v>0</v>
      </c>
      <c r="H17" s="70">
        <v>0</v>
      </c>
      <c r="I17" s="68">
        <f t="shared" si="1"/>
        <v>0</v>
      </c>
      <c r="J17" s="69">
        <v>0</v>
      </c>
      <c r="K17" s="70">
        <v>0</v>
      </c>
      <c r="L17" s="68">
        <f t="shared" si="3"/>
        <v>0</v>
      </c>
      <c r="M17" s="69"/>
      <c r="N17" s="70"/>
      <c r="O17" s="68">
        <f t="shared" si="4"/>
        <v>0</v>
      </c>
      <c r="P17" s="69"/>
      <c r="Q17" s="70"/>
      <c r="R17" s="68">
        <f t="shared" si="5"/>
        <v>0</v>
      </c>
      <c r="S17" s="69"/>
      <c r="T17" s="70"/>
      <c r="U17" s="68">
        <f t="shared" si="6"/>
        <v>0</v>
      </c>
      <c r="V17" s="69"/>
      <c r="W17" s="70"/>
      <c r="X17" s="68">
        <f t="shared" si="7"/>
        <v>0</v>
      </c>
      <c r="Y17" s="69"/>
      <c r="Z17" s="70"/>
      <c r="AA17" s="68">
        <f t="shared" si="8"/>
        <v>0</v>
      </c>
      <c r="AB17" s="69"/>
      <c r="AC17" s="70"/>
      <c r="AD17" s="68">
        <f t="shared" si="9"/>
        <v>0</v>
      </c>
      <c r="AE17" s="69"/>
      <c r="AF17" s="70"/>
      <c r="AG17" s="68">
        <f t="shared" si="10"/>
        <v>0</v>
      </c>
      <c r="AH17" s="69"/>
      <c r="AI17" s="70"/>
      <c r="AJ17" s="68">
        <f t="shared" si="11"/>
        <v>0</v>
      </c>
      <c r="AK17" s="69"/>
      <c r="AL17" s="70"/>
      <c r="AM17" s="68">
        <f t="shared" si="12"/>
        <v>0</v>
      </c>
      <c r="AN17" s="69"/>
      <c r="AO17" s="70"/>
      <c r="AP17" s="66">
        <f t="shared" si="13"/>
        <v>0</v>
      </c>
      <c r="AQ17" s="8">
        <f t="shared" si="2"/>
        <v>0</v>
      </c>
    </row>
    <row r="18" spans="1:43" ht="18" customHeight="1" x14ac:dyDescent="0.15">
      <c r="A18" s="6"/>
      <c r="B18" s="11" t="s">
        <v>148</v>
      </c>
      <c r="C18" s="65">
        <v>339</v>
      </c>
      <c r="D18" s="66">
        <v>80</v>
      </c>
      <c r="E18" s="67">
        <v>320</v>
      </c>
      <c r="F18" s="68">
        <f t="shared" si="0"/>
        <v>95</v>
      </c>
      <c r="G18" s="69">
        <v>43</v>
      </c>
      <c r="H18" s="70">
        <v>52</v>
      </c>
      <c r="I18" s="68">
        <f t="shared" si="1"/>
        <v>90</v>
      </c>
      <c r="J18" s="69">
        <v>48</v>
      </c>
      <c r="K18" s="70">
        <v>42</v>
      </c>
      <c r="L18" s="68">
        <f t="shared" si="3"/>
        <v>0</v>
      </c>
      <c r="M18" s="69"/>
      <c r="N18" s="70"/>
      <c r="O18" s="68">
        <f t="shared" si="4"/>
        <v>0</v>
      </c>
      <c r="P18" s="69"/>
      <c r="Q18" s="70"/>
      <c r="R18" s="68">
        <f t="shared" si="5"/>
        <v>0</v>
      </c>
      <c r="S18" s="69"/>
      <c r="T18" s="70"/>
      <c r="U18" s="68">
        <f t="shared" si="6"/>
        <v>0</v>
      </c>
      <c r="V18" s="69"/>
      <c r="W18" s="70"/>
      <c r="X18" s="68">
        <f t="shared" si="7"/>
        <v>0</v>
      </c>
      <c r="Y18" s="69"/>
      <c r="Z18" s="70"/>
      <c r="AA18" s="68">
        <f t="shared" si="8"/>
        <v>0</v>
      </c>
      <c r="AB18" s="69"/>
      <c r="AC18" s="70"/>
      <c r="AD18" s="68">
        <f t="shared" si="9"/>
        <v>0</v>
      </c>
      <c r="AE18" s="69"/>
      <c r="AF18" s="70"/>
      <c r="AG18" s="68">
        <f t="shared" si="10"/>
        <v>0</v>
      </c>
      <c r="AH18" s="69"/>
      <c r="AI18" s="70"/>
      <c r="AJ18" s="68">
        <f t="shared" si="11"/>
        <v>0</v>
      </c>
      <c r="AK18" s="69"/>
      <c r="AL18" s="70"/>
      <c r="AM18" s="68">
        <f t="shared" si="12"/>
        <v>0</v>
      </c>
      <c r="AN18" s="69"/>
      <c r="AO18" s="70"/>
      <c r="AP18" s="66">
        <f t="shared" si="13"/>
        <v>95</v>
      </c>
      <c r="AQ18" s="8">
        <f t="shared" si="2"/>
        <v>0.296875</v>
      </c>
    </row>
    <row r="19" spans="1:43" ht="18" customHeight="1" x14ac:dyDescent="0.15">
      <c r="A19" s="6"/>
      <c r="B19" s="11" t="s">
        <v>149</v>
      </c>
      <c r="C19" s="65">
        <v>389</v>
      </c>
      <c r="D19" s="66">
        <v>90</v>
      </c>
      <c r="E19" s="67">
        <v>360</v>
      </c>
      <c r="F19" s="68">
        <f t="shared" si="0"/>
        <v>99</v>
      </c>
      <c r="G19" s="69">
        <v>73</v>
      </c>
      <c r="H19" s="70">
        <v>26</v>
      </c>
      <c r="I19" s="68">
        <f t="shared" si="1"/>
        <v>94</v>
      </c>
      <c r="J19" s="69">
        <v>68</v>
      </c>
      <c r="K19" s="70">
        <v>26</v>
      </c>
      <c r="L19" s="68">
        <f t="shared" si="3"/>
        <v>0</v>
      </c>
      <c r="M19" s="69"/>
      <c r="N19" s="70"/>
      <c r="O19" s="68">
        <f t="shared" si="4"/>
        <v>0</v>
      </c>
      <c r="P19" s="69"/>
      <c r="Q19" s="70"/>
      <c r="R19" s="68">
        <f t="shared" si="5"/>
        <v>0</v>
      </c>
      <c r="S19" s="69"/>
      <c r="T19" s="70"/>
      <c r="U19" s="68">
        <f t="shared" si="6"/>
        <v>0</v>
      </c>
      <c r="V19" s="69"/>
      <c r="W19" s="70"/>
      <c r="X19" s="68">
        <f t="shared" si="7"/>
        <v>0</v>
      </c>
      <c r="Y19" s="69"/>
      <c r="Z19" s="70"/>
      <c r="AA19" s="68">
        <f t="shared" si="8"/>
        <v>0</v>
      </c>
      <c r="AB19" s="69"/>
      <c r="AC19" s="70"/>
      <c r="AD19" s="68">
        <f t="shared" si="9"/>
        <v>0</v>
      </c>
      <c r="AE19" s="69"/>
      <c r="AF19" s="70"/>
      <c r="AG19" s="68">
        <f t="shared" si="10"/>
        <v>0</v>
      </c>
      <c r="AH19" s="69"/>
      <c r="AI19" s="70"/>
      <c r="AJ19" s="68">
        <f t="shared" si="11"/>
        <v>0</v>
      </c>
      <c r="AK19" s="69"/>
      <c r="AL19" s="70"/>
      <c r="AM19" s="68">
        <f t="shared" si="12"/>
        <v>0</v>
      </c>
      <c r="AN19" s="69"/>
      <c r="AO19" s="70"/>
      <c r="AP19" s="66">
        <f t="shared" si="13"/>
        <v>99</v>
      </c>
      <c r="AQ19" s="8">
        <f t="shared" si="2"/>
        <v>0.27500000000000002</v>
      </c>
    </row>
    <row r="20" spans="1:43" ht="18" customHeight="1" x14ac:dyDescent="0.15">
      <c r="A20" s="6"/>
      <c r="B20" s="11" t="s">
        <v>150</v>
      </c>
      <c r="C20" s="65">
        <v>344</v>
      </c>
      <c r="D20" s="66">
        <v>80</v>
      </c>
      <c r="E20" s="67">
        <v>320</v>
      </c>
      <c r="F20" s="68">
        <f t="shared" si="0"/>
        <v>88</v>
      </c>
      <c r="G20" s="69">
        <v>10</v>
      </c>
      <c r="H20" s="70">
        <v>78</v>
      </c>
      <c r="I20" s="68">
        <f t="shared" si="1"/>
        <v>85</v>
      </c>
      <c r="J20" s="69">
        <v>9</v>
      </c>
      <c r="K20" s="70">
        <v>76</v>
      </c>
      <c r="L20" s="68">
        <f t="shared" si="3"/>
        <v>0</v>
      </c>
      <c r="M20" s="69"/>
      <c r="N20" s="70"/>
      <c r="O20" s="68">
        <f t="shared" si="4"/>
        <v>0</v>
      </c>
      <c r="P20" s="69"/>
      <c r="Q20" s="70"/>
      <c r="R20" s="68">
        <f t="shared" si="5"/>
        <v>0</v>
      </c>
      <c r="S20" s="69"/>
      <c r="T20" s="70"/>
      <c r="U20" s="68">
        <f t="shared" si="6"/>
        <v>0</v>
      </c>
      <c r="V20" s="69"/>
      <c r="W20" s="70"/>
      <c r="X20" s="68">
        <f t="shared" si="7"/>
        <v>0</v>
      </c>
      <c r="Y20" s="69"/>
      <c r="Z20" s="70"/>
      <c r="AA20" s="68">
        <f t="shared" si="8"/>
        <v>0</v>
      </c>
      <c r="AB20" s="69"/>
      <c r="AC20" s="70"/>
      <c r="AD20" s="68">
        <f t="shared" si="9"/>
        <v>0</v>
      </c>
      <c r="AE20" s="69"/>
      <c r="AF20" s="70"/>
      <c r="AG20" s="68">
        <f t="shared" si="10"/>
        <v>0</v>
      </c>
      <c r="AH20" s="69"/>
      <c r="AI20" s="70"/>
      <c r="AJ20" s="68">
        <f t="shared" si="11"/>
        <v>0</v>
      </c>
      <c r="AK20" s="69"/>
      <c r="AL20" s="70"/>
      <c r="AM20" s="68">
        <f t="shared" si="12"/>
        <v>0</v>
      </c>
      <c r="AN20" s="69"/>
      <c r="AO20" s="70"/>
      <c r="AP20" s="66">
        <f t="shared" si="13"/>
        <v>88</v>
      </c>
      <c r="AQ20" s="8">
        <f t="shared" si="2"/>
        <v>0.27500000000000002</v>
      </c>
    </row>
    <row r="21" spans="1:43" ht="18" customHeight="1" x14ac:dyDescent="0.15">
      <c r="A21" s="6"/>
      <c r="B21" s="11" t="s">
        <v>151</v>
      </c>
      <c r="C21" s="65">
        <v>206</v>
      </c>
      <c r="D21" s="66">
        <v>50</v>
      </c>
      <c r="E21" s="67">
        <v>220</v>
      </c>
      <c r="F21" s="68">
        <f t="shared" si="0"/>
        <v>48</v>
      </c>
      <c r="G21" s="69">
        <v>28</v>
      </c>
      <c r="H21" s="70">
        <v>20</v>
      </c>
      <c r="I21" s="68">
        <f t="shared" si="1"/>
        <v>36</v>
      </c>
      <c r="J21" s="69">
        <v>18</v>
      </c>
      <c r="K21" s="70">
        <v>18</v>
      </c>
      <c r="L21" s="68">
        <f t="shared" si="3"/>
        <v>0</v>
      </c>
      <c r="M21" s="69"/>
      <c r="N21" s="70"/>
      <c r="O21" s="68">
        <f t="shared" si="4"/>
        <v>0</v>
      </c>
      <c r="P21" s="69"/>
      <c r="Q21" s="70"/>
      <c r="R21" s="68">
        <f t="shared" si="5"/>
        <v>0</v>
      </c>
      <c r="S21" s="69"/>
      <c r="T21" s="70"/>
      <c r="U21" s="68">
        <f t="shared" si="6"/>
        <v>0</v>
      </c>
      <c r="V21" s="69"/>
      <c r="W21" s="70"/>
      <c r="X21" s="68">
        <f t="shared" si="7"/>
        <v>0</v>
      </c>
      <c r="Y21" s="69"/>
      <c r="Z21" s="70"/>
      <c r="AA21" s="68">
        <f t="shared" si="8"/>
        <v>0</v>
      </c>
      <c r="AB21" s="69"/>
      <c r="AC21" s="70"/>
      <c r="AD21" s="68">
        <f t="shared" si="9"/>
        <v>0</v>
      </c>
      <c r="AE21" s="69"/>
      <c r="AF21" s="70"/>
      <c r="AG21" s="68">
        <f t="shared" si="10"/>
        <v>0</v>
      </c>
      <c r="AH21" s="69"/>
      <c r="AI21" s="70"/>
      <c r="AJ21" s="68">
        <f t="shared" si="11"/>
        <v>0</v>
      </c>
      <c r="AK21" s="69"/>
      <c r="AL21" s="70"/>
      <c r="AM21" s="68">
        <f t="shared" si="12"/>
        <v>0</v>
      </c>
      <c r="AN21" s="69"/>
      <c r="AO21" s="70"/>
      <c r="AP21" s="66">
        <f t="shared" si="13"/>
        <v>48</v>
      </c>
      <c r="AQ21" s="8">
        <f t="shared" si="2"/>
        <v>0.21818181818181817</v>
      </c>
    </row>
    <row r="22" spans="1:43" ht="18" customHeight="1" x14ac:dyDescent="0.15">
      <c r="A22" s="6"/>
      <c r="B22" s="11" t="s">
        <v>152</v>
      </c>
      <c r="C22" s="65">
        <v>138</v>
      </c>
      <c r="D22" s="66">
        <v>50</v>
      </c>
      <c r="E22" s="67">
        <v>210</v>
      </c>
      <c r="F22" s="68">
        <f t="shared" si="0"/>
        <v>17</v>
      </c>
      <c r="G22" s="69">
        <v>8</v>
      </c>
      <c r="H22" s="70">
        <v>9</v>
      </c>
      <c r="I22" s="68">
        <f t="shared" si="1"/>
        <v>16</v>
      </c>
      <c r="J22" s="69">
        <v>8</v>
      </c>
      <c r="K22" s="70">
        <v>8</v>
      </c>
      <c r="L22" s="68">
        <f t="shared" si="3"/>
        <v>0</v>
      </c>
      <c r="M22" s="69"/>
      <c r="N22" s="70"/>
      <c r="O22" s="68">
        <f t="shared" si="4"/>
        <v>0</v>
      </c>
      <c r="P22" s="69"/>
      <c r="Q22" s="70"/>
      <c r="R22" s="68">
        <f t="shared" si="5"/>
        <v>0</v>
      </c>
      <c r="S22" s="69"/>
      <c r="T22" s="70"/>
      <c r="U22" s="68">
        <f t="shared" si="6"/>
        <v>0</v>
      </c>
      <c r="V22" s="69"/>
      <c r="W22" s="70"/>
      <c r="X22" s="68">
        <f t="shared" si="7"/>
        <v>0</v>
      </c>
      <c r="Y22" s="69"/>
      <c r="Z22" s="70"/>
      <c r="AA22" s="68">
        <f t="shared" si="8"/>
        <v>0</v>
      </c>
      <c r="AB22" s="69"/>
      <c r="AC22" s="70"/>
      <c r="AD22" s="68">
        <f t="shared" si="9"/>
        <v>0</v>
      </c>
      <c r="AE22" s="69"/>
      <c r="AF22" s="70"/>
      <c r="AG22" s="68">
        <f t="shared" si="10"/>
        <v>0</v>
      </c>
      <c r="AH22" s="69"/>
      <c r="AI22" s="70"/>
      <c r="AJ22" s="68">
        <f t="shared" si="11"/>
        <v>0</v>
      </c>
      <c r="AK22" s="69"/>
      <c r="AL22" s="70"/>
      <c r="AM22" s="68">
        <f t="shared" si="12"/>
        <v>0</v>
      </c>
      <c r="AN22" s="69"/>
      <c r="AO22" s="70"/>
      <c r="AP22" s="66">
        <f t="shared" si="13"/>
        <v>17</v>
      </c>
      <c r="AQ22" s="8">
        <f t="shared" si="2"/>
        <v>8.0952380952380956E-2</v>
      </c>
    </row>
    <row r="23" spans="1:43" ht="18" customHeight="1" x14ac:dyDescent="0.15">
      <c r="A23" s="6"/>
      <c r="B23" s="11" t="s">
        <v>153</v>
      </c>
      <c r="C23" s="65">
        <v>435</v>
      </c>
      <c r="D23" s="66">
        <v>100</v>
      </c>
      <c r="E23" s="67">
        <v>400</v>
      </c>
      <c r="F23" s="68">
        <f t="shared" si="0"/>
        <v>82</v>
      </c>
      <c r="G23" s="69">
        <v>6</v>
      </c>
      <c r="H23" s="70">
        <v>76</v>
      </c>
      <c r="I23" s="68">
        <f t="shared" si="1"/>
        <v>75</v>
      </c>
      <c r="J23" s="69">
        <v>4</v>
      </c>
      <c r="K23" s="70">
        <v>71</v>
      </c>
      <c r="L23" s="68">
        <f t="shared" si="3"/>
        <v>0</v>
      </c>
      <c r="M23" s="69"/>
      <c r="N23" s="70"/>
      <c r="O23" s="68">
        <f t="shared" si="4"/>
        <v>0</v>
      </c>
      <c r="P23" s="69"/>
      <c r="Q23" s="70"/>
      <c r="R23" s="68">
        <f t="shared" si="5"/>
        <v>0</v>
      </c>
      <c r="S23" s="69"/>
      <c r="T23" s="70"/>
      <c r="U23" s="68">
        <f t="shared" si="6"/>
        <v>0</v>
      </c>
      <c r="V23" s="69"/>
      <c r="W23" s="70"/>
      <c r="X23" s="68">
        <f t="shared" si="7"/>
        <v>0</v>
      </c>
      <c r="Y23" s="69"/>
      <c r="Z23" s="70"/>
      <c r="AA23" s="68">
        <f t="shared" si="8"/>
        <v>0</v>
      </c>
      <c r="AB23" s="69"/>
      <c r="AC23" s="70"/>
      <c r="AD23" s="68">
        <f t="shared" si="9"/>
        <v>0</v>
      </c>
      <c r="AE23" s="69"/>
      <c r="AF23" s="70"/>
      <c r="AG23" s="68">
        <f t="shared" si="10"/>
        <v>0</v>
      </c>
      <c r="AH23" s="69"/>
      <c r="AI23" s="70"/>
      <c r="AJ23" s="68">
        <f t="shared" si="11"/>
        <v>0</v>
      </c>
      <c r="AK23" s="69"/>
      <c r="AL23" s="70"/>
      <c r="AM23" s="68">
        <f t="shared" si="12"/>
        <v>0</v>
      </c>
      <c r="AN23" s="69"/>
      <c r="AO23" s="70"/>
      <c r="AP23" s="66">
        <f t="shared" si="13"/>
        <v>82</v>
      </c>
      <c r="AQ23" s="8">
        <f t="shared" si="2"/>
        <v>0.20499999999999999</v>
      </c>
    </row>
    <row r="24" spans="1:43" ht="18" customHeight="1" x14ac:dyDescent="0.15">
      <c r="A24" s="6"/>
      <c r="B24" s="11" t="s">
        <v>154</v>
      </c>
      <c r="C24" s="65">
        <v>512</v>
      </c>
      <c r="D24" s="66">
        <v>130</v>
      </c>
      <c r="E24" s="67">
        <v>520</v>
      </c>
      <c r="F24" s="68">
        <f t="shared" si="0"/>
        <v>125</v>
      </c>
      <c r="G24" s="69">
        <v>88</v>
      </c>
      <c r="H24" s="70">
        <v>37</v>
      </c>
      <c r="I24" s="68">
        <f t="shared" si="1"/>
        <v>113</v>
      </c>
      <c r="J24" s="69">
        <v>77</v>
      </c>
      <c r="K24" s="70">
        <v>36</v>
      </c>
      <c r="L24" s="68">
        <f t="shared" si="3"/>
        <v>0</v>
      </c>
      <c r="M24" s="69"/>
      <c r="N24" s="70"/>
      <c r="O24" s="68">
        <f t="shared" si="4"/>
        <v>0</v>
      </c>
      <c r="P24" s="69"/>
      <c r="Q24" s="70"/>
      <c r="R24" s="68">
        <f t="shared" si="5"/>
        <v>0</v>
      </c>
      <c r="S24" s="69"/>
      <c r="T24" s="70"/>
      <c r="U24" s="68">
        <f t="shared" si="6"/>
        <v>0</v>
      </c>
      <c r="V24" s="69"/>
      <c r="W24" s="70"/>
      <c r="X24" s="68">
        <f t="shared" si="7"/>
        <v>0</v>
      </c>
      <c r="Y24" s="69"/>
      <c r="Z24" s="70"/>
      <c r="AA24" s="68">
        <f t="shared" si="8"/>
        <v>0</v>
      </c>
      <c r="AB24" s="69"/>
      <c r="AC24" s="70"/>
      <c r="AD24" s="68">
        <f t="shared" si="9"/>
        <v>0</v>
      </c>
      <c r="AE24" s="69"/>
      <c r="AF24" s="70"/>
      <c r="AG24" s="68">
        <f t="shared" si="10"/>
        <v>0</v>
      </c>
      <c r="AH24" s="69"/>
      <c r="AI24" s="70"/>
      <c r="AJ24" s="68">
        <f t="shared" si="11"/>
        <v>0</v>
      </c>
      <c r="AK24" s="69"/>
      <c r="AL24" s="70"/>
      <c r="AM24" s="68">
        <f t="shared" si="12"/>
        <v>0</v>
      </c>
      <c r="AN24" s="69"/>
      <c r="AO24" s="70"/>
      <c r="AP24" s="66">
        <f t="shared" si="13"/>
        <v>125</v>
      </c>
      <c r="AQ24" s="8">
        <f t="shared" si="2"/>
        <v>0.24038461538461539</v>
      </c>
    </row>
    <row r="25" spans="1:43" ht="18" customHeight="1" x14ac:dyDescent="0.15">
      <c r="A25" s="6"/>
      <c r="B25" s="11"/>
      <c r="C25" s="65"/>
      <c r="D25" s="66"/>
      <c r="E25" s="67"/>
      <c r="F25" s="68">
        <f t="shared" si="0"/>
        <v>0</v>
      </c>
      <c r="G25" s="69"/>
      <c r="H25" s="70"/>
      <c r="I25" s="68">
        <f t="shared" si="1"/>
        <v>0</v>
      </c>
      <c r="J25" s="69"/>
      <c r="K25" s="70"/>
      <c r="L25" s="68">
        <f t="shared" si="3"/>
        <v>0</v>
      </c>
      <c r="M25" s="69"/>
      <c r="N25" s="70"/>
      <c r="O25" s="68">
        <f t="shared" si="4"/>
        <v>0</v>
      </c>
      <c r="P25" s="69"/>
      <c r="Q25" s="70"/>
      <c r="R25" s="68">
        <f t="shared" si="5"/>
        <v>0</v>
      </c>
      <c r="S25" s="69"/>
      <c r="T25" s="70"/>
      <c r="U25" s="68">
        <f t="shared" si="6"/>
        <v>0</v>
      </c>
      <c r="V25" s="69"/>
      <c r="W25" s="70"/>
      <c r="X25" s="68">
        <f t="shared" si="7"/>
        <v>0</v>
      </c>
      <c r="Y25" s="69"/>
      <c r="Z25" s="70"/>
      <c r="AA25" s="68">
        <f t="shared" si="8"/>
        <v>0</v>
      </c>
      <c r="AB25" s="69"/>
      <c r="AC25" s="70"/>
      <c r="AD25" s="68">
        <f t="shared" si="9"/>
        <v>0</v>
      </c>
      <c r="AE25" s="69"/>
      <c r="AF25" s="70"/>
      <c r="AG25" s="68">
        <f t="shared" si="10"/>
        <v>0</v>
      </c>
      <c r="AH25" s="69"/>
      <c r="AI25" s="70"/>
      <c r="AJ25" s="68">
        <f t="shared" si="11"/>
        <v>0</v>
      </c>
      <c r="AK25" s="69"/>
      <c r="AL25" s="70"/>
      <c r="AM25" s="68">
        <f t="shared" si="12"/>
        <v>0</v>
      </c>
      <c r="AN25" s="69"/>
      <c r="AO25" s="70"/>
      <c r="AP25" s="66">
        <f t="shared" si="13"/>
        <v>0</v>
      </c>
      <c r="AQ25" s="8" t="e">
        <f t="shared" si="2"/>
        <v>#DIV/0!</v>
      </c>
    </row>
    <row r="26" spans="1:43" ht="18" customHeight="1" x14ac:dyDescent="0.15">
      <c r="A26" s="6"/>
      <c r="B26" s="11"/>
      <c r="C26" s="65"/>
      <c r="D26" s="66"/>
      <c r="E26" s="67"/>
      <c r="F26" s="68">
        <f t="shared" si="0"/>
        <v>0</v>
      </c>
      <c r="G26" s="69"/>
      <c r="H26" s="70"/>
      <c r="I26" s="68">
        <f t="shared" si="1"/>
        <v>0</v>
      </c>
      <c r="J26" s="69"/>
      <c r="K26" s="70"/>
      <c r="L26" s="68">
        <f t="shared" si="3"/>
        <v>0</v>
      </c>
      <c r="M26" s="69"/>
      <c r="N26" s="70"/>
      <c r="O26" s="68">
        <f t="shared" si="4"/>
        <v>0</v>
      </c>
      <c r="P26" s="69"/>
      <c r="Q26" s="70"/>
      <c r="R26" s="68">
        <f t="shared" si="5"/>
        <v>0</v>
      </c>
      <c r="S26" s="69"/>
      <c r="T26" s="70"/>
      <c r="U26" s="68">
        <f t="shared" si="6"/>
        <v>0</v>
      </c>
      <c r="V26" s="69"/>
      <c r="W26" s="70"/>
      <c r="X26" s="68">
        <f t="shared" si="7"/>
        <v>0</v>
      </c>
      <c r="Y26" s="69"/>
      <c r="Z26" s="70"/>
      <c r="AA26" s="68">
        <f t="shared" si="8"/>
        <v>0</v>
      </c>
      <c r="AB26" s="69"/>
      <c r="AC26" s="70"/>
      <c r="AD26" s="68">
        <f t="shared" si="9"/>
        <v>0</v>
      </c>
      <c r="AE26" s="69"/>
      <c r="AF26" s="70"/>
      <c r="AG26" s="68">
        <f t="shared" si="10"/>
        <v>0</v>
      </c>
      <c r="AH26" s="69"/>
      <c r="AI26" s="70"/>
      <c r="AJ26" s="68">
        <f t="shared" si="11"/>
        <v>0</v>
      </c>
      <c r="AK26" s="69"/>
      <c r="AL26" s="70"/>
      <c r="AM26" s="68">
        <f t="shared" si="12"/>
        <v>0</v>
      </c>
      <c r="AN26" s="69"/>
      <c r="AO26" s="70"/>
      <c r="AP26" s="66">
        <f t="shared" si="13"/>
        <v>0</v>
      </c>
      <c r="AQ26" s="8" t="e">
        <f t="shared" si="2"/>
        <v>#DIV/0!</v>
      </c>
    </row>
    <row r="27" spans="1:43" ht="18" customHeight="1" x14ac:dyDescent="0.15">
      <c r="A27" s="6"/>
      <c r="B27" s="11"/>
      <c r="C27" s="65"/>
      <c r="D27" s="66"/>
      <c r="E27" s="67"/>
      <c r="F27" s="68">
        <f t="shared" si="0"/>
        <v>0</v>
      </c>
      <c r="G27" s="69"/>
      <c r="H27" s="70"/>
      <c r="I27" s="68">
        <f t="shared" si="1"/>
        <v>0</v>
      </c>
      <c r="J27" s="69"/>
      <c r="K27" s="70"/>
      <c r="L27" s="68">
        <f t="shared" si="3"/>
        <v>0</v>
      </c>
      <c r="M27" s="69"/>
      <c r="N27" s="70"/>
      <c r="O27" s="68">
        <f t="shared" si="4"/>
        <v>0</v>
      </c>
      <c r="P27" s="69"/>
      <c r="Q27" s="70"/>
      <c r="R27" s="68">
        <f t="shared" si="5"/>
        <v>0</v>
      </c>
      <c r="S27" s="69"/>
      <c r="T27" s="70"/>
      <c r="U27" s="68">
        <f t="shared" si="6"/>
        <v>0</v>
      </c>
      <c r="V27" s="69"/>
      <c r="W27" s="70"/>
      <c r="X27" s="68">
        <f t="shared" si="7"/>
        <v>0</v>
      </c>
      <c r="Y27" s="69"/>
      <c r="Z27" s="70"/>
      <c r="AA27" s="68">
        <f t="shared" si="8"/>
        <v>0</v>
      </c>
      <c r="AB27" s="69"/>
      <c r="AC27" s="70"/>
      <c r="AD27" s="68">
        <f t="shared" si="9"/>
        <v>0</v>
      </c>
      <c r="AE27" s="69"/>
      <c r="AF27" s="70"/>
      <c r="AG27" s="68">
        <f t="shared" si="10"/>
        <v>0</v>
      </c>
      <c r="AH27" s="69"/>
      <c r="AI27" s="70"/>
      <c r="AJ27" s="68">
        <f t="shared" si="11"/>
        <v>0</v>
      </c>
      <c r="AK27" s="69"/>
      <c r="AL27" s="70"/>
      <c r="AM27" s="68">
        <f t="shared" si="12"/>
        <v>0</v>
      </c>
      <c r="AN27" s="69"/>
      <c r="AO27" s="70"/>
      <c r="AP27" s="66">
        <f t="shared" si="13"/>
        <v>0</v>
      </c>
      <c r="AQ27" s="8" t="e">
        <f t="shared" si="2"/>
        <v>#DIV/0!</v>
      </c>
    </row>
    <row r="28" spans="1:43" ht="18" customHeight="1" x14ac:dyDescent="0.15">
      <c r="A28" s="6"/>
      <c r="B28" s="11"/>
      <c r="C28" s="65"/>
      <c r="D28" s="66"/>
      <c r="E28" s="67"/>
      <c r="F28" s="68">
        <f t="shared" ref="F28:F31" si="14">G28+H28</f>
        <v>0</v>
      </c>
      <c r="G28" s="69"/>
      <c r="H28" s="70"/>
      <c r="I28" s="68">
        <f t="shared" ref="I28:I31" si="15">J28+K28</f>
        <v>0</v>
      </c>
      <c r="J28" s="69"/>
      <c r="K28" s="70"/>
      <c r="L28" s="68">
        <f t="shared" si="3"/>
        <v>0</v>
      </c>
      <c r="M28" s="69"/>
      <c r="N28" s="70"/>
      <c r="O28" s="68">
        <f t="shared" si="4"/>
        <v>0</v>
      </c>
      <c r="P28" s="69"/>
      <c r="Q28" s="70"/>
      <c r="R28" s="68">
        <f t="shared" si="5"/>
        <v>0</v>
      </c>
      <c r="S28" s="69"/>
      <c r="T28" s="70"/>
      <c r="U28" s="68">
        <f t="shared" si="6"/>
        <v>0</v>
      </c>
      <c r="V28" s="69"/>
      <c r="W28" s="70"/>
      <c r="X28" s="68">
        <f t="shared" si="7"/>
        <v>0</v>
      </c>
      <c r="Y28" s="69"/>
      <c r="Z28" s="70"/>
      <c r="AA28" s="68">
        <f t="shared" si="8"/>
        <v>0</v>
      </c>
      <c r="AB28" s="69"/>
      <c r="AC28" s="70"/>
      <c r="AD28" s="68">
        <f t="shared" si="9"/>
        <v>0</v>
      </c>
      <c r="AE28" s="69"/>
      <c r="AF28" s="70"/>
      <c r="AG28" s="68">
        <f t="shared" si="10"/>
        <v>0</v>
      </c>
      <c r="AH28" s="69"/>
      <c r="AI28" s="70"/>
      <c r="AJ28" s="68">
        <f t="shared" si="11"/>
        <v>0</v>
      </c>
      <c r="AK28" s="69"/>
      <c r="AL28" s="70"/>
      <c r="AM28" s="68">
        <f t="shared" si="12"/>
        <v>0</v>
      </c>
      <c r="AN28" s="69"/>
      <c r="AO28" s="70"/>
      <c r="AP28" s="66">
        <f t="shared" si="13"/>
        <v>0</v>
      </c>
      <c r="AQ28" s="8" t="e">
        <f t="shared" si="2"/>
        <v>#DIV/0!</v>
      </c>
    </row>
    <row r="29" spans="1:43" ht="18" customHeight="1" x14ac:dyDescent="0.15">
      <c r="A29" s="6"/>
      <c r="B29" s="11"/>
      <c r="C29" s="65"/>
      <c r="D29" s="71"/>
      <c r="E29" s="67"/>
      <c r="F29" s="68">
        <f t="shared" si="14"/>
        <v>0</v>
      </c>
      <c r="G29" s="69"/>
      <c r="H29" s="70"/>
      <c r="I29" s="68">
        <f t="shared" si="15"/>
        <v>0</v>
      </c>
      <c r="J29" s="69"/>
      <c r="K29" s="70"/>
      <c r="L29" s="68">
        <f t="shared" si="3"/>
        <v>0</v>
      </c>
      <c r="M29" s="69"/>
      <c r="N29" s="70"/>
      <c r="O29" s="68">
        <f t="shared" si="4"/>
        <v>0</v>
      </c>
      <c r="P29" s="69"/>
      <c r="Q29" s="70"/>
      <c r="R29" s="68">
        <f t="shared" si="5"/>
        <v>0</v>
      </c>
      <c r="S29" s="69"/>
      <c r="T29" s="70"/>
      <c r="U29" s="68">
        <f t="shared" si="6"/>
        <v>0</v>
      </c>
      <c r="V29" s="69"/>
      <c r="W29" s="70"/>
      <c r="X29" s="68">
        <f t="shared" si="7"/>
        <v>0</v>
      </c>
      <c r="Y29" s="69"/>
      <c r="Z29" s="70"/>
      <c r="AA29" s="68">
        <f t="shared" si="8"/>
        <v>0</v>
      </c>
      <c r="AB29" s="69"/>
      <c r="AC29" s="70"/>
      <c r="AD29" s="68">
        <f t="shared" si="9"/>
        <v>0</v>
      </c>
      <c r="AE29" s="69"/>
      <c r="AF29" s="70"/>
      <c r="AG29" s="68">
        <f t="shared" si="10"/>
        <v>0</v>
      </c>
      <c r="AH29" s="69"/>
      <c r="AI29" s="70"/>
      <c r="AJ29" s="68">
        <f t="shared" si="11"/>
        <v>0</v>
      </c>
      <c r="AK29" s="69"/>
      <c r="AL29" s="70"/>
      <c r="AM29" s="68">
        <f t="shared" si="12"/>
        <v>0</v>
      </c>
      <c r="AN29" s="69"/>
      <c r="AO29" s="70"/>
      <c r="AP29" s="71">
        <f t="shared" si="13"/>
        <v>0</v>
      </c>
      <c r="AQ29" s="8" t="e">
        <f t="shared" si="2"/>
        <v>#DIV/0!</v>
      </c>
    </row>
    <row r="30" spans="1:43" ht="18" customHeight="1" x14ac:dyDescent="0.15">
      <c r="A30" s="6"/>
      <c r="B30" s="11"/>
      <c r="C30" s="65"/>
      <c r="D30" s="71"/>
      <c r="E30" s="67"/>
      <c r="F30" s="68">
        <f t="shared" si="14"/>
        <v>0</v>
      </c>
      <c r="G30" s="69"/>
      <c r="H30" s="70"/>
      <c r="I30" s="68">
        <f t="shared" si="15"/>
        <v>0</v>
      </c>
      <c r="J30" s="69"/>
      <c r="K30" s="70"/>
      <c r="L30" s="68">
        <f t="shared" si="3"/>
        <v>0</v>
      </c>
      <c r="M30" s="69"/>
      <c r="N30" s="70"/>
      <c r="O30" s="68">
        <f t="shared" si="4"/>
        <v>0</v>
      </c>
      <c r="P30" s="69"/>
      <c r="Q30" s="70"/>
      <c r="R30" s="68">
        <f t="shared" si="5"/>
        <v>0</v>
      </c>
      <c r="S30" s="69"/>
      <c r="T30" s="70"/>
      <c r="U30" s="68">
        <f t="shared" si="6"/>
        <v>0</v>
      </c>
      <c r="V30" s="69"/>
      <c r="W30" s="70"/>
      <c r="X30" s="68">
        <f t="shared" si="7"/>
        <v>0</v>
      </c>
      <c r="Y30" s="69"/>
      <c r="Z30" s="70"/>
      <c r="AA30" s="68">
        <f t="shared" si="8"/>
        <v>0</v>
      </c>
      <c r="AB30" s="69"/>
      <c r="AC30" s="70"/>
      <c r="AD30" s="68">
        <f t="shared" si="9"/>
        <v>0</v>
      </c>
      <c r="AE30" s="69"/>
      <c r="AF30" s="70"/>
      <c r="AG30" s="68">
        <f t="shared" si="10"/>
        <v>0</v>
      </c>
      <c r="AH30" s="69"/>
      <c r="AI30" s="70"/>
      <c r="AJ30" s="68">
        <f t="shared" si="11"/>
        <v>0</v>
      </c>
      <c r="AK30" s="69"/>
      <c r="AL30" s="70"/>
      <c r="AM30" s="68">
        <f t="shared" si="12"/>
        <v>0</v>
      </c>
      <c r="AN30" s="69"/>
      <c r="AO30" s="70"/>
      <c r="AP30" s="71">
        <f t="shared" si="13"/>
        <v>0</v>
      </c>
      <c r="AQ30" s="8" t="e">
        <f t="shared" si="2"/>
        <v>#DIV/0!</v>
      </c>
    </row>
    <row r="31" spans="1:43" ht="18" customHeight="1" thickBot="1" x14ac:dyDescent="0.2">
      <c r="A31" s="6"/>
      <c r="B31" s="12"/>
      <c r="C31" s="60"/>
      <c r="D31" s="72"/>
      <c r="E31" s="62"/>
      <c r="F31" s="62">
        <f t="shared" si="14"/>
        <v>0</v>
      </c>
      <c r="G31" s="73"/>
      <c r="H31" s="74"/>
      <c r="I31" s="62">
        <f t="shared" si="15"/>
        <v>0</v>
      </c>
      <c r="J31" s="73"/>
      <c r="K31" s="74"/>
      <c r="L31" s="62">
        <f t="shared" si="3"/>
        <v>0</v>
      </c>
      <c r="M31" s="73"/>
      <c r="N31" s="74"/>
      <c r="O31" s="62">
        <f t="shared" si="4"/>
        <v>0</v>
      </c>
      <c r="P31" s="73"/>
      <c r="Q31" s="74"/>
      <c r="R31" s="62">
        <f t="shared" si="5"/>
        <v>0</v>
      </c>
      <c r="S31" s="73"/>
      <c r="T31" s="74"/>
      <c r="U31" s="62">
        <f t="shared" si="6"/>
        <v>0</v>
      </c>
      <c r="V31" s="73"/>
      <c r="W31" s="74"/>
      <c r="X31" s="62">
        <f t="shared" si="7"/>
        <v>0</v>
      </c>
      <c r="Y31" s="73"/>
      <c r="Z31" s="74"/>
      <c r="AA31" s="62">
        <f t="shared" si="8"/>
        <v>0</v>
      </c>
      <c r="AB31" s="73"/>
      <c r="AC31" s="74"/>
      <c r="AD31" s="62">
        <f t="shared" si="9"/>
        <v>0</v>
      </c>
      <c r="AE31" s="73"/>
      <c r="AF31" s="74"/>
      <c r="AG31" s="62">
        <f t="shared" si="10"/>
        <v>0</v>
      </c>
      <c r="AH31" s="73"/>
      <c r="AI31" s="74"/>
      <c r="AJ31" s="62">
        <f t="shared" si="11"/>
        <v>0</v>
      </c>
      <c r="AK31" s="73"/>
      <c r="AL31" s="74"/>
      <c r="AM31" s="62">
        <f t="shared" si="12"/>
        <v>0</v>
      </c>
      <c r="AN31" s="73"/>
      <c r="AO31" s="74"/>
      <c r="AP31" s="72">
        <f t="shared" si="13"/>
        <v>0</v>
      </c>
      <c r="AQ31" s="7" t="e">
        <f t="shared" si="2"/>
        <v>#DIV/0!</v>
      </c>
    </row>
    <row r="32" spans="1:43" ht="18" customHeight="1" thickTop="1" x14ac:dyDescent="0.15">
      <c r="B32" s="13" t="s">
        <v>33</v>
      </c>
      <c r="C32" s="75">
        <f t="shared" ref="C32" si="16">SUM(C12:C31)</f>
        <v>4840</v>
      </c>
      <c r="D32" s="76">
        <f t="shared" ref="D32:AP32" si="17">SUM(D12:D31)</f>
        <v>1220</v>
      </c>
      <c r="E32" s="77">
        <f t="shared" si="17"/>
        <v>4950</v>
      </c>
      <c r="F32" s="77">
        <f t="shared" si="17"/>
        <v>1059</v>
      </c>
      <c r="G32" s="78">
        <f t="shared" si="17"/>
        <v>477</v>
      </c>
      <c r="H32" s="79">
        <f t="shared" si="17"/>
        <v>582</v>
      </c>
      <c r="I32" s="77">
        <f t="shared" ref="I32:N32" si="18">SUM(I12:I31)</f>
        <v>945</v>
      </c>
      <c r="J32" s="78">
        <f t="shared" si="18"/>
        <v>412</v>
      </c>
      <c r="K32" s="79">
        <f t="shared" si="18"/>
        <v>533</v>
      </c>
      <c r="L32" s="77">
        <f t="shared" si="18"/>
        <v>0</v>
      </c>
      <c r="M32" s="78">
        <f t="shared" si="18"/>
        <v>0</v>
      </c>
      <c r="N32" s="79">
        <f t="shared" si="18"/>
        <v>0</v>
      </c>
      <c r="O32" s="77">
        <f t="shared" ref="O32:T32" si="19">SUM(O12:O31)</f>
        <v>0</v>
      </c>
      <c r="P32" s="78">
        <f t="shared" si="19"/>
        <v>0</v>
      </c>
      <c r="Q32" s="79">
        <f t="shared" si="19"/>
        <v>0</v>
      </c>
      <c r="R32" s="77">
        <f t="shared" si="19"/>
        <v>0</v>
      </c>
      <c r="S32" s="78">
        <f t="shared" si="19"/>
        <v>0</v>
      </c>
      <c r="T32" s="79">
        <f t="shared" si="19"/>
        <v>0</v>
      </c>
      <c r="U32" s="77">
        <f t="shared" ref="U32:AI32" si="20">SUM(U12:U31)</f>
        <v>0</v>
      </c>
      <c r="V32" s="78">
        <f t="shared" si="20"/>
        <v>0</v>
      </c>
      <c r="W32" s="79">
        <f t="shared" si="20"/>
        <v>0</v>
      </c>
      <c r="X32" s="77">
        <f t="shared" si="20"/>
        <v>0</v>
      </c>
      <c r="Y32" s="78">
        <f t="shared" si="20"/>
        <v>0</v>
      </c>
      <c r="Z32" s="79">
        <f t="shared" si="20"/>
        <v>0</v>
      </c>
      <c r="AA32" s="77">
        <f t="shared" si="20"/>
        <v>0</v>
      </c>
      <c r="AB32" s="78">
        <f t="shared" si="20"/>
        <v>0</v>
      </c>
      <c r="AC32" s="79">
        <f t="shared" si="20"/>
        <v>0</v>
      </c>
      <c r="AD32" s="77">
        <f t="shared" si="20"/>
        <v>0</v>
      </c>
      <c r="AE32" s="78">
        <f t="shared" si="20"/>
        <v>0</v>
      </c>
      <c r="AF32" s="79">
        <f t="shared" si="20"/>
        <v>0</v>
      </c>
      <c r="AG32" s="77">
        <f t="shared" si="20"/>
        <v>0</v>
      </c>
      <c r="AH32" s="78">
        <f t="shared" si="20"/>
        <v>0</v>
      </c>
      <c r="AI32" s="79">
        <f t="shared" si="20"/>
        <v>0</v>
      </c>
      <c r="AJ32" s="77">
        <f t="shared" ref="AJ32:AO32" si="21">SUM(AJ12:AJ31)</f>
        <v>0</v>
      </c>
      <c r="AK32" s="78">
        <f t="shared" si="21"/>
        <v>0</v>
      </c>
      <c r="AL32" s="79">
        <f t="shared" si="21"/>
        <v>0</v>
      </c>
      <c r="AM32" s="77">
        <f t="shared" si="21"/>
        <v>0</v>
      </c>
      <c r="AN32" s="78">
        <f t="shared" si="21"/>
        <v>0</v>
      </c>
      <c r="AO32" s="79">
        <f t="shared" si="21"/>
        <v>0</v>
      </c>
      <c r="AP32" s="76">
        <f t="shared" si="17"/>
        <v>1059</v>
      </c>
      <c r="AQ32" s="9">
        <f t="shared" si="2"/>
        <v>0.21393939393939393</v>
      </c>
    </row>
    <row r="33" spans="1:43" ht="18.75" customHeight="1" x14ac:dyDescent="0.15">
      <c r="A33" s="182" t="s">
        <v>155</v>
      </c>
      <c r="B33" s="182"/>
      <c r="C33" s="182"/>
      <c r="D33" s="182"/>
      <c r="E33" s="182"/>
      <c r="F33" s="182"/>
      <c r="G33" s="182"/>
      <c r="H33" s="182"/>
      <c r="I33" s="182"/>
      <c r="J33" s="182"/>
      <c r="K33" s="182"/>
      <c r="L33" s="182"/>
      <c r="M33" s="182"/>
      <c r="N33" s="182"/>
      <c r="O33" s="182"/>
      <c r="P33" s="182"/>
      <c r="Q33" s="182"/>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2"/>
      <c r="AO33" s="182"/>
      <c r="AP33" s="182"/>
      <c r="AQ33" s="182"/>
    </row>
    <row r="34" spans="1:43" ht="18.75" customHeight="1" x14ac:dyDescent="0.15">
      <c r="A34" s="182"/>
      <c r="B34" s="182"/>
      <c r="C34" s="182"/>
      <c r="D34" s="182"/>
      <c r="E34" s="182"/>
      <c r="F34" s="182"/>
      <c r="G34" s="182"/>
      <c r="H34" s="182"/>
      <c r="I34" s="182"/>
      <c r="J34" s="182"/>
      <c r="K34" s="182"/>
      <c r="L34" s="182"/>
      <c r="M34" s="182"/>
      <c r="N34" s="182"/>
      <c r="O34" s="182"/>
      <c r="P34" s="182"/>
      <c r="Q34" s="182"/>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182"/>
      <c r="AQ34" s="182"/>
    </row>
    <row r="35" spans="1:43" ht="24" customHeight="1" x14ac:dyDescent="0.15">
      <c r="A35" s="182"/>
      <c r="B35" s="182"/>
      <c r="C35" s="182"/>
      <c r="D35" s="182"/>
      <c r="E35" s="182"/>
      <c r="F35" s="182"/>
      <c r="G35" s="182"/>
      <c r="H35" s="182"/>
      <c r="I35" s="182"/>
      <c r="J35" s="182"/>
      <c r="K35" s="182"/>
      <c r="L35" s="182"/>
      <c r="M35" s="182"/>
      <c r="N35" s="182"/>
      <c r="O35" s="182"/>
      <c r="P35" s="182"/>
      <c r="Q35" s="182"/>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182"/>
      <c r="AQ35" s="182"/>
    </row>
    <row r="36" spans="1:43" ht="18.75" hidden="1" customHeight="1" x14ac:dyDescent="0.15">
      <c r="A36" s="182"/>
      <c r="B36" s="182"/>
      <c r="C36" s="182"/>
      <c r="D36" s="182"/>
      <c r="E36" s="182"/>
      <c r="F36" s="182"/>
      <c r="G36" s="182"/>
      <c r="H36" s="182"/>
      <c r="I36" s="182"/>
      <c r="J36" s="182"/>
      <c r="K36" s="182"/>
      <c r="L36" s="182"/>
      <c r="M36" s="182"/>
      <c r="N36" s="182"/>
      <c r="O36" s="182"/>
      <c r="P36" s="182"/>
      <c r="Q36" s="182"/>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182"/>
      <c r="AQ36" s="182"/>
    </row>
    <row r="37" spans="1:43" ht="14.25" x14ac:dyDescent="0.15"/>
  </sheetData>
  <mergeCells count="28">
    <mergeCell ref="A33:AQ36"/>
    <mergeCell ref="I10:K10"/>
    <mergeCell ref="L9:Q9"/>
    <mergeCell ref="L10:N10"/>
    <mergeCell ref="O10:Q10"/>
    <mergeCell ref="R9:W9"/>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9" sqref="B19:I19"/>
    </sheetView>
  </sheetViews>
  <sheetFormatPr defaultColWidth="11.375" defaultRowHeight="18.75" customHeight="1" x14ac:dyDescent="0.15"/>
  <cols>
    <col min="1" max="1" width="2.625" style="39" customWidth="1"/>
    <col min="2" max="2" width="16.625" style="1" customWidth="1"/>
    <col min="3" max="3" width="8.62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9" t="s">
        <v>65</v>
      </c>
      <c r="I1" s="34" t="s">
        <v>106</v>
      </c>
    </row>
    <row r="2" spans="1:9" ht="18.75" customHeight="1" x14ac:dyDescent="0.15">
      <c r="G2" s="34" t="s">
        <v>109</v>
      </c>
      <c r="H2" s="88" t="str">
        <f>'様式１　プログラムを構成する授業科目'!C2</f>
        <v>帝京科学大学</v>
      </c>
      <c r="I2" s="90"/>
    </row>
    <row r="3" spans="1:9" ht="18.75" customHeight="1" x14ac:dyDescent="0.15">
      <c r="G3" s="34"/>
      <c r="H3" s="10"/>
      <c r="I3" s="10"/>
    </row>
    <row r="4" spans="1:9" ht="18.399999999999999" customHeight="1" x14ac:dyDescent="0.15">
      <c r="A4" s="139" t="s">
        <v>36</v>
      </c>
      <c r="B4" s="139"/>
      <c r="C4" s="139"/>
      <c r="D4" s="139"/>
      <c r="E4" s="139"/>
      <c r="F4" s="139"/>
      <c r="G4" s="139"/>
      <c r="H4" s="139"/>
      <c r="I4" s="139"/>
    </row>
    <row r="5" spans="1:9" ht="13.15" customHeight="1" x14ac:dyDescent="0.15">
      <c r="B5" s="3"/>
      <c r="C5" s="3"/>
      <c r="D5" s="3"/>
      <c r="E5" s="3"/>
      <c r="F5" s="3"/>
      <c r="G5" s="3"/>
      <c r="H5" s="3"/>
      <c r="I5" s="3"/>
    </row>
    <row r="6" spans="1:9" ht="18" customHeight="1" x14ac:dyDescent="0.15">
      <c r="A6" s="1" t="s">
        <v>0</v>
      </c>
      <c r="B6" s="10" t="s">
        <v>91</v>
      </c>
      <c r="C6" s="199" t="s">
        <v>92</v>
      </c>
      <c r="D6" s="199"/>
      <c r="E6" s="33">
        <v>234</v>
      </c>
      <c r="F6" s="3" t="s">
        <v>1</v>
      </c>
      <c r="G6" s="3" t="s">
        <v>2</v>
      </c>
      <c r="H6" s="33">
        <v>515</v>
      </c>
      <c r="I6" s="10" t="s">
        <v>1</v>
      </c>
    </row>
    <row r="7" spans="1:9" ht="12" customHeight="1" x14ac:dyDescent="0.15">
      <c r="C7" s="2"/>
      <c r="D7" s="2"/>
      <c r="E7" s="2"/>
      <c r="F7" s="2"/>
      <c r="G7" s="2"/>
      <c r="H7" s="2"/>
      <c r="I7" s="40"/>
    </row>
    <row r="8" spans="1:9" ht="18" customHeight="1" x14ac:dyDescent="0.15">
      <c r="A8" s="1" t="s">
        <v>3</v>
      </c>
      <c r="B8" s="10" t="s">
        <v>93</v>
      </c>
      <c r="E8" s="3"/>
      <c r="F8" s="3"/>
      <c r="G8" s="3"/>
      <c r="H8" s="33">
        <v>8</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4" t="s">
        <v>43</v>
      </c>
      <c r="C11" s="88" t="s">
        <v>132</v>
      </c>
      <c r="D11" s="150"/>
      <c r="E11" s="151"/>
      <c r="F11" s="40"/>
      <c r="G11" s="34" t="s">
        <v>10</v>
      </c>
      <c r="H11" s="88" t="s">
        <v>138</v>
      </c>
      <c r="I11" s="151"/>
    </row>
    <row r="12" spans="1:9" ht="10.15" customHeight="1" x14ac:dyDescent="0.15">
      <c r="B12" s="34"/>
      <c r="C12" s="10"/>
      <c r="D12" s="40"/>
      <c r="E12" s="40"/>
      <c r="F12" s="40"/>
      <c r="G12" s="34"/>
      <c r="H12" s="10"/>
      <c r="I12" s="40"/>
    </row>
    <row r="13" spans="1:9" ht="18" customHeight="1" x14ac:dyDescent="0.15">
      <c r="A13" s="1" t="s">
        <v>7</v>
      </c>
      <c r="B13" s="10" t="s">
        <v>88</v>
      </c>
      <c r="C13" s="3"/>
      <c r="D13" s="3"/>
      <c r="E13" s="3"/>
      <c r="F13" s="3"/>
      <c r="G13" s="3"/>
      <c r="H13" s="3"/>
      <c r="I13" s="3"/>
    </row>
    <row r="14" spans="1:9" ht="18" customHeight="1" x14ac:dyDescent="0.15">
      <c r="B14" s="162" t="s">
        <v>166</v>
      </c>
      <c r="C14" s="137"/>
      <c r="D14" s="137"/>
      <c r="E14" s="137"/>
      <c r="F14" s="137"/>
      <c r="G14" s="137"/>
      <c r="H14" s="137"/>
      <c r="I14" s="138"/>
    </row>
    <row r="15" spans="1:9" ht="9" customHeight="1" x14ac:dyDescent="0.15">
      <c r="B15" s="3"/>
      <c r="C15" s="3"/>
      <c r="D15" s="3"/>
      <c r="E15" s="3"/>
      <c r="F15" s="3"/>
      <c r="G15" s="3"/>
      <c r="H15" s="3"/>
      <c r="I15" s="3"/>
    </row>
    <row r="16" spans="1:9" ht="18" customHeight="1" x14ac:dyDescent="0.15">
      <c r="B16" s="34" t="s">
        <v>43</v>
      </c>
      <c r="C16" s="88" t="s">
        <v>132</v>
      </c>
      <c r="D16" s="150"/>
      <c r="E16" s="151"/>
      <c r="F16" s="40"/>
      <c r="G16" s="34" t="s">
        <v>10</v>
      </c>
      <c r="H16" s="88" t="s">
        <v>138</v>
      </c>
      <c r="I16" s="151"/>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62" t="s">
        <v>172</v>
      </c>
      <c r="C19" s="193"/>
      <c r="D19" s="193"/>
      <c r="E19" s="193"/>
      <c r="F19" s="193"/>
      <c r="G19" s="193"/>
      <c r="H19" s="193"/>
      <c r="I19" s="163"/>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83" t="s">
        <v>168</v>
      </c>
      <c r="C22" s="184"/>
      <c r="D22" s="184"/>
      <c r="E22" s="184"/>
      <c r="F22" s="184"/>
      <c r="G22" s="184"/>
      <c r="H22" s="184"/>
      <c r="I22" s="185"/>
    </row>
    <row r="23" spans="1:9" ht="18.75" customHeight="1" x14ac:dyDescent="0.15">
      <c r="A23" s="14"/>
      <c r="B23" s="194"/>
      <c r="C23" s="195"/>
      <c r="D23" s="195"/>
      <c r="E23" s="195"/>
      <c r="F23" s="195"/>
      <c r="G23" s="195"/>
      <c r="H23" s="195"/>
      <c r="I23" s="188"/>
    </row>
    <row r="24" spans="1:9" ht="18.75" customHeight="1" x14ac:dyDescent="0.15">
      <c r="A24" s="14"/>
      <c r="B24" s="194"/>
      <c r="C24" s="195"/>
      <c r="D24" s="195"/>
      <c r="E24" s="195"/>
      <c r="F24" s="195"/>
      <c r="G24" s="195"/>
      <c r="H24" s="195"/>
      <c r="I24" s="188"/>
    </row>
    <row r="25" spans="1:9" ht="18.75" customHeight="1" x14ac:dyDescent="0.15">
      <c r="A25" s="14"/>
      <c r="B25" s="194"/>
      <c r="C25" s="195"/>
      <c r="D25" s="195"/>
      <c r="E25" s="195"/>
      <c r="F25" s="195"/>
      <c r="G25" s="195"/>
      <c r="H25" s="195"/>
      <c r="I25" s="188"/>
    </row>
    <row r="26" spans="1:9" ht="18.75" customHeight="1" x14ac:dyDescent="0.15">
      <c r="A26" s="14"/>
      <c r="B26" s="194"/>
      <c r="C26" s="195"/>
      <c r="D26" s="195"/>
      <c r="E26" s="195"/>
      <c r="F26" s="195"/>
      <c r="G26" s="195"/>
      <c r="H26" s="195"/>
      <c r="I26" s="188"/>
    </row>
    <row r="27" spans="1:9" ht="18.75" customHeight="1" x14ac:dyDescent="0.15">
      <c r="A27" s="14"/>
      <c r="B27" s="194"/>
      <c r="C27" s="195"/>
      <c r="D27" s="195"/>
      <c r="E27" s="195"/>
      <c r="F27" s="195"/>
      <c r="G27" s="195"/>
      <c r="H27" s="195"/>
      <c r="I27" s="188"/>
    </row>
    <row r="28" spans="1:9" ht="18.75" customHeight="1" x14ac:dyDescent="0.15">
      <c r="A28" s="14"/>
      <c r="B28" s="194"/>
      <c r="C28" s="195"/>
      <c r="D28" s="195"/>
      <c r="E28" s="195"/>
      <c r="F28" s="195"/>
      <c r="G28" s="195"/>
      <c r="H28" s="195"/>
      <c r="I28" s="188"/>
    </row>
    <row r="29" spans="1:9" ht="18.75" customHeight="1" x14ac:dyDescent="0.15">
      <c r="A29" s="14"/>
      <c r="B29" s="194"/>
      <c r="C29" s="195"/>
      <c r="D29" s="195"/>
      <c r="E29" s="195"/>
      <c r="F29" s="195"/>
      <c r="G29" s="195"/>
      <c r="H29" s="195"/>
      <c r="I29" s="188"/>
    </row>
    <row r="30" spans="1:9" ht="18.75" customHeight="1" x14ac:dyDescent="0.15">
      <c r="A30" s="14"/>
      <c r="B30" s="186"/>
      <c r="C30" s="187"/>
      <c r="D30" s="187"/>
      <c r="E30" s="187"/>
      <c r="F30" s="187"/>
      <c r="G30" s="187"/>
      <c r="H30" s="187"/>
      <c r="I30" s="188"/>
    </row>
    <row r="31" spans="1:9" ht="18.75" customHeight="1" x14ac:dyDescent="0.15">
      <c r="A31" s="14"/>
      <c r="B31" s="186"/>
      <c r="C31" s="187"/>
      <c r="D31" s="187"/>
      <c r="E31" s="187"/>
      <c r="F31" s="187"/>
      <c r="G31" s="187"/>
      <c r="H31" s="187"/>
      <c r="I31" s="188"/>
    </row>
    <row r="32" spans="1:9" ht="18.75" customHeight="1" x14ac:dyDescent="0.15">
      <c r="A32" s="14"/>
      <c r="B32" s="189"/>
      <c r="C32" s="190"/>
      <c r="D32" s="190"/>
      <c r="E32" s="190"/>
      <c r="F32" s="190"/>
      <c r="G32" s="190"/>
      <c r="H32" s="190"/>
      <c r="I32" s="191"/>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83" t="s">
        <v>171</v>
      </c>
      <c r="C35" s="184"/>
      <c r="D35" s="184"/>
      <c r="E35" s="184"/>
      <c r="F35" s="184"/>
      <c r="G35" s="184"/>
      <c r="H35" s="184"/>
      <c r="I35" s="185"/>
    </row>
    <row r="36" spans="1:9" ht="18.75" customHeight="1" x14ac:dyDescent="0.15">
      <c r="A36" s="14"/>
      <c r="B36" s="186"/>
      <c r="C36" s="187"/>
      <c r="D36" s="187"/>
      <c r="E36" s="187"/>
      <c r="F36" s="187"/>
      <c r="G36" s="187"/>
      <c r="H36" s="187"/>
      <c r="I36" s="188"/>
    </row>
    <row r="37" spans="1:9" ht="18.75" customHeight="1" x14ac:dyDescent="0.15">
      <c r="A37" s="14"/>
      <c r="B37" s="186"/>
      <c r="C37" s="187"/>
      <c r="D37" s="187"/>
      <c r="E37" s="187"/>
      <c r="F37" s="187"/>
      <c r="G37" s="187"/>
      <c r="H37" s="187"/>
      <c r="I37" s="188"/>
    </row>
    <row r="38" spans="1:9" ht="18.75" customHeight="1" x14ac:dyDescent="0.15">
      <c r="A38" s="14"/>
      <c r="B38" s="186"/>
      <c r="C38" s="187"/>
      <c r="D38" s="187"/>
      <c r="E38" s="187"/>
      <c r="F38" s="187"/>
      <c r="G38" s="187"/>
      <c r="H38" s="187"/>
      <c r="I38" s="188"/>
    </row>
    <row r="39" spans="1:9" ht="18.75" customHeight="1" x14ac:dyDescent="0.15">
      <c r="A39" s="14"/>
      <c r="B39" s="186"/>
      <c r="C39" s="187"/>
      <c r="D39" s="187"/>
      <c r="E39" s="187"/>
      <c r="F39" s="187"/>
      <c r="G39" s="187"/>
      <c r="H39" s="187"/>
      <c r="I39" s="188"/>
    </row>
    <row r="40" spans="1:9" ht="18.75" customHeight="1" x14ac:dyDescent="0.15">
      <c r="A40" s="14"/>
      <c r="B40" s="186"/>
      <c r="C40" s="187"/>
      <c r="D40" s="187"/>
      <c r="E40" s="187"/>
      <c r="F40" s="187"/>
      <c r="G40" s="187"/>
      <c r="H40" s="187"/>
      <c r="I40" s="188"/>
    </row>
    <row r="41" spans="1:9" ht="18.75" customHeight="1" x14ac:dyDescent="0.15">
      <c r="A41" s="14"/>
      <c r="B41" s="186"/>
      <c r="C41" s="187"/>
      <c r="D41" s="187"/>
      <c r="E41" s="187"/>
      <c r="F41" s="187"/>
      <c r="G41" s="187"/>
      <c r="H41" s="187"/>
      <c r="I41" s="188"/>
    </row>
    <row r="42" spans="1:9" ht="18.75" customHeight="1" x14ac:dyDescent="0.15">
      <c r="A42" s="14"/>
      <c r="B42" s="186"/>
      <c r="C42" s="187"/>
      <c r="D42" s="187"/>
      <c r="E42" s="187"/>
      <c r="F42" s="187"/>
      <c r="G42" s="187"/>
      <c r="H42" s="187"/>
      <c r="I42" s="188"/>
    </row>
    <row r="43" spans="1:9" ht="18.75" customHeight="1" x14ac:dyDescent="0.15">
      <c r="A43" s="14"/>
      <c r="B43" s="186"/>
      <c r="C43" s="187"/>
      <c r="D43" s="187"/>
      <c r="E43" s="187"/>
      <c r="F43" s="187"/>
      <c r="G43" s="187"/>
      <c r="H43" s="187"/>
      <c r="I43" s="188"/>
    </row>
    <row r="44" spans="1:9" ht="18.75" customHeight="1" x14ac:dyDescent="0.15">
      <c r="A44" s="14"/>
      <c r="B44" s="186"/>
      <c r="C44" s="187"/>
      <c r="D44" s="187"/>
      <c r="E44" s="187"/>
      <c r="F44" s="187"/>
      <c r="G44" s="187"/>
      <c r="H44" s="187"/>
      <c r="I44" s="188"/>
    </row>
    <row r="45" spans="1:9" ht="18.75" customHeight="1" x14ac:dyDescent="0.15">
      <c r="A45" s="14"/>
      <c r="B45" s="186"/>
      <c r="C45" s="187"/>
      <c r="D45" s="187"/>
      <c r="E45" s="187"/>
      <c r="F45" s="187"/>
      <c r="G45" s="187"/>
      <c r="H45" s="187"/>
      <c r="I45" s="188"/>
    </row>
    <row r="46" spans="1:9" ht="18.75" customHeight="1" x14ac:dyDescent="0.15">
      <c r="A46" s="14"/>
      <c r="B46" s="189"/>
      <c r="C46" s="190"/>
      <c r="D46" s="190"/>
      <c r="E46" s="190"/>
      <c r="F46" s="190"/>
      <c r="G46" s="190"/>
      <c r="H46" s="190"/>
      <c r="I46" s="191"/>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1" t="s">
        <v>89</v>
      </c>
      <c r="C49" s="217">
        <f>'様式２ 履修者等数の実績'!AQ32</f>
        <v>0.21393939393939393</v>
      </c>
      <c r="D49" s="217"/>
      <c r="E49" s="41" t="s">
        <v>66</v>
      </c>
      <c r="F49" s="217">
        <v>0.45</v>
      </c>
      <c r="G49" s="217"/>
      <c r="H49" s="41" t="s">
        <v>67</v>
      </c>
      <c r="I49" s="42">
        <v>0.7</v>
      </c>
      <c r="J49" s="1"/>
      <c r="M49" s="1"/>
      <c r="N49" s="43"/>
    </row>
    <row r="50" spans="1:15" s="3" customFormat="1" ht="18.75" customHeight="1" x14ac:dyDescent="0.15">
      <c r="B50" s="44" t="s">
        <v>68</v>
      </c>
      <c r="C50" s="200">
        <v>1</v>
      </c>
      <c r="D50" s="200"/>
      <c r="E50" s="44" t="s">
        <v>90</v>
      </c>
      <c r="F50" s="200">
        <v>1</v>
      </c>
      <c r="G50" s="200"/>
      <c r="H50" s="44" t="s">
        <v>69</v>
      </c>
      <c r="I50" s="45">
        <f>'様式２ 履修者等数の実績'!E32</f>
        <v>4950</v>
      </c>
      <c r="J50" s="1"/>
      <c r="M50" s="1"/>
      <c r="N50" s="43"/>
    </row>
    <row r="51" spans="1:15" ht="18.75" customHeight="1" x14ac:dyDescent="0.15">
      <c r="A51" s="1"/>
      <c r="B51" s="196" t="s">
        <v>70</v>
      </c>
      <c r="C51" s="197"/>
      <c r="D51" s="197"/>
      <c r="E51" s="197"/>
      <c r="F51" s="197"/>
      <c r="G51" s="197"/>
      <c r="H51" s="197"/>
      <c r="I51" s="198"/>
      <c r="N51" s="43"/>
      <c r="O51" s="3"/>
    </row>
    <row r="52" spans="1:15" ht="18.75" customHeight="1" x14ac:dyDescent="0.15">
      <c r="A52" s="1"/>
      <c r="B52" s="218" t="s">
        <v>157</v>
      </c>
      <c r="C52" s="219"/>
      <c r="D52" s="219"/>
      <c r="E52" s="219"/>
      <c r="F52" s="219"/>
      <c r="G52" s="219"/>
      <c r="H52" s="219"/>
      <c r="I52" s="220"/>
      <c r="N52" s="43"/>
      <c r="O52" s="3"/>
    </row>
    <row r="53" spans="1:15" ht="18.75" customHeight="1" x14ac:dyDescent="0.15">
      <c r="A53" s="1"/>
      <c r="B53" s="221"/>
      <c r="C53" s="222"/>
      <c r="D53" s="222"/>
      <c r="E53" s="222"/>
      <c r="F53" s="222"/>
      <c r="G53" s="222"/>
      <c r="H53" s="222"/>
      <c r="I53" s="223"/>
      <c r="N53" s="43"/>
      <c r="O53" s="3"/>
    </row>
    <row r="54" spans="1:15" ht="18.75" customHeight="1" x14ac:dyDescent="0.15">
      <c r="A54" s="1"/>
      <c r="B54" s="221"/>
      <c r="C54" s="222"/>
      <c r="D54" s="222"/>
      <c r="E54" s="222"/>
      <c r="F54" s="222"/>
      <c r="G54" s="222"/>
      <c r="H54" s="222"/>
      <c r="I54" s="223"/>
    </row>
    <row r="55" spans="1:15" ht="18.75" customHeight="1" x14ac:dyDescent="0.15">
      <c r="A55" s="1"/>
      <c r="B55" s="221"/>
      <c r="C55" s="222"/>
      <c r="D55" s="222"/>
      <c r="E55" s="222"/>
      <c r="F55" s="222"/>
      <c r="G55" s="222"/>
      <c r="H55" s="222"/>
      <c r="I55" s="223"/>
    </row>
    <row r="56" spans="1:15" ht="18.75" customHeight="1" x14ac:dyDescent="0.15">
      <c r="A56" s="1"/>
      <c r="B56" s="221"/>
      <c r="C56" s="222"/>
      <c r="D56" s="222"/>
      <c r="E56" s="222"/>
      <c r="F56" s="222"/>
      <c r="G56" s="222"/>
      <c r="H56" s="222"/>
      <c r="I56" s="223"/>
    </row>
    <row r="57" spans="1:15" ht="18.75" customHeight="1" x14ac:dyDescent="0.15">
      <c r="A57" s="1"/>
      <c r="B57" s="221"/>
      <c r="C57" s="222"/>
      <c r="D57" s="222"/>
      <c r="E57" s="222"/>
      <c r="F57" s="222"/>
      <c r="G57" s="222"/>
      <c r="H57" s="222"/>
      <c r="I57" s="223"/>
    </row>
    <row r="58" spans="1:15" ht="18.75" customHeight="1" x14ac:dyDescent="0.15">
      <c r="A58" s="1"/>
      <c r="B58" s="221"/>
      <c r="C58" s="222"/>
      <c r="D58" s="222"/>
      <c r="E58" s="222"/>
      <c r="F58" s="222"/>
      <c r="G58" s="222"/>
      <c r="H58" s="222"/>
      <c r="I58" s="223"/>
    </row>
    <row r="59" spans="1:15" ht="18.75" customHeight="1" x14ac:dyDescent="0.15">
      <c r="A59" s="1"/>
      <c r="B59" s="221"/>
      <c r="C59" s="222"/>
      <c r="D59" s="222"/>
      <c r="E59" s="222"/>
      <c r="F59" s="222"/>
      <c r="G59" s="222"/>
      <c r="H59" s="222"/>
      <c r="I59" s="223"/>
    </row>
    <row r="60" spans="1:15" ht="18.75" customHeight="1" x14ac:dyDescent="0.15">
      <c r="A60" s="1"/>
      <c r="B60" s="221"/>
      <c r="C60" s="222"/>
      <c r="D60" s="222"/>
      <c r="E60" s="222"/>
      <c r="F60" s="222"/>
      <c r="G60" s="222"/>
      <c r="H60" s="222"/>
      <c r="I60" s="223"/>
    </row>
    <row r="61" spans="1:15" ht="18.75" customHeight="1" x14ac:dyDescent="0.15">
      <c r="A61" s="1"/>
      <c r="B61" s="221"/>
      <c r="C61" s="222"/>
      <c r="D61" s="222"/>
      <c r="E61" s="222"/>
      <c r="F61" s="222"/>
      <c r="G61" s="222"/>
      <c r="H61" s="222"/>
      <c r="I61" s="223"/>
    </row>
    <row r="62" spans="1:15" ht="18.75" customHeight="1" x14ac:dyDescent="0.15">
      <c r="A62" s="1"/>
      <c r="B62" s="221"/>
      <c r="C62" s="222"/>
      <c r="D62" s="222"/>
      <c r="E62" s="222"/>
      <c r="F62" s="222"/>
      <c r="G62" s="222"/>
      <c r="H62" s="222"/>
      <c r="I62" s="223"/>
    </row>
    <row r="63" spans="1:15" ht="18.75" customHeight="1" x14ac:dyDescent="0.15">
      <c r="A63" s="1"/>
      <c r="B63" s="224"/>
      <c r="C63" s="225"/>
      <c r="D63" s="225"/>
      <c r="E63" s="225"/>
      <c r="F63" s="225"/>
      <c r="G63" s="225"/>
      <c r="H63" s="225"/>
      <c r="I63" s="226"/>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01" t="s">
        <v>156</v>
      </c>
      <c r="C66" s="202"/>
      <c r="D66" s="202"/>
      <c r="E66" s="202"/>
      <c r="F66" s="202"/>
      <c r="G66" s="202"/>
      <c r="H66" s="202"/>
      <c r="I66" s="203"/>
    </row>
    <row r="67" spans="1:9" ht="18.75" customHeight="1" x14ac:dyDescent="0.15">
      <c r="A67" s="4"/>
      <c r="B67" s="204"/>
      <c r="C67" s="205"/>
      <c r="D67" s="205"/>
      <c r="E67" s="205"/>
      <c r="F67" s="205"/>
      <c r="G67" s="205"/>
      <c r="H67" s="205"/>
      <c r="I67" s="206"/>
    </row>
    <row r="68" spans="1:9" ht="18.75" customHeight="1" x14ac:dyDescent="0.15">
      <c r="A68" s="4"/>
      <c r="B68" s="204"/>
      <c r="C68" s="205"/>
      <c r="D68" s="205"/>
      <c r="E68" s="205"/>
      <c r="F68" s="205"/>
      <c r="G68" s="205"/>
      <c r="H68" s="205"/>
      <c r="I68" s="206"/>
    </row>
    <row r="69" spans="1:9" ht="18.75" customHeight="1" x14ac:dyDescent="0.15">
      <c r="A69" s="4"/>
      <c r="B69" s="204"/>
      <c r="C69" s="205"/>
      <c r="D69" s="205"/>
      <c r="E69" s="205"/>
      <c r="F69" s="205"/>
      <c r="G69" s="205"/>
      <c r="H69" s="205"/>
      <c r="I69" s="206"/>
    </row>
    <row r="70" spans="1:9" ht="18.75" customHeight="1" x14ac:dyDescent="0.15">
      <c r="A70" s="4"/>
      <c r="B70" s="204"/>
      <c r="C70" s="205"/>
      <c r="D70" s="205"/>
      <c r="E70" s="205"/>
      <c r="F70" s="205"/>
      <c r="G70" s="205"/>
      <c r="H70" s="205"/>
      <c r="I70" s="206"/>
    </row>
    <row r="71" spans="1:9" ht="18.75" customHeight="1" x14ac:dyDescent="0.15">
      <c r="A71" s="4"/>
      <c r="B71" s="204"/>
      <c r="C71" s="205"/>
      <c r="D71" s="205"/>
      <c r="E71" s="205"/>
      <c r="F71" s="205"/>
      <c r="G71" s="205"/>
      <c r="H71" s="205"/>
      <c r="I71" s="206"/>
    </row>
    <row r="72" spans="1:9" ht="18.75" customHeight="1" x14ac:dyDescent="0.15">
      <c r="A72" s="4"/>
      <c r="B72" s="204"/>
      <c r="C72" s="205"/>
      <c r="D72" s="205"/>
      <c r="E72" s="205"/>
      <c r="F72" s="205"/>
      <c r="G72" s="205"/>
      <c r="H72" s="205"/>
      <c r="I72" s="206"/>
    </row>
    <row r="73" spans="1:9" ht="18.75" customHeight="1" x14ac:dyDescent="0.15">
      <c r="A73" s="4"/>
      <c r="B73" s="204"/>
      <c r="C73" s="205"/>
      <c r="D73" s="205"/>
      <c r="E73" s="205"/>
      <c r="F73" s="205"/>
      <c r="G73" s="205"/>
      <c r="H73" s="205"/>
      <c r="I73" s="206"/>
    </row>
    <row r="74" spans="1:9" ht="18.75" customHeight="1" x14ac:dyDescent="0.15">
      <c r="A74" s="4"/>
      <c r="B74" s="204"/>
      <c r="C74" s="205"/>
      <c r="D74" s="205"/>
      <c r="E74" s="205"/>
      <c r="F74" s="205"/>
      <c r="G74" s="205"/>
      <c r="H74" s="205"/>
      <c r="I74" s="206"/>
    </row>
    <row r="75" spans="1:9" ht="18.75" customHeight="1" x14ac:dyDescent="0.15">
      <c r="A75" s="4"/>
      <c r="B75" s="204"/>
      <c r="C75" s="205"/>
      <c r="D75" s="205"/>
      <c r="E75" s="205"/>
      <c r="F75" s="205"/>
      <c r="G75" s="205"/>
      <c r="H75" s="205"/>
      <c r="I75" s="206"/>
    </row>
    <row r="76" spans="1:9" ht="18.75" customHeight="1" x14ac:dyDescent="0.15">
      <c r="A76" s="4"/>
      <c r="B76" s="204"/>
      <c r="C76" s="205"/>
      <c r="D76" s="205"/>
      <c r="E76" s="205"/>
      <c r="F76" s="205"/>
      <c r="G76" s="205"/>
      <c r="H76" s="205"/>
      <c r="I76" s="206"/>
    </row>
    <row r="77" spans="1:9" ht="18.75" customHeight="1" x14ac:dyDescent="0.15">
      <c r="A77" s="4"/>
      <c r="B77" s="207"/>
      <c r="C77" s="208"/>
      <c r="D77" s="208"/>
      <c r="E77" s="208"/>
      <c r="F77" s="208"/>
      <c r="G77" s="208"/>
      <c r="H77" s="208"/>
      <c r="I77" s="209"/>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01" t="s">
        <v>158</v>
      </c>
      <c r="C80" s="202"/>
      <c r="D80" s="202"/>
      <c r="E80" s="202"/>
      <c r="F80" s="202"/>
      <c r="G80" s="202"/>
      <c r="H80" s="202"/>
      <c r="I80" s="210"/>
    </row>
    <row r="81" spans="1:9" ht="18.75" customHeight="1" x14ac:dyDescent="0.15">
      <c r="A81" s="1"/>
      <c r="B81" s="211"/>
      <c r="C81" s="212"/>
      <c r="D81" s="212"/>
      <c r="E81" s="212"/>
      <c r="F81" s="212"/>
      <c r="G81" s="212"/>
      <c r="H81" s="212"/>
      <c r="I81" s="213"/>
    </row>
    <row r="82" spans="1:9" ht="18.75" customHeight="1" x14ac:dyDescent="0.15">
      <c r="A82" s="1"/>
      <c r="B82" s="211"/>
      <c r="C82" s="212"/>
      <c r="D82" s="212"/>
      <c r="E82" s="212"/>
      <c r="F82" s="212"/>
      <c r="G82" s="212"/>
      <c r="H82" s="212"/>
      <c r="I82" s="213"/>
    </row>
    <row r="83" spans="1:9" ht="18.75" customHeight="1" x14ac:dyDescent="0.15">
      <c r="A83" s="1"/>
      <c r="B83" s="211"/>
      <c r="C83" s="212"/>
      <c r="D83" s="212"/>
      <c r="E83" s="212"/>
      <c r="F83" s="212"/>
      <c r="G83" s="212"/>
      <c r="H83" s="212"/>
      <c r="I83" s="213"/>
    </row>
    <row r="84" spans="1:9" ht="18.75" customHeight="1" x14ac:dyDescent="0.15">
      <c r="A84" s="1"/>
      <c r="B84" s="211"/>
      <c r="C84" s="212"/>
      <c r="D84" s="212"/>
      <c r="E84" s="212"/>
      <c r="F84" s="212"/>
      <c r="G84" s="212"/>
      <c r="H84" s="212"/>
      <c r="I84" s="213"/>
    </row>
    <row r="85" spans="1:9" ht="18.75" customHeight="1" x14ac:dyDescent="0.15">
      <c r="A85" s="1"/>
      <c r="B85" s="211"/>
      <c r="C85" s="212"/>
      <c r="D85" s="212"/>
      <c r="E85" s="212"/>
      <c r="F85" s="212"/>
      <c r="G85" s="212"/>
      <c r="H85" s="212"/>
      <c r="I85" s="213"/>
    </row>
    <row r="86" spans="1:9" ht="18.75" customHeight="1" x14ac:dyDescent="0.15">
      <c r="A86" s="1"/>
      <c r="B86" s="211"/>
      <c r="C86" s="212"/>
      <c r="D86" s="212"/>
      <c r="E86" s="212"/>
      <c r="F86" s="212"/>
      <c r="G86" s="212"/>
      <c r="H86" s="212"/>
      <c r="I86" s="213"/>
    </row>
    <row r="87" spans="1:9" ht="18.75" customHeight="1" x14ac:dyDescent="0.15">
      <c r="A87" s="1"/>
      <c r="B87" s="211"/>
      <c r="C87" s="212"/>
      <c r="D87" s="212"/>
      <c r="E87" s="212"/>
      <c r="F87" s="212"/>
      <c r="G87" s="212"/>
      <c r="H87" s="212"/>
      <c r="I87" s="213"/>
    </row>
    <row r="88" spans="1:9" ht="18.75" customHeight="1" x14ac:dyDescent="0.15">
      <c r="A88" s="1"/>
      <c r="B88" s="211"/>
      <c r="C88" s="212"/>
      <c r="D88" s="212"/>
      <c r="E88" s="212"/>
      <c r="F88" s="212"/>
      <c r="G88" s="212"/>
      <c r="H88" s="212"/>
      <c r="I88" s="213"/>
    </row>
    <row r="89" spans="1:9" ht="18.75" customHeight="1" x14ac:dyDescent="0.15">
      <c r="A89" s="1"/>
      <c r="B89" s="211"/>
      <c r="C89" s="212"/>
      <c r="D89" s="212"/>
      <c r="E89" s="212"/>
      <c r="F89" s="212"/>
      <c r="G89" s="212"/>
      <c r="H89" s="212"/>
      <c r="I89" s="213"/>
    </row>
    <row r="90" spans="1:9" ht="18.75" customHeight="1" x14ac:dyDescent="0.15">
      <c r="A90" s="4"/>
      <c r="B90" s="211"/>
      <c r="C90" s="212"/>
      <c r="D90" s="212"/>
      <c r="E90" s="212"/>
      <c r="F90" s="212"/>
      <c r="G90" s="212"/>
      <c r="H90" s="212"/>
      <c r="I90" s="213"/>
    </row>
    <row r="91" spans="1:9" ht="18.75" customHeight="1" x14ac:dyDescent="0.15">
      <c r="A91" s="4"/>
      <c r="B91" s="214"/>
      <c r="C91" s="215"/>
      <c r="D91" s="215"/>
      <c r="E91" s="215"/>
      <c r="F91" s="215"/>
      <c r="G91" s="215"/>
      <c r="H91" s="215"/>
      <c r="I91" s="216"/>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83" t="s">
        <v>162</v>
      </c>
      <c r="C94" s="184"/>
      <c r="D94" s="184"/>
      <c r="E94" s="184"/>
      <c r="F94" s="184"/>
      <c r="G94" s="184"/>
      <c r="H94" s="184"/>
      <c r="I94" s="185"/>
    </row>
    <row r="95" spans="1:9" ht="18.75" customHeight="1" x14ac:dyDescent="0.15">
      <c r="A95" s="1"/>
      <c r="B95" s="186"/>
      <c r="C95" s="187"/>
      <c r="D95" s="187"/>
      <c r="E95" s="187"/>
      <c r="F95" s="187"/>
      <c r="G95" s="187"/>
      <c r="H95" s="187"/>
      <c r="I95" s="188"/>
    </row>
    <row r="96" spans="1:9" ht="18.75" customHeight="1" x14ac:dyDescent="0.15">
      <c r="A96" s="1"/>
      <c r="B96" s="186"/>
      <c r="C96" s="187"/>
      <c r="D96" s="187"/>
      <c r="E96" s="187"/>
      <c r="F96" s="187"/>
      <c r="G96" s="187"/>
      <c r="H96" s="187"/>
      <c r="I96" s="188"/>
    </row>
    <row r="97" spans="1:9" ht="18.75" customHeight="1" x14ac:dyDescent="0.15">
      <c r="A97" s="1"/>
      <c r="B97" s="186"/>
      <c r="C97" s="187"/>
      <c r="D97" s="187"/>
      <c r="E97" s="187"/>
      <c r="F97" s="187"/>
      <c r="G97" s="187"/>
      <c r="H97" s="187"/>
      <c r="I97" s="188"/>
    </row>
    <row r="98" spans="1:9" ht="18.75" customHeight="1" x14ac:dyDescent="0.15">
      <c r="A98" s="1"/>
      <c r="B98" s="186"/>
      <c r="C98" s="187"/>
      <c r="D98" s="187"/>
      <c r="E98" s="187"/>
      <c r="F98" s="187"/>
      <c r="G98" s="187"/>
      <c r="H98" s="187"/>
      <c r="I98" s="188"/>
    </row>
    <row r="99" spans="1:9" ht="18.75" customHeight="1" x14ac:dyDescent="0.15">
      <c r="A99" s="1"/>
      <c r="B99" s="186"/>
      <c r="C99" s="187"/>
      <c r="D99" s="187"/>
      <c r="E99" s="187"/>
      <c r="F99" s="187"/>
      <c r="G99" s="187"/>
      <c r="H99" s="187"/>
      <c r="I99" s="188"/>
    </row>
    <row r="100" spans="1:9" ht="18.75" customHeight="1" x14ac:dyDescent="0.15">
      <c r="A100" s="1"/>
      <c r="B100" s="186"/>
      <c r="C100" s="187"/>
      <c r="D100" s="187"/>
      <c r="E100" s="187"/>
      <c r="F100" s="187"/>
      <c r="G100" s="187"/>
      <c r="H100" s="187"/>
      <c r="I100" s="188"/>
    </row>
    <row r="101" spans="1:9" ht="18.75" customHeight="1" x14ac:dyDescent="0.15">
      <c r="A101" s="1"/>
      <c r="B101" s="186"/>
      <c r="C101" s="187"/>
      <c r="D101" s="187"/>
      <c r="E101" s="187"/>
      <c r="F101" s="187"/>
      <c r="G101" s="187"/>
      <c r="H101" s="187"/>
      <c r="I101" s="188"/>
    </row>
    <row r="102" spans="1:9" ht="18.75" customHeight="1" x14ac:dyDescent="0.15">
      <c r="A102" s="1"/>
      <c r="B102" s="186"/>
      <c r="C102" s="187"/>
      <c r="D102" s="187"/>
      <c r="E102" s="187"/>
      <c r="F102" s="187"/>
      <c r="G102" s="187"/>
      <c r="H102" s="187"/>
      <c r="I102" s="188"/>
    </row>
    <row r="103" spans="1:9" ht="18.75" customHeight="1" x14ac:dyDescent="0.15">
      <c r="A103" s="1"/>
      <c r="B103" s="186"/>
      <c r="C103" s="187"/>
      <c r="D103" s="187"/>
      <c r="E103" s="187"/>
      <c r="F103" s="187"/>
      <c r="G103" s="187"/>
      <c r="H103" s="187"/>
      <c r="I103" s="188"/>
    </row>
    <row r="104" spans="1:9" ht="18.75" customHeight="1" x14ac:dyDescent="0.15">
      <c r="A104" s="1"/>
      <c r="B104" s="186"/>
      <c r="C104" s="187"/>
      <c r="D104" s="187"/>
      <c r="E104" s="187"/>
      <c r="F104" s="187"/>
      <c r="G104" s="187"/>
      <c r="H104" s="187"/>
      <c r="I104" s="188"/>
    </row>
    <row r="105" spans="1:9" ht="18.75" customHeight="1" x14ac:dyDescent="0.15">
      <c r="A105" s="4"/>
      <c r="B105" s="189"/>
      <c r="C105" s="190"/>
      <c r="D105" s="190"/>
      <c r="E105" s="190"/>
      <c r="F105" s="190"/>
      <c r="G105" s="190"/>
      <c r="H105" s="190"/>
      <c r="I105" s="191"/>
    </row>
    <row r="106" spans="1:9" ht="7.5" customHeight="1" x14ac:dyDescent="0.15">
      <c r="A106" s="4"/>
      <c r="B106" s="4"/>
      <c r="C106" s="4"/>
      <c r="D106" s="4"/>
      <c r="E106" s="4"/>
      <c r="F106" s="4"/>
      <c r="G106" s="4"/>
      <c r="H106" s="4"/>
      <c r="I106" s="4"/>
    </row>
    <row r="107" spans="1:9" ht="18.75" customHeight="1" x14ac:dyDescent="0.15">
      <c r="A107" s="1" t="s">
        <v>30</v>
      </c>
      <c r="B107" s="192" t="s">
        <v>46</v>
      </c>
      <c r="C107" s="192"/>
      <c r="D107" s="192"/>
      <c r="E107" s="192"/>
      <c r="F107" s="192"/>
      <c r="G107" s="192"/>
      <c r="H107" s="192"/>
      <c r="I107" s="192"/>
    </row>
    <row r="108" spans="1:9" ht="18.75" customHeight="1" x14ac:dyDescent="0.15">
      <c r="A108" s="4"/>
      <c r="B108" s="183" t="s">
        <v>159</v>
      </c>
      <c r="C108" s="184"/>
      <c r="D108" s="184"/>
      <c r="E108" s="184"/>
      <c r="F108" s="184"/>
      <c r="G108" s="184"/>
      <c r="H108" s="184"/>
      <c r="I108" s="185"/>
    </row>
    <row r="109" spans="1:9" ht="18.75" customHeight="1" x14ac:dyDescent="0.15">
      <c r="A109" s="4"/>
      <c r="B109" s="186"/>
      <c r="C109" s="187"/>
      <c r="D109" s="187"/>
      <c r="E109" s="187"/>
      <c r="F109" s="187"/>
      <c r="G109" s="187"/>
      <c r="H109" s="187"/>
      <c r="I109" s="188"/>
    </row>
    <row r="110" spans="1:9" ht="18.75" customHeight="1" x14ac:dyDescent="0.15">
      <c r="A110" s="4"/>
      <c r="B110" s="186"/>
      <c r="C110" s="187"/>
      <c r="D110" s="187"/>
      <c r="E110" s="187"/>
      <c r="F110" s="187"/>
      <c r="G110" s="187"/>
      <c r="H110" s="187"/>
      <c r="I110" s="188"/>
    </row>
    <row r="111" spans="1:9" ht="18.75" customHeight="1" x14ac:dyDescent="0.15">
      <c r="A111" s="4"/>
      <c r="B111" s="186"/>
      <c r="C111" s="187"/>
      <c r="D111" s="187"/>
      <c r="E111" s="187"/>
      <c r="F111" s="187"/>
      <c r="G111" s="187"/>
      <c r="H111" s="187"/>
      <c r="I111" s="188"/>
    </row>
    <row r="112" spans="1:9" ht="18.75" customHeight="1" x14ac:dyDescent="0.15">
      <c r="A112" s="4"/>
      <c r="B112" s="186"/>
      <c r="C112" s="187"/>
      <c r="D112" s="187"/>
      <c r="E112" s="187"/>
      <c r="F112" s="187"/>
      <c r="G112" s="187"/>
      <c r="H112" s="187"/>
      <c r="I112" s="188"/>
    </row>
    <row r="113" spans="1:9" ht="18.75" customHeight="1" x14ac:dyDescent="0.15">
      <c r="A113" s="4"/>
      <c r="B113" s="186"/>
      <c r="C113" s="187"/>
      <c r="D113" s="187"/>
      <c r="E113" s="187"/>
      <c r="F113" s="187"/>
      <c r="G113" s="187"/>
      <c r="H113" s="187"/>
      <c r="I113" s="188"/>
    </row>
    <row r="114" spans="1:9" ht="18.75" customHeight="1" x14ac:dyDescent="0.15">
      <c r="A114" s="4"/>
      <c r="B114" s="186"/>
      <c r="C114" s="187"/>
      <c r="D114" s="187"/>
      <c r="E114" s="187"/>
      <c r="F114" s="187"/>
      <c r="G114" s="187"/>
      <c r="H114" s="187"/>
      <c r="I114" s="188"/>
    </row>
    <row r="115" spans="1:9" ht="18.75" customHeight="1" x14ac:dyDescent="0.15">
      <c r="A115" s="4"/>
      <c r="B115" s="186"/>
      <c r="C115" s="187"/>
      <c r="D115" s="187"/>
      <c r="E115" s="187"/>
      <c r="F115" s="187"/>
      <c r="G115" s="187"/>
      <c r="H115" s="187"/>
      <c r="I115" s="188"/>
    </row>
    <row r="116" spans="1:9" ht="18.75" customHeight="1" x14ac:dyDescent="0.15">
      <c r="A116" s="4"/>
      <c r="B116" s="186"/>
      <c r="C116" s="187"/>
      <c r="D116" s="187"/>
      <c r="E116" s="187"/>
      <c r="F116" s="187"/>
      <c r="G116" s="187"/>
      <c r="H116" s="187"/>
      <c r="I116" s="188"/>
    </row>
    <row r="117" spans="1:9" ht="18.75" customHeight="1" x14ac:dyDescent="0.15">
      <c r="A117" s="4"/>
      <c r="B117" s="186"/>
      <c r="C117" s="187"/>
      <c r="D117" s="187"/>
      <c r="E117" s="187"/>
      <c r="F117" s="187"/>
      <c r="G117" s="187"/>
      <c r="H117" s="187"/>
      <c r="I117" s="188"/>
    </row>
    <row r="118" spans="1:9" ht="18.75" customHeight="1" x14ac:dyDescent="0.15">
      <c r="A118" s="4"/>
      <c r="B118" s="186"/>
      <c r="C118" s="187"/>
      <c r="D118" s="187"/>
      <c r="E118" s="187"/>
      <c r="F118" s="187"/>
      <c r="G118" s="187"/>
      <c r="H118" s="187"/>
      <c r="I118" s="188"/>
    </row>
    <row r="119" spans="1:9" ht="18.75" customHeight="1" x14ac:dyDescent="0.15">
      <c r="A119" s="4"/>
      <c r="B119" s="189"/>
      <c r="C119" s="190"/>
      <c r="D119" s="190"/>
      <c r="E119" s="190"/>
      <c r="F119" s="190"/>
      <c r="G119" s="190"/>
      <c r="H119" s="190"/>
      <c r="I119" s="191"/>
    </row>
    <row r="120" spans="1:9" ht="7.5" customHeight="1" x14ac:dyDescent="0.15">
      <c r="A120" s="4"/>
      <c r="B120" s="46"/>
      <c r="C120" s="46"/>
      <c r="D120" s="46"/>
      <c r="E120" s="46"/>
      <c r="F120" s="46"/>
      <c r="G120" s="46"/>
      <c r="H120" s="46"/>
      <c r="I120" s="46"/>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7"/>
      <c r="B134" s="47"/>
      <c r="C134" s="47"/>
      <c r="D134" s="47"/>
      <c r="E134" s="47"/>
      <c r="F134" s="47"/>
      <c r="G134" s="47"/>
      <c r="H134" s="47"/>
      <c r="I134" s="47"/>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80" zoomScaleNormal="100" zoomScaleSheetLayoutView="80" workbookViewId="0">
      <selection activeCell="O10" sqref="O10"/>
    </sheetView>
  </sheetViews>
  <sheetFormatPr defaultColWidth="11.375" defaultRowHeight="22.5" customHeight="1" x14ac:dyDescent="0.15"/>
  <cols>
    <col min="1" max="3" width="2.625" style="1" customWidth="1"/>
    <col min="4" max="4" width="22.125" style="1" customWidth="1"/>
    <col min="5" max="5" width="30.625" style="1" customWidth="1"/>
    <col min="6" max="7" width="7.625" style="1" customWidth="1"/>
    <col min="8" max="9" width="30.625" style="1" customWidth="1"/>
    <col min="10" max="10" width="4.125" style="1" customWidth="1"/>
    <col min="11" max="16384" width="11.375" style="1"/>
  </cols>
  <sheetData>
    <row r="1" spans="1:9" ht="18.75" customHeight="1" x14ac:dyDescent="0.15">
      <c r="A1" s="1" t="s">
        <v>71</v>
      </c>
      <c r="I1" s="34" t="s">
        <v>105</v>
      </c>
    </row>
    <row r="2" spans="1:9" ht="18.75" customHeight="1" x14ac:dyDescent="0.15">
      <c r="H2" s="34" t="s">
        <v>109</v>
      </c>
      <c r="I2" s="33" t="str">
        <f>'様式１　プログラムを構成する授業科目'!C2</f>
        <v>帝京科学大学</v>
      </c>
    </row>
    <row r="3" spans="1:9" ht="18.75" customHeight="1" x14ac:dyDescent="0.15">
      <c r="A3" s="139" t="s">
        <v>28</v>
      </c>
      <c r="B3" s="139"/>
      <c r="C3" s="139"/>
      <c r="D3" s="139"/>
      <c r="E3" s="139"/>
      <c r="F3" s="139"/>
      <c r="G3" s="139"/>
      <c r="H3" s="139"/>
      <c r="I3" s="139"/>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88" t="s">
        <v>133</v>
      </c>
      <c r="C6" s="89"/>
      <c r="D6" s="89"/>
      <c r="E6" s="89"/>
      <c r="F6" s="89"/>
      <c r="G6" s="89"/>
      <c r="H6" s="90"/>
      <c r="I6" s="3"/>
    </row>
    <row r="7" spans="1:9" ht="9" customHeight="1" x14ac:dyDescent="0.15">
      <c r="A7" s="5"/>
      <c r="B7" s="10"/>
      <c r="C7" s="10"/>
      <c r="D7" s="10"/>
      <c r="E7" s="10"/>
      <c r="F7" s="10"/>
      <c r="G7" s="10"/>
      <c r="H7" s="10"/>
      <c r="I7" s="3"/>
    </row>
    <row r="8" spans="1:9" ht="18.75" customHeight="1" x14ac:dyDescent="0.15">
      <c r="A8" s="5"/>
      <c r="B8" s="3"/>
      <c r="C8" s="3"/>
      <c r="D8" s="34" t="s">
        <v>43</v>
      </c>
      <c r="E8" s="33" t="s">
        <v>140</v>
      </c>
      <c r="F8" s="3"/>
      <c r="G8" s="34" t="s">
        <v>10</v>
      </c>
      <c r="H8" s="33" t="s">
        <v>137</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8" t="s">
        <v>24</v>
      </c>
      <c r="C11" s="89"/>
      <c r="D11" s="90"/>
      <c r="E11" s="89" t="s">
        <v>26</v>
      </c>
      <c r="F11" s="89"/>
      <c r="G11" s="89"/>
      <c r="H11" s="89"/>
      <c r="I11" s="90"/>
    </row>
    <row r="12" spans="1:9" ht="26.25" customHeight="1" x14ac:dyDescent="0.15">
      <c r="B12" s="48" t="s">
        <v>14</v>
      </c>
      <c r="C12" s="55"/>
      <c r="D12" s="49"/>
      <c r="E12" s="56"/>
      <c r="F12" s="56"/>
      <c r="G12" s="56"/>
      <c r="H12" s="56"/>
      <c r="I12" s="49"/>
    </row>
    <row r="13" spans="1:9" ht="210.75" customHeight="1" x14ac:dyDescent="0.15">
      <c r="B13" s="50"/>
      <c r="C13" s="232" t="s">
        <v>15</v>
      </c>
      <c r="D13" s="233"/>
      <c r="E13" s="229" t="s">
        <v>174</v>
      </c>
      <c r="F13" s="230"/>
      <c r="G13" s="230"/>
      <c r="H13" s="230"/>
      <c r="I13" s="231"/>
    </row>
    <row r="14" spans="1:9" ht="210.75" customHeight="1" x14ac:dyDescent="0.15">
      <c r="B14" s="50"/>
      <c r="C14" s="227" t="s">
        <v>16</v>
      </c>
      <c r="D14" s="228"/>
      <c r="E14" s="229" t="s">
        <v>164</v>
      </c>
      <c r="F14" s="230"/>
      <c r="G14" s="230"/>
      <c r="H14" s="230"/>
      <c r="I14" s="231"/>
    </row>
    <row r="15" spans="1:9" ht="210.75" customHeight="1" x14ac:dyDescent="0.15">
      <c r="B15" s="50"/>
      <c r="C15" s="232" t="s">
        <v>17</v>
      </c>
      <c r="D15" s="233"/>
      <c r="E15" s="229" t="s">
        <v>160</v>
      </c>
      <c r="F15" s="230"/>
      <c r="G15" s="230"/>
      <c r="H15" s="230"/>
      <c r="I15" s="231"/>
    </row>
    <row r="16" spans="1:9" ht="210.75" customHeight="1" x14ac:dyDescent="0.15">
      <c r="B16" s="50"/>
      <c r="C16" s="232" t="s">
        <v>18</v>
      </c>
      <c r="D16" s="233"/>
      <c r="E16" s="229" t="s">
        <v>163</v>
      </c>
      <c r="F16" s="230"/>
      <c r="G16" s="230"/>
      <c r="H16" s="230"/>
      <c r="I16" s="231"/>
    </row>
    <row r="17" spans="2:9" ht="210.75" customHeight="1" x14ac:dyDescent="0.15">
      <c r="B17" s="51"/>
      <c r="C17" s="234" t="s">
        <v>19</v>
      </c>
      <c r="D17" s="235"/>
      <c r="E17" s="236" t="s">
        <v>161</v>
      </c>
      <c r="F17" s="237"/>
      <c r="G17" s="237"/>
      <c r="H17" s="237"/>
      <c r="I17" s="238"/>
    </row>
    <row r="18" spans="2:9" ht="24" customHeight="1" x14ac:dyDescent="0.15">
      <c r="B18" s="48" t="s">
        <v>20</v>
      </c>
      <c r="C18" s="52"/>
      <c r="D18" s="53"/>
      <c r="E18" s="54"/>
      <c r="F18" s="54"/>
      <c r="G18" s="54"/>
      <c r="H18" s="54"/>
      <c r="I18" s="57"/>
    </row>
    <row r="19" spans="2:9" ht="237.4" customHeight="1" x14ac:dyDescent="0.15">
      <c r="B19" s="50"/>
      <c r="C19" s="232" t="s">
        <v>21</v>
      </c>
      <c r="D19" s="233"/>
      <c r="E19" s="230" t="s">
        <v>169</v>
      </c>
      <c r="F19" s="230"/>
      <c r="G19" s="230"/>
      <c r="H19" s="230"/>
      <c r="I19" s="231"/>
    </row>
    <row r="20" spans="2:9" ht="235.9" customHeight="1" x14ac:dyDescent="0.15">
      <c r="B20" s="51"/>
      <c r="C20" s="234" t="s">
        <v>22</v>
      </c>
      <c r="D20" s="235"/>
      <c r="E20" s="237" t="s">
        <v>167</v>
      </c>
      <c r="F20" s="237"/>
      <c r="G20" s="237"/>
      <c r="H20" s="237"/>
      <c r="I20" s="238"/>
    </row>
    <row r="21" spans="2:9" ht="218.25" customHeight="1" x14ac:dyDescent="0.15">
      <c r="B21" s="244" t="s">
        <v>23</v>
      </c>
      <c r="C21" s="245"/>
      <c r="D21" s="246"/>
      <c r="E21" s="247" t="s">
        <v>165</v>
      </c>
      <c r="F21" s="247"/>
      <c r="G21" s="247"/>
      <c r="H21" s="247"/>
      <c r="I21" s="248"/>
    </row>
    <row r="22" spans="2:9" ht="218.25" customHeight="1" x14ac:dyDescent="0.15">
      <c r="B22" s="239" t="s">
        <v>38</v>
      </c>
      <c r="C22" s="240"/>
      <c r="D22" s="241"/>
      <c r="E22" s="242" t="s">
        <v>170</v>
      </c>
      <c r="F22" s="242"/>
      <c r="G22" s="242"/>
      <c r="H22" s="242"/>
      <c r="I22" s="24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Administrator</cp:lastModifiedBy>
  <cp:lastPrinted>2023-04-23T07:50:15Z</cp:lastPrinted>
  <dcterms:created xsi:type="dcterms:W3CDTF">2011-06-14T05:32:50Z</dcterms:created>
  <dcterms:modified xsi:type="dcterms:W3CDTF">2023-08-22T01:45:39Z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