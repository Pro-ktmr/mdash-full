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defaultThemeVersion="124226"/>
  <mc:AlternateContent xmlns:mc="http://schemas.openxmlformats.org/markup-compatibility/2006">
    <mc:Choice Requires="x15">
      <x15ac:absPath xmlns:x15ac="http://schemas.microsoft.com/office/spreadsheetml/2010/11/ac" url="D:\講義2023\（）経済学部\２０２３\数理データサイエンス２０２３\申請用書類等（最終）\"/>
    </mc:Choice>
  </mc:AlternateContent>
  <xr:revisionPtr revIDLastSave="0" documentId="13_ncr:1_{03455838-A46E-4751-9F4A-94036970EA5B}" xr6:coauthVersionLast="47" xr6:coauthVersionMax="47" xr10:uidLastSave="{00000000-0000-0000-0000-000000000000}"/>
  <bookViews>
    <workbookView xWindow="8490" yWindow="390" windowWidth="19560" windowHeight="14325" tabRatio="855" xr2:uid="{00000000-000D-0000-FFFF-FFFF00000000}"/>
  </bookViews>
  <sheets>
    <sheet name="様式１－1　プログラムを構成する授業科目" sheetId="39" r:id="rId1"/>
    <sheet name="様式１－２　プログラムを構成する授業科目" sheetId="45"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'様式１－1　プログラムを構成する授業科目'!$A$1:$S$135</definedName>
    <definedName name="_xlnm.Print_Area" localSheetId="1">'様式１－２　プログラムを構成する授業科目'!$A$1:$S$135</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<sst xmlns="http://schemas.openxmlformats.org/spreadsheetml/2006/main" count="579" uniqueCount="192">
  <si>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</si>
  <si>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</si>
  <si>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</si>
  <si>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</si>
  <si>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</si>
  <si>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</si>
  <si>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</si>
  <si>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</si>
  <si>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</si>
  <si>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</si>
  <si>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</si>
  <si>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</si>
  <si>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</si>
  <si>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</si>
  <si>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</si>
  <si>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</si>
  <si>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</si>
  <si>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</si>
  <si>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</si>
  <si>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</si>
  <si>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</si>
  <si>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</si>
  <si>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</si>
  <si>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</si>
  <si>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</si>
  <si>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</si>
  <si>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</si>
  <si>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</si>
  <si>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</si>
  <si>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</si>
  <si>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</si>
  <si>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</si>
  <si>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</si>
  <si>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</si>
  <si>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</si>
  <si>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</si>
  <si>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</si>
  <si>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</si>
  <si>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</si>
  <si>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</si>
  <si>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</si>
  <si>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</si>
  <si>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</si>
  <si>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</si>
  <si>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</si>
  <si>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</si>
  <si>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</si>
  <si>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</si>
  <si>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</si>
  <si>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</si>
  <si>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</si>
  <si>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</si>
  <si>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</si>
  <si>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</si>
  <si>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</si>
  <si>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</si>
  <si>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</si>
  <si>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</si>
  <si>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</si>
  <si>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</si>
  <si>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</si>
  <si>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</si>
  <si>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</si>
  <si>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</si>
  <si>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</si>
  <si>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</si>
  <si>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</si>
  <si>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</si>
  <si>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</si>
  <si>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</si>
  <si>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</si>
  <si>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</si>
  <si>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</si>
  <si>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</si>
  <si>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</si>
  <si>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</si>
  <si>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</si>
  <si>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</si>
  <si>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</si>
  <si>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</si>
  <si>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</si>
  <si>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</si>
  <si>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</si>
  <si>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</si>
  <si>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</si>
  <si>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</si>
  <si>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</si>
  <si>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</si>
  <si>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</si>
  <si>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</si>
  <si>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</si>
  <si>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</si>
  <si>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</si>
  <si>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</si>
  <si>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</si>
  <si>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</si>
  <si>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</si>
  <si>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</si>
  <si>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</si>
  <si>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</si>
  <si>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</si>
  <si>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</si>
  <si>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</si>
  <si>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</si>
  <si>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</si>
  <si>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</si>
  <si>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</si>
  <si>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</si>
  <si>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</si>
  <si>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</si>
  <si>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</si>
  <si>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</si>
  <si>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</si>
  <si>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</si>
  <si>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</si>
  <si>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</si>
  <si>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</si>
  <si>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</si>
  <si>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</si>
  <si>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</si>
  <si>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</si>
  <si>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</si>
  <si>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</si>
  <si>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</si>
  <si>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</si>
  <si>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岡山商科大学</t>
    <rPh sb="0" eb="6">
      <t>オカヤマショウカダイガク</t>
    </rPh>
    <phoneticPr fontId="1"/>
  </si>
  <si>
    <t>データサイエンス・リテラシー教育プログラム</t>
    <rPh sb="14" eb="16">
      <t>キョウイク</t>
    </rPh>
    <phoneticPr fontId="1"/>
  </si>
  <si>
    <t>法と情報</t>
    <rPh sb="0" eb="1">
      <t>ホウ</t>
    </rPh>
    <rPh sb="2" eb="4">
      <t>ジョウホウ</t>
    </rPh>
    <phoneticPr fontId="1"/>
  </si>
  <si>
    <t>情報と職業</t>
    <rPh sb="0" eb="2">
      <t>ジョウホウ</t>
    </rPh>
    <rPh sb="3" eb="5">
      <t>ショクギョウ</t>
    </rPh>
    <phoneticPr fontId="1"/>
  </si>
  <si>
    <t>情報技術論Ⅱ</t>
    <rPh sb="0" eb="2">
      <t>ジョウホウ</t>
    </rPh>
    <rPh sb="2" eb="5">
      <t>ギジュツロン</t>
    </rPh>
    <phoneticPr fontId="1"/>
  </si>
  <si>
    <t>情報社会と情報倫理</t>
    <rPh sb="0" eb="2">
      <t>ジョウホウ</t>
    </rPh>
    <rPh sb="2" eb="4">
      <t>シャカイ</t>
    </rPh>
    <rPh sb="5" eb="7">
      <t>ジョウホウ</t>
    </rPh>
    <rPh sb="7" eb="9">
      <t>リンリ</t>
    </rPh>
    <phoneticPr fontId="1"/>
  </si>
  <si>
    <t>○</t>
  </si>
  <si>
    <t>データ分析</t>
    <rPh sb="3" eb="5">
      <t>ブンセキ</t>
    </rPh>
    <phoneticPr fontId="1"/>
  </si>
  <si>
    <t>データサイエンス入門Ⅰ</t>
    <rPh sb="8" eb="10">
      <t>ニュウモン</t>
    </rPh>
    <phoneticPr fontId="1"/>
  </si>
  <si>
    <t>データサイエンス入門Ⅱ</t>
    <rPh sb="8" eb="10">
      <t>ニュウモン</t>
    </rPh>
    <phoneticPr fontId="1"/>
  </si>
  <si>
    <t>経済統計論Ⅰ</t>
    <rPh sb="0" eb="2">
      <t>ケイザイ</t>
    </rPh>
    <rPh sb="2" eb="4">
      <t>トウケイ</t>
    </rPh>
    <rPh sb="4" eb="5">
      <t>ロン</t>
    </rPh>
    <phoneticPr fontId="1"/>
  </si>
  <si>
    <t>経済統計論Ⅱ</t>
    <rPh sb="0" eb="2">
      <t>ケイザイ</t>
    </rPh>
    <rPh sb="2" eb="4">
      <t>トウケイ</t>
    </rPh>
    <rPh sb="4" eb="5">
      <t>ロン</t>
    </rPh>
    <phoneticPr fontId="1"/>
  </si>
  <si>
    <t>経営統計学Ⅰ</t>
    <rPh sb="0" eb="2">
      <t>ケイエイ</t>
    </rPh>
    <rPh sb="2" eb="5">
      <t>トウケイガク</t>
    </rPh>
    <phoneticPr fontId="1"/>
  </si>
  <si>
    <t>経営統計学Ⅱ</t>
    <rPh sb="0" eb="2">
      <t>ケイエイ</t>
    </rPh>
    <rPh sb="2" eb="5">
      <t>トウケイガク</t>
    </rPh>
    <phoneticPr fontId="1"/>
  </si>
  <si>
    <t>学部・学科によって、修了要件は相違する</t>
  </si>
  <si>
    <t>情報システム技術</t>
    <phoneticPr fontId="1"/>
  </si>
  <si>
    <t>市場調査論</t>
    <rPh sb="0" eb="2">
      <t>シジョウ</t>
    </rPh>
    <rPh sb="2" eb="4">
      <t>チョウサ</t>
    </rPh>
    <rPh sb="4" eb="5">
      <t>ロン</t>
    </rPh>
    <phoneticPr fontId="1"/>
  </si>
  <si>
    <t>教育におけるICT活用</t>
    <phoneticPr fontId="1"/>
  </si>
  <si>
    <t>応用情報処理Ⅰ</t>
    <phoneticPr fontId="1"/>
  </si>
  <si>
    <t>法学部</t>
    <rPh sb="0" eb="3">
      <t>ホウガクブ</t>
    </rPh>
    <phoneticPr fontId="1"/>
  </si>
  <si>
    <t>経済学部</t>
    <rPh sb="0" eb="2">
      <t>ケイザイ</t>
    </rPh>
    <rPh sb="2" eb="4">
      <t>ガクブ</t>
    </rPh>
    <phoneticPr fontId="1"/>
  </si>
  <si>
    <t>経営学部</t>
    <rPh sb="0" eb="4">
      <t>ケイエイガクブ</t>
    </rPh>
    <phoneticPr fontId="1"/>
  </si>
  <si>
    <t>令和3</t>
    <rPh sb="0" eb="2">
      <t>レイワ</t>
    </rPh>
    <phoneticPr fontId="1"/>
  </si>
  <si>
    <t>副学長</t>
    <rPh sb="0" eb="3">
      <t>フクガクチョウ</t>
    </rPh>
    <phoneticPr fontId="1"/>
  </si>
  <si>
    <t>田中　康秀</t>
    <rPh sb="0" eb="2">
      <t>タナカ</t>
    </rPh>
    <rPh sb="3" eb="5">
      <t>ヤスヒデ</t>
    </rPh>
    <phoneticPr fontId="1"/>
  </si>
  <si>
    <t>全学共通プログラム修了判定委員会</t>
    <rPh sb="0" eb="2">
      <t>ゼンガク</t>
    </rPh>
    <rPh sb="2" eb="4">
      <t>キョウツウ</t>
    </rPh>
    <rPh sb="9" eb="11">
      <t>シュウリョウ</t>
    </rPh>
    <rPh sb="11" eb="13">
      <t>ハンテイ</t>
    </rPh>
    <rPh sb="13" eb="16">
      <t>イインカイ</t>
    </rPh>
    <phoneticPr fontId="1"/>
  </si>
  <si>
    <t>岡山商科大学全学共通プログラム修了判定委員会内規</t>
    <rPh sb="0" eb="6">
      <t>オカヤマショウカダイガク</t>
    </rPh>
    <rPh sb="6" eb="8">
      <t>ゼンガク</t>
    </rPh>
    <rPh sb="8" eb="10">
      <t>キョウツウ</t>
    </rPh>
    <rPh sb="15" eb="17">
      <t>シュウリョウ</t>
    </rPh>
    <rPh sb="17" eb="19">
      <t>ハンテイ</t>
    </rPh>
    <rPh sb="19" eb="22">
      <t>イインカイ</t>
    </rPh>
    <rPh sb="22" eb="24">
      <t>ナイキ</t>
    </rPh>
    <phoneticPr fontId="1"/>
  </si>
  <si>
    <t>様式１－１</t>
    <rPh sb="0" eb="2">
      <t>ヨウシキ</t>
    </rPh>
    <phoneticPr fontId="1"/>
  </si>
  <si>
    <t>既に記述したように、「データサイエンス・リテラシー（DSL)教育プログラム」については、年間を通じて4回、全学の学生向けに説明会を開催してプログラムの趣旨を伝えている。
また、新入生オリエンテーションを通じて新入生に周知させるとともに、プログラムを構成する諸科目の授業内や、本学ホームページなどを通じて学生が本プログラムの情報を受け取りやすい環境を整えている。</t>
    <phoneticPr fontId="1"/>
  </si>
  <si>
    <t xml:space="preserve">本プログラムの運営を担当する「全学共通プログラム修了判定委員会」はその下部組織として運営部会を置いており、本学の4学科から選出された各1名の運営委員が配置されており、また当部会には各学科の教務関係を所掌する教学委員も加わっており、本プログラムに対する学生からの履修相談など全般的な相談に対応する体制を整えている。
また、教養演習や基礎演習、研究演習でのゼミナール担当教員も、プログラムへの参加に関わる相談や履修指導などを行っている。
</t>
    <phoneticPr fontId="1"/>
  </si>
  <si>
    <t>本プログラムの履修に関する学習指導や質問などは以下のような方法で可能としており、学生の履修相談等にきめ細かい対応ができる体制としている。
・各授業科目の担当教員
・全学共通プログラム修了判定委員会運営部会の運営委員
・教養演習や基礎演習、研究演習のゼミナール担当教員
これらの相談は対面のみならず、WebClass(LMS)でも可能となるように整備している。</t>
    <phoneticPr fontId="1"/>
  </si>
  <si>
    <t>本プログラムを立ち上げて1年半しか経過しておらず、2022年度末でのプログラム修了者は2名となっている。彼らはいずれも留学生であり、帰国して就職活動を行っている。
従って、受け入れ企業等からの評価については現在情報はないが、今後修了者が増えることによって、彼らの活躍状況や受け入れ企業等からの評価に関わるデータを収集できると考えている。もっとも、次の項目に示すように、現時点でも本プログラムに対して外部から期待されている。</t>
    <phoneticPr fontId="1"/>
  </si>
  <si>
    <t>本学では卒業生の就職先企業を対象としたアンケート調査を毎年度実施している。2022年度の158社から回答を得たアンケート調査では、「データ活用やITにかかる能力・スキルの育成をさらに充実してほしい」と回答した企業は20.9%で、前回調査の30.4%から減少した。データサイエンスの必要性は高まっていると推測されるため、本学のデータサイエンス教育は以前より充実した、と評価されていると考えられる。
また本学附属の研究所の後援会役員会を毎年度開催して産業界の方から意見をいただいている。2023年2月に開催された役員会では、本学のデータサイエンス教育に対して肯定的な評価をいただくとともに、一層の充実を要望する意見をいただいた。</t>
    <phoneticPr fontId="1"/>
  </si>
  <si>
    <t>経済学部、経営学部</t>
    <rPh sb="0" eb="2">
      <t>ケイザイ</t>
    </rPh>
    <rPh sb="2" eb="4">
      <t>ガクブ</t>
    </rPh>
    <rPh sb="5" eb="9">
      <t>ケイエイガクブ</t>
    </rPh>
    <phoneticPr fontId="1"/>
  </si>
  <si>
    <t>プログラムを構成する「必修科目（下記１、２）」の4単位、「グループA科目群（下記３～５）」から2単位以上、「グループB科目群（下記６～１５）」から8単位以上を取得すること。
必修科目：１．データ分析、２．法と情報
グループA科目群：３．情報と職業、４．情報技術論Ⅱ、５．情報社会と情報倫理
グループB科目群：６．データサイエンス入門Ⅰ、７．データサイエンス入門Ⅱ、８．経済統計論Ⅰ、９．経済統計論Ⅱ、１０．経営統計学Ⅰ、１１．経営統計学Ⅱ、１２．市場調査論、１３．教育におけるICT活用、１４．情報システム技術、１５．応用情報処理Ⅰ</t>
    <rPh sb="6" eb="8">
      <t>コウセイ</t>
    </rPh>
    <rPh sb="11" eb="15">
      <t>ヒッシュウカモク</t>
    </rPh>
    <rPh sb="16" eb="18">
      <t>カキ</t>
    </rPh>
    <rPh sb="25" eb="27">
      <t>タンイ</t>
    </rPh>
    <rPh sb="34" eb="36">
      <t>カモク</t>
    </rPh>
    <rPh sb="36" eb="37">
      <t>グン</t>
    </rPh>
    <rPh sb="38" eb="40">
      <t>カキ</t>
    </rPh>
    <rPh sb="48" eb="50">
      <t>タンイ</t>
    </rPh>
    <rPh sb="50" eb="52">
      <t>イジョウ</t>
    </rPh>
    <rPh sb="59" eb="61">
      <t>カモク</t>
    </rPh>
    <rPh sb="61" eb="62">
      <t>グン</t>
    </rPh>
    <rPh sb="63" eb="65">
      <t>カキ</t>
    </rPh>
    <rPh sb="74" eb="76">
      <t>タンイ</t>
    </rPh>
    <rPh sb="76" eb="78">
      <t>イジョウ</t>
    </rPh>
    <rPh sb="79" eb="81">
      <t>シュトク</t>
    </rPh>
    <rPh sb="87" eb="91">
      <t>ヒッシュウカモク</t>
    </rPh>
    <rPh sb="97" eb="99">
      <t>ブンセキ</t>
    </rPh>
    <rPh sb="102" eb="103">
      <t>ホウ</t>
    </rPh>
    <rPh sb="104" eb="106">
      <t>ジョウホウ</t>
    </rPh>
    <rPh sb="112" eb="114">
      <t>カモク</t>
    </rPh>
    <rPh sb="114" eb="115">
      <t>グン</t>
    </rPh>
    <rPh sb="118" eb="120">
      <t>ジョウホウ</t>
    </rPh>
    <rPh sb="121" eb="123">
      <t>ショクギョウ</t>
    </rPh>
    <rPh sb="126" eb="128">
      <t>ジョウホウ</t>
    </rPh>
    <rPh sb="128" eb="131">
      <t>ギジュツロン</t>
    </rPh>
    <rPh sb="135" eb="137">
      <t>ジョウホウ</t>
    </rPh>
    <rPh sb="137" eb="139">
      <t>シャカイ</t>
    </rPh>
    <rPh sb="140" eb="142">
      <t>ジョウホウ</t>
    </rPh>
    <rPh sb="142" eb="144">
      <t>リンリ</t>
    </rPh>
    <rPh sb="150" eb="152">
      <t>カモク</t>
    </rPh>
    <rPh sb="152" eb="153">
      <t>グン</t>
    </rPh>
    <rPh sb="164" eb="166">
      <t>ニュウモン</t>
    </rPh>
    <rPh sb="178" eb="180">
      <t>ニュウモン</t>
    </rPh>
    <rPh sb="184" eb="186">
      <t>ケイザイ</t>
    </rPh>
    <rPh sb="186" eb="188">
      <t>トウケイ</t>
    </rPh>
    <rPh sb="188" eb="189">
      <t>ロン</t>
    </rPh>
    <rPh sb="193" eb="195">
      <t>ケイザイ</t>
    </rPh>
    <rPh sb="195" eb="197">
      <t>トウケイ</t>
    </rPh>
    <rPh sb="197" eb="198">
      <t>ロン</t>
    </rPh>
    <rPh sb="203" eb="205">
      <t>ケイエイ</t>
    </rPh>
    <rPh sb="205" eb="208">
      <t>トウケイガク</t>
    </rPh>
    <rPh sb="213" eb="215">
      <t>ケイエイ</t>
    </rPh>
    <rPh sb="215" eb="218">
      <t>トウケイガク</t>
    </rPh>
    <rPh sb="223" eb="225">
      <t>シジョウ</t>
    </rPh>
    <rPh sb="225" eb="227">
      <t>チョウサ</t>
    </rPh>
    <rPh sb="227" eb="228">
      <t>ロン</t>
    </rPh>
    <rPh sb="247" eb="249">
      <t>ジョウホウ</t>
    </rPh>
    <rPh sb="253" eb="255">
      <t>ギジュツ</t>
    </rPh>
    <rPh sb="259" eb="261">
      <t>オウヨウ</t>
    </rPh>
    <rPh sb="261" eb="263">
      <t>ジョウホウ</t>
    </rPh>
    <rPh sb="263" eb="265">
      <t>ショリ</t>
    </rPh>
    <phoneticPr fontId="1"/>
  </si>
  <si>
    <t>自己点検・評価委員会、全学共通プログラム修了判定委員会</t>
    <rPh sb="0" eb="2">
      <t>ジコ</t>
    </rPh>
    <rPh sb="2" eb="4">
      <t>テンケン</t>
    </rPh>
    <rPh sb="5" eb="7">
      <t>ヒョウカ</t>
    </rPh>
    <rPh sb="7" eb="10">
      <t>イインカイ</t>
    </rPh>
    <phoneticPr fontId="1"/>
  </si>
  <si>
    <t>井尻　昭夫、　田中　康秀</t>
    <rPh sb="0" eb="2">
      <t>イジリ</t>
    </rPh>
    <rPh sb="3" eb="5">
      <t>アキオ</t>
    </rPh>
    <rPh sb="7" eb="9">
      <t>タナカ</t>
    </rPh>
    <rPh sb="10" eb="12">
      <t>ヤスヒデ</t>
    </rPh>
    <phoneticPr fontId="1"/>
  </si>
  <si>
    <t>学長、　副学長</t>
    <rPh sb="0" eb="2">
      <t>ガクチョウ</t>
    </rPh>
    <rPh sb="4" eb="7">
      <t>フクガクチョウ</t>
    </rPh>
    <phoneticPr fontId="1"/>
  </si>
  <si>
    <t>プログラムを構成する「必修科目（下記１、２）」の4単位、「グループA科目群（下記３～５）」から2単位以上、「グループB科目群（下記６～１３）」から8単位以上を取得すること。
必修科目：１．データ分析、２．法と情報
グループA科目群：３．情報と職業、４．情報技術論Ⅱ、５．情報社会と情報倫理
グループB科目群：６．データサイエンス入門Ⅰ、７．データサイエンス入門Ⅱ、８．経済統計論Ⅰ、９．経済統計論Ⅱ、１０．経営統計学Ⅰ、１１．経営統計学Ⅱ、１２．市場調査論、１３．教育におけるICT活用</t>
    <rPh sb="6" eb="8">
      <t>コウセイ</t>
    </rPh>
    <rPh sb="11" eb="15">
      <t>ヒッシュウカモク</t>
    </rPh>
    <rPh sb="16" eb="18">
      <t>カキ</t>
    </rPh>
    <rPh sb="25" eb="27">
      <t>タンイ</t>
    </rPh>
    <rPh sb="34" eb="36">
      <t>カモク</t>
    </rPh>
    <rPh sb="36" eb="37">
      <t>グン</t>
    </rPh>
    <rPh sb="38" eb="40">
      <t>カキ</t>
    </rPh>
    <rPh sb="48" eb="50">
      <t>タンイ</t>
    </rPh>
    <rPh sb="50" eb="52">
      <t>イジョウ</t>
    </rPh>
    <rPh sb="59" eb="61">
      <t>カモク</t>
    </rPh>
    <rPh sb="61" eb="62">
      <t>グン</t>
    </rPh>
    <rPh sb="63" eb="65">
      <t>カキ</t>
    </rPh>
    <rPh sb="74" eb="76">
      <t>タンイ</t>
    </rPh>
    <rPh sb="76" eb="78">
      <t>イジョウ</t>
    </rPh>
    <rPh sb="79" eb="81">
      <t>シュトク</t>
    </rPh>
    <rPh sb="87" eb="91">
      <t>ヒッシュウカモク</t>
    </rPh>
    <rPh sb="97" eb="99">
      <t>ブンセキ</t>
    </rPh>
    <rPh sb="102" eb="103">
      <t>ホウ</t>
    </rPh>
    <rPh sb="104" eb="106">
      <t>ジョウホウ</t>
    </rPh>
    <rPh sb="112" eb="114">
      <t>カモク</t>
    </rPh>
    <rPh sb="114" eb="115">
      <t>グン</t>
    </rPh>
    <rPh sb="118" eb="120">
      <t>ジョウホウ</t>
    </rPh>
    <rPh sb="121" eb="123">
      <t>ショクギョウ</t>
    </rPh>
    <rPh sb="126" eb="128">
      <t>ジョウホウ</t>
    </rPh>
    <rPh sb="128" eb="131">
      <t>ギジュツロン</t>
    </rPh>
    <rPh sb="135" eb="137">
      <t>ジョウホウ</t>
    </rPh>
    <rPh sb="137" eb="139">
      <t>シャカイ</t>
    </rPh>
    <rPh sb="140" eb="142">
      <t>ジョウホウ</t>
    </rPh>
    <rPh sb="142" eb="144">
      <t>リンリ</t>
    </rPh>
    <rPh sb="150" eb="152">
      <t>カモク</t>
    </rPh>
    <rPh sb="152" eb="153">
      <t>グン</t>
    </rPh>
    <rPh sb="164" eb="166">
      <t>ニュウモン</t>
    </rPh>
    <rPh sb="178" eb="180">
      <t>ニュウモン</t>
    </rPh>
    <rPh sb="184" eb="186">
      <t>ケイザイ</t>
    </rPh>
    <rPh sb="186" eb="188">
      <t>トウケイ</t>
    </rPh>
    <rPh sb="188" eb="189">
      <t>ロン</t>
    </rPh>
    <rPh sb="193" eb="195">
      <t>ケイザイ</t>
    </rPh>
    <rPh sb="195" eb="197">
      <t>トウケイ</t>
    </rPh>
    <rPh sb="197" eb="198">
      <t>ロン</t>
    </rPh>
    <rPh sb="203" eb="205">
      <t>ケイエイ</t>
    </rPh>
    <rPh sb="205" eb="208">
      <t>トウケイガク</t>
    </rPh>
    <rPh sb="213" eb="215">
      <t>ケイエイ</t>
    </rPh>
    <rPh sb="215" eb="218">
      <t>トウケイガク</t>
    </rPh>
    <rPh sb="223" eb="225">
      <t>シジョウ</t>
    </rPh>
    <rPh sb="225" eb="227">
      <t>チョウサ</t>
    </rPh>
    <rPh sb="227" eb="228">
      <t>ロン</t>
    </rPh>
    <phoneticPr fontId="1"/>
  </si>
  <si>
    <t>様式１－２</t>
    <rPh sb="0" eb="2">
      <t>ヨウシキ</t>
    </rPh>
    <phoneticPr fontId="1"/>
  </si>
  <si>
    <t xml:space="preserve">各授業科目では、課題を課しそのフィードバックコメントを行うなど双方向型の授業とすること、また、授業内容についても数量的表現だけではなく図を用いたり、様々な実例を利用したりするなど、「分かりやすい」授業となるように心がけている。
さらに、各授業科目の授業評価アンケート等で示される個別意見やコメントを毎学期IR実施委員会で精査して全学教職員会議で公表するとともに、学外の各種団体に委員をお願いしている教育研究評議会（本学の外部評価委員会）や本学附属の社会総合研究所後援会役員会などでの意見を踏まえて、学生にとって「分かりやすい」授業となるように授業の内容・実施方法等の見直しを検討している。
</t>
    <rPh sb="154" eb="156">
      <t>ジッシ</t>
    </rPh>
    <phoneticPr fontId="1"/>
  </si>
  <si>
    <t>本プログラムの各授業科目では、社会におけるデータやAIの実用例を挙げてデータ分析に興味を持たせるとともに、解析の数理のみならず、データを視覚化することや、データが社会科学的にどのように分析・解析できるかについて実践的に学修させることで、「学ぶ楽しさ」を理解させる内容としている。
さらに、数理・データサイエンス・AIを扱う場合の法的問題や倫理的問題、今後の社会像を踏まえた職業での役割などを理解させることで、「学ぶことの意義」を伝えるような内容としている。
本プログラムの授業科目については、担当教員同士がお互い意見交換できる場を設けることや、授業評価アンケート等を活用して、その内容の改善に役立てている。</t>
    <phoneticPr fontId="1"/>
  </si>
  <si>
    <t>本学では、すべての開講科目について履修者全員に対して授業評価アンケートを行っている。多くの項目については、1.全く違う～5.全くその通りである、の5段階の回答形式となっている。2022年度の本プログラムの科目の結果では、「勉強に集中できたか」の平均が4.63、「教員が予習・復習を促したか」の平均が4.50で全科目の平均を上回っており、学生が十分努力したことが読み取れる。一方で「難易度は適切だったか」の平均が4.09、「学生が理解しているかどうかに注意が払われていたか」の平均が4.27で、高い値ではあるものの全科目の平均を下回っていた。特にパソコンを使用する科目については理解度を継続的に測る必要があると考えられる。</t>
    <phoneticPr fontId="1"/>
  </si>
  <si>
    <t>本プログラムの科目について、授業評価アンケートの「総合的に判断してこの授業に満足しているか」という設問の回答の平均は4.28となっており、満足している学生が多数を占めていることが分かる。また自由回答の集計では、良い点を挙げたものが176件、悪い点を挙げたものが71件で、肯定的な評価が多いことが分かる。さらに良い点の回答で使われているの単語を抽出したところ「分かる」「説明」「丁寧」などが上位にランキングされていた。これらの結果については本プログラムのホームページに掲載するとともに、年4回開催する説明会でも学生に伝えるなどして活用している。</t>
    <phoneticPr fontId="1"/>
  </si>
  <si>
    <t>本学では、すべての開講科目について履修者全員に対して授業評価アンケートを行っている。質問項目は「知識・技能の習得方法について順をおって教えてくれた」などの選択形式20項目と、「良い点」、「悪い点」などの自由回答形式3項目からなる。本プログラムの特徴を測るために、通常の集計・分析とは別に、回答内容は本プログラムとそれ以外の科目について比較可能な形式でも集計される。また一部の科目では、独自にもアンケート調査を行っている。それらの結果は本プログラムのワーキンググループや、全学共通プログラム修了判定委員会等で報告され、本プログラムの評価・改善に活用している。</t>
    <phoneticPr fontId="1"/>
  </si>
  <si>
    <t>「数理・データサイエンス・AI」を活用できる基礎的な能力（リテラシー）の育成をめざし、この分野を活かせる人材を養成する目的で設置した「データサイエンス・リテラシー（DSL)教育プログラム」は、本学における全学共通プログラムの1つであり、そのプログラムの運営全般に関しては全学共通プログラム修了判定委員会が所掌している。それ故に、本プログラムの修了者判定、プログラムの評価や改善の取り組みなどはこの委員会において行っている。また、本委員会でなされた評価や改善の内容は、学長を委員長とする自己点検・評価委員会に諮られ、全学的に周知徹底を図っている。
全学共通プログラム修了判定委員会では、次の各号に定める事項の審議を目的とする。
　(1)　全学共通プログラムの登録学生の承認
　(2)　全学共通プログラムの修了判定及び修了証書授与候補者の選考
　(3)　全学共通プログラムの点検・評価及び改正等
　(4)　その他委員長が必要と認める事項</t>
    <rPh sb="86" eb="88">
      <t>キョウイク</t>
    </rPh>
    <phoneticPr fontId="1"/>
  </si>
  <si>
    <t xml:space="preserve">経済学部　教授・副学長　田中康秀 （委員長）
経営学部　教授・教務部長　蒲和重
法学部　教授　伊藤治彦
経済学部　教授　佐井至道
経営学部　教授　川本和則
経営学部　教授　三好宏
</t>
    <rPh sb="0" eb="2">
      <t>ケイザイ</t>
    </rPh>
    <rPh sb="2" eb="4">
      <t>ガクブ</t>
    </rPh>
    <rPh sb="5" eb="7">
      <t>キョウジュ</t>
    </rPh>
    <rPh sb="8" eb="11">
      <t>フクガクチョウ</t>
    </rPh>
    <rPh sb="12" eb="14">
      <t>タナカ</t>
    </rPh>
    <rPh sb="14" eb="16">
      <t>ヤスヒデ</t>
    </rPh>
    <rPh sb="18" eb="21">
      <t>イインチョウ</t>
    </rPh>
    <rPh sb="23" eb="27">
      <t>ケイエイガクブ</t>
    </rPh>
    <rPh sb="28" eb="30">
      <t>キョウジュ</t>
    </rPh>
    <rPh sb="31" eb="33">
      <t>キョウム</t>
    </rPh>
    <rPh sb="33" eb="35">
      <t>ブチョウ</t>
    </rPh>
    <rPh sb="40" eb="43">
      <t>ホウガクブ</t>
    </rPh>
    <rPh sb="44" eb="46">
      <t>キョウジュ</t>
    </rPh>
    <rPh sb="47" eb="49">
      <t>イトウ</t>
    </rPh>
    <rPh sb="49" eb="51">
      <t>ハルヒコ</t>
    </rPh>
    <rPh sb="52" eb="54">
      <t>ケイザイ</t>
    </rPh>
    <rPh sb="54" eb="56">
      <t>ガクブ</t>
    </rPh>
    <rPh sb="57" eb="59">
      <t>キョウジュ</t>
    </rPh>
    <rPh sb="60" eb="64">
      <t>サイシドウ</t>
    </rPh>
    <rPh sb="65" eb="69">
      <t>ケイエイガクブ</t>
    </rPh>
    <rPh sb="70" eb="72">
      <t>キョウジュ</t>
    </rPh>
    <rPh sb="73" eb="75">
      <t>カワモト</t>
    </rPh>
    <rPh sb="75" eb="77">
      <t>カズノリ</t>
    </rPh>
    <rPh sb="78" eb="80">
      <t>ケイエイ</t>
    </rPh>
    <rPh sb="80" eb="82">
      <t>ガクブ</t>
    </rPh>
    <rPh sb="83" eb="85">
      <t>キョウジュ</t>
    </rPh>
    <rPh sb="86" eb="88">
      <t>ミヨシ</t>
    </rPh>
    <rPh sb="88" eb="89">
      <t>ヒロシ</t>
    </rPh>
    <phoneticPr fontId="1"/>
  </si>
  <si>
    <t xml:space="preserve">データ・AIが社会や身近な生活にどのように活用されつつあるかを理解でき、今後の動向を予測できる能力。
様々なデータの活用事例から多様な分野の知見を組み合わせることで新たな価値を創出できる能力。
データ・AI活用に当たっての法律面や倫理面での留意事項を知っており、適切な利用ができる能力。
</t>
    <rPh sb="47" eb="49">
      <t>ノウリョク</t>
    </rPh>
    <rPh sb="93" eb="95">
      <t>ノウリョク</t>
    </rPh>
    <rPh sb="140" eb="142">
      <t>ノウリョク</t>
    </rPh>
    <phoneticPr fontId="1"/>
  </si>
  <si>
    <t xml:space="preserve">・ビッグデータ、IoT、AI、ロボット「法と情報」（3回目）
・データ量の増加、計算機の処理性能の向上、AIの非連続的進化「法と情報」（3回目）
・データ量の増加、計算機の処理性能の向上、AIの非連続的進化「法と情報」（7回目）
・ビッグデータ、IoT、AI、ロボット「法と情報」（8回目）
・人間の知的活動とAIの関係性「法と情報」（14回目）
・第4次産業革命、Society 5.0、データ駆動型社会「情報と職業」（1回目）
・第4次産業革命、Society 5.0、データ駆動型社会「情報と職業」（2回目）
・第4次産業革命、Society 5.0、データ駆動型社会「情報と職業」（3回目）
・人間の知的活動とAIの関係性「情報と職業」（9回目）
・データを起点としたものの見方、人間の知的活動を起点としたものの見方「情報技術論II」（12回目）
・ビッグデータ、IoT、AI、ロボット「情報社会と情報倫理」（3回目）
・データ量の増加、計算機の処理性能の向上、AIの非連続的進化「情報社会と情報倫理」（2回目）
</t>
    <phoneticPr fontId="1"/>
  </si>
  <si>
    <t xml:space="preserve">・AI等を活用した新しいビジネスモデル(シェアリングエコノミー、商品のリコメンデーションなど)「法と情報」（8回目）
・AI等を活用した新しいビジネスモデル(シェアリングエコノミー、商品のレコメンデーションなど)「情報と職業」（9回目）
・AI等を活用した新しいビジネスモデル(シェアリングエコノミー、商品のレコメンデーションなど)「情報と職業」（10回目）
・AI等を活用した新しいビジネスモデル(シェアリングエコノミー、商品のレコメンデーションなど)「情報技術論II」（10回目）
・AI等を活用した新しいビジネスモデル(シェアリングエコノミー、商品のレコメンデーションなど) 「情報社会と情報倫理」（6回目）
</t>
    <phoneticPr fontId="1"/>
  </si>
  <si>
    <t xml:space="preserve">
・調査データ、実験データ、人の行動ログデータ、機械の稼働ログデータなど「法と情報」（1回目）
・調査データ、実験データ、人の行動ログデータ、機械の稼働ログデータなど「法と情報」（2回目）
・調査データ、実験データ、人の行動ログデータ、機械の稼働ログデータなど「情報と職業」（2回目）
・データ作成（ビッグデータとアノテーション）「情報と職業」（2回目）
・調査データ、実験データ、人の行動ログデータ、機械の稼働ログデータなど「情報と職業」（3回目）
・調査データ、実験データ、人の行動ログデータ、機械の稼働ログデータなど「情報と職業」（10回目）
・構造化データ、非構造化データ（文章、画像/動画、音声/音楽など）「情報技術論II」（9回目）
・調査データ、実験データ、人の行動ログデータ、機械の稼働ログデータなど「情報社会と情報倫理」（3回目）
</t>
    <phoneticPr fontId="1"/>
  </si>
  <si>
    <t xml:space="preserve">・データ・AI活用領域の広がり(生産、消費、文化活動など)「法と情報」（3回目）
・研究開発、調達、製造、物流、販売、マーケティング、サービスなど「法と情報」（8回目）
・研究開発、調達、製造、物流、販売、マーケティング、サービスなど「法と情報」（9回目）
・研究開発、調達、製造、物流、販売、マーケティング、サービスなど「法と情報」（10回目）
・データ・AI活用領域の広がり(生産、消費、文化活動など)「情報と職業」（2回目）
・研究開発、調達、製造、物流、販売、マーケティング、サービスなど「情報と職業」（2回目）
・研究開発、調達、製造、物流、販売、マーケティング、サービスなど「情報と職業」（4回目）
・データ・AI活用領域の広がり(生産、消費、文化活動など)「情報技術論II」（7回目）
・データ・AI活用領域の広がり(生産、消費、文化活動など) 「情報社会と情報倫理」（6回
目）
・研究開発、調達、製造、物流、販売、マーケティング、サービスなど「情報社会と情報倫理」（6回目）
</t>
    <phoneticPr fontId="1"/>
  </si>
  <si>
    <t xml:space="preserve">・データ可視化：複合グラフ、2軸グラフ、多次元の可視化、関係性の可視化、地図上の可視化、挙動・軌跡の可視化、リアルタイム可視化など「法と情報」（1回目）
・特化型AIと汎用AI、今のAIで出来ることと出来ないこと、AIとビッグデータ「法と情報」（3回目）
・特化型AIと汎用AI、今のAIで出来ることと出来ないこと、AIとビッグデータ「法と情報」（14回目）
・データ解析：予測、グルーピング、パターン発見、最適化、シミュレーション・データ同化など「情報と職業」（2回目）
・データ解析：予測、グルーピング、パターン発見、最適化、シミュレーション・データ同化など「情報と職業」（3回目）
・データ解析：予測、グルーピング、パターン発見、最適化、シミュレーション・データ同化など「情報と職業」（4回目）
・非構造化データ処理：言語処理、画像/動画処理、音声/音楽処理など「情報技術論II」（4回目）
・データ解析：予測、グルーピング、パターン発見、最適化、シミュレーション・データ同化など「情報社会と情報倫理」（6回目）
</t>
    <phoneticPr fontId="1"/>
  </si>
  <si>
    <t xml:space="preserve">・流通、製造、金融、サービス、インフラ、公共、ヘルスケア等におけるデータ・AI利活用事例紹介「法と情報」（4回目）
・流通、製造、金融、サービス、インフラ、公共、ヘルスケア等におけるデータ・AI利活用事例紹介「法と情報」（5回目）
・流通、製造、金融、サービス、インフラ、公共、ヘルスケア等におけるデータ・AI利活用事例紹介「情報と職業」（2回目）
・流通、製造、金融、サービス、インフラ、公共、ヘルスケア等におけるデータ・AI利活用事例紹介「情報と職業」（4回目）
・流通、製造、金融、サービス、インフラ、公共、ヘルスケア等におけるデータ・AI利活用事例紹介「情報と職業」（7回目）
・データサイエンスのサイクル（課題抽出と定式化、データの取得・管理・加工、探索的データ解析、データ解析と推論、結果の共有・伝達、課題解決に向けた提案）「情報技術論II」（6回目）
・流通、製造、金融、サービス、インフラ、公共、ヘルスケア等におけるデータ・AI利活用事例紹介「情報社会と情報倫理」（6回目）
</t>
    <phoneticPr fontId="1"/>
  </si>
  <si>
    <t xml:space="preserve">・ELSI（Ethical, Legal and Social Issues）「法と情報」（1回目）
・データ倫理：データのねつ造、改ざん、悪用、プライバシー保護「法と情報」（2回目）
・データバイアス、アルゴリズムバイアス「法と情報」（2回目）
・ELSI（Ethical, Legal and Social Issues）「法と情報」（3回目）
・データ倫理：データのねつ造、改ざん、悪用、プライバシー保護「法と情報」（3回目）
・ELSI（Ethical, Legal and Social Issues）「法と情報」（4回目）
・データバイアス、アルゴリズムバイアス「法と情報」（4回目）
・ELSI（Ethical, Legal and Social Issues）「法と情報」（5回目）
・個人情報保護、EU一般データ保護規則(GDPR)、忘れられる権利、オプトアウト「法と情報」（7回目）
・データ倫理：データのねつ造、改ざん、悪用、プライバシー保護「法と情報」（7回目）
・ELSI（Ethical, Legal and Social Issues）「法と情報」（8回目）
・データ倫理：データのねつ造、改ざん、悪用、プライバシー保護「法と情報」（8回目）
・データバイアス、アルゴリズムバイアス「法と情報」（8回目）
・データ倫理：データのねつ造、改ざん、悪用、プライバシー保護「法と情報」（13回目）
・個人情報保護、EU一般データ保護規則(GDPR)、忘れられる権利、オプトアウト「情報と職業」（12回目）
・個人情報保護、EU一般データ保護規則(GDPR)、忘れられる権利、オプトアウト「情報と職業」（13回目）
・データ倫理：データのねつ造、改ざん、盗用、プライバシー保護「情報と職業」（13回目）
・データ倫理：データのねつ造、改ざん、盗用、プライバシー保護「情報技術論II」（7回目）
・個人情報保護、EU一般データ保護規則(GDPR)、忘れられる権利、オプトアウト「情報社会と情報倫理」（7回目）
・データ倫理：データのねつ造、改ざん、盗用、プライバシー保護「情報社会と情報倫理」（8回目）
</t>
    <phoneticPr fontId="1"/>
  </si>
  <si>
    <t xml:space="preserve">・情報セキュリティ：機密性、完全性、可用性「法と情報」（7回目）
・匿名加工情報、暗号化、パスワード、悪意ある情報搾取「法と情報」（7回目）
・情報漏洩等によるセキュリティ事故の事例紹介「法と情報」（7回目）
・情報セキュリティ：機密性、完全性、可用性「法と情報」（9回目）
・匿名加工情報、暗号化、パスワード、悪意ある情報搾取「法と情報」（9回目）
・情報漏洩等によるセキュリティ事故の事例紹介「法と情報」（9回目）
・情報セキュリティ：機密性、完全性、可用性「法と情報」（10回目）
・匿名加工情報、暗号化、パスワード、悪意ある情報搾取「法と情報」（10回目）
・情報漏洩等によるセキュリティ事故の事例紹介「法と情報」（10回目）
・情報セキュリティ：機密性、完全性、可用性「情報と職業」（12回目）
・匿名加工情報、暗号化、パスワード、悪意ある情報搾取「情報と職業」（12回目）
・情報漏洩等によるセキュリティ事故の事例紹介（情報と職業」（12回目）
・情報セキュリティ：機密性、完全性、可用性「情報と職業」（13回目）
・匿名加工情報、暗号化、パスワード、悪意ある情報搾取「情報と職業」（13回目）
・匿名加工情報、暗号化、パスワード、悪意ある情報搾取「情報技術論II」（7回目）
・情報セキュリティ：機密性、完全性、可用性「情報社会と情報倫理」（13回目）
・匿名加工情報、暗号化、パスワード、悪意ある情報搾取「情報社会と情報倫理」（14回目）
・情報漏洩等によるセキュリティ事故の事例紹介「情報社会と情報倫理」（14回目）
</t>
  </si>
  <si>
    <t xml:space="preserve">・データの種類（量的変数、質的変数）「データ分析」（3回目）
・データの分布(ヒストグラム)と代表値（平均値、中央値、最頻値）「データ分析」（8回目）
・代表値の性質の違い（実社会では平均値＝最頻値でないことが多い）「データ分析」（8回目）
・相関と因果（相関係数、擬似相関、交絡）「データ分析」（9回目）
・相関と因果（相関係数、擬似相関、交絡）「データ分析」（10回目）
・相関と因果（相関係数、擬似相関、交絡）「データ分析」（11回目）
・相関と因果（相関係数、擬似相関、交絡）「データ分析」（12回目）
・母集団と標本抽出（国勢調査、アンケート調査、全数調査、単純無作為抽出、層別抽出、多段抽出）「データ分析」（13回目）
・データの種類（量的変数、質的変数）「データ分析」（13回目）
・クロス集計表、分割表、相関係数行列、散布図行列「データ分析」（14回目）
・データの種類（量的変数、質的変数）「データ分析」（14回目）
・データの種類（量的変数、質的変数）「データ分析」（15回目）
・データの種類（量的変数、質的変数）「データサイエンス入門Ｉ」（1回目）
・データの分布(ヒストグラム)と代表値（平均値、中央値、最頻値）「データサイエンス入門Ｉ」（3回目）
・データの分布(ヒストグラム)と代表値（平均値、中央値、最頻値）「データサイエンス入門Ｉ」（4回目）
・代表値の性質の違い（実社会では平均値＝最頻値でないことが多い）「データサイエンス入門Ｉ」（4回目）
・データの分布(ヒストグラム)と代表値（平均値、中央値、最頻値）「データサイエンス入門Ｉ」（5回目）
・代表値の性質の違い（実社会では平均値＝最頻値でないことが多い）「データサイエンス入門Ｉ」（5回目）
・データの分布(ヒストグラム)と代表値（平均値、中央値、最頻値）「データサイエンス入門Ｉ」（6回目）
・データのばらつき（分散、標準偏差、偏差値）「データサイエンス入門Ｉ」（7回目）
・データのばらつき（分散、標準偏差、偏差値）「データサイエンス入門Ｉ」（8回目）
・データのばらつき（分散、標準偏差、偏差値）「データサイエンス入門Ｉ」（9回目）
・データのばらつき（分散、標準偏差、偏差値）「データサイエンス入門Ｉ」（10回目）
・データの分布(ヒストグラム)と代表値（平均値、中央値、最頻値）「データサイエンス入門Ｉ」（11回目）
・データのばらつき（分散、標準偏差、偏差値）「データサイエンス入門Ｉ」（11回目）
・データの分布(ヒストグラム)と代表値（平均値、中央値、最頻値）「データサイエンス入門Ｉ」（12回目）
・データのばらつき（分散、標準偏差、偏差値）「データサイエンス入門Ｉ」（12回目）
・データの分布(ヒストグラム)と代表値（平均値、中央値、最頻値）「データサイエンス入門Ｉ」（13回目）
・データのばらつき（分散、標準偏差、偏差値）「データサイエンス入門Ｉ」（13回目）
・データの分布(ヒストグラム)と代表値（平均値、中央値、最頻値）「データサイエンス入門Ｉ」（14回目）
・データのばらつき（分散、標準偏差、偏差値）「データサイエンス入門Ｉ」（15回目）
・データの分布(ヒストグラム)と代表値（平均値、中央値、最頻値）「データサイエンス入門II」（1回目）
・データのばらつき（分散、標準偏差、偏差値）「データサイエンス入門II」（1回目）
・相関と因果（相関係数、擬似相関、交絡）「データサイエンス入門II」（2回目）
・相関と因果（相関係数、擬似相関、交絡）「データサイエンス入門II」（3回目）
・相関と因果（相関係数、擬似相関、交絡）「データサイエンス入門II」（4回目）
・相関と因果（相関係数、擬似相関、交絡）「データサイエンス入門II」（5回目）
・相関と因果（相関係数、擬似相関、交絡）「データサイエンス入門II」（6回目）
・相関と因果（相関係数、擬似相関、交絡）「データサイエンス入門II」（7回目）
・相関と因果（相関係数、擬似相関、交絡）「データサイエンス入門II」（8回目）
・相関と因果（相関係数、擬似相関、交絡）「データサイエンス入門II」（9回目）
・相関と因果（相関係数、擬似相関、交絡）「データサイエンス入門II」（10回目）
・相関と因果（相関係数、擬似相関、交絡）「データサイエンス入門II」（11回目）
・観測データに含まれる誤差の扱い「データサイエンス入門II」（12回目）
・相関と因果（相関係数、擬似相関、交絡）「データサイエンス入門II」（13回目）
・データの種類（量的変数、質的変数）「データサイエンス入門II」（14回目）
・データの分布(ヒストグラム)と代表値（平均値、中央値、最頻値）「データサイエンス入門II」（15回目）
・データの分布(ヒストグラム)と代表値（平均値、中央値、最頻値）「経済統計論Ｉ」（1回目）
・相関と因果（相関係数、擬似相関、交絡）「経済統計論Ｉ」（1回目）
・相関と因果（相関係数、擬似相関、交絡）「経済統計論Ｉ」（2回目）
・相関と因果（相関係数、擬似相関、交絡）「経済統計論Ｉ」（3回目）
・相関と因果（相関係数、擬似相関、交絡）「経済統計論Ｉ」（4回目）
・相関と因果（相関係数、擬似相関、交絡）「経済統計論Ｉ」（5回目）
・相関と因果（相関係数、擬似相関、交絡）「経済統計論Ｉ」（6回目）
・相関と因果（相関係数、擬似相関、交絡）「経済統計論Ｉ」（7回目）
・母集団と標本抽出（国勢調査、アンケート調査、全数調査、単純無作為抽出、層別抽出、多段抽出）「経済統計論Ｉ」（11回目）
・データの分布(ヒストグラム)と代表値（平均値、中央値、最頻値）「経済統計論Ｉ」（13回目）
・母集団と標本抽出（国勢調査、アンケート調査、全数調査、単純無作為抽出、層別抽出、多段抽出）「経済統計論Ｉ」（13回目）
・データの分布(ヒストグラム)と代表値（平均値、中央値、最頻値）「経済統計論Ｉ」（14回目）
・母集団と標本抽出（国勢調査、アンケート調査、全数調査、単純無作為抽出、層別抽出、多段抽出）「経済統計論Ｉ」（14回目）
・データの分布(ヒストグラム)と代表値（平均値、中央値、最頻値）「経済統計論Ｉ」（15回目）
・母集団と標本抽出（国勢調査、アンケート調査、全数調査、単純無作為抽出、層別抽出、多段抽出）「経済統計論Ｉ」（15回目）
・データの分布(ヒストグラム)と代表値（平均値、中央値、最頻値）「経済統計論II」（1回目）
・相関と因果（相関係数、擬似相関、交絡）「経済統計論II」（1回目）
・相関と因果（相関係数、擬似相関、交絡）「経済統計論II」（2回目）
・相関と因果（相関係数、擬似相関、交絡）「経済統計論II」（3回目）
・クロス集計表、分割表、相関係数行列、散布図行列「経済統計論II」（3回目）
・相関と因果（相関係数、擬似相関、交絡）「経済統計論II」（4回目）
・クロス集計表、分割表、相関係数行列、散布図行列「経済統計論II」（4回目）
・相関と因果（相関係数、擬似相関、交絡）「経済統計論II」（5回目）
・クロス集計表、分割表、相関係数行列、散布図行列「経済統計論II」（5回目）
・相関と因果（相関係数、擬似相関、交絡）「経済統計論II」（6回目）
・クロス集計表、分割表、相関係数行列、散布図行列「経済統計論II」（6回目）
・データの種類（量的変数、質的変数）「経済統計論II」（7回目）
・相関と因果（相関係数、擬似相関、交絡）「経済統計論II」（7回目）
・クロス集計表、分割表、相関係数行列、散布図行列「経済統計論II」（7回目）
・データの種類（量的変数、質的変数）「経済統計論II」（8回目）
・相関と因果（相関係数、擬似相関、交絡）「経済統計論II」（8回目）
・クロス集計表、分割表、相関係数行列、散布図行列「経済統計論II」（8回目）
・データの種類（量的変数、質的変数）「経済統計論II」（9回目）
・相関と因果（相関係数、擬似相関、交絡）「経済統計論II」（9回目）
・クロス集計表、分割表、相関係数行列、散布図行列「経済統計論II」（9回目）
・データの種類（量的変数、質的変数）「経済統計論II」（10回目）
・相関と因果（相関係数、擬似相関、交絡）「経済統計論II」（10回目）
・クロス集計表、分割表、相関係数行列、散布図行列「経済統計論II」（10回目）
・データの種類（量的変数、質的変数）「経済統計論II」（11回目）
・相関と因果（相関係数、擬似相関、交絡）「経済統計論II」（11回目）
・クロス集計表、分割表、相関係数行列、散布図行列「経済統計論II」（11回目）
・データの種類（量的変数、質的変数）「経済統計論II」（12回目）
・相関と因果（相関係数、擬似相関、交絡）「経済統計論II」（12回目）
・クロス集計表、分割表、相関係数行列、散布図行列「経済統計論II」（12回目）
・相関と因果（相関係数、擬似相関、交絡）「経済統計論II」（13回目）
・クロス集計表、分割表、相関係数行列、散布図行列「経済統計論II」（13回目）
・相関と因果（相関係数、擬似相関、交絡）「経済統計論II」（14回目）
・クロス集計表、分割表、相関係数行列、散布図行列「経済統計論II」（14回目）
・相関と因果（相関係数、擬似相関、交絡）「経済統計論II」（15回目）
・クロス集計表、分割表、相関係数行列、散布図行列「経済統計論II」（15回目）
・データの種類（量的変数、質的変数）「経営統計学Ｉ」(1回目)
・データの種類（量的変数、質的変数）「経営統計学Ｉ」(2回目)
・データの種類（量的変数、質的変数）「経営統計学Ｉ」(3回目)
・データの種類（量的変数、質的変数）「経営統計学Ｉ」(4回目)
・データの分布（ヒストグラム）と代表値（平均値、中央値、最頻値）「経営統計学Ｉ」(4回目)
・データの分布（ヒストグラム）と代表値（平均値、中央値、最頻値）「経営統計学Ｉ」(5回目)
・代表値の性質の違い（実社会では平均値＝最頻値でないことが多い）「経営統計学Ｉ」(6回目)
・母集団と標本抽出（国勢調査、アンケート調査、全数調査、単純無作為抽出、層別抽出、多段抽出）「経営統計学Ｉ」(6回目)
・相関と因果（相関係数、擬似相関、交絡）「経営統計学Ｉ」(7回目)
・データの分布（ヒストグラム）と代表値（平均値、中央値、最頻値）「経営統計学Ｉ」(10回目)
・データの分布（ヒストグラム）と代表値（平均値、中央値、最頻値）「経営統計学Ｉ」(11回目)
・クロス集計表、分割表、相関係数行列、散布図行列・統計情報の正しい理解（誇張表現に惑わされない）「経営統計学Ｉ」(11回目)
・データの種類（量的変数、質的変数）「経営統計学II」(1回目)
・データの分布（ヒストグラム）と代表値（平均値、中央値、最頻値）「経営統計学II」(1回目)
・代表値の性質の違い（実社会では平均値＝最頻値でないことが多い）「経営統計学II」(1回目)
・データのばらつき（分散、標準偏差、偏差値）「経営統計学II」(1回目)
・観測データに含まれる誤差の扱い「経営統計学II」(1回目)
・打ち切りや脱落を含むデータ、層別の必要なデータ「経営統計学II」(1回目)
・母集団と標本抽出（国勢調査、アンケート調査、全数調査、単純無作為抽出、層別抽出、多段抽出）「経営統計学II」(1回目)
・データのばらつき（分散、標準偏差、偏差値）「経営統計学II」(3回目)
・データのばらつき（分散、標準偏差、偏差値）「経営統計学II」(4回目)
・データのばらつき（分散、標準偏差、偏差値）「経営統計学II」(5回目)
・データのばらつき（分散、標準偏差、偏差値）「経営統計学II」(6回目)
・データのばらつき（分散、標準偏差、偏差値）「経営統計学II」(7回目)
・データのばらつき（分散、標準偏差、偏差値）「経営統計学II」(8回目)
・データのばらつき（分散、標準偏差、偏差値）「経営統計学II」(9回目)
・データのばらつき（分散、標準偏差、偏差値）「経営統計学II」(10回目)
・相関と因果（相関係数、擬似相関、交絡）「経営統計学II」(11回目)
・相関と因果（相関係数、擬似相関、交絡）「経営統計学II」(12回目)
・相関と因果（相関係数、擬似相関、交絡）「経営統計学II」(13回目)
・データの種類（量的変数、質的変数）「情報システム技術」(1回目)
・データの分布（ヒストグラム）と代表値（平均値、中央値、最頻値）「情報システム技術」(1回目)
・代表値の性質の違い（実社会では平均値＝最頻値でないことが多い）「情報システム技術」(1回目)
・データのばらつき（分散、標準偏差、偏差値）「情報システム技術」(1回目)
・観測データに含まれる誤差の扱い「情報システム技術」(1回目)
・母集団と標本抽出（国勢調査、アンケート調査、全数調査、単純無作為抽出、層別抽出、多段抽出）「情報システム技術」(1回目)
・相関と因果（相関係数、擬似相関、交絡）「情報システム技術」(3回目)
・相関と因果（相関係数、擬似相関、交絡）「情報システム技術」(4回目)
・相関と因果（相関係数、擬似相関、交絡）「情報システム技術」(9回目)
・相関と因果（相関係数、擬似相関、交絡）「情報システム技術」(10回目)
・相関と因果（相関係数、擬似相関、交絡）「情報システム技術」(11回目)
・データの種類（量的変数、質的変数）「応用情報処理Ｉ」(1回目)
・データの種類（量的変数、質的変数）「応用情報処理Ｉ」(2回目)
・データの分布（ヒストグラム）と代表値（平均値、中央値、最頻値）「応用情報処理Ｉ」(3回目)
・データのばらつき（分散、標準偏差、偏差値）「応用情報処理Ｉ」(4回目)
・観測データに含まれる誤差の扱い「応用情報処理Ｉ」(4回目)
・データのばらつき（分散、標準偏差、偏差値）「応用情報処理Ｉ」(5回目)
・観測データに含まれる誤差の扱い「応用情報処理Ｉ」(5回目)
・打ち切りや脱落を含むデータ、層別の必要なデータ「応用情報処理Ｉ」(6回目)
・打ち切りや脱落を含むデータ、層別の必要なデータ「応用情報処理Ｉ」(8回目)
・クロス集計表、分割表、相関係数行列、散布図行列「応用情報処理Ｉ」(9回目)
・統計情報の正しい理解（誇張表現に惑わされない）「応用情報処理Ｉ」(9回目)
・母集団と標本抽出（国勢調査、アンケート調査、全数調査、単純無作為抽出、層別抽出、多段抽出）「応用情報処理Ｉ」(10回目)
・データのばらつき（分散、標準偏差、偏差値）「応用情報処理Ｉ」(11回目)
・観測データに含まれる誤差の扱い「応用情報処理Ｉ」(12回目)
・相関と因果（相関係数、擬似相関、交絡）「応用情報処理Ｉ」(12回目)
・相関と因果（相関係数、擬似相関、交絡）「応用情報処理Ｉ」(14回目)
・母集団と標本抽出（国勢調査、アンケート調査、全数調査、単純無作為抽出、層別抽出、多段抽出）「応用情報処理Ｉ」(15回目)
・データのばらつき（分散、標準偏差、偏差値）「教育におけるICT活用」（6回目）
・データの種類（量的変数、質的変数）「教育におけるICT活用」（6回目）
・データの分布(度数分布表、ヒストグラム)と代表値（平均値、中央値）「教育におけるICT活用」（7回目）
・データの種類（量的変数、質的変数）「市場調査論」（2回目）
・データの分布(ヒストグラム)と代表値（平均値、中央値、最頻値）「市場調査論」（2回目）
・データのばらつき（分散、標準偏差、偏差値）「市場調査論」（3回目）
・データのばらつき（分散、標準偏差、偏差値）「市場調査論」（4回目）
・データの分布(ヒストグラム)と代表値（平均値、中央値、最頻値）（7回目）
・母集団と標本抽出（国勢調査、アンケート調査、全数調査、単純無作為抽出、層別抽出、多段抽出）「市場調査論」（7回目）
・データの分布(ヒストグラム)と代表値（平均値、中央値、最頻値）（8回目）
・母集団と標本抽出（国勢調査、アンケート調査、全数調査、単純無作為抽出、層別抽出、多段抽出）「市場調査論」（8回目）
・データの分布(ヒストグラム)と代表値（平均値、中央値、最頻値）（9回目）
・母集団と標本抽出（国勢調査、アンケート調査、全数調査、単純無作為抽出、層別抽出、多段抽出）「市場調査論」（9回目）
・データの分布(ヒストグラム)と代表値（平均値、中央値、最頻値）（10回目）
・母集団と標本抽出（国勢調査、アンケート調査、全数調査、単純無作為抽出、層別抽出、多段抽出）「市場調査論」（10回目）
・データの分布(ヒストグラム)と代表値（平均値、中央値、最頻値）（11回目）
・母集団と標本抽出（国勢調査、アンケート調査、全数調査、単純無作為抽出、層別抽出、多段抽出）「市場調査論」（11回目）
・データの分布(ヒストグラム)と代表値（平均値、中央値、最頻値）（12回目）
・母集団と標本抽出（国勢調査、アンケート調査、全数調査、単純無作為抽出、層別抽出、多段抽出）「市場調査論」（12回目）
・データの分布(ヒストグラム)と代表値（平均値、中央値、最頻値）（13回目）
・母集団と標本抽出（国勢調査、アンケート調査、全数調査、単純無作為抽出、層別抽出、多段抽出）「市場調査論」（13回目）
・データの分布(ヒストグラム)と代表値（平均値、中央値、最頻値）（14回目）
・母集団と標本抽出（国勢調査、アンケート調査、全数調査、単純無作為抽出、層別抽出、多段抽出）「市場調査論」（14回目）
・データの分布(ヒストグラム)と代表値（平均値、中央値、最頻値）（15回目）
・母集団と標本抽出（国勢調査、アンケート調査、全数調査、単純無作為抽出、層別抽出、多段抽出）「市場調査論」（15回目）
</t>
    <phoneticPr fontId="1"/>
  </si>
  <si>
    <t xml:space="preserve">・データの集計（和、平均）「データ分析」（3回目）
・データの並び替え、ランキング「データ分析」(4回目)
・データの並び替え、ランキング「データ分析」(5回目)
・データ解析ツール（スプレッドシート）「データ分析」（7回目）
・データ解析ツール（スプレッドシート）「データ分析」（8回目）
・表形式のデータ（csv）「データ分析」（8回目）
・データ解析ツール（スプレッドシート）「データ分析」（9回目）
・表形式のデータ（csv）「データ分析」（10回目）
・データ解析ツール（スプレッドシート）「データ分析」（10回目）
・表形式のデータ（csv）「データ分析」（11回目）
・データ解析ツール（スプレッドシート）「データ分析」（11回目）
・表形式のデータ（csv）「データ分析」（12回目）
・データ解析ツール（スプレッドシート）「データ分析」（12回目）
・データの集計（和、平均）「データ分析」（14回目）
・データの集計（和、平均）（1回目）
・データの並び替え、ランキング「データサイエンス入門Ｉ」（2回目）
・データの集計（和、平均）「データサイエンス入門Ｉ」（4回目）
・データの集計（和、平均）「データサイエンス入門Ｉ」（5回目）
・データの集計（和、平均）「データサイエンス入門Ｉ」（6回目）
・データの集計（和、平均）「データサイエンス入門Ｉ」（7回目）
・データの集計（和、平均）「データサイエンス入門Ｉ」（8回目）
・データの集計（和、平均）「データサイエンス入門Ｉ」（9回目）
・データの集計（和、平均）「データサイエンス入門Ｉ」（10回目）
・データの集計（和、平均）「データサイエンス入門Ｉ」（11回目）
・データの集計（和、平均）「データサイエンス入門Ｉ」（12回目）
・データの集計（和、平均）「データサイエンス入門Ｉ」（13回目）
・データの集計（和、平均）「データサイエンス入門Ｉ」（15回目）
・データの集計（和、平均）「データサイエンス入門II」（1回目）
・表形式のデータ（csv）「データサイエンス入門II」（8回目）
・表形式のデータ（csv）「データサイエンス入門II」（9回目）
・表形式のデータ（csv）「データサイエンス入門II」（10回目）
・表形式のデータ（csv）「データサイエンス入門II」（11回目）
・表形式のデータ（csv）「データサイエンス入門II」（12回目）
・表形式のデータ（csv）「データサイエンス入門II」（13回目）
・表形式のデータ（csv）「データサイエンス入門II」（14回目）
・データ解析ツール（スプレッドシート）「データサイエンス入門II」（15回目）
・データの集計（和、平均）「経済統計論Ｉ」（1回目）
・表形式のデータ（csv）「経済統計論Ｉ」（2回目）
・表形式のデータ（csv）「経済統計論Ｉ」（6回目）
・データの並び替え、ランキング「経済統計論Ｉ」（8回目）
・データの並び替え、ランキング「経済統計論Ｉ」（9回目）
・データの並び替え、ランキング「経済統計論Ｉ」（10回目）
・データの集計（和、平均）「経済統計論II」（1回目）
・データ解析ツール（スプレッドシート）「経済統計論II」（1回目）
・データ解析ツール（スプレッドシート）「経済統計論II」（2回目）
・データ解析ツール（スプレッドシート）（3回目）
・表形式のデータ（csv）「経済統計論II」（3回目）
・データ解析ツール（スプレッドシート）（4回目）
・表形式のデータ（csv）「経済統計論II」（4回目）
・データ解析ツール（スプレッドシート）（5回目）
・表形式のデータ（csv）「経済統計論II」（5回目）
・データ解析ツール（スプレッドシート）（6回目）
・表形式のデータ（csv）「経済統計論II」（6回目）
・データ解析ツール（スプレッドシート）（7回目）
・表形式のデータ（csv）「経済統計論II」（7回目）
・データ解析ツール（スプレッドシート）（8回目）
・表形式のデータ（csv）「経済統計論II」（8回目）
・データ解析ツール（スプレッドシート）（9回目）
・表形式のデータ（csv）「経済統計論II」（9回目）
・データ解析ツール（スプレッドシート）（10回目）
・表形式のデータ（csv）「経済統計論II」（10回目）
・データ解析ツール（スプレッドシート）（11回目）
・表形式のデータ（csv）「経済統計論II」（11回目）
・データ解析ツール（スプレッドシート）（12回目）
・表形式のデータ（csv）「経済統計論II」（12回目）
・データ解析ツール（スプレッドシート）（13回目）
・表形式のデータ（csv）「経済統計論II」（13回目）
・データ解析ツール（スプレッドシート）（14回目）
・表形式のデータ（csv）「経済統計論II」（14回目）
・データ解析ツール（スプレッドシート）（15回目）
・表形式のデータ（csv）「経済統計論II」（15回目）
・データの集計（和、平均）「経営統計学Ｉ」(2回目)
・データの集計（和、平均）「経営統計学Ｉ」(3回目)
・データの集計（和、平均）「経営統計学Ｉ」(4回目)
・データの集計（和、平均）「経営統計学Ｉ」(5回目)
・データの集計（和、平均）「経営統計学Ｉ」(6回目)
・データの集計（和、平均）「経営統計学Ｉ」(7回目)
・データの集計（和、平均）「経営統計学Ｉ」(8回目)
・データの集計（和、平均）「経営統計学Ｉ」(9回目)
・データの集計（和、平均）「経営統計学Ｉ」(10回目)
・データの集計（和、平均）「経営統計学Ｉ」(11回目)
・データの集計（和、平均）「経営統計学Ｉ」(12回目)
・データの集計（和、平均）「経営統計学Ｉ」(13回目)
・データの集計（和、平均）「経営統計学Ｉ」(14回目)
・データの集計（和、平均）「経営統計学Ｉ」(15回目)
・データの集計（和、平均）「経営統計学II」(1回目)
・データの集計（和、平均）「経営統計学II」(2回目)
・データの集計（和、平均）「経営統計学II」(3回目)
・データの集計（和、平均）「経営統計学II」(4回目)
・データの集計（和、平均）「経営統計学II」(5回目)
・データの集計（和、平均）「経営統計学II」(6回目)
・データの集計（和、平均）「経営統計学II」(7回目)
・データの集計（和、平均）「経営統計学II」(8回目)
・データの集計（和、平均）「経営統計学II」(9回目)
・データの集計（和、平均）「経営統計学II」(10回目)
・データの集計（和、平均）「経営統計学II」(11回目)
・データの集計（和、平均）「経営統計学II」(12回目)
・データの集計（和、平均）「経営統計学II」(13回目)
・データの集計（和、平均）「経営統計学II」(14回目)
・データの集計（和、平均）「経営統計学II」(15回目)
・データの集計（和、平均）「情報システム技術」(1回目)
・データの集計（和、平均）「情報システム技術」(2回目)
・データの集計（和、平均）「情報システム技術」(3回目)
・データの集計（和、平均）「情報システム技術」(4回目)
・データの集計（和、平均）「情報システム技術」(5回目)
・データの集計（和、平均）「情報システム技術」(6回目)
・データの集計（和、平均）「情報システム技術」(7回目)
・データの集計（和、平均）「情報システム技術」(8回目)
・データの並び替え、ランキング「情報システム技術」(8回目)
・データ解析ツール（スプレッドシート）「情報システム技術」(8回目)
・データの集計（和、平均）「情報システム技術」(9回目)
・データの並び替え、ランキング「情報システム技術」(9回目)
・データ解析ツール（スプレッドシート）「情報システム技術」(9回目)
・データの集計（和、平均）「情報システム技術」(10回目)
・データの並び替え、ランキング「情報システム技術」(10回目)
・データ解析ツール（スプレッドシート）「情報システム技術」(10回目)
・データの集計（和、平均）「情報システム技術」(11回目)
・データの集計（和、平均）「情報システム技術」(12回目)
・データの集計（和、平均）「情報システム技術」(13回目)
・データの集計（和、平均）「情報システム技術」(14回目)
・データの集計（和、平均）「情報システム技術」(15回目)
・データの集計（和、平均）「応用情報処理Ｉ」(1回目)
・データの集計（和、平均）「応用情報処理Ｉ」(2回目)
・データの集計（和、平均）「応用情報処理Ｉ」(3回目)
・データの並び替え、ランキング・データ解析ツール（スプレッドシート）「応用情報処理Ｉ」(3回目)
・データの集計（和、平均）「応用情報処理Ｉ」(4回目)
・データの集計（和、平均）「応用情報処理Ｉ」(5回目)
・データの集計（和、平均）「応用情報処理Ｉ」(6回目)
・データの集計（和、平均）「応用情報処理Ｉ」(7回目)
・データの集計（和、平均）「応用情報処理Ｉ」(8回目)
・データの集計（和、平均）「応用情報処理Ｉ」(9回目)
・データの集計（和、平均）「応用情報処理Ｉ」(10回目)
・データの集計（和、平均）「応用情報処理Ｉ」(11回目)
・データの集計（和、平均）「応用情報処理Ｉ」(12回目)
・データの集計（和、平均）「応用情報処理Ｉ」(13回目)
・データの集計（和、平均）「応用情報処理Ｉ」(14回目)
・データの集計（和、平均）「応用情報処理Ｉ」(15回目)
・データの集計（和、平均、最大値、最小値、ランキング、並び替え）「教育におけるICT活用」（8回目）
・データのばらつきの処理（分散、標準偏差、偏差値）「教育におけるICT活用」（8回目）
・データの比較（個人成績票のマクロ印刷）「教育におけるICT活用」 （10回目）
・データの集計（和、平均）「市場調査論」（2回目）
・データの集計（和、平均）「市場調査論」（3回目）
・データの集計（和、平均）「市場調査論」（4回目）
・データの集計（和、平均）「市場調査論」（8回目）
・データの集計（和、平均）「市場調査論」（9回目）
・データの集計（和、平均）「市場調査論」（10回目）
・データの集計（和、平均）「市場調査論」（11回目）
・データの集計（和、平均）「市場調査論」（12回目）
・データの集計（和、平均）「市場調査論」（13回目）
・データの集計（和、平均）「市場調査論」（14回目）
・データの集計（和、平均）「市場調査論」（15回目）
</t>
    <phoneticPr fontId="1"/>
  </si>
  <si>
    <t xml:space="preserve">・データ表現（棒グラフ、折線グラフ、散布図、ヒートマップ）「データ分析」（6回目）
・データの図表表現（チャート化）「データ分析」（6回目）
・不適切なグラフ表現（チャートジャンク、不必要な視覚的要素）「データ分析」（6回目）
・データ表現（棒グラフ、折線グラフ、散布図、ヒートマップ）「データ分析」（9回目）
・優れた可視化事例の紹介（可視化することによって新たな気づきがあった事例など）「データ分析」(11回目)
・データ表現（棒グラフ、折線グラフ、散布図、ヒートマップ）「データ分析」（12回目）
・優れた可視化事例の紹介（可視化することによって新たな気づきがあった事例など）「データ分析」(12回目)
・データ表現（棒グラフ、折線グラフ、散布図、ヒートマップ）「データ分析」（15回目）
・優れた可視化事例の紹介（可視化することによって新たな気づきがあった事例など）「データ分析」(15回目)
・データの図表表現（チャート化）「データ分析」（15回目）
・データ表現（棒グラフ、折線グラフ、散布図、ヒートマップ）「データサイエンス入門Ｉ」（1回目）
・データ表現（棒グラフ、折線グラフ、散布図、ヒートマップ）「データサイエンス入門Ｉ」（2回目）
・データの図表表現（チャート化）「データサイエンス入門Ｉ」（3回目）
・データの比較（条件をそろえた比較、処理の前後での比較、A/Bテスト)「データサイエンス入門Ｉ」（6回目）
・データの比較（条件をそろえた比較、処理の前後での比較、A/Bテスト)「データサイエンス入門Ｉ」（8回目）
・データの比較（条件をそろえた比較、処理の前後での比較、A/Bテスト)「データサイエンス入門Ｉ」（9回目）
・データの比較（条件をそろえた比較、処理の前後での比較、A/Bテスト)「データサイエンス入門Ｉ」（10回目）
・データ表現（棒グラフ、折線グラフ、散布図、ヒートマップ）「データサイエンス入門II」（1回目）
・データ表現（棒グラフ、折線グラフ、散布図、ヒートマップ）「データサイエンス入門II」（2回目）
・データ表現（棒グラフ、折線グラフ、散布図、ヒートマップ）「データサイエンス入門II」（3回目）
・データ表現（棒グラフ、折線グラフ、散布図、ヒートマップ）「データサイエンス入門II」（4回目）
・データの比較（条件をそろえた比較、処理の前後での比較、A/Bテスト)「データサイエンス入門II」（4回目）
・データ表現（棒グラフ、折線グラフ、散布図、ヒートマップ）「データサイエンス入門II」（5回目）
・データ表現（棒グラフ、折線グラフ、散布図、ヒートマップ）「データサイエンス入門II」（6回目）
・データ表現（棒グラフ、折線グラフ、散布図、ヒートマップ）「データサイエンス入門II」（7回目）
・データ表現（棒グラフ、折線グラフ、散布図、ヒートマップ）「データサイエンス入門II」（8回目）
・データ表現（棒グラフ、折線グラフ、散布図、ヒートマップ）「データサイエンス入門II」（9回目）
・データ表現（棒グラフ、折線グラフ、散布図、ヒートマップ）「データサイエンス入門II」（10回目）
・データ表現（棒グラフ、折線グラフ、散布図、ヒートマップ）「データサイエンス入門II」（11回目）
・データ表現（棒グラフ、折線グラフ、散布図、ヒートマップ）「データサイエンス入門II」（12回目）
・データ表現（棒グラフ、折線グラフ、散布図、ヒートマップ）「データサイエンス入門II」（13回目）
・データ表現（棒グラフ、折線グラフ、散布図、ヒートマップ）「経済統計論Ｉ」（1回目）
・データ表現（棒グラフ、折線グラフ、散布図、ヒートマップ）「経済統計論Ｉ」（2回目）
・データ表現（棒グラフ、折線グラフ、散布図、ヒートマップ）「経済統計論Ｉ」（3回目）
・データ表現（棒グラフ、折線グラフ、散布図、ヒートマップ）「経済統計論Ｉ」（4回目）
・データ表現（棒グラフ、折線グラフ、散布図、ヒートマップ）「経済統計論Ｉ」（5回目）
・データ表現（棒グラフ、折線グラフ、散布図、ヒートマップ）「経済統計論Ｉ」（6回目）
・データ表現（棒グラフ、折線グラフ、散布図、ヒートマップ）「経済統計論Ｉ」（7回目）
・データの図表表現（チャート化）「経済統計論Ｉ」（8回目）
・データの図表表現（チャート化）「経済統計論Ｉ」（9回目）
・データの図表表現（チャート化）「経済統計論Ｉ」（10回目）
・データの図表表現（チャート化）「経済統計論Ｉ」（12回目）
・データの図表表現（チャート化）「経済統計論Ｉ」（13回目）
・データの図表表現（チャート化）「経済統計論Ｉ」（14回目）
・データの図表表現（チャート化）「経済統計論Ｉ」（15回目）
・データ表現（棒グラフ、折線グラフ、散布図、ヒートマップ）「経済統計論II」（1回目）
・データ表現（棒グラフ、折線グラフ、散布図、ヒートマップ）「経済統計論II」（2回目）
・データ表現（棒グラフ、折線グラフ、散布図、ヒートマップ）「経済統計論II」（3回目）
・データ表現（棒グラフ、折線グラフ、散布図、ヒートマップ）「経済統計論II」（4回目）
・データ表現（棒グラフ、折線グラフ、散布図、ヒートマップ）「経済統計論II」（5回目）
・データ表現（棒グラフ、折線グラフ、散布図、ヒートマップ）「経済統計論II」（6回目）
・データ表現（棒グラフ、折線グラフ、散布図、ヒートマップ）「経済統計論II」（7回目）
・データ表現（棒グラフ、折線グラフ、散布図、ヒートマップ）「経済統計論II」（8回目）
・データ表現（棒グラフ、折線グラフ、散布図、ヒートマップ）「経済統計論II」（9回目）
・データ表現（棒グラフ、折線グラフ、散布図、ヒートマップ）「経済統計論II」（10回目）
・データ表現（棒グラフ、折線グラフ、散布図、ヒートマップ）「経済統計論II」（11回目）
・データ表現（棒グラフ、折線グラフ、散布図、ヒートマップ）「経済統計論II」（12回目）
・データ表現（棒グラフ、折線グラフ、散布図、ヒートマップ）「経済統計論II」（13回目）
・データ表現（棒グラフ、折線グラフ、散布図、ヒートマップ）「経済統計論II」（14回目）
・データ表現（棒グラフ、折線グラフ、散布図、ヒートマップ）「経済統計論II」（15回目）
・データ表現（棒グラフ、折線グラフ、散布図、ヒートマップ）「経営統計学Ｉ」(1回目)
・データ表現（棒グラフ、折線グラフ、散布図、ヒートマップ）「経営統計学Ｉ」(3回目)
・データ表現（棒グラフ、折線グラフ、散布図、ヒートマップ）「経営統計学Ｉ」(4回目)
・データ表現（棒グラフ、折線グラフ、散布図、ヒートマップ）「経営統計学Ｉ」(4回目)
・データ表現（棒グラフ、折線グラフ、散布図、ヒートマップ）「経営統計学Ｉ」(5回目)
・データの比較（条件をそろえた比較、処理の前後での比較、A/Bテスト）「経営統計学Ｉ」(6回目)
・データの比較（条件をそろえた比較、処理の前後での比較、A/Bテスト）「経営統計学Ｉ」(7回目)
・データ表現（棒グラフ、折線グラフ、散布図、ヒートマップ）「経営統計学II」(1回目)
・優れた可視化事例の紹介（可視化することによって新たな気づきがあった事例など）「経営統計学II」(12回目)
・優れた可視化事例の紹介（可視化することによって新たな気づきがあった事例など）「経営統計学II」(13回目)
・データ表現（棒グラフ、折線グラフ、散布図、ヒートマップ）「情報システム技術」(1回目)
・データの比較（条件をそろえた比較、処理の前後での比較、A/Bテスト）「情報システム技術」(1回目)
・データの比較（条件をそろえた比較、処理の前後での比較、A/Bテスト）「情報システム技術」(3回目)
・優れた可視化事例の紹介（可視化することによって新たな気づきがあった事例など）「情報システム技術」(6回目)
・優れた可視化事例の紹介（可視化することによって新たな気づきがあった事例など）「情報システム技術」(7回目)
・優れた可視化事例の紹介（可視化することによって新たな気づきがあった事例など）「情報システム技術」(8回目)
・優れた可視化事例の紹介（可視化することによって新たな気づきがあった事例など）「情報システム技術」(9回目)
・優れた可視化事例の紹介（可視化することによって新たな気づきがあった事例など）「情報システム技術」(10回目)
・優れた可視化事例の紹介（可視化することによって新たな気づきがあった事例など）「情報システム技術」(11回目)
・優れた可視化事例の紹介（可視化することによって新たな気づきがあった事例など）「情報システム技術」(12回目)
・優れた可視化事例の紹介（可視化することによって新たな気づきがあった事例など）「情報システム技術」(13回目)
・優れた可視化事例の紹介（可視化することによって新たな気づきがあった事例など）「情報システム技術」(14回目)
・優れた可視化事例の紹介（可視化することによって新たな気づきがあった事例など）「情報システム技術」(15回目)
・データ表現（棒グラフ、折線グラフ、散布図、ヒートマップ）「応用情報処理Ｉ」(1回目)
・データ表現（棒グラフ、折線グラフ、散布図、ヒートマップ）「応用情報処理Ｉ」(9回目)
・データ表現（棒グラフ、折線グラフ、散布図、ヒートマップ）「応用情報処理Ｉ」(10回目)
・優れた可視化事例の紹介（可視化することによって新たな気づきがあった事例など）「応用情報処理Ｉ」(15回目)
・データ表現（棒グラフ、折線グラフ、散布図、レーダーチャート）「教育におけるICT活用」（7回目）
・データのばらつきの処理（分散、標準偏差、偏差値）「教育におけるICT活用」（8回目）
・データの比較（クラス成績状況報告書の作成）「教育におけるICT活用」（9回目）
・データの比較（個人成績票の作成）「教育におけるICT活用」（9回目）
・データの比較（成績処理結果のプレゼンテーション）「教育におけるICT活用」（10回目）
・データ表現（棒グラフ、折線グラフ、散布図、ヒートマップ）「市場調査論」（2回目）
・データの比較（条件をそろえた比較、処理の前後での比較、A/Bテスト)「市場調査論」（4回目）
・データの図表表現（チャート化）「市場調査論」（8回目）
</t>
    <phoneticPr fontId="1"/>
  </si>
  <si>
    <t xml:space="preserve">・データの種類（量的変数、質的変数）「データ分析」（3回目）
・データの分布(ヒストグラム)と代表値（平均値、中央値、最頻値）「データ分析」（8回目）
・代表値の性質の違い（実社会では平均値＝最頻値でないことが多い）「データ分析」（8回目）
・相関と因果（相関係数、擬似相関、交絡）「データ分析」（9回目）
・相関と因果（相関係数、擬似相関、交絡）「データ分析」（10回目）
・相関と因果（相関係数、擬似相関、交絡）「データ分析」（11回目）
・相関と因果（相関係数、擬似相関、交絡）「データ分析」（12回目）
・母集団と標本抽出（国勢調査、アンケート調査、全数調査、単純無作為抽出、層別抽出、多段抽出）「データ分析」（13回目）
・データの種類（量的変数、質的変数）「データ分析」（13回目）
・クロス集計表、分割表、相関係数行列、散布図行列「データ分析」（14回目）
・データの種類（量的変数、質的変数）「データ分析」（14回目）
・データの種類（量的変数、質的変数）「データ分析」（15回目）
・データの種類（量的変数、質的変数）「データサイエンス入門Ｉ」（1回目）
・データの分布(ヒストグラム)と代表値（平均値、中央値、最頻値）「データサイエンス入門Ｉ」（3回目）
・データの分布(ヒストグラム)と代表値（平均値、中央値、最頻値）「データサイエンス入門Ｉ」（4回目）
・代表値の性質の違い（実社会では平均値＝最頻値でないことが多い）「データサイエンス入門Ｉ」（4回目）
・データの分布(ヒストグラム)と代表値（平均値、中央値、最頻値）「データサイエンス入門Ｉ」（5回目）
・代表値の性質の違い（実社会では平均値＝最頻値でないことが多い）「データサイエンス入門Ｉ」（5回目）
・データの分布(ヒストグラム)と代表値（平均値、中央値、最頻値）「データサイエンス入門Ｉ」（6回目）
・データのばらつき（分散、標準偏差、偏差値）「データサイエンス入門Ｉ」（7回目）
・データのばらつき（分散、標準偏差、偏差値）「データサイエンス入門Ｉ」（8回目）
・データのばらつき（分散、標準偏差、偏差値）「データサイエンス入門Ｉ」（9回目）
・データのばらつき（分散、標準偏差、偏差値）「データサイエンス入門Ｉ」（10回目）
・データの分布(ヒストグラム)と代表値（平均値、中央値、最頻値）「データサイエンス入門Ｉ」（11回目）
・データのばらつき（分散、標準偏差、偏差値）「データサイエンス入門Ｉ」（11回目）
・データの分布(ヒストグラム)と代表値（平均値、中央値、最頻値）「データサイエンス入門Ｉ」（12回目）
・データのばらつき（分散、標準偏差、偏差値）「データサイエンス入門Ｉ」（12回目）
・データの分布(ヒストグラム)と代表値（平均値、中央値、最頻値）「データサイエンス入門Ｉ」（13回目）
・データのばらつき（分散、標準偏差、偏差値）「データサイエンス入門Ｉ」（13回目）
・データの分布(ヒストグラム)と代表値（平均値、中央値、最頻値）「データサイエンス入門Ｉ」（14回目）
・データのばらつき（分散、標準偏差、偏差値）「データサイエンス入門Ｉ」（15回目）
・データの分布(ヒストグラム)と代表値（平均値、中央値、最頻値）「データサイエンス入門II」（1回目）
・データのばらつき（分散、標準偏差、偏差値）「データサイエンス入門II」（1回目）
・相関と因果（相関係数、擬似相関、交絡）「データサイエンス入門II」（2回目）
・相関と因果（相関係数、擬似相関、交絡）「データサイエンス入門II」（3回目）
・相関と因果（相関係数、擬似相関、交絡）「データサイエンス入門II」（4回目）
・相関と因果（相関係数、擬似相関、交絡）「データサイエンス入門II」（5回目）
・相関と因果（相関係数、擬似相関、交絡）「データサイエンス入門II」（6回目）
・相関と因果（相関係数、擬似相関、交絡）「データサイエンス入門II」（7回目）
・相関と因果（相関係数、擬似相関、交絡）「データサイエンス入門II」（8回目）
・相関と因果（相関係数、擬似相関、交絡）「データサイエンス入門II」（9回目）
・相関と因果（相関係数、擬似相関、交絡）「データサイエンス入門II」（10回目）
・相関と因果（相関係数、擬似相関、交絡）「データサイエンス入門II」（11回目）
・観測データに含まれる誤差の扱い「データサイエンス入門II」（12回目）
・相関と因果（相関係数、擬似相関、交絡）「データサイエンス入門II」（13回目）
・データの種類（量的変数、質的変数）「データサイエンス入門II」（14回目）
・データの分布(ヒストグラム)と代表値（平均値、中央値、最頻値）「データサイエンス入門II」（15回目）
・データの分布(ヒストグラム)と代表値（平均値、中央値、最頻値）「経済統計論Ｉ」（1回目）
・相関と因果（相関係数、擬似相関、交絡）「経済統計論Ｉ」（1回目）
・相関と因果（相関係数、擬似相関、交絡）「経済統計論Ｉ」（2回目）
・相関と因果（相関係数、擬似相関、交絡）「経済統計論Ｉ」（3回目）
・相関と因果（相関係数、擬似相関、交絡）「経済統計論Ｉ」（4回目）
・相関と因果（相関係数、擬似相関、交絡）「経済統計論Ｉ」（5回目）
・相関と因果（相関係数、擬似相関、交絡）「経済統計論Ｉ」（6回目）
・相関と因果（相関係数、擬似相関、交絡）「経済統計論Ｉ」（7回目）
・母集団と標本抽出（国勢調査、アンケート調査、全数調査、単純無作為抽出、層別抽出、多段抽出）「経済統計論Ｉ」（11回目）
・データの分布(ヒストグラム)と代表値（平均値、中央値、最頻値）「経済統計論Ｉ」（13回目）
・母集団と標本抽出（国勢調査、アンケート調査、全数調査、単純無作為抽出、層別抽出、多段抽出）「経済統計論Ｉ」（13回目）
・データの分布(ヒストグラム)と代表値（平均値、中央値、最頻値）「経済統計論Ｉ」（14回目）
・母集団と標本抽出（国勢調査、アンケート調査、全数調査、単純無作為抽出、層別抽出、多段抽出）「経済統計論Ｉ」（14回目）
・データの分布(ヒストグラム)と代表値（平均値、中央値、最頻値）「経済統計論Ｉ」（15回目）
・母集団と標本抽出（国勢調査、アンケート調査、全数調査、単純無作為抽出、層別抽出、多段抽出）「経済統計論Ｉ」（15回目）
・データの分布(ヒストグラム)と代表値（平均値、中央値、最頻値）「経済統計論II」（1回目）
・相関と因果（相関係数、擬似相関、交絡）「経済統計論II」（1回目）
・相関と因果（相関係数、擬似相関、交絡）「経済統計論II」（2回目）
・相関と因果（相関係数、擬似相関、交絡）「経済統計論II」（3回目）
・クロス集計表、分割表、相関係数行列、散布図行列「経済統計論II」（3回目）
・相関と因果（相関係数、擬似相関、交絡）「経済統計論II」（4回目）
・クロス集計表、分割表、相関係数行列、散布図行列「経済統計論II」（4回目）
・相関と因果（相関係数、擬似相関、交絡）「経済統計論II」（5回目）
・クロス集計表、分割表、相関係数行列、散布図行列「経済統計論II」（5回目）
・相関と因果（相関係数、擬似相関、交絡）「経済統計論II」（6回目）
・クロス集計表、分割表、相関係数行列、散布図行列「経済統計論II」（6回目）
・データの種類（量的変数、質的変数）「経済統計論II」（7回目）
・相関と因果（相関係数、擬似相関、交絡）「経済統計論II」（7回目）
・クロス集計表、分割表、相関係数行列、散布図行列「経済統計論II」（7回目）
・データの種類（量的変数、質的変数）「経済統計論II」（8回目）
・相関と因果（相関係数、擬似相関、交絡）「経済統計論II」（8回目）
・クロス集計表、分割表、相関係数行列、散布図行列「経済統計論II」（8回目）
・データの種類（量的変数、質的変数）「経済統計論II」（9回目）
・相関と因果（相関係数、擬似相関、交絡）「経済統計論II」（9回目）
・クロス集計表、分割表、相関係数行列、散布図行列「経済統計論II」（9回目）
・データの種類（量的変数、質的変数）「経済統計論II」（10回目）
・相関と因果（相関係数、擬似相関、交絡）「経済統計論II」（10回目）
・クロス集計表、分割表、相関係数行列、散布図行列「経済統計論II」（10回目）
・データの種類（量的変数、質的変数）「経済統計論II」（11回目）
・相関と因果（相関係数、擬似相関、交絡）「経済統計論II」（11回目）
・クロス集計表、分割表、相関係数行列、散布図行列「経済統計論II」（11回目）
・データの種類（量的変数、質的変数）「経済統計論II」（12回目）
・相関と因果（相関係数、擬似相関、交絡）「経済統計論II」（12回目）
・クロス集計表、分割表、相関係数行列、散布図行列「経済統計論II」（12回目）
・相関と因果（相関係数、擬似相関、交絡）「経済統計論II」（13回目）
・クロス集計表、分割表、相関係数行列、散布図行列「経済統計論II」（13回目）
・相関と因果（相関係数、擬似相関、交絡）「経済統計論II」（14回目）
・クロス集計表、分割表、相関係数行列、散布図行列「経済統計論II」（14回目）
・相関と因果（相関係数、擬似相関、交絡）「経済統計論II」（15回目）
・クロス集計表、分割表、相関係数行列、散布図行列「経済統計論II」（15回目）
・データの種類（量的変数、質的変数）「経営統計学Ｉ」(1回目)
・データの種類（量的変数、質的変数）「経営統計学Ｉ」(2回目)
・データの種類（量的変数、質的変数）「経営統計学Ｉ」(3回目)
・データの種類（量的変数、質的変数）「経営統計学Ｉ」(4回目)
・データの分布（ヒストグラム）と代表値（平均値、中央値、最頻値）「経営統計学Ｉ」(4回目)
・データの分布（ヒストグラム）と代表値（平均値、中央値、最頻値）「経営統計学Ｉ」(5回目)
・代表値の性質の違い（実社会では平均値＝最頻値でないことが多い）「経営統計学Ｉ」(6回目)
・母集団と標本抽出（国勢調査、アンケート調査、全数調査、単純無作為抽出、層別抽出、多段抽出）「経営統計学Ｉ」(6回目)
・相関と因果（相関係数、擬似相関、交絡）「経営統計学Ｉ」(7回目)
・データの分布（ヒストグラム）と代表値（平均値、中央値、最頻値）「経営統計学Ｉ」(10回目)
・データの分布（ヒストグラム）と代表値（平均値、中央値、最頻値）「経営統計学Ｉ」(11回目)
・クロス集計表、分割表、相関係数行列、散布図行列・統計情報の正しい理解（誇張表現に惑わされない）「経営統計学Ｉ」(11回目)
・データの種類（量的変数、質的変数）「経営統計学II」(1回目)
・データの分布（ヒストグラム）と代表値（平均値、中央値、最頻値）「経営統計学II」(1回目)
・代表値の性質の違い（実社会では平均値＝最頻値でないことが多い）「経営統計学II」(1回目)
・データのばらつき（分散、標準偏差、偏差値）「経営統計学II」(1回目)
・観測データに含まれる誤差の扱い「経営統計学II」(1回目)
・打ち切りや脱落を含むデータ、層別の必要なデータ「経営統計学II」(1回目)
・母集団と標本抽出（国勢調査、アンケート調査、全数調査、単純無作為抽出、層別抽出、多段抽出）「経営統計学II」(1回目)
・データのばらつき（分散、標準偏差、偏差値）「経営統計学II」(3回目)
・データのばらつき（分散、標準偏差、偏差値）「経営統計学II」(4回目)
・データのばらつき（分散、標準偏差、偏差値）「経営統計学II」(5回目)
・データのばらつき（分散、標準偏差、偏差値）「経営統計学II」(6回目)
・データのばらつき（分散、標準偏差、偏差値）「経営統計学II」(7回目)
・データのばらつき（分散、標準偏差、偏差値）「経営統計学II」(8回目)
・データのばらつき（分散、標準偏差、偏差値）「経営統計学II」(9回目)
・データのばらつき（分散、標準偏差、偏差値）「経営統計学II」(10回目)
・相関と因果（相関係数、擬似相関、交絡）「経営統計学II」(11回目)
・相関と因果（相関係数、擬似相関、交絡）「経営統計学II」(12回目)
・相関と因果（相関係数、擬似相関、交絡）「経営統計学II」(13回目)
・データのばらつき（分散、標準偏差、偏差値）「教育におけるICT活用」（6回目）
・データの種類（量的変数、質的変数）「教育におけるICT活用」（6回目）
・データの分布(度数分布表、ヒストグラム)と代表値（平均値、中央値）「教育におけるICT活用」（7回目）
・データの種類（量的変数、質的変数）「市場調査論」（2回目）
・データの分布(ヒストグラム)と代表値（平均値、中央値、最頻値）「市場調査論」（2回目）
・データのばらつき（分散、標準偏差、偏差値）「市場調査論」（3回目）
・データのばらつき（分散、標準偏差、偏差値）「市場調査論」（4回目）
・データの分布(ヒストグラム)と代表値（平均値、中央値、最頻値）（7回目）
・母集団と標本抽出（国勢調査、アンケート調査、全数調査、単純無作為抽出、層別抽出、多段抽出）「市場調査論」（7回目）
・データの分布(ヒストグラム)と代表値（平均値、中央値、最頻値）（8回目）
・母集団と標本抽出（国勢調査、アンケート調査、全数調査、単純無作為抽出、層別抽出、多段抽出）「市場調査論」（8回目）
・データの分布(ヒストグラム)と代表値（平均値、中央値、最頻値）（9回目）
・母集団と標本抽出（国勢調査、アンケート調査、全数調査、単純無作為抽出、層別抽出、多段抽出）「市場調査論」（9回目）
・データの分布(ヒストグラム)と代表値（平均値、中央値、最頻値）（10回目）
・母集団と標本抽出（国勢調査、アンケート調査、全数調査、単純無作為抽出、層別抽出、多段抽出）「市場調査論」（10回目）
・データの分布(ヒストグラム)と代表値（平均値、中央値、最頻値）（11回目）
・母集団と標本抽出（国勢調査、アンケート調査、全数調査、単純無作為抽出、層別抽出、多段抽出）「市場調査論」（11回目）
・データの分布(ヒストグラム)と代表値（平均値、中央値、最頻値）（12回目）
・母集団と標本抽出（国勢調査、アンケート調査、全数調査、単純無作為抽出、層別抽出、多段抽出）「市場調査論」（12回目）
・データの分布(ヒストグラム)と代表値（平均値、中央値、最頻値）（13回目）
・母集団と標本抽出（国勢調査、アンケート調査、全数調査、単純無作為抽出、層別抽出、多段抽出）「市場調査論」（13回目）
・データの分布(ヒストグラム)と代表値（平均値、中央値、最頻値）（14回目）
・母集団と標本抽出（国勢調査、アンケート調査、全数調査、単純無作為抽出、層別抽出、多段抽出）「市場調査論」（14回目）
・データの分布(ヒストグラム)と代表値（平均値、中央値、最頻値）（15回目）
・母集団と標本抽出（国勢調査、アンケート調査、全数調査、単純無作為抽出、層別抽出、多段抽出）「市場調査論」（15回目）
</t>
    <phoneticPr fontId="1"/>
  </si>
  <si>
    <t xml:space="preserve">・データ表現（棒グラフ、折線グラフ、散布図、ヒートマップ）「データ分析」（6回目）
・データの図表表現（チャート化）「データ分析」（6回目）
・不適切なグラフ表現（チャートジャンク、不必要な視覚的要素）「データ分析」（6回目）
・データ表現（棒グラフ、折線グラフ、散布図、ヒートマップ）「データ分析」（9回目）
・優れた可視化事例の紹介（可視化することによって新たな気づきがあった事例など）「データ分析」(11回目)
・データ表現（棒グラフ、折線グラフ、散布図、ヒートマップ）「データ分析」（12回目）
・優れた可視化事例の紹介（可視化することによって新たな気づきがあった事例など）「データ分析」(12回目)
・データ表現（棒グラフ、折線グラフ、散布図、ヒートマップ）「データ分析」（15回目）
・優れた可視化事例の紹介（可視化することによって新たな気づきがあった事例など）「データ分析」(15回目)
・データの図表表現（チャート化）「データ分析」（15回目）
・データ表現（棒グラフ、折線グラフ、散布図、ヒートマップ）「データサイエンス入門Ｉ」（1回目）
・データ表現（棒グラフ、折線グラフ、散布図、ヒートマップ）「データサイエンス入門Ｉ」（2回目）
・データの図表表現（チャート化）「データサイエンス入門Ｉ」（3回目）
・データの比較（条件をそろえた比較、処理の前後での比較、A/Bテスト)「データサイエンス入門Ｉ」（6回目）
・データの比較（条件をそろえた比較、処理の前後での比較、A/Bテスト)「データサイエンス入門Ｉ」（8回目）
・データの比較（条件をそろえた比較、処理の前後での比較、A/Bテスト)「データサイエンス入門Ｉ」（9回目）
・データの比較（条件をそろえた比較、処理の前後での比較、A/Bテスト)「データサイエンス入門Ｉ」（10回目）
・データ表現（棒グラフ、折線グラフ、散布図、ヒートマップ）「データサイエンス入門II」（1回目）
・データ表現（棒グラフ、折線グラフ、散布図、ヒートマップ）「データサイエンス入門II」（2回目）
・データ表現（棒グラフ、折線グラフ、散布図、ヒートマップ）「データサイエンス入門II」（3回目）
・データ表現（棒グラフ、折線グラフ、散布図、ヒートマップ）「データサイエンス入門II」（4回目）
・データの比較（条件をそろえた比較、処理の前後での比較、A/Bテスト)「データサイエンス入門II」（4回目）
・データ表現（棒グラフ、折線グラフ、散布図、ヒートマップ）「データサイエンス入門II」（5回目）
・データ表現（棒グラフ、折線グラフ、散布図、ヒートマップ）「データサイエンス入門II」（6回目）
・データ表現（棒グラフ、折線グラフ、散布図、ヒートマップ）「データサイエンス入門II」（7回目）
・データ表現（棒グラフ、折線グラフ、散布図、ヒートマップ）「データサイエンス入門II」（8回目）
・データ表現（棒グラフ、折線グラフ、散布図、ヒートマップ）「データサイエンス入門II」（9回目）
・データ表現（棒グラフ、折線グラフ、散布図、ヒートマップ）「データサイエンス入門II」（10回目）
・データ表現（棒グラフ、折線グラフ、散布図、ヒートマップ）「データサイエンス入門II」（11回目）
・データ表現（棒グラフ、折線グラフ、散布図、ヒートマップ）「データサイエンス入門II」（12回目）
・データ表現（棒グラフ、折線グラフ、散布図、ヒートマップ）「データサイエンス入門II」（13回目）
・データ表現（棒グラフ、折線グラフ、散布図、ヒートマップ）「経済統計論Ｉ」（1回目）
・データ表現（棒グラフ、折線グラフ、散布図、ヒートマップ）「経済統計論Ｉ」（2回目）
・データ表現（棒グラフ、折線グラフ、散布図、ヒートマップ）「経済統計論Ｉ」（3回目）
・データ表現（棒グラフ、折線グラフ、散布図、ヒートマップ）「経済統計論Ｉ」（4回目）
・データ表現（棒グラフ、折線グラフ、散布図、ヒートマップ）「経済統計論Ｉ」（5回目）
・データ表現（棒グラフ、折線グラフ、散布図、ヒートマップ）「経済統計論Ｉ」（6回目）
・データ表現（棒グラフ、折線グラフ、散布図、ヒートマップ）「経済統計論Ｉ」（7回目）
・データの図表表現（チャート化）「経済統計論Ｉ」（8回目）
・データの図表表現（チャート化）「経済統計論Ｉ」（9回目）
・データの図表表現（チャート化）「経済統計論Ｉ」（10回目）
・データの図表表現（チャート化）「経済統計論Ｉ」（12回目）
・データの図表表現（チャート化）「経済統計論Ｉ」（13回目）
・データの図表表現（チャート化）「経済統計論Ｉ」（14回目）
・データの図表表現（チャート化）「経済統計論Ｉ」（15回目）
・データ表現（棒グラフ、折線グラフ、散布図、ヒートマップ）「経済統計論II」（1回目）
・データ表現（棒グラフ、折線グラフ、散布図、ヒートマップ）「経済統計論II」（2回目）
・データ表現（棒グラフ、折線グラフ、散布図、ヒートマップ）「経済統計論II」（3回目）
・データ表現（棒グラフ、折線グラフ、散布図、ヒートマップ）「経済統計論II」（4回目）
・データ表現（棒グラフ、折線グラフ、散布図、ヒートマップ）「経済統計論II」（5回目）
・データ表現（棒グラフ、折線グラフ、散布図、ヒートマップ）「経済統計論II」（6回目）
・データ表現（棒グラフ、折線グラフ、散布図、ヒートマップ）「経済統計論II」（7回目）
・データ表現（棒グラフ、折線グラフ、散布図、ヒートマップ）「経済統計論II」（8回目）
・データ表現（棒グラフ、折線グラフ、散布図、ヒートマップ）「経済統計論II」（9回目）
・データ表現（棒グラフ、折線グラフ、散布図、ヒートマップ）「経済統計論II」（10回目）
・データ表現（棒グラフ、折線グラフ、散布図、ヒートマップ）「経済統計論II」（11回目）
・データ表現（棒グラフ、折線グラフ、散布図、ヒートマップ）「経済統計論II」（12回目）
・データ表現（棒グラフ、折線グラフ、散布図、ヒートマップ）「経済統計論II」（13回目）
・データ表現（棒グラフ、折線グラフ、散布図、ヒートマップ）「経済統計論II」（14回目）
・データ表現（棒グラフ、折線グラフ、散布図、ヒートマップ）「経済統計論II」（15回目）
・データ表現（棒グラフ、折線グラフ、散布図、ヒートマップ）「経営統計学Ｉ」(1回目)
・データ表現（棒グラフ、折線グラフ、散布図、ヒートマップ）「経営統計学Ｉ」(3回目)
・データ表現（棒グラフ、折線グラフ、散布図、ヒートマップ）「経営統計学Ｉ」(4回目)
・データ表現（棒グラフ、折線グラフ、散布図、ヒートマップ）「経営統計学Ｉ」(4回目)
・データ表現（棒グラフ、折線グラフ、散布図、ヒートマップ）「経営統計学Ｉ」(5回目)
・データの比較（条件をそろえた比較、処理の前後での比較、A/Bテスト）「経営統計学Ｉ」(6回目)
・データの比較（条件をそろえた比較、処理の前後での比較、A/Bテスト）「経営統計学Ｉ」(7回目)
・データ表現（棒グラフ、折線グラフ、散布図、ヒートマップ）「経営統計学II」(1回目)
・優れた可視化事例の紹介（可視化することによって新たな気づきがあった事例など）「経営統計学II」(12回目)
・優れた可視化事例の紹介（可視化することによって新たな気づきがあった事例など）「経営統計学II」(13回目)
・データ表現（棒グラフ、折線グラフ、散布図、レーダーチャート）「教育におけるICT活用」（7回目）
・データのばらつきの処理（分散、標準偏差、偏差値）「教育におけるICT活用」（8回目）
・データの比較（クラス成績状況報告書の作成）「教育におけるICT活用」（9回目）
・データの比較（個人成績票の作成）「教育におけるICT活用」（9回目）
・データの比較（成績処理結果のプレゼンテーション）「教育におけるICT活用」（10回目）
・データ表現（棒グラフ、折線グラフ、散布図、ヒートマップ）「市場調査論」（2回目）
・データの比較（条件をそろえた比較、処理の前後での比較、A/Bテスト)「市場調査論」（4回目）
・データの図表表現（チャート化）「市場調査論」（8回目）
</t>
    <phoneticPr fontId="1"/>
  </si>
  <si>
    <t xml:space="preserve">・データの集計（和、平均）「データ分析」（3回目）
・データの並び替え、ランキング「データ分析」(4回目)
・データの並び替え、ランキング「データ分析」(5回目)
・データ解析ツール（スプレッドシート）「データ分析」（7回目）
・データ解析ツール（スプレッドシート）「データ分析」（8回目）
・表形式のデータ（csv）「データ分析」（8回目）
・データ解析ツール（スプレッドシート）「データ分析」（9回目）
・表形式のデータ（csv）「データ分析」（10回目）
・データ解析ツール（スプレッドシート）「データ分析」（10回目）
・表形式のデータ（csv）「データ分析」（11回目）
・データ解析ツール（スプレッドシート）「データ分析」（11回目）
・表形式のデータ（csv）「データ分析」（12回目）
・データ解析ツール（スプレッドシート）「データ分析」（12回目）
・データの集計（和、平均）「データ分析」（14回目）
・データの集計（和、平均）（1回目）
・データの並び替え、ランキング「データサイエンス入門Ｉ」（2回目）
・データの集計（和、平均）「データサイエンス入門Ｉ」（4回目）
・データの集計（和、平均）「データサイエンス入門Ｉ」（5回目）
・データの集計（和、平均）「データサイエンス入門Ｉ」（6回目）
・データの集計（和、平均）「データサイエンス入門Ｉ」（7回目）
・データの集計（和、平均）「データサイエンス入門Ｉ」（8回目）
・データの集計（和、平均）「データサイエンス入門Ｉ」（9回目）
・データの集計（和、平均）「データサイエンス入門Ｉ」（10回目）
・データの集計（和、平均）「データサイエンス入門Ｉ」（11回目）
・データの集計（和、平均）「データサイエンス入門Ｉ」（12回目）
・データの集計（和、平均）「データサイエンス入門Ｉ」（13回目）
・データの集計（和、平均）「データサイエンス入門Ｉ」（15回目）
・データの集計（和、平均）「データサイエンス入門II」（1回目）
・表形式のデータ（csv）「データサイエンス入門II」（8回目）
・表形式のデータ（csv）「データサイエンス入門II」（9回目）
・表形式のデータ（csv）「データサイエンス入門II」（10回目）
・表形式のデータ（csv）「データサイエンス入門II」（11回目）
・表形式のデータ（csv）「データサイエンス入門II」（12回目）
・表形式のデータ（csv）「データサイエンス入門II」（13回目）
・表形式のデータ（csv）「データサイエンス入門II」（14回目）
・データ解析ツール（スプレッドシート）「データサイエンス入門II」（15回目）
・データの集計（和、平均）「経済統計論Ｉ」（1回目）
・表形式のデータ（csv）「経済統計論Ｉ」（2回目）
・表形式のデータ（csv）「経済統計論Ｉ」（6回目）
・データの並び替え、ランキング「経済統計論Ｉ」（8回目）
・データの並び替え、ランキング「経済統計論Ｉ」（9回目）
・データの並び替え、ランキング「経済統計論Ｉ」（10回目）
・データの集計（和、平均）「経済統計論II」（1回目）
・データ解析ツール（スプレッドシート）「経済統計論II」（1回目）
・データ解析ツール（スプレッドシート）「経済統計論II」（2回目）
・データ解析ツール（スプレッドシート）（3回目）
・表形式のデータ（csv）「経済統計論II」（3回目）
・データ解析ツール（スプレッドシート）（4回目）
・表形式のデータ（csv）「経済統計論II」（4回目）
・データ解析ツール（スプレッドシート）（5回目）
・表形式のデータ（csv）「経済統計論II」（5回目）
・データ解析ツール（スプレッドシート）（6回目）
・表形式のデータ（csv）「経済統計論II」（6回目）
・データ解析ツール（スプレッドシート）（7回目）
・表形式のデータ（csv）「経済統計論II」（7回目）
・データ解析ツール（スプレッドシート）（8回目）
・表形式のデータ（csv）「経済統計論II」（8回目）
・データ解析ツール（スプレッドシート）（9回目）
・表形式のデータ（csv）「経済統計論II」（9回目）
・データ解析ツール（スプレッドシート）（10回目）
・表形式のデータ（csv）「経済統計論II」（10回目）
・データ解析ツール（スプレッドシート）（11回目）
・表形式のデータ（csv）「経済統計論II」（11回目）
・データ解析ツール（スプレッドシート）（12回目）
・表形式のデータ（csv）「経済統計論II」（12回目）
・データ解析ツール（スプレッドシート）（13回目）
・表形式のデータ（csv）「経済統計論II」（13回目）
・データ解析ツール（スプレッドシート）（14回目）
・表形式のデータ（csv）「経済統計論II」（14回目）
・データ解析ツール（スプレッドシート）（15回目）
・表形式のデータ（csv）「経済統計論II」（15回目）
・データの集計（和、平均）「経営統計学Ｉ」(2回目)
・データの集計（和、平均）「経営統計学Ｉ」(3回目)
・データの集計（和、平均）「経営統計学Ｉ」(4回目)
・データの集計（和、平均）「経営統計学Ｉ」(5回目)
・データの集計（和、平均）「経営統計学Ｉ」(6回目)
・データの集計（和、平均）「経営統計学Ｉ」(7回目)
・データの集計（和、平均）「経営統計学Ｉ」(8回目)
・データの集計（和、平均）「経営統計学Ｉ」(9回目)
・データの集計（和、平均）「経営統計学Ｉ」(10回目)
・データの集計（和、平均）「経営統計学Ｉ」(11回目)
・データの集計（和、平均）「経営統計学Ｉ」(12回目)
・データの集計（和、平均）「経営統計学Ｉ」(13回目)
・データの集計（和、平均）「経営統計学Ｉ」(14回目)
・データの集計（和、平均）「経営統計学Ｉ」(15回目)
・データの集計（和、平均）「経営統計学II」(1回目)
・データの集計（和、平均）「経営統計学II」(2回目)
・データの集計（和、平均）「経営統計学II」(3回目)
・データの集計（和、平均）「経営統計学II」(4回目)
・データの集計（和、平均）「経営統計学II」(5回目)
・データの集計（和、平均）「経営統計学II」(6回目)
・データの集計（和、平均）「経営統計学II」(7回目)
・データの集計（和、平均）「経営統計学II」(8回目)
・データの集計（和、平均）「経営統計学II」(9回目)
・データの集計（和、平均）「経営統計学II」(10回目)
・データの集計（和、平均）「経営統計学II」(11回目)
・データの集計（和、平均）「経営統計学II」(12回目)
・データの集計（和、平均）「経営統計学II」(13回目)
・データの集計（和、平均）「経営統計学II」(14回目)
・データの集計（和、平均）「経営統計学II」(15回目)
・データの集計（和、平均、最大値、最小値、ランキング、並び替え）「教育におけるICT活用」（8回目）
・データのばらつきの処理（分散、標準偏差、偏差値）「教育におけるICT活用」（8回目）
・データの比較（個人成績票のマクロ印刷）「教育におけるICT活用」 （10回目）
・データの集計（和、平均）「市場調査論」（2回目）
・データの集計（和、平均）「市場調査論」（3回目）
・データの集計（和、平均）「市場調査論」（4回目）
・データの集計（和、平均）「市場調査論」（8回目）
・データの集計（和、平均）「市場調査論」（9回目）
・データの集計（和、平均）「市場調査論」（10回目）
・データの集計（和、平均）「市場調査論」（11回目）
・データの集計（和、平均）「市場調査論」（12回目）
・データの集計（和、平均）「市場調査論」（13回目）
・データの集計（和、平均）「市場調査論」（14回目）
・データの集計（和、平均）「市場調査論」（15回目）
</t>
    <phoneticPr fontId="1"/>
  </si>
  <si>
    <t>「データサイエンス・リテラシー（DSL)教育プログラム」については、その設立当初から少なくとも毎年度4回全学の学生向けに説明会を開催してプログラムの趣旨を伝えている。また、2022(令和4)年度より、プログラムの必修科目の1つである「データ分析」については全学生が履修修得しなければならない必修科目(一般教育科目）として設定している。
プログラムを構成する科目の中には、本プログラムを立ち上げて以降、全学生の半数程度が履修登録を行っているものもある（例えば、「情報と職業」や「情報社会と情報倫理」）。
しかしながら、修了証書を授与できる本プログラム（DSL教育プログラム）への参加者数はまだ少数であり、本プログラムの目的を全学的に実現するために、2023(令和5)年度以降、プログラム説明会に加えて各授業科目を通じて参加者を募り、本プログラムの履修者を増やす方策を強化する計画である。また、経済学部では一部のコース選択者に対して本プログラムへの参加を強く推奨する予定で、新たな履修者として毎年度80名程度が見込まれることから、2026(令和8)年度時点の履修者は収容定員の18%に達すると予想できる。</t>
    <rPh sb="49" eb="50">
      <t>ド</t>
    </rPh>
    <rPh sb="372" eb="375">
      <t>リシュウシャ</t>
    </rPh>
    <rPh sb="382" eb="384">
      <t>キョウカ</t>
    </rPh>
    <rPh sb="395" eb="397">
      <t>ケイザイ</t>
    </rPh>
    <rPh sb="397" eb="399">
      <t>ガクブ</t>
    </rPh>
    <rPh sb="401" eb="403">
      <t>イチブ</t>
    </rPh>
    <rPh sb="407" eb="410">
      <t>センタクシャ</t>
    </rPh>
    <rPh sb="411" eb="412">
      <t>タイ</t>
    </rPh>
    <rPh sb="414" eb="415">
      <t>ホン</t>
    </rPh>
    <rPh sb="422" eb="424">
      <t>サンカ</t>
    </rPh>
    <rPh sb="425" eb="426">
      <t>ツヨ</t>
    </rPh>
    <rPh sb="427" eb="429">
      <t>スイショウ</t>
    </rPh>
    <rPh sb="431" eb="433">
      <t>ヨテイ</t>
    </rPh>
    <rPh sb="435" eb="436">
      <t>アラ</t>
    </rPh>
    <rPh sb="438" eb="441">
      <t>リシュウシャ</t>
    </rPh>
    <rPh sb="444" eb="447">
      <t>マイネンド</t>
    </rPh>
    <rPh sb="449" eb="450">
      <t>メイ</t>
    </rPh>
    <rPh sb="450" eb="452">
      <t>テイド</t>
    </rPh>
    <rPh sb="453" eb="455">
      <t>ミコ</t>
    </rPh>
    <rPh sb="468" eb="470">
      <t>レイワ</t>
    </rPh>
    <rPh sb="472" eb="474">
      <t>ネンド</t>
    </rPh>
    <rPh sb="474" eb="476">
      <t>ジテン</t>
    </rPh>
    <rPh sb="477" eb="480">
      <t>リシュウシャ</t>
    </rPh>
    <rPh sb="481" eb="483">
      <t>シュウヨウ</t>
    </rPh>
    <rPh sb="483" eb="485">
      <t>テイイン</t>
    </rPh>
    <rPh sb="490" eb="491">
      <t>タッ</t>
    </rPh>
    <rPh sb="494" eb="496">
      <t>ヨソウ</t>
    </rPh>
    <phoneticPr fontId="1"/>
  </si>
  <si>
    <t>全学部学生向けに設けている「データサイエンス・リテラシー（DSL)教育プログラム」は2021年度後期からスタートしたが、その履修カリキュラムは、必修科目及び選択必修科目から成り、後者はさらにグループA科目群とグループB科目群から構成しており、それらの科目における履修者等のデータを毎年度点検・評価しながら、必要に応じて科目の改善を行っている。</t>
    <rPh sb="142" eb="143">
      <t>ド</t>
    </rPh>
    <phoneticPr fontId="1"/>
  </si>
  <si>
    <t>本プログラムにおける必須科目の1つである「データ分析」については、2022年度からプログラムへの参加の有無に関わらず、本学学生全員が受講するように改め、また、卒業要件の1つとすることによって、全学生がデータサイエンスの入門編を修得した上で卒業するように制度設計を行い、使用する教科書についても授業担当者間で内容を吟味して執筆している。
また、グループAの科目群における「情報と職業」、「情報社会と情報倫理」も2022年度は前年度の履修者数に比較してほぼ倍増し、同一学年の学生数の約半数が履修している。
今後は、DSL教育プログラム自体への参加者数を増加させることによって、各科目群の履修者数、履修率向上を図る。</t>
    <rPh sb="117" eb="118">
      <t>ウエ</t>
    </rPh>
    <phoneticPr fontId="1"/>
  </si>
  <si>
    <t>「データサイエンス・リテラシー（DSL)教育プログラム」は当初から全学共通プログラムの1つとして設置したものであり、それ故に、学部・学科に関係なく希望する学生全員が受講できる体制となっている。本プログラムを構成する科目については、プログラム立ち上げ前には一部の学部の学生しか履修できないものもあったが、ほとんどの科目については全学部の学生が受講できるように履修対象を変更した。今後もその方針で取り組む予定である。</t>
    <rPh sb="96" eb="97">
      <t>ホン</t>
    </rPh>
    <rPh sb="103" eb="105">
      <t>コウセイ</t>
    </rPh>
    <rPh sb="107" eb="109">
      <t>カモク</t>
    </rPh>
    <rPh sb="120" eb="121">
      <t>タ</t>
    </rPh>
    <rPh sb="122" eb="123">
      <t>ア</t>
    </rPh>
    <rPh sb="124" eb="125">
      <t>マエ</t>
    </rPh>
    <rPh sb="127" eb="129">
      <t>イチブ</t>
    </rPh>
    <rPh sb="130" eb="132">
      <t>ガクブ</t>
    </rPh>
    <rPh sb="133" eb="135">
      <t>ガクセイ</t>
    </rPh>
    <rPh sb="137" eb="139">
      <t>リシュウ</t>
    </rPh>
    <rPh sb="156" eb="158">
      <t>カモク</t>
    </rPh>
    <rPh sb="163" eb="166">
      <t>ゼンガクブ</t>
    </rPh>
    <rPh sb="167" eb="169">
      <t>ガクセイ</t>
    </rPh>
    <rPh sb="170" eb="172">
      <t>ジュコウ</t>
    </rPh>
    <rPh sb="178" eb="180">
      <t>リシュウ</t>
    </rPh>
    <rPh sb="180" eb="182">
      <t>タイショウ</t>
    </rPh>
    <rPh sb="183" eb="185">
      <t>ヘンコウ</t>
    </rPh>
    <phoneticPr fontId="1"/>
  </si>
  <si>
    <t>（５）実データ・実課題（学術データ等を含む）を用いた演習など、社会での実例を題材として、「データを読む、説明する、扱う」といった数理・データサイエンス・ＡＩの基本的な活用法に関するもの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</si>
</sst>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auto="1"/>
      </left>
      <right style="thin">
        <color auto="1"/>
      </right>
      <top/>
      <bottom style="hair">
        <color auto="1"/>
      </bottom>
      <diagonal/>
    </border>
  </borders>
  <cellStyleXfs count="4">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6" fontId="4" fillId="0" borderId="0" applyFon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49" fontId="3" fillId="0" borderId="48"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3" fillId="0" borderId="61" xfId="0" applyNumberFormat="1" applyFont="1" applyBorder="1" applyAlignment="1">
      <alignment horizontal="center" vertical="center"/>
    </xf>
    <xf numFmtId="0" fontId="2" fillId="0" borderId="0" xfId="0" applyFont="1" applyBorder="1" applyAlignment="1">
      <alignment horizontal="left" vertical="top" wrapText="1" shrinkToFit="1"/>
    </xf>
    <xf numFmtId="0" fontId="2" fillId="0" borderId="41" xfId="0" applyFont="1" applyBorder="1" applyAlignment="1">
      <alignment horizontal="left" vertical="top" wrapText="1" shrinkToFit="1"/>
    </xf>
    <xf numFmtId="0" fontId="2" fillId="0" borderId="42" xfId="0" applyFont="1" applyBorder="1" applyAlignment="1">
      <alignment horizontal="left" vertical="top" wrapText="1" shrinkToFit="1"/>
    </xf>
    <xf numFmtId="0" fontId="2" fillId="0" borderId="43" xfId="0" applyFont="1" applyBorder="1" applyAlignment="1">
      <alignment horizontal="left" vertical="top" wrapText="1" shrinkToFit="1"/>
    </xf>
    <xf numFmtId="6" fontId="2" fillId="0" borderId="0" xfId="3" applyFont="1">
      <alignment vertical="center"/>
    </xf>
    <xf numFmtId="0" fontId="3" fillId="0" borderId="31"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46" xfId="0" applyFont="1" applyBorder="1" applyAlignment="1">
      <alignment horizontal="center" vertical="center" wrapText="1"/>
    </xf>
    <xf numFmtId="0" fontId="2" fillId="0" borderId="0" xfId="0" applyFont="1" applyBorder="1" applyAlignment="1">
      <alignment horizontal="center" vertical="center"/>
    </xf>
    <xf numFmtId="0" fontId="2" fillId="0" borderId="10" xfId="0" applyFont="1" applyBorder="1" applyAlignment="1">
      <alignment vertical="center"/>
    </xf>
    <xf numFmtId="49" fontId="3" fillId="0" borderId="49" xfId="0" applyNumberFormat="1" applyFont="1" applyBorder="1" applyAlignment="1">
      <alignment horizontal="center" vertical="center"/>
    </xf>
    <xf numFmtId="0" fontId="2" fillId="0" borderId="16" xfId="0" applyFont="1" applyBorder="1" applyAlignment="1">
      <alignment horizontal="left" vertical="top" wrapText="1" shrinkToFit="1"/>
    </xf>
    <xf numFmtId="0" fontId="2" fillId="0" borderId="22" xfId="0" applyFont="1" applyBorder="1" applyAlignment="1">
      <alignment horizontal="left" vertical="top" wrapText="1" shrinkToFit="1"/>
    </xf>
    <xf numFmtId="0" fontId="2" fillId="0" borderId="21" xfId="0" applyFont="1" applyBorder="1" applyAlignment="1">
      <alignment horizontal="left" vertical="top" wrapText="1" shrinkToFit="1"/>
    </xf>
    <xf numFmtId="49" fontId="3" fillId="0" borderId="47" xfId="0" applyNumberFormat="1" applyFont="1" applyBorder="1" applyAlignment="1">
      <alignment horizontal="center" vertical="center"/>
    </xf>
    <xf numFmtId="6" fontId="2" fillId="0" borderId="16" xfId="3" applyFont="1" applyBorder="1" applyAlignment="1">
      <alignment horizontal="left" vertical="top" wrapText="1" shrinkToFit="1"/>
    </xf>
    <xf numFmtId="6" fontId="2" fillId="0" borderId="22" xfId="3" applyFont="1" applyBorder="1" applyAlignment="1">
      <alignment horizontal="left" vertical="top" wrapText="1" shrinkToFit="1"/>
    </xf>
    <xf numFmtId="6" fontId="2" fillId="0" borderId="21" xfId="3" applyFont="1" applyBorder="1" applyAlignment="1">
      <alignment horizontal="left" vertical="top" wrapText="1" shrinkToFit="1"/>
    </xf>
    <xf numFmtId="6" fontId="2" fillId="0" borderId="5" xfId="3" applyFont="1" applyBorder="1" applyAlignment="1">
      <alignment horizontal="left" vertical="top" wrapText="1" shrinkToFit="1"/>
    </xf>
    <xf numFmtId="6" fontId="2" fillId="0" borderId="0" xfId="3" applyFont="1" applyBorder="1" applyAlignment="1">
      <alignment horizontal="left" vertical="top" wrapText="1" shrinkToFit="1"/>
    </xf>
    <xf numFmtId="6" fontId="2" fillId="0" borderId="10" xfId="3" applyFont="1" applyBorder="1" applyAlignment="1">
      <alignment horizontal="left" vertical="top" wrapText="1" shrinkToFit="1"/>
    </xf>
    <xf numFmtId="6" fontId="2" fillId="0" borderId="11" xfId="3" applyFont="1" applyBorder="1" applyAlignment="1">
      <alignment horizontal="left" vertical="top" wrapText="1" shrinkToFit="1"/>
    </xf>
    <xf numFmtId="6" fontId="2" fillId="0" borderId="6" xfId="3" applyFont="1" applyBorder="1" applyAlignment="1">
      <alignment horizontal="left" vertical="top" wrapText="1" shrinkToFit="1"/>
    </xf>
    <xf numFmtId="6" fontId="2" fillId="0" borderId="12" xfId="3" applyFont="1" applyBorder="1" applyAlignment="1">
      <alignment horizontal="left" vertical="top" wrapText="1" shrinkToFit="1"/>
    </xf>
  </cellXfs>
  <cellStyles count="4">
    <cellStyle name="パーセント" xfId="1" builtinId="5"/>
    <cellStyle name="桁区切り" xfId="2" builtinId="6"/>
    <cellStyle name="通貨" xfId="3" builtinId="7"/>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V143"/>
  <sheetViews>
    <sheetView showZeros="0" tabSelected="1" view="pageBreakPreview" zoomScaleNormal="90" zoomScaleSheetLayoutView="10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9" t="s">
        <v>152</v>
      </c>
      <c r="S1" s="129"/>
      <c r="T1" s="2" t="s">
        <v>108</v>
      </c>
    </row>
    <row r="2" spans="1:22" ht="18.75" customHeight="1" x14ac:dyDescent="0.15">
      <c r="B2" s="33" t="s">
        <v>107</v>
      </c>
      <c r="C2" s="87" t="s">
        <v>125</v>
      </c>
      <c r="D2" s="88"/>
      <c r="E2" s="88"/>
      <c r="F2" s="88"/>
      <c r="G2" s="88"/>
      <c r="H2" s="88"/>
      <c r="I2" s="89"/>
      <c r="J2" s="34"/>
      <c r="K2" s="6"/>
      <c r="L2" s="6"/>
      <c r="M2" s="6"/>
      <c r="N2" s="6"/>
      <c r="O2" s="6"/>
      <c r="P2" s="6"/>
      <c r="Q2" s="6"/>
      <c r="R2" s="6"/>
      <c r="S2" s="6"/>
    </row>
    <row r="3" spans="1:22" ht="18.75" customHeight="1" x14ac:dyDescent="0.15">
      <c r="B3" s="33" t="s">
        <v>101</v>
      </c>
      <c r="C3" s="133" t="s">
        <v>126</v>
      </c>
      <c r="D3" s="134"/>
      <c r="E3" s="134"/>
      <c r="F3" s="134"/>
      <c r="G3" s="134"/>
      <c r="H3" s="134"/>
      <c r="I3" s="135"/>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36" t="s">
        <v>38</v>
      </c>
      <c r="B5" s="136"/>
      <c r="C5" s="136"/>
      <c r="D5" s="136"/>
      <c r="E5" s="136"/>
      <c r="F5" s="136"/>
      <c r="G5" s="136"/>
      <c r="H5" s="136"/>
      <c r="I5" s="136"/>
      <c r="J5" s="136"/>
      <c r="K5" s="136"/>
      <c r="L5" s="136"/>
      <c r="M5" s="136"/>
      <c r="N5" s="136"/>
      <c r="O5" s="136"/>
      <c r="P5" s="136"/>
      <c r="Q5" s="136"/>
      <c r="R5" s="136"/>
      <c r="S5" s="13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123</v>
      </c>
      <c r="C7" s="3"/>
      <c r="J7" s="37" t="s">
        <v>106</v>
      </c>
      <c r="K7" s="133" t="s">
        <v>139</v>
      </c>
      <c r="L7" s="134"/>
      <c r="M7" s="134"/>
      <c r="N7" s="134"/>
      <c r="O7" s="134"/>
      <c r="P7" s="134"/>
      <c r="Q7" s="134"/>
      <c r="R7" s="134"/>
      <c r="S7" s="13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6" t="s">
        <v>158</v>
      </c>
      <c r="C9" s="147"/>
      <c r="D9" s="147"/>
      <c r="E9" s="147"/>
      <c r="F9" s="147"/>
      <c r="G9" s="147"/>
      <c r="H9" s="147"/>
      <c r="I9" s="147"/>
      <c r="J9" s="147"/>
      <c r="K9" s="147"/>
      <c r="L9" s="147"/>
      <c r="M9" s="147"/>
      <c r="N9" s="147"/>
      <c r="O9" s="147"/>
      <c r="P9" s="147"/>
      <c r="Q9" s="147"/>
      <c r="R9" s="147"/>
      <c r="S9" s="148"/>
    </row>
    <row r="10" spans="1:22" ht="18" customHeight="1" x14ac:dyDescent="0.15">
      <c r="B10" s="149"/>
      <c r="C10" s="150"/>
      <c r="D10" s="150"/>
      <c r="E10" s="150"/>
      <c r="F10" s="150"/>
      <c r="G10" s="150"/>
      <c r="H10" s="150"/>
      <c r="I10" s="150"/>
      <c r="J10" s="150"/>
      <c r="K10" s="150"/>
      <c r="L10" s="150"/>
      <c r="M10" s="150"/>
      <c r="N10" s="150"/>
      <c r="O10" s="150"/>
      <c r="P10" s="150"/>
      <c r="Q10" s="150"/>
      <c r="R10" s="150"/>
      <c r="S10" s="15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110</v>
      </c>
      <c r="B12" s="3"/>
      <c r="C12" s="3"/>
      <c r="D12" s="34"/>
      <c r="E12" s="34"/>
      <c r="F12" s="34"/>
      <c r="G12" s="34"/>
      <c r="H12" s="34"/>
      <c r="I12" s="34"/>
      <c r="J12" s="34"/>
      <c r="K12" s="38"/>
      <c r="L12" s="38"/>
      <c r="M12" s="38"/>
      <c r="N12" s="38"/>
      <c r="O12" s="38"/>
      <c r="P12" s="38"/>
      <c r="Q12" s="38"/>
      <c r="R12" s="38"/>
      <c r="S12" s="38"/>
    </row>
    <row r="13" spans="1:22" ht="18" customHeight="1" x14ac:dyDescent="0.15">
      <c r="B13" s="137" t="s">
        <v>159</v>
      </c>
      <c r="C13" s="138"/>
      <c r="D13" s="138"/>
      <c r="E13" s="138"/>
      <c r="F13" s="138"/>
      <c r="G13" s="138"/>
      <c r="H13" s="138"/>
      <c r="I13" s="138"/>
      <c r="J13" s="138"/>
      <c r="K13" s="138"/>
      <c r="L13" s="138"/>
      <c r="M13" s="138"/>
      <c r="N13" s="138"/>
      <c r="O13" s="138"/>
      <c r="P13" s="138"/>
      <c r="Q13" s="138"/>
      <c r="R13" s="138"/>
      <c r="S13" s="139"/>
      <c r="V13" s="1" t="s">
        <v>102</v>
      </c>
    </row>
    <row r="14" spans="1:22" ht="18" customHeight="1" x14ac:dyDescent="0.15">
      <c r="B14" s="140"/>
      <c r="C14" s="141"/>
      <c r="D14" s="141"/>
      <c r="E14" s="141"/>
      <c r="F14" s="141"/>
      <c r="G14" s="141"/>
      <c r="H14" s="141"/>
      <c r="I14" s="141"/>
      <c r="J14" s="141"/>
      <c r="K14" s="141"/>
      <c r="L14" s="141"/>
      <c r="M14" s="141"/>
      <c r="N14" s="141"/>
      <c r="O14" s="141"/>
      <c r="P14" s="141"/>
      <c r="Q14" s="141"/>
      <c r="R14" s="141"/>
      <c r="S14" s="142"/>
      <c r="V14" s="1" t="s">
        <v>109</v>
      </c>
    </row>
    <row r="15" spans="1:22" ht="18" customHeight="1" x14ac:dyDescent="0.15">
      <c r="B15" s="140"/>
      <c r="C15" s="141"/>
      <c r="D15" s="141"/>
      <c r="E15" s="141"/>
      <c r="F15" s="141"/>
      <c r="G15" s="141"/>
      <c r="H15" s="141"/>
      <c r="I15" s="141"/>
      <c r="J15" s="141"/>
      <c r="K15" s="141"/>
      <c r="L15" s="141"/>
      <c r="M15" s="141"/>
      <c r="N15" s="141"/>
      <c r="O15" s="141"/>
      <c r="P15" s="141"/>
      <c r="Q15" s="141"/>
      <c r="R15" s="141"/>
      <c r="S15" s="142"/>
      <c r="V15" s="1" t="s">
        <v>122</v>
      </c>
    </row>
    <row r="16" spans="1:22" ht="18" customHeight="1" x14ac:dyDescent="0.15">
      <c r="B16" s="140"/>
      <c r="C16" s="141"/>
      <c r="D16" s="141"/>
      <c r="E16" s="141"/>
      <c r="F16" s="141"/>
      <c r="G16" s="141"/>
      <c r="H16" s="141"/>
      <c r="I16" s="141"/>
      <c r="J16" s="141"/>
      <c r="K16" s="141"/>
      <c r="L16" s="141"/>
      <c r="M16" s="141"/>
      <c r="N16" s="141"/>
      <c r="O16" s="141"/>
      <c r="P16" s="141"/>
      <c r="Q16" s="141"/>
      <c r="R16" s="141"/>
      <c r="S16" s="142"/>
      <c r="V16" s="1" t="s">
        <v>124</v>
      </c>
    </row>
    <row r="17" spans="1:19" ht="18" customHeight="1" x14ac:dyDescent="0.15">
      <c r="B17" s="140"/>
      <c r="C17" s="141"/>
      <c r="D17" s="141"/>
      <c r="E17" s="141"/>
      <c r="F17" s="141"/>
      <c r="G17" s="141"/>
      <c r="H17" s="141"/>
      <c r="I17" s="141"/>
      <c r="J17" s="141"/>
      <c r="K17" s="141"/>
      <c r="L17" s="141"/>
      <c r="M17" s="141"/>
      <c r="N17" s="141"/>
      <c r="O17" s="141"/>
      <c r="P17" s="141"/>
      <c r="Q17" s="141"/>
      <c r="R17" s="141"/>
      <c r="S17" s="142"/>
    </row>
    <row r="18" spans="1:19" ht="18" customHeight="1" x14ac:dyDescent="0.15">
      <c r="B18" s="143"/>
      <c r="C18" s="144"/>
      <c r="D18" s="144"/>
      <c r="E18" s="144"/>
      <c r="F18" s="144"/>
      <c r="G18" s="144"/>
      <c r="H18" s="144"/>
      <c r="I18" s="144"/>
      <c r="J18" s="144"/>
      <c r="K18" s="144"/>
      <c r="L18" s="144"/>
      <c r="M18" s="144"/>
      <c r="N18" s="144"/>
      <c r="O18" s="144"/>
      <c r="P18" s="144"/>
      <c r="Q18" s="144"/>
      <c r="R18" s="144"/>
      <c r="S18" s="145"/>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111</v>
      </c>
      <c r="C20" s="87">
        <v>14</v>
      </c>
      <c r="D20" s="89"/>
      <c r="E20" s="39" t="s">
        <v>94</v>
      </c>
      <c r="G20" s="10"/>
      <c r="H20" s="3"/>
      <c r="I20" s="3"/>
      <c r="J20" s="34" t="s">
        <v>120</v>
      </c>
      <c r="K20" s="130" t="s">
        <v>124</v>
      </c>
      <c r="L20" s="131"/>
      <c r="M20" s="131"/>
      <c r="N20" s="131"/>
      <c r="O20" s="131"/>
      <c r="P20" s="131"/>
      <c r="Q20" s="131"/>
      <c r="R20" s="131"/>
      <c r="S20" s="13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3" t="s">
        <v>112</v>
      </c>
      <c r="B22" s="93"/>
      <c r="C22" s="93"/>
      <c r="D22" s="93"/>
      <c r="E22" s="93"/>
      <c r="F22" s="93"/>
      <c r="G22" s="93"/>
      <c r="H22" s="93"/>
      <c r="I22" s="93"/>
      <c r="J22" s="93"/>
      <c r="K22" s="93"/>
      <c r="L22" s="93"/>
      <c r="M22" s="93"/>
      <c r="N22" s="93"/>
      <c r="O22" s="93"/>
      <c r="P22" s="93"/>
      <c r="Q22" s="93"/>
      <c r="R22" s="93"/>
      <c r="S22" s="93"/>
    </row>
    <row r="23" spans="1:19" ht="18" customHeight="1" x14ac:dyDescent="0.15">
      <c r="A23" s="93"/>
      <c r="B23" s="93"/>
      <c r="C23" s="93"/>
      <c r="D23" s="93"/>
      <c r="E23" s="93"/>
      <c r="F23" s="93"/>
      <c r="G23" s="93"/>
      <c r="H23" s="93"/>
      <c r="I23" s="93"/>
      <c r="J23" s="93"/>
      <c r="K23" s="93"/>
      <c r="L23" s="93"/>
      <c r="M23" s="93"/>
      <c r="N23" s="93"/>
      <c r="O23" s="93"/>
      <c r="P23" s="93"/>
      <c r="Q23" s="93"/>
      <c r="R23" s="93"/>
      <c r="S23" s="93"/>
    </row>
    <row r="24" spans="1:19" ht="18" customHeight="1" x14ac:dyDescent="0.15">
      <c r="B24" s="87" t="s">
        <v>53</v>
      </c>
      <c r="C24" s="88"/>
      <c r="D24" s="88"/>
      <c r="E24" s="89"/>
      <c r="F24" s="60" t="s">
        <v>79</v>
      </c>
      <c r="G24" s="59" t="s">
        <v>83</v>
      </c>
      <c r="H24" s="22" t="s">
        <v>56</v>
      </c>
      <c r="I24" s="22" t="s">
        <v>59</v>
      </c>
      <c r="J24" s="87" t="s">
        <v>53</v>
      </c>
      <c r="K24" s="88"/>
      <c r="L24" s="88"/>
      <c r="M24" s="88"/>
      <c r="N24" s="88"/>
      <c r="O24" s="89"/>
      <c r="P24" s="60" t="s">
        <v>79</v>
      </c>
      <c r="Q24" s="59" t="s">
        <v>83</v>
      </c>
      <c r="R24" s="22" t="s">
        <v>56</v>
      </c>
      <c r="S24" s="22" t="s">
        <v>59</v>
      </c>
    </row>
    <row r="25" spans="1:19" ht="18" customHeight="1" x14ac:dyDescent="0.15">
      <c r="B25" s="81" t="s">
        <v>127</v>
      </c>
      <c r="C25" s="82"/>
      <c r="D25" s="82"/>
      <c r="E25" s="83"/>
      <c r="F25" s="23">
        <v>2</v>
      </c>
      <c r="G25" s="23" t="s">
        <v>131</v>
      </c>
      <c r="H25" s="23" t="s">
        <v>131</v>
      </c>
      <c r="I25" s="23" t="s">
        <v>131</v>
      </c>
      <c r="J25" s="81"/>
      <c r="K25" s="82"/>
      <c r="L25" s="82"/>
      <c r="M25" s="82"/>
      <c r="N25" s="82"/>
      <c r="O25" s="83"/>
      <c r="P25" s="23"/>
      <c r="Q25" s="23"/>
      <c r="R25" s="23"/>
      <c r="S25" s="23"/>
    </row>
    <row r="26" spans="1:19" ht="18" customHeight="1" x14ac:dyDescent="0.15">
      <c r="B26" s="84" t="s">
        <v>128</v>
      </c>
      <c r="C26" s="85"/>
      <c r="D26" s="85"/>
      <c r="E26" s="86"/>
      <c r="F26" s="24">
        <v>2</v>
      </c>
      <c r="G26" s="24"/>
      <c r="H26" s="24" t="s">
        <v>131</v>
      </c>
      <c r="I26" s="24" t="s">
        <v>131</v>
      </c>
      <c r="J26" s="84"/>
      <c r="K26" s="85"/>
      <c r="L26" s="85"/>
      <c r="M26" s="85"/>
      <c r="N26" s="85"/>
      <c r="O26" s="86"/>
      <c r="P26" s="24"/>
      <c r="Q26" s="24"/>
      <c r="R26" s="24"/>
      <c r="S26" s="24"/>
    </row>
    <row r="27" spans="1:19" ht="18" customHeight="1" x14ac:dyDescent="0.15">
      <c r="B27" s="84" t="s">
        <v>129</v>
      </c>
      <c r="C27" s="85"/>
      <c r="D27" s="85"/>
      <c r="E27" s="86"/>
      <c r="F27" s="24">
        <v>2</v>
      </c>
      <c r="G27" s="24"/>
      <c r="H27" s="24" t="s">
        <v>131</v>
      </c>
      <c r="I27" s="24" t="s">
        <v>131</v>
      </c>
      <c r="J27" s="84"/>
      <c r="K27" s="85"/>
      <c r="L27" s="85"/>
      <c r="M27" s="85"/>
      <c r="N27" s="85"/>
      <c r="O27" s="86"/>
      <c r="P27" s="24"/>
      <c r="Q27" s="24"/>
      <c r="R27" s="24"/>
      <c r="S27" s="24"/>
    </row>
    <row r="28" spans="1:19" ht="18" customHeight="1" x14ac:dyDescent="0.15">
      <c r="B28" s="84" t="s">
        <v>130</v>
      </c>
      <c r="C28" s="85"/>
      <c r="D28" s="85"/>
      <c r="E28" s="86"/>
      <c r="F28" s="24">
        <v>2</v>
      </c>
      <c r="G28" s="24"/>
      <c r="H28" s="24" t="s">
        <v>131</v>
      </c>
      <c r="I28" s="24" t="s">
        <v>131</v>
      </c>
      <c r="J28" s="84"/>
      <c r="K28" s="85"/>
      <c r="L28" s="85"/>
      <c r="M28" s="85"/>
      <c r="N28" s="85"/>
      <c r="O28" s="86"/>
      <c r="P28" s="24"/>
      <c r="Q28" s="24"/>
      <c r="R28" s="24"/>
      <c r="S28" s="24"/>
    </row>
    <row r="29" spans="1:19" ht="18" customHeight="1" x14ac:dyDescent="0.15">
      <c r="B29" s="84"/>
      <c r="C29" s="85"/>
      <c r="D29" s="85"/>
      <c r="E29" s="86"/>
      <c r="F29" s="24"/>
      <c r="G29" s="24"/>
      <c r="H29" s="24"/>
      <c r="I29" s="24"/>
      <c r="J29" s="84"/>
      <c r="K29" s="85"/>
      <c r="L29" s="85"/>
      <c r="M29" s="85"/>
      <c r="N29" s="85"/>
      <c r="O29" s="86"/>
      <c r="P29" s="24"/>
      <c r="Q29" s="24"/>
      <c r="R29" s="24"/>
      <c r="S29" s="24"/>
    </row>
    <row r="30" spans="1:19" ht="18" customHeight="1" x14ac:dyDescent="0.15">
      <c r="A30" s="3"/>
      <c r="B30" s="84"/>
      <c r="C30" s="85"/>
      <c r="D30" s="85"/>
      <c r="E30" s="86"/>
      <c r="F30" s="24"/>
      <c r="G30" s="24"/>
      <c r="H30" s="24"/>
      <c r="I30" s="24"/>
      <c r="J30" s="84"/>
      <c r="K30" s="85"/>
      <c r="L30" s="85"/>
      <c r="M30" s="85"/>
      <c r="N30" s="85"/>
      <c r="O30" s="86"/>
      <c r="P30" s="24"/>
      <c r="Q30" s="24"/>
      <c r="R30" s="24"/>
      <c r="S30" s="24"/>
    </row>
    <row r="31" spans="1:19" ht="18" customHeight="1" x14ac:dyDescent="0.15">
      <c r="A31" s="3"/>
      <c r="B31" s="90"/>
      <c r="C31" s="91"/>
      <c r="D31" s="91"/>
      <c r="E31" s="92"/>
      <c r="F31" s="25"/>
      <c r="G31" s="25"/>
      <c r="H31" s="26"/>
      <c r="I31" s="26"/>
      <c r="J31" s="90"/>
      <c r="K31" s="91"/>
      <c r="L31" s="91"/>
      <c r="M31" s="91"/>
      <c r="N31" s="91"/>
      <c r="O31" s="92"/>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3" t="s">
        <v>113</v>
      </c>
      <c r="B33" s="93"/>
      <c r="C33" s="93"/>
      <c r="D33" s="93"/>
      <c r="E33" s="93"/>
      <c r="F33" s="93"/>
      <c r="G33" s="93"/>
      <c r="H33" s="93"/>
      <c r="I33" s="93"/>
      <c r="J33" s="93"/>
      <c r="K33" s="93"/>
      <c r="L33" s="93"/>
      <c r="M33" s="93"/>
      <c r="N33" s="93"/>
      <c r="O33" s="93"/>
      <c r="P33" s="93"/>
      <c r="Q33" s="93"/>
      <c r="R33" s="93"/>
      <c r="S33" s="93"/>
    </row>
    <row r="34" spans="1:19" ht="18" customHeight="1" x14ac:dyDescent="0.15">
      <c r="A34" s="93"/>
      <c r="B34" s="93"/>
      <c r="C34" s="93"/>
      <c r="D34" s="93"/>
      <c r="E34" s="93"/>
      <c r="F34" s="93"/>
      <c r="G34" s="93"/>
      <c r="H34" s="93"/>
      <c r="I34" s="93"/>
      <c r="J34" s="93"/>
      <c r="K34" s="93"/>
      <c r="L34" s="93"/>
      <c r="M34" s="93"/>
      <c r="N34" s="93"/>
      <c r="O34" s="93"/>
      <c r="P34" s="93"/>
      <c r="Q34" s="93"/>
      <c r="R34" s="93"/>
      <c r="S34" s="93"/>
    </row>
    <row r="35" spans="1:19" ht="18" customHeight="1" x14ac:dyDescent="0.15">
      <c r="B35" s="87" t="s">
        <v>53</v>
      </c>
      <c r="C35" s="88"/>
      <c r="D35" s="88"/>
      <c r="E35" s="89"/>
      <c r="F35" s="60" t="s">
        <v>79</v>
      </c>
      <c r="G35" s="59" t="s">
        <v>83</v>
      </c>
      <c r="H35" s="22" t="s">
        <v>71</v>
      </c>
      <c r="I35" s="22" t="s">
        <v>72</v>
      </c>
      <c r="J35" s="87" t="s">
        <v>53</v>
      </c>
      <c r="K35" s="88"/>
      <c r="L35" s="88"/>
      <c r="M35" s="88"/>
      <c r="N35" s="88"/>
      <c r="O35" s="89"/>
      <c r="P35" s="60" t="s">
        <v>79</v>
      </c>
      <c r="Q35" s="59" t="s">
        <v>83</v>
      </c>
      <c r="R35" s="22" t="s">
        <v>71</v>
      </c>
      <c r="S35" s="22" t="s">
        <v>72</v>
      </c>
    </row>
    <row r="36" spans="1:19" ht="18" customHeight="1" x14ac:dyDescent="0.15">
      <c r="B36" s="81" t="s">
        <v>127</v>
      </c>
      <c r="C36" s="82"/>
      <c r="D36" s="82"/>
      <c r="E36" s="83"/>
      <c r="F36" s="23">
        <v>2</v>
      </c>
      <c r="G36" s="23" t="s">
        <v>131</v>
      </c>
      <c r="H36" s="23" t="s">
        <v>131</v>
      </c>
      <c r="I36" s="23" t="s">
        <v>131</v>
      </c>
      <c r="J36" s="81"/>
      <c r="K36" s="82"/>
      <c r="L36" s="82"/>
      <c r="M36" s="82"/>
      <c r="N36" s="82"/>
      <c r="O36" s="83"/>
      <c r="P36" s="23"/>
      <c r="Q36" s="23"/>
      <c r="R36" s="23"/>
      <c r="S36" s="23"/>
    </row>
    <row r="37" spans="1:19" ht="18" customHeight="1" x14ac:dyDescent="0.15">
      <c r="B37" s="84" t="s">
        <v>128</v>
      </c>
      <c r="C37" s="85"/>
      <c r="D37" s="85"/>
      <c r="E37" s="86"/>
      <c r="F37" s="24">
        <v>2</v>
      </c>
      <c r="G37" s="24"/>
      <c r="H37" s="24" t="s">
        <v>131</v>
      </c>
      <c r="I37" s="24" t="s">
        <v>131</v>
      </c>
      <c r="J37" s="84"/>
      <c r="K37" s="85"/>
      <c r="L37" s="85"/>
      <c r="M37" s="85"/>
      <c r="N37" s="85"/>
      <c r="O37" s="86"/>
      <c r="P37" s="24"/>
      <c r="Q37" s="24"/>
      <c r="R37" s="24"/>
      <c r="S37" s="24"/>
    </row>
    <row r="38" spans="1:19" ht="18" customHeight="1" x14ac:dyDescent="0.15">
      <c r="B38" s="84" t="s">
        <v>129</v>
      </c>
      <c r="C38" s="85"/>
      <c r="D38" s="85"/>
      <c r="E38" s="86"/>
      <c r="F38" s="24">
        <v>2</v>
      </c>
      <c r="G38" s="24"/>
      <c r="H38" s="24" t="s">
        <v>131</v>
      </c>
      <c r="I38" s="24" t="s">
        <v>131</v>
      </c>
      <c r="J38" s="84"/>
      <c r="K38" s="85"/>
      <c r="L38" s="85"/>
      <c r="M38" s="85"/>
      <c r="N38" s="85"/>
      <c r="O38" s="86"/>
      <c r="P38" s="24"/>
      <c r="Q38" s="24"/>
      <c r="R38" s="24"/>
      <c r="S38" s="24"/>
    </row>
    <row r="39" spans="1:19" ht="18" customHeight="1" x14ac:dyDescent="0.15">
      <c r="B39" s="84" t="s">
        <v>130</v>
      </c>
      <c r="C39" s="85"/>
      <c r="D39" s="85"/>
      <c r="E39" s="86"/>
      <c r="F39" s="24">
        <v>2</v>
      </c>
      <c r="G39" s="24"/>
      <c r="H39" s="24" t="s">
        <v>131</v>
      </c>
      <c r="I39" s="24" t="s">
        <v>131</v>
      </c>
      <c r="J39" s="84"/>
      <c r="K39" s="85"/>
      <c r="L39" s="85"/>
      <c r="M39" s="85"/>
      <c r="N39" s="85"/>
      <c r="O39" s="86"/>
      <c r="P39" s="24"/>
      <c r="Q39" s="24"/>
      <c r="R39" s="24"/>
      <c r="S39" s="24"/>
    </row>
    <row r="40" spans="1:19" ht="18" customHeight="1" x14ac:dyDescent="0.15">
      <c r="B40" s="84"/>
      <c r="C40" s="85"/>
      <c r="D40" s="85"/>
      <c r="E40" s="86"/>
      <c r="F40" s="24"/>
      <c r="G40" s="24"/>
      <c r="H40" s="24"/>
      <c r="I40" s="24"/>
      <c r="J40" s="84"/>
      <c r="K40" s="85"/>
      <c r="L40" s="85"/>
      <c r="M40" s="85"/>
      <c r="N40" s="85"/>
      <c r="O40" s="86"/>
      <c r="P40" s="24"/>
      <c r="Q40" s="24"/>
      <c r="R40" s="24"/>
      <c r="S40" s="24"/>
    </row>
    <row r="41" spans="1:19" ht="18" customHeight="1" x14ac:dyDescent="0.15">
      <c r="B41" s="84"/>
      <c r="C41" s="85"/>
      <c r="D41" s="85"/>
      <c r="E41" s="86"/>
      <c r="F41" s="24"/>
      <c r="G41" s="24"/>
      <c r="H41" s="24"/>
      <c r="I41" s="24"/>
      <c r="J41" s="84"/>
      <c r="K41" s="85"/>
      <c r="L41" s="85"/>
      <c r="M41" s="85"/>
      <c r="N41" s="85"/>
      <c r="O41" s="86"/>
      <c r="P41" s="24"/>
      <c r="Q41" s="24"/>
      <c r="R41" s="24"/>
      <c r="S41" s="24"/>
    </row>
    <row r="42" spans="1:19" ht="18" customHeight="1" x14ac:dyDescent="0.15">
      <c r="B42" s="90"/>
      <c r="C42" s="91"/>
      <c r="D42" s="91"/>
      <c r="E42" s="92"/>
      <c r="F42" s="25"/>
      <c r="G42" s="25"/>
      <c r="H42" s="26"/>
      <c r="I42" s="26"/>
      <c r="J42" s="90"/>
      <c r="K42" s="91"/>
      <c r="L42" s="91"/>
      <c r="M42" s="91"/>
      <c r="N42" s="91"/>
      <c r="O42" s="9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3" t="s">
        <v>114</v>
      </c>
      <c r="B44" s="93"/>
      <c r="C44" s="93"/>
      <c r="D44" s="93"/>
      <c r="E44" s="93"/>
      <c r="F44" s="93"/>
      <c r="G44" s="93"/>
      <c r="H44" s="93"/>
      <c r="I44" s="93"/>
      <c r="J44" s="93"/>
      <c r="K44" s="93"/>
      <c r="L44" s="93"/>
      <c r="M44" s="93"/>
      <c r="N44" s="93"/>
      <c r="O44" s="93"/>
      <c r="P44" s="93"/>
      <c r="Q44" s="93"/>
      <c r="R44" s="93"/>
      <c r="S44" s="93"/>
    </row>
    <row r="45" spans="1:19" ht="18" customHeight="1" x14ac:dyDescent="0.15">
      <c r="A45" s="93"/>
      <c r="B45" s="93"/>
      <c r="C45" s="93"/>
      <c r="D45" s="93"/>
      <c r="E45" s="93"/>
      <c r="F45" s="93"/>
      <c r="G45" s="93"/>
      <c r="H45" s="93"/>
      <c r="I45" s="93"/>
      <c r="J45" s="93"/>
      <c r="K45" s="93"/>
      <c r="L45" s="93"/>
      <c r="M45" s="93"/>
      <c r="N45" s="93"/>
      <c r="O45" s="93"/>
      <c r="P45" s="93"/>
      <c r="Q45" s="93"/>
      <c r="R45" s="93"/>
      <c r="S45" s="93"/>
    </row>
    <row r="46" spans="1:19" ht="18" customHeight="1" x14ac:dyDescent="0.15">
      <c r="B46" s="87" t="s">
        <v>53</v>
      </c>
      <c r="C46" s="88"/>
      <c r="D46" s="88"/>
      <c r="E46" s="89"/>
      <c r="F46" s="60" t="s">
        <v>79</v>
      </c>
      <c r="G46" s="59" t="s">
        <v>83</v>
      </c>
      <c r="H46" s="22" t="s">
        <v>73</v>
      </c>
      <c r="I46" s="22" t="s">
        <v>74</v>
      </c>
      <c r="J46" s="87" t="s">
        <v>53</v>
      </c>
      <c r="K46" s="88"/>
      <c r="L46" s="88"/>
      <c r="M46" s="88"/>
      <c r="N46" s="88"/>
      <c r="O46" s="89"/>
      <c r="P46" s="60" t="s">
        <v>79</v>
      </c>
      <c r="Q46" s="59" t="s">
        <v>83</v>
      </c>
      <c r="R46" s="22" t="s">
        <v>73</v>
      </c>
      <c r="S46" s="22" t="s">
        <v>74</v>
      </c>
    </row>
    <row r="47" spans="1:19" ht="18" customHeight="1" x14ac:dyDescent="0.15">
      <c r="A47" s="3"/>
      <c r="B47" s="81" t="s">
        <v>127</v>
      </c>
      <c r="C47" s="82"/>
      <c r="D47" s="82"/>
      <c r="E47" s="83"/>
      <c r="F47" s="23">
        <v>2</v>
      </c>
      <c r="G47" s="23" t="s">
        <v>131</v>
      </c>
      <c r="H47" s="23" t="s">
        <v>131</v>
      </c>
      <c r="I47" s="23" t="s">
        <v>131</v>
      </c>
      <c r="J47" s="81"/>
      <c r="K47" s="82"/>
      <c r="L47" s="82"/>
      <c r="M47" s="82"/>
      <c r="N47" s="82"/>
      <c r="O47" s="83"/>
      <c r="P47" s="23"/>
      <c r="Q47" s="23"/>
      <c r="R47" s="23"/>
      <c r="S47" s="23"/>
    </row>
    <row r="48" spans="1:19" ht="18" customHeight="1" x14ac:dyDescent="0.15">
      <c r="A48" s="3"/>
      <c r="B48" s="84" t="s">
        <v>128</v>
      </c>
      <c r="C48" s="85"/>
      <c r="D48" s="85"/>
      <c r="E48" s="86"/>
      <c r="F48" s="24">
        <v>2</v>
      </c>
      <c r="G48" s="24"/>
      <c r="H48" s="24" t="s">
        <v>131</v>
      </c>
      <c r="I48" s="24" t="s">
        <v>131</v>
      </c>
      <c r="J48" s="84"/>
      <c r="K48" s="85"/>
      <c r="L48" s="85"/>
      <c r="M48" s="85"/>
      <c r="N48" s="85"/>
      <c r="O48" s="86"/>
      <c r="P48" s="24"/>
      <c r="Q48" s="24"/>
      <c r="R48" s="24"/>
      <c r="S48" s="24"/>
    </row>
    <row r="49" spans="1:19" ht="18" customHeight="1" x14ac:dyDescent="0.15">
      <c r="A49" s="3"/>
      <c r="B49" s="84" t="s">
        <v>129</v>
      </c>
      <c r="C49" s="85"/>
      <c r="D49" s="85"/>
      <c r="E49" s="86"/>
      <c r="F49" s="24">
        <v>2</v>
      </c>
      <c r="G49" s="24"/>
      <c r="H49" s="24" t="s">
        <v>131</v>
      </c>
      <c r="I49" s="24" t="s">
        <v>131</v>
      </c>
      <c r="J49" s="84"/>
      <c r="K49" s="85"/>
      <c r="L49" s="85"/>
      <c r="M49" s="85"/>
      <c r="N49" s="85"/>
      <c r="O49" s="86"/>
      <c r="P49" s="24"/>
      <c r="Q49" s="24"/>
      <c r="R49" s="24"/>
      <c r="S49" s="24"/>
    </row>
    <row r="50" spans="1:19" ht="18" customHeight="1" x14ac:dyDescent="0.15">
      <c r="A50" s="3"/>
      <c r="B50" s="84" t="s">
        <v>130</v>
      </c>
      <c r="C50" s="85"/>
      <c r="D50" s="85"/>
      <c r="E50" s="86"/>
      <c r="F50" s="24">
        <v>2</v>
      </c>
      <c r="G50" s="24"/>
      <c r="H50" s="24" t="s">
        <v>131</v>
      </c>
      <c r="I50" s="24" t="s">
        <v>131</v>
      </c>
      <c r="J50" s="84"/>
      <c r="K50" s="85"/>
      <c r="L50" s="85"/>
      <c r="M50" s="85"/>
      <c r="N50" s="85"/>
      <c r="O50" s="86"/>
      <c r="P50" s="24"/>
      <c r="Q50" s="24"/>
      <c r="R50" s="24"/>
      <c r="S50" s="24"/>
    </row>
    <row r="51" spans="1:19" ht="18" customHeight="1" x14ac:dyDescent="0.15">
      <c r="A51" s="3"/>
      <c r="B51" s="84"/>
      <c r="C51" s="85"/>
      <c r="D51" s="85"/>
      <c r="E51" s="86"/>
      <c r="F51" s="24"/>
      <c r="G51" s="24"/>
      <c r="H51" s="24"/>
      <c r="I51" s="24"/>
      <c r="J51" s="84"/>
      <c r="K51" s="85"/>
      <c r="L51" s="85"/>
      <c r="M51" s="85"/>
      <c r="N51" s="85"/>
      <c r="O51" s="86"/>
      <c r="P51" s="24"/>
      <c r="Q51" s="24"/>
      <c r="R51" s="24"/>
      <c r="S51" s="24"/>
    </row>
    <row r="52" spans="1:19" ht="18" customHeight="1" x14ac:dyDescent="0.15">
      <c r="A52" s="3"/>
      <c r="B52" s="84"/>
      <c r="C52" s="85"/>
      <c r="D52" s="85"/>
      <c r="E52" s="86"/>
      <c r="F52" s="24"/>
      <c r="G52" s="24"/>
      <c r="H52" s="24"/>
      <c r="I52" s="24"/>
      <c r="J52" s="84"/>
      <c r="K52" s="85"/>
      <c r="L52" s="85"/>
      <c r="M52" s="85"/>
      <c r="N52" s="85"/>
      <c r="O52" s="86"/>
      <c r="P52" s="24"/>
      <c r="Q52" s="24"/>
      <c r="R52" s="24"/>
      <c r="S52" s="24"/>
    </row>
    <row r="53" spans="1:19" ht="18" customHeight="1" x14ac:dyDescent="0.15">
      <c r="A53" s="3"/>
      <c r="B53" s="90"/>
      <c r="C53" s="91"/>
      <c r="D53" s="91"/>
      <c r="E53" s="92"/>
      <c r="F53" s="25"/>
      <c r="G53" s="25"/>
      <c r="H53" s="26"/>
      <c r="I53" s="26"/>
      <c r="J53" s="90"/>
      <c r="K53" s="91"/>
      <c r="L53" s="91"/>
      <c r="M53" s="91"/>
      <c r="N53" s="91"/>
      <c r="O53" s="9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3" t="s">
        <v>115</v>
      </c>
      <c r="B55" s="93"/>
      <c r="C55" s="93"/>
      <c r="D55" s="93"/>
      <c r="E55" s="93"/>
      <c r="F55" s="93"/>
      <c r="G55" s="93"/>
      <c r="H55" s="93"/>
      <c r="I55" s="93"/>
      <c r="J55" s="93"/>
      <c r="K55" s="93"/>
      <c r="L55" s="93"/>
      <c r="M55" s="93"/>
      <c r="N55" s="93"/>
      <c r="O55" s="93"/>
      <c r="P55" s="93"/>
      <c r="Q55" s="93"/>
      <c r="R55" s="93"/>
      <c r="S55" s="93"/>
    </row>
    <row r="56" spans="1:19" ht="18" customHeight="1" x14ac:dyDescent="0.15">
      <c r="A56" s="93"/>
      <c r="B56" s="93"/>
      <c r="C56" s="93"/>
      <c r="D56" s="93"/>
      <c r="E56" s="93"/>
      <c r="F56" s="93"/>
      <c r="G56" s="93"/>
      <c r="H56" s="93"/>
      <c r="I56" s="93"/>
      <c r="J56" s="93"/>
      <c r="K56" s="93"/>
      <c r="L56" s="93"/>
      <c r="M56" s="93"/>
      <c r="N56" s="93"/>
      <c r="O56" s="93"/>
      <c r="P56" s="93"/>
      <c r="Q56" s="93"/>
      <c r="R56" s="93"/>
      <c r="S56" s="93"/>
    </row>
    <row r="57" spans="1:19" ht="18" customHeight="1" x14ac:dyDescent="0.15">
      <c r="B57" s="87" t="s">
        <v>53</v>
      </c>
      <c r="C57" s="88"/>
      <c r="D57" s="88"/>
      <c r="E57" s="89"/>
      <c r="F57" s="60" t="s">
        <v>79</v>
      </c>
      <c r="G57" s="59" t="s">
        <v>83</v>
      </c>
      <c r="H57" s="22" t="s">
        <v>58</v>
      </c>
      <c r="I57" s="22" t="s">
        <v>60</v>
      </c>
      <c r="J57" s="87" t="s">
        <v>53</v>
      </c>
      <c r="K57" s="88"/>
      <c r="L57" s="88"/>
      <c r="M57" s="88"/>
      <c r="N57" s="88"/>
      <c r="O57" s="89"/>
      <c r="P57" s="60" t="s">
        <v>79</v>
      </c>
      <c r="Q57" s="59" t="s">
        <v>83</v>
      </c>
      <c r="R57" s="22" t="s">
        <v>58</v>
      </c>
      <c r="S57" s="22" t="s">
        <v>60</v>
      </c>
    </row>
    <row r="58" spans="1:19" ht="18" customHeight="1" x14ac:dyDescent="0.15">
      <c r="A58" s="3"/>
      <c r="B58" s="81" t="s">
        <v>127</v>
      </c>
      <c r="C58" s="82"/>
      <c r="D58" s="82"/>
      <c r="E58" s="83"/>
      <c r="F58" s="23">
        <v>2</v>
      </c>
      <c r="G58" s="23" t="s">
        <v>131</v>
      </c>
      <c r="H58" s="23" t="s">
        <v>131</v>
      </c>
      <c r="I58" s="23" t="s">
        <v>131</v>
      </c>
      <c r="J58" s="81"/>
      <c r="K58" s="82"/>
      <c r="L58" s="82"/>
      <c r="M58" s="82"/>
      <c r="N58" s="82"/>
      <c r="O58" s="83"/>
      <c r="P58" s="23"/>
      <c r="Q58" s="23"/>
      <c r="R58" s="23"/>
      <c r="S58" s="23"/>
    </row>
    <row r="59" spans="1:19" ht="18" customHeight="1" x14ac:dyDescent="0.15">
      <c r="A59" s="3"/>
      <c r="B59" s="84" t="s">
        <v>128</v>
      </c>
      <c r="C59" s="85"/>
      <c r="D59" s="85"/>
      <c r="E59" s="86"/>
      <c r="F59" s="24">
        <v>2</v>
      </c>
      <c r="G59" s="24"/>
      <c r="H59" s="24" t="s">
        <v>131</v>
      </c>
      <c r="I59" s="24" t="s">
        <v>131</v>
      </c>
      <c r="J59" s="84"/>
      <c r="K59" s="85"/>
      <c r="L59" s="85"/>
      <c r="M59" s="85"/>
      <c r="N59" s="85"/>
      <c r="O59" s="86"/>
      <c r="P59" s="24"/>
      <c r="Q59" s="24"/>
      <c r="R59" s="24"/>
      <c r="S59" s="24"/>
    </row>
    <row r="60" spans="1:19" ht="18" customHeight="1" x14ac:dyDescent="0.15">
      <c r="A60" s="3"/>
      <c r="B60" s="84" t="s">
        <v>129</v>
      </c>
      <c r="C60" s="85"/>
      <c r="D60" s="85"/>
      <c r="E60" s="86"/>
      <c r="F60" s="24">
        <v>2</v>
      </c>
      <c r="G60" s="24"/>
      <c r="H60" s="24" t="s">
        <v>131</v>
      </c>
      <c r="I60" s="24" t="s">
        <v>131</v>
      </c>
      <c r="J60" s="84"/>
      <c r="K60" s="85"/>
      <c r="L60" s="85"/>
      <c r="M60" s="85"/>
      <c r="N60" s="85"/>
      <c r="O60" s="86"/>
      <c r="P60" s="24"/>
      <c r="Q60" s="24"/>
      <c r="R60" s="24"/>
      <c r="S60" s="24"/>
    </row>
    <row r="61" spans="1:19" ht="18" customHeight="1" x14ac:dyDescent="0.15">
      <c r="A61" s="3"/>
      <c r="B61" s="84" t="s">
        <v>130</v>
      </c>
      <c r="C61" s="85"/>
      <c r="D61" s="85"/>
      <c r="E61" s="86"/>
      <c r="F61" s="24">
        <v>2</v>
      </c>
      <c r="G61" s="24"/>
      <c r="H61" s="24" t="s">
        <v>131</v>
      </c>
      <c r="I61" s="24" t="s">
        <v>131</v>
      </c>
      <c r="J61" s="84"/>
      <c r="K61" s="85"/>
      <c r="L61" s="85"/>
      <c r="M61" s="85"/>
      <c r="N61" s="85"/>
      <c r="O61" s="86"/>
      <c r="P61" s="24"/>
      <c r="Q61" s="24"/>
      <c r="R61" s="24"/>
      <c r="S61" s="24"/>
    </row>
    <row r="62" spans="1:19" ht="18" customHeight="1" x14ac:dyDescent="0.15">
      <c r="A62" s="3"/>
      <c r="B62" s="84"/>
      <c r="C62" s="85"/>
      <c r="D62" s="85"/>
      <c r="E62" s="86"/>
      <c r="F62" s="24"/>
      <c r="G62" s="24"/>
      <c r="H62" s="24"/>
      <c r="I62" s="24"/>
      <c r="J62" s="84"/>
      <c r="K62" s="85"/>
      <c r="L62" s="85"/>
      <c r="M62" s="85"/>
      <c r="N62" s="85"/>
      <c r="O62" s="86"/>
      <c r="P62" s="24"/>
      <c r="Q62" s="24"/>
      <c r="R62" s="24"/>
      <c r="S62" s="24"/>
    </row>
    <row r="63" spans="1:19" ht="18" customHeight="1" x14ac:dyDescent="0.15">
      <c r="A63" s="3"/>
      <c r="B63" s="84"/>
      <c r="C63" s="85"/>
      <c r="D63" s="85"/>
      <c r="E63" s="86"/>
      <c r="F63" s="24"/>
      <c r="G63" s="24"/>
      <c r="H63" s="24"/>
      <c r="I63" s="24"/>
      <c r="J63" s="84"/>
      <c r="K63" s="85"/>
      <c r="L63" s="85"/>
      <c r="M63" s="85"/>
      <c r="N63" s="85"/>
      <c r="O63" s="86"/>
      <c r="P63" s="24"/>
      <c r="Q63" s="24"/>
      <c r="R63" s="24"/>
      <c r="S63" s="24"/>
    </row>
    <row r="64" spans="1:19" ht="18" customHeight="1" x14ac:dyDescent="0.15">
      <c r="A64" s="3"/>
      <c r="B64" s="90"/>
      <c r="C64" s="91"/>
      <c r="D64" s="91"/>
      <c r="E64" s="92"/>
      <c r="F64" s="25"/>
      <c r="G64" s="25"/>
      <c r="H64" s="26"/>
      <c r="I64" s="26"/>
      <c r="J64" s="90"/>
      <c r="K64" s="91"/>
      <c r="L64" s="91"/>
      <c r="M64" s="91"/>
      <c r="N64" s="91"/>
      <c r="O64" s="92"/>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3" t="s">
        <v>116</v>
      </c>
      <c r="B66" s="93"/>
      <c r="C66" s="93"/>
      <c r="D66" s="93"/>
      <c r="E66" s="93"/>
      <c r="F66" s="93"/>
      <c r="G66" s="93"/>
      <c r="H66" s="93"/>
      <c r="I66" s="93"/>
      <c r="J66" s="93"/>
      <c r="K66" s="93"/>
      <c r="L66" s="93"/>
      <c r="M66" s="93"/>
      <c r="N66" s="93"/>
      <c r="O66" s="93"/>
      <c r="P66" s="93"/>
      <c r="Q66" s="93"/>
      <c r="R66" s="93"/>
      <c r="S66" s="93"/>
    </row>
    <row r="67" spans="1:19" ht="18" customHeight="1" x14ac:dyDescent="0.15">
      <c r="A67" s="93"/>
      <c r="B67" s="93"/>
      <c r="C67" s="93"/>
      <c r="D67" s="93"/>
      <c r="E67" s="93"/>
      <c r="F67" s="93"/>
      <c r="G67" s="93"/>
      <c r="H67" s="93"/>
      <c r="I67" s="93"/>
      <c r="J67" s="93"/>
      <c r="K67" s="93"/>
      <c r="L67" s="93"/>
      <c r="M67" s="93"/>
      <c r="N67" s="93"/>
      <c r="O67" s="93"/>
      <c r="P67" s="93"/>
      <c r="Q67" s="93"/>
      <c r="R67" s="93"/>
      <c r="S67" s="93"/>
    </row>
    <row r="68" spans="1:19" ht="18" customHeight="1" x14ac:dyDescent="0.15">
      <c r="B68" s="87" t="s">
        <v>53</v>
      </c>
      <c r="C68" s="88"/>
      <c r="D68" s="88"/>
      <c r="E68" s="60" t="s">
        <v>79</v>
      </c>
      <c r="F68" s="59" t="s">
        <v>83</v>
      </c>
      <c r="G68" s="22" t="s">
        <v>100</v>
      </c>
      <c r="H68" s="22" t="s">
        <v>75</v>
      </c>
      <c r="I68" s="22" t="s">
        <v>76</v>
      </c>
      <c r="J68" s="87" t="s">
        <v>53</v>
      </c>
      <c r="K68" s="88"/>
      <c r="L68" s="88"/>
      <c r="M68" s="88"/>
      <c r="N68" s="89"/>
      <c r="O68" s="60" t="s">
        <v>79</v>
      </c>
      <c r="P68" s="59" t="s">
        <v>83</v>
      </c>
      <c r="Q68" s="22" t="s">
        <v>100</v>
      </c>
      <c r="R68" s="22" t="s">
        <v>75</v>
      </c>
      <c r="S68" s="22" t="s">
        <v>76</v>
      </c>
    </row>
    <row r="69" spans="1:19" ht="18" customHeight="1" x14ac:dyDescent="0.15">
      <c r="A69" s="3"/>
      <c r="B69" s="81" t="s">
        <v>132</v>
      </c>
      <c r="C69" s="82"/>
      <c r="D69" s="82"/>
      <c r="E69" s="23">
        <v>2</v>
      </c>
      <c r="F69" s="23" t="s">
        <v>131</v>
      </c>
      <c r="G69" s="23" t="s">
        <v>131</v>
      </c>
      <c r="H69" s="23" t="s">
        <v>131</v>
      </c>
      <c r="I69" s="23" t="s">
        <v>131</v>
      </c>
      <c r="J69" s="81" t="s">
        <v>141</v>
      </c>
      <c r="K69" s="82"/>
      <c r="L69" s="82"/>
      <c r="M69" s="82"/>
      <c r="N69" s="83"/>
      <c r="O69" s="23">
        <v>2</v>
      </c>
      <c r="P69" s="23"/>
      <c r="Q69" s="23" t="s">
        <v>131</v>
      </c>
      <c r="R69" s="23" t="s">
        <v>131</v>
      </c>
      <c r="S69" s="23" t="s">
        <v>131</v>
      </c>
    </row>
    <row r="70" spans="1:19" ht="18" customHeight="1" x14ac:dyDescent="0.15">
      <c r="A70" s="3"/>
      <c r="B70" s="84" t="s">
        <v>133</v>
      </c>
      <c r="C70" s="85"/>
      <c r="D70" s="85"/>
      <c r="E70" s="24">
        <v>2</v>
      </c>
      <c r="F70" s="24"/>
      <c r="G70" s="24" t="s">
        <v>131</v>
      </c>
      <c r="H70" s="24" t="s">
        <v>131</v>
      </c>
      <c r="I70" s="24" t="s">
        <v>131</v>
      </c>
      <c r="J70" s="84" t="s">
        <v>142</v>
      </c>
      <c r="K70" s="85"/>
      <c r="L70" s="85"/>
      <c r="M70" s="85"/>
      <c r="N70" s="86"/>
      <c r="O70" s="24">
        <v>2</v>
      </c>
      <c r="P70" s="24"/>
      <c r="Q70" s="24" t="s">
        <v>131</v>
      </c>
      <c r="R70" s="24" t="s">
        <v>131</v>
      </c>
      <c r="S70" s="24" t="s">
        <v>131</v>
      </c>
    </row>
    <row r="71" spans="1:19" ht="18" customHeight="1" x14ac:dyDescent="0.15">
      <c r="A71" s="3"/>
      <c r="B71" s="84" t="s">
        <v>134</v>
      </c>
      <c r="C71" s="85"/>
      <c r="D71" s="85"/>
      <c r="E71" s="24">
        <v>2</v>
      </c>
      <c r="F71" s="24"/>
      <c r="G71" s="24" t="s">
        <v>131</v>
      </c>
      <c r="H71" s="24" t="s">
        <v>131</v>
      </c>
      <c r="I71" s="24" t="s">
        <v>131</v>
      </c>
      <c r="J71" s="84" t="s">
        <v>140</v>
      </c>
      <c r="K71" s="85"/>
      <c r="L71" s="85"/>
      <c r="M71" s="85"/>
      <c r="N71" s="86"/>
      <c r="O71" s="24">
        <v>2</v>
      </c>
      <c r="P71" s="24"/>
      <c r="Q71" s="24" t="s">
        <v>131</v>
      </c>
      <c r="R71" s="24" t="s">
        <v>131</v>
      </c>
      <c r="S71" s="24" t="s">
        <v>131</v>
      </c>
    </row>
    <row r="72" spans="1:19" ht="18" customHeight="1" x14ac:dyDescent="0.15">
      <c r="A72" s="3"/>
      <c r="B72" s="84" t="s">
        <v>135</v>
      </c>
      <c r="C72" s="85"/>
      <c r="D72" s="85"/>
      <c r="E72" s="24">
        <v>2</v>
      </c>
      <c r="F72" s="24"/>
      <c r="G72" s="24" t="s">
        <v>131</v>
      </c>
      <c r="H72" s="24" t="s">
        <v>131</v>
      </c>
      <c r="I72" s="24" t="s">
        <v>131</v>
      </c>
      <c r="J72" s="84" t="s">
        <v>143</v>
      </c>
      <c r="K72" s="85"/>
      <c r="L72" s="85"/>
      <c r="M72" s="85"/>
      <c r="N72" s="86"/>
      <c r="O72" s="24">
        <v>2</v>
      </c>
      <c r="P72" s="24"/>
      <c r="Q72" s="24" t="s">
        <v>131</v>
      </c>
      <c r="R72" s="24" t="s">
        <v>131</v>
      </c>
      <c r="S72" s="24" t="s">
        <v>131</v>
      </c>
    </row>
    <row r="73" spans="1:19" ht="18" customHeight="1" x14ac:dyDescent="0.15">
      <c r="A73" s="3"/>
      <c r="B73" s="84" t="s">
        <v>136</v>
      </c>
      <c r="C73" s="85"/>
      <c r="D73" s="85"/>
      <c r="E73" s="24">
        <v>2</v>
      </c>
      <c r="F73" s="24"/>
      <c r="G73" s="24" t="s">
        <v>131</v>
      </c>
      <c r="H73" s="24" t="s">
        <v>131</v>
      </c>
      <c r="I73" s="24" t="s">
        <v>131</v>
      </c>
      <c r="J73" s="84"/>
      <c r="K73" s="85"/>
      <c r="L73" s="85"/>
      <c r="M73" s="85"/>
      <c r="N73" s="86"/>
      <c r="O73" s="24"/>
      <c r="P73" s="24"/>
      <c r="Q73" s="24"/>
      <c r="R73" s="24"/>
      <c r="S73" s="24"/>
    </row>
    <row r="74" spans="1:19" ht="18" customHeight="1" x14ac:dyDescent="0.15">
      <c r="A74" s="3"/>
      <c r="B74" s="84" t="s">
        <v>137</v>
      </c>
      <c r="C74" s="85"/>
      <c r="D74" s="85"/>
      <c r="E74" s="24">
        <v>2</v>
      </c>
      <c r="F74" s="24"/>
      <c r="G74" s="24" t="s">
        <v>131</v>
      </c>
      <c r="H74" s="24" t="s">
        <v>131</v>
      </c>
      <c r="I74" s="24" t="s">
        <v>131</v>
      </c>
      <c r="J74" s="84"/>
      <c r="K74" s="85"/>
      <c r="L74" s="85"/>
      <c r="M74" s="85"/>
      <c r="N74" s="86"/>
      <c r="O74" s="24"/>
      <c r="P74" s="24"/>
      <c r="Q74" s="24"/>
      <c r="R74" s="24"/>
      <c r="S74" s="24"/>
    </row>
    <row r="75" spans="1:19" ht="18" customHeight="1" x14ac:dyDescent="0.15">
      <c r="A75" s="3"/>
      <c r="B75" s="90" t="s">
        <v>138</v>
      </c>
      <c r="C75" s="91"/>
      <c r="D75" s="91"/>
      <c r="E75" s="25">
        <v>2</v>
      </c>
      <c r="F75" s="25"/>
      <c r="G75" s="26" t="s">
        <v>131</v>
      </c>
      <c r="H75" s="26" t="s">
        <v>131</v>
      </c>
      <c r="I75" s="26" t="s">
        <v>131</v>
      </c>
      <c r="J75" s="90"/>
      <c r="K75" s="91"/>
      <c r="L75" s="91"/>
      <c r="M75" s="91"/>
      <c r="N75" s="92"/>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117</v>
      </c>
      <c r="H77" s="3"/>
      <c r="I77" s="3"/>
      <c r="J77" s="3"/>
      <c r="K77" s="3"/>
      <c r="L77" s="3"/>
      <c r="M77" s="3"/>
      <c r="N77" s="3"/>
      <c r="O77" s="3"/>
      <c r="P77" s="3"/>
      <c r="Q77" s="3"/>
      <c r="R77" s="3"/>
      <c r="S77" s="3"/>
    </row>
    <row r="78" spans="1:19" ht="18" customHeight="1" x14ac:dyDescent="0.15">
      <c r="B78" s="87" t="s">
        <v>53</v>
      </c>
      <c r="C78" s="88"/>
      <c r="D78" s="88"/>
      <c r="E78" s="89"/>
      <c r="F78" s="87" t="s">
        <v>81</v>
      </c>
      <c r="G78" s="88"/>
      <c r="H78" s="88"/>
      <c r="I78" s="89"/>
      <c r="J78" s="108" t="s">
        <v>53</v>
      </c>
      <c r="K78" s="109"/>
      <c r="L78" s="109"/>
      <c r="M78" s="109"/>
      <c r="N78" s="109"/>
      <c r="O78" s="110"/>
      <c r="P78" s="87" t="s">
        <v>81</v>
      </c>
      <c r="Q78" s="88"/>
      <c r="R78" s="88"/>
      <c r="S78" s="89"/>
    </row>
    <row r="79" spans="1:19" ht="18" customHeight="1" x14ac:dyDescent="0.15">
      <c r="A79" s="3"/>
      <c r="B79" s="81"/>
      <c r="C79" s="82"/>
      <c r="D79" s="82"/>
      <c r="E79" s="83"/>
      <c r="F79" s="102"/>
      <c r="G79" s="103"/>
      <c r="H79" s="103"/>
      <c r="I79" s="104"/>
      <c r="J79" s="81"/>
      <c r="K79" s="82"/>
      <c r="L79" s="82"/>
      <c r="M79" s="82"/>
      <c r="N79" s="82"/>
      <c r="O79" s="83"/>
      <c r="P79" s="102"/>
      <c r="Q79" s="103"/>
      <c r="R79" s="103"/>
      <c r="S79" s="104"/>
    </row>
    <row r="80" spans="1:19" ht="18" customHeight="1" x14ac:dyDescent="0.15">
      <c r="A80" s="3"/>
      <c r="B80" s="84"/>
      <c r="C80" s="85"/>
      <c r="D80" s="85"/>
      <c r="E80" s="86"/>
      <c r="F80" s="105"/>
      <c r="G80" s="106"/>
      <c r="H80" s="106"/>
      <c r="I80" s="107"/>
      <c r="J80" s="84"/>
      <c r="K80" s="85"/>
      <c r="L80" s="85"/>
      <c r="M80" s="85"/>
      <c r="N80" s="85"/>
      <c r="O80" s="86"/>
      <c r="P80" s="105"/>
      <c r="Q80" s="106"/>
      <c r="R80" s="106"/>
      <c r="S80" s="107"/>
    </row>
    <row r="81" spans="1:19" ht="18" customHeight="1" x14ac:dyDescent="0.15">
      <c r="A81" s="3"/>
      <c r="B81" s="84"/>
      <c r="C81" s="85"/>
      <c r="D81" s="85"/>
      <c r="E81" s="86"/>
      <c r="F81" s="105"/>
      <c r="G81" s="106"/>
      <c r="H81" s="106"/>
      <c r="I81" s="107"/>
      <c r="J81" s="84"/>
      <c r="K81" s="85"/>
      <c r="L81" s="85"/>
      <c r="M81" s="85"/>
      <c r="N81" s="85"/>
      <c r="O81" s="86"/>
      <c r="P81" s="105"/>
      <c r="Q81" s="106"/>
      <c r="R81" s="106"/>
      <c r="S81" s="107"/>
    </row>
    <row r="82" spans="1:19" ht="18" customHeight="1" x14ac:dyDescent="0.15">
      <c r="A82" s="3"/>
      <c r="B82" s="84"/>
      <c r="C82" s="85"/>
      <c r="D82" s="85"/>
      <c r="E82" s="86"/>
      <c r="F82" s="105"/>
      <c r="G82" s="106"/>
      <c r="H82" s="106"/>
      <c r="I82" s="107"/>
      <c r="J82" s="84"/>
      <c r="K82" s="85"/>
      <c r="L82" s="85"/>
      <c r="M82" s="85"/>
      <c r="N82" s="85"/>
      <c r="O82" s="86"/>
      <c r="P82" s="105"/>
      <c r="Q82" s="106"/>
      <c r="R82" s="106"/>
      <c r="S82" s="107"/>
    </row>
    <row r="83" spans="1:19" ht="18" customHeight="1" x14ac:dyDescent="0.15">
      <c r="A83" s="3"/>
      <c r="B83" s="84"/>
      <c r="C83" s="85"/>
      <c r="D83" s="85"/>
      <c r="E83" s="86"/>
      <c r="F83" s="105"/>
      <c r="G83" s="106"/>
      <c r="H83" s="106"/>
      <c r="I83" s="107"/>
      <c r="J83" s="84"/>
      <c r="K83" s="85"/>
      <c r="L83" s="85"/>
      <c r="M83" s="85"/>
      <c r="N83" s="85"/>
      <c r="O83" s="86"/>
      <c r="P83" s="105"/>
      <c r="Q83" s="106"/>
      <c r="R83" s="106"/>
      <c r="S83" s="107"/>
    </row>
    <row r="84" spans="1:19" ht="18" customHeight="1" x14ac:dyDescent="0.15">
      <c r="A84" s="3"/>
      <c r="B84" s="84"/>
      <c r="C84" s="85"/>
      <c r="D84" s="85"/>
      <c r="E84" s="86"/>
      <c r="F84" s="105"/>
      <c r="G84" s="106"/>
      <c r="H84" s="106"/>
      <c r="I84" s="107"/>
      <c r="J84" s="84"/>
      <c r="K84" s="85"/>
      <c r="L84" s="85"/>
      <c r="M84" s="85"/>
      <c r="N84" s="85"/>
      <c r="O84" s="86"/>
      <c r="P84" s="105"/>
      <c r="Q84" s="106"/>
      <c r="R84" s="106"/>
      <c r="S84" s="107"/>
    </row>
    <row r="85" spans="1:19" ht="18" customHeight="1" x14ac:dyDescent="0.15">
      <c r="A85" s="3"/>
      <c r="B85" s="90"/>
      <c r="C85" s="91"/>
      <c r="D85" s="91"/>
      <c r="E85" s="92"/>
      <c r="F85" s="114"/>
      <c r="G85" s="115"/>
      <c r="H85" s="115"/>
      <c r="I85" s="116"/>
      <c r="J85" s="90"/>
      <c r="K85" s="91"/>
      <c r="L85" s="91"/>
      <c r="M85" s="91"/>
      <c r="N85" s="91"/>
      <c r="O85" s="92"/>
      <c r="P85" s="114"/>
      <c r="Q85" s="115"/>
      <c r="R85" s="115"/>
      <c r="S85" s="116"/>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118</v>
      </c>
    </row>
    <row r="88" spans="1:19" ht="18.75" customHeight="1" x14ac:dyDescent="0.15">
      <c r="B88" s="100" t="s">
        <v>54</v>
      </c>
      <c r="C88" s="101"/>
      <c r="D88" s="88" t="s">
        <v>55</v>
      </c>
      <c r="E88" s="88"/>
      <c r="F88" s="88"/>
      <c r="G88" s="88"/>
      <c r="H88" s="88"/>
      <c r="I88" s="88"/>
      <c r="J88" s="88"/>
      <c r="K88" s="88"/>
      <c r="L88" s="88"/>
      <c r="M88" s="88"/>
      <c r="N88" s="88"/>
      <c r="O88" s="88"/>
      <c r="P88" s="88"/>
      <c r="Q88" s="88"/>
      <c r="R88" s="88"/>
      <c r="S88" s="89"/>
    </row>
    <row r="89" spans="1:19" ht="223.9" customHeight="1" x14ac:dyDescent="0.15">
      <c r="B89" s="94" t="s">
        <v>61</v>
      </c>
      <c r="C89" s="28" t="s">
        <v>56</v>
      </c>
      <c r="D89" s="97" t="s">
        <v>173</v>
      </c>
      <c r="E89" s="98"/>
      <c r="F89" s="98"/>
      <c r="G89" s="98"/>
      <c r="H89" s="98"/>
      <c r="I89" s="98"/>
      <c r="J89" s="98"/>
      <c r="K89" s="98"/>
      <c r="L89" s="98"/>
      <c r="M89" s="98"/>
      <c r="N89" s="98"/>
      <c r="O89" s="98"/>
      <c r="P89" s="98"/>
      <c r="Q89" s="98"/>
      <c r="R89" s="98"/>
      <c r="S89" s="99"/>
    </row>
    <row r="90" spans="1:19" ht="180" customHeight="1" x14ac:dyDescent="0.15">
      <c r="B90" s="95"/>
      <c r="C90" s="29" t="s">
        <v>77</v>
      </c>
      <c r="D90" s="117" t="s">
        <v>174</v>
      </c>
      <c r="E90" s="118"/>
      <c r="F90" s="118"/>
      <c r="G90" s="118"/>
      <c r="H90" s="118"/>
      <c r="I90" s="118"/>
      <c r="J90" s="118"/>
      <c r="K90" s="118"/>
      <c r="L90" s="118"/>
      <c r="M90" s="118"/>
      <c r="N90" s="118"/>
      <c r="O90" s="118"/>
      <c r="P90" s="118"/>
      <c r="Q90" s="118"/>
      <c r="R90" s="118"/>
      <c r="S90" s="119"/>
    </row>
    <row r="91" spans="1:19" ht="200.45" customHeight="1" x14ac:dyDescent="0.15">
      <c r="B91" s="94" t="s">
        <v>62</v>
      </c>
      <c r="C91" s="30" t="s">
        <v>71</v>
      </c>
      <c r="D91" s="120" t="s">
        <v>175</v>
      </c>
      <c r="E91" s="121"/>
      <c r="F91" s="121"/>
      <c r="G91" s="121"/>
      <c r="H91" s="121"/>
      <c r="I91" s="121"/>
      <c r="J91" s="121"/>
      <c r="K91" s="121"/>
      <c r="L91" s="121"/>
      <c r="M91" s="121"/>
      <c r="N91" s="121"/>
      <c r="O91" s="121"/>
      <c r="P91" s="121"/>
      <c r="Q91" s="121"/>
      <c r="R91" s="121"/>
      <c r="S91" s="122"/>
    </row>
    <row r="92" spans="1:19" ht="205.15" customHeight="1" x14ac:dyDescent="0.15">
      <c r="B92" s="96"/>
      <c r="C92" s="31" t="s">
        <v>72</v>
      </c>
      <c r="D92" s="126" t="s">
        <v>176</v>
      </c>
      <c r="E92" s="127"/>
      <c r="F92" s="127"/>
      <c r="G92" s="127"/>
      <c r="H92" s="127"/>
      <c r="I92" s="127"/>
      <c r="J92" s="127"/>
      <c r="K92" s="127"/>
      <c r="L92" s="127"/>
      <c r="M92" s="127"/>
      <c r="N92" s="127"/>
      <c r="O92" s="127"/>
      <c r="P92" s="127"/>
      <c r="Q92" s="127"/>
      <c r="R92" s="127"/>
      <c r="S92" s="128"/>
    </row>
    <row r="93" spans="1:19" ht="264" customHeight="1" x14ac:dyDescent="0.15">
      <c r="B93" s="94" t="s">
        <v>63</v>
      </c>
      <c r="C93" s="30" t="s">
        <v>73</v>
      </c>
      <c r="D93" s="120" t="s">
        <v>177</v>
      </c>
      <c r="E93" s="121"/>
      <c r="F93" s="121"/>
      <c r="G93" s="121"/>
      <c r="H93" s="121"/>
      <c r="I93" s="121"/>
      <c r="J93" s="121"/>
      <c r="K93" s="121"/>
      <c r="L93" s="121"/>
      <c r="M93" s="121"/>
      <c r="N93" s="121"/>
      <c r="O93" s="121"/>
      <c r="P93" s="121"/>
      <c r="Q93" s="121"/>
      <c r="R93" s="121"/>
      <c r="S93" s="122"/>
    </row>
    <row r="94" spans="1:19" ht="232.15" customHeight="1" x14ac:dyDescent="0.15">
      <c r="B94" s="96"/>
      <c r="C94" s="32" t="s">
        <v>74</v>
      </c>
      <c r="D94" s="123" t="s">
        <v>178</v>
      </c>
      <c r="E94" s="124"/>
      <c r="F94" s="124"/>
      <c r="G94" s="124"/>
      <c r="H94" s="124"/>
      <c r="I94" s="124"/>
      <c r="J94" s="124"/>
      <c r="K94" s="124"/>
      <c r="L94" s="124"/>
      <c r="M94" s="124"/>
      <c r="N94" s="124"/>
      <c r="O94" s="124"/>
      <c r="P94" s="124"/>
      <c r="Q94" s="124"/>
      <c r="R94" s="124"/>
      <c r="S94" s="125"/>
    </row>
    <row r="95" spans="1:19" ht="389.45" customHeight="1" x14ac:dyDescent="0.15">
      <c r="B95" s="94" t="s">
        <v>78</v>
      </c>
      <c r="C95" s="28" t="s">
        <v>58</v>
      </c>
      <c r="D95" s="97" t="s">
        <v>179</v>
      </c>
      <c r="E95" s="98"/>
      <c r="F95" s="98"/>
      <c r="G95" s="98"/>
      <c r="H95" s="98"/>
      <c r="I95" s="98"/>
      <c r="J95" s="98"/>
      <c r="K95" s="98"/>
      <c r="L95" s="98"/>
      <c r="M95" s="98"/>
      <c r="N95" s="98"/>
      <c r="O95" s="98"/>
      <c r="P95" s="98"/>
      <c r="Q95" s="98"/>
      <c r="R95" s="98"/>
      <c r="S95" s="99"/>
    </row>
    <row r="96" spans="1:19" ht="291" customHeight="1" x14ac:dyDescent="0.15">
      <c r="B96" s="96"/>
      <c r="C96" s="31" t="s">
        <v>60</v>
      </c>
      <c r="D96" s="126" t="s">
        <v>180</v>
      </c>
      <c r="E96" s="127"/>
      <c r="F96" s="127"/>
      <c r="G96" s="127"/>
      <c r="H96" s="127"/>
      <c r="I96" s="127"/>
      <c r="J96" s="127"/>
      <c r="K96" s="127"/>
      <c r="L96" s="127"/>
      <c r="M96" s="127"/>
      <c r="N96" s="127"/>
      <c r="O96" s="127"/>
      <c r="P96" s="127"/>
      <c r="Q96" s="127"/>
      <c r="R96" s="127"/>
      <c r="S96" s="128"/>
    </row>
    <row r="97" spans="1:19" ht="280.5" customHeight="1" x14ac:dyDescent="0.15">
      <c r="A97" s="263"/>
      <c r="B97" s="260" t="s">
        <v>191</v>
      </c>
      <c r="C97" s="251" t="s">
        <v>57</v>
      </c>
      <c r="D97" s="137" t="s">
        <v>181</v>
      </c>
      <c r="E97" s="138"/>
      <c r="F97" s="138"/>
      <c r="G97" s="138"/>
      <c r="H97" s="138"/>
      <c r="I97" s="138"/>
      <c r="J97" s="138"/>
      <c r="K97" s="138"/>
      <c r="L97" s="138"/>
      <c r="M97" s="138"/>
      <c r="N97" s="138"/>
      <c r="O97" s="138"/>
      <c r="P97" s="138"/>
      <c r="Q97" s="138"/>
      <c r="R97" s="138"/>
      <c r="S97" s="139"/>
    </row>
    <row r="98" spans="1:19" ht="280.5" customHeight="1" x14ac:dyDescent="0.15">
      <c r="A98" s="263"/>
      <c r="B98" s="259"/>
      <c r="C98" s="252"/>
      <c r="D98" s="140"/>
      <c r="E98" s="254"/>
      <c r="F98" s="254"/>
      <c r="G98" s="254"/>
      <c r="H98" s="254"/>
      <c r="I98" s="254"/>
      <c r="J98" s="254"/>
      <c r="K98" s="254"/>
      <c r="L98" s="254"/>
      <c r="M98" s="254"/>
      <c r="N98" s="254"/>
      <c r="O98" s="254"/>
      <c r="P98" s="254"/>
      <c r="Q98" s="254"/>
      <c r="R98" s="254"/>
      <c r="S98" s="142"/>
    </row>
    <row r="99" spans="1:19" ht="280.5" customHeight="1" x14ac:dyDescent="0.15">
      <c r="A99" s="263"/>
      <c r="B99" s="259"/>
      <c r="C99" s="252"/>
      <c r="D99" s="140"/>
      <c r="E99" s="254"/>
      <c r="F99" s="254"/>
      <c r="G99" s="254"/>
      <c r="H99" s="254"/>
      <c r="I99" s="254"/>
      <c r="J99" s="254"/>
      <c r="K99" s="254"/>
      <c r="L99" s="254"/>
      <c r="M99" s="254"/>
      <c r="N99" s="254"/>
      <c r="O99" s="254"/>
      <c r="P99" s="254"/>
      <c r="Q99" s="254"/>
      <c r="R99" s="254"/>
      <c r="S99" s="142"/>
    </row>
    <row r="100" spans="1:19" ht="280.5" customHeight="1" x14ac:dyDescent="0.15">
      <c r="A100" s="263"/>
      <c r="B100" s="259"/>
      <c r="C100" s="252"/>
      <c r="D100" s="140"/>
      <c r="E100" s="254"/>
      <c r="F100" s="254"/>
      <c r="G100" s="254"/>
      <c r="H100" s="254"/>
      <c r="I100" s="254"/>
      <c r="J100" s="254"/>
      <c r="K100" s="254"/>
      <c r="L100" s="254"/>
      <c r="M100" s="254"/>
      <c r="N100" s="254"/>
      <c r="O100" s="254"/>
      <c r="P100" s="254"/>
      <c r="Q100" s="254"/>
      <c r="R100" s="254"/>
      <c r="S100" s="142"/>
    </row>
    <row r="101" spans="1:19" ht="280.5" customHeight="1" x14ac:dyDescent="0.15">
      <c r="A101" s="263"/>
      <c r="B101" s="259"/>
      <c r="C101" s="252"/>
      <c r="D101" s="140"/>
      <c r="E101" s="254"/>
      <c r="F101" s="254"/>
      <c r="G101" s="254"/>
      <c r="H101" s="254"/>
      <c r="I101" s="254"/>
      <c r="J101" s="254"/>
      <c r="K101" s="254"/>
      <c r="L101" s="254"/>
      <c r="M101" s="254"/>
      <c r="N101" s="254"/>
      <c r="O101" s="254"/>
      <c r="P101" s="254"/>
      <c r="Q101" s="254"/>
      <c r="R101" s="254"/>
      <c r="S101" s="142"/>
    </row>
    <row r="102" spans="1:19" ht="280.5" customHeight="1" x14ac:dyDescent="0.15">
      <c r="A102" s="263"/>
      <c r="B102" s="259"/>
      <c r="C102" s="252"/>
      <c r="D102" s="140"/>
      <c r="E102" s="254"/>
      <c r="F102" s="254"/>
      <c r="G102" s="254"/>
      <c r="H102" s="254"/>
      <c r="I102" s="254"/>
      <c r="J102" s="254"/>
      <c r="K102" s="254"/>
      <c r="L102" s="254"/>
      <c r="M102" s="254"/>
      <c r="N102" s="254"/>
      <c r="O102" s="254"/>
      <c r="P102" s="254"/>
      <c r="Q102" s="254"/>
      <c r="R102" s="254"/>
      <c r="S102" s="142"/>
    </row>
    <row r="103" spans="1:19" ht="280.5" customHeight="1" x14ac:dyDescent="0.15">
      <c r="A103" s="263"/>
      <c r="B103" s="259"/>
      <c r="C103" s="252"/>
      <c r="D103" s="140"/>
      <c r="E103" s="254"/>
      <c r="F103" s="254"/>
      <c r="G103" s="254"/>
      <c r="H103" s="254"/>
      <c r="I103" s="254"/>
      <c r="J103" s="254"/>
      <c r="K103" s="254"/>
      <c r="L103" s="254"/>
      <c r="M103" s="254"/>
      <c r="N103" s="254"/>
      <c r="O103" s="254"/>
      <c r="P103" s="254"/>
      <c r="Q103" s="254"/>
      <c r="R103" s="254"/>
      <c r="S103" s="142"/>
    </row>
    <row r="104" spans="1:19" ht="280.5" customHeight="1" x14ac:dyDescent="0.15">
      <c r="A104" s="263"/>
      <c r="B104" s="259"/>
      <c r="C104" s="252"/>
      <c r="D104" s="140"/>
      <c r="E104" s="254"/>
      <c r="F104" s="254"/>
      <c r="G104" s="254"/>
      <c r="H104" s="254"/>
      <c r="I104" s="254"/>
      <c r="J104" s="254"/>
      <c r="K104" s="254"/>
      <c r="L104" s="254"/>
      <c r="M104" s="254"/>
      <c r="N104" s="254"/>
      <c r="O104" s="254"/>
      <c r="P104" s="254"/>
      <c r="Q104" s="254"/>
      <c r="R104" s="254"/>
      <c r="S104" s="142"/>
    </row>
    <row r="105" spans="1:19" ht="280.5" customHeight="1" x14ac:dyDescent="0.15">
      <c r="A105" s="263"/>
      <c r="B105" s="259"/>
      <c r="C105" s="252"/>
      <c r="D105" s="140"/>
      <c r="E105" s="254"/>
      <c r="F105" s="254"/>
      <c r="G105" s="254"/>
      <c r="H105" s="254"/>
      <c r="I105" s="254"/>
      <c r="J105" s="254"/>
      <c r="K105" s="254"/>
      <c r="L105" s="254"/>
      <c r="M105" s="254"/>
      <c r="N105" s="254"/>
      <c r="O105" s="254"/>
      <c r="P105" s="254"/>
      <c r="Q105" s="254"/>
      <c r="R105" s="254"/>
      <c r="S105" s="142"/>
    </row>
    <row r="106" spans="1:19" ht="280.5" customHeight="1" x14ac:dyDescent="0.15">
      <c r="A106" s="263"/>
      <c r="B106" s="259"/>
      <c r="C106" s="252"/>
      <c r="D106" s="140"/>
      <c r="E106" s="254"/>
      <c r="F106" s="254"/>
      <c r="G106" s="254"/>
      <c r="H106" s="254"/>
      <c r="I106" s="254"/>
      <c r="J106" s="254"/>
      <c r="K106" s="254"/>
      <c r="L106" s="254"/>
      <c r="M106" s="254"/>
      <c r="N106" s="254"/>
      <c r="O106" s="254"/>
      <c r="P106" s="254"/>
      <c r="Q106" s="254"/>
      <c r="R106" s="254"/>
      <c r="S106" s="142"/>
    </row>
    <row r="107" spans="1:19" ht="280.5" customHeight="1" x14ac:dyDescent="0.15">
      <c r="A107" s="263"/>
      <c r="B107" s="259"/>
      <c r="C107" s="252"/>
      <c r="D107" s="140"/>
      <c r="E107" s="254"/>
      <c r="F107" s="254"/>
      <c r="G107" s="254"/>
      <c r="H107" s="254"/>
      <c r="I107" s="254"/>
      <c r="J107" s="254"/>
      <c r="K107" s="254"/>
      <c r="L107" s="254"/>
      <c r="M107" s="254"/>
      <c r="N107" s="254"/>
      <c r="O107" s="254"/>
      <c r="P107" s="254"/>
      <c r="Q107" s="254"/>
      <c r="R107" s="254"/>
      <c r="S107" s="142"/>
    </row>
    <row r="108" spans="1:19" ht="43.5" customHeight="1" x14ac:dyDescent="0.15">
      <c r="A108" s="263"/>
      <c r="B108" s="259"/>
      <c r="C108" s="253"/>
      <c r="D108" s="255"/>
      <c r="E108" s="256"/>
      <c r="F108" s="256"/>
      <c r="G108" s="256"/>
      <c r="H108" s="256"/>
      <c r="I108" s="256"/>
      <c r="J108" s="256"/>
      <c r="K108" s="256"/>
      <c r="L108" s="256"/>
      <c r="M108" s="256"/>
      <c r="N108" s="256"/>
      <c r="O108" s="256"/>
      <c r="P108" s="256"/>
      <c r="Q108" s="256"/>
      <c r="R108" s="256"/>
      <c r="S108" s="257"/>
    </row>
    <row r="109" spans="1:19" ht="162.75" customHeight="1" x14ac:dyDescent="0.15">
      <c r="A109" s="262"/>
      <c r="B109" s="259"/>
      <c r="C109" s="264" t="s">
        <v>75</v>
      </c>
      <c r="D109" s="265" t="s">
        <v>183</v>
      </c>
      <c r="E109" s="266"/>
      <c r="F109" s="266"/>
      <c r="G109" s="266"/>
      <c r="H109" s="266"/>
      <c r="I109" s="266"/>
      <c r="J109" s="266"/>
      <c r="K109" s="266"/>
      <c r="L109" s="266"/>
      <c r="M109" s="266"/>
      <c r="N109" s="266"/>
      <c r="O109" s="266"/>
      <c r="P109" s="266"/>
      <c r="Q109" s="266"/>
      <c r="R109" s="266"/>
      <c r="S109" s="267"/>
    </row>
    <row r="110" spans="1:19" ht="162.75" customHeight="1" x14ac:dyDescent="0.15">
      <c r="A110" s="262"/>
      <c r="B110" s="259"/>
      <c r="C110" s="252"/>
      <c r="D110" s="140"/>
      <c r="E110" s="254"/>
      <c r="F110" s="254"/>
      <c r="G110" s="254"/>
      <c r="H110" s="254"/>
      <c r="I110" s="254"/>
      <c r="J110" s="254"/>
      <c r="K110" s="254"/>
      <c r="L110" s="254"/>
      <c r="M110" s="254"/>
      <c r="N110" s="254"/>
      <c r="O110" s="254"/>
      <c r="P110" s="254"/>
      <c r="Q110" s="254"/>
      <c r="R110" s="254"/>
      <c r="S110" s="142"/>
    </row>
    <row r="111" spans="1:19" ht="162.75" customHeight="1" x14ac:dyDescent="0.15">
      <c r="A111" s="262"/>
      <c r="B111" s="259"/>
      <c r="C111" s="252"/>
      <c r="D111" s="140"/>
      <c r="E111" s="254"/>
      <c r="F111" s="254"/>
      <c r="G111" s="254"/>
      <c r="H111" s="254"/>
      <c r="I111" s="254"/>
      <c r="J111" s="254"/>
      <c r="K111" s="254"/>
      <c r="L111" s="254"/>
      <c r="M111" s="254"/>
      <c r="N111" s="254"/>
      <c r="O111" s="254"/>
      <c r="P111" s="254"/>
      <c r="Q111" s="254"/>
      <c r="R111" s="254"/>
      <c r="S111" s="142"/>
    </row>
    <row r="112" spans="1:19" ht="162.75" customHeight="1" x14ac:dyDescent="0.15">
      <c r="A112" s="262"/>
      <c r="B112" s="259"/>
      <c r="C112" s="252"/>
      <c r="D112" s="140"/>
      <c r="E112" s="254"/>
      <c r="F112" s="254"/>
      <c r="G112" s="254"/>
      <c r="H112" s="254"/>
      <c r="I112" s="254"/>
      <c r="J112" s="254"/>
      <c r="K112" s="254"/>
      <c r="L112" s="254"/>
      <c r="M112" s="254"/>
      <c r="N112" s="254"/>
      <c r="O112" s="254"/>
      <c r="P112" s="254"/>
      <c r="Q112" s="254"/>
      <c r="R112" s="254"/>
      <c r="S112" s="142"/>
    </row>
    <row r="113" spans="1:19" ht="162.75" customHeight="1" x14ac:dyDescent="0.15">
      <c r="A113" s="262"/>
      <c r="B113" s="259"/>
      <c r="C113" s="252"/>
      <c r="D113" s="140"/>
      <c r="E113" s="254"/>
      <c r="F113" s="254"/>
      <c r="G113" s="254"/>
      <c r="H113" s="254"/>
      <c r="I113" s="254"/>
      <c r="J113" s="254"/>
      <c r="K113" s="254"/>
      <c r="L113" s="254"/>
      <c r="M113" s="254"/>
      <c r="N113" s="254"/>
      <c r="O113" s="254"/>
      <c r="P113" s="254"/>
      <c r="Q113" s="254"/>
      <c r="R113" s="254"/>
      <c r="S113" s="142"/>
    </row>
    <row r="114" spans="1:19" ht="162.75" customHeight="1" x14ac:dyDescent="0.15">
      <c r="A114" s="262"/>
      <c r="B114" s="259"/>
      <c r="C114" s="252"/>
      <c r="D114" s="140"/>
      <c r="E114" s="254"/>
      <c r="F114" s="254"/>
      <c r="G114" s="254"/>
      <c r="H114" s="254"/>
      <c r="I114" s="254"/>
      <c r="J114" s="254"/>
      <c r="K114" s="254"/>
      <c r="L114" s="254"/>
      <c r="M114" s="254"/>
      <c r="N114" s="254"/>
      <c r="O114" s="254"/>
      <c r="P114" s="254"/>
      <c r="Q114" s="254"/>
      <c r="R114" s="254"/>
      <c r="S114" s="142"/>
    </row>
    <row r="115" spans="1:19" ht="162.75" customHeight="1" x14ac:dyDescent="0.15">
      <c r="A115" s="262"/>
      <c r="B115" s="259"/>
      <c r="C115" s="252"/>
      <c r="D115" s="140"/>
      <c r="E115" s="254"/>
      <c r="F115" s="254"/>
      <c r="G115" s="254"/>
      <c r="H115" s="254"/>
      <c r="I115" s="254"/>
      <c r="J115" s="254"/>
      <c r="K115" s="254"/>
      <c r="L115" s="254"/>
      <c r="M115" s="254"/>
      <c r="N115" s="254"/>
      <c r="O115" s="254"/>
      <c r="P115" s="254"/>
      <c r="Q115" s="254"/>
      <c r="R115" s="254"/>
      <c r="S115" s="142"/>
    </row>
    <row r="116" spans="1:19" ht="162.75" customHeight="1" x14ac:dyDescent="0.15">
      <c r="A116" s="262"/>
      <c r="B116" s="259"/>
      <c r="C116" s="252"/>
      <c r="D116" s="140"/>
      <c r="E116" s="254"/>
      <c r="F116" s="254"/>
      <c r="G116" s="254"/>
      <c r="H116" s="254"/>
      <c r="I116" s="254"/>
      <c r="J116" s="254"/>
      <c r="K116" s="254"/>
      <c r="L116" s="254"/>
      <c r="M116" s="254"/>
      <c r="N116" s="254"/>
      <c r="O116" s="254"/>
      <c r="P116" s="254"/>
      <c r="Q116" s="254"/>
      <c r="R116" s="254"/>
      <c r="S116" s="142"/>
    </row>
    <row r="117" spans="1:19" ht="162.75" customHeight="1" x14ac:dyDescent="0.15">
      <c r="A117" s="262"/>
      <c r="B117" s="259"/>
      <c r="C117" s="252"/>
      <c r="D117" s="140"/>
      <c r="E117" s="254"/>
      <c r="F117" s="254"/>
      <c r="G117" s="254"/>
      <c r="H117" s="254"/>
      <c r="I117" s="254"/>
      <c r="J117" s="254"/>
      <c r="K117" s="254"/>
      <c r="L117" s="254"/>
      <c r="M117" s="254"/>
      <c r="N117" s="254"/>
      <c r="O117" s="254"/>
      <c r="P117" s="254"/>
      <c r="Q117" s="254"/>
      <c r="R117" s="254"/>
      <c r="S117" s="142"/>
    </row>
    <row r="118" spans="1:19" ht="162.75" customHeight="1" x14ac:dyDescent="0.15">
      <c r="A118" s="262"/>
      <c r="B118" s="259"/>
      <c r="C118" s="252"/>
      <c r="D118" s="140"/>
      <c r="E118" s="254"/>
      <c r="F118" s="254"/>
      <c r="G118" s="254"/>
      <c r="H118" s="254"/>
      <c r="I118" s="254"/>
      <c r="J118" s="254"/>
      <c r="K118" s="254"/>
      <c r="L118" s="254"/>
      <c r="M118" s="254"/>
      <c r="N118" s="254"/>
      <c r="O118" s="254"/>
      <c r="P118" s="254"/>
      <c r="Q118" s="254"/>
      <c r="R118" s="254"/>
      <c r="S118" s="142"/>
    </row>
    <row r="119" spans="1:19" ht="162.75" customHeight="1" x14ac:dyDescent="0.15">
      <c r="A119" s="262"/>
      <c r="B119" s="259"/>
      <c r="C119" s="252"/>
      <c r="D119" s="140"/>
      <c r="E119" s="254"/>
      <c r="F119" s="254"/>
      <c r="G119" s="254"/>
      <c r="H119" s="254"/>
      <c r="I119" s="254"/>
      <c r="J119" s="254"/>
      <c r="K119" s="254"/>
      <c r="L119" s="254"/>
      <c r="M119" s="254"/>
      <c r="N119" s="254"/>
      <c r="O119" s="254"/>
      <c r="P119" s="254"/>
      <c r="Q119" s="254"/>
      <c r="R119" s="254"/>
      <c r="S119" s="142"/>
    </row>
    <row r="120" spans="1:19" ht="50.25" customHeight="1" x14ac:dyDescent="0.15">
      <c r="A120" s="258"/>
      <c r="B120" s="259"/>
      <c r="C120" s="253"/>
      <c r="D120" s="255"/>
      <c r="E120" s="256"/>
      <c r="F120" s="256"/>
      <c r="G120" s="256"/>
      <c r="H120" s="256"/>
      <c r="I120" s="256"/>
      <c r="J120" s="256"/>
      <c r="K120" s="256"/>
      <c r="L120" s="256"/>
      <c r="M120" s="256"/>
      <c r="N120" s="256"/>
      <c r="O120" s="256"/>
      <c r="P120" s="256"/>
      <c r="Q120" s="256"/>
      <c r="R120" s="256"/>
      <c r="S120" s="257"/>
    </row>
    <row r="121" spans="1:19" ht="215.25" customHeight="1" x14ac:dyDescent="0.15">
      <c r="A121" s="258"/>
      <c r="B121" s="259"/>
      <c r="C121" s="264" t="s">
        <v>76</v>
      </c>
      <c r="D121" s="269" t="s">
        <v>182</v>
      </c>
      <c r="E121" s="270"/>
      <c r="F121" s="270"/>
      <c r="G121" s="270"/>
      <c r="H121" s="270"/>
      <c r="I121" s="270"/>
      <c r="J121" s="270"/>
      <c r="K121" s="270"/>
      <c r="L121" s="270"/>
      <c r="M121" s="270"/>
      <c r="N121" s="270"/>
      <c r="O121" s="270"/>
      <c r="P121" s="270"/>
      <c r="Q121" s="270"/>
      <c r="R121" s="270"/>
      <c r="S121" s="271"/>
    </row>
    <row r="122" spans="1:19" ht="215.25" customHeight="1" x14ac:dyDescent="0.15">
      <c r="A122" s="258"/>
      <c r="B122" s="259"/>
      <c r="C122" s="252"/>
      <c r="D122" s="272"/>
      <c r="E122" s="273"/>
      <c r="F122" s="273"/>
      <c r="G122" s="273"/>
      <c r="H122" s="273"/>
      <c r="I122" s="273"/>
      <c r="J122" s="273"/>
      <c r="K122" s="273"/>
      <c r="L122" s="273"/>
      <c r="M122" s="273"/>
      <c r="N122" s="273"/>
      <c r="O122" s="273"/>
      <c r="P122" s="273"/>
      <c r="Q122" s="273"/>
      <c r="R122" s="273"/>
      <c r="S122" s="274"/>
    </row>
    <row r="123" spans="1:19" ht="215.25" customHeight="1" x14ac:dyDescent="0.15">
      <c r="A123" s="258"/>
      <c r="B123" s="259"/>
      <c r="C123" s="252"/>
      <c r="D123" s="272"/>
      <c r="E123" s="273"/>
      <c r="F123" s="273"/>
      <c r="G123" s="273"/>
      <c r="H123" s="273"/>
      <c r="I123" s="273"/>
      <c r="J123" s="273"/>
      <c r="K123" s="273"/>
      <c r="L123" s="273"/>
      <c r="M123" s="273"/>
      <c r="N123" s="273"/>
      <c r="O123" s="273"/>
      <c r="P123" s="273"/>
      <c r="Q123" s="273"/>
      <c r="R123" s="273"/>
      <c r="S123" s="274"/>
    </row>
    <row r="124" spans="1:19" ht="215.25" customHeight="1" x14ac:dyDescent="0.15">
      <c r="A124" s="258"/>
      <c r="B124" s="259"/>
      <c r="C124" s="252"/>
      <c r="D124" s="272"/>
      <c r="E124" s="273"/>
      <c r="F124" s="273"/>
      <c r="G124" s="273"/>
      <c r="H124" s="273"/>
      <c r="I124" s="273"/>
      <c r="J124" s="273"/>
      <c r="K124" s="273"/>
      <c r="L124" s="273"/>
      <c r="M124" s="273"/>
      <c r="N124" s="273"/>
      <c r="O124" s="273"/>
      <c r="P124" s="273"/>
      <c r="Q124" s="273"/>
      <c r="R124" s="273"/>
      <c r="S124" s="274"/>
    </row>
    <row r="125" spans="1:19" ht="215.25" customHeight="1" x14ac:dyDescent="0.15">
      <c r="A125" s="258"/>
      <c r="B125" s="259"/>
      <c r="C125" s="252"/>
      <c r="D125" s="272"/>
      <c r="E125" s="273"/>
      <c r="F125" s="273"/>
      <c r="G125" s="273"/>
      <c r="H125" s="273"/>
      <c r="I125" s="273"/>
      <c r="J125" s="273"/>
      <c r="K125" s="273"/>
      <c r="L125" s="273"/>
      <c r="M125" s="273"/>
      <c r="N125" s="273"/>
      <c r="O125" s="273"/>
      <c r="P125" s="273"/>
      <c r="Q125" s="273"/>
      <c r="R125" s="273"/>
      <c r="S125" s="274"/>
    </row>
    <row r="126" spans="1:19" ht="215.25" customHeight="1" x14ac:dyDescent="0.15">
      <c r="A126" s="258"/>
      <c r="B126" s="259"/>
      <c r="C126" s="252"/>
      <c r="D126" s="272"/>
      <c r="E126" s="273"/>
      <c r="F126" s="273"/>
      <c r="G126" s="273"/>
      <c r="H126" s="273"/>
      <c r="I126" s="273"/>
      <c r="J126" s="273"/>
      <c r="K126" s="273"/>
      <c r="L126" s="273"/>
      <c r="M126" s="273"/>
      <c r="N126" s="273"/>
      <c r="O126" s="273"/>
      <c r="P126" s="273"/>
      <c r="Q126" s="273"/>
      <c r="R126" s="273"/>
      <c r="S126" s="274"/>
    </row>
    <row r="127" spans="1:19" ht="215.25" customHeight="1" x14ac:dyDescent="0.15">
      <c r="A127" s="258"/>
      <c r="B127" s="259"/>
      <c r="C127" s="252"/>
      <c r="D127" s="272"/>
      <c r="E127" s="273"/>
      <c r="F127" s="273"/>
      <c r="G127" s="273"/>
      <c r="H127" s="273"/>
      <c r="I127" s="273"/>
      <c r="J127" s="273"/>
      <c r="K127" s="273"/>
      <c r="L127" s="273"/>
      <c r="M127" s="273"/>
      <c r="N127" s="273"/>
      <c r="O127" s="273"/>
      <c r="P127" s="273"/>
      <c r="Q127" s="273"/>
      <c r="R127" s="273"/>
      <c r="S127" s="274"/>
    </row>
    <row r="128" spans="1:19" ht="215.25" customHeight="1" x14ac:dyDescent="0.15">
      <c r="A128" s="258"/>
      <c r="B128" s="259"/>
      <c r="C128" s="252"/>
      <c r="D128" s="272"/>
      <c r="E128" s="273"/>
      <c r="F128" s="273"/>
      <c r="G128" s="273"/>
      <c r="H128" s="273"/>
      <c r="I128" s="273"/>
      <c r="J128" s="273"/>
      <c r="K128" s="273"/>
      <c r="L128" s="273"/>
      <c r="M128" s="273"/>
      <c r="N128" s="273"/>
      <c r="O128" s="273"/>
      <c r="P128" s="273"/>
      <c r="Q128" s="273"/>
      <c r="R128" s="273"/>
      <c r="S128" s="274"/>
    </row>
    <row r="129" spans="1:19" ht="215.25" customHeight="1" x14ac:dyDescent="0.15">
      <c r="A129" s="258"/>
      <c r="B129" s="259"/>
      <c r="C129" s="252"/>
      <c r="D129" s="272"/>
      <c r="E129" s="273"/>
      <c r="F129" s="273"/>
      <c r="G129" s="273"/>
      <c r="H129" s="273"/>
      <c r="I129" s="273"/>
      <c r="J129" s="273"/>
      <c r="K129" s="273"/>
      <c r="L129" s="273"/>
      <c r="M129" s="273"/>
      <c r="N129" s="273"/>
      <c r="O129" s="273"/>
      <c r="P129" s="273"/>
      <c r="Q129" s="273"/>
      <c r="R129" s="273"/>
      <c r="S129" s="274"/>
    </row>
    <row r="130" spans="1:19" ht="215.25" customHeight="1" x14ac:dyDescent="0.15">
      <c r="A130" s="258"/>
      <c r="B130" s="259"/>
      <c r="C130" s="252"/>
      <c r="D130" s="272"/>
      <c r="E130" s="273"/>
      <c r="F130" s="273"/>
      <c r="G130" s="273"/>
      <c r="H130" s="273"/>
      <c r="I130" s="273"/>
      <c r="J130" s="273"/>
      <c r="K130" s="273"/>
      <c r="L130" s="273"/>
      <c r="M130" s="273"/>
      <c r="N130" s="273"/>
      <c r="O130" s="273"/>
      <c r="P130" s="273"/>
      <c r="Q130" s="273"/>
      <c r="R130" s="273"/>
      <c r="S130" s="274"/>
    </row>
    <row r="131" spans="1:19" ht="111.75" customHeight="1" x14ac:dyDescent="0.15">
      <c r="A131" s="258"/>
      <c r="B131" s="259"/>
      <c r="C131" s="252"/>
      <c r="D131" s="272"/>
      <c r="E131" s="273"/>
      <c r="F131" s="273"/>
      <c r="G131" s="273"/>
      <c r="H131" s="273"/>
      <c r="I131" s="273"/>
      <c r="J131" s="273"/>
      <c r="K131" s="273"/>
      <c r="L131" s="273"/>
      <c r="M131" s="273"/>
      <c r="N131" s="273"/>
      <c r="O131" s="273"/>
      <c r="P131" s="273"/>
      <c r="Q131" s="273"/>
      <c r="R131" s="273"/>
      <c r="S131" s="274"/>
    </row>
    <row r="132" spans="1:19" ht="51" customHeight="1" x14ac:dyDescent="0.15">
      <c r="B132" s="261"/>
      <c r="C132" s="268"/>
      <c r="D132" s="275"/>
      <c r="E132" s="276"/>
      <c r="F132" s="276"/>
      <c r="G132" s="276"/>
      <c r="H132" s="276"/>
      <c r="I132" s="276"/>
      <c r="J132" s="276"/>
      <c r="K132" s="276"/>
      <c r="L132" s="276"/>
      <c r="M132" s="276"/>
      <c r="N132" s="276"/>
      <c r="O132" s="276"/>
      <c r="P132" s="276"/>
      <c r="Q132" s="276"/>
      <c r="R132" s="276"/>
      <c r="S132" s="277"/>
    </row>
    <row r="133" spans="1:19" ht="6" customHeight="1" x14ac:dyDescent="0.15"/>
    <row r="134" spans="1:19" ht="18.75" customHeight="1" x14ac:dyDescent="0.15">
      <c r="A134" s="1" t="s">
        <v>119</v>
      </c>
    </row>
    <row r="135" spans="1:19" ht="81.75" customHeight="1" x14ac:dyDescent="0.15">
      <c r="B135" s="111" t="s">
        <v>172</v>
      </c>
      <c r="C135" s="112"/>
      <c r="D135" s="112"/>
      <c r="E135" s="112"/>
      <c r="F135" s="112"/>
      <c r="G135" s="112"/>
      <c r="H135" s="112"/>
      <c r="I135" s="112"/>
      <c r="J135" s="112"/>
      <c r="K135" s="112"/>
      <c r="L135" s="112"/>
      <c r="M135" s="112"/>
      <c r="N135" s="112"/>
      <c r="O135" s="112"/>
      <c r="P135" s="112"/>
      <c r="Q135" s="112"/>
      <c r="R135" s="112"/>
      <c r="S135" s="113"/>
    </row>
    <row r="143" spans="1:19" ht="18" customHeight="1" x14ac:dyDescent="0.15"/>
  </sheetData>
  <mergeCells count="148">
    <mergeCell ref="C97:C108"/>
    <mergeCell ref="B97:B132"/>
    <mergeCell ref="D97:S108"/>
    <mergeCell ref="C109:C120"/>
    <mergeCell ref="D109:S120"/>
    <mergeCell ref="C121:C132"/>
    <mergeCell ref="D121:S132"/>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35:S135"/>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25AE-2117-41C0-9455-A9BFC2FFAF7F}">
  <sheetPr>
    <pageSetUpPr fitToPage="1"/>
  </sheetPr>
  <dimension ref="A1:V143"/>
  <sheetViews>
    <sheetView showZeros="0" view="pageBreakPreview" zoomScaleNormal="90" zoomScaleSheetLayoutView="10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9" t="s">
        <v>164</v>
      </c>
      <c r="S1" s="129"/>
      <c r="T1" s="2" t="s">
        <v>108</v>
      </c>
    </row>
    <row r="2" spans="1:22" ht="18.75" customHeight="1" x14ac:dyDescent="0.15">
      <c r="B2" s="33" t="s">
        <v>107</v>
      </c>
      <c r="C2" s="87" t="s">
        <v>125</v>
      </c>
      <c r="D2" s="88"/>
      <c r="E2" s="88"/>
      <c r="F2" s="88"/>
      <c r="G2" s="88"/>
      <c r="H2" s="88"/>
      <c r="I2" s="89"/>
      <c r="J2" s="34"/>
      <c r="K2" s="6"/>
      <c r="L2" s="6"/>
      <c r="M2" s="6"/>
      <c r="N2" s="6"/>
      <c r="O2" s="6"/>
      <c r="P2" s="6"/>
      <c r="Q2" s="6"/>
      <c r="R2" s="6"/>
      <c r="S2" s="6"/>
    </row>
    <row r="3" spans="1:22" ht="18.75" customHeight="1" x14ac:dyDescent="0.15">
      <c r="B3" s="33" t="s">
        <v>101</v>
      </c>
      <c r="C3" s="133" t="s">
        <v>126</v>
      </c>
      <c r="D3" s="134"/>
      <c r="E3" s="134"/>
      <c r="F3" s="134"/>
      <c r="G3" s="134"/>
      <c r="H3" s="134"/>
      <c r="I3" s="135"/>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36" t="s">
        <v>38</v>
      </c>
      <c r="B5" s="136"/>
      <c r="C5" s="136"/>
      <c r="D5" s="136"/>
      <c r="E5" s="136"/>
      <c r="F5" s="136"/>
      <c r="G5" s="136"/>
      <c r="H5" s="136"/>
      <c r="I5" s="136"/>
      <c r="J5" s="136"/>
      <c r="K5" s="136"/>
      <c r="L5" s="136"/>
      <c r="M5" s="136"/>
      <c r="N5" s="136"/>
      <c r="O5" s="136"/>
      <c r="P5" s="136"/>
      <c r="Q5" s="136"/>
      <c r="R5" s="136"/>
      <c r="S5" s="13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123</v>
      </c>
      <c r="C7" s="3"/>
      <c r="J7" s="37" t="s">
        <v>106</v>
      </c>
      <c r="K7" s="133" t="s">
        <v>139</v>
      </c>
      <c r="L7" s="134"/>
      <c r="M7" s="134"/>
      <c r="N7" s="134"/>
      <c r="O7" s="134"/>
      <c r="P7" s="134"/>
      <c r="Q7" s="134"/>
      <c r="R7" s="134"/>
      <c r="S7" s="13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6" t="s">
        <v>144</v>
      </c>
      <c r="C9" s="147"/>
      <c r="D9" s="147"/>
      <c r="E9" s="147"/>
      <c r="F9" s="147"/>
      <c r="G9" s="147"/>
      <c r="H9" s="147"/>
      <c r="I9" s="147"/>
      <c r="J9" s="147"/>
      <c r="K9" s="147"/>
      <c r="L9" s="147"/>
      <c r="M9" s="147"/>
      <c r="N9" s="147"/>
      <c r="O9" s="147"/>
      <c r="P9" s="147"/>
      <c r="Q9" s="147"/>
      <c r="R9" s="147"/>
      <c r="S9" s="148"/>
    </row>
    <row r="10" spans="1:22" ht="18" customHeight="1" x14ac:dyDescent="0.15">
      <c r="B10" s="149"/>
      <c r="C10" s="150"/>
      <c r="D10" s="150"/>
      <c r="E10" s="150"/>
      <c r="F10" s="150"/>
      <c r="G10" s="150"/>
      <c r="H10" s="150"/>
      <c r="I10" s="150"/>
      <c r="J10" s="150"/>
      <c r="K10" s="150"/>
      <c r="L10" s="150"/>
      <c r="M10" s="150"/>
      <c r="N10" s="150"/>
      <c r="O10" s="150"/>
      <c r="P10" s="150"/>
      <c r="Q10" s="150"/>
      <c r="R10" s="150"/>
      <c r="S10" s="15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110</v>
      </c>
      <c r="B12" s="3"/>
      <c r="C12" s="3"/>
      <c r="D12" s="34"/>
      <c r="E12" s="34"/>
      <c r="F12" s="34"/>
      <c r="G12" s="34"/>
      <c r="H12" s="34"/>
      <c r="I12" s="34"/>
      <c r="J12" s="34"/>
      <c r="K12" s="38"/>
      <c r="L12" s="38"/>
      <c r="M12" s="38"/>
      <c r="N12" s="38"/>
      <c r="O12" s="38"/>
      <c r="P12" s="38"/>
      <c r="Q12" s="38"/>
      <c r="R12" s="38"/>
      <c r="S12" s="38"/>
    </row>
    <row r="13" spans="1:22" ht="18" customHeight="1" x14ac:dyDescent="0.15">
      <c r="B13" s="137" t="s">
        <v>163</v>
      </c>
      <c r="C13" s="138"/>
      <c r="D13" s="138"/>
      <c r="E13" s="138"/>
      <c r="F13" s="138"/>
      <c r="G13" s="138"/>
      <c r="H13" s="138"/>
      <c r="I13" s="138"/>
      <c r="J13" s="138"/>
      <c r="K13" s="138"/>
      <c r="L13" s="138"/>
      <c r="M13" s="138"/>
      <c r="N13" s="138"/>
      <c r="O13" s="138"/>
      <c r="P13" s="138"/>
      <c r="Q13" s="138"/>
      <c r="R13" s="138"/>
      <c r="S13" s="139"/>
      <c r="V13" s="1" t="s">
        <v>102</v>
      </c>
    </row>
    <row r="14" spans="1:22" ht="18" customHeight="1" x14ac:dyDescent="0.15">
      <c r="B14" s="140"/>
      <c r="C14" s="141"/>
      <c r="D14" s="141"/>
      <c r="E14" s="141"/>
      <c r="F14" s="141"/>
      <c r="G14" s="141"/>
      <c r="H14" s="141"/>
      <c r="I14" s="141"/>
      <c r="J14" s="141"/>
      <c r="K14" s="141"/>
      <c r="L14" s="141"/>
      <c r="M14" s="141"/>
      <c r="N14" s="141"/>
      <c r="O14" s="141"/>
      <c r="P14" s="141"/>
      <c r="Q14" s="141"/>
      <c r="R14" s="141"/>
      <c r="S14" s="142"/>
      <c r="V14" s="1" t="s">
        <v>109</v>
      </c>
    </row>
    <row r="15" spans="1:22" ht="18" customHeight="1" x14ac:dyDescent="0.15">
      <c r="B15" s="140"/>
      <c r="C15" s="141"/>
      <c r="D15" s="141"/>
      <c r="E15" s="141"/>
      <c r="F15" s="141"/>
      <c r="G15" s="141"/>
      <c r="H15" s="141"/>
      <c r="I15" s="141"/>
      <c r="J15" s="141"/>
      <c r="K15" s="141"/>
      <c r="L15" s="141"/>
      <c r="M15" s="141"/>
      <c r="N15" s="141"/>
      <c r="O15" s="141"/>
      <c r="P15" s="141"/>
      <c r="Q15" s="141"/>
      <c r="R15" s="141"/>
      <c r="S15" s="142"/>
      <c r="V15" s="1" t="s">
        <v>122</v>
      </c>
    </row>
    <row r="16" spans="1:22" ht="18" customHeight="1" x14ac:dyDescent="0.15">
      <c r="B16" s="140"/>
      <c r="C16" s="141"/>
      <c r="D16" s="141"/>
      <c r="E16" s="141"/>
      <c r="F16" s="141"/>
      <c r="G16" s="141"/>
      <c r="H16" s="141"/>
      <c r="I16" s="141"/>
      <c r="J16" s="141"/>
      <c r="K16" s="141"/>
      <c r="L16" s="141"/>
      <c r="M16" s="141"/>
      <c r="N16" s="141"/>
      <c r="O16" s="141"/>
      <c r="P16" s="141"/>
      <c r="Q16" s="141"/>
      <c r="R16" s="141"/>
      <c r="S16" s="142"/>
      <c r="V16" s="1" t="s">
        <v>124</v>
      </c>
    </row>
    <row r="17" spans="1:19" ht="18" customHeight="1" x14ac:dyDescent="0.15">
      <c r="B17" s="140"/>
      <c r="C17" s="141"/>
      <c r="D17" s="141"/>
      <c r="E17" s="141"/>
      <c r="F17" s="141"/>
      <c r="G17" s="141"/>
      <c r="H17" s="141"/>
      <c r="I17" s="141"/>
      <c r="J17" s="141"/>
      <c r="K17" s="141"/>
      <c r="L17" s="141"/>
      <c r="M17" s="141"/>
      <c r="N17" s="141"/>
      <c r="O17" s="141"/>
      <c r="P17" s="141"/>
      <c r="Q17" s="141"/>
      <c r="R17" s="141"/>
      <c r="S17" s="142"/>
    </row>
    <row r="18" spans="1:19" ht="18" customHeight="1" x14ac:dyDescent="0.15">
      <c r="B18" s="143"/>
      <c r="C18" s="144"/>
      <c r="D18" s="144"/>
      <c r="E18" s="144"/>
      <c r="F18" s="144"/>
      <c r="G18" s="144"/>
      <c r="H18" s="144"/>
      <c r="I18" s="144"/>
      <c r="J18" s="144"/>
      <c r="K18" s="144"/>
      <c r="L18" s="144"/>
      <c r="M18" s="144"/>
      <c r="N18" s="144"/>
      <c r="O18" s="144"/>
      <c r="P18" s="144"/>
      <c r="Q18" s="144"/>
      <c r="R18" s="144"/>
      <c r="S18" s="145"/>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111</v>
      </c>
      <c r="C20" s="87">
        <v>14</v>
      </c>
      <c r="D20" s="89"/>
      <c r="E20" s="39" t="s">
        <v>94</v>
      </c>
      <c r="G20" s="10"/>
      <c r="H20" s="3"/>
      <c r="I20" s="3"/>
      <c r="J20" s="34" t="s">
        <v>120</v>
      </c>
      <c r="K20" s="130" t="s">
        <v>124</v>
      </c>
      <c r="L20" s="131"/>
      <c r="M20" s="131"/>
      <c r="N20" s="131"/>
      <c r="O20" s="131"/>
      <c r="P20" s="131"/>
      <c r="Q20" s="131"/>
      <c r="R20" s="131"/>
      <c r="S20" s="13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3" t="s">
        <v>112</v>
      </c>
      <c r="B22" s="93"/>
      <c r="C22" s="93"/>
      <c r="D22" s="93"/>
      <c r="E22" s="93"/>
      <c r="F22" s="93"/>
      <c r="G22" s="93"/>
      <c r="H22" s="93"/>
      <c r="I22" s="93"/>
      <c r="J22" s="93"/>
      <c r="K22" s="93"/>
      <c r="L22" s="93"/>
      <c r="M22" s="93"/>
      <c r="N22" s="93"/>
      <c r="O22" s="93"/>
      <c r="P22" s="93"/>
      <c r="Q22" s="93"/>
      <c r="R22" s="93"/>
      <c r="S22" s="93"/>
    </row>
    <row r="23" spans="1:19" ht="18" customHeight="1" x14ac:dyDescent="0.15">
      <c r="A23" s="93"/>
      <c r="B23" s="93"/>
      <c r="C23" s="93"/>
      <c r="D23" s="93"/>
      <c r="E23" s="93"/>
      <c r="F23" s="93"/>
      <c r="G23" s="93"/>
      <c r="H23" s="93"/>
      <c r="I23" s="93"/>
      <c r="J23" s="93"/>
      <c r="K23" s="93"/>
      <c r="L23" s="93"/>
      <c r="M23" s="93"/>
      <c r="N23" s="93"/>
      <c r="O23" s="93"/>
      <c r="P23" s="93"/>
      <c r="Q23" s="93"/>
      <c r="R23" s="93"/>
      <c r="S23" s="93"/>
    </row>
    <row r="24" spans="1:19" ht="18" customHeight="1" x14ac:dyDescent="0.15">
      <c r="B24" s="87" t="s">
        <v>53</v>
      </c>
      <c r="C24" s="88"/>
      <c r="D24" s="88"/>
      <c r="E24" s="89"/>
      <c r="F24" s="60" t="s">
        <v>79</v>
      </c>
      <c r="G24" s="59" t="s">
        <v>83</v>
      </c>
      <c r="H24" s="22" t="s">
        <v>56</v>
      </c>
      <c r="I24" s="22" t="s">
        <v>59</v>
      </c>
      <c r="J24" s="87" t="s">
        <v>53</v>
      </c>
      <c r="K24" s="88"/>
      <c r="L24" s="88"/>
      <c r="M24" s="88"/>
      <c r="N24" s="88"/>
      <c r="O24" s="89"/>
      <c r="P24" s="60" t="s">
        <v>79</v>
      </c>
      <c r="Q24" s="59" t="s">
        <v>83</v>
      </c>
      <c r="R24" s="22" t="s">
        <v>56</v>
      </c>
      <c r="S24" s="22" t="s">
        <v>59</v>
      </c>
    </row>
    <row r="25" spans="1:19" ht="18" customHeight="1" x14ac:dyDescent="0.15">
      <c r="B25" s="81" t="s">
        <v>127</v>
      </c>
      <c r="C25" s="82"/>
      <c r="D25" s="82"/>
      <c r="E25" s="83"/>
      <c r="F25" s="23">
        <v>2</v>
      </c>
      <c r="G25" s="23" t="s">
        <v>131</v>
      </c>
      <c r="H25" s="23" t="s">
        <v>131</v>
      </c>
      <c r="I25" s="23" t="s">
        <v>131</v>
      </c>
      <c r="J25" s="81"/>
      <c r="K25" s="82"/>
      <c r="L25" s="82"/>
      <c r="M25" s="82"/>
      <c r="N25" s="82"/>
      <c r="O25" s="83"/>
      <c r="P25" s="23"/>
      <c r="Q25" s="23"/>
      <c r="R25" s="23"/>
      <c r="S25" s="23"/>
    </row>
    <row r="26" spans="1:19" ht="18" customHeight="1" x14ac:dyDescent="0.15">
      <c r="B26" s="84" t="s">
        <v>128</v>
      </c>
      <c r="C26" s="85"/>
      <c r="D26" s="85"/>
      <c r="E26" s="86"/>
      <c r="F26" s="24">
        <v>2</v>
      </c>
      <c r="G26" s="24"/>
      <c r="H26" s="24" t="s">
        <v>131</v>
      </c>
      <c r="I26" s="24" t="s">
        <v>131</v>
      </c>
      <c r="J26" s="84"/>
      <c r="K26" s="85"/>
      <c r="L26" s="85"/>
      <c r="M26" s="85"/>
      <c r="N26" s="85"/>
      <c r="O26" s="86"/>
      <c r="P26" s="24"/>
      <c r="Q26" s="24"/>
      <c r="R26" s="24"/>
      <c r="S26" s="24"/>
    </row>
    <row r="27" spans="1:19" ht="18" customHeight="1" x14ac:dyDescent="0.15">
      <c r="B27" s="84" t="s">
        <v>129</v>
      </c>
      <c r="C27" s="85"/>
      <c r="D27" s="85"/>
      <c r="E27" s="86"/>
      <c r="F27" s="24">
        <v>2</v>
      </c>
      <c r="G27" s="24"/>
      <c r="H27" s="24" t="s">
        <v>131</v>
      </c>
      <c r="I27" s="24" t="s">
        <v>131</v>
      </c>
      <c r="J27" s="84"/>
      <c r="K27" s="85"/>
      <c r="L27" s="85"/>
      <c r="M27" s="85"/>
      <c r="N27" s="85"/>
      <c r="O27" s="86"/>
      <c r="P27" s="24"/>
      <c r="Q27" s="24"/>
      <c r="R27" s="24"/>
      <c r="S27" s="24"/>
    </row>
    <row r="28" spans="1:19" ht="18" customHeight="1" x14ac:dyDescent="0.15">
      <c r="B28" s="84" t="s">
        <v>130</v>
      </c>
      <c r="C28" s="85"/>
      <c r="D28" s="85"/>
      <c r="E28" s="86"/>
      <c r="F28" s="24">
        <v>2</v>
      </c>
      <c r="G28" s="24"/>
      <c r="H28" s="24" t="s">
        <v>131</v>
      </c>
      <c r="I28" s="24" t="s">
        <v>131</v>
      </c>
      <c r="J28" s="84"/>
      <c r="K28" s="85"/>
      <c r="L28" s="85"/>
      <c r="M28" s="85"/>
      <c r="N28" s="85"/>
      <c r="O28" s="86"/>
      <c r="P28" s="24"/>
      <c r="Q28" s="24"/>
      <c r="R28" s="24"/>
      <c r="S28" s="24"/>
    </row>
    <row r="29" spans="1:19" ht="18" customHeight="1" x14ac:dyDescent="0.15">
      <c r="B29" s="84"/>
      <c r="C29" s="85"/>
      <c r="D29" s="85"/>
      <c r="E29" s="86"/>
      <c r="F29" s="24"/>
      <c r="G29" s="24"/>
      <c r="H29" s="24"/>
      <c r="I29" s="24"/>
      <c r="J29" s="84"/>
      <c r="K29" s="85"/>
      <c r="L29" s="85"/>
      <c r="M29" s="85"/>
      <c r="N29" s="85"/>
      <c r="O29" s="86"/>
      <c r="P29" s="24"/>
      <c r="Q29" s="24"/>
      <c r="R29" s="24"/>
      <c r="S29" s="24"/>
    </row>
    <row r="30" spans="1:19" ht="18" customHeight="1" x14ac:dyDescent="0.15">
      <c r="A30" s="3"/>
      <c r="B30" s="84"/>
      <c r="C30" s="85"/>
      <c r="D30" s="85"/>
      <c r="E30" s="86"/>
      <c r="F30" s="24"/>
      <c r="G30" s="24"/>
      <c r="H30" s="24"/>
      <c r="I30" s="24"/>
      <c r="J30" s="84"/>
      <c r="K30" s="85"/>
      <c r="L30" s="85"/>
      <c r="M30" s="85"/>
      <c r="N30" s="85"/>
      <c r="O30" s="86"/>
      <c r="P30" s="24"/>
      <c r="Q30" s="24"/>
      <c r="R30" s="24"/>
      <c r="S30" s="24"/>
    </row>
    <row r="31" spans="1:19" ht="18" customHeight="1" x14ac:dyDescent="0.15">
      <c r="A31" s="3"/>
      <c r="B31" s="90"/>
      <c r="C31" s="91"/>
      <c r="D31" s="91"/>
      <c r="E31" s="92"/>
      <c r="F31" s="25"/>
      <c r="G31" s="25"/>
      <c r="H31" s="26"/>
      <c r="I31" s="26"/>
      <c r="J31" s="90"/>
      <c r="K31" s="91"/>
      <c r="L31" s="91"/>
      <c r="M31" s="91"/>
      <c r="N31" s="91"/>
      <c r="O31" s="92"/>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3" t="s">
        <v>113</v>
      </c>
      <c r="B33" s="93"/>
      <c r="C33" s="93"/>
      <c r="D33" s="93"/>
      <c r="E33" s="93"/>
      <c r="F33" s="93"/>
      <c r="G33" s="93"/>
      <c r="H33" s="93"/>
      <c r="I33" s="93"/>
      <c r="J33" s="93"/>
      <c r="K33" s="93"/>
      <c r="L33" s="93"/>
      <c r="M33" s="93"/>
      <c r="N33" s="93"/>
      <c r="O33" s="93"/>
      <c r="P33" s="93"/>
      <c r="Q33" s="93"/>
      <c r="R33" s="93"/>
      <c r="S33" s="93"/>
    </row>
    <row r="34" spans="1:19" ht="18" customHeight="1" x14ac:dyDescent="0.15">
      <c r="A34" s="93"/>
      <c r="B34" s="93"/>
      <c r="C34" s="93"/>
      <c r="D34" s="93"/>
      <c r="E34" s="93"/>
      <c r="F34" s="93"/>
      <c r="G34" s="93"/>
      <c r="H34" s="93"/>
      <c r="I34" s="93"/>
      <c r="J34" s="93"/>
      <c r="K34" s="93"/>
      <c r="L34" s="93"/>
      <c r="M34" s="93"/>
      <c r="N34" s="93"/>
      <c r="O34" s="93"/>
      <c r="P34" s="93"/>
      <c r="Q34" s="93"/>
      <c r="R34" s="93"/>
      <c r="S34" s="93"/>
    </row>
    <row r="35" spans="1:19" ht="18" customHeight="1" x14ac:dyDescent="0.15">
      <c r="B35" s="87" t="s">
        <v>53</v>
      </c>
      <c r="C35" s="88"/>
      <c r="D35" s="88"/>
      <c r="E35" s="89"/>
      <c r="F35" s="60" t="s">
        <v>79</v>
      </c>
      <c r="G35" s="59" t="s">
        <v>83</v>
      </c>
      <c r="H35" s="22" t="s">
        <v>71</v>
      </c>
      <c r="I35" s="22" t="s">
        <v>72</v>
      </c>
      <c r="J35" s="87" t="s">
        <v>53</v>
      </c>
      <c r="K35" s="88"/>
      <c r="L35" s="88"/>
      <c r="M35" s="88"/>
      <c r="N35" s="88"/>
      <c r="O35" s="89"/>
      <c r="P35" s="60" t="s">
        <v>79</v>
      </c>
      <c r="Q35" s="59" t="s">
        <v>83</v>
      </c>
      <c r="R35" s="22" t="s">
        <v>71</v>
      </c>
      <c r="S35" s="22" t="s">
        <v>72</v>
      </c>
    </row>
    <row r="36" spans="1:19" ht="18" customHeight="1" x14ac:dyDescent="0.15">
      <c r="B36" s="81" t="s">
        <v>127</v>
      </c>
      <c r="C36" s="82"/>
      <c r="D36" s="82"/>
      <c r="E36" s="83"/>
      <c r="F36" s="23">
        <v>2</v>
      </c>
      <c r="G36" s="23" t="s">
        <v>131</v>
      </c>
      <c r="H36" s="23" t="s">
        <v>131</v>
      </c>
      <c r="I36" s="23" t="s">
        <v>131</v>
      </c>
      <c r="J36" s="81"/>
      <c r="K36" s="82"/>
      <c r="L36" s="82"/>
      <c r="M36" s="82"/>
      <c r="N36" s="82"/>
      <c r="O36" s="83"/>
      <c r="P36" s="23"/>
      <c r="Q36" s="23"/>
      <c r="R36" s="23"/>
      <c r="S36" s="23"/>
    </row>
    <row r="37" spans="1:19" ht="18" customHeight="1" x14ac:dyDescent="0.15">
      <c r="B37" s="84" t="s">
        <v>128</v>
      </c>
      <c r="C37" s="85"/>
      <c r="D37" s="85"/>
      <c r="E37" s="86"/>
      <c r="F37" s="24">
        <v>2</v>
      </c>
      <c r="G37" s="24"/>
      <c r="H37" s="24" t="s">
        <v>131</v>
      </c>
      <c r="I37" s="24" t="s">
        <v>131</v>
      </c>
      <c r="J37" s="84"/>
      <c r="K37" s="85"/>
      <c r="L37" s="85"/>
      <c r="M37" s="85"/>
      <c r="N37" s="85"/>
      <c r="O37" s="86"/>
      <c r="P37" s="24"/>
      <c r="Q37" s="24"/>
      <c r="R37" s="24"/>
      <c r="S37" s="24"/>
    </row>
    <row r="38" spans="1:19" ht="18" customHeight="1" x14ac:dyDescent="0.15">
      <c r="B38" s="84" t="s">
        <v>129</v>
      </c>
      <c r="C38" s="85"/>
      <c r="D38" s="85"/>
      <c r="E38" s="86"/>
      <c r="F38" s="24">
        <v>2</v>
      </c>
      <c r="G38" s="24"/>
      <c r="H38" s="24" t="s">
        <v>131</v>
      </c>
      <c r="I38" s="24" t="s">
        <v>131</v>
      </c>
      <c r="J38" s="84"/>
      <c r="K38" s="85"/>
      <c r="L38" s="85"/>
      <c r="M38" s="85"/>
      <c r="N38" s="85"/>
      <c r="O38" s="86"/>
      <c r="P38" s="24"/>
      <c r="Q38" s="24"/>
      <c r="R38" s="24"/>
      <c r="S38" s="24"/>
    </row>
    <row r="39" spans="1:19" ht="18" customHeight="1" x14ac:dyDescent="0.15">
      <c r="B39" s="84" t="s">
        <v>130</v>
      </c>
      <c r="C39" s="85"/>
      <c r="D39" s="85"/>
      <c r="E39" s="86"/>
      <c r="F39" s="24">
        <v>2</v>
      </c>
      <c r="G39" s="24"/>
      <c r="H39" s="24" t="s">
        <v>131</v>
      </c>
      <c r="I39" s="24" t="s">
        <v>131</v>
      </c>
      <c r="J39" s="84"/>
      <c r="K39" s="85"/>
      <c r="L39" s="85"/>
      <c r="M39" s="85"/>
      <c r="N39" s="85"/>
      <c r="O39" s="86"/>
      <c r="P39" s="24"/>
      <c r="Q39" s="24"/>
      <c r="R39" s="24"/>
      <c r="S39" s="24"/>
    </row>
    <row r="40" spans="1:19" ht="18" customHeight="1" x14ac:dyDescent="0.15">
      <c r="B40" s="84"/>
      <c r="C40" s="85"/>
      <c r="D40" s="85"/>
      <c r="E40" s="86"/>
      <c r="F40" s="24"/>
      <c r="G40" s="24"/>
      <c r="H40" s="24"/>
      <c r="I40" s="24"/>
      <c r="J40" s="84"/>
      <c r="K40" s="85"/>
      <c r="L40" s="85"/>
      <c r="M40" s="85"/>
      <c r="N40" s="85"/>
      <c r="O40" s="86"/>
      <c r="P40" s="24"/>
      <c r="Q40" s="24"/>
      <c r="R40" s="24"/>
      <c r="S40" s="24"/>
    </row>
    <row r="41" spans="1:19" ht="18" customHeight="1" x14ac:dyDescent="0.15">
      <c r="B41" s="84"/>
      <c r="C41" s="85"/>
      <c r="D41" s="85"/>
      <c r="E41" s="86"/>
      <c r="F41" s="24"/>
      <c r="G41" s="24"/>
      <c r="H41" s="24"/>
      <c r="I41" s="24"/>
      <c r="J41" s="84"/>
      <c r="K41" s="85"/>
      <c r="L41" s="85"/>
      <c r="M41" s="85"/>
      <c r="N41" s="85"/>
      <c r="O41" s="86"/>
      <c r="P41" s="24"/>
      <c r="Q41" s="24"/>
      <c r="R41" s="24"/>
      <c r="S41" s="24"/>
    </row>
    <row r="42" spans="1:19" ht="18" customHeight="1" x14ac:dyDescent="0.15">
      <c r="B42" s="90"/>
      <c r="C42" s="91"/>
      <c r="D42" s="91"/>
      <c r="E42" s="92"/>
      <c r="F42" s="25"/>
      <c r="G42" s="25"/>
      <c r="H42" s="26"/>
      <c r="I42" s="26"/>
      <c r="J42" s="90"/>
      <c r="K42" s="91"/>
      <c r="L42" s="91"/>
      <c r="M42" s="91"/>
      <c r="N42" s="91"/>
      <c r="O42" s="9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3" t="s">
        <v>114</v>
      </c>
      <c r="B44" s="93"/>
      <c r="C44" s="93"/>
      <c r="D44" s="93"/>
      <c r="E44" s="93"/>
      <c r="F44" s="93"/>
      <c r="G44" s="93"/>
      <c r="H44" s="93"/>
      <c r="I44" s="93"/>
      <c r="J44" s="93"/>
      <c r="K44" s="93"/>
      <c r="L44" s="93"/>
      <c r="M44" s="93"/>
      <c r="N44" s="93"/>
      <c r="O44" s="93"/>
      <c r="P44" s="93"/>
      <c r="Q44" s="93"/>
      <c r="R44" s="93"/>
      <c r="S44" s="93"/>
    </row>
    <row r="45" spans="1:19" ht="18" customHeight="1" x14ac:dyDescent="0.15">
      <c r="A45" s="93"/>
      <c r="B45" s="93"/>
      <c r="C45" s="93"/>
      <c r="D45" s="93"/>
      <c r="E45" s="93"/>
      <c r="F45" s="93"/>
      <c r="G45" s="93"/>
      <c r="H45" s="93"/>
      <c r="I45" s="93"/>
      <c r="J45" s="93"/>
      <c r="K45" s="93"/>
      <c r="L45" s="93"/>
      <c r="M45" s="93"/>
      <c r="N45" s="93"/>
      <c r="O45" s="93"/>
      <c r="P45" s="93"/>
      <c r="Q45" s="93"/>
      <c r="R45" s="93"/>
      <c r="S45" s="93"/>
    </row>
    <row r="46" spans="1:19" ht="18" customHeight="1" x14ac:dyDescent="0.15">
      <c r="B46" s="87" t="s">
        <v>53</v>
      </c>
      <c r="C46" s="88"/>
      <c r="D46" s="88"/>
      <c r="E46" s="89"/>
      <c r="F46" s="60" t="s">
        <v>79</v>
      </c>
      <c r="G46" s="59" t="s">
        <v>83</v>
      </c>
      <c r="H46" s="22" t="s">
        <v>73</v>
      </c>
      <c r="I46" s="22" t="s">
        <v>74</v>
      </c>
      <c r="J46" s="87" t="s">
        <v>53</v>
      </c>
      <c r="K46" s="88"/>
      <c r="L46" s="88"/>
      <c r="M46" s="88"/>
      <c r="N46" s="88"/>
      <c r="O46" s="89"/>
      <c r="P46" s="60" t="s">
        <v>79</v>
      </c>
      <c r="Q46" s="59" t="s">
        <v>83</v>
      </c>
      <c r="R46" s="22" t="s">
        <v>73</v>
      </c>
      <c r="S46" s="22" t="s">
        <v>74</v>
      </c>
    </row>
    <row r="47" spans="1:19" ht="18" customHeight="1" x14ac:dyDescent="0.15">
      <c r="A47" s="3"/>
      <c r="B47" s="81" t="s">
        <v>127</v>
      </c>
      <c r="C47" s="82"/>
      <c r="D47" s="82"/>
      <c r="E47" s="83"/>
      <c r="F47" s="23">
        <v>2</v>
      </c>
      <c r="G47" s="23" t="s">
        <v>131</v>
      </c>
      <c r="H47" s="23" t="s">
        <v>131</v>
      </c>
      <c r="I47" s="23" t="s">
        <v>131</v>
      </c>
      <c r="J47" s="81"/>
      <c r="K47" s="82"/>
      <c r="L47" s="82"/>
      <c r="M47" s="82"/>
      <c r="N47" s="82"/>
      <c r="O47" s="83"/>
      <c r="P47" s="23"/>
      <c r="Q47" s="23"/>
      <c r="R47" s="23"/>
      <c r="S47" s="23"/>
    </row>
    <row r="48" spans="1:19" ht="18" customHeight="1" x14ac:dyDescent="0.15">
      <c r="A48" s="3"/>
      <c r="B48" s="84" t="s">
        <v>128</v>
      </c>
      <c r="C48" s="85"/>
      <c r="D48" s="85"/>
      <c r="E48" s="86"/>
      <c r="F48" s="24">
        <v>2</v>
      </c>
      <c r="G48" s="24"/>
      <c r="H48" s="24" t="s">
        <v>131</v>
      </c>
      <c r="I48" s="24" t="s">
        <v>131</v>
      </c>
      <c r="J48" s="84"/>
      <c r="K48" s="85"/>
      <c r="L48" s="85"/>
      <c r="M48" s="85"/>
      <c r="N48" s="85"/>
      <c r="O48" s="86"/>
      <c r="P48" s="24"/>
      <c r="Q48" s="24"/>
      <c r="R48" s="24"/>
      <c r="S48" s="24"/>
    </row>
    <row r="49" spans="1:19" ht="18" customHeight="1" x14ac:dyDescent="0.15">
      <c r="A49" s="3"/>
      <c r="B49" s="84" t="s">
        <v>129</v>
      </c>
      <c r="C49" s="85"/>
      <c r="D49" s="85"/>
      <c r="E49" s="86"/>
      <c r="F49" s="24">
        <v>2</v>
      </c>
      <c r="G49" s="24"/>
      <c r="H49" s="24" t="s">
        <v>131</v>
      </c>
      <c r="I49" s="24" t="s">
        <v>131</v>
      </c>
      <c r="J49" s="84"/>
      <c r="K49" s="85"/>
      <c r="L49" s="85"/>
      <c r="M49" s="85"/>
      <c r="N49" s="85"/>
      <c r="O49" s="86"/>
      <c r="P49" s="24"/>
      <c r="Q49" s="24"/>
      <c r="R49" s="24"/>
      <c r="S49" s="24"/>
    </row>
    <row r="50" spans="1:19" ht="18" customHeight="1" x14ac:dyDescent="0.15">
      <c r="A50" s="3"/>
      <c r="B50" s="84" t="s">
        <v>130</v>
      </c>
      <c r="C50" s="85"/>
      <c r="D50" s="85"/>
      <c r="E50" s="86"/>
      <c r="F50" s="24">
        <v>2</v>
      </c>
      <c r="G50" s="24"/>
      <c r="H50" s="24" t="s">
        <v>131</v>
      </c>
      <c r="I50" s="24" t="s">
        <v>131</v>
      </c>
      <c r="J50" s="84"/>
      <c r="K50" s="85"/>
      <c r="L50" s="85"/>
      <c r="M50" s="85"/>
      <c r="N50" s="85"/>
      <c r="O50" s="86"/>
      <c r="P50" s="24"/>
      <c r="Q50" s="24"/>
      <c r="R50" s="24"/>
      <c r="S50" s="24"/>
    </row>
    <row r="51" spans="1:19" ht="18" customHeight="1" x14ac:dyDescent="0.15">
      <c r="A51" s="3"/>
      <c r="B51" s="84"/>
      <c r="C51" s="85"/>
      <c r="D51" s="85"/>
      <c r="E51" s="86"/>
      <c r="F51" s="24"/>
      <c r="G51" s="24"/>
      <c r="H51" s="24"/>
      <c r="I51" s="24"/>
      <c r="J51" s="84"/>
      <c r="K51" s="85"/>
      <c r="L51" s="85"/>
      <c r="M51" s="85"/>
      <c r="N51" s="85"/>
      <c r="O51" s="86"/>
      <c r="P51" s="24"/>
      <c r="Q51" s="24"/>
      <c r="R51" s="24"/>
      <c r="S51" s="24"/>
    </row>
    <row r="52" spans="1:19" ht="18" customHeight="1" x14ac:dyDescent="0.15">
      <c r="A52" s="3"/>
      <c r="B52" s="84"/>
      <c r="C52" s="85"/>
      <c r="D52" s="85"/>
      <c r="E52" s="86"/>
      <c r="F52" s="24"/>
      <c r="G52" s="24"/>
      <c r="H52" s="24"/>
      <c r="I52" s="24"/>
      <c r="J52" s="84"/>
      <c r="K52" s="85"/>
      <c r="L52" s="85"/>
      <c r="M52" s="85"/>
      <c r="N52" s="85"/>
      <c r="O52" s="86"/>
      <c r="P52" s="24"/>
      <c r="Q52" s="24"/>
      <c r="R52" s="24"/>
      <c r="S52" s="24"/>
    </row>
    <row r="53" spans="1:19" ht="18" customHeight="1" x14ac:dyDescent="0.15">
      <c r="A53" s="3"/>
      <c r="B53" s="90"/>
      <c r="C53" s="91"/>
      <c r="D53" s="91"/>
      <c r="E53" s="92"/>
      <c r="F53" s="25"/>
      <c r="G53" s="25"/>
      <c r="H53" s="26"/>
      <c r="I53" s="26"/>
      <c r="J53" s="90"/>
      <c r="K53" s="91"/>
      <c r="L53" s="91"/>
      <c r="M53" s="91"/>
      <c r="N53" s="91"/>
      <c r="O53" s="9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3" t="s">
        <v>115</v>
      </c>
      <c r="B55" s="93"/>
      <c r="C55" s="93"/>
      <c r="D55" s="93"/>
      <c r="E55" s="93"/>
      <c r="F55" s="93"/>
      <c r="G55" s="93"/>
      <c r="H55" s="93"/>
      <c r="I55" s="93"/>
      <c r="J55" s="93"/>
      <c r="K55" s="93"/>
      <c r="L55" s="93"/>
      <c r="M55" s="93"/>
      <c r="N55" s="93"/>
      <c r="O55" s="93"/>
      <c r="P55" s="93"/>
      <c r="Q55" s="93"/>
      <c r="R55" s="93"/>
      <c r="S55" s="93"/>
    </row>
    <row r="56" spans="1:19" ht="18" customHeight="1" x14ac:dyDescent="0.15">
      <c r="A56" s="93"/>
      <c r="B56" s="93"/>
      <c r="C56" s="93"/>
      <c r="D56" s="93"/>
      <c r="E56" s="93"/>
      <c r="F56" s="93"/>
      <c r="G56" s="93"/>
      <c r="H56" s="93"/>
      <c r="I56" s="93"/>
      <c r="J56" s="93"/>
      <c r="K56" s="93"/>
      <c r="L56" s="93"/>
      <c r="M56" s="93"/>
      <c r="N56" s="93"/>
      <c r="O56" s="93"/>
      <c r="P56" s="93"/>
      <c r="Q56" s="93"/>
      <c r="R56" s="93"/>
      <c r="S56" s="93"/>
    </row>
    <row r="57" spans="1:19" ht="18" customHeight="1" x14ac:dyDescent="0.15">
      <c r="B57" s="87" t="s">
        <v>53</v>
      </c>
      <c r="C57" s="88"/>
      <c r="D57" s="88"/>
      <c r="E57" s="89"/>
      <c r="F57" s="60" t="s">
        <v>79</v>
      </c>
      <c r="G57" s="59" t="s">
        <v>83</v>
      </c>
      <c r="H57" s="22" t="s">
        <v>58</v>
      </c>
      <c r="I57" s="22" t="s">
        <v>60</v>
      </c>
      <c r="J57" s="87" t="s">
        <v>53</v>
      </c>
      <c r="K57" s="88"/>
      <c r="L57" s="88"/>
      <c r="M57" s="88"/>
      <c r="N57" s="88"/>
      <c r="O57" s="89"/>
      <c r="P57" s="60" t="s">
        <v>79</v>
      </c>
      <c r="Q57" s="59" t="s">
        <v>83</v>
      </c>
      <c r="R57" s="22" t="s">
        <v>58</v>
      </c>
      <c r="S57" s="22" t="s">
        <v>60</v>
      </c>
    </row>
    <row r="58" spans="1:19" ht="18" customHeight="1" x14ac:dyDescent="0.15">
      <c r="A58" s="3"/>
      <c r="B58" s="81" t="s">
        <v>127</v>
      </c>
      <c r="C58" s="82"/>
      <c r="D58" s="82"/>
      <c r="E58" s="83"/>
      <c r="F58" s="23">
        <v>2</v>
      </c>
      <c r="G58" s="23" t="s">
        <v>131</v>
      </c>
      <c r="H58" s="23" t="s">
        <v>131</v>
      </c>
      <c r="I58" s="23" t="s">
        <v>131</v>
      </c>
      <c r="J58" s="81"/>
      <c r="K58" s="82"/>
      <c r="L58" s="82"/>
      <c r="M58" s="82"/>
      <c r="N58" s="82"/>
      <c r="O58" s="83"/>
      <c r="P58" s="23"/>
      <c r="Q58" s="23"/>
      <c r="R58" s="23"/>
      <c r="S58" s="23"/>
    </row>
    <row r="59" spans="1:19" ht="18" customHeight="1" x14ac:dyDescent="0.15">
      <c r="A59" s="3"/>
      <c r="B59" s="84" t="s">
        <v>128</v>
      </c>
      <c r="C59" s="85"/>
      <c r="D59" s="85"/>
      <c r="E59" s="86"/>
      <c r="F59" s="24">
        <v>2</v>
      </c>
      <c r="G59" s="24"/>
      <c r="H59" s="24" t="s">
        <v>131</v>
      </c>
      <c r="I59" s="24" t="s">
        <v>131</v>
      </c>
      <c r="J59" s="84"/>
      <c r="K59" s="85"/>
      <c r="L59" s="85"/>
      <c r="M59" s="85"/>
      <c r="N59" s="85"/>
      <c r="O59" s="86"/>
      <c r="P59" s="24"/>
      <c r="Q59" s="24"/>
      <c r="R59" s="24"/>
      <c r="S59" s="24"/>
    </row>
    <row r="60" spans="1:19" ht="18" customHeight="1" x14ac:dyDescent="0.15">
      <c r="A60" s="3"/>
      <c r="B60" s="84" t="s">
        <v>129</v>
      </c>
      <c r="C60" s="85"/>
      <c r="D60" s="85"/>
      <c r="E60" s="86"/>
      <c r="F60" s="24">
        <v>2</v>
      </c>
      <c r="G60" s="24"/>
      <c r="H60" s="24" t="s">
        <v>131</v>
      </c>
      <c r="I60" s="24" t="s">
        <v>131</v>
      </c>
      <c r="J60" s="84"/>
      <c r="K60" s="85"/>
      <c r="L60" s="85"/>
      <c r="M60" s="85"/>
      <c r="N60" s="85"/>
      <c r="O60" s="86"/>
      <c r="P60" s="24"/>
      <c r="Q60" s="24"/>
      <c r="R60" s="24"/>
      <c r="S60" s="24"/>
    </row>
    <row r="61" spans="1:19" ht="18" customHeight="1" x14ac:dyDescent="0.15">
      <c r="A61" s="3"/>
      <c r="B61" s="84" t="s">
        <v>130</v>
      </c>
      <c r="C61" s="85"/>
      <c r="D61" s="85"/>
      <c r="E61" s="86"/>
      <c r="F61" s="24">
        <v>2</v>
      </c>
      <c r="G61" s="24"/>
      <c r="H61" s="24" t="s">
        <v>131</v>
      </c>
      <c r="I61" s="24" t="s">
        <v>131</v>
      </c>
      <c r="J61" s="84"/>
      <c r="K61" s="85"/>
      <c r="L61" s="85"/>
      <c r="M61" s="85"/>
      <c r="N61" s="85"/>
      <c r="O61" s="86"/>
      <c r="P61" s="24"/>
      <c r="Q61" s="24"/>
      <c r="R61" s="24"/>
      <c r="S61" s="24"/>
    </row>
    <row r="62" spans="1:19" ht="18" customHeight="1" x14ac:dyDescent="0.15">
      <c r="A62" s="3"/>
      <c r="B62" s="84"/>
      <c r="C62" s="85"/>
      <c r="D62" s="85"/>
      <c r="E62" s="86"/>
      <c r="F62" s="24"/>
      <c r="G62" s="24"/>
      <c r="H62" s="24"/>
      <c r="I62" s="24"/>
      <c r="J62" s="84"/>
      <c r="K62" s="85"/>
      <c r="L62" s="85"/>
      <c r="M62" s="85"/>
      <c r="N62" s="85"/>
      <c r="O62" s="86"/>
      <c r="P62" s="24"/>
      <c r="Q62" s="24"/>
      <c r="R62" s="24"/>
      <c r="S62" s="24"/>
    </row>
    <row r="63" spans="1:19" ht="18" customHeight="1" x14ac:dyDescent="0.15">
      <c r="A63" s="3"/>
      <c r="B63" s="84"/>
      <c r="C63" s="85"/>
      <c r="D63" s="85"/>
      <c r="E63" s="86"/>
      <c r="F63" s="24"/>
      <c r="G63" s="24"/>
      <c r="H63" s="24"/>
      <c r="I63" s="24"/>
      <c r="J63" s="84"/>
      <c r="K63" s="85"/>
      <c r="L63" s="85"/>
      <c r="M63" s="85"/>
      <c r="N63" s="85"/>
      <c r="O63" s="86"/>
      <c r="P63" s="24"/>
      <c r="Q63" s="24"/>
      <c r="R63" s="24"/>
      <c r="S63" s="24"/>
    </row>
    <row r="64" spans="1:19" ht="18" customHeight="1" x14ac:dyDescent="0.15">
      <c r="A64" s="3"/>
      <c r="B64" s="90"/>
      <c r="C64" s="91"/>
      <c r="D64" s="91"/>
      <c r="E64" s="92"/>
      <c r="F64" s="25"/>
      <c r="G64" s="25"/>
      <c r="H64" s="26"/>
      <c r="I64" s="26"/>
      <c r="J64" s="90"/>
      <c r="K64" s="91"/>
      <c r="L64" s="91"/>
      <c r="M64" s="91"/>
      <c r="N64" s="91"/>
      <c r="O64" s="92"/>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3" t="s">
        <v>116</v>
      </c>
      <c r="B66" s="93"/>
      <c r="C66" s="93"/>
      <c r="D66" s="93"/>
      <c r="E66" s="93"/>
      <c r="F66" s="93"/>
      <c r="G66" s="93"/>
      <c r="H66" s="93"/>
      <c r="I66" s="93"/>
      <c r="J66" s="93"/>
      <c r="K66" s="93"/>
      <c r="L66" s="93"/>
      <c r="M66" s="93"/>
      <c r="N66" s="93"/>
      <c r="O66" s="93"/>
      <c r="P66" s="93"/>
      <c r="Q66" s="93"/>
      <c r="R66" s="93"/>
      <c r="S66" s="93"/>
    </row>
    <row r="67" spans="1:19" ht="18" customHeight="1" x14ac:dyDescent="0.15">
      <c r="A67" s="93"/>
      <c r="B67" s="93"/>
      <c r="C67" s="93"/>
      <c r="D67" s="93"/>
      <c r="E67" s="93"/>
      <c r="F67" s="93"/>
      <c r="G67" s="93"/>
      <c r="H67" s="93"/>
      <c r="I67" s="93"/>
      <c r="J67" s="93"/>
      <c r="K67" s="93"/>
      <c r="L67" s="93"/>
      <c r="M67" s="93"/>
      <c r="N67" s="93"/>
      <c r="O67" s="93"/>
      <c r="P67" s="93"/>
      <c r="Q67" s="93"/>
      <c r="R67" s="93"/>
      <c r="S67" s="93"/>
    </row>
    <row r="68" spans="1:19" ht="18" customHeight="1" x14ac:dyDescent="0.15">
      <c r="B68" s="87" t="s">
        <v>53</v>
      </c>
      <c r="C68" s="88"/>
      <c r="D68" s="88"/>
      <c r="E68" s="60" t="s">
        <v>79</v>
      </c>
      <c r="F68" s="59" t="s">
        <v>83</v>
      </c>
      <c r="G68" s="22" t="s">
        <v>100</v>
      </c>
      <c r="H68" s="22" t="s">
        <v>75</v>
      </c>
      <c r="I68" s="22" t="s">
        <v>76</v>
      </c>
      <c r="J68" s="87" t="s">
        <v>53</v>
      </c>
      <c r="K68" s="88"/>
      <c r="L68" s="88"/>
      <c r="M68" s="88"/>
      <c r="N68" s="89"/>
      <c r="O68" s="60" t="s">
        <v>79</v>
      </c>
      <c r="P68" s="59" t="s">
        <v>83</v>
      </c>
      <c r="Q68" s="22" t="s">
        <v>100</v>
      </c>
      <c r="R68" s="22" t="s">
        <v>75</v>
      </c>
      <c r="S68" s="22" t="s">
        <v>76</v>
      </c>
    </row>
    <row r="69" spans="1:19" ht="18" customHeight="1" x14ac:dyDescent="0.15">
      <c r="A69" s="3"/>
      <c r="B69" s="81" t="s">
        <v>132</v>
      </c>
      <c r="C69" s="82"/>
      <c r="D69" s="82"/>
      <c r="E69" s="23">
        <v>2</v>
      </c>
      <c r="F69" s="23" t="s">
        <v>131</v>
      </c>
      <c r="G69" s="23" t="s">
        <v>131</v>
      </c>
      <c r="H69" s="23" t="s">
        <v>131</v>
      </c>
      <c r="I69" s="23" t="s">
        <v>131</v>
      </c>
      <c r="J69" s="81" t="s">
        <v>141</v>
      </c>
      <c r="K69" s="82"/>
      <c r="L69" s="82"/>
      <c r="M69" s="82"/>
      <c r="N69" s="83"/>
      <c r="O69" s="23">
        <v>2</v>
      </c>
      <c r="P69" s="23"/>
      <c r="Q69" s="23" t="s">
        <v>131</v>
      </c>
      <c r="R69" s="23" t="s">
        <v>131</v>
      </c>
      <c r="S69" s="23" t="s">
        <v>131</v>
      </c>
    </row>
    <row r="70" spans="1:19" ht="18" customHeight="1" x14ac:dyDescent="0.15">
      <c r="A70" s="3"/>
      <c r="B70" s="84" t="s">
        <v>133</v>
      </c>
      <c r="C70" s="85"/>
      <c r="D70" s="85"/>
      <c r="E70" s="24">
        <v>2</v>
      </c>
      <c r="F70" s="24"/>
      <c r="G70" s="24" t="s">
        <v>131</v>
      </c>
      <c r="H70" s="24" t="s">
        <v>131</v>
      </c>
      <c r="I70" s="24" t="s">
        <v>131</v>
      </c>
      <c r="J70" s="84" t="s">
        <v>142</v>
      </c>
      <c r="K70" s="85"/>
      <c r="L70" s="85"/>
      <c r="M70" s="85"/>
      <c r="N70" s="86"/>
      <c r="O70" s="24">
        <v>2</v>
      </c>
      <c r="P70" s="24"/>
      <c r="Q70" s="24" t="s">
        <v>131</v>
      </c>
      <c r="R70" s="24" t="s">
        <v>131</v>
      </c>
      <c r="S70" s="24" t="s">
        <v>131</v>
      </c>
    </row>
    <row r="71" spans="1:19" ht="18" customHeight="1" x14ac:dyDescent="0.15">
      <c r="A71" s="3"/>
      <c r="B71" s="84" t="s">
        <v>134</v>
      </c>
      <c r="C71" s="85"/>
      <c r="D71" s="85"/>
      <c r="E71" s="24">
        <v>2</v>
      </c>
      <c r="F71" s="24"/>
      <c r="G71" s="24" t="s">
        <v>131</v>
      </c>
      <c r="H71" s="24" t="s">
        <v>131</v>
      </c>
      <c r="I71" s="24" t="s">
        <v>131</v>
      </c>
      <c r="J71" s="84"/>
      <c r="K71" s="85"/>
      <c r="L71" s="85"/>
      <c r="M71" s="85"/>
      <c r="N71" s="86"/>
      <c r="O71" s="24"/>
      <c r="P71" s="24"/>
      <c r="Q71" s="24"/>
      <c r="R71" s="24"/>
      <c r="S71" s="24"/>
    </row>
    <row r="72" spans="1:19" ht="18" customHeight="1" x14ac:dyDescent="0.15">
      <c r="A72" s="3"/>
      <c r="B72" s="84" t="s">
        <v>135</v>
      </c>
      <c r="C72" s="85"/>
      <c r="D72" s="85"/>
      <c r="E72" s="24">
        <v>2</v>
      </c>
      <c r="F72" s="24"/>
      <c r="G72" s="24" t="s">
        <v>131</v>
      </c>
      <c r="H72" s="24" t="s">
        <v>131</v>
      </c>
      <c r="I72" s="24" t="s">
        <v>131</v>
      </c>
      <c r="J72" s="84"/>
      <c r="K72" s="85"/>
      <c r="L72" s="85"/>
      <c r="M72" s="85"/>
      <c r="N72" s="86"/>
      <c r="O72" s="24"/>
      <c r="P72" s="24"/>
      <c r="Q72" s="24"/>
      <c r="R72" s="24"/>
      <c r="S72" s="24"/>
    </row>
    <row r="73" spans="1:19" ht="18" customHeight="1" x14ac:dyDescent="0.15">
      <c r="A73" s="3"/>
      <c r="B73" s="84" t="s">
        <v>136</v>
      </c>
      <c r="C73" s="85"/>
      <c r="D73" s="85"/>
      <c r="E73" s="24">
        <v>2</v>
      </c>
      <c r="F73" s="24"/>
      <c r="G73" s="24" t="s">
        <v>131</v>
      </c>
      <c r="H73" s="24" t="s">
        <v>131</v>
      </c>
      <c r="I73" s="24" t="s">
        <v>131</v>
      </c>
      <c r="J73" s="84"/>
      <c r="K73" s="85"/>
      <c r="L73" s="85"/>
      <c r="M73" s="85"/>
      <c r="N73" s="86"/>
      <c r="O73" s="24"/>
      <c r="P73" s="24"/>
      <c r="Q73" s="24"/>
      <c r="R73" s="24"/>
      <c r="S73" s="24"/>
    </row>
    <row r="74" spans="1:19" ht="18" customHeight="1" x14ac:dyDescent="0.15">
      <c r="A74" s="3"/>
      <c r="B74" s="84" t="s">
        <v>137</v>
      </c>
      <c r="C74" s="85"/>
      <c r="D74" s="85"/>
      <c r="E74" s="24">
        <v>2</v>
      </c>
      <c r="F74" s="24"/>
      <c r="G74" s="24" t="s">
        <v>131</v>
      </c>
      <c r="H74" s="24" t="s">
        <v>131</v>
      </c>
      <c r="I74" s="24" t="s">
        <v>131</v>
      </c>
      <c r="J74" s="84"/>
      <c r="K74" s="85"/>
      <c r="L74" s="85"/>
      <c r="M74" s="85"/>
      <c r="N74" s="86"/>
      <c r="O74" s="24"/>
      <c r="P74" s="24"/>
      <c r="Q74" s="24"/>
      <c r="R74" s="24"/>
      <c r="S74" s="24"/>
    </row>
    <row r="75" spans="1:19" ht="18" customHeight="1" x14ac:dyDescent="0.15">
      <c r="A75" s="3"/>
      <c r="B75" s="90" t="s">
        <v>138</v>
      </c>
      <c r="C75" s="91"/>
      <c r="D75" s="91"/>
      <c r="E75" s="25">
        <v>2</v>
      </c>
      <c r="F75" s="25"/>
      <c r="G75" s="26" t="s">
        <v>131</v>
      </c>
      <c r="H75" s="26" t="s">
        <v>131</v>
      </c>
      <c r="I75" s="26" t="s">
        <v>131</v>
      </c>
      <c r="J75" s="90"/>
      <c r="K75" s="91"/>
      <c r="L75" s="91"/>
      <c r="M75" s="91"/>
      <c r="N75" s="92"/>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117</v>
      </c>
      <c r="H77" s="3"/>
      <c r="I77" s="3"/>
      <c r="J77" s="3"/>
      <c r="K77" s="3"/>
      <c r="L77" s="3"/>
      <c r="M77" s="3"/>
      <c r="N77" s="3"/>
      <c r="O77" s="3"/>
      <c r="P77" s="3"/>
      <c r="Q77" s="3"/>
      <c r="R77" s="3"/>
      <c r="S77" s="3"/>
    </row>
    <row r="78" spans="1:19" ht="18" customHeight="1" x14ac:dyDescent="0.15">
      <c r="B78" s="87" t="s">
        <v>53</v>
      </c>
      <c r="C78" s="88"/>
      <c r="D78" s="88"/>
      <c r="E78" s="89"/>
      <c r="F78" s="87" t="s">
        <v>81</v>
      </c>
      <c r="G78" s="88"/>
      <c r="H78" s="88"/>
      <c r="I78" s="89"/>
      <c r="J78" s="108" t="s">
        <v>53</v>
      </c>
      <c r="K78" s="109"/>
      <c r="L78" s="109"/>
      <c r="M78" s="109"/>
      <c r="N78" s="109"/>
      <c r="O78" s="110"/>
      <c r="P78" s="87" t="s">
        <v>81</v>
      </c>
      <c r="Q78" s="88"/>
      <c r="R78" s="88"/>
      <c r="S78" s="89"/>
    </row>
    <row r="79" spans="1:19" ht="18" customHeight="1" x14ac:dyDescent="0.15">
      <c r="A79" s="3"/>
      <c r="B79" s="81"/>
      <c r="C79" s="82"/>
      <c r="D79" s="82"/>
      <c r="E79" s="83"/>
      <c r="F79" s="102"/>
      <c r="G79" s="103"/>
      <c r="H79" s="103"/>
      <c r="I79" s="104"/>
      <c r="J79" s="81"/>
      <c r="K79" s="82"/>
      <c r="L79" s="82"/>
      <c r="M79" s="82"/>
      <c r="N79" s="82"/>
      <c r="O79" s="83"/>
      <c r="P79" s="102"/>
      <c r="Q79" s="103"/>
      <c r="R79" s="103"/>
      <c r="S79" s="104"/>
    </row>
    <row r="80" spans="1:19" ht="18" customHeight="1" x14ac:dyDescent="0.15">
      <c r="A80" s="3"/>
      <c r="B80" s="84"/>
      <c r="C80" s="85"/>
      <c r="D80" s="85"/>
      <c r="E80" s="86"/>
      <c r="F80" s="105"/>
      <c r="G80" s="106"/>
      <c r="H80" s="106"/>
      <c r="I80" s="107"/>
      <c r="J80" s="84"/>
      <c r="K80" s="85"/>
      <c r="L80" s="85"/>
      <c r="M80" s="85"/>
      <c r="N80" s="85"/>
      <c r="O80" s="86"/>
      <c r="P80" s="105"/>
      <c r="Q80" s="106"/>
      <c r="R80" s="106"/>
      <c r="S80" s="107"/>
    </row>
    <row r="81" spans="1:19" ht="18" customHeight="1" x14ac:dyDescent="0.15">
      <c r="A81" s="3"/>
      <c r="B81" s="84"/>
      <c r="C81" s="85"/>
      <c r="D81" s="85"/>
      <c r="E81" s="86"/>
      <c r="F81" s="105"/>
      <c r="G81" s="106"/>
      <c r="H81" s="106"/>
      <c r="I81" s="107"/>
      <c r="J81" s="84"/>
      <c r="K81" s="85"/>
      <c r="L81" s="85"/>
      <c r="M81" s="85"/>
      <c r="N81" s="85"/>
      <c r="O81" s="86"/>
      <c r="P81" s="105"/>
      <c r="Q81" s="106"/>
      <c r="R81" s="106"/>
      <c r="S81" s="107"/>
    </row>
    <row r="82" spans="1:19" ht="18" customHeight="1" x14ac:dyDescent="0.15">
      <c r="A82" s="3"/>
      <c r="B82" s="84"/>
      <c r="C82" s="85"/>
      <c r="D82" s="85"/>
      <c r="E82" s="86"/>
      <c r="F82" s="105"/>
      <c r="G82" s="106"/>
      <c r="H82" s="106"/>
      <c r="I82" s="107"/>
      <c r="J82" s="84"/>
      <c r="K82" s="85"/>
      <c r="L82" s="85"/>
      <c r="M82" s="85"/>
      <c r="N82" s="85"/>
      <c r="O82" s="86"/>
      <c r="P82" s="105"/>
      <c r="Q82" s="106"/>
      <c r="R82" s="106"/>
      <c r="S82" s="107"/>
    </row>
    <row r="83" spans="1:19" ht="18" customHeight="1" x14ac:dyDescent="0.15">
      <c r="A83" s="3"/>
      <c r="B83" s="84"/>
      <c r="C83" s="85"/>
      <c r="D83" s="85"/>
      <c r="E83" s="86"/>
      <c r="F83" s="105"/>
      <c r="G83" s="106"/>
      <c r="H83" s="106"/>
      <c r="I83" s="107"/>
      <c r="J83" s="84"/>
      <c r="K83" s="85"/>
      <c r="L83" s="85"/>
      <c r="M83" s="85"/>
      <c r="N83" s="85"/>
      <c r="O83" s="86"/>
      <c r="P83" s="105"/>
      <c r="Q83" s="106"/>
      <c r="R83" s="106"/>
      <c r="S83" s="107"/>
    </row>
    <row r="84" spans="1:19" ht="18" customHeight="1" x14ac:dyDescent="0.15">
      <c r="A84" s="3"/>
      <c r="B84" s="84"/>
      <c r="C84" s="85"/>
      <c r="D84" s="85"/>
      <c r="E84" s="86"/>
      <c r="F84" s="105"/>
      <c r="G84" s="106"/>
      <c r="H84" s="106"/>
      <c r="I84" s="107"/>
      <c r="J84" s="84"/>
      <c r="K84" s="85"/>
      <c r="L84" s="85"/>
      <c r="M84" s="85"/>
      <c r="N84" s="85"/>
      <c r="O84" s="86"/>
      <c r="P84" s="105"/>
      <c r="Q84" s="106"/>
      <c r="R84" s="106"/>
      <c r="S84" s="107"/>
    </row>
    <row r="85" spans="1:19" ht="18" customHeight="1" x14ac:dyDescent="0.15">
      <c r="A85" s="3"/>
      <c r="B85" s="90"/>
      <c r="C85" s="91"/>
      <c r="D85" s="91"/>
      <c r="E85" s="92"/>
      <c r="F85" s="114"/>
      <c r="G85" s="115"/>
      <c r="H85" s="115"/>
      <c r="I85" s="116"/>
      <c r="J85" s="90"/>
      <c r="K85" s="91"/>
      <c r="L85" s="91"/>
      <c r="M85" s="91"/>
      <c r="N85" s="91"/>
      <c r="O85" s="92"/>
      <c r="P85" s="114"/>
      <c r="Q85" s="115"/>
      <c r="R85" s="115"/>
      <c r="S85" s="116"/>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118</v>
      </c>
    </row>
    <row r="88" spans="1:19" ht="18.75" customHeight="1" x14ac:dyDescent="0.15">
      <c r="B88" s="100" t="s">
        <v>54</v>
      </c>
      <c r="C88" s="101"/>
      <c r="D88" s="88" t="s">
        <v>55</v>
      </c>
      <c r="E88" s="88"/>
      <c r="F88" s="88"/>
      <c r="G88" s="88"/>
      <c r="H88" s="88"/>
      <c r="I88" s="88"/>
      <c r="J88" s="88"/>
      <c r="K88" s="88"/>
      <c r="L88" s="88"/>
      <c r="M88" s="88"/>
      <c r="N88" s="88"/>
      <c r="O88" s="88"/>
      <c r="P88" s="88"/>
      <c r="Q88" s="88"/>
      <c r="R88" s="88"/>
      <c r="S88" s="89"/>
    </row>
    <row r="89" spans="1:19" ht="223.9" customHeight="1" x14ac:dyDescent="0.15">
      <c r="B89" s="94" t="s">
        <v>61</v>
      </c>
      <c r="C89" s="28" t="s">
        <v>56</v>
      </c>
      <c r="D89" s="97" t="s">
        <v>173</v>
      </c>
      <c r="E89" s="98"/>
      <c r="F89" s="98"/>
      <c r="G89" s="98"/>
      <c r="H89" s="98"/>
      <c r="I89" s="98"/>
      <c r="J89" s="98"/>
      <c r="K89" s="98"/>
      <c r="L89" s="98"/>
      <c r="M89" s="98"/>
      <c r="N89" s="98"/>
      <c r="O89" s="98"/>
      <c r="P89" s="98"/>
      <c r="Q89" s="98"/>
      <c r="R89" s="98"/>
      <c r="S89" s="99"/>
    </row>
    <row r="90" spans="1:19" ht="180" customHeight="1" x14ac:dyDescent="0.15">
      <c r="B90" s="95"/>
      <c r="C90" s="29" t="s">
        <v>77</v>
      </c>
      <c r="D90" s="117" t="s">
        <v>174</v>
      </c>
      <c r="E90" s="118"/>
      <c r="F90" s="118"/>
      <c r="G90" s="118"/>
      <c r="H90" s="118"/>
      <c r="I90" s="118"/>
      <c r="J90" s="118"/>
      <c r="K90" s="118"/>
      <c r="L90" s="118"/>
      <c r="M90" s="118"/>
      <c r="N90" s="118"/>
      <c r="O90" s="118"/>
      <c r="P90" s="118"/>
      <c r="Q90" s="118"/>
      <c r="R90" s="118"/>
      <c r="S90" s="119"/>
    </row>
    <row r="91" spans="1:19" ht="200.45" customHeight="1" x14ac:dyDescent="0.15">
      <c r="B91" s="94" t="s">
        <v>62</v>
      </c>
      <c r="C91" s="30" t="s">
        <v>71</v>
      </c>
      <c r="D91" s="120" t="s">
        <v>175</v>
      </c>
      <c r="E91" s="121"/>
      <c r="F91" s="121"/>
      <c r="G91" s="121"/>
      <c r="H91" s="121"/>
      <c r="I91" s="121"/>
      <c r="J91" s="121"/>
      <c r="K91" s="121"/>
      <c r="L91" s="121"/>
      <c r="M91" s="121"/>
      <c r="N91" s="121"/>
      <c r="O91" s="121"/>
      <c r="P91" s="121"/>
      <c r="Q91" s="121"/>
      <c r="R91" s="121"/>
      <c r="S91" s="122"/>
    </row>
    <row r="92" spans="1:19" ht="205.15" customHeight="1" x14ac:dyDescent="0.15">
      <c r="B92" s="96"/>
      <c r="C92" s="31" t="s">
        <v>72</v>
      </c>
      <c r="D92" s="126" t="s">
        <v>176</v>
      </c>
      <c r="E92" s="127"/>
      <c r="F92" s="127"/>
      <c r="G92" s="127"/>
      <c r="H92" s="127"/>
      <c r="I92" s="127"/>
      <c r="J92" s="127"/>
      <c r="K92" s="127"/>
      <c r="L92" s="127"/>
      <c r="M92" s="127"/>
      <c r="N92" s="127"/>
      <c r="O92" s="127"/>
      <c r="P92" s="127"/>
      <c r="Q92" s="127"/>
      <c r="R92" s="127"/>
      <c r="S92" s="128"/>
    </row>
    <row r="93" spans="1:19" ht="264" customHeight="1" x14ac:dyDescent="0.15">
      <c r="B93" s="94" t="s">
        <v>63</v>
      </c>
      <c r="C93" s="30" t="s">
        <v>73</v>
      </c>
      <c r="D93" s="120" t="s">
        <v>177</v>
      </c>
      <c r="E93" s="121"/>
      <c r="F93" s="121"/>
      <c r="G93" s="121"/>
      <c r="H93" s="121"/>
      <c r="I93" s="121"/>
      <c r="J93" s="121"/>
      <c r="K93" s="121"/>
      <c r="L93" s="121"/>
      <c r="M93" s="121"/>
      <c r="N93" s="121"/>
      <c r="O93" s="121"/>
      <c r="P93" s="121"/>
      <c r="Q93" s="121"/>
      <c r="R93" s="121"/>
      <c r="S93" s="122"/>
    </row>
    <row r="94" spans="1:19" ht="232.15" customHeight="1" x14ac:dyDescent="0.15">
      <c r="B94" s="96"/>
      <c r="C94" s="32" t="s">
        <v>74</v>
      </c>
      <c r="D94" s="123" t="s">
        <v>178</v>
      </c>
      <c r="E94" s="124"/>
      <c r="F94" s="124"/>
      <c r="G94" s="124"/>
      <c r="H94" s="124"/>
      <c r="I94" s="124"/>
      <c r="J94" s="124"/>
      <c r="K94" s="124"/>
      <c r="L94" s="124"/>
      <c r="M94" s="124"/>
      <c r="N94" s="124"/>
      <c r="O94" s="124"/>
      <c r="P94" s="124"/>
      <c r="Q94" s="124"/>
      <c r="R94" s="124"/>
      <c r="S94" s="125"/>
    </row>
    <row r="95" spans="1:19" ht="389.45" customHeight="1" x14ac:dyDescent="0.15">
      <c r="B95" s="94" t="s">
        <v>78</v>
      </c>
      <c r="C95" s="28" t="s">
        <v>58</v>
      </c>
      <c r="D95" s="97" t="s">
        <v>179</v>
      </c>
      <c r="E95" s="98"/>
      <c r="F95" s="98"/>
      <c r="G95" s="98"/>
      <c r="H95" s="98"/>
      <c r="I95" s="98"/>
      <c r="J95" s="98"/>
      <c r="K95" s="98"/>
      <c r="L95" s="98"/>
      <c r="M95" s="98"/>
      <c r="N95" s="98"/>
      <c r="O95" s="98"/>
      <c r="P95" s="98"/>
      <c r="Q95" s="98"/>
      <c r="R95" s="98"/>
      <c r="S95" s="99"/>
    </row>
    <row r="96" spans="1:19" ht="291" customHeight="1" x14ac:dyDescent="0.15">
      <c r="B96" s="96"/>
      <c r="C96" s="31" t="s">
        <v>60</v>
      </c>
      <c r="D96" s="126" t="s">
        <v>180</v>
      </c>
      <c r="E96" s="127"/>
      <c r="F96" s="127"/>
      <c r="G96" s="127"/>
      <c r="H96" s="127"/>
      <c r="I96" s="127"/>
      <c r="J96" s="127"/>
      <c r="K96" s="127"/>
      <c r="L96" s="127"/>
      <c r="M96" s="127"/>
      <c r="N96" s="127"/>
      <c r="O96" s="127"/>
      <c r="P96" s="127"/>
      <c r="Q96" s="127"/>
      <c r="R96" s="127"/>
      <c r="S96" s="128"/>
    </row>
    <row r="97" spans="1:19" ht="260.25" customHeight="1" x14ac:dyDescent="0.15">
      <c r="A97" s="263"/>
      <c r="B97" s="260" t="s">
        <v>191</v>
      </c>
      <c r="C97" s="251" t="s">
        <v>57</v>
      </c>
      <c r="D97" s="137" t="s">
        <v>184</v>
      </c>
      <c r="E97" s="138"/>
      <c r="F97" s="138"/>
      <c r="G97" s="138"/>
      <c r="H97" s="138"/>
      <c r="I97" s="138"/>
      <c r="J97" s="138"/>
      <c r="K97" s="138"/>
      <c r="L97" s="138"/>
      <c r="M97" s="138"/>
      <c r="N97" s="138"/>
      <c r="O97" s="138"/>
      <c r="P97" s="138"/>
      <c r="Q97" s="138"/>
      <c r="R97" s="138"/>
      <c r="S97" s="139"/>
    </row>
    <row r="98" spans="1:19" ht="260.25" customHeight="1" x14ac:dyDescent="0.15">
      <c r="A98" s="263"/>
      <c r="B98" s="259"/>
      <c r="C98" s="252"/>
      <c r="D98" s="140"/>
      <c r="E98" s="254"/>
      <c r="F98" s="254"/>
      <c r="G98" s="254"/>
      <c r="H98" s="254"/>
      <c r="I98" s="254"/>
      <c r="J98" s="254"/>
      <c r="K98" s="254"/>
      <c r="L98" s="254"/>
      <c r="M98" s="254"/>
      <c r="N98" s="254"/>
      <c r="O98" s="254"/>
      <c r="P98" s="254"/>
      <c r="Q98" s="254"/>
      <c r="R98" s="254"/>
      <c r="S98" s="142"/>
    </row>
    <row r="99" spans="1:19" ht="260.25" customHeight="1" x14ac:dyDescent="0.15">
      <c r="A99" s="263"/>
      <c r="B99" s="259"/>
      <c r="C99" s="252"/>
      <c r="D99" s="140"/>
      <c r="E99" s="254"/>
      <c r="F99" s="254"/>
      <c r="G99" s="254"/>
      <c r="H99" s="254"/>
      <c r="I99" s="254"/>
      <c r="J99" s="254"/>
      <c r="K99" s="254"/>
      <c r="L99" s="254"/>
      <c r="M99" s="254"/>
      <c r="N99" s="254"/>
      <c r="O99" s="254"/>
      <c r="P99" s="254"/>
      <c r="Q99" s="254"/>
      <c r="R99" s="254"/>
      <c r="S99" s="142"/>
    </row>
    <row r="100" spans="1:19" ht="260.25" customHeight="1" x14ac:dyDescent="0.15">
      <c r="A100" s="263"/>
      <c r="B100" s="259"/>
      <c r="C100" s="252"/>
      <c r="D100" s="140"/>
      <c r="E100" s="254"/>
      <c r="F100" s="254"/>
      <c r="G100" s="254"/>
      <c r="H100" s="254"/>
      <c r="I100" s="254"/>
      <c r="J100" s="254"/>
      <c r="K100" s="254"/>
      <c r="L100" s="254"/>
      <c r="M100" s="254"/>
      <c r="N100" s="254"/>
      <c r="O100" s="254"/>
      <c r="P100" s="254"/>
      <c r="Q100" s="254"/>
      <c r="R100" s="254"/>
      <c r="S100" s="142"/>
    </row>
    <row r="101" spans="1:19" ht="260.25" customHeight="1" x14ac:dyDescent="0.15">
      <c r="A101" s="263"/>
      <c r="B101" s="259"/>
      <c r="C101" s="252"/>
      <c r="D101" s="140"/>
      <c r="E101" s="254"/>
      <c r="F101" s="254"/>
      <c r="G101" s="254"/>
      <c r="H101" s="254"/>
      <c r="I101" s="254"/>
      <c r="J101" s="254"/>
      <c r="K101" s="254"/>
      <c r="L101" s="254"/>
      <c r="M101" s="254"/>
      <c r="N101" s="254"/>
      <c r="O101" s="254"/>
      <c r="P101" s="254"/>
      <c r="Q101" s="254"/>
      <c r="R101" s="254"/>
      <c r="S101" s="142"/>
    </row>
    <row r="102" spans="1:19" ht="260.25" customHeight="1" x14ac:dyDescent="0.15">
      <c r="A102" s="263"/>
      <c r="B102" s="259"/>
      <c r="C102" s="252"/>
      <c r="D102" s="140"/>
      <c r="E102" s="254"/>
      <c r="F102" s="254"/>
      <c r="G102" s="254"/>
      <c r="H102" s="254"/>
      <c r="I102" s="254"/>
      <c r="J102" s="254"/>
      <c r="K102" s="254"/>
      <c r="L102" s="254"/>
      <c r="M102" s="254"/>
      <c r="N102" s="254"/>
      <c r="O102" s="254"/>
      <c r="P102" s="254"/>
      <c r="Q102" s="254"/>
      <c r="R102" s="254"/>
      <c r="S102" s="142"/>
    </row>
    <row r="103" spans="1:19" ht="260.25" customHeight="1" x14ac:dyDescent="0.15">
      <c r="A103" s="263"/>
      <c r="B103" s="259"/>
      <c r="C103" s="252"/>
      <c r="D103" s="140"/>
      <c r="E103" s="254"/>
      <c r="F103" s="254"/>
      <c r="G103" s="254"/>
      <c r="H103" s="254"/>
      <c r="I103" s="254"/>
      <c r="J103" s="254"/>
      <c r="K103" s="254"/>
      <c r="L103" s="254"/>
      <c r="M103" s="254"/>
      <c r="N103" s="254"/>
      <c r="O103" s="254"/>
      <c r="P103" s="254"/>
      <c r="Q103" s="254"/>
      <c r="R103" s="254"/>
      <c r="S103" s="142"/>
    </row>
    <row r="104" spans="1:19" ht="260.25" customHeight="1" x14ac:dyDescent="0.15">
      <c r="A104" s="263"/>
      <c r="B104" s="259"/>
      <c r="C104" s="252"/>
      <c r="D104" s="140"/>
      <c r="E104" s="254"/>
      <c r="F104" s="254"/>
      <c r="G104" s="254"/>
      <c r="H104" s="254"/>
      <c r="I104" s="254"/>
      <c r="J104" s="254"/>
      <c r="K104" s="254"/>
      <c r="L104" s="254"/>
      <c r="M104" s="254"/>
      <c r="N104" s="254"/>
      <c r="O104" s="254"/>
      <c r="P104" s="254"/>
      <c r="Q104" s="254"/>
      <c r="R104" s="254"/>
      <c r="S104" s="142"/>
    </row>
    <row r="105" spans="1:19" ht="260.25" customHeight="1" x14ac:dyDescent="0.15">
      <c r="A105" s="263"/>
      <c r="B105" s="259"/>
      <c r="C105" s="252"/>
      <c r="D105" s="140"/>
      <c r="E105" s="254"/>
      <c r="F105" s="254"/>
      <c r="G105" s="254"/>
      <c r="H105" s="254"/>
      <c r="I105" s="254"/>
      <c r="J105" s="254"/>
      <c r="K105" s="254"/>
      <c r="L105" s="254"/>
      <c r="M105" s="254"/>
      <c r="N105" s="254"/>
      <c r="O105" s="254"/>
      <c r="P105" s="254"/>
      <c r="Q105" s="254"/>
      <c r="R105" s="254"/>
      <c r="S105" s="142"/>
    </row>
    <row r="106" spans="1:19" ht="260.25" customHeight="1" x14ac:dyDescent="0.15">
      <c r="A106" s="263"/>
      <c r="B106" s="259"/>
      <c r="C106" s="252"/>
      <c r="D106" s="140"/>
      <c r="E106" s="254"/>
      <c r="F106" s="254"/>
      <c r="G106" s="254"/>
      <c r="H106" s="254"/>
      <c r="I106" s="254"/>
      <c r="J106" s="254"/>
      <c r="K106" s="254"/>
      <c r="L106" s="254"/>
      <c r="M106" s="254"/>
      <c r="N106" s="254"/>
      <c r="O106" s="254"/>
      <c r="P106" s="254"/>
      <c r="Q106" s="254"/>
      <c r="R106" s="254"/>
      <c r="S106" s="142"/>
    </row>
    <row r="107" spans="1:19" ht="45.75" customHeight="1" x14ac:dyDescent="0.15">
      <c r="A107" s="263"/>
      <c r="B107" s="259"/>
      <c r="C107" s="252"/>
      <c r="D107" s="140"/>
      <c r="E107" s="254"/>
      <c r="F107" s="254"/>
      <c r="G107" s="254"/>
      <c r="H107" s="254"/>
      <c r="I107" s="254"/>
      <c r="J107" s="254"/>
      <c r="K107" s="254"/>
      <c r="L107" s="254"/>
      <c r="M107" s="254"/>
      <c r="N107" s="254"/>
      <c r="O107" s="254"/>
      <c r="P107" s="254"/>
      <c r="Q107" s="254"/>
      <c r="R107" s="254"/>
      <c r="S107" s="142"/>
    </row>
    <row r="108" spans="1:19" ht="45.75" customHeight="1" x14ac:dyDescent="0.15">
      <c r="A108" s="263"/>
      <c r="B108" s="259"/>
      <c r="C108" s="253"/>
      <c r="D108" s="255"/>
      <c r="E108" s="256"/>
      <c r="F108" s="256"/>
      <c r="G108" s="256"/>
      <c r="H108" s="256"/>
      <c r="I108" s="256"/>
      <c r="J108" s="256"/>
      <c r="K108" s="256"/>
      <c r="L108" s="256"/>
      <c r="M108" s="256"/>
      <c r="N108" s="256"/>
      <c r="O108" s="256"/>
      <c r="P108" s="256"/>
      <c r="Q108" s="256"/>
      <c r="R108" s="256"/>
      <c r="S108" s="257"/>
    </row>
    <row r="109" spans="1:19" ht="144" customHeight="1" x14ac:dyDescent="0.15">
      <c r="A109" s="262"/>
      <c r="B109" s="259"/>
      <c r="C109" s="264" t="s">
        <v>75</v>
      </c>
      <c r="D109" s="265" t="s">
        <v>185</v>
      </c>
      <c r="E109" s="266"/>
      <c r="F109" s="266"/>
      <c r="G109" s="266"/>
      <c r="H109" s="266"/>
      <c r="I109" s="266"/>
      <c r="J109" s="266"/>
      <c r="K109" s="266"/>
      <c r="L109" s="266"/>
      <c r="M109" s="266"/>
      <c r="N109" s="266"/>
      <c r="O109" s="266"/>
      <c r="P109" s="266"/>
      <c r="Q109" s="266"/>
      <c r="R109" s="266"/>
      <c r="S109" s="267"/>
    </row>
    <row r="110" spans="1:19" ht="144" customHeight="1" x14ac:dyDescent="0.15">
      <c r="A110" s="262"/>
      <c r="B110" s="259"/>
      <c r="C110" s="252"/>
      <c r="D110" s="140"/>
      <c r="E110" s="254"/>
      <c r="F110" s="254"/>
      <c r="G110" s="254"/>
      <c r="H110" s="254"/>
      <c r="I110" s="254"/>
      <c r="J110" s="254"/>
      <c r="K110" s="254"/>
      <c r="L110" s="254"/>
      <c r="M110" s="254"/>
      <c r="N110" s="254"/>
      <c r="O110" s="254"/>
      <c r="P110" s="254"/>
      <c r="Q110" s="254"/>
      <c r="R110" s="254"/>
      <c r="S110" s="142"/>
    </row>
    <row r="111" spans="1:19" ht="144" customHeight="1" x14ac:dyDescent="0.15">
      <c r="A111" s="262"/>
      <c r="B111" s="259"/>
      <c r="C111" s="252"/>
      <c r="D111" s="140"/>
      <c r="E111" s="254"/>
      <c r="F111" s="254"/>
      <c r="G111" s="254"/>
      <c r="H111" s="254"/>
      <c r="I111" s="254"/>
      <c r="J111" s="254"/>
      <c r="K111" s="254"/>
      <c r="L111" s="254"/>
      <c r="M111" s="254"/>
      <c r="N111" s="254"/>
      <c r="O111" s="254"/>
      <c r="P111" s="254"/>
      <c r="Q111" s="254"/>
      <c r="R111" s="254"/>
      <c r="S111" s="142"/>
    </row>
    <row r="112" spans="1:19" ht="144" customHeight="1" x14ac:dyDescent="0.15">
      <c r="A112" s="262"/>
      <c r="B112" s="259"/>
      <c r="C112" s="252"/>
      <c r="D112" s="140"/>
      <c r="E112" s="254"/>
      <c r="F112" s="254"/>
      <c r="G112" s="254"/>
      <c r="H112" s="254"/>
      <c r="I112" s="254"/>
      <c r="J112" s="254"/>
      <c r="K112" s="254"/>
      <c r="L112" s="254"/>
      <c r="M112" s="254"/>
      <c r="N112" s="254"/>
      <c r="O112" s="254"/>
      <c r="P112" s="254"/>
      <c r="Q112" s="254"/>
      <c r="R112" s="254"/>
      <c r="S112" s="142"/>
    </row>
    <row r="113" spans="1:19" ht="144" customHeight="1" x14ac:dyDescent="0.15">
      <c r="A113" s="262"/>
      <c r="B113" s="259"/>
      <c r="C113" s="252"/>
      <c r="D113" s="140"/>
      <c r="E113" s="254"/>
      <c r="F113" s="254"/>
      <c r="G113" s="254"/>
      <c r="H113" s="254"/>
      <c r="I113" s="254"/>
      <c r="J113" s="254"/>
      <c r="K113" s="254"/>
      <c r="L113" s="254"/>
      <c r="M113" s="254"/>
      <c r="N113" s="254"/>
      <c r="O113" s="254"/>
      <c r="P113" s="254"/>
      <c r="Q113" s="254"/>
      <c r="R113" s="254"/>
      <c r="S113" s="142"/>
    </row>
    <row r="114" spans="1:19" ht="144" customHeight="1" x14ac:dyDescent="0.15">
      <c r="A114" s="262"/>
      <c r="B114" s="259"/>
      <c r="C114" s="252"/>
      <c r="D114" s="140"/>
      <c r="E114" s="254"/>
      <c r="F114" s="254"/>
      <c r="G114" s="254"/>
      <c r="H114" s="254"/>
      <c r="I114" s="254"/>
      <c r="J114" s="254"/>
      <c r="K114" s="254"/>
      <c r="L114" s="254"/>
      <c r="M114" s="254"/>
      <c r="N114" s="254"/>
      <c r="O114" s="254"/>
      <c r="P114" s="254"/>
      <c r="Q114" s="254"/>
      <c r="R114" s="254"/>
      <c r="S114" s="142"/>
    </row>
    <row r="115" spans="1:19" ht="144" customHeight="1" x14ac:dyDescent="0.15">
      <c r="A115" s="262"/>
      <c r="B115" s="259"/>
      <c r="C115" s="252"/>
      <c r="D115" s="140"/>
      <c r="E115" s="254"/>
      <c r="F115" s="254"/>
      <c r="G115" s="254"/>
      <c r="H115" s="254"/>
      <c r="I115" s="254"/>
      <c r="J115" s="254"/>
      <c r="K115" s="254"/>
      <c r="L115" s="254"/>
      <c r="M115" s="254"/>
      <c r="N115" s="254"/>
      <c r="O115" s="254"/>
      <c r="P115" s="254"/>
      <c r="Q115" s="254"/>
      <c r="R115" s="254"/>
      <c r="S115" s="142"/>
    </row>
    <row r="116" spans="1:19" ht="144" customHeight="1" x14ac:dyDescent="0.15">
      <c r="A116" s="262"/>
      <c r="B116" s="259"/>
      <c r="C116" s="252"/>
      <c r="D116" s="140"/>
      <c r="E116" s="254"/>
      <c r="F116" s="254"/>
      <c r="G116" s="254"/>
      <c r="H116" s="254"/>
      <c r="I116" s="254"/>
      <c r="J116" s="254"/>
      <c r="K116" s="254"/>
      <c r="L116" s="254"/>
      <c r="M116" s="254"/>
      <c r="N116" s="254"/>
      <c r="O116" s="254"/>
      <c r="P116" s="254"/>
      <c r="Q116" s="254"/>
      <c r="R116" s="254"/>
      <c r="S116" s="142"/>
    </row>
    <row r="117" spans="1:19" ht="144" customHeight="1" x14ac:dyDescent="0.15">
      <c r="A117" s="262"/>
      <c r="B117" s="259"/>
      <c r="C117" s="252"/>
      <c r="D117" s="140"/>
      <c r="E117" s="254"/>
      <c r="F117" s="254"/>
      <c r="G117" s="254"/>
      <c r="H117" s="254"/>
      <c r="I117" s="254"/>
      <c r="J117" s="254"/>
      <c r="K117" s="254"/>
      <c r="L117" s="254"/>
      <c r="M117" s="254"/>
      <c r="N117" s="254"/>
      <c r="O117" s="254"/>
      <c r="P117" s="254"/>
      <c r="Q117" s="254"/>
      <c r="R117" s="254"/>
      <c r="S117" s="142"/>
    </row>
    <row r="118" spans="1:19" ht="32.25" customHeight="1" x14ac:dyDescent="0.15">
      <c r="A118" s="262"/>
      <c r="B118" s="259"/>
      <c r="C118" s="252"/>
      <c r="D118" s="140"/>
      <c r="E118" s="254"/>
      <c r="F118" s="254"/>
      <c r="G118" s="254"/>
      <c r="H118" s="254"/>
      <c r="I118" s="254"/>
      <c r="J118" s="254"/>
      <c r="K118" s="254"/>
      <c r="L118" s="254"/>
      <c r="M118" s="254"/>
      <c r="N118" s="254"/>
      <c r="O118" s="254"/>
      <c r="P118" s="254"/>
      <c r="Q118" s="254"/>
      <c r="R118" s="254"/>
      <c r="S118" s="142"/>
    </row>
    <row r="119" spans="1:19" ht="32.25" customHeight="1" x14ac:dyDescent="0.15">
      <c r="A119" s="262"/>
      <c r="B119" s="259"/>
      <c r="C119" s="252"/>
      <c r="D119" s="140"/>
      <c r="E119" s="254"/>
      <c r="F119" s="254"/>
      <c r="G119" s="254"/>
      <c r="H119" s="254"/>
      <c r="I119" s="254"/>
      <c r="J119" s="254"/>
      <c r="K119" s="254"/>
      <c r="L119" s="254"/>
      <c r="M119" s="254"/>
      <c r="N119" s="254"/>
      <c r="O119" s="254"/>
      <c r="P119" s="254"/>
      <c r="Q119" s="254"/>
      <c r="R119" s="254"/>
      <c r="S119" s="142"/>
    </row>
    <row r="120" spans="1:19" ht="32.25" customHeight="1" x14ac:dyDescent="0.15">
      <c r="A120" s="258"/>
      <c r="B120" s="259"/>
      <c r="C120" s="253"/>
      <c r="D120" s="255"/>
      <c r="E120" s="256"/>
      <c r="F120" s="256"/>
      <c r="G120" s="256"/>
      <c r="H120" s="256"/>
      <c r="I120" s="256"/>
      <c r="J120" s="256"/>
      <c r="K120" s="256"/>
      <c r="L120" s="256"/>
      <c r="M120" s="256"/>
      <c r="N120" s="256"/>
      <c r="O120" s="256"/>
      <c r="P120" s="256"/>
      <c r="Q120" s="256"/>
      <c r="R120" s="256"/>
      <c r="S120" s="257"/>
    </row>
    <row r="121" spans="1:19" ht="194.25" customHeight="1" x14ac:dyDescent="0.15">
      <c r="A121" s="258"/>
      <c r="B121" s="259"/>
      <c r="C121" s="264" t="s">
        <v>76</v>
      </c>
      <c r="D121" s="269" t="s">
        <v>186</v>
      </c>
      <c r="E121" s="270"/>
      <c r="F121" s="270"/>
      <c r="G121" s="270"/>
      <c r="H121" s="270"/>
      <c r="I121" s="270"/>
      <c r="J121" s="270"/>
      <c r="K121" s="270"/>
      <c r="L121" s="270"/>
      <c r="M121" s="270"/>
      <c r="N121" s="270"/>
      <c r="O121" s="270"/>
      <c r="P121" s="270"/>
      <c r="Q121" s="270"/>
      <c r="R121" s="270"/>
      <c r="S121" s="271"/>
    </row>
    <row r="122" spans="1:19" ht="194.25" customHeight="1" x14ac:dyDescent="0.15">
      <c r="A122" s="258"/>
      <c r="B122" s="259"/>
      <c r="C122" s="252"/>
      <c r="D122" s="272"/>
      <c r="E122" s="273"/>
      <c r="F122" s="273"/>
      <c r="G122" s="273"/>
      <c r="H122" s="273"/>
      <c r="I122" s="273"/>
      <c r="J122" s="273"/>
      <c r="K122" s="273"/>
      <c r="L122" s="273"/>
      <c r="M122" s="273"/>
      <c r="N122" s="273"/>
      <c r="O122" s="273"/>
      <c r="P122" s="273"/>
      <c r="Q122" s="273"/>
      <c r="R122" s="273"/>
      <c r="S122" s="274"/>
    </row>
    <row r="123" spans="1:19" ht="194.25" customHeight="1" x14ac:dyDescent="0.15">
      <c r="A123" s="258"/>
      <c r="B123" s="259"/>
      <c r="C123" s="252"/>
      <c r="D123" s="272"/>
      <c r="E123" s="273"/>
      <c r="F123" s="273"/>
      <c r="G123" s="273"/>
      <c r="H123" s="273"/>
      <c r="I123" s="273"/>
      <c r="J123" s="273"/>
      <c r="K123" s="273"/>
      <c r="L123" s="273"/>
      <c r="M123" s="273"/>
      <c r="N123" s="273"/>
      <c r="O123" s="273"/>
      <c r="P123" s="273"/>
      <c r="Q123" s="273"/>
      <c r="R123" s="273"/>
      <c r="S123" s="274"/>
    </row>
    <row r="124" spans="1:19" ht="194.25" customHeight="1" x14ac:dyDescent="0.15">
      <c r="A124" s="258"/>
      <c r="B124" s="259"/>
      <c r="C124" s="252"/>
      <c r="D124" s="272"/>
      <c r="E124" s="273"/>
      <c r="F124" s="273"/>
      <c r="G124" s="273"/>
      <c r="H124" s="273"/>
      <c r="I124" s="273"/>
      <c r="J124" s="273"/>
      <c r="K124" s="273"/>
      <c r="L124" s="273"/>
      <c r="M124" s="273"/>
      <c r="N124" s="273"/>
      <c r="O124" s="273"/>
      <c r="P124" s="273"/>
      <c r="Q124" s="273"/>
      <c r="R124" s="273"/>
      <c r="S124" s="274"/>
    </row>
    <row r="125" spans="1:19" ht="194.25" customHeight="1" x14ac:dyDescent="0.15">
      <c r="A125" s="258"/>
      <c r="B125" s="259"/>
      <c r="C125" s="252"/>
      <c r="D125" s="272"/>
      <c r="E125" s="273"/>
      <c r="F125" s="273"/>
      <c r="G125" s="273"/>
      <c r="H125" s="273"/>
      <c r="I125" s="273"/>
      <c r="J125" s="273"/>
      <c r="K125" s="273"/>
      <c r="L125" s="273"/>
      <c r="M125" s="273"/>
      <c r="N125" s="273"/>
      <c r="O125" s="273"/>
      <c r="P125" s="273"/>
      <c r="Q125" s="273"/>
      <c r="R125" s="273"/>
      <c r="S125" s="274"/>
    </row>
    <row r="126" spans="1:19" ht="194.25" customHeight="1" x14ac:dyDescent="0.15">
      <c r="A126" s="258"/>
      <c r="B126" s="259"/>
      <c r="C126" s="252"/>
      <c r="D126" s="272"/>
      <c r="E126" s="273"/>
      <c r="F126" s="273"/>
      <c r="G126" s="273"/>
      <c r="H126" s="273"/>
      <c r="I126" s="273"/>
      <c r="J126" s="273"/>
      <c r="K126" s="273"/>
      <c r="L126" s="273"/>
      <c r="M126" s="273"/>
      <c r="N126" s="273"/>
      <c r="O126" s="273"/>
      <c r="P126" s="273"/>
      <c r="Q126" s="273"/>
      <c r="R126" s="273"/>
      <c r="S126" s="274"/>
    </row>
    <row r="127" spans="1:19" ht="194.25" customHeight="1" x14ac:dyDescent="0.15">
      <c r="A127" s="258"/>
      <c r="B127" s="259"/>
      <c r="C127" s="252"/>
      <c r="D127" s="272"/>
      <c r="E127" s="273"/>
      <c r="F127" s="273"/>
      <c r="G127" s="273"/>
      <c r="H127" s="273"/>
      <c r="I127" s="273"/>
      <c r="J127" s="273"/>
      <c r="K127" s="273"/>
      <c r="L127" s="273"/>
      <c r="M127" s="273"/>
      <c r="N127" s="273"/>
      <c r="O127" s="273"/>
      <c r="P127" s="273"/>
      <c r="Q127" s="273"/>
      <c r="R127" s="273"/>
      <c r="S127" s="274"/>
    </row>
    <row r="128" spans="1:19" ht="194.25" customHeight="1" x14ac:dyDescent="0.15">
      <c r="A128" s="258"/>
      <c r="B128" s="259"/>
      <c r="C128" s="252"/>
      <c r="D128" s="272"/>
      <c r="E128" s="273"/>
      <c r="F128" s="273"/>
      <c r="G128" s="273"/>
      <c r="H128" s="273"/>
      <c r="I128" s="273"/>
      <c r="J128" s="273"/>
      <c r="K128" s="273"/>
      <c r="L128" s="273"/>
      <c r="M128" s="273"/>
      <c r="N128" s="273"/>
      <c r="O128" s="273"/>
      <c r="P128" s="273"/>
      <c r="Q128" s="273"/>
      <c r="R128" s="273"/>
      <c r="S128" s="274"/>
    </row>
    <row r="129" spans="1:19" ht="194.25" customHeight="1" x14ac:dyDescent="0.15">
      <c r="A129" s="258"/>
      <c r="B129" s="259"/>
      <c r="C129" s="252"/>
      <c r="D129" s="272"/>
      <c r="E129" s="273"/>
      <c r="F129" s="273"/>
      <c r="G129" s="273"/>
      <c r="H129" s="273"/>
      <c r="I129" s="273"/>
      <c r="J129" s="273"/>
      <c r="K129" s="273"/>
      <c r="L129" s="273"/>
      <c r="M129" s="273"/>
      <c r="N129" s="273"/>
      <c r="O129" s="273"/>
      <c r="P129" s="273"/>
      <c r="Q129" s="273"/>
      <c r="R129" s="273"/>
      <c r="S129" s="274"/>
    </row>
    <row r="130" spans="1:19" ht="26.25" customHeight="1" x14ac:dyDescent="0.15">
      <c r="A130" s="258"/>
      <c r="B130" s="259"/>
      <c r="C130" s="252"/>
      <c r="D130" s="272"/>
      <c r="E130" s="273"/>
      <c r="F130" s="273"/>
      <c r="G130" s="273"/>
      <c r="H130" s="273"/>
      <c r="I130" s="273"/>
      <c r="J130" s="273"/>
      <c r="K130" s="273"/>
      <c r="L130" s="273"/>
      <c r="M130" s="273"/>
      <c r="N130" s="273"/>
      <c r="O130" s="273"/>
      <c r="P130" s="273"/>
      <c r="Q130" s="273"/>
      <c r="R130" s="273"/>
      <c r="S130" s="274"/>
    </row>
    <row r="131" spans="1:19" ht="26.25" customHeight="1" x14ac:dyDescent="0.15">
      <c r="A131" s="258"/>
      <c r="B131" s="259"/>
      <c r="C131" s="252"/>
      <c r="D131" s="272"/>
      <c r="E131" s="273"/>
      <c r="F131" s="273"/>
      <c r="G131" s="273"/>
      <c r="H131" s="273"/>
      <c r="I131" s="273"/>
      <c r="J131" s="273"/>
      <c r="K131" s="273"/>
      <c r="L131" s="273"/>
      <c r="M131" s="273"/>
      <c r="N131" s="273"/>
      <c r="O131" s="273"/>
      <c r="P131" s="273"/>
      <c r="Q131" s="273"/>
      <c r="R131" s="273"/>
      <c r="S131" s="274"/>
    </row>
    <row r="132" spans="1:19" ht="26.25" customHeight="1" x14ac:dyDescent="0.15">
      <c r="B132" s="261"/>
      <c r="C132" s="268"/>
      <c r="D132" s="275"/>
      <c r="E132" s="276"/>
      <c r="F132" s="276"/>
      <c r="G132" s="276"/>
      <c r="H132" s="276"/>
      <c r="I132" s="276"/>
      <c r="J132" s="276"/>
      <c r="K132" s="276"/>
      <c r="L132" s="276"/>
      <c r="M132" s="276"/>
      <c r="N132" s="276"/>
      <c r="O132" s="276"/>
      <c r="P132" s="276"/>
      <c r="Q132" s="276"/>
      <c r="R132" s="276"/>
      <c r="S132" s="277"/>
    </row>
    <row r="133" spans="1:19" ht="6" customHeight="1" x14ac:dyDescent="0.15"/>
    <row r="134" spans="1:19" ht="18.75" customHeight="1" x14ac:dyDescent="0.15">
      <c r="A134" s="1" t="s">
        <v>119</v>
      </c>
    </row>
    <row r="135" spans="1:19" ht="81.75" customHeight="1" x14ac:dyDescent="0.15">
      <c r="B135" s="111" t="s">
        <v>172</v>
      </c>
      <c r="C135" s="112"/>
      <c r="D135" s="112"/>
      <c r="E135" s="112"/>
      <c r="F135" s="112"/>
      <c r="G135" s="112"/>
      <c r="H135" s="112"/>
      <c r="I135" s="112"/>
      <c r="J135" s="112"/>
      <c r="K135" s="112"/>
      <c r="L135" s="112"/>
      <c r="M135" s="112"/>
      <c r="N135" s="112"/>
      <c r="O135" s="112"/>
      <c r="P135" s="112"/>
      <c r="Q135" s="112"/>
      <c r="R135" s="112"/>
      <c r="S135" s="113"/>
    </row>
    <row r="143" spans="1:19" ht="18" customHeight="1" x14ac:dyDescent="0.15"/>
  </sheetData>
  <mergeCells count="148">
    <mergeCell ref="B135:S135"/>
    <mergeCell ref="B97:B132"/>
    <mergeCell ref="C97:C108"/>
    <mergeCell ref="D97:S108"/>
    <mergeCell ref="C109:C120"/>
    <mergeCell ref="D109:S120"/>
    <mergeCell ref="C121:C132"/>
    <mergeCell ref="D121:S13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3A33EE10-A362-4F38-8EA8-138E33E4012D}">
      <formula1>$V$14:$V$16</formula1>
    </dataValidation>
    <dataValidation type="list" allowBlank="1" showInputMessage="1" showErrorMessage="1" sqref="F79:F86 P79:P86 G79:I80 G83:I86 Q83:S86 Q79:S80" xr:uid="{C1F5B8B6-D4A0-4462-931E-AC1414D1F16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BB8E781C-F559-4079-BA51-8EE5E3C0B4D5}">
      <formula1>"学部・学科によって、修了要件は相違する,学部・学科によって、修了要件は相違しない"</formula1>
    </dataValidation>
    <dataValidation type="list" allowBlank="1" showInputMessage="1" showErrorMessage="1" sqref="S32 S43 D32:G32 D43:G43" xr:uid="{CAA23085-52EC-431F-8BC5-723FE50D3862}">
      <formula1>"全学開講,一部開講"</formula1>
    </dataValidation>
    <dataValidation type="list" allowBlank="1" showInputMessage="1" showErrorMessage="1" sqref="G25:I31 Q25:S31 G36:I42 Q36:S42 G47:I53 Q47:S53 G58:I64 Q58:S64 F69:I75 P69:S75" xr:uid="{E6AE228D-0F09-46F9-B2B2-995F51BC064E}">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AS32"/>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105</v>
      </c>
    </row>
    <row r="2" spans="1:45" ht="18" customHeight="1" x14ac:dyDescent="0.15">
      <c r="K2" s="34"/>
      <c r="Q2" s="34"/>
      <c r="W2" s="34"/>
      <c r="AC2" s="34"/>
      <c r="AI2" s="34"/>
      <c r="AL2" s="34" t="s">
        <v>107</v>
      </c>
      <c r="AM2" s="155" t="str">
        <f>'様式１－1　プログラムを構成する授業科目'!C2</f>
        <v>岡山商科大学</v>
      </c>
      <c r="AN2" s="155"/>
      <c r="AO2" s="155"/>
      <c r="AP2" s="155"/>
      <c r="AQ2" s="155"/>
    </row>
    <row r="3" spans="1:45" ht="18" customHeight="1" x14ac:dyDescent="0.15">
      <c r="A3" s="136" t="s">
        <v>47</v>
      </c>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82</v>
      </c>
      <c r="C5" s="156" t="s">
        <v>147</v>
      </c>
      <c r="D5" s="157"/>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8" t="s">
        <v>44</v>
      </c>
      <c r="C9" s="173" t="s">
        <v>85</v>
      </c>
      <c r="D9" s="161" t="s">
        <v>46</v>
      </c>
      <c r="E9" s="164" t="s">
        <v>39</v>
      </c>
      <c r="F9" s="152" t="s">
        <v>84</v>
      </c>
      <c r="G9" s="152"/>
      <c r="H9" s="152"/>
      <c r="I9" s="152"/>
      <c r="J9" s="152"/>
      <c r="K9" s="152"/>
      <c r="L9" s="152" t="s">
        <v>48</v>
      </c>
      <c r="M9" s="152"/>
      <c r="N9" s="152"/>
      <c r="O9" s="152"/>
      <c r="P9" s="152"/>
      <c r="Q9" s="152"/>
      <c r="R9" s="152" t="s">
        <v>49</v>
      </c>
      <c r="S9" s="152"/>
      <c r="T9" s="152"/>
      <c r="U9" s="152"/>
      <c r="V9" s="152"/>
      <c r="W9" s="152"/>
      <c r="X9" s="152" t="s">
        <v>99</v>
      </c>
      <c r="Y9" s="152"/>
      <c r="Z9" s="152"/>
      <c r="AA9" s="152"/>
      <c r="AB9" s="152"/>
      <c r="AC9" s="152"/>
      <c r="AD9" s="152" t="s">
        <v>50</v>
      </c>
      <c r="AE9" s="152"/>
      <c r="AF9" s="152"/>
      <c r="AG9" s="152"/>
      <c r="AH9" s="152"/>
      <c r="AI9" s="152"/>
      <c r="AJ9" s="152" t="s">
        <v>51</v>
      </c>
      <c r="AK9" s="152"/>
      <c r="AL9" s="152"/>
      <c r="AM9" s="152"/>
      <c r="AN9" s="152"/>
      <c r="AO9" s="152"/>
      <c r="AP9" s="167" t="s">
        <v>34</v>
      </c>
      <c r="AQ9" s="170" t="s">
        <v>31</v>
      </c>
      <c r="AS9" s="2"/>
    </row>
    <row r="10" spans="1:45" ht="16.899999999999999" customHeight="1" x14ac:dyDescent="0.15">
      <c r="B10" s="159"/>
      <c r="C10" s="174"/>
      <c r="D10" s="162"/>
      <c r="E10" s="165"/>
      <c r="F10" s="153" t="s">
        <v>95</v>
      </c>
      <c r="G10" s="154"/>
      <c r="H10" s="154"/>
      <c r="I10" s="153" t="s">
        <v>28</v>
      </c>
      <c r="J10" s="154"/>
      <c r="K10" s="154"/>
      <c r="L10" s="153" t="s">
        <v>95</v>
      </c>
      <c r="M10" s="154"/>
      <c r="N10" s="154"/>
      <c r="O10" s="153" t="s">
        <v>28</v>
      </c>
      <c r="P10" s="154"/>
      <c r="Q10" s="154"/>
      <c r="R10" s="153" t="s">
        <v>95</v>
      </c>
      <c r="S10" s="154"/>
      <c r="T10" s="154"/>
      <c r="U10" s="153" t="s">
        <v>28</v>
      </c>
      <c r="V10" s="154"/>
      <c r="W10" s="154"/>
      <c r="X10" s="153" t="s">
        <v>95</v>
      </c>
      <c r="Y10" s="154"/>
      <c r="Z10" s="154"/>
      <c r="AA10" s="153" t="s">
        <v>28</v>
      </c>
      <c r="AB10" s="154"/>
      <c r="AC10" s="154"/>
      <c r="AD10" s="153" t="s">
        <v>95</v>
      </c>
      <c r="AE10" s="154"/>
      <c r="AF10" s="154"/>
      <c r="AG10" s="153" t="s">
        <v>28</v>
      </c>
      <c r="AH10" s="154"/>
      <c r="AI10" s="154"/>
      <c r="AJ10" s="153" t="s">
        <v>95</v>
      </c>
      <c r="AK10" s="154"/>
      <c r="AL10" s="154"/>
      <c r="AM10" s="153" t="s">
        <v>28</v>
      </c>
      <c r="AN10" s="154"/>
      <c r="AO10" s="154"/>
      <c r="AP10" s="168"/>
      <c r="AQ10" s="171"/>
      <c r="AS10" s="2"/>
    </row>
    <row r="11" spans="1:45" ht="18" customHeight="1" x14ac:dyDescent="0.15">
      <c r="B11" s="160"/>
      <c r="C11" s="175"/>
      <c r="D11" s="163"/>
      <c r="E11" s="166"/>
      <c r="F11" s="17" t="s">
        <v>96</v>
      </c>
      <c r="G11" s="18" t="s">
        <v>97</v>
      </c>
      <c r="H11" s="19" t="s">
        <v>98</v>
      </c>
      <c r="I11" s="17" t="s">
        <v>96</v>
      </c>
      <c r="J11" s="18" t="s">
        <v>97</v>
      </c>
      <c r="K11" s="19" t="s">
        <v>98</v>
      </c>
      <c r="L11" s="17" t="s">
        <v>96</v>
      </c>
      <c r="M11" s="18" t="s">
        <v>97</v>
      </c>
      <c r="N11" s="19" t="s">
        <v>98</v>
      </c>
      <c r="O11" s="17" t="s">
        <v>96</v>
      </c>
      <c r="P11" s="18" t="s">
        <v>97</v>
      </c>
      <c r="Q11" s="19" t="s">
        <v>98</v>
      </c>
      <c r="R11" s="17" t="s">
        <v>96</v>
      </c>
      <c r="S11" s="18" t="s">
        <v>97</v>
      </c>
      <c r="T11" s="19" t="s">
        <v>98</v>
      </c>
      <c r="U11" s="17" t="s">
        <v>96</v>
      </c>
      <c r="V11" s="18" t="s">
        <v>97</v>
      </c>
      <c r="W11" s="19" t="s">
        <v>98</v>
      </c>
      <c r="X11" s="17" t="s">
        <v>96</v>
      </c>
      <c r="Y11" s="18" t="s">
        <v>97</v>
      </c>
      <c r="Z11" s="19" t="s">
        <v>98</v>
      </c>
      <c r="AA11" s="17" t="s">
        <v>96</v>
      </c>
      <c r="AB11" s="18" t="s">
        <v>97</v>
      </c>
      <c r="AC11" s="19" t="s">
        <v>98</v>
      </c>
      <c r="AD11" s="17" t="s">
        <v>96</v>
      </c>
      <c r="AE11" s="18" t="s">
        <v>97</v>
      </c>
      <c r="AF11" s="19" t="s">
        <v>98</v>
      </c>
      <c r="AG11" s="17" t="s">
        <v>96</v>
      </c>
      <c r="AH11" s="18" t="s">
        <v>97</v>
      </c>
      <c r="AI11" s="19" t="s">
        <v>98</v>
      </c>
      <c r="AJ11" s="17" t="s">
        <v>96</v>
      </c>
      <c r="AK11" s="18" t="s">
        <v>97</v>
      </c>
      <c r="AL11" s="19" t="s">
        <v>98</v>
      </c>
      <c r="AM11" s="17" t="s">
        <v>96</v>
      </c>
      <c r="AN11" s="18" t="s">
        <v>97</v>
      </c>
      <c r="AO11" s="19" t="s">
        <v>98</v>
      </c>
      <c r="AP11" s="169"/>
      <c r="AQ11" s="172"/>
      <c r="AS11" s="2"/>
    </row>
    <row r="12" spans="1:45" ht="18" customHeight="1" x14ac:dyDescent="0.15">
      <c r="A12" s="6"/>
      <c r="B12" s="11" t="s">
        <v>144</v>
      </c>
      <c r="C12" s="61">
        <v>344</v>
      </c>
      <c r="D12" s="62">
        <v>85</v>
      </c>
      <c r="E12" s="63">
        <v>320</v>
      </c>
      <c r="F12" s="63">
        <f>G12+H12</f>
        <v>2</v>
      </c>
      <c r="G12" s="64">
        <v>2</v>
      </c>
      <c r="H12" s="65">
        <v>0</v>
      </c>
      <c r="I12" s="63">
        <f>J12+K12</f>
        <v>0</v>
      </c>
      <c r="J12" s="64">
        <v>0</v>
      </c>
      <c r="K12" s="65">
        <v>0</v>
      </c>
      <c r="L12" s="63">
        <f>M12+N12</f>
        <v>0</v>
      </c>
      <c r="M12" s="64">
        <v>0</v>
      </c>
      <c r="N12" s="65">
        <v>0</v>
      </c>
      <c r="O12" s="63">
        <f>P12+Q12</f>
        <v>0</v>
      </c>
      <c r="P12" s="64">
        <v>0</v>
      </c>
      <c r="Q12" s="65">
        <v>0</v>
      </c>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2</v>
      </c>
      <c r="AQ12" s="21">
        <f t="shared" ref="AQ12:AQ32" si="0">AP12/E12</f>
        <v>6.2500000000000003E-3</v>
      </c>
    </row>
    <row r="13" spans="1:45" ht="18" customHeight="1" x14ac:dyDescent="0.15">
      <c r="A13" s="6"/>
      <c r="B13" s="12" t="s">
        <v>145</v>
      </c>
      <c r="C13" s="66">
        <v>351</v>
      </c>
      <c r="D13" s="67">
        <v>80</v>
      </c>
      <c r="E13" s="68">
        <v>360</v>
      </c>
      <c r="F13" s="69">
        <f t="shared" ref="F13:F31" si="1">G13+H13</f>
        <v>10</v>
      </c>
      <c r="G13" s="70">
        <v>5</v>
      </c>
      <c r="H13" s="71">
        <v>5</v>
      </c>
      <c r="I13" s="69">
        <f t="shared" ref="I13:I31" si="2">J13+K13</f>
        <v>0</v>
      </c>
      <c r="J13" s="70">
        <v>0</v>
      </c>
      <c r="K13" s="71">
        <v>0</v>
      </c>
      <c r="L13" s="69">
        <f t="shared" ref="L13:L31" si="3">M13+N13</f>
        <v>1</v>
      </c>
      <c r="M13" s="70">
        <v>1</v>
      </c>
      <c r="N13" s="71">
        <v>0</v>
      </c>
      <c r="O13" s="69">
        <f t="shared" ref="O13:O31" si="4">P13+Q13</f>
        <v>0</v>
      </c>
      <c r="P13" s="70">
        <v>0</v>
      </c>
      <c r="Q13" s="71">
        <v>0</v>
      </c>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11</v>
      </c>
      <c r="AQ13" s="20">
        <f t="shared" si="0"/>
        <v>3.0555555555555555E-2</v>
      </c>
    </row>
    <row r="14" spans="1:45" ht="18" customHeight="1" x14ac:dyDescent="0.15">
      <c r="A14" s="6"/>
      <c r="B14" s="12" t="s">
        <v>146</v>
      </c>
      <c r="C14" s="66">
        <v>1135</v>
      </c>
      <c r="D14" s="67">
        <v>250</v>
      </c>
      <c r="E14" s="68">
        <v>1040</v>
      </c>
      <c r="F14" s="69">
        <f t="shared" si="1"/>
        <v>10</v>
      </c>
      <c r="G14" s="70">
        <v>9</v>
      </c>
      <c r="H14" s="71">
        <v>1</v>
      </c>
      <c r="I14" s="69">
        <f t="shared" si="2"/>
        <v>2</v>
      </c>
      <c r="J14" s="70">
        <v>1</v>
      </c>
      <c r="K14" s="71">
        <v>1</v>
      </c>
      <c r="L14" s="69">
        <f t="shared" si="3"/>
        <v>2</v>
      </c>
      <c r="M14" s="70">
        <v>1</v>
      </c>
      <c r="N14" s="71">
        <v>1</v>
      </c>
      <c r="O14" s="69">
        <f t="shared" si="4"/>
        <v>0</v>
      </c>
      <c r="P14" s="70">
        <v>0</v>
      </c>
      <c r="Q14" s="71">
        <v>0</v>
      </c>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12</v>
      </c>
      <c r="AQ14" s="8">
        <f t="shared" si="0"/>
        <v>1.1538461538461539E-2</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32</v>
      </c>
      <c r="C32" s="76">
        <f t="shared" ref="C32" si="14">SUM(C12:C31)</f>
        <v>1830</v>
      </c>
      <c r="D32" s="77">
        <f t="shared" ref="D32:AP32" si="15">SUM(D12:D31)</f>
        <v>415</v>
      </c>
      <c r="E32" s="78">
        <f t="shared" si="15"/>
        <v>1720</v>
      </c>
      <c r="F32" s="78">
        <f t="shared" si="15"/>
        <v>22</v>
      </c>
      <c r="G32" s="79">
        <f t="shared" si="15"/>
        <v>16</v>
      </c>
      <c r="H32" s="80">
        <f t="shared" si="15"/>
        <v>6</v>
      </c>
      <c r="I32" s="78">
        <f t="shared" ref="I32:N32" si="16">SUM(I12:I31)</f>
        <v>2</v>
      </c>
      <c r="J32" s="79">
        <f t="shared" si="16"/>
        <v>1</v>
      </c>
      <c r="K32" s="80">
        <f t="shared" si="16"/>
        <v>1</v>
      </c>
      <c r="L32" s="78">
        <f t="shared" si="16"/>
        <v>3</v>
      </c>
      <c r="M32" s="79">
        <f t="shared" si="16"/>
        <v>2</v>
      </c>
      <c r="N32" s="80">
        <f t="shared" si="16"/>
        <v>1</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25</v>
      </c>
      <c r="AQ32" s="9">
        <f t="shared" si="0"/>
        <v>1.4534883720930232E-2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8" scale="85"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4" t="s">
        <v>104</v>
      </c>
    </row>
    <row r="2" spans="1:9" ht="18.75" customHeight="1" x14ac:dyDescent="0.15">
      <c r="G2" s="34" t="s">
        <v>107</v>
      </c>
      <c r="H2" s="87" t="str">
        <f>'様式１－1　プログラムを構成する授業科目'!C2</f>
        <v>岡山商科大学</v>
      </c>
      <c r="I2" s="89"/>
    </row>
    <row r="3" spans="1:9" ht="18.75" customHeight="1" x14ac:dyDescent="0.15">
      <c r="G3" s="34"/>
      <c r="H3" s="10"/>
      <c r="I3" s="10"/>
    </row>
    <row r="4" spans="1:9" ht="18.600000000000001" customHeight="1" x14ac:dyDescent="0.15">
      <c r="A4" s="136" t="s">
        <v>35</v>
      </c>
      <c r="B4" s="136"/>
      <c r="C4" s="136"/>
      <c r="D4" s="136"/>
      <c r="E4" s="136"/>
      <c r="F4" s="136"/>
      <c r="G4" s="136"/>
      <c r="H4" s="136"/>
      <c r="I4" s="136"/>
    </row>
    <row r="5" spans="1:9" ht="13.15" customHeight="1" x14ac:dyDescent="0.15">
      <c r="B5" s="3"/>
      <c r="C5" s="3"/>
      <c r="D5" s="3"/>
      <c r="E5" s="3"/>
      <c r="F5" s="3"/>
      <c r="G5" s="3"/>
      <c r="H5" s="3"/>
      <c r="I5" s="3"/>
    </row>
    <row r="6" spans="1:9" ht="18" customHeight="1" x14ac:dyDescent="0.15">
      <c r="A6" s="1" t="s">
        <v>0</v>
      </c>
      <c r="B6" s="10" t="s">
        <v>89</v>
      </c>
      <c r="C6" s="199" t="s">
        <v>90</v>
      </c>
      <c r="D6" s="199"/>
      <c r="E6" s="33">
        <v>81</v>
      </c>
      <c r="F6" s="3" t="s">
        <v>1</v>
      </c>
      <c r="G6" s="3" t="s">
        <v>2</v>
      </c>
      <c r="H6" s="33">
        <v>18</v>
      </c>
      <c r="I6" s="10" t="s">
        <v>1</v>
      </c>
    </row>
    <row r="7" spans="1:9" ht="12" customHeight="1" x14ac:dyDescent="0.15">
      <c r="C7" s="2"/>
      <c r="D7" s="2"/>
      <c r="E7" s="2"/>
      <c r="F7" s="2"/>
      <c r="G7" s="2"/>
      <c r="H7" s="2"/>
      <c r="I7" s="41"/>
    </row>
    <row r="8" spans="1:9" ht="18" customHeight="1" x14ac:dyDescent="0.15">
      <c r="A8" s="1" t="s">
        <v>3</v>
      </c>
      <c r="B8" s="10" t="s">
        <v>91</v>
      </c>
      <c r="E8" s="3"/>
      <c r="F8" s="3"/>
      <c r="G8" s="3"/>
      <c r="H8" s="33">
        <v>9</v>
      </c>
      <c r="I8" s="10" t="s">
        <v>1</v>
      </c>
    </row>
    <row r="9" spans="1:9" ht="9" customHeight="1" x14ac:dyDescent="0.15">
      <c r="B9" s="3"/>
      <c r="C9" s="3"/>
      <c r="D9" s="3"/>
      <c r="E9" s="3"/>
      <c r="F9" s="3"/>
      <c r="G9" s="3"/>
      <c r="H9" s="3"/>
      <c r="I9" s="3"/>
    </row>
    <row r="10" spans="1:9" ht="18" customHeight="1" x14ac:dyDescent="0.15">
      <c r="A10" s="1" t="s">
        <v>4</v>
      </c>
      <c r="B10" s="10" t="s">
        <v>92</v>
      </c>
      <c r="C10" s="3"/>
      <c r="D10" s="3"/>
      <c r="E10" s="3"/>
      <c r="F10" s="3"/>
      <c r="G10" s="3"/>
      <c r="H10" s="3"/>
      <c r="I10" s="3"/>
    </row>
    <row r="11" spans="1:9" ht="18" customHeight="1" x14ac:dyDescent="0.15">
      <c r="B11" s="34" t="s">
        <v>42</v>
      </c>
      <c r="C11" s="194" t="s">
        <v>149</v>
      </c>
      <c r="D11" s="197"/>
      <c r="E11" s="198"/>
      <c r="F11" s="41"/>
      <c r="G11" s="34" t="s">
        <v>10</v>
      </c>
      <c r="H11" s="194" t="s">
        <v>148</v>
      </c>
      <c r="I11" s="198"/>
    </row>
    <row r="12" spans="1:9" ht="10.15" customHeight="1" x14ac:dyDescent="0.15">
      <c r="B12" s="34"/>
      <c r="C12" s="10"/>
      <c r="D12" s="41"/>
      <c r="E12" s="41"/>
      <c r="F12" s="41"/>
      <c r="G12" s="34"/>
      <c r="H12" s="10"/>
      <c r="I12" s="41"/>
    </row>
    <row r="13" spans="1:9" ht="18" customHeight="1" x14ac:dyDescent="0.15">
      <c r="A13" s="1" t="s">
        <v>7</v>
      </c>
      <c r="B13" s="10" t="s">
        <v>86</v>
      </c>
      <c r="C13" s="3"/>
      <c r="D13" s="3"/>
      <c r="E13" s="3"/>
      <c r="F13" s="3"/>
      <c r="G13" s="3"/>
      <c r="H13" s="3"/>
      <c r="I13" s="3"/>
    </row>
    <row r="14" spans="1:9" ht="18" customHeight="1" x14ac:dyDescent="0.15">
      <c r="B14" s="194" t="s">
        <v>150</v>
      </c>
      <c r="C14" s="195"/>
      <c r="D14" s="195"/>
      <c r="E14" s="195"/>
      <c r="F14" s="195"/>
      <c r="G14" s="195"/>
      <c r="H14" s="195"/>
      <c r="I14" s="196"/>
    </row>
    <row r="15" spans="1:9" ht="9" customHeight="1" x14ac:dyDescent="0.15">
      <c r="B15" s="3"/>
      <c r="C15" s="3"/>
      <c r="D15" s="3"/>
      <c r="E15" s="3"/>
      <c r="F15" s="3"/>
      <c r="G15" s="3"/>
      <c r="H15" s="3"/>
      <c r="I15" s="3"/>
    </row>
    <row r="16" spans="1:9" ht="18" customHeight="1" x14ac:dyDescent="0.15">
      <c r="B16" s="34" t="s">
        <v>42</v>
      </c>
      <c r="C16" s="194" t="s">
        <v>149</v>
      </c>
      <c r="D16" s="197"/>
      <c r="E16" s="198"/>
      <c r="F16" s="41"/>
      <c r="G16" s="34" t="s">
        <v>10</v>
      </c>
      <c r="H16" s="194" t="s">
        <v>148</v>
      </c>
      <c r="I16" s="198"/>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86" t="s">
        <v>151</v>
      </c>
      <c r="C19" s="187"/>
      <c r="D19" s="187"/>
      <c r="E19" s="187"/>
      <c r="F19" s="187"/>
      <c r="G19" s="187"/>
      <c r="H19" s="187"/>
      <c r="I19" s="188"/>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176" t="s">
        <v>170</v>
      </c>
      <c r="C22" s="177"/>
      <c r="D22" s="177"/>
      <c r="E22" s="177"/>
      <c r="F22" s="177"/>
      <c r="G22" s="177"/>
      <c r="H22" s="177"/>
      <c r="I22" s="178"/>
    </row>
    <row r="23" spans="1:9" ht="18.75" customHeight="1" x14ac:dyDescent="0.15">
      <c r="A23" s="15"/>
      <c r="B23" s="189"/>
      <c r="C23" s="190"/>
      <c r="D23" s="190"/>
      <c r="E23" s="190"/>
      <c r="F23" s="190"/>
      <c r="G23" s="190"/>
      <c r="H23" s="190"/>
      <c r="I23" s="181"/>
    </row>
    <row r="24" spans="1:9" ht="18.75" customHeight="1" x14ac:dyDescent="0.15">
      <c r="A24" s="15"/>
      <c r="B24" s="189"/>
      <c r="C24" s="190"/>
      <c r="D24" s="190"/>
      <c r="E24" s="190"/>
      <c r="F24" s="190"/>
      <c r="G24" s="190"/>
      <c r="H24" s="190"/>
      <c r="I24" s="181"/>
    </row>
    <row r="25" spans="1:9" ht="18.75" customHeight="1" x14ac:dyDescent="0.15">
      <c r="A25" s="15"/>
      <c r="B25" s="189"/>
      <c r="C25" s="190"/>
      <c r="D25" s="190"/>
      <c r="E25" s="190"/>
      <c r="F25" s="190"/>
      <c r="G25" s="190"/>
      <c r="H25" s="190"/>
      <c r="I25" s="181"/>
    </row>
    <row r="26" spans="1:9" ht="18.75" customHeight="1" x14ac:dyDescent="0.15">
      <c r="A26" s="15"/>
      <c r="B26" s="189"/>
      <c r="C26" s="190"/>
      <c r="D26" s="190"/>
      <c r="E26" s="190"/>
      <c r="F26" s="190"/>
      <c r="G26" s="190"/>
      <c r="H26" s="190"/>
      <c r="I26" s="181"/>
    </row>
    <row r="27" spans="1:9" ht="18.75" customHeight="1" x14ac:dyDescent="0.15">
      <c r="A27" s="15"/>
      <c r="B27" s="189"/>
      <c r="C27" s="190"/>
      <c r="D27" s="190"/>
      <c r="E27" s="190"/>
      <c r="F27" s="190"/>
      <c r="G27" s="190"/>
      <c r="H27" s="190"/>
      <c r="I27" s="181"/>
    </row>
    <row r="28" spans="1:9" ht="18.75" customHeight="1" x14ac:dyDescent="0.15">
      <c r="A28" s="15"/>
      <c r="B28" s="189"/>
      <c r="C28" s="190"/>
      <c r="D28" s="190"/>
      <c r="E28" s="190"/>
      <c r="F28" s="190"/>
      <c r="G28" s="190"/>
      <c r="H28" s="190"/>
      <c r="I28" s="181"/>
    </row>
    <row r="29" spans="1:9" ht="18.75" customHeight="1" x14ac:dyDescent="0.15">
      <c r="A29" s="15"/>
      <c r="B29" s="189"/>
      <c r="C29" s="190"/>
      <c r="D29" s="190"/>
      <c r="E29" s="190"/>
      <c r="F29" s="190"/>
      <c r="G29" s="190"/>
      <c r="H29" s="190"/>
      <c r="I29" s="181"/>
    </row>
    <row r="30" spans="1:9" ht="18.75" customHeight="1" x14ac:dyDescent="0.15">
      <c r="A30" s="15"/>
      <c r="B30" s="179"/>
      <c r="C30" s="180"/>
      <c r="D30" s="180"/>
      <c r="E30" s="180"/>
      <c r="F30" s="180"/>
      <c r="G30" s="180"/>
      <c r="H30" s="180"/>
      <c r="I30" s="181"/>
    </row>
    <row r="31" spans="1:9" ht="18.75" customHeight="1" x14ac:dyDescent="0.15">
      <c r="A31" s="15"/>
      <c r="B31" s="179"/>
      <c r="C31" s="180"/>
      <c r="D31" s="180"/>
      <c r="E31" s="180"/>
      <c r="F31" s="180"/>
      <c r="G31" s="180"/>
      <c r="H31" s="180"/>
      <c r="I31" s="181"/>
    </row>
    <row r="32" spans="1:9" ht="18.75" customHeight="1" x14ac:dyDescent="0.15">
      <c r="A32" s="15"/>
      <c r="B32" s="182"/>
      <c r="C32" s="183"/>
      <c r="D32" s="183"/>
      <c r="E32" s="183"/>
      <c r="F32" s="183"/>
      <c r="G32" s="183"/>
      <c r="H32" s="183"/>
      <c r="I32" s="18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76" t="s">
        <v>171</v>
      </c>
      <c r="C35" s="177"/>
      <c r="D35" s="177"/>
      <c r="E35" s="177"/>
      <c r="F35" s="177"/>
      <c r="G35" s="177"/>
      <c r="H35" s="177"/>
      <c r="I35" s="178"/>
    </row>
    <row r="36" spans="1:9" ht="18.75" customHeight="1" x14ac:dyDescent="0.15">
      <c r="A36" s="15"/>
      <c r="B36" s="179"/>
      <c r="C36" s="180"/>
      <c r="D36" s="180"/>
      <c r="E36" s="180"/>
      <c r="F36" s="180"/>
      <c r="G36" s="180"/>
      <c r="H36" s="180"/>
      <c r="I36" s="181"/>
    </row>
    <row r="37" spans="1:9" ht="18.75" customHeight="1" x14ac:dyDescent="0.15">
      <c r="A37" s="15"/>
      <c r="B37" s="179"/>
      <c r="C37" s="180"/>
      <c r="D37" s="180"/>
      <c r="E37" s="180"/>
      <c r="F37" s="180"/>
      <c r="G37" s="180"/>
      <c r="H37" s="180"/>
      <c r="I37" s="181"/>
    </row>
    <row r="38" spans="1:9" ht="18.75" customHeight="1" x14ac:dyDescent="0.15">
      <c r="A38" s="15"/>
      <c r="B38" s="179"/>
      <c r="C38" s="180"/>
      <c r="D38" s="180"/>
      <c r="E38" s="180"/>
      <c r="F38" s="180"/>
      <c r="G38" s="180"/>
      <c r="H38" s="180"/>
      <c r="I38" s="181"/>
    </row>
    <row r="39" spans="1:9" ht="18.75" customHeight="1" x14ac:dyDescent="0.15">
      <c r="A39" s="15"/>
      <c r="B39" s="179"/>
      <c r="C39" s="180"/>
      <c r="D39" s="180"/>
      <c r="E39" s="180"/>
      <c r="F39" s="180"/>
      <c r="G39" s="180"/>
      <c r="H39" s="180"/>
      <c r="I39" s="181"/>
    </row>
    <row r="40" spans="1:9" ht="18.75" customHeight="1" x14ac:dyDescent="0.15">
      <c r="A40" s="15"/>
      <c r="B40" s="179"/>
      <c r="C40" s="180"/>
      <c r="D40" s="180"/>
      <c r="E40" s="180"/>
      <c r="F40" s="180"/>
      <c r="G40" s="180"/>
      <c r="H40" s="180"/>
      <c r="I40" s="181"/>
    </row>
    <row r="41" spans="1:9" ht="18.75" customHeight="1" x14ac:dyDescent="0.15">
      <c r="A41" s="15"/>
      <c r="B41" s="179"/>
      <c r="C41" s="180"/>
      <c r="D41" s="180"/>
      <c r="E41" s="180"/>
      <c r="F41" s="180"/>
      <c r="G41" s="180"/>
      <c r="H41" s="180"/>
      <c r="I41" s="181"/>
    </row>
    <row r="42" spans="1:9" ht="18.75" customHeight="1" x14ac:dyDescent="0.15">
      <c r="A42" s="15"/>
      <c r="B42" s="179"/>
      <c r="C42" s="180"/>
      <c r="D42" s="180"/>
      <c r="E42" s="180"/>
      <c r="F42" s="180"/>
      <c r="G42" s="180"/>
      <c r="H42" s="180"/>
      <c r="I42" s="181"/>
    </row>
    <row r="43" spans="1:9" ht="18.75" customHeight="1" x14ac:dyDescent="0.15">
      <c r="A43" s="15"/>
      <c r="B43" s="179"/>
      <c r="C43" s="180"/>
      <c r="D43" s="180"/>
      <c r="E43" s="180"/>
      <c r="F43" s="180"/>
      <c r="G43" s="180"/>
      <c r="H43" s="180"/>
      <c r="I43" s="181"/>
    </row>
    <row r="44" spans="1:9" ht="18.75" customHeight="1" x14ac:dyDescent="0.15">
      <c r="A44" s="15"/>
      <c r="B44" s="179"/>
      <c r="C44" s="180"/>
      <c r="D44" s="180"/>
      <c r="E44" s="180"/>
      <c r="F44" s="180"/>
      <c r="G44" s="180"/>
      <c r="H44" s="180"/>
      <c r="I44" s="181"/>
    </row>
    <row r="45" spans="1:9" ht="18.75" customHeight="1" x14ac:dyDescent="0.15">
      <c r="A45" s="15"/>
      <c r="B45" s="179"/>
      <c r="C45" s="180"/>
      <c r="D45" s="180"/>
      <c r="E45" s="180"/>
      <c r="F45" s="180"/>
      <c r="G45" s="180"/>
      <c r="H45" s="180"/>
      <c r="I45" s="181"/>
    </row>
    <row r="46" spans="1:9" ht="18.75" customHeight="1" x14ac:dyDescent="0.15">
      <c r="A46" s="15"/>
      <c r="B46" s="182"/>
      <c r="C46" s="183"/>
      <c r="D46" s="183"/>
      <c r="E46" s="183"/>
      <c r="F46" s="183"/>
      <c r="G46" s="183"/>
      <c r="H46" s="183"/>
      <c r="I46" s="184"/>
    </row>
    <row r="47" spans="1:9" ht="7.5" customHeight="1" x14ac:dyDescent="0.15">
      <c r="A47" s="4"/>
      <c r="B47" s="4"/>
      <c r="C47" s="4"/>
      <c r="D47" s="4"/>
      <c r="E47" s="4"/>
      <c r="F47" s="4"/>
      <c r="G47" s="4"/>
      <c r="H47" s="4"/>
      <c r="I47" s="4"/>
    </row>
    <row r="48" spans="1:9" ht="18.75" customHeight="1" x14ac:dyDescent="0.15">
      <c r="A48" s="1" t="s">
        <v>30</v>
      </c>
      <c r="B48" s="1" t="s">
        <v>121</v>
      </c>
    </row>
    <row r="49" spans="1:15" s="3" customFormat="1" ht="18.75" customHeight="1" x14ac:dyDescent="0.15">
      <c r="B49" s="42" t="s">
        <v>87</v>
      </c>
      <c r="C49" s="217">
        <f>'様式２ 履修者等数の実績'!AQ32</f>
        <v>1.4534883720930232E-2</v>
      </c>
      <c r="D49" s="217"/>
      <c r="E49" s="42" t="s">
        <v>65</v>
      </c>
      <c r="F49" s="217">
        <v>0.06</v>
      </c>
      <c r="G49" s="217"/>
      <c r="H49" s="42" t="s">
        <v>66</v>
      </c>
      <c r="I49" s="43">
        <v>0.1</v>
      </c>
      <c r="J49" s="1"/>
      <c r="M49" s="1"/>
      <c r="N49" s="44"/>
    </row>
    <row r="50" spans="1:15" s="3" customFormat="1" ht="18.75" customHeight="1" x14ac:dyDescent="0.15">
      <c r="B50" s="45" t="s">
        <v>67</v>
      </c>
      <c r="C50" s="200">
        <v>0.14000000000000001</v>
      </c>
      <c r="D50" s="200"/>
      <c r="E50" s="45" t="s">
        <v>88</v>
      </c>
      <c r="F50" s="200">
        <v>0.18</v>
      </c>
      <c r="G50" s="200"/>
      <c r="H50" s="45" t="s">
        <v>68</v>
      </c>
      <c r="I50" s="46">
        <f>'様式２ 履修者等数の実績'!E32</f>
        <v>1720</v>
      </c>
      <c r="J50" s="1"/>
      <c r="M50" s="1"/>
      <c r="N50" s="44"/>
    </row>
    <row r="51" spans="1:15" ht="18.75" customHeight="1" x14ac:dyDescent="0.15">
      <c r="A51" s="1"/>
      <c r="B51" s="191" t="s">
        <v>69</v>
      </c>
      <c r="C51" s="192"/>
      <c r="D51" s="192"/>
      <c r="E51" s="192"/>
      <c r="F51" s="192"/>
      <c r="G51" s="192"/>
      <c r="H51" s="192"/>
      <c r="I51" s="193"/>
      <c r="N51" s="44"/>
      <c r="O51" s="3"/>
    </row>
    <row r="52" spans="1:15" ht="18.75" customHeight="1" x14ac:dyDescent="0.15">
      <c r="A52" s="1"/>
      <c r="B52" s="218" t="s">
        <v>187</v>
      </c>
      <c r="C52" s="219"/>
      <c r="D52" s="219"/>
      <c r="E52" s="219"/>
      <c r="F52" s="219"/>
      <c r="G52" s="219"/>
      <c r="H52" s="219"/>
      <c r="I52" s="220"/>
      <c r="N52" s="44"/>
      <c r="O52" s="3"/>
    </row>
    <row r="53" spans="1:15" ht="18.75" customHeight="1" x14ac:dyDescent="0.15">
      <c r="A53" s="1"/>
      <c r="B53" s="221"/>
      <c r="C53" s="222"/>
      <c r="D53" s="222"/>
      <c r="E53" s="222"/>
      <c r="F53" s="222"/>
      <c r="G53" s="222"/>
      <c r="H53" s="222"/>
      <c r="I53" s="223"/>
      <c r="N53" s="44"/>
      <c r="O53" s="3"/>
    </row>
    <row r="54" spans="1:15" ht="18.75" customHeight="1" x14ac:dyDescent="0.15">
      <c r="A54" s="1"/>
      <c r="B54" s="221"/>
      <c r="C54" s="222"/>
      <c r="D54" s="222"/>
      <c r="E54" s="222"/>
      <c r="F54" s="222"/>
      <c r="G54" s="222"/>
      <c r="H54" s="222"/>
      <c r="I54" s="223"/>
    </row>
    <row r="55" spans="1:15" ht="18.75" customHeight="1" x14ac:dyDescent="0.15">
      <c r="A55" s="1"/>
      <c r="B55" s="221"/>
      <c r="C55" s="222"/>
      <c r="D55" s="222"/>
      <c r="E55" s="222"/>
      <c r="F55" s="222"/>
      <c r="G55" s="222"/>
      <c r="H55" s="222"/>
      <c r="I55" s="223"/>
    </row>
    <row r="56" spans="1:15" ht="18.75" customHeight="1" x14ac:dyDescent="0.15">
      <c r="A56" s="1"/>
      <c r="B56" s="221"/>
      <c r="C56" s="222"/>
      <c r="D56" s="222"/>
      <c r="E56" s="222"/>
      <c r="F56" s="222"/>
      <c r="G56" s="222"/>
      <c r="H56" s="222"/>
      <c r="I56" s="223"/>
    </row>
    <row r="57" spans="1:15" ht="18.75" customHeight="1" x14ac:dyDescent="0.15">
      <c r="A57" s="1"/>
      <c r="B57" s="221"/>
      <c r="C57" s="222"/>
      <c r="D57" s="222"/>
      <c r="E57" s="222"/>
      <c r="F57" s="222"/>
      <c r="G57" s="222"/>
      <c r="H57" s="222"/>
      <c r="I57" s="223"/>
    </row>
    <row r="58" spans="1:15" ht="18.75" customHeight="1" x14ac:dyDescent="0.15">
      <c r="A58" s="1"/>
      <c r="B58" s="221"/>
      <c r="C58" s="222"/>
      <c r="D58" s="222"/>
      <c r="E58" s="222"/>
      <c r="F58" s="222"/>
      <c r="G58" s="222"/>
      <c r="H58" s="222"/>
      <c r="I58" s="223"/>
    </row>
    <row r="59" spans="1:15" ht="18.75" customHeight="1" x14ac:dyDescent="0.15">
      <c r="A59" s="1"/>
      <c r="B59" s="221"/>
      <c r="C59" s="222"/>
      <c r="D59" s="222"/>
      <c r="E59" s="222"/>
      <c r="F59" s="222"/>
      <c r="G59" s="222"/>
      <c r="H59" s="222"/>
      <c r="I59" s="223"/>
    </row>
    <row r="60" spans="1:15" ht="18.75" customHeight="1" x14ac:dyDescent="0.15">
      <c r="A60" s="1"/>
      <c r="B60" s="221"/>
      <c r="C60" s="222"/>
      <c r="D60" s="222"/>
      <c r="E60" s="222"/>
      <c r="F60" s="222"/>
      <c r="G60" s="222"/>
      <c r="H60" s="222"/>
      <c r="I60" s="223"/>
    </row>
    <row r="61" spans="1:15" ht="18.75" customHeight="1" x14ac:dyDescent="0.15">
      <c r="A61" s="1"/>
      <c r="B61" s="221"/>
      <c r="C61" s="222"/>
      <c r="D61" s="222"/>
      <c r="E61" s="222"/>
      <c r="F61" s="222"/>
      <c r="G61" s="222"/>
      <c r="H61" s="222"/>
      <c r="I61" s="223"/>
    </row>
    <row r="62" spans="1:15" ht="18.75" customHeight="1" x14ac:dyDescent="0.15">
      <c r="A62" s="1"/>
      <c r="B62" s="221"/>
      <c r="C62" s="222"/>
      <c r="D62" s="222"/>
      <c r="E62" s="222"/>
      <c r="F62" s="222"/>
      <c r="G62" s="222"/>
      <c r="H62" s="222"/>
      <c r="I62" s="223"/>
    </row>
    <row r="63" spans="1:15" ht="18.75" customHeight="1" x14ac:dyDescent="0.15">
      <c r="A63" s="1"/>
      <c r="B63" s="224"/>
      <c r="C63" s="225"/>
      <c r="D63" s="225"/>
      <c r="E63" s="225"/>
      <c r="F63" s="225"/>
      <c r="G63" s="225"/>
      <c r="H63" s="225"/>
      <c r="I63" s="226"/>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01" t="s">
        <v>190</v>
      </c>
      <c r="C66" s="202"/>
      <c r="D66" s="202"/>
      <c r="E66" s="202"/>
      <c r="F66" s="202"/>
      <c r="G66" s="202"/>
      <c r="H66" s="202"/>
      <c r="I66" s="203"/>
    </row>
    <row r="67" spans="1:9" ht="18.75" customHeight="1" x14ac:dyDescent="0.15">
      <c r="A67" s="4"/>
      <c r="B67" s="204"/>
      <c r="C67" s="205"/>
      <c r="D67" s="205"/>
      <c r="E67" s="205"/>
      <c r="F67" s="205"/>
      <c r="G67" s="205"/>
      <c r="H67" s="205"/>
      <c r="I67" s="206"/>
    </row>
    <row r="68" spans="1:9" ht="18.75" customHeight="1" x14ac:dyDescent="0.15">
      <c r="A68" s="4"/>
      <c r="B68" s="204"/>
      <c r="C68" s="205"/>
      <c r="D68" s="205"/>
      <c r="E68" s="205"/>
      <c r="F68" s="205"/>
      <c r="G68" s="205"/>
      <c r="H68" s="205"/>
      <c r="I68" s="206"/>
    </row>
    <row r="69" spans="1:9" ht="18.75" customHeight="1" x14ac:dyDescent="0.15">
      <c r="A69" s="4"/>
      <c r="B69" s="204"/>
      <c r="C69" s="205"/>
      <c r="D69" s="205"/>
      <c r="E69" s="205"/>
      <c r="F69" s="205"/>
      <c r="G69" s="205"/>
      <c r="H69" s="205"/>
      <c r="I69" s="206"/>
    </row>
    <row r="70" spans="1:9" ht="18.75" customHeight="1" x14ac:dyDescent="0.15">
      <c r="A70" s="4"/>
      <c r="B70" s="204"/>
      <c r="C70" s="205"/>
      <c r="D70" s="205"/>
      <c r="E70" s="205"/>
      <c r="F70" s="205"/>
      <c r="G70" s="205"/>
      <c r="H70" s="205"/>
      <c r="I70" s="206"/>
    </row>
    <row r="71" spans="1:9" ht="18.75" customHeight="1" x14ac:dyDescent="0.15">
      <c r="A71" s="4"/>
      <c r="B71" s="204"/>
      <c r="C71" s="205"/>
      <c r="D71" s="205"/>
      <c r="E71" s="205"/>
      <c r="F71" s="205"/>
      <c r="G71" s="205"/>
      <c r="H71" s="205"/>
      <c r="I71" s="206"/>
    </row>
    <row r="72" spans="1:9" ht="18.75" customHeight="1" x14ac:dyDescent="0.15">
      <c r="A72" s="4"/>
      <c r="B72" s="204"/>
      <c r="C72" s="205"/>
      <c r="D72" s="205"/>
      <c r="E72" s="205"/>
      <c r="F72" s="205"/>
      <c r="G72" s="205"/>
      <c r="H72" s="205"/>
      <c r="I72" s="206"/>
    </row>
    <row r="73" spans="1:9" ht="18.75" customHeight="1" x14ac:dyDescent="0.15">
      <c r="A73" s="4"/>
      <c r="B73" s="204"/>
      <c r="C73" s="205"/>
      <c r="D73" s="205"/>
      <c r="E73" s="205"/>
      <c r="F73" s="205"/>
      <c r="G73" s="205"/>
      <c r="H73" s="205"/>
      <c r="I73" s="206"/>
    </row>
    <row r="74" spans="1:9" ht="18.75" customHeight="1" x14ac:dyDescent="0.15">
      <c r="A74" s="4"/>
      <c r="B74" s="204"/>
      <c r="C74" s="205"/>
      <c r="D74" s="205"/>
      <c r="E74" s="205"/>
      <c r="F74" s="205"/>
      <c r="G74" s="205"/>
      <c r="H74" s="205"/>
      <c r="I74" s="206"/>
    </row>
    <row r="75" spans="1:9" ht="18.75" customHeight="1" x14ac:dyDescent="0.15">
      <c r="A75" s="4"/>
      <c r="B75" s="204"/>
      <c r="C75" s="205"/>
      <c r="D75" s="205"/>
      <c r="E75" s="205"/>
      <c r="F75" s="205"/>
      <c r="G75" s="205"/>
      <c r="H75" s="205"/>
      <c r="I75" s="206"/>
    </row>
    <row r="76" spans="1:9" ht="18.75" customHeight="1" x14ac:dyDescent="0.15">
      <c r="A76" s="4"/>
      <c r="B76" s="204"/>
      <c r="C76" s="205"/>
      <c r="D76" s="205"/>
      <c r="E76" s="205"/>
      <c r="F76" s="205"/>
      <c r="G76" s="205"/>
      <c r="H76" s="205"/>
      <c r="I76" s="206"/>
    </row>
    <row r="77" spans="1:9" ht="18.75" customHeight="1" x14ac:dyDescent="0.15">
      <c r="A77" s="4"/>
      <c r="B77" s="207"/>
      <c r="C77" s="208"/>
      <c r="D77" s="208"/>
      <c r="E77" s="208"/>
      <c r="F77" s="208"/>
      <c r="G77" s="208"/>
      <c r="H77" s="208"/>
      <c r="I77" s="209"/>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1" t="s">
        <v>153</v>
      </c>
      <c r="C80" s="202"/>
      <c r="D80" s="202"/>
      <c r="E80" s="202"/>
      <c r="F80" s="202"/>
      <c r="G80" s="202"/>
      <c r="H80" s="202"/>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176" t="s">
        <v>154</v>
      </c>
      <c r="C94" s="177"/>
      <c r="D94" s="177"/>
      <c r="E94" s="177"/>
      <c r="F94" s="177"/>
      <c r="G94" s="177"/>
      <c r="H94" s="177"/>
      <c r="I94" s="178"/>
    </row>
    <row r="95" spans="1:9" ht="18.75" customHeight="1" x14ac:dyDescent="0.15">
      <c r="A95" s="1"/>
      <c r="B95" s="179"/>
      <c r="C95" s="180"/>
      <c r="D95" s="180"/>
      <c r="E95" s="180"/>
      <c r="F95" s="180"/>
      <c r="G95" s="180"/>
      <c r="H95" s="180"/>
      <c r="I95" s="181"/>
    </row>
    <row r="96" spans="1:9" ht="18.75" customHeight="1" x14ac:dyDescent="0.15">
      <c r="A96" s="1"/>
      <c r="B96" s="179"/>
      <c r="C96" s="180"/>
      <c r="D96" s="180"/>
      <c r="E96" s="180"/>
      <c r="F96" s="180"/>
      <c r="G96" s="180"/>
      <c r="H96" s="180"/>
      <c r="I96" s="181"/>
    </row>
    <row r="97" spans="1:9" ht="18.75" customHeight="1" x14ac:dyDescent="0.15">
      <c r="A97" s="1"/>
      <c r="B97" s="179"/>
      <c r="C97" s="180"/>
      <c r="D97" s="180"/>
      <c r="E97" s="180"/>
      <c r="F97" s="180"/>
      <c r="G97" s="180"/>
      <c r="H97" s="180"/>
      <c r="I97" s="181"/>
    </row>
    <row r="98" spans="1:9" ht="18.75" customHeight="1" x14ac:dyDescent="0.15">
      <c r="A98" s="1"/>
      <c r="B98" s="179"/>
      <c r="C98" s="180"/>
      <c r="D98" s="180"/>
      <c r="E98" s="180"/>
      <c r="F98" s="180"/>
      <c r="G98" s="180"/>
      <c r="H98" s="180"/>
      <c r="I98" s="181"/>
    </row>
    <row r="99" spans="1:9" ht="18.75" customHeight="1" x14ac:dyDescent="0.15">
      <c r="A99" s="1"/>
      <c r="B99" s="179"/>
      <c r="C99" s="180"/>
      <c r="D99" s="180"/>
      <c r="E99" s="180"/>
      <c r="F99" s="180"/>
      <c r="G99" s="180"/>
      <c r="H99" s="180"/>
      <c r="I99" s="181"/>
    </row>
    <row r="100" spans="1:9" ht="18.75" customHeight="1" x14ac:dyDescent="0.15">
      <c r="A100" s="1"/>
      <c r="B100" s="179"/>
      <c r="C100" s="180"/>
      <c r="D100" s="180"/>
      <c r="E100" s="180"/>
      <c r="F100" s="180"/>
      <c r="G100" s="180"/>
      <c r="H100" s="180"/>
      <c r="I100" s="181"/>
    </row>
    <row r="101" spans="1:9" ht="18.75" customHeight="1" x14ac:dyDescent="0.15">
      <c r="A101" s="1"/>
      <c r="B101" s="179"/>
      <c r="C101" s="180"/>
      <c r="D101" s="180"/>
      <c r="E101" s="180"/>
      <c r="F101" s="180"/>
      <c r="G101" s="180"/>
      <c r="H101" s="180"/>
      <c r="I101" s="181"/>
    </row>
    <row r="102" spans="1:9" ht="18.75" customHeight="1" x14ac:dyDescent="0.15">
      <c r="A102" s="1"/>
      <c r="B102" s="179"/>
      <c r="C102" s="180"/>
      <c r="D102" s="180"/>
      <c r="E102" s="180"/>
      <c r="F102" s="180"/>
      <c r="G102" s="180"/>
      <c r="H102" s="180"/>
      <c r="I102" s="181"/>
    </row>
    <row r="103" spans="1:9" ht="18.75" customHeight="1" x14ac:dyDescent="0.15">
      <c r="A103" s="1"/>
      <c r="B103" s="179"/>
      <c r="C103" s="180"/>
      <c r="D103" s="180"/>
      <c r="E103" s="180"/>
      <c r="F103" s="180"/>
      <c r="G103" s="180"/>
      <c r="H103" s="180"/>
      <c r="I103" s="181"/>
    </row>
    <row r="104" spans="1:9" ht="18.75" customHeight="1" x14ac:dyDescent="0.15">
      <c r="A104" s="1"/>
      <c r="B104" s="179"/>
      <c r="C104" s="180"/>
      <c r="D104" s="180"/>
      <c r="E104" s="180"/>
      <c r="F104" s="180"/>
      <c r="G104" s="180"/>
      <c r="H104" s="180"/>
      <c r="I104" s="181"/>
    </row>
    <row r="105" spans="1:9" ht="18.75" customHeight="1" x14ac:dyDescent="0.15">
      <c r="A105" s="4"/>
      <c r="B105" s="182"/>
      <c r="C105" s="183"/>
      <c r="D105" s="183"/>
      <c r="E105" s="183"/>
      <c r="F105" s="183"/>
      <c r="G105" s="183"/>
      <c r="H105" s="183"/>
      <c r="I105" s="184"/>
    </row>
    <row r="106" spans="1:9" ht="7.5" customHeight="1" x14ac:dyDescent="0.15">
      <c r="A106" s="4"/>
      <c r="B106" s="4"/>
      <c r="C106" s="4"/>
      <c r="D106" s="4"/>
      <c r="E106" s="4"/>
      <c r="F106" s="4"/>
      <c r="G106" s="4"/>
      <c r="H106" s="4"/>
      <c r="I106" s="4"/>
    </row>
    <row r="107" spans="1:9" ht="18.75" customHeight="1" x14ac:dyDescent="0.15">
      <c r="A107" s="1" t="s">
        <v>29</v>
      </c>
      <c r="B107" s="185" t="s">
        <v>45</v>
      </c>
      <c r="C107" s="185"/>
      <c r="D107" s="185"/>
      <c r="E107" s="185"/>
      <c r="F107" s="185"/>
      <c r="G107" s="185"/>
      <c r="H107" s="185"/>
      <c r="I107" s="185"/>
    </row>
    <row r="108" spans="1:9" ht="18.75" customHeight="1" x14ac:dyDescent="0.15">
      <c r="A108" s="4"/>
      <c r="B108" s="176" t="s">
        <v>155</v>
      </c>
      <c r="C108" s="177"/>
      <c r="D108" s="177"/>
      <c r="E108" s="177"/>
      <c r="F108" s="177"/>
      <c r="G108" s="177"/>
      <c r="H108" s="177"/>
      <c r="I108" s="178"/>
    </row>
    <row r="109" spans="1:9" ht="18.75" customHeight="1" x14ac:dyDescent="0.15">
      <c r="A109" s="4"/>
      <c r="B109" s="179"/>
      <c r="C109" s="180"/>
      <c r="D109" s="180"/>
      <c r="E109" s="180"/>
      <c r="F109" s="180"/>
      <c r="G109" s="180"/>
      <c r="H109" s="180"/>
      <c r="I109" s="181"/>
    </row>
    <row r="110" spans="1:9" ht="18.75" customHeight="1" x14ac:dyDescent="0.15">
      <c r="A110" s="4"/>
      <c r="B110" s="179"/>
      <c r="C110" s="180"/>
      <c r="D110" s="180"/>
      <c r="E110" s="180"/>
      <c r="F110" s="180"/>
      <c r="G110" s="180"/>
      <c r="H110" s="180"/>
      <c r="I110" s="181"/>
    </row>
    <row r="111" spans="1:9" ht="18.75" customHeight="1" x14ac:dyDescent="0.15">
      <c r="A111" s="4"/>
      <c r="B111" s="179"/>
      <c r="C111" s="180"/>
      <c r="D111" s="180"/>
      <c r="E111" s="180"/>
      <c r="F111" s="180"/>
      <c r="G111" s="180"/>
      <c r="H111" s="180"/>
      <c r="I111" s="181"/>
    </row>
    <row r="112" spans="1:9" ht="18.75" customHeight="1" x14ac:dyDescent="0.15">
      <c r="A112" s="4"/>
      <c r="B112" s="179"/>
      <c r="C112" s="180"/>
      <c r="D112" s="180"/>
      <c r="E112" s="180"/>
      <c r="F112" s="180"/>
      <c r="G112" s="180"/>
      <c r="H112" s="180"/>
      <c r="I112" s="181"/>
    </row>
    <row r="113" spans="1:9" ht="18.75" customHeight="1" x14ac:dyDescent="0.15">
      <c r="A113" s="4"/>
      <c r="B113" s="179"/>
      <c r="C113" s="180"/>
      <c r="D113" s="180"/>
      <c r="E113" s="180"/>
      <c r="F113" s="180"/>
      <c r="G113" s="180"/>
      <c r="H113" s="180"/>
      <c r="I113" s="181"/>
    </row>
    <row r="114" spans="1:9" ht="18.75" customHeight="1" x14ac:dyDescent="0.15">
      <c r="A114" s="4"/>
      <c r="B114" s="179"/>
      <c r="C114" s="180"/>
      <c r="D114" s="180"/>
      <c r="E114" s="180"/>
      <c r="F114" s="180"/>
      <c r="G114" s="180"/>
      <c r="H114" s="180"/>
      <c r="I114" s="181"/>
    </row>
    <row r="115" spans="1:9" ht="18.75" customHeight="1" x14ac:dyDescent="0.15">
      <c r="A115" s="4"/>
      <c r="B115" s="179"/>
      <c r="C115" s="180"/>
      <c r="D115" s="180"/>
      <c r="E115" s="180"/>
      <c r="F115" s="180"/>
      <c r="G115" s="180"/>
      <c r="H115" s="180"/>
      <c r="I115" s="181"/>
    </row>
    <row r="116" spans="1:9" ht="18.75" customHeight="1" x14ac:dyDescent="0.15">
      <c r="A116" s="4"/>
      <c r="B116" s="179"/>
      <c r="C116" s="180"/>
      <c r="D116" s="180"/>
      <c r="E116" s="180"/>
      <c r="F116" s="180"/>
      <c r="G116" s="180"/>
      <c r="H116" s="180"/>
      <c r="I116" s="181"/>
    </row>
    <row r="117" spans="1:9" ht="18.75" customHeight="1" x14ac:dyDescent="0.15">
      <c r="A117" s="4"/>
      <c r="B117" s="179"/>
      <c r="C117" s="180"/>
      <c r="D117" s="180"/>
      <c r="E117" s="180"/>
      <c r="F117" s="180"/>
      <c r="G117" s="180"/>
      <c r="H117" s="180"/>
      <c r="I117" s="181"/>
    </row>
    <row r="118" spans="1:9" ht="18.75" customHeight="1" x14ac:dyDescent="0.15">
      <c r="A118" s="4"/>
      <c r="B118" s="179"/>
      <c r="C118" s="180"/>
      <c r="D118" s="180"/>
      <c r="E118" s="180"/>
      <c r="F118" s="180"/>
      <c r="G118" s="180"/>
      <c r="H118" s="180"/>
      <c r="I118" s="181"/>
    </row>
    <row r="119" spans="1:9" ht="18.75" customHeight="1" x14ac:dyDescent="0.15">
      <c r="A119" s="4"/>
      <c r="B119" s="182"/>
      <c r="C119" s="183"/>
      <c r="D119" s="183"/>
      <c r="E119" s="183"/>
      <c r="F119" s="183"/>
      <c r="G119" s="183"/>
      <c r="H119" s="183"/>
      <c r="I119" s="184"/>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I30"/>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103</v>
      </c>
    </row>
    <row r="2" spans="1:9" ht="18.75" customHeight="1" x14ac:dyDescent="0.15">
      <c r="H2" s="34" t="s">
        <v>107</v>
      </c>
      <c r="I2" s="33" t="str">
        <f>'様式１－1　プログラムを構成する授業科目'!C2</f>
        <v>岡山商科大学</v>
      </c>
    </row>
    <row r="3" spans="1:9" ht="18.75" customHeight="1" x14ac:dyDescent="0.15">
      <c r="A3" s="136" t="s">
        <v>27</v>
      </c>
      <c r="B3" s="136"/>
      <c r="C3" s="136"/>
      <c r="D3" s="136"/>
      <c r="E3" s="136"/>
      <c r="F3" s="136"/>
      <c r="G3" s="136"/>
      <c r="H3" s="136"/>
      <c r="I3" s="136"/>
    </row>
    <row r="4" spans="1:9" ht="18.75" customHeight="1" x14ac:dyDescent="0.15">
      <c r="A4" s="5"/>
      <c r="B4" s="5"/>
      <c r="C4" s="5"/>
      <c r="D4" s="5"/>
      <c r="E4" s="5"/>
      <c r="F4" s="5"/>
      <c r="G4" s="5"/>
      <c r="H4" s="5"/>
      <c r="I4" s="5"/>
    </row>
    <row r="5" spans="1:9" ht="18.75" customHeight="1" x14ac:dyDescent="0.15">
      <c r="A5" s="1" t="s">
        <v>0</v>
      </c>
      <c r="B5" s="10" t="s">
        <v>93</v>
      </c>
      <c r="C5" s="5"/>
      <c r="D5" s="5"/>
      <c r="E5" s="5"/>
      <c r="F5" s="5"/>
      <c r="G5" s="5"/>
      <c r="H5" s="5"/>
      <c r="I5" s="5"/>
    </row>
    <row r="6" spans="1:9" ht="26.25" customHeight="1" x14ac:dyDescent="0.15">
      <c r="A6" s="5"/>
      <c r="B6" s="194" t="s">
        <v>160</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34" t="s">
        <v>42</v>
      </c>
      <c r="E8" s="35" t="s">
        <v>161</v>
      </c>
      <c r="F8" s="3"/>
      <c r="G8" s="34" t="s">
        <v>10</v>
      </c>
      <c r="H8" s="35" t="s">
        <v>162</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87" t="s">
        <v>23</v>
      </c>
      <c r="C11" s="88"/>
      <c r="D11" s="89"/>
      <c r="E11" s="88" t="s">
        <v>25</v>
      </c>
      <c r="F11" s="88"/>
      <c r="G11" s="88"/>
      <c r="H11" s="88"/>
      <c r="I11" s="89"/>
    </row>
    <row r="12" spans="1:9" ht="26.25" customHeight="1" x14ac:dyDescent="0.15">
      <c r="B12" s="49" t="s">
        <v>13</v>
      </c>
      <c r="C12" s="56"/>
      <c r="D12" s="50"/>
      <c r="E12" s="57"/>
      <c r="F12" s="57"/>
      <c r="G12" s="57"/>
      <c r="H12" s="57"/>
      <c r="I12" s="50"/>
    </row>
    <row r="13" spans="1:9" ht="210.75" customHeight="1" x14ac:dyDescent="0.15">
      <c r="B13" s="51"/>
      <c r="C13" s="232" t="s">
        <v>14</v>
      </c>
      <c r="D13" s="233"/>
      <c r="E13" s="229" t="s">
        <v>188</v>
      </c>
      <c r="F13" s="230"/>
      <c r="G13" s="230"/>
      <c r="H13" s="230"/>
      <c r="I13" s="231"/>
    </row>
    <row r="14" spans="1:9" ht="210.75" customHeight="1" x14ac:dyDescent="0.15">
      <c r="B14" s="51"/>
      <c r="C14" s="227" t="s">
        <v>15</v>
      </c>
      <c r="D14" s="228"/>
      <c r="E14" s="229" t="s">
        <v>169</v>
      </c>
      <c r="F14" s="230"/>
      <c r="G14" s="230"/>
      <c r="H14" s="230"/>
      <c r="I14" s="231"/>
    </row>
    <row r="15" spans="1:9" ht="210.75" customHeight="1" x14ac:dyDescent="0.15">
      <c r="B15" s="51"/>
      <c r="C15" s="232" t="s">
        <v>16</v>
      </c>
      <c r="D15" s="233"/>
      <c r="E15" s="229" t="s">
        <v>167</v>
      </c>
      <c r="F15" s="230"/>
      <c r="G15" s="230"/>
      <c r="H15" s="230"/>
      <c r="I15" s="231"/>
    </row>
    <row r="16" spans="1:9" ht="210.75" customHeight="1" x14ac:dyDescent="0.15">
      <c r="B16" s="51"/>
      <c r="C16" s="232" t="s">
        <v>17</v>
      </c>
      <c r="D16" s="233"/>
      <c r="E16" s="229" t="s">
        <v>168</v>
      </c>
      <c r="F16" s="230"/>
      <c r="G16" s="230"/>
      <c r="H16" s="230"/>
      <c r="I16" s="231"/>
    </row>
    <row r="17" spans="2:9" ht="210.75" customHeight="1" x14ac:dyDescent="0.15">
      <c r="B17" s="52"/>
      <c r="C17" s="236" t="s">
        <v>18</v>
      </c>
      <c r="D17" s="237"/>
      <c r="E17" s="238" t="s">
        <v>189</v>
      </c>
      <c r="F17" s="239"/>
      <c r="G17" s="239"/>
      <c r="H17" s="239"/>
      <c r="I17" s="240"/>
    </row>
    <row r="18" spans="2:9" ht="24" customHeight="1" x14ac:dyDescent="0.15">
      <c r="B18" s="49" t="s">
        <v>19</v>
      </c>
      <c r="C18" s="53"/>
      <c r="D18" s="54"/>
      <c r="E18" s="55"/>
      <c r="F18" s="55"/>
      <c r="G18" s="55"/>
      <c r="H18" s="55"/>
      <c r="I18" s="58"/>
    </row>
    <row r="19" spans="2:9" ht="218.25" customHeight="1" x14ac:dyDescent="0.15">
      <c r="B19" s="51"/>
      <c r="C19" s="232" t="s">
        <v>20</v>
      </c>
      <c r="D19" s="233"/>
      <c r="E19" s="230" t="s">
        <v>156</v>
      </c>
      <c r="F19" s="230"/>
      <c r="G19" s="230"/>
      <c r="H19" s="230"/>
      <c r="I19" s="231"/>
    </row>
    <row r="20" spans="2:9" ht="218.25" customHeight="1" x14ac:dyDescent="0.15">
      <c r="B20" s="52"/>
      <c r="C20" s="236" t="s">
        <v>21</v>
      </c>
      <c r="D20" s="237"/>
      <c r="E20" s="239" t="s">
        <v>157</v>
      </c>
      <c r="F20" s="239"/>
      <c r="G20" s="239"/>
      <c r="H20" s="239"/>
      <c r="I20" s="240"/>
    </row>
    <row r="21" spans="2:9" ht="218.25" customHeight="1" x14ac:dyDescent="0.15">
      <c r="B21" s="246" t="s">
        <v>22</v>
      </c>
      <c r="C21" s="247"/>
      <c r="D21" s="248"/>
      <c r="E21" s="249" t="s">
        <v>166</v>
      </c>
      <c r="F21" s="249"/>
      <c r="G21" s="249"/>
      <c r="H21" s="249"/>
      <c r="I21" s="250"/>
    </row>
    <row r="22" spans="2:9" ht="218.25" customHeight="1" x14ac:dyDescent="0.15">
      <c r="B22" s="241" t="s">
        <v>37</v>
      </c>
      <c r="C22" s="242"/>
      <c r="D22" s="243"/>
      <c r="E22" s="244" t="s">
        <v>165</v>
      </c>
      <c r="F22" s="244"/>
      <c r="G22" s="244"/>
      <c r="H22" s="244"/>
      <c r="I22" s="24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sai</cp:lastModifiedBy>
  <cp:lastPrinted>2023-05-02T00:44:33Z</cp:lastPrinted>
  <dcterms:created xsi:type="dcterms:W3CDTF">2011-06-14T05:32:50Z</dcterms:created>
  <dcterms:modified xsi:type="dcterms:W3CDTF">2023-05-02T00:45:20Z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