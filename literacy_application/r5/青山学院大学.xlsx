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C:\Users\kolohe\Desktop\ファイナル\青山学院大学\01青山学院大学_リテラシー\"/>
    </mc:Choice>
  </mc:AlternateContent>
  <xr:revisionPtr revIDLastSave="0" documentId="13_ncr:1_{DF4A8702-29EB-4DF9-8B30-A77175F6CAA0}" xr6:coauthVersionLast="47" xr6:coauthVersionMax="47" xr10:uidLastSave="{00000000-0000-0000-0000-000000000000}"/>
  <bookViews>
    <workbookView xWindow="24" yWindow="24" windowWidth="23016" windowHeight="12936"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c r="AA32" i="40"/>
  <c r="AJ32" i="40"/>
  <c r="AM32" i="40"/>
  <c r="AG32" i="40"/>
  <c r="AD32" i="40"/>
  <c r="X32" i="40"/>
  <c r="R32" i="40"/>
  <c r="U32" i="40"/>
  <c r="L32" i="40"/>
  <c r="K32" i="40"/>
  <c r="J32" i="40"/>
  <c r="I31" i="40"/>
  <c r="I30" i="40"/>
  <c r="I29" i="40"/>
  <c r="I28" i="40"/>
  <c r="I27" i="40"/>
  <c r="I26" i="40"/>
  <c r="I25" i="40"/>
  <c r="I24" i="40"/>
  <c r="I23" i="40"/>
  <c r="I22" i="40"/>
  <c r="G32" i="40"/>
  <c r="H32" i="40"/>
  <c r="AP13" i="40"/>
  <c r="AP14" i="40"/>
  <c r="AP15" i="40"/>
  <c r="AP16" i="40"/>
  <c r="AP17" i="40"/>
  <c r="AP18" i="40"/>
  <c r="AP19" i="40"/>
  <c r="AP20" i="40"/>
  <c r="AP21" i="40"/>
  <c r="F22" i="40"/>
  <c r="AP22" i="40"/>
  <c r="AP23" i="40"/>
  <c r="AP24" i="40"/>
  <c r="AP25" i="40"/>
  <c r="AP26" i="40"/>
  <c r="AP27" i="40"/>
  <c r="AP28" i="40"/>
  <c r="AP29" i="40"/>
  <c r="AP30" i="40"/>
  <c r="AP31" i="40"/>
  <c r="AP12" i="40"/>
  <c r="AQ12" i="40"/>
  <c r="C32" i="40"/>
  <c r="I32" i="40"/>
  <c r="F32" i="40"/>
  <c r="E32" i="40"/>
  <c r="I50" i="41"/>
  <c r="D32" i="40"/>
  <c r="AQ31" i="40"/>
  <c r="AQ30" i="40"/>
  <c r="AQ29" i="40"/>
  <c r="AQ28" i="40"/>
  <c r="AQ27" i="40"/>
  <c r="AQ26" i="40"/>
  <c r="AQ25" i="40"/>
  <c r="AQ24" i="40"/>
  <c r="AQ23" i="40"/>
  <c r="AQ22" i="40"/>
  <c r="AQ21" i="40"/>
  <c r="AQ20" i="40"/>
  <c r="AQ19" i="40"/>
  <c r="AQ18" i="40"/>
  <c r="AQ17" i="40"/>
  <c r="AQ16" i="40"/>
  <c r="AQ15" i="40"/>
  <c r="AQ14" i="40"/>
  <c r="AQ13" i="40"/>
  <c r="AP32" i="40"/>
  <c r="AQ32" i="40"/>
  <c r="C49" i="41"/>
</calcChain>
</file>

<file path=xl/sharedStrings.xml><?xml version="1.0" encoding="utf-8"?>
<sst xmlns="http://schemas.openxmlformats.org/spreadsheetml/2006/main" count="316" uniqueCount="187">
  <si>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</si>
  <si>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</si>
  <si>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</si>
  <si>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</si>
  <si>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</si>
  <si>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</si>
  <si>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</si>
  <si>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</si>
  <si>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</si>
  <si>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</si>
  <si>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</si>
  <si>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</si>
  <si>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</si>
  <si>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</si>
  <si>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</si>
  <si>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</si>
  <si>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</si>
  <si>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</si>
  <si>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</si>
  <si>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</si>
  <si>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</si>
  <si>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</si>
  <si>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</si>
  <si>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</si>
  <si>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</si>
  <si>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</si>
  <si>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</si>
  <si>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</si>
  <si>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</si>
  <si>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</si>
  <si>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</si>
  <si>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</si>
  <si>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</si>
  <si>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</si>
  <si>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</si>
  <si>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</si>
  <si>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</si>
  <si>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</si>
  <si>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</si>
  <si>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</si>
  <si>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</si>
  <si>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</si>
  <si>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</si>
  <si>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</si>
  <si>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</si>
  <si>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</si>
  <si>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</si>
  <si>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</si>
  <si>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</si>
  <si>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</si>
  <si>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</si>
  <si>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</si>
  <si>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</si>
  <si>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</si>
  <si>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</si>
  <si>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</si>
  <si>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</si>
  <si>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</si>
  <si>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</si>
  <si>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</si>
  <si>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</si>
  <si>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</si>
  <si>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</si>
  <si>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</si>
  <si>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</si>
  <si>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</si>
  <si>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</si>
  <si>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</si>
  <si>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</si>
  <si>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</si>
  <si>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</si>
  <si>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</si>
  <si>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</si>
  <si>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</si>
  <si>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</si>
  <si>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</si>
  <si>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</si>
  <si>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</si>
  <si>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</si>
  <si>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</si>
  <si>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</si>
  <si>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</si>
  <si>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</si>
  <si>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</si>
  <si>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</si>
  <si>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</si>
  <si>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</si>
  <si>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</si>
  <si>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</si>
  <si>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</si>
  <si>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</si>
  <si>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</si>
  <si>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</si>
  <si>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</si>
  <si>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</si>
  <si>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</si>
  <si>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</si>
  <si>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</si>
  <si>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</si>
  <si>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</si>
  <si>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</si>
  <si>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</si>
  <si>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</si>
  <si>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</si>
  <si>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</si>
  <si>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</si>
  <si>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</si>
  <si>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</si>
  <si>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</si>
  <si>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</si>
  <si>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</si>
  <si>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</si>
  <si>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</si>
  <si>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</si>
  <si>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</si>
  <si>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</si>
  <si>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</si>
  <si>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</si>
  <si>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</si>
  <si>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</si>
  <si>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</si>
  <si>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</si>
  <si>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</si>
  <si>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</si>
  <si>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</si>
  <si>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</si>
  <si>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</si>
  <si>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青山学院大学</t>
    <rPh sb="0" eb="2">
      <t>アオヤマ</t>
    </rPh>
    <rPh sb="2" eb="4">
      <t>ガクイン</t>
    </rPh>
    <rPh sb="4" eb="6">
      <t>ダイガク</t>
    </rPh>
    <phoneticPr fontId="1"/>
  </si>
  <si>
    <t>学部・学科によって、修了要件は相違しない</t>
  </si>
  <si>
    <t>稲積宏誠</t>
    <phoneticPr fontId="1"/>
  </si>
  <si>
    <t>青山データサイエンス教育コンファレンス（aDSec）運営委員会</t>
    <phoneticPr fontId="1"/>
  </si>
  <si>
    <t>荒木万寿夫</t>
    <rPh sb="0" eb="2">
      <t>アラキ</t>
    </rPh>
    <rPh sb="2" eb="5">
      <t>マスオ</t>
    </rPh>
    <phoneticPr fontId="1"/>
  </si>
  <si>
    <t>青山データサイエンス教育コンファレンス（aDSec）DS教育評価委員会，及び外部評価委員会</t>
    <rPh sb="36" eb="37">
      <t>オヨ</t>
    </rPh>
    <rPh sb="38" eb="40">
      <t>ガイブ</t>
    </rPh>
    <rPh sb="40" eb="42">
      <t>ヒョウカ</t>
    </rPh>
    <rPh sb="42" eb="45">
      <t>イインカイ</t>
    </rPh>
    <phoneticPr fontId="1"/>
  </si>
  <si>
    <t>稲葉由之</t>
    <phoneticPr fontId="1"/>
  </si>
  <si>
    <t>aDSec DS教育評価委員長</t>
    <phoneticPr fontId="1"/>
  </si>
  <si>
    <t>フレッシャーズセミナー</t>
    <phoneticPr fontId="1"/>
  </si>
  <si>
    <t>○</t>
  </si>
  <si>
    <t>・ 近年におけるビックデータの利活用やAIの活用領域の広がりに関する基礎的な知識を身につける．
・ AI倫理や情報セキュリティーに関する基礎的な知識を身につけ，当事者意識をもってデータ駆動型社会のリスクについて考えられるようになる．
・ ExcelやR,Pythonなど利用し，記述統計的なデータの集計を行うことができ，併せて基礎的な機械学習の分析手法を理解する．</t>
    <phoneticPr fontId="1"/>
  </si>
  <si>
    <t>4-1統計および数理基礎</t>
  </si>
  <si>
    <t>4‐5テキスト解析</t>
  </si>
  <si>
    <t>4‐6画像解析</t>
  </si>
  <si>
    <t>4‐8データ活用実践（教師あり学習）</t>
  </si>
  <si>
    <t>4‐9データ活用実践（教師なし学習）</t>
  </si>
  <si>
    <t>文学部</t>
  </si>
  <si>
    <t>経済学部</t>
  </si>
  <si>
    <t>法学部</t>
  </si>
  <si>
    <t>経営学部</t>
  </si>
  <si>
    <t>理工学部</t>
  </si>
  <si>
    <t>国際政治経済学部</t>
  </si>
  <si>
    <t>総合文化政策学部</t>
  </si>
  <si>
    <t>社会情報学部</t>
  </si>
  <si>
    <t>教育人間科学部</t>
  </si>
  <si>
    <t>地球社会共生学部</t>
  </si>
  <si>
    <t>令和４</t>
    <rPh sb="0" eb="2">
      <t>レイワ</t>
    </rPh>
    <phoneticPr fontId="1"/>
  </si>
  <si>
    <t>コミュニティ人間科学部</t>
    <rPh sb="6" eb="8">
      <t>ニンゲン</t>
    </rPh>
    <rPh sb="8" eb="10">
      <t>カガク</t>
    </rPh>
    <rPh sb="10" eb="11">
      <t>ブ</t>
    </rPh>
    <phoneticPr fontId="1"/>
  </si>
  <si>
    <r>
      <t>『</t>
    </r>
    <r>
      <rPr>
        <sz val="12"/>
        <color theme="1"/>
        <rFont val="Microsoft JhengHei UI"/>
        <family val="3"/>
        <charset val="134"/>
      </rPr>
      <t>⻘⼭</t>
    </r>
    <r>
      <rPr>
        <sz val="12"/>
        <color theme="1"/>
        <rFont val="ＭＳ Ｐゴシック"/>
        <family val="3"/>
        <charset val="128"/>
        <scheme val="minor"/>
      </rPr>
      <t>データサイエンス教育コンファレンス』開設 趣意書</t>
    </r>
    <phoneticPr fontId="1"/>
  </si>
  <si>
    <t>・ビッグデータ、IoT、AI（3回目）
・データ量の増加、計算機の処理性能の向上、AIの非連続的進化（3回目）
・第4次産業革命、Society 5.0、データ駆動型社会（3回目）
・人間の知的活動とAIの関係性（3回目）</t>
    <rPh sb="16" eb="17">
      <t>カイ</t>
    </rPh>
    <rPh sb="17" eb="18">
      <t>メ</t>
    </rPh>
    <rPh sb="52" eb="54">
      <t>カイメ</t>
    </rPh>
    <rPh sb="87" eb="89">
      <t>カイメ</t>
    </rPh>
    <rPh sb="108" eb="110">
      <t>カイメ</t>
    </rPh>
    <phoneticPr fontId="1"/>
  </si>
  <si>
    <t>・データ・AI活用領域の広がり(生産、消費、文化活動など)（5回目，6回目）
・研究開発、調達、製造、物流、販売、マーケティング、サービスなど（5回目，6回目）
・仮説検証、知識発見、原因究明、計画策定、判断支援、活動代替、新規生成など（4回目）</t>
    <rPh sb="31" eb="33">
      <t>カイメ</t>
    </rPh>
    <rPh sb="35" eb="37">
      <t>カイメ</t>
    </rPh>
    <rPh sb="120" eb="122">
      <t>カイメ</t>
    </rPh>
    <phoneticPr fontId="1"/>
  </si>
  <si>
    <t>・データ解析：予測、グルーピング、パターン発見、最適化、シミュレーション・データ同化など（4回目）
・データ可視化：複合グラフ、2軸グラフ、多次元の可視化、関係性の可視化、地図上の可視化、
挙動・軌跡の可視化、リアルタイム可視化など（9回目）
・非構造化データ処理：言語処理、画像/動画処理、音声/音楽処理など（8回目，14回目）
・特化型AIと汎用AI、今のAIで出来ることと出来ないこと、AIとビッグデータ（3回目）</t>
    <rPh sb="46" eb="48">
      <t>カイメ</t>
    </rPh>
    <rPh sb="118" eb="120">
      <t>カイメ</t>
    </rPh>
    <rPh sb="157" eb="159">
      <t>カイメ</t>
    </rPh>
    <rPh sb="162" eb="164">
      <t>カイメ</t>
    </rPh>
    <rPh sb="207" eb="209">
      <t>カイメ</t>
    </rPh>
    <phoneticPr fontId="1"/>
  </si>
  <si>
    <t>・データサイエンスのサイクル（課題抽出と定式化、データの取得・管理・加工、
探索的データ解析、データ解析と推論、結果の共有・伝達、課題解決に向けた提案）（4回目）
・流通、製造、金融、サービス、インフラ、公共、ヘルスケア等におけるデータ・AI利活用事例紹介（5回目，6回目）</t>
    <rPh sb="78" eb="80">
      <t>カイメ</t>
    </rPh>
    <rPh sb="130" eb="132">
      <t>カイメ</t>
    </rPh>
    <rPh sb="134" eb="135">
      <t>カイ</t>
    </rPh>
    <rPh sb="135" eb="136">
      <t>メ</t>
    </rPh>
    <phoneticPr fontId="1"/>
  </si>
  <si>
    <t>・AI等を活用した新しいビジネスモデル(シェアリングエコノミー、商品のレコメンデーションなど)（5回目，6回目）
・AI最新技術の活用例（深層生成モデル、敵対的生成ネットワーク、強化学習、転移学習など）（3回目）</t>
    <rPh sb="49" eb="51">
      <t>カイメ</t>
    </rPh>
    <rPh sb="53" eb="55">
      <t>カイメ</t>
    </rPh>
    <rPh sb="103" eb="105">
      <t>カイメ</t>
    </rPh>
    <phoneticPr fontId="1"/>
  </si>
  <si>
    <t>・情報セキュリティ：機密性、完全性、可用性（７回目）
・匿名加工情報、暗号化、パスワード、悪意ある情報搾取（7回目）
・情報漏洩等によるセキュリティ事故の事例紹介（７回目）</t>
    <rPh sb="23" eb="25">
      <t>カイメ</t>
    </rPh>
    <rPh sb="55" eb="57">
      <t>カイメ</t>
    </rPh>
    <rPh sb="83" eb="85">
      <t>カイメ</t>
    </rPh>
    <phoneticPr fontId="1"/>
  </si>
  <si>
    <t>・ELSI（Ethical, Legal and Social Issues）（7回目）
・個人情報保護、EU一般データ保護規則(GDPR)（7回目）
・データ倫理：データのねつ造、改ざん、盗用、プライバシー保護（7回目）
・AI社会原則（公平性、説明責任、透明性、人間中心の判断）（7回目）
・データバイアス、アルゴリズムバイアス（7回目）
・AIサービスの責任論（７回目）
・データ・AI活用における負の事例紹介（7回目）</t>
    <rPh sb="41" eb="43">
      <t>カイメ</t>
    </rPh>
    <rPh sb="72" eb="74">
      <t>カイメ</t>
    </rPh>
    <rPh sb="108" eb="110">
      <t>カイメ</t>
    </rPh>
    <rPh sb="143" eb="145">
      <t>カイメ</t>
    </rPh>
    <rPh sb="168" eb="170">
      <t>カイメ</t>
    </rPh>
    <rPh sb="185" eb="187">
      <t>カイメ</t>
    </rPh>
    <rPh sb="210" eb="212">
      <t>カイメ</t>
    </rPh>
    <phoneticPr fontId="1"/>
  </si>
  <si>
    <t>・調査データ、実験データ、人の行動ログデータ、機械の稼働ログデータなど（2回目）
・1次データ、2次データ、データのメタ化（2回目）
・構造化データ、非構造化データ（文章、画像/動画、音声/音楽など）（2回目，8回目）
・データのオープン化（オープンデータ）（2回目）
・データ作成（ビッグデータとアノテーション）（２回目）</t>
    <rPh sb="131" eb="133">
      <t>カイメ</t>
    </rPh>
    <rPh sb="159" eb="161">
      <t>カイメ</t>
    </rPh>
    <phoneticPr fontId="1"/>
  </si>
  <si>
    <t>・データ表現（棒グラフ、折線グラフ、散布図、ヒートマップ）（9回目）
・データの図表表現（チャート化）（3回目，9回目）
・不適切なグラフ表現（チャートジャンク、不必要な視覚的要素）（9回目）
・優れた可視化事例の紹介（可視化することによって新たな気づきがあった事例など）（9回目）</t>
    <rPh sb="31" eb="33">
      <t>カイメ</t>
    </rPh>
    <rPh sb="53" eb="54">
      <t>カイ</t>
    </rPh>
    <rPh sb="54" eb="55">
      <t>メ</t>
    </rPh>
    <rPh sb="57" eb="59">
      <t>カイメ</t>
    </rPh>
    <rPh sb="93" eb="95">
      <t>カイメ</t>
    </rPh>
    <rPh sb="138" eb="140">
      <t>カイメ</t>
    </rPh>
    <phoneticPr fontId="1"/>
  </si>
  <si>
    <t>・データの種類（量的変数、質的変数）（9回目）
・データの分布(ヒストグラム)と代表値（平均値、中央値、最頻値）（4回目，10回目）
・代表値の性質の違い（実社会では平均値＝最頻値でないことが多い）（4回目，5回目，10回目）
・データのばらつき（分散、標準偏差、偏差値）（5回目，10回目）
・打ち切りや脱落を含むデータ、層別の必要なデータ（9回目）
・観測データに含まれる誤差の扱い（12回目）
・相関と因果（相関係数、擬似相関、交絡）（11回目）
・母集団と標本抽出（国勢調査、アンケート調査、全数調査、単純無作為抽出、層別抽出、多段抽出）（2回目）
・クロス集計表、分割表、相関係数行列、散布図行列（6回目，11回目）
・統計情報の正しい理解（誇張表現に惑わされない）（9回目）</t>
    <rPh sb="20" eb="22">
      <t>カイメ</t>
    </rPh>
    <rPh sb="58" eb="60">
      <t>カイメ</t>
    </rPh>
    <rPh sb="63" eb="65">
      <t>カイメ</t>
    </rPh>
    <rPh sb="101" eb="103">
      <t>カイメ</t>
    </rPh>
    <rPh sb="105" eb="107">
      <t>カイメ</t>
    </rPh>
    <rPh sb="110" eb="112">
      <t>カイメ</t>
    </rPh>
    <rPh sb="138" eb="140">
      <t>カイメ</t>
    </rPh>
    <rPh sb="143" eb="145">
      <t>カイメ</t>
    </rPh>
    <rPh sb="173" eb="174">
      <t>カイ</t>
    </rPh>
    <rPh sb="174" eb="175">
      <t>メ</t>
    </rPh>
    <rPh sb="196" eb="198">
      <t>カイメ</t>
    </rPh>
    <rPh sb="223" eb="225">
      <t>カイメ</t>
    </rPh>
    <rPh sb="275" eb="277">
      <t>カイメ</t>
    </rPh>
    <rPh sb="305" eb="307">
      <t>カイメ</t>
    </rPh>
    <rPh sb="310" eb="312">
      <t>カイメ</t>
    </rPh>
    <rPh sb="340" eb="342">
      <t>カイメ</t>
    </rPh>
    <phoneticPr fontId="1"/>
  </si>
  <si>
    <t>・データの集計（和、平均）（2回目）
・データの並び替え、ランキング（9回目）
・データ解析ツール（スプレッドシート）（2回目～14回目）
・表形式のデータ（csv）（8回目）</t>
    <rPh sb="15" eb="17">
      <t>カイメ</t>
    </rPh>
    <rPh sb="36" eb="38">
      <t>カイメ</t>
    </rPh>
    <rPh sb="61" eb="63">
      <t>カイメ</t>
    </rPh>
    <rPh sb="66" eb="68">
      <t>カイメ</t>
    </rPh>
    <rPh sb="85" eb="87">
      <t>カイメ</t>
    </rPh>
    <phoneticPr fontId="1"/>
  </si>
  <si>
    <r>
      <t>　今般のデータサイエンス教育に係る社会的要請と趨勢を踏まえ，当該領域における教育の全学的推進を企図するとき，各学部の考え</t>
    </r>
    <r>
      <rPr>
        <sz val="12"/>
        <color theme="1"/>
        <rFont val="Microsoft JhengHei UI"/>
        <family val="3"/>
        <charset val="134"/>
      </rPr>
      <t>⽅</t>
    </r>
    <r>
      <rPr>
        <sz val="12"/>
        <color theme="1"/>
        <rFont val="ＭＳ Ｐゴシック"/>
        <family val="3"/>
        <charset val="128"/>
        <scheme val="minor"/>
      </rPr>
      <t>や要望を適切に集約し，教育の</t>
    </r>
    <r>
      <rPr>
        <sz val="12"/>
        <color theme="1"/>
        <rFont val="Microsoft JhengHei UI"/>
        <family val="3"/>
        <charset val="134"/>
      </rPr>
      <t>⽅</t>
    </r>
    <r>
      <rPr>
        <sz val="12"/>
        <color theme="1"/>
        <rFont val="ＭＳ Ｐゴシック"/>
        <family val="3"/>
        <charset val="128"/>
        <scheme val="minor"/>
      </rPr>
      <t>向性と講義内容とを検討する学部横断的な協議体の設置は不可</t>
    </r>
    <r>
      <rPr>
        <sz val="12"/>
        <color theme="1"/>
        <rFont val="Microsoft JhengHei UI"/>
        <family val="3"/>
        <charset val="134"/>
      </rPr>
      <t>⽋</t>
    </r>
    <r>
      <rPr>
        <sz val="12"/>
        <color theme="1"/>
        <rFont val="ＭＳ Ｐゴシック"/>
        <family val="3"/>
        <charset val="128"/>
        <scheme val="minor"/>
      </rPr>
      <t>であると考えられた．また，文理を問わず全学</t>
    </r>
    <r>
      <rPr>
        <sz val="12"/>
        <color theme="1"/>
        <rFont val="Microsoft JhengHei UI"/>
        <family val="3"/>
        <charset val="134"/>
      </rPr>
      <t>⽣</t>
    </r>
    <r>
      <rPr>
        <sz val="12"/>
        <color theme="1"/>
        <rFont val="ＭＳ Ｐゴシック"/>
        <family val="3"/>
        <charset val="128"/>
        <scheme val="minor"/>
      </rPr>
      <t>を対象にデータサイエンス教育を実施するという趣旨に鑑みると，係る協議体は青山スタンダード（本学における一般教養教育組織）内に開設されることが望まれた．このような機能を担う組織として，青山データサイエンス教育コンファレンス（aDSec）を設置した．
　なお，aDSecの主要な事業目的は以下の通り．
・ 各学部の意見や要望を集約し，データサイエンス教育の在り方やカリキュラムの検討を
行うと共に，各学部が開講する上位データサイエンス科目との接続や連携に係る情報交換も行う．
・ データサイエンス関連科目における教育プログラムの開発と授業評価，及び改善に係る自己点検を</t>
    </r>
    <r>
      <rPr>
        <sz val="12"/>
        <color theme="1"/>
        <rFont val="Microsoft JhengHei UI"/>
        <family val="3"/>
        <charset val="134"/>
      </rPr>
      <t>⾏</t>
    </r>
    <r>
      <rPr>
        <sz val="12"/>
        <color theme="1"/>
        <rFont val="ＭＳ Ｐゴシック"/>
        <family val="3"/>
        <charset val="128"/>
        <scheme val="minor"/>
      </rPr>
      <t>なう．</t>
    </r>
    <rPh sb="118" eb="120">
      <t>ブンリ</t>
    </rPh>
    <rPh sb="163" eb="165">
      <t>アオヤマ</t>
    </rPh>
    <rPh sb="218" eb="220">
      <t>アオヤマ</t>
    </rPh>
    <rPh sb="282" eb="284">
      <t>イケン</t>
    </rPh>
    <rPh sb="303" eb="304">
      <t>ア</t>
    </rPh>
    <rPh sb="305" eb="306">
      <t>カタ</t>
    </rPh>
    <rPh sb="318" eb="319">
      <t>オコナ</t>
    </rPh>
    <rPh sb="342" eb="344">
      <t>カモク</t>
    </rPh>
    <rPh sb="354" eb="356">
      <t>ジョウホウ</t>
    </rPh>
    <rPh sb="359" eb="360">
      <t>オコナ</t>
    </rPh>
    <rPh sb="375" eb="377">
      <t>カモク</t>
    </rPh>
    <phoneticPr fontId="1"/>
  </si>
  <si>
    <t>　データサイエンスの入門教育については，できるだけ早期に行われることが望ましいことから，本学では1年次のフレッシャーズセミナーとして実施することを基本方針としている．従って，入学定員4,490人が履修可能となる授業設計が必要となる．このとき最も重要，かつ，困難な課題は，適切な成績評価方法の確立である．2022年度は2回の小テストと期末レポート（Excelを用いた大規模データ集計と記述式問題）を課したが，640名分の採点には相当の時間を要した．全出題を選択肢式問題として自動採点化することも可能ではあるが，それが履修者の学習への取り組み状況や達成度を適切に反映した成績評価となり得るかについては十分な検証が必要となる．そのため，令和5年度では，前年実績30%増しである832人を履修者数の目標に定め，同年度中により多くの履修者を前提としつつも，適切な成績評価が可能となる方法を検討する．令和6年度では，前年に検討した成績評価方法の実証実験を行うことを念頭に，履修者数1,600人程度を受け入れる．令和7年度では，履修者数を2,500名程度（入学定員31%）に設定しつつ，併せて全学必修化を論点化する．令和8年では必修化も視野に入れつつ，履修者数4,000人（収容定員に占める履修者率53％）を見込む．なお，各年履修者数として想定した人数はあくまでも見込み値であり，履修を希望する学生が見込み値を超えた場合であっても，全員の履修を認める方針である．</t>
    <rPh sb="128" eb="130">
      <t>コンナン</t>
    </rPh>
    <rPh sb="131" eb="133">
      <t>カダイ</t>
    </rPh>
    <rPh sb="261" eb="263">
      <t>ガクシュウ</t>
    </rPh>
    <rPh sb="298" eb="300">
      <t>ジュウブン</t>
    </rPh>
    <rPh sb="486" eb="487">
      <t>アワ</t>
    </rPh>
    <rPh sb="554" eb="555">
      <t>カク</t>
    </rPh>
    <rPh sb="555" eb="556">
      <t>ネン</t>
    </rPh>
    <rPh sb="556" eb="558">
      <t>リシュウ</t>
    </rPh>
    <rPh sb="558" eb="559">
      <t>シャ</t>
    </rPh>
    <rPh sb="559" eb="560">
      <t>スウ</t>
    </rPh>
    <rPh sb="563" eb="565">
      <t>ソウテイ</t>
    </rPh>
    <rPh sb="567" eb="569">
      <t>ニンズウ</t>
    </rPh>
    <rPh sb="575" eb="577">
      <t>ミコ</t>
    </rPh>
    <rPh sb="578" eb="579">
      <t>チ</t>
    </rPh>
    <rPh sb="583" eb="585">
      <t>リシュウ</t>
    </rPh>
    <rPh sb="586" eb="588">
      <t>キボウ</t>
    </rPh>
    <rPh sb="590" eb="592">
      <t>ガクセイ</t>
    </rPh>
    <rPh sb="593" eb="595">
      <t>ミコ</t>
    </rPh>
    <rPh sb="596" eb="597">
      <t>チ</t>
    </rPh>
    <rPh sb="598" eb="599">
      <t>コ</t>
    </rPh>
    <rPh sb="601" eb="603">
      <t>バアイ</t>
    </rPh>
    <rPh sb="609" eb="611">
      <t>ゼンイン</t>
    </rPh>
    <rPh sb="612" eb="614">
      <t>リシュウ</t>
    </rPh>
    <rPh sb="615" eb="616">
      <t>ミト</t>
    </rPh>
    <rPh sb="618" eb="620">
      <t>ホウシン</t>
    </rPh>
    <phoneticPr fontId="1"/>
  </si>
  <si>
    <t>　　当該授業は，青山スタンダードという全学部全学科を対象とした教養教育の枠組みで開講されており，受講を希望する学生全員がこの授業を履修することができる．ただし，一般の授業では，教室サイズによる履修者数の制限を受けることが起こりうるため，当該の授業については，希望者全員の履修が可能となるよう，履修者数の上限を定めないオンデマンド型授業として実施し，係る授業動画コンテンツを制作した．また，大規模な履修者数を前提としつつ，授業内容に係る質疑や意見交換が柔軟に行えるようにするため，Course Power というLMSを活用し，ほぼ常時，教員かTA，SAが質疑に対応できるようローテーションを組んで備えた．さらに，当該授業の趣旨や難易度等を予め学内全学部に周知，理解してもらうため，データサイエンスを担当する学長補佐を置くとともに，データサイエンス関連の教員からなる協議会も設置した．また，学部長会でも授業の実施要領等の事前説明をするなどの周知対応を行っている．</t>
    <rPh sb="19" eb="22">
      <t>ゼンガクブ</t>
    </rPh>
    <rPh sb="22" eb="23">
      <t>ゼン</t>
    </rPh>
    <rPh sb="23" eb="25">
      <t>ガッカ</t>
    </rPh>
    <rPh sb="48" eb="50">
      <t>ジュコウ</t>
    </rPh>
    <rPh sb="55" eb="57">
      <t>ガクセイ</t>
    </rPh>
    <rPh sb="80" eb="82">
      <t>イッパン</t>
    </rPh>
    <rPh sb="98" eb="99">
      <t>シャ</t>
    </rPh>
    <rPh sb="99" eb="100">
      <t>スウ</t>
    </rPh>
    <rPh sb="110" eb="111">
      <t>オ</t>
    </rPh>
    <rPh sb="118" eb="120">
      <t>トウガイ</t>
    </rPh>
    <rPh sb="121" eb="123">
      <t>ジュギョウ</t>
    </rPh>
    <rPh sb="170" eb="172">
      <t>ジッシ</t>
    </rPh>
    <rPh sb="174" eb="175">
      <t>カカワ</t>
    </rPh>
    <rPh sb="186" eb="188">
      <t>セイサク</t>
    </rPh>
    <rPh sb="321" eb="323">
      <t>ガクナイ</t>
    </rPh>
    <rPh sb="419" eb="421">
      <t>シュウチ</t>
    </rPh>
    <rPh sb="424" eb="425">
      <t>オコナ</t>
    </rPh>
    <phoneticPr fontId="1"/>
  </si>
  <si>
    <t xml:space="preserve">   本学では，オンデマンド型授業は実施曜日や時限の指定をしないことになっているが，本授業については，毎週水曜日の午前11時から午後1時までの時間帯をパブリックビューイングと称して，授業動画の同期視聴時間として設定して履修者に周知した．当該時間帯には，教員複数名とTAが3 名，SAが3名それぞれオンライン上で待機し，リアルタイムで質疑に対応できる体制をとり，併せて履修者に対する学習支援も行っている．同期視聴時間帯以外でも，同様に教員やTA，SAがローテショーンを組み，本学が採用しているLMS（Course Power）上で質疑対応をしている．質疑については，他の履修者も見ることができる掲示板タイプの仕組みの他，病気等履修者の個人的事情や家庭の事情に係る内容を教員だけに直接連絡できるメールタイプの質疑方法も併用している．履修者からの質問に対しては，通常数時間以内に対応しており，やや検討を要する質疑でも24時間以内には対応している．</t>
    <rPh sb="309" eb="311">
      <t>ビョウキ</t>
    </rPh>
    <rPh sb="311" eb="312">
      <t>トウ</t>
    </rPh>
    <rPh sb="318" eb="319">
      <t>テキ</t>
    </rPh>
    <rPh sb="319" eb="321">
      <t>ジジョウ</t>
    </rPh>
    <rPh sb="386" eb="388">
      <t>タイオウ</t>
    </rPh>
    <phoneticPr fontId="1"/>
  </si>
  <si>
    <t>　この授業では学修成果として，ビックデータとAIの活用領域に関する基礎知識と， 及びAI倫理や情報セキュリティーに関する基礎知識の修得，さらに，ExcelやR，Pythonなどを利用したデータ集計技術の理解と，大きく3つの目標を定めていた．それぞれのテーマに即した小テストと，記述式問題や集計を含む期末レポートを課し，担当教員は各小テスト等の得点分布を検討することで学修成果の評価を行っている．その結果，全履修者の約2/3は当初の学修目標に到達していると判断し，学内でも十分な教育成果であるものと認められた．学期末のアンケートからも，授業を通じてデータサイエンスに係る領域への関心が増進し，上位科目履修の意欲も高まった等の感想が得られている．</t>
    <rPh sb="101" eb="103">
      <t>リカイ</t>
    </rPh>
    <rPh sb="191" eb="192">
      <t>オコナ</t>
    </rPh>
    <rPh sb="282" eb="283">
      <t>カカワ</t>
    </rPh>
    <rPh sb="311" eb="313">
      <t>カンソウ</t>
    </rPh>
    <phoneticPr fontId="1"/>
  </si>
  <si>
    <t xml:space="preserve">  学期末学生アンケートについては15回目の授業で回答を呼びかけ，選択肢方式で実施した．結果として，履修者640名のうち160名（回答率25.0%）から回答が得られている．なお，アンケートは匿名方式とし，回答内容を成績評価に利用することがないことも明記している．アンケートでは，受験科目として数学I・数学Aを選択していないと回答した学生が45.6%と約半数を占めていた．このように必ずしも数学が得意な履修者が主体ではなかったが，「総合的に判断して授業内容を分かりやすいと感じたか」という質問に対して35%の履修者が「分かりやすかった」と，また50.6%が「どちらかと言えば分かりやすかった」と回答しており，都合85.6%の履修者から総じて分かりやすいという評価が得られた．</t>
    <rPh sb="44" eb="46">
      <t>ケッカ</t>
    </rPh>
    <phoneticPr fontId="1"/>
  </si>
  <si>
    <t>　2022年度履修者に対しては，選択肢方式の期末授業アンケートの他，授業に対する意見や感想を自由記述でも随時求めていた．期末授業アンケートで，後輩等他の学生にこの授業を勧めるかについて直接尋ねてはいないが，この授業を通じて「データサイエンスに関する一般教養的な話題，AIの企業における活用事例紹介」に興味を持った学生の割合は約9割に達するなど，多くの学生間で受講意義が共有されていたものと考えている．実際，自由記述の感想でも「新一年生にお勧めできる授業であると思います。昨今、理系の学生だけでなく、文系の学生にもAI教育（＋自主的な学習）が必要な時代になってきました。この授業は、AIに関する知識をつけたり、プログラミングに関する学習をスタートする最初のステップとして最適であると思いました。」（原文ママ）といった意見も寄せられている．こうした履修者の感想は大学HPにも掲載し，次年度履修を検討する学生の参考に資するよう供する．</t>
    <rPh sb="194" eb="195">
      <t>カンガ</t>
    </rPh>
    <rPh sb="389" eb="392">
      <t>ジネンド</t>
    </rPh>
    <rPh sb="399" eb="401">
      <t>ガクセイ</t>
    </rPh>
    <rPh sb="405" eb="406">
      <t>シ</t>
    </rPh>
    <rPh sb="410" eb="411">
      <t>キョウ</t>
    </rPh>
    <phoneticPr fontId="1"/>
  </si>
  <si>
    <t xml:space="preserve">  データサイエンスの基礎教育の在り方や，上位科目の設計を含むカリキュラム策定については，2022年6月に当該領域を専門とする教員が参加する学部横断的組織である青山データサイエンス教育コンファレンス（aDSec）を設置して議論している．併せて，各学部における履修率向上のための方策や，必修科目指定の必要性，授業難易度の調整等に係る意見集約も行われている．また，年度末には学部長会において，学生アンケート結果を含む授業の実施状況を報告し，併せて質疑を受ける等して，各学部の所属学生に対して当該授業の履修を積極的に促して貰えるよう働きかけを行っている．aDSec として2023年度に向けては，履修者数10%以上の積み増しを目標に設定している．</t>
    <rPh sb="58" eb="60">
      <t>センモン</t>
    </rPh>
    <rPh sb="111" eb="113">
      <t>ギロン</t>
    </rPh>
    <rPh sb="118" eb="119">
      <t>アワ</t>
    </rPh>
    <rPh sb="170" eb="171">
      <t>オコナ</t>
    </rPh>
    <phoneticPr fontId="1"/>
  </si>
  <si>
    <t xml:space="preserve">  本学では，2022年度からデータサイエンスの基礎をテーマとしたフレッシャーズセミナーを開講しているため，現状では修了者の卒業後の進路や活躍状況を示すことができない．しかしながら，前述した学生アンケートでも，履修者の半数以上が，引き続き「RやPythonを使ったプログラム作成に必要な知識習得と演習による技術的内容を扱った授業」や「統計分析や機械学習など，データサイエンスに関する数理面を中心に学ぶ理論的内容を扱った授業」を履修したいと回答しており，ここでの動機付けを端緒としながら，より上級のデータサイエンス教育に繋げることで，企業等で活躍できるデータサイエンティストを本学から多数輩出することは十分に可能と考えている．</t>
    <rPh sb="291" eb="293">
      <t>タスウ</t>
    </rPh>
    <phoneticPr fontId="1"/>
  </si>
  <si>
    <t xml:space="preserve">  本学では，全学的なデータサイエンスの基礎教育を2022年度から開始しているため，本授業修了者の卒業後追跡調査等は未だできていない．一方，2022年度は実務家データサイエンティストの講演を授業コンテンツとして採用し，事前に講演者に授業動画を視聴して頂いている．ご意見やご感想として，授業内容の多くが企業の新人研修とも重なっており，Excelの操作実習の内容も日常業務で必要となる技術範囲である旨を承っている．併せて，文科系学生であってもデータサイエンス分野の実務現場で活躍できることを，実務家データサイエンティストが直接語る授業回を設ける手法については，大学初年次の動機付け教育として適切かつ効果的であるとの評価も頂いた．</t>
    <rPh sb="136" eb="138">
      <t>カンソウ</t>
    </rPh>
    <rPh sb="153" eb="155">
      <t>シンジン</t>
    </rPh>
    <phoneticPr fontId="1"/>
  </si>
  <si>
    <t xml:space="preserve">   履修終了後，幾つかのテーマに関心を持ったか訊ねたアンケート結果をみると，「興味や関心をもった」と「どちらかといえば，興味や関心をもった」を合わせた割合は以下の通りであった．
「データサイエンスに関する一般教養的な話題，AIの企業における活用事例紹介」89.4%
「AIに関する倫理や社会問題，データ保護やデータセキュリティー」80.7%
「代表値の算出や相関分析など統計学とExcelを用いた実習，様々なグラフ作成等データの可視化」76.3%
「機械学習や深層学習などの理論と分析例の紹介」78.8%
「VBAプログラミング，PythonやR，KH Coderを用いた分析例の紹介」66.9%
　上の結果からも，総じてデータサイエンス全般に係る関心が喚起されており，学びの意義が認識されていると考えられる．</t>
    <rPh sb="301" eb="302">
      <t>ウエ</t>
    </rPh>
    <rPh sb="303" eb="305">
      <t>ケッカ</t>
    </rPh>
    <phoneticPr fontId="1"/>
  </si>
  <si>
    <t>　aDSsec(データサイエンスに係る教員の学内協議会)は，運営委員会とDS教育評価委員会で構成されているが，委員のうち5名がデータサイエンスの基礎教育を担当しているため，授業改善に係る議論をDS教育評価委員会だけで客観的に行えるか懸念があった．そこで，外部有識者を招いた外部評価委員会を開催して公平な評価と貴重な助言を得た．勿論，全授業動画をaDSec委員間でも共有し，内部的にも授業改善に係る意見や助言も得ている．併せて，授業期間中に履修者から寄せられた自由記述式の意見や選択肢式のアンケート結果をaDSecで整理した後，学部長会及び各学部教授会でも共有しており，カリキュラムの内容改善や授業方法見直しに係る議論を促している．</t>
    <phoneticPr fontId="1"/>
  </si>
  <si>
    <t>データサイエンスの基礎を学ぶフレッシャーズ・セミナー</t>
    <rPh sb="9" eb="11">
      <t>キソ</t>
    </rPh>
    <rPh sb="12" eb="13">
      <t>マナ</t>
    </rPh>
    <phoneticPr fontId="1"/>
  </si>
  <si>
    <t>数理・データサイエンス・ＡＩ教育プログラム認定制度（リテラシーレベル）の申請要件を満たすことに特化して開講されたデータサイエンスの基礎を学ぶフレッシャーズセミナー（２単位）の単位を取得することが修了要件である．なお本学では，フレッシャーズセミナーは全学に向けて開講されている．</t>
    <rPh sb="65" eb="67">
      <t>キソ</t>
    </rPh>
    <rPh sb="68" eb="69">
      <t>マナ</t>
    </rPh>
    <rPh sb="97" eb="99">
      <t>シュウリョウ</t>
    </rPh>
    <rPh sb="99" eb="101">
      <t>ヨウケン</t>
    </rPh>
    <rPh sb="107" eb="109">
      <t>ホンガク</t>
    </rPh>
    <rPh sb="124" eb="126">
      <t>ゼンガク</t>
    </rPh>
    <rPh sb="127" eb="128">
      <t>ム</t>
    </rPh>
    <rPh sb="130" eb="132">
      <t>カイコウ</t>
    </rPh>
    <phoneticPr fontId="1"/>
  </si>
  <si>
    <t>青山スタンダード教育機構長（副学長）</t>
    <rPh sb="14" eb="17">
      <t>フクガクチョウ</t>
    </rPh>
    <phoneticPr fontId="1"/>
  </si>
  <si>
    <t>aDSec運営委員長（学長補佐）</t>
    <rPh sb="11" eb="13">
      <t>ガクチョウ</t>
    </rPh>
    <rPh sb="13" eb="15">
      <t>ホサ</t>
    </rPh>
    <phoneticPr fontId="1"/>
  </si>
  <si>
    <t xml:space="preserve">   先ず，希望する全ての学生が履修できるようオンデマンド型の授業形態として実施している．また，学生が履修を検討する際，授業難易度を懸念する可能性があるため，履修登録期間中（授業開始前）に全授業動画を公開し，直接難易度を学生が直接確認できるよう配慮した．なお，授業期間中も全動画を繰り返し視聴できるよう，公開期間の制限は特に設けなかった．関連して，オンデマンド型授業では教員が一方的に話し続ける形態となり，学生の集中力を維持することが難しいため，一回の講義を 50分の座学と 30分の実習とで構成されるよう設計した．例えば，技術的な内容に関心がある場合，開講前から全授業動画が公開されているため，実習パートを連続視聴することもでき，関心に応じた集中力の維持に努めた．また，この授業では，解説や実習でExcelを中心に利用するため，本学でオフィス・スイーツの習熟を目標とする授業「情報スキルI」との効果的な連携を狙い，本授業を情報スキルIの単位取得後に履修できるよう後期配置して開講した．</t>
    <rPh sb="38" eb="40">
      <t>ジッシ</t>
    </rPh>
    <rPh sb="87" eb="89">
      <t>ジュギョウ</t>
    </rPh>
    <rPh sb="89" eb="91">
      <t>カイシ</t>
    </rPh>
    <rPh sb="91" eb="92">
      <t>マエ</t>
    </rPh>
    <rPh sb="110" eb="112">
      <t>ガクセイ</t>
    </rPh>
    <rPh sb="113" eb="115">
      <t>チョクセツ</t>
    </rPh>
    <rPh sb="122" eb="124">
      <t>ハイリョ</t>
    </rPh>
    <rPh sb="130" eb="132">
      <t>ジュギョウ</t>
    </rPh>
    <rPh sb="132" eb="134">
      <t>キカン</t>
    </rPh>
    <rPh sb="160" eb="161">
      <t>トク</t>
    </rPh>
    <rPh sb="277" eb="279">
      <t>カイコウ</t>
    </rPh>
    <rPh sb="279" eb="280">
      <t>マエ</t>
    </rPh>
    <rPh sb="316" eb="318">
      <t>カンシン</t>
    </rPh>
    <rPh sb="319" eb="320">
      <t>オウ</t>
    </rPh>
    <rPh sb="329" eb="330">
      <t>ツト</t>
    </rPh>
    <rPh sb="438" eb="440">
      <t>カイコウ</t>
    </rPh>
    <phoneticPr fontId="1"/>
  </si>
  <si>
    <t xml:space="preserve">  授業の実施に際してはLMSの一つであるCoursePowerを利用しており，全履修者のログイン状況，教材資料の参照の有無，小テストの受験状況と得点等を随時把握することができた．また，授業内容に係る質疑やリアクションの可視化も行い，及び授業の理解度や満足度に係るアンケート調査も実施するなどして，履修者の反応や要望が適宜捉えられるよう努めた．そのうえで当該科目の担当教員5名は，これらの情報の集計分析を行い，aDSsec(データサイエンスに係る教員の協議会)運営委員会やDS教育評価委員会，及び外部評価委員会においてその分析結果の報告をしている．特に単位の取得状況や成績評価の分布について，学内では妥当である旨の見解が得られている．</t>
    <phoneticPr fontId="1"/>
  </si>
  <si>
    <t xml:space="preserve">   本学では，2021年度末までにデータサイエンスの基礎教育を青山スタンダード（本学の教養教育課程）で展開することを決定し，係る実施経緯や趣旨，授業内容を学部長会で説明し，併せて各学部に教育推進に係る周知と協力を呼びかけている．また，各学部に分属しているデータサイエンス分野の教員が学部横断的に集まり，教育に係る意見や情報を交換する組織体として，2022年6月に青山データサイエンス教育コンファレンス（aDSec）を設置しているが，aDSec参画教員も担当する授業等でデータサイエンスの基礎教育に係る周知を行っている．Webを介した情報周知としては，「データサイエンスへの取り組み」と題した特集ページを組んで広報している他（https://agu-news.a01.aoyama.ac.jp/feature/178），青山スタンダード教育機構が展開する教育の中でフレッシャーズ・セミナー紹介ページ（https://www.aoyama.ac.jp/faculty/aoyamastandard/curriculum/#anchor_02）では，PICK UPの囲い記事中で，データサイエンス教育の実施概要と外部評価及び自己評価に係る詳細情報へのリンクを掲載している．</t>
    <rPh sb="70" eb="72">
      <t>シュシ</t>
    </rPh>
    <rPh sb="227" eb="229">
      <t>タントウ</t>
    </rPh>
    <rPh sb="231" eb="233">
      <t>ジュギョウ</t>
    </rPh>
    <rPh sb="233" eb="234">
      <t>トウ</t>
    </rPh>
    <phoneticPr fontId="1"/>
  </si>
  <si>
    <t>文学部 教授 割田聖史
経済学部 教授 高橋朋一，准教授 川崎玉恵
法学部 准教授 伊藤敬也
経営学部 教授 竹田賢，准教授 保科架風，教授 稲葉由之，教授 荒木万寿夫
理工学部 教授 大原剛三，准教授 森田武史
国際政治経済学部 教授 竹田憲史
総合文化政策学部 教授 大島正嗣
社会情報学部 教授 稲積宏誠，教授 寺尾敦
教育人間科学部 教授 稲垣中
地球社会共生学部 准教授 小堀真
コミュニティ人間科学部 教授 横堀昌子</t>
    <rPh sb="4" eb="6">
      <t>キョウジュ</t>
    </rPh>
    <rPh sb="17" eb="19">
      <t>キョウジュ</t>
    </rPh>
    <rPh sb="25" eb="28">
      <t>ジュンキョウジュ</t>
    </rPh>
    <rPh sb="38" eb="41">
      <t>ジュンキョウジュ</t>
    </rPh>
    <rPh sb="52" eb="54">
      <t>キョウジュ</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</si>
</sst>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Microsoft JhengHei UI"/>
      <family val="3"/>
      <charset val="134"/>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1" xfId="2"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2" t="s">
        <v>12</v>
      </c>
      <c r="S1" s="102"/>
      <c r="T1" s="2" t="s">
        <v>110</v>
      </c>
    </row>
    <row r="2" spans="1:22" ht="18.75" customHeight="1" x14ac:dyDescent="0.2">
      <c r="B2" s="34" t="s">
        <v>109</v>
      </c>
      <c r="C2" s="95" t="s">
        <v>127</v>
      </c>
      <c r="D2" s="96"/>
      <c r="E2" s="96"/>
      <c r="F2" s="96"/>
      <c r="G2" s="96"/>
      <c r="H2" s="96"/>
      <c r="I2" s="97"/>
      <c r="J2" s="35"/>
      <c r="K2" s="6"/>
      <c r="L2" s="6"/>
      <c r="M2" s="6"/>
      <c r="N2" s="6"/>
      <c r="O2" s="6"/>
      <c r="P2" s="6"/>
      <c r="Q2" s="6"/>
      <c r="R2" s="6"/>
      <c r="S2" s="6"/>
    </row>
    <row r="3" spans="1:22" ht="18.75" customHeight="1" x14ac:dyDescent="0.2">
      <c r="B3" s="34" t="s">
        <v>103</v>
      </c>
      <c r="C3" s="95" t="s">
        <v>179</v>
      </c>
      <c r="D3" s="96"/>
      <c r="E3" s="96"/>
      <c r="F3" s="96"/>
      <c r="G3" s="96"/>
      <c r="H3" s="96"/>
      <c r="I3" s="97"/>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06" t="s">
        <v>39</v>
      </c>
      <c r="B5" s="106"/>
      <c r="C5" s="106"/>
      <c r="D5" s="106"/>
      <c r="E5" s="106"/>
      <c r="F5" s="106"/>
      <c r="G5" s="106"/>
      <c r="H5" s="106"/>
      <c r="I5" s="106"/>
      <c r="J5" s="106"/>
      <c r="K5" s="106"/>
      <c r="L5" s="106"/>
      <c r="M5" s="106"/>
      <c r="N5" s="106"/>
      <c r="O5" s="106"/>
      <c r="P5" s="106"/>
      <c r="Q5" s="106"/>
      <c r="R5" s="106"/>
      <c r="S5" s="106"/>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16" t="s">
        <v>128</v>
      </c>
      <c r="L7" s="117"/>
      <c r="M7" s="117"/>
      <c r="N7" s="117"/>
      <c r="O7" s="117"/>
      <c r="P7" s="117"/>
      <c r="Q7" s="117"/>
      <c r="R7" s="117"/>
      <c r="S7" s="118"/>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3"/>
      <c r="C9" s="84"/>
      <c r="D9" s="84"/>
      <c r="E9" s="84"/>
      <c r="F9" s="84"/>
      <c r="G9" s="84"/>
      <c r="H9" s="84"/>
      <c r="I9" s="84"/>
      <c r="J9" s="84"/>
      <c r="K9" s="84"/>
      <c r="L9" s="84"/>
      <c r="M9" s="84"/>
      <c r="N9" s="84"/>
      <c r="O9" s="84"/>
      <c r="P9" s="84"/>
      <c r="Q9" s="84"/>
      <c r="R9" s="84"/>
      <c r="S9" s="85"/>
    </row>
    <row r="10" spans="1:22" ht="18" customHeight="1" x14ac:dyDescent="0.2">
      <c r="B10" s="86"/>
      <c r="C10" s="87"/>
      <c r="D10" s="87"/>
      <c r="E10" s="87"/>
      <c r="F10" s="87"/>
      <c r="G10" s="87"/>
      <c r="H10" s="87"/>
      <c r="I10" s="87"/>
      <c r="J10" s="87"/>
      <c r="K10" s="87"/>
      <c r="L10" s="87"/>
      <c r="M10" s="87"/>
      <c r="N10" s="87"/>
      <c r="O10" s="87"/>
      <c r="P10" s="87"/>
      <c r="Q10" s="87"/>
      <c r="R10" s="87"/>
      <c r="S10" s="88"/>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07" t="s">
        <v>180</v>
      </c>
      <c r="C13" s="108"/>
      <c r="D13" s="108"/>
      <c r="E13" s="108"/>
      <c r="F13" s="108"/>
      <c r="G13" s="108"/>
      <c r="H13" s="108"/>
      <c r="I13" s="108"/>
      <c r="J13" s="108"/>
      <c r="K13" s="108"/>
      <c r="L13" s="108"/>
      <c r="M13" s="108"/>
      <c r="N13" s="108"/>
      <c r="O13" s="108"/>
      <c r="P13" s="108"/>
      <c r="Q13" s="108"/>
      <c r="R13" s="108"/>
      <c r="S13" s="109"/>
      <c r="V13" s="1" t="s">
        <v>104</v>
      </c>
    </row>
    <row r="14" spans="1:22" ht="18" customHeight="1" x14ac:dyDescent="0.2">
      <c r="B14" s="110"/>
      <c r="C14" s="111"/>
      <c r="D14" s="111"/>
      <c r="E14" s="111"/>
      <c r="F14" s="111"/>
      <c r="G14" s="111"/>
      <c r="H14" s="111"/>
      <c r="I14" s="111"/>
      <c r="J14" s="111"/>
      <c r="K14" s="111"/>
      <c r="L14" s="111"/>
      <c r="M14" s="111"/>
      <c r="N14" s="111"/>
      <c r="O14" s="111"/>
      <c r="P14" s="111"/>
      <c r="Q14" s="111"/>
      <c r="R14" s="111"/>
      <c r="S14" s="112"/>
      <c r="V14" s="1" t="s">
        <v>111</v>
      </c>
    </row>
    <row r="15" spans="1:22" ht="18" customHeight="1" x14ac:dyDescent="0.2">
      <c r="B15" s="110"/>
      <c r="C15" s="111"/>
      <c r="D15" s="111"/>
      <c r="E15" s="111"/>
      <c r="F15" s="111"/>
      <c r="G15" s="111"/>
      <c r="H15" s="111"/>
      <c r="I15" s="111"/>
      <c r="J15" s="111"/>
      <c r="K15" s="111"/>
      <c r="L15" s="111"/>
      <c r="M15" s="111"/>
      <c r="N15" s="111"/>
      <c r="O15" s="111"/>
      <c r="P15" s="111"/>
      <c r="Q15" s="111"/>
      <c r="R15" s="111"/>
      <c r="S15" s="112"/>
      <c r="V15" s="1" t="s">
        <v>124</v>
      </c>
    </row>
    <row r="16" spans="1:22" ht="18" customHeight="1" x14ac:dyDescent="0.2">
      <c r="B16" s="110"/>
      <c r="C16" s="111"/>
      <c r="D16" s="111"/>
      <c r="E16" s="111"/>
      <c r="F16" s="111"/>
      <c r="G16" s="111"/>
      <c r="H16" s="111"/>
      <c r="I16" s="111"/>
      <c r="J16" s="111"/>
      <c r="K16" s="111"/>
      <c r="L16" s="111"/>
      <c r="M16" s="111"/>
      <c r="N16" s="111"/>
      <c r="O16" s="111"/>
      <c r="P16" s="111"/>
      <c r="Q16" s="111"/>
      <c r="R16" s="111"/>
      <c r="S16" s="112"/>
      <c r="V16" s="1" t="s">
        <v>126</v>
      </c>
    </row>
    <row r="17" spans="1:19" ht="18" customHeight="1" x14ac:dyDescent="0.2">
      <c r="B17" s="110"/>
      <c r="C17" s="111"/>
      <c r="D17" s="111"/>
      <c r="E17" s="111"/>
      <c r="F17" s="111"/>
      <c r="G17" s="111"/>
      <c r="H17" s="111"/>
      <c r="I17" s="111"/>
      <c r="J17" s="111"/>
      <c r="K17" s="111"/>
      <c r="L17" s="111"/>
      <c r="M17" s="111"/>
      <c r="N17" s="111"/>
      <c r="O17" s="111"/>
      <c r="P17" s="111"/>
      <c r="Q17" s="111"/>
      <c r="R17" s="111"/>
      <c r="S17" s="112"/>
    </row>
    <row r="18" spans="1:19" ht="18" customHeight="1" x14ac:dyDescent="0.2">
      <c r="B18" s="113"/>
      <c r="C18" s="114"/>
      <c r="D18" s="114"/>
      <c r="E18" s="114"/>
      <c r="F18" s="114"/>
      <c r="G18" s="114"/>
      <c r="H18" s="114"/>
      <c r="I18" s="114"/>
      <c r="J18" s="114"/>
      <c r="K18" s="114"/>
      <c r="L18" s="114"/>
      <c r="M18" s="114"/>
      <c r="N18" s="114"/>
      <c r="O18" s="114"/>
      <c r="P18" s="114"/>
      <c r="Q18" s="114"/>
      <c r="R18" s="114"/>
      <c r="S18" s="115"/>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95">
        <v>2</v>
      </c>
      <c r="D20" s="97"/>
      <c r="E20" s="40" t="s">
        <v>96</v>
      </c>
      <c r="G20" s="10"/>
      <c r="H20" s="3"/>
      <c r="I20" s="3"/>
      <c r="J20" s="35" t="s">
        <v>122</v>
      </c>
      <c r="K20" s="103" t="s">
        <v>126</v>
      </c>
      <c r="L20" s="104"/>
      <c r="M20" s="104"/>
      <c r="N20" s="104"/>
      <c r="O20" s="104"/>
      <c r="P20" s="104"/>
      <c r="Q20" s="104"/>
      <c r="R20" s="104"/>
      <c r="S20" s="105"/>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8" t="s">
        <v>114</v>
      </c>
      <c r="B22" s="98"/>
      <c r="C22" s="98"/>
      <c r="D22" s="98"/>
      <c r="E22" s="98"/>
      <c r="F22" s="98"/>
      <c r="G22" s="98"/>
      <c r="H22" s="98"/>
      <c r="I22" s="98"/>
      <c r="J22" s="98"/>
      <c r="K22" s="98"/>
      <c r="L22" s="98"/>
      <c r="M22" s="98"/>
      <c r="N22" s="98"/>
      <c r="O22" s="98"/>
      <c r="P22" s="98"/>
      <c r="Q22" s="98"/>
      <c r="R22" s="98"/>
      <c r="S22" s="98"/>
    </row>
    <row r="23" spans="1:19" ht="18" customHeight="1" x14ac:dyDescent="0.2">
      <c r="A23" s="98"/>
      <c r="B23" s="98"/>
      <c r="C23" s="98"/>
      <c r="D23" s="98"/>
      <c r="E23" s="98"/>
      <c r="F23" s="98"/>
      <c r="G23" s="98"/>
      <c r="H23" s="98"/>
      <c r="I23" s="98"/>
      <c r="J23" s="98"/>
      <c r="K23" s="98"/>
      <c r="L23" s="98"/>
      <c r="M23" s="98"/>
      <c r="N23" s="98"/>
      <c r="O23" s="98"/>
      <c r="P23" s="98"/>
      <c r="Q23" s="98"/>
      <c r="R23" s="98"/>
      <c r="S23" s="98"/>
    </row>
    <row r="24" spans="1:19" ht="18" customHeight="1" x14ac:dyDescent="0.2">
      <c r="B24" s="95" t="s">
        <v>54</v>
      </c>
      <c r="C24" s="96"/>
      <c r="D24" s="96"/>
      <c r="E24" s="97"/>
      <c r="F24" s="61" t="s">
        <v>81</v>
      </c>
      <c r="G24" s="60" t="s">
        <v>85</v>
      </c>
      <c r="H24" s="22" t="s">
        <v>57</v>
      </c>
      <c r="I24" s="22" t="s">
        <v>60</v>
      </c>
      <c r="J24" s="95" t="s">
        <v>54</v>
      </c>
      <c r="K24" s="96"/>
      <c r="L24" s="96"/>
      <c r="M24" s="96"/>
      <c r="N24" s="96"/>
      <c r="O24" s="97"/>
      <c r="P24" s="61" t="s">
        <v>81</v>
      </c>
      <c r="Q24" s="60" t="s">
        <v>85</v>
      </c>
      <c r="R24" s="22" t="s">
        <v>57</v>
      </c>
      <c r="S24" s="22" t="s">
        <v>60</v>
      </c>
    </row>
    <row r="25" spans="1:19" ht="18" customHeight="1" x14ac:dyDescent="0.2">
      <c r="B25" s="99" t="s">
        <v>135</v>
      </c>
      <c r="C25" s="100"/>
      <c r="D25" s="100"/>
      <c r="E25" s="101"/>
      <c r="F25" s="23">
        <v>2</v>
      </c>
      <c r="G25" s="23" t="s">
        <v>136</v>
      </c>
      <c r="H25" s="23" t="s">
        <v>136</v>
      </c>
      <c r="I25" s="23" t="s">
        <v>136</v>
      </c>
      <c r="J25" s="99"/>
      <c r="K25" s="100"/>
      <c r="L25" s="100"/>
      <c r="M25" s="100"/>
      <c r="N25" s="100"/>
      <c r="O25" s="101"/>
      <c r="P25" s="23"/>
      <c r="Q25" s="23"/>
      <c r="R25" s="23"/>
      <c r="S25" s="23"/>
    </row>
    <row r="26" spans="1:19" ht="18" customHeight="1" x14ac:dyDescent="0.2">
      <c r="B26" s="89"/>
      <c r="C26" s="90"/>
      <c r="D26" s="90"/>
      <c r="E26" s="91"/>
      <c r="F26" s="24"/>
      <c r="G26" s="24"/>
      <c r="H26" s="24"/>
      <c r="I26" s="24"/>
      <c r="J26" s="89"/>
      <c r="K26" s="90"/>
      <c r="L26" s="90"/>
      <c r="M26" s="90"/>
      <c r="N26" s="90"/>
      <c r="O26" s="91"/>
      <c r="P26" s="24"/>
      <c r="Q26" s="24"/>
      <c r="R26" s="24"/>
      <c r="S26" s="24"/>
    </row>
    <row r="27" spans="1:19" ht="18" customHeight="1" x14ac:dyDescent="0.2">
      <c r="B27" s="89"/>
      <c r="C27" s="90"/>
      <c r="D27" s="90"/>
      <c r="E27" s="91"/>
      <c r="F27" s="24"/>
      <c r="G27" s="24"/>
      <c r="H27" s="24"/>
      <c r="I27" s="24"/>
      <c r="J27" s="89"/>
      <c r="K27" s="90"/>
      <c r="L27" s="90"/>
      <c r="M27" s="90"/>
      <c r="N27" s="90"/>
      <c r="O27" s="91"/>
      <c r="P27" s="24"/>
      <c r="Q27" s="24"/>
      <c r="R27" s="24"/>
      <c r="S27" s="24"/>
    </row>
    <row r="28" spans="1:19" ht="18" customHeight="1" x14ac:dyDescent="0.2">
      <c r="B28" s="89"/>
      <c r="C28" s="90"/>
      <c r="D28" s="90"/>
      <c r="E28" s="91"/>
      <c r="F28" s="24"/>
      <c r="G28" s="24"/>
      <c r="H28" s="24"/>
      <c r="I28" s="24"/>
      <c r="J28" s="89"/>
      <c r="K28" s="90"/>
      <c r="L28" s="90"/>
      <c r="M28" s="90"/>
      <c r="N28" s="90"/>
      <c r="O28" s="91"/>
      <c r="P28" s="24"/>
      <c r="Q28" s="24"/>
      <c r="R28" s="24"/>
      <c r="S28" s="24"/>
    </row>
    <row r="29" spans="1:19" ht="18" customHeight="1" x14ac:dyDescent="0.2">
      <c r="B29" s="89"/>
      <c r="C29" s="90"/>
      <c r="D29" s="90"/>
      <c r="E29" s="91"/>
      <c r="F29" s="24"/>
      <c r="G29" s="24"/>
      <c r="H29" s="24"/>
      <c r="I29" s="24"/>
      <c r="J29" s="89"/>
      <c r="K29" s="90"/>
      <c r="L29" s="90"/>
      <c r="M29" s="90"/>
      <c r="N29" s="90"/>
      <c r="O29" s="91"/>
      <c r="P29" s="24"/>
      <c r="Q29" s="24"/>
      <c r="R29" s="24"/>
      <c r="S29" s="24"/>
    </row>
    <row r="30" spans="1:19" ht="18" customHeight="1" x14ac:dyDescent="0.2">
      <c r="A30" s="3"/>
      <c r="B30" s="89"/>
      <c r="C30" s="90"/>
      <c r="D30" s="90"/>
      <c r="E30" s="91"/>
      <c r="F30" s="24"/>
      <c r="G30" s="24"/>
      <c r="H30" s="24"/>
      <c r="I30" s="24"/>
      <c r="J30" s="89"/>
      <c r="K30" s="90"/>
      <c r="L30" s="90"/>
      <c r="M30" s="90"/>
      <c r="N30" s="90"/>
      <c r="O30" s="91"/>
      <c r="P30" s="24"/>
      <c r="Q30" s="24"/>
      <c r="R30" s="24"/>
      <c r="S30" s="24"/>
    </row>
    <row r="31" spans="1:19" ht="18" customHeight="1" x14ac:dyDescent="0.2">
      <c r="A31" s="3"/>
      <c r="B31" s="92"/>
      <c r="C31" s="93"/>
      <c r="D31" s="93"/>
      <c r="E31" s="94"/>
      <c r="F31" s="25"/>
      <c r="G31" s="25"/>
      <c r="H31" s="26"/>
      <c r="I31" s="26"/>
      <c r="J31" s="92"/>
      <c r="K31" s="93"/>
      <c r="L31" s="93"/>
      <c r="M31" s="93"/>
      <c r="N31" s="93"/>
      <c r="O31" s="94"/>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8" t="s">
        <v>115</v>
      </c>
      <c r="B33" s="98"/>
      <c r="C33" s="98"/>
      <c r="D33" s="98"/>
      <c r="E33" s="98"/>
      <c r="F33" s="98"/>
      <c r="G33" s="98"/>
      <c r="H33" s="98"/>
      <c r="I33" s="98"/>
      <c r="J33" s="98"/>
      <c r="K33" s="98"/>
      <c r="L33" s="98"/>
      <c r="M33" s="98"/>
      <c r="N33" s="98"/>
      <c r="O33" s="98"/>
      <c r="P33" s="98"/>
      <c r="Q33" s="98"/>
      <c r="R33" s="98"/>
      <c r="S33" s="98"/>
    </row>
    <row r="34" spans="1:19" ht="18" customHeight="1" x14ac:dyDescent="0.2">
      <c r="A34" s="98"/>
      <c r="B34" s="98"/>
      <c r="C34" s="98"/>
      <c r="D34" s="98"/>
      <c r="E34" s="98"/>
      <c r="F34" s="98"/>
      <c r="G34" s="98"/>
      <c r="H34" s="98"/>
      <c r="I34" s="98"/>
      <c r="J34" s="98"/>
      <c r="K34" s="98"/>
      <c r="L34" s="98"/>
      <c r="M34" s="98"/>
      <c r="N34" s="98"/>
      <c r="O34" s="98"/>
      <c r="P34" s="98"/>
      <c r="Q34" s="98"/>
      <c r="R34" s="98"/>
      <c r="S34" s="98"/>
    </row>
    <row r="35" spans="1:19" ht="18" customHeight="1" x14ac:dyDescent="0.2">
      <c r="B35" s="95" t="s">
        <v>54</v>
      </c>
      <c r="C35" s="96"/>
      <c r="D35" s="96"/>
      <c r="E35" s="97"/>
      <c r="F35" s="61" t="s">
        <v>81</v>
      </c>
      <c r="G35" s="60" t="s">
        <v>85</v>
      </c>
      <c r="H35" s="22" t="s">
        <v>72</v>
      </c>
      <c r="I35" s="22" t="s">
        <v>73</v>
      </c>
      <c r="J35" s="95" t="s">
        <v>54</v>
      </c>
      <c r="K35" s="96"/>
      <c r="L35" s="96"/>
      <c r="M35" s="96"/>
      <c r="N35" s="96"/>
      <c r="O35" s="97"/>
      <c r="P35" s="61" t="s">
        <v>81</v>
      </c>
      <c r="Q35" s="60" t="s">
        <v>85</v>
      </c>
      <c r="R35" s="22" t="s">
        <v>72</v>
      </c>
      <c r="S35" s="22" t="s">
        <v>73</v>
      </c>
    </row>
    <row r="36" spans="1:19" ht="18" customHeight="1" x14ac:dyDescent="0.2">
      <c r="B36" s="99" t="s">
        <v>135</v>
      </c>
      <c r="C36" s="100"/>
      <c r="D36" s="100"/>
      <c r="E36" s="101"/>
      <c r="F36" s="23">
        <v>2</v>
      </c>
      <c r="G36" s="23" t="s">
        <v>136</v>
      </c>
      <c r="H36" s="23" t="s">
        <v>136</v>
      </c>
      <c r="I36" s="23" t="s">
        <v>136</v>
      </c>
      <c r="J36" s="99"/>
      <c r="K36" s="100"/>
      <c r="L36" s="100"/>
      <c r="M36" s="100"/>
      <c r="N36" s="100"/>
      <c r="O36" s="101"/>
      <c r="P36" s="23"/>
      <c r="Q36" s="23"/>
      <c r="R36" s="23"/>
      <c r="S36" s="23"/>
    </row>
    <row r="37" spans="1:19" ht="18" customHeight="1" x14ac:dyDescent="0.2">
      <c r="B37" s="89"/>
      <c r="C37" s="90"/>
      <c r="D37" s="90"/>
      <c r="E37" s="91"/>
      <c r="F37" s="24"/>
      <c r="G37" s="24"/>
      <c r="H37" s="24"/>
      <c r="I37" s="24"/>
      <c r="J37" s="89"/>
      <c r="K37" s="90"/>
      <c r="L37" s="90"/>
      <c r="M37" s="90"/>
      <c r="N37" s="90"/>
      <c r="O37" s="91"/>
      <c r="P37" s="24"/>
      <c r="Q37" s="24"/>
      <c r="R37" s="24"/>
      <c r="S37" s="24"/>
    </row>
    <row r="38" spans="1:19" ht="18" customHeight="1" x14ac:dyDescent="0.2">
      <c r="B38" s="89"/>
      <c r="C38" s="90"/>
      <c r="D38" s="90"/>
      <c r="E38" s="91"/>
      <c r="F38" s="24"/>
      <c r="G38" s="24"/>
      <c r="H38" s="24"/>
      <c r="I38" s="24"/>
      <c r="J38" s="89"/>
      <c r="K38" s="90"/>
      <c r="L38" s="90"/>
      <c r="M38" s="90"/>
      <c r="N38" s="90"/>
      <c r="O38" s="91"/>
      <c r="P38" s="24"/>
      <c r="Q38" s="24"/>
      <c r="R38" s="24"/>
      <c r="S38" s="24"/>
    </row>
    <row r="39" spans="1:19" ht="18" customHeight="1" x14ac:dyDescent="0.2">
      <c r="B39" s="89"/>
      <c r="C39" s="90"/>
      <c r="D39" s="90"/>
      <c r="E39" s="91"/>
      <c r="F39" s="24"/>
      <c r="G39" s="24"/>
      <c r="H39" s="24"/>
      <c r="I39" s="24"/>
      <c r="J39" s="89"/>
      <c r="K39" s="90"/>
      <c r="L39" s="90"/>
      <c r="M39" s="90"/>
      <c r="N39" s="90"/>
      <c r="O39" s="91"/>
      <c r="P39" s="24"/>
      <c r="Q39" s="24"/>
      <c r="R39" s="24"/>
      <c r="S39" s="24"/>
    </row>
    <row r="40" spans="1:19" ht="18" customHeight="1" x14ac:dyDescent="0.2">
      <c r="B40" s="89"/>
      <c r="C40" s="90"/>
      <c r="D40" s="90"/>
      <c r="E40" s="91"/>
      <c r="F40" s="24"/>
      <c r="G40" s="24"/>
      <c r="H40" s="24"/>
      <c r="I40" s="24"/>
      <c r="J40" s="89"/>
      <c r="K40" s="90"/>
      <c r="L40" s="90"/>
      <c r="M40" s="90"/>
      <c r="N40" s="90"/>
      <c r="O40" s="91"/>
      <c r="P40" s="24"/>
      <c r="Q40" s="24"/>
      <c r="R40" s="24"/>
      <c r="S40" s="24"/>
    </row>
    <row r="41" spans="1:19" ht="18" customHeight="1" x14ac:dyDescent="0.2">
      <c r="B41" s="89"/>
      <c r="C41" s="90"/>
      <c r="D41" s="90"/>
      <c r="E41" s="91"/>
      <c r="F41" s="24"/>
      <c r="G41" s="24"/>
      <c r="H41" s="24"/>
      <c r="I41" s="24"/>
      <c r="J41" s="89"/>
      <c r="K41" s="90"/>
      <c r="L41" s="90"/>
      <c r="M41" s="90"/>
      <c r="N41" s="90"/>
      <c r="O41" s="91"/>
      <c r="P41" s="24"/>
      <c r="Q41" s="24"/>
      <c r="R41" s="24"/>
      <c r="S41" s="24"/>
    </row>
    <row r="42" spans="1:19" ht="18" customHeight="1" x14ac:dyDescent="0.2">
      <c r="B42" s="92"/>
      <c r="C42" s="93"/>
      <c r="D42" s="93"/>
      <c r="E42" s="94"/>
      <c r="F42" s="25"/>
      <c r="G42" s="25"/>
      <c r="H42" s="26"/>
      <c r="I42" s="26"/>
      <c r="J42" s="92"/>
      <c r="K42" s="93"/>
      <c r="L42" s="93"/>
      <c r="M42" s="93"/>
      <c r="N42" s="93"/>
      <c r="O42" s="94"/>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8" t="s">
        <v>116</v>
      </c>
      <c r="B44" s="98"/>
      <c r="C44" s="98"/>
      <c r="D44" s="98"/>
      <c r="E44" s="98"/>
      <c r="F44" s="98"/>
      <c r="G44" s="98"/>
      <c r="H44" s="98"/>
      <c r="I44" s="98"/>
      <c r="J44" s="98"/>
      <c r="K44" s="98"/>
      <c r="L44" s="98"/>
      <c r="M44" s="98"/>
      <c r="N44" s="98"/>
      <c r="O44" s="98"/>
      <c r="P44" s="98"/>
      <c r="Q44" s="98"/>
      <c r="R44" s="98"/>
      <c r="S44" s="98"/>
    </row>
    <row r="45" spans="1:19" ht="18" customHeight="1" x14ac:dyDescent="0.2">
      <c r="A45" s="98"/>
      <c r="B45" s="98"/>
      <c r="C45" s="98"/>
      <c r="D45" s="98"/>
      <c r="E45" s="98"/>
      <c r="F45" s="98"/>
      <c r="G45" s="98"/>
      <c r="H45" s="98"/>
      <c r="I45" s="98"/>
      <c r="J45" s="98"/>
      <c r="K45" s="98"/>
      <c r="L45" s="98"/>
      <c r="M45" s="98"/>
      <c r="N45" s="98"/>
      <c r="O45" s="98"/>
      <c r="P45" s="98"/>
      <c r="Q45" s="98"/>
      <c r="R45" s="98"/>
      <c r="S45" s="98"/>
    </row>
    <row r="46" spans="1:19" ht="18" customHeight="1" x14ac:dyDescent="0.2">
      <c r="B46" s="95" t="s">
        <v>54</v>
      </c>
      <c r="C46" s="96"/>
      <c r="D46" s="96"/>
      <c r="E46" s="97"/>
      <c r="F46" s="61" t="s">
        <v>81</v>
      </c>
      <c r="G46" s="60" t="s">
        <v>85</v>
      </c>
      <c r="H46" s="22" t="s">
        <v>74</v>
      </c>
      <c r="I46" s="22" t="s">
        <v>75</v>
      </c>
      <c r="J46" s="95" t="s">
        <v>54</v>
      </c>
      <c r="K46" s="96"/>
      <c r="L46" s="96"/>
      <c r="M46" s="96"/>
      <c r="N46" s="96"/>
      <c r="O46" s="97"/>
      <c r="P46" s="61" t="s">
        <v>81</v>
      </c>
      <c r="Q46" s="60" t="s">
        <v>85</v>
      </c>
      <c r="R46" s="22" t="s">
        <v>74</v>
      </c>
      <c r="S46" s="22" t="s">
        <v>75</v>
      </c>
    </row>
    <row r="47" spans="1:19" ht="18" customHeight="1" x14ac:dyDescent="0.2">
      <c r="A47" s="3"/>
      <c r="B47" s="99" t="s">
        <v>135</v>
      </c>
      <c r="C47" s="100"/>
      <c r="D47" s="100"/>
      <c r="E47" s="101"/>
      <c r="F47" s="23">
        <v>2</v>
      </c>
      <c r="G47" s="23" t="s">
        <v>136</v>
      </c>
      <c r="H47" s="23" t="s">
        <v>136</v>
      </c>
      <c r="I47" s="23" t="s">
        <v>136</v>
      </c>
      <c r="J47" s="99"/>
      <c r="K47" s="100"/>
      <c r="L47" s="100"/>
      <c r="M47" s="100"/>
      <c r="N47" s="100"/>
      <c r="O47" s="101"/>
      <c r="P47" s="23"/>
      <c r="Q47" s="23"/>
      <c r="R47" s="23"/>
      <c r="S47" s="23"/>
    </row>
    <row r="48" spans="1:19" ht="18" customHeight="1" x14ac:dyDescent="0.2">
      <c r="A48" s="3"/>
      <c r="B48" s="89"/>
      <c r="C48" s="90"/>
      <c r="D48" s="90"/>
      <c r="E48" s="91"/>
      <c r="F48" s="24"/>
      <c r="G48" s="24"/>
      <c r="H48" s="24"/>
      <c r="I48" s="24"/>
      <c r="J48" s="89"/>
      <c r="K48" s="90"/>
      <c r="L48" s="90"/>
      <c r="M48" s="90"/>
      <c r="N48" s="90"/>
      <c r="O48" s="91"/>
      <c r="P48" s="24"/>
      <c r="Q48" s="24"/>
      <c r="R48" s="24"/>
      <c r="S48" s="24"/>
    </row>
    <row r="49" spans="1:19" ht="18" customHeight="1" x14ac:dyDescent="0.2">
      <c r="A49" s="3"/>
      <c r="B49" s="89"/>
      <c r="C49" s="90"/>
      <c r="D49" s="90"/>
      <c r="E49" s="91"/>
      <c r="F49" s="24"/>
      <c r="G49" s="24"/>
      <c r="H49" s="24"/>
      <c r="I49" s="24"/>
      <c r="J49" s="89"/>
      <c r="K49" s="90"/>
      <c r="L49" s="90"/>
      <c r="M49" s="90"/>
      <c r="N49" s="90"/>
      <c r="O49" s="91"/>
      <c r="P49" s="24"/>
      <c r="Q49" s="24"/>
      <c r="R49" s="24"/>
      <c r="S49" s="24"/>
    </row>
    <row r="50" spans="1:19" ht="18" customHeight="1" x14ac:dyDescent="0.2">
      <c r="A50" s="3"/>
      <c r="B50" s="89"/>
      <c r="C50" s="90"/>
      <c r="D50" s="90"/>
      <c r="E50" s="91"/>
      <c r="F50" s="24"/>
      <c r="G50" s="24"/>
      <c r="H50" s="24"/>
      <c r="I50" s="24"/>
      <c r="J50" s="89"/>
      <c r="K50" s="90"/>
      <c r="L50" s="90"/>
      <c r="M50" s="90"/>
      <c r="N50" s="90"/>
      <c r="O50" s="91"/>
      <c r="P50" s="24"/>
      <c r="Q50" s="24"/>
      <c r="R50" s="24"/>
      <c r="S50" s="24"/>
    </row>
    <row r="51" spans="1:19" ht="18" customHeight="1" x14ac:dyDescent="0.2">
      <c r="A51" s="3"/>
      <c r="B51" s="89"/>
      <c r="C51" s="90"/>
      <c r="D51" s="90"/>
      <c r="E51" s="91"/>
      <c r="F51" s="24"/>
      <c r="G51" s="24"/>
      <c r="H51" s="24"/>
      <c r="I51" s="24"/>
      <c r="J51" s="89"/>
      <c r="K51" s="90"/>
      <c r="L51" s="90"/>
      <c r="M51" s="90"/>
      <c r="N51" s="90"/>
      <c r="O51" s="91"/>
      <c r="P51" s="24"/>
      <c r="Q51" s="24"/>
      <c r="R51" s="24"/>
      <c r="S51" s="24"/>
    </row>
    <row r="52" spans="1:19" ht="18" customHeight="1" x14ac:dyDescent="0.2">
      <c r="A52" s="3"/>
      <c r="B52" s="89"/>
      <c r="C52" s="90"/>
      <c r="D52" s="90"/>
      <c r="E52" s="91"/>
      <c r="F52" s="24"/>
      <c r="G52" s="24"/>
      <c r="H52" s="24"/>
      <c r="I52" s="24"/>
      <c r="J52" s="89"/>
      <c r="K52" s="90"/>
      <c r="L52" s="90"/>
      <c r="M52" s="90"/>
      <c r="N52" s="90"/>
      <c r="O52" s="91"/>
      <c r="P52" s="24"/>
      <c r="Q52" s="24"/>
      <c r="R52" s="24"/>
      <c r="S52" s="24"/>
    </row>
    <row r="53" spans="1:19" ht="18" customHeight="1" x14ac:dyDescent="0.2">
      <c r="A53" s="3"/>
      <c r="B53" s="92"/>
      <c r="C53" s="93"/>
      <c r="D53" s="93"/>
      <c r="E53" s="94"/>
      <c r="F53" s="25"/>
      <c r="G53" s="25"/>
      <c r="H53" s="26"/>
      <c r="I53" s="26"/>
      <c r="J53" s="92"/>
      <c r="K53" s="93"/>
      <c r="L53" s="93"/>
      <c r="M53" s="93"/>
      <c r="N53" s="93"/>
      <c r="O53" s="94"/>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8" t="s">
        <v>117</v>
      </c>
      <c r="B55" s="98"/>
      <c r="C55" s="98"/>
      <c r="D55" s="98"/>
      <c r="E55" s="98"/>
      <c r="F55" s="98"/>
      <c r="G55" s="98"/>
      <c r="H55" s="98"/>
      <c r="I55" s="98"/>
      <c r="J55" s="98"/>
      <c r="K55" s="98"/>
      <c r="L55" s="98"/>
      <c r="M55" s="98"/>
      <c r="N55" s="98"/>
      <c r="O55" s="98"/>
      <c r="P55" s="98"/>
      <c r="Q55" s="98"/>
      <c r="R55" s="98"/>
      <c r="S55" s="98"/>
    </row>
    <row r="56" spans="1:19" ht="18" customHeight="1" x14ac:dyDescent="0.2">
      <c r="A56" s="98"/>
      <c r="B56" s="98"/>
      <c r="C56" s="98"/>
      <c r="D56" s="98"/>
      <c r="E56" s="98"/>
      <c r="F56" s="98"/>
      <c r="G56" s="98"/>
      <c r="H56" s="98"/>
      <c r="I56" s="98"/>
      <c r="J56" s="98"/>
      <c r="K56" s="98"/>
      <c r="L56" s="98"/>
      <c r="M56" s="98"/>
      <c r="N56" s="98"/>
      <c r="O56" s="98"/>
      <c r="P56" s="98"/>
      <c r="Q56" s="98"/>
      <c r="R56" s="98"/>
      <c r="S56" s="98"/>
    </row>
    <row r="57" spans="1:19" ht="18" customHeight="1" x14ac:dyDescent="0.2">
      <c r="B57" s="95" t="s">
        <v>54</v>
      </c>
      <c r="C57" s="96"/>
      <c r="D57" s="96"/>
      <c r="E57" s="97"/>
      <c r="F57" s="61" t="s">
        <v>81</v>
      </c>
      <c r="G57" s="60" t="s">
        <v>85</v>
      </c>
      <c r="H57" s="22" t="s">
        <v>59</v>
      </c>
      <c r="I57" s="22" t="s">
        <v>61</v>
      </c>
      <c r="J57" s="95" t="s">
        <v>54</v>
      </c>
      <c r="K57" s="96"/>
      <c r="L57" s="96"/>
      <c r="M57" s="96"/>
      <c r="N57" s="96"/>
      <c r="O57" s="97"/>
      <c r="P57" s="61" t="s">
        <v>81</v>
      </c>
      <c r="Q57" s="60" t="s">
        <v>85</v>
      </c>
      <c r="R57" s="22" t="s">
        <v>59</v>
      </c>
      <c r="S57" s="22" t="s">
        <v>61</v>
      </c>
    </row>
    <row r="58" spans="1:19" ht="18" customHeight="1" x14ac:dyDescent="0.2">
      <c r="A58" s="3"/>
      <c r="B58" s="99" t="s">
        <v>135</v>
      </c>
      <c r="C58" s="100"/>
      <c r="D58" s="100"/>
      <c r="E58" s="101"/>
      <c r="F58" s="23">
        <v>2</v>
      </c>
      <c r="G58" s="23" t="s">
        <v>136</v>
      </c>
      <c r="H58" s="23" t="s">
        <v>136</v>
      </c>
      <c r="I58" s="23" t="s">
        <v>136</v>
      </c>
      <c r="J58" s="99"/>
      <c r="K58" s="100"/>
      <c r="L58" s="100"/>
      <c r="M58" s="100"/>
      <c r="N58" s="100"/>
      <c r="O58" s="101"/>
      <c r="P58" s="23"/>
      <c r="Q58" s="23"/>
      <c r="R58" s="23"/>
      <c r="S58" s="23"/>
    </row>
    <row r="59" spans="1:19" ht="18" customHeight="1" x14ac:dyDescent="0.2">
      <c r="A59" s="3"/>
      <c r="B59" s="89"/>
      <c r="C59" s="90"/>
      <c r="D59" s="90"/>
      <c r="E59" s="91"/>
      <c r="F59" s="24"/>
      <c r="G59" s="24"/>
      <c r="H59" s="24"/>
      <c r="I59" s="24"/>
      <c r="J59" s="89"/>
      <c r="K59" s="90"/>
      <c r="L59" s="90"/>
      <c r="M59" s="90"/>
      <c r="N59" s="90"/>
      <c r="O59" s="91"/>
      <c r="P59" s="24"/>
      <c r="Q59" s="24"/>
      <c r="R59" s="24"/>
      <c r="S59" s="24"/>
    </row>
    <row r="60" spans="1:19" ht="18" customHeight="1" x14ac:dyDescent="0.2">
      <c r="A60" s="3"/>
      <c r="B60" s="89"/>
      <c r="C60" s="90"/>
      <c r="D60" s="90"/>
      <c r="E60" s="91"/>
      <c r="F60" s="24"/>
      <c r="G60" s="24"/>
      <c r="H60" s="24"/>
      <c r="I60" s="24"/>
      <c r="J60" s="89"/>
      <c r="K60" s="90"/>
      <c r="L60" s="90"/>
      <c r="M60" s="90"/>
      <c r="N60" s="90"/>
      <c r="O60" s="91"/>
      <c r="P60" s="24"/>
      <c r="Q60" s="24"/>
      <c r="R60" s="24"/>
      <c r="S60" s="24"/>
    </row>
    <row r="61" spans="1:19" ht="18" customHeight="1" x14ac:dyDescent="0.2">
      <c r="A61" s="3"/>
      <c r="B61" s="89"/>
      <c r="C61" s="90"/>
      <c r="D61" s="90"/>
      <c r="E61" s="91"/>
      <c r="F61" s="24"/>
      <c r="G61" s="24"/>
      <c r="H61" s="24"/>
      <c r="I61" s="24"/>
      <c r="J61" s="89"/>
      <c r="K61" s="90"/>
      <c r="L61" s="90"/>
      <c r="M61" s="90"/>
      <c r="N61" s="90"/>
      <c r="O61" s="91"/>
      <c r="P61" s="24"/>
      <c r="Q61" s="24"/>
      <c r="R61" s="24"/>
      <c r="S61" s="24"/>
    </row>
    <row r="62" spans="1:19" ht="18" customHeight="1" x14ac:dyDescent="0.2">
      <c r="A62" s="3"/>
      <c r="B62" s="89"/>
      <c r="C62" s="90"/>
      <c r="D62" s="90"/>
      <c r="E62" s="91"/>
      <c r="F62" s="24"/>
      <c r="G62" s="24"/>
      <c r="H62" s="24"/>
      <c r="I62" s="24"/>
      <c r="J62" s="89"/>
      <c r="K62" s="90"/>
      <c r="L62" s="90"/>
      <c r="M62" s="90"/>
      <c r="N62" s="90"/>
      <c r="O62" s="91"/>
      <c r="P62" s="24"/>
      <c r="Q62" s="24"/>
      <c r="R62" s="24"/>
      <c r="S62" s="24"/>
    </row>
    <row r="63" spans="1:19" ht="18" customHeight="1" x14ac:dyDescent="0.2">
      <c r="A63" s="3"/>
      <c r="B63" s="89"/>
      <c r="C63" s="90"/>
      <c r="D63" s="90"/>
      <c r="E63" s="91"/>
      <c r="F63" s="24"/>
      <c r="G63" s="24"/>
      <c r="H63" s="24"/>
      <c r="I63" s="24"/>
      <c r="J63" s="89"/>
      <c r="K63" s="90"/>
      <c r="L63" s="90"/>
      <c r="M63" s="90"/>
      <c r="N63" s="90"/>
      <c r="O63" s="91"/>
      <c r="P63" s="24"/>
      <c r="Q63" s="24"/>
      <c r="R63" s="24"/>
      <c r="S63" s="24"/>
    </row>
    <row r="64" spans="1:19" ht="18" customHeight="1" x14ac:dyDescent="0.2">
      <c r="A64" s="3"/>
      <c r="B64" s="92"/>
      <c r="C64" s="93"/>
      <c r="D64" s="93"/>
      <c r="E64" s="94"/>
      <c r="F64" s="25"/>
      <c r="G64" s="25"/>
      <c r="H64" s="26"/>
      <c r="I64" s="26"/>
      <c r="J64" s="92"/>
      <c r="K64" s="93"/>
      <c r="L64" s="93"/>
      <c r="M64" s="93"/>
      <c r="N64" s="93"/>
      <c r="O64" s="94"/>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8" t="s">
        <v>118</v>
      </c>
      <c r="B66" s="98"/>
      <c r="C66" s="98"/>
      <c r="D66" s="98"/>
      <c r="E66" s="98"/>
      <c r="F66" s="98"/>
      <c r="G66" s="98"/>
      <c r="H66" s="98"/>
      <c r="I66" s="98"/>
      <c r="J66" s="98"/>
      <c r="K66" s="98"/>
      <c r="L66" s="98"/>
      <c r="M66" s="98"/>
      <c r="N66" s="98"/>
      <c r="O66" s="98"/>
      <c r="P66" s="98"/>
      <c r="Q66" s="98"/>
      <c r="R66" s="98"/>
      <c r="S66" s="98"/>
    </row>
    <row r="67" spans="1:19" ht="18" customHeight="1" x14ac:dyDescent="0.2">
      <c r="A67" s="98"/>
      <c r="B67" s="98"/>
      <c r="C67" s="98"/>
      <c r="D67" s="98"/>
      <c r="E67" s="98"/>
      <c r="F67" s="98"/>
      <c r="G67" s="98"/>
      <c r="H67" s="98"/>
      <c r="I67" s="98"/>
      <c r="J67" s="98"/>
      <c r="K67" s="98"/>
      <c r="L67" s="98"/>
      <c r="M67" s="98"/>
      <c r="N67" s="98"/>
      <c r="O67" s="98"/>
      <c r="P67" s="98"/>
      <c r="Q67" s="98"/>
      <c r="R67" s="98"/>
      <c r="S67" s="98"/>
    </row>
    <row r="68" spans="1:19" ht="18" customHeight="1" x14ac:dyDescent="0.2">
      <c r="B68" s="95" t="s">
        <v>54</v>
      </c>
      <c r="C68" s="96"/>
      <c r="D68" s="96"/>
      <c r="E68" s="61" t="s">
        <v>81</v>
      </c>
      <c r="F68" s="60" t="s">
        <v>85</v>
      </c>
      <c r="G68" s="22" t="s">
        <v>102</v>
      </c>
      <c r="H68" s="22" t="s">
        <v>76</v>
      </c>
      <c r="I68" s="22" t="s">
        <v>77</v>
      </c>
      <c r="J68" s="95" t="s">
        <v>54</v>
      </c>
      <c r="K68" s="96"/>
      <c r="L68" s="96"/>
      <c r="M68" s="96"/>
      <c r="N68" s="97"/>
      <c r="O68" s="61" t="s">
        <v>81</v>
      </c>
      <c r="P68" s="60" t="s">
        <v>85</v>
      </c>
      <c r="Q68" s="22" t="s">
        <v>102</v>
      </c>
      <c r="R68" s="22" t="s">
        <v>76</v>
      </c>
      <c r="S68" s="22" t="s">
        <v>77</v>
      </c>
    </row>
    <row r="69" spans="1:19" ht="18" customHeight="1" x14ac:dyDescent="0.2">
      <c r="A69" s="3"/>
      <c r="B69" s="99" t="s">
        <v>135</v>
      </c>
      <c r="C69" s="100"/>
      <c r="D69" s="101"/>
      <c r="E69" s="23">
        <v>2</v>
      </c>
      <c r="F69" s="23" t="s">
        <v>136</v>
      </c>
      <c r="G69" s="23" t="s">
        <v>136</v>
      </c>
      <c r="H69" s="23" t="s">
        <v>136</v>
      </c>
      <c r="I69" s="23" t="s">
        <v>136</v>
      </c>
      <c r="J69" s="99"/>
      <c r="K69" s="100"/>
      <c r="L69" s="100"/>
      <c r="M69" s="100"/>
      <c r="N69" s="101"/>
      <c r="O69" s="23"/>
      <c r="P69" s="23"/>
      <c r="Q69" s="23"/>
      <c r="R69" s="23"/>
      <c r="S69" s="23"/>
    </row>
    <row r="70" spans="1:19" ht="18" customHeight="1" x14ac:dyDescent="0.2">
      <c r="A70" s="3"/>
      <c r="B70" s="89"/>
      <c r="C70" s="90"/>
      <c r="D70" s="90"/>
      <c r="E70" s="24"/>
      <c r="F70" s="24"/>
      <c r="G70" s="24"/>
      <c r="H70" s="24"/>
      <c r="I70" s="24"/>
      <c r="J70" s="89"/>
      <c r="K70" s="90"/>
      <c r="L70" s="90"/>
      <c r="M70" s="90"/>
      <c r="N70" s="91"/>
      <c r="O70" s="24"/>
      <c r="P70" s="24"/>
      <c r="Q70" s="24"/>
      <c r="R70" s="24"/>
      <c r="S70" s="24"/>
    </row>
    <row r="71" spans="1:19" ht="18" customHeight="1" x14ac:dyDescent="0.2">
      <c r="A71" s="3"/>
      <c r="B71" s="89"/>
      <c r="C71" s="90"/>
      <c r="D71" s="90"/>
      <c r="E71" s="24"/>
      <c r="F71" s="24"/>
      <c r="G71" s="24"/>
      <c r="H71" s="24"/>
      <c r="I71" s="24"/>
      <c r="J71" s="89"/>
      <c r="K71" s="90"/>
      <c r="L71" s="90"/>
      <c r="M71" s="90"/>
      <c r="N71" s="91"/>
      <c r="O71" s="24"/>
      <c r="P71" s="24"/>
      <c r="Q71" s="24"/>
      <c r="R71" s="24"/>
      <c r="S71" s="24"/>
    </row>
    <row r="72" spans="1:19" ht="18" customHeight="1" x14ac:dyDescent="0.2">
      <c r="A72" s="3"/>
      <c r="B72" s="89"/>
      <c r="C72" s="90"/>
      <c r="D72" s="90"/>
      <c r="E72" s="24"/>
      <c r="F72" s="24"/>
      <c r="G72" s="24"/>
      <c r="H72" s="24"/>
      <c r="I72" s="24"/>
      <c r="J72" s="89"/>
      <c r="K72" s="90"/>
      <c r="L72" s="90"/>
      <c r="M72" s="90"/>
      <c r="N72" s="91"/>
      <c r="O72" s="24"/>
      <c r="P72" s="24"/>
      <c r="Q72" s="24"/>
      <c r="R72" s="24"/>
      <c r="S72" s="24"/>
    </row>
    <row r="73" spans="1:19" ht="18" customHeight="1" x14ac:dyDescent="0.2">
      <c r="A73" s="3"/>
      <c r="B73" s="89"/>
      <c r="C73" s="90"/>
      <c r="D73" s="90"/>
      <c r="E73" s="24"/>
      <c r="F73" s="24"/>
      <c r="G73" s="24"/>
      <c r="H73" s="24"/>
      <c r="I73" s="24"/>
      <c r="J73" s="89"/>
      <c r="K73" s="90"/>
      <c r="L73" s="90"/>
      <c r="M73" s="90"/>
      <c r="N73" s="91"/>
      <c r="O73" s="24"/>
      <c r="P73" s="24"/>
      <c r="Q73" s="24"/>
      <c r="R73" s="24"/>
      <c r="S73" s="24"/>
    </row>
    <row r="74" spans="1:19" ht="18" customHeight="1" x14ac:dyDescent="0.2">
      <c r="A74" s="3"/>
      <c r="B74" s="89"/>
      <c r="C74" s="90"/>
      <c r="D74" s="90"/>
      <c r="E74" s="24"/>
      <c r="F74" s="24"/>
      <c r="G74" s="24"/>
      <c r="H74" s="24"/>
      <c r="I74" s="24"/>
      <c r="J74" s="89"/>
      <c r="K74" s="90"/>
      <c r="L74" s="90"/>
      <c r="M74" s="90"/>
      <c r="N74" s="91"/>
      <c r="O74" s="24"/>
      <c r="P74" s="24"/>
      <c r="Q74" s="24"/>
      <c r="R74" s="24"/>
      <c r="S74" s="24"/>
    </row>
    <row r="75" spans="1:19" ht="18" customHeight="1" x14ac:dyDescent="0.2">
      <c r="A75" s="3"/>
      <c r="B75" s="92"/>
      <c r="C75" s="93"/>
      <c r="D75" s="93"/>
      <c r="E75" s="25"/>
      <c r="F75" s="25"/>
      <c r="G75" s="26"/>
      <c r="H75" s="26"/>
      <c r="I75" s="26"/>
      <c r="J75" s="92"/>
      <c r="K75" s="93"/>
      <c r="L75" s="93"/>
      <c r="M75" s="93"/>
      <c r="N75" s="94"/>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95" t="s">
        <v>54</v>
      </c>
      <c r="C78" s="96"/>
      <c r="D78" s="96"/>
      <c r="E78" s="97"/>
      <c r="F78" s="95" t="s">
        <v>83</v>
      </c>
      <c r="G78" s="96"/>
      <c r="H78" s="96"/>
      <c r="I78" s="97"/>
      <c r="J78" s="141" t="s">
        <v>54</v>
      </c>
      <c r="K78" s="142"/>
      <c r="L78" s="142"/>
      <c r="M78" s="142"/>
      <c r="N78" s="142"/>
      <c r="O78" s="143"/>
      <c r="P78" s="95" t="s">
        <v>83</v>
      </c>
      <c r="Q78" s="96"/>
      <c r="R78" s="96"/>
      <c r="S78" s="97"/>
    </row>
    <row r="79" spans="1:19" ht="18" customHeight="1" x14ac:dyDescent="0.2">
      <c r="A79" s="3"/>
      <c r="B79" s="99" t="s">
        <v>135</v>
      </c>
      <c r="C79" s="100"/>
      <c r="D79" s="100"/>
      <c r="E79" s="101"/>
      <c r="F79" s="156" t="s">
        <v>138</v>
      </c>
      <c r="G79" s="157"/>
      <c r="H79" s="157"/>
      <c r="I79" s="158"/>
      <c r="J79" s="99"/>
      <c r="K79" s="100"/>
      <c r="L79" s="100"/>
      <c r="M79" s="100"/>
      <c r="N79" s="100"/>
      <c r="O79" s="101"/>
      <c r="P79" s="156"/>
      <c r="Q79" s="157"/>
      <c r="R79" s="157"/>
      <c r="S79" s="158"/>
    </row>
    <row r="80" spans="1:19" ht="18" customHeight="1" x14ac:dyDescent="0.2">
      <c r="A80" s="3"/>
      <c r="B80" s="89" t="s">
        <v>135</v>
      </c>
      <c r="C80" s="90"/>
      <c r="D80" s="90"/>
      <c r="E80" s="91"/>
      <c r="F80" s="125" t="s">
        <v>139</v>
      </c>
      <c r="G80" s="126"/>
      <c r="H80" s="126"/>
      <c r="I80" s="127"/>
      <c r="J80" s="89"/>
      <c r="K80" s="90"/>
      <c r="L80" s="90"/>
      <c r="M80" s="90"/>
      <c r="N80" s="90"/>
      <c r="O80" s="91"/>
      <c r="P80" s="125"/>
      <c r="Q80" s="126"/>
      <c r="R80" s="126"/>
      <c r="S80" s="127"/>
    </row>
    <row r="81" spans="1:19" ht="18" customHeight="1" x14ac:dyDescent="0.2">
      <c r="A81" s="3"/>
      <c r="B81" s="89" t="s">
        <v>135</v>
      </c>
      <c r="C81" s="90"/>
      <c r="D81" s="90"/>
      <c r="E81" s="91"/>
      <c r="F81" s="125" t="s">
        <v>140</v>
      </c>
      <c r="G81" s="126"/>
      <c r="H81" s="126"/>
      <c r="I81" s="127"/>
      <c r="J81" s="89"/>
      <c r="K81" s="90"/>
      <c r="L81" s="90"/>
      <c r="M81" s="90"/>
      <c r="N81" s="90"/>
      <c r="O81" s="91"/>
      <c r="P81" s="125"/>
      <c r="Q81" s="126"/>
      <c r="R81" s="126"/>
      <c r="S81" s="127"/>
    </row>
    <row r="82" spans="1:19" ht="18" customHeight="1" x14ac:dyDescent="0.2">
      <c r="A82" s="3"/>
      <c r="B82" s="89" t="s">
        <v>135</v>
      </c>
      <c r="C82" s="90"/>
      <c r="D82" s="90"/>
      <c r="E82" s="91"/>
      <c r="F82" s="125" t="s">
        <v>141</v>
      </c>
      <c r="G82" s="126"/>
      <c r="H82" s="126"/>
      <c r="I82" s="127"/>
      <c r="J82" s="89"/>
      <c r="K82" s="90"/>
      <c r="L82" s="90"/>
      <c r="M82" s="90"/>
      <c r="N82" s="90"/>
      <c r="O82" s="91"/>
      <c r="P82" s="125"/>
      <c r="Q82" s="126"/>
      <c r="R82" s="126"/>
      <c r="S82" s="127"/>
    </row>
    <row r="83" spans="1:19" ht="18" customHeight="1" x14ac:dyDescent="0.2">
      <c r="A83" s="3"/>
      <c r="B83" s="89" t="s">
        <v>135</v>
      </c>
      <c r="C83" s="90"/>
      <c r="D83" s="90"/>
      <c r="E83" s="91"/>
      <c r="F83" s="125" t="s">
        <v>142</v>
      </c>
      <c r="G83" s="126"/>
      <c r="H83" s="126"/>
      <c r="I83" s="127"/>
      <c r="J83" s="89"/>
      <c r="K83" s="90"/>
      <c r="L83" s="90"/>
      <c r="M83" s="90"/>
      <c r="N83" s="90"/>
      <c r="O83" s="91"/>
      <c r="P83" s="125"/>
      <c r="Q83" s="126"/>
      <c r="R83" s="126"/>
      <c r="S83" s="127"/>
    </row>
    <row r="84" spans="1:19" ht="18" customHeight="1" x14ac:dyDescent="0.2">
      <c r="A84" s="3"/>
      <c r="B84" s="89"/>
      <c r="C84" s="90"/>
      <c r="D84" s="90"/>
      <c r="E84" s="91"/>
      <c r="F84" s="125"/>
      <c r="G84" s="126"/>
      <c r="H84" s="126"/>
      <c r="I84" s="127"/>
      <c r="J84" s="89"/>
      <c r="K84" s="90"/>
      <c r="L84" s="90"/>
      <c r="M84" s="90"/>
      <c r="N84" s="90"/>
      <c r="O84" s="91"/>
      <c r="P84" s="125"/>
      <c r="Q84" s="126"/>
      <c r="R84" s="126"/>
      <c r="S84" s="127"/>
    </row>
    <row r="85" spans="1:19" ht="18" customHeight="1" x14ac:dyDescent="0.2">
      <c r="A85" s="3"/>
      <c r="B85" s="92"/>
      <c r="C85" s="93"/>
      <c r="D85" s="93"/>
      <c r="E85" s="94"/>
      <c r="F85" s="122"/>
      <c r="G85" s="123"/>
      <c r="H85" s="123"/>
      <c r="I85" s="124"/>
      <c r="J85" s="92"/>
      <c r="K85" s="93"/>
      <c r="L85" s="93"/>
      <c r="M85" s="93"/>
      <c r="N85" s="93"/>
      <c r="O85" s="94"/>
      <c r="P85" s="122"/>
      <c r="Q85" s="123"/>
      <c r="R85" s="123"/>
      <c r="S85" s="124"/>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54" t="s">
        <v>55</v>
      </c>
      <c r="C88" s="155"/>
      <c r="D88" s="96" t="s">
        <v>56</v>
      </c>
      <c r="E88" s="96"/>
      <c r="F88" s="96"/>
      <c r="G88" s="96"/>
      <c r="H88" s="96"/>
      <c r="I88" s="96"/>
      <c r="J88" s="96"/>
      <c r="K88" s="96"/>
      <c r="L88" s="96"/>
      <c r="M88" s="96"/>
      <c r="N88" s="96"/>
      <c r="O88" s="96"/>
      <c r="P88" s="96"/>
      <c r="Q88" s="96"/>
      <c r="R88" s="96"/>
      <c r="S88" s="97"/>
    </row>
    <row r="89" spans="1:19" ht="97.5" customHeight="1" x14ac:dyDescent="0.2">
      <c r="B89" s="144" t="s">
        <v>62</v>
      </c>
      <c r="C89" s="28" t="s">
        <v>57</v>
      </c>
      <c r="D89" s="151" t="s">
        <v>156</v>
      </c>
      <c r="E89" s="152"/>
      <c r="F89" s="152"/>
      <c r="G89" s="152"/>
      <c r="H89" s="152"/>
      <c r="I89" s="152"/>
      <c r="J89" s="152"/>
      <c r="K89" s="152"/>
      <c r="L89" s="152"/>
      <c r="M89" s="152"/>
      <c r="N89" s="152"/>
      <c r="O89" s="152"/>
      <c r="P89" s="152"/>
      <c r="Q89" s="152"/>
      <c r="R89" s="152"/>
      <c r="S89" s="153"/>
    </row>
    <row r="90" spans="1:19" ht="97.5" customHeight="1" x14ac:dyDescent="0.2">
      <c r="B90" s="146"/>
      <c r="C90" s="29" t="s">
        <v>78</v>
      </c>
      <c r="D90" s="128" t="s">
        <v>160</v>
      </c>
      <c r="E90" s="129"/>
      <c r="F90" s="129"/>
      <c r="G90" s="129"/>
      <c r="H90" s="129"/>
      <c r="I90" s="129"/>
      <c r="J90" s="129"/>
      <c r="K90" s="129"/>
      <c r="L90" s="129"/>
      <c r="M90" s="129"/>
      <c r="N90" s="129"/>
      <c r="O90" s="129"/>
      <c r="P90" s="129"/>
      <c r="Q90" s="129"/>
      <c r="R90" s="129"/>
      <c r="S90" s="130"/>
    </row>
    <row r="91" spans="1:19" ht="97.5" customHeight="1" x14ac:dyDescent="0.2">
      <c r="B91" s="144" t="s">
        <v>63</v>
      </c>
      <c r="C91" s="30" t="s">
        <v>72</v>
      </c>
      <c r="D91" s="131" t="s">
        <v>163</v>
      </c>
      <c r="E91" s="132"/>
      <c r="F91" s="132"/>
      <c r="G91" s="132"/>
      <c r="H91" s="132"/>
      <c r="I91" s="132"/>
      <c r="J91" s="132"/>
      <c r="K91" s="132"/>
      <c r="L91" s="132"/>
      <c r="M91" s="132"/>
      <c r="N91" s="132"/>
      <c r="O91" s="132"/>
      <c r="P91" s="132"/>
      <c r="Q91" s="132"/>
      <c r="R91" s="132"/>
      <c r="S91" s="133"/>
    </row>
    <row r="92" spans="1:19" ht="97.5" customHeight="1" x14ac:dyDescent="0.2">
      <c r="B92" s="145"/>
      <c r="C92" s="31" t="s">
        <v>73</v>
      </c>
      <c r="D92" s="137" t="s">
        <v>157</v>
      </c>
      <c r="E92" s="138"/>
      <c r="F92" s="138"/>
      <c r="G92" s="138"/>
      <c r="H92" s="138"/>
      <c r="I92" s="138"/>
      <c r="J92" s="138"/>
      <c r="K92" s="138"/>
      <c r="L92" s="138"/>
      <c r="M92" s="138"/>
      <c r="N92" s="138"/>
      <c r="O92" s="138"/>
      <c r="P92" s="138"/>
      <c r="Q92" s="138"/>
      <c r="R92" s="138"/>
      <c r="S92" s="139"/>
    </row>
    <row r="93" spans="1:19" ht="97.5" customHeight="1" x14ac:dyDescent="0.2">
      <c r="B93" s="144" t="s">
        <v>64</v>
      </c>
      <c r="C93" s="30" t="s">
        <v>74</v>
      </c>
      <c r="D93" s="131" t="s">
        <v>158</v>
      </c>
      <c r="E93" s="132"/>
      <c r="F93" s="132"/>
      <c r="G93" s="132"/>
      <c r="H93" s="132"/>
      <c r="I93" s="132"/>
      <c r="J93" s="132"/>
      <c r="K93" s="132"/>
      <c r="L93" s="132"/>
      <c r="M93" s="132"/>
      <c r="N93" s="132"/>
      <c r="O93" s="132"/>
      <c r="P93" s="132"/>
      <c r="Q93" s="132"/>
      <c r="R93" s="132"/>
      <c r="S93" s="133"/>
    </row>
    <row r="94" spans="1:19" ht="97.5" customHeight="1" x14ac:dyDescent="0.2">
      <c r="B94" s="145"/>
      <c r="C94" s="32" t="s">
        <v>75</v>
      </c>
      <c r="D94" s="134" t="s">
        <v>159</v>
      </c>
      <c r="E94" s="135"/>
      <c r="F94" s="135"/>
      <c r="G94" s="135"/>
      <c r="H94" s="135"/>
      <c r="I94" s="135"/>
      <c r="J94" s="135"/>
      <c r="K94" s="135"/>
      <c r="L94" s="135"/>
      <c r="M94" s="135"/>
      <c r="N94" s="135"/>
      <c r="O94" s="135"/>
      <c r="P94" s="135"/>
      <c r="Q94" s="135"/>
      <c r="R94" s="135"/>
      <c r="S94" s="136"/>
    </row>
    <row r="95" spans="1:19" ht="97.5" customHeight="1" x14ac:dyDescent="0.2">
      <c r="B95" s="144" t="s">
        <v>79</v>
      </c>
      <c r="C95" s="28" t="s">
        <v>59</v>
      </c>
      <c r="D95" s="151" t="s">
        <v>162</v>
      </c>
      <c r="E95" s="152"/>
      <c r="F95" s="152"/>
      <c r="G95" s="152"/>
      <c r="H95" s="152"/>
      <c r="I95" s="152"/>
      <c r="J95" s="152"/>
      <c r="K95" s="152"/>
      <c r="L95" s="152"/>
      <c r="M95" s="152"/>
      <c r="N95" s="152"/>
      <c r="O95" s="152"/>
      <c r="P95" s="152"/>
      <c r="Q95" s="152"/>
      <c r="R95" s="152"/>
      <c r="S95" s="153"/>
    </row>
    <row r="96" spans="1:19" ht="97.5" customHeight="1" x14ac:dyDescent="0.2">
      <c r="B96" s="145"/>
      <c r="C96" s="31" t="s">
        <v>61</v>
      </c>
      <c r="D96" s="137" t="s">
        <v>161</v>
      </c>
      <c r="E96" s="138"/>
      <c r="F96" s="138"/>
      <c r="G96" s="138"/>
      <c r="H96" s="138"/>
      <c r="I96" s="138"/>
      <c r="J96" s="138"/>
      <c r="K96" s="138"/>
      <c r="L96" s="138"/>
      <c r="M96" s="138"/>
      <c r="N96" s="138"/>
      <c r="O96" s="138"/>
      <c r="P96" s="138"/>
      <c r="Q96" s="138"/>
      <c r="R96" s="138"/>
      <c r="S96" s="139"/>
    </row>
    <row r="97" spans="1:19" ht="97.5" customHeight="1" x14ac:dyDescent="0.2">
      <c r="B97" s="144" t="s">
        <v>80</v>
      </c>
      <c r="C97" s="30" t="s">
        <v>58</v>
      </c>
      <c r="D97" s="147" t="s">
        <v>165</v>
      </c>
      <c r="E97" s="100"/>
      <c r="F97" s="100"/>
      <c r="G97" s="100"/>
      <c r="H97" s="100"/>
      <c r="I97" s="100"/>
      <c r="J97" s="100"/>
      <c r="K97" s="100"/>
      <c r="L97" s="100"/>
      <c r="M97" s="100"/>
      <c r="N97" s="100"/>
      <c r="O97" s="100"/>
      <c r="P97" s="100"/>
      <c r="Q97" s="100"/>
      <c r="R97" s="100"/>
      <c r="S97" s="101"/>
    </row>
    <row r="98" spans="1:19" ht="97.5" customHeight="1" x14ac:dyDescent="0.2">
      <c r="B98" s="146"/>
      <c r="C98" s="33" t="s">
        <v>76</v>
      </c>
      <c r="D98" s="140" t="s">
        <v>164</v>
      </c>
      <c r="E98" s="90"/>
      <c r="F98" s="90"/>
      <c r="G98" s="90"/>
      <c r="H98" s="90"/>
      <c r="I98" s="90"/>
      <c r="J98" s="90"/>
      <c r="K98" s="90"/>
      <c r="L98" s="90"/>
      <c r="M98" s="90"/>
      <c r="N98" s="90"/>
      <c r="O98" s="90"/>
      <c r="P98" s="90"/>
      <c r="Q98" s="90"/>
      <c r="R98" s="90"/>
      <c r="S98" s="91"/>
    </row>
    <row r="99" spans="1:19" ht="97.5" customHeight="1" x14ac:dyDescent="0.2">
      <c r="B99" s="145"/>
      <c r="C99" s="32" t="s">
        <v>77</v>
      </c>
      <c r="D99" s="148" t="s">
        <v>166</v>
      </c>
      <c r="E99" s="149"/>
      <c r="F99" s="149"/>
      <c r="G99" s="149"/>
      <c r="H99" s="149"/>
      <c r="I99" s="149"/>
      <c r="J99" s="149"/>
      <c r="K99" s="149"/>
      <c r="L99" s="149"/>
      <c r="M99" s="149"/>
      <c r="N99" s="149"/>
      <c r="O99" s="149"/>
      <c r="P99" s="149"/>
      <c r="Q99" s="149"/>
      <c r="R99" s="149"/>
      <c r="S99" s="150"/>
    </row>
    <row r="100" spans="1:19" ht="6" customHeight="1" x14ac:dyDescent="0.2"/>
    <row r="101" spans="1:19" ht="18.75" customHeight="1" x14ac:dyDescent="0.2">
      <c r="A101" s="1" t="s">
        <v>121</v>
      </c>
    </row>
    <row r="102" spans="1:19" ht="81.75" customHeight="1" x14ac:dyDescent="0.2">
      <c r="B102" s="119" t="s">
        <v>137</v>
      </c>
      <c r="C102" s="120"/>
      <c r="D102" s="120"/>
      <c r="E102" s="120"/>
      <c r="F102" s="120"/>
      <c r="G102" s="120"/>
      <c r="H102" s="120"/>
      <c r="I102" s="120"/>
      <c r="J102" s="120"/>
      <c r="K102" s="120"/>
      <c r="L102" s="120"/>
      <c r="M102" s="120"/>
      <c r="N102" s="120"/>
      <c r="O102" s="120"/>
      <c r="P102" s="120"/>
      <c r="Q102" s="120"/>
      <c r="R102" s="120"/>
      <c r="S102" s="121"/>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62" t="str">
        <f>'様式１　プログラムを構成する授業科目'!C2</f>
        <v>青山学院大学</v>
      </c>
      <c r="AN2" s="162"/>
      <c r="AO2" s="162"/>
      <c r="AP2" s="162"/>
      <c r="AQ2" s="162"/>
    </row>
    <row r="3" spans="1:45" ht="18" customHeight="1" x14ac:dyDescent="0.2">
      <c r="A3" s="106" t="s">
        <v>48</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63" t="s">
        <v>153</v>
      </c>
      <c r="D5" s="164"/>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65" t="s">
        <v>45</v>
      </c>
      <c r="C9" s="180" t="s">
        <v>87</v>
      </c>
      <c r="D9" s="168" t="s">
        <v>47</v>
      </c>
      <c r="E9" s="171" t="s">
        <v>40</v>
      </c>
      <c r="F9" s="161" t="s">
        <v>86</v>
      </c>
      <c r="G9" s="161"/>
      <c r="H9" s="161"/>
      <c r="I9" s="161"/>
      <c r="J9" s="161"/>
      <c r="K9" s="161"/>
      <c r="L9" s="161" t="s">
        <v>49</v>
      </c>
      <c r="M9" s="161"/>
      <c r="N9" s="161"/>
      <c r="O9" s="161"/>
      <c r="P9" s="161"/>
      <c r="Q9" s="161"/>
      <c r="R9" s="161" t="s">
        <v>50</v>
      </c>
      <c r="S9" s="161"/>
      <c r="T9" s="161"/>
      <c r="U9" s="161"/>
      <c r="V9" s="161"/>
      <c r="W9" s="161"/>
      <c r="X9" s="161" t="s">
        <v>101</v>
      </c>
      <c r="Y9" s="161"/>
      <c r="Z9" s="161"/>
      <c r="AA9" s="161"/>
      <c r="AB9" s="161"/>
      <c r="AC9" s="161"/>
      <c r="AD9" s="161" t="s">
        <v>51</v>
      </c>
      <c r="AE9" s="161"/>
      <c r="AF9" s="161"/>
      <c r="AG9" s="161"/>
      <c r="AH9" s="161"/>
      <c r="AI9" s="161"/>
      <c r="AJ9" s="161" t="s">
        <v>52</v>
      </c>
      <c r="AK9" s="161"/>
      <c r="AL9" s="161"/>
      <c r="AM9" s="161"/>
      <c r="AN9" s="161"/>
      <c r="AO9" s="161"/>
      <c r="AP9" s="174" t="s">
        <v>35</v>
      </c>
      <c r="AQ9" s="177" t="s">
        <v>32</v>
      </c>
      <c r="AS9" s="2"/>
    </row>
    <row r="10" spans="1:45" ht="16.95" customHeight="1" x14ac:dyDescent="0.2">
      <c r="B10" s="166"/>
      <c r="C10" s="181"/>
      <c r="D10" s="169"/>
      <c r="E10" s="172"/>
      <c r="F10" s="159" t="s">
        <v>97</v>
      </c>
      <c r="G10" s="160"/>
      <c r="H10" s="160"/>
      <c r="I10" s="159" t="s">
        <v>29</v>
      </c>
      <c r="J10" s="160"/>
      <c r="K10" s="160"/>
      <c r="L10" s="159" t="s">
        <v>97</v>
      </c>
      <c r="M10" s="160"/>
      <c r="N10" s="160"/>
      <c r="O10" s="159" t="s">
        <v>29</v>
      </c>
      <c r="P10" s="160"/>
      <c r="Q10" s="160"/>
      <c r="R10" s="159" t="s">
        <v>97</v>
      </c>
      <c r="S10" s="160"/>
      <c r="T10" s="160"/>
      <c r="U10" s="159" t="s">
        <v>29</v>
      </c>
      <c r="V10" s="160"/>
      <c r="W10" s="160"/>
      <c r="X10" s="159" t="s">
        <v>97</v>
      </c>
      <c r="Y10" s="160"/>
      <c r="Z10" s="160"/>
      <c r="AA10" s="159" t="s">
        <v>29</v>
      </c>
      <c r="AB10" s="160"/>
      <c r="AC10" s="160"/>
      <c r="AD10" s="159" t="s">
        <v>97</v>
      </c>
      <c r="AE10" s="160"/>
      <c r="AF10" s="160"/>
      <c r="AG10" s="159" t="s">
        <v>29</v>
      </c>
      <c r="AH10" s="160"/>
      <c r="AI10" s="160"/>
      <c r="AJ10" s="159" t="s">
        <v>97</v>
      </c>
      <c r="AK10" s="160"/>
      <c r="AL10" s="160"/>
      <c r="AM10" s="159" t="s">
        <v>29</v>
      </c>
      <c r="AN10" s="160"/>
      <c r="AO10" s="160"/>
      <c r="AP10" s="175"/>
      <c r="AQ10" s="178"/>
      <c r="AS10" s="2"/>
    </row>
    <row r="11" spans="1:45" ht="18" customHeight="1" x14ac:dyDescent="0.2">
      <c r="B11" s="167"/>
      <c r="C11" s="182"/>
      <c r="D11" s="170"/>
      <c r="E11" s="173"/>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6"/>
      <c r="AQ11" s="179"/>
      <c r="AS11" s="2"/>
    </row>
    <row r="12" spans="1:45" ht="18" customHeight="1" x14ac:dyDescent="0.2">
      <c r="A12" s="6"/>
      <c r="B12" s="11" t="s">
        <v>143</v>
      </c>
      <c r="C12" s="62">
        <v>3180</v>
      </c>
      <c r="D12" s="63">
        <v>740</v>
      </c>
      <c r="E12" s="64">
        <v>2960</v>
      </c>
      <c r="F12" s="64">
        <v>104</v>
      </c>
      <c r="G12" s="65">
        <v>44</v>
      </c>
      <c r="H12" s="66">
        <v>60</v>
      </c>
      <c r="I12" s="64">
        <v>62</v>
      </c>
      <c r="J12" s="65">
        <v>21</v>
      </c>
      <c r="K12" s="66">
        <v>41</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104</v>
      </c>
      <c r="AQ12" s="21">
        <f t="shared" ref="AQ12:AQ32" si="0">AP12/E12</f>
        <v>3.5135135135135137E-2</v>
      </c>
    </row>
    <row r="13" spans="1:45" ht="18" customHeight="1" x14ac:dyDescent="0.2">
      <c r="A13" s="6"/>
      <c r="B13" s="12" t="s">
        <v>144</v>
      </c>
      <c r="C13" s="67">
        <v>2330</v>
      </c>
      <c r="D13" s="68">
        <v>539</v>
      </c>
      <c r="E13" s="69">
        <v>2156</v>
      </c>
      <c r="F13" s="70">
        <v>159</v>
      </c>
      <c r="G13" s="71">
        <v>117</v>
      </c>
      <c r="H13" s="72">
        <v>42</v>
      </c>
      <c r="I13" s="70">
        <v>119</v>
      </c>
      <c r="J13" s="71">
        <v>81</v>
      </c>
      <c r="K13" s="72">
        <v>38</v>
      </c>
      <c r="L13" s="70">
        <f t="shared" ref="L13:L31" si="1">M13+N13</f>
        <v>0</v>
      </c>
      <c r="M13" s="71"/>
      <c r="N13" s="72"/>
      <c r="O13" s="70">
        <f t="shared" ref="O13:O31" si="2">P13+Q13</f>
        <v>0</v>
      </c>
      <c r="P13" s="71"/>
      <c r="Q13" s="72"/>
      <c r="R13" s="70">
        <f t="shared" ref="R13:R31" si="3">S13+T13</f>
        <v>0</v>
      </c>
      <c r="S13" s="71"/>
      <c r="T13" s="72"/>
      <c r="U13" s="70">
        <f t="shared" ref="U13:U31" si="4">V13+W13</f>
        <v>0</v>
      </c>
      <c r="V13" s="71"/>
      <c r="W13" s="72"/>
      <c r="X13" s="70">
        <f t="shared" ref="X13:X31" si="5">Y13+Z13</f>
        <v>0</v>
      </c>
      <c r="Y13" s="71"/>
      <c r="Z13" s="72"/>
      <c r="AA13" s="70">
        <f t="shared" ref="AA13:AA31" si="6">AB13+AC13</f>
        <v>0</v>
      </c>
      <c r="AB13" s="71"/>
      <c r="AC13" s="72"/>
      <c r="AD13" s="70">
        <f t="shared" ref="AD13:AD31" si="7">AE13+AF13</f>
        <v>0</v>
      </c>
      <c r="AE13" s="71"/>
      <c r="AF13" s="72"/>
      <c r="AG13" s="70">
        <f t="shared" ref="AG13:AG31" si="8">AH13+AI13</f>
        <v>0</v>
      </c>
      <c r="AH13" s="71"/>
      <c r="AI13" s="72"/>
      <c r="AJ13" s="70">
        <f t="shared" ref="AJ13:AJ31" si="9">AK13+AL13</f>
        <v>0</v>
      </c>
      <c r="AK13" s="71"/>
      <c r="AL13" s="72"/>
      <c r="AM13" s="70">
        <f t="shared" ref="AM13:AM31" si="10">AN13+AO13</f>
        <v>0</v>
      </c>
      <c r="AN13" s="71"/>
      <c r="AO13" s="72"/>
      <c r="AP13" s="68">
        <f t="shared" ref="AP13:AP31" si="11">F13+L13+R13+X13+AD13+AJ13</f>
        <v>159</v>
      </c>
      <c r="AQ13" s="20">
        <f t="shared" si="0"/>
        <v>7.3747680890538028E-2</v>
      </c>
    </row>
    <row r="14" spans="1:45" ht="18" customHeight="1" x14ac:dyDescent="0.2">
      <c r="A14" s="6"/>
      <c r="B14" s="12" t="s">
        <v>145</v>
      </c>
      <c r="C14" s="67">
        <v>2135</v>
      </c>
      <c r="D14" s="68">
        <v>500</v>
      </c>
      <c r="E14" s="69">
        <v>2000</v>
      </c>
      <c r="F14" s="70">
        <v>84</v>
      </c>
      <c r="G14" s="71">
        <v>47</v>
      </c>
      <c r="H14" s="72">
        <v>37</v>
      </c>
      <c r="I14" s="70">
        <v>62</v>
      </c>
      <c r="J14" s="71">
        <v>34</v>
      </c>
      <c r="K14" s="72">
        <v>28</v>
      </c>
      <c r="L14" s="70">
        <f t="shared" si="1"/>
        <v>0</v>
      </c>
      <c r="M14" s="71"/>
      <c r="N14" s="72"/>
      <c r="O14" s="70">
        <f t="shared" si="2"/>
        <v>0</v>
      </c>
      <c r="P14" s="71"/>
      <c r="Q14" s="72"/>
      <c r="R14" s="70">
        <f t="shared" si="3"/>
        <v>0</v>
      </c>
      <c r="S14" s="71"/>
      <c r="T14" s="72"/>
      <c r="U14" s="70">
        <f t="shared" si="4"/>
        <v>0</v>
      </c>
      <c r="V14" s="71"/>
      <c r="W14" s="72"/>
      <c r="X14" s="70">
        <f t="shared" si="5"/>
        <v>0</v>
      </c>
      <c r="Y14" s="71"/>
      <c r="Z14" s="72"/>
      <c r="AA14" s="70">
        <f t="shared" si="6"/>
        <v>0</v>
      </c>
      <c r="AB14" s="71"/>
      <c r="AC14" s="72"/>
      <c r="AD14" s="70">
        <f t="shared" si="7"/>
        <v>0</v>
      </c>
      <c r="AE14" s="71"/>
      <c r="AF14" s="72"/>
      <c r="AG14" s="70">
        <f t="shared" si="8"/>
        <v>0</v>
      </c>
      <c r="AH14" s="71"/>
      <c r="AI14" s="72"/>
      <c r="AJ14" s="70">
        <f t="shared" si="9"/>
        <v>0</v>
      </c>
      <c r="AK14" s="71"/>
      <c r="AL14" s="72"/>
      <c r="AM14" s="70">
        <f t="shared" si="10"/>
        <v>0</v>
      </c>
      <c r="AN14" s="71"/>
      <c r="AO14" s="72"/>
      <c r="AP14" s="68">
        <f t="shared" si="11"/>
        <v>84</v>
      </c>
      <c r="AQ14" s="8">
        <f t="shared" si="0"/>
        <v>4.2000000000000003E-2</v>
      </c>
    </row>
    <row r="15" spans="1:45" ht="18" customHeight="1" x14ac:dyDescent="0.2">
      <c r="A15" s="6"/>
      <c r="B15" s="12" t="s">
        <v>146</v>
      </c>
      <c r="C15" s="67">
        <v>2245</v>
      </c>
      <c r="D15" s="68">
        <v>520</v>
      </c>
      <c r="E15" s="69">
        <v>2080</v>
      </c>
      <c r="F15" s="70">
        <v>129</v>
      </c>
      <c r="G15" s="71">
        <v>84</v>
      </c>
      <c r="H15" s="72">
        <v>45</v>
      </c>
      <c r="I15" s="70">
        <v>111</v>
      </c>
      <c r="J15" s="71">
        <v>69</v>
      </c>
      <c r="K15" s="72">
        <v>42</v>
      </c>
      <c r="L15" s="70">
        <f t="shared" si="1"/>
        <v>0</v>
      </c>
      <c r="M15" s="71"/>
      <c r="N15" s="72"/>
      <c r="O15" s="70">
        <f t="shared" si="2"/>
        <v>0</v>
      </c>
      <c r="P15" s="71"/>
      <c r="Q15" s="72"/>
      <c r="R15" s="70">
        <f t="shared" si="3"/>
        <v>0</v>
      </c>
      <c r="S15" s="71"/>
      <c r="T15" s="72"/>
      <c r="U15" s="70">
        <f t="shared" si="4"/>
        <v>0</v>
      </c>
      <c r="V15" s="71"/>
      <c r="W15" s="72"/>
      <c r="X15" s="70">
        <f t="shared" si="5"/>
        <v>0</v>
      </c>
      <c r="Y15" s="71"/>
      <c r="Z15" s="72"/>
      <c r="AA15" s="70">
        <f t="shared" si="6"/>
        <v>0</v>
      </c>
      <c r="AB15" s="71"/>
      <c r="AC15" s="72"/>
      <c r="AD15" s="70">
        <f t="shared" si="7"/>
        <v>0</v>
      </c>
      <c r="AE15" s="71"/>
      <c r="AF15" s="72"/>
      <c r="AG15" s="70">
        <f t="shared" si="8"/>
        <v>0</v>
      </c>
      <c r="AH15" s="71"/>
      <c r="AI15" s="72"/>
      <c r="AJ15" s="70">
        <f t="shared" si="9"/>
        <v>0</v>
      </c>
      <c r="AK15" s="71"/>
      <c r="AL15" s="72"/>
      <c r="AM15" s="70">
        <f t="shared" si="10"/>
        <v>0</v>
      </c>
      <c r="AN15" s="71"/>
      <c r="AO15" s="72"/>
      <c r="AP15" s="68">
        <f t="shared" si="11"/>
        <v>129</v>
      </c>
      <c r="AQ15" s="8">
        <f t="shared" si="0"/>
        <v>6.2019230769230771E-2</v>
      </c>
    </row>
    <row r="16" spans="1:45" ht="18" customHeight="1" x14ac:dyDescent="0.2">
      <c r="A16" s="6"/>
      <c r="B16" s="12" t="s">
        <v>147</v>
      </c>
      <c r="C16" s="67">
        <v>2771</v>
      </c>
      <c r="D16" s="68">
        <v>680</v>
      </c>
      <c r="E16" s="69">
        <v>2660</v>
      </c>
      <c r="F16" s="70">
        <v>25</v>
      </c>
      <c r="G16" s="71">
        <v>17</v>
      </c>
      <c r="H16" s="72">
        <v>8</v>
      </c>
      <c r="I16" s="70">
        <v>22</v>
      </c>
      <c r="J16" s="71">
        <v>14</v>
      </c>
      <c r="K16" s="72">
        <v>8</v>
      </c>
      <c r="L16" s="70">
        <f t="shared" si="1"/>
        <v>0</v>
      </c>
      <c r="M16" s="71"/>
      <c r="N16" s="72"/>
      <c r="O16" s="70">
        <f t="shared" si="2"/>
        <v>0</v>
      </c>
      <c r="P16" s="71"/>
      <c r="Q16" s="72"/>
      <c r="R16" s="70">
        <f t="shared" si="3"/>
        <v>0</v>
      </c>
      <c r="S16" s="71"/>
      <c r="T16" s="72"/>
      <c r="U16" s="70">
        <f t="shared" si="4"/>
        <v>0</v>
      </c>
      <c r="V16" s="71"/>
      <c r="W16" s="72"/>
      <c r="X16" s="70">
        <f t="shared" si="5"/>
        <v>0</v>
      </c>
      <c r="Y16" s="71"/>
      <c r="Z16" s="72"/>
      <c r="AA16" s="70">
        <f t="shared" si="6"/>
        <v>0</v>
      </c>
      <c r="AB16" s="71"/>
      <c r="AC16" s="72"/>
      <c r="AD16" s="70">
        <f t="shared" si="7"/>
        <v>0</v>
      </c>
      <c r="AE16" s="71"/>
      <c r="AF16" s="72"/>
      <c r="AG16" s="70">
        <f t="shared" si="8"/>
        <v>0</v>
      </c>
      <c r="AH16" s="71"/>
      <c r="AI16" s="72"/>
      <c r="AJ16" s="70">
        <f t="shared" si="9"/>
        <v>0</v>
      </c>
      <c r="AK16" s="71"/>
      <c r="AL16" s="72"/>
      <c r="AM16" s="70">
        <f t="shared" si="10"/>
        <v>0</v>
      </c>
      <c r="AN16" s="71"/>
      <c r="AO16" s="72"/>
      <c r="AP16" s="68">
        <f t="shared" si="11"/>
        <v>25</v>
      </c>
      <c r="AQ16" s="8">
        <f t="shared" si="0"/>
        <v>9.3984962406015032E-3</v>
      </c>
    </row>
    <row r="17" spans="1:43" ht="18" customHeight="1" x14ac:dyDescent="0.2">
      <c r="A17" s="6"/>
      <c r="B17" s="12" t="s">
        <v>148</v>
      </c>
      <c r="C17" s="67">
        <v>1299</v>
      </c>
      <c r="D17" s="68">
        <v>304</v>
      </c>
      <c r="E17" s="69">
        <v>1216</v>
      </c>
      <c r="F17" s="70">
        <v>33</v>
      </c>
      <c r="G17" s="71">
        <v>19</v>
      </c>
      <c r="H17" s="72">
        <v>14</v>
      </c>
      <c r="I17" s="70">
        <v>28</v>
      </c>
      <c r="J17" s="71">
        <v>16</v>
      </c>
      <c r="K17" s="72">
        <v>12</v>
      </c>
      <c r="L17" s="70">
        <f t="shared" si="1"/>
        <v>0</v>
      </c>
      <c r="M17" s="71"/>
      <c r="N17" s="72"/>
      <c r="O17" s="70">
        <f t="shared" si="2"/>
        <v>0</v>
      </c>
      <c r="P17" s="71"/>
      <c r="Q17" s="72"/>
      <c r="R17" s="70">
        <f t="shared" si="3"/>
        <v>0</v>
      </c>
      <c r="S17" s="71"/>
      <c r="T17" s="72"/>
      <c r="U17" s="70">
        <f t="shared" si="4"/>
        <v>0</v>
      </c>
      <c r="V17" s="71"/>
      <c r="W17" s="72"/>
      <c r="X17" s="70">
        <f t="shared" si="5"/>
        <v>0</v>
      </c>
      <c r="Y17" s="71"/>
      <c r="Z17" s="72"/>
      <c r="AA17" s="70">
        <f t="shared" si="6"/>
        <v>0</v>
      </c>
      <c r="AB17" s="71"/>
      <c r="AC17" s="72"/>
      <c r="AD17" s="70">
        <f t="shared" si="7"/>
        <v>0</v>
      </c>
      <c r="AE17" s="71"/>
      <c r="AF17" s="72"/>
      <c r="AG17" s="70">
        <f t="shared" si="8"/>
        <v>0</v>
      </c>
      <c r="AH17" s="71"/>
      <c r="AI17" s="72"/>
      <c r="AJ17" s="70">
        <f t="shared" si="9"/>
        <v>0</v>
      </c>
      <c r="AK17" s="71"/>
      <c r="AL17" s="72"/>
      <c r="AM17" s="70">
        <f t="shared" si="10"/>
        <v>0</v>
      </c>
      <c r="AN17" s="71"/>
      <c r="AO17" s="72"/>
      <c r="AP17" s="68">
        <f t="shared" si="11"/>
        <v>33</v>
      </c>
      <c r="AQ17" s="8">
        <f t="shared" si="0"/>
        <v>2.7138157894736843E-2</v>
      </c>
    </row>
    <row r="18" spans="1:43" ht="18" customHeight="1" x14ac:dyDescent="0.2">
      <c r="A18" s="6"/>
      <c r="B18" s="12" t="s">
        <v>149</v>
      </c>
      <c r="C18" s="67">
        <v>1082</v>
      </c>
      <c r="D18" s="68">
        <v>259</v>
      </c>
      <c r="E18" s="69">
        <v>1036</v>
      </c>
      <c r="F18" s="70">
        <v>47</v>
      </c>
      <c r="G18" s="71">
        <v>21</v>
      </c>
      <c r="H18" s="72">
        <v>26</v>
      </c>
      <c r="I18" s="70">
        <v>39</v>
      </c>
      <c r="J18" s="71">
        <v>16</v>
      </c>
      <c r="K18" s="72">
        <v>23</v>
      </c>
      <c r="L18" s="70">
        <f t="shared" si="1"/>
        <v>0</v>
      </c>
      <c r="M18" s="71"/>
      <c r="N18" s="72"/>
      <c r="O18" s="70">
        <f t="shared" si="2"/>
        <v>0</v>
      </c>
      <c r="P18" s="71"/>
      <c r="Q18" s="72"/>
      <c r="R18" s="70">
        <f t="shared" si="3"/>
        <v>0</v>
      </c>
      <c r="S18" s="71"/>
      <c r="T18" s="72"/>
      <c r="U18" s="70">
        <f t="shared" si="4"/>
        <v>0</v>
      </c>
      <c r="V18" s="71"/>
      <c r="W18" s="72"/>
      <c r="X18" s="70">
        <f t="shared" si="5"/>
        <v>0</v>
      </c>
      <c r="Y18" s="71"/>
      <c r="Z18" s="72"/>
      <c r="AA18" s="70">
        <f t="shared" si="6"/>
        <v>0</v>
      </c>
      <c r="AB18" s="71"/>
      <c r="AC18" s="72"/>
      <c r="AD18" s="70">
        <f t="shared" si="7"/>
        <v>0</v>
      </c>
      <c r="AE18" s="71"/>
      <c r="AF18" s="72"/>
      <c r="AG18" s="70">
        <f t="shared" si="8"/>
        <v>0</v>
      </c>
      <c r="AH18" s="71"/>
      <c r="AI18" s="72"/>
      <c r="AJ18" s="70">
        <f t="shared" si="9"/>
        <v>0</v>
      </c>
      <c r="AK18" s="71"/>
      <c r="AL18" s="72"/>
      <c r="AM18" s="70">
        <f t="shared" si="10"/>
        <v>0</v>
      </c>
      <c r="AN18" s="71"/>
      <c r="AO18" s="72"/>
      <c r="AP18" s="68">
        <f t="shared" si="11"/>
        <v>47</v>
      </c>
      <c r="AQ18" s="8">
        <f t="shared" si="0"/>
        <v>4.5366795366795366E-2</v>
      </c>
    </row>
    <row r="19" spans="1:43" ht="18" customHeight="1" x14ac:dyDescent="0.2">
      <c r="A19" s="6"/>
      <c r="B19" s="12" t="s">
        <v>150</v>
      </c>
      <c r="C19" s="67">
        <v>908</v>
      </c>
      <c r="D19" s="68">
        <v>220</v>
      </c>
      <c r="E19" s="69">
        <v>880</v>
      </c>
      <c r="F19" s="70">
        <v>9</v>
      </c>
      <c r="G19" s="71">
        <v>7</v>
      </c>
      <c r="H19" s="72">
        <v>2</v>
      </c>
      <c r="I19" s="70">
        <v>8</v>
      </c>
      <c r="J19" s="71">
        <v>6</v>
      </c>
      <c r="K19" s="72">
        <v>2</v>
      </c>
      <c r="L19" s="70">
        <f t="shared" si="1"/>
        <v>0</v>
      </c>
      <c r="M19" s="71"/>
      <c r="N19" s="72"/>
      <c r="O19" s="70">
        <f t="shared" si="2"/>
        <v>0</v>
      </c>
      <c r="P19" s="71"/>
      <c r="Q19" s="72"/>
      <c r="R19" s="70">
        <f t="shared" si="3"/>
        <v>0</v>
      </c>
      <c r="S19" s="71"/>
      <c r="T19" s="72"/>
      <c r="U19" s="70">
        <f t="shared" si="4"/>
        <v>0</v>
      </c>
      <c r="V19" s="71"/>
      <c r="W19" s="72"/>
      <c r="X19" s="70">
        <f t="shared" si="5"/>
        <v>0</v>
      </c>
      <c r="Y19" s="71"/>
      <c r="Z19" s="72"/>
      <c r="AA19" s="70">
        <f t="shared" si="6"/>
        <v>0</v>
      </c>
      <c r="AB19" s="71"/>
      <c r="AC19" s="72"/>
      <c r="AD19" s="70">
        <f t="shared" si="7"/>
        <v>0</v>
      </c>
      <c r="AE19" s="71"/>
      <c r="AF19" s="72"/>
      <c r="AG19" s="70">
        <f t="shared" si="8"/>
        <v>0</v>
      </c>
      <c r="AH19" s="71"/>
      <c r="AI19" s="72"/>
      <c r="AJ19" s="70">
        <f t="shared" si="9"/>
        <v>0</v>
      </c>
      <c r="AK19" s="71"/>
      <c r="AL19" s="72"/>
      <c r="AM19" s="70">
        <f t="shared" si="10"/>
        <v>0</v>
      </c>
      <c r="AN19" s="71"/>
      <c r="AO19" s="72"/>
      <c r="AP19" s="68">
        <f t="shared" si="11"/>
        <v>9</v>
      </c>
      <c r="AQ19" s="8">
        <f t="shared" si="0"/>
        <v>1.0227272727272727E-2</v>
      </c>
    </row>
    <row r="20" spans="1:43" ht="18" customHeight="1" x14ac:dyDescent="0.2">
      <c r="A20" s="6"/>
      <c r="B20" s="12" t="s">
        <v>151</v>
      </c>
      <c r="C20" s="67">
        <v>1255</v>
      </c>
      <c r="D20" s="68">
        <v>298</v>
      </c>
      <c r="E20" s="69">
        <v>1204</v>
      </c>
      <c r="F20" s="70">
        <v>42</v>
      </c>
      <c r="G20" s="71">
        <v>21</v>
      </c>
      <c r="H20" s="72">
        <v>21</v>
      </c>
      <c r="I20" s="70">
        <v>34</v>
      </c>
      <c r="J20" s="71">
        <v>17</v>
      </c>
      <c r="K20" s="72">
        <v>17</v>
      </c>
      <c r="L20" s="70">
        <f t="shared" si="1"/>
        <v>0</v>
      </c>
      <c r="M20" s="71"/>
      <c r="N20" s="72"/>
      <c r="O20" s="70">
        <f t="shared" si="2"/>
        <v>0</v>
      </c>
      <c r="P20" s="71"/>
      <c r="Q20" s="72"/>
      <c r="R20" s="70">
        <f t="shared" si="3"/>
        <v>0</v>
      </c>
      <c r="S20" s="71"/>
      <c r="T20" s="72"/>
      <c r="U20" s="70">
        <f t="shared" si="4"/>
        <v>0</v>
      </c>
      <c r="V20" s="71"/>
      <c r="W20" s="72"/>
      <c r="X20" s="70">
        <f t="shared" si="5"/>
        <v>0</v>
      </c>
      <c r="Y20" s="71"/>
      <c r="Z20" s="72"/>
      <c r="AA20" s="70">
        <f t="shared" si="6"/>
        <v>0</v>
      </c>
      <c r="AB20" s="71"/>
      <c r="AC20" s="72"/>
      <c r="AD20" s="70">
        <f t="shared" si="7"/>
        <v>0</v>
      </c>
      <c r="AE20" s="71"/>
      <c r="AF20" s="72"/>
      <c r="AG20" s="70">
        <f t="shared" si="8"/>
        <v>0</v>
      </c>
      <c r="AH20" s="71"/>
      <c r="AI20" s="72"/>
      <c r="AJ20" s="70">
        <f t="shared" si="9"/>
        <v>0</v>
      </c>
      <c r="AK20" s="71"/>
      <c r="AL20" s="72"/>
      <c r="AM20" s="70">
        <f t="shared" si="10"/>
        <v>0</v>
      </c>
      <c r="AN20" s="71"/>
      <c r="AO20" s="72"/>
      <c r="AP20" s="68">
        <f t="shared" si="11"/>
        <v>42</v>
      </c>
      <c r="AQ20" s="8">
        <f t="shared" si="0"/>
        <v>3.4883720930232558E-2</v>
      </c>
    </row>
    <row r="21" spans="1:43" ht="18" customHeight="1" x14ac:dyDescent="0.2">
      <c r="A21" s="6"/>
      <c r="B21" s="12" t="s">
        <v>152</v>
      </c>
      <c r="C21" s="67">
        <v>795</v>
      </c>
      <c r="D21" s="68">
        <v>190</v>
      </c>
      <c r="E21" s="69">
        <v>760</v>
      </c>
      <c r="F21" s="70">
        <v>8</v>
      </c>
      <c r="G21" s="71">
        <v>1</v>
      </c>
      <c r="H21" s="72">
        <v>7</v>
      </c>
      <c r="I21" s="70">
        <v>8</v>
      </c>
      <c r="J21" s="71">
        <v>1</v>
      </c>
      <c r="K21" s="72">
        <v>7</v>
      </c>
      <c r="L21" s="70">
        <f t="shared" si="1"/>
        <v>0</v>
      </c>
      <c r="M21" s="71"/>
      <c r="N21" s="72"/>
      <c r="O21" s="70">
        <f t="shared" si="2"/>
        <v>0</v>
      </c>
      <c r="P21" s="71"/>
      <c r="Q21" s="72"/>
      <c r="R21" s="70">
        <f t="shared" si="3"/>
        <v>0</v>
      </c>
      <c r="S21" s="71"/>
      <c r="T21" s="72"/>
      <c r="U21" s="70">
        <f t="shared" si="4"/>
        <v>0</v>
      </c>
      <c r="V21" s="71"/>
      <c r="W21" s="72"/>
      <c r="X21" s="70">
        <f t="shared" si="5"/>
        <v>0</v>
      </c>
      <c r="Y21" s="71"/>
      <c r="Z21" s="72"/>
      <c r="AA21" s="70">
        <f t="shared" si="6"/>
        <v>0</v>
      </c>
      <c r="AB21" s="71"/>
      <c r="AC21" s="72"/>
      <c r="AD21" s="70">
        <f t="shared" si="7"/>
        <v>0</v>
      </c>
      <c r="AE21" s="71"/>
      <c r="AF21" s="72"/>
      <c r="AG21" s="70">
        <f t="shared" si="8"/>
        <v>0</v>
      </c>
      <c r="AH21" s="71"/>
      <c r="AI21" s="72"/>
      <c r="AJ21" s="70">
        <f t="shared" si="9"/>
        <v>0</v>
      </c>
      <c r="AK21" s="71"/>
      <c r="AL21" s="72"/>
      <c r="AM21" s="70">
        <f t="shared" si="10"/>
        <v>0</v>
      </c>
      <c r="AN21" s="71"/>
      <c r="AO21" s="72"/>
      <c r="AP21" s="68">
        <f t="shared" si="11"/>
        <v>8</v>
      </c>
      <c r="AQ21" s="8">
        <f t="shared" si="0"/>
        <v>1.0526315789473684E-2</v>
      </c>
    </row>
    <row r="22" spans="1:43" ht="18" customHeight="1" x14ac:dyDescent="0.2">
      <c r="A22" s="6"/>
      <c r="B22" s="12" t="s">
        <v>154</v>
      </c>
      <c r="C22" s="67">
        <v>991</v>
      </c>
      <c r="D22" s="68">
        <v>240</v>
      </c>
      <c r="E22" s="69">
        <v>960</v>
      </c>
      <c r="F22" s="70">
        <f t="shared" ref="F22" si="12">G22+H22</f>
        <v>0</v>
      </c>
      <c r="G22" s="71">
        <v>0</v>
      </c>
      <c r="H22" s="72">
        <v>0</v>
      </c>
      <c r="I22" s="70">
        <f t="shared" ref="I22:I31" si="13">J22+K22</f>
        <v>0</v>
      </c>
      <c r="J22" s="71">
        <v>0</v>
      </c>
      <c r="K22" s="72">
        <v>0</v>
      </c>
      <c r="L22" s="70">
        <f t="shared" si="1"/>
        <v>0</v>
      </c>
      <c r="M22" s="71"/>
      <c r="N22" s="72"/>
      <c r="O22" s="70">
        <f t="shared" si="2"/>
        <v>0</v>
      </c>
      <c r="P22" s="71"/>
      <c r="Q22" s="72"/>
      <c r="R22" s="70">
        <f t="shared" si="3"/>
        <v>0</v>
      </c>
      <c r="S22" s="71"/>
      <c r="T22" s="72"/>
      <c r="U22" s="70">
        <f t="shared" si="4"/>
        <v>0</v>
      </c>
      <c r="V22" s="71"/>
      <c r="W22" s="72"/>
      <c r="X22" s="70">
        <f t="shared" si="5"/>
        <v>0</v>
      </c>
      <c r="Y22" s="71"/>
      <c r="Z22" s="72"/>
      <c r="AA22" s="70">
        <f t="shared" si="6"/>
        <v>0</v>
      </c>
      <c r="AB22" s="71"/>
      <c r="AC22" s="72"/>
      <c r="AD22" s="70">
        <f t="shared" si="7"/>
        <v>0</v>
      </c>
      <c r="AE22" s="71"/>
      <c r="AF22" s="72"/>
      <c r="AG22" s="70">
        <f t="shared" si="8"/>
        <v>0</v>
      </c>
      <c r="AH22" s="71"/>
      <c r="AI22" s="72"/>
      <c r="AJ22" s="70">
        <f t="shared" si="9"/>
        <v>0</v>
      </c>
      <c r="AK22" s="71"/>
      <c r="AL22" s="72"/>
      <c r="AM22" s="70">
        <f t="shared" si="10"/>
        <v>0</v>
      </c>
      <c r="AN22" s="71"/>
      <c r="AO22" s="72"/>
      <c r="AP22" s="68">
        <f t="shared" si="11"/>
        <v>0</v>
      </c>
      <c r="AQ22" s="8">
        <f t="shared" si="0"/>
        <v>0</v>
      </c>
    </row>
    <row r="23" spans="1:43" ht="18" customHeight="1" x14ac:dyDescent="0.2">
      <c r="A23" s="6"/>
      <c r="B23" s="12"/>
      <c r="C23" s="67"/>
      <c r="D23" s="68"/>
      <c r="E23" s="69"/>
      <c r="F23" s="70"/>
      <c r="G23" s="71"/>
      <c r="H23" s="72"/>
      <c r="I23" s="70">
        <f t="shared" si="13"/>
        <v>0</v>
      </c>
      <c r="J23" s="71"/>
      <c r="K23" s="72"/>
      <c r="L23" s="70">
        <f t="shared" si="1"/>
        <v>0</v>
      </c>
      <c r="M23" s="71"/>
      <c r="N23" s="72"/>
      <c r="O23" s="70">
        <f t="shared" si="2"/>
        <v>0</v>
      </c>
      <c r="P23" s="71"/>
      <c r="Q23" s="72"/>
      <c r="R23" s="70">
        <f t="shared" si="3"/>
        <v>0</v>
      </c>
      <c r="S23" s="71"/>
      <c r="T23" s="72"/>
      <c r="U23" s="70">
        <f t="shared" si="4"/>
        <v>0</v>
      </c>
      <c r="V23" s="71"/>
      <c r="W23" s="72"/>
      <c r="X23" s="70">
        <f t="shared" si="5"/>
        <v>0</v>
      </c>
      <c r="Y23" s="71"/>
      <c r="Z23" s="72"/>
      <c r="AA23" s="70">
        <f t="shared" si="6"/>
        <v>0</v>
      </c>
      <c r="AB23" s="71"/>
      <c r="AC23" s="72"/>
      <c r="AD23" s="70">
        <f t="shared" si="7"/>
        <v>0</v>
      </c>
      <c r="AE23" s="71"/>
      <c r="AF23" s="72"/>
      <c r="AG23" s="70">
        <f t="shared" si="8"/>
        <v>0</v>
      </c>
      <c r="AH23" s="71"/>
      <c r="AI23" s="72"/>
      <c r="AJ23" s="70">
        <f t="shared" si="9"/>
        <v>0</v>
      </c>
      <c r="AK23" s="71"/>
      <c r="AL23" s="72"/>
      <c r="AM23" s="70">
        <f t="shared" si="10"/>
        <v>0</v>
      </c>
      <c r="AN23" s="71"/>
      <c r="AO23" s="72"/>
      <c r="AP23" s="68">
        <f t="shared" si="11"/>
        <v>0</v>
      </c>
      <c r="AQ23" s="8" t="e">
        <f t="shared" si="0"/>
        <v>#DIV/0!</v>
      </c>
    </row>
    <row r="24" spans="1:43" ht="18" customHeight="1" x14ac:dyDescent="0.2">
      <c r="A24" s="6"/>
      <c r="B24" s="12"/>
      <c r="C24" s="67"/>
      <c r="D24" s="68"/>
      <c r="E24" s="69"/>
      <c r="F24" s="70"/>
      <c r="G24" s="71"/>
      <c r="H24" s="72"/>
      <c r="I24" s="70">
        <f t="shared" si="13"/>
        <v>0</v>
      </c>
      <c r="J24" s="71"/>
      <c r="K24" s="72"/>
      <c r="L24" s="70">
        <f t="shared" si="1"/>
        <v>0</v>
      </c>
      <c r="M24" s="71"/>
      <c r="N24" s="72"/>
      <c r="O24" s="70">
        <f t="shared" si="2"/>
        <v>0</v>
      </c>
      <c r="P24" s="71"/>
      <c r="Q24" s="72"/>
      <c r="R24" s="70">
        <f t="shared" si="3"/>
        <v>0</v>
      </c>
      <c r="S24" s="71"/>
      <c r="T24" s="72"/>
      <c r="U24" s="70">
        <f t="shared" si="4"/>
        <v>0</v>
      </c>
      <c r="V24" s="71"/>
      <c r="W24" s="72"/>
      <c r="X24" s="70">
        <f t="shared" si="5"/>
        <v>0</v>
      </c>
      <c r="Y24" s="71"/>
      <c r="Z24" s="72"/>
      <c r="AA24" s="70">
        <f t="shared" si="6"/>
        <v>0</v>
      </c>
      <c r="AB24" s="71"/>
      <c r="AC24" s="72"/>
      <c r="AD24" s="70">
        <f t="shared" si="7"/>
        <v>0</v>
      </c>
      <c r="AE24" s="71"/>
      <c r="AF24" s="72"/>
      <c r="AG24" s="70">
        <f t="shared" si="8"/>
        <v>0</v>
      </c>
      <c r="AH24" s="71"/>
      <c r="AI24" s="72"/>
      <c r="AJ24" s="70">
        <f t="shared" si="9"/>
        <v>0</v>
      </c>
      <c r="AK24" s="71"/>
      <c r="AL24" s="72"/>
      <c r="AM24" s="70">
        <f t="shared" si="10"/>
        <v>0</v>
      </c>
      <c r="AN24" s="71"/>
      <c r="AO24" s="72"/>
      <c r="AP24" s="68">
        <f t="shared" si="11"/>
        <v>0</v>
      </c>
      <c r="AQ24" s="8" t="e">
        <f t="shared" si="0"/>
        <v>#DIV/0!</v>
      </c>
    </row>
    <row r="25" spans="1:43" ht="18" customHeight="1" x14ac:dyDescent="0.2">
      <c r="A25" s="6"/>
      <c r="B25" s="12"/>
      <c r="C25" s="67"/>
      <c r="D25" s="68"/>
      <c r="E25" s="69"/>
      <c r="F25" s="70"/>
      <c r="G25" s="71"/>
      <c r="H25" s="72"/>
      <c r="I25" s="70">
        <f t="shared" si="13"/>
        <v>0</v>
      </c>
      <c r="J25" s="71"/>
      <c r="K25" s="72"/>
      <c r="L25" s="70">
        <f t="shared" si="1"/>
        <v>0</v>
      </c>
      <c r="M25" s="71"/>
      <c r="N25" s="72"/>
      <c r="O25" s="70">
        <f t="shared" si="2"/>
        <v>0</v>
      </c>
      <c r="P25" s="71"/>
      <c r="Q25" s="72"/>
      <c r="R25" s="70">
        <f t="shared" si="3"/>
        <v>0</v>
      </c>
      <c r="S25" s="71"/>
      <c r="T25" s="72"/>
      <c r="U25" s="70">
        <f t="shared" si="4"/>
        <v>0</v>
      </c>
      <c r="V25" s="71"/>
      <c r="W25" s="72"/>
      <c r="X25" s="70">
        <f t="shared" si="5"/>
        <v>0</v>
      </c>
      <c r="Y25" s="71"/>
      <c r="Z25" s="72"/>
      <c r="AA25" s="70">
        <f t="shared" si="6"/>
        <v>0</v>
      </c>
      <c r="AB25" s="71"/>
      <c r="AC25" s="72"/>
      <c r="AD25" s="70">
        <f t="shared" si="7"/>
        <v>0</v>
      </c>
      <c r="AE25" s="71"/>
      <c r="AF25" s="72"/>
      <c r="AG25" s="70">
        <f t="shared" si="8"/>
        <v>0</v>
      </c>
      <c r="AH25" s="71"/>
      <c r="AI25" s="72"/>
      <c r="AJ25" s="70">
        <f t="shared" si="9"/>
        <v>0</v>
      </c>
      <c r="AK25" s="71"/>
      <c r="AL25" s="72"/>
      <c r="AM25" s="70">
        <f t="shared" si="10"/>
        <v>0</v>
      </c>
      <c r="AN25" s="71"/>
      <c r="AO25" s="72"/>
      <c r="AP25" s="68">
        <f t="shared" si="11"/>
        <v>0</v>
      </c>
      <c r="AQ25" s="8" t="e">
        <f t="shared" si="0"/>
        <v>#DIV/0!</v>
      </c>
    </row>
    <row r="26" spans="1:43" ht="18" customHeight="1" x14ac:dyDescent="0.2">
      <c r="A26" s="6"/>
      <c r="B26" s="12"/>
      <c r="C26" s="67"/>
      <c r="D26" s="68"/>
      <c r="E26" s="69"/>
      <c r="F26" s="70"/>
      <c r="G26" s="71"/>
      <c r="H26" s="72"/>
      <c r="I26" s="70">
        <f t="shared" si="13"/>
        <v>0</v>
      </c>
      <c r="J26" s="71"/>
      <c r="K26" s="72"/>
      <c r="L26" s="70">
        <f t="shared" si="1"/>
        <v>0</v>
      </c>
      <c r="M26" s="71"/>
      <c r="N26" s="72"/>
      <c r="O26" s="70">
        <f t="shared" si="2"/>
        <v>0</v>
      </c>
      <c r="P26" s="71"/>
      <c r="Q26" s="72"/>
      <c r="R26" s="70">
        <f t="shared" si="3"/>
        <v>0</v>
      </c>
      <c r="S26" s="71"/>
      <c r="T26" s="72"/>
      <c r="U26" s="70">
        <f t="shared" si="4"/>
        <v>0</v>
      </c>
      <c r="V26" s="71"/>
      <c r="W26" s="72"/>
      <c r="X26" s="70">
        <f t="shared" si="5"/>
        <v>0</v>
      </c>
      <c r="Y26" s="71"/>
      <c r="Z26" s="72"/>
      <c r="AA26" s="70">
        <f t="shared" si="6"/>
        <v>0</v>
      </c>
      <c r="AB26" s="71"/>
      <c r="AC26" s="72"/>
      <c r="AD26" s="70">
        <f t="shared" si="7"/>
        <v>0</v>
      </c>
      <c r="AE26" s="71"/>
      <c r="AF26" s="72"/>
      <c r="AG26" s="70">
        <f t="shared" si="8"/>
        <v>0</v>
      </c>
      <c r="AH26" s="71"/>
      <c r="AI26" s="72"/>
      <c r="AJ26" s="70">
        <f t="shared" si="9"/>
        <v>0</v>
      </c>
      <c r="AK26" s="71"/>
      <c r="AL26" s="72"/>
      <c r="AM26" s="70">
        <f t="shared" si="10"/>
        <v>0</v>
      </c>
      <c r="AN26" s="71"/>
      <c r="AO26" s="72"/>
      <c r="AP26" s="68">
        <f t="shared" si="11"/>
        <v>0</v>
      </c>
      <c r="AQ26" s="8" t="e">
        <f t="shared" si="0"/>
        <v>#DIV/0!</v>
      </c>
    </row>
    <row r="27" spans="1:43" ht="18" customHeight="1" x14ac:dyDescent="0.2">
      <c r="A27" s="6"/>
      <c r="B27" s="12"/>
      <c r="C27" s="67"/>
      <c r="D27" s="68"/>
      <c r="E27" s="69"/>
      <c r="F27" s="70"/>
      <c r="G27" s="71"/>
      <c r="H27" s="72"/>
      <c r="I27" s="70">
        <f t="shared" si="13"/>
        <v>0</v>
      </c>
      <c r="J27" s="71"/>
      <c r="K27" s="72"/>
      <c r="L27" s="70">
        <f t="shared" si="1"/>
        <v>0</v>
      </c>
      <c r="M27" s="71"/>
      <c r="N27" s="72"/>
      <c r="O27" s="70">
        <f t="shared" si="2"/>
        <v>0</v>
      </c>
      <c r="P27" s="71"/>
      <c r="Q27" s="72"/>
      <c r="R27" s="70">
        <f t="shared" si="3"/>
        <v>0</v>
      </c>
      <c r="S27" s="71"/>
      <c r="T27" s="72"/>
      <c r="U27" s="70">
        <f t="shared" si="4"/>
        <v>0</v>
      </c>
      <c r="V27" s="71"/>
      <c r="W27" s="72"/>
      <c r="X27" s="70">
        <f t="shared" si="5"/>
        <v>0</v>
      </c>
      <c r="Y27" s="71"/>
      <c r="Z27" s="72"/>
      <c r="AA27" s="70">
        <f t="shared" si="6"/>
        <v>0</v>
      </c>
      <c r="AB27" s="71"/>
      <c r="AC27" s="72"/>
      <c r="AD27" s="70">
        <f t="shared" si="7"/>
        <v>0</v>
      </c>
      <c r="AE27" s="71"/>
      <c r="AF27" s="72"/>
      <c r="AG27" s="70">
        <f t="shared" si="8"/>
        <v>0</v>
      </c>
      <c r="AH27" s="71"/>
      <c r="AI27" s="72"/>
      <c r="AJ27" s="70">
        <f t="shared" si="9"/>
        <v>0</v>
      </c>
      <c r="AK27" s="71"/>
      <c r="AL27" s="72"/>
      <c r="AM27" s="70">
        <f t="shared" si="10"/>
        <v>0</v>
      </c>
      <c r="AN27" s="71"/>
      <c r="AO27" s="72"/>
      <c r="AP27" s="68">
        <f t="shared" si="11"/>
        <v>0</v>
      </c>
      <c r="AQ27" s="8" t="e">
        <f t="shared" si="0"/>
        <v>#DIV/0!</v>
      </c>
    </row>
    <row r="28" spans="1:43" ht="18" customHeight="1" x14ac:dyDescent="0.2">
      <c r="A28" s="6"/>
      <c r="B28" s="12"/>
      <c r="C28" s="67"/>
      <c r="D28" s="68"/>
      <c r="E28" s="69"/>
      <c r="F28" s="70"/>
      <c r="G28" s="71"/>
      <c r="H28" s="72"/>
      <c r="I28" s="70">
        <f t="shared" si="13"/>
        <v>0</v>
      </c>
      <c r="J28" s="71"/>
      <c r="K28" s="72"/>
      <c r="L28" s="70">
        <f t="shared" si="1"/>
        <v>0</v>
      </c>
      <c r="M28" s="71"/>
      <c r="N28" s="72"/>
      <c r="O28" s="70">
        <f t="shared" si="2"/>
        <v>0</v>
      </c>
      <c r="P28" s="71"/>
      <c r="Q28" s="72"/>
      <c r="R28" s="70">
        <f t="shared" si="3"/>
        <v>0</v>
      </c>
      <c r="S28" s="71"/>
      <c r="T28" s="72"/>
      <c r="U28" s="70">
        <f t="shared" si="4"/>
        <v>0</v>
      </c>
      <c r="V28" s="71"/>
      <c r="W28" s="72"/>
      <c r="X28" s="70">
        <f t="shared" si="5"/>
        <v>0</v>
      </c>
      <c r="Y28" s="71"/>
      <c r="Z28" s="72"/>
      <c r="AA28" s="70">
        <f t="shared" si="6"/>
        <v>0</v>
      </c>
      <c r="AB28" s="71"/>
      <c r="AC28" s="72"/>
      <c r="AD28" s="70">
        <f t="shared" si="7"/>
        <v>0</v>
      </c>
      <c r="AE28" s="71"/>
      <c r="AF28" s="72"/>
      <c r="AG28" s="70">
        <f t="shared" si="8"/>
        <v>0</v>
      </c>
      <c r="AH28" s="71"/>
      <c r="AI28" s="72"/>
      <c r="AJ28" s="70">
        <f t="shared" si="9"/>
        <v>0</v>
      </c>
      <c r="AK28" s="71"/>
      <c r="AL28" s="72"/>
      <c r="AM28" s="70">
        <f t="shared" si="10"/>
        <v>0</v>
      </c>
      <c r="AN28" s="71"/>
      <c r="AO28" s="72"/>
      <c r="AP28" s="68">
        <f t="shared" si="11"/>
        <v>0</v>
      </c>
      <c r="AQ28" s="8" t="e">
        <f t="shared" si="0"/>
        <v>#DIV/0!</v>
      </c>
    </row>
    <row r="29" spans="1:43" ht="18" customHeight="1" x14ac:dyDescent="0.2">
      <c r="A29" s="6"/>
      <c r="B29" s="12"/>
      <c r="C29" s="67"/>
      <c r="D29" s="73"/>
      <c r="E29" s="69"/>
      <c r="F29" s="70"/>
      <c r="G29" s="71"/>
      <c r="H29" s="72"/>
      <c r="I29" s="70">
        <f t="shared" si="13"/>
        <v>0</v>
      </c>
      <c r="J29" s="71"/>
      <c r="K29" s="72"/>
      <c r="L29" s="70">
        <f t="shared" si="1"/>
        <v>0</v>
      </c>
      <c r="M29" s="71"/>
      <c r="N29" s="72"/>
      <c r="O29" s="70">
        <f t="shared" si="2"/>
        <v>0</v>
      </c>
      <c r="P29" s="71"/>
      <c r="Q29" s="72"/>
      <c r="R29" s="70">
        <f t="shared" si="3"/>
        <v>0</v>
      </c>
      <c r="S29" s="71"/>
      <c r="T29" s="72"/>
      <c r="U29" s="70">
        <f t="shared" si="4"/>
        <v>0</v>
      </c>
      <c r="V29" s="71"/>
      <c r="W29" s="72"/>
      <c r="X29" s="70">
        <f t="shared" si="5"/>
        <v>0</v>
      </c>
      <c r="Y29" s="71"/>
      <c r="Z29" s="72"/>
      <c r="AA29" s="70">
        <f t="shared" si="6"/>
        <v>0</v>
      </c>
      <c r="AB29" s="71"/>
      <c r="AC29" s="72"/>
      <c r="AD29" s="70">
        <f t="shared" si="7"/>
        <v>0</v>
      </c>
      <c r="AE29" s="71"/>
      <c r="AF29" s="72"/>
      <c r="AG29" s="70">
        <f t="shared" si="8"/>
        <v>0</v>
      </c>
      <c r="AH29" s="71"/>
      <c r="AI29" s="72"/>
      <c r="AJ29" s="70">
        <f t="shared" si="9"/>
        <v>0</v>
      </c>
      <c r="AK29" s="71"/>
      <c r="AL29" s="72"/>
      <c r="AM29" s="70">
        <f t="shared" si="10"/>
        <v>0</v>
      </c>
      <c r="AN29" s="71"/>
      <c r="AO29" s="72"/>
      <c r="AP29" s="73">
        <f t="shared" si="11"/>
        <v>0</v>
      </c>
      <c r="AQ29" s="8" t="e">
        <f t="shared" si="0"/>
        <v>#DIV/0!</v>
      </c>
    </row>
    <row r="30" spans="1:43" ht="18" customHeight="1" x14ac:dyDescent="0.2">
      <c r="A30" s="6"/>
      <c r="B30" s="12"/>
      <c r="C30" s="67"/>
      <c r="D30" s="73"/>
      <c r="E30" s="69"/>
      <c r="F30" s="70"/>
      <c r="G30" s="71"/>
      <c r="H30" s="72"/>
      <c r="I30" s="70">
        <f t="shared" si="13"/>
        <v>0</v>
      </c>
      <c r="J30" s="71"/>
      <c r="K30" s="72"/>
      <c r="L30" s="70">
        <f t="shared" si="1"/>
        <v>0</v>
      </c>
      <c r="M30" s="71"/>
      <c r="N30" s="72"/>
      <c r="O30" s="70">
        <f t="shared" si="2"/>
        <v>0</v>
      </c>
      <c r="P30" s="71"/>
      <c r="Q30" s="72"/>
      <c r="R30" s="70">
        <f t="shared" si="3"/>
        <v>0</v>
      </c>
      <c r="S30" s="71"/>
      <c r="T30" s="72"/>
      <c r="U30" s="70">
        <f t="shared" si="4"/>
        <v>0</v>
      </c>
      <c r="V30" s="71"/>
      <c r="W30" s="72"/>
      <c r="X30" s="70">
        <f t="shared" si="5"/>
        <v>0</v>
      </c>
      <c r="Y30" s="71"/>
      <c r="Z30" s="72"/>
      <c r="AA30" s="70">
        <f t="shared" si="6"/>
        <v>0</v>
      </c>
      <c r="AB30" s="71"/>
      <c r="AC30" s="72"/>
      <c r="AD30" s="70">
        <f t="shared" si="7"/>
        <v>0</v>
      </c>
      <c r="AE30" s="71"/>
      <c r="AF30" s="72"/>
      <c r="AG30" s="70">
        <f t="shared" si="8"/>
        <v>0</v>
      </c>
      <c r="AH30" s="71"/>
      <c r="AI30" s="72"/>
      <c r="AJ30" s="70">
        <f t="shared" si="9"/>
        <v>0</v>
      </c>
      <c r="AK30" s="71"/>
      <c r="AL30" s="72"/>
      <c r="AM30" s="70">
        <f t="shared" si="10"/>
        <v>0</v>
      </c>
      <c r="AN30" s="71"/>
      <c r="AO30" s="72"/>
      <c r="AP30" s="73">
        <f t="shared" si="11"/>
        <v>0</v>
      </c>
      <c r="AQ30" s="8" t="e">
        <f t="shared" si="0"/>
        <v>#DIV/0!</v>
      </c>
    </row>
    <row r="31" spans="1:43" ht="18" customHeight="1" thickBot="1" x14ac:dyDescent="0.25">
      <c r="A31" s="6"/>
      <c r="B31" s="13"/>
      <c r="C31" s="62"/>
      <c r="D31" s="74"/>
      <c r="E31" s="64"/>
      <c r="F31" s="64"/>
      <c r="G31" s="75"/>
      <c r="H31" s="76"/>
      <c r="I31" s="64">
        <f t="shared" si="13"/>
        <v>0</v>
      </c>
      <c r="J31" s="75"/>
      <c r="K31" s="76"/>
      <c r="L31" s="64">
        <f t="shared" si="1"/>
        <v>0</v>
      </c>
      <c r="M31" s="75"/>
      <c r="N31" s="76"/>
      <c r="O31" s="64">
        <f t="shared" si="2"/>
        <v>0</v>
      </c>
      <c r="P31" s="75"/>
      <c r="Q31" s="76"/>
      <c r="R31" s="64">
        <f t="shared" si="3"/>
        <v>0</v>
      </c>
      <c r="S31" s="75"/>
      <c r="T31" s="76"/>
      <c r="U31" s="64">
        <f t="shared" si="4"/>
        <v>0</v>
      </c>
      <c r="V31" s="75"/>
      <c r="W31" s="76"/>
      <c r="X31" s="64">
        <f t="shared" si="5"/>
        <v>0</v>
      </c>
      <c r="Y31" s="75"/>
      <c r="Z31" s="76"/>
      <c r="AA31" s="64">
        <f t="shared" si="6"/>
        <v>0</v>
      </c>
      <c r="AB31" s="75"/>
      <c r="AC31" s="76"/>
      <c r="AD31" s="64">
        <f t="shared" si="7"/>
        <v>0</v>
      </c>
      <c r="AE31" s="75"/>
      <c r="AF31" s="76"/>
      <c r="AG31" s="64">
        <f t="shared" si="8"/>
        <v>0</v>
      </c>
      <c r="AH31" s="75"/>
      <c r="AI31" s="76"/>
      <c r="AJ31" s="64">
        <f t="shared" si="9"/>
        <v>0</v>
      </c>
      <c r="AK31" s="75"/>
      <c r="AL31" s="76"/>
      <c r="AM31" s="64">
        <f t="shared" si="10"/>
        <v>0</v>
      </c>
      <c r="AN31" s="75"/>
      <c r="AO31" s="76"/>
      <c r="AP31" s="74">
        <f t="shared" si="11"/>
        <v>0</v>
      </c>
      <c r="AQ31" s="7" t="e">
        <f t="shared" si="0"/>
        <v>#DIV/0!</v>
      </c>
    </row>
    <row r="32" spans="1:43" ht="18" customHeight="1" thickTop="1" x14ac:dyDescent="0.2">
      <c r="B32" s="14" t="s">
        <v>33</v>
      </c>
      <c r="C32" s="77">
        <f t="shared" ref="C32" si="14">SUM(C12:C31)</f>
        <v>18991</v>
      </c>
      <c r="D32" s="78">
        <f t="shared" ref="D32:AP32" si="15">SUM(D12:D31)</f>
        <v>4490</v>
      </c>
      <c r="E32" s="79">
        <f t="shared" si="15"/>
        <v>17912</v>
      </c>
      <c r="F32" s="79">
        <f t="shared" si="15"/>
        <v>640</v>
      </c>
      <c r="G32" s="80">
        <f t="shared" si="15"/>
        <v>378</v>
      </c>
      <c r="H32" s="81">
        <f t="shared" si="15"/>
        <v>262</v>
      </c>
      <c r="I32" s="79">
        <f t="shared" ref="I32:N32" si="16">SUM(I12:I31)</f>
        <v>493</v>
      </c>
      <c r="J32" s="80">
        <f t="shared" si="16"/>
        <v>275</v>
      </c>
      <c r="K32" s="81">
        <f t="shared" si="16"/>
        <v>218</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640</v>
      </c>
      <c r="AQ32" s="9">
        <f t="shared" si="0"/>
        <v>3.573023671281822E-2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95" t="str">
        <f>'様式１　プログラムを構成する授業科目'!C2</f>
        <v>青山学院大学</v>
      </c>
      <c r="I2" s="97"/>
    </row>
    <row r="3" spans="1:9" ht="18.75" customHeight="1" x14ac:dyDescent="0.2">
      <c r="G3" s="35"/>
      <c r="H3" s="10"/>
      <c r="I3" s="10"/>
    </row>
    <row r="4" spans="1:9" ht="18.600000000000001" customHeight="1" x14ac:dyDescent="0.2">
      <c r="A4" s="106" t="s">
        <v>36</v>
      </c>
      <c r="B4" s="106"/>
      <c r="C4" s="106"/>
      <c r="D4" s="106"/>
      <c r="E4" s="106"/>
      <c r="F4" s="106"/>
      <c r="G4" s="106"/>
      <c r="H4" s="106"/>
      <c r="I4" s="106"/>
    </row>
    <row r="5" spans="1:9" ht="13.2" customHeight="1" x14ac:dyDescent="0.2">
      <c r="B5" s="3"/>
      <c r="C5" s="3"/>
      <c r="D5" s="3"/>
      <c r="E5" s="3"/>
      <c r="F5" s="3"/>
      <c r="G5" s="3"/>
      <c r="H5" s="3"/>
      <c r="I5" s="3"/>
    </row>
    <row r="6" spans="1:9" ht="18" customHeight="1" x14ac:dyDescent="0.2">
      <c r="A6" s="1" t="s">
        <v>0</v>
      </c>
      <c r="B6" s="10" t="s">
        <v>91</v>
      </c>
      <c r="C6" s="234" t="s">
        <v>92</v>
      </c>
      <c r="D6" s="234"/>
      <c r="E6" s="34">
        <v>672</v>
      </c>
      <c r="F6" s="3" t="s">
        <v>1</v>
      </c>
      <c r="G6" s="3" t="s">
        <v>2</v>
      </c>
      <c r="H6" s="82">
        <v>1011</v>
      </c>
      <c r="I6" s="10" t="s">
        <v>1</v>
      </c>
    </row>
    <row r="7" spans="1:9" ht="12" customHeight="1" x14ac:dyDescent="0.2">
      <c r="C7" s="2"/>
      <c r="D7" s="2"/>
      <c r="E7" s="2"/>
      <c r="F7" s="2"/>
      <c r="G7" s="2"/>
      <c r="H7" s="2"/>
      <c r="I7" s="42"/>
    </row>
    <row r="8" spans="1:9" ht="18" customHeight="1" x14ac:dyDescent="0.2">
      <c r="A8" s="1" t="s">
        <v>3</v>
      </c>
      <c r="B8" s="10" t="s">
        <v>93</v>
      </c>
      <c r="E8" s="3"/>
      <c r="F8" s="3"/>
      <c r="G8" s="3"/>
      <c r="H8" s="34">
        <v>5</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28" t="s">
        <v>129</v>
      </c>
      <c r="D11" s="231"/>
      <c r="E11" s="232"/>
      <c r="F11" s="42"/>
      <c r="G11" s="35" t="s">
        <v>10</v>
      </c>
      <c r="H11" s="228" t="s">
        <v>181</v>
      </c>
      <c r="I11" s="233"/>
    </row>
    <row r="12" spans="1:9" ht="10.199999999999999"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28" t="s">
        <v>130</v>
      </c>
      <c r="C14" s="229"/>
      <c r="D14" s="229"/>
      <c r="E14" s="229"/>
      <c r="F14" s="229"/>
      <c r="G14" s="229"/>
      <c r="H14" s="229"/>
      <c r="I14" s="230"/>
    </row>
    <row r="15" spans="1:9" ht="9" customHeight="1" x14ac:dyDescent="0.2">
      <c r="B15" s="3"/>
      <c r="C15" s="3"/>
      <c r="D15" s="3"/>
      <c r="E15" s="3"/>
      <c r="F15" s="3"/>
      <c r="G15" s="3"/>
      <c r="H15" s="3"/>
      <c r="I15" s="3"/>
    </row>
    <row r="16" spans="1:9" ht="18" customHeight="1" x14ac:dyDescent="0.2">
      <c r="B16" s="35" t="s">
        <v>43</v>
      </c>
      <c r="C16" s="228" t="s">
        <v>131</v>
      </c>
      <c r="D16" s="231"/>
      <c r="E16" s="232"/>
      <c r="F16" s="42"/>
      <c r="G16" s="35" t="s">
        <v>10</v>
      </c>
      <c r="H16" s="228" t="s">
        <v>182</v>
      </c>
      <c r="I16" s="232"/>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20" t="s">
        <v>155</v>
      </c>
      <c r="C19" s="221"/>
      <c r="D19" s="221"/>
      <c r="E19" s="221"/>
      <c r="F19" s="221"/>
      <c r="G19" s="221"/>
      <c r="H19" s="221"/>
      <c r="I19" s="222"/>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210" t="s">
        <v>167</v>
      </c>
      <c r="C22" s="211"/>
      <c r="D22" s="211"/>
      <c r="E22" s="211"/>
      <c r="F22" s="211"/>
      <c r="G22" s="211"/>
      <c r="H22" s="211"/>
      <c r="I22" s="212"/>
    </row>
    <row r="23" spans="1:9" ht="18.75" customHeight="1" x14ac:dyDescent="0.2">
      <c r="A23" s="15"/>
      <c r="B23" s="223"/>
      <c r="C23" s="224"/>
      <c r="D23" s="224"/>
      <c r="E23" s="224"/>
      <c r="F23" s="224"/>
      <c r="G23" s="224"/>
      <c r="H23" s="224"/>
      <c r="I23" s="215"/>
    </row>
    <row r="24" spans="1:9" ht="18.75" customHeight="1" x14ac:dyDescent="0.2">
      <c r="A24" s="15"/>
      <c r="B24" s="223"/>
      <c r="C24" s="224"/>
      <c r="D24" s="224"/>
      <c r="E24" s="224"/>
      <c r="F24" s="224"/>
      <c r="G24" s="224"/>
      <c r="H24" s="224"/>
      <c r="I24" s="215"/>
    </row>
    <row r="25" spans="1:9" ht="18.75" customHeight="1" x14ac:dyDescent="0.2">
      <c r="A25" s="15"/>
      <c r="B25" s="223"/>
      <c r="C25" s="224"/>
      <c r="D25" s="224"/>
      <c r="E25" s="224"/>
      <c r="F25" s="224"/>
      <c r="G25" s="224"/>
      <c r="H25" s="224"/>
      <c r="I25" s="215"/>
    </row>
    <row r="26" spans="1:9" ht="18.75" customHeight="1" x14ac:dyDescent="0.2">
      <c r="A26" s="15"/>
      <c r="B26" s="223"/>
      <c r="C26" s="224"/>
      <c r="D26" s="224"/>
      <c r="E26" s="224"/>
      <c r="F26" s="224"/>
      <c r="G26" s="224"/>
      <c r="H26" s="224"/>
      <c r="I26" s="215"/>
    </row>
    <row r="27" spans="1:9" ht="18.75" customHeight="1" x14ac:dyDescent="0.2">
      <c r="A27" s="15"/>
      <c r="B27" s="223"/>
      <c r="C27" s="224"/>
      <c r="D27" s="224"/>
      <c r="E27" s="224"/>
      <c r="F27" s="224"/>
      <c r="G27" s="224"/>
      <c r="H27" s="224"/>
      <c r="I27" s="215"/>
    </row>
    <row r="28" spans="1:9" ht="18.75" customHeight="1" x14ac:dyDescent="0.2">
      <c r="A28" s="15"/>
      <c r="B28" s="223"/>
      <c r="C28" s="224"/>
      <c r="D28" s="224"/>
      <c r="E28" s="224"/>
      <c r="F28" s="224"/>
      <c r="G28" s="224"/>
      <c r="H28" s="224"/>
      <c r="I28" s="215"/>
    </row>
    <row r="29" spans="1:9" ht="18.75" customHeight="1" x14ac:dyDescent="0.2">
      <c r="A29" s="15"/>
      <c r="B29" s="223"/>
      <c r="C29" s="224"/>
      <c r="D29" s="224"/>
      <c r="E29" s="224"/>
      <c r="F29" s="224"/>
      <c r="G29" s="224"/>
      <c r="H29" s="224"/>
      <c r="I29" s="215"/>
    </row>
    <row r="30" spans="1:9" ht="18.75" customHeight="1" x14ac:dyDescent="0.2">
      <c r="A30" s="15"/>
      <c r="B30" s="213"/>
      <c r="C30" s="214"/>
      <c r="D30" s="214"/>
      <c r="E30" s="214"/>
      <c r="F30" s="214"/>
      <c r="G30" s="214"/>
      <c r="H30" s="214"/>
      <c r="I30" s="215"/>
    </row>
    <row r="31" spans="1:9" ht="18.75" customHeight="1" x14ac:dyDescent="0.2">
      <c r="A31" s="15"/>
      <c r="B31" s="213"/>
      <c r="C31" s="214"/>
      <c r="D31" s="214"/>
      <c r="E31" s="214"/>
      <c r="F31" s="214"/>
      <c r="G31" s="214"/>
      <c r="H31" s="214"/>
      <c r="I31" s="215"/>
    </row>
    <row r="32" spans="1:9" ht="18.75" customHeight="1" x14ac:dyDescent="0.2">
      <c r="A32" s="15"/>
      <c r="B32" s="216"/>
      <c r="C32" s="217"/>
      <c r="D32" s="217"/>
      <c r="E32" s="217"/>
      <c r="F32" s="217"/>
      <c r="G32" s="217"/>
      <c r="H32" s="217"/>
      <c r="I32" s="218"/>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10" t="s">
        <v>186</v>
      </c>
      <c r="C35" s="211"/>
      <c r="D35" s="211"/>
      <c r="E35" s="211"/>
      <c r="F35" s="211"/>
      <c r="G35" s="211"/>
      <c r="H35" s="211"/>
      <c r="I35" s="212"/>
    </row>
    <row r="36" spans="1:9" ht="18.75" customHeight="1" x14ac:dyDescent="0.2">
      <c r="A36" s="15"/>
      <c r="B36" s="213"/>
      <c r="C36" s="214"/>
      <c r="D36" s="214"/>
      <c r="E36" s="214"/>
      <c r="F36" s="214"/>
      <c r="G36" s="214"/>
      <c r="H36" s="214"/>
      <c r="I36" s="215"/>
    </row>
    <row r="37" spans="1:9" ht="18.75" customHeight="1" x14ac:dyDescent="0.2">
      <c r="A37" s="15"/>
      <c r="B37" s="213"/>
      <c r="C37" s="214"/>
      <c r="D37" s="214"/>
      <c r="E37" s="214"/>
      <c r="F37" s="214"/>
      <c r="G37" s="214"/>
      <c r="H37" s="214"/>
      <c r="I37" s="215"/>
    </row>
    <row r="38" spans="1:9" ht="18.75" customHeight="1" x14ac:dyDescent="0.2">
      <c r="A38" s="15"/>
      <c r="B38" s="213"/>
      <c r="C38" s="214"/>
      <c r="D38" s="214"/>
      <c r="E38" s="214"/>
      <c r="F38" s="214"/>
      <c r="G38" s="214"/>
      <c r="H38" s="214"/>
      <c r="I38" s="215"/>
    </row>
    <row r="39" spans="1:9" ht="18.75" customHeight="1" x14ac:dyDescent="0.2">
      <c r="A39" s="15"/>
      <c r="B39" s="213"/>
      <c r="C39" s="214"/>
      <c r="D39" s="214"/>
      <c r="E39" s="214"/>
      <c r="F39" s="214"/>
      <c r="G39" s="214"/>
      <c r="H39" s="214"/>
      <c r="I39" s="215"/>
    </row>
    <row r="40" spans="1:9" ht="18.75" customHeight="1" x14ac:dyDescent="0.2">
      <c r="A40" s="15"/>
      <c r="B40" s="213"/>
      <c r="C40" s="214"/>
      <c r="D40" s="214"/>
      <c r="E40" s="214"/>
      <c r="F40" s="214"/>
      <c r="G40" s="214"/>
      <c r="H40" s="214"/>
      <c r="I40" s="215"/>
    </row>
    <row r="41" spans="1:9" ht="18.75" customHeight="1" x14ac:dyDescent="0.2">
      <c r="A41" s="15"/>
      <c r="B41" s="213"/>
      <c r="C41" s="214"/>
      <c r="D41" s="214"/>
      <c r="E41" s="214"/>
      <c r="F41" s="214"/>
      <c r="G41" s="214"/>
      <c r="H41" s="214"/>
      <c r="I41" s="215"/>
    </row>
    <row r="42" spans="1:9" ht="18.75" customHeight="1" x14ac:dyDescent="0.2">
      <c r="A42" s="15"/>
      <c r="B42" s="213"/>
      <c r="C42" s="214"/>
      <c r="D42" s="214"/>
      <c r="E42" s="214"/>
      <c r="F42" s="214"/>
      <c r="G42" s="214"/>
      <c r="H42" s="214"/>
      <c r="I42" s="215"/>
    </row>
    <row r="43" spans="1:9" ht="18.75" customHeight="1" x14ac:dyDescent="0.2">
      <c r="A43" s="15"/>
      <c r="B43" s="213"/>
      <c r="C43" s="214"/>
      <c r="D43" s="214"/>
      <c r="E43" s="214"/>
      <c r="F43" s="214"/>
      <c r="G43" s="214"/>
      <c r="H43" s="214"/>
      <c r="I43" s="215"/>
    </row>
    <row r="44" spans="1:9" ht="18.75" customHeight="1" x14ac:dyDescent="0.2">
      <c r="A44" s="15"/>
      <c r="B44" s="213"/>
      <c r="C44" s="214"/>
      <c r="D44" s="214"/>
      <c r="E44" s="214"/>
      <c r="F44" s="214"/>
      <c r="G44" s="214"/>
      <c r="H44" s="214"/>
      <c r="I44" s="215"/>
    </row>
    <row r="45" spans="1:9" ht="18.75" customHeight="1" x14ac:dyDescent="0.2">
      <c r="A45" s="15"/>
      <c r="B45" s="213"/>
      <c r="C45" s="214"/>
      <c r="D45" s="214"/>
      <c r="E45" s="214"/>
      <c r="F45" s="214"/>
      <c r="G45" s="214"/>
      <c r="H45" s="214"/>
      <c r="I45" s="215"/>
    </row>
    <row r="46" spans="1:9" ht="18.75" customHeight="1" x14ac:dyDescent="0.2">
      <c r="A46" s="15"/>
      <c r="B46" s="216"/>
      <c r="C46" s="217"/>
      <c r="D46" s="217"/>
      <c r="E46" s="217"/>
      <c r="F46" s="217"/>
      <c r="G46" s="217"/>
      <c r="H46" s="217"/>
      <c r="I46" s="218"/>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3" t="s">
        <v>89</v>
      </c>
      <c r="C49" s="199">
        <f>'様式２ 履修者等数の実績'!AQ32</f>
        <v>3.573023671281822E-2</v>
      </c>
      <c r="D49" s="199"/>
      <c r="E49" s="43" t="s">
        <v>66</v>
      </c>
      <c r="F49" s="199">
        <v>0.08</v>
      </c>
      <c r="G49" s="199"/>
      <c r="H49" s="43" t="s">
        <v>67</v>
      </c>
      <c r="I49" s="44">
        <v>0.17</v>
      </c>
      <c r="J49" s="1"/>
      <c r="M49" s="1"/>
      <c r="N49" s="45"/>
    </row>
    <row r="50" spans="1:15" s="3" customFormat="1" ht="18.75" customHeight="1" x14ac:dyDescent="0.2">
      <c r="B50" s="46" t="s">
        <v>68</v>
      </c>
      <c r="C50" s="200">
        <v>0.31</v>
      </c>
      <c r="D50" s="200"/>
      <c r="E50" s="46" t="s">
        <v>90</v>
      </c>
      <c r="F50" s="200">
        <v>0.53</v>
      </c>
      <c r="G50" s="200"/>
      <c r="H50" s="46" t="s">
        <v>69</v>
      </c>
      <c r="I50" s="47">
        <f>'様式２ 履修者等数の実績'!E32</f>
        <v>17912</v>
      </c>
      <c r="J50" s="1"/>
      <c r="M50" s="1"/>
      <c r="N50" s="45"/>
    </row>
    <row r="51" spans="1:15" ht="18.75" customHeight="1" x14ac:dyDescent="0.2">
      <c r="A51" s="1"/>
      <c r="B51" s="225" t="s">
        <v>70</v>
      </c>
      <c r="C51" s="226"/>
      <c r="D51" s="226"/>
      <c r="E51" s="226"/>
      <c r="F51" s="226"/>
      <c r="G51" s="226"/>
      <c r="H51" s="226"/>
      <c r="I51" s="227"/>
      <c r="N51" s="45"/>
      <c r="O51" s="3"/>
    </row>
    <row r="52" spans="1:15" ht="18.75" customHeight="1" x14ac:dyDescent="0.2">
      <c r="A52" s="1"/>
      <c r="B52" s="201" t="s">
        <v>168</v>
      </c>
      <c r="C52" s="202"/>
      <c r="D52" s="202"/>
      <c r="E52" s="202"/>
      <c r="F52" s="202"/>
      <c r="G52" s="202"/>
      <c r="H52" s="202"/>
      <c r="I52" s="203"/>
      <c r="N52" s="45"/>
      <c r="O52" s="3"/>
    </row>
    <row r="53" spans="1:15" ht="18.75" customHeight="1" x14ac:dyDescent="0.2">
      <c r="A53" s="1"/>
      <c r="B53" s="204"/>
      <c r="C53" s="205"/>
      <c r="D53" s="205"/>
      <c r="E53" s="205"/>
      <c r="F53" s="205"/>
      <c r="G53" s="205"/>
      <c r="H53" s="205"/>
      <c r="I53" s="206"/>
      <c r="N53" s="45"/>
      <c r="O53" s="3"/>
    </row>
    <row r="54" spans="1:15" ht="18.75" customHeight="1" x14ac:dyDescent="0.2">
      <c r="A54" s="1"/>
      <c r="B54" s="204"/>
      <c r="C54" s="205"/>
      <c r="D54" s="205"/>
      <c r="E54" s="205"/>
      <c r="F54" s="205"/>
      <c r="G54" s="205"/>
      <c r="H54" s="205"/>
      <c r="I54" s="206"/>
    </row>
    <row r="55" spans="1:15" ht="18.75" customHeight="1" x14ac:dyDescent="0.2">
      <c r="A55" s="1"/>
      <c r="B55" s="204"/>
      <c r="C55" s="205"/>
      <c r="D55" s="205"/>
      <c r="E55" s="205"/>
      <c r="F55" s="205"/>
      <c r="G55" s="205"/>
      <c r="H55" s="205"/>
      <c r="I55" s="206"/>
    </row>
    <row r="56" spans="1:15" ht="18.75" customHeight="1" x14ac:dyDescent="0.2">
      <c r="A56" s="1"/>
      <c r="B56" s="204"/>
      <c r="C56" s="205"/>
      <c r="D56" s="205"/>
      <c r="E56" s="205"/>
      <c r="F56" s="205"/>
      <c r="G56" s="205"/>
      <c r="H56" s="205"/>
      <c r="I56" s="206"/>
    </row>
    <row r="57" spans="1:15" ht="18.75" customHeight="1" x14ac:dyDescent="0.2">
      <c r="A57" s="1"/>
      <c r="B57" s="204"/>
      <c r="C57" s="205"/>
      <c r="D57" s="205"/>
      <c r="E57" s="205"/>
      <c r="F57" s="205"/>
      <c r="G57" s="205"/>
      <c r="H57" s="205"/>
      <c r="I57" s="206"/>
    </row>
    <row r="58" spans="1:15" ht="18.75" customHeight="1" x14ac:dyDescent="0.2">
      <c r="A58" s="1"/>
      <c r="B58" s="204"/>
      <c r="C58" s="205"/>
      <c r="D58" s="205"/>
      <c r="E58" s="205"/>
      <c r="F58" s="205"/>
      <c r="G58" s="205"/>
      <c r="H58" s="205"/>
      <c r="I58" s="206"/>
    </row>
    <row r="59" spans="1:15" ht="18.75" customHeight="1" x14ac:dyDescent="0.2">
      <c r="A59" s="1"/>
      <c r="B59" s="204"/>
      <c r="C59" s="205"/>
      <c r="D59" s="205"/>
      <c r="E59" s="205"/>
      <c r="F59" s="205"/>
      <c r="G59" s="205"/>
      <c r="H59" s="205"/>
      <c r="I59" s="206"/>
    </row>
    <row r="60" spans="1:15" ht="18.75" customHeight="1" x14ac:dyDescent="0.2">
      <c r="A60" s="1"/>
      <c r="B60" s="204"/>
      <c r="C60" s="205"/>
      <c r="D60" s="205"/>
      <c r="E60" s="205"/>
      <c r="F60" s="205"/>
      <c r="G60" s="205"/>
      <c r="H60" s="205"/>
      <c r="I60" s="206"/>
    </row>
    <row r="61" spans="1:15" ht="18.75" customHeight="1" x14ac:dyDescent="0.2">
      <c r="A61" s="1"/>
      <c r="B61" s="204"/>
      <c r="C61" s="205"/>
      <c r="D61" s="205"/>
      <c r="E61" s="205"/>
      <c r="F61" s="205"/>
      <c r="G61" s="205"/>
      <c r="H61" s="205"/>
      <c r="I61" s="206"/>
    </row>
    <row r="62" spans="1:15" ht="18.75" customHeight="1" x14ac:dyDescent="0.2">
      <c r="A62" s="1"/>
      <c r="B62" s="204"/>
      <c r="C62" s="205"/>
      <c r="D62" s="205"/>
      <c r="E62" s="205"/>
      <c r="F62" s="205"/>
      <c r="G62" s="205"/>
      <c r="H62" s="205"/>
      <c r="I62" s="206"/>
    </row>
    <row r="63" spans="1:15" ht="18.75" customHeight="1" x14ac:dyDescent="0.2">
      <c r="A63" s="1"/>
      <c r="B63" s="207"/>
      <c r="C63" s="208"/>
      <c r="D63" s="208"/>
      <c r="E63" s="208"/>
      <c r="F63" s="208"/>
      <c r="G63" s="208"/>
      <c r="H63" s="208"/>
      <c r="I63" s="209"/>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183" t="s">
        <v>169</v>
      </c>
      <c r="C66" s="184"/>
      <c r="D66" s="184"/>
      <c r="E66" s="184"/>
      <c r="F66" s="184"/>
      <c r="G66" s="184"/>
      <c r="H66" s="184"/>
      <c r="I66" s="185"/>
    </row>
    <row r="67" spans="1:9" ht="18.75" customHeight="1" x14ac:dyDescent="0.2">
      <c r="A67" s="4"/>
      <c r="B67" s="186"/>
      <c r="C67" s="187"/>
      <c r="D67" s="187"/>
      <c r="E67" s="187"/>
      <c r="F67" s="187"/>
      <c r="G67" s="187"/>
      <c r="H67" s="187"/>
      <c r="I67" s="188"/>
    </row>
    <row r="68" spans="1:9" ht="18.75" customHeight="1" x14ac:dyDescent="0.2">
      <c r="A68" s="4"/>
      <c r="B68" s="186"/>
      <c r="C68" s="187"/>
      <c r="D68" s="187"/>
      <c r="E68" s="187"/>
      <c r="F68" s="187"/>
      <c r="G68" s="187"/>
      <c r="H68" s="187"/>
      <c r="I68" s="188"/>
    </row>
    <row r="69" spans="1:9" ht="18.75" customHeight="1" x14ac:dyDescent="0.2">
      <c r="A69" s="4"/>
      <c r="B69" s="186"/>
      <c r="C69" s="187"/>
      <c r="D69" s="187"/>
      <c r="E69" s="187"/>
      <c r="F69" s="187"/>
      <c r="G69" s="187"/>
      <c r="H69" s="187"/>
      <c r="I69" s="188"/>
    </row>
    <row r="70" spans="1:9" ht="18.75" customHeight="1" x14ac:dyDescent="0.2">
      <c r="A70" s="4"/>
      <c r="B70" s="186"/>
      <c r="C70" s="187"/>
      <c r="D70" s="187"/>
      <c r="E70" s="187"/>
      <c r="F70" s="187"/>
      <c r="G70" s="187"/>
      <c r="H70" s="187"/>
      <c r="I70" s="188"/>
    </row>
    <row r="71" spans="1:9" ht="18.75" customHeight="1" x14ac:dyDescent="0.2">
      <c r="A71" s="4"/>
      <c r="B71" s="186"/>
      <c r="C71" s="187"/>
      <c r="D71" s="187"/>
      <c r="E71" s="187"/>
      <c r="F71" s="187"/>
      <c r="G71" s="187"/>
      <c r="H71" s="187"/>
      <c r="I71" s="188"/>
    </row>
    <row r="72" spans="1:9" ht="18.75" customHeight="1" x14ac:dyDescent="0.2">
      <c r="A72" s="4"/>
      <c r="B72" s="186"/>
      <c r="C72" s="187"/>
      <c r="D72" s="187"/>
      <c r="E72" s="187"/>
      <c r="F72" s="187"/>
      <c r="G72" s="187"/>
      <c r="H72" s="187"/>
      <c r="I72" s="188"/>
    </row>
    <row r="73" spans="1:9" ht="18.75" customHeight="1" x14ac:dyDescent="0.2">
      <c r="A73" s="4"/>
      <c r="B73" s="186"/>
      <c r="C73" s="187"/>
      <c r="D73" s="187"/>
      <c r="E73" s="187"/>
      <c r="F73" s="187"/>
      <c r="G73" s="187"/>
      <c r="H73" s="187"/>
      <c r="I73" s="188"/>
    </row>
    <row r="74" spans="1:9" ht="18.75" customHeight="1" x14ac:dyDescent="0.2">
      <c r="A74" s="4"/>
      <c r="B74" s="186"/>
      <c r="C74" s="187"/>
      <c r="D74" s="187"/>
      <c r="E74" s="187"/>
      <c r="F74" s="187"/>
      <c r="G74" s="187"/>
      <c r="H74" s="187"/>
      <c r="I74" s="188"/>
    </row>
    <row r="75" spans="1:9" ht="18.75" customHeight="1" x14ac:dyDescent="0.2">
      <c r="A75" s="4"/>
      <c r="B75" s="186"/>
      <c r="C75" s="187"/>
      <c r="D75" s="187"/>
      <c r="E75" s="187"/>
      <c r="F75" s="187"/>
      <c r="G75" s="187"/>
      <c r="H75" s="187"/>
      <c r="I75" s="188"/>
    </row>
    <row r="76" spans="1:9" ht="18.75" customHeight="1" x14ac:dyDescent="0.2">
      <c r="A76" s="4"/>
      <c r="B76" s="186"/>
      <c r="C76" s="187"/>
      <c r="D76" s="187"/>
      <c r="E76" s="187"/>
      <c r="F76" s="187"/>
      <c r="G76" s="187"/>
      <c r="H76" s="187"/>
      <c r="I76" s="188"/>
    </row>
    <row r="77" spans="1:9" ht="18.75" customHeight="1" x14ac:dyDescent="0.2">
      <c r="A77" s="4"/>
      <c r="B77" s="189"/>
      <c r="C77" s="190"/>
      <c r="D77" s="190"/>
      <c r="E77" s="190"/>
      <c r="F77" s="190"/>
      <c r="G77" s="190"/>
      <c r="H77" s="190"/>
      <c r="I77" s="191"/>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183" t="s">
        <v>185</v>
      </c>
      <c r="C80" s="184"/>
      <c r="D80" s="184"/>
      <c r="E80" s="184"/>
      <c r="F80" s="184"/>
      <c r="G80" s="184"/>
      <c r="H80" s="184"/>
      <c r="I80" s="192"/>
    </row>
    <row r="81" spans="1:9" ht="18.75" customHeight="1" x14ac:dyDescent="0.2">
      <c r="A81" s="1"/>
      <c r="B81" s="193"/>
      <c r="C81" s="194"/>
      <c r="D81" s="194"/>
      <c r="E81" s="194"/>
      <c r="F81" s="194"/>
      <c r="G81" s="194"/>
      <c r="H81" s="194"/>
      <c r="I81" s="195"/>
    </row>
    <row r="82" spans="1:9" ht="18.75" customHeight="1" x14ac:dyDescent="0.2">
      <c r="A82" s="1"/>
      <c r="B82" s="193"/>
      <c r="C82" s="194"/>
      <c r="D82" s="194"/>
      <c r="E82" s="194"/>
      <c r="F82" s="194"/>
      <c r="G82" s="194"/>
      <c r="H82" s="194"/>
      <c r="I82" s="195"/>
    </row>
    <row r="83" spans="1:9" ht="18.75" customHeight="1" x14ac:dyDescent="0.2">
      <c r="A83" s="1"/>
      <c r="B83" s="193"/>
      <c r="C83" s="194"/>
      <c r="D83" s="194"/>
      <c r="E83" s="194"/>
      <c r="F83" s="194"/>
      <c r="G83" s="194"/>
      <c r="H83" s="194"/>
      <c r="I83" s="195"/>
    </row>
    <row r="84" spans="1:9" ht="18.75" customHeight="1" x14ac:dyDescent="0.2">
      <c r="A84" s="1"/>
      <c r="B84" s="193"/>
      <c r="C84" s="194"/>
      <c r="D84" s="194"/>
      <c r="E84" s="194"/>
      <c r="F84" s="194"/>
      <c r="G84" s="194"/>
      <c r="H84" s="194"/>
      <c r="I84" s="195"/>
    </row>
    <row r="85" spans="1:9" ht="18.75" customHeight="1" x14ac:dyDescent="0.2">
      <c r="A85" s="1"/>
      <c r="B85" s="193"/>
      <c r="C85" s="194"/>
      <c r="D85" s="194"/>
      <c r="E85" s="194"/>
      <c r="F85" s="194"/>
      <c r="G85" s="194"/>
      <c r="H85" s="194"/>
      <c r="I85" s="195"/>
    </row>
    <row r="86" spans="1:9" ht="18.75" customHeight="1" x14ac:dyDescent="0.2">
      <c r="A86" s="1"/>
      <c r="B86" s="193"/>
      <c r="C86" s="194"/>
      <c r="D86" s="194"/>
      <c r="E86" s="194"/>
      <c r="F86" s="194"/>
      <c r="G86" s="194"/>
      <c r="H86" s="194"/>
      <c r="I86" s="195"/>
    </row>
    <row r="87" spans="1:9" ht="18.75" customHeight="1" x14ac:dyDescent="0.2">
      <c r="A87" s="1"/>
      <c r="B87" s="193"/>
      <c r="C87" s="194"/>
      <c r="D87" s="194"/>
      <c r="E87" s="194"/>
      <c r="F87" s="194"/>
      <c r="G87" s="194"/>
      <c r="H87" s="194"/>
      <c r="I87" s="195"/>
    </row>
    <row r="88" spans="1:9" ht="18.75" customHeight="1" x14ac:dyDescent="0.2">
      <c r="A88" s="1"/>
      <c r="B88" s="193"/>
      <c r="C88" s="194"/>
      <c r="D88" s="194"/>
      <c r="E88" s="194"/>
      <c r="F88" s="194"/>
      <c r="G88" s="194"/>
      <c r="H88" s="194"/>
      <c r="I88" s="195"/>
    </row>
    <row r="89" spans="1:9" ht="18.75" customHeight="1" x14ac:dyDescent="0.2">
      <c r="A89" s="1"/>
      <c r="B89" s="193"/>
      <c r="C89" s="194"/>
      <c r="D89" s="194"/>
      <c r="E89" s="194"/>
      <c r="F89" s="194"/>
      <c r="G89" s="194"/>
      <c r="H89" s="194"/>
      <c r="I89" s="195"/>
    </row>
    <row r="90" spans="1:9" ht="18.75" customHeight="1" x14ac:dyDescent="0.2">
      <c r="A90" s="4"/>
      <c r="B90" s="193"/>
      <c r="C90" s="194"/>
      <c r="D90" s="194"/>
      <c r="E90" s="194"/>
      <c r="F90" s="194"/>
      <c r="G90" s="194"/>
      <c r="H90" s="194"/>
      <c r="I90" s="195"/>
    </row>
    <row r="91" spans="1:9" ht="18.75" customHeight="1" x14ac:dyDescent="0.2">
      <c r="A91" s="4"/>
      <c r="B91" s="196"/>
      <c r="C91" s="197"/>
      <c r="D91" s="197"/>
      <c r="E91" s="197"/>
      <c r="F91" s="197"/>
      <c r="G91" s="197"/>
      <c r="H91" s="197"/>
      <c r="I91" s="198"/>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10" t="s">
        <v>183</v>
      </c>
      <c r="C94" s="211"/>
      <c r="D94" s="211"/>
      <c r="E94" s="211"/>
      <c r="F94" s="211"/>
      <c r="G94" s="211"/>
      <c r="H94" s="211"/>
      <c r="I94" s="212"/>
    </row>
    <row r="95" spans="1:9" ht="18.75" customHeight="1" x14ac:dyDescent="0.2">
      <c r="A95" s="1"/>
      <c r="B95" s="213"/>
      <c r="C95" s="214"/>
      <c r="D95" s="214"/>
      <c r="E95" s="214"/>
      <c r="F95" s="214"/>
      <c r="G95" s="214"/>
      <c r="H95" s="214"/>
      <c r="I95" s="215"/>
    </row>
    <row r="96" spans="1:9" ht="18.75" customHeight="1" x14ac:dyDescent="0.2">
      <c r="A96" s="1"/>
      <c r="B96" s="213"/>
      <c r="C96" s="214"/>
      <c r="D96" s="214"/>
      <c r="E96" s="214"/>
      <c r="F96" s="214"/>
      <c r="G96" s="214"/>
      <c r="H96" s="214"/>
      <c r="I96" s="215"/>
    </row>
    <row r="97" spans="1:9" ht="18.75" customHeight="1" x14ac:dyDescent="0.2">
      <c r="A97" s="1"/>
      <c r="B97" s="213"/>
      <c r="C97" s="214"/>
      <c r="D97" s="214"/>
      <c r="E97" s="214"/>
      <c r="F97" s="214"/>
      <c r="G97" s="214"/>
      <c r="H97" s="214"/>
      <c r="I97" s="215"/>
    </row>
    <row r="98" spans="1:9" ht="18.75" customHeight="1" x14ac:dyDescent="0.2">
      <c r="A98" s="1"/>
      <c r="B98" s="213"/>
      <c r="C98" s="214"/>
      <c r="D98" s="214"/>
      <c r="E98" s="214"/>
      <c r="F98" s="214"/>
      <c r="G98" s="214"/>
      <c r="H98" s="214"/>
      <c r="I98" s="215"/>
    </row>
    <row r="99" spans="1:9" ht="18.75" customHeight="1" x14ac:dyDescent="0.2">
      <c r="A99" s="1"/>
      <c r="B99" s="213"/>
      <c r="C99" s="214"/>
      <c r="D99" s="214"/>
      <c r="E99" s="214"/>
      <c r="F99" s="214"/>
      <c r="G99" s="214"/>
      <c r="H99" s="214"/>
      <c r="I99" s="215"/>
    </row>
    <row r="100" spans="1:9" ht="18.75" customHeight="1" x14ac:dyDescent="0.2">
      <c r="A100" s="1"/>
      <c r="B100" s="213"/>
      <c r="C100" s="214"/>
      <c r="D100" s="214"/>
      <c r="E100" s="214"/>
      <c r="F100" s="214"/>
      <c r="G100" s="214"/>
      <c r="H100" s="214"/>
      <c r="I100" s="215"/>
    </row>
    <row r="101" spans="1:9" ht="18.75" customHeight="1" x14ac:dyDescent="0.2">
      <c r="A101" s="1"/>
      <c r="B101" s="213"/>
      <c r="C101" s="214"/>
      <c r="D101" s="214"/>
      <c r="E101" s="214"/>
      <c r="F101" s="214"/>
      <c r="G101" s="214"/>
      <c r="H101" s="214"/>
      <c r="I101" s="215"/>
    </row>
    <row r="102" spans="1:9" ht="18.75" customHeight="1" x14ac:dyDescent="0.2">
      <c r="A102" s="1"/>
      <c r="B102" s="213"/>
      <c r="C102" s="214"/>
      <c r="D102" s="214"/>
      <c r="E102" s="214"/>
      <c r="F102" s="214"/>
      <c r="G102" s="214"/>
      <c r="H102" s="214"/>
      <c r="I102" s="215"/>
    </row>
    <row r="103" spans="1:9" ht="18.75" customHeight="1" x14ac:dyDescent="0.2">
      <c r="A103" s="1"/>
      <c r="B103" s="213"/>
      <c r="C103" s="214"/>
      <c r="D103" s="214"/>
      <c r="E103" s="214"/>
      <c r="F103" s="214"/>
      <c r="G103" s="214"/>
      <c r="H103" s="214"/>
      <c r="I103" s="215"/>
    </row>
    <row r="104" spans="1:9" ht="18.75" customHeight="1" x14ac:dyDescent="0.2">
      <c r="A104" s="1"/>
      <c r="B104" s="213"/>
      <c r="C104" s="214"/>
      <c r="D104" s="214"/>
      <c r="E104" s="214"/>
      <c r="F104" s="214"/>
      <c r="G104" s="214"/>
      <c r="H104" s="214"/>
      <c r="I104" s="215"/>
    </row>
    <row r="105" spans="1:9" ht="18.75" customHeight="1" x14ac:dyDescent="0.2">
      <c r="A105" s="4"/>
      <c r="B105" s="216"/>
      <c r="C105" s="217"/>
      <c r="D105" s="217"/>
      <c r="E105" s="217"/>
      <c r="F105" s="217"/>
      <c r="G105" s="217"/>
      <c r="H105" s="217"/>
      <c r="I105" s="218"/>
    </row>
    <row r="106" spans="1:9" ht="7.5" customHeight="1" x14ac:dyDescent="0.2">
      <c r="A106" s="4"/>
      <c r="B106" s="4"/>
      <c r="C106" s="4"/>
      <c r="D106" s="4"/>
      <c r="E106" s="4"/>
      <c r="F106" s="4"/>
      <c r="G106" s="4"/>
      <c r="H106" s="4"/>
      <c r="I106" s="4"/>
    </row>
    <row r="107" spans="1:9" ht="18.75" customHeight="1" x14ac:dyDescent="0.2">
      <c r="A107" s="1" t="s">
        <v>30</v>
      </c>
      <c r="B107" s="219" t="s">
        <v>46</v>
      </c>
      <c r="C107" s="219"/>
      <c r="D107" s="219"/>
      <c r="E107" s="219"/>
      <c r="F107" s="219"/>
      <c r="G107" s="219"/>
      <c r="H107" s="219"/>
      <c r="I107" s="219"/>
    </row>
    <row r="108" spans="1:9" ht="18.75" customHeight="1" x14ac:dyDescent="0.2">
      <c r="A108" s="4"/>
      <c r="B108" s="210" t="s">
        <v>170</v>
      </c>
      <c r="C108" s="211"/>
      <c r="D108" s="211"/>
      <c r="E108" s="211"/>
      <c r="F108" s="211"/>
      <c r="G108" s="211"/>
      <c r="H108" s="211"/>
      <c r="I108" s="212"/>
    </row>
    <row r="109" spans="1:9" ht="18.75" customHeight="1" x14ac:dyDescent="0.2">
      <c r="A109" s="4"/>
      <c r="B109" s="213"/>
      <c r="C109" s="214"/>
      <c r="D109" s="214"/>
      <c r="E109" s="214"/>
      <c r="F109" s="214"/>
      <c r="G109" s="214"/>
      <c r="H109" s="214"/>
      <c r="I109" s="215"/>
    </row>
    <row r="110" spans="1:9" ht="18.75" customHeight="1" x14ac:dyDescent="0.2">
      <c r="A110" s="4"/>
      <c r="B110" s="213"/>
      <c r="C110" s="214"/>
      <c r="D110" s="214"/>
      <c r="E110" s="214"/>
      <c r="F110" s="214"/>
      <c r="G110" s="214"/>
      <c r="H110" s="214"/>
      <c r="I110" s="215"/>
    </row>
    <row r="111" spans="1:9" ht="18.75" customHeight="1" x14ac:dyDescent="0.2">
      <c r="A111" s="4"/>
      <c r="B111" s="213"/>
      <c r="C111" s="214"/>
      <c r="D111" s="214"/>
      <c r="E111" s="214"/>
      <c r="F111" s="214"/>
      <c r="G111" s="214"/>
      <c r="H111" s="214"/>
      <c r="I111" s="215"/>
    </row>
    <row r="112" spans="1:9" ht="18.75" customHeight="1" x14ac:dyDescent="0.2">
      <c r="A112" s="4"/>
      <c r="B112" s="213"/>
      <c r="C112" s="214"/>
      <c r="D112" s="214"/>
      <c r="E112" s="214"/>
      <c r="F112" s="214"/>
      <c r="G112" s="214"/>
      <c r="H112" s="214"/>
      <c r="I112" s="215"/>
    </row>
    <row r="113" spans="1:9" ht="18.75" customHeight="1" x14ac:dyDescent="0.2">
      <c r="A113" s="4"/>
      <c r="B113" s="213"/>
      <c r="C113" s="214"/>
      <c r="D113" s="214"/>
      <c r="E113" s="214"/>
      <c r="F113" s="214"/>
      <c r="G113" s="214"/>
      <c r="H113" s="214"/>
      <c r="I113" s="215"/>
    </row>
    <row r="114" spans="1:9" ht="18.75" customHeight="1" x14ac:dyDescent="0.2">
      <c r="A114" s="4"/>
      <c r="B114" s="213"/>
      <c r="C114" s="214"/>
      <c r="D114" s="214"/>
      <c r="E114" s="214"/>
      <c r="F114" s="214"/>
      <c r="G114" s="214"/>
      <c r="H114" s="214"/>
      <c r="I114" s="215"/>
    </row>
    <row r="115" spans="1:9" ht="18.75" customHeight="1" x14ac:dyDescent="0.2">
      <c r="A115" s="4"/>
      <c r="B115" s="213"/>
      <c r="C115" s="214"/>
      <c r="D115" s="214"/>
      <c r="E115" s="214"/>
      <c r="F115" s="214"/>
      <c r="G115" s="214"/>
      <c r="H115" s="214"/>
      <c r="I115" s="215"/>
    </row>
    <row r="116" spans="1:9" ht="18.75" customHeight="1" x14ac:dyDescent="0.2">
      <c r="A116" s="4"/>
      <c r="B116" s="213"/>
      <c r="C116" s="214"/>
      <c r="D116" s="214"/>
      <c r="E116" s="214"/>
      <c r="F116" s="214"/>
      <c r="G116" s="214"/>
      <c r="H116" s="214"/>
      <c r="I116" s="215"/>
    </row>
    <row r="117" spans="1:9" ht="18.75" customHeight="1" x14ac:dyDescent="0.2">
      <c r="A117" s="4"/>
      <c r="B117" s="213"/>
      <c r="C117" s="214"/>
      <c r="D117" s="214"/>
      <c r="E117" s="214"/>
      <c r="F117" s="214"/>
      <c r="G117" s="214"/>
      <c r="H117" s="214"/>
      <c r="I117" s="215"/>
    </row>
    <row r="118" spans="1:9" ht="18.75" customHeight="1" x14ac:dyDescent="0.2">
      <c r="A118" s="4"/>
      <c r="B118" s="213"/>
      <c r="C118" s="214"/>
      <c r="D118" s="214"/>
      <c r="E118" s="214"/>
      <c r="F118" s="214"/>
      <c r="G118" s="214"/>
      <c r="H118" s="214"/>
      <c r="I118" s="215"/>
    </row>
    <row r="119" spans="1:9" ht="18.75" customHeight="1" x14ac:dyDescent="0.2">
      <c r="A119" s="4"/>
      <c r="B119" s="216"/>
      <c r="C119" s="217"/>
      <c r="D119" s="217"/>
      <c r="E119" s="217"/>
      <c r="F119" s="217"/>
      <c r="G119" s="217"/>
      <c r="H119" s="217"/>
      <c r="I119" s="218"/>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5" t="s">
        <v>105</v>
      </c>
    </row>
    <row r="2" spans="1:9" ht="18.75" customHeight="1" x14ac:dyDescent="0.2">
      <c r="H2" s="35" t="s">
        <v>109</v>
      </c>
      <c r="I2" s="34" t="str">
        <f>'様式１　プログラムを構成する授業科目'!C2</f>
        <v>青山学院大学</v>
      </c>
    </row>
    <row r="3" spans="1:9" ht="18.75" customHeight="1" x14ac:dyDescent="0.2">
      <c r="A3" s="106" t="s">
        <v>28</v>
      </c>
      <c r="B3" s="106"/>
      <c r="C3" s="106"/>
      <c r="D3" s="106"/>
      <c r="E3" s="106"/>
      <c r="F3" s="106"/>
      <c r="G3" s="106"/>
      <c r="H3" s="106"/>
      <c r="I3" s="106"/>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28" t="s">
        <v>132</v>
      </c>
      <c r="C6" s="257"/>
      <c r="D6" s="257"/>
      <c r="E6" s="257"/>
      <c r="F6" s="257"/>
      <c r="G6" s="257"/>
      <c r="H6" s="233"/>
      <c r="I6" s="3"/>
    </row>
    <row r="7" spans="1:9" ht="9" customHeight="1" x14ac:dyDescent="0.2">
      <c r="A7" s="5"/>
      <c r="B7" s="10"/>
      <c r="C7" s="10"/>
      <c r="D7" s="10"/>
      <c r="E7" s="10"/>
      <c r="F7" s="10"/>
      <c r="G7" s="10"/>
      <c r="H7" s="10"/>
      <c r="I7" s="3"/>
    </row>
    <row r="8" spans="1:9" ht="18.75" customHeight="1" x14ac:dyDescent="0.2">
      <c r="A8" s="5"/>
      <c r="B8" s="3"/>
      <c r="C8" s="3"/>
      <c r="D8" s="35" t="s">
        <v>43</v>
      </c>
      <c r="E8" s="36" t="s">
        <v>133</v>
      </c>
      <c r="F8" s="3"/>
      <c r="G8" s="35" t="s">
        <v>10</v>
      </c>
      <c r="H8" s="36" t="s">
        <v>134</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5" t="s">
        <v>24</v>
      </c>
      <c r="C11" s="96"/>
      <c r="D11" s="97"/>
      <c r="E11" s="96" t="s">
        <v>26</v>
      </c>
      <c r="F11" s="96"/>
      <c r="G11" s="96"/>
      <c r="H11" s="96"/>
      <c r="I11" s="97"/>
    </row>
    <row r="12" spans="1:9" ht="26.25" customHeight="1" x14ac:dyDescent="0.2">
      <c r="B12" s="50" t="s">
        <v>14</v>
      </c>
      <c r="C12" s="57"/>
      <c r="D12" s="51"/>
      <c r="E12" s="58"/>
      <c r="F12" s="58"/>
      <c r="G12" s="58"/>
      <c r="H12" s="58"/>
      <c r="I12" s="51"/>
    </row>
    <row r="13" spans="1:9" ht="210.75" customHeight="1" x14ac:dyDescent="0.2">
      <c r="B13" s="52"/>
      <c r="C13" s="240" t="s">
        <v>15</v>
      </c>
      <c r="D13" s="241"/>
      <c r="E13" s="253" t="s">
        <v>184</v>
      </c>
      <c r="F13" s="242"/>
      <c r="G13" s="242"/>
      <c r="H13" s="242"/>
      <c r="I13" s="243"/>
    </row>
    <row r="14" spans="1:9" ht="210.75" customHeight="1" x14ac:dyDescent="0.2">
      <c r="B14" s="52"/>
      <c r="C14" s="255" t="s">
        <v>16</v>
      </c>
      <c r="D14" s="256"/>
      <c r="E14" s="253" t="s">
        <v>171</v>
      </c>
      <c r="F14" s="242"/>
      <c r="G14" s="242"/>
      <c r="H14" s="242"/>
      <c r="I14" s="243"/>
    </row>
    <row r="15" spans="1:9" ht="210.75" customHeight="1" x14ac:dyDescent="0.2">
      <c r="B15" s="52"/>
      <c r="C15" s="240" t="s">
        <v>17</v>
      </c>
      <c r="D15" s="241"/>
      <c r="E15" s="253" t="s">
        <v>172</v>
      </c>
      <c r="F15" s="242"/>
      <c r="G15" s="242"/>
      <c r="H15" s="242"/>
      <c r="I15" s="243"/>
    </row>
    <row r="16" spans="1:9" ht="210.75" customHeight="1" x14ac:dyDescent="0.2">
      <c r="B16" s="52"/>
      <c r="C16" s="240" t="s">
        <v>18</v>
      </c>
      <c r="D16" s="241"/>
      <c r="E16" s="253" t="s">
        <v>173</v>
      </c>
      <c r="F16" s="242"/>
      <c r="G16" s="242"/>
      <c r="H16" s="242"/>
      <c r="I16" s="243"/>
    </row>
    <row r="17" spans="2:9" ht="210.75" customHeight="1" x14ac:dyDescent="0.2">
      <c r="B17" s="53"/>
      <c r="C17" s="244" t="s">
        <v>19</v>
      </c>
      <c r="D17" s="245"/>
      <c r="E17" s="254" t="s">
        <v>174</v>
      </c>
      <c r="F17" s="246"/>
      <c r="G17" s="246"/>
      <c r="H17" s="246"/>
      <c r="I17" s="247"/>
    </row>
    <row r="18" spans="2:9" ht="24" customHeight="1" x14ac:dyDescent="0.2">
      <c r="B18" s="50" t="s">
        <v>20</v>
      </c>
      <c r="C18" s="54"/>
      <c r="D18" s="55"/>
      <c r="E18" s="56"/>
      <c r="F18" s="56"/>
      <c r="G18" s="56"/>
      <c r="H18" s="56"/>
      <c r="I18" s="59"/>
    </row>
    <row r="19" spans="2:9" ht="218.25" customHeight="1" x14ac:dyDescent="0.2">
      <c r="B19" s="52"/>
      <c r="C19" s="240" t="s">
        <v>21</v>
      </c>
      <c r="D19" s="241"/>
      <c r="E19" s="242" t="s">
        <v>175</v>
      </c>
      <c r="F19" s="242"/>
      <c r="G19" s="242"/>
      <c r="H19" s="242"/>
      <c r="I19" s="243"/>
    </row>
    <row r="20" spans="2:9" ht="218.25" customHeight="1" x14ac:dyDescent="0.2">
      <c r="B20" s="53"/>
      <c r="C20" s="244" t="s">
        <v>22</v>
      </c>
      <c r="D20" s="245"/>
      <c r="E20" s="246" t="s">
        <v>176</v>
      </c>
      <c r="F20" s="246"/>
      <c r="G20" s="246"/>
      <c r="H20" s="246"/>
      <c r="I20" s="247"/>
    </row>
    <row r="21" spans="2:9" ht="218.25" customHeight="1" x14ac:dyDescent="0.2">
      <c r="B21" s="248" t="s">
        <v>23</v>
      </c>
      <c r="C21" s="249"/>
      <c r="D21" s="250"/>
      <c r="E21" s="251" t="s">
        <v>177</v>
      </c>
      <c r="F21" s="251"/>
      <c r="G21" s="251"/>
      <c r="H21" s="251"/>
      <c r="I21" s="252"/>
    </row>
    <row r="22" spans="2:9" ht="218.25" customHeight="1" x14ac:dyDescent="0.2">
      <c r="B22" s="235" t="s">
        <v>38</v>
      </c>
      <c r="C22" s="236"/>
      <c r="D22" s="237"/>
      <c r="E22" s="238" t="s">
        <v>178</v>
      </c>
      <c r="F22" s="238"/>
      <c r="G22" s="238"/>
      <c r="H22" s="238"/>
      <c r="I22" s="239"/>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kolohe</cp:lastModifiedBy>
  <cp:lastPrinted>2023-05-14T05:12:35Z</cp:lastPrinted>
  <dcterms:created xsi:type="dcterms:W3CDTF">2011-06-14T05:32:50Z</dcterms:created>
  <dcterms:modified xsi:type="dcterms:W3CDTF">2023-05-15T06:34:30Z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