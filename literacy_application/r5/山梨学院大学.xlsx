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24226"/>
  <mc:AlternateContent xmlns:mc="http://schemas.openxmlformats.org/markup-compatibility/2006">
    <mc:Choice Requires="x15">
      <x15ac:absPath xmlns:x15ac="http://schemas.microsoft.com/office/spreadsheetml/2010/11/ac" url="C:\Users\s-ashizawa\Desktop\山梨学院大学_リテラシー_差替（0822）\"/>
    </mc:Choice>
  </mc:AlternateContent>
  <xr:revisionPtr revIDLastSave="0" documentId="13_ncr:1_{9AC78FD0-78D0-47E3-A009-CBDA77FBEDBD}" xr6:coauthVersionLast="36" xr6:coauthVersionMax="47" xr10:uidLastSave="{00000000-0000-0000-0000-000000000000}"/>
  <bookViews>
    <workbookView xWindow="0" yWindow="0" windowWidth="19200" windowHeight="6860" tabRatio="885" xr2:uid="{00000000-000D-0000-FFFF-FFFF00000000}"/>
  </bookViews>
  <sheets>
    <sheet name="様式１-1　プログラムを構成する授業科目 (法経ス）" sheetId="44" r:id="rId1"/>
    <sheet name="様式１-2　プログラムを構成する授業科目（管）" sheetId="39" r:id="rId2"/>
    <sheet name="様式１-3　プログラムを構成する授業科目（国際）" sheetId="43"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'様式１-1　プログラムを構成する授業科目 (法経ス）'!$V$14:$V$16</definedName>
    <definedName name="_xlnm._FilterDatabase" localSheetId="1" hidden="1">'様式１-2　プログラムを構成する授業科目（管）'!$V$14:$V$16</definedName>
    <definedName name="_xlnm._FilterDatabase" localSheetId="2" hidden="1">'様式１-3　プログラムを構成する授業科目（国際）'!$V$14:$V$16</definedName>
    <definedName name="_xlnm._FilterDatabase" localSheetId="3" hidden="1">'様式２ 履修者等数の実績'!#REF!</definedName>
    <definedName name="_xlnm.Print_Area" localSheetId="0">'様式１-1　プログラムを構成する授業科目 (法経ス）'!$A$1:$S$102</definedName>
    <definedName name="_xlnm.Print_Area" localSheetId="1">'様式１-2　プログラムを構成する授業科目（管）'!$A$1:$S$102</definedName>
    <definedName name="_xlnm.Print_Area" localSheetId="2">'様式１-3　プログラムを構成する授業科目（国際）'!$A$1:$S$102</definedName>
    <definedName name="_xlnm.Print_Area" localSheetId="3">'様式２ 履修者等数の実績'!$A$1:$AQ$32</definedName>
    <definedName name="_xlnm.Print_Area" localSheetId="4">'様式３ 教育の質・履修者数を向上させるための体制・計画'!$A$1:$I$120</definedName>
    <definedName name="_xlnm.Print_Area" localSheetId="5">'様式４　自己点検・評価'!$A$1:$I$22</definedName>
    <definedName name="_xlnm.Print_Titles" localSheetId="5">'様式４　自己点検・評価'!$11:$11</definedName>
  </definedNames>
  <calcPr calcId="191029"/>
</workbook>
</file>

<file path=xl/calcChain.xml><?xml version="1.0" encoding="utf-8"?>
<calcChain xmlns="http://schemas.openxmlformats.org/spreadsheetml/2006/main">
  <c r="I2" i="42" l="1"/>
  <c r="AM2" i="40"/>
  <c r="AO32" i="40" l="1"/>
  <c r="AN32" i="40"/>
  <c r="AL32" i="40"/>
  <c r="AK32" i="40"/>
  <c r="AM16" i="40"/>
  <c r="AJ16" i="40"/>
  <c r="AM15" i="40"/>
  <c r="AJ15" i="40"/>
  <c r="AM14" i="40"/>
  <c r="AJ14" i="40"/>
  <c r="AM13" i="40"/>
  <c r="AJ13" i="40"/>
  <c r="AM12" i="40"/>
  <c r="AJ12" i="40"/>
  <c r="AI32" i="40"/>
  <c r="AH32" i="40"/>
  <c r="AF32" i="40"/>
  <c r="AE32" i="40"/>
  <c r="AG16" i="40"/>
  <c r="AD16" i="40"/>
  <c r="AG15" i="40"/>
  <c r="AD15" i="40"/>
  <c r="AG14" i="40"/>
  <c r="AD14" i="40"/>
  <c r="AG13" i="40"/>
  <c r="AD13" i="40"/>
  <c r="AG12" i="40"/>
  <c r="AD12" i="40"/>
  <c r="AC32" i="40"/>
  <c r="AB32" i="40"/>
  <c r="Z32" i="40"/>
  <c r="Y32" i="40"/>
  <c r="AA16" i="40"/>
  <c r="X16" i="40"/>
  <c r="AA15" i="40"/>
  <c r="X15" i="40"/>
  <c r="AA14" i="40"/>
  <c r="X14" i="40"/>
  <c r="AA13" i="40"/>
  <c r="X13" i="40"/>
  <c r="AA12" i="40"/>
  <c r="X12" i="40"/>
  <c r="W32" i="40"/>
  <c r="V32" i="40"/>
  <c r="T32" i="40"/>
  <c r="S32" i="40"/>
  <c r="U16" i="40"/>
  <c r="R16" i="40"/>
  <c r="U15" i="40"/>
  <c r="R15" i="40"/>
  <c r="U14" i="40"/>
  <c r="R14" i="40"/>
  <c r="U13" i="40"/>
  <c r="R13" i="40"/>
  <c r="U12" i="40"/>
  <c r="R12" i="40"/>
  <c r="Q32" i="40"/>
  <c r="P32" i="40"/>
  <c r="N32" i="40"/>
  <c r="M32" i="40"/>
  <c r="O16" i="40"/>
  <c r="L16" i="40"/>
  <c r="O15" i="40"/>
  <c r="L15" i="40"/>
  <c r="O14" i="40"/>
  <c r="L14" i="40"/>
  <c r="O12" i="40"/>
  <c r="L12" i="40"/>
  <c r="O32" i="40" l="1"/>
  <c r="AA32" i="40"/>
  <c r="AJ32" i="40"/>
  <c r="AM32" i="40"/>
  <c r="AG32" i="40"/>
  <c r="AD32" i="40"/>
  <c r="X32" i="40"/>
  <c r="R32" i="40"/>
  <c r="U32" i="40"/>
  <c r="L32" i="40"/>
  <c r="K32" i="40" l="1"/>
  <c r="J32" i="40"/>
  <c r="I15" i="40"/>
  <c r="G32" i="40"/>
  <c r="H32" i="40"/>
  <c r="AP13" i="40"/>
  <c r="AP14" i="40"/>
  <c r="F15" i="40"/>
  <c r="AP15" i="40" s="1"/>
  <c r="AP16" i="40"/>
  <c r="AP12" i="40"/>
  <c r="AQ12" i="40" s="1"/>
  <c r="C32" i="40"/>
  <c r="I32" i="40" l="1"/>
  <c r="F32" i="40" l="1"/>
  <c r="E32" i="40"/>
  <c r="I50" i="41" s="1"/>
  <c r="D32" i="40"/>
  <c r="AQ16" i="40"/>
  <c r="AQ15" i="40"/>
  <c r="AQ14" i="40"/>
  <c r="AQ13" i="40"/>
  <c r="AP32" i="40" l="1"/>
  <c r="AQ32" i="40" s="1"/>
  <c r="C49" i="41" s="1"/>
</calcChain>
</file>

<file path=xl/sharedStrings.xml><?xml version="1.0" encoding="utf-8"?>
<sst xmlns="http://schemas.openxmlformats.org/spreadsheetml/2006/main" count="601" uniqueCount="207">
  <si>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</si>
  <si>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</si>
  <si>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山梨学院大学</t>
    <rPh sb="0" eb="6">
      <t xml:space="preserve">ヤマナシガクインダイガク </t>
    </rPh>
    <phoneticPr fontId="1"/>
  </si>
  <si>
    <t>プログラム名</t>
    <rPh sb="5" eb="6">
      <t>メイ</t>
    </rPh>
    <phoneticPr fontId="1"/>
  </si>
  <si>
    <t>ICTスキルとデータサイエンス修得プログラム</t>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</si>
  <si>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</si>
  <si>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</si>
  <si>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</si>
  <si>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学部・学科によって、修了要件は相違する</t>
  </si>
  <si>
    <t>法学部、経営学部、スポーツ科学部</t>
    <rPh sb="0" eb="3">
      <t xml:space="preserve">ホウガクブホウガッカ </t>
    </rPh>
    <rPh sb="4" eb="8">
      <t xml:space="preserve">ケイエイガクブ </t>
    </rPh>
    <rPh sb="9" eb="14">
      <t xml:space="preserve">ケンコウエイヨウガクブ </t>
    </rPh>
    <phoneticPr fontId="1"/>
  </si>
  <si>
    <t>③ 修了要件</t>
    <phoneticPr fontId="1"/>
  </si>
  <si>
    <t>「ICTリテラシーA」2単位、「ICTリテラシーB」2単位、「データサイエンス」2単位の必修3科目、合計6単位を取得すること</t>
    <rPh sb="39" eb="41">
      <t xml:space="preserve">リシュウスル </t>
    </rPh>
    <rPh sb="44" eb="46">
      <t xml:space="preserve">ヒッシュウ </t>
    </rPh>
    <rPh sb="50" eb="52">
      <t xml:space="preserve">ゴウケイ </t>
    </rPh>
    <rPh sb="56" eb="58">
      <t xml:space="preserve">シュトク </t>
    </rPh>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</si>
  <si>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</si>
  <si>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</si>
  <si>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</si>
  <si>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</si>
  <si>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</si>
  <si>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</si>
  <si>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</si>
  <si>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</si>
  <si>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</si>
  <si>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</si>
  <si>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</si>
  <si>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</si>
  <si>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</si>
  <si>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</si>
  <si>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</si>
  <si>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</si>
  <si>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</si>
  <si>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</si>
  <si>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</si>
  <si>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</si>
  <si>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</si>
  <si>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</si>
  <si>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</si>
  <si>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</si>
  <si>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ICTリテラシーA</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</si>
  <si>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</si>
  <si>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</si>
  <si>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</si>
  <si>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</si>
  <si>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ICTリテラシーB</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</si>
  <si>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</si>
  <si>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</si>
  <si>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</si>
  <si>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</si>
  <si>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</si>
  <si>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</si>
  <si>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</si>
  <si>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</si>
  <si>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</si>
  <si>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</si>
  <si>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</si>
  <si>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</si>
  <si>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</si>
  <si>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ICTスキルと数理・データサイエンス・AIの基礎知識が同時に身につきます。グループ学習を通じて、協力して発表資料を作成することで数理・データサイエンス・AIを学ぶことの楽しさを体験し、将来に渡って学ぶ力が身につきます。</t>
    <phoneticPr fontId="1"/>
  </si>
  <si>
    <t>健康栄養学部</t>
    <rPh sb="0" eb="3">
      <t xml:space="preserve">ホウガクブホウガッカ ケイエイガクブ コクサイリベラルアガクブ ケンコウエイヨウガクブ </t>
    </rPh>
    <phoneticPr fontId="1"/>
  </si>
  <si>
    <t>「情報処理演習Ⅰ」1単位、「情報処理演習Ⅱ」1単位、「データサイエンス」2単位の必修3科目、合計4単位を取得すること</t>
    <phoneticPr fontId="1"/>
  </si>
  <si>
    <t>情報処理演習Ⅰ</t>
    <rPh sb="0" eb="6">
      <t xml:space="preserve">ジョウホウショリエンシュウ </t>
    </rPh>
    <phoneticPr fontId="1"/>
  </si>
  <si>
    <t>情報処理演習Ⅱ</t>
    <phoneticPr fontId="1"/>
  </si>
  <si>
    <t>国際リベラルアーツ学部</t>
    <rPh sb="0" eb="2">
      <t>コクサイリベラルア</t>
    </rPh>
    <rPh sb="9" eb="11">
      <t xml:space="preserve">ガクブ </t>
    </rPh>
    <phoneticPr fontId="1"/>
  </si>
  <si>
    <t>Introduction to Computer Science</t>
    <phoneticPr fontId="1"/>
  </si>
  <si>
    <t>Machine Learning</t>
    <phoneticPr fontId="1"/>
  </si>
  <si>
    <t>Statistics</t>
    <phoneticPr fontId="1"/>
  </si>
  <si>
    <t>数理・データサイエンス・AIの基礎的な知識が身につきます。多種性豊かな学生がともに学ぶことで、数理・データサイエンス・AIについても多種多様な考え方を見につけることができます。</t>
    <rPh sb="0" eb="2">
      <t xml:space="preserve">タシュタヨウナ </t>
    </rPh>
    <rPh sb="2" eb="3">
      <t xml:space="preserve">ユタカナ </t>
    </rPh>
    <rPh sb="6" eb="8">
      <t xml:space="preserve">ガクセイガ </t>
    </rPh>
    <rPh sb="12" eb="13">
      <t xml:space="preserve">マナブコトデ </t>
    </rPh>
    <rPh sb="15" eb="18">
      <t xml:space="preserve">キソテキナ </t>
    </rPh>
    <rPh sb="19" eb="21">
      <t xml:space="preserve">チシキト </t>
    </rPh>
    <rPh sb="22" eb="23">
      <t xml:space="preserve">ミニツキマス </t>
    </rPh>
    <rPh sb="31" eb="32">
      <t xml:space="preserve">セイ </t>
    </rPh>
    <rPh sb="34" eb="35">
      <t xml:space="preserve">スウリ </t>
    </rPh>
    <rPh sb="71" eb="72">
      <t>カンガエカタ タシュタヨ</t>
    </rPh>
    <phoneticPr fontId="1"/>
  </si>
  <si>
    <t>様式２</t>
    <phoneticPr fontId="1"/>
  </si>
  <si>
    <t>プログラムの履修者数等の実績について</t>
    <phoneticPr fontId="1"/>
  </si>
  <si>
    <t>①プログラム開設年度</t>
    <rPh sb="6" eb="8">
      <t>カイセツ</t>
    </rPh>
    <rPh sb="8" eb="10">
      <t>ネンド</t>
    </rPh>
    <phoneticPr fontId="1"/>
  </si>
  <si>
    <t>令和3</t>
    <rPh sb="0" eb="2">
      <t>レイ</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</si>
  <si>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</si>
  <si>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</si>
  <si>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</si>
  <si>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</si>
  <si>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</si>
  <si>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</si>
  <si>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</si>
  <si>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</si>
  <si>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</si>
  <si>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</si>
  <si>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</si>
  <si>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</si>
  <si>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</si>
  <si>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</si>
  <si>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</si>
  <si>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</si>
  <si>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</si>
  <si>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</si>
  <si>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</si>
  <si>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法学部</t>
    <rPh sb="0" eb="3">
      <t>ホウガ</t>
    </rPh>
    <phoneticPr fontId="1"/>
  </si>
  <si>
    <t>経営学部</t>
    <rPh sb="0" eb="4">
      <t>ケイエイ</t>
    </rPh>
    <phoneticPr fontId="1"/>
  </si>
  <si>
    <t>健康栄養学部</t>
    <rPh sb="0" eb="6">
      <t>ケンコウ</t>
    </rPh>
    <phoneticPr fontId="1"/>
  </si>
  <si>
    <t>国際リベラルアーツ学部</t>
    <rPh sb="0" eb="2">
      <t>コクサイ</t>
    </rPh>
    <phoneticPr fontId="1"/>
  </si>
  <si>
    <t>スポーツ科学部</t>
    <phoneticPr fontId="1"/>
  </si>
  <si>
    <t>合　計</t>
    <phoneticPr fontId="1"/>
  </si>
  <si>
    <t>　　　　　　　　　　　　　　　　　　　　　　　　　　　　　　　　　　　　　　　　　　　　　　　　　　　　　　　　　　　　　　　　　　　　　　　　　　　　　　　　　　　　　　　　　　　　　　　　　　　　　　　　　　　　　　　　　　　　　　　　　　　　　　　　　　　　　　　　　　　　　　　　　　　　　　　　　　　　　　　　　　　　　　　　　　　　　　　　　　　　　　　　　　　　　　　　　　　　　　　　　　　　　　　　　　　　　　　　　　　　　　　　　　　　　　　　　　　　　　　　　　　　　　　　　　　　　　　　　　　　　　　　　　　　　　　　　　　　　　　　　　　　　　　　　　　　　　　　　　　　　　　　　　　　　　　　　　　　　　　　　　　　　　　　　　　　　　　　　　　　　　　　　　　　　　　　　　　　　　　　　　　　　　　　　　　　　　　　　　　　　　　　　　　　　　　　　　　　　　　　　　　　　　　　　　　　　　　　　　　　　　　　　　　　　　　　　　　　　　　　　　　　　　　　　　　　　　　　　　　　　　　　　　　　　　　　　　　　　　　　　　　　　　　　　　　　　　　　　　　　　　　　　　　　　　　　　　　　　　　　　　　　　　　　　　　　　　　　　　　　　　　　　　　　　　　　　　　　　　　　　　　　　　　　　　　　　　　　　　　　　　　　　　　　　　　　　　　　　　　　　　　　　　　　　　　　　　　　　　　　　　　　　　　　　　　　　　　　　　　　　　　　　　　　　　　　　　　　　　　　　　　　　　　　　　　　　　　　　　　　　　　　　　　　　　　　　　　　　　　　　　　　　　　　　　　　　　　　　　　　　　　　　　　　　　　　　　</t>
    <phoneticPr fontId="1"/>
  </si>
  <si>
    <t>様式３</t>
    <phoneticPr fontId="1"/>
  </si>
  <si>
    <t>山梨学院大学</t>
  </si>
  <si>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</si>
  <si>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</si>
  <si>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</si>
  <si>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</si>
  <si>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</si>
  <si>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</si>
  <si>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</si>
  <si>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</si>
  <si>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</si>
  <si>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</si>
  <si>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</si>
  <si>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</si>
  <si>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学習・教育開発センター教授</t>
    <rPh sb="0" eb="2">
      <t xml:space="preserve">ガクシュウ </t>
    </rPh>
    <rPh sb="11" eb="13">
      <t>キョウ</t>
    </rPh>
    <phoneticPr fontId="1"/>
  </si>
  <si>
    <t>④</t>
    <phoneticPr fontId="1"/>
  </si>
  <si>
    <t>プログラムを改善・進化させるための体制（委員会・組織等）</t>
    <phoneticPr fontId="1"/>
  </si>
  <si>
    <t>学習・教育開発センター</t>
    <rPh sb="0" eb="2">
      <t>ガクシュウ</t>
    </rPh>
    <rPh sb="3" eb="5">
      <t>キョウイク</t>
    </rPh>
    <rPh sb="5" eb="7">
      <t>カイハツ</t>
    </rPh>
    <phoneticPr fontId="1"/>
  </si>
  <si>
    <t>成田　秀夫</t>
    <rPh sb="0" eb="2">
      <t>ナリタ</t>
    </rPh>
    <rPh sb="3" eb="5">
      <t>ヒデオ</t>
    </rPh>
    <phoneticPr fontId="1"/>
  </si>
  <si>
    <t>センター長</t>
    <rPh sb="4" eb="5">
      <t>ナガ</t>
    </rPh>
    <phoneticPr fontId="1"/>
  </si>
  <si>
    <t>⑤</t>
    <phoneticPr fontId="1"/>
  </si>
  <si>
    <t>プログラムを改善・進化させるための体制を定める規則名称</t>
    <phoneticPr fontId="1"/>
  </si>
  <si>
    <t>山梨学院大学学習・教育開発センター規程</t>
    <rPh sb="0" eb="2">
      <t>ヤマナシ</t>
    </rPh>
    <rPh sb="2" eb="4">
      <t>ガクイン</t>
    </rPh>
    <rPh sb="4" eb="6">
      <t>ダイガク</t>
    </rPh>
    <rPh sb="6" eb="8">
      <t>ガクシュウ</t>
    </rPh>
    <rPh sb="9" eb="11">
      <t>キョウイク</t>
    </rPh>
    <rPh sb="11" eb="13">
      <t>カイハツ</t>
    </rPh>
    <rPh sb="17" eb="19">
      <t>キテイ</t>
    </rPh>
    <phoneticPr fontId="1"/>
  </si>
  <si>
    <t>⑥</t>
    <phoneticPr fontId="1"/>
  </si>
  <si>
    <t>体制の目的</t>
    <rPh sb="0" eb="2">
      <t>タイセイ</t>
    </rPh>
    <rPh sb="3" eb="5">
      <t>モクテキ</t>
    </rPh>
    <phoneticPr fontId="1"/>
  </si>
  <si>
    <t>学習・教育開発センターは、社会に出てからも自ら学び続ける積極的で力強い学生、すなわち「自律的学習者」を育てることを目指し、2016年度（平成28年度）に設立。各学部の特性に応じた専門的知識・技能に関する教育分野ではなく、全学部の学生に向けて今後の社会で必要とされる各種スキルの向上を目的に、カリキュラム開発や教育の質向上等の施策推進を担っている。
　学習・教育開発センターに所属する教員は、「ICTスキル」「言語スキル」「ヒューマンスキル」「キャリア形成支援」の４つの部門（領域）に分かれ、それぞれに主任教員を設置した上で、各部門のマネジメントを行う体制としている。また、教職員の教育の質向上を目的としたFD/SDの企画・運営もあわせて実施している。
　「数理・データサイエンス・AI教育」に関しては、上記の「ICTスキル」部門に所属する教員が中心となり、カリキュラム開発、運営およびFD等の企画を行っている。学部単位ではなく全学的視点でICTに関する授業設計・運営を統括しており、本学学生の状況や社会動向、他大学との情報連携も踏まえながら、本学ICT教育の基盤を築き、発展させていく役割を担っている。</t>
    <rPh sb="68" eb="70">
      <t xml:space="preserve">ヘイセイ </t>
    </rPh>
    <rPh sb="72" eb="74">
      <t xml:space="preserve">ネンド </t>
    </rPh>
    <rPh sb="187" eb="189">
      <t>ショゾク</t>
    </rPh>
    <rPh sb="191" eb="193">
      <t>キョウイン</t>
    </rPh>
    <rPh sb="237" eb="239">
      <t>リョウイキ</t>
    </rPh>
    <rPh sb="259" eb="260">
      <t>ウエ</t>
    </rPh>
    <phoneticPr fontId="1"/>
  </si>
  <si>
    <t>⑦</t>
    <phoneticPr fontId="1"/>
  </si>
  <si>
    <t>具体的な構成員</t>
    <rPh sb="0" eb="3">
      <t>グタイテキ</t>
    </rPh>
    <rPh sb="4" eb="7">
      <t>コウセイイン</t>
    </rPh>
    <phoneticPr fontId="1"/>
  </si>
  <si>
    <t>学習・教育開発センター　
　センター長　　　成田　秀夫
　副センター長　 倉澤　一孝（経営学部　副学部長）
（ICTスキル部門）
　　センター専任教員　  教授　内藤　統也（ICTスキル部門主任）
　　センター専任教員　  教授　金子　勝一
　　センター専任教員　  教授　清水　智
　　センター専任教員　　教授　原  敏
　　他、非常勤２名
　　</t>
    <rPh sb="0" eb="2">
      <t>ガクシュウ</t>
    </rPh>
    <rPh sb="3" eb="5">
      <t>キョウイク</t>
    </rPh>
    <rPh sb="5" eb="7">
      <t>カイハツ</t>
    </rPh>
    <rPh sb="18" eb="19">
      <t>ナガ</t>
    </rPh>
    <rPh sb="22" eb="24">
      <t>ナリタ</t>
    </rPh>
    <rPh sb="25" eb="27">
      <t>ヒデオ</t>
    </rPh>
    <rPh sb="29" eb="30">
      <t>フク</t>
    </rPh>
    <rPh sb="34" eb="35">
      <t>ナガ</t>
    </rPh>
    <rPh sb="37" eb="39">
      <t>クラサワ</t>
    </rPh>
    <rPh sb="40" eb="42">
      <t>カズタカ</t>
    </rPh>
    <rPh sb="43" eb="45">
      <t>ケイエイ</t>
    </rPh>
    <rPh sb="45" eb="47">
      <t>ガクブ</t>
    </rPh>
    <rPh sb="48" eb="49">
      <t>フク</t>
    </rPh>
    <rPh sb="49" eb="52">
      <t>ガクブチョウ</t>
    </rPh>
    <rPh sb="61" eb="63">
      <t>ブモン</t>
    </rPh>
    <rPh sb="71" eb="73">
      <t>センニン</t>
    </rPh>
    <rPh sb="73" eb="75">
      <t>キョウイン</t>
    </rPh>
    <rPh sb="78" eb="80">
      <t>キョウジュ</t>
    </rPh>
    <rPh sb="81" eb="83">
      <t>ナイトウ</t>
    </rPh>
    <rPh sb="112" eb="114">
      <t>キョウジュ</t>
    </rPh>
    <rPh sb="134" eb="136">
      <t>キョウジュ</t>
    </rPh>
    <rPh sb="148" eb="150">
      <t>センニン</t>
    </rPh>
    <rPh sb="150" eb="152">
      <t>キョウイン</t>
    </rPh>
    <rPh sb="154" eb="156">
      <t>キョウジュ</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</si>
  <si>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</si>
  <si>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</si>
  <si>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</si>
  <si>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</si>
  <si>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</si>
  <si>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</si>
  <si>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</si>
  <si>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</si>
  <si>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</si>
  <si>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</si>
  <si>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</si>
  <si>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法学部、経営学部、健康栄養学部、スポーツ科学部に関しては令和5年度までに取組が済んでおり、全員の履修が見込まれる。
国際リベラルアーツ学部については、未だ取組が十分であるとはいえない。そこで、学習・教育開発センター　ICTスキル部門主任　内藤　統也と国際リベラルアーツ学部　カリキュラム委員　當眞 正裕の間で準備に取り組み、進展状況は、学習・教育開発センター　センター長　成田　秀夫に報告する体制をとる。具体的には、審査項目の全てを網羅する初年次科目「（仮名）Introduction to Data Science」を令和7年度までに開講する。</t>
    <rPh sb="0" eb="3">
      <t xml:space="preserve">ホウガクブ </t>
    </rPh>
    <rPh sb="4" eb="8">
      <t xml:space="preserve">ケイエイガクブ </t>
    </rPh>
    <rPh sb="9" eb="15">
      <t xml:space="preserve">ケンコウエイヨウガクブ </t>
    </rPh>
    <rPh sb="24" eb="25">
      <t xml:space="preserve">カンシテハ </t>
    </rPh>
    <rPh sb="28" eb="30">
      <t>レイワ</t>
    </rPh>
    <rPh sb="36" eb="38">
      <t xml:space="preserve">トリクミガ </t>
    </rPh>
    <rPh sb="39" eb="40">
      <t xml:space="preserve">スンデオリ </t>
    </rPh>
    <rPh sb="45" eb="47">
      <t xml:space="preserve">ゼンイン </t>
    </rPh>
    <rPh sb="48" eb="50">
      <t xml:space="preserve">リシュウガ </t>
    </rPh>
    <rPh sb="51" eb="53">
      <t xml:space="preserve">ミコマレル </t>
    </rPh>
    <rPh sb="57" eb="97">
      <t>ナリタ</t>
    </rPh>
    <rPh sb="98" eb="100">
      <t>ヒデオ</t>
    </rPh>
    <rPh sb="154" eb="156">
      <t>ジュンビ</t>
    </rPh>
    <rPh sb="196" eb="198">
      <t xml:space="preserve">タイセイヲ </t>
    </rPh>
    <rPh sb="202" eb="205">
      <t xml:space="preserve">グタイテキニハ </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</si>
  <si>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</si>
  <si>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</si>
  <si>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</si>
  <si>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</si>
  <si>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</si>
  <si>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</si>
  <si>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授業内では、教員が理解が遅れている学生に声をかけ学習指導を行うよう心がけている。また、教員の目の届きにくい人数の多いクラスにはSAを配して、SAと協力して学習指導を行う。
授業外には、いくつかの仕組みがある。
①LMSの「Q&amp;A機能」　学生はいつでもLMS（Learning Management System）を使って教員に質問をできる。
②小テストの実施　本教育プログラムを構成する授業では毎回のように小テストを課し、学生の理解度を確認している。小テストの不振者には再テストや追加テストを実施している。
③コンピューター演習室の空き時間の解放　授業が行われていないコンピューター演習室は自由に使えるよう解放されており、学生は予習復習にコンピューターを使える。
④資格試験の学内実施　本教育プログラムを構成している科目に関連した資格試験を、教員が主導して学内実施している。</t>
    <rPh sb="0" eb="3">
      <t xml:space="preserve">ジュギョウナイデハ </t>
    </rPh>
    <rPh sb="6" eb="8">
      <t xml:space="preserve">キョウインガ </t>
    </rPh>
    <rPh sb="9" eb="11">
      <t xml:space="preserve">リカイガ </t>
    </rPh>
    <rPh sb="12" eb="13">
      <t xml:space="preserve">オクレテイル </t>
    </rPh>
    <rPh sb="17" eb="19">
      <t xml:space="preserve">ガクセイニ </t>
    </rPh>
    <rPh sb="20" eb="21">
      <t xml:space="preserve">コエヲ </t>
    </rPh>
    <rPh sb="24" eb="28">
      <t xml:space="preserve">ガクシュウシドウヲ </t>
    </rPh>
    <rPh sb="29" eb="30">
      <t xml:space="preserve">オコナウヨウ </t>
    </rPh>
    <rPh sb="33" eb="34">
      <t xml:space="preserve">ココロガケテイル </t>
    </rPh>
    <rPh sb="43" eb="45">
      <t xml:space="preserve">キョウインノ </t>
    </rPh>
    <rPh sb="46" eb="47">
      <t xml:space="preserve">メノトドキ </t>
    </rPh>
    <rPh sb="53" eb="55">
      <t xml:space="preserve">ニンズウノオオイクラスニハ </t>
    </rPh>
    <rPh sb="66" eb="67">
      <t xml:space="preserve">ハイシテ </t>
    </rPh>
    <rPh sb="73" eb="75">
      <t xml:space="preserve">キョウリョクシテ </t>
    </rPh>
    <rPh sb="77" eb="81">
      <t xml:space="preserve">ガクシュウシドウヲ </t>
    </rPh>
    <rPh sb="82" eb="83">
      <t xml:space="preserve">オコナウ </t>
    </rPh>
    <rPh sb="86" eb="89">
      <t xml:space="preserve">ジュギョウガイデハ </t>
    </rPh>
    <rPh sb="97" eb="99">
      <t xml:space="preserve">シクミガアル </t>
    </rPh>
    <rPh sb="112" eb="114">
      <t xml:space="preserve">キノウ </t>
    </rPh>
    <rPh sb="115" eb="149">
      <t xml:space="preserve">リシュウエンシュウシツノ </t>
    </rPh>
    <rPh sb="150" eb="151">
      <t xml:space="preserve">アキジカン </t>
    </rPh>
    <rPh sb="154" eb="157">
      <t xml:space="preserve">ホンキョウイクプログラム </t>
    </rPh>
    <rPh sb="163" eb="165">
      <t xml:space="preserve">コウセイスル </t>
    </rPh>
    <rPh sb="167" eb="169">
      <t xml:space="preserve">ジュギョウデハ </t>
    </rPh>
    <rPh sb="171" eb="173">
      <t xml:space="preserve">マイカイノヨウニ </t>
    </rPh>
    <rPh sb="177" eb="178">
      <t xml:space="preserve">ショウテストヲ </t>
    </rPh>
    <rPh sb="182" eb="183">
      <t xml:space="preserve">カシ </t>
    </rPh>
    <rPh sb="185" eb="187">
      <t xml:space="preserve">ガクセイノ </t>
    </rPh>
    <rPh sb="188" eb="191">
      <t xml:space="preserve">リカイドヲ </t>
    </rPh>
    <rPh sb="192" eb="194">
      <t xml:space="preserve">カクニンシテイル </t>
    </rPh>
    <rPh sb="199" eb="200">
      <t xml:space="preserve">ショウテスト </t>
    </rPh>
    <rPh sb="204" eb="207">
      <t xml:space="preserve">フシンシャ </t>
    </rPh>
    <rPh sb="209" eb="210">
      <t xml:space="preserve">サイテイストヤ </t>
    </rPh>
    <rPh sb="215" eb="217">
      <t xml:space="preserve">ツイカテスヲ </t>
    </rPh>
    <rPh sb="221" eb="223">
      <t xml:space="preserve">ジッシ </t>
    </rPh>
    <rPh sb="237" eb="239">
      <t xml:space="preserve">マイカイノ </t>
    </rPh>
    <rPh sb="240" eb="241">
      <t xml:space="preserve">ショウテストノ </t>
    </rPh>
    <rPh sb="245" eb="247">
      <t xml:space="preserve">ジッシ </t>
    </rPh>
    <rPh sb="248" eb="250">
      <t xml:space="preserve">ジュギョウガ </t>
    </rPh>
    <rPh sb="251" eb="252">
      <t xml:space="preserve">オコナワレテイナイ </t>
    </rPh>
    <rPh sb="259" eb="260">
      <t xml:space="preserve">ショウテスト </t>
    </rPh>
    <rPh sb="264" eb="268">
      <t xml:space="preserve">セイセキフリョウシャヘノ </t>
    </rPh>
    <rPh sb="269" eb="271">
      <t xml:space="preserve">ジユウニツカエルヨウ </t>
    </rPh>
    <rPh sb="285" eb="287">
      <t xml:space="preserve">ガクセイハ </t>
    </rPh>
    <rPh sb="288" eb="292">
      <t xml:space="preserve">ヨシュウフクシュウニ </t>
    </rPh>
    <rPh sb="307" eb="309">
      <t xml:space="preserve">シカク </t>
    </rPh>
    <rPh sb="317" eb="320">
      <t xml:space="preserve">ホンキョウイク </t>
    </rPh>
    <rPh sb="326" eb="328">
      <t xml:space="preserve">コウセイシテイル </t>
    </rPh>
    <rPh sb="332" eb="334">
      <t xml:space="preserve">カモクニ </t>
    </rPh>
    <rPh sb="335" eb="337">
      <t xml:space="preserve">カンレンシタ </t>
    </rPh>
    <rPh sb="339" eb="343">
      <t xml:space="preserve">シカクシケンヲ </t>
    </rPh>
    <rPh sb="345" eb="347">
      <t xml:space="preserve">キョウインガ </t>
    </rPh>
    <rPh sb="348" eb="350">
      <t xml:space="preserve">シュドウシテ </t>
    </rPh>
    <rPh sb="352" eb="354">
      <t xml:space="preserve">ガクナイデ ツカエル </t>
    </rPh>
    <rPh sb="354" eb="356">
      <t xml:space="preserve">ジッシ </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</si>
  <si>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</si>
  <si>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</si>
  <si>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</si>
  <si>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</si>
  <si>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</si>
  <si>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</si>
  <si>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</si>
  <si>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</si>
  <si>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</si>
  <si>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教育プログラムは、令和3年度に試行的に経営学部のみを対象にスタートした。令和3年度の履修率は、経営学部の入学定員（300名）に対して59％であった。また、修得者の割合は87％であった。本教育プログラムは、3科目で構成されているので、その3科目のGPAの平均をとると、4が23％、3が27％、2が34％、1が16％、0が1％未満となっている。
令和4年度には、本教育プログラムは、法学部、経営学部、健康栄養学部、国際リベラルアーツ学部、スポーツ科学部へと拡張された。
法学部、経営学部、スポーツ科学部では、履修率は入学定員（合計770名）に対して53％である。法学部、スポーツ科学部では本教育プログラムに対する関心が低かったことが分かる。修得者の割合は89％であった。3科目のGPAの平均をとると、4が14％、3が35％、2が34％、1が16％、0が1％となっている。
健康栄養学部、1年生全員の100％が本教育プログラムを受講している。修得者の割合は96％であった。3科目のGPAの平均をとると、が4が46％、3が37％、2が15％、1が2％、0が0％となっている。健康栄養学部は、他の学部に比べて学習意欲が高いことがわかる。
国際リベラルアーツ学部では、教育プログラムは複数学年で開講されている科目で構成されており、まだ、すべての科目を履修した者はいない。1年生科目の「Introduction to Computer Science」に限れば、18％が履修をしていおり、その内の67％が単位修得している。</t>
    <rPh sb="0" eb="1">
      <t xml:space="preserve">ホンキョウイク </t>
    </rPh>
    <rPh sb="10" eb="13">
      <t xml:space="preserve">シコウテキ </t>
    </rPh>
    <rPh sb="20" eb="24">
      <t xml:space="preserve">ケイエイガクブ </t>
    </rPh>
    <rPh sb="27" eb="29">
      <t xml:space="preserve">タイショウニ </t>
    </rPh>
    <rPh sb="31" eb="33">
      <t xml:space="preserve">レイワ </t>
    </rPh>
    <rPh sb="43" eb="46">
      <t xml:space="preserve">リシュウリツハ </t>
    </rPh>
    <rPh sb="48" eb="52">
      <t xml:space="preserve">ケイエイガクブノ </t>
    </rPh>
    <rPh sb="53" eb="55">
      <t xml:space="preserve">ニュウガクテイイン </t>
    </rPh>
    <rPh sb="55" eb="57">
      <t xml:space="preserve">テイインニタイシテ </t>
    </rPh>
    <rPh sb="61" eb="62">
      <t xml:space="preserve">メイ </t>
    </rPh>
    <rPh sb="78" eb="81">
      <t xml:space="preserve">シュウトクシャハ </t>
    </rPh>
    <rPh sb="82" eb="84">
      <t xml:space="preserve">ワリアイ </t>
    </rPh>
    <rPh sb="93" eb="96">
      <t xml:space="preserve">ホンキョウイク </t>
    </rPh>
    <rPh sb="107" eb="109">
      <t xml:space="preserve">コウセイ </t>
    </rPh>
    <rPh sb="127" eb="129">
      <t xml:space="preserve">ヘイキンヲ </t>
    </rPh>
    <rPh sb="162" eb="164">
      <t xml:space="preserve">ミマン </t>
    </rPh>
    <rPh sb="171" eb="173">
      <t xml:space="preserve">レイワ </t>
    </rPh>
    <rPh sb="179" eb="182">
      <t xml:space="preserve">ホンキョウイク </t>
    </rPh>
    <rPh sb="189" eb="192">
      <t xml:space="preserve">ホウガクブ </t>
    </rPh>
    <rPh sb="193" eb="197">
      <t xml:space="preserve">ケイエイガクブ </t>
    </rPh>
    <rPh sb="198" eb="204">
      <t xml:space="preserve">ケンコウエイヨウガクブ </t>
    </rPh>
    <rPh sb="205" eb="207">
      <t xml:space="preserve">コクサイリベラルアーツガクブ </t>
    </rPh>
    <rPh sb="222" eb="223">
      <t xml:space="preserve">カガク </t>
    </rPh>
    <rPh sb="226" eb="228">
      <t xml:space="preserve">カクチョウサレタ </t>
    </rPh>
    <rPh sb="244" eb="246">
      <t xml:space="preserve">ホンキョウイクプログラムハ </t>
    </rPh>
    <rPh sb="253" eb="254">
      <t xml:space="preserve">カガク </t>
    </rPh>
    <rPh sb="260" eb="263">
      <t xml:space="preserve">リシュウシャハ </t>
    </rPh>
    <rPh sb="268" eb="270">
      <t xml:space="preserve">ゴウケイ </t>
    </rPh>
    <rPh sb="277" eb="279">
      <t xml:space="preserve">テイイン </t>
    </rPh>
    <rPh sb="280" eb="284">
      <t xml:space="preserve">ケイエイガクブ </t>
    </rPh>
    <rPh sb="285" eb="291">
      <t xml:space="preserve">ケンコウエイヨウガクブデハ </t>
    </rPh>
    <rPh sb="293" eb="296">
      <t xml:space="preserve">リシュウリツガタカク </t>
    </rPh>
    <rPh sb="299" eb="300">
      <t xml:space="preserve">ホンプログラムニ </t>
    </rPh>
    <rPh sb="300" eb="302">
      <t xml:space="preserve">キョウイク </t>
    </rPh>
    <rPh sb="313" eb="315">
      <t xml:space="preserve">カンシンガ </t>
    </rPh>
    <rPh sb="316" eb="317">
      <t xml:space="preserve">ヒクイコトガ </t>
    </rPh>
    <rPh sb="322" eb="324">
      <t xml:space="preserve">ヘイキンハ </t>
    </rPh>
    <rPh sb="328" eb="331">
      <t xml:space="preserve">ホウガクブ </t>
    </rPh>
    <rPh sb="354" eb="356">
      <t xml:space="preserve">カモクデ </t>
    </rPh>
    <rPh sb="357" eb="359">
      <t xml:space="preserve">コウセイサレテオリ </t>
    </rPh>
    <rPh sb="377" eb="379">
      <t xml:space="preserve">ネンセイ </t>
    </rPh>
    <rPh sb="379" eb="381">
      <t xml:space="preserve">ゼンイン </t>
    </rPh>
    <rPh sb="396" eb="398">
      <t xml:space="preserve">ジュコウシテイル </t>
    </rPh>
    <rPh sb="491" eb="492">
      <t xml:space="preserve">ホカノ </t>
    </rPh>
    <rPh sb="493" eb="495">
      <t xml:space="preserve">ガクブニ </t>
    </rPh>
    <rPh sb="496" eb="497">
      <t xml:space="preserve">クラベテ </t>
    </rPh>
    <rPh sb="499" eb="503">
      <t xml:space="preserve">ガクシュウイヨクガ </t>
    </rPh>
    <rPh sb="504" eb="505">
      <t xml:space="preserve">タカイコトグ </t>
    </rPh>
    <rPh sb="620" eb="621">
      <t>_x0000__x0000__x0001__x0008_
_x0003__x000E__x0014__x0004__x0016__x001B__x0002__x001D__x001F__x0002_!+_x0003_)0</t>
    </rPh>
    <rPh sb="646" eb="648">
      <t>タンイ</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</si>
  <si>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</si>
  <si>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</si>
  <si>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</si>
  <si>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</si>
  <si>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</si>
  <si>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</si>
  <si>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本学の教育プログラムは1年次科目を用いて令和3年より開始しており、まだ修了者で卒業生はいない。
一方、令和3年度の修了生のうち3名と、令和4年度修了者のうち10名が、本教育プログラムに係る科目のSAとして、令和5年度に活躍している。
また、インターンシップ等で企業で活動してる学生について、令和5年度から調査を行う。</t>
    <rPh sb="0" eb="2">
      <t xml:space="preserve">ホンガクノ </t>
    </rPh>
    <rPh sb="3" eb="5">
      <t xml:space="preserve">キョウイクプログラムハ </t>
    </rPh>
    <rPh sb="11" eb="13">
      <t xml:space="preserve">レイワ </t>
    </rPh>
    <rPh sb="17" eb="18">
      <t xml:space="preserve">モチイテ </t>
    </rPh>
    <rPh sb="20" eb="22">
      <t xml:space="preserve">カモクヲ </t>
    </rPh>
    <rPh sb="35" eb="38">
      <t xml:space="preserve">シュウリョウシャヲ </t>
    </rPh>
    <rPh sb="39" eb="42">
      <t xml:space="preserve">ソツギョウセイハ </t>
    </rPh>
    <rPh sb="47" eb="48">
      <t xml:space="preserve">イッポウ </t>
    </rPh>
    <rPh sb="49" eb="51">
      <t xml:space="preserve">レイワ3ネンドノ </t>
    </rPh>
    <rPh sb="55" eb="58">
      <t xml:space="preserve">シュウリョウセイノ </t>
    </rPh>
    <rPh sb="62" eb="63">
      <t xml:space="preserve">レイワ </t>
    </rPh>
    <rPh sb="75" eb="77">
      <t>ネn</t>
    </rPh>
    <rPh sb="77" eb="80">
      <t>sh</t>
    </rPh>
    <rPh sb="81" eb="84">
      <t xml:space="preserve">ホンキョウイクプログラミニ </t>
    </rPh>
    <rPh sb="90" eb="91">
      <t xml:space="preserve">カカル </t>
    </rPh>
    <rPh sb="92" eb="94">
      <t xml:space="preserve">カモク </t>
    </rPh>
    <rPh sb="97" eb="99">
      <t xml:space="preserve">レイワ </t>
    </rPh>
    <rPh sb="112" eb="114">
      <t>ネn</t>
    </rPh>
    <rPh sb="126" eb="128">
      <t xml:space="preserve">キギョウニ </t>
    </rPh>
    <rPh sb="129" eb="131">
      <t xml:space="preserve">カツドウシテル </t>
    </rPh>
    <rPh sb="134" eb="136">
      <t xml:space="preserve">ガクセイニ </t>
    </rPh>
    <rPh sb="142" eb="144">
      <t xml:space="preserve">レイワ </t>
    </rPh>
    <rPh sb="147" eb="149">
      <t xml:space="preserve">チョウサヨテイデアル </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</si>
  <si>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</si>
  <si>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全体の教育の質転換・質保証を目的とした教学マネジメントサイクルを運用する中で、毎年、本学教育活動について、産業界に加えて多様な業界で活動される実務家教員にもヒアリングを行い、カリキュラム改善活動に反映する仕組を構築している。
数理・データサイエンス・AI教育については、社会的なニーズの高まりとともに、上記ヒアリングを通じて、今後の要望や意見をいただくことも多く、適宜プログラム改善へ接続を行っている。</t>
    <rPh sb="0" eb="2">
      <t>ホンガク</t>
    </rPh>
    <rPh sb="2" eb="4">
      <t>ゼンタイ</t>
    </rPh>
    <rPh sb="5" eb="7">
      <t>キョウイク</t>
    </rPh>
    <rPh sb="8" eb="9">
      <t>シツ</t>
    </rPh>
    <rPh sb="9" eb="11">
      <t>テンカン</t>
    </rPh>
    <rPh sb="12" eb="13">
      <t>シツ</t>
    </rPh>
    <rPh sb="13" eb="15">
      <t>ホショウ</t>
    </rPh>
    <rPh sb="16" eb="18">
      <t>モクテキ</t>
    </rPh>
    <rPh sb="21" eb="23">
      <t>キョウガク</t>
    </rPh>
    <rPh sb="34" eb="36">
      <t>ウンヨウ</t>
    </rPh>
    <rPh sb="38" eb="39">
      <t>ナカ</t>
    </rPh>
    <rPh sb="41" eb="43">
      <t>マイトシ</t>
    </rPh>
    <rPh sb="44" eb="46">
      <t>ホンガク</t>
    </rPh>
    <rPh sb="46" eb="48">
      <t>キョウイク</t>
    </rPh>
    <rPh sb="48" eb="50">
      <t>カツドウ</t>
    </rPh>
    <rPh sb="55" eb="57">
      <t>サンギョウ</t>
    </rPh>
    <rPh sb="57" eb="58">
      <t>カイ</t>
    </rPh>
    <rPh sb="59" eb="60">
      <t>クワ</t>
    </rPh>
    <rPh sb="62" eb="64">
      <t>タヨウ</t>
    </rPh>
    <rPh sb="65" eb="67">
      <t>ギョウカイ</t>
    </rPh>
    <rPh sb="68" eb="70">
      <t>カツドウ</t>
    </rPh>
    <rPh sb="73" eb="76">
      <t>ジツムカ</t>
    </rPh>
    <rPh sb="76" eb="78">
      <t>キョウイン</t>
    </rPh>
    <rPh sb="86" eb="87">
      <t>オコナ</t>
    </rPh>
    <rPh sb="95" eb="97">
      <t>カイゼン</t>
    </rPh>
    <rPh sb="97" eb="99">
      <t>カツドウ</t>
    </rPh>
    <rPh sb="100" eb="102">
      <t>ハンエイ</t>
    </rPh>
    <rPh sb="104" eb="106">
      <t>シクミ</t>
    </rPh>
    <rPh sb="107" eb="109">
      <t>コウチク</t>
    </rPh>
    <rPh sb="116" eb="118">
      <t>スウリ</t>
    </rPh>
    <rPh sb="130" eb="132">
      <t>キョウイク</t>
    </rPh>
    <rPh sb="138" eb="141">
      <t>シャカイテキ</t>
    </rPh>
    <rPh sb="146" eb="147">
      <t>タカ</t>
    </rPh>
    <rPh sb="154" eb="156">
      <t>ジョウキ</t>
    </rPh>
    <rPh sb="162" eb="163">
      <t>ツウ</t>
    </rPh>
    <rPh sb="166" eb="168">
      <t>コンゴ</t>
    </rPh>
    <rPh sb="169" eb="171">
      <t>ヨウボウ</t>
    </rPh>
    <rPh sb="172" eb="174">
      <t>イケン</t>
    </rPh>
    <rPh sb="182" eb="183">
      <t>オオ</t>
    </rPh>
    <rPh sb="185" eb="187">
      <t>テキギ</t>
    </rPh>
    <rPh sb="192" eb="194">
      <t>カイゼン</t>
    </rPh>
    <rPh sb="195" eb="197">
      <t>セツゾク</t>
    </rPh>
    <rPh sb="198" eb="199">
      <t>オコナ</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</si>
  <si>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</si>
  <si>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教育プログラムの中核を担う科目「データサイエンス」では、グループ学習を取り入れている。全15回の授業のうち、10回は座学で教科書を使って基礎的な知識を学び、後半の5回で教科書で学んだ知識を活かして、「データサイエンス、データ、AIの活用事例」をグループ学習する。グループ学習では、グループごとにテーマを決めて、調べ学習をして、グループで1つのプレゼンテーション資料を作成する。その後に、そのプレゼンテーション資料を用いて発表動画の録画、口頭発表、ポスター発表を行い、お互いの発表を見る機会を作っている。グループで協力してプレゼンテーション資料を作成することは、「学ぶ楽しさ」の理解につながっている。また、グループ内で議論することと他のグループの発表を聞くことは、自分ひとりでは気付かない様々な視点から「データサイエンス、データ、AIの活用事例」知るきっかけとなり、「学ぶことの意義」の理解につながっている。
「ICTリテラシーA」、「ICTリテラシーB」、「情報処理演習Ⅰ」「情報処理演習Ⅱ」では、実用的な課題を取り入れたり、e-Statで公開されているデータを用いることで、ICTスキルやデータを扱うことを身近に感じられるよう工夫をしている。こうした内容は、「学ぶことの意義」の理解につながっている。
本教育プログラムの科目担当者は、本教育プログラムを通じて「データサイエンスの分野は卒業後もずっと学び続ける必要がある」ことを学生に伝えることを共通の意識として授業を行なっている。</t>
    <rPh sb="0" eb="1">
      <t xml:space="preserve">ホンキョウイクプログラムヲ </t>
    </rPh>
    <rPh sb="9" eb="11">
      <t>チュウカク</t>
    </rPh>
    <rPh sb="12" eb="13">
      <t>ニナウ</t>
    </rPh>
    <rPh sb="14" eb="16">
      <t xml:space="preserve">カモク </t>
    </rPh>
    <rPh sb="36" eb="37">
      <t xml:space="preserve">トリイレテイル </t>
    </rPh>
    <rPh sb="44" eb="45">
      <t xml:space="preserve">ゼン </t>
    </rPh>
    <rPh sb="47" eb="48">
      <t xml:space="preserve">カイハ </t>
    </rPh>
    <rPh sb="49" eb="51">
      <t xml:space="preserve">ザガクデ </t>
    </rPh>
    <rPh sb="52" eb="55">
      <t xml:space="preserve">キョウカショヲ </t>
    </rPh>
    <rPh sb="56" eb="57">
      <t xml:space="preserve">ツカッテ </t>
    </rPh>
    <rPh sb="59" eb="60">
      <t xml:space="preserve">オコナイ </t>
    </rPh>
    <rPh sb="62" eb="64">
      <t xml:space="preserve">コウハン </t>
    </rPh>
    <rPh sb="69" eb="75">
      <t xml:space="preserve">キソチシキヲ </t>
    </rPh>
    <rPh sb="76" eb="77">
      <t xml:space="preserve">マナビ </t>
    </rPh>
    <rPh sb="85" eb="88">
      <t xml:space="preserve">キョウカショデ </t>
    </rPh>
    <rPh sb="89" eb="90">
      <t xml:space="preserve">マナンダ </t>
    </rPh>
    <rPh sb="92" eb="94">
      <t xml:space="preserve">キソチシキヲ </t>
    </rPh>
    <rPh sb="95" eb="96">
      <t xml:space="preserve">イカシテ </t>
    </rPh>
    <rPh sb="145" eb="146">
      <t xml:space="preserve">キメテ </t>
    </rPh>
    <rPh sb="148" eb="149">
      <t xml:space="preserve">シラベガクシュウヲシ </t>
    </rPh>
    <rPh sb="177" eb="179">
      <t xml:space="preserve">サクセイスル </t>
    </rPh>
    <rPh sb="198" eb="200">
      <t xml:space="preserve">シリョウヲ </t>
    </rPh>
    <rPh sb="201" eb="202">
      <t xml:space="preserve">モチイテ </t>
    </rPh>
    <rPh sb="212" eb="216">
      <t xml:space="preserve">コウトウハッピョウ </t>
    </rPh>
    <rPh sb="221" eb="223">
      <t xml:space="preserve">ハッピョウヲ </t>
    </rPh>
    <rPh sb="224" eb="225">
      <t xml:space="preserve">オコナイ </t>
    </rPh>
    <rPh sb="231" eb="233">
      <t xml:space="preserve">ハッピョウヲ </t>
    </rPh>
    <rPh sb="234" eb="235">
      <t xml:space="preserve">ミルキカイヲ </t>
    </rPh>
    <rPh sb="239" eb="240">
      <t xml:space="preserve">ツクル </t>
    </rPh>
    <rPh sb="250" eb="252">
      <t xml:space="preserve">キョウリョクシテ </t>
    </rPh>
    <rPh sb="266" eb="268">
      <t xml:space="preserve">サクセイスルコトハ </t>
    </rPh>
    <rPh sb="282" eb="284">
      <t xml:space="preserve">リカイニ </t>
    </rPh>
    <rPh sb="296" eb="297">
      <t xml:space="preserve">ナイデ </t>
    </rPh>
    <rPh sb="298" eb="300">
      <t xml:space="preserve">ギロンスルコトト </t>
    </rPh>
    <rPh sb="305" eb="306">
      <t xml:space="preserve">ホカノグループノ </t>
    </rPh>
    <rPh sb="312" eb="314">
      <t xml:space="preserve">ハッピョウヲ </t>
    </rPh>
    <rPh sb="315" eb="316">
      <t xml:space="preserve">キク </t>
    </rPh>
    <rPh sb="321" eb="323">
      <t xml:space="preserve">ジブンニハ </t>
    </rPh>
    <rPh sb="327" eb="329">
      <t xml:space="preserve">キズカナイ </t>
    </rPh>
    <rPh sb="332" eb="333">
      <t xml:space="preserve">サマザマナ </t>
    </rPh>
    <rPh sb="337" eb="338">
      <t xml:space="preserve">シテンカラ </t>
    </rPh>
    <rPh sb="362" eb="363">
      <t xml:space="preserve">シルキッカケトナリ </t>
    </rPh>
    <rPh sb="423" eb="429">
      <t xml:space="preserve">ジョウホウショリエンシュウ </t>
    </rPh>
    <rPh sb="447" eb="449">
      <t xml:space="preserve">カダイヲ </t>
    </rPh>
    <rPh sb="450" eb="451">
      <t xml:space="preserve">トリイレタリ </t>
    </rPh>
    <rPh sb="464" eb="466">
      <t xml:space="preserve">コウカイサレテイル </t>
    </rPh>
    <rPh sb="475" eb="476">
      <t xml:space="preserve">モチイテ </t>
    </rPh>
    <rPh sb="493" eb="494">
      <t xml:space="preserve">アツカウコトヲ </t>
    </rPh>
    <rPh sb="498" eb="500">
      <t xml:space="preserve">ミジカニ </t>
    </rPh>
    <rPh sb="501" eb="502">
      <t xml:space="preserve">カンジラレルヨウ </t>
    </rPh>
    <rPh sb="508" eb="510">
      <t xml:space="preserve">クフウヲ </t>
    </rPh>
    <rPh sb="520" eb="522">
      <t xml:space="preserve">ナイヨウハ </t>
    </rPh>
    <rPh sb="546" eb="549">
      <t xml:space="preserve">ホンキョウイク </t>
    </rPh>
    <rPh sb="555" eb="556">
      <t xml:space="preserve">ツウジテ </t>
    </rPh>
    <rPh sb="559" eb="561">
      <t xml:space="preserve">カモク </t>
    </rPh>
    <rPh sb="561" eb="564">
      <t xml:space="preserve">タントウシャハ </t>
    </rPh>
    <rPh sb="575" eb="577">
      <t xml:space="preserve">ブンヤハ </t>
    </rPh>
    <rPh sb="578" eb="581">
      <t xml:space="preserve">ソツギョウゴモ </t>
    </rPh>
    <rPh sb="585" eb="586">
      <t xml:space="preserve">マナビツヅケル </t>
    </rPh>
    <rPh sb="590" eb="592">
      <t xml:space="preserve">ヒツヨウガル </t>
    </rPh>
    <rPh sb="599" eb="601">
      <t xml:space="preserve">ガクセイ </t>
    </rPh>
    <rPh sb="602" eb="603">
      <t xml:space="preserve">ツタエル </t>
    </rPh>
    <rPh sb="608" eb="610">
      <t xml:space="preserve">キョウツウノ </t>
    </rPh>
    <rPh sb="611" eb="613">
      <t xml:space="preserve">イシキト </t>
    </rPh>
    <rPh sb="616" eb="618">
      <t xml:space="preserve">ジュギョウヲ </t>
    </rPh>
    <rPh sb="619" eb="620">
      <t xml:space="preserve">オコナッテイル </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</si>
  <si>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</si>
  <si>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Coding Bootcamp:Applied Probability and Statistics</t>
    <phoneticPr fontId="1"/>
  </si>
  <si>
    <t>「Introduction to Computer Science」3単位、「Coding Bootcamp:Applied Probability and Statistics」1単位、「Statistics」3単位、「Machine Learning」3単位の10単位を取得すること</t>
    <rPh sb="35" eb="37">
      <t xml:space="preserve">タンイ </t>
    </rPh>
    <rPh sb="84" eb="86">
      <t>_x0000_#_x0002__x0004_)_x0002__x000D_K_x0002__x0011_K_x0002__x0015_[_x0002__x0019_[_x0002__x001D_q</t>
    </rPh>
    <phoneticPr fontId="1"/>
  </si>
  <si>
    <t>本学の学生による授業アンケートでは、「この授業から知識・技能などを身につけることができた」を問う設問があり、「とても思う、そう思う、ややそう思う、あまりそう思わない、そう思わない、まったくそう思わない」から選択をする。令和4年度の調査の結果をまとめる。
「ICTリテラシーA」の10クラス、サンプル数300名の調査では、「とても思う、そう思う」と答えた学生の割合が、全体の約8割となっている。一方、「あまりそう思わない、そう思わない、まったくそう思わない」と否定的な回答をした学生の割合は、2％となっている。
「ICTリテラシーB」の6クラス、サンプル数130名の調査では、「とても思う、そう思う」と答えた学生の割合が、全体の約9割となっている。一方、「あまりそう思わない、そう思わない、まったくそう思わない」と否定的な回答をした学生の割合は、6％となっている。
「データサイエンス」の4クラス、サンプル数337名の調査では、「とても思う、そう思う」と答えた学生の割合が、全体の7割となっている。一方、「あまりそう思わない、そう思わない、まったくそう思わない」と否定的な回答をした学生の割合は、8％となっている。
以上の結果から、学生の内容の理解度はまずまずと判断できる。</t>
    <rPh sb="186" eb="187">
      <t>ヤク</t>
    </rPh>
    <rPh sb="188" eb="189">
      <t>ワリ</t>
    </rPh>
    <rPh sb="313" eb="314">
      <t>ヤク</t>
    </rPh>
    <rPh sb="315" eb="316">
      <t>ワリ</t>
    </rPh>
    <rPh sb="440" eb="441">
      <t>ワリ</t>
    </rPh>
    <phoneticPr fontId="1"/>
  </si>
  <si>
    <t>本学の学生による授業アンケートには、「後輩等他の学生への推奨度」を問う設問はない。そこで、「総合的にみてこの授業は有意義だった」を問う設問で推奨度を計る。学生は上記と同様に「とても思う、そう思う、ややそう思う、あまりそう思わない、そう思わない、まったくそう思わない」から選択をする。令和4年度の調査の結果をまとめる。
「ICTリテラシーA」の10クラス、サンプル数300名の調査では、「とても思う、そう思う」と答えた学生の割合が、全体の約8割となっている。一方、「あまりそう思わない、そう思わない、まったくそう思わない」と否定的な回答をした学生の割合は、6％となっている。
「ICTリテラシーB」の6クラス、サンプル数130名の調査では、「とても思う、そう思う」と答えた学生の割合が、全体の約9割となっている。一方、「あまりそう思わない、そう思わない、まったくそう思わない」と否定的な回答をした学生の割合は、5％となっている。
「データサイエンス」の4クラス、サンプル数337名の調査では、「とても思う、そう思う」と答えた学生の割合が、全体の約8割となっている。一方、「あまりそう思わない、そう思わない、まったくそう思わない」と否定的な回答をした学生の割合は、7％となっている。
以上の結果から、総合的に満足している学生が多く、後輩等他の学生への推奨度は高いと判断できる。</t>
    <rPh sb="0" eb="1">
      <t xml:space="preserve">ホン </t>
    </rPh>
    <rPh sb="65" eb="66">
      <t xml:space="preserve">トウ </t>
    </rPh>
    <rPh sb="70" eb="73">
      <t xml:space="preserve">スイショウドヲ </t>
    </rPh>
    <rPh sb="74" eb="75">
      <t xml:space="preserve">ハカル </t>
    </rPh>
    <rPh sb="77" eb="79">
      <t xml:space="preserve">ガクセイハ </t>
    </rPh>
    <rPh sb="80" eb="85">
      <t xml:space="preserve">ジョウキドウヨウ </t>
    </rPh>
    <rPh sb="215" eb="217">
      <t>ゼンタイ</t>
    </rPh>
    <rPh sb="218" eb="219">
      <t>ヤク</t>
    </rPh>
    <rPh sb="220" eb="221">
      <t>ワリ</t>
    </rPh>
    <rPh sb="342" eb="344">
      <t>ゼンタイ</t>
    </rPh>
    <rPh sb="345" eb="346">
      <t>ヤク</t>
    </rPh>
    <rPh sb="347" eb="348">
      <t>ワリ</t>
    </rPh>
    <rPh sb="468" eb="470">
      <t>ゼンタイ</t>
    </rPh>
    <rPh sb="471" eb="472">
      <t>ヤク</t>
    </rPh>
    <rPh sb="473" eb="474">
      <t>ワリ</t>
    </rPh>
    <rPh sb="548" eb="550">
      <t xml:space="preserve">カイゼンスベキ </t>
    </rPh>
    <rPh sb="551" eb="554">
      <t>ソウゴウ</t>
    </rPh>
    <rPh sb="555" eb="557">
      <t>マンゾク</t>
    </rPh>
    <rPh sb="561" eb="562">
      <t>オオク</t>
    </rPh>
    <rPh sb="564" eb="566">
      <t>コウハイナデ</t>
    </rPh>
    <rPh sb="569" eb="570">
      <t xml:space="preserve">テン </t>
    </rPh>
    <rPh sb="577" eb="578">
      <t>タカイ</t>
    </rPh>
    <phoneticPr fontId="1"/>
  </si>
  <si>
    <t>内藤　統也</t>
    <rPh sb="0" eb="2">
      <t>ナイトウ</t>
    </rPh>
    <rPh sb="3" eb="4">
      <t>トウ</t>
    </rPh>
    <rPh sb="4" eb="5">
      <t>ヤ</t>
    </rPh>
    <phoneticPr fontId="1"/>
  </si>
  <si>
    <t>本学には「履修指定科目（所定の年次において、履修が義務付けられた科目）」という制度がある。この制度を利用する。令和5年度より、本教育プログラムを構成する「ICTリテラシーA」、「ICTリテラシーB」、「データサイエンス」を「履修指定科目」に設定する。健康栄養学部の「情報処理演習Ⅰ」、「情報処理演習Ⅱ」は、学部の「必修科目」であるため、学部の全員が受講する。国際リベラルアーツ学部では、現在、専門性の高い科目でプログラムが構成されているので、審査項目を全て網羅する初年次科目を令和7年度までに開講できるよう準備する。
令和5年度予定　41.8 ％　内訳 (178+454+810)/3450
令和6年度予定　65.5 ％　内訳 (178+454+810+810)/3440
令和7年度予定　87.8 ％　内訳 (454+810+810+860)/3440
令和8年度予定　97.1 ％　内訳 (810+810+860+860)/3440
なお、過年度の定員変更に伴い、収容定員は、令和5年 3450名、令和6年以降 3440名と変化する。</t>
    <rPh sb="0" eb="2">
      <t xml:space="preserve">ホンガクニハ </t>
    </rPh>
    <rPh sb="5" eb="7">
      <t xml:space="preserve">リシュウシテ </t>
    </rPh>
    <rPh sb="7" eb="11">
      <t xml:space="preserve">シテイカモク </t>
    </rPh>
    <rPh sb="12" eb="14">
      <t xml:space="preserve">ショテイノガクネンデ </t>
    </rPh>
    <rPh sb="15" eb="17">
      <t xml:space="preserve">ネンジニオイテ </t>
    </rPh>
    <rPh sb="22" eb="24">
      <t xml:space="preserve">リシュウガギムヅケラレタカモク </t>
    </rPh>
    <rPh sb="39" eb="41">
      <t xml:space="preserve">セイドガ </t>
    </rPh>
    <rPh sb="47" eb="49">
      <t xml:space="preserve">セイドヲ </t>
    </rPh>
    <rPh sb="50" eb="52">
      <t xml:space="preserve">リヨウスル </t>
    </rPh>
    <rPh sb="55" eb="57">
      <t xml:space="preserve">レイワ5ネンドヨリ </t>
    </rPh>
    <rPh sb="63" eb="64">
      <t xml:space="preserve">ホンプログラムヲ </t>
    </rPh>
    <rPh sb="64" eb="66">
      <t xml:space="preserve">キョウイク </t>
    </rPh>
    <rPh sb="72" eb="74">
      <t xml:space="preserve">コウセイスル </t>
    </rPh>
    <rPh sb="112" eb="118">
      <t xml:space="preserve">リシュウシテイカモク </t>
    </rPh>
    <rPh sb="120" eb="122">
      <t xml:space="preserve">セッテイスル </t>
    </rPh>
    <rPh sb="125" eb="131">
      <t xml:space="preserve">ケンコウエイヨウガクブ </t>
    </rPh>
    <rPh sb="133" eb="135">
      <t xml:space="preserve">ジョウホウガク </t>
    </rPh>
    <rPh sb="137" eb="139">
      <t>エンシュウ</t>
    </rPh>
    <rPh sb="147" eb="149">
      <t>エンシュウ</t>
    </rPh>
    <rPh sb="153" eb="155">
      <t>ガクブ</t>
    </rPh>
    <rPh sb="157" eb="161">
      <t xml:space="preserve">ヒッシュウカモクデアル </t>
    </rPh>
    <rPh sb="168" eb="170">
      <t>ガクブ</t>
    </rPh>
    <rPh sb="171" eb="173">
      <t>ゼンイn</t>
    </rPh>
    <rPh sb="174" eb="176">
      <t>ジュコウ</t>
    </rPh>
    <rPh sb="179" eb="181">
      <t xml:space="preserve">コクサイリベラルアーツガクブ </t>
    </rPh>
    <rPh sb="193" eb="195">
      <t xml:space="preserve">ゲンザイ </t>
    </rPh>
    <rPh sb="196" eb="199">
      <t xml:space="preserve">センモンセイノ </t>
    </rPh>
    <rPh sb="200" eb="201">
      <t xml:space="preserve">タカイ </t>
    </rPh>
    <rPh sb="202" eb="204">
      <t xml:space="preserve">カモクデ </t>
    </rPh>
    <rPh sb="211" eb="213">
      <t xml:space="preserve">コウセイサレテ </t>
    </rPh>
    <rPh sb="225" eb="231">
      <t xml:space="preserve">シンサコウモクヲ </t>
    </rPh>
    <rPh sb="232" eb="234">
      <t xml:space="preserve">モウラスル </t>
    </rPh>
    <rPh sb="235" eb="237">
      <t xml:space="preserve">カモクヲ </t>
    </rPh>
    <rPh sb="238" eb="239">
      <t xml:space="preserve">レイワ </t>
    </rPh>
    <rPh sb="245" eb="247">
      <t xml:space="preserve">カイコウデキルヨウ </t>
    </rPh>
    <rPh sb="252" eb="253">
      <t xml:space="preserve">ケントウチュウデアル </t>
    </rPh>
    <rPh sb="253" eb="255">
      <t>ジュンビ</t>
    </rPh>
    <rPh sb="260" eb="262">
      <t xml:space="preserve">レイワ </t>
    </rPh>
    <rPh sb="275" eb="277">
      <t xml:space="preserve">ウチワケ </t>
    </rPh>
    <rPh sb="343" eb="346">
      <t xml:space="preserve">カネンドノ </t>
    </rPh>
    <rPh sb="347" eb="352">
      <t xml:space="preserve">テイインヘンコウニトモナイ </t>
    </rPh>
    <rPh sb="357" eb="360">
      <t xml:space="preserve">シュウヨウテイインハ </t>
    </rPh>
    <rPh sb="365" eb="366">
      <t xml:space="preserve">ネン </t>
    </rPh>
    <rPh sb="371" eb="372">
      <t xml:space="preserve">メイ </t>
    </rPh>
    <rPh sb="377" eb="379">
      <t xml:space="preserve">イコウ </t>
    </rPh>
    <rPh sb="386" eb="388">
      <t xml:space="preserve">ヘンカスル </t>
    </rPh>
    <phoneticPr fontId="1"/>
  </si>
  <si>
    <t>法学部、経営学部、健康栄養学部、スポーツ科学部の「履修指定科目」は、履修登録時に事前登録されるため、入学者全員が履修登録済みとなる。健康栄養学部の「必修科目」は、卒業までに単位習得が必要な科目であることを新入生ガイダンスで周知し、その後のサポートも学部でしっかり行なっている。
加えて、新入生ガイダンス、前期に開講される本教育プログラムの必修科目内の時間を使って、パンフレット、履修ガイドを用いて本教育プログラムを周知する。</t>
    <rPh sb="1" eb="7">
      <t xml:space="preserve">リシュウシテイカモク </t>
    </rPh>
    <rPh sb="10" eb="14">
      <t xml:space="preserve">ヒッシュウカモク </t>
    </rPh>
    <rPh sb="16" eb="21">
      <t xml:space="preserve">リシュウトウロクジニ </t>
    </rPh>
    <rPh sb="22" eb="27">
      <t xml:space="preserve">ジゼントウロクサレル </t>
    </rPh>
    <rPh sb="34" eb="37">
      <t xml:space="preserve">ニュウガクシャ </t>
    </rPh>
    <rPh sb="37" eb="39">
      <t xml:space="preserve">ゼンインガ </t>
    </rPh>
    <rPh sb="42" eb="45">
      <t xml:space="preserve">トウロクズミト </t>
    </rPh>
    <rPh sb="50" eb="51">
      <t xml:space="preserve">クワエテ </t>
    </rPh>
    <rPh sb="54" eb="57">
      <t xml:space="preserve">シンニュウセイガイダンス </t>
    </rPh>
    <rPh sb="63" eb="65">
      <t xml:space="preserve">ゼンキノ </t>
    </rPh>
    <rPh sb="66" eb="68">
      <t xml:space="preserve">カイコウサレル </t>
    </rPh>
    <rPh sb="76" eb="80">
      <t xml:space="preserve">ヒッシュウカモクデ </t>
    </rPh>
    <rPh sb="81" eb="83">
      <t>ソツギョウ</t>
    </rPh>
    <rPh sb="86" eb="90">
      <t>タンイ</t>
    </rPh>
    <rPh sb="91" eb="93">
      <t>ヒツヨウ</t>
    </rPh>
    <rPh sb="102" eb="105">
      <t>シンユウセイ</t>
    </rPh>
    <rPh sb="111" eb="113">
      <t>シュウチシ、</t>
    </rPh>
    <rPh sb="117" eb="118">
      <t>アトニ</t>
    </rPh>
    <rPh sb="124" eb="126">
      <t>ガクブデシk</t>
    </rPh>
    <rPh sb="131" eb="132">
      <t>オコナッテ</t>
    </rPh>
    <rPh sb="147" eb="149">
      <t xml:space="preserve">リシュウガイド </t>
    </rPh>
    <rPh sb="153" eb="154">
      <t xml:space="preserve">ツカッテ </t>
    </rPh>
    <rPh sb="156" eb="157">
      <t xml:space="preserve">ホン </t>
    </rPh>
    <rPh sb="157" eb="159">
      <t xml:space="preserve">キョウイク </t>
    </rPh>
    <rPh sb="160" eb="163">
      <t>ホンキョ</t>
    </rPh>
    <rPh sb="169" eb="171">
      <t xml:space="preserve">シュウチ </t>
    </rPh>
    <rPh sb="173" eb="174">
      <t>ナイ</t>
    </rPh>
    <rPh sb="175" eb="177">
      <t>ジカン</t>
    </rPh>
    <rPh sb="178" eb="179">
      <t>ツカ</t>
    </rPh>
    <rPh sb="182" eb="186">
      <t xml:space="preserve">ホソクシリョウ </t>
    </rPh>
    <rPh sb="187" eb="189">
      <t xml:space="preserve">レイワ </t>
    </rPh>
    <rPh sb="190" eb="192">
      <t xml:space="preserve">5ネンドニ </t>
    </rPh>
    <rPh sb="193" eb="194">
      <t xml:space="preserve">モチイタ </t>
    </rPh>
    <rPh sb="195" eb="196">
      <t>モチ</t>
    </rPh>
    <rPh sb="204" eb="206">
      <t xml:space="preserve">リシュウガイド </t>
    </rPh>
    <phoneticPr fontId="1"/>
  </si>
  <si>
    <t>まず、履修できるようなサポート体制について述べる。令和4年度は「履修指定科目」ではなかったため、各学部のカリキュラム委員と連携し、各学部の新入生の必修科目等と時間割が重ならないよう打ち合わせをして、本教育プログラムの時間割を決めた。履修登録に当たっては、クラスを指定してクラス定員を超えないよう調整を行なった。
次に、修得できるようなサポート体制について述べる。履修者の多いクラスには、SA（Student Assistant）を配置して、多くの学生が修得できるよう配慮した。その結果、令和4年度には履修者454名に対して410名の修了者があり、修得率90.0％と高い修得率を得ている。さらに、令和5年度にはSAを配置するクラスを増量している。</t>
    <rPh sb="3" eb="5">
      <t xml:space="preserve">リシュウ </t>
    </rPh>
    <rPh sb="10" eb="16">
      <t xml:space="preserve">リシュウシテイカモクデハ </t>
    </rPh>
    <rPh sb="26" eb="29">
      <t xml:space="preserve">カクガクブノ </t>
    </rPh>
    <rPh sb="39" eb="41">
      <t xml:space="preserve">レンケイシテ </t>
    </rPh>
    <rPh sb="43" eb="46">
      <t xml:space="preserve">カクガクブノ </t>
    </rPh>
    <rPh sb="47" eb="50">
      <t xml:space="preserve">シンユウセイガ </t>
    </rPh>
    <rPh sb="51" eb="56">
      <t xml:space="preserve">ヒッシュウカモクトウト </t>
    </rPh>
    <rPh sb="57" eb="59">
      <t xml:space="preserve">ジカンガカサナラナイヨウ </t>
    </rPh>
    <rPh sb="59" eb="60">
      <t xml:space="preserve">ワリ </t>
    </rPh>
    <rPh sb="68" eb="69">
      <t xml:space="preserve">ウチアワセ </t>
    </rPh>
    <rPh sb="77" eb="80">
      <t xml:space="preserve">ホンキョウイクプログラムノ </t>
    </rPh>
    <rPh sb="86" eb="89">
      <t xml:space="preserve">ジカンワリヲ </t>
    </rPh>
    <rPh sb="90" eb="91">
      <t xml:space="preserve">キメタ </t>
    </rPh>
    <rPh sb="94" eb="98">
      <t xml:space="preserve">リシュウトウロクニ </t>
    </rPh>
    <rPh sb="99" eb="100">
      <t xml:space="preserve">アタッテハ、 </t>
    </rPh>
    <rPh sb="109" eb="111">
      <t xml:space="preserve">ニュウガクガイダンス </t>
    </rPh>
    <rPh sb="119" eb="120">
      <t xml:space="preserve">コエナイヨウ </t>
    </rPh>
    <rPh sb="125" eb="127">
      <t xml:space="preserve">チョウセイヲ </t>
    </rPh>
    <rPh sb="128" eb="129">
      <t xml:space="preserve">オコナッタ </t>
    </rPh>
    <rPh sb="134" eb="136">
      <t xml:space="preserve">シュウトクノ </t>
    </rPh>
    <rPh sb="146" eb="148">
      <t xml:space="preserve">タイセイ </t>
    </rPh>
    <rPh sb="152" eb="153">
      <t xml:space="preserve">ノベル </t>
    </rPh>
    <rPh sb="156" eb="157">
      <t xml:space="preserve">ツギニ </t>
    </rPh>
    <rPh sb="159" eb="162">
      <t xml:space="preserve">リシュウシャノ </t>
    </rPh>
    <rPh sb="163" eb="164">
      <t xml:space="preserve">オオイ </t>
    </rPh>
    <rPh sb="225" eb="227">
      <t xml:space="preserve">ネンドニハ </t>
    </rPh>
    <rPh sb="229" eb="232">
      <t xml:space="preserve">リシュウシャ </t>
    </rPh>
    <rPh sb="235" eb="236">
      <t xml:space="preserve">メイ </t>
    </rPh>
    <rPh sb="237" eb="238">
      <t xml:space="preserve">タイ </t>
    </rPh>
    <rPh sb="240" eb="243">
      <t xml:space="preserve">シュウリョウシャ </t>
    </rPh>
    <rPh sb="243" eb="245">
      <t xml:space="preserve">レイワ </t>
    </rPh>
    <rPh sb="258" eb="261">
      <t xml:space="preserve">シュウトクリツヲ </t>
    </rPh>
    <rPh sb="262" eb="263">
      <t xml:space="preserve">エタ </t>
    </rPh>
    <rPh sb="279" eb="281">
      <t xml:space="preserve">ネンドハ </t>
    </rPh>
    <rPh sb="292" eb="294">
      <t xml:space="preserve">ゾウリョウシテイル </t>
    </rPh>
    <rPh sb="307" eb="309">
      <t>ハイチ</t>
    </rPh>
    <phoneticPr fontId="1"/>
  </si>
  <si>
    <t>令和4年度の学修成果をみると、法学部、経営学部、スポーツ科学部では、上記のように約半数がGPAの平均が3以上となっており、良好であることが分かる。また、本教育プログラムでは、複数教員で同1名称科目を受け持っており、成績分布から厳格に成績評価が行われていることが分かる。一方、同じ評価基準を当てはめると、学修意欲の高い学生が多い健康栄養学部では80％の学生が3以上になってしまうこと分かり、令和5年度以降の成績分布の学部間の平滑化が課題である。
学修成果物として、法学部、経営学部、健康栄養学部、スポーツ科学部で開講している「データサイエンス」では、グループ学習でプレゼンテーション資料を成果物として作成している。さらに、作成した資料を使ったプレゼンテーションは、動画に録画する、ポスターを作成するなどして成果物として残し、クラスの全員が閲覧できる状態で一定期間公開している。クラスによっては、口頭発表する、ポスター発表も行なっている。
授業中に学生に書いてもらったグループ学習の感想を見ると、「他の班の発表を聞き、スライドの見やすさ、わかりやすい話し方、面白いテーマなど参考になることが多くあった。」、「この講義で得たAIの知識はこの講義を受けなければ知ることができなかったと思う。有意義であった。」、「AIの良い面と悪い面を理解できた。」、「AIをよく理解し、よりよく活用できるようにAIとうまく付き合うべきだと思った。」、「AIにできないことを考えて自分の将来を選択したい」、「データサイエンスを学び社会に関心を持つことができたので良かった。」といった内容のものが多くあり、ねらい通りの学習成果が得られている。</t>
    <rPh sb="0" eb="2">
      <t xml:space="preserve">レイワ </t>
    </rPh>
    <rPh sb="6" eb="8">
      <t xml:space="preserve">ガクシュウ </t>
    </rPh>
    <rPh sb="8" eb="10">
      <t xml:space="preserve">ガクシュウセイカヲ </t>
    </rPh>
    <rPh sb="34" eb="36">
      <t xml:space="preserve">ジョウキノヨウニ </t>
    </rPh>
    <rPh sb="40" eb="41">
      <t>ウノモ</t>
    </rPh>
    <rPh sb="41" eb="43">
      <t>ノガ オオク</t>
    </rPh>
    <rPh sb="48" eb="50">
      <t>アリ ガクシ</t>
    </rPh>
    <rPh sb="61" eb="63">
      <t>ュウセイカガ エラレタト _x0000__x0000_</t>
    </rPh>
    <rPh sb="76" eb="79">
      <t>_x0002__x0004__x0006__x0002_
_x0008__x0002__x0014_</t>
    </rPh>
    <rPh sb="87" eb="91">
      <t>"_x0002__x001D_(_x0001_ )_x0002_&amp;0_x0002_</t>
    </rPh>
    <rPh sb="92" eb="98">
      <t>,=_x0002_;L_x0003_CW_x0004_N\_x0006_[</t>
    </rPh>
    <rPh sb="99" eb="100">
      <t>c_x0001_ak_x0004_i</t>
    </rPh>
    <rPh sb="107" eb="111">
      <t>q_x0002_nt_x0002_sv_x0002_</t>
    </rPh>
    <rPh sb="113" eb="115">
      <t>yy_x0001_</t>
    </rPh>
    <rPh sb="116" eb="118">
      <t>_x0002__x0001_</t>
    </rPh>
    <rPh sb="118" eb="120">
      <t>_x0004__x0001_¡</t>
    </rPh>
    <rPh sb="121" eb="122">
      <t>_x0004_«_x0001_¯_x0002_µ¡_x0001_¹£_x0006_Ç</t>
    </rPh>
    <rPh sb="134" eb="136">
      <t>¯_x0002_Í¾_x0001_</t>
    </rPh>
    <rPh sb="137" eb="138">
      <t>ÒÂ_x0002_Ö</t>
    </rPh>
    <rPh sb="139" eb="143">
      <t>Ç_x0002_ÚÊ_x0002_çÔ_x0005_öõ</t>
    </rPh>
    <rPh sb="144" eb="145">
      <t>_x0002_ÿČ_x0002_ąĘ</t>
    </rPh>
    <rPh sb="151" eb="155">
      <t>_x0002_ċě_x0003_đġ_x0002_ĚĬ_x0002_</t>
    </rPh>
    <rPh sb="156" eb="157">
      <t>ġİ_x0002_ħ</t>
    </rPh>
    <rPh sb="158" eb="160">
      <t>ĳ_x0001_ĬŁ_x0002_ı</t>
    </rPh>
    <rPh sb="161" eb="162">
      <t>ń_x0002_ķŎ</t>
    </rPh>
    <rPh sb="163" eb="169">
      <t>_x0002_ľŖ_x0003_ŇŜ_x0001_Ōţ_x0002_ŒŦ_x0002_Ś</t>
    </rPh>
    <rPh sb="175" eb="177">
      <t>ū_x0002_šŮ_x0004_ũ</t>
    </rPh>
    <rPh sb="190" eb="191">
      <t>Ų_x0002_ŮƇ_x0002_</t>
    </rPh>
    <rPh sb="194" eb="196">
      <t>ŵƋ_x0004_Ɓ</t>
    </rPh>
    <rPh sb="199" eb="201">
      <t>Ɛ_x0001_ƉƗ</t>
    </rPh>
    <rPh sb="202" eb="206">
      <t>セイセキ</t>
    </rPh>
    <rPh sb="207" eb="210">
      <t>ガクブ</t>
    </rPh>
    <rPh sb="211" eb="213">
      <t>ヘイカテゥ</t>
    </rPh>
    <rPh sb="213" eb="214">
      <t xml:space="preserve">カ </t>
    </rPh>
    <rPh sb="222" eb="227">
      <t>ƨƷ_x0002_Ʊƿ_x0002_ƶǍ_x0001_ǈǜ_x0003_ǑǬ_x0001_</t>
    </rPh>
    <rPh sb="255" eb="257">
      <t>Ǘǰ_x0001_ǞǴ_x0002_ǥȱ_x0001_</t>
    </rPh>
    <rPh sb="278" eb="280">
      <t>Ǫȴ_x0002_ǯȷ_x0002_</t>
    </rPh>
    <rPh sb="290" eb="292">
      <t>ǵȺ_x0002__x001A_ʛ_x0002_</t>
    </rPh>
    <rPh sb="293" eb="296">
      <t>#ʡ_x0001_)ʬ_x0004_</t>
    </rPh>
    <rPh sb="299" eb="301">
      <t>3ʱ_x0001__x0000__x0000__x0000__x0000_ł_x0000_</t>
    </rPh>
    <rPh sb="310" eb="312">
      <t>ÿ法学部、経営</t>
    </rPh>
    <rPh sb="314" eb="316">
      <t>学部、スポー</t>
    </rPh>
    <rPh sb="317" eb="318">
      <t>ツ科学部に</t>
    </rPh>
    <rPh sb="331" eb="333">
      <t>おいては、</t>
    </rPh>
    <rPh sb="334" eb="336">
      <t>令和4年度は</t>
    </rPh>
    <rPh sb="344" eb="346">
      <t>、各学部の1年</t>
    </rPh>
    <rPh sb="352" eb="355">
      <t>生の必修科目と重な</t>
    </rPh>
    <rPh sb="358" eb="359">
      <t>らないよう</t>
    </rPh>
    <rPh sb="365" eb="367">
      <t>に考慮して時</t>
    </rPh>
    <rPh sb="368" eb="370">
      <t>間割を設定した。</t>
    </rPh>
    <rPh sb="373" eb="375">
      <t>また、履修希望</t>
    </rPh>
    <rPh sb="376" eb="380">
      <t>者がクラスの定員</t>
    </rPh>
    <rPh sb="380" eb="382">
      <t>を超過しな</t>
    </rPh>
    <rPh sb="401" eb="403">
      <t>いよう、クラス</t>
    </rPh>
    <rPh sb="405" eb="409">
      <t>を決めて、ガイダンスで周</t>
    </rPh>
    <rPh sb="410" eb="411">
      <t>知した。さらに、</t>
    </rPh>
    <rPh sb="417" eb="419">
      <t>本教育プログ</t>
    </rPh>
    <rPh sb="419" eb="420">
      <t>ラムを学ぶ</t>
    </rPh>
    <rPh sb="421" eb="422">
      <t>ことの重要</t>
    </rPh>
    <rPh sb="438" eb="440">
      <t>スで周知した。しか</t>
    </rPh>
    <rPh sb="449" eb="451">
      <t>し、本教育プログラ</t>
    </rPh>
    <rPh sb="457" eb="459">
      <t>ムを構成す</t>
    </rPh>
    <rPh sb="471" eb="472">
      <t>る「ICTリテラシーA」、「ICTリ</t>
    </rPh>
    <rPh sb="486" eb="489">
      <t>テラシーB」、「デ</t>
    </rPh>
    <rPh sb="502" eb="503">
      <t>ータサイエン</t>
    </rPh>
    <rPh sb="506" eb="507">
      <t>ス」の3科目を</t>
    </rPh>
    <rPh sb="510" eb="512">
      <t>全て履修した学</t>
    </rPh>
    <rPh sb="571" eb="572">
      <t>生は入学定</t>
    </rPh>
    <rPh sb="574" eb="576">
      <t>員の53％</t>
    </rPh>
    <rPh sb="577" eb="579">
      <t>に止まった。</t>
    </rPh>
    <rPh sb="580" eb="582">
      <t/>
    </rPh>
    <rPh sb="677" eb="679">
      <t xml:space="preserve">ウニ ウノモノガ </t>
    </rPh>
    <rPh sb="683" eb="684">
      <t xml:space="preserve">オオクアリ </t>
    </rPh>
    <rPh sb="694" eb="698">
      <t xml:space="preserve">ガクシュウセイカガ </t>
    </rPh>
    <rPh sb="699" eb="700">
      <t xml:space="preserve">エラレタト </t>
    </rPh>
    <phoneticPr fontId="1"/>
  </si>
  <si>
    <t>法学部、経営学部、スポーツ科学部においては、令和4年度は、各学部の1年生の必修科目と重ならないように考慮して時間割を設定した。また、履修希望者がクラスの定員を超過しないよう、クラスを決めて、ガイダンスで周知した。さらに、本教育プログラムを学ぶことの重要性をガイダンスで周知した。しかし、本教育プログラムを構成する「ICTリテラシーA」、「ICTリテラシーB」、「データサイエンス」の3科目を全て履修した学生は入学定員の53％に止まった。令和5年度より、本学の「履修指定科目（所定の年次において、履修が義務付けられた科目）」制度を利用し、本教育プログラムを構成する3科目を「履修指定科目」に設定する。これにより令和8年度には履修率100％の達成が期待される。
健康栄養学部では、本教育プログラムを構成する「情報処理演習Ⅰ」、「情報処理演習Ⅱ」が学部の「必修科目」であり、「データサイエンス」の履修率も100％であったことから、令和4年度には1年生の対象者全員が本教育プログラムを履修した。令和5年度は「データサイエンス」を「履修指定科目」とする。これにより、令和5年度以降も1年生の対象者全員が本教育プログラムを履修し、令和7年度には履修率100％の達成が期待される。
国際リベラルアーツ学部では、本教育プログラムは1年生から3年生に渡る複数科目で構成されているため、履修が学生から見て複雑である。したがって、1科目で審査項目の全てを網羅する初年次科目があることが望ましい。こうした科目の準備を令和5年度から進める。</t>
    <rPh sb="0" eb="3">
      <t xml:space="preserve">ホウガクブ </t>
    </rPh>
    <rPh sb="4" eb="8">
      <t xml:space="preserve">ケイエイガクブ </t>
    </rPh>
    <rPh sb="22" eb="23">
      <t xml:space="preserve">レイワ </t>
    </rPh>
    <rPh sb="24" eb="25">
      <t xml:space="preserve">4ネンドハ </t>
    </rPh>
    <rPh sb="29" eb="32">
      <t xml:space="preserve">カクガクブノ </t>
    </rPh>
    <rPh sb="37" eb="41">
      <t xml:space="preserve">ヒッシュウカモクト </t>
    </rPh>
    <rPh sb="42" eb="43">
      <t xml:space="preserve">カサナラナイヨウニ </t>
    </rPh>
    <rPh sb="50" eb="53">
      <t xml:space="preserve">ジカンワリヲ </t>
    </rPh>
    <rPh sb="54" eb="55">
      <t xml:space="preserve">コウリョシテ </t>
    </rPh>
    <rPh sb="58" eb="60">
      <t xml:space="preserve">セッテイシタ </t>
    </rPh>
    <rPh sb="66" eb="71">
      <t xml:space="preserve">リシュウキボウシャガ </t>
    </rPh>
    <rPh sb="76" eb="78">
      <t xml:space="preserve">テイインヲ </t>
    </rPh>
    <rPh sb="79" eb="81">
      <t xml:space="preserve">チョウカシナイヨウ </t>
    </rPh>
    <rPh sb="87" eb="88">
      <t xml:space="preserve">ジゼンニ </t>
    </rPh>
    <rPh sb="91" eb="92">
      <t xml:space="preserve">キメテ </t>
    </rPh>
    <rPh sb="101" eb="103">
      <t xml:space="preserve">シュウチシタ </t>
    </rPh>
    <rPh sb="110" eb="113">
      <t xml:space="preserve">ホンキョウイクプログラムヲ </t>
    </rPh>
    <rPh sb="119" eb="120">
      <t xml:space="preserve">マナブコトノ </t>
    </rPh>
    <rPh sb="124" eb="127">
      <t xml:space="preserve">ジュウヨウセイヲ </t>
    </rPh>
    <rPh sb="134" eb="136">
      <t xml:space="preserve">シュウチシタ </t>
    </rPh>
    <rPh sb="143" eb="146">
      <t xml:space="preserve">ホンキョウイク </t>
    </rPh>
    <rPh sb="152" eb="154">
      <t xml:space="preserve">コウセイ </t>
    </rPh>
    <rPh sb="192" eb="194">
      <t xml:space="preserve">ゼンカモクヲ </t>
    </rPh>
    <rPh sb="195" eb="196">
      <t xml:space="preserve">スベテ </t>
    </rPh>
    <rPh sb="197" eb="199">
      <t xml:space="preserve">リシュウシタ </t>
    </rPh>
    <rPh sb="201" eb="203">
      <t xml:space="preserve">ガクセイハ </t>
    </rPh>
    <rPh sb="204" eb="208">
      <t xml:space="preserve">ニュウガクテイインノ </t>
    </rPh>
    <rPh sb="213" eb="214">
      <t xml:space="preserve">トドマッタ </t>
    </rPh>
    <rPh sb="305" eb="311">
      <t xml:space="preserve">ケンコウエイヨウガクブデハ </t>
    </rPh>
    <rPh sb="311" eb="314">
      <t xml:space="preserve">リシュウリツ </t>
    </rPh>
    <rPh sb="317" eb="318">
      <t xml:space="preserve">ホンキョウイクプログラムヲ </t>
    </rPh>
    <rPh sb="319" eb="321">
      <t xml:space="preserve">タッセイ </t>
    </rPh>
    <rPh sb="322" eb="324">
      <t xml:space="preserve">キタイ </t>
    </rPh>
    <rPh sb="326" eb="327">
      <t xml:space="preserve">コウセイスル </t>
    </rPh>
    <rPh sb="349" eb="351">
      <t xml:space="preserve">ガクブノ </t>
    </rPh>
    <rPh sb="356" eb="358">
      <t>エンシュウ</t>
    </rPh>
    <rPh sb="366" eb="368">
      <t>エンシュウ</t>
    </rPh>
    <rPh sb="373" eb="375">
      <t xml:space="preserve">リシュウシツ </t>
    </rPh>
    <rPh sb="375" eb="376">
      <t xml:space="preserve">リツモ </t>
    </rPh>
    <rPh sb="390" eb="392">
      <t xml:space="preserve">レイワ </t>
    </rPh>
    <rPh sb="398" eb="400">
      <t xml:space="preserve">ネンセイノ </t>
    </rPh>
    <rPh sb="401" eb="404">
      <t xml:space="preserve">タイショウシャ </t>
    </rPh>
    <rPh sb="404" eb="406">
      <t xml:space="preserve">ゼンインガ </t>
    </rPh>
    <rPh sb="416" eb="418">
      <t xml:space="preserve">リシュウシタ </t>
    </rPh>
    <rPh sb="421" eb="423">
      <t xml:space="preserve">ライネンドハ </t>
    </rPh>
    <rPh sb="461" eb="463">
      <t xml:space="preserve">イコウモ </t>
    </rPh>
    <rPh sb="468" eb="471">
      <t xml:space="preserve">タイショウシャ </t>
    </rPh>
    <rPh sb="471" eb="473">
      <t xml:space="preserve">ゼンインガ </t>
    </rPh>
    <rPh sb="474" eb="477">
      <t xml:space="preserve">ホンキョウイクプログラムノ </t>
    </rPh>
    <rPh sb="483" eb="485">
      <t xml:space="preserve">リシュウスル </t>
    </rPh>
    <rPh sb="487" eb="489">
      <t xml:space="preserve">レイワ7ネンドニハ </t>
    </rPh>
    <rPh sb="499" eb="502">
      <t xml:space="preserve">リシュウシャガ </t>
    </rPh>
    <rPh sb="503" eb="505">
      <t xml:space="preserve">ミコマレル </t>
    </rPh>
    <rPh sb="534" eb="536">
      <t xml:space="preserve">コクサイリベラルアーツガクブ </t>
    </rPh>
    <rPh sb="548" eb="551">
      <t xml:space="preserve">ホンキョウイクプログラム </t>
    </rPh>
    <rPh sb="566" eb="567">
      <t xml:space="preserve">ワタル </t>
    </rPh>
    <rPh sb="568" eb="570">
      <t xml:space="preserve">フクスウネンドニ </t>
    </rPh>
    <rPh sb="570" eb="572">
      <t xml:space="preserve">カモクガ </t>
    </rPh>
    <rPh sb="573" eb="575">
      <t xml:space="preserve">コウセイ </t>
    </rPh>
    <rPh sb="583" eb="585">
      <t xml:space="preserve">リシュウガ </t>
    </rPh>
    <rPh sb="586" eb="588">
      <t xml:space="preserve">ガクセイカラミテ </t>
    </rPh>
    <rPh sb="592" eb="594">
      <t xml:space="preserve">フクザツデアル </t>
    </rPh>
    <rPh sb="631" eb="632">
      <t xml:space="preserve">ノゾマシイ </t>
    </rPh>
    <rPh sb="640" eb="642">
      <t xml:space="preserve">カモクノ </t>
    </rPh>
    <rPh sb="643" eb="645">
      <t xml:space="preserve">ジュンビヲ </t>
    </rPh>
    <rPh sb="646" eb="648">
      <t xml:space="preserve">レイワ </t>
    </rPh>
    <rPh sb="653" eb="654">
      <t xml:space="preserve">ススメル </t>
    </rPh>
    <phoneticPr fontId="1"/>
  </si>
  <si>
    <t>本教育プログラムを構成する科目のうち、「ICTリテラシーA」、「ICTリテラシーB」は7名で、「データサイエンス」は4名の担当者が複数クラスを開講している。それぞれの科目で、シラバスを統一して、同一授業内容と同一成績評価で運営している。そのために、それぞれの科目のシラバス作成時には、常勤の科目担当者全員で会合を行なっている。また、授業期間中も「ICTリテラシーA」、「ICTリテラシーB」については3回、「データ・サイエンス」については2回、担当者全員での会合を開き、情報共有を行なって内容・水準の維持と向上を計っている。
また、常勤の4名と非常勤の1名は、山梨大学が中心となり山梨県内の7大学で活動している「数理・データサイエンス・AI教育連携にかかる授業設計研究会」に参加してる。この研究会を通じて情報交換して、担当者全員が、内容・水準を維持・向上と「分かりやすい」授業の開発、実行に努めている。
令和4年度には、滋賀大学データサイエンス学部との共同執筆で「データサイエンス」の教科書を作成した。内容は、数理・データサイエンス・AIの基礎的な知識と、その活用事例で構成されている。活用事例は、本学の学部構成に合わせて活用分野を選んでいる。また、社会科学系の学部でも教科書として使えるよう、図表を多用して数式の使用を最小限にとどめる工夫をした。令和5年度は、本学の「データサイエンス」の授業で教科書として採用し、「分かりやすい」授業を行う
教科書参考：「はじめてのデータサイエンス」学術図書出版社　2023/03　ISBN:978-4780611021</t>
    <rPh sb="0" eb="3">
      <t xml:space="preserve">ホンキョウイク </t>
    </rPh>
    <rPh sb="3" eb="5">
      <t>プログラムヲ</t>
    </rPh>
    <rPh sb="9" eb="10">
      <t xml:space="preserve">コウセイスル </t>
    </rPh>
    <rPh sb="13" eb="15">
      <t xml:space="preserve">カモクノウチ </t>
    </rPh>
    <rPh sb="59" eb="60">
      <t xml:space="preserve">メイノ </t>
    </rPh>
    <rPh sb="61" eb="64">
      <t xml:space="preserve">タントウシャデ </t>
    </rPh>
    <rPh sb="65" eb="67">
      <t xml:space="preserve">フクスウクラスヲ </t>
    </rPh>
    <rPh sb="71" eb="73">
      <t xml:space="preserve">カイコウシテイル </t>
    </rPh>
    <rPh sb="83" eb="85">
      <t xml:space="preserve">カモクデ </t>
    </rPh>
    <rPh sb="97" eb="99">
      <t xml:space="preserve">ドウイツ </t>
    </rPh>
    <rPh sb="104" eb="106">
      <t xml:space="preserve">ドウイツ </t>
    </rPh>
    <rPh sb="111" eb="113">
      <t xml:space="preserve">ウンエイシテイル </t>
    </rPh>
    <rPh sb="129" eb="131">
      <t xml:space="preserve">カモクノ </t>
    </rPh>
    <rPh sb="142" eb="144">
      <t xml:space="preserve">ジョウキンノ </t>
    </rPh>
    <rPh sb="145" eb="147">
      <t xml:space="preserve">カモクタンタオウシャ </t>
    </rPh>
    <rPh sb="147" eb="150">
      <t xml:space="preserve">タントウシャ </t>
    </rPh>
    <rPh sb="150" eb="152">
      <t xml:space="preserve">ゼンインデ </t>
    </rPh>
    <rPh sb="153" eb="155">
      <t xml:space="preserve">カイゴウ </t>
    </rPh>
    <rPh sb="156" eb="157">
      <t xml:space="preserve">オコナッテイル </t>
    </rPh>
    <rPh sb="166" eb="171">
      <t xml:space="preserve">ジュギョウキカンチュウモ </t>
    </rPh>
    <rPh sb="232" eb="233">
      <t xml:space="preserve">ヒラキ </t>
    </rPh>
    <rPh sb="260" eb="261">
      <t xml:space="preserve">ハカッテイル </t>
    </rPh>
    <rPh sb="266" eb="268">
      <t xml:space="preserve">ジョウキンノ </t>
    </rPh>
    <rPh sb="270" eb="271">
      <t xml:space="preserve">メイト </t>
    </rPh>
    <rPh sb="272" eb="275">
      <t xml:space="preserve">ヒジョウキン </t>
    </rPh>
    <rPh sb="280" eb="284">
      <t xml:space="preserve">ヤマナシダイガク </t>
    </rPh>
    <rPh sb="285" eb="287">
      <t xml:space="preserve">チュウシントナリ </t>
    </rPh>
    <rPh sb="290" eb="294">
      <t xml:space="preserve">ヤマナシケンナイノ </t>
    </rPh>
    <rPh sb="296" eb="298">
      <t xml:space="preserve">ダイガクガ </t>
    </rPh>
    <rPh sb="299" eb="301">
      <t xml:space="preserve">カツドウシテイル </t>
    </rPh>
    <rPh sb="337" eb="339">
      <t xml:space="preserve">カイハツニ ジッコウ タントウシャ ゼンインカイハツニ ジッコウ タントウシャ ゼンインガ ツトメテイル レイワ シガダイガク ガクブト キョウドウシッピツ キョウカショヲ サクセイシタ ナイヨウハ スウリ キソチシキ カツヨウジレデウ ジレイデ コウセイサレテイル カツヨウジレイハ ホンガクノ ガクブコウセイニ アワセテ カツヨウブンヤヲ センテイシタ シャカイカガクケイノ ガクブデモ キョウカショト ツカエルヨウ ズヒョウヲ タヨウシ スウシキヲ シヨウ サイショウゲンニ クフウヲ レイワ ホンガクノ ジュギョウデ キョウカショトシテ サイヨウシ オコナウ </t>
    </rPh>
    <rPh sb="472" eb="473">
      <t>テキナ</t>
    </rPh>
    <rPh sb="516" eb="517">
      <t>エランデ</t>
    </rPh>
    <rPh sb="622" eb="625">
      <t>キョウ</t>
    </rPh>
    <rPh sb="625" eb="627">
      <t>サンコ</t>
    </rPh>
    <phoneticPr fontId="1"/>
  </si>
  <si>
    <t>様式１-1</t>
    <rPh sb="0" eb="2">
      <t>ヨウシキ</t>
    </rPh>
    <phoneticPr fontId="1"/>
  </si>
  <si>
    <t>様式１-2</t>
    <rPh sb="0" eb="2">
      <t>ヨウシキ</t>
    </rPh>
    <phoneticPr fontId="1"/>
  </si>
  <si>
    <t>様式１-3</t>
    <rPh sb="0" eb="2">
      <t>ヨウシキ</t>
    </rPh>
    <phoneticPr fontId="1"/>
  </si>
  <si>
    <t>・サービス、インフラ、公共、ヘルスケア等におけるデータ・AI利活用事例紹介
「データサイエンス」（第10回〜第15回）</t>
    <phoneticPr fontId="1"/>
  </si>
  <si>
    <t>・匿名加工情報　「データサイエンス」（第2回）
・情報セキュリティ：機密性、完全性、可用性　「データサイエンス」（第3回）
・パスワード、悪意ある情報搾取　「ICTリテラシーA」（第1回、第5回）
・情報漏洩等によるセキュリティ事故の事例紹介　「ICTリテラシーA」（第5回）</t>
    <phoneticPr fontId="1"/>
  </si>
  <si>
    <t>・ビッグデータ、IoT、AI、ロボット、第4次産業革命、Society 5.0、データ駆動型社会
　「データサイエンス」（第1回、第10回〜第15回）</t>
    <phoneticPr fontId="1"/>
  </si>
  <si>
    <t>・AI最新技術の活用例　「データサイエンス」（第1回、第10回〜第15回）</t>
    <phoneticPr fontId="1"/>
  </si>
  <si>
    <t>・オープンデータ、調査データ、実験データ　「データサイエンス」（第2回、第3回、第10回〜第15回）</t>
    <phoneticPr fontId="1"/>
  </si>
  <si>
    <t>・データ・AI活用領域の広がり　「データサイエンス」（第2回、第3回、第10回〜第15回）</t>
    <phoneticPr fontId="1"/>
  </si>
  <si>
    <t>・データ解析：クロス集計、回帰分析、ベイズ推論、アソシエーション分析、クラスタリング、決定木
　「データサイエンス」（第8回、第9回）
・特化型AIと汎用AI　「データサイエンス」（第10回）</t>
    <rPh sb="62" eb="63">
      <t xml:space="preserve">ダイ9カイ </t>
    </rPh>
    <phoneticPr fontId="1"/>
  </si>
  <si>
    <t>・データの集計（和、平均）、データの並び替え　「ICTリテラシーB」（第15回）</t>
    <phoneticPr fontId="1"/>
  </si>
  <si>
    <t>・データ表現（棒グラフ、折線グラフ、散布図）　「ICTリテラシーB」（第14回）</t>
    <phoneticPr fontId="1"/>
  </si>
  <si>
    <t>・ELS、個人情報保護、忘れられる権利、データ倫理、データバイアス　「データサイエンス」（第2回）
・データ・AI活用における負の事例紹介「データサイエンス」（第10回〜第15回）</t>
    <phoneticPr fontId="1"/>
  </si>
  <si>
    <t>・匿名加工情報　「データサイエンス」（第2回）
・情報セキュリティ：機密性、完全性、可用性　「データサイエンス」（第3回）
・暗号化、パスワード、悪意ある情報搾取　「情報処理演習Ⅰ」（第7回、第8回）</t>
    <rPh sb="35" eb="41">
      <t xml:space="preserve">ジョウホウショリエンシュウ </t>
    </rPh>
    <phoneticPr fontId="1"/>
  </si>
  <si>
    <t>・データ表現（棒グラフ、折線グラフ、散布図）　「情報処理演習Ⅱ」（第11回）</t>
    <phoneticPr fontId="1"/>
  </si>
  <si>
    <t>・データの集計（和、平均）、データの並び替え　「情報処理演習Ⅱ」（第13回）</t>
    <rPh sb="10" eb="11">
      <t xml:space="preserve">モトメル </t>
    </rPh>
    <rPh sb="18" eb="20">
      <t xml:space="preserve">リヨウスル </t>
    </rPh>
    <phoneticPr fontId="1"/>
  </si>
  <si>
    <t>・データの分布(ヒストグラム)と代表値（平均値、中央値、最頻値）、代表値の性質の違い、
　データのばらつき、相関と因果（相関係数）　「ICTリテラシーB」（第14回）</t>
    <phoneticPr fontId="1"/>
  </si>
  <si>
    <t>・母集団と標本抽出（アンケート調査、全数調査）　「情報処理演習Ⅱ」（第9回）
・データの種類（量的変数、質的変数）　「情報処理演習Ⅱ」（第12回）
・データの分布(ヒストグラム)と代表値（平均値、中央値、最頻値）、代表値の性質の違い、
　データのばらつき（分散、標準偏差、偏差値）、相関と因果（相関係数）
　「情報処理演習Ⅱ」（第13回）</t>
    <phoneticPr fontId="1"/>
  </si>
  <si>
    <t>・AI最新技術の活用例
　Latest trends in data and AI utilization 「Introduction to Computer Science」（第29回）（第30回）
　Latest trends in data and AI utilization 「Machine Learning」（第1回）</t>
    <phoneticPr fontId="1"/>
  </si>
  <si>
    <t>・ビッグデータ、IoT、AI、ロボット
　Changes in society, Internet of Things 「Introduction to Computer Science」（第29回）（第30回）
・複数技術を組み合わせたAIサービス
　Changes in society 「Machine Learning」（第1回）</t>
    <rPh sb="60" eb="61">
      <t xml:space="preserve">ダイ </t>
    </rPh>
    <rPh sb="66" eb="67">
      <t xml:space="preserve">ダイ30カイ </t>
    </rPh>
    <phoneticPr fontId="1"/>
  </si>
  <si>
    <t>・調査データ、実験データ、データのオープン化
　Introduction to Databases 「Introduction to Computer Science」（第29回）
　Data used in society/ AI utilization「Machine Learning」（第1回）</t>
    <phoneticPr fontId="1"/>
  </si>
  <si>
    <t>・データ・AI活用領域の広がり
　Areas of utilization of data and AI 「Introduction to Computer Science」（第29回）（第30回）
　Areas of utilization of data and AI 「Machine Learning」（第1回）</t>
    <phoneticPr fontId="1"/>
  </si>
  <si>
    <t>・データ解析　「データサイエンス」（第8回、第9回）
・特化型AIと汎用AI　「データサイエンス」（第10回）</t>
    <rPh sb="21" eb="22">
      <t xml:space="preserve">ダイ9カイ </t>
    </rPh>
    <phoneticPr fontId="1"/>
  </si>
  <si>
    <t>・データ解析
　「Machine Learning」（第12回）〜（第28回）
　 「Coding Bootcamp: Applied Probability and Statistics」（第5回）（第6回）
　 「Statistics」（第12回）
・特化型AIと汎用AI
　Technologies for data and AI utilization 「Introduction to Computer Science」（第29回）（第30回）</t>
    <phoneticPr fontId="1"/>
  </si>
  <si>
    <t>・流通、製造、金融、サービス、インフラ、公共、ヘルスケア等におけるデータ・AI利活用事例紹介
　Sites of data and AI utilization 「Introduction to Computer Science」（第29回）（第30回）
　Sites of data and AI utilization 「Machine Learning」（第1回）</t>
    <phoneticPr fontId="1"/>
  </si>
  <si>
    <t>・データ倫理、データバイアス
　Points to Note in Utilizing Data and AI  「Machine Learning」（第1回）（第2回）</t>
    <phoneticPr fontId="1"/>
  </si>
  <si>
    <t>・情報セキュリティ：機密性、完全性、可用性
　Precautions for protecting data  「Introduction to Computer Science」（第25回）〜（第28回）</t>
    <phoneticPr fontId="1"/>
  </si>
  <si>
    <t>・データの分布(ヒストグラム)と代表値（平均値、中央値、最頻値）、代表値の性質の違い、
　データのばらつき、相関と因果（相関係数）
　Read the data 「Coding Bootcamp: Applied Probability and Statistics」（第7回）（第8回）
　Read the data 「Statistics」（第2回）〜（第4回）</t>
    <phoneticPr fontId="1"/>
  </si>
  <si>
    <t>・データ表現（棒グラフ、折線グラフ、散布図）
　Explain the data 「Coding Bootcamp: Applied Probability and Statistics」（第9回）〜（第20回）
　Explain the data 「Statistics」（第20回）〜（第30回）</t>
    <phoneticPr fontId="1"/>
  </si>
  <si>
    <t>・データの集計（和、平均）、データの並び替え、ランキング、表形式のデータ（csv）
 「Machine Learning」（第12回）〜（第28回）</t>
    <phoneticPr fontId="1"/>
  </si>
  <si>
    <t>データサイエンス</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</si>
</sst>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000000"/>
      <name val="ＭＳ Ｐゴシック"/>
      <family val="2"/>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5" xfId="0" applyFont="1" applyBorder="1" applyAlignment="1">
      <alignment horizontal="center" vertical="center" shrinkToFit="1"/>
    </xf>
    <xf numFmtId="0" fontId="2" fillId="0" borderId="1" xfId="0" applyFont="1" applyBorder="1" applyAlignment="1">
      <alignment horizontal="left"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3" xfId="0" applyFont="1" applyBorder="1" applyAlignment="1">
      <alignment horizontal="center" vertical="center"/>
    </xf>
    <xf numFmtId="0" fontId="2" fillId="0" borderId="0" xfId="0" applyFont="1" applyAlignment="1">
      <alignment horizontal="righ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3" fillId="0" borderId="46" xfId="0" applyFont="1" applyBorder="1" applyAlignment="1">
      <alignment vertical="center" wrapTex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6" xfId="0" applyFont="1" applyBorder="1" applyAlignment="1">
      <alignment vertical="center" wrapText="1" shrinkToFit="1"/>
    </xf>
    <xf numFmtId="0" fontId="2" fillId="0" borderId="19"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horizontal="left" vertical="top" wrapText="1" shrinkToFit="1"/>
    </xf>
    <xf numFmtId="0" fontId="2" fillId="0" borderId="20" xfId="0" applyFont="1" applyBorder="1" applyAlignment="1">
      <alignment horizontal="left" vertical="top" wrapText="1" shrinkToFit="1"/>
    </xf>
    <xf numFmtId="0" fontId="2" fillId="0" borderId="18" xfId="0" applyFont="1" applyBorder="1" applyAlignment="1">
      <alignment horizontal="lef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8ECA-CE33-C04E-8960-749DA7D8E35C}">
  <sheetPr>
    <pageSetUpPr fitToPage="1"/>
  </sheetPr>
  <dimension ref="A1:V110"/>
  <sheetViews>
    <sheetView showZeros="0" tabSelected="1" view="pageBreakPreview" zoomScaleNormal="100" zoomScaleSheetLayoutView="100" workbookViewId="0">
      <selection activeCell="B2" sqref="B2"/>
    </sheetView>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75" customHeight="1" x14ac:dyDescent="0.2">
      <c r="R1" s="99" t="s">
        <v>176</v>
      </c>
      <c r="S1" s="99"/>
      <c r="T1" s="2" t="s">
        <v>0</v>
      </c>
    </row>
    <row r="2" spans="1:22" ht="18.75" customHeight="1" x14ac:dyDescent="0.2">
      <c r="B2" s="34" t="s">
        <v>1</v>
      </c>
      <c r="C2" s="92" t="s">
        <v>2</v>
      </c>
      <c r="D2" s="98"/>
      <c r="E2" s="98"/>
      <c r="F2" s="98"/>
      <c r="G2" s="98"/>
      <c r="H2" s="98"/>
      <c r="I2" s="93"/>
      <c r="J2" s="35"/>
      <c r="K2" s="6"/>
      <c r="L2" s="6"/>
      <c r="M2" s="6"/>
      <c r="N2" s="6"/>
      <c r="O2" s="6"/>
      <c r="P2" s="6"/>
      <c r="Q2" s="6"/>
      <c r="R2" s="6"/>
      <c r="S2" s="6"/>
    </row>
    <row r="3" spans="1:22" ht="18.75" customHeight="1" x14ac:dyDescent="0.2">
      <c r="B3" s="34" t="s">
        <v>3</v>
      </c>
      <c r="C3" s="100" t="s">
        <v>4</v>
      </c>
      <c r="D3" s="101"/>
      <c r="E3" s="101"/>
      <c r="F3" s="101"/>
      <c r="G3" s="101"/>
      <c r="H3" s="101"/>
      <c r="I3" s="102"/>
      <c r="J3" s="35"/>
      <c r="K3" s="6"/>
      <c r="L3" s="6"/>
      <c r="M3" s="6"/>
      <c r="N3" s="6"/>
      <c r="O3" s="6"/>
      <c r="P3" s="6"/>
      <c r="Q3" s="6"/>
      <c r="R3" s="6"/>
      <c r="S3" s="6"/>
    </row>
    <row r="4" spans="1:22" ht="15" customHeight="1" x14ac:dyDescent="0.2">
      <c r="K4" s="35"/>
      <c r="L4" s="36"/>
      <c r="M4" s="36"/>
      <c r="N4" s="36"/>
      <c r="O4" s="36"/>
      <c r="P4" s="36"/>
      <c r="Q4" s="36"/>
      <c r="R4" s="36"/>
      <c r="S4" s="36"/>
    </row>
    <row r="5" spans="1:22" ht="18" customHeight="1" x14ac:dyDescent="0.2">
      <c r="A5" s="103" t="s">
        <v>5</v>
      </c>
      <c r="B5" s="103"/>
      <c r="C5" s="103"/>
      <c r="D5" s="103"/>
      <c r="E5" s="103"/>
      <c r="F5" s="103"/>
      <c r="G5" s="103"/>
      <c r="H5" s="103"/>
      <c r="I5" s="103"/>
      <c r="J5" s="103"/>
      <c r="K5" s="103"/>
      <c r="L5" s="103"/>
      <c r="M5" s="103"/>
      <c r="N5" s="103"/>
      <c r="O5" s="103"/>
      <c r="P5" s="103"/>
      <c r="Q5" s="103"/>
      <c r="R5" s="103"/>
      <c r="S5" s="103"/>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6</v>
      </c>
      <c r="C7" s="3"/>
      <c r="J7" s="37" t="s">
        <v>7</v>
      </c>
      <c r="K7" s="100" t="s">
        <v>8</v>
      </c>
      <c r="L7" s="101"/>
      <c r="M7" s="101"/>
      <c r="N7" s="101"/>
      <c r="O7" s="101"/>
      <c r="P7" s="101"/>
      <c r="Q7" s="101"/>
      <c r="R7" s="101"/>
      <c r="S7" s="102"/>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04" t="s">
        <v>9</v>
      </c>
      <c r="C9" s="105"/>
      <c r="D9" s="105"/>
      <c r="E9" s="105"/>
      <c r="F9" s="105"/>
      <c r="G9" s="105"/>
      <c r="H9" s="105"/>
      <c r="I9" s="105"/>
      <c r="J9" s="105"/>
      <c r="K9" s="105"/>
      <c r="L9" s="105"/>
      <c r="M9" s="105"/>
      <c r="N9" s="105"/>
      <c r="O9" s="105"/>
      <c r="P9" s="105"/>
      <c r="Q9" s="105"/>
      <c r="R9" s="105"/>
      <c r="S9" s="106"/>
    </row>
    <row r="10" spans="1:22" ht="18" customHeight="1" x14ac:dyDescent="0.2">
      <c r="B10" s="107"/>
      <c r="C10" s="108"/>
      <c r="D10" s="108"/>
      <c r="E10" s="108"/>
      <c r="F10" s="108"/>
      <c r="G10" s="108"/>
      <c r="H10" s="108"/>
      <c r="I10" s="108"/>
      <c r="J10" s="108"/>
      <c r="K10" s="108"/>
      <c r="L10" s="108"/>
      <c r="M10" s="108"/>
      <c r="N10" s="108"/>
      <c r="O10" s="108"/>
      <c r="P10" s="108"/>
      <c r="Q10" s="108"/>
      <c r="R10" s="108"/>
      <c r="S10" s="109"/>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10</v>
      </c>
      <c r="B12" s="3"/>
      <c r="C12" s="3"/>
      <c r="D12" s="35"/>
      <c r="E12" s="35"/>
      <c r="F12" s="35"/>
      <c r="G12" s="35"/>
      <c r="H12" s="35"/>
      <c r="I12" s="35"/>
      <c r="J12" s="35"/>
      <c r="K12" s="38"/>
      <c r="L12" s="38"/>
      <c r="M12" s="38"/>
      <c r="N12" s="38"/>
      <c r="O12" s="38"/>
      <c r="P12" s="38"/>
      <c r="Q12" s="38"/>
      <c r="R12" s="38"/>
      <c r="S12" s="38"/>
    </row>
    <row r="13" spans="1:22" ht="18" customHeight="1" x14ac:dyDescent="0.2">
      <c r="B13" s="83" t="s">
        <v>11</v>
      </c>
      <c r="C13" s="84"/>
      <c r="D13" s="84"/>
      <c r="E13" s="84"/>
      <c r="F13" s="84"/>
      <c r="G13" s="84"/>
      <c r="H13" s="84"/>
      <c r="I13" s="84"/>
      <c r="J13" s="84"/>
      <c r="K13" s="84"/>
      <c r="L13" s="84"/>
      <c r="M13" s="84"/>
      <c r="N13" s="84"/>
      <c r="O13" s="84"/>
      <c r="P13" s="84"/>
      <c r="Q13" s="84"/>
      <c r="R13" s="84"/>
      <c r="S13" s="85"/>
      <c r="V13" s="1" t="s">
        <v>12</v>
      </c>
    </row>
    <row r="14" spans="1:22" ht="18" customHeight="1" x14ac:dyDescent="0.2">
      <c r="B14" s="86"/>
      <c r="C14" s="87"/>
      <c r="D14" s="87"/>
      <c r="E14" s="87"/>
      <c r="F14" s="87"/>
      <c r="G14" s="87"/>
      <c r="H14" s="87"/>
      <c r="I14" s="87"/>
      <c r="J14" s="87"/>
      <c r="K14" s="87"/>
      <c r="L14" s="87"/>
      <c r="M14" s="87"/>
      <c r="N14" s="87"/>
      <c r="O14" s="87"/>
      <c r="P14" s="87"/>
      <c r="Q14" s="87"/>
      <c r="R14" s="87"/>
      <c r="S14" s="88"/>
      <c r="V14" s="1" t="s">
        <v>13</v>
      </c>
    </row>
    <row r="15" spans="1:22" ht="18" customHeight="1" x14ac:dyDescent="0.2">
      <c r="B15" s="86"/>
      <c r="C15" s="87"/>
      <c r="D15" s="87"/>
      <c r="E15" s="87"/>
      <c r="F15" s="87"/>
      <c r="G15" s="87"/>
      <c r="H15" s="87"/>
      <c r="I15" s="87"/>
      <c r="J15" s="87"/>
      <c r="K15" s="87"/>
      <c r="L15" s="87"/>
      <c r="M15" s="87"/>
      <c r="N15" s="87"/>
      <c r="O15" s="87"/>
      <c r="P15" s="87"/>
      <c r="Q15" s="87"/>
      <c r="R15" s="87"/>
      <c r="S15" s="88"/>
      <c r="V15" s="1" t="s">
        <v>14</v>
      </c>
    </row>
    <row r="16" spans="1:22" ht="18" customHeight="1" x14ac:dyDescent="0.2">
      <c r="B16" s="86"/>
      <c r="C16" s="87"/>
      <c r="D16" s="87"/>
      <c r="E16" s="87"/>
      <c r="F16" s="87"/>
      <c r="G16" s="87"/>
      <c r="H16" s="87"/>
      <c r="I16" s="87"/>
      <c r="J16" s="87"/>
      <c r="K16" s="87"/>
      <c r="L16" s="87"/>
      <c r="M16" s="87"/>
      <c r="N16" s="87"/>
      <c r="O16" s="87"/>
      <c r="P16" s="87"/>
      <c r="Q16" s="87"/>
      <c r="R16" s="87"/>
      <c r="S16" s="88"/>
      <c r="V16" s="1" t="s">
        <v>15</v>
      </c>
    </row>
    <row r="17" spans="1:19" ht="18" customHeight="1" x14ac:dyDescent="0.2">
      <c r="B17" s="86"/>
      <c r="C17" s="87"/>
      <c r="D17" s="87"/>
      <c r="E17" s="87"/>
      <c r="F17" s="87"/>
      <c r="G17" s="87"/>
      <c r="H17" s="87"/>
      <c r="I17" s="87"/>
      <c r="J17" s="87"/>
      <c r="K17" s="87"/>
      <c r="L17" s="87"/>
      <c r="M17" s="87"/>
      <c r="N17" s="87"/>
      <c r="O17" s="87"/>
      <c r="P17" s="87"/>
      <c r="Q17" s="87"/>
      <c r="R17" s="87"/>
      <c r="S17" s="88"/>
    </row>
    <row r="18" spans="1:19" ht="18" customHeight="1" x14ac:dyDescent="0.2">
      <c r="B18" s="89"/>
      <c r="C18" s="90"/>
      <c r="D18" s="90"/>
      <c r="E18" s="90"/>
      <c r="F18" s="90"/>
      <c r="G18" s="90"/>
      <c r="H18" s="90"/>
      <c r="I18" s="90"/>
      <c r="J18" s="90"/>
      <c r="K18" s="90"/>
      <c r="L18" s="90"/>
      <c r="M18" s="90"/>
      <c r="N18" s="90"/>
      <c r="O18" s="90"/>
      <c r="P18" s="90"/>
      <c r="Q18" s="90"/>
      <c r="R18" s="90"/>
      <c r="S18" s="91"/>
    </row>
    <row r="19" spans="1:19" ht="7.5" customHeight="1" x14ac:dyDescent="0.2">
      <c r="B19" s="3"/>
      <c r="C19" s="3"/>
      <c r="D19" s="3"/>
      <c r="E19" s="3"/>
      <c r="F19" s="3"/>
      <c r="G19" s="3"/>
      <c r="H19" s="3"/>
      <c r="I19" s="3"/>
      <c r="J19" s="3"/>
      <c r="K19" s="3"/>
      <c r="L19" s="3"/>
      <c r="M19" s="3"/>
      <c r="N19" s="3"/>
      <c r="O19" s="3"/>
      <c r="P19" s="3"/>
      <c r="Q19" s="3"/>
      <c r="R19" s="3"/>
      <c r="S19" s="3"/>
    </row>
    <row r="20" spans="1:19" ht="20.25" customHeight="1" x14ac:dyDescent="0.2">
      <c r="B20" s="1" t="s">
        <v>16</v>
      </c>
      <c r="C20" s="92">
        <v>6</v>
      </c>
      <c r="D20" s="93"/>
      <c r="E20" s="39" t="s">
        <v>17</v>
      </c>
      <c r="G20" s="10"/>
      <c r="H20" s="3"/>
      <c r="I20" s="3"/>
      <c r="J20" s="35" t="s">
        <v>18</v>
      </c>
      <c r="K20" s="94" t="s">
        <v>14</v>
      </c>
      <c r="L20" s="95"/>
      <c r="M20" s="95"/>
      <c r="N20" s="95"/>
      <c r="O20" s="95"/>
      <c r="P20" s="95"/>
      <c r="Q20" s="95"/>
      <c r="R20" s="95"/>
      <c r="S20" s="96"/>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7" t="s">
        <v>19</v>
      </c>
      <c r="B22" s="97"/>
      <c r="C22" s="97"/>
      <c r="D22" s="97"/>
      <c r="E22" s="97"/>
      <c r="F22" s="97"/>
      <c r="G22" s="97"/>
      <c r="H22" s="97"/>
      <c r="I22" s="97"/>
      <c r="J22" s="97"/>
      <c r="K22" s="97"/>
      <c r="L22" s="97"/>
      <c r="M22" s="97"/>
      <c r="N22" s="97"/>
      <c r="O22" s="97"/>
      <c r="P22" s="97"/>
      <c r="Q22" s="97"/>
      <c r="R22" s="97"/>
      <c r="S22" s="97"/>
    </row>
    <row r="23" spans="1:19" ht="18" customHeight="1" x14ac:dyDescent="0.2">
      <c r="A23" s="97"/>
      <c r="B23" s="97"/>
      <c r="C23" s="97"/>
      <c r="D23" s="97"/>
      <c r="E23" s="97"/>
      <c r="F23" s="97"/>
      <c r="G23" s="97"/>
      <c r="H23" s="97"/>
      <c r="I23" s="97"/>
      <c r="J23" s="97"/>
      <c r="K23" s="97"/>
      <c r="L23" s="97"/>
      <c r="M23" s="97"/>
      <c r="N23" s="97"/>
      <c r="O23" s="97"/>
      <c r="P23" s="97"/>
      <c r="Q23" s="97"/>
      <c r="R23" s="97"/>
      <c r="S23" s="97"/>
    </row>
    <row r="24" spans="1:19" ht="18" customHeight="1" x14ac:dyDescent="0.2">
      <c r="B24" s="92" t="s">
        <v>20</v>
      </c>
      <c r="C24" s="98"/>
      <c r="D24" s="98"/>
      <c r="E24" s="93"/>
      <c r="F24" s="60" t="s">
        <v>21</v>
      </c>
      <c r="G24" s="59" t="s">
        <v>22</v>
      </c>
      <c r="H24" s="22" t="s">
        <v>23</v>
      </c>
      <c r="I24" s="22" t="s">
        <v>24</v>
      </c>
      <c r="J24" s="92" t="s">
        <v>20</v>
      </c>
      <c r="K24" s="98"/>
      <c r="L24" s="98"/>
      <c r="M24" s="98"/>
      <c r="N24" s="98"/>
      <c r="O24" s="93"/>
      <c r="P24" s="60" t="s">
        <v>21</v>
      </c>
      <c r="Q24" s="59" t="s">
        <v>22</v>
      </c>
      <c r="R24" s="22" t="s">
        <v>23</v>
      </c>
      <c r="S24" s="22" t="s">
        <v>24</v>
      </c>
    </row>
    <row r="25" spans="1:19" ht="18" customHeight="1" x14ac:dyDescent="0.2">
      <c r="B25" s="113" t="s">
        <v>25</v>
      </c>
      <c r="C25" s="114"/>
      <c r="D25" s="114"/>
      <c r="E25" s="115"/>
      <c r="F25" s="23">
        <v>2</v>
      </c>
      <c r="G25" s="23" t="s">
        <v>26</v>
      </c>
      <c r="H25" s="23" t="s">
        <v>26</v>
      </c>
      <c r="I25" s="23" t="s">
        <v>26</v>
      </c>
      <c r="J25" s="113"/>
      <c r="K25" s="114"/>
      <c r="L25" s="114"/>
      <c r="M25" s="114"/>
      <c r="N25" s="114"/>
      <c r="O25" s="115"/>
      <c r="P25" s="23"/>
      <c r="Q25" s="23"/>
      <c r="R25" s="23"/>
      <c r="S25" s="23"/>
    </row>
    <row r="26" spans="1:19" ht="18" customHeight="1" x14ac:dyDescent="0.2">
      <c r="B26" s="110"/>
      <c r="C26" s="111"/>
      <c r="D26" s="111"/>
      <c r="E26" s="112"/>
      <c r="F26" s="24"/>
      <c r="G26" s="24"/>
      <c r="H26" s="24"/>
      <c r="I26" s="24"/>
      <c r="J26" s="110"/>
      <c r="K26" s="111"/>
      <c r="L26" s="111"/>
      <c r="M26" s="111"/>
      <c r="N26" s="111"/>
      <c r="O26" s="112"/>
      <c r="P26" s="24"/>
      <c r="Q26" s="24"/>
      <c r="R26" s="24"/>
      <c r="S26" s="24"/>
    </row>
    <row r="27" spans="1:19" ht="18" customHeight="1" x14ac:dyDescent="0.2">
      <c r="B27" s="110"/>
      <c r="C27" s="111"/>
      <c r="D27" s="111"/>
      <c r="E27" s="112"/>
      <c r="F27" s="24"/>
      <c r="G27" s="24"/>
      <c r="H27" s="24"/>
      <c r="I27" s="24"/>
      <c r="J27" s="110"/>
      <c r="K27" s="111"/>
      <c r="L27" s="111"/>
      <c r="M27" s="111"/>
      <c r="N27" s="111"/>
      <c r="O27" s="112"/>
      <c r="P27" s="24"/>
      <c r="Q27" s="24"/>
      <c r="R27" s="24"/>
      <c r="S27" s="24"/>
    </row>
    <row r="28" spans="1:19" ht="18" customHeight="1" x14ac:dyDescent="0.2">
      <c r="B28" s="110"/>
      <c r="C28" s="111"/>
      <c r="D28" s="111"/>
      <c r="E28" s="112"/>
      <c r="F28" s="24"/>
      <c r="G28" s="24"/>
      <c r="H28" s="24"/>
      <c r="I28" s="24"/>
      <c r="J28" s="110"/>
      <c r="K28" s="111"/>
      <c r="L28" s="111"/>
      <c r="M28" s="111"/>
      <c r="N28" s="111"/>
      <c r="O28" s="112"/>
      <c r="P28" s="24"/>
      <c r="Q28" s="24"/>
      <c r="R28" s="24"/>
      <c r="S28" s="24"/>
    </row>
    <row r="29" spans="1:19" ht="18" customHeight="1" x14ac:dyDescent="0.2">
      <c r="B29" s="110"/>
      <c r="C29" s="111"/>
      <c r="D29" s="111"/>
      <c r="E29" s="112"/>
      <c r="F29" s="24"/>
      <c r="G29" s="24"/>
      <c r="H29" s="24"/>
      <c r="I29" s="24"/>
      <c r="J29" s="110"/>
      <c r="K29" s="111"/>
      <c r="L29" s="111"/>
      <c r="M29" s="111"/>
      <c r="N29" s="111"/>
      <c r="O29" s="112"/>
      <c r="P29" s="24"/>
      <c r="Q29" s="24"/>
      <c r="R29" s="24"/>
      <c r="S29" s="24"/>
    </row>
    <row r="30" spans="1:19" ht="18" customHeight="1" x14ac:dyDescent="0.2">
      <c r="A30" s="3"/>
      <c r="B30" s="110"/>
      <c r="C30" s="111"/>
      <c r="D30" s="111"/>
      <c r="E30" s="112"/>
      <c r="F30" s="24"/>
      <c r="G30" s="24"/>
      <c r="H30" s="24"/>
      <c r="I30" s="24"/>
      <c r="J30" s="110"/>
      <c r="K30" s="111"/>
      <c r="L30" s="111"/>
      <c r="M30" s="111"/>
      <c r="N30" s="111"/>
      <c r="O30" s="112"/>
      <c r="P30" s="24"/>
      <c r="Q30" s="24"/>
      <c r="R30" s="24"/>
      <c r="S30" s="24"/>
    </row>
    <row r="31" spans="1:19" ht="18" customHeight="1" x14ac:dyDescent="0.2">
      <c r="A31" s="3"/>
      <c r="B31" s="116"/>
      <c r="C31" s="117"/>
      <c r="D31" s="117"/>
      <c r="E31" s="118"/>
      <c r="F31" s="25"/>
      <c r="G31" s="25"/>
      <c r="H31" s="26"/>
      <c r="I31" s="26"/>
      <c r="J31" s="116"/>
      <c r="K31" s="117"/>
      <c r="L31" s="117"/>
      <c r="M31" s="117"/>
      <c r="N31" s="117"/>
      <c r="O31" s="118"/>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7" t="s">
        <v>27</v>
      </c>
      <c r="B33" s="97"/>
      <c r="C33" s="97"/>
      <c r="D33" s="97"/>
      <c r="E33" s="97"/>
      <c r="F33" s="97"/>
      <c r="G33" s="97"/>
      <c r="H33" s="97"/>
      <c r="I33" s="97"/>
      <c r="J33" s="97"/>
      <c r="K33" s="97"/>
      <c r="L33" s="97"/>
      <c r="M33" s="97"/>
      <c r="N33" s="97"/>
      <c r="O33" s="97"/>
      <c r="P33" s="97"/>
      <c r="Q33" s="97"/>
      <c r="R33" s="97"/>
      <c r="S33" s="97"/>
    </row>
    <row r="34" spans="1:19" ht="18" customHeight="1" x14ac:dyDescent="0.2">
      <c r="A34" s="97"/>
      <c r="B34" s="97"/>
      <c r="C34" s="97"/>
      <c r="D34" s="97"/>
      <c r="E34" s="97"/>
      <c r="F34" s="97"/>
      <c r="G34" s="97"/>
      <c r="H34" s="97"/>
      <c r="I34" s="97"/>
      <c r="J34" s="97"/>
      <c r="K34" s="97"/>
      <c r="L34" s="97"/>
      <c r="M34" s="97"/>
      <c r="N34" s="97"/>
      <c r="O34" s="97"/>
      <c r="P34" s="97"/>
      <c r="Q34" s="97"/>
      <c r="R34" s="97"/>
      <c r="S34" s="97"/>
    </row>
    <row r="35" spans="1:19" ht="18" customHeight="1" x14ac:dyDescent="0.2">
      <c r="B35" s="92" t="s">
        <v>20</v>
      </c>
      <c r="C35" s="98"/>
      <c r="D35" s="98"/>
      <c r="E35" s="93"/>
      <c r="F35" s="60" t="s">
        <v>21</v>
      </c>
      <c r="G35" s="59" t="s">
        <v>22</v>
      </c>
      <c r="H35" s="22" t="s">
        <v>28</v>
      </c>
      <c r="I35" s="22" t="s">
        <v>29</v>
      </c>
      <c r="J35" s="92" t="s">
        <v>20</v>
      </c>
      <c r="K35" s="98"/>
      <c r="L35" s="98"/>
      <c r="M35" s="98"/>
      <c r="N35" s="98"/>
      <c r="O35" s="93"/>
      <c r="P35" s="60" t="s">
        <v>21</v>
      </c>
      <c r="Q35" s="59" t="s">
        <v>22</v>
      </c>
      <c r="R35" s="22" t="s">
        <v>28</v>
      </c>
      <c r="S35" s="22" t="s">
        <v>29</v>
      </c>
    </row>
    <row r="36" spans="1:19" ht="18" customHeight="1" x14ac:dyDescent="0.2">
      <c r="B36" s="113" t="s">
        <v>25</v>
      </c>
      <c r="C36" s="114"/>
      <c r="D36" s="114"/>
      <c r="E36" s="115"/>
      <c r="F36" s="23">
        <v>2</v>
      </c>
      <c r="G36" s="23" t="s">
        <v>26</v>
      </c>
      <c r="H36" s="23" t="s">
        <v>26</v>
      </c>
      <c r="I36" s="23" t="s">
        <v>26</v>
      </c>
      <c r="J36" s="113"/>
      <c r="K36" s="114"/>
      <c r="L36" s="114"/>
      <c r="M36" s="114"/>
      <c r="N36" s="114"/>
      <c r="O36" s="115"/>
      <c r="P36" s="23"/>
      <c r="Q36" s="23"/>
      <c r="R36" s="23"/>
      <c r="S36" s="23"/>
    </row>
    <row r="37" spans="1:19" ht="18" customHeight="1" x14ac:dyDescent="0.2">
      <c r="B37" s="110"/>
      <c r="C37" s="111"/>
      <c r="D37" s="111"/>
      <c r="E37" s="112"/>
      <c r="F37" s="24"/>
      <c r="G37" s="24"/>
      <c r="H37" s="24"/>
      <c r="I37" s="24"/>
      <c r="J37" s="110"/>
      <c r="K37" s="111"/>
      <c r="L37" s="111"/>
      <c r="M37" s="111"/>
      <c r="N37" s="111"/>
      <c r="O37" s="112"/>
      <c r="P37" s="24"/>
      <c r="Q37" s="24"/>
      <c r="R37" s="24"/>
      <c r="S37" s="24"/>
    </row>
    <row r="38" spans="1:19" ht="18" customHeight="1" x14ac:dyDescent="0.2">
      <c r="B38" s="110"/>
      <c r="C38" s="111"/>
      <c r="D38" s="111"/>
      <c r="E38" s="112"/>
      <c r="F38" s="24"/>
      <c r="G38" s="24"/>
      <c r="H38" s="24"/>
      <c r="I38" s="24"/>
      <c r="J38" s="110"/>
      <c r="K38" s="111"/>
      <c r="L38" s="111"/>
      <c r="M38" s="111"/>
      <c r="N38" s="111"/>
      <c r="O38" s="112"/>
      <c r="P38" s="24"/>
      <c r="Q38" s="24"/>
      <c r="R38" s="24"/>
      <c r="S38" s="24"/>
    </row>
    <row r="39" spans="1:19" ht="18" customHeight="1" x14ac:dyDescent="0.2">
      <c r="B39" s="110"/>
      <c r="C39" s="111"/>
      <c r="D39" s="111"/>
      <c r="E39" s="112"/>
      <c r="F39" s="24"/>
      <c r="G39" s="24"/>
      <c r="H39" s="24"/>
      <c r="I39" s="24"/>
      <c r="J39" s="110"/>
      <c r="K39" s="111"/>
      <c r="L39" s="111"/>
      <c r="M39" s="111"/>
      <c r="N39" s="111"/>
      <c r="O39" s="112"/>
      <c r="P39" s="24"/>
      <c r="Q39" s="24"/>
      <c r="R39" s="24"/>
      <c r="S39" s="24"/>
    </row>
    <row r="40" spans="1:19" ht="18" customHeight="1" x14ac:dyDescent="0.2">
      <c r="B40" s="110"/>
      <c r="C40" s="111"/>
      <c r="D40" s="111"/>
      <c r="E40" s="112"/>
      <c r="F40" s="24"/>
      <c r="G40" s="24"/>
      <c r="H40" s="24"/>
      <c r="I40" s="24"/>
      <c r="J40" s="110"/>
      <c r="K40" s="111"/>
      <c r="L40" s="111"/>
      <c r="M40" s="111"/>
      <c r="N40" s="111"/>
      <c r="O40" s="112"/>
      <c r="P40" s="24"/>
      <c r="Q40" s="24"/>
      <c r="R40" s="24"/>
      <c r="S40" s="24"/>
    </row>
    <row r="41" spans="1:19" ht="18" customHeight="1" x14ac:dyDescent="0.2">
      <c r="B41" s="110"/>
      <c r="C41" s="111"/>
      <c r="D41" s="111"/>
      <c r="E41" s="112"/>
      <c r="F41" s="24"/>
      <c r="G41" s="24"/>
      <c r="H41" s="24"/>
      <c r="I41" s="24"/>
      <c r="J41" s="110"/>
      <c r="K41" s="111"/>
      <c r="L41" s="111"/>
      <c r="M41" s="111"/>
      <c r="N41" s="111"/>
      <c r="O41" s="112"/>
      <c r="P41" s="24"/>
      <c r="Q41" s="24"/>
      <c r="R41" s="24"/>
      <c r="S41" s="24"/>
    </row>
    <row r="42" spans="1:19" ht="18" customHeight="1" x14ac:dyDescent="0.2">
      <c r="B42" s="116"/>
      <c r="C42" s="117"/>
      <c r="D42" s="117"/>
      <c r="E42" s="118"/>
      <c r="F42" s="25"/>
      <c r="G42" s="25"/>
      <c r="H42" s="26"/>
      <c r="I42" s="26"/>
      <c r="J42" s="116"/>
      <c r="K42" s="117"/>
      <c r="L42" s="117"/>
      <c r="M42" s="117"/>
      <c r="N42" s="117"/>
      <c r="O42" s="118"/>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7" t="s">
        <v>30</v>
      </c>
      <c r="B44" s="97"/>
      <c r="C44" s="97"/>
      <c r="D44" s="97"/>
      <c r="E44" s="97"/>
      <c r="F44" s="97"/>
      <c r="G44" s="97"/>
      <c r="H44" s="97"/>
      <c r="I44" s="97"/>
      <c r="J44" s="97"/>
      <c r="K44" s="97"/>
      <c r="L44" s="97"/>
      <c r="M44" s="97"/>
      <c r="N44" s="97"/>
      <c r="O44" s="97"/>
      <c r="P44" s="97"/>
      <c r="Q44" s="97"/>
      <c r="R44" s="97"/>
      <c r="S44" s="97"/>
    </row>
    <row r="45" spans="1:19" ht="18" customHeight="1" x14ac:dyDescent="0.2">
      <c r="A45" s="97"/>
      <c r="B45" s="97"/>
      <c r="C45" s="97"/>
      <c r="D45" s="97"/>
      <c r="E45" s="97"/>
      <c r="F45" s="97"/>
      <c r="G45" s="97"/>
      <c r="H45" s="97"/>
      <c r="I45" s="97"/>
      <c r="J45" s="97"/>
      <c r="K45" s="97"/>
      <c r="L45" s="97"/>
      <c r="M45" s="97"/>
      <c r="N45" s="97"/>
      <c r="O45" s="97"/>
      <c r="P45" s="97"/>
      <c r="Q45" s="97"/>
      <c r="R45" s="97"/>
      <c r="S45" s="97"/>
    </row>
    <row r="46" spans="1:19" ht="18" customHeight="1" x14ac:dyDescent="0.2">
      <c r="B46" s="92" t="s">
        <v>20</v>
      </c>
      <c r="C46" s="98"/>
      <c r="D46" s="98"/>
      <c r="E46" s="93"/>
      <c r="F46" s="60" t="s">
        <v>21</v>
      </c>
      <c r="G46" s="59" t="s">
        <v>22</v>
      </c>
      <c r="H46" s="22" t="s">
        <v>31</v>
      </c>
      <c r="I46" s="22" t="s">
        <v>32</v>
      </c>
      <c r="J46" s="92" t="s">
        <v>20</v>
      </c>
      <c r="K46" s="98"/>
      <c r="L46" s="98"/>
      <c r="M46" s="98"/>
      <c r="N46" s="98"/>
      <c r="O46" s="93"/>
      <c r="P46" s="60" t="s">
        <v>21</v>
      </c>
      <c r="Q46" s="59" t="s">
        <v>22</v>
      </c>
      <c r="R46" s="22" t="s">
        <v>31</v>
      </c>
      <c r="S46" s="22" t="s">
        <v>32</v>
      </c>
    </row>
    <row r="47" spans="1:19" ht="18" customHeight="1" x14ac:dyDescent="0.2">
      <c r="A47" s="3"/>
      <c r="B47" s="113" t="s">
        <v>25</v>
      </c>
      <c r="C47" s="114"/>
      <c r="D47" s="114"/>
      <c r="E47" s="115"/>
      <c r="F47" s="23">
        <v>2</v>
      </c>
      <c r="G47" s="23" t="s">
        <v>26</v>
      </c>
      <c r="H47" s="23" t="s">
        <v>26</v>
      </c>
      <c r="I47" s="23" t="s">
        <v>26</v>
      </c>
      <c r="J47" s="113"/>
      <c r="K47" s="114"/>
      <c r="L47" s="114"/>
      <c r="M47" s="114"/>
      <c r="N47" s="114"/>
      <c r="O47" s="115"/>
      <c r="P47" s="23"/>
      <c r="Q47" s="23"/>
      <c r="R47" s="23"/>
      <c r="S47" s="23"/>
    </row>
    <row r="48" spans="1:19" ht="18" customHeight="1" x14ac:dyDescent="0.2">
      <c r="A48" s="3"/>
      <c r="B48" s="110"/>
      <c r="C48" s="111"/>
      <c r="D48" s="111"/>
      <c r="E48" s="112"/>
      <c r="F48" s="24"/>
      <c r="G48" s="24"/>
      <c r="H48" s="24"/>
      <c r="I48" s="24"/>
      <c r="J48" s="110"/>
      <c r="K48" s="111"/>
      <c r="L48" s="111"/>
      <c r="M48" s="111"/>
      <c r="N48" s="111"/>
      <c r="O48" s="112"/>
      <c r="P48" s="24"/>
      <c r="Q48" s="24"/>
      <c r="R48" s="24"/>
      <c r="S48" s="24"/>
    </row>
    <row r="49" spans="1:19" ht="18" customHeight="1" x14ac:dyDescent="0.2">
      <c r="A49" s="3"/>
      <c r="B49" s="110"/>
      <c r="C49" s="111"/>
      <c r="D49" s="111"/>
      <c r="E49" s="112"/>
      <c r="F49" s="24"/>
      <c r="G49" s="24"/>
      <c r="H49" s="24"/>
      <c r="I49" s="24"/>
      <c r="J49" s="110"/>
      <c r="K49" s="111"/>
      <c r="L49" s="111"/>
      <c r="M49" s="111"/>
      <c r="N49" s="111"/>
      <c r="O49" s="112"/>
      <c r="P49" s="24"/>
      <c r="Q49" s="24"/>
      <c r="R49" s="24"/>
      <c r="S49" s="24"/>
    </row>
    <row r="50" spans="1:19" ht="18" customHeight="1" x14ac:dyDescent="0.2">
      <c r="A50" s="3"/>
      <c r="B50" s="110"/>
      <c r="C50" s="111"/>
      <c r="D50" s="111"/>
      <c r="E50" s="112"/>
      <c r="F50" s="24"/>
      <c r="G50" s="24"/>
      <c r="H50" s="24"/>
      <c r="I50" s="24"/>
      <c r="J50" s="110"/>
      <c r="K50" s="111"/>
      <c r="L50" s="111"/>
      <c r="M50" s="111"/>
      <c r="N50" s="111"/>
      <c r="O50" s="112"/>
      <c r="P50" s="24"/>
      <c r="Q50" s="24"/>
      <c r="R50" s="24"/>
      <c r="S50" s="24"/>
    </row>
    <row r="51" spans="1:19" ht="18" customHeight="1" x14ac:dyDescent="0.2">
      <c r="A51" s="3"/>
      <c r="B51" s="110"/>
      <c r="C51" s="111"/>
      <c r="D51" s="111"/>
      <c r="E51" s="112"/>
      <c r="F51" s="24"/>
      <c r="G51" s="24"/>
      <c r="H51" s="24"/>
      <c r="I51" s="24"/>
      <c r="J51" s="110"/>
      <c r="K51" s="111"/>
      <c r="L51" s="111"/>
      <c r="M51" s="111"/>
      <c r="N51" s="111"/>
      <c r="O51" s="112"/>
      <c r="P51" s="24"/>
      <c r="Q51" s="24"/>
      <c r="R51" s="24"/>
      <c r="S51" s="24"/>
    </row>
    <row r="52" spans="1:19" ht="18" customHeight="1" x14ac:dyDescent="0.2">
      <c r="A52" s="3"/>
      <c r="B52" s="110"/>
      <c r="C52" s="111"/>
      <c r="D52" s="111"/>
      <c r="E52" s="112"/>
      <c r="F52" s="24"/>
      <c r="G52" s="24"/>
      <c r="H52" s="24"/>
      <c r="I52" s="24"/>
      <c r="J52" s="110"/>
      <c r="K52" s="111"/>
      <c r="L52" s="111"/>
      <c r="M52" s="111"/>
      <c r="N52" s="111"/>
      <c r="O52" s="112"/>
      <c r="P52" s="24"/>
      <c r="Q52" s="24"/>
      <c r="R52" s="24"/>
      <c r="S52" s="24"/>
    </row>
    <row r="53" spans="1:19" ht="18" customHeight="1" x14ac:dyDescent="0.2">
      <c r="A53" s="3"/>
      <c r="B53" s="116"/>
      <c r="C53" s="117"/>
      <c r="D53" s="117"/>
      <c r="E53" s="118"/>
      <c r="F53" s="25"/>
      <c r="G53" s="25"/>
      <c r="H53" s="26"/>
      <c r="I53" s="26"/>
      <c r="J53" s="116"/>
      <c r="K53" s="117"/>
      <c r="L53" s="117"/>
      <c r="M53" s="117"/>
      <c r="N53" s="117"/>
      <c r="O53" s="118"/>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7" t="s">
        <v>33</v>
      </c>
      <c r="B55" s="97"/>
      <c r="C55" s="97"/>
      <c r="D55" s="97"/>
      <c r="E55" s="97"/>
      <c r="F55" s="97"/>
      <c r="G55" s="97"/>
      <c r="H55" s="97"/>
      <c r="I55" s="97"/>
      <c r="J55" s="97"/>
      <c r="K55" s="97"/>
      <c r="L55" s="97"/>
      <c r="M55" s="97"/>
      <c r="N55" s="97"/>
      <c r="O55" s="97"/>
      <c r="P55" s="97"/>
      <c r="Q55" s="97"/>
      <c r="R55" s="97"/>
      <c r="S55" s="97"/>
    </row>
    <row r="56" spans="1:19" ht="18" customHeight="1" x14ac:dyDescent="0.2">
      <c r="A56" s="97"/>
      <c r="B56" s="97"/>
      <c r="C56" s="97"/>
      <c r="D56" s="97"/>
      <c r="E56" s="97"/>
      <c r="F56" s="97"/>
      <c r="G56" s="97"/>
      <c r="H56" s="97"/>
      <c r="I56" s="97"/>
      <c r="J56" s="97"/>
      <c r="K56" s="97"/>
      <c r="L56" s="97"/>
      <c r="M56" s="97"/>
      <c r="N56" s="97"/>
      <c r="O56" s="97"/>
      <c r="P56" s="97"/>
      <c r="Q56" s="97"/>
      <c r="R56" s="97"/>
      <c r="S56" s="97"/>
    </row>
    <row r="57" spans="1:19" ht="18" customHeight="1" x14ac:dyDescent="0.2">
      <c r="B57" s="92" t="s">
        <v>20</v>
      </c>
      <c r="C57" s="98"/>
      <c r="D57" s="98"/>
      <c r="E57" s="93"/>
      <c r="F57" s="60" t="s">
        <v>21</v>
      </c>
      <c r="G57" s="59" t="s">
        <v>22</v>
      </c>
      <c r="H57" s="22" t="s">
        <v>34</v>
      </c>
      <c r="I57" s="22" t="s">
        <v>35</v>
      </c>
      <c r="J57" s="92" t="s">
        <v>20</v>
      </c>
      <c r="K57" s="98"/>
      <c r="L57" s="98"/>
      <c r="M57" s="98"/>
      <c r="N57" s="98"/>
      <c r="O57" s="93"/>
      <c r="P57" s="60" t="s">
        <v>21</v>
      </c>
      <c r="Q57" s="59" t="s">
        <v>22</v>
      </c>
      <c r="R57" s="22" t="s">
        <v>34</v>
      </c>
      <c r="S57" s="22" t="s">
        <v>35</v>
      </c>
    </row>
    <row r="58" spans="1:19" ht="18" customHeight="1" x14ac:dyDescent="0.2">
      <c r="A58" s="3"/>
      <c r="B58" s="119" t="s">
        <v>25</v>
      </c>
      <c r="C58" s="120"/>
      <c r="D58" s="120"/>
      <c r="E58" s="121"/>
      <c r="F58" s="23">
        <v>2</v>
      </c>
      <c r="G58" s="23" t="s">
        <v>26</v>
      </c>
      <c r="H58" s="23" t="s">
        <v>26</v>
      </c>
      <c r="I58" s="23" t="s">
        <v>26</v>
      </c>
      <c r="J58" s="113"/>
      <c r="K58" s="114"/>
      <c r="L58" s="114"/>
      <c r="M58" s="114"/>
      <c r="N58" s="114"/>
      <c r="O58" s="115"/>
      <c r="P58" s="23"/>
      <c r="Q58" s="23"/>
      <c r="R58" s="23"/>
      <c r="S58" s="23"/>
    </row>
    <row r="59" spans="1:19" ht="18" customHeight="1" x14ac:dyDescent="0.2">
      <c r="A59" s="3"/>
      <c r="B59" s="110" t="s">
        <v>36</v>
      </c>
      <c r="C59" s="111"/>
      <c r="D59" s="111"/>
      <c r="E59" s="112"/>
      <c r="F59" s="24">
        <v>2</v>
      </c>
      <c r="G59" s="24" t="s">
        <v>26</v>
      </c>
      <c r="H59" s="24"/>
      <c r="I59" s="24" t="s">
        <v>26</v>
      </c>
      <c r="J59" s="110"/>
      <c r="K59" s="111"/>
      <c r="L59" s="111"/>
      <c r="M59" s="111"/>
      <c r="N59" s="111"/>
      <c r="O59" s="112"/>
      <c r="P59" s="24"/>
      <c r="Q59" s="24"/>
      <c r="R59" s="24"/>
      <c r="S59" s="24"/>
    </row>
    <row r="60" spans="1:19" ht="18" customHeight="1" x14ac:dyDescent="0.2">
      <c r="A60" s="3"/>
      <c r="B60" s="110"/>
      <c r="C60" s="111"/>
      <c r="D60" s="111"/>
      <c r="E60" s="112"/>
      <c r="F60" s="24"/>
      <c r="G60" s="24"/>
      <c r="H60" s="24"/>
      <c r="I60" s="24"/>
      <c r="J60" s="110"/>
      <c r="K60" s="111"/>
      <c r="L60" s="111"/>
      <c r="M60" s="111"/>
      <c r="N60" s="111"/>
      <c r="O60" s="112"/>
      <c r="P60" s="24"/>
      <c r="Q60" s="24"/>
      <c r="R60" s="24"/>
      <c r="S60" s="24"/>
    </row>
    <row r="61" spans="1:19" ht="18" customHeight="1" x14ac:dyDescent="0.2">
      <c r="A61" s="3"/>
      <c r="B61" s="110"/>
      <c r="C61" s="111"/>
      <c r="D61" s="111"/>
      <c r="E61" s="112"/>
      <c r="F61" s="24"/>
      <c r="G61" s="24"/>
      <c r="H61" s="24"/>
      <c r="I61" s="24"/>
      <c r="J61" s="110"/>
      <c r="K61" s="111"/>
      <c r="L61" s="111"/>
      <c r="M61" s="111"/>
      <c r="N61" s="111"/>
      <c r="O61" s="112"/>
      <c r="P61" s="24"/>
      <c r="Q61" s="24"/>
      <c r="R61" s="24"/>
      <c r="S61" s="24"/>
    </row>
    <row r="62" spans="1:19" ht="18" customHeight="1" x14ac:dyDescent="0.2">
      <c r="A62" s="3"/>
      <c r="B62" s="110"/>
      <c r="C62" s="111"/>
      <c r="D62" s="111"/>
      <c r="E62" s="112"/>
      <c r="F62" s="24"/>
      <c r="G62" s="24"/>
      <c r="H62" s="24"/>
      <c r="I62" s="24"/>
      <c r="J62" s="110"/>
      <c r="K62" s="111"/>
      <c r="L62" s="111"/>
      <c r="M62" s="111"/>
      <c r="N62" s="111"/>
      <c r="O62" s="112"/>
      <c r="P62" s="24"/>
      <c r="Q62" s="24"/>
      <c r="R62" s="24"/>
      <c r="S62" s="24"/>
    </row>
    <row r="63" spans="1:19" ht="18" customHeight="1" x14ac:dyDescent="0.2">
      <c r="A63" s="3"/>
      <c r="B63" s="110"/>
      <c r="C63" s="111"/>
      <c r="D63" s="111"/>
      <c r="E63" s="112"/>
      <c r="F63" s="24"/>
      <c r="G63" s="24"/>
      <c r="H63" s="24"/>
      <c r="I63" s="24"/>
      <c r="J63" s="110"/>
      <c r="K63" s="111"/>
      <c r="L63" s="111"/>
      <c r="M63" s="111"/>
      <c r="N63" s="111"/>
      <c r="O63" s="112"/>
      <c r="P63" s="24"/>
      <c r="Q63" s="24"/>
      <c r="R63" s="24"/>
      <c r="S63" s="24"/>
    </row>
    <row r="64" spans="1:19" ht="18" customHeight="1" x14ac:dyDescent="0.2">
      <c r="A64" s="3"/>
      <c r="B64" s="116"/>
      <c r="C64" s="117"/>
      <c r="D64" s="117"/>
      <c r="E64" s="118"/>
      <c r="F64" s="25"/>
      <c r="G64" s="25"/>
      <c r="H64" s="26"/>
      <c r="I64" s="26"/>
      <c r="J64" s="116"/>
      <c r="K64" s="117"/>
      <c r="L64" s="117"/>
      <c r="M64" s="117"/>
      <c r="N64" s="117"/>
      <c r="O64" s="118"/>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7" t="s">
        <v>37</v>
      </c>
      <c r="B66" s="97"/>
      <c r="C66" s="97"/>
      <c r="D66" s="97"/>
      <c r="E66" s="97"/>
      <c r="F66" s="97"/>
      <c r="G66" s="97"/>
      <c r="H66" s="97"/>
      <c r="I66" s="97"/>
      <c r="J66" s="97"/>
      <c r="K66" s="97"/>
      <c r="L66" s="97"/>
      <c r="M66" s="97"/>
      <c r="N66" s="97"/>
      <c r="O66" s="97"/>
      <c r="P66" s="97"/>
      <c r="Q66" s="97"/>
      <c r="R66" s="97"/>
      <c r="S66" s="97"/>
    </row>
    <row r="67" spans="1:19" ht="18" customHeight="1" x14ac:dyDescent="0.2">
      <c r="A67" s="97"/>
      <c r="B67" s="97"/>
      <c r="C67" s="97"/>
      <c r="D67" s="97"/>
      <c r="E67" s="97"/>
      <c r="F67" s="97"/>
      <c r="G67" s="97"/>
      <c r="H67" s="97"/>
      <c r="I67" s="97"/>
      <c r="J67" s="97"/>
      <c r="K67" s="97"/>
      <c r="L67" s="97"/>
      <c r="M67" s="97"/>
      <c r="N67" s="97"/>
      <c r="O67" s="97"/>
      <c r="P67" s="97"/>
      <c r="Q67" s="97"/>
      <c r="R67" s="97"/>
      <c r="S67" s="97"/>
    </row>
    <row r="68" spans="1:19" ht="18" customHeight="1" x14ac:dyDescent="0.2">
      <c r="B68" s="92" t="s">
        <v>20</v>
      </c>
      <c r="C68" s="98"/>
      <c r="D68" s="98"/>
      <c r="E68" s="60" t="s">
        <v>21</v>
      </c>
      <c r="F68" s="59" t="s">
        <v>22</v>
      </c>
      <c r="G68" s="22" t="s">
        <v>38</v>
      </c>
      <c r="H68" s="22" t="s">
        <v>39</v>
      </c>
      <c r="I68" s="22" t="s">
        <v>40</v>
      </c>
      <c r="J68" s="92" t="s">
        <v>20</v>
      </c>
      <c r="K68" s="98"/>
      <c r="L68" s="98"/>
      <c r="M68" s="98"/>
      <c r="N68" s="93"/>
      <c r="O68" s="60" t="s">
        <v>21</v>
      </c>
      <c r="P68" s="59" t="s">
        <v>22</v>
      </c>
      <c r="Q68" s="22" t="s">
        <v>38</v>
      </c>
      <c r="R68" s="22" t="s">
        <v>39</v>
      </c>
      <c r="S68" s="22" t="s">
        <v>40</v>
      </c>
    </row>
    <row r="69" spans="1:19" ht="18" customHeight="1" x14ac:dyDescent="0.2">
      <c r="A69" s="3"/>
      <c r="B69" s="113" t="s">
        <v>41</v>
      </c>
      <c r="C69" s="114"/>
      <c r="D69" s="114"/>
      <c r="E69" s="23">
        <v>2</v>
      </c>
      <c r="F69" s="23" t="s">
        <v>26</v>
      </c>
      <c r="G69" s="23" t="s">
        <v>26</v>
      </c>
      <c r="H69" s="23" t="s">
        <v>26</v>
      </c>
      <c r="I69" s="23" t="s">
        <v>26</v>
      </c>
      <c r="J69" s="113"/>
      <c r="K69" s="114"/>
      <c r="L69" s="114"/>
      <c r="M69" s="114"/>
      <c r="N69" s="115"/>
      <c r="O69" s="23"/>
      <c r="P69" s="23"/>
      <c r="Q69" s="23"/>
      <c r="R69" s="23"/>
      <c r="S69" s="23"/>
    </row>
    <row r="70" spans="1:19" ht="18" customHeight="1" x14ac:dyDescent="0.2">
      <c r="A70" s="3"/>
      <c r="B70" s="110"/>
      <c r="C70" s="111"/>
      <c r="D70" s="111"/>
      <c r="E70" s="24"/>
      <c r="F70" s="24"/>
      <c r="G70" s="24"/>
      <c r="H70" s="24"/>
      <c r="I70" s="24"/>
      <c r="J70" s="110"/>
      <c r="K70" s="111"/>
      <c r="L70" s="111"/>
      <c r="M70" s="111"/>
      <c r="N70" s="112"/>
      <c r="O70" s="24"/>
      <c r="P70" s="24"/>
      <c r="Q70" s="24"/>
      <c r="R70" s="24"/>
      <c r="S70" s="24"/>
    </row>
    <row r="71" spans="1:19" ht="18" customHeight="1" x14ac:dyDescent="0.2">
      <c r="A71" s="3"/>
      <c r="B71" s="110"/>
      <c r="C71" s="111"/>
      <c r="D71" s="111"/>
      <c r="E71" s="24"/>
      <c r="F71" s="24"/>
      <c r="G71" s="24"/>
      <c r="H71" s="24"/>
      <c r="I71" s="24"/>
      <c r="J71" s="110"/>
      <c r="K71" s="111"/>
      <c r="L71" s="111"/>
      <c r="M71" s="111"/>
      <c r="N71" s="112"/>
      <c r="O71" s="24"/>
      <c r="P71" s="24"/>
      <c r="Q71" s="24"/>
      <c r="R71" s="24"/>
      <c r="S71" s="24"/>
    </row>
    <row r="72" spans="1:19" ht="18" customHeight="1" x14ac:dyDescent="0.2">
      <c r="A72" s="3"/>
      <c r="B72" s="110"/>
      <c r="C72" s="111"/>
      <c r="D72" s="111"/>
      <c r="E72" s="24"/>
      <c r="F72" s="24"/>
      <c r="G72" s="24"/>
      <c r="H72" s="24"/>
      <c r="I72" s="24"/>
      <c r="J72" s="110"/>
      <c r="K72" s="111"/>
      <c r="L72" s="111"/>
      <c r="M72" s="111"/>
      <c r="N72" s="112"/>
      <c r="O72" s="24"/>
      <c r="P72" s="24"/>
      <c r="Q72" s="24"/>
      <c r="R72" s="24"/>
      <c r="S72" s="24"/>
    </row>
    <row r="73" spans="1:19" ht="18" customHeight="1" x14ac:dyDescent="0.2">
      <c r="A73" s="3"/>
      <c r="B73" s="110"/>
      <c r="C73" s="111"/>
      <c r="D73" s="111"/>
      <c r="E73" s="24"/>
      <c r="F73" s="24"/>
      <c r="G73" s="24"/>
      <c r="H73" s="24"/>
      <c r="I73" s="24"/>
      <c r="J73" s="110"/>
      <c r="K73" s="111"/>
      <c r="L73" s="111"/>
      <c r="M73" s="111"/>
      <c r="N73" s="112"/>
      <c r="O73" s="24"/>
      <c r="P73" s="24"/>
      <c r="Q73" s="24"/>
      <c r="R73" s="24"/>
      <c r="S73" s="24"/>
    </row>
    <row r="74" spans="1:19" ht="18" customHeight="1" x14ac:dyDescent="0.2">
      <c r="A74" s="3"/>
      <c r="B74" s="110"/>
      <c r="C74" s="111"/>
      <c r="D74" s="111"/>
      <c r="E74" s="24"/>
      <c r="F74" s="24"/>
      <c r="G74" s="24"/>
      <c r="H74" s="24"/>
      <c r="I74" s="24"/>
      <c r="J74" s="110"/>
      <c r="K74" s="111"/>
      <c r="L74" s="111"/>
      <c r="M74" s="111"/>
      <c r="N74" s="112"/>
      <c r="O74" s="24"/>
      <c r="P74" s="24"/>
      <c r="Q74" s="24"/>
      <c r="R74" s="24"/>
      <c r="S74" s="24"/>
    </row>
    <row r="75" spans="1:19" ht="18" customHeight="1" x14ac:dyDescent="0.2">
      <c r="A75" s="3"/>
      <c r="B75" s="116"/>
      <c r="C75" s="117"/>
      <c r="D75" s="117"/>
      <c r="E75" s="25"/>
      <c r="F75" s="25"/>
      <c r="G75" s="26"/>
      <c r="H75" s="26"/>
      <c r="I75" s="26"/>
      <c r="J75" s="116"/>
      <c r="K75" s="117"/>
      <c r="L75" s="117"/>
      <c r="M75" s="117"/>
      <c r="N75" s="118"/>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42</v>
      </c>
      <c r="H77" s="3"/>
      <c r="I77" s="3"/>
      <c r="J77" s="3"/>
      <c r="K77" s="3"/>
      <c r="L77" s="3"/>
      <c r="M77" s="3"/>
      <c r="N77" s="3"/>
      <c r="O77" s="3"/>
      <c r="P77" s="3"/>
      <c r="Q77" s="3"/>
      <c r="R77" s="3"/>
      <c r="S77" s="3"/>
    </row>
    <row r="78" spans="1:19" ht="18" customHeight="1" x14ac:dyDescent="0.2">
      <c r="B78" s="92" t="s">
        <v>20</v>
      </c>
      <c r="C78" s="98"/>
      <c r="D78" s="98"/>
      <c r="E78" s="93"/>
      <c r="F78" s="92" t="s">
        <v>43</v>
      </c>
      <c r="G78" s="98"/>
      <c r="H78" s="98"/>
      <c r="I78" s="93"/>
      <c r="J78" s="122" t="s">
        <v>20</v>
      </c>
      <c r="K78" s="123"/>
      <c r="L78" s="123"/>
      <c r="M78" s="123"/>
      <c r="N78" s="123"/>
      <c r="O78" s="124"/>
      <c r="P78" s="92" t="s">
        <v>43</v>
      </c>
      <c r="Q78" s="98"/>
      <c r="R78" s="98"/>
      <c r="S78" s="93"/>
    </row>
    <row r="79" spans="1:19" ht="18" customHeight="1" x14ac:dyDescent="0.2">
      <c r="A79" s="3"/>
      <c r="B79" s="113"/>
      <c r="C79" s="114"/>
      <c r="D79" s="114"/>
      <c r="E79" s="115"/>
      <c r="F79" s="125"/>
      <c r="G79" s="126"/>
      <c r="H79" s="126"/>
      <c r="I79" s="127"/>
      <c r="J79" s="113"/>
      <c r="K79" s="114"/>
      <c r="L79" s="114"/>
      <c r="M79" s="114"/>
      <c r="N79" s="114"/>
      <c r="O79" s="115"/>
      <c r="P79" s="125"/>
      <c r="Q79" s="126"/>
      <c r="R79" s="126"/>
      <c r="S79" s="127"/>
    </row>
    <row r="80" spans="1:19" ht="18" customHeight="1" x14ac:dyDescent="0.2">
      <c r="A80" s="3"/>
      <c r="B80" s="110"/>
      <c r="C80" s="111"/>
      <c r="D80" s="111"/>
      <c r="E80" s="112"/>
      <c r="F80" s="128"/>
      <c r="G80" s="129"/>
      <c r="H80" s="129"/>
      <c r="I80" s="130"/>
      <c r="J80" s="110"/>
      <c r="K80" s="111"/>
      <c r="L80" s="111"/>
      <c r="M80" s="111"/>
      <c r="N80" s="111"/>
      <c r="O80" s="112"/>
      <c r="P80" s="128"/>
      <c r="Q80" s="129"/>
      <c r="R80" s="129"/>
      <c r="S80" s="130"/>
    </row>
    <row r="81" spans="1:19" ht="18" customHeight="1" x14ac:dyDescent="0.2">
      <c r="A81" s="3"/>
      <c r="B81" s="110"/>
      <c r="C81" s="111"/>
      <c r="D81" s="111"/>
      <c r="E81" s="112"/>
      <c r="F81" s="128"/>
      <c r="G81" s="129"/>
      <c r="H81" s="129"/>
      <c r="I81" s="130"/>
      <c r="J81" s="110"/>
      <c r="K81" s="111"/>
      <c r="L81" s="111"/>
      <c r="M81" s="111"/>
      <c r="N81" s="111"/>
      <c r="O81" s="112"/>
      <c r="P81" s="128"/>
      <c r="Q81" s="129"/>
      <c r="R81" s="129"/>
      <c r="S81" s="130"/>
    </row>
    <row r="82" spans="1:19" ht="18" customHeight="1" x14ac:dyDescent="0.2">
      <c r="A82" s="3"/>
      <c r="B82" s="110"/>
      <c r="C82" s="111"/>
      <c r="D82" s="111"/>
      <c r="E82" s="112"/>
      <c r="F82" s="128"/>
      <c r="G82" s="129"/>
      <c r="H82" s="129"/>
      <c r="I82" s="130"/>
      <c r="J82" s="110"/>
      <c r="K82" s="111"/>
      <c r="L82" s="111"/>
      <c r="M82" s="111"/>
      <c r="N82" s="111"/>
      <c r="O82" s="112"/>
      <c r="P82" s="128"/>
      <c r="Q82" s="129"/>
      <c r="R82" s="129"/>
      <c r="S82" s="130"/>
    </row>
    <row r="83" spans="1:19" ht="18" customHeight="1" x14ac:dyDescent="0.2">
      <c r="A83" s="3"/>
      <c r="B83" s="110"/>
      <c r="C83" s="111"/>
      <c r="D83" s="111"/>
      <c r="E83" s="112"/>
      <c r="F83" s="128"/>
      <c r="G83" s="129"/>
      <c r="H83" s="129"/>
      <c r="I83" s="130"/>
      <c r="J83" s="110"/>
      <c r="K83" s="111"/>
      <c r="L83" s="111"/>
      <c r="M83" s="111"/>
      <c r="N83" s="111"/>
      <c r="O83" s="112"/>
      <c r="P83" s="128"/>
      <c r="Q83" s="129"/>
      <c r="R83" s="129"/>
      <c r="S83" s="130"/>
    </row>
    <row r="84" spans="1:19" ht="18" customHeight="1" x14ac:dyDescent="0.2">
      <c r="A84" s="3"/>
      <c r="B84" s="110"/>
      <c r="C84" s="111"/>
      <c r="D84" s="111"/>
      <c r="E84" s="112"/>
      <c r="F84" s="128"/>
      <c r="G84" s="129"/>
      <c r="H84" s="129"/>
      <c r="I84" s="130"/>
      <c r="J84" s="110"/>
      <c r="K84" s="111"/>
      <c r="L84" s="111"/>
      <c r="M84" s="111"/>
      <c r="N84" s="111"/>
      <c r="O84" s="112"/>
      <c r="P84" s="128"/>
      <c r="Q84" s="129"/>
      <c r="R84" s="129"/>
      <c r="S84" s="130"/>
    </row>
    <row r="85" spans="1:19" ht="18" customHeight="1" x14ac:dyDescent="0.2">
      <c r="A85" s="3"/>
      <c r="B85" s="116"/>
      <c r="C85" s="117"/>
      <c r="D85" s="117"/>
      <c r="E85" s="118"/>
      <c r="F85" s="148"/>
      <c r="G85" s="149"/>
      <c r="H85" s="149"/>
      <c r="I85" s="150"/>
      <c r="J85" s="116"/>
      <c r="K85" s="117"/>
      <c r="L85" s="117"/>
      <c r="M85" s="117"/>
      <c r="N85" s="117"/>
      <c r="O85" s="118"/>
      <c r="P85" s="148"/>
      <c r="Q85" s="149"/>
      <c r="R85" s="149"/>
      <c r="S85" s="150"/>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44</v>
      </c>
    </row>
    <row r="88" spans="1:19" ht="18.75" customHeight="1" x14ac:dyDescent="0.2">
      <c r="B88" s="131" t="s">
        <v>45</v>
      </c>
      <c r="C88" s="132"/>
      <c r="D88" s="98" t="s">
        <v>46</v>
      </c>
      <c r="E88" s="98"/>
      <c r="F88" s="98"/>
      <c r="G88" s="98"/>
      <c r="H88" s="98"/>
      <c r="I88" s="98"/>
      <c r="J88" s="98"/>
      <c r="K88" s="98"/>
      <c r="L88" s="98"/>
      <c r="M88" s="98"/>
      <c r="N88" s="98"/>
      <c r="O88" s="98"/>
      <c r="P88" s="98"/>
      <c r="Q88" s="98"/>
      <c r="R88" s="98"/>
      <c r="S88" s="93"/>
    </row>
    <row r="89" spans="1:19" ht="97.5" customHeight="1" x14ac:dyDescent="0.2">
      <c r="B89" s="133" t="s">
        <v>47</v>
      </c>
      <c r="C89" s="28" t="s">
        <v>23</v>
      </c>
      <c r="D89" s="135" t="s">
        <v>181</v>
      </c>
      <c r="E89" s="136"/>
      <c r="F89" s="136"/>
      <c r="G89" s="136"/>
      <c r="H89" s="136"/>
      <c r="I89" s="136"/>
      <c r="J89" s="136"/>
      <c r="K89" s="136"/>
      <c r="L89" s="136"/>
      <c r="M89" s="136"/>
      <c r="N89" s="136"/>
      <c r="O89" s="136"/>
      <c r="P89" s="136"/>
      <c r="Q89" s="136"/>
      <c r="R89" s="136"/>
      <c r="S89" s="137"/>
    </row>
    <row r="90" spans="1:19" ht="97.5" customHeight="1" x14ac:dyDescent="0.2">
      <c r="B90" s="134"/>
      <c r="C90" s="29" t="s">
        <v>48</v>
      </c>
      <c r="D90" s="138" t="s">
        <v>182</v>
      </c>
      <c r="E90" s="139"/>
      <c r="F90" s="139"/>
      <c r="G90" s="139"/>
      <c r="H90" s="139"/>
      <c r="I90" s="139"/>
      <c r="J90" s="139"/>
      <c r="K90" s="139"/>
      <c r="L90" s="139"/>
      <c r="M90" s="139"/>
      <c r="N90" s="139"/>
      <c r="O90" s="139"/>
      <c r="P90" s="139"/>
      <c r="Q90" s="139"/>
      <c r="R90" s="139"/>
      <c r="S90" s="140"/>
    </row>
    <row r="91" spans="1:19" ht="97.5" customHeight="1" x14ac:dyDescent="0.2">
      <c r="B91" s="133" t="s">
        <v>49</v>
      </c>
      <c r="C91" s="30" t="s">
        <v>28</v>
      </c>
      <c r="D91" s="142" t="s">
        <v>183</v>
      </c>
      <c r="E91" s="143"/>
      <c r="F91" s="143"/>
      <c r="G91" s="143"/>
      <c r="H91" s="143"/>
      <c r="I91" s="143"/>
      <c r="J91" s="143"/>
      <c r="K91" s="143"/>
      <c r="L91" s="143"/>
      <c r="M91" s="143"/>
      <c r="N91" s="143"/>
      <c r="O91" s="143"/>
      <c r="P91" s="143"/>
      <c r="Q91" s="143"/>
      <c r="R91" s="143"/>
      <c r="S91" s="144"/>
    </row>
    <row r="92" spans="1:19" ht="97.5" customHeight="1" x14ac:dyDescent="0.2">
      <c r="B92" s="141"/>
      <c r="C92" s="31" t="s">
        <v>29</v>
      </c>
      <c r="D92" s="145" t="s">
        <v>184</v>
      </c>
      <c r="E92" s="146"/>
      <c r="F92" s="146"/>
      <c r="G92" s="146"/>
      <c r="H92" s="146"/>
      <c r="I92" s="146"/>
      <c r="J92" s="146"/>
      <c r="K92" s="146"/>
      <c r="L92" s="146"/>
      <c r="M92" s="146"/>
      <c r="N92" s="146"/>
      <c r="O92" s="146"/>
      <c r="P92" s="146"/>
      <c r="Q92" s="146"/>
      <c r="R92" s="146"/>
      <c r="S92" s="147"/>
    </row>
    <row r="93" spans="1:19" ht="97.5" customHeight="1" x14ac:dyDescent="0.2">
      <c r="B93" s="133" t="s">
        <v>50</v>
      </c>
      <c r="C93" s="30" t="s">
        <v>31</v>
      </c>
      <c r="D93" s="142" t="s">
        <v>198</v>
      </c>
      <c r="E93" s="143"/>
      <c r="F93" s="143"/>
      <c r="G93" s="143"/>
      <c r="H93" s="143"/>
      <c r="I93" s="143"/>
      <c r="J93" s="143"/>
      <c r="K93" s="143"/>
      <c r="L93" s="143"/>
      <c r="M93" s="143"/>
      <c r="N93" s="143"/>
      <c r="O93" s="143"/>
      <c r="P93" s="143"/>
      <c r="Q93" s="143"/>
      <c r="R93" s="143"/>
      <c r="S93" s="144"/>
    </row>
    <row r="94" spans="1:19" ht="97.5" customHeight="1" x14ac:dyDescent="0.2">
      <c r="B94" s="141"/>
      <c r="C94" s="32" t="s">
        <v>32</v>
      </c>
      <c r="D94" s="159" t="s">
        <v>179</v>
      </c>
      <c r="E94" s="160"/>
      <c r="F94" s="160"/>
      <c r="G94" s="160"/>
      <c r="H94" s="160"/>
      <c r="I94" s="160"/>
      <c r="J94" s="160"/>
      <c r="K94" s="160"/>
      <c r="L94" s="160"/>
      <c r="M94" s="160"/>
      <c r="N94" s="160"/>
      <c r="O94" s="160"/>
      <c r="P94" s="160"/>
      <c r="Q94" s="160"/>
      <c r="R94" s="160"/>
      <c r="S94" s="161"/>
    </row>
    <row r="95" spans="1:19" ht="97.5" customHeight="1" x14ac:dyDescent="0.2">
      <c r="B95" s="133" t="s">
        <v>51</v>
      </c>
      <c r="C95" s="28" t="s">
        <v>34</v>
      </c>
      <c r="D95" s="135" t="s">
        <v>188</v>
      </c>
      <c r="E95" s="136"/>
      <c r="F95" s="136"/>
      <c r="G95" s="136"/>
      <c r="H95" s="136"/>
      <c r="I95" s="136"/>
      <c r="J95" s="136"/>
      <c r="K95" s="136"/>
      <c r="L95" s="136"/>
      <c r="M95" s="136"/>
      <c r="N95" s="136"/>
      <c r="O95" s="136"/>
      <c r="P95" s="136"/>
      <c r="Q95" s="136"/>
      <c r="R95" s="136"/>
      <c r="S95" s="137"/>
    </row>
    <row r="96" spans="1:19" ht="97.5" customHeight="1" x14ac:dyDescent="0.2">
      <c r="B96" s="141"/>
      <c r="C96" s="31" t="s">
        <v>35</v>
      </c>
      <c r="D96" s="145" t="s">
        <v>180</v>
      </c>
      <c r="E96" s="146"/>
      <c r="F96" s="146"/>
      <c r="G96" s="146"/>
      <c r="H96" s="146"/>
      <c r="I96" s="146"/>
      <c r="J96" s="146"/>
      <c r="K96" s="146"/>
      <c r="L96" s="146"/>
      <c r="M96" s="146"/>
      <c r="N96" s="146"/>
      <c r="O96" s="146"/>
      <c r="P96" s="146"/>
      <c r="Q96" s="146"/>
      <c r="R96" s="146"/>
      <c r="S96" s="147"/>
    </row>
    <row r="97" spans="1:19" ht="97.5" customHeight="1" x14ac:dyDescent="0.2">
      <c r="B97" s="133" t="s">
        <v>52</v>
      </c>
      <c r="C97" s="30" t="s">
        <v>53</v>
      </c>
      <c r="D97" s="151" t="s">
        <v>192</v>
      </c>
      <c r="E97" s="114"/>
      <c r="F97" s="114"/>
      <c r="G97" s="114"/>
      <c r="H97" s="114"/>
      <c r="I97" s="114"/>
      <c r="J97" s="114"/>
      <c r="K97" s="114"/>
      <c r="L97" s="114"/>
      <c r="M97" s="114"/>
      <c r="N97" s="114"/>
      <c r="O97" s="114"/>
      <c r="P97" s="114"/>
      <c r="Q97" s="114"/>
      <c r="R97" s="114"/>
      <c r="S97" s="115"/>
    </row>
    <row r="98" spans="1:19" ht="97.5" customHeight="1" x14ac:dyDescent="0.2">
      <c r="B98" s="134"/>
      <c r="C98" s="33" t="s">
        <v>39</v>
      </c>
      <c r="D98" s="152" t="s">
        <v>187</v>
      </c>
      <c r="E98" s="111"/>
      <c r="F98" s="111"/>
      <c r="G98" s="111"/>
      <c r="H98" s="111"/>
      <c r="I98" s="111"/>
      <c r="J98" s="111"/>
      <c r="K98" s="111"/>
      <c r="L98" s="111"/>
      <c r="M98" s="111"/>
      <c r="N98" s="111"/>
      <c r="O98" s="111"/>
      <c r="P98" s="111"/>
      <c r="Q98" s="111"/>
      <c r="R98" s="111"/>
      <c r="S98" s="112"/>
    </row>
    <row r="99" spans="1:19" ht="97.5" customHeight="1" x14ac:dyDescent="0.2">
      <c r="B99" s="141"/>
      <c r="C99" s="32" t="s">
        <v>40</v>
      </c>
      <c r="D99" s="153" t="s">
        <v>186</v>
      </c>
      <c r="E99" s="154"/>
      <c r="F99" s="154"/>
      <c r="G99" s="154"/>
      <c r="H99" s="154"/>
      <c r="I99" s="154"/>
      <c r="J99" s="154"/>
      <c r="K99" s="154"/>
      <c r="L99" s="154"/>
      <c r="M99" s="154"/>
      <c r="N99" s="154"/>
      <c r="O99" s="154"/>
      <c r="P99" s="154"/>
      <c r="Q99" s="154"/>
      <c r="R99" s="154"/>
      <c r="S99" s="155"/>
    </row>
    <row r="100" spans="1:19" ht="6" customHeight="1" x14ac:dyDescent="0.2"/>
    <row r="101" spans="1:19" ht="18.75" customHeight="1" x14ac:dyDescent="0.2">
      <c r="A101" s="1" t="s">
        <v>54</v>
      </c>
    </row>
    <row r="102" spans="1:19" ht="81.75" customHeight="1" x14ac:dyDescent="0.2">
      <c r="B102" s="156" t="s">
        <v>55</v>
      </c>
      <c r="C102" s="157"/>
      <c r="D102" s="157"/>
      <c r="E102" s="157"/>
      <c r="F102" s="157"/>
      <c r="G102" s="157"/>
      <c r="H102" s="157"/>
      <c r="I102" s="157"/>
      <c r="J102" s="157"/>
      <c r="K102" s="157"/>
      <c r="L102" s="157"/>
      <c r="M102" s="157"/>
      <c r="N102" s="157"/>
      <c r="O102" s="157"/>
      <c r="P102" s="157"/>
      <c r="Q102" s="157"/>
      <c r="R102" s="157"/>
      <c r="S102" s="158"/>
    </row>
    <row r="110" spans="1:19" ht="18" customHeight="1" x14ac:dyDescent="0.2"/>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DC7F4D6C-5BE5-9348-8D03-496273FB6FFC}">
      <formula1>"○"</formula1>
    </dataValidation>
    <dataValidation type="list" allowBlank="1" showInputMessage="1" showErrorMessage="1" sqref="S32 S43 D32:G32 D43:G43" xr:uid="{2EC3AEF9-53AC-064D-B29E-76369C76A496}">
      <formula1>"全学開講,一部開講"</formula1>
    </dataValidation>
    <dataValidation type="list" allowBlank="1" showInputMessage="1" showErrorMessage="1" sqref="K7 K12" xr:uid="{BC398DAA-0EFA-D04D-9932-9F82E7A09A52}">
      <formula1>"学部・学科によって、修了要件は相違する,学部・学科によって、修了要件は相違しない"</formula1>
    </dataValidation>
    <dataValidation type="list" allowBlank="1" showInputMessage="1" showErrorMessage="1" sqref="F79:F86 P79:P86 G79:I80 G83:I86 Q83:S86 Q79:S80" xr:uid="{A6E32292-5383-C84F-BC3C-BEEF68CF61F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AE09E170-368D-1544-8714-28261DAD81ED}">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5" zoomScaleNormal="100" zoomScaleSheetLayoutView="100" workbookViewId="0">
      <selection activeCell="B37" sqref="B37:E37"/>
    </sheetView>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75" customHeight="1" x14ac:dyDescent="0.2">
      <c r="R1" s="99" t="s">
        <v>177</v>
      </c>
      <c r="S1" s="99"/>
      <c r="T1" s="2" t="s">
        <v>0</v>
      </c>
    </row>
    <row r="2" spans="1:22" ht="18.75" customHeight="1" x14ac:dyDescent="0.2">
      <c r="B2" s="34" t="s">
        <v>1</v>
      </c>
      <c r="C2" s="92" t="s">
        <v>2</v>
      </c>
      <c r="D2" s="98"/>
      <c r="E2" s="98"/>
      <c r="F2" s="98"/>
      <c r="G2" s="98"/>
      <c r="H2" s="98"/>
      <c r="I2" s="93"/>
      <c r="J2" s="35"/>
      <c r="K2" s="6"/>
      <c r="L2" s="6"/>
      <c r="M2" s="6"/>
      <c r="N2" s="6"/>
      <c r="O2" s="6"/>
      <c r="P2" s="6"/>
      <c r="Q2" s="6"/>
      <c r="R2" s="6"/>
      <c r="S2" s="6"/>
    </row>
    <row r="3" spans="1:22" ht="18.75" customHeight="1" x14ac:dyDescent="0.2">
      <c r="B3" s="34" t="s">
        <v>3</v>
      </c>
      <c r="C3" s="100" t="s">
        <v>4</v>
      </c>
      <c r="D3" s="101"/>
      <c r="E3" s="101"/>
      <c r="F3" s="101"/>
      <c r="G3" s="101"/>
      <c r="H3" s="101"/>
      <c r="I3" s="102"/>
      <c r="J3" s="35"/>
      <c r="K3" s="6"/>
      <c r="L3" s="6"/>
      <c r="M3" s="6"/>
      <c r="N3" s="6"/>
      <c r="O3" s="6"/>
      <c r="P3" s="6"/>
      <c r="Q3" s="6"/>
      <c r="R3" s="6"/>
      <c r="S3" s="6"/>
    </row>
    <row r="4" spans="1:22" ht="15" customHeight="1" x14ac:dyDescent="0.2">
      <c r="K4" s="35"/>
      <c r="L4" s="36"/>
      <c r="M4" s="36"/>
      <c r="N4" s="36"/>
      <c r="O4" s="36"/>
      <c r="P4" s="36"/>
      <c r="Q4" s="36"/>
      <c r="R4" s="36"/>
      <c r="S4" s="36"/>
    </row>
    <row r="5" spans="1:22" ht="18" customHeight="1" x14ac:dyDescent="0.2">
      <c r="A5" s="103" t="s">
        <v>5</v>
      </c>
      <c r="B5" s="103"/>
      <c r="C5" s="103"/>
      <c r="D5" s="103"/>
      <c r="E5" s="103"/>
      <c r="F5" s="103"/>
      <c r="G5" s="103"/>
      <c r="H5" s="103"/>
      <c r="I5" s="103"/>
      <c r="J5" s="103"/>
      <c r="K5" s="103"/>
      <c r="L5" s="103"/>
      <c r="M5" s="103"/>
      <c r="N5" s="103"/>
      <c r="O5" s="103"/>
      <c r="P5" s="103"/>
      <c r="Q5" s="103"/>
      <c r="R5" s="103"/>
      <c r="S5" s="103"/>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6</v>
      </c>
      <c r="C7" s="3"/>
      <c r="J7" s="37" t="s">
        <v>7</v>
      </c>
      <c r="K7" s="100" t="s">
        <v>8</v>
      </c>
      <c r="L7" s="101"/>
      <c r="M7" s="101"/>
      <c r="N7" s="101"/>
      <c r="O7" s="101"/>
      <c r="P7" s="101"/>
      <c r="Q7" s="101"/>
      <c r="R7" s="101"/>
      <c r="S7" s="102"/>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04" t="s">
        <v>56</v>
      </c>
      <c r="C9" s="105"/>
      <c r="D9" s="105"/>
      <c r="E9" s="105"/>
      <c r="F9" s="105"/>
      <c r="G9" s="105"/>
      <c r="H9" s="105"/>
      <c r="I9" s="105"/>
      <c r="J9" s="105"/>
      <c r="K9" s="105"/>
      <c r="L9" s="105"/>
      <c r="M9" s="105"/>
      <c r="N9" s="105"/>
      <c r="O9" s="105"/>
      <c r="P9" s="105"/>
      <c r="Q9" s="105"/>
      <c r="R9" s="105"/>
      <c r="S9" s="106"/>
    </row>
    <row r="10" spans="1:22" ht="18" customHeight="1" x14ac:dyDescent="0.2">
      <c r="B10" s="107"/>
      <c r="C10" s="108"/>
      <c r="D10" s="108"/>
      <c r="E10" s="108"/>
      <c r="F10" s="108"/>
      <c r="G10" s="108"/>
      <c r="H10" s="108"/>
      <c r="I10" s="108"/>
      <c r="J10" s="108"/>
      <c r="K10" s="108"/>
      <c r="L10" s="108"/>
      <c r="M10" s="108"/>
      <c r="N10" s="108"/>
      <c r="O10" s="108"/>
      <c r="P10" s="108"/>
      <c r="Q10" s="108"/>
      <c r="R10" s="108"/>
      <c r="S10" s="109"/>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10</v>
      </c>
      <c r="B12" s="3"/>
      <c r="C12" s="3"/>
      <c r="D12" s="35"/>
      <c r="E12" s="35"/>
      <c r="F12" s="35"/>
      <c r="G12" s="35"/>
      <c r="H12" s="35"/>
      <c r="I12" s="35"/>
      <c r="J12" s="35"/>
      <c r="K12" s="38"/>
      <c r="L12" s="38"/>
      <c r="M12" s="38"/>
      <c r="N12" s="38"/>
      <c r="O12" s="38"/>
      <c r="P12" s="38"/>
      <c r="Q12" s="38"/>
      <c r="R12" s="38"/>
      <c r="S12" s="38"/>
    </row>
    <row r="13" spans="1:22" ht="18" customHeight="1" x14ac:dyDescent="0.2">
      <c r="B13" s="83" t="s">
        <v>57</v>
      </c>
      <c r="C13" s="84"/>
      <c r="D13" s="84"/>
      <c r="E13" s="84"/>
      <c r="F13" s="84"/>
      <c r="G13" s="84"/>
      <c r="H13" s="84"/>
      <c r="I13" s="84"/>
      <c r="J13" s="84"/>
      <c r="K13" s="84"/>
      <c r="L13" s="84"/>
      <c r="M13" s="84"/>
      <c r="N13" s="84"/>
      <c r="O13" s="84"/>
      <c r="P13" s="84"/>
      <c r="Q13" s="84"/>
      <c r="R13" s="84"/>
      <c r="S13" s="85"/>
      <c r="V13" s="1" t="s">
        <v>12</v>
      </c>
    </row>
    <row r="14" spans="1:22" ht="18" customHeight="1" x14ac:dyDescent="0.2">
      <c r="B14" s="86"/>
      <c r="C14" s="87"/>
      <c r="D14" s="87"/>
      <c r="E14" s="87"/>
      <c r="F14" s="87"/>
      <c r="G14" s="87"/>
      <c r="H14" s="87"/>
      <c r="I14" s="87"/>
      <c r="J14" s="87"/>
      <c r="K14" s="87"/>
      <c r="L14" s="87"/>
      <c r="M14" s="87"/>
      <c r="N14" s="87"/>
      <c r="O14" s="87"/>
      <c r="P14" s="87"/>
      <c r="Q14" s="87"/>
      <c r="R14" s="87"/>
      <c r="S14" s="88"/>
      <c r="V14" s="1" t="s">
        <v>13</v>
      </c>
    </row>
    <row r="15" spans="1:22" ht="18" customHeight="1" x14ac:dyDescent="0.2">
      <c r="B15" s="86"/>
      <c r="C15" s="87"/>
      <c r="D15" s="87"/>
      <c r="E15" s="87"/>
      <c r="F15" s="87"/>
      <c r="G15" s="87"/>
      <c r="H15" s="87"/>
      <c r="I15" s="87"/>
      <c r="J15" s="87"/>
      <c r="K15" s="87"/>
      <c r="L15" s="87"/>
      <c r="M15" s="87"/>
      <c r="N15" s="87"/>
      <c r="O15" s="87"/>
      <c r="P15" s="87"/>
      <c r="Q15" s="87"/>
      <c r="R15" s="87"/>
      <c r="S15" s="88"/>
      <c r="V15" s="1" t="s">
        <v>14</v>
      </c>
    </row>
    <row r="16" spans="1:22" ht="18" customHeight="1" x14ac:dyDescent="0.2">
      <c r="B16" s="86"/>
      <c r="C16" s="87"/>
      <c r="D16" s="87"/>
      <c r="E16" s="87"/>
      <c r="F16" s="87"/>
      <c r="G16" s="87"/>
      <c r="H16" s="87"/>
      <c r="I16" s="87"/>
      <c r="J16" s="87"/>
      <c r="K16" s="87"/>
      <c r="L16" s="87"/>
      <c r="M16" s="87"/>
      <c r="N16" s="87"/>
      <c r="O16" s="87"/>
      <c r="P16" s="87"/>
      <c r="Q16" s="87"/>
      <c r="R16" s="87"/>
      <c r="S16" s="88"/>
      <c r="V16" s="1" t="s">
        <v>15</v>
      </c>
    </row>
    <row r="17" spans="1:19" ht="18" customHeight="1" x14ac:dyDescent="0.2">
      <c r="B17" s="86"/>
      <c r="C17" s="87"/>
      <c r="D17" s="87"/>
      <c r="E17" s="87"/>
      <c r="F17" s="87"/>
      <c r="G17" s="87"/>
      <c r="H17" s="87"/>
      <c r="I17" s="87"/>
      <c r="J17" s="87"/>
      <c r="K17" s="87"/>
      <c r="L17" s="87"/>
      <c r="M17" s="87"/>
      <c r="N17" s="87"/>
      <c r="O17" s="87"/>
      <c r="P17" s="87"/>
      <c r="Q17" s="87"/>
      <c r="R17" s="87"/>
      <c r="S17" s="88"/>
    </row>
    <row r="18" spans="1:19" ht="18" customHeight="1" x14ac:dyDescent="0.2">
      <c r="B18" s="89"/>
      <c r="C18" s="90"/>
      <c r="D18" s="90"/>
      <c r="E18" s="90"/>
      <c r="F18" s="90"/>
      <c r="G18" s="90"/>
      <c r="H18" s="90"/>
      <c r="I18" s="90"/>
      <c r="J18" s="90"/>
      <c r="K18" s="90"/>
      <c r="L18" s="90"/>
      <c r="M18" s="90"/>
      <c r="N18" s="90"/>
      <c r="O18" s="90"/>
      <c r="P18" s="90"/>
      <c r="Q18" s="90"/>
      <c r="R18" s="90"/>
      <c r="S18" s="91"/>
    </row>
    <row r="19" spans="1:19" ht="7.5" customHeight="1" x14ac:dyDescent="0.2">
      <c r="B19" s="3"/>
      <c r="C19" s="3"/>
      <c r="D19" s="3"/>
      <c r="E19" s="3"/>
      <c r="F19" s="3"/>
      <c r="G19" s="3"/>
      <c r="H19" s="3"/>
      <c r="I19" s="3"/>
      <c r="J19" s="3"/>
      <c r="K19" s="3"/>
      <c r="L19" s="3"/>
      <c r="M19" s="3"/>
      <c r="N19" s="3"/>
      <c r="O19" s="3"/>
      <c r="P19" s="3"/>
      <c r="Q19" s="3"/>
      <c r="R19" s="3"/>
      <c r="S19" s="3"/>
    </row>
    <row r="20" spans="1:19" ht="20.25" customHeight="1" x14ac:dyDescent="0.2">
      <c r="B20" s="1" t="s">
        <v>16</v>
      </c>
      <c r="C20" s="92">
        <v>4</v>
      </c>
      <c r="D20" s="93"/>
      <c r="E20" s="39" t="s">
        <v>17</v>
      </c>
      <c r="G20" s="10"/>
      <c r="H20" s="3"/>
      <c r="I20" s="3"/>
      <c r="J20" s="35" t="s">
        <v>18</v>
      </c>
      <c r="K20" s="94" t="s">
        <v>14</v>
      </c>
      <c r="L20" s="95"/>
      <c r="M20" s="95"/>
      <c r="N20" s="95"/>
      <c r="O20" s="95"/>
      <c r="P20" s="95"/>
      <c r="Q20" s="95"/>
      <c r="R20" s="95"/>
      <c r="S20" s="96"/>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7" t="s">
        <v>19</v>
      </c>
      <c r="B22" s="97"/>
      <c r="C22" s="97"/>
      <c r="D22" s="97"/>
      <c r="E22" s="97"/>
      <c r="F22" s="97"/>
      <c r="G22" s="97"/>
      <c r="H22" s="97"/>
      <c r="I22" s="97"/>
      <c r="J22" s="97"/>
      <c r="K22" s="97"/>
      <c r="L22" s="97"/>
      <c r="M22" s="97"/>
      <c r="N22" s="97"/>
      <c r="O22" s="97"/>
      <c r="P22" s="97"/>
      <c r="Q22" s="97"/>
      <c r="R22" s="97"/>
      <c r="S22" s="97"/>
    </row>
    <row r="23" spans="1:19" ht="18" customHeight="1" x14ac:dyDescent="0.2">
      <c r="A23" s="97"/>
      <c r="B23" s="97"/>
      <c r="C23" s="97"/>
      <c r="D23" s="97"/>
      <c r="E23" s="97"/>
      <c r="F23" s="97"/>
      <c r="G23" s="97"/>
      <c r="H23" s="97"/>
      <c r="I23" s="97"/>
      <c r="J23" s="97"/>
      <c r="K23" s="97"/>
      <c r="L23" s="97"/>
      <c r="M23" s="97"/>
      <c r="N23" s="97"/>
      <c r="O23" s="97"/>
      <c r="P23" s="97"/>
      <c r="Q23" s="97"/>
      <c r="R23" s="97"/>
      <c r="S23" s="97"/>
    </row>
    <row r="24" spans="1:19" ht="18" customHeight="1" x14ac:dyDescent="0.2">
      <c r="B24" s="92" t="s">
        <v>20</v>
      </c>
      <c r="C24" s="98"/>
      <c r="D24" s="98"/>
      <c r="E24" s="93"/>
      <c r="F24" s="60" t="s">
        <v>21</v>
      </c>
      <c r="G24" s="59" t="s">
        <v>22</v>
      </c>
      <c r="H24" s="22" t="s">
        <v>23</v>
      </c>
      <c r="I24" s="22" t="s">
        <v>24</v>
      </c>
      <c r="J24" s="92" t="s">
        <v>20</v>
      </c>
      <c r="K24" s="98"/>
      <c r="L24" s="98"/>
      <c r="M24" s="98"/>
      <c r="N24" s="98"/>
      <c r="O24" s="93"/>
      <c r="P24" s="60" t="s">
        <v>21</v>
      </c>
      <c r="Q24" s="59" t="s">
        <v>22</v>
      </c>
      <c r="R24" s="22" t="s">
        <v>23</v>
      </c>
      <c r="S24" s="22" t="s">
        <v>24</v>
      </c>
    </row>
    <row r="25" spans="1:19" ht="18" customHeight="1" x14ac:dyDescent="0.2">
      <c r="B25" s="113" t="s">
        <v>25</v>
      </c>
      <c r="C25" s="114"/>
      <c r="D25" s="114"/>
      <c r="E25" s="115"/>
      <c r="F25" s="23">
        <v>2</v>
      </c>
      <c r="G25" s="23" t="s">
        <v>26</v>
      </c>
      <c r="H25" s="23" t="s">
        <v>26</v>
      </c>
      <c r="I25" s="23" t="s">
        <v>26</v>
      </c>
      <c r="J25" s="113"/>
      <c r="K25" s="114"/>
      <c r="L25" s="114"/>
      <c r="M25" s="114"/>
      <c r="N25" s="114"/>
      <c r="O25" s="115"/>
      <c r="P25" s="23"/>
      <c r="Q25" s="23"/>
      <c r="R25" s="23"/>
      <c r="S25" s="23"/>
    </row>
    <row r="26" spans="1:19" ht="18" customHeight="1" x14ac:dyDescent="0.2">
      <c r="B26" s="110"/>
      <c r="C26" s="111"/>
      <c r="D26" s="111"/>
      <c r="E26" s="112"/>
      <c r="F26" s="24"/>
      <c r="G26" s="24"/>
      <c r="H26" s="24"/>
      <c r="I26" s="24"/>
      <c r="J26" s="110"/>
      <c r="K26" s="111"/>
      <c r="L26" s="111"/>
      <c r="M26" s="111"/>
      <c r="N26" s="111"/>
      <c r="O26" s="112"/>
      <c r="P26" s="24"/>
      <c r="Q26" s="24"/>
      <c r="R26" s="24"/>
      <c r="S26" s="24"/>
    </row>
    <row r="27" spans="1:19" ht="18" customHeight="1" x14ac:dyDescent="0.2">
      <c r="B27" s="110"/>
      <c r="C27" s="111"/>
      <c r="D27" s="111"/>
      <c r="E27" s="112"/>
      <c r="F27" s="24"/>
      <c r="G27" s="24"/>
      <c r="H27" s="24"/>
      <c r="I27" s="24"/>
      <c r="J27" s="110"/>
      <c r="K27" s="111"/>
      <c r="L27" s="111"/>
      <c r="M27" s="111"/>
      <c r="N27" s="111"/>
      <c r="O27" s="112"/>
      <c r="P27" s="24"/>
      <c r="Q27" s="24"/>
      <c r="R27" s="24"/>
      <c r="S27" s="24"/>
    </row>
    <row r="28" spans="1:19" ht="18" customHeight="1" x14ac:dyDescent="0.2">
      <c r="B28" s="110"/>
      <c r="C28" s="111"/>
      <c r="D28" s="111"/>
      <c r="E28" s="112"/>
      <c r="F28" s="24"/>
      <c r="G28" s="24"/>
      <c r="H28" s="24"/>
      <c r="I28" s="24"/>
      <c r="J28" s="110"/>
      <c r="K28" s="111"/>
      <c r="L28" s="111"/>
      <c r="M28" s="111"/>
      <c r="N28" s="111"/>
      <c r="O28" s="112"/>
      <c r="P28" s="24"/>
      <c r="Q28" s="24"/>
      <c r="R28" s="24"/>
      <c r="S28" s="24"/>
    </row>
    <row r="29" spans="1:19" ht="18" customHeight="1" x14ac:dyDescent="0.2">
      <c r="B29" s="110"/>
      <c r="C29" s="111"/>
      <c r="D29" s="111"/>
      <c r="E29" s="112"/>
      <c r="F29" s="24"/>
      <c r="G29" s="24"/>
      <c r="H29" s="24"/>
      <c r="I29" s="24"/>
      <c r="J29" s="110"/>
      <c r="K29" s="111"/>
      <c r="L29" s="111"/>
      <c r="M29" s="111"/>
      <c r="N29" s="111"/>
      <c r="O29" s="112"/>
      <c r="P29" s="24"/>
      <c r="Q29" s="24"/>
      <c r="R29" s="24"/>
      <c r="S29" s="24"/>
    </row>
    <row r="30" spans="1:19" ht="18" customHeight="1" x14ac:dyDescent="0.2">
      <c r="A30" s="3"/>
      <c r="B30" s="110"/>
      <c r="C30" s="111"/>
      <c r="D30" s="111"/>
      <c r="E30" s="112"/>
      <c r="F30" s="24"/>
      <c r="G30" s="24"/>
      <c r="H30" s="24"/>
      <c r="I30" s="24"/>
      <c r="J30" s="110"/>
      <c r="K30" s="111"/>
      <c r="L30" s="111"/>
      <c r="M30" s="111"/>
      <c r="N30" s="111"/>
      <c r="O30" s="112"/>
      <c r="P30" s="24"/>
      <c r="Q30" s="24"/>
      <c r="R30" s="24"/>
      <c r="S30" s="24"/>
    </row>
    <row r="31" spans="1:19" ht="18" customHeight="1" x14ac:dyDescent="0.2">
      <c r="A31" s="3"/>
      <c r="B31" s="116"/>
      <c r="C31" s="117"/>
      <c r="D31" s="117"/>
      <c r="E31" s="118"/>
      <c r="F31" s="25"/>
      <c r="G31" s="25"/>
      <c r="H31" s="26"/>
      <c r="I31" s="26"/>
      <c r="J31" s="116"/>
      <c r="K31" s="117"/>
      <c r="L31" s="117"/>
      <c r="M31" s="117"/>
      <c r="N31" s="117"/>
      <c r="O31" s="118"/>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7" t="s">
        <v>27</v>
      </c>
      <c r="B33" s="97"/>
      <c r="C33" s="97"/>
      <c r="D33" s="97"/>
      <c r="E33" s="97"/>
      <c r="F33" s="97"/>
      <c r="G33" s="97"/>
      <c r="H33" s="97"/>
      <c r="I33" s="97"/>
      <c r="J33" s="97"/>
      <c r="K33" s="97"/>
      <c r="L33" s="97"/>
      <c r="M33" s="97"/>
      <c r="N33" s="97"/>
      <c r="O33" s="97"/>
      <c r="P33" s="97"/>
      <c r="Q33" s="97"/>
      <c r="R33" s="97"/>
      <c r="S33" s="97"/>
    </row>
    <row r="34" spans="1:19" ht="18" customHeight="1" x14ac:dyDescent="0.2">
      <c r="A34" s="97"/>
      <c r="B34" s="97"/>
      <c r="C34" s="97"/>
      <c r="D34" s="97"/>
      <c r="E34" s="97"/>
      <c r="F34" s="97"/>
      <c r="G34" s="97"/>
      <c r="H34" s="97"/>
      <c r="I34" s="97"/>
      <c r="J34" s="97"/>
      <c r="K34" s="97"/>
      <c r="L34" s="97"/>
      <c r="M34" s="97"/>
      <c r="N34" s="97"/>
      <c r="O34" s="97"/>
      <c r="P34" s="97"/>
      <c r="Q34" s="97"/>
      <c r="R34" s="97"/>
      <c r="S34" s="97"/>
    </row>
    <row r="35" spans="1:19" ht="18" customHeight="1" x14ac:dyDescent="0.2">
      <c r="B35" s="92" t="s">
        <v>20</v>
      </c>
      <c r="C35" s="98"/>
      <c r="D35" s="98"/>
      <c r="E35" s="93"/>
      <c r="F35" s="60" t="s">
        <v>21</v>
      </c>
      <c r="G35" s="59" t="s">
        <v>22</v>
      </c>
      <c r="H35" s="22" t="s">
        <v>28</v>
      </c>
      <c r="I35" s="22" t="s">
        <v>29</v>
      </c>
      <c r="J35" s="92" t="s">
        <v>20</v>
      </c>
      <c r="K35" s="98"/>
      <c r="L35" s="98"/>
      <c r="M35" s="98"/>
      <c r="N35" s="98"/>
      <c r="O35" s="93"/>
      <c r="P35" s="60" t="s">
        <v>21</v>
      </c>
      <c r="Q35" s="59" t="s">
        <v>22</v>
      </c>
      <c r="R35" s="22" t="s">
        <v>28</v>
      </c>
      <c r="S35" s="22" t="s">
        <v>29</v>
      </c>
    </row>
    <row r="36" spans="1:19" ht="18" customHeight="1" x14ac:dyDescent="0.2">
      <c r="B36" s="113" t="s">
        <v>25</v>
      </c>
      <c r="C36" s="114"/>
      <c r="D36" s="114"/>
      <c r="E36" s="115"/>
      <c r="F36" s="23">
        <v>2</v>
      </c>
      <c r="G36" s="23" t="s">
        <v>26</v>
      </c>
      <c r="H36" s="23" t="s">
        <v>26</v>
      </c>
      <c r="I36" s="23" t="s">
        <v>26</v>
      </c>
      <c r="J36" s="113"/>
      <c r="K36" s="114"/>
      <c r="L36" s="114"/>
      <c r="M36" s="114"/>
      <c r="N36" s="114"/>
      <c r="O36" s="115"/>
      <c r="P36" s="23"/>
      <c r="Q36" s="23"/>
      <c r="R36" s="23"/>
      <c r="S36" s="23"/>
    </row>
    <row r="37" spans="1:19" ht="18" customHeight="1" x14ac:dyDescent="0.2">
      <c r="B37" s="110"/>
      <c r="C37" s="111"/>
      <c r="D37" s="111"/>
      <c r="E37" s="112"/>
      <c r="F37" s="24"/>
      <c r="G37" s="24"/>
      <c r="H37" s="24"/>
      <c r="I37" s="24"/>
      <c r="J37" s="110"/>
      <c r="K37" s="111"/>
      <c r="L37" s="111"/>
      <c r="M37" s="111"/>
      <c r="N37" s="111"/>
      <c r="O37" s="112"/>
      <c r="P37" s="24"/>
      <c r="Q37" s="24"/>
      <c r="R37" s="24"/>
      <c r="S37" s="24"/>
    </row>
    <row r="38" spans="1:19" ht="18" customHeight="1" x14ac:dyDescent="0.2">
      <c r="B38" s="110"/>
      <c r="C38" s="111"/>
      <c r="D38" s="111"/>
      <c r="E38" s="112"/>
      <c r="F38" s="24"/>
      <c r="G38" s="24"/>
      <c r="H38" s="24"/>
      <c r="I38" s="24"/>
      <c r="J38" s="110"/>
      <c r="K38" s="111"/>
      <c r="L38" s="111"/>
      <c r="M38" s="111"/>
      <c r="N38" s="111"/>
      <c r="O38" s="112"/>
      <c r="P38" s="24"/>
      <c r="Q38" s="24"/>
      <c r="R38" s="24"/>
      <c r="S38" s="24"/>
    </row>
    <row r="39" spans="1:19" ht="18" customHeight="1" x14ac:dyDescent="0.2">
      <c r="B39" s="110"/>
      <c r="C39" s="111"/>
      <c r="D39" s="111"/>
      <c r="E39" s="112"/>
      <c r="F39" s="24"/>
      <c r="G39" s="24"/>
      <c r="H39" s="24"/>
      <c r="I39" s="24"/>
      <c r="J39" s="110"/>
      <c r="K39" s="111"/>
      <c r="L39" s="111"/>
      <c r="M39" s="111"/>
      <c r="N39" s="111"/>
      <c r="O39" s="112"/>
      <c r="P39" s="24"/>
      <c r="Q39" s="24"/>
      <c r="R39" s="24"/>
      <c r="S39" s="24"/>
    </row>
    <row r="40" spans="1:19" ht="18" customHeight="1" x14ac:dyDescent="0.2">
      <c r="B40" s="110"/>
      <c r="C40" s="111"/>
      <c r="D40" s="111"/>
      <c r="E40" s="112"/>
      <c r="F40" s="24"/>
      <c r="G40" s="24"/>
      <c r="H40" s="24"/>
      <c r="I40" s="24"/>
      <c r="J40" s="110"/>
      <c r="K40" s="111"/>
      <c r="L40" s="111"/>
      <c r="M40" s="111"/>
      <c r="N40" s="111"/>
      <c r="O40" s="112"/>
      <c r="P40" s="24"/>
      <c r="Q40" s="24"/>
      <c r="R40" s="24"/>
      <c r="S40" s="24"/>
    </row>
    <row r="41" spans="1:19" ht="18" customHeight="1" x14ac:dyDescent="0.2">
      <c r="B41" s="110"/>
      <c r="C41" s="111"/>
      <c r="D41" s="111"/>
      <c r="E41" s="112"/>
      <c r="F41" s="24"/>
      <c r="G41" s="24"/>
      <c r="H41" s="24"/>
      <c r="I41" s="24"/>
      <c r="J41" s="110"/>
      <c r="K41" s="111"/>
      <c r="L41" s="111"/>
      <c r="M41" s="111"/>
      <c r="N41" s="111"/>
      <c r="O41" s="112"/>
      <c r="P41" s="24"/>
      <c r="Q41" s="24"/>
      <c r="R41" s="24"/>
      <c r="S41" s="24"/>
    </row>
    <row r="42" spans="1:19" ht="18" customHeight="1" x14ac:dyDescent="0.2">
      <c r="B42" s="116"/>
      <c r="C42" s="117"/>
      <c r="D42" s="117"/>
      <c r="E42" s="118"/>
      <c r="F42" s="25"/>
      <c r="G42" s="25"/>
      <c r="H42" s="26"/>
      <c r="I42" s="26"/>
      <c r="J42" s="116"/>
      <c r="K42" s="117"/>
      <c r="L42" s="117"/>
      <c r="M42" s="117"/>
      <c r="N42" s="117"/>
      <c r="O42" s="118"/>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7" t="s">
        <v>30</v>
      </c>
      <c r="B44" s="97"/>
      <c r="C44" s="97"/>
      <c r="D44" s="97"/>
      <c r="E44" s="97"/>
      <c r="F44" s="97"/>
      <c r="G44" s="97"/>
      <c r="H44" s="97"/>
      <c r="I44" s="97"/>
      <c r="J44" s="97"/>
      <c r="K44" s="97"/>
      <c r="L44" s="97"/>
      <c r="M44" s="97"/>
      <c r="N44" s="97"/>
      <c r="O44" s="97"/>
      <c r="P44" s="97"/>
      <c r="Q44" s="97"/>
      <c r="R44" s="97"/>
      <c r="S44" s="97"/>
    </row>
    <row r="45" spans="1:19" ht="18" customHeight="1" x14ac:dyDescent="0.2">
      <c r="A45" s="97"/>
      <c r="B45" s="97"/>
      <c r="C45" s="97"/>
      <c r="D45" s="97"/>
      <c r="E45" s="97"/>
      <c r="F45" s="97"/>
      <c r="G45" s="97"/>
      <c r="H45" s="97"/>
      <c r="I45" s="97"/>
      <c r="J45" s="97"/>
      <c r="K45" s="97"/>
      <c r="L45" s="97"/>
      <c r="M45" s="97"/>
      <c r="N45" s="97"/>
      <c r="O45" s="97"/>
      <c r="P45" s="97"/>
      <c r="Q45" s="97"/>
      <c r="R45" s="97"/>
      <c r="S45" s="97"/>
    </row>
    <row r="46" spans="1:19" ht="18" customHeight="1" x14ac:dyDescent="0.2">
      <c r="B46" s="92" t="s">
        <v>20</v>
      </c>
      <c r="C46" s="98"/>
      <c r="D46" s="98"/>
      <c r="E46" s="93"/>
      <c r="F46" s="60" t="s">
        <v>21</v>
      </c>
      <c r="G46" s="59" t="s">
        <v>22</v>
      </c>
      <c r="H46" s="22" t="s">
        <v>31</v>
      </c>
      <c r="I46" s="22" t="s">
        <v>32</v>
      </c>
      <c r="J46" s="92" t="s">
        <v>20</v>
      </c>
      <c r="K46" s="98"/>
      <c r="L46" s="98"/>
      <c r="M46" s="98"/>
      <c r="N46" s="98"/>
      <c r="O46" s="93"/>
      <c r="P46" s="60" t="s">
        <v>21</v>
      </c>
      <c r="Q46" s="59" t="s">
        <v>22</v>
      </c>
      <c r="R46" s="22" t="s">
        <v>31</v>
      </c>
      <c r="S46" s="22" t="s">
        <v>32</v>
      </c>
    </row>
    <row r="47" spans="1:19" ht="18" customHeight="1" x14ac:dyDescent="0.2">
      <c r="A47" s="3"/>
      <c r="B47" s="113" t="s">
        <v>25</v>
      </c>
      <c r="C47" s="114"/>
      <c r="D47" s="114"/>
      <c r="E47" s="115"/>
      <c r="F47" s="23">
        <v>2</v>
      </c>
      <c r="G47" s="23" t="s">
        <v>26</v>
      </c>
      <c r="H47" s="23" t="s">
        <v>26</v>
      </c>
      <c r="I47" s="23" t="s">
        <v>26</v>
      </c>
      <c r="J47" s="113"/>
      <c r="K47" s="114"/>
      <c r="L47" s="114"/>
      <c r="M47" s="114"/>
      <c r="N47" s="114"/>
      <c r="O47" s="115"/>
      <c r="P47" s="23"/>
      <c r="Q47" s="23"/>
      <c r="R47" s="23"/>
      <c r="S47" s="23"/>
    </row>
    <row r="48" spans="1:19" ht="18" customHeight="1" x14ac:dyDescent="0.2">
      <c r="A48" s="3"/>
      <c r="B48" s="110"/>
      <c r="C48" s="111"/>
      <c r="D48" s="111"/>
      <c r="E48" s="112"/>
      <c r="F48" s="24"/>
      <c r="G48" s="24"/>
      <c r="H48" s="24"/>
      <c r="I48" s="24"/>
      <c r="J48" s="110"/>
      <c r="K48" s="111"/>
      <c r="L48" s="111"/>
      <c r="M48" s="111"/>
      <c r="N48" s="111"/>
      <c r="O48" s="112"/>
      <c r="P48" s="24"/>
      <c r="Q48" s="24"/>
      <c r="R48" s="24"/>
      <c r="S48" s="24"/>
    </row>
    <row r="49" spans="1:19" ht="18" customHeight="1" x14ac:dyDescent="0.2">
      <c r="A49" s="3"/>
      <c r="B49" s="110"/>
      <c r="C49" s="111"/>
      <c r="D49" s="111"/>
      <c r="E49" s="112"/>
      <c r="F49" s="24"/>
      <c r="G49" s="24"/>
      <c r="H49" s="24"/>
      <c r="I49" s="24"/>
      <c r="J49" s="110"/>
      <c r="K49" s="111"/>
      <c r="L49" s="111"/>
      <c r="M49" s="111"/>
      <c r="N49" s="111"/>
      <c r="O49" s="112"/>
      <c r="P49" s="24"/>
      <c r="Q49" s="24"/>
      <c r="R49" s="24"/>
      <c r="S49" s="24"/>
    </row>
    <row r="50" spans="1:19" ht="18" customHeight="1" x14ac:dyDescent="0.2">
      <c r="A50" s="3"/>
      <c r="B50" s="110"/>
      <c r="C50" s="111"/>
      <c r="D50" s="111"/>
      <c r="E50" s="112"/>
      <c r="F50" s="24"/>
      <c r="G50" s="24"/>
      <c r="H50" s="24"/>
      <c r="I50" s="24"/>
      <c r="J50" s="110"/>
      <c r="K50" s="111"/>
      <c r="L50" s="111"/>
      <c r="M50" s="111"/>
      <c r="N50" s="111"/>
      <c r="O50" s="112"/>
      <c r="P50" s="24"/>
      <c r="Q50" s="24"/>
      <c r="R50" s="24"/>
      <c r="S50" s="24"/>
    </row>
    <row r="51" spans="1:19" ht="18" customHeight="1" x14ac:dyDescent="0.2">
      <c r="A51" s="3"/>
      <c r="B51" s="110"/>
      <c r="C51" s="111"/>
      <c r="D51" s="111"/>
      <c r="E51" s="112"/>
      <c r="F51" s="24"/>
      <c r="G51" s="24"/>
      <c r="H51" s="24"/>
      <c r="I51" s="24"/>
      <c r="J51" s="110"/>
      <c r="K51" s="111"/>
      <c r="L51" s="111"/>
      <c r="M51" s="111"/>
      <c r="N51" s="111"/>
      <c r="O51" s="112"/>
      <c r="P51" s="24"/>
      <c r="Q51" s="24"/>
      <c r="R51" s="24"/>
      <c r="S51" s="24"/>
    </row>
    <row r="52" spans="1:19" ht="18" customHeight="1" x14ac:dyDescent="0.2">
      <c r="A52" s="3"/>
      <c r="B52" s="110"/>
      <c r="C52" s="111"/>
      <c r="D52" s="111"/>
      <c r="E52" s="112"/>
      <c r="F52" s="24"/>
      <c r="G52" s="24"/>
      <c r="H52" s="24"/>
      <c r="I52" s="24"/>
      <c r="J52" s="110"/>
      <c r="K52" s="111"/>
      <c r="L52" s="111"/>
      <c r="M52" s="111"/>
      <c r="N52" s="111"/>
      <c r="O52" s="112"/>
      <c r="P52" s="24"/>
      <c r="Q52" s="24"/>
      <c r="R52" s="24"/>
      <c r="S52" s="24"/>
    </row>
    <row r="53" spans="1:19" ht="18" customHeight="1" x14ac:dyDescent="0.2">
      <c r="A53" s="3"/>
      <c r="B53" s="116"/>
      <c r="C53" s="117"/>
      <c r="D53" s="117"/>
      <c r="E53" s="118"/>
      <c r="F53" s="25"/>
      <c r="G53" s="25"/>
      <c r="H53" s="26"/>
      <c r="I53" s="26"/>
      <c r="J53" s="116"/>
      <c r="K53" s="117"/>
      <c r="L53" s="117"/>
      <c r="M53" s="117"/>
      <c r="N53" s="117"/>
      <c r="O53" s="118"/>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7" t="s">
        <v>33</v>
      </c>
      <c r="B55" s="97"/>
      <c r="C55" s="97"/>
      <c r="D55" s="97"/>
      <c r="E55" s="97"/>
      <c r="F55" s="97"/>
      <c r="G55" s="97"/>
      <c r="H55" s="97"/>
      <c r="I55" s="97"/>
      <c r="J55" s="97"/>
      <c r="K55" s="97"/>
      <c r="L55" s="97"/>
      <c r="M55" s="97"/>
      <c r="N55" s="97"/>
      <c r="O55" s="97"/>
      <c r="P55" s="97"/>
      <c r="Q55" s="97"/>
      <c r="R55" s="97"/>
      <c r="S55" s="97"/>
    </row>
    <row r="56" spans="1:19" ht="18" customHeight="1" x14ac:dyDescent="0.2">
      <c r="A56" s="97"/>
      <c r="B56" s="97"/>
      <c r="C56" s="97"/>
      <c r="D56" s="97"/>
      <c r="E56" s="97"/>
      <c r="F56" s="97"/>
      <c r="G56" s="97"/>
      <c r="H56" s="97"/>
      <c r="I56" s="97"/>
      <c r="J56" s="97"/>
      <c r="K56" s="97"/>
      <c r="L56" s="97"/>
      <c r="M56" s="97"/>
      <c r="N56" s="97"/>
      <c r="O56" s="97"/>
      <c r="P56" s="97"/>
      <c r="Q56" s="97"/>
      <c r="R56" s="97"/>
      <c r="S56" s="97"/>
    </row>
    <row r="57" spans="1:19" ht="18" customHeight="1" x14ac:dyDescent="0.2">
      <c r="B57" s="92" t="s">
        <v>20</v>
      </c>
      <c r="C57" s="98"/>
      <c r="D57" s="98"/>
      <c r="E57" s="93"/>
      <c r="F57" s="60" t="s">
        <v>21</v>
      </c>
      <c r="G57" s="59" t="s">
        <v>22</v>
      </c>
      <c r="H57" s="22" t="s">
        <v>34</v>
      </c>
      <c r="I57" s="22" t="s">
        <v>35</v>
      </c>
      <c r="J57" s="92" t="s">
        <v>20</v>
      </c>
      <c r="K57" s="98"/>
      <c r="L57" s="98"/>
      <c r="M57" s="98"/>
      <c r="N57" s="98"/>
      <c r="O57" s="93"/>
      <c r="P57" s="60" t="s">
        <v>21</v>
      </c>
      <c r="Q57" s="59" t="s">
        <v>22</v>
      </c>
      <c r="R57" s="22" t="s">
        <v>34</v>
      </c>
      <c r="S57" s="22" t="s">
        <v>35</v>
      </c>
    </row>
    <row r="58" spans="1:19" ht="18" customHeight="1" x14ac:dyDescent="0.2">
      <c r="A58" s="3"/>
      <c r="B58" s="119" t="s">
        <v>206</v>
      </c>
      <c r="C58" s="120"/>
      <c r="D58" s="120"/>
      <c r="E58" s="121"/>
      <c r="F58" s="23">
        <v>2</v>
      </c>
      <c r="G58" s="23" t="s">
        <v>26</v>
      </c>
      <c r="H58" s="23" t="s">
        <v>26</v>
      </c>
      <c r="I58" s="23" t="s">
        <v>26</v>
      </c>
      <c r="J58" s="113"/>
      <c r="K58" s="114"/>
      <c r="L58" s="114"/>
      <c r="M58" s="114"/>
      <c r="N58" s="114"/>
      <c r="O58" s="115"/>
      <c r="P58" s="23"/>
      <c r="Q58" s="23"/>
      <c r="R58" s="23"/>
      <c r="S58" s="23"/>
    </row>
    <row r="59" spans="1:19" ht="18" customHeight="1" x14ac:dyDescent="0.2">
      <c r="A59" s="3"/>
      <c r="B59" s="110" t="s">
        <v>58</v>
      </c>
      <c r="C59" s="111"/>
      <c r="D59" s="111"/>
      <c r="E59" s="112"/>
      <c r="F59" s="24">
        <v>1</v>
      </c>
      <c r="G59" s="24" t="s">
        <v>26</v>
      </c>
      <c r="H59" s="24"/>
      <c r="I59" s="24" t="s">
        <v>26</v>
      </c>
      <c r="J59" s="110"/>
      <c r="K59" s="111"/>
      <c r="L59" s="111"/>
      <c r="M59" s="111"/>
      <c r="N59" s="111"/>
      <c r="O59" s="112"/>
      <c r="P59" s="24"/>
      <c r="Q59" s="24"/>
      <c r="R59" s="24"/>
      <c r="S59" s="24"/>
    </row>
    <row r="60" spans="1:19" ht="18" customHeight="1" x14ac:dyDescent="0.2">
      <c r="A60" s="3"/>
      <c r="B60" s="110"/>
      <c r="C60" s="111"/>
      <c r="D60" s="111"/>
      <c r="E60" s="112"/>
      <c r="F60" s="24"/>
      <c r="G60" s="24"/>
      <c r="H60" s="24"/>
      <c r="I60" s="24"/>
      <c r="J60" s="110"/>
      <c r="K60" s="111"/>
      <c r="L60" s="111"/>
      <c r="M60" s="111"/>
      <c r="N60" s="111"/>
      <c r="O60" s="112"/>
      <c r="P60" s="24"/>
      <c r="Q60" s="24"/>
      <c r="R60" s="24"/>
      <c r="S60" s="24"/>
    </row>
    <row r="61" spans="1:19" ht="18" customHeight="1" x14ac:dyDescent="0.2">
      <c r="A61" s="3"/>
      <c r="B61" s="110"/>
      <c r="C61" s="111"/>
      <c r="D61" s="111"/>
      <c r="E61" s="112"/>
      <c r="F61" s="24"/>
      <c r="G61" s="24"/>
      <c r="H61" s="24"/>
      <c r="I61" s="24"/>
      <c r="J61" s="110"/>
      <c r="K61" s="111"/>
      <c r="L61" s="111"/>
      <c r="M61" s="111"/>
      <c r="N61" s="111"/>
      <c r="O61" s="112"/>
      <c r="P61" s="24"/>
      <c r="Q61" s="24"/>
      <c r="R61" s="24"/>
      <c r="S61" s="24"/>
    </row>
    <row r="62" spans="1:19" ht="18" customHeight="1" x14ac:dyDescent="0.2">
      <c r="A62" s="3"/>
      <c r="B62" s="110"/>
      <c r="C62" s="111"/>
      <c r="D62" s="111"/>
      <c r="E62" s="112"/>
      <c r="F62" s="24"/>
      <c r="G62" s="24"/>
      <c r="H62" s="24"/>
      <c r="I62" s="24"/>
      <c r="J62" s="110"/>
      <c r="K62" s="111"/>
      <c r="L62" s="111"/>
      <c r="M62" s="111"/>
      <c r="N62" s="111"/>
      <c r="O62" s="112"/>
      <c r="P62" s="24"/>
      <c r="Q62" s="24"/>
      <c r="R62" s="24"/>
      <c r="S62" s="24"/>
    </row>
    <row r="63" spans="1:19" ht="18" customHeight="1" x14ac:dyDescent="0.2">
      <c r="A63" s="3"/>
      <c r="B63" s="110"/>
      <c r="C63" s="111"/>
      <c r="D63" s="111"/>
      <c r="E63" s="112"/>
      <c r="F63" s="24"/>
      <c r="G63" s="24"/>
      <c r="H63" s="24"/>
      <c r="I63" s="24"/>
      <c r="J63" s="110"/>
      <c r="K63" s="111"/>
      <c r="L63" s="111"/>
      <c r="M63" s="111"/>
      <c r="N63" s="111"/>
      <c r="O63" s="112"/>
      <c r="P63" s="24"/>
      <c r="Q63" s="24"/>
      <c r="R63" s="24"/>
      <c r="S63" s="24"/>
    </row>
    <row r="64" spans="1:19" ht="18" customHeight="1" x14ac:dyDescent="0.2">
      <c r="A64" s="3"/>
      <c r="B64" s="116"/>
      <c r="C64" s="117"/>
      <c r="D64" s="117"/>
      <c r="E64" s="118"/>
      <c r="F64" s="25"/>
      <c r="G64" s="25"/>
      <c r="H64" s="26"/>
      <c r="I64" s="26"/>
      <c r="J64" s="116"/>
      <c r="K64" s="117"/>
      <c r="L64" s="117"/>
      <c r="M64" s="117"/>
      <c r="N64" s="117"/>
      <c r="O64" s="118"/>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7" t="s">
        <v>37</v>
      </c>
      <c r="B66" s="97"/>
      <c r="C66" s="97"/>
      <c r="D66" s="97"/>
      <c r="E66" s="97"/>
      <c r="F66" s="97"/>
      <c r="G66" s="97"/>
      <c r="H66" s="97"/>
      <c r="I66" s="97"/>
      <c r="J66" s="97"/>
      <c r="K66" s="97"/>
      <c r="L66" s="97"/>
      <c r="M66" s="97"/>
      <c r="N66" s="97"/>
      <c r="O66" s="97"/>
      <c r="P66" s="97"/>
      <c r="Q66" s="97"/>
      <c r="R66" s="97"/>
      <c r="S66" s="97"/>
    </row>
    <row r="67" spans="1:19" ht="18" customHeight="1" x14ac:dyDescent="0.2">
      <c r="A67" s="97"/>
      <c r="B67" s="97"/>
      <c r="C67" s="97"/>
      <c r="D67" s="97"/>
      <c r="E67" s="97"/>
      <c r="F67" s="97"/>
      <c r="G67" s="97"/>
      <c r="H67" s="97"/>
      <c r="I67" s="97"/>
      <c r="J67" s="97"/>
      <c r="K67" s="97"/>
      <c r="L67" s="97"/>
      <c r="M67" s="97"/>
      <c r="N67" s="97"/>
      <c r="O67" s="97"/>
      <c r="P67" s="97"/>
      <c r="Q67" s="97"/>
      <c r="R67" s="97"/>
      <c r="S67" s="97"/>
    </row>
    <row r="68" spans="1:19" ht="18" customHeight="1" x14ac:dyDescent="0.2">
      <c r="B68" s="92" t="s">
        <v>20</v>
      </c>
      <c r="C68" s="98"/>
      <c r="D68" s="98"/>
      <c r="E68" s="60" t="s">
        <v>21</v>
      </c>
      <c r="F68" s="59" t="s">
        <v>22</v>
      </c>
      <c r="G68" s="22" t="s">
        <v>38</v>
      </c>
      <c r="H68" s="22" t="s">
        <v>39</v>
      </c>
      <c r="I68" s="22" t="s">
        <v>40</v>
      </c>
      <c r="J68" s="92" t="s">
        <v>20</v>
      </c>
      <c r="K68" s="98"/>
      <c r="L68" s="98"/>
      <c r="M68" s="98"/>
      <c r="N68" s="93"/>
      <c r="O68" s="60" t="s">
        <v>21</v>
      </c>
      <c r="P68" s="59" t="s">
        <v>22</v>
      </c>
      <c r="Q68" s="22" t="s">
        <v>38</v>
      </c>
      <c r="R68" s="22" t="s">
        <v>39</v>
      </c>
      <c r="S68" s="22" t="s">
        <v>40</v>
      </c>
    </row>
    <row r="69" spans="1:19" ht="18" customHeight="1" x14ac:dyDescent="0.2">
      <c r="A69" s="3"/>
      <c r="B69" s="113" t="s">
        <v>59</v>
      </c>
      <c r="C69" s="114"/>
      <c r="D69" s="114"/>
      <c r="E69" s="23">
        <v>1</v>
      </c>
      <c r="F69" s="23" t="s">
        <v>26</v>
      </c>
      <c r="G69" s="23" t="s">
        <v>26</v>
      </c>
      <c r="H69" s="23" t="s">
        <v>26</v>
      </c>
      <c r="I69" s="23" t="s">
        <v>26</v>
      </c>
      <c r="J69" s="113"/>
      <c r="K69" s="114"/>
      <c r="L69" s="114"/>
      <c r="M69" s="114"/>
      <c r="N69" s="115"/>
      <c r="O69" s="23"/>
      <c r="P69" s="23"/>
      <c r="Q69" s="23"/>
      <c r="R69" s="23"/>
      <c r="S69" s="23"/>
    </row>
    <row r="70" spans="1:19" ht="18" customHeight="1" x14ac:dyDescent="0.2">
      <c r="A70" s="3"/>
      <c r="B70" s="110"/>
      <c r="C70" s="111"/>
      <c r="D70" s="111"/>
      <c r="E70" s="24"/>
      <c r="F70" s="24"/>
      <c r="G70" s="24"/>
      <c r="H70" s="24"/>
      <c r="I70" s="24"/>
      <c r="J70" s="110"/>
      <c r="K70" s="111"/>
      <c r="L70" s="111"/>
      <c r="M70" s="111"/>
      <c r="N70" s="112"/>
      <c r="O70" s="24"/>
      <c r="P70" s="24"/>
      <c r="Q70" s="24"/>
      <c r="R70" s="24"/>
      <c r="S70" s="24"/>
    </row>
    <row r="71" spans="1:19" ht="18" customHeight="1" x14ac:dyDescent="0.2">
      <c r="A71" s="3"/>
      <c r="B71" s="110"/>
      <c r="C71" s="111"/>
      <c r="D71" s="111"/>
      <c r="E71" s="24"/>
      <c r="F71" s="24"/>
      <c r="G71" s="24"/>
      <c r="H71" s="24"/>
      <c r="I71" s="24"/>
      <c r="J71" s="110"/>
      <c r="K71" s="111"/>
      <c r="L71" s="111"/>
      <c r="M71" s="111"/>
      <c r="N71" s="112"/>
      <c r="O71" s="24"/>
      <c r="P71" s="24"/>
      <c r="Q71" s="24"/>
      <c r="R71" s="24"/>
      <c r="S71" s="24"/>
    </row>
    <row r="72" spans="1:19" ht="18" customHeight="1" x14ac:dyDescent="0.2">
      <c r="A72" s="3"/>
      <c r="B72" s="110"/>
      <c r="C72" s="111"/>
      <c r="D72" s="111"/>
      <c r="E72" s="24"/>
      <c r="F72" s="24"/>
      <c r="G72" s="24"/>
      <c r="H72" s="24"/>
      <c r="I72" s="24"/>
      <c r="J72" s="110"/>
      <c r="K72" s="111"/>
      <c r="L72" s="111"/>
      <c r="M72" s="111"/>
      <c r="N72" s="112"/>
      <c r="O72" s="24"/>
      <c r="P72" s="24"/>
      <c r="Q72" s="24"/>
      <c r="R72" s="24"/>
      <c r="S72" s="24"/>
    </row>
    <row r="73" spans="1:19" ht="18" customHeight="1" x14ac:dyDescent="0.2">
      <c r="A73" s="3"/>
      <c r="B73" s="110"/>
      <c r="C73" s="111"/>
      <c r="D73" s="111"/>
      <c r="E73" s="24"/>
      <c r="F73" s="24"/>
      <c r="G73" s="24"/>
      <c r="H73" s="24"/>
      <c r="I73" s="24"/>
      <c r="J73" s="110"/>
      <c r="K73" s="111"/>
      <c r="L73" s="111"/>
      <c r="M73" s="111"/>
      <c r="N73" s="112"/>
      <c r="O73" s="24"/>
      <c r="P73" s="24"/>
      <c r="Q73" s="24"/>
      <c r="R73" s="24"/>
      <c r="S73" s="24"/>
    </row>
    <row r="74" spans="1:19" ht="18" customHeight="1" x14ac:dyDescent="0.2">
      <c r="A74" s="3"/>
      <c r="B74" s="110"/>
      <c r="C74" s="111"/>
      <c r="D74" s="111"/>
      <c r="E74" s="24"/>
      <c r="F74" s="24"/>
      <c r="G74" s="24"/>
      <c r="H74" s="24"/>
      <c r="I74" s="24"/>
      <c r="J74" s="110"/>
      <c r="K74" s="111"/>
      <c r="L74" s="111"/>
      <c r="M74" s="111"/>
      <c r="N74" s="112"/>
      <c r="O74" s="24"/>
      <c r="P74" s="24"/>
      <c r="Q74" s="24"/>
      <c r="R74" s="24"/>
      <c r="S74" s="24"/>
    </row>
    <row r="75" spans="1:19" ht="18" customHeight="1" x14ac:dyDescent="0.2">
      <c r="A75" s="3"/>
      <c r="B75" s="116"/>
      <c r="C75" s="117"/>
      <c r="D75" s="117"/>
      <c r="E75" s="25"/>
      <c r="F75" s="25"/>
      <c r="G75" s="26"/>
      <c r="H75" s="26"/>
      <c r="I75" s="26"/>
      <c r="J75" s="116"/>
      <c r="K75" s="117"/>
      <c r="L75" s="117"/>
      <c r="M75" s="117"/>
      <c r="N75" s="118"/>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42</v>
      </c>
      <c r="H77" s="3"/>
      <c r="I77" s="3"/>
      <c r="J77" s="3"/>
      <c r="K77" s="3"/>
      <c r="L77" s="3"/>
      <c r="M77" s="3"/>
      <c r="N77" s="3"/>
      <c r="O77" s="3"/>
      <c r="P77" s="3"/>
      <c r="Q77" s="3"/>
      <c r="R77" s="3"/>
      <c r="S77" s="3"/>
    </row>
    <row r="78" spans="1:19" ht="18" customHeight="1" x14ac:dyDescent="0.2">
      <c r="B78" s="92" t="s">
        <v>20</v>
      </c>
      <c r="C78" s="98"/>
      <c r="D78" s="98"/>
      <c r="E78" s="93"/>
      <c r="F78" s="92" t="s">
        <v>43</v>
      </c>
      <c r="G78" s="98"/>
      <c r="H78" s="98"/>
      <c r="I78" s="93"/>
      <c r="J78" s="122" t="s">
        <v>20</v>
      </c>
      <c r="K78" s="123"/>
      <c r="L78" s="123"/>
      <c r="M78" s="123"/>
      <c r="N78" s="123"/>
      <c r="O78" s="124"/>
      <c r="P78" s="92" t="s">
        <v>43</v>
      </c>
      <c r="Q78" s="98"/>
      <c r="R78" s="98"/>
      <c r="S78" s="93"/>
    </row>
    <row r="79" spans="1:19" ht="18" customHeight="1" x14ac:dyDescent="0.2">
      <c r="A79" s="3"/>
      <c r="B79" s="113"/>
      <c r="C79" s="114"/>
      <c r="D79" s="114"/>
      <c r="E79" s="115"/>
      <c r="F79" s="125"/>
      <c r="G79" s="126"/>
      <c r="H79" s="126"/>
      <c r="I79" s="127"/>
      <c r="J79" s="113"/>
      <c r="K79" s="114"/>
      <c r="L79" s="114"/>
      <c r="M79" s="114"/>
      <c r="N79" s="114"/>
      <c r="O79" s="115"/>
      <c r="P79" s="125"/>
      <c r="Q79" s="126"/>
      <c r="R79" s="126"/>
      <c r="S79" s="127"/>
    </row>
    <row r="80" spans="1:19" ht="18" customHeight="1" x14ac:dyDescent="0.2">
      <c r="A80" s="3"/>
      <c r="B80" s="110"/>
      <c r="C80" s="111"/>
      <c r="D80" s="111"/>
      <c r="E80" s="112"/>
      <c r="F80" s="128"/>
      <c r="G80" s="129"/>
      <c r="H80" s="129"/>
      <c r="I80" s="130"/>
      <c r="J80" s="110"/>
      <c r="K80" s="111"/>
      <c r="L80" s="111"/>
      <c r="M80" s="111"/>
      <c r="N80" s="111"/>
      <c r="O80" s="112"/>
      <c r="P80" s="128"/>
      <c r="Q80" s="129"/>
      <c r="R80" s="129"/>
      <c r="S80" s="130"/>
    </row>
    <row r="81" spans="1:19" ht="18" customHeight="1" x14ac:dyDescent="0.2">
      <c r="A81" s="3"/>
      <c r="B81" s="110"/>
      <c r="C81" s="111"/>
      <c r="D81" s="111"/>
      <c r="E81" s="112"/>
      <c r="F81" s="128"/>
      <c r="G81" s="129"/>
      <c r="H81" s="129"/>
      <c r="I81" s="130"/>
      <c r="J81" s="110"/>
      <c r="K81" s="111"/>
      <c r="L81" s="111"/>
      <c r="M81" s="111"/>
      <c r="N81" s="111"/>
      <c r="O81" s="112"/>
      <c r="P81" s="128"/>
      <c r="Q81" s="129"/>
      <c r="R81" s="129"/>
      <c r="S81" s="130"/>
    </row>
    <row r="82" spans="1:19" ht="18" customHeight="1" x14ac:dyDescent="0.2">
      <c r="A82" s="3"/>
      <c r="B82" s="110"/>
      <c r="C82" s="111"/>
      <c r="D82" s="111"/>
      <c r="E82" s="112"/>
      <c r="F82" s="128"/>
      <c r="G82" s="129"/>
      <c r="H82" s="129"/>
      <c r="I82" s="130"/>
      <c r="J82" s="110"/>
      <c r="K82" s="111"/>
      <c r="L82" s="111"/>
      <c r="M82" s="111"/>
      <c r="N82" s="111"/>
      <c r="O82" s="112"/>
      <c r="P82" s="128"/>
      <c r="Q82" s="129"/>
      <c r="R82" s="129"/>
      <c r="S82" s="130"/>
    </row>
    <row r="83" spans="1:19" ht="18" customHeight="1" x14ac:dyDescent="0.2">
      <c r="A83" s="3"/>
      <c r="B83" s="110"/>
      <c r="C83" s="111"/>
      <c r="D83" s="111"/>
      <c r="E83" s="112"/>
      <c r="F83" s="128"/>
      <c r="G83" s="129"/>
      <c r="H83" s="129"/>
      <c r="I83" s="130"/>
      <c r="J83" s="110"/>
      <c r="K83" s="111"/>
      <c r="L83" s="111"/>
      <c r="M83" s="111"/>
      <c r="N83" s="111"/>
      <c r="O83" s="112"/>
      <c r="P83" s="128"/>
      <c r="Q83" s="129"/>
      <c r="R83" s="129"/>
      <c r="S83" s="130"/>
    </row>
    <row r="84" spans="1:19" ht="18" customHeight="1" x14ac:dyDescent="0.2">
      <c r="A84" s="3"/>
      <c r="B84" s="110"/>
      <c r="C84" s="111"/>
      <c r="D84" s="111"/>
      <c r="E84" s="112"/>
      <c r="F84" s="128"/>
      <c r="G84" s="129"/>
      <c r="H84" s="129"/>
      <c r="I84" s="130"/>
      <c r="J84" s="110"/>
      <c r="K84" s="111"/>
      <c r="L84" s="111"/>
      <c r="M84" s="111"/>
      <c r="N84" s="111"/>
      <c r="O84" s="112"/>
      <c r="P84" s="128"/>
      <c r="Q84" s="129"/>
      <c r="R84" s="129"/>
      <c r="S84" s="130"/>
    </row>
    <row r="85" spans="1:19" ht="18" customHeight="1" x14ac:dyDescent="0.2">
      <c r="A85" s="3"/>
      <c r="B85" s="116"/>
      <c r="C85" s="117"/>
      <c r="D85" s="117"/>
      <c r="E85" s="118"/>
      <c r="F85" s="148"/>
      <c r="G85" s="149"/>
      <c r="H85" s="149"/>
      <c r="I85" s="150"/>
      <c r="J85" s="116"/>
      <c r="K85" s="117"/>
      <c r="L85" s="117"/>
      <c r="M85" s="117"/>
      <c r="N85" s="117"/>
      <c r="O85" s="118"/>
      <c r="P85" s="148"/>
      <c r="Q85" s="149"/>
      <c r="R85" s="149"/>
      <c r="S85" s="150"/>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44</v>
      </c>
    </row>
    <row r="88" spans="1:19" ht="18.75" customHeight="1" x14ac:dyDescent="0.2">
      <c r="B88" s="131" t="s">
        <v>45</v>
      </c>
      <c r="C88" s="132"/>
      <c r="D88" s="98" t="s">
        <v>46</v>
      </c>
      <c r="E88" s="98"/>
      <c r="F88" s="98"/>
      <c r="G88" s="98"/>
      <c r="H88" s="98"/>
      <c r="I88" s="98"/>
      <c r="J88" s="98"/>
      <c r="K88" s="98"/>
      <c r="L88" s="98"/>
      <c r="M88" s="98"/>
      <c r="N88" s="98"/>
      <c r="O88" s="98"/>
      <c r="P88" s="98"/>
      <c r="Q88" s="98"/>
      <c r="R88" s="98"/>
      <c r="S88" s="93"/>
    </row>
    <row r="89" spans="1:19" ht="97.5" customHeight="1" x14ac:dyDescent="0.2">
      <c r="B89" s="133" t="s">
        <v>47</v>
      </c>
      <c r="C89" s="28" t="s">
        <v>23</v>
      </c>
      <c r="D89" s="135" t="s">
        <v>181</v>
      </c>
      <c r="E89" s="136"/>
      <c r="F89" s="136"/>
      <c r="G89" s="136"/>
      <c r="H89" s="136"/>
      <c r="I89" s="136"/>
      <c r="J89" s="136"/>
      <c r="K89" s="136"/>
      <c r="L89" s="136"/>
      <c r="M89" s="136"/>
      <c r="N89" s="136"/>
      <c r="O89" s="136"/>
      <c r="P89" s="136"/>
      <c r="Q89" s="136"/>
      <c r="R89" s="136"/>
      <c r="S89" s="137"/>
    </row>
    <row r="90" spans="1:19" ht="97.5" customHeight="1" x14ac:dyDescent="0.2">
      <c r="B90" s="134"/>
      <c r="C90" s="29" t="s">
        <v>48</v>
      </c>
      <c r="D90" s="138" t="s">
        <v>182</v>
      </c>
      <c r="E90" s="139"/>
      <c r="F90" s="139"/>
      <c r="G90" s="139"/>
      <c r="H90" s="139"/>
      <c r="I90" s="139"/>
      <c r="J90" s="139"/>
      <c r="K90" s="139"/>
      <c r="L90" s="139"/>
      <c r="M90" s="139"/>
      <c r="N90" s="139"/>
      <c r="O90" s="139"/>
      <c r="P90" s="139"/>
      <c r="Q90" s="139"/>
      <c r="R90" s="139"/>
      <c r="S90" s="140"/>
    </row>
    <row r="91" spans="1:19" ht="97.5" customHeight="1" x14ac:dyDescent="0.2">
      <c r="B91" s="133" t="s">
        <v>49</v>
      </c>
      <c r="C91" s="30" t="s">
        <v>28</v>
      </c>
      <c r="D91" s="142" t="s">
        <v>183</v>
      </c>
      <c r="E91" s="143"/>
      <c r="F91" s="143"/>
      <c r="G91" s="143"/>
      <c r="H91" s="143"/>
      <c r="I91" s="143"/>
      <c r="J91" s="143"/>
      <c r="K91" s="143"/>
      <c r="L91" s="143"/>
      <c r="M91" s="143"/>
      <c r="N91" s="143"/>
      <c r="O91" s="143"/>
      <c r="P91" s="143"/>
      <c r="Q91" s="143"/>
      <c r="R91" s="143"/>
      <c r="S91" s="144"/>
    </row>
    <row r="92" spans="1:19" ht="97.5" customHeight="1" x14ac:dyDescent="0.2">
      <c r="B92" s="141"/>
      <c r="C92" s="31" t="s">
        <v>29</v>
      </c>
      <c r="D92" s="145" t="s">
        <v>184</v>
      </c>
      <c r="E92" s="146"/>
      <c r="F92" s="146"/>
      <c r="G92" s="146"/>
      <c r="H92" s="146"/>
      <c r="I92" s="146"/>
      <c r="J92" s="146"/>
      <c r="K92" s="146"/>
      <c r="L92" s="146"/>
      <c r="M92" s="146"/>
      <c r="N92" s="146"/>
      <c r="O92" s="146"/>
      <c r="P92" s="146"/>
      <c r="Q92" s="146"/>
      <c r="R92" s="146"/>
      <c r="S92" s="147"/>
    </row>
    <row r="93" spans="1:19" ht="97.5" customHeight="1" x14ac:dyDescent="0.2">
      <c r="B93" s="133" t="s">
        <v>50</v>
      </c>
      <c r="C93" s="30" t="s">
        <v>31</v>
      </c>
      <c r="D93" s="142" t="s">
        <v>185</v>
      </c>
      <c r="E93" s="143"/>
      <c r="F93" s="143"/>
      <c r="G93" s="143"/>
      <c r="H93" s="143"/>
      <c r="I93" s="143"/>
      <c r="J93" s="143"/>
      <c r="K93" s="143"/>
      <c r="L93" s="143"/>
      <c r="M93" s="143"/>
      <c r="N93" s="143"/>
      <c r="O93" s="143"/>
      <c r="P93" s="143"/>
      <c r="Q93" s="143"/>
      <c r="R93" s="143"/>
      <c r="S93" s="144"/>
    </row>
    <row r="94" spans="1:19" ht="97.5" customHeight="1" x14ac:dyDescent="0.2">
      <c r="B94" s="141"/>
      <c r="C94" s="32" t="s">
        <v>32</v>
      </c>
      <c r="D94" s="159" t="s">
        <v>179</v>
      </c>
      <c r="E94" s="160"/>
      <c r="F94" s="160"/>
      <c r="G94" s="160"/>
      <c r="H94" s="160"/>
      <c r="I94" s="160"/>
      <c r="J94" s="160"/>
      <c r="K94" s="160"/>
      <c r="L94" s="160"/>
      <c r="M94" s="160"/>
      <c r="N94" s="160"/>
      <c r="O94" s="160"/>
      <c r="P94" s="160"/>
      <c r="Q94" s="160"/>
      <c r="R94" s="160"/>
      <c r="S94" s="161"/>
    </row>
    <row r="95" spans="1:19" ht="97.5" customHeight="1" x14ac:dyDescent="0.2">
      <c r="B95" s="133" t="s">
        <v>51</v>
      </c>
      <c r="C95" s="28" t="s">
        <v>34</v>
      </c>
      <c r="D95" s="135" t="s">
        <v>188</v>
      </c>
      <c r="E95" s="136"/>
      <c r="F95" s="136"/>
      <c r="G95" s="136"/>
      <c r="H95" s="136"/>
      <c r="I95" s="136"/>
      <c r="J95" s="136"/>
      <c r="K95" s="136"/>
      <c r="L95" s="136"/>
      <c r="M95" s="136"/>
      <c r="N95" s="136"/>
      <c r="O95" s="136"/>
      <c r="P95" s="136"/>
      <c r="Q95" s="136"/>
      <c r="R95" s="136"/>
      <c r="S95" s="137"/>
    </row>
    <row r="96" spans="1:19" ht="97.5" customHeight="1" x14ac:dyDescent="0.2">
      <c r="B96" s="141"/>
      <c r="C96" s="31" t="s">
        <v>35</v>
      </c>
      <c r="D96" s="145" t="s">
        <v>189</v>
      </c>
      <c r="E96" s="146"/>
      <c r="F96" s="146"/>
      <c r="G96" s="146"/>
      <c r="H96" s="146"/>
      <c r="I96" s="146"/>
      <c r="J96" s="146"/>
      <c r="K96" s="146"/>
      <c r="L96" s="146"/>
      <c r="M96" s="146"/>
      <c r="N96" s="146"/>
      <c r="O96" s="146"/>
      <c r="P96" s="146"/>
      <c r="Q96" s="146"/>
      <c r="R96" s="146"/>
      <c r="S96" s="147"/>
    </row>
    <row r="97" spans="1:19" ht="97.5" customHeight="1" x14ac:dyDescent="0.2">
      <c r="B97" s="133" t="s">
        <v>52</v>
      </c>
      <c r="C97" s="30" t="s">
        <v>53</v>
      </c>
      <c r="D97" s="151" t="s">
        <v>193</v>
      </c>
      <c r="E97" s="114"/>
      <c r="F97" s="114"/>
      <c r="G97" s="114"/>
      <c r="H97" s="114"/>
      <c r="I97" s="114"/>
      <c r="J97" s="114"/>
      <c r="K97" s="114"/>
      <c r="L97" s="114"/>
      <c r="M97" s="114"/>
      <c r="N97" s="114"/>
      <c r="O97" s="114"/>
      <c r="P97" s="114"/>
      <c r="Q97" s="114"/>
      <c r="R97" s="114"/>
      <c r="S97" s="115"/>
    </row>
    <row r="98" spans="1:19" ht="97.5" customHeight="1" x14ac:dyDescent="0.2">
      <c r="B98" s="134"/>
      <c r="C98" s="33" t="s">
        <v>39</v>
      </c>
      <c r="D98" s="152" t="s">
        <v>190</v>
      </c>
      <c r="E98" s="111"/>
      <c r="F98" s="111"/>
      <c r="G98" s="111"/>
      <c r="H98" s="111"/>
      <c r="I98" s="111"/>
      <c r="J98" s="111"/>
      <c r="K98" s="111"/>
      <c r="L98" s="111"/>
      <c r="M98" s="111"/>
      <c r="N98" s="111"/>
      <c r="O98" s="111"/>
      <c r="P98" s="111"/>
      <c r="Q98" s="111"/>
      <c r="R98" s="111"/>
      <c r="S98" s="112"/>
    </row>
    <row r="99" spans="1:19" ht="97.5" customHeight="1" x14ac:dyDescent="0.2">
      <c r="B99" s="141"/>
      <c r="C99" s="32" t="s">
        <v>40</v>
      </c>
      <c r="D99" s="153" t="s">
        <v>191</v>
      </c>
      <c r="E99" s="154"/>
      <c r="F99" s="154"/>
      <c r="G99" s="154"/>
      <c r="H99" s="154"/>
      <c r="I99" s="154"/>
      <c r="J99" s="154"/>
      <c r="K99" s="154"/>
      <c r="L99" s="154"/>
      <c r="M99" s="154"/>
      <c r="N99" s="154"/>
      <c r="O99" s="154"/>
      <c r="P99" s="154"/>
      <c r="Q99" s="154"/>
      <c r="R99" s="154"/>
      <c r="S99" s="155"/>
    </row>
    <row r="100" spans="1:19" ht="6" customHeight="1" x14ac:dyDescent="0.2"/>
    <row r="101" spans="1:19" ht="18.75" customHeight="1" x14ac:dyDescent="0.2">
      <c r="A101" s="1" t="s">
        <v>54</v>
      </c>
    </row>
    <row r="102" spans="1:19" ht="81.75" customHeight="1" x14ac:dyDescent="0.2">
      <c r="B102" s="156" t="s">
        <v>55</v>
      </c>
      <c r="C102" s="157"/>
      <c r="D102" s="157"/>
      <c r="E102" s="157"/>
      <c r="F102" s="157"/>
      <c r="G102" s="157"/>
      <c r="H102" s="157"/>
      <c r="I102" s="157"/>
      <c r="J102" s="157"/>
      <c r="K102" s="157"/>
      <c r="L102" s="157"/>
      <c r="M102" s="157"/>
      <c r="N102" s="157"/>
      <c r="O102" s="157"/>
      <c r="P102" s="157"/>
      <c r="Q102" s="157"/>
      <c r="R102" s="157"/>
      <c r="S102" s="158"/>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P69:S75 Q25:S31 G25:I31 Q36:S42 G36:I42 Q47:S53 G47:I53 Q58:S64 G58:I64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E017-582E-164F-A0FE-5F49131F813F}">
  <sheetPr>
    <pageSetUpPr fitToPage="1"/>
  </sheetPr>
  <dimension ref="A1:V110"/>
  <sheetViews>
    <sheetView showZeros="0" view="pageBreakPreview" topLeftCell="A64" zoomScale="140" zoomScaleNormal="100" zoomScaleSheetLayoutView="140" workbookViewId="0">
      <selection activeCell="B72" sqref="B72:D72"/>
    </sheetView>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75" customHeight="1" x14ac:dyDescent="0.2">
      <c r="R1" s="99" t="s">
        <v>178</v>
      </c>
      <c r="S1" s="99"/>
      <c r="T1" s="2" t="s">
        <v>0</v>
      </c>
    </row>
    <row r="2" spans="1:22" ht="18.75" customHeight="1" x14ac:dyDescent="0.2">
      <c r="B2" s="34" t="s">
        <v>1</v>
      </c>
      <c r="C2" s="92" t="s">
        <v>2</v>
      </c>
      <c r="D2" s="98"/>
      <c r="E2" s="98"/>
      <c r="F2" s="98"/>
      <c r="G2" s="98"/>
      <c r="H2" s="98"/>
      <c r="I2" s="93"/>
      <c r="J2" s="35"/>
      <c r="K2" s="6"/>
      <c r="L2" s="6"/>
      <c r="M2" s="6"/>
      <c r="N2" s="6"/>
      <c r="O2" s="6"/>
      <c r="P2" s="6"/>
      <c r="Q2" s="6"/>
      <c r="R2" s="6"/>
      <c r="S2" s="6"/>
    </row>
    <row r="3" spans="1:22" ht="18.75" customHeight="1" x14ac:dyDescent="0.2">
      <c r="B3" s="34" t="s">
        <v>3</v>
      </c>
      <c r="C3" s="100" t="s">
        <v>4</v>
      </c>
      <c r="D3" s="101"/>
      <c r="E3" s="101"/>
      <c r="F3" s="101"/>
      <c r="G3" s="101"/>
      <c r="H3" s="101"/>
      <c r="I3" s="102"/>
      <c r="J3" s="35"/>
      <c r="K3" s="6"/>
      <c r="L3" s="6"/>
      <c r="M3" s="6"/>
      <c r="N3" s="6"/>
      <c r="O3" s="6"/>
      <c r="P3" s="6"/>
      <c r="Q3" s="6"/>
      <c r="R3" s="6"/>
      <c r="S3" s="6"/>
    </row>
    <row r="4" spans="1:22" ht="15" customHeight="1" x14ac:dyDescent="0.2">
      <c r="K4" s="35"/>
      <c r="L4" s="36"/>
      <c r="M4" s="36"/>
      <c r="N4" s="36"/>
      <c r="O4" s="36"/>
      <c r="P4" s="36"/>
      <c r="Q4" s="36"/>
      <c r="R4" s="36"/>
      <c r="S4" s="36"/>
    </row>
    <row r="5" spans="1:22" ht="18" customHeight="1" x14ac:dyDescent="0.2">
      <c r="A5" s="103" t="s">
        <v>5</v>
      </c>
      <c r="B5" s="103"/>
      <c r="C5" s="103"/>
      <c r="D5" s="103"/>
      <c r="E5" s="103"/>
      <c r="F5" s="103"/>
      <c r="G5" s="103"/>
      <c r="H5" s="103"/>
      <c r="I5" s="103"/>
      <c r="J5" s="103"/>
      <c r="K5" s="103"/>
      <c r="L5" s="103"/>
      <c r="M5" s="103"/>
      <c r="N5" s="103"/>
      <c r="O5" s="103"/>
      <c r="P5" s="103"/>
      <c r="Q5" s="103"/>
      <c r="R5" s="103"/>
      <c r="S5" s="103"/>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6</v>
      </c>
      <c r="C7" s="3"/>
      <c r="J7" s="37" t="s">
        <v>7</v>
      </c>
      <c r="K7" s="100" t="s">
        <v>8</v>
      </c>
      <c r="L7" s="101"/>
      <c r="M7" s="101"/>
      <c r="N7" s="101"/>
      <c r="O7" s="101"/>
      <c r="P7" s="101"/>
      <c r="Q7" s="101"/>
      <c r="R7" s="101"/>
      <c r="S7" s="102"/>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04" t="s">
        <v>60</v>
      </c>
      <c r="C9" s="105"/>
      <c r="D9" s="105"/>
      <c r="E9" s="105"/>
      <c r="F9" s="105"/>
      <c r="G9" s="105"/>
      <c r="H9" s="105"/>
      <c r="I9" s="105"/>
      <c r="J9" s="105"/>
      <c r="K9" s="105"/>
      <c r="L9" s="105"/>
      <c r="M9" s="105"/>
      <c r="N9" s="105"/>
      <c r="O9" s="105"/>
      <c r="P9" s="105"/>
      <c r="Q9" s="105"/>
      <c r="R9" s="105"/>
      <c r="S9" s="106"/>
    </row>
    <row r="10" spans="1:22" ht="18" customHeight="1" x14ac:dyDescent="0.2">
      <c r="B10" s="107"/>
      <c r="C10" s="108"/>
      <c r="D10" s="108"/>
      <c r="E10" s="108"/>
      <c r="F10" s="108"/>
      <c r="G10" s="108"/>
      <c r="H10" s="108"/>
      <c r="I10" s="108"/>
      <c r="J10" s="108"/>
      <c r="K10" s="108"/>
      <c r="L10" s="108"/>
      <c r="M10" s="108"/>
      <c r="N10" s="108"/>
      <c r="O10" s="108"/>
      <c r="P10" s="108"/>
      <c r="Q10" s="108"/>
      <c r="R10" s="108"/>
      <c r="S10" s="109"/>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10</v>
      </c>
      <c r="B12" s="3"/>
      <c r="C12" s="3"/>
      <c r="D12" s="35"/>
      <c r="E12" s="35"/>
      <c r="F12" s="35"/>
      <c r="G12" s="35"/>
      <c r="H12" s="35"/>
      <c r="I12" s="35"/>
      <c r="J12" s="35"/>
      <c r="K12" s="38"/>
      <c r="L12" s="38"/>
      <c r="M12" s="38"/>
      <c r="N12" s="38"/>
      <c r="O12" s="38"/>
      <c r="P12" s="38"/>
      <c r="Q12" s="38"/>
      <c r="R12" s="38"/>
      <c r="S12" s="38"/>
    </row>
    <row r="13" spans="1:22" ht="18" customHeight="1" x14ac:dyDescent="0.2">
      <c r="B13" s="83" t="s">
        <v>166</v>
      </c>
      <c r="C13" s="84"/>
      <c r="D13" s="84"/>
      <c r="E13" s="84"/>
      <c r="F13" s="84"/>
      <c r="G13" s="84"/>
      <c r="H13" s="84"/>
      <c r="I13" s="84"/>
      <c r="J13" s="84"/>
      <c r="K13" s="84"/>
      <c r="L13" s="84"/>
      <c r="M13" s="84"/>
      <c r="N13" s="84"/>
      <c r="O13" s="84"/>
      <c r="P13" s="84"/>
      <c r="Q13" s="84"/>
      <c r="R13" s="84"/>
      <c r="S13" s="85"/>
      <c r="V13" s="1" t="s">
        <v>12</v>
      </c>
    </row>
    <row r="14" spans="1:22" ht="18" customHeight="1" x14ac:dyDescent="0.2">
      <c r="B14" s="86"/>
      <c r="C14" s="87"/>
      <c r="D14" s="87"/>
      <c r="E14" s="87"/>
      <c r="F14" s="87"/>
      <c r="G14" s="87"/>
      <c r="H14" s="87"/>
      <c r="I14" s="87"/>
      <c r="J14" s="87"/>
      <c r="K14" s="87"/>
      <c r="L14" s="87"/>
      <c r="M14" s="87"/>
      <c r="N14" s="87"/>
      <c r="O14" s="87"/>
      <c r="P14" s="87"/>
      <c r="Q14" s="87"/>
      <c r="R14" s="87"/>
      <c r="S14" s="88"/>
      <c r="V14" s="1" t="s">
        <v>13</v>
      </c>
    </row>
    <row r="15" spans="1:22" ht="18" customHeight="1" x14ac:dyDescent="0.2">
      <c r="B15" s="86"/>
      <c r="C15" s="87"/>
      <c r="D15" s="87"/>
      <c r="E15" s="87"/>
      <c r="F15" s="87"/>
      <c r="G15" s="87"/>
      <c r="H15" s="87"/>
      <c r="I15" s="87"/>
      <c r="J15" s="87"/>
      <c r="K15" s="87"/>
      <c r="L15" s="87"/>
      <c r="M15" s="87"/>
      <c r="N15" s="87"/>
      <c r="O15" s="87"/>
      <c r="P15" s="87"/>
      <c r="Q15" s="87"/>
      <c r="R15" s="87"/>
      <c r="S15" s="88"/>
      <c r="V15" s="1" t="s">
        <v>14</v>
      </c>
    </row>
    <row r="16" spans="1:22" ht="18" customHeight="1" x14ac:dyDescent="0.2">
      <c r="B16" s="86"/>
      <c r="C16" s="87"/>
      <c r="D16" s="87"/>
      <c r="E16" s="87"/>
      <c r="F16" s="87"/>
      <c r="G16" s="87"/>
      <c r="H16" s="87"/>
      <c r="I16" s="87"/>
      <c r="J16" s="87"/>
      <c r="K16" s="87"/>
      <c r="L16" s="87"/>
      <c r="M16" s="87"/>
      <c r="N16" s="87"/>
      <c r="O16" s="87"/>
      <c r="P16" s="87"/>
      <c r="Q16" s="87"/>
      <c r="R16" s="87"/>
      <c r="S16" s="88"/>
      <c r="V16" s="1" t="s">
        <v>15</v>
      </c>
    </row>
    <row r="17" spans="1:19" ht="18" customHeight="1" x14ac:dyDescent="0.2">
      <c r="B17" s="86"/>
      <c r="C17" s="87"/>
      <c r="D17" s="87"/>
      <c r="E17" s="87"/>
      <c r="F17" s="87"/>
      <c r="G17" s="87"/>
      <c r="H17" s="87"/>
      <c r="I17" s="87"/>
      <c r="J17" s="87"/>
      <c r="K17" s="87"/>
      <c r="L17" s="87"/>
      <c r="M17" s="87"/>
      <c r="N17" s="87"/>
      <c r="O17" s="87"/>
      <c r="P17" s="87"/>
      <c r="Q17" s="87"/>
      <c r="R17" s="87"/>
      <c r="S17" s="88"/>
    </row>
    <row r="18" spans="1:19" ht="18" customHeight="1" x14ac:dyDescent="0.2">
      <c r="B18" s="89"/>
      <c r="C18" s="90"/>
      <c r="D18" s="90"/>
      <c r="E18" s="90"/>
      <c r="F18" s="90"/>
      <c r="G18" s="90"/>
      <c r="H18" s="90"/>
      <c r="I18" s="90"/>
      <c r="J18" s="90"/>
      <c r="K18" s="90"/>
      <c r="L18" s="90"/>
      <c r="M18" s="90"/>
      <c r="N18" s="90"/>
      <c r="O18" s="90"/>
      <c r="P18" s="90"/>
      <c r="Q18" s="90"/>
      <c r="R18" s="90"/>
      <c r="S18" s="91"/>
    </row>
    <row r="19" spans="1:19" ht="7.5" customHeight="1" x14ac:dyDescent="0.2">
      <c r="B19" s="3"/>
      <c r="C19" s="3"/>
      <c r="D19" s="3"/>
      <c r="E19" s="3"/>
      <c r="F19" s="3"/>
      <c r="G19" s="3"/>
      <c r="H19" s="3"/>
      <c r="I19" s="3"/>
      <c r="J19" s="3"/>
      <c r="K19" s="3"/>
      <c r="L19" s="3"/>
      <c r="M19" s="3"/>
      <c r="N19" s="3"/>
      <c r="O19" s="3"/>
      <c r="P19" s="3"/>
      <c r="Q19" s="3"/>
      <c r="R19" s="3"/>
      <c r="S19" s="3"/>
    </row>
    <row r="20" spans="1:19" ht="20.25" customHeight="1" x14ac:dyDescent="0.2">
      <c r="B20" s="1" t="s">
        <v>16</v>
      </c>
      <c r="C20" s="92">
        <v>10</v>
      </c>
      <c r="D20" s="93"/>
      <c r="E20" s="39" t="s">
        <v>17</v>
      </c>
      <c r="G20" s="10"/>
      <c r="H20" s="3"/>
      <c r="I20" s="3"/>
      <c r="J20" s="35" t="s">
        <v>18</v>
      </c>
      <c r="K20" s="94" t="s">
        <v>15</v>
      </c>
      <c r="L20" s="95"/>
      <c r="M20" s="95"/>
      <c r="N20" s="95"/>
      <c r="O20" s="95"/>
      <c r="P20" s="95"/>
      <c r="Q20" s="95"/>
      <c r="R20" s="95"/>
      <c r="S20" s="96"/>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7" t="s">
        <v>19</v>
      </c>
      <c r="B22" s="97"/>
      <c r="C22" s="97"/>
      <c r="D22" s="97"/>
      <c r="E22" s="97"/>
      <c r="F22" s="97"/>
      <c r="G22" s="97"/>
      <c r="H22" s="97"/>
      <c r="I22" s="97"/>
      <c r="J22" s="97"/>
      <c r="K22" s="97"/>
      <c r="L22" s="97"/>
      <c r="M22" s="97"/>
      <c r="N22" s="97"/>
      <c r="O22" s="97"/>
      <c r="P22" s="97"/>
      <c r="Q22" s="97"/>
      <c r="R22" s="97"/>
      <c r="S22" s="97"/>
    </row>
    <row r="23" spans="1:19" ht="18" customHeight="1" x14ac:dyDescent="0.2">
      <c r="A23" s="97"/>
      <c r="B23" s="97"/>
      <c r="C23" s="97"/>
      <c r="D23" s="97"/>
      <c r="E23" s="97"/>
      <c r="F23" s="97"/>
      <c r="G23" s="97"/>
      <c r="H23" s="97"/>
      <c r="I23" s="97"/>
      <c r="J23" s="97"/>
      <c r="K23" s="97"/>
      <c r="L23" s="97"/>
      <c r="M23" s="97"/>
      <c r="N23" s="97"/>
      <c r="O23" s="97"/>
      <c r="P23" s="97"/>
      <c r="Q23" s="97"/>
      <c r="R23" s="97"/>
      <c r="S23" s="97"/>
    </row>
    <row r="24" spans="1:19" ht="18" customHeight="1" x14ac:dyDescent="0.2">
      <c r="B24" s="92" t="s">
        <v>20</v>
      </c>
      <c r="C24" s="98"/>
      <c r="D24" s="98"/>
      <c r="E24" s="93"/>
      <c r="F24" s="60" t="s">
        <v>21</v>
      </c>
      <c r="G24" s="59" t="s">
        <v>22</v>
      </c>
      <c r="H24" s="22" t="s">
        <v>23</v>
      </c>
      <c r="I24" s="22" t="s">
        <v>24</v>
      </c>
      <c r="J24" s="92" t="s">
        <v>20</v>
      </c>
      <c r="K24" s="98"/>
      <c r="L24" s="98"/>
      <c r="M24" s="98"/>
      <c r="N24" s="98"/>
      <c r="O24" s="93"/>
      <c r="P24" s="60" t="s">
        <v>21</v>
      </c>
      <c r="Q24" s="59" t="s">
        <v>22</v>
      </c>
      <c r="R24" s="22" t="s">
        <v>23</v>
      </c>
      <c r="S24" s="22" t="s">
        <v>24</v>
      </c>
    </row>
    <row r="25" spans="1:19" ht="18" customHeight="1" x14ac:dyDescent="0.2">
      <c r="B25" s="113" t="s">
        <v>61</v>
      </c>
      <c r="C25" s="114"/>
      <c r="D25" s="114"/>
      <c r="E25" s="115"/>
      <c r="F25" s="23">
        <v>3</v>
      </c>
      <c r="G25" s="81" t="s">
        <v>26</v>
      </c>
      <c r="H25" s="81" t="s">
        <v>26</v>
      </c>
      <c r="I25" s="81" t="s">
        <v>26</v>
      </c>
      <c r="J25" s="113"/>
      <c r="K25" s="114"/>
      <c r="L25" s="114"/>
      <c r="M25" s="114"/>
      <c r="N25" s="114"/>
      <c r="O25" s="115"/>
      <c r="P25" s="23"/>
      <c r="Q25" s="23"/>
      <c r="R25" s="23"/>
      <c r="S25" s="23"/>
    </row>
    <row r="26" spans="1:19" ht="18" customHeight="1" x14ac:dyDescent="0.2">
      <c r="B26" s="110" t="s">
        <v>62</v>
      </c>
      <c r="C26" s="111"/>
      <c r="D26" s="111"/>
      <c r="E26" s="112"/>
      <c r="F26" s="24">
        <v>3</v>
      </c>
      <c r="G26" s="24" t="s">
        <v>26</v>
      </c>
      <c r="H26" s="24" t="s">
        <v>26</v>
      </c>
      <c r="I26" s="24" t="s">
        <v>26</v>
      </c>
      <c r="J26" s="110"/>
      <c r="K26" s="111"/>
      <c r="L26" s="111"/>
      <c r="M26" s="111"/>
      <c r="N26" s="111"/>
      <c r="O26" s="112"/>
      <c r="P26" s="24"/>
      <c r="Q26" s="24"/>
      <c r="R26" s="24"/>
      <c r="S26" s="24"/>
    </row>
    <row r="27" spans="1:19" ht="18" customHeight="1" x14ac:dyDescent="0.2">
      <c r="B27" s="110"/>
      <c r="C27" s="111"/>
      <c r="D27" s="111"/>
      <c r="E27" s="112"/>
      <c r="F27" s="24"/>
      <c r="G27" s="24"/>
      <c r="H27" s="24"/>
      <c r="I27" s="24"/>
      <c r="J27" s="110"/>
      <c r="K27" s="111"/>
      <c r="L27" s="111"/>
      <c r="M27" s="111"/>
      <c r="N27" s="111"/>
      <c r="O27" s="112"/>
      <c r="P27" s="24"/>
      <c r="Q27" s="24"/>
      <c r="R27" s="24"/>
      <c r="S27" s="24"/>
    </row>
    <row r="28" spans="1:19" ht="18" customHeight="1" x14ac:dyDescent="0.2">
      <c r="B28" s="110"/>
      <c r="C28" s="111"/>
      <c r="D28" s="111"/>
      <c r="E28" s="112"/>
      <c r="F28" s="24"/>
      <c r="G28" s="24"/>
      <c r="H28" s="24"/>
      <c r="I28" s="24"/>
      <c r="J28" s="110"/>
      <c r="K28" s="111"/>
      <c r="L28" s="111"/>
      <c r="M28" s="111"/>
      <c r="N28" s="111"/>
      <c r="O28" s="112"/>
      <c r="P28" s="24"/>
      <c r="Q28" s="24"/>
      <c r="R28" s="24"/>
      <c r="S28" s="24"/>
    </row>
    <row r="29" spans="1:19" ht="18" customHeight="1" x14ac:dyDescent="0.2">
      <c r="B29" s="110"/>
      <c r="C29" s="111"/>
      <c r="D29" s="111"/>
      <c r="E29" s="112"/>
      <c r="F29" s="24"/>
      <c r="G29" s="24"/>
      <c r="H29" s="24"/>
      <c r="I29" s="24"/>
      <c r="J29" s="110"/>
      <c r="K29" s="111"/>
      <c r="L29" s="111"/>
      <c r="M29" s="111"/>
      <c r="N29" s="111"/>
      <c r="O29" s="112"/>
      <c r="P29" s="24"/>
      <c r="Q29" s="24"/>
      <c r="R29" s="24"/>
      <c r="S29" s="24"/>
    </row>
    <row r="30" spans="1:19" ht="18" customHeight="1" x14ac:dyDescent="0.2">
      <c r="A30" s="3"/>
      <c r="B30" s="110"/>
      <c r="C30" s="111"/>
      <c r="D30" s="111"/>
      <c r="E30" s="112"/>
      <c r="F30" s="24"/>
      <c r="G30" s="24"/>
      <c r="H30" s="24"/>
      <c r="I30" s="24"/>
      <c r="J30" s="110"/>
      <c r="K30" s="111"/>
      <c r="L30" s="111"/>
      <c r="M30" s="111"/>
      <c r="N30" s="111"/>
      <c r="O30" s="112"/>
      <c r="P30" s="24"/>
      <c r="Q30" s="24"/>
      <c r="R30" s="24"/>
      <c r="S30" s="24"/>
    </row>
    <row r="31" spans="1:19" ht="18" customHeight="1" x14ac:dyDescent="0.2">
      <c r="A31" s="3"/>
      <c r="B31" s="116"/>
      <c r="C31" s="117"/>
      <c r="D31" s="117"/>
      <c r="E31" s="118"/>
      <c r="F31" s="25"/>
      <c r="G31" s="25"/>
      <c r="H31" s="26"/>
      <c r="I31" s="26"/>
      <c r="J31" s="116"/>
      <c r="K31" s="117"/>
      <c r="L31" s="117"/>
      <c r="M31" s="117"/>
      <c r="N31" s="117"/>
      <c r="O31" s="118"/>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7" t="s">
        <v>27</v>
      </c>
      <c r="B33" s="97"/>
      <c r="C33" s="97"/>
      <c r="D33" s="97"/>
      <c r="E33" s="97"/>
      <c r="F33" s="97"/>
      <c r="G33" s="97"/>
      <c r="H33" s="97"/>
      <c r="I33" s="97"/>
      <c r="J33" s="97"/>
      <c r="K33" s="97"/>
      <c r="L33" s="97"/>
      <c r="M33" s="97"/>
      <c r="N33" s="97"/>
      <c r="O33" s="97"/>
      <c r="P33" s="97"/>
      <c r="Q33" s="97"/>
      <c r="R33" s="97"/>
      <c r="S33" s="97"/>
    </row>
    <row r="34" spans="1:19" ht="18" customHeight="1" x14ac:dyDescent="0.2">
      <c r="A34" s="97"/>
      <c r="B34" s="97"/>
      <c r="C34" s="97"/>
      <c r="D34" s="97"/>
      <c r="E34" s="97"/>
      <c r="F34" s="97"/>
      <c r="G34" s="97"/>
      <c r="H34" s="97"/>
      <c r="I34" s="97"/>
      <c r="J34" s="97"/>
      <c r="K34" s="97"/>
      <c r="L34" s="97"/>
      <c r="M34" s="97"/>
      <c r="N34" s="97"/>
      <c r="O34" s="97"/>
      <c r="P34" s="97"/>
      <c r="Q34" s="97"/>
      <c r="R34" s="97"/>
      <c r="S34" s="97"/>
    </row>
    <row r="35" spans="1:19" ht="18" customHeight="1" x14ac:dyDescent="0.2">
      <c r="B35" s="92" t="s">
        <v>20</v>
      </c>
      <c r="C35" s="98"/>
      <c r="D35" s="98"/>
      <c r="E35" s="93"/>
      <c r="F35" s="60" t="s">
        <v>21</v>
      </c>
      <c r="G35" s="59" t="s">
        <v>22</v>
      </c>
      <c r="H35" s="22" t="s">
        <v>28</v>
      </c>
      <c r="I35" s="22" t="s">
        <v>29</v>
      </c>
      <c r="J35" s="92" t="s">
        <v>20</v>
      </c>
      <c r="K35" s="98"/>
      <c r="L35" s="98"/>
      <c r="M35" s="98"/>
      <c r="N35" s="98"/>
      <c r="O35" s="93"/>
      <c r="P35" s="60" t="s">
        <v>21</v>
      </c>
      <c r="Q35" s="59" t="s">
        <v>22</v>
      </c>
      <c r="R35" s="22" t="s">
        <v>28</v>
      </c>
      <c r="S35" s="22" t="s">
        <v>29</v>
      </c>
    </row>
    <row r="36" spans="1:19" ht="18" customHeight="1" x14ac:dyDescent="0.2">
      <c r="B36" s="113" t="s">
        <v>61</v>
      </c>
      <c r="C36" s="114"/>
      <c r="D36" s="114"/>
      <c r="E36" s="115"/>
      <c r="F36" s="23">
        <v>3</v>
      </c>
      <c r="G36" s="81" t="s">
        <v>26</v>
      </c>
      <c r="H36" s="81" t="s">
        <v>26</v>
      </c>
      <c r="I36" s="81" t="s">
        <v>26</v>
      </c>
      <c r="J36" s="113"/>
      <c r="K36" s="114"/>
      <c r="L36" s="114"/>
      <c r="M36" s="114"/>
      <c r="N36" s="114"/>
      <c r="O36" s="115"/>
      <c r="P36" s="23"/>
      <c r="Q36" s="23"/>
      <c r="R36" s="23"/>
      <c r="S36" s="23"/>
    </row>
    <row r="37" spans="1:19" ht="18" customHeight="1" x14ac:dyDescent="0.2">
      <c r="B37" s="110" t="s">
        <v>62</v>
      </c>
      <c r="C37" s="111"/>
      <c r="D37" s="111"/>
      <c r="E37" s="112"/>
      <c r="F37" s="24">
        <v>3</v>
      </c>
      <c r="G37" s="24" t="s">
        <v>26</v>
      </c>
      <c r="H37" s="24" t="s">
        <v>26</v>
      </c>
      <c r="I37" s="24" t="s">
        <v>26</v>
      </c>
      <c r="J37" s="110"/>
      <c r="K37" s="111"/>
      <c r="L37" s="111"/>
      <c r="M37" s="111"/>
      <c r="N37" s="111"/>
      <c r="O37" s="112"/>
      <c r="P37" s="24"/>
      <c r="Q37" s="24"/>
      <c r="R37" s="24"/>
      <c r="S37" s="24"/>
    </row>
    <row r="38" spans="1:19" ht="18" customHeight="1" x14ac:dyDescent="0.2">
      <c r="B38" s="110"/>
      <c r="C38" s="111"/>
      <c r="D38" s="111"/>
      <c r="E38" s="112"/>
      <c r="F38" s="24"/>
      <c r="G38" s="24"/>
      <c r="H38" s="24"/>
      <c r="I38" s="24"/>
      <c r="J38" s="110"/>
      <c r="K38" s="111"/>
      <c r="L38" s="111"/>
      <c r="M38" s="111"/>
      <c r="N38" s="111"/>
      <c r="O38" s="112"/>
      <c r="P38" s="24"/>
      <c r="Q38" s="24"/>
      <c r="R38" s="24"/>
      <c r="S38" s="24"/>
    </row>
    <row r="39" spans="1:19" ht="18" customHeight="1" x14ac:dyDescent="0.2">
      <c r="B39" s="110"/>
      <c r="C39" s="111"/>
      <c r="D39" s="111"/>
      <c r="E39" s="112"/>
      <c r="F39" s="24"/>
      <c r="G39" s="24"/>
      <c r="H39" s="24"/>
      <c r="I39" s="24"/>
      <c r="J39" s="110"/>
      <c r="K39" s="111"/>
      <c r="L39" s="111"/>
      <c r="M39" s="111"/>
      <c r="N39" s="111"/>
      <c r="O39" s="112"/>
      <c r="P39" s="24"/>
      <c r="Q39" s="24"/>
      <c r="R39" s="24"/>
      <c r="S39" s="24"/>
    </row>
    <row r="40" spans="1:19" ht="18" customHeight="1" x14ac:dyDescent="0.2">
      <c r="B40" s="110"/>
      <c r="C40" s="111"/>
      <c r="D40" s="111"/>
      <c r="E40" s="112"/>
      <c r="F40" s="24"/>
      <c r="G40" s="24"/>
      <c r="H40" s="24"/>
      <c r="I40" s="24"/>
      <c r="J40" s="110"/>
      <c r="K40" s="111"/>
      <c r="L40" s="111"/>
      <c r="M40" s="111"/>
      <c r="N40" s="111"/>
      <c r="O40" s="112"/>
      <c r="P40" s="24"/>
      <c r="Q40" s="24"/>
      <c r="R40" s="24"/>
      <c r="S40" s="24"/>
    </row>
    <row r="41" spans="1:19" ht="18" customHeight="1" x14ac:dyDescent="0.2">
      <c r="B41" s="110"/>
      <c r="C41" s="111"/>
      <c r="D41" s="111"/>
      <c r="E41" s="112"/>
      <c r="F41" s="24"/>
      <c r="G41" s="24"/>
      <c r="H41" s="24"/>
      <c r="I41" s="24"/>
      <c r="J41" s="110"/>
      <c r="K41" s="111"/>
      <c r="L41" s="111"/>
      <c r="M41" s="111"/>
      <c r="N41" s="111"/>
      <c r="O41" s="112"/>
      <c r="P41" s="24"/>
      <c r="Q41" s="24"/>
      <c r="R41" s="24"/>
      <c r="S41" s="24"/>
    </row>
    <row r="42" spans="1:19" ht="18" customHeight="1" x14ac:dyDescent="0.2">
      <c r="B42" s="116"/>
      <c r="C42" s="117"/>
      <c r="D42" s="117"/>
      <c r="E42" s="118"/>
      <c r="F42" s="25"/>
      <c r="G42" s="25"/>
      <c r="H42" s="26"/>
      <c r="I42" s="26"/>
      <c r="J42" s="116"/>
      <c r="K42" s="117"/>
      <c r="L42" s="117"/>
      <c r="M42" s="117"/>
      <c r="N42" s="117"/>
      <c r="O42" s="118"/>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7" t="s">
        <v>30</v>
      </c>
      <c r="B44" s="97"/>
      <c r="C44" s="97"/>
      <c r="D44" s="97"/>
      <c r="E44" s="97"/>
      <c r="F44" s="97"/>
      <c r="G44" s="97"/>
      <c r="H44" s="97"/>
      <c r="I44" s="97"/>
      <c r="J44" s="97"/>
      <c r="K44" s="97"/>
      <c r="L44" s="97"/>
      <c r="M44" s="97"/>
      <c r="N44" s="97"/>
      <c r="O44" s="97"/>
      <c r="P44" s="97"/>
      <c r="Q44" s="97"/>
      <c r="R44" s="97"/>
      <c r="S44" s="97"/>
    </row>
    <row r="45" spans="1:19" ht="18" customHeight="1" x14ac:dyDescent="0.2">
      <c r="A45" s="97"/>
      <c r="B45" s="97"/>
      <c r="C45" s="97"/>
      <c r="D45" s="97"/>
      <c r="E45" s="97"/>
      <c r="F45" s="97"/>
      <c r="G45" s="97"/>
      <c r="H45" s="97"/>
      <c r="I45" s="97"/>
      <c r="J45" s="97"/>
      <c r="K45" s="97"/>
      <c r="L45" s="97"/>
      <c r="M45" s="97"/>
      <c r="N45" s="97"/>
      <c r="O45" s="97"/>
      <c r="P45" s="97"/>
      <c r="Q45" s="97"/>
      <c r="R45" s="97"/>
      <c r="S45" s="97"/>
    </row>
    <row r="46" spans="1:19" ht="18" customHeight="1" x14ac:dyDescent="0.2">
      <c r="B46" s="92" t="s">
        <v>20</v>
      </c>
      <c r="C46" s="98"/>
      <c r="D46" s="98"/>
      <c r="E46" s="93"/>
      <c r="F46" s="60" t="s">
        <v>21</v>
      </c>
      <c r="G46" s="59" t="s">
        <v>22</v>
      </c>
      <c r="H46" s="22" t="s">
        <v>31</v>
      </c>
      <c r="I46" s="22" t="s">
        <v>32</v>
      </c>
      <c r="J46" s="92" t="s">
        <v>20</v>
      </c>
      <c r="K46" s="98"/>
      <c r="L46" s="98"/>
      <c r="M46" s="98"/>
      <c r="N46" s="98"/>
      <c r="O46" s="93"/>
      <c r="P46" s="60" t="s">
        <v>21</v>
      </c>
      <c r="Q46" s="59" t="s">
        <v>22</v>
      </c>
      <c r="R46" s="22" t="s">
        <v>31</v>
      </c>
      <c r="S46" s="22" t="s">
        <v>32</v>
      </c>
    </row>
    <row r="47" spans="1:19" ht="18" customHeight="1" x14ac:dyDescent="0.2">
      <c r="A47" s="3"/>
      <c r="B47" s="113" t="s">
        <v>61</v>
      </c>
      <c r="C47" s="114"/>
      <c r="D47" s="114"/>
      <c r="E47" s="115"/>
      <c r="F47" s="23">
        <v>3</v>
      </c>
      <c r="G47" s="81" t="s">
        <v>26</v>
      </c>
      <c r="H47" s="81" t="s">
        <v>26</v>
      </c>
      <c r="I47" s="81" t="s">
        <v>26</v>
      </c>
      <c r="J47" s="113"/>
      <c r="K47" s="114"/>
      <c r="L47" s="114"/>
      <c r="M47" s="114"/>
      <c r="N47" s="114"/>
      <c r="O47" s="115"/>
      <c r="P47" s="23"/>
      <c r="Q47" s="23"/>
      <c r="R47" s="23"/>
      <c r="S47" s="23"/>
    </row>
    <row r="48" spans="1:19" ht="18" customHeight="1" x14ac:dyDescent="0.2">
      <c r="A48" s="3"/>
      <c r="B48" s="110" t="s">
        <v>62</v>
      </c>
      <c r="C48" s="111"/>
      <c r="D48" s="111"/>
      <c r="E48" s="112"/>
      <c r="F48" s="24">
        <v>3</v>
      </c>
      <c r="G48" s="24" t="s">
        <v>26</v>
      </c>
      <c r="H48" s="24" t="s">
        <v>26</v>
      </c>
      <c r="I48" s="24" t="s">
        <v>26</v>
      </c>
      <c r="J48" s="110"/>
      <c r="K48" s="111"/>
      <c r="L48" s="111"/>
      <c r="M48" s="111"/>
      <c r="N48" s="111"/>
      <c r="O48" s="112"/>
      <c r="P48" s="24"/>
      <c r="Q48" s="24"/>
      <c r="R48" s="24"/>
      <c r="S48" s="24"/>
    </row>
    <row r="49" spans="1:19" ht="18" customHeight="1" x14ac:dyDescent="0.2">
      <c r="A49" s="3"/>
      <c r="B49" s="110"/>
      <c r="C49" s="111"/>
      <c r="D49" s="111"/>
      <c r="E49" s="112"/>
      <c r="F49" s="24"/>
      <c r="G49" s="24"/>
      <c r="H49" s="24"/>
      <c r="I49" s="24"/>
      <c r="J49" s="110"/>
      <c r="K49" s="111"/>
      <c r="L49" s="111"/>
      <c r="M49" s="111"/>
      <c r="N49" s="111"/>
      <c r="O49" s="112"/>
      <c r="P49" s="24"/>
      <c r="Q49" s="24"/>
      <c r="R49" s="24"/>
      <c r="S49" s="24"/>
    </row>
    <row r="50" spans="1:19" ht="18" customHeight="1" x14ac:dyDescent="0.2">
      <c r="A50" s="3"/>
      <c r="B50" s="110"/>
      <c r="C50" s="111"/>
      <c r="D50" s="111"/>
      <c r="E50" s="112"/>
      <c r="F50" s="24"/>
      <c r="G50" s="24"/>
      <c r="H50" s="24"/>
      <c r="I50" s="24"/>
      <c r="J50" s="110"/>
      <c r="K50" s="111"/>
      <c r="L50" s="111"/>
      <c r="M50" s="111"/>
      <c r="N50" s="111"/>
      <c r="O50" s="112"/>
      <c r="P50" s="24"/>
      <c r="Q50" s="24"/>
      <c r="R50" s="24"/>
      <c r="S50" s="24"/>
    </row>
    <row r="51" spans="1:19" ht="18" customHeight="1" x14ac:dyDescent="0.2">
      <c r="A51" s="3"/>
      <c r="B51" s="110"/>
      <c r="C51" s="111"/>
      <c r="D51" s="111"/>
      <c r="E51" s="112"/>
      <c r="F51" s="24"/>
      <c r="G51" s="24"/>
      <c r="H51" s="24"/>
      <c r="I51" s="24"/>
      <c r="J51" s="110"/>
      <c r="K51" s="111"/>
      <c r="L51" s="111"/>
      <c r="M51" s="111"/>
      <c r="N51" s="111"/>
      <c r="O51" s="112"/>
      <c r="P51" s="24"/>
      <c r="Q51" s="24"/>
      <c r="R51" s="24"/>
      <c r="S51" s="24"/>
    </row>
    <row r="52" spans="1:19" ht="18" customHeight="1" x14ac:dyDescent="0.2">
      <c r="A52" s="3"/>
      <c r="B52" s="110"/>
      <c r="C52" s="111"/>
      <c r="D52" s="111"/>
      <c r="E52" s="112"/>
      <c r="F52" s="24"/>
      <c r="G52" s="24"/>
      <c r="H52" s="24"/>
      <c r="I52" s="24"/>
      <c r="J52" s="110"/>
      <c r="K52" s="111"/>
      <c r="L52" s="111"/>
      <c r="M52" s="111"/>
      <c r="N52" s="111"/>
      <c r="O52" s="112"/>
      <c r="P52" s="24"/>
      <c r="Q52" s="24"/>
      <c r="R52" s="24"/>
      <c r="S52" s="24"/>
    </row>
    <row r="53" spans="1:19" ht="18" customHeight="1" x14ac:dyDescent="0.2">
      <c r="A53" s="3"/>
      <c r="B53" s="116"/>
      <c r="C53" s="117"/>
      <c r="D53" s="117"/>
      <c r="E53" s="118"/>
      <c r="F53" s="25"/>
      <c r="G53" s="25"/>
      <c r="H53" s="26"/>
      <c r="I53" s="26"/>
      <c r="J53" s="116"/>
      <c r="K53" s="117"/>
      <c r="L53" s="117"/>
      <c r="M53" s="117"/>
      <c r="N53" s="117"/>
      <c r="O53" s="118"/>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7" t="s">
        <v>33</v>
      </c>
      <c r="B55" s="97"/>
      <c r="C55" s="97"/>
      <c r="D55" s="97"/>
      <c r="E55" s="97"/>
      <c r="F55" s="97"/>
      <c r="G55" s="97"/>
      <c r="H55" s="97"/>
      <c r="I55" s="97"/>
      <c r="J55" s="97"/>
      <c r="K55" s="97"/>
      <c r="L55" s="97"/>
      <c r="M55" s="97"/>
      <c r="N55" s="97"/>
      <c r="O55" s="97"/>
      <c r="P55" s="97"/>
      <c r="Q55" s="97"/>
      <c r="R55" s="97"/>
      <c r="S55" s="97"/>
    </row>
    <row r="56" spans="1:19" ht="18" customHeight="1" x14ac:dyDescent="0.2">
      <c r="A56" s="97"/>
      <c r="B56" s="97"/>
      <c r="C56" s="97"/>
      <c r="D56" s="97"/>
      <c r="E56" s="97"/>
      <c r="F56" s="97"/>
      <c r="G56" s="97"/>
      <c r="H56" s="97"/>
      <c r="I56" s="97"/>
      <c r="J56" s="97"/>
      <c r="K56" s="97"/>
      <c r="L56" s="97"/>
      <c r="M56" s="97"/>
      <c r="N56" s="97"/>
      <c r="O56" s="97"/>
      <c r="P56" s="97"/>
      <c r="Q56" s="97"/>
      <c r="R56" s="97"/>
      <c r="S56" s="97"/>
    </row>
    <row r="57" spans="1:19" ht="18" customHeight="1" x14ac:dyDescent="0.2">
      <c r="B57" s="92" t="s">
        <v>20</v>
      </c>
      <c r="C57" s="98"/>
      <c r="D57" s="98"/>
      <c r="E57" s="93"/>
      <c r="F57" s="60" t="s">
        <v>21</v>
      </c>
      <c r="G57" s="59" t="s">
        <v>22</v>
      </c>
      <c r="H57" s="22" t="s">
        <v>34</v>
      </c>
      <c r="I57" s="22" t="s">
        <v>35</v>
      </c>
      <c r="J57" s="92" t="s">
        <v>20</v>
      </c>
      <c r="K57" s="98"/>
      <c r="L57" s="98"/>
      <c r="M57" s="98"/>
      <c r="N57" s="98"/>
      <c r="O57" s="93"/>
      <c r="P57" s="60" t="s">
        <v>21</v>
      </c>
      <c r="Q57" s="59" t="s">
        <v>22</v>
      </c>
      <c r="R57" s="22" t="s">
        <v>34</v>
      </c>
      <c r="S57" s="22" t="s">
        <v>35</v>
      </c>
    </row>
    <row r="58" spans="1:19" ht="18" customHeight="1" x14ac:dyDescent="0.2">
      <c r="A58" s="3"/>
      <c r="B58" s="113" t="s">
        <v>61</v>
      </c>
      <c r="C58" s="114"/>
      <c r="D58" s="114"/>
      <c r="E58" s="115"/>
      <c r="F58" s="23">
        <v>3</v>
      </c>
      <c r="G58" s="81" t="s">
        <v>26</v>
      </c>
      <c r="H58" s="81" t="s">
        <v>26</v>
      </c>
      <c r="I58" s="81" t="s">
        <v>26</v>
      </c>
      <c r="J58" s="113"/>
      <c r="K58" s="114"/>
      <c r="L58" s="114"/>
      <c r="M58" s="114"/>
      <c r="N58" s="114"/>
      <c r="O58" s="115"/>
      <c r="P58" s="23"/>
      <c r="Q58" s="23"/>
      <c r="R58" s="23"/>
      <c r="S58" s="23"/>
    </row>
    <row r="59" spans="1:19" ht="18" customHeight="1" x14ac:dyDescent="0.2">
      <c r="A59" s="3"/>
      <c r="B59" s="110" t="s">
        <v>62</v>
      </c>
      <c r="C59" s="111"/>
      <c r="D59" s="111"/>
      <c r="E59" s="112"/>
      <c r="F59" s="24">
        <v>3</v>
      </c>
      <c r="G59" s="24" t="s">
        <v>26</v>
      </c>
      <c r="H59" s="24" t="s">
        <v>26</v>
      </c>
      <c r="I59" s="24" t="s">
        <v>26</v>
      </c>
      <c r="J59" s="110"/>
      <c r="K59" s="111"/>
      <c r="L59" s="111"/>
      <c r="M59" s="111"/>
      <c r="N59" s="111"/>
      <c r="O59" s="112"/>
      <c r="P59" s="24"/>
      <c r="Q59" s="24"/>
      <c r="R59" s="24"/>
      <c r="S59" s="24"/>
    </row>
    <row r="60" spans="1:19" ht="18" customHeight="1" x14ac:dyDescent="0.2">
      <c r="A60" s="3"/>
      <c r="B60" s="110"/>
      <c r="C60" s="111"/>
      <c r="D60" s="111"/>
      <c r="E60" s="112"/>
      <c r="F60" s="24"/>
      <c r="G60" s="24"/>
      <c r="H60" s="24"/>
      <c r="I60" s="24"/>
      <c r="J60" s="110"/>
      <c r="K60" s="111"/>
      <c r="L60" s="111"/>
      <c r="M60" s="111"/>
      <c r="N60" s="111"/>
      <c r="O60" s="112"/>
      <c r="P60" s="24"/>
      <c r="Q60" s="24"/>
      <c r="R60" s="24"/>
      <c r="S60" s="24"/>
    </row>
    <row r="61" spans="1:19" ht="18" customHeight="1" x14ac:dyDescent="0.2">
      <c r="A61" s="3"/>
      <c r="B61" s="110"/>
      <c r="C61" s="111"/>
      <c r="D61" s="111"/>
      <c r="E61" s="112"/>
      <c r="F61" s="24"/>
      <c r="G61" s="24"/>
      <c r="H61" s="24"/>
      <c r="I61" s="24"/>
      <c r="J61" s="110"/>
      <c r="K61" s="111"/>
      <c r="L61" s="111"/>
      <c r="M61" s="111"/>
      <c r="N61" s="111"/>
      <c r="O61" s="112"/>
      <c r="P61" s="24"/>
      <c r="Q61" s="24"/>
      <c r="R61" s="24"/>
      <c r="S61" s="24"/>
    </row>
    <row r="62" spans="1:19" ht="18" customHeight="1" x14ac:dyDescent="0.2">
      <c r="A62" s="3"/>
      <c r="B62" s="110"/>
      <c r="C62" s="111"/>
      <c r="D62" s="111"/>
      <c r="E62" s="112"/>
      <c r="F62" s="24"/>
      <c r="G62" s="24"/>
      <c r="H62" s="24"/>
      <c r="I62" s="24"/>
      <c r="J62" s="110"/>
      <c r="K62" s="111"/>
      <c r="L62" s="111"/>
      <c r="M62" s="111"/>
      <c r="N62" s="111"/>
      <c r="O62" s="112"/>
      <c r="P62" s="24"/>
      <c r="Q62" s="24"/>
      <c r="R62" s="24"/>
      <c r="S62" s="24"/>
    </row>
    <row r="63" spans="1:19" ht="18" customHeight="1" x14ac:dyDescent="0.2">
      <c r="A63" s="3"/>
      <c r="B63" s="110"/>
      <c r="C63" s="111"/>
      <c r="D63" s="111"/>
      <c r="E63" s="112"/>
      <c r="F63" s="24"/>
      <c r="G63" s="24"/>
      <c r="H63" s="24"/>
      <c r="I63" s="24"/>
      <c r="J63" s="110"/>
      <c r="K63" s="111"/>
      <c r="L63" s="111"/>
      <c r="M63" s="111"/>
      <c r="N63" s="111"/>
      <c r="O63" s="112"/>
      <c r="P63" s="24"/>
      <c r="Q63" s="24"/>
      <c r="R63" s="24"/>
      <c r="S63" s="24"/>
    </row>
    <row r="64" spans="1:19" ht="18" customHeight="1" x14ac:dyDescent="0.2">
      <c r="A64" s="3"/>
      <c r="B64" s="116"/>
      <c r="C64" s="117"/>
      <c r="D64" s="117"/>
      <c r="E64" s="118"/>
      <c r="F64" s="25"/>
      <c r="G64" s="25"/>
      <c r="H64" s="26"/>
      <c r="I64" s="26"/>
      <c r="J64" s="116"/>
      <c r="K64" s="117"/>
      <c r="L64" s="117"/>
      <c r="M64" s="117"/>
      <c r="N64" s="117"/>
      <c r="O64" s="118"/>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7" t="s">
        <v>37</v>
      </c>
      <c r="B66" s="97"/>
      <c r="C66" s="97"/>
      <c r="D66" s="97"/>
      <c r="E66" s="97"/>
      <c r="F66" s="97"/>
      <c r="G66" s="97"/>
      <c r="H66" s="97"/>
      <c r="I66" s="97"/>
      <c r="J66" s="97"/>
      <c r="K66" s="97"/>
      <c r="L66" s="97"/>
      <c r="M66" s="97"/>
      <c r="N66" s="97"/>
      <c r="O66" s="97"/>
      <c r="P66" s="97"/>
      <c r="Q66" s="97"/>
      <c r="R66" s="97"/>
      <c r="S66" s="97"/>
    </row>
    <row r="67" spans="1:19" ht="18" customHeight="1" x14ac:dyDescent="0.2">
      <c r="A67" s="97"/>
      <c r="B67" s="97"/>
      <c r="C67" s="97"/>
      <c r="D67" s="97"/>
      <c r="E67" s="97"/>
      <c r="F67" s="97"/>
      <c r="G67" s="97"/>
      <c r="H67" s="97"/>
      <c r="I67" s="97"/>
      <c r="J67" s="97"/>
      <c r="K67" s="97"/>
      <c r="L67" s="97"/>
      <c r="M67" s="97"/>
      <c r="N67" s="97"/>
      <c r="O67" s="97"/>
      <c r="P67" s="97"/>
      <c r="Q67" s="97"/>
      <c r="R67" s="97"/>
      <c r="S67" s="97"/>
    </row>
    <row r="68" spans="1:19" ht="18" customHeight="1" x14ac:dyDescent="0.2">
      <c r="B68" s="92" t="s">
        <v>20</v>
      </c>
      <c r="C68" s="98"/>
      <c r="D68" s="98"/>
      <c r="E68" s="60" t="s">
        <v>21</v>
      </c>
      <c r="F68" s="59" t="s">
        <v>22</v>
      </c>
      <c r="G68" s="22" t="s">
        <v>38</v>
      </c>
      <c r="H68" s="22" t="s">
        <v>39</v>
      </c>
      <c r="I68" s="22" t="s">
        <v>40</v>
      </c>
      <c r="J68" s="92" t="s">
        <v>20</v>
      </c>
      <c r="K68" s="98"/>
      <c r="L68" s="98"/>
      <c r="M68" s="98"/>
      <c r="N68" s="93"/>
      <c r="O68" s="60" t="s">
        <v>21</v>
      </c>
      <c r="P68" s="59" t="s">
        <v>22</v>
      </c>
      <c r="Q68" s="22" t="s">
        <v>38</v>
      </c>
      <c r="R68" s="22" t="s">
        <v>39</v>
      </c>
      <c r="S68" s="22" t="s">
        <v>40</v>
      </c>
    </row>
    <row r="69" spans="1:19" ht="18" customHeight="1" x14ac:dyDescent="0.2">
      <c r="A69" s="3"/>
      <c r="B69" s="113" t="s">
        <v>165</v>
      </c>
      <c r="C69" s="114"/>
      <c r="D69" s="114"/>
      <c r="E69" s="81">
        <v>1</v>
      </c>
      <c r="F69" s="81" t="s">
        <v>26</v>
      </c>
      <c r="G69" s="81" t="s">
        <v>26</v>
      </c>
      <c r="H69" s="81" t="s">
        <v>26</v>
      </c>
      <c r="I69" s="81" t="s">
        <v>26</v>
      </c>
      <c r="J69" s="113"/>
      <c r="K69" s="114"/>
      <c r="L69" s="114"/>
      <c r="M69" s="114"/>
      <c r="N69" s="115"/>
      <c r="O69" s="23"/>
      <c r="P69" s="23"/>
      <c r="Q69" s="23"/>
      <c r="R69" s="23"/>
      <c r="S69" s="23"/>
    </row>
    <row r="70" spans="1:19" ht="18" customHeight="1" x14ac:dyDescent="0.2">
      <c r="A70" s="3"/>
      <c r="B70" s="110" t="s">
        <v>63</v>
      </c>
      <c r="C70" s="111"/>
      <c r="D70" s="111"/>
      <c r="E70" s="24">
        <v>3</v>
      </c>
      <c r="F70" s="24" t="s">
        <v>26</v>
      </c>
      <c r="G70" s="24" t="s">
        <v>26</v>
      </c>
      <c r="H70" s="24" t="s">
        <v>26</v>
      </c>
      <c r="I70" s="24" t="s">
        <v>26</v>
      </c>
      <c r="J70" s="110"/>
      <c r="K70" s="111"/>
      <c r="L70" s="111"/>
      <c r="M70" s="111"/>
      <c r="N70" s="112"/>
      <c r="O70" s="24"/>
      <c r="P70" s="24"/>
      <c r="Q70" s="24"/>
      <c r="R70" s="24"/>
      <c r="S70" s="24"/>
    </row>
    <row r="71" spans="1:19" ht="18" customHeight="1" x14ac:dyDescent="0.2">
      <c r="A71" s="3"/>
      <c r="B71" s="110"/>
      <c r="C71" s="111"/>
      <c r="D71" s="111"/>
      <c r="E71" s="24"/>
      <c r="F71" s="24"/>
      <c r="G71" s="24"/>
      <c r="H71" s="24"/>
      <c r="I71" s="24"/>
      <c r="J71" s="110"/>
      <c r="K71" s="111"/>
      <c r="L71" s="111"/>
      <c r="M71" s="111"/>
      <c r="N71" s="112"/>
      <c r="O71" s="24"/>
      <c r="P71" s="24"/>
      <c r="Q71" s="24"/>
      <c r="R71" s="24"/>
      <c r="S71" s="24"/>
    </row>
    <row r="72" spans="1:19" ht="18" customHeight="1" x14ac:dyDescent="0.2">
      <c r="A72" s="3"/>
      <c r="B72" s="110"/>
      <c r="C72" s="111"/>
      <c r="D72" s="111"/>
      <c r="E72" s="24"/>
      <c r="F72" s="24"/>
      <c r="G72" s="24"/>
      <c r="H72" s="24"/>
      <c r="I72" s="24"/>
      <c r="J72" s="110"/>
      <c r="K72" s="111"/>
      <c r="L72" s="111"/>
      <c r="M72" s="111"/>
      <c r="N72" s="112"/>
      <c r="O72" s="24"/>
      <c r="P72" s="24"/>
      <c r="Q72" s="24"/>
      <c r="R72" s="24"/>
      <c r="S72" s="24"/>
    </row>
    <row r="73" spans="1:19" ht="18" customHeight="1" x14ac:dyDescent="0.2">
      <c r="A73" s="3"/>
      <c r="B73" s="110"/>
      <c r="C73" s="111"/>
      <c r="D73" s="111"/>
      <c r="E73" s="24"/>
      <c r="F73" s="24"/>
      <c r="G73" s="24"/>
      <c r="H73" s="24"/>
      <c r="I73" s="24"/>
      <c r="J73" s="110"/>
      <c r="K73" s="111"/>
      <c r="L73" s="111"/>
      <c r="M73" s="111"/>
      <c r="N73" s="112"/>
      <c r="O73" s="24"/>
      <c r="P73" s="24"/>
      <c r="Q73" s="24"/>
      <c r="R73" s="24"/>
      <c r="S73" s="24"/>
    </row>
    <row r="74" spans="1:19" ht="18" customHeight="1" x14ac:dyDescent="0.2">
      <c r="A74" s="3"/>
      <c r="B74" s="110"/>
      <c r="C74" s="111"/>
      <c r="D74" s="111"/>
      <c r="E74" s="24"/>
      <c r="F74" s="24"/>
      <c r="G74" s="24"/>
      <c r="H74" s="24"/>
      <c r="I74" s="24"/>
      <c r="J74" s="110"/>
      <c r="K74" s="111"/>
      <c r="L74" s="111"/>
      <c r="M74" s="111"/>
      <c r="N74" s="112"/>
      <c r="O74" s="24"/>
      <c r="P74" s="24"/>
      <c r="Q74" s="24"/>
      <c r="R74" s="24"/>
      <c r="S74" s="24"/>
    </row>
    <row r="75" spans="1:19" ht="18" customHeight="1" x14ac:dyDescent="0.2">
      <c r="A75" s="3"/>
      <c r="B75" s="116"/>
      <c r="C75" s="117"/>
      <c r="D75" s="117"/>
      <c r="E75" s="25"/>
      <c r="F75" s="25"/>
      <c r="G75" s="26"/>
      <c r="H75" s="26"/>
      <c r="I75" s="26"/>
      <c r="J75" s="116"/>
      <c r="K75" s="117"/>
      <c r="L75" s="117"/>
      <c r="M75" s="117"/>
      <c r="N75" s="118"/>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42</v>
      </c>
      <c r="H77" s="3"/>
      <c r="I77" s="3"/>
      <c r="J77" s="3"/>
      <c r="K77" s="3"/>
      <c r="L77" s="3"/>
      <c r="M77" s="3"/>
      <c r="N77" s="3"/>
      <c r="O77" s="3"/>
      <c r="P77" s="3"/>
      <c r="Q77" s="3"/>
      <c r="R77" s="3"/>
      <c r="S77" s="3"/>
    </row>
    <row r="78" spans="1:19" ht="18" customHeight="1" x14ac:dyDescent="0.2">
      <c r="B78" s="92" t="s">
        <v>20</v>
      </c>
      <c r="C78" s="98"/>
      <c r="D78" s="98"/>
      <c r="E78" s="93"/>
      <c r="F78" s="92" t="s">
        <v>43</v>
      </c>
      <c r="G78" s="98"/>
      <c r="H78" s="98"/>
      <c r="I78" s="93"/>
      <c r="J78" s="122" t="s">
        <v>20</v>
      </c>
      <c r="K78" s="123"/>
      <c r="L78" s="123"/>
      <c r="M78" s="123"/>
      <c r="N78" s="123"/>
      <c r="O78" s="124"/>
      <c r="P78" s="92" t="s">
        <v>43</v>
      </c>
      <c r="Q78" s="98"/>
      <c r="R78" s="98"/>
      <c r="S78" s="93"/>
    </row>
    <row r="79" spans="1:19" ht="18" customHeight="1" x14ac:dyDescent="0.2">
      <c r="A79" s="3"/>
      <c r="B79" s="113"/>
      <c r="C79" s="114"/>
      <c r="D79" s="114"/>
      <c r="E79" s="115"/>
      <c r="F79" s="125"/>
      <c r="G79" s="126"/>
      <c r="H79" s="126"/>
      <c r="I79" s="127"/>
      <c r="J79" s="113"/>
      <c r="K79" s="114"/>
      <c r="L79" s="114"/>
      <c r="M79" s="114"/>
      <c r="N79" s="114"/>
      <c r="O79" s="115"/>
      <c r="P79" s="125"/>
      <c r="Q79" s="126"/>
      <c r="R79" s="126"/>
      <c r="S79" s="127"/>
    </row>
    <row r="80" spans="1:19" ht="18" customHeight="1" x14ac:dyDescent="0.2">
      <c r="A80" s="3"/>
      <c r="B80" s="110"/>
      <c r="C80" s="111"/>
      <c r="D80" s="111"/>
      <c r="E80" s="112"/>
      <c r="F80" s="128"/>
      <c r="G80" s="129"/>
      <c r="H80" s="129"/>
      <c r="I80" s="130"/>
      <c r="J80" s="110"/>
      <c r="K80" s="111"/>
      <c r="L80" s="111"/>
      <c r="M80" s="111"/>
      <c r="N80" s="111"/>
      <c r="O80" s="112"/>
      <c r="P80" s="128"/>
      <c r="Q80" s="129"/>
      <c r="R80" s="129"/>
      <c r="S80" s="130"/>
    </row>
    <row r="81" spans="1:19" ht="18" customHeight="1" x14ac:dyDescent="0.2">
      <c r="A81" s="3"/>
      <c r="B81" s="110"/>
      <c r="C81" s="111"/>
      <c r="D81" s="111"/>
      <c r="E81" s="112"/>
      <c r="F81" s="128"/>
      <c r="G81" s="129"/>
      <c r="H81" s="129"/>
      <c r="I81" s="130"/>
      <c r="J81" s="110"/>
      <c r="K81" s="111"/>
      <c r="L81" s="111"/>
      <c r="M81" s="111"/>
      <c r="N81" s="111"/>
      <c r="O81" s="112"/>
      <c r="P81" s="128"/>
      <c r="Q81" s="129"/>
      <c r="R81" s="129"/>
      <c r="S81" s="130"/>
    </row>
    <row r="82" spans="1:19" ht="18" customHeight="1" x14ac:dyDescent="0.2">
      <c r="A82" s="3"/>
      <c r="B82" s="110"/>
      <c r="C82" s="111"/>
      <c r="D82" s="111"/>
      <c r="E82" s="112"/>
      <c r="F82" s="128"/>
      <c r="G82" s="129"/>
      <c r="H82" s="129"/>
      <c r="I82" s="130"/>
      <c r="J82" s="110"/>
      <c r="K82" s="111"/>
      <c r="L82" s="111"/>
      <c r="M82" s="111"/>
      <c r="N82" s="111"/>
      <c r="O82" s="112"/>
      <c r="P82" s="128"/>
      <c r="Q82" s="129"/>
      <c r="R82" s="129"/>
      <c r="S82" s="130"/>
    </row>
    <row r="83" spans="1:19" ht="18" customHeight="1" x14ac:dyDescent="0.2">
      <c r="A83" s="3"/>
      <c r="B83" s="110"/>
      <c r="C83" s="111"/>
      <c r="D83" s="111"/>
      <c r="E83" s="112"/>
      <c r="F83" s="128"/>
      <c r="G83" s="129"/>
      <c r="H83" s="129"/>
      <c r="I83" s="130"/>
      <c r="J83" s="110"/>
      <c r="K83" s="111"/>
      <c r="L83" s="111"/>
      <c r="M83" s="111"/>
      <c r="N83" s="111"/>
      <c r="O83" s="112"/>
      <c r="P83" s="128"/>
      <c r="Q83" s="129"/>
      <c r="R83" s="129"/>
      <c r="S83" s="130"/>
    </row>
    <row r="84" spans="1:19" ht="18" customHeight="1" x14ac:dyDescent="0.2">
      <c r="A84" s="3"/>
      <c r="B84" s="110"/>
      <c r="C84" s="111"/>
      <c r="D84" s="111"/>
      <c r="E84" s="112"/>
      <c r="F84" s="128"/>
      <c r="G84" s="129"/>
      <c r="H84" s="129"/>
      <c r="I84" s="130"/>
      <c r="J84" s="110"/>
      <c r="K84" s="111"/>
      <c r="L84" s="111"/>
      <c r="M84" s="111"/>
      <c r="N84" s="111"/>
      <c r="O84" s="112"/>
      <c r="P84" s="128"/>
      <c r="Q84" s="129"/>
      <c r="R84" s="129"/>
      <c r="S84" s="130"/>
    </row>
    <row r="85" spans="1:19" ht="18" customHeight="1" x14ac:dyDescent="0.2">
      <c r="A85" s="3"/>
      <c r="B85" s="116"/>
      <c r="C85" s="117"/>
      <c r="D85" s="117"/>
      <c r="E85" s="118"/>
      <c r="F85" s="148"/>
      <c r="G85" s="149"/>
      <c r="H85" s="149"/>
      <c r="I85" s="150"/>
      <c r="J85" s="116"/>
      <c r="K85" s="117"/>
      <c r="L85" s="117"/>
      <c r="M85" s="117"/>
      <c r="N85" s="117"/>
      <c r="O85" s="118"/>
      <c r="P85" s="148"/>
      <c r="Q85" s="149"/>
      <c r="R85" s="149"/>
      <c r="S85" s="150"/>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44</v>
      </c>
    </row>
    <row r="88" spans="1:19" ht="18.75" customHeight="1" x14ac:dyDescent="0.2">
      <c r="B88" s="131" t="s">
        <v>45</v>
      </c>
      <c r="C88" s="132"/>
      <c r="D88" s="98" t="s">
        <v>46</v>
      </c>
      <c r="E88" s="98"/>
      <c r="F88" s="98"/>
      <c r="G88" s="98"/>
      <c r="H88" s="98"/>
      <c r="I88" s="98"/>
      <c r="J88" s="98"/>
      <c r="K88" s="98"/>
      <c r="L88" s="98"/>
      <c r="M88" s="98"/>
      <c r="N88" s="98"/>
      <c r="O88" s="98"/>
      <c r="P88" s="98"/>
      <c r="Q88" s="98"/>
      <c r="R88" s="98"/>
      <c r="S88" s="93"/>
    </row>
    <row r="89" spans="1:19" ht="97.5" customHeight="1" x14ac:dyDescent="0.2">
      <c r="B89" s="133" t="s">
        <v>47</v>
      </c>
      <c r="C89" s="28" t="s">
        <v>23</v>
      </c>
      <c r="D89" s="135" t="s">
        <v>195</v>
      </c>
      <c r="E89" s="136"/>
      <c r="F89" s="136"/>
      <c r="G89" s="136"/>
      <c r="H89" s="136"/>
      <c r="I89" s="136"/>
      <c r="J89" s="136"/>
      <c r="K89" s="136"/>
      <c r="L89" s="136"/>
      <c r="M89" s="136"/>
      <c r="N89" s="136"/>
      <c r="O89" s="136"/>
      <c r="P89" s="136"/>
      <c r="Q89" s="136"/>
      <c r="R89" s="136"/>
      <c r="S89" s="137"/>
    </row>
    <row r="90" spans="1:19" ht="97.5" customHeight="1" x14ac:dyDescent="0.2">
      <c r="B90" s="134"/>
      <c r="C90" s="29" t="s">
        <v>48</v>
      </c>
      <c r="D90" s="138" t="s">
        <v>194</v>
      </c>
      <c r="E90" s="139"/>
      <c r="F90" s="139"/>
      <c r="G90" s="139"/>
      <c r="H90" s="139"/>
      <c r="I90" s="139"/>
      <c r="J90" s="139"/>
      <c r="K90" s="139"/>
      <c r="L90" s="139"/>
      <c r="M90" s="139"/>
      <c r="N90" s="139"/>
      <c r="O90" s="139"/>
      <c r="P90" s="139"/>
      <c r="Q90" s="139"/>
      <c r="R90" s="139"/>
      <c r="S90" s="140"/>
    </row>
    <row r="91" spans="1:19" ht="97.5" customHeight="1" x14ac:dyDescent="0.2">
      <c r="B91" s="133" t="s">
        <v>49</v>
      </c>
      <c r="C91" s="30" t="s">
        <v>28</v>
      </c>
      <c r="D91" s="142" t="s">
        <v>196</v>
      </c>
      <c r="E91" s="143"/>
      <c r="F91" s="143"/>
      <c r="G91" s="143"/>
      <c r="H91" s="143"/>
      <c r="I91" s="143"/>
      <c r="J91" s="143"/>
      <c r="K91" s="143"/>
      <c r="L91" s="143"/>
      <c r="M91" s="143"/>
      <c r="N91" s="143"/>
      <c r="O91" s="143"/>
      <c r="P91" s="143"/>
      <c r="Q91" s="143"/>
      <c r="R91" s="143"/>
      <c r="S91" s="144"/>
    </row>
    <row r="92" spans="1:19" ht="97.5" customHeight="1" x14ac:dyDescent="0.2">
      <c r="B92" s="141"/>
      <c r="C92" s="31" t="s">
        <v>29</v>
      </c>
      <c r="D92" s="145" t="s">
        <v>197</v>
      </c>
      <c r="E92" s="146"/>
      <c r="F92" s="146"/>
      <c r="G92" s="146"/>
      <c r="H92" s="146"/>
      <c r="I92" s="146"/>
      <c r="J92" s="146"/>
      <c r="K92" s="146"/>
      <c r="L92" s="146"/>
      <c r="M92" s="146"/>
      <c r="N92" s="146"/>
      <c r="O92" s="146"/>
      <c r="P92" s="146"/>
      <c r="Q92" s="146"/>
      <c r="R92" s="146"/>
      <c r="S92" s="147"/>
    </row>
    <row r="93" spans="1:19" ht="97.5" customHeight="1" x14ac:dyDescent="0.2">
      <c r="B93" s="133" t="s">
        <v>50</v>
      </c>
      <c r="C93" s="30" t="s">
        <v>31</v>
      </c>
      <c r="D93" s="142" t="s">
        <v>199</v>
      </c>
      <c r="E93" s="143"/>
      <c r="F93" s="143"/>
      <c r="G93" s="143"/>
      <c r="H93" s="143"/>
      <c r="I93" s="143"/>
      <c r="J93" s="143"/>
      <c r="K93" s="143"/>
      <c r="L93" s="143"/>
      <c r="M93" s="143"/>
      <c r="N93" s="143"/>
      <c r="O93" s="143"/>
      <c r="P93" s="143"/>
      <c r="Q93" s="143"/>
      <c r="R93" s="143"/>
      <c r="S93" s="144"/>
    </row>
    <row r="94" spans="1:19" ht="97.5" customHeight="1" x14ac:dyDescent="0.2">
      <c r="B94" s="141"/>
      <c r="C94" s="32" t="s">
        <v>32</v>
      </c>
      <c r="D94" s="159" t="s">
        <v>200</v>
      </c>
      <c r="E94" s="160"/>
      <c r="F94" s="160"/>
      <c r="G94" s="160"/>
      <c r="H94" s="160"/>
      <c r="I94" s="160"/>
      <c r="J94" s="160"/>
      <c r="K94" s="160"/>
      <c r="L94" s="160"/>
      <c r="M94" s="160"/>
      <c r="N94" s="160"/>
      <c r="O94" s="160"/>
      <c r="P94" s="160"/>
      <c r="Q94" s="160"/>
      <c r="R94" s="160"/>
      <c r="S94" s="161"/>
    </row>
    <row r="95" spans="1:19" ht="97.5" customHeight="1" x14ac:dyDescent="0.2">
      <c r="B95" s="133" t="s">
        <v>51</v>
      </c>
      <c r="C95" s="28" t="s">
        <v>34</v>
      </c>
      <c r="D95" s="135" t="s">
        <v>201</v>
      </c>
      <c r="E95" s="136"/>
      <c r="F95" s="136"/>
      <c r="G95" s="136"/>
      <c r="H95" s="136"/>
      <c r="I95" s="136"/>
      <c r="J95" s="136"/>
      <c r="K95" s="136"/>
      <c r="L95" s="136"/>
      <c r="M95" s="136"/>
      <c r="N95" s="136"/>
      <c r="O95" s="136"/>
      <c r="P95" s="136"/>
      <c r="Q95" s="136"/>
      <c r="R95" s="136"/>
      <c r="S95" s="137"/>
    </row>
    <row r="96" spans="1:19" ht="97.5" customHeight="1" x14ac:dyDescent="0.2">
      <c r="B96" s="141"/>
      <c r="C96" s="31" t="s">
        <v>35</v>
      </c>
      <c r="D96" s="145" t="s">
        <v>202</v>
      </c>
      <c r="E96" s="146"/>
      <c r="F96" s="146"/>
      <c r="G96" s="146"/>
      <c r="H96" s="146"/>
      <c r="I96" s="146"/>
      <c r="J96" s="146"/>
      <c r="K96" s="146"/>
      <c r="L96" s="146"/>
      <c r="M96" s="146"/>
      <c r="N96" s="146"/>
      <c r="O96" s="146"/>
      <c r="P96" s="146"/>
      <c r="Q96" s="146"/>
      <c r="R96" s="146"/>
      <c r="S96" s="147"/>
    </row>
    <row r="97" spans="1:19" ht="97.5" customHeight="1" x14ac:dyDescent="0.2">
      <c r="B97" s="133" t="s">
        <v>52</v>
      </c>
      <c r="C97" s="30" t="s">
        <v>53</v>
      </c>
      <c r="D97" s="151" t="s">
        <v>203</v>
      </c>
      <c r="E97" s="114"/>
      <c r="F97" s="114"/>
      <c r="G97" s="114"/>
      <c r="H97" s="114"/>
      <c r="I97" s="114"/>
      <c r="J97" s="114"/>
      <c r="K97" s="114"/>
      <c r="L97" s="114"/>
      <c r="M97" s="114"/>
      <c r="N97" s="114"/>
      <c r="O97" s="114"/>
      <c r="P97" s="114"/>
      <c r="Q97" s="114"/>
      <c r="R97" s="114"/>
      <c r="S97" s="115"/>
    </row>
    <row r="98" spans="1:19" ht="97.5" customHeight="1" x14ac:dyDescent="0.2">
      <c r="B98" s="134"/>
      <c r="C98" s="33" t="s">
        <v>39</v>
      </c>
      <c r="D98" s="152" t="s">
        <v>204</v>
      </c>
      <c r="E98" s="111"/>
      <c r="F98" s="111"/>
      <c r="G98" s="111"/>
      <c r="H98" s="111"/>
      <c r="I98" s="111"/>
      <c r="J98" s="111"/>
      <c r="K98" s="111"/>
      <c r="L98" s="111"/>
      <c r="M98" s="111"/>
      <c r="N98" s="111"/>
      <c r="O98" s="111"/>
      <c r="P98" s="111"/>
      <c r="Q98" s="111"/>
      <c r="R98" s="111"/>
      <c r="S98" s="112"/>
    </row>
    <row r="99" spans="1:19" ht="97.5" customHeight="1" x14ac:dyDescent="0.2">
      <c r="B99" s="141"/>
      <c r="C99" s="32" t="s">
        <v>40</v>
      </c>
      <c r="D99" s="153" t="s">
        <v>205</v>
      </c>
      <c r="E99" s="154"/>
      <c r="F99" s="154"/>
      <c r="G99" s="154"/>
      <c r="H99" s="154"/>
      <c r="I99" s="154"/>
      <c r="J99" s="154"/>
      <c r="K99" s="154"/>
      <c r="L99" s="154"/>
      <c r="M99" s="154"/>
      <c r="N99" s="154"/>
      <c r="O99" s="154"/>
      <c r="P99" s="154"/>
      <c r="Q99" s="154"/>
      <c r="R99" s="154"/>
      <c r="S99" s="155"/>
    </row>
    <row r="100" spans="1:19" ht="6" customHeight="1" x14ac:dyDescent="0.2"/>
    <row r="101" spans="1:19" ht="18.75" customHeight="1" x14ac:dyDescent="0.2">
      <c r="A101" s="1" t="s">
        <v>54</v>
      </c>
    </row>
    <row r="102" spans="1:19" ht="81.75" customHeight="1" x14ac:dyDescent="0.2">
      <c r="B102" s="156" t="s">
        <v>64</v>
      </c>
      <c r="C102" s="157"/>
      <c r="D102" s="157"/>
      <c r="E102" s="157"/>
      <c r="F102" s="157"/>
      <c r="G102" s="157"/>
      <c r="H102" s="157"/>
      <c r="I102" s="157"/>
      <c r="J102" s="157"/>
      <c r="K102" s="157"/>
      <c r="L102" s="157"/>
      <c r="M102" s="157"/>
      <c r="N102" s="157"/>
      <c r="O102" s="157"/>
      <c r="P102" s="157"/>
      <c r="Q102" s="157"/>
      <c r="R102" s="157"/>
      <c r="S102" s="158"/>
    </row>
    <row r="110" spans="1:19" ht="18" customHeight="1" x14ac:dyDescent="0.2"/>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F2BDCC17-59D7-CD40-B6AA-0F38CEB4FCC6}">
      <formula1>$V$14:$V$16</formula1>
    </dataValidation>
    <dataValidation type="list" allowBlank="1" showInputMessage="1" showErrorMessage="1" sqref="F79:F86 P79:P86 G79:I80 G83:I86 Q83:S86 Q79:S80" xr:uid="{ECA588F1-17EB-4844-9979-95011681A10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0B2B425-DE50-6A43-95D2-76A2C206D8BA}">
      <formula1>"学部・学科によって、修了要件は相違する,学部・学科によって、修了要件は相違しない"</formula1>
    </dataValidation>
    <dataValidation type="list" allowBlank="1" showInputMessage="1" showErrorMessage="1" sqref="S32 S43 D32:G32 D43:G43" xr:uid="{5C2BA377-1179-2947-9289-25D1908914C9}">
      <formula1>"全学開講,一部開講"</formula1>
    </dataValidation>
    <dataValidation type="list" allowBlank="1" showInputMessage="1" showErrorMessage="1" sqref="G47:I53 Q25:S31 P69:S75 Q36:S42 G25:I31 Q47:S53 G36:I42 Q58:S64 G58:I64 F69:I75" xr:uid="{D6215732-D5ED-8045-AB00-8AD25096CE5E}">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140" zoomScaleNormal="100" zoomScaleSheetLayoutView="140" workbookViewId="0">
      <selection activeCell="F16" sqref="F16"/>
    </sheetView>
  </sheetViews>
  <sheetFormatPr defaultColWidth="9" defaultRowHeight="18.75" customHeight="1" x14ac:dyDescent="0.2"/>
  <cols>
    <col min="1" max="1" width="2.81640625" style="1" customWidth="1"/>
    <col min="2" max="2" width="20.81640625" style="1" customWidth="1"/>
    <col min="3" max="5" width="6.1796875" style="1" customWidth="1"/>
    <col min="6" max="42" width="4.81640625" style="1" customWidth="1"/>
    <col min="43" max="43" width="6.6328125" style="1" customWidth="1"/>
    <col min="44" max="16384" width="9" style="1"/>
  </cols>
  <sheetData>
    <row r="1" spans="1:45" ht="18" customHeight="1" x14ac:dyDescent="0.2">
      <c r="AQ1" s="1" t="s">
        <v>65</v>
      </c>
    </row>
    <row r="2" spans="1:45" ht="18" customHeight="1" x14ac:dyDescent="0.2">
      <c r="K2" s="35"/>
      <c r="Q2" s="35"/>
      <c r="W2" s="35"/>
      <c r="AC2" s="35"/>
      <c r="AI2" s="35"/>
      <c r="AL2" s="35" t="s">
        <v>1</v>
      </c>
      <c r="AM2" s="165" t="str">
        <f>'様式１-2　プログラムを構成する授業科目（管）'!C2</f>
        <v>山梨学院大学</v>
      </c>
      <c r="AN2" s="165"/>
      <c r="AO2" s="165"/>
      <c r="AP2" s="165"/>
      <c r="AQ2" s="165"/>
    </row>
    <row r="3" spans="1:45" ht="18" customHeight="1" x14ac:dyDescent="0.2">
      <c r="A3" s="103" t="s">
        <v>66</v>
      </c>
      <c r="B3" s="103"/>
      <c r="C3" s="103"/>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67</v>
      </c>
      <c r="C5" s="166" t="s">
        <v>68</v>
      </c>
      <c r="D5" s="167"/>
      <c r="E5" s="3" t="s">
        <v>69</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70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68" t="s">
        <v>71</v>
      </c>
      <c r="C9" s="183" t="s">
        <v>72</v>
      </c>
      <c r="D9" s="171" t="s">
        <v>73</v>
      </c>
      <c r="E9" s="174" t="s">
        <v>74</v>
      </c>
      <c r="F9" s="162" t="s">
        <v>75</v>
      </c>
      <c r="G9" s="162"/>
      <c r="H9" s="162"/>
      <c r="I9" s="162"/>
      <c r="J9" s="162"/>
      <c r="K9" s="162"/>
      <c r="L9" s="162" t="s">
        <v>76</v>
      </c>
      <c r="M9" s="162"/>
      <c r="N9" s="162"/>
      <c r="O9" s="162"/>
      <c r="P9" s="162"/>
      <c r="Q9" s="162"/>
      <c r="R9" s="162" t="s">
        <v>77</v>
      </c>
      <c r="S9" s="162"/>
      <c r="T9" s="162"/>
      <c r="U9" s="162"/>
      <c r="V9" s="162"/>
      <c r="W9" s="162"/>
      <c r="X9" s="162" t="s">
        <v>78</v>
      </c>
      <c r="Y9" s="162"/>
      <c r="Z9" s="162"/>
      <c r="AA9" s="162"/>
      <c r="AB9" s="162"/>
      <c r="AC9" s="162"/>
      <c r="AD9" s="162" t="s">
        <v>79</v>
      </c>
      <c r="AE9" s="162"/>
      <c r="AF9" s="162"/>
      <c r="AG9" s="162"/>
      <c r="AH9" s="162"/>
      <c r="AI9" s="162"/>
      <c r="AJ9" s="162" t="s">
        <v>80</v>
      </c>
      <c r="AK9" s="162"/>
      <c r="AL9" s="162"/>
      <c r="AM9" s="162"/>
      <c r="AN9" s="162"/>
      <c r="AO9" s="162"/>
      <c r="AP9" s="177" t="s">
        <v>81</v>
      </c>
      <c r="AQ9" s="180" t="s">
        <v>82</v>
      </c>
      <c r="AS9" s="2"/>
    </row>
    <row r="10" spans="1:45" ht="17.25" customHeight="1" x14ac:dyDescent="0.2">
      <c r="B10" s="169"/>
      <c r="C10" s="184"/>
      <c r="D10" s="172"/>
      <c r="E10" s="175"/>
      <c r="F10" s="163" t="s">
        <v>83</v>
      </c>
      <c r="G10" s="164"/>
      <c r="H10" s="164"/>
      <c r="I10" s="163" t="s">
        <v>84</v>
      </c>
      <c r="J10" s="164"/>
      <c r="K10" s="164"/>
      <c r="L10" s="163" t="s">
        <v>83</v>
      </c>
      <c r="M10" s="164"/>
      <c r="N10" s="164"/>
      <c r="O10" s="163" t="s">
        <v>84</v>
      </c>
      <c r="P10" s="164"/>
      <c r="Q10" s="164"/>
      <c r="R10" s="163" t="s">
        <v>83</v>
      </c>
      <c r="S10" s="164"/>
      <c r="T10" s="164"/>
      <c r="U10" s="163" t="s">
        <v>84</v>
      </c>
      <c r="V10" s="164"/>
      <c r="W10" s="164"/>
      <c r="X10" s="163" t="s">
        <v>83</v>
      </c>
      <c r="Y10" s="164"/>
      <c r="Z10" s="164"/>
      <c r="AA10" s="163" t="s">
        <v>84</v>
      </c>
      <c r="AB10" s="164"/>
      <c r="AC10" s="164"/>
      <c r="AD10" s="163" t="s">
        <v>83</v>
      </c>
      <c r="AE10" s="164"/>
      <c r="AF10" s="164"/>
      <c r="AG10" s="163" t="s">
        <v>84</v>
      </c>
      <c r="AH10" s="164"/>
      <c r="AI10" s="164"/>
      <c r="AJ10" s="163" t="s">
        <v>83</v>
      </c>
      <c r="AK10" s="164"/>
      <c r="AL10" s="164"/>
      <c r="AM10" s="163" t="s">
        <v>84</v>
      </c>
      <c r="AN10" s="164"/>
      <c r="AO10" s="164"/>
      <c r="AP10" s="178"/>
      <c r="AQ10" s="181"/>
      <c r="AS10" s="2"/>
    </row>
    <row r="11" spans="1:45" ht="18" customHeight="1" x14ac:dyDescent="0.2">
      <c r="B11" s="170"/>
      <c r="C11" s="185"/>
      <c r="D11" s="173"/>
      <c r="E11" s="176"/>
      <c r="F11" s="17" t="s">
        <v>85</v>
      </c>
      <c r="G11" s="18" t="s">
        <v>86</v>
      </c>
      <c r="H11" s="19" t="s">
        <v>87</v>
      </c>
      <c r="I11" s="17" t="s">
        <v>85</v>
      </c>
      <c r="J11" s="18" t="s">
        <v>86</v>
      </c>
      <c r="K11" s="19" t="s">
        <v>87</v>
      </c>
      <c r="L11" s="17" t="s">
        <v>85</v>
      </c>
      <c r="M11" s="18" t="s">
        <v>86</v>
      </c>
      <c r="N11" s="19" t="s">
        <v>87</v>
      </c>
      <c r="O11" s="17" t="s">
        <v>85</v>
      </c>
      <c r="P11" s="18" t="s">
        <v>86</v>
      </c>
      <c r="Q11" s="19" t="s">
        <v>87</v>
      </c>
      <c r="R11" s="17" t="s">
        <v>85</v>
      </c>
      <c r="S11" s="18" t="s">
        <v>86</v>
      </c>
      <c r="T11" s="19" t="s">
        <v>87</v>
      </c>
      <c r="U11" s="17" t="s">
        <v>85</v>
      </c>
      <c r="V11" s="18" t="s">
        <v>86</v>
      </c>
      <c r="W11" s="19" t="s">
        <v>87</v>
      </c>
      <c r="X11" s="17" t="s">
        <v>85</v>
      </c>
      <c r="Y11" s="18" t="s">
        <v>86</v>
      </c>
      <c r="Z11" s="19" t="s">
        <v>87</v>
      </c>
      <c r="AA11" s="17" t="s">
        <v>85</v>
      </c>
      <c r="AB11" s="18" t="s">
        <v>86</v>
      </c>
      <c r="AC11" s="19" t="s">
        <v>87</v>
      </c>
      <c r="AD11" s="17" t="s">
        <v>85</v>
      </c>
      <c r="AE11" s="18" t="s">
        <v>86</v>
      </c>
      <c r="AF11" s="19" t="s">
        <v>87</v>
      </c>
      <c r="AG11" s="17" t="s">
        <v>85</v>
      </c>
      <c r="AH11" s="18" t="s">
        <v>86</v>
      </c>
      <c r="AI11" s="19" t="s">
        <v>87</v>
      </c>
      <c r="AJ11" s="17" t="s">
        <v>85</v>
      </c>
      <c r="AK11" s="18" t="s">
        <v>86</v>
      </c>
      <c r="AL11" s="19" t="s">
        <v>87</v>
      </c>
      <c r="AM11" s="17" t="s">
        <v>85</v>
      </c>
      <c r="AN11" s="18" t="s">
        <v>86</v>
      </c>
      <c r="AO11" s="19" t="s">
        <v>87</v>
      </c>
      <c r="AP11" s="179"/>
      <c r="AQ11" s="182"/>
      <c r="AS11" s="2"/>
    </row>
    <row r="12" spans="1:45" ht="18" customHeight="1" x14ac:dyDescent="0.2">
      <c r="A12" s="6"/>
      <c r="B12" s="11" t="s">
        <v>88</v>
      </c>
      <c r="C12" s="61">
        <v>1297</v>
      </c>
      <c r="D12" s="62">
        <v>280</v>
      </c>
      <c r="E12" s="63">
        <v>1050</v>
      </c>
      <c r="F12" s="63">
        <v>127</v>
      </c>
      <c r="G12" s="64"/>
      <c r="H12" s="65"/>
      <c r="I12" s="63">
        <v>123</v>
      </c>
      <c r="J12" s="64"/>
      <c r="K12" s="65"/>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127</v>
      </c>
      <c r="AQ12" s="21">
        <f t="shared" ref="AQ12:AQ32" si="0">AP12/E12</f>
        <v>0.12095238095238095</v>
      </c>
    </row>
    <row r="13" spans="1:45" ht="18" customHeight="1" x14ac:dyDescent="0.2">
      <c r="A13" s="6"/>
      <c r="B13" s="12" t="s">
        <v>89</v>
      </c>
      <c r="C13" s="66">
        <v>1432</v>
      </c>
      <c r="D13" s="67">
        <v>320</v>
      </c>
      <c r="E13" s="68">
        <v>1140</v>
      </c>
      <c r="F13" s="69">
        <v>195</v>
      </c>
      <c r="G13" s="70"/>
      <c r="H13" s="71"/>
      <c r="I13" s="69">
        <v>167</v>
      </c>
      <c r="J13" s="70"/>
      <c r="K13" s="71"/>
      <c r="L13" s="69">
        <v>178</v>
      </c>
      <c r="M13" s="70"/>
      <c r="N13" s="71"/>
      <c r="O13" s="69">
        <v>154</v>
      </c>
      <c r="P13" s="70"/>
      <c r="Q13" s="71"/>
      <c r="R13" s="69">
        <f t="shared" ref="R13:R16" si="1">S13+T13</f>
        <v>0</v>
      </c>
      <c r="S13" s="70"/>
      <c r="T13" s="71"/>
      <c r="U13" s="69">
        <f t="shared" ref="U13:U16" si="2">V13+W13</f>
        <v>0</v>
      </c>
      <c r="V13" s="70"/>
      <c r="W13" s="71"/>
      <c r="X13" s="69">
        <f t="shared" ref="X13:X16" si="3">Y13+Z13</f>
        <v>0</v>
      </c>
      <c r="Y13" s="70"/>
      <c r="Z13" s="71"/>
      <c r="AA13" s="69">
        <f t="shared" ref="AA13:AA16" si="4">AB13+AC13</f>
        <v>0</v>
      </c>
      <c r="AB13" s="70"/>
      <c r="AC13" s="71"/>
      <c r="AD13" s="69">
        <f t="shared" ref="AD13:AD16" si="5">AE13+AF13</f>
        <v>0</v>
      </c>
      <c r="AE13" s="70"/>
      <c r="AF13" s="71"/>
      <c r="AG13" s="69">
        <f t="shared" ref="AG13:AG16" si="6">AH13+AI13</f>
        <v>0</v>
      </c>
      <c r="AH13" s="70"/>
      <c r="AI13" s="71"/>
      <c r="AJ13" s="69">
        <f t="shared" ref="AJ13:AJ16" si="7">AK13+AL13</f>
        <v>0</v>
      </c>
      <c r="AK13" s="70"/>
      <c r="AL13" s="71"/>
      <c r="AM13" s="69">
        <f t="shared" ref="AM13:AM16" si="8">AN13+AO13</f>
        <v>0</v>
      </c>
      <c r="AN13" s="70"/>
      <c r="AO13" s="71"/>
      <c r="AP13" s="67">
        <f t="shared" ref="AP13:AP16" si="9">F13+L13+R13+X13+AD13+AJ13</f>
        <v>373</v>
      </c>
      <c r="AQ13" s="20">
        <f t="shared" si="0"/>
        <v>0.32719298245614037</v>
      </c>
    </row>
    <row r="14" spans="1:45" ht="18" customHeight="1" x14ac:dyDescent="0.2">
      <c r="A14" s="6"/>
      <c r="B14" s="12" t="s">
        <v>90</v>
      </c>
      <c r="C14" s="66">
        <v>165</v>
      </c>
      <c r="D14" s="67">
        <v>40</v>
      </c>
      <c r="E14" s="68">
        <v>180</v>
      </c>
      <c r="F14" s="69">
        <v>47</v>
      </c>
      <c r="G14" s="70"/>
      <c r="H14" s="71"/>
      <c r="I14" s="69">
        <v>45</v>
      </c>
      <c r="J14" s="70"/>
      <c r="K14" s="71"/>
      <c r="L14" s="69">
        <f t="shared" ref="L14:L16" si="10">M14+N14</f>
        <v>0</v>
      </c>
      <c r="M14" s="70"/>
      <c r="N14" s="71"/>
      <c r="O14" s="69">
        <f t="shared" ref="O14:O16" si="11">P14+Q14</f>
        <v>0</v>
      </c>
      <c r="P14" s="70"/>
      <c r="Q14" s="71"/>
      <c r="R14" s="69">
        <f t="shared" si="1"/>
        <v>0</v>
      </c>
      <c r="S14" s="70"/>
      <c r="T14" s="71"/>
      <c r="U14" s="69">
        <f t="shared" si="2"/>
        <v>0</v>
      </c>
      <c r="V14" s="70"/>
      <c r="W14" s="71"/>
      <c r="X14" s="69">
        <f t="shared" si="3"/>
        <v>0</v>
      </c>
      <c r="Y14" s="70"/>
      <c r="Z14" s="71"/>
      <c r="AA14" s="69">
        <f t="shared" si="4"/>
        <v>0</v>
      </c>
      <c r="AB14" s="70"/>
      <c r="AC14" s="71"/>
      <c r="AD14" s="69">
        <f t="shared" si="5"/>
        <v>0</v>
      </c>
      <c r="AE14" s="70"/>
      <c r="AF14" s="71"/>
      <c r="AG14" s="69">
        <f t="shared" si="6"/>
        <v>0</v>
      </c>
      <c r="AH14" s="70"/>
      <c r="AI14" s="71"/>
      <c r="AJ14" s="69">
        <f t="shared" si="7"/>
        <v>0</v>
      </c>
      <c r="AK14" s="70"/>
      <c r="AL14" s="71"/>
      <c r="AM14" s="69">
        <f t="shared" si="8"/>
        <v>0</v>
      </c>
      <c r="AN14" s="70"/>
      <c r="AO14" s="71"/>
      <c r="AP14" s="67">
        <f t="shared" si="9"/>
        <v>47</v>
      </c>
      <c r="AQ14" s="8">
        <f t="shared" si="0"/>
        <v>0.26111111111111113</v>
      </c>
    </row>
    <row r="15" spans="1:45" ht="18" customHeight="1" x14ac:dyDescent="0.2">
      <c r="A15" s="6"/>
      <c r="B15" s="12" t="s">
        <v>91</v>
      </c>
      <c r="C15" s="66">
        <v>177</v>
      </c>
      <c r="D15" s="67">
        <v>50</v>
      </c>
      <c r="E15" s="68">
        <v>210</v>
      </c>
      <c r="F15" s="69">
        <f t="shared" ref="F15" si="12">G15+H15</f>
        <v>0</v>
      </c>
      <c r="G15" s="70"/>
      <c r="H15" s="71"/>
      <c r="I15" s="69">
        <f t="shared" ref="I15" si="13">J15+K15</f>
        <v>0</v>
      </c>
      <c r="J15" s="70"/>
      <c r="K15" s="71"/>
      <c r="L15" s="69">
        <f t="shared" si="10"/>
        <v>0</v>
      </c>
      <c r="M15" s="70"/>
      <c r="N15" s="71"/>
      <c r="O15" s="69">
        <f t="shared" si="11"/>
        <v>0</v>
      </c>
      <c r="P15" s="70"/>
      <c r="Q15" s="71"/>
      <c r="R15" s="69">
        <f t="shared" si="1"/>
        <v>0</v>
      </c>
      <c r="S15" s="70"/>
      <c r="T15" s="71"/>
      <c r="U15" s="69">
        <f t="shared" si="2"/>
        <v>0</v>
      </c>
      <c r="V15" s="70"/>
      <c r="W15" s="71"/>
      <c r="X15" s="69">
        <f t="shared" si="3"/>
        <v>0</v>
      </c>
      <c r="Y15" s="70"/>
      <c r="Z15" s="71"/>
      <c r="AA15" s="69">
        <f t="shared" si="4"/>
        <v>0</v>
      </c>
      <c r="AB15" s="70"/>
      <c r="AC15" s="71"/>
      <c r="AD15" s="69">
        <f t="shared" si="5"/>
        <v>0</v>
      </c>
      <c r="AE15" s="70"/>
      <c r="AF15" s="71"/>
      <c r="AG15" s="69">
        <f t="shared" si="6"/>
        <v>0</v>
      </c>
      <c r="AH15" s="70"/>
      <c r="AI15" s="71"/>
      <c r="AJ15" s="69">
        <f t="shared" si="7"/>
        <v>0</v>
      </c>
      <c r="AK15" s="70"/>
      <c r="AL15" s="71"/>
      <c r="AM15" s="69">
        <f t="shared" si="8"/>
        <v>0</v>
      </c>
      <c r="AN15" s="70"/>
      <c r="AO15" s="71"/>
      <c r="AP15" s="67">
        <f t="shared" si="9"/>
        <v>0</v>
      </c>
      <c r="AQ15" s="8">
        <f t="shared" si="0"/>
        <v>0</v>
      </c>
    </row>
    <row r="16" spans="1:45" ht="18" customHeight="1" x14ac:dyDescent="0.2">
      <c r="A16" s="6"/>
      <c r="B16" s="12" t="s">
        <v>92</v>
      </c>
      <c r="C16" s="66">
        <v>837</v>
      </c>
      <c r="D16" s="67">
        <v>170</v>
      </c>
      <c r="E16" s="68">
        <v>730</v>
      </c>
      <c r="F16" s="69">
        <v>83</v>
      </c>
      <c r="G16" s="70"/>
      <c r="H16" s="71"/>
      <c r="I16" s="69">
        <v>73</v>
      </c>
      <c r="J16" s="70"/>
      <c r="K16" s="71"/>
      <c r="L16" s="69">
        <f t="shared" si="10"/>
        <v>0</v>
      </c>
      <c r="M16" s="70"/>
      <c r="N16" s="71"/>
      <c r="O16" s="69">
        <f t="shared" si="11"/>
        <v>0</v>
      </c>
      <c r="P16" s="70"/>
      <c r="Q16" s="71"/>
      <c r="R16" s="69">
        <f t="shared" si="1"/>
        <v>0</v>
      </c>
      <c r="S16" s="70"/>
      <c r="T16" s="71"/>
      <c r="U16" s="69">
        <f t="shared" si="2"/>
        <v>0</v>
      </c>
      <c r="V16" s="70"/>
      <c r="W16" s="71"/>
      <c r="X16" s="69">
        <f t="shared" si="3"/>
        <v>0</v>
      </c>
      <c r="Y16" s="70"/>
      <c r="Z16" s="71"/>
      <c r="AA16" s="69">
        <f t="shared" si="4"/>
        <v>0</v>
      </c>
      <c r="AB16" s="70"/>
      <c r="AC16" s="71"/>
      <c r="AD16" s="69">
        <f t="shared" si="5"/>
        <v>0</v>
      </c>
      <c r="AE16" s="70"/>
      <c r="AF16" s="71"/>
      <c r="AG16" s="69">
        <f t="shared" si="6"/>
        <v>0</v>
      </c>
      <c r="AH16" s="70"/>
      <c r="AI16" s="71"/>
      <c r="AJ16" s="69">
        <f t="shared" si="7"/>
        <v>0</v>
      </c>
      <c r="AK16" s="70"/>
      <c r="AL16" s="71"/>
      <c r="AM16" s="69">
        <f t="shared" si="8"/>
        <v>0</v>
      </c>
      <c r="AN16" s="70"/>
      <c r="AO16" s="71"/>
      <c r="AP16" s="67">
        <f t="shared" si="9"/>
        <v>83</v>
      </c>
      <c r="AQ16" s="8">
        <f t="shared" si="0"/>
        <v>0.11369863013698631</v>
      </c>
    </row>
    <row r="17" spans="1:43" ht="18" customHeight="1" x14ac:dyDescent="0.2">
      <c r="A17" s="6"/>
      <c r="B17" s="12"/>
      <c r="C17" s="66"/>
      <c r="D17" s="67"/>
      <c r="E17" s="68"/>
      <c r="F17" s="69"/>
      <c r="G17" s="70"/>
      <c r="H17" s="71"/>
      <c r="I17" s="69"/>
      <c r="J17" s="70"/>
      <c r="K17" s="71"/>
      <c r="L17" s="69"/>
      <c r="M17" s="70"/>
      <c r="N17" s="71"/>
      <c r="O17" s="69"/>
      <c r="P17" s="70"/>
      <c r="Q17" s="71"/>
      <c r="R17" s="69"/>
      <c r="S17" s="70"/>
      <c r="T17" s="71"/>
      <c r="U17" s="69"/>
      <c r="V17" s="70"/>
      <c r="W17" s="71"/>
      <c r="X17" s="69"/>
      <c r="Y17" s="70"/>
      <c r="Z17" s="71"/>
      <c r="AA17" s="69"/>
      <c r="AB17" s="70"/>
      <c r="AC17" s="71"/>
      <c r="AD17" s="69"/>
      <c r="AE17" s="70"/>
      <c r="AF17" s="71"/>
      <c r="AG17" s="69"/>
      <c r="AH17" s="70"/>
      <c r="AI17" s="71"/>
      <c r="AJ17" s="69"/>
      <c r="AK17" s="70"/>
      <c r="AL17" s="71"/>
      <c r="AM17" s="69"/>
      <c r="AN17" s="70"/>
      <c r="AO17" s="71"/>
      <c r="AP17" s="67"/>
      <c r="AQ17" s="8"/>
    </row>
    <row r="18" spans="1:43" ht="18" customHeight="1" x14ac:dyDescent="0.2">
      <c r="A18" s="6"/>
      <c r="B18" s="12"/>
      <c r="C18" s="66"/>
      <c r="D18" s="67"/>
      <c r="E18" s="68"/>
      <c r="F18" s="69"/>
      <c r="G18" s="70"/>
      <c r="H18" s="71"/>
      <c r="I18" s="69"/>
      <c r="J18" s="70"/>
      <c r="K18" s="71"/>
      <c r="L18" s="69"/>
      <c r="M18" s="70"/>
      <c r="N18" s="71"/>
      <c r="O18" s="69"/>
      <c r="P18" s="70"/>
      <c r="Q18" s="71"/>
      <c r="R18" s="69"/>
      <c r="S18" s="70"/>
      <c r="T18" s="71"/>
      <c r="U18" s="69"/>
      <c r="V18" s="70"/>
      <c r="W18" s="71"/>
      <c r="X18" s="69"/>
      <c r="Y18" s="70"/>
      <c r="Z18" s="71"/>
      <c r="AA18" s="69"/>
      <c r="AB18" s="70"/>
      <c r="AC18" s="71"/>
      <c r="AD18" s="69"/>
      <c r="AE18" s="70"/>
      <c r="AF18" s="71"/>
      <c r="AG18" s="69"/>
      <c r="AH18" s="70"/>
      <c r="AI18" s="71"/>
      <c r="AJ18" s="69"/>
      <c r="AK18" s="70"/>
      <c r="AL18" s="71"/>
      <c r="AM18" s="69"/>
      <c r="AN18" s="70"/>
      <c r="AO18" s="71"/>
      <c r="AP18" s="67"/>
      <c r="AQ18" s="8"/>
    </row>
    <row r="19" spans="1:43" ht="18" customHeight="1" x14ac:dyDescent="0.2">
      <c r="A19" s="6"/>
      <c r="B19" s="12"/>
      <c r="C19" s="66"/>
      <c r="D19" s="67"/>
      <c r="E19" s="68"/>
      <c r="F19" s="69"/>
      <c r="G19" s="70"/>
      <c r="H19" s="71"/>
      <c r="I19" s="69"/>
      <c r="J19" s="70"/>
      <c r="K19" s="71"/>
      <c r="L19" s="69"/>
      <c r="M19" s="70"/>
      <c r="N19" s="71"/>
      <c r="O19" s="69"/>
      <c r="P19" s="70"/>
      <c r="Q19" s="71"/>
      <c r="R19" s="69"/>
      <c r="S19" s="70"/>
      <c r="T19" s="71"/>
      <c r="U19" s="69"/>
      <c r="V19" s="70"/>
      <c r="W19" s="71"/>
      <c r="X19" s="69"/>
      <c r="Y19" s="70"/>
      <c r="Z19" s="71"/>
      <c r="AA19" s="69"/>
      <c r="AB19" s="70"/>
      <c r="AC19" s="71"/>
      <c r="AD19" s="69"/>
      <c r="AE19" s="70"/>
      <c r="AF19" s="71"/>
      <c r="AG19" s="69"/>
      <c r="AH19" s="70"/>
      <c r="AI19" s="71"/>
      <c r="AJ19" s="69"/>
      <c r="AK19" s="70"/>
      <c r="AL19" s="71"/>
      <c r="AM19" s="69"/>
      <c r="AN19" s="70"/>
      <c r="AO19" s="71"/>
      <c r="AP19" s="67"/>
      <c r="AQ19" s="8"/>
    </row>
    <row r="20" spans="1:43" ht="18" customHeight="1" x14ac:dyDescent="0.2">
      <c r="A20" s="6"/>
      <c r="B20" s="12"/>
      <c r="C20" s="66"/>
      <c r="D20" s="67"/>
      <c r="E20" s="68"/>
      <c r="F20" s="69"/>
      <c r="G20" s="70"/>
      <c r="H20" s="71"/>
      <c r="I20" s="69"/>
      <c r="J20" s="70"/>
      <c r="K20" s="71"/>
      <c r="L20" s="69"/>
      <c r="M20" s="70"/>
      <c r="N20" s="71"/>
      <c r="O20" s="69"/>
      <c r="P20" s="70"/>
      <c r="Q20" s="71"/>
      <c r="R20" s="69"/>
      <c r="S20" s="70"/>
      <c r="T20" s="71"/>
      <c r="U20" s="69"/>
      <c r="V20" s="70"/>
      <c r="W20" s="71"/>
      <c r="X20" s="69"/>
      <c r="Y20" s="70"/>
      <c r="Z20" s="71"/>
      <c r="AA20" s="69"/>
      <c r="AB20" s="70"/>
      <c r="AC20" s="71"/>
      <c r="AD20" s="69"/>
      <c r="AE20" s="70"/>
      <c r="AF20" s="71"/>
      <c r="AG20" s="69"/>
      <c r="AH20" s="70"/>
      <c r="AI20" s="71"/>
      <c r="AJ20" s="69"/>
      <c r="AK20" s="70"/>
      <c r="AL20" s="71"/>
      <c r="AM20" s="69"/>
      <c r="AN20" s="70"/>
      <c r="AO20" s="71"/>
      <c r="AP20" s="67"/>
      <c r="AQ20" s="8"/>
    </row>
    <row r="21" spans="1:43" ht="18" customHeight="1" x14ac:dyDescent="0.2">
      <c r="A21" s="6"/>
      <c r="B21" s="12"/>
      <c r="C21" s="66"/>
      <c r="D21" s="67"/>
      <c r="E21" s="68"/>
      <c r="F21" s="69"/>
      <c r="G21" s="70"/>
      <c r="H21" s="71"/>
      <c r="I21" s="69"/>
      <c r="J21" s="70"/>
      <c r="K21" s="71"/>
      <c r="L21" s="69"/>
      <c r="M21" s="70"/>
      <c r="N21" s="71"/>
      <c r="O21" s="69"/>
      <c r="P21" s="70"/>
      <c r="Q21" s="71"/>
      <c r="R21" s="69"/>
      <c r="S21" s="70"/>
      <c r="T21" s="71"/>
      <c r="U21" s="69"/>
      <c r="V21" s="70"/>
      <c r="W21" s="71"/>
      <c r="X21" s="69"/>
      <c r="Y21" s="70"/>
      <c r="Z21" s="71"/>
      <c r="AA21" s="69"/>
      <c r="AB21" s="70"/>
      <c r="AC21" s="71"/>
      <c r="AD21" s="69"/>
      <c r="AE21" s="70"/>
      <c r="AF21" s="71"/>
      <c r="AG21" s="69"/>
      <c r="AH21" s="70"/>
      <c r="AI21" s="71"/>
      <c r="AJ21" s="69"/>
      <c r="AK21" s="70"/>
      <c r="AL21" s="71"/>
      <c r="AM21" s="69"/>
      <c r="AN21" s="70"/>
      <c r="AO21" s="71"/>
      <c r="AP21" s="67"/>
      <c r="AQ21" s="8"/>
    </row>
    <row r="22" spans="1:43" ht="18" customHeight="1" x14ac:dyDescent="0.2">
      <c r="A22" s="6"/>
      <c r="B22" s="12"/>
      <c r="C22" s="66"/>
      <c r="D22" s="67"/>
      <c r="E22" s="68"/>
      <c r="F22" s="69"/>
      <c r="G22" s="70"/>
      <c r="H22" s="71"/>
      <c r="I22" s="69"/>
      <c r="J22" s="70"/>
      <c r="K22" s="71"/>
      <c r="L22" s="69"/>
      <c r="M22" s="70"/>
      <c r="N22" s="71"/>
      <c r="O22" s="69"/>
      <c r="P22" s="70"/>
      <c r="Q22" s="71"/>
      <c r="R22" s="69"/>
      <c r="S22" s="70"/>
      <c r="T22" s="71"/>
      <c r="U22" s="69"/>
      <c r="V22" s="70"/>
      <c r="W22" s="71"/>
      <c r="X22" s="69"/>
      <c r="Y22" s="70"/>
      <c r="Z22" s="71"/>
      <c r="AA22" s="69"/>
      <c r="AB22" s="70"/>
      <c r="AC22" s="71"/>
      <c r="AD22" s="69"/>
      <c r="AE22" s="70"/>
      <c r="AF22" s="71"/>
      <c r="AG22" s="69"/>
      <c r="AH22" s="70"/>
      <c r="AI22" s="71"/>
      <c r="AJ22" s="69"/>
      <c r="AK22" s="70"/>
      <c r="AL22" s="71"/>
      <c r="AM22" s="69"/>
      <c r="AN22" s="70"/>
      <c r="AO22" s="71"/>
      <c r="AP22" s="67"/>
      <c r="AQ22" s="8"/>
    </row>
    <row r="23" spans="1:43" ht="18" customHeight="1" x14ac:dyDescent="0.2">
      <c r="A23" s="6"/>
      <c r="B23" s="12"/>
      <c r="C23" s="66"/>
      <c r="D23" s="67"/>
      <c r="E23" s="68"/>
      <c r="F23" s="69"/>
      <c r="G23" s="70"/>
      <c r="H23" s="71"/>
      <c r="I23" s="69"/>
      <c r="J23" s="70"/>
      <c r="K23" s="71"/>
      <c r="L23" s="69"/>
      <c r="M23" s="70"/>
      <c r="N23" s="71"/>
      <c r="O23" s="69"/>
      <c r="P23" s="70"/>
      <c r="Q23" s="71"/>
      <c r="R23" s="69"/>
      <c r="S23" s="70"/>
      <c r="T23" s="71"/>
      <c r="U23" s="69"/>
      <c r="V23" s="70"/>
      <c r="W23" s="71"/>
      <c r="X23" s="69"/>
      <c r="Y23" s="70"/>
      <c r="Z23" s="71"/>
      <c r="AA23" s="69"/>
      <c r="AB23" s="70"/>
      <c r="AC23" s="71"/>
      <c r="AD23" s="69"/>
      <c r="AE23" s="70"/>
      <c r="AF23" s="71"/>
      <c r="AG23" s="69"/>
      <c r="AH23" s="70"/>
      <c r="AI23" s="71"/>
      <c r="AJ23" s="69"/>
      <c r="AK23" s="70"/>
      <c r="AL23" s="71"/>
      <c r="AM23" s="69"/>
      <c r="AN23" s="70"/>
      <c r="AO23" s="71"/>
      <c r="AP23" s="67"/>
      <c r="AQ23" s="8"/>
    </row>
    <row r="24" spans="1:43" ht="18" customHeight="1" x14ac:dyDescent="0.2">
      <c r="A24" s="6"/>
      <c r="B24" s="12"/>
      <c r="C24" s="66"/>
      <c r="D24" s="67"/>
      <c r="E24" s="68"/>
      <c r="F24" s="69"/>
      <c r="G24" s="70"/>
      <c r="H24" s="71"/>
      <c r="I24" s="69"/>
      <c r="J24" s="70"/>
      <c r="K24" s="71"/>
      <c r="L24" s="69"/>
      <c r="M24" s="70"/>
      <c r="N24" s="71"/>
      <c r="O24" s="69"/>
      <c r="P24" s="70"/>
      <c r="Q24" s="71"/>
      <c r="R24" s="69"/>
      <c r="S24" s="70"/>
      <c r="T24" s="71"/>
      <c r="U24" s="69"/>
      <c r="V24" s="70"/>
      <c r="W24" s="71"/>
      <c r="X24" s="69"/>
      <c r="Y24" s="70"/>
      <c r="Z24" s="71"/>
      <c r="AA24" s="69"/>
      <c r="AB24" s="70"/>
      <c r="AC24" s="71"/>
      <c r="AD24" s="69"/>
      <c r="AE24" s="70"/>
      <c r="AF24" s="71"/>
      <c r="AG24" s="69"/>
      <c r="AH24" s="70"/>
      <c r="AI24" s="71"/>
      <c r="AJ24" s="69"/>
      <c r="AK24" s="70"/>
      <c r="AL24" s="71"/>
      <c r="AM24" s="69"/>
      <c r="AN24" s="70"/>
      <c r="AO24" s="71"/>
      <c r="AP24" s="67"/>
      <c r="AQ24" s="8"/>
    </row>
    <row r="25" spans="1:43" ht="18" customHeight="1" x14ac:dyDescent="0.2">
      <c r="A25" s="6"/>
      <c r="B25" s="12"/>
      <c r="C25" s="66"/>
      <c r="D25" s="67"/>
      <c r="E25" s="68"/>
      <c r="F25" s="69"/>
      <c r="G25" s="70"/>
      <c r="H25" s="71"/>
      <c r="I25" s="69"/>
      <c r="J25" s="70"/>
      <c r="K25" s="71"/>
      <c r="L25" s="69"/>
      <c r="M25" s="70"/>
      <c r="N25" s="71"/>
      <c r="O25" s="69"/>
      <c r="P25" s="70"/>
      <c r="Q25" s="71"/>
      <c r="R25" s="69"/>
      <c r="S25" s="70"/>
      <c r="T25" s="71"/>
      <c r="U25" s="69"/>
      <c r="V25" s="70"/>
      <c r="W25" s="71"/>
      <c r="X25" s="69"/>
      <c r="Y25" s="70"/>
      <c r="Z25" s="71"/>
      <c r="AA25" s="69"/>
      <c r="AB25" s="70"/>
      <c r="AC25" s="71"/>
      <c r="AD25" s="69"/>
      <c r="AE25" s="70"/>
      <c r="AF25" s="71"/>
      <c r="AG25" s="69"/>
      <c r="AH25" s="70"/>
      <c r="AI25" s="71"/>
      <c r="AJ25" s="69"/>
      <c r="AK25" s="70"/>
      <c r="AL25" s="71"/>
      <c r="AM25" s="69"/>
      <c r="AN25" s="70"/>
      <c r="AO25" s="71"/>
      <c r="AP25" s="67"/>
      <c r="AQ25" s="8"/>
    </row>
    <row r="26" spans="1:43" ht="18" customHeight="1" x14ac:dyDescent="0.2">
      <c r="A26" s="6"/>
      <c r="B26" s="12"/>
      <c r="C26" s="66"/>
      <c r="D26" s="67"/>
      <c r="E26" s="68"/>
      <c r="F26" s="69"/>
      <c r="G26" s="70"/>
      <c r="H26" s="71"/>
      <c r="I26" s="69"/>
      <c r="J26" s="70"/>
      <c r="K26" s="71"/>
      <c r="L26" s="69"/>
      <c r="M26" s="70"/>
      <c r="N26" s="71"/>
      <c r="O26" s="69"/>
      <c r="P26" s="70"/>
      <c r="Q26" s="71"/>
      <c r="R26" s="69"/>
      <c r="S26" s="70"/>
      <c r="T26" s="71"/>
      <c r="U26" s="69"/>
      <c r="V26" s="70"/>
      <c r="W26" s="71"/>
      <c r="X26" s="69"/>
      <c r="Y26" s="70"/>
      <c r="Z26" s="71"/>
      <c r="AA26" s="69"/>
      <c r="AB26" s="70"/>
      <c r="AC26" s="71"/>
      <c r="AD26" s="69"/>
      <c r="AE26" s="70"/>
      <c r="AF26" s="71"/>
      <c r="AG26" s="69"/>
      <c r="AH26" s="70"/>
      <c r="AI26" s="71"/>
      <c r="AJ26" s="69"/>
      <c r="AK26" s="70"/>
      <c r="AL26" s="71"/>
      <c r="AM26" s="69"/>
      <c r="AN26" s="70"/>
      <c r="AO26" s="71"/>
      <c r="AP26" s="67"/>
      <c r="AQ26" s="8"/>
    </row>
    <row r="27" spans="1:43" ht="18" customHeight="1" x14ac:dyDescent="0.2">
      <c r="A27" s="6"/>
      <c r="B27" s="12"/>
      <c r="C27" s="66"/>
      <c r="D27" s="67"/>
      <c r="E27" s="68"/>
      <c r="F27" s="69"/>
      <c r="G27" s="70"/>
      <c r="H27" s="71"/>
      <c r="I27" s="69"/>
      <c r="J27" s="70"/>
      <c r="K27" s="71"/>
      <c r="L27" s="69"/>
      <c r="M27" s="70"/>
      <c r="N27" s="71"/>
      <c r="O27" s="69"/>
      <c r="P27" s="70"/>
      <c r="Q27" s="71"/>
      <c r="R27" s="69"/>
      <c r="S27" s="70"/>
      <c r="T27" s="71"/>
      <c r="U27" s="69"/>
      <c r="V27" s="70"/>
      <c r="W27" s="71"/>
      <c r="X27" s="69"/>
      <c r="Y27" s="70"/>
      <c r="Z27" s="71"/>
      <c r="AA27" s="69"/>
      <c r="AB27" s="70"/>
      <c r="AC27" s="71"/>
      <c r="AD27" s="69"/>
      <c r="AE27" s="70"/>
      <c r="AF27" s="71"/>
      <c r="AG27" s="69"/>
      <c r="AH27" s="70"/>
      <c r="AI27" s="71"/>
      <c r="AJ27" s="69"/>
      <c r="AK27" s="70"/>
      <c r="AL27" s="71"/>
      <c r="AM27" s="69"/>
      <c r="AN27" s="70"/>
      <c r="AO27" s="71"/>
      <c r="AP27" s="67"/>
      <c r="AQ27" s="8"/>
    </row>
    <row r="28" spans="1:43" ht="18" customHeight="1" x14ac:dyDescent="0.2">
      <c r="A28" s="6"/>
      <c r="B28" s="12"/>
      <c r="C28" s="66"/>
      <c r="D28" s="67"/>
      <c r="E28" s="68"/>
      <c r="F28" s="69"/>
      <c r="G28" s="70"/>
      <c r="H28" s="71"/>
      <c r="I28" s="69"/>
      <c r="J28" s="70"/>
      <c r="K28" s="71"/>
      <c r="L28" s="69"/>
      <c r="M28" s="70"/>
      <c r="N28" s="71"/>
      <c r="O28" s="69"/>
      <c r="P28" s="70"/>
      <c r="Q28" s="71"/>
      <c r="R28" s="69"/>
      <c r="S28" s="70"/>
      <c r="T28" s="71"/>
      <c r="U28" s="69"/>
      <c r="V28" s="70"/>
      <c r="W28" s="71"/>
      <c r="X28" s="69"/>
      <c r="Y28" s="70"/>
      <c r="Z28" s="71"/>
      <c r="AA28" s="69"/>
      <c r="AB28" s="70"/>
      <c r="AC28" s="71"/>
      <c r="AD28" s="69"/>
      <c r="AE28" s="70"/>
      <c r="AF28" s="71"/>
      <c r="AG28" s="69"/>
      <c r="AH28" s="70"/>
      <c r="AI28" s="71"/>
      <c r="AJ28" s="69"/>
      <c r="AK28" s="70"/>
      <c r="AL28" s="71"/>
      <c r="AM28" s="69"/>
      <c r="AN28" s="70"/>
      <c r="AO28" s="71"/>
      <c r="AP28" s="67"/>
      <c r="AQ28" s="8"/>
    </row>
    <row r="29" spans="1:43" ht="18" customHeight="1" x14ac:dyDescent="0.2">
      <c r="A29" s="6"/>
      <c r="B29" s="12"/>
      <c r="C29" s="66"/>
      <c r="D29" s="72"/>
      <c r="E29" s="68"/>
      <c r="F29" s="69"/>
      <c r="G29" s="70"/>
      <c r="H29" s="71"/>
      <c r="I29" s="69"/>
      <c r="J29" s="70"/>
      <c r="K29" s="71"/>
      <c r="L29" s="69"/>
      <c r="M29" s="70"/>
      <c r="N29" s="71"/>
      <c r="O29" s="69"/>
      <c r="P29" s="70"/>
      <c r="Q29" s="71"/>
      <c r="R29" s="69"/>
      <c r="S29" s="70"/>
      <c r="T29" s="71"/>
      <c r="U29" s="69"/>
      <c r="V29" s="70"/>
      <c r="W29" s="71"/>
      <c r="X29" s="69"/>
      <c r="Y29" s="70"/>
      <c r="Z29" s="71"/>
      <c r="AA29" s="69"/>
      <c r="AB29" s="70"/>
      <c r="AC29" s="71"/>
      <c r="AD29" s="69"/>
      <c r="AE29" s="70"/>
      <c r="AF29" s="71"/>
      <c r="AG29" s="69"/>
      <c r="AH29" s="70"/>
      <c r="AI29" s="71"/>
      <c r="AJ29" s="69"/>
      <c r="AK29" s="70"/>
      <c r="AL29" s="71"/>
      <c r="AM29" s="69"/>
      <c r="AN29" s="70"/>
      <c r="AO29" s="71"/>
      <c r="AP29" s="72"/>
      <c r="AQ29" s="8"/>
    </row>
    <row r="30" spans="1:43" ht="18" customHeight="1" x14ac:dyDescent="0.2">
      <c r="A30" s="6"/>
      <c r="B30" s="12"/>
      <c r="C30" s="66"/>
      <c r="D30" s="72"/>
      <c r="E30" s="68"/>
      <c r="F30" s="69"/>
      <c r="G30" s="70"/>
      <c r="H30" s="71"/>
      <c r="I30" s="69"/>
      <c r="J30" s="70"/>
      <c r="K30" s="71"/>
      <c r="L30" s="69"/>
      <c r="M30" s="70"/>
      <c r="N30" s="71"/>
      <c r="O30" s="69"/>
      <c r="P30" s="70"/>
      <c r="Q30" s="71"/>
      <c r="R30" s="69"/>
      <c r="S30" s="70"/>
      <c r="T30" s="71"/>
      <c r="U30" s="69"/>
      <c r="V30" s="70"/>
      <c r="W30" s="71"/>
      <c r="X30" s="69"/>
      <c r="Y30" s="70"/>
      <c r="Z30" s="71"/>
      <c r="AA30" s="69"/>
      <c r="AB30" s="70"/>
      <c r="AC30" s="71"/>
      <c r="AD30" s="69"/>
      <c r="AE30" s="70"/>
      <c r="AF30" s="71"/>
      <c r="AG30" s="69"/>
      <c r="AH30" s="70"/>
      <c r="AI30" s="71"/>
      <c r="AJ30" s="69"/>
      <c r="AK30" s="70"/>
      <c r="AL30" s="71"/>
      <c r="AM30" s="69"/>
      <c r="AN30" s="70"/>
      <c r="AO30" s="71"/>
      <c r="AP30" s="72"/>
      <c r="AQ30" s="8"/>
    </row>
    <row r="31" spans="1:43" ht="18" customHeight="1" thickBot="1" x14ac:dyDescent="0.25">
      <c r="A31" s="6"/>
      <c r="B31" s="13"/>
      <c r="C31" s="61"/>
      <c r="D31" s="73"/>
      <c r="E31" s="63"/>
      <c r="F31" s="63"/>
      <c r="G31" s="74"/>
      <c r="H31" s="75"/>
      <c r="I31" s="63"/>
      <c r="J31" s="74"/>
      <c r="K31" s="75"/>
      <c r="L31" s="63"/>
      <c r="M31" s="74"/>
      <c r="N31" s="75"/>
      <c r="O31" s="63"/>
      <c r="P31" s="74"/>
      <c r="Q31" s="75"/>
      <c r="R31" s="63"/>
      <c r="S31" s="74"/>
      <c r="T31" s="75"/>
      <c r="U31" s="63"/>
      <c r="V31" s="74"/>
      <c r="W31" s="75"/>
      <c r="X31" s="63"/>
      <c r="Y31" s="74"/>
      <c r="Z31" s="75"/>
      <c r="AA31" s="63"/>
      <c r="AB31" s="74"/>
      <c r="AC31" s="75"/>
      <c r="AD31" s="63"/>
      <c r="AE31" s="74"/>
      <c r="AF31" s="75"/>
      <c r="AG31" s="63"/>
      <c r="AH31" s="74"/>
      <c r="AI31" s="75"/>
      <c r="AJ31" s="63"/>
      <c r="AK31" s="74"/>
      <c r="AL31" s="75"/>
      <c r="AM31" s="63"/>
      <c r="AN31" s="74"/>
      <c r="AO31" s="75"/>
      <c r="AP31" s="73"/>
      <c r="AQ31" s="7"/>
    </row>
    <row r="32" spans="1:43" ht="18" customHeight="1" thickTop="1" x14ac:dyDescent="0.2">
      <c r="B32" s="14" t="s">
        <v>93</v>
      </c>
      <c r="C32" s="76">
        <f t="shared" ref="C32" si="14">SUM(C12:C31)</f>
        <v>3908</v>
      </c>
      <c r="D32" s="77">
        <f t="shared" ref="D32:AP32" si="15">SUM(D12:D31)</f>
        <v>860</v>
      </c>
      <c r="E32" s="78">
        <f t="shared" si="15"/>
        <v>3310</v>
      </c>
      <c r="F32" s="78">
        <f t="shared" si="15"/>
        <v>452</v>
      </c>
      <c r="G32" s="79">
        <f t="shared" si="15"/>
        <v>0</v>
      </c>
      <c r="H32" s="80">
        <f t="shared" si="15"/>
        <v>0</v>
      </c>
      <c r="I32" s="78">
        <f t="shared" ref="I32:N32" si="16">SUM(I12:I31)</f>
        <v>408</v>
      </c>
      <c r="J32" s="79">
        <f t="shared" si="16"/>
        <v>0</v>
      </c>
      <c r="K32" s="80">
        <f t="shared" si="16"/>
        <v>0</v>
      </c>
      <c r="L32" s="78">
        <f t="shared" si="16"/>
        <v>178</v>
      </c>
      <c r="M32" s="79">
        <f t="shared" si="16"/>
        <v>0</v>
      </c>
      <c r="N32" s="80">
        <f t="shared" si="16"/>
        <v>0</v>
      </c>
      <c r="O32" s="78">
        <f t="shared" ref="O32:T32" si="17">SUM(O12:O31)</f>
        <v>154</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630</v>
      </c>
      <c r="AQ32" s="9">
        <f t="shared" si="0"/>
        <v>0.19033232628398791</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140" zoomScaleNormal="100" zoomScaleSheetLayoutView="140" workbookViewId="0">
      <selection activeCell="J60" sqref="J60"/>
    </sheetView>
  </sheetViews>
  <sheetFormatPr defaultColWidth="11.36328125" defaultRowHeight="18.75" customHeight="1" x14ac:dyDescent="0.2"/>
  <cols>
    <col min="1" max="1" width="2.81640625" style="40" customWidth="1"/>
    <col min="2" max="2" width="16.6328125" style="1" customWidth="1"/>
    <col min="3" max="3" width="8.8164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1796875" style="1" customWidth="1"/>
    <col min="10" max="16384" width="11.36328125" style="1"/>
  </cols>
  <sheetData>
    <row r="1" spans="1:9" ht="18.75" customHeight="1" x14ac:dyDescent="0.2">
      <c r="A1" s="40" t="s">
        <v>94</v>
      </c>
      <c r="I1" s="35" t="s">
        <v>95</v>
      </c>
    </row>
    <row r="2" spans="1:9" ht="18.75" customHeight="1" x14ac:dyDescent="0.2">
      <c r="G2" s="35" t="s">
        <v>1</v>
      </c>
      <c r="H2" s="92" t="s">
        <v>96</v>
      </c>
      <c r="I2" s="93"/>
    </row>
    <row r="3" spans="1:9" ht="18.75" customHeight="1" x14ac:dyDescent="0.2">
      <c r="G3" s="35"/>
      <c r="H3" s="10"/>
      <c r="I3" s="10"/>
    </row>
    <row r="4" spans="1:9" ht="18.75" customHeight="1" x14ac:dyDescent="0.2">
      <c r="A4" s="103" t="s">
        <v>97</v>
      </c>
      <c r="B4" s="103"/>
      <c r="C4" s="103"/>
      <c r="D4" s="103"/>
      <c r="E4" s="103"/>
      <c r="F4" s="103"/>
      <c r="G4" s="103"/>
      <c r="H4" s="103"/>
      <c r="I4" s="103"/>
    </row>
    <row r="5" spans="1:9" ht="13.5" customHeight="1" x14ac:dyDescent="0.2">
      <c r="B5" s="3"/>
      <c r="C5" s="3"/>
      <c r="D5" s="3"/>
      <c r="E5" s="3"/>
      <c r="F5" s="3"/>
      <c r="G5" s="3"/>
      <c r="H5" s="3"/>
      <c r="I5" s="3"/>
    </row>
    <row r="6" spans="1:9" ht="18" customHeight="1" x14ac:dyDescent="0.2">
      <c r="A6" s="1" t="s">
        <v>98</v>
      </c>
      <c r="B6" s="10" t="s">
        <v>99</v>
      </c>
      <c r="C6" s="209" t="s">
        <v>100</v>
      </c>
      <c r="D6" s="209"/>
      <c r="E6" s="34">
        <v>167</v>
      </c>
      <c r="F6" s="3" t="s">
        <v>101</v>
      </c>
      <c r="G6" s="3" t="s">
        <v>102</v>
      </c>
      <c r="H6" s="34">
        <v>115</v>
      </c>
      <c r="I6" s="10" t="s">
        <v>101</v>
      </c>
    </row>
    <row r="7" spans="1:9" ht="12" customHeight="1" x14ac:dyDescent="0.2">
      <c r="C7" s="2"/>
      <c r="D7" s="2"/>
      <c r="E7" s="2"/>
      <c r="F7" s="2"/>
      <c r="G7" s="2"/>
      <c r="H7" s="2"/>
      <c r="I7" s="41"/>
    </row>
    <row r="8" spans="1:9" ht="18" customHeight="1" x14ac:dyDescent="0.2">
      <c r="A8" s="1" t="s">
        <v>103</v>
      </c>
      <c r="B8" s="10" t="s">
        <v>104</v>
      </c>
      <c r="E8" s="3"/>
      <c r="F8" s="3"/>
      <c r="G8" s="3"/>
      <c r="H8" s="34">
        <v>7</v>
      </c>
      <c r="I8" s="10" t="s">
        <v>101</v>
      </c>
    </row>
    <row r="9" spans="1:9" ht="9" customHeight="1" x14ac:dyDescent="0.2">
      <c r="B9" s="3"/>
      <c r="C9" s="3"/>
      <c r="D9" s="3"/>
      <c r="E9" s="3"/>
      <c r="F9" s="3"/>
      <c r="G9" s="3"/>
      <c r="H9" s="3"/>
      <c r="I9" s="3"/>
    </row>
    <row r="10" spans="1:9" ht="18" customHeight="1" x14ac:dyDescent="0.2">
      <c r="A10" s="1" t="s">
        <v>105</v>
      </c>
      <c r="B10" s="10" t="s">
        <v>106</v>
      </c>
      <c r="C10" s="3"/>
      <c r="D10" s="3"/>
      <c r="E10" s="3"/>
      <c r="F10" s="3"/>
      <c r="G10" s="3"/>
      <c r="H10" s="3"/>
      <c r="I10" s="3"/>
    </row>
    <row r="11" spans="1:9" ht="18" customHeight="1" x14ac:dyDescent="0.2">
      <c r="B11" s="35" t="s">
        <v>107</v>
      </c>
      <c r="C11" s="204" t="s">
        <v>169</v>
      </c>
      <c r="D11" s="207"/>
      <c r="E11" s="208"/>
      <c r="F11" s="41"/>
      <c r="G11" s="35" t="s">
        <v>108</v>
      </c>
      <c r="H11" s="204" t="s">
        <v>109</v>
      </c>
      <c r="I11" s="208"/>
    </row>
    <row r="12" spans="1:9" ht="10.5" customHeight="1" x14ac:dyDescent="0.2">
      <c r="B12" s="35"/>
      <c r="C12" s="10"/>
      <c r="D12" s="41"/>
      <c r="E12" s="41"/>
      <c r="F12" s="41"/>
      <c r="G12" s="35"/>
      <c r="H12" s="10"/>
      <c r="I12" s="41"/>
    </row>
    <row r="13" spans="1:9" ht="18" customHeight="1" x14ac:dyDescent="0.2">
      <c r="A13" s="1" t="s">
        <v>110</v>
      </c>
      <c r="B13" s="10" t="s">
        <v>111</v>
      </c>
      <c r="C13" s="3"/>
      <c r="D13" s="3"/>
      <c r="E13" s="3"/>
      <c r="F13" s="3"/>
      <c r="G13" s="3"/>
      <c r="H13" s="3"/>
      <c r="I13" s="3"/>
    </row>
    <row r="14" spans="1:9" ht="18" customHeight="1" x14ac:dyDescent="0.2">
      <c r="B14" s="204" t="s">
        <v>112</v>
      </c>
      <c r="C14" s="205"/>
      <c r="D14" s="205"/>
      <c r="E14" s="205"/>
      <c r="F14" s="205"/>
      <c r="G14" s="205"/>
      <c r="H14" s="205"/>
      <c r="I14" s="206"/>
    </row>
    <row r="15" spans="1:9" ht="9" customHeight="1" x14ac:dyDescent="0.2">
      <c r="B15" s="3"/>
      <c r="C15" s="3"/>
      <c r="D15" s="3"/>
      <c r="E15" s="3"/>
      <c r="F15" s="3"/>
      <c r="G15" s="3"/>
      <c r="H15" s="3"/>
      <c r="I15" s="3"/>
    </row>
    <row r="16" spans="1:9" ht="18" customHeight="1" x14ac:dyDescent="0.2">
      <c r="B16" s="35" t="s">
        <v>107</v>
      </c>
      <c r="C16" s="204" t="s">
        <v>113</v>
      </c>
      <c r="D16" s="207"/>
      <c r="E16" s="208"/>
      <c r="F16" s="41"/>
      <c r="G16" s="35" t="s">
        <v>108</v>
      </c>
      <c r="H16" s="204" t="s">
        <v>114</v>
      </c>
      <c r="I16" s="208"/>
    </row>
    <row r="17" spans="1:9" ht="18" customHeight="1" x14ac:dyDescent="0.2">
      <c r="B17" s="3"/>
      <c r="C17" s="3"/>
      <c r="D17" s="3"/>
      <c r="E17" s="3"/>
      <c r="F17" s="3"/>
      <c r="G17" s="3"/>
      <c r="H17" s="3"/>
      <c r="I17" s="3"/>
    </row>
    <row r="18" spans="1:9" ht="18.75" customHeight="1" x14ac:dyDescent="0.2">
      <c r="A18" s="1" t="s">
        <v>115</v>
      </c>
      <c r="B18" s="1" t="s">
        <v>116</v>
      </c>
      <c r="I18" s="3"/>
    </row>
    <row r="19" spans="1:9" ht="18.75" customHeight="1" x14ac:dyDescent="0.2">
      <c r="A19" s="1"/>
      <c r="B19" s="196" t="s">
        <v>117</v>
      </c>
      <c r="C19" s="197"/>
      <c r="D19" s="197"/>
      <c r="E19" s="197"/>
      <c r="F19" s="197"/>
      <c r="G19" s="197"/>
      <c r="H19" s="197"/>
      <c r="I19" s="198"/>
    </row>
    <row r="20" spans="1:9" ht="7.5" customHeight="1" x14ac:dyDescent="0.2">
      <c r="B20" s="3"/>
      <c r="C20" s="3"/>
      <c r="D20" s="3"/>
      <c r="E20" s="3"/>
      <c r="F20" s="3"/>
      <c r="G20" s="3"/>
      <c r="H20" s="3"/>
      <c r="I20" s="3"/>
    </row>
    <row r="21" spans="1:9" ht="18.75" customHeight="1" x14ac:dyDescent="0.2">
      <c r="A21" s="1" t="s">
        <v>118</v>
      </c>
      <c r="B21" s="1" t="s">
        <v>119</v>
      </c>
    </row>
    <row r="22" spans="1:9" ht="18.75" customHeight="1" x14ac:dyDescent="0.2">
      <c r="A22" s="15"/>
      <c r="B22" s="186" t="s">
        <v>120</v>
      </c>
      <c r="C22" s="187"/>
      <c r="D22" s="187"/>
      <c r="E22" s="187"/>
      <c r="F22" s="187"/>
      <c r="G22" s="187"/>
      <c r="H22" s="187"/>
      <c r="I22" s="188"/>
    </row>
    <row r="23" spans="1:9" ht="18.75" customHeight="1" x14ac:dyDescent="0.2">
      <c r="A23" s="15"/>
      <c r="B23" s="199"/>
      <c r="C23" s="200"/>
      <c r="D23" s="200"/>
      <c r="E23" s="200"/>
      <c r="F23" s="200"/>
      <c r="G23" s="200"/>
      <c r="H23" s="200"/>
      <c r="I23" s="191"/>
    </row>
    <row r="24" spans="1:9" ht="18.75" customHeight="1" x14ac:dyDescent="0.2">
      <c r="A24" s="15"/>
      <c r="B24" s="199"/>
      <c r="C24" s="200"/>
      <c r="D24" s="200"/>
      <c r="E24" s="200"/>
      <c r="F24" s="200"/>
      <c r="G24" s="200"/>
      <c r="H24" s="200"/>
      <c r="I24" s="191"/>
    </row>
    <row r="25" spans="1:9" ht="18.75" customHeight="1" x14ac:dyDescent="0.2">
      <c r="A25" s="15"/>
      <c r="B25" s="199"/>
      <c r="C25" s="200"/>
      <c r="D25" s="200"/>
      <c r="E25" s="200"/>
      <c r="F25" s="200"/>
      <c r="G25" s="200"/>
      <c r="H25" s="200"/>
      <c r="I25" s="191"/>
    </row>
    <row r="26" spans="1:9" ht="18.75" customHeight="1" x14ac:dyDescent="0.2">
      <c r="A26" s="15"/>
      <c r="B26" s="199"/>
      <c r="C26" s="200"/>
      <c r="D26" s="200"/>
      <c r="E26" s="200"/>
      <c r="F26" s="200"/>
      <c r="G26" s="200"/>
      <c r="H26" s="200"/>
      <c r="I26" s="191"/>
    </row>
    <row r="27" spans="1:9" ht="18.75" customHeight="1" x14ac:dyDescent="0.2">
      <c r="A27" s="15"/>
      <c r="B27" s="199"/>
      <c r="C27" s="200"/>
      <c r="D27" s="200"/>
      <c r="E27" s="200"/>
      <c r="F27" s="200"/>
      <c r="G27" s="200"/>
      <c r="H27" s="200"/>
      <c r="I27" s="191"/>
    </row>
    <row r="28" spans="1:9" ht="18.75" customHeight="1" x14ac:dyDescent="0.2">
      <c r="A28" s="15"/>
      <c r="B28" s="199"/>
      <c r="C28" s="200"/>
      <c r="D28" s="200"/>
      <c r="E28" s="200"/>
      <c r="F28" s="200"/>
      <c r="G28" s="200"/>
      <c r="H28" s="200"/>
      <c r="I28" s="191"/>
    </row>
    <row r="29" spans="1:9" ht="18.75" customHeight="1" x14ac:dyDescent="0.2">
      <c r="A29" s="15"/>
      <c r="B29" s="199"/>
      <c r="C29" s="200"/>
      <c r="D29" s="200"/>
      <c r="E29" s="200"/>
      <c r="F29" s="200"/>
      <c r="G29" s="200"/>
      <c r="H29" s="200"/>
      <c r="I29" s="191"/>
    </row>
    <row r="30" spans="1:9" ht="18.75" customHeight="1" x14ac:dyDescent="0.2">
      <c r="A30" s="15"/>
      <c r="B30" s="189"/>
      <c r="C30" s="190"/>
      <c r="D30" s="190"/>
      <c r="E30" s="190"/>
      <c r="F30" s="190"/>
      <c r="G30" s="190"/>
      <c r="H30" s="190"/>
      <c r="I30" s="191"/>
    </row>
    <row r="31" spans="1:9" ht="18.75" customHeight="1" x14ac:dyDescent="0.2">
      <c r="A31" s="15"/>
      <c r="B31" s="189"/>
      <c r="C31" s="190"/>
      <c r="D31" s="190"/>
      <c r="E31" s="190"/>
      <c r="F31" s="190"/>
      <c r="G31" s="190"/>
      <c r="H31" s="190"/>
      <c r="I31" s="191"/>
    </row>
    <row r="32" spans="1:9" ht="18.75" customHeight="1" x14ac:dyDescent="0.2">
      <c r="A32" s="15"/>
      <c r="B32" s="192"/>
      <c r="C32" s="193"/>
      <c r="D32" s="193"/>
      <c r="E32" s="193"/>
      <c r="F32" s="193"/>
      <c r="G32" s="193"/>
      <c r="H32" s="193"/>
      <c r="I32" s="194"/>
    </row>
    <row r="33" spans="1:9" ht="7.5" customHeight="1" x14ac:dyDescent="0.2">
      <c r="A33" s="15"/>
      <c r="B33" s="15"/>
      <c r="C33" s="15"/>
      <c r="D33" s="15"/>
      <c r="E33" s="15"/>
      <c r="F33" s="15"/>
      <c r="G33" s="15"/>
      <c r="H33" s="15"/>
      <c r="I33" s="15"/>
    </row>
    <row r="34" spans="1:9" ht="18.75" customHeight="1" x14ac:dyDescent="0.2">
      <c r="A34" s="16" t="s">
        <v>121</v>
      </c>
      <c r="B34" s="16" t="s">
        <v>122</v>
      </c>
      <c r="C34" s="10"/>
      <c r="D34" s="16"/>
      <c r="E34" s="16"/>
      <c r="F34" s="16"/>
      <c r="G34" s="16"/>
      <c r="H34" s="16"/>
      <c r="I34" s="16"/>
    </row>
    <row r="35" spans="1:9" ht="18.75" customHeight="1" x14ac:dyDescent="0.2">
      <c r="A35" s="15"/>
      <c r="B35" s="186" t="s">
        <v>123</v>
      </c>
      <c r="C35" s="187"/>
      <c r="D35" s="187"/>
      <c r="E35" s="187"/>
      <c r="F35" s="187"/>
      <c r="G35" s="187"/>
      <c r="H35" s="187"/>
      <c r="I35" s="188"/>
    </row>
    <row r="36" spans="1:9" ht="18.75" customHeight="1" x14ac:dyDescent="0.2">
      <c r="A36" s="15"/>
      <c r="B36" s="189"/>
      <c r="C36" s="190"/>
      <c r="D36" s="190"/>
      <c r="E36" s="190"/>
      <c r="F36" s="190"/>
      <c r="G36" s="190"/>
      <c r="H36" s="190"/>
      <c r="I36" s="191"/>
    </row>
    <row r="37" spans="1:9" ht="18.75" customHeight="1" x14ac:dyDescent="0.2">
      <c r="A37" s="15"/>
      <c r="B37" s="189"/>
      <c r="C37" s="190"/>
      <c r="D37" s="190"/>
      <c r="E37" s="190"/>
      <c r="F37" s="190"/>
      <c r="G37" s="190"/>
      <c r="H37" s="190"/>
      <c r="I37" s="191"/>
    </row>
    <row r="38" spans="1:9" ht="18.75" customHeight="1" x14ac:dyDescent="0.2">
      <c r="A38" s="15"/>
      <c r="B38" s="189"/>
      <c r="C38" s="190"/>
      <c r="D38" s="190"/>
      <c r="E38" s="190"/>
      <c r="F38" s="190"/>
      <c r="G38" s="190"/>
      <c r="H38" s="190"/>
      <c r="I38" s="191"/>
    </row>
    <row r="39" spans="1:9" ht="18.75" customHeight="1" x14ac:dyDescent="0.2">
      <c r="A39" s="15"/>
      <c r="B39" s="189"/>
      <c r="C39" s="190"/>
      <c r="D39" s="190"/>
      <c r="E39" s="190"/>
      <c r="F39" s="190"/>
      <c r="G39" s="190"/>
      <c r="H39" s="190"/>
      <c r="I39" s="191"/>
    </row>
    <row r="40" spans="1:9" ht="18.75" customHeight="1" x14ac:dyDescent="0.2">
      <c r="A40" s="15"/>
      <c r="B40" s="189"/>
      <c r="C40" s="190"/>
      <c r="D40" s="190"/>
      <c r="E40" s="190"/>
      <c r="F40" s="190"/>
      <c r="G40" s="190"/>
      <c r="H40" s="190"/>
      <c r="I40" s="191"/>
    </row>
    <row r="41" spans="1:9" ht="18.75" customHeight="1" x14ac:dyDescent="0.2">
      <c r="A41" s="15"/>
      <c r="B41" s="189"/>
      <c r="C41" s="190"/>
      <c r="D41" s="190"/>
      <c r="E41" s="190"/>
      <c r="F41" s="190"/>
      <c r="G41" s="190"/>
      <c r="H41" s="190"/>
      <c r="I41" s="191"/>
    </row>
    <row r="42" spans="1:9" ht="18.75" customHeight="1" x14ac:dyDescent="0.2">
      <c r="A42" s="15"/>
      <c r="B42" s="189"/>
      <c r="C42" s="190"/>
      <c r="D42" s="190"/>
      <c r="E42" s="190"/>
      <c r="F42" s="190"/>
      <c r="G42" s="190"/>
      <c r="H42" s="190"/>
      <c r="I42" s="191"/>
    </row>
    <row r="43" spans="1:9" ht="18.75" customHeight="1" x14ac:dyDescent="0.2">
      <c r="A43" s="15"/>
      <c r="B43" s="189"/>
      <c r="C43" s="190"/>
      <c r="D43" s="190"/>
      <c r="E43" s="190"/>
      <c r="F43" s="190"/>
      <c r="G43" s="190"/>
      <c r="H43" s="190"/>
      <c r="I43" s="191"/>
    </row>
    <row r="44" spans="1:9" ht="18.75" customHeight="1" x14ac:dyDescent="0.2">
      <c r="A44" s="15"/>
      <c r="B44" s="189"/>
      <c r="C44" s="190"/>
      <c r="D44" s="190"/>
      <c r="E44" s="190"/>
      <c r="F44" s="190"/>
      <c r="G44" s="190"/>
      <c r="H44" s="190"/>
      <c r="I44" s="191"/>
    </row>
    <row r="45" spans="1:9" ht="18.75" customHeight="1" x14ac:dyDescent="0.2">
      <c r="A45" s="15"/>
      <c r="B45" s="189"/>
      <c r="C45" s="190"/>
      <c r="D45" s="190"/>
      <c r="E45" s="190"/>
      <c r="F45" s="190"/>
      <c r="G45" s="190"/>
      <c r="H45" s="190"/>
      <c r="I45" s="191"/>
    </row>
    <row r="46" spans="1:9" ht="18.75" customHeight="1" x14ac:dyDescent="0.2">
      <c r="A46" s="15"/>
      <c r="B46" s="192"/>
      <c r="C46" s="193"/>
      <c r="D46" s="193"/>
      <c r="E46" s="193"/>
      <c r="F46" s="193"/>
      <c r="G46" s="193"/>
      <c r="H46" s="193"/>
      <c r="I46" s="194"/>
    </row>
    <row r="47" spans="1:9" ht="7.5" customHeight="1" x14ac:dyDescent="0.2">
      <c r="A47" s="4"/>
      <c r="B47" s="4"/>
      <c r="C47" s="4"/>
      <c r="D47" s="4"/>
      <c r="E47" s="4"/>
      <c r="F47" s="4"/>
      <c r="G47" s="4"/>
      <c r="H47" s="4"/>
      <c r="I47" s="4"/>
    </row>
    <row r="48" spans="1:9" ht="18.75" customHeight="1" x14ac:dyDescent="0.2">
      <c r="A48" s="1" t="s">
        <v>124</v>
      </c>
      <c r="B48" s="1" t="s">
        <v>125</v>
      </c>
    </row>
    <row r="49" spans="1:15" s="3" customFormat="1" ht="18.75" customHeight="1" x14ac:dyDescent="0.2">
      <c r="B49" s="42" t="s">
        <v>126</v>
      </c>
      <c r="C49" s="227">
        <f>'様式２ 履修者等数の実績'!AQ32</f>
        <v>0.19033232628398791</v>
      </c>
      <c r="D49" s="227"/>
      <c r="E49" s="42" t="s">
        <v>127</v>
      </c>
      <c r="F49" s="227">
        <v>0.41799999999999998</v>
      </c>
      <c r="G49" s="227"/>
      <c r="H49" s="42" t="s">
        <v>128</v>
      </c>
      <c r="I49" s="43">
        <v>0.65600000000000003</v>
      </c>
      <c r="J49" s="1"/>
      <c r="M49" s="1"/>
      <c r="N49" s="44"/>
    </row>
    <row r="50" spans="1:15" s="3" customFormat="1" ht="18.75" customHeight="1" x14ac:dyDescent="0.2">
      <c r="B50" s="45" t="s">
        <v>129</v>
      </c>
      <c r="C50" s="210">
        <v>0.877</v>
      </c>
      <c r="D50" s="210"/>
      <c r="E50" s="45" t="s">
        <v>130</v>
      </c>
      <c r="F50" s="210">
        <v>0.97099999999999997</v>
      </c>
      <c r="G50" s="210"/>
      <c r="H50" s="45" t="s">
        <v>131</v>
      </c>
      <c r="I50" s="46">
        <f>'様式２ 履修者等数の実績'!E32</f>
        <v>3310</v>
      </c>
      <c r="J50" s="1"/>
      <c r="M50" s="1"/>
      <c r="N50" s="44"/>
    </row>
    <row r="51" spans="1:15" ht="18.75" customHeight="1" x14ac:dyDescent="0.2">
      <c r="A51" s="1"/>
      <c r="B51" s="201" t="s">
        <v>132</v>
      </c>
      <c r="C51" s="202"/>
      <c r="D51" s="202"/>
      <c r="E51" s="202"/>
      <c r="F51" s="202"/>
      <c r="G51" s="202"/>
      <c r="H51" s="202"/>
      <c r="I51" s="203"/>
      <c r="N51" s="44"/>
      <c r="O51" s="3"/>
    </row>
    <row r="52" spans="1:15" ht="18.75" customHeight="1" x14ac:dyDescent="0.2">
      <c r="A52" s="1"/>
      <c r="B52" s="228" t="s">
        <v>170</v>
      </c>
      <c r="C52" s="229"/>
      <c r="D52" s="229"/>
      <c r="E52" s="229"/>
      <c r="F52" s="229"/>
      <c r="G52" s="229"/>
      <c r="H52" s="229"/>
      <c r="I52" s="230"/>
      <c r="N52" s="44"/>
      <c r="O52" s="3"/>
    </row>
    <row r="53" spans="1:15" ht="18.75" customHeight="1" x14ac:dyDescent="0.2">
      <c r="A53" s="1"/>
      <c r="B53" s="231"/>
      <c r="C53" s="232"/>
      <c r="D53" s="232"/>
      <c r="E53" s="232"/>
      <c r="F53" s="232"/>
      <c r="G53" s="232"/>
      <c r="H53" s="232"/>
      <c r="I53" s="233"/>
      <c r="N53" s="44"/>
      <c r="O53" s="3"/>
    </row>
    <row r="54" spans="1:15" ht="18.75" customHeight="1" x14ac:dyDescent="0.2">
      <c r="A54" s="1"/>
      <c r="B54" s="231"/>
      <c r="C54" s="232"/>
      <c r="D54" s="232"/>
      <c r="E54" s="232"/>
      <c r="F54" s="232"/>
      <c r="G54" s="232"/>
      <c r="H54" s="232"/>
      <c r="I54" s="233"/>
    </row>
    <row r="55" spans="1:15" ht="18.75" customHeight="1" x14ac:dyDescent="0.2">
      <c r="A55" s="1"/>
      <c r="B55" s="231"/>
      <c r="C55" s="232"/>
      <c r="D55" s="232"/>
      <c r="E55" s="232"/>
      <c r="F55" s="232"/>
      <c r="G55" s="232"/>
      <c r="H55" s="232"/>
      <c r="I55" s="233"/>
    </row>
    <row r="56" spans="1:15" ht="18.75" customHeight="1" x14ac:dyDescent="0.2">
      <c r="A56" s="1"/>
      <c r="B56" s="231"/>
      <c r="C56" s="232"/>
      <c r="D56" s="232"/>
      <c r="E56" s="232"/>
      <c r="F56" s="232"/>
      <c r="G56" s="232"/>
      <c r="H56" s="232"/>
      <c r="I56" s="233"/>
    </row>
    <row r="57" spans="1:15" ht="18.75" customHeight="1" x14ac:dyDescent="0.2">
      <c r="A57" s="1"/>
      <c r="B57" s="231"/>
      <c r="C57" s="232"/>
      <c r="D57" s="232"/>
      <c r="E57" s="232"/>
      <c r="F57" s="232"/>
      <c r="G57" s="232"/>
      <c r="H57" s="232"/>
      <c r="I57" s="233"/>
    </row>
    <row r="58" spans="1:15" ht="18.75" customHeight="1" x14ac:dyDescent="0.2">
      <c r="A58" s="1"/>
      <c r="B58" s="231"/>
      <c r="C58" s="232"/>
      <c r="D58" s="232"/>
      <c r="E58" s="232"/>
      <c r="F58" s="232"/>
      <c r="G58" s="232"/>
      <c r="H58" s="232"/>
      <c r="I58" s="233"/>
    </row>
    <row r="59" spans="1:15" ht="18.75" customHeight="1" x14ac:dyDescent="0.2">
      <c r="A59" s="1"/>
      <c r="B59" s="231"/>
      <c r="C59" s="232"/>
      <c r="D59" s="232"/>
      <c r="E59" s="232"/>
      <c r="F59" s="232"/>
      <c r="G59" s="232"/>
      <c r="H59" s="232"/>
      <c r="I59" s="233"/>
    </row>
    <row r="60" spans="1:15" ht="18.75" customHeight="1" x14ac:dyDescent="0.2">
      <c r="A60" s="1"/>
      <c r="B60" s="231"/>
      <c r="C60" s="232"/>
      <c r="D60" s="232"/>
      <c r="E60" s="232"/>
      <c r="F60" s="232"/>
      <c r="G60" s="232"/>
      <c r="H60" s="232"/>
      <c r="I60" s="233"/>
    </row>
    <row r="61" spans="1:15" ht="18.75" customHeight="1" x14ac:dyDescent="0.2">
      <c r="A61" s="1"/>
      <c r="B61" s="231"/>
      <c r="C61" s="232"/>
      <c r="D61" s="232"/>
      <c r="E61" s="232"/>
      <c r="F61" s="232"/>
      <c r="G61" s="232"/>
      <c r="H61" s="232"/>
      <c r="I61" s="233"/>
    </row>
    <row r="62" spans="1:15" ht="18.75" customHeight="1" x14ac:dyDescent="0.2">
      <c r="A62" s="1"/>
      <c r="B62" s="231"/>
      <c r="C62" s="232"/>
      <c r="D62" s="232"/>
      <c r="E62" s="232"/>
      <c r="F62" s="232"/>
      <c r="G62" s="232"/>
      <c r="H62" s="232"/>
      <c r="I62" s="233"/>
    </row>
    <row r="63" spans="1:15" ht="18.75" customHeight="1" x14ac:dyDescent="0.2">
      <c r="A63" s="1"/>
      <c r="B63" s="234"/>
      <c r="C63" s="235"/>
      <c r="D63" s="235"/>
      <c r="E63" s="235"/>
      <c r="F63" s="235"/>
      <c r="G63" s="235"/>
      <c r="H63" s="235"/>
      <c r="I63" s="236"/>
    </row>
    <row r="64" spans="1:15" ht="7.5" customHeight="1" x14ac:dyDescent="0.2">
      <c r="A64" s="15"/>
      <c r="B64" s="15"/>
      <c r="C64" s="15"/>
      <c r="D64" s="15"/>
      <c r="E64" s="15"/>
      <c r="F64" s="15"/>
      <c r="G64" s="15"/>
      <c r="H64" s="15"/>
      <c r="I64" s="15"/>
    </row>
    <row r="65" spans="1:9" ht="18.75" customHeight="1" x14ac:dyDescent="0.2">
      <c r="A65" s="16" t="s">
        <v>133</v>
      </c>
      <c r="B65" s="1" t="s">
        <v>134</v>
      </c>
      <c r="I65" s="16"/>
    </row>
    <row r="66" spans="1:9" ht="18.75" customHeight="1" x14ac:dyDescent="0.2">
      <c r="A66" s="4"/>
      <c r="B66" s="211" t="s">
        <v>135</v>
      </c>
      <c r="C66" s="212"/>
      <c r="D66" s="212"/>
      <c r="E66" s="212"/>
      <c r="F66" s="212"/>
      <c r="G66" s="212"/>
      <c r="H66" s="212"/>
      <c r="I66" s="213"/>
    </row>
    <row r="67" spans="1:9" ht="18.75" customHeight="1" x14ac:dyDescent="0.2">
      <c r="A67" s="4"/>
      <c r="B67" s="214"/>
      <c r="C67" s="215"/>
      <c r="D67" s="215"/>
      <c r="E67" s="215"/>
      <c r="F67" s="215"/>
      <c r="G67" s="215"/>
      <c r="H67" s="215"/>
      <c r="I67" s="216"/>
    </row>
    <row r="68" spans="1:9" ht="18.75" customHeight="1" x14ac:dyDescent="0.2">
      <c r="A68" s="4"/>
      <c r="B68" s="214"/>
      <c r="C68" s="215"/>
      <c r="D68" s="215"/>
      <c r="E68" s="215"/>
      <c r="F68" s="215"/>
      <c r="G68" s="215"/>
      <c r="H68" s="215"/>
      <c r="I68" s="216"/>
    </row>
    <row r="69" spans="1:9" ht="18.75" customHeight="1" x14ac:dyDescent="0.2">
      <c r="A69" s="4"/>
      <c r="B69" s="214"/>
      <c r="C69" s="215"/>
      <c r="D69" s="215"/>
      <c r="E69" s="215"/>
      <c r="F69" s="215"/>
      <c r="G69" s="215"/>
      <c r="H69" s="215"/>
      <c r="I69" s="216"/>
    </row>
    <row r="70" spans="1:9" ht="18.75" customHeight="1" x14ac:dyDescent="0.2">
      <c r="A70" s="4"/>
      <c r="B70" s="214"/>
      <c r="C70" s="215"/>
      <c r="D70" s="215"/>
      <c r="E70" s="215"/>
      <c r="F70" s="215"/>
      <c r="G70" s="215"/>
      <c r="H70" s="215"/>
      <c r="I70" s="216"/>
    </row>
    <row r="71" spans="1:9" ht="18.75" customHeight="1" x14ac:dyDescent="0.2">
      <c r="A71" s="4"/>
      <c r="B71" s="214"/>
      <c r="C71" s="215"/>
      <c r="D71" s="215"/>
      <c r="E71" s="215"/>
      <c r="F71" s="215"/>
      <c r="G71" s="215"/>
      <c r="H71" s="215"/>
      <c r="I71" s="216"/>
    </row>
    <row r="72" spans="1:9" ht="18.75" customHeight="1" x14ac:dyDescent="0.2">
      <c r="A72" s="4"/>
      <c r="B72" s="214"/>
      <c r="C72" s="215"/>
      <c r="D72" s="215"/>
      <c r="E72" s="215"/>
      <c r="F72" s="215"/>
      <c r="G72" s="215"/>
      <c r="H72" s="215"/>
      <c r="I72" s="216"/>
    </row>
    <row r="73" spans="1:9" ht="18.75" customHeight="1" x14ac:dyDescent="0.2">
      <c r="A73" s="4"/>
      <c r="B73" s="214"/>
      <c r="C73" s="215"/>
      <c r="D73" s="215"/>
      <c r="E73" s="215"/>
      <c r="F73" s="215"/>
      <c r="G73" s="215"/>
      <c r="H73" s="215"/>
      <c r="I73" s="216"/>
    </row>
    <row r="74" spans="1:9" ht="18.75" customHeight="1" x14ac:dyDescent="0.2">
      <c r="A74" s="4"/>
      <c r="B74" s="214"/>
      <c r="C74" s="215"/>
      <c r="D74" s="215"/>
      <c r="E74" s="215"/>
      <c r="F74" s="215"/>
      <c r="G74" s="215"/>
      <c r="H74" s="215"/>
      <c r="I74" s="216"/>
    </row>
    <row r="75" spans="1:9" ht="18.75" customHeight="1" x14ac:dyDescent="0.2">
      <c r="A75" s="4"/>
      <c r="B75" s="214"/>
      <c r="C75" s="215"/>
      <c r="D75" s="215"/>
      <c r="E75" s="215"/>
      <c r="F75" s="215"/>
      <c r="G75" s="215"/>
      <c r="H75" s="215"/>
      <c r="I75" s="216"/>
    </row>
    <row r="76" spans="1:9" ht="18.75" customHeight="1" x14ac:dyDescent="0.2">
      <c r="A76" s="4"/>
      <c r="B76" s="214"/>
      <c r="C76" s="215"/>
      <c r="D76" s="215"/>
      <c r="E76" s="215"/>
      <c r="F76" s="215"/>
      <c r="G76" s="215"/>
      <c r="H76" s="215"/>
      <c r="I76" s="216"/>
    </row>
    <row r="77" spans="1:9" ht="18.75" customHeight="1" x14ac:dyDescent="0.2">
      <c r="A77" s="4"/>
      <c r="B77" s="217"/>
      <c r="C77" s="218"/>
      <c r="D77" s="218"/>
      <c r="E77" s="218"/>
      <c r="F77" s="218"/>
      <c r="G77" s="218"/>
      <c r="H77" s="218"/>
      <c r="I77" s="219"/>
    </row>
    <row r="78" spans="1:9" ht="7.5" customHeight="1" x14ac:dyDescent="0.2">
      <c r="A78" s="4"/>
      <c r="B78" s="4"/>
      <c r="C78" s="4"/>
      <c r="D78" s="4"/>
      <c r="E78" s="4"/>
      <c r="F78" s="4"/>
      <c r="G78" s="4"/>
      <c r="H78" s="4"/>
      <c r="I78" s="4"/>
    </row>
    <row r="79" spans="1:9" ht="18.75" customHeight="1" x14ac:dyDescent="0.2">
      <c r="A79" s="1" t="s">
        <v>136</v>
      </c>
      <c r="B79" s="1" t="s">
        <v>137</v>
      </c>
    </row>
    <row r="80" spans="1:9" ht="18.75" customHeight="1" x14ac:dyDescent="0.2">
      <c r="A80" s="1"/>
      <c r="B80" s="211" t="s">
        <v>171</v>
      </c>
      <c r="C80" s="212"/>
      <c r="D80" s="212"/>
      <c r="E80" s="212"/>
      <c r="F80" s="212"/>
      <c r="G80" s="212"/>
      <c r="H80" s="212"/>
      <c r="I80" s="220"/>
    </row>
    <row r="81" spans="1:9" ht="18.75" customHeight="1" x14ac:dyDescent="0.2">
      <c r="A81" s="1"/>
      <c r="B81" s="221"/>
      <c r="C81" s="222"/>
      <c r="D81" s="222"/>
      <c r="E81" s="222"/>
      <c r="F81" s="222"/>
      <c r="G81" s="222"/>
      <c r="H81" s="222"/>
      <c r="I81" s="223"/>
    </row>
    <row r="82" spans="1:9" ht="18.75" customHeight="1" x14ac:dyDescent="0.2">
      <c r="A82" s="1"/>
      <c r="B82" s="221"/>
      <c r="C82" s="222"/>
      <c r="D82" s="222"/>
      <c r="E82" s="222"/>
      <c r="F82" s="222"/>
      <c r="G82" s="222"/>
      <c r="H82" s="222"/>
      <c r="I82" s="223"/>
    </row>
    <row r="83" spans="1:9" ht="18.75" customHeight="1" x14ac:dyDescent="0.2">
      <c r="A83" s="1"/>
      <c r="B83" s="221"/>
      <c r="C83" s="222"/>
      <c r="D83" s="222"/>
      <c r="E83" s="222"/>
      <c r="F83" s="222"/>
      <c r="G83" s="222"/>
      <c r="H83" s="222"/>
      <c r="I83" s="223"/>
    </row>
    <row r="84" spans="1:9" ht="18.75" customHeight="1" x14ac:dyDescent="0.2">
      <c r="A84" s="1"/>
      <c r="B84" s="221"/>
      <c r="C84" s="222"/>
      <c r="D84" s="222"/>
      <c r="E84" s="222"/>
      <c r="F84" s="222"/>
      <c r="G84" s="222"/>
      <c r="H84" s="222"/>
      <c r="I84" s="223"/>
    </row>
    <row r="85" spans="1:9" ht="18.75" customHeight="1" x14ac:dyDescent="0.2">
      <c r="A85" s="1"/>
      <c r="B85" s="221"/>
      <c r="C85" s="222"/>
      <c r="D85" s="222"/>
      <c r="E85" s="222"/>
      <c r="F85" s="222"/>
      <c r="G85" s="222"/>
      <c r="H85" s="222"/>
      <c r="I85" s="223"/>
    </row>
    <row r="86" spans="1:9" ht="18.75" customHeight="1" x14ac:dyDescent="0.2">
      <c r="A86" s="1"/>
      <c r="B86" s="221"/>
      <c r="C86" s="222"/>
      <c r="D86" s="222"/>
      <c r="E86" s="222"/>
      <c r="F86" s="222"/>
      <c r="G86" s="222"/>
      <c r="H86" s="222"/>
      <c r="I86" s="223"/>
    </row>
    <row r="87" spans="1:9" ht="18.75" customHeight="1" x14ac:dyDescent="0.2">
      <c r="A87" s="1"/>
      <c r="B87" s="221"/>
      <c r="C87" s="222"/>
      <c r="D87" s="222"/>
      <c r="E87" s="222"/>
      <c r="F87" s="222"/>
      <c r="G87" s="222"/>
      <c r="H87" s="222"/>
      <c r="I87" s="223"/>
    </row>
    <row r="88" spans="1:9" ht="18.75" customHeight="1" x14ac:dyDescent="0.2">
      <c r="A88" s="1"/>
      <c r="B88" s="221"/>
      <c r="C88" s="222"/>
      <c r="D88" s="222"/>
      <c r="E88" s="222"/>
      <c r="F88" s="222"/>
      <c r="G88" s="222"/>
      <c r="H88" s="222"/>
      <c r="I88" s="223"/>
    </row>
    <row r="89" spans="1:9" ht="18.75" customHeight="1" x14ac:dyDescent="0.2">
      <c r="A89" s="1"/>
      <c r="B89" s="221"/>
      <c r="C89" s="222"/>
      <c r="D89" s="222"/>
      <c r="E89" s="222"/>
      <c r="F89" s="222"/>
      <c r="G89" s="222"/>
      <c r="H89" s="222"/>
      <c r="I89" s="223"/>
    </row>
    <row r="90" spans="1:9" ht="18.75" customHeight="1" x14ac:dyDescent="0.2">
      <c r="A90" s="4"/>
      <c r="B90" s="221"/>
      <c r="C90" s="222"/>
      <c r="D90" s="222"/>
      <c r="E90" s="222"/>
      <c r="F90" s="222"/>
      <c r="G90" s="222"/>
      <c r="H90" s="222"/>
      <c r="I90" s="223"/>
    </row>
    <row r="91" spans="1:9" ht="18.75" customHeight="1" x14ac:dyDescent="0.2">
      <c r="A91" s="4"/>
      <c r="B91" s="224"/>
      <c r="C91" s="225"/>
      <c r="D91" s="225"/>
      <c r="E91" s="225"/>
      <c r="F91" s="225"/>
      <c r="G91" s="225"/>
      <c r="H91" s="225"/>
      <c r="I91" s="226"/>
    </row>
    <row r="92" spans="1:9" ht="7.5" customHeight="1" x14ac:dyDescent="0.2">
      <c r="A92" s="4"/>
      <c r="B92" s="4"/>
      <c r="C92" s="4"/>
      <c r="D92" s="4"/>
      <c r="E92" s="4"/>
      <c r="F92" s="4"/>
      <c r="G92" s="4"/>
      <c r="H92" s="4"/>
      <c r="I92" s="4"/>
    </row>
    <row r="93" spans="1:9" ht="18.75" customHeight="1" x14ac:dyDescent="0.2">
      <c r="A93" s="1" t="s">
        <v>138</v>
      </c>
      <c r="B93" s="1" t="s">
        <v>139</v>
      </c>
    </row>
    <row r="94" spans="1:9" ht="18.75" customHeight="1" x14ac:dyDescent="0.2">
      <c r="A94" s="1"/>
      <c r="B94" s="186" t="s">
        <v>172</v>
      </c>
      <c r="C94" s="187"/>
      <c r="D94" s="187"/>
      <c r="E94" s="187"/>
      <c r="F94" s="187"/>
      <c r="G94" s="187"/>
      <c r="H94" s="187"/>
      <c r="I94" s="188"/>
    </row>
    <row r="95" spans="1:9" ht="18.75" customHeight="1" x14ac:dyDescent="0.2">
      <c r="A95" s="1"/>
      <c r="B95" s="189"/>
      <c r="C95" s="190"/>
      <c r="D95" s="190"/>
      <c r="E95" s="190"/>
      <c r="F95" s="190"/>
      <c r="G95" s="190"/>
      <c r="H95" s="190"/>
      <c r="I95" s="191"/>
    </row>
    <row r="96" spans="1:9" ht="18.75" customHeight="1" x14ac:dyDescent="0.2">
      <c r="A96" s="1"/>
      <c r="B96" s="189"/>
      <c r="C96" s="190"/>
      <c r="D96" s="190"/>
      <c r="E96" s="190"/>
      <c r="F96" s="190"/>
      <c r="G96" s="190"/>
      <c r="H96" s="190"/>
      <c r="I96" s="191"/>
    </row>
    <row r="97" spans="1:9" ht="18.75" customHeight="1" x14ac:dyDescent="0.2">
      <c r="A97" s="1"/>
      <c r="B97" s="189"/>
      <c r="C97" s="190"/>
      <c r="D97" s="190"/>
      <c r="E97" s="190"/>
      <c r="F97" s="190"/>
      <c r="G97" s="190"/>
      <c r="H97" s="190"/>
      <c r="I97" s="191"/>
    </row>
    <row r="98" spans="1:9" ht="18.75" customHeight="1" x14ac:dyDescent="0.2">
      <c r="A98" s="1"/>
      <c r="B98" s="189"/>
      <c r="C98" s="190"/>
      <c r="D98" s="190"/>
      <c r="E98" s="190"/>
      <c r="F98" s="190"/>
      <c r="G98" s="190"/>
      <c r="H98" s="190"/>
      <c r="I98" s="191"/>
    </row>
    <row r="99" spans="1:9" ht="18.75" customHeight="1" x14ac:dyDescent="0.2">
      <c r="A99" s="1"/>
      <c r="B99" s="189"/>
      <c r="C99" s="190"/>
      <c r="D99" s="190"/>
      <c r="E99" s="190"/>
      <c r="F99" s="190"/>
      <c r="G99" s="190"/>
      <c r="H99" s="190"/>
      <c r="I99" s="191"/>
    </row>
    <row r="100" spans="1:9" ht="18.75" customHeight="1" x14ac:dyDescent="0.2">
      <c r="A100" s="1"/>
      <c r="B100" s="189"/>
      <c r="C100" s="190"/>
      <c r="D100" s="190"/>
      <c r="E100" s="190"/>
      <c r="F100" s="190"/>
      <c r="G100" s="190"/>
      <c r="H100" s="190"/>
      <c r="I100" s="191"/>
    </row>
    <row r="101" spans="1:9" ht="18.75" customHeight="1" x14ac:dyDescent="0.2">
      <c r="A101" s="1"/>
      <c r="B101" s="189"/>
      <c r="C101" s="190"/>
      <c r="D101" s="190"/>
      <c r="E101" s="190"/>
      <c r="F101" s="190"/>
      <c r="G101" s="190"/>
      <c r="H101" s="190"/>
      <c r="I101" s="191"/>
    </row>
    <row r="102" spans="1:9" ht="18.75" customHeight="1" x14ac:dyDescent="0.2">
      <c r="A102" s="1"/>
      <c r="B102" s="189"/>
      <c r="C102" s="190"/>
      <c r="D102" s="190"/>
      <c r="E102" s="190"/>
      <c r="F102" s="190"/>
      <c r="G102" s="190"/>
      <c r="H102" s="190"/>
      <c r="I102" s="191"/>
    </row>
    <row r="103" spans="1:9" ht="18.75" customHeight="1" x14ac:dyDescent="0.2">
      <c r="A103" s="1"/>
      <c r="B103" s="189"/>
      <c r="C103" s="190"/>
      <c r="D103" s="190"/>
      <c r="E103" s="190"/>
      <c r="F103" s="190"/>
      <c r="G103" s="190"/>
      <c r="H103" s="190"/>
      <c r="I103" s="191"/>
    </row>
    <row r="104" spans="1:9" ht="18.75" customHeight="1" x14ac:dyDescent="0.2">
      <c r="A104" s="1"/>
      <c r="B104" s="189"/>
      <c r="C104" s="190"/>
      <c r="D104" s="190"/>
      <c r="E104" s="190"/>
      <c r="F104" s="190"/>
      <c r="G104" s="190"/>
      <c r="H104" s="190"/>
      <c r="I104" s="191"/>
    </row>
    <row r="105" spans="1:9" ht="18.75" customHeight="1" x14ac:dyDescent="0.2">
      <c r="A105" s="4"/>
      <c r="B105" s="192"/>
      <c r="C105" s="193"/>
      <c r="D105" s="193"/>
      <c r="E105" s="193"/>
      <c r="F105" s="193"/>
      <c r="G105" s="193"/>
      <c r="H105" s="193"/>
      <c r="I105" s="194"/>
    </row>
    <row r="106" spans="1:9" ht="7.5" customHeight="1" x14ac:dyDescent="0.2">
      <c r="A106" s="4"/>
      <c r="B106" s="4"/>
      <c r="C106" s="4"/>
      <c r="D106" s="4"/>
      <c r="E106" s="4"/>
      <c r="F106" s="4"/>
      <c r="G106" s="4"/>
      <c r="H106" s="4"/>
      <c r="I106" s="4"/>
    </row>
    <row r="107" spans="1:9" ht="18.75" customHeight="1" x14ac:dyDescent="0.2">
      <c r="A107" s="1" t="s">
        <v>140</v>
      </c>
      <c r="B107" s="195" t="s">
        <v>141</v>
      </c>
      <c r="C107" s="195"/>
      <c r="D107" s="195"/>
      <c r="E107" s="195"/>
      <c r="F107" s="195"/>
      <c r="G107" s="195"/>
      <c r="H107" s="195"/>
      <c r="I107" s="195"/>
    </row>
    <row r="108" spans="1:9" ht="18.75" customHeight="1" x14ac:dyDescent="0.2">
      <c r="A108" s="4"/>
      <c r="B108" s="186" t="s">
        <v>142</v>
      </c>
      <c r="C108" s="187"/>
      <c r="D108" s="187"/>
      <c r="E108" s="187"/>
      <c r="F108" s="187"/>
      <c r="G108" s="187"/>
      <c r="H108" s="187"/>
      <c r="I108" s="188"/>
    </row>
    <row r="109" spans="1:9" ht="18.75" customHeight="1" x14ac:dyDescent="0.2">
      <c r="A109" s="4"/>
      <c r="B109" s="189"/>
      <c r="C109" s="190"/>
      <c r="D109" s="190"/>
      <c r="E109" s="190"/>
      <c r="F109" s="190"/>
      <c r="G109" s="190"/>
      <c r="H109" s="190"/>
      <c r="I109" s="191"/>
    </row>
    <row r="110" spans="1:9" ht="18.75" customHeight="1" x14ac:dyDescent="0.2">
      <c r="A110" s="4"/>
      <c r="B110" s="189"/>
      <c r="C110" s="190"/>
      <c r="D110" s="190"/>
      <c r="E110" s="190"/>
      <c r="F110" s="190"/>
      <c r="G110" s="190"/>
      <c r="H110" s="190"/>
      <c r="I110" s="191"/>
    </row>
    <row r="111" spans="1:9" ht="18.75" customHeight="1" x14ac:dyDescent="0.2">
      <c r="A111" s="4"/>
      <c r="B111" s="189"/>
      <c r="C111" s="190"/>
      <c r="D111" s="190"/>
      <c r="E111" s="190"/>
      <c r="F111" s="190"/>
      <c r="G111" s="190"/>
      <c r="H111" s="190"/>
      <c r="I111" s="191"/>
    </row>
    <row r="112" spans="1:9" ht="18.75" customHeight="1" x14ac:dyDescent="0.2">
      <c r="A112" s="4"/>
      <c r="B112" s="189"/>
      <c r="C112" s="190"/>
      <c r="D112" s="190"/>
      <c r="E112" s="190"/>
      <c r="F112" s="190"/>
      <c r="G112" s="190"/>
      <c r="H112" s="190"/>
      <c r="I112" s="191"/>
    </row>
    <row r="113" spans="1:9" ht="18.75" customHeight="1" x14ac:dyDescent="0.2">
      <c r="A113" s="4"/>
      <c r="B113" s="189"/>
      <c r="C113" s="190"/>
      <c r="D113" s="190"/>
      <c r="E113" s="190"/>
      <c r="F113" s="190"/>
      <c r="G113" s="190"/>
      <c r="H113" s="190"/>
      <c r="I113" s="191"/>
    </row>
    <row r="114" spans="1:9" ht="18.75" customHeight="1" x14ac:dyDescent="0.2">
      <c r="A114" s="4"/>
      <c r="B114" s="189"/>
      <c r="C114" s="190"/>
      <c r="D114" s="190"/>
      <c r="E114" s="190"/>
      <c r="F114" s="190"/>
      <c r="G114" s="190"/>
      <c r="H114" s="190"/>
      <c r="I114" s="191"/>
    </row>
    <row r="115" spans="1:9" ht="18.75" customHeight="1" x14ac:dyDescent="0.2">
      <c r="A115" s="4"/>
      <c r="B115" s="189"/>
      <c r="C115" s="190"/>
      <c r="D115" s="190"/>
      <c r="E115" s="190"/>
      <c r="F115" s="190"/>
      <c r="G115" s="190"/>
      <c r="H115" s="190"/>
      <c r="I115" s="191"/>
    </row>
    <row r="116" spans="1:9" ht="18.75" customHeight="1" x14ac:dyDescent="0.2">
      <c r="A116" s="4"/>
      <c r="B116" s="189"/>
      <c r="C116" s="190"/>
      <c r="D116" s="190"/>
      <c r="E116" s="190"/>
      <c r="F116" s="190"/>
      <c r="G116" s="190"/>
      <c r="H116" s="190"/>
      <c r="I116" s="191"/>
    </row>
    <row r="117" spans="1:9" ht="18.75" customHeight="1" x14ac:dyDescent="0.2">
      <c r="A117" s="4"/>
      <c r="B117" s="189"/>
      <c r="C117" s="190"/>
      <c r="D117" s="190"/>
      <c r="E117" s="190"/>
      <c r="F117" s="190"/>
      <c r="G117" s="190"/>
      <c r="H117" s="190"/>
      <c r="I117" s="191"/>
    </row>
    <row r="118" spans="1:9" ht="18.75" customHeight="1" x14ac:dyDescent="0.2">
      <c r="A118" s="4"/>
      <c r="B118" s="189"/>
      <c r="C118" s="190"/>
      <c r="D118" s="190"/>
      <c r="E118" s="190"/>
      <c r="F118" s="190"/>
      <c r="G118" s="190"/>
      <c r="H118" s="190"/>
      <c r="I118" s="191"/>
    </row>
    <row r="119" spans="1:9" ht="18.75" customHeight="1" x14ac:dyDescent="0.2">
      <c r="A119" s="4"/>
      <c r="B119" s="192"/>
      <c r="C119" s="193"/>
      <c r="D119" s="193"/>
      <c r="E119" s="193"/>
      <c r="F119" s="193"/>
      <c r="G119" s="193"/>
      <c r="H119" s="193"/>
      <c r="I119" s="194"/>
    </row>
    <row r="120" spans="1:9" ht="7.5" customHeight="1" x14ac:dyDescent="0.2">
      <c r="A120" s="4"/>
      <c r="B120" s="47"/>
      <c r="C120" s="47"/>
      <c r="D120" s="47"/>
      <c r="E120" s="47"/>
      <c r="F120" s="47"/>
      <c r="G120" s="47"/>
      <c r="H120" s="47"/>
      <c r="I120" s="47"/>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 x14ac:dyDescent="0.2">
      <c r="A133" s="4"/>
      <c r="B133" s="4"/>
      <c r="C133" s="4"/>
      <c r="D133" s="4"/>
      <c r="E133" s="4"/>
      <c r="F133" s="4"/>
      <c r="G133" s="4"/>
      <c r="H133" s="4"/>
      <c r="I133" s="4"/>
    </row>
    <row r="134" spans="1:9" ht="7.5" customHeight="1" x14ac:dyDescent="0.2">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1"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140" zoomScaleNormal="100" zoomScaleSheetLayoutView="140" workbookViewId="0">
      <selection activeCell="Q22" sqref="Q22"/>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1796875" style="1" customWidth="1"/>
    <col min="11" max="16384" width="11.36328125" style="1"/>
  </cols>
  <sheetData>
    <row r="1" spans="1:9" ht="18.75" customHeight="1" x14ac:dyDescent="0.2">
      <c r="A1" s="1" t="s">
        <v>143</v>
      </c>
      <c r="I1" s="35" t="s">
        <v>144</v>
      </c>
    </row>
    <row r="2" spans="1:9" ht="18.75" customHeight="1" x14ac:dyDescent="0.2">
      <c r="H2" s="35" t="s">
        <v>1</v>
      </c>
      <c r="I2" s="34" t="str">
        <f>'様式１-2　プログラムを構成する授業科目（管）'!C2</f>
        <v>山梨学院大学</v>
      </c>
    </row>
    <row r="3" spans="1:9" ht="18.75" customHeight="1" x14ac:dyDescent="0.2">
      <c r="A3" s="103" t="s">
        <v>145</v>
      </c>
      <c r="B3" s="103"/>
      <c r="C3" s="103"/>
      <c r="D3" s="103"/>
      <c r="E3" s="103"/>
      <c r="F3" s="103"/>
      <c r="G3" s="103"/>
      <c r="H3" s="103"/>
      <c r="I3" s="103"/>
    </row>
    <row r="4" spans="1:9" ht="18.75" customHeight="1" x14ac:dyDescent="0.2">
      <c r="A4" s="5"/>
      <c r="B4" s="5"/>
      <c r="C4" s="5"/>
      <c r="D4" s="5"/>
      <c r="E4" s="5"/>
      <c r="F4" s="5"/>
      <c r="G4" s="5"/>
      <c r="H4" s="5"/>
      <c r="I4" s="5"/>
    </row>
    <row r="5" spans="1:9" ht="18.75" customHeight="1" x14ac:dyDescent="0.2">
      <c r="A5" s="1" t="s">
        <v>98</v>
      </c>
      <c r="B5" s="10" t="s">
        <v>146</v>
      </c>
      <c r="C5" s="5"/>
      <c r="D5" s="5"/>
      <c r="E5" s="5"/>
      <c r="F5" s="5"/>
      <c r="G5" s="5"/>
      <c r="H5" s="5"/>
      <c r="I5" s="5"/>
    </row>
    <row r="6" spans="1:9" ht="26.25" customHeight="1" x14ac:dyDescent="0.2">
      <c r="A6" s="5"/>
      <c r="B6" s="204" t="s">
        <v>112</v>
      </c>
      <c r="C6" s="247"/>
      <c r="D6" s="247"/>
      <c r="E6" s="247"/>
      <c r="F6" s="247"/>
      <c r="G6" s="247"/>
      <c r="H6" s="248"/>
      <c r="I6" s="3"/>
    </row>
    <row r="7" spans="1:9" ht="9" customHeight="1" x14ac:dyDescent="0.2">
      <c r="A7" s="5"/>
      <c r="B7" s="10"/>
      <c r="C7" s="10"/>
      <c r="D7" s="10"/>
      <c r="E7" s="10"/>
      <c r="F7" s="10"/>
      <c r="G7" s="10"/>
      <c r="H7" s="10"/>
      <c r="I7" s="3"/>
    </row>
    <row r="8" spans="1:9" ht="18.75" customHeight="1" x14ac:dyDescent="0.2">
      <c r="A8" s="5"/>
      <c r="B8" s="3"/>
      <c r="C8" s="3"/>
      <c r="D8" s="35" t="s">
        <v>107</v>
      </c>
      <c r="E8" s="82" t="s">
        <v>113</v>
      </c>
      <c r="F8" s="3"/>
      <c r="G8" s="35" t="s">
        <v>108</v>
      </c>
      <c r="H8" s="82" t="s">
        <v>114</v>
      </c>
      <c r="I8" s="3"/>
    </row>
    <row r="9" spans="1:9" ht="7.5" customHeight="1" x14ac:dyDescent="0.2">
      <c r="A9" s="5"/>
      <c r="B9" s="5"/>
      <c r="C9" s="5"/>
      <c r="D9" s="5"/>
      <c r="E9" s="5"/>
      <c r="F9" s="5"/>
      <c r="G9" s="5"/>
      <c r="H9" s="5"/>
      <c r="I9" s="5"/>
    </row>
    <row r="10" spans="1:9" ht="18.75" customHeight="1" x14ac:dyDescent="0.2">
      <c r="A10" s="1" t="s">
        <v>103</v>
      </c>
      <c r="B10" s="1" t="s">
        <v>147</v>
      </c>
      <c r="C10" s="4"/>
      <c r="D10" s="4"/>
      <c r="E10" s="4"/>
      <c r="F10" s="4"/>
      <c r="G10" s="4"/>
      <c r="H10" s="4"/>
      <c r="I10" s="4"/>
    </row>
    <row r="11" spans="1:9" ht="18.75" customHeight="1" x14ac:dyDescent="0.2">
      <c r="B11" s="92" t="s">
        <v>148</v>
      </c>
      <c r="C11" s="98"/>
      <c r="D11" s="93"/>
      <c r="E11" s="98" t="s">
        <v>149</v>
      </c>
      <c r="F11" s="98"/>
      <c r="G11" s="98"/>
      <c r="H11" s="98"/>
      <c r="I11" s="93"/>
    </row>
    <row r="12" spans="1:9" ht="26.25" customHeight="1" x14ac:dyDescent="0.2">
      <c r="B12" s="49" t="s">
        <v>150</v>
      </c>
      <c r="C12" s="56"/>
      <c r="D12" s="50"/>
      <c r="E12" s="57"/>
      <c r="F12" s="57"/>
      <c r="G12" s="57"/>
      <c r="H12" s="57"/>
      <c r="I12" s="50"/>
    </row>
    <row r="13" spans="1:9" ht="220" customHeight="1" x14ac:dyDescent="0.2">
      <c r="B13" s="51"/>
      <c r="C13" s="242" t="s">
        <v>151</v>
      </c>
      <c r="D13" s="243"/>
      <c r="E13" s="244" t="s">
        <v>152</v>
      </c>
      <c r="F13" s="245"/>
      <c r="G13" s="245"/>
      <c r="H13" s="245"/>
      <c r="I13" s="246"/>
    </row>
    <row r="14" spans="1:9" ht="219" customHeight="1" x14ac:dyDescent="0.2">
      <c r="B14" s="51"/>
      <c r="C14" s="237" t="s">
        <v>153</v>
      </c>
      <c r="D14" s="238"/>
      <c r="E14" s="239" t="s">
        <v>173</v>
      </c>
      <c r="F14" s="240"/>
      <c r="G14" s="240"/>
      <c r="H14" s="240"/>
      <c r="I14" s="241"/>
    </row>
    <row r="15" spans="1:9" ht="220" customHeight="1" x14ac:dyDescent="0.2">
      <c r="B15" s="51"/>
      <c r="C15" s="242" t="s">
        <v>154</v>
      </c>
      <c r="D15" s="243"/>
      <c r="E15" s="239" t="s">
        <v>167</v>
      </c>
      <c r="F15" s="240"/>
      <c r="G15" s="240"/>
      <c r="H15" s="240"/>
      <c r="I15" s="241"/>
    </row>
    <row r="16" spans="1:9" ht="210.75" customHeight="1" x14ac:dyDescent="0.2">
      <c r="B16" s="51"/>
      <c r="C16" s="242" t="s">
        <v>155</v>
      </c>
      <c r="D16" s="243"/>
      <c r="E16" s="239" t="s">
        <v>168</v>
      </c>
      <c r="F16" s="240"/>
      <c r="G16" s="240"/>
      <c r="H16" s="240"/>
      <c r="I16" s="241"/>
    </row>
    <row r="17" spans="2:9" ht="210.75" customHeight="1" x14ac:dyDescent="0.2">
      <c r="B17" s="52"/>
      <c r="C17" s="249" t="s">
        <v>156</v>
      </c>
      <c r="D17" s="250"/>
      <c r="E17" s="251" t="s">
        <v>174</v>
      </c>
      <c r="F17" s="252"/>
      <c r="G17" s="252"/>
      <c r="H17" s="252"/>
      <c r="I17" s="253"/>
    </row>
    <row r="18" spans="2:9" ht="24" customHeight="1" x14ac:dyDescent="0.2">
      <c r="B18" s="49" t="s">
        <v>157</v>
      </c>
      <c r="C18" s="53"/>
      <c r="D18" s="54"/>
      <c r="E18" s="55"/>
      <c r="F18" s="55"/>
      <c r="G18" s="55"/>
      <c r="H18" s="55"/>
      <c r="I18" s="58"/>
    </row>
    <row r="19" spans="2:9" ht="218.25" customHeight="1" x14ac:dyDescent="0.2">
      <c r="B19" s="51"/>
      <c r="C19" s="242" t="s">
        <v>158</v>
      </c>
      <c r="D19" s="243"/>
      <c r="E19" s="240" t="s">
        <v>159</v>
      </c>
      <c r="F19" s="240"/>
      <c r="G19" s="240"/>
      <c r="H19" s="240"/>
      <c r="I19" s="241"/>
    </row>
    <row r="20" spans="2:9" ht="113.25" customHeight="1" x14ac:dyDescent="0.2">
      <c r="B20" s="52"/>
      <c r="C20" s="249" t="s">
        <v>160</v>
      </c>
      <c r="D20" s="250"/>
      <c r="E20" s="252" t="s">
        <v>161</v>
      </c>
      <c r="F20" s="252"/>
      <c r="G20" s="252"/>
      <c r="H20" s="252"/>
      <c r="I20" s="253"/>
    </row>
    <row r="21" spans="2:9" ht="218.25" customHeight="1" x14ac:dyDescent="0.2">
      <c r="B21" s="259" t="s">
        <v>162</v>
      </c>
      <c r="C21" s="260"/>
      <c r="D21" s="261"/>
      <c r="E21" s="262" t="s">
        <v>163</v>
      </c>
      <c r="F21" s="262"/>
      <c r="G21" s="262"/>
      <c r="H21" s="262"/>
      <c r="I21" s="263"/>
    </row>
    <row r="22" spans="2:9" ht="218.25" customHeight="1" x14ac:dyDescent="0.2">
      <c r="B22" s="254" t="s">
        <v>164</v>
      </c>
      <c r="C22" s="255"/>
      <c r="D22" s="256"/>
      <c r="E22" s="257" t="s">
        <v>175</v>
      </c>
      <c r="F22" s="257"/>
      <c r="G22" s="257"/>
      <c r="H22" s="257"/>
      <c r="I22" s="258"/>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様式１-1　プログラムを構成する授業科目 (法経ス）</vt:lpstr>
      <vt:lpstr>様式１-2　プログラムを構成する授業科目（管）</vt:lpstr>
      <vt:lpstr>様式１-3　プログラムを構成する授業科目（国際）</vt:lpstr>
      <vt:lpstr>様式２ 履修者等数の実績</vt:lpstr>
      <vt:lpstr>様式３ 教育の質・履修者数を向上させるための体制・計画</vt:lpstr>
      <vt:lpstr>様式４　自己点検・評価</vt:lpstr>
      <vt:lpstr>'様式１-1　プログラムを構成する授業科目 (法経ス）'!Print_Area</vt:lpstr>
      <vt:lpstr>'様式１-2　プログラムを構成する授業科目（管）'!Print_Area</vt:lpstr>
      <vt:lpstr>'様式１-3　プログラムを構成する授業科目（国際）'!Print_Area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芦澤　翔太</cp:lastModifiedBy>
  <cp:revision/>
  <dcterms:created xsi:type="dcterms:W3CDTF">2011-06-14T05:32:50Z</dcterms:created>
  <dcterms:modified xsi:type="dcterms:W3CDTF">2023-08-22T04:33:46Z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