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0.192.32.230\Kyomu\教務チーム\03 【開講科目･時間割 設定以外】 学部\25-BUILD-MDASH\02_MDASH（リテラシーレベル）申請\"/>
    </mc:Choice>
  </mc:AlternateContent>
  <bookViews>
    <workbookView xWindow="0" yWindow="0" windowWidth="38400" windowHeight="1777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プログラムを構成する授業科目'!$A$1:$S$76</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8" i="41" l="1"/>
  <c r="J80" i="41"/>
  <c r="J94" i="41"/>
  <c r="J66" i="41"/>
  <c r="J52" i="41"/>
  <c r="J22" i="41"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comments1.xml><?xml version="1.0" encoding="utf-8"?>
<comments xmlns="http://schemas.openxmlformats.org/spreadsheetml/2006/main">
  <authors>
    <author>tsukagoshi</author>
  </authors>
  <commentList>
    <comment ref="E12" authorId="0" shapeId="0">
      <text>
        <r>
          <rPr>
            <b/>
            <sz val="9"/>
            <color indexed="81"/>
            <rFont val="MS P ゴシック"/>
            <family val="3"/>
            <charset val="128"/>
          </rPr>
          <t>国際教養大学:</t>
        </r>
        <r>
          <rPr>
            <sz val="9"/>
            <color indexed="81"/>
            <rFont val="MS P ゴシック"/>
            <family val="3"/>
            <charset val="128"/>
          </rPr>
          <t xml:space="preserve">
本学は令和3年度から再編された1学部1学科での新カリキュラムを導入しており、本プログラムはその新カリキュラム下の全学生が対象となっている。
令和4年5月1日現在での新カリキュラム下の収容定員については、本学学則
https://www4.kitei-kanri.jp/unc/aiu/doc/gakugai/print/37.html#rule_261
に明記されている。令和3年4月1日施行の附則の「令和4年度」の表にある「国際教養学科」の行を参照されたい。
2023.07.21 MEXT専門教育課情報教育推進第一係からの同日付けメール指示を踏まえて全学の収容定員728名に変更</t>
        </r>
      </text>
    </comment>
  </commentList>
</comments>
</file>

<file path=xl/comments2.xml><?xml version="1.0" encoding="utf-8"?>
<comments xmlns="http://schemas.openxmlformats.org/spreadsheetml/2006/main">
  <authors>
    <author>tsukagoshi</author>
  </authors>
  <commentList>
    <comment ref="I50" authorId="0" shapeId="0">
      <text>
        <r>
          <rPr>
            <b/>
            <sz val="9"/>
            <color indexed="81"/>
            <rFont val="MS P ゴシック"/>
            <family val="3"/>
            <charset val="128"/>
          </rPr>
          <t>国際教養大学:</t>
        </r>
        <r>
          <rPr>
            <sz val="9"/>
            <color indexed="81"/>
            <rFont val="MS P ゴシック"/>
            <family val="3"/>
            <charset val="128"/>
          </rPr>
          <t xml:space="preserve">
様式2 E12セル（収容定員）のExcelコメントを参照のこと</t>
        </r>
      </text>
    </comment>
  </commentList>
</comments>
</file>

<file path=xl/sharedStrings.xml><?xml version="1.0" encoding="utf-8"?>
<sst xmlns="http://schemas.openxmlformats.org/spreadsheetml/2006/main" count="310" uniqueCount="180">
  <si>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</si>
  <si>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</si>
  <si>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</si>
  <si>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</si>
  <si>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</si>
  <si>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</si>
  <si>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</si>
  <si>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</si>
  <si>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</si>
  <si>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</si>
  <si>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</si>
  <si>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</si>
  <si>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</si>
  <si>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</si>
  <si>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</si>
  <si>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</si>
  <si>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</si>
  <si>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</si>
  <si>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</si>
  <si>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</si>
  <si>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</si>
  <si>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</si>
  <si>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</si>
  <si>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</si>
  <si>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</si>
  <si>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</si>
  <si>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</si>
  <si>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</si>
  <si>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</si>
  <si>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</si>
  <si>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</si>
  <si>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</si>
  <si>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</si>
  <si>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</si>
  <si>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</si>
  <si>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</si>
  <si>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</si>
  <si>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</si>
  <si>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</si>
  <si>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</si>
  <si>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</si>
  <si>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</si>
  <si>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</si>
  <si>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</si>
  <si>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</si>
  <si>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</si>
  <si>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</si>
  <si>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</si>
  <si>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</si>
  <si>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</si>
  <si>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</si>
  <si>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</si>
  <si>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</si>
  <si>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</si>
  <si>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</si>
  <si>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</si>
  <si>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</si>
  <si>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</si>
  <si>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</si>
  <si>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</si>
  <si>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</si>
  <si>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</si>
  <si>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</si>
  <si>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</si>
  <si>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</si>
  <si>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</si>
  <si>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</si>
  <si>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</si>
  <si>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</si>
  <si>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</si>
  <si>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</si>
  <si>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</si>
  <si>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</si>
  <si>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</si>
  <si>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</si>
  <si>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</si>
  <si>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</si>
  <si>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</si>
  <si>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</si>
  <si>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</si>
  <si>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</si>
  <si>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</si>
  <si>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</si>
  <si>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</si>
  <si>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</si>
  <si>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</si>
  <si>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</si>
  <si>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</si>
  <si>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</si>
  <si>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</si>
  <si>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</si>
  <si>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</si>
  <si>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</si>
  <si>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</si>
  <si>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</si>
  <si>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</si>
  <si>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</si>
  <si>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</si>
  <si>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</si>
  <si>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</si>
  <si>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</si>
  <si>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</si>
  <si>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</si>
  <si>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</si>
  <si>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</si>
  <si>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</si>
  <si>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</si>
  <si>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</si>
  <si>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</si>
  <si>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</si>
  <si>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</si>
  <si>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</si>
  <si>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</si>
  <si>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</si>
  <si>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</si>
  <si>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</si>
  <si>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</si>
  <si>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</si>
  <si>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</si>
  <si>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</si>
  <si>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</si>
  <si>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</si>
  <si>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</si>
  <si>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</si>
  <si>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</si>
  <si>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</si>
  <si>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</si>
  <si>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t>
  </si>
  <si>
    <t>熊谷　嘉隆</t>
    <rPh sb="0" eb="2">
      <t>クマガイ</t>
    </rPh>
    <rPh sb="3" eb="4">
      <t>ヨシ</t>
    </rPh>
    <rPh sb="4" eb="5">
      <t>タカシ</t>
    </rPh>
    <phoneticPr fontId="1"/>
  </si>
  <si>
    <t>副学長</t>
    <rPh sb="0" eb="3">
      <t>フクガクチョウ</t>
    </rPh>
    <phoneticPr fontId="1"/>
  </si>
  <si>
    <t>教育研究会議</t>
    <rPh sb="0" eb="6">
      <t>キョウイクケンキュウカイギ</t>
    </rPh>
    <phoneticPr fontId="1"/>
  </si>
  <si>
    <t>モンテ・カセム</t>
    <phoneticPr fontId="1"/>
  </si>
  <si>
    <t>学長</t>
    <rPh sb="0" eb="2">
      <t>ガクチョウ</t>
    </rPh>
    <phoneticPr fontId="1"/>
  </si>
  <si>
    <t>国際教養大学自己評価委員会</t>
    <rPh sb="0" eb="6">
      <t>コクサイキョウヨウダイガク</t>
    </rPh>
    <rPh sb="6" eb="13">
      <t>ジコヒョウカイインカイ</t>
    </rPh>
    <phoneticPr fontId="1"/>
  </si>
  <si>
    <t>モンテ・カセム</t>
    <phoneticPr fontId="1"/>
  </si>
  <si>
    <t>学長</t>
    <rPh sb="0" eb="2">
      <t>ガクチョウ</t>
    </rPh>
    <phoneticPr fontId="1"/>
  </si>
  <si>
    <t>国際教養大学</t>
    <phoneticPr fontId="1"/>
  </si>
  <si>
    <t>学部・学科によって、修了要件は相違しない</t>
    <phoneticPr fontId="1"/>
  </si>
  <si>
    <t>コンピュータ・リテラシー（CCS120）</t>
  </si>
  <si>
    <t>人工知能と人類（DGT330）</t>
  </si>
  <si>
    <t>コンピュータ・リテラシー（CCS120）</t>
    <phoneticPr fontId="1"/>
  </si>
  <si>
    <t>人工知能と人類（DGT330）</t>
    <phoneticPr fontId="1"/>
  </si>
  <si>
    <t>統計学（MAT200）</t>
    <phoneticPr fontId="1"/>
  </si>
  <si>
    <t>本プログラムを通じて学生たちは、次のような基礎的な能力やスキルを身につけられます：
・数理情報を活用するためのリテラシー
・データ収集・分析・提示に必要な一連の能力
・現在のデータ指向社会についての正確な認識
・データに基づく意思決定の経験と適性
・AI関連技術の社会的・倫理的影響に対する理解</t>
    <phoneticPr fontId="1"/>
  </si>
  <si>
    <t>国際教養大学定款</t>
    <rPh sb="0" eb="6">
      <t>コクサイキョウヨウダイガク</t>
    </rPh>
    <rPh sb="6" eb="8">
      <t>テイカン</t>
    </rPh>
    <phoneticPr fontId="1"/>
  </si>
  <si>
    <t>コンピュータ・リテラシー（CCS120）</t>
    <phoneticPr fontId="1"/>
  </si>
  <si>
    <t>人工知能と人類（DGT330）</t>
    <phoneticPr fontId="1"/>
  </si>
  <si>
    <t>国際教養学部国際教養学科</t>
    <rPh sb="0" eb="6">
      <t>コクサイキョウヨウガクブ</t>
    </rPh>
    <rPh sb="6" eb="12">
      <t>コクサイ</t>
    </rPh>
    <phoneticPr fontId="1"/>
  </si>
  <si>
    <t>教育研究会議は本学における教育研究に関する重要事項を審議する機関であり、本プログラムを含む本学における学期ごとの科目の点検や改善、カリキュラム体系を踏まえた新規科目の検討等を行っている。</t>
    <rPh sb="0" eb="6">
      <t>キョウイクケン</t>
    </rPh>
    <rPh sb="7" eb="9">
      <t>ホンガク</t>
    </rPh>
    <rPh sb="13" eb="17">
      <t>キョウイクケンキュウ</t>
    </rPh>
    <rPh sb="18" eb="19">
      <t>カン</t>
    </rPh>
    <rPh sb="21" eb="25">
      <t>ジュウヨウジコウ</t>
    </rPh>
    <rPh sb="26" eb="28">
      <t>シンギ</t>
    </rPh>
    <rPh sb="30" eb="32">
      <t>キカン</t>
    </rPh>
    <rPh sb="36" eb="37">
      <t>ホン</t>
    </rPh>
    <rPh sb="43" eb="44">
      <t>フク</t>
    </rPh>
    <rPh sb="45" eb="47">
      <t>ホンガク</t>
    </rPh>
    <rPh sb="51" eb="53">
      <t>ガッキ</t>
    </rPh>
    <rPh sb="56" eb="58">
      <t>カモク</t>
    </rPh>
    <rPh sb="59" eb="61">
      <t>テンケン</t>
    </rPh>
    <rPh sb="62" eb="64">
      <t>カイゼン</t>
    </rPh>
    <rPh sb="71" eb="73">
      <t>タイケイ</t>
    </rPh>
    <rPh sb="74" eb="75">
      <t>フ</t>
    </rPh>
    <rPh sb="78" eb="80">
      <t>シンキ</t>
    </rPh>
    <rPh sb="80" eb="82">
      <t>カモク</t>
    </rPh>
    <rPh sb="83" eb="85">
      <t>ケントウ</t>
    </rPh>
    <rPh sb="85" eb="86">
      <t>トウ</t>
    </rPh>
    <rPh sb="87" eb="88">
      <t>オコナ</t>
    </rPh>
    <phoneticPr fontId="1"/>
  </si>
  <si>
    <t>令和3</t>
    <rPh sb="0" eb="2">
      <t>レイワ</t>
    </rPh>
    <phoneticPr fontId="1"/>
  </si>
  <si>
    <t>500字以内</t>
    <rPh sb="3" eb="4">
      <t>ジ</t>
    </rPh>
    <rPh sb="4" eb="6">
      <t>イナイ</t>
    </rPh>
    <phoneticPr fontId="1"/>
  </si>
  <si>
    <t>400字以内</t>
    <rPh sb="3" eb="4">
      <t>ジ</t>
    </rPh>
    <rPh sb="4" eb="6">
      <t>イナイ</t>
    </rPh>
    <phoneticPr fontId="1"/>
  </si>
  <si>
    <t>BUILD（デジタル社会のための情報リテラシー教育）プログラム</t>
    <phoneticPr fontId="1"/>
  </si>
  <si>
    <t>2021年度以降に入学した学生で、次の1）及び2）を共に満たし、合計で6単位以上を取得すること：
1）統計学（MAT200）（3単位）を修得すること
2）コンピュータ・リテラシー（CCS120）（3単位） または 人工知能と人類（DGT330）（3単位）を修得すること</t>
    <rPh sb="32" eb="34">
      <t>ゴウケイ</t>
    </rPh>
    <rPh sb="36" eb="38">
      <t>タンイ</t>
    </rPh>
    <rPh sb="38" eb="40">
      <t>イジョウ</t>
    </rPh>
    <rPh sb="41" eb="43">
      <t>シュトク</t>
    </rPh>
    <phoneticPr fontId="1"/>
  </si>
  <si>
    <t>・ビッグデータ、IoT、AI、ロボット「人工知能と人類（DGT330）」（4～9回目）
・データ量の増加、計算機の処理性能の向上、AIの非連続的進化「人工知能と人類（DGT330）」（4～9回目）
・第4次産業革命、Society 5.0、データ駆動型社会「コンピュータ・リテラシー（CCS120）」（9回目）、「人工知能と人類（DGT330）」（4～9回目）
・複数技術を組み合わせたAIサービス「人工知能と人類（DGT330）」（2回目）
・人間の知的活動とAIの関係性「人工知能と人類（DGT330）」（3回目）
・データを起点としたものの見方、人間の知的活動を起点としたものの見方「コンピュータ・リテラシー（CCS120）」（9回目）、「人工知能と人類（DGT330）」（4～9回目）</t>
    <phoneticPr fontId="1"/>
  </si>
  <si>
    <t>・AI等を活用した新しいビジネスモデル(シェアリングエコノミー、商品のレコメンデーションなど)「人工知能と人類（DGT330）」（4～9回目）
・AI最新技術の活用例（深層生成モデル、敵対的生成ネットワーク、強化学習、転移学習など）「コンピュータ・リテラシー（CCS120）」（5回目）、「人工知能と人類（DGT330）」（4～9回目）</t>
    <rPh sb="140" eb="142">
      <t>カイメ</t>
    </rPh>
    <phoneticPr fontId="1"/>
  </si>
  <si>
    <t>・調査データ、実験データ、人の行動ログデータ、機械の稼働ログデータなど「コンピュータ・リテラシー（CCS120）」（10～11回目）
・1次データ、2次データ、データのメタ化「コンピュータ・リテラシー（CCS120）」（10～11回目）
・構造化データ、非構造化データ（文章、画像/動画、音声/音楽など）「コンピュータ・リテラシー（CCS120）」（10～11回目）、「人工知能と人類（DGT330）」（4～9回目）
・データ作成（ビッグデータとアノテーション）「コンピュータ・リテラシー（CCS120）」（10～11回目）、「人工知能と人類（DGT330）」（4～9回目）</t>
    <phoneticPr fontId="1"/>
  </si>
  <si>
    <t>・データ・AI活用領域の広がり(生産、消費、文化活動など)「コンピュータ・リテラシー（CCS120）」（9回目）、「人工知能と人類（DGT330）」（3回目）</t>
    <phoneticPr fontId="1"/>
  </si>
  <si>
    <t>・データ解析：予測、グルーピング、パターン発見、最適化、シミュレーション・データ同化など「コンピュータ・リテラシー（CCS120）」（10～11回目）
・データ可視化：複合グラフ、2軸グラフ、多次元の可視化、関係性の可視化、地図上の可視化、挙動・軌跡の可視化、リアルタイム可視化など「コンピュータ・リテラシー（CCS120）」（10～11回目）
・非構造化データ処理：言語処理、画像/動画処理、音声/音楽処理など「人工知能と人類（DGT330）」（4～9回目）
・特化型AIと汎用AI、今のAIで出来ることと出来ないこと、AIとビッグデータ「人工知能と人類（DGT330）」（2回目）
・認識技術、ルールベース、自動化技術「人工知能と人類（DGT330）」（3回目）</t>
    <phoneticPr fontId="1"/>
  </si>
  <si>
    <t>・データサイエンスのサイクル（課題抽出と定式化、データの取得・管理・加工、探索的データ解析、データ解析と推論、結果の共有・伝達、課題解決に向けた提案）「コンピュータ・リテラシー（CCS120）」（9回目）
・流通、製造、金融、サービス、インフラ、公共、ヘルスケア等におけるデータ・AI利活用事例紹介「人工知能と人類（DGT330）」（2回目）</t>
    <phoneticPr fontId="1"/>
  </si>
  <si>
    <t>・ELSI（Ethical, Legal and Social Issues）「人工知能と人類（DGT330）」（11～19、21回目）
・データ倫理：データのねつ造、改ざん、盗用、プライバシー保護「コンピュータ・リテラシー（CCS120）」（6回目）、「人工知能と人類（DGT330）」（20回目）
・AI社会原則（公平性、説明責任、透明性、人間中心の判断）「人工知能と人類（DGT330）」（16～20回目）
・データバイアス、アルゴリズムバイアス「人工知能と人類（DGT330）」（20回目）</t>
    <phoneticPr fontId="1"/>
  </si>
  <si>
    <t>・情報セキュリティ：機密性、完全性、可用性「コンピュータ・リテラシー（CCS120）」（7回目）、「人工知能と人類（DGT330）」（20回目）
・匿名加工情報、暗号化、パスワード、悪意ある情報搾取「コンピュータ・リテラシー（CCS120）」（7回目）
・情報漏洩等によるセキュリティ事故の事例紹介「コンピュータ・リテラシー（CCS120）」（7回目）、「人工知能と人類（DGT330）」（20回目）</t>
    <phoneticPr fontId="1"/>
  </si>
  <si>
    <t>・データの分布(ヒストグラム)と代表値（平均値、中央値、最頻値）「統計学（MAT200）」（3回目）
・代表値の性質の違い（実社会では平均値＝最頻値でないことが多い）「統計学（MAT200）」（5回目）
・データのばらつき（分散、標準偏差、偏差値）「統計学（MAT200）」（4～5回目）
・相関と因果（相関係数、擬似相関、交絡）「統計学（MAT200）」（6～7回目）
・母集団と標本抽出（国勢調査、アンケート調査、全数調査、単純無作為抽出、層別抽出、多段抽出）「統計学（MAT200）」（8～9、11、13～20、22～23回目）
・統計情報の正しい理解（誇張表現に惑わされない）「統計学（MAT200）」（1回目）</t>
    <rPh sb="264" eb="266">
      <t>カイメ</t>
    </rPh>
    <phoneticPr fontId="1"/>
  </si>
  <si>
    <t>・データ表現（棒グラフ、折線グラフ、散布図、ヒートマップ）「統計学（MAT200）」（2、6、14、20回目）
・データの図表表現（チャート化）「統計学（MAT200）」（2回目）</t>
    <rPh sb="52" eb="54">
      <t>カイメ</t>
    </rPh>
    <phoneticPr fontId="1"/>
  </si>
  <si>
    <t>・データの集計（和、平均）「統計学（MAT200）」（3回目）
・データの並び替え、ランキング「統計学（MAT200）」（24回目）
・データ解析ツール（スプレッドシート）「統計学（MAT200）」（24回目）
・表形式のデータ（csv）「統計学（MAT200）」（24回目）</t>
    <phoneticPr fontId="1"/>
  </si>
  <si>
    <t>学長 モンテ・カセム
副学長 熊谷 嘉隆
常務理事 磯貝 健
国際教養学部長、同英語集中プログラム・外国語教育代表、能動的学修センター長 パトリック・ドーティ 教授
グローバル・コミュニケーション実践研究科長、英語教育実践領域代表 内田 浩樹 教授
学生部長 長沼 奈絵子 准教授
国際教養学部国際教養学科長、地域連携協働研究センター長 アンディ・クロフツ 教授
国際教養学部グローバル・ビジネス領域長 クリントン・ワトキンス 教授
国際教養学部グローバル・スタディズ領域長 水野 智仁 教授
国際教養学部グローバル・コネクティビティ領域長 フローラン・ドメナック 教授
デザイン創造・データサイエンスセンター長 精山 明敏 特任教授
図書館長 豊田 哲也 教授
日本語プログラム代表 阿部 祐子 教授
教職課程代表 眞壁 聡子 教授
事務局長 兎澤 繁友</t>
    <rPh sb="0" eb="2">
      <t>ガクチョウ</t>
    </rPh>
    <rPh sb="39" eb="40">
      <t>ドウ</t>
    </rPh>
    <rPh sb="58" eb="67">
      <t>ノウドウ</t>
    </rPh>
    <rPh sb="67" eb="68">
      <t>チョウ</t>
    </rPh>
    <rPh sb="105" eb="109">
      <t>エイゴキョウイク</t>
    </rPh>
    <rPh sb="109" eb="111">
      <t>ジッセン</t>
    </rPh>
    <rPh sb="141" eb="147">
      <t>コクサイキョウ</t>
    </rPh>
    <rPh sb="147" eb="149">
      <t>コクサイ</t>
    </rPh>
    <rPh sb="149" eb="151">
      <t>キョウヨウ</t>
    </rPh>
    <rPh sb="182" eb="188">
      <t>コクサイキョウヨウガクブ</t>
    </rPh>
    <rPh sb="247" eb="253">
      <t>コクサ</t>
    </rPh>
    <rPh sb="267" eb="269">
      <t>リョウイキ</t>
    </rPh>
    <rPh sb="269" eb="270">
      <t>チョウ</t>
    </rPh>
    <rPh sb="373" eb="375">
      <t>トザワ</t>
    </rPh>
    <phoneticPr fontId="1"/>
  </si>
  <si>
    <t>毎学期の時間割編成においては、必修科目とそれ以外の時間割配置を工夫することで、特定の必修科目によって選択必修科目や選択科目が履修できない、といったことが極力ないようにしている。
また、本学では学生が24時間利用可能なIT教室を用意しており、自前のPCがなくても本プログラムの課題等に取り組める環境が整備されている。
さらに本プログラムでは、学生が個別に購入しなければならないソフトウェア等は使用していない。統計学（MAT200）で使用する統計ソフトはオープンソースかつ無料のRであり、前述のICT教室の全ての端末にもインストールされている。</t>
    <rPh sb="0" eb="3">
      <t>マイガッキ</t>
    </rPh>
    <rPh sb="4" eb="7">
      <t>ジカンワリ</t>
    </rPh>
    <rPh sb="7" eb="9">
      <t>ヘンセイ</t>
    </rPh>
    <rPh sb="15" eb="17">
      <t>ヒッシュウ</t>
    </rPh>
    <rPh sb="17" eb="19">
      <t>カモク</t>
    </rPh>
    <rPh sb="22" eb="24">
      <t>イガイ</t>
    </rPh>
    <rPh sb="25" eb="28">
      <t>ジカンワリ</t>
    </rPh>
    <rPh sb="28" eb="30">
      <t>ハイチ</t>
    </rPh>
    <rPh sb="31" eb="33">
      <t>クフウ</t>
    </rPh>
    <rPh sb="39" eb="41">
      <t>トクテイ</t>
    </rPh>
    <rPh sb="42" eb="44">
      <t>ヒッシュウ</t>
    </rPh>
    <rPh sb="44" eb="46">
      <t>カモク</t>
    </rPh>
    <rPh sb="50" eb="52">
      <t>センタク</t>
    </rPh>
    <rPh sb="52" eb="54">
      <t>ヒッシュウ</t>
    </rPh>
    <rPh sb="54" eb="56">
      <t>カモク</t>
    </rPh>
    <rPh sb="57" eb="59">
      <t>センタク</t>
    </rPh>
    <rPh sb="59" eb="61">
      <t>カモク</t>
    </rPh>
    <rPh sb="62" eb="64">
      <t>リシュウ</t>
    </rPh>
    <rPh sb="76" eb="78">
      <t>キョクリョク</t>
    </rPh>
    <rPh sb="92" eb="94">
      <t>ホンガク</t>
    </rPh>
    <rPh sb="96" eb="98">
      <t>ガクセイ</t>
    </rPh>
    <rPh sb="101" eb="103">
      <t>ジカン</t>
    </rPh>
    <rPh sb="103" eb="107">
      <t>リヨウカノウ</t>
    </rPh>
    <rPh sb="110" eb="112">
      <t>キョウシツ</t>
    </rPh>
    <rPh sb="113" eb="115">
      <t>ヨウイ</t>
    </rPh>
    <rPh sb="120" eb="122">
      <t>ジマエ</t>
    </rPh>
    <rPh sb="130" eb="136">
      <t>ホン</t>
    </rPh>
    <rPh sb="137" eb="139">
      <t>カダイ</t>
    </rPh>
    <rPh sb="139" eb="140">
      <t>トウ</t>
    </rPh>
    <rPh sb="141" eb="142">
      <t>ト</t>
    </rPh>
    <rPh sb="143" eb="144">
      <t>ク</t>
    </rPh>
    <rPh sb="146" eb="148">
      <t>カンキョウ</t>
    </rPh>
    <rPh sb="149" eb="151">
      <t>セイビ</t>
    </rPh>
    <rPh sb="161" eb="162">
      <t>ホン</t>
    </rPh>
    <rPh sb="170" eb="172">
      <t>ガクセイ</t>
    </rPh>
    <rPh sb="173" eb="175">
      <t>コベツ</t>
    </rPh>
    <rPh sb="176" eb="178">
      <t>コウニュウ</t>
    </rPh>
    <rPh sb="193" eb="194">
      <t>トウ</t>
    </rPh>
    <rPh sb="195" eb="197">
      <t>シヨウ</t>
    </rPh>
    <rPh sb="203" eb="206">
      <t>トウケイガク</t>
    </rPh>
    <rPh sb="215" eb="217">
      <t>シヨウ</t>
    </rPh>
    <rPh sb="219" eb="221">
      <t>トウケイ</t>
    </rPh>
    <rPh sb="234" eb="236">
      <t>ムリョウ</t>
    </rPh>
    <rPh sb="242" eb="244">
      <t>ゼンジュツ</t>
    </rPh>
    <rPh sb="248" eb="250">
      <t>キョウシツ</t>
    </rPh>
    <rPh sb="251" eb="252">
      <t>スベ</t>
    </rPh>
    <rPh sb="254" eb="256">
      <t>タンマツ</t>
    </rPh>
    <phoneticPr fontId="1"/>
  </si>
  <si>
    <t>⑧で既出の全学周知やアドバイジングにおける個別の履修の推奨以外では、コンピュータ・リテラシー（CCS120）が修学段階の前半にあたる基礎科目群の選択必修科目として位置づけられているほか、統計学（MAT200）が、留学（※）前の履修推奨科目となっているなど、多くの学生が履修する位置づけとしている。
また、学生の自主的な学修を支援する能動的学修センター（ALC）内には、学生が気軽に立ち寄ってSTEM科目に親しむことのできる超域学修ルームが設置されており、本プログラムの科目を担当する教員も運営に携わっている。さらに、本学では他科目で、STEMやAI・デジタル社会に関する最先端の分野の第一線で活躍する人材を外部から講師として招聘する取組を継続しており、本プログラムはそのような機会を通じて興味を持った学生が学びを広げるための入門的な内容となっている。
※本学では1年間の留学が必須</t>
    <rPh sb="2" eb="4">
      <t>キシュツ</t>
    </rPh>
    <rPh sb="5" eb="7">
      <t>ゼンガク</t>
    </rPh>
    <rPh sb="7" eb="9">
      <t>シュウチ</t>
    </rPh>
    <rPh sb="21" eb="23">
      <t>コベツ</t>
    </rPh>
    <rPh sb="24" eb="26">
      <t>リシュウ</t>
    </rPh>
    <rPh sb="27" eb="29">
      <t>スイショウ</t>
    </rPh>
    <rPh sb="29" eb="31">
      <t>イガイ</t>
    </rPh>
    <rPh sb="113" eb="115">
      <t>リシュウ</t>
    </rPh>
    <rPh sb="115" eb="117">
      <t>スイショウ</t>
    </rPh>
    <rPh sb="117" eb="119">
      <t>カモク</t>
    </rPh>
    <rPh sb="134" eb="136">
      <t>リシュウ</t>
    </rPh>
    <rPh sb="138" eb="140">
      <t>イチ</t>
    </rPh>
    <rPh sb="219" eb="221">
      <t>セッチ</t>
    </rPh>
    <rPh sb="227" eb="228">
      <t>ホン</t>
    </rPh>
    <rPh sb="234" eb="236">
      <t>カモク</t>
    </rPh>
    <rPh sb="237" eb="239">
      <t>タントウ</t>
    </rPh>
    <rPh sb="241" eb="243">
      <t>キョウイン</t>
    </rPh>
    <rPh sb="244" eb="246">
      <t>ウンエイ</t>
    </rPh>
    <rPh sb="247" eb="248">
      <t>タズサ</t>
    </rPh>
    <rPh sb="258" eb="260">
      <t>ホンガク</t>
    </rPh>
    <rPh sb="262" eb="265">
      <t>タカモク</t>
    </rPh>
    <rPh sb="279" eb="281">
      <t>シャカイ</t>
    </rPh>
    <rPh sb="282" eb="283">
      <t>カン</t>
    </rPh>
    <rPh sb="285" eb="288">
      <t>サイセンタン</t>
    </rPh>
    <rPh sb="289" eb="291">
      <t>ブンヤ</t>
    </rPh>
    <rPh sb="292" eb="295">
      <t>ダイイッセン</t>
    </rPh>
    <rPh sb="296" eb="298">
      <t>カツヤク</t>
    </rPh>
    <rPh sb="300" eb="302">
      <t>ジンザイ</t>
    </rPh>
    <rPh sb="307" eb="309">
      <t>コウシ</t>
    </rPh>
    <rPh sb="312" eb="314">
      <t>ショウヘイ</t>
    </rPh>
    <rPh sb="316" eb="318">
      <t>トリクミ</t>
    </rPh>
    <rPh sb="319" eb="321">
      <t>ケイゾク</t>
    </rPh>
    <rPh sb="326" eb="327">
      <t>ホン</t>
    </rPh>
    <rPh sb="338" eb="340">
      <t>キカイ</t>
    </rPh>
    <rPh sb="341" eb="342">
      <t>ツウ</t>
    </rPh>
    <rPh sb="344" eb="346">
      <t>キョウミ</t>
    </rPh>
    <rPh sb="347" eb="348">
      <t>モ</t>
    </rPh>
    <rPh sb="350" eb="352">
      <t>ガクセイ</t>
    </rPh>
    <rPh sb="353" eb="354">
      <t>マナ</t>
    </rPh>
    <rPh sb="356" eb="357">
      <t>ヒロ</t>
    </rPh>
    <rPh sb="362" eb="365">
      <t>ニュウモンテキ</t>
    </rPh>
    <rPh sb="366" eb="368">
      <t>ナイヨウ</t>
    </rPh>
    <rPh sb="378" eb="380">
      <t>ホンガク</t>
    </rPh>
    <rPh sb="383" eb="386">
      <t>ネンカンオ</t>
    </rPh>
    <rPh sb="386" eb="388">
      <t>リュウガク</t>
    </rPh>
    <rPh sb="389" eb="391">
      <t>ヒッス</t>
    </rPh>
    <phoneticPr fontId="1"/>
  </si>
  <si>
    <t>本教育プログラムを構成している「コンピュータ・リテラシー」は全学の選択必修科目、「統計学」は全学選択必修科目且つ、義務留学出発前の推奨科目となっている。全学生の履修状況については、ATOMS（教学システム）にて、教務課や担当教員、アドバイザーが把握できるほか、AIMS（LMS）にて、当該プログラム科目群の各授業、課題等の取組や提出状況を確認できるようシステムを整えている。さらに、プログラムコーディネーター、当該科目所属領域の領域長、担当教員が、プログラムの修得状況、成績評価、授業評価アンケート結果を踏まえて各授業科目やプログラムの包括的な改善についての審議を行っている。</t>
  </si>
  <si>
    <t xml:space="preserve">毎回の授業における小テストやプロジェクトの進行度合いを学生と教員間で確認している。また、授業終了時には科目ごとに実施される学生への授業評価アンケートの中で、学生の理解度、到達目標および当該分野における能力やスキルの達成度、更なる学修への意欲の項目を設けており、平均値は5段階の4.34と高い成果である。これらの結果を分析することで、当該科目の今後の教育内容の改善に活用する。さらに、複数教員が担当している科目では、教員間で情報共有することにより、受講生の学修状況を把握し、包括的な改善に向けて活用している。
</t>
  </si>
  <si>
    <t xml:space="preserve">科目ごとに実施される学生への授業評価アンケートは、学修内容の理解度、到達目標の達成度、当該分野における能力やスキルの習得度、更なる学修への動機付けについての項目を設けて確認している。全項目の平均値は4.34であり、非常に満足度の高い評価となっている。この継続的な分析結果は、当該科目群の教育内容改善に活用する。
</t>
  </si>
  <si>
    <t xml:space="preserve">授業評価アンケートでは「後輩等に推奨したいか」といった直接的な質問はないが、「当該分野のさらなる学修意欲」を問う項目において、5段階中平均4.19と高い関心を示しているほか、希望する専攻領域についての調査では、全体の約３分の１の学生が、数理・データサイエンス・AI分野を中心とした分野をさらに学びたいと考えている。このように関心を示す学生が、このBUILDプログラムを他の学生にも推奨することになると想定している。
</t>
  </si>
  <si>
    <t xml:space="preserve">本学では、教育目標達成するための学修の探求方法のひとつとして、量的論証を取り上げ、全学生に身に付けさせたい能力育成のため、情報基礎科目や数学を選択必修としている。本教育プログラムを構成する「コンピュータ・リテラシー」「統計学」は、この要件の重要な科目のひとつであるため、年次進行に伴い履修率は向上することを想定している。
</t>
  </si>
  <si>
    <t>プログラムの科目は、いずれも学生たちにとって身近な活用事例を入り口に、実際のデータを用いた実践的な課題やディスカッションなどの能動的な授業形態を取り入れることで、学生たちは数理・データサイエンス・AIを学ぶことの意義や、その楽しさを自然と体感できる構成となっている。</t>
  </si>
  <si>
    <t>学生による授業評価アンケートの意見や講義担当者からのフィードバックを活用しながら、講義内容、講義資料の改善に努める。また、各授業においては、シラバスの中で、AILA Elements(応用要素）の項目を設けて、他分野との関連性や社会への適用・応用性について紹介している。また、これらの社会的視点を授業内容や課題に盛り込むことで、学生には学んだ知識や能力が関連業界を含む社会で通用することを意識させている。さらに、社会に貢献できるよう、身近な事例を用いた「分かりやすい」授業内容となっている。</t>
  </si>
  <si>
    <t xml:space="preserve">本教育プログラムの修了者を教学システム（ATOMS）にて適切にモニタリングすることにより、卒業時教学調査、進路・就職状況等、追跡調査が実施可能である。なお、現時点では本教育プログラムを修了した卒業生はまだいないが、今後本プログラム修了生の活躍状況を調査することとする。
</t>
    <phoneticPr fontId="1"/>
  </si>
  <si>
    <t xml:space="preserve">プロジェクトワークを通じて学生がデータと触れ合うことで、データの取り扱いや分析に関する実践的なスキルを身につけることができようなプログラムとなっている。また本学では、筑波大学未来社会工学開発研究センター長/サイバーダイン株式会社代表取締役社長の山海嘉之教授、台湾デジタル担当大臣のオードリー・タン氏、内閣府AI戦略実行会議座長の安西祐一郎氏など外部の専門家を招き、Q&amp;Aを含めた招聘講義を実施・予定しており、先見性のあるリーダーと直接交流する機会を学生に提供している。今後もこのような産学官のリーダーとの対話の場を提供するとともに、本学デザイン創造・データサイエンスセンターとの連携により、データの取り扱いやAI技術に関する産業界の視点を効果的に取り入れることが期待できる。
</t>
    <rPh sb="43" eb="46">
      <t>ジッセンテキ</t>
    </rPh>
    <rPh sb="78" eb="80">
      <t>ホンガク</t>
    </rPh>
    <rPh sb="135" eb="137">
      <t>タントウ</t>
    </rPh>
    <rPh sb="161" eb="163">
      <t>ザチョウ</t>
    </rPh>
    <rPh sb="189" eb="191">
      <t>ショウヘイ</t>
    </rPh>
    <rPh sb="194" eb="196">
      <t>ジッシ</t>
    </rPh>
    <rPh sb="197" eb="199">
      <t>ヨテイ</t>
    </rPh>
    <rPh sb="215" eb="217">
      <t>チョクセツ</t>
    </rPh>
    <rPh sb="224" eb="226">
      <t>ガクセイ</t>
    </rPh>
    <rPh sb="227" eb="229">
      <t>テイキョウ</t>
    </rPh>
    <rPh sb="266" eb="268">
      <t>ホンガク</t>
    </rPh>
    <phoneticPr fontId="1"/>
  </si>
  <si>
    <t>令和5年度からは、本プログラムの対象となる全学生に対して、本プログラムの概要を周知することで学内での認知度向上と定着を図る。</t>
    <rPh sb="0" eb="2">
      <t>レイワ</t>
    </rPh>
    <rPh sb="3" eb="5">
      <t>ネンド</t>
    </rPh>
    <rPh sb="46" eb="48">
      <t>ガクナイ</t>
    </rPh>
    <rPh sb="50" eb="53">
      <t>ニンチド</t>
    </rPh>
    <rPh sb="53" eb="55">
      <t>コウジョウ</t>
    </rPh>
    <rPh sb="56" eb="58">
      <t>テイチャク</t>
    </rPh>
    <rPh sb="59" eb="60">
      <t>ハカ</t>
    </rPh>
    <phoneticPr fontId="1"/>
  </si>
  <si>
    <t>1学部1学科で構成される本学のリベラルアーツ教育においては、基本的に全ての科目を履修できることとなっており、本プログラムの各科目もその対象となっている。また、統計学（MAT200）及びコンピュータ・リテラシー（CCS120）は春・秋学期いずれでも（※）2クラスずつ開講しており、できるだけ多くの学生が履修しやすいよう配慮している。
※本学は春学期・秋学期のセメスター制をとっている。</t>
    <rPh sb="1" eb="3">
      <t>ガクブ</t>
    </rPh>
    <rPh sb="4" eb="6">
      <t>ガッカ</t>
    </rPh>
    <rPh sb="7" eb="9">
      <t>コウセイ</t>
    </rPh>
    <rPh sb="12" eb="14">
      <t>ホンガク</t>
    </rPh>
    <rPh sb="22" eb="24">
      <t>キョウイク</t>
    </rPh>
    <rPh sb="30" eb="33">
      <t>キホンテキ</t>
    </rPh>
    <rPh sb="34" eb="35">
      <t>スベ</t>
    </rPh>
    <rPh sb="37" eb="39">
      <t>カモク</t>
    </rPh>
    <rPh sb="40" eb="42">
      <t>リシュウ</t>
    </rPh>
    <rPh sb="54" eb="55">
      <t>ホン</t>
    </rPh>
    <rPh sb="61" eb="64">
      <t>カクカモク</t>
    </rPh>
    <rPh sb="67" eb="69">
      <t>タイショウ</t>
    </rPh>
    <rPh sb="113" eb="114">
      <t>ハル</t>
    </rPh>
    <rPh sb="115" eb="118">
      <t>アキガッキ</t>
    </rPh>
    <rPh sb="132" eb="134">
      <t>カイコウ</t>
    </rPh>
    <rPh sb="144" eb="145">
      <t>オオ</t>
    </rPh>
    <rPh sb="147" eb="149">
      <t>ガクセイ</t>
    </rPh>
    <rPh sb="150" eb="152">
      <t>リシュウ</t>
    </rPh>
    <rPh sb="158" eb="160">
      <t>ハイリョ</t>
    </rPh>
    <rPh sb="168" eb="170">
      <t>ホンガク</t>
    </rPh>
    <rPh sb="171" eb="174">
      <t>ハルガッキ</t>
    </rPh>
    <rPh sb="175" eb="178">
      <t>アキガッキ</t>
    </rPh>
    <rPh sb="184" eb="185">
      <t>セイ</t>
    </rPh>
    <phoneticPr fontId="1"/>
  </si>
  <si>
    <t>⑧で既出のアカデミック・アドバイジングで学生の興味・関心に応じた履修計画策定の支援を行っているほか、各担当教員は、学生が授業内容等について相談できるオフィスアワーを設定し学生に提示しており、学生は授業内容についての質問があれば授業内のほか、この時間で行うことができる。
また⑩で既出の能動的学修センターには、超域学修ルームの他に、チューターとなる学生が他の学生を個別に支援するピアサポートの場である学修達成センターが設置されており、本プログラムを含む正規課程の授業全般について、学生の学びをサポートしている。</t>
    <rPh sb="2" eb="4">
      <t>キシュツ</t>
    </rPh>
    <rPh sb="20" eb="22">
      <t>ガクセイ</t>
    </rPh>
    <rPh sb="23" eb="25">
      <t>キョウミ</t>
    </rPh>
    <rPh sb="26" eb="28">
      <t>カンシン</t>
    </rPh>
    <rPh sb="29" eb="30">
      <t>オウ</t>
    </rPh>
    <rPh sb="32" eb="34">
      <t>リシュウ</t>
    </rPh>
    <rPh sb="34" eb="36">
      <t>ケイカク</t>
    </rPh>
    <rPh sb="36" eb="38">
      <t>サクテイ</t>
    </rPh>
    <rPh sb="39" eb="41">
      <t>シエン</t>
    </rPh>
    <rPh sb="42" eb="43">
      <t>オコナ</t>
    </rPh>
    <rPh sb="50" eb="51">
      <t>カク</t>
    </rPh>
    <rPh sb="51" eb="55">
      <t>タントウキョウイン</t>
    </rPh>
    <rPh sb="57" eb="59">
      <t>ガクセイ</t>
    </rPh>
    <rPh sb="60" eb="62">
      <t>ジュギョウ</t>
    </rPh>
    <rPh sb="62" eb="64">
      <t>ナイヨウ</t>
    </rPh>
    <rPh sb="64" eb="65">
      <t>トウ</t>
    </rPh>
    <rPh sb="69" eb="71">
      <t>ソウダン</t>
    </rPh>
    <rPh sb="82" eb="84">
      <t>セッテイ</t>
    </rPh>
    <rPh sb="85" eb="87">
      <t>ガクセイ</t>
    </rPh>
    <rPh sb="88" eb="90">
      <t>テイジ</t>
    </rPh>
    <rPh sb="95" eb="97">
      <t>ガクセイ</t>
    </rPh>
    <rPh sb="98" eb="100">
      <t>ジュギョウ</t>
    </rPh>
    <rPh sb="100" eb="102">
      <t>ナイヨウ</t>
    </rPh>
    <rPh sb="107" eb="109">
      <t>シツモン</t>
    </rPh>
    <rPh sb="113" eb="115">
      <t>ジュギョウ</t>
    </rPh>
    <rPh sb="115" eb="116">
      <t>ナイ</t>
    </rPh>
    <rPh sb="122" eb="124">
      <t>ジカン</t>
    </rPh>
    <rPh sb="125" eb="126">
      <t>オコナ</t>
    </rPh>
    <rPh sb="139" eb="141">
      <t>キシュツ</t>
    </rPh>
    <rPh sb="142" eb="151">
      <t>ノウ</t>
    </rPh>
    <rPh sb="154" eb="156">
      <t>チョウイキ</t>
    </rPh>
    <rPh sb="156" eb="158">
      <t>ガクシュウ</t>
    </rPh>
    <rPh sb="162" eb="163">
      <t>ホカ</t>
    </rPh>
    <rPh sb="216" eb="217">
      <t>ホン</t>
    </rPh>
    <rPh sb="223" eb="224">
      <t>フク</t>
    </rPh>
    <rPh sb="225" eb="229">
      <t>セイキカ</t>
    </rPh>
    <rPh sb="230" eb="232">
      <t>ジュギョウ</t>
    </rPh>
    <rPh sb="232" eb="234">
      <t>ゼンパン</t>
    </rPh>
    <rPh sb="239" eb="241">
      <t>ガクセイ</t>
    </rPh>
    <rPh sb="242" eb="243">
      <t>マナ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</si>
</sst>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6">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b/>
      <sz val="9"/>
      <color indexed="81"/>
      <name val="MS P ゴシック"/>
      <family val="3"/>
      <charset val="128"/>
    </font>
    <font>
      <sz val="9"/>
      <color indexed="81"/>
      <name val="MS P ゴシック"/>
      <family val="3"/>
      <charset val="128"/>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0" xfId="0" applyFont="1">
      <alignment vertical="center"/>
    </xf>
    <xf numFmtId="0" fontId="11" fillId="0" borderId="0" xfId="0" applyFont="1">
      <alignment vertical="center"/>
    </xf>
    <xf numFmtId="9" fontId="2" fillId="0" borderId="1" xfId="0" applyNumberFormat="1" applyFont="1" applyFill="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12" fillId="0" borderId="36" xfId="0" applyFont="1" applyFill="1" applyBorder="1" applyAlignment="1">
      <alignment vertical="center" wrapText="1" shrinkToFit="1"/>
    </xf>
    <xf numFmtId="0" fontId="12" fillId="0" borderId="36" xfId="0" applyFont="1" applyFill="1" applyBorder="1" applyAlignment="1">
      <alignment vertical="center" shrinkToFit="1"/>
    </xf>
    <xf numFmtId="0" fontId="12" fillId="0" borderId="35" xfId="0" applyFont="1" applyFill="1" applyBorder="1" applyAlignment="1">
      <alignment vertical="center" shrinkToFit="1"/>
    </xf>
    <xf numFmtId="0" fontId="12" fillId="0" borderId="6" xfId="0" applyFont="1" applyFill="1" applyBorder="1" applyAlignment="1">
      <alignment vertical="center" wrapText="1" shrinkToFit="1"/>
    </xf>
    <xf numFmtId="0" fontId="12" fillId="0" borderId="6" xfId="0" applyFont="1" applyFill="1" applyBorder="1" applyAlignment="1">
      <alignment vertical="center" shrinkToFit="1"/>
    </xf>
    <xf numFmtId="0" fontId="12" fillId="0" borderId="12" xfId="0" applyFont="1" applyFill="1" applyBorder="1" applyAlignment="1">
      <alignment vertical="center" shrinkToFit="1"/>
    </xf>
    <xf numFmtId="0" fontId="12" fillId="0" borderId="8" xfId="0" applyFont="1" applyFill="1" applyBorder="1" applyAlignment="1">
      <alignment horizontal="left" vertical="center" wrapText="1" shrinkToFit="1"/>
    </xf>
    <xf numFmtId="0" fontId="12" fillId="0" borderId="8" xfId="0" applyFont="1" applyFill="1" applyBorder="1" applyAlignment="1">
      <alignment horizontal="left" vertical="center" shrinkToFit="1"/>
    </xf>
    <xf numFmtId="0" fontId="12" fillId="0" borderId="9" xfId="0" applyFont="1" applyFill="1" applyBorder="1" applyAlignment="1">
      <alignment horizontal="lef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12" fillId="0" borderId="22" xfId="0" applyFont="1" applyFill="1" applyBorder="1" applyAlignment="1">
      <alignment horizontal="left" vertical="center" wrapText="1" shrinkToFit="1"/>
    </xf>
    <xf numFmtId="0" fontId="12" fillId="0" borderId="22" xfId="0" applyFont="1" applyFill="1" applyBorder="1" applyAlignment="1">
      <alignment horizontal="left" vertical="center" shrinkToFit="1"/>
    </xf>
    <xf numFmtId="0" fontId="12" fillId="0" borderId="21" xfId="0" applyFont="1" applyFill="1" applyBorder="1" applyAlignment="1">
      <alignment horizontal="left" vertical="center" shrinkToFit="1"/>
    </xf>
    <xf numFmtId="0" fontId="12" fillId="0" borderId="36" xfId="0" applyFont="1" applyFill="1" applyBorder="1" applyAlignment="1">
      <alignment horizontal="left" vertical="center" wrapText="1" shrinkToFit="1"/>
    </xf>
    <xf numFmtId="0" fontId="12" fillId="0" borderId="36" xfId="0" applyFont="1" applyFill="1" applyBorder="1" applyAlignment="1">
      <alignment horizontal="left" vertical="center" shrinkToFit="1"/>
    </xf>
    <xf numFmtId="0" fontId="12" fillId="0" borderId="35" xfId="0" applyFont="1" applyFill="1" applyBorder="1" applyAlignment="1">
      <alignment horizontal="left" vertical="center" shrinkToFit="1"/>
    </xf>
    <xf numFmtId="0" fontId="12" fillId="0" borderId="6" xfId="0" applyFont="1" applyFill="1" applyBorder="1" applyAlignment="1">
      <alignment horizontal="left" vertical="center" wrapText="1" shrinkToFit="1"/>
    </xf>
    <xf numFmtId="0" fontId="12" fillId="0" borderId="6" xfId="0" applyFont="1" applyFill="1" applyBorder="1" applyAlignment="1">
      <alignment horizontal="left" vertical="center" shrinkToFit="1"/>
    </xf>
    <xf numFmtId="0" fontId="12" fillId="0" borderId="12" xfId="0" applyFont="1" applyFill="1" applyBorder="1" applyAlignment="1">
      <alignment horizontal="left" vertical="center" shrinkToFit="1"/>
    </xf>
    <xf numFmtId="0" fontId="12" fillId="0" borderId="38" xfId="0" applyFont="1" applyFill="1" applyBorder="1" applyAlignment="1">
      <alignment horizontal="left" vertical="center" wrapText="1" shrinkToFit="1"/>
    </xf>
    <xf numFmtId="0" fontId="12" fillId="0" borderId="38" xfId="0" applyFont="1" applyFill="1" applyBorder="1" applyAlignment="1">
      <alignment horizontal="left" vertical="center" shrinkToFit="1"/>
    </xf>
    <xf numFmtId="0" fontId="12" fillId="0" borderId="39" xfId="0" applyFont="1" applyFill="1" applyBorder="1" applyAlignment="1">
      <alignment horizontal="left" vertical="center" shrinkToFit="1"/>
    </xf>
    <xf numFmtId="0" fontId="12" fillId="0" borderId="19" xfId="0" applyFont="1" applyFill="1" applyBorder="1" applyAlignment="1">
      <alignment vertical="center" wrapText="1" shrinkToFit="1"/>
    </xf>
    <xf numFmtId="0" fontId="12" fillId="0" borderId="20" xfId="0" applyFont="1" applyFill="1" applyBorder="1" applyAlignment="1">
      <alignment vertical="center" shrinkToFit="1"/>
    </xf>
    <xf numFmtId="0" fontId="12" fillId="0" borderId="18" xfId="0" applyFont="1" applyFill="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12" fillId="0" borderId="7" xfId="0" applyFont="1" applyFill="1" applyBorder="1" applyAlignment="1">
      <alignment vertical="top" wrapText="1" shrinkToFit="1"/>
    </xf>
    <xf numFmtId="0" fontId="12" fillId="0" borderId="8" xfId="0" applyFont="1" applyFill="1" applyBorder="1" applyAlignment="1">
      <alignment vertical="top" wrapText="1" shrinkToFit="1"/>
    </xf>
    <xf numFmtId="0" fontId="12" fillId="0" borderId="9" xfId="0" applyFont="1" applyFill="1" applyBorder="1" applyAlignment="1">
      <alignment vertical="top" shrinkToFit="1"/>
    </xf>
    <xf numFmtId="0" fontId="12" fillId="0" borderId="5" xfId="0" applyFont="1" applyFill="1" applyBorder="1" applyAlignment="1">
      <alignment vertical="top" shrinkToFit="1"/>
    </xf>
    <xf numFmtId="0" fontId="12" fillId="0" borderId="0" xfId="0" applyFont="1" applyFill="1" applyAlignment="1">
      <alignment vertical="top" shrinkToFit="1"/>
    </xf>
    <xf numFmtId="0" fontId="12" fillId="0" borderId="10" xfId="0" applyFont="1" applyFill="1" applyBorder="1" applyAlignment="1">
      <alignment vertical="top" shrinkToFit="1"/>
    </xf>
    <xf numFmtId="0" fontId="12" fillId="0" borderId="11" xfId="0" applyFont="1" applyFill="1" applyBorder="1" applyAlignment="1">
      <alignment vertical="top" shrinkToFit="1"/>
    </xf>
    <xf numFmtId="0" fontId="12" fillId="0" borderId="6" xfId="0" applyFont="1" applyFill="1" applyBorder="1" applyAlignment="1">
      <alignment vertical="top" shrinkToFit="1"/>
    </xf>
    <xf numFmtId="0" fontId="12" fillId="0" borderId="12" xfId="0" applyFont="1" applyFill="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2" fillId="0" borderId="7" xfId="0" applyFont="1" applyBorder="1" applyAlignment="1">
      <alignment vertical="top" wrapText="1" shrinkToFit="1"/>
    </xf>
    <xf numFmtId="0" fontId="12" fillId="0" borderId="8" xfId="0" applyFont="1" applyBorder="1" applyAlignment="1">
      <alignment vertical="top" wrapText="1" shrinkToFit="1"/>
    </xf>
    <xf numFmtId="0" fontId="12" fillId="0" borderId="9" xfId="0" applyFont="1" applyBorder="1" applyAlignment="1">
      <alignment vertical="top" shrinkToFit="1"/>
    </xf>
    <xf numFmtId="0" fontId="12" fillId="0" borderId="5" xfId="0" applyFont="1" applyBorder="1" applyAlignment="1">
      <alignment vertical="top" wrapText="1" shrinkToFit="1"/>
    </xf>
    <xf numFmtId="0" fontId="12" fillId="0" borderId="0" xfId="0" applyFont="1" applyAlignment="1">
      <alignment vertical="top" wrapText="1" shrinkToFit="1"/>
    </xf>
    <xf numFmtId="0" fontId="12" fillId="0" borderId="10" xfId="0" applyFont="1" applyBorder="1" applyAlignment="1">
      <alignment vertical="top" shrinkToFit="1"/>
    </xf>
    <xf numFmtId="0" fontId="12" fillId="0" borderId="5" xfId="0" applyFont="1" applyBorder="1" applyAlignment="1">
      <alignment vertical="top" shrinkToFit="1"/>
    </xf>
    <xf numFmtId="0" fontId="12" fillId="0" borderId="0" xfId="0" applyFont="1" applyAlignment="1">
      <alignment vertical="top" shrinkToFit="1"/>
    </xf>
    <xf numFmtId="0" fontId="12" fillId="0" borderId="11" xfId="0" applyFont="1" applyBorder="1" applyAlignment="1">
      <alignment vertical="top" shrinkToFit="1"/>
    </xf>
    <xf numFmtId="0" fontId="12" fillId="0" borderId="6" xfId="0" applyFont="1" applyBorder="1" applyAlignment="1">
      <alignment vertical="top" shrinkToFit="1"/>
    </xf>
    <xf numFmtId="0" fontId="1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12" fillId="0" borderId="2" xfId="0" applyFont="1" applyBorder="1" applyAlignment="1">
      <alignment horizontal="left" vertical="center"/>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Fill="1" applyBorder="1" applyAlignment="1">
      <alignment horizontal="center" vertical="center" shrinkToFit="1"/>
    </xf>
    <xf numFmtId="0" fontId="12" fillId="0" borderId="7" xfId="0" applyFont="1" applyFill="1" applyBorder="1" applyAlignment="1">
      <alignment vertical="top" wrapText="1"/>
    </xf>
    <xf numFmtId="0" fontId="12" fillId="0" borderId="8" xfId="0" applyFont="1" applyFill="1" applyBorder="1" applyAlignment="1">
      <alignment vertical="top" wrapText="1"/>
    </xf>
    <xf numFmtId="0" fontId="12" fillId="0" borderId="9" xfId="0" applyFont="1" applyFill="1" applyBorder="1" applyAlignment="1">
      <alignment vertical="top" wrapText="1"/>
    </xf>
    <xf numFmtId="0" fontId="12" fillId="0" borderId="5" xfId="0" applyFont="1" applyFill="1" applyBorder="1" applyAlignment="1">
      <alignment vertical="top" wrapText="1"/>
    </xf>
    <xf numFmtId="0" fontId="12" fillId="0" borderId="0" xfId="0" applyFont="1" applyFill="1" applyAlignment="1">
      <alignment vertical="top" wrapText="1"/>
    </xf>
    <xf numFmtId="0" fontId="12" fillId="0" borderId="10" xfId="0" applyFont="1" applyFill="1" applyBorder="1" applyAlignment="1">
      <alignment vertical="top" wrapText="1"/>
    </xf>
    <xf numFmtId="0" fontId="12" fillId="0" borderId="11" xfId="0" applyFont="1" applyFill="1" applyBorder="1" applyAlignment="1">
      <alignment vertical="top" wrapText="1"/>
    </xf>
    <xf numFmtId="0" fontId="12" fillId="0" borderId="6" xfId="0" applyFont="1" applyFill="1" applyBorder="1" applyAlignment="1">
      <alignment vertical="top" wrapText="1"/>
    </xf>
    <xf numFmtId="0" fontId="12" fillId="0" borderId="12" xfId="0" applyFont="1" applyFill="1" applyBorder="1" applyAlignment="1">
      <alignment vertical="top" wrapText="1"/>
    </xf>
    <xf numFmtId="0" fontId="12" fillId="0" borderId="9" xfId="0" applyFont="1" applyFill="1" applyBorder="1" applyAlignment="1">
      <alignment vertical="top"/>
    </xf>
    <xf numFmtId="0" fontId="12" fillId="0" borderId="5" xfId="0" applyFont="1" applyFill="1" applyBorder="1" applyAlignment="1">
      <alignment vertical="top"/>
    </xf>
    <xf numFmtId="0" fontId="12" fillId="0" borderId="0" xfId="0" applyFont="1" applyFill="1" applyAlignment="1">
      <alignment vertical="top"/>
    </xf>
    <xf numFmtId="0" fontId="12" fillId="0" borderId="10" xfId="0" applyFont="1" applyFill="1" applyBorder="1" applyAlignment="1">
      <alignment vertical="top"/>
    </xf>
    <xf numFmtId="0" fontId="12" fillId="0" borderId="11" xfId="0" applyFont="1" applyFill="1" applyBorder="1" applyAlignment="1">
      <alignment vertical="top"/>
    </xf>
    <xf numFmtId="0" fontId="12" fillId="0" borderId="6" xfId="0" applyFont="1" applyFill="1" applyBorder="1" applyAlignment="1">
      <alignment vertical="top"/>
    </xf>
    <xf numFmtId="0" fontId="12" fillId="0" borderId="12" xfId="0" applyFont="1" applyFill="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Fill="1" applyBorder="1" applyAlignment="1">
      <alignment horizontal="center" vertical="center" wrapText="1" shrinkToFit="1"/>
    </xf>
    <xf numFmtId="0" fontId="12" fillId="0" borderId="7" xfId="0" applyFont="1" applyFill="1" applyBorder="1" applyAlignment="1">
      <alignment horizontal="left" vertical="top" wrapText="1"/>
    </xf>
    <xf numFmtId="0" fontId="12" fillId="0" borderId="8" xfId="0" applyFont="1" applyFill="1" applyBorder="1" applyAlignment="1">
      <alignment horizontal="left" vertical="top" wrapText="1"/>
    </xf>
    <xf numFmtId="0" fontId="12" fillId="0" borderId="9" xfId="0" applyFont="1" applyFill="1" applyBorder="1" applyAlignment="1">
      <alignment horizontal="left" vertical="top" wrapText="1"/>
    </xf>
    <xf numFmtId="0" fontId="12" fillId="0" borderId="5" xfId="0" applyFont="1" applyFill="1" applyBorder="1" applyAlignment="1">
      <alignment horizontal="left" vertical="top" wrapText="1"/>
    </xf>
    <xf numFmtId="0" fontId="12" fillId="0" borderId="0" xfId="0" applyFont="1" applyFill="1" applyAlignment="1">
      <alignment horizontal="left" vertical="top" wrapText="1"/>
    </xf>
    <xf numFmtId="0" fontId="12" fillId="0" borderId="10" xfId="0" applyFont="1" applyFill="1" applyBorder="1" applyAlignment="1">
      <alignment horizontal="left" vertical="top" wrapText="1"/>
    </xf>
    <xf numFmtId="0" fontId="12" fillId="0" borderId="11" xfId="0" applyFont="1" applyFill="1" applyBorder="1" applyAlignment="1">
      <alignment horizontal="left" vertical="top" wrapText="1"/>
    </xf>
    <xf numFmtId="0" fontId="12" fillId="0" borderId="6" xfId="0" applyFont="1" applyFill="1" applyBorder="1" applyAlignment="1">
      <alignment horizontal="left" vertical="top" wrapText="1"/>
    </xf>
    <xf numFmtId="0" fontId="12" fillId="0" borderId="12" xfId="0" applyFont="1" applyFill="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2" fillId="0" borderId="19"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12" fillId="0" borderId="20" xfId="0" applyFont="1" applyBorder="1" applyAlignment="1">
      <alignment vertical="top" wrapText="1" shrinkToFit="1"/>
    </xf>
    <xf numFmtId="0" fontId="12" fillId="0" borderId="18"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84"/>
  <sheetViews>
    <sheetView showZeros="0" tabSelected="1" view="pageBreakPreview" zoomScaleNormal="100" zoomScaleSheetLayoutView="100" workbookViewId="0">
      <selection activeCell="B1" sqref="B1"/>
    </sheetView>
  </sheetViews>
  <sheetFormatPr defaultColWidth="9" defaultRowHeight="18.75" customHeight="1"/>
  <cols>
    <col min="1" max="1" width="2.453125" style="1" customWidth="1"/>
    <col min="2" max="2" width="16.453125" style="1" customWidth="1"/>
    <col min="3" max="19" width="5.6328125" style="1" customWidth="1"/>
    <col min="20" max="20" width="9" style="1"/>
    <col min="21" max="21" width="3.6328125" style="1" customWidth="1"/>
    <col min="22" max="22" width="48.6328125" style="1" hidden="1" customWidth="1"/>
    <col min="23" max="16384" width="9" style="1"/>
  </cols>
  <sheetData>
    <row r="1" spans="1:22" ht="18.649999999999999" customHeight="1">
      <c r="R1" s="138" t="s">
        <v>12</v>
      </c>
      <c r="S1" s="138"/>
      <c r="T1" s="2" t="s">
        <v>110</v>
      </c>
    </row>
    <row r="2" spans="1:22" ht="18.75" customHeight="1">
      <c r="B2" s="34" t="s">
        <v>109</v>
      </c>
      <c r="C2" s="84" t="s">
        <v>136</v>
      </c>
      <c r="D2" s="85"/>
      <c r="E2" s="85"/>
      <c r="F2" s="85"/>
      <c r="G2" s="85"/>
      <c r="H2" s="85"/>
      <c r="I2" s="86"/>
      <c r="J2" s="35"/>
      <c r="K2" s="6"/>
      <c r="L2" s="6"/>
      <c r="M2" s="6"/>
      <c r="N2" s="6"/>
      <c r="O2" s="6"/>
      <c r="P2" s="6"/>
      <c r="Q2" s="6"/>
      <c r="R2" s="6"/>
      <c r="S2" s="6"/>
    </row>
    <row r="3" spans="1:22" ht="18.75" customHeight="1">
      <c r="B3" s="34" t="s">
        <v>103</v>
      </c>
      <c r="C3" s="142" t="s">
        <v>152</v>
      </c>
      <c r="D3" s="143"/>
      <c r="E3" s="143"/>
      <c r="F3" s="143"/>
      <c r="G3" s="143"/>
      <c r="H3" s="143"/>
      <c r="I3" s="144"/>
      <c r="J3" s="35"/>
      <c r="K3" s="6"/>
      <c r="L3" s="6"/>
      <c r="M3" s="6"/>
      <c r="N3" s="6"/>
      <c r="O3" s="6"/>
      <c r="P3" s="6"/>
      <c r="Q3" s="6"/>
      <c r="R3" s="6"/>
      <c r="S3" s="6"/>
    </row>
    <row r="4" spans="1:22" ht="15" customHeight="1">
      <c r="K4" s="35"/>
      <c r="L4" s="37"/>
      <c r="M4" s="37"/>
      <c r="N4" s="37"/>
      <c r="O4" s="37"/>
      <c r="P4" s="37"/>
      <c r="Q4" s="37"/>
      <c r="R4" s="37"/>
      <c r="S4" s="37"/>
    </row>
    <row r="5" spans="1:22" ht="18" customHeight="1">
      <c r="A5" s="145" t="s">
        <v>39</v>
      </c>
      <c r="B5" s="145"/>
      <c r="C5" s="145"/>
      <c r="D5" s="145"/>
      <c r="E5" s="145"/>
      <c r="F5" s="145"/>
      <c r="G5" s="145"/>
      <c r="H5" s="145"/>
      <c r="I5" s="145"/>
      <c r="J5" s="145"/>
      <c r="K5" s="145"/>
      <c r="L5" s="145"/>
      <c r="M5" s="145"/>
      <c r="N5" s="145"/>
      <c r="O5" s="145"/>
      <c r="P5" s="145"/>
      <c r="Q5" s="145"/>
      <c r="R5" s="145"/>
      <c r="S5" s="145"/>
    </row>
    <row r="6" spans="1:22" ht="15" customHeight="1">
      <c r="B6" s="3"/>
      <c r="C6" s="3"/>
      <c r="D6" s="3"/>
      <c r="E6" s="3"/>
      <c r="F6" s="3"/>
      <c r="G6" s="3"/>
      <c r="H6" s="3"/>
      <c r="I6" s="3"/>
      <c r="J6" s="3"/>
      <c r="K6" s="3"/>
      <c r="L6" s="3"/>
      <c r="M6" s="3"/>
      <c r="N6" s="3"/>
      <c r="O6" s="3"/>
      <c r="P6" s="3"/>
      <c r="Q6" s="3"/>
      <c r="R6" s="3"/>
      <c r="S6" s="3"/>
    </row>
    <row r="7" spans="1:22" ht="18" customHeight="1">
      <c r="A7" s="1" t="s">
        <v>125</v>
      </c>
      <c r="C7" s="3"/>
      <c r="J7" s="38" t="s">
        <v>108</v>
      </c>
      <c r="K7" s="155" t="s">
        <v>137</v>
      </c>
      <c r="L7" s="156"/>
      <c r="M7" s="156"/>
      <c r="N7" s="156"/>
      <c r="O7" s="156"/>
      <c r="P7" s="156"/>
      <c r="Q7" s="156"/>
      <c r="R7" s="156"/>
      <c r="S7" s="157"/>
    </row>
    <row r="8" spans="1:22" ht="6" customHeight="1">
      <c r="B8" s="3"/>
      <c r="C8" s="3"/>
      <c r="D8" s="3"/>
      <c r="E8" s="3"/>
      <c r="F8" s="3"/>
      <c r="G8" s="3"/>
      <c r="H8" s="3"/>
      <c r="I8" s="3"/>
      <c r="J8" s="3"/>
      <c r="K8" s="10"/>
      <c r="L8" s="3"/>
      <c r="M8" s="3"/>
      <c r="N8" s="3"/>
      <c r="O8" s="3"/>
      <c r="P8" s="3"/>
      <c r="Q8" s="3"/>
      <c r="R8" s="3"/>
      <c r="S8" s="3"/>
    </row>
    <row r="9" spans="1:22" ht="18" customHeight="1">
      <c r="B9" s="158"/>
      <c r="C9" s="159"/>
      <c r="D9" s="159"/>
      <c r="E9" s="159"/>
      <c r="F9" s="159"/>
      <c r="G9" s="159"/>
      <c r="H9" s="159"/>
      <c r="I9" s="159"/>
      <c r="J9" s="159"/>
      <c r="K9" s="159"/>
      <c r="L9" s="159"/>
      <c r="M9" s="159"/>
      <c r="N9" s="159"/>
      <c r="O9" s="159"/>
      <c r="P9" s="159"/>
      <c r="Q9" s="159"/>
      <c r="R9" s="159"/>
      <c r="S9" s="160"/>
    </row>
    <row r="10" spans="1:22" ht="18" customHeight="1">
      <c r="B10" s="161"/>
      <c r="C10" s="162"/>
      <c r="D10" s="162"/>
      <c r="E10" s="162"/>
      <c r="F10" s="162"/>
      <c r="G10" s="162"/>
      <c r="H10" s="162"/>
      <c r="I10" s="162"/>
      <c r="J10" s="162"/>
      <c r="K10" s="162"/>
      <c r="L10" s="162"/>
      <c r="M10" s="162"/>
      <c r="N10" s="162"/>
      <c r="O10" s="162"/>
      <c r="P10" s="162"/>
      <c r="Q10" s="162"/>
      <c r="R10" s="162"/>
      <c r="S10" s="163"/>
    </row>
    <row r="11" spans="1:22" ht="6" customHeight="1">
      <c r="B11" s="3"/>
      <c r="C11" s="3"/>
      <c r="D11" s="3"/>
      <c r="E11" s="3"/>
      <c r="F11" s="3"/>
      <c r="G11" s="3"/>
      <c r="H11" s="3"/>
      <c r="I11" s="3"/>
      <c r="J11" s="3"/>
      <c r="K11" s="10"/>
      <c r="L11" s="3"/>
      <c r="M11" s="3"/>
      <c r="N11" s="3"/>
      <c r="O11" s="3"/>
      <c r="P11" s="3"/>
      <c r="Q11" s="3"/>
      <c r="R11" s="3"/>
      <c r="S11" s="3"/>
    </row>
    <row r="12" spans="1:22" ht="18" customHeight="1">
      <c r="A12" s="1" t="s">
        <v>112</v>
      </c>
      <c r="B12" s="3"/>
      <c r="C12" s="3"/>
      <c r="D12" s="35"/>
      <c r="E12" s="35"/>
      <c r="F12" s="35"/>
      <c r="G12" s="35"/>
      <c r="H12" s="35"/>
      <c r="I12" s="35"/>
      <c r="J12" s="35"/>
      <c r="K12" s="39"/>
      <c r="L12" s="39"/>
      <c r="M12" s="39"/>
      <c r="N12" s="39"/>
      <c r="O12" s="39"/>
      <c r="P12" s="39"/>
      <c r="Q12" s="39"/>
      <c r="R12" s="39"/>
      <c r="S12" s="39"/>
    </row>
    <row r="13" spans="1:22" ht="18" customHeight="1">
      <c r="B13" s="146" t="s">
        <v>153</v>
      </c>
      <c r="C13" s="147"/>
      <c r="D13" s="147"/>
      <c r="E13" s="147"/>
      <c r="F13" s="147"/>
      <c r="G13" s="147"/>
      <c r="H13" s="147"/>
      <c r="I13" s="147"/>
      <c r="J13" s="147"/>
      <c r="K13" s="147"/>
      <c r="L13" s="147"/>
      <c r="M13" s="147"/>
      <c r="N13" s="147"/>
      <c r="O13" s="147"/>
      <c r="P13" s="147"/>
      <c r="Q13" s="147"/>
      <c r="R13" s="147"/>
      <c r="S13" s="148"/>
      <c r="V13" s="1" t="s">
        <v>104</v>
      </c>
    </row>
    <row r="14" spans="1:22" ht="18" customHeight="1">
      <c r="B14" s="149"/>
      <c r="C14" s="150"/>
      <c r="D14" s="150"/>
      <c r="E14" s="150"/>
      <c r="F14" s="150"/>
      <c r="G14" s="150"/>
      <c r="H14" s="150"/>
      <c r="I14" s="150"/>
      <c r="J14" s="150"/>
      <c r="K14" s="150"/>
      <c r="L14" s="150"/>
      <c r="M14" s="150"/>
      <c r="N14" s="150"/>
      <c r="O14" s="150"/>
      <c r="P14" s="150"/>
      <c r="Q14" s="150"/>
      <c r="R14" s="150"/>
      <c r="S14" s="151"/>
      <c r="V14" s="1" t="s">
        <v>111</v>
      </c>
    </row>
    <row r="15" spans="1:22" ht="18" customHeight="1">
      <c r="B15" s="149"/>
      <c r="C15" s="150"/>
      <c r="D15" s="150"/>
      <c r="E15" s="150"/>
      <c r="F15" s="150"/>
      <c r="G15" s="150"/>
      <c r="H15" s="150"/>
      <c r="I15" s="150"/>
      <c r="J15" s="150"/>
      <c r="K15" s="150"/>
      <c r="L15" s="150"/>
      <c r="M15" s="150"/>
      <c r="N15" s="150"/>
      <c r="O15" s="150"/>
      <c r="P15" s="150"/>
      <c r="Q15" s="150"/>
      <c r="R15" s="150"/>
      <c r="S15" s="151"/>
      <c r="V15" s="1" t="s">
        <v>124</v>
      </c>
    </row>
    <row r="16" spans="1:22" ht="7" customHeight="1">
      <c r="B16" s="149"/>
      <c r="C16" s="150"/>
      <c r="D16" s="150"/>
      <c r="E16" s="150"/>
      <c r="F16" s="150"/>
      <c r="G16" s="150"/>
      <c r="H16" s="150"/>
      <c r="I16" s="150"/>
      <c r="J16" s="150"/>
      <c r="K16" s="150"/>
      <c r="L16" s="150"/>
      <c r="M16" s="150"/>
      <c r="N16" s="150"/>
      <c r="O16" s="150"/>
      <c r="P16" s="150"/>
      <c r="Q16" s="150"/>
      <c r="R16" s="150"/>
      <c r="S16" s="151"/>
      <c r="V16" s="1" t="s">
        <v>126</v>
      </c>
    </row>
    <row r="17" spans="1:19" ht="7" customHeight="1">
      <c r="B17" s="149"/>
      <c r="C17" s="150"/>
      <c r="D17" s="150"/>
      <c r="E17" s="150"/>
      <c r="F17" s="150"/>
      <c r="G17" s="150"/>
      <c r="H17" s="150"/>
      <c r="I17" s="150"/>
      <c r="J17" s="150"/>
      <c r="K17" s="150"/>
      <c r="L17" s="150"/>
      <c r="M17" s="150"/>
      <c r="N17" s="150"/>
      <c r="O17" s="150"/>
      <c r="P17" s="150"/>
      <c r="Q17" s="150"/>
      <c r="R17" s="150"/>
      <c r="S17" s="151"/>
    </row>
    <row r="18" spans="1:19" ht="7" customHeight="1">
      <c r="B18" s="152"/>
      <c r="C18" s="153"/>
      <c r="D18" s="153"/>
      <c r="E18" s="153"/>
      <c r="F18" s="153"/>
      <c r="G18" s="153"/>
      <c r="H18" s="153"/>
      <c r="I18" s="153"/>
      <c r="J18" s="153"/>
      <c r="K18" s="153"/>
      <c r="L18" s="153"/>
      <c r="M18" s="153"/>
      <c r="N18" s="153"/>
      <c r="O18" s="153"/>
      <c r="P18" s="153"/>
      <c r="Q18" s="153"/>
      <c r="R18" s="153"/>
      <c r="S18" s="154"/>
    </row>
    <row r="19" spans="1:19" ht="7.5" customHeight="1">
      <c r="B19" s="3"/>
      <c r="C19" s="3"/>
      <c r="D19" s="3"/>
      <c r="E19" s="3"/>
      <c r="F19" s="3"/>
      <c r="G19" s="3"/>
      <c r="H19" s="3"/>
      <c r="I19" s="3"/>
      <c r="J19" s="3"/>
      <c r="K19" s="3"/>
      <c r="L19" s="3"/>
      <c r="M19" s="3"/>
      <c r="N19" s="3"/>
      <c r="O19" s="3"/>
      <c r="P19" s="3"/>
      <c r="Q19" s="3"/>
      <c r="R19" s="3"/>
      <c r="S19" s="3"/>
    </row>
    <row r="20" spans="1:19" ht="20" customHeight="1">
      <c r="B20" s="1" t="s">
        <v>113</v>
      </c>
      <c r="C20" s="84">
        <v>6</v>
      </c>
      <c r="D20" s="86"/>
      <c r="E20" s="40" t="s">
        <v>96</v>
      </c>
      <c r="G20" s="10"/>
      <c r="H20" s="3"/>
      <c r="I20" s="3"/>
      <c r="J20" s="35" t="s">
        <v>122</v>
      </c>
      <c r="K20" s="139" t="s">
        <v>126</v>
      </c>
      <c r="L20" s="140"/>
      <c r="M20" s="140"/>
      <c r="N20" s="140"/>
      <c r="O20" s="140"/>
      <c r="P20" s="140"/>
      <c r="Q20" s="140"/>
      <c r="R20" s="140"/>
      <c r="S20" s="141"/>
    </row>
    <row r="21" spans="1:19" ht="7.5" customHeight="1">
      <c r="B21" s="3"/>
      <c r="C21" s="3"/>
      <c r="D21" s="3"/>
      <c r="E21" s="3"/>
      <c r="F21" s="3"/>
      <c r="G21" s="3"/>
      <c r="H21" s="3"/>
      <c r="I21" s="3"/>
      <c r="J21" s="3"/>
      <c r="K21" s="3"/>
      <c r="L21" s="3"/>
      <c r="M21" s="3"/>
      <c r="N21" s="3"/>
      <c r="O21" s="3"/>
      <c r="P21" s="3"/>
      <c r="Q21" s="3"/>
      <c r="R21" s="3"/>
      <c r="S21" s="3"/>
    </row>
    <row r="22" spans="1:19" ht="18" customHeight="1">
      <c r="A22" s="96" t="s">
        <v>114</v>
      </c>
      <c r="B22" s="96"/>
      <c r="C22" s="96"/>
      <c r="D22" s="96"/>
      <c r="E22" s="96"/>
      <c r="F22" s="96"/>
      <c r="G22" s="96"/>
      <c r="H22" s="96"/>
      <c r="I22" s="96"/>
      <c r="J22" s="96"/>
      <c r="K22" s="96"/>
      <c r="L22" s="96"/>
      <c r="M22" s="96"/>
      <c r="N22" s="96"/>
      <c r="O22" s="96"/>
      <c r="P22" s="96"/>
      <c r="Q22" s="96"/>
      <c r="R22" s="96"/>
      <c r="S22" s="96"/>
    </row>
    <row r="23" spans="1:19" ht="18" customHeight="1">
      <c r="A23" s="96"/>
      <c r="B23" s="96"/>
      <c r="C23" s="96"/>
      <c r="D23" s="96"/>
      <c r="E23" s="96"/>
      <c r="F23" s="96"/>
      <c r="G23" s="96"/>
      <c r="H23" s="96"/>
      <c r="I23" s="96"/>
      <c r="J23" s="96"/>
      <c r="K23" s="96"/>
      <c r="L23" s="96"/>
      <c r="M23" s="96"/>
      <c r="N23" s="96"/>
      <c r="O23" s="96"/>
      <c r="P23" s="96"/>
      <c r="Q23" s="96"/>
      <c r="R23" s="96"/>
      <c r="S23" s="96"/>
    </row>
    <row r="24" spans="1:19" ht="18" customHeight="1">
      <c r="B24" s="84" t="s">
        <v>54</v>
      </c>
      <c r="C24" s="85"/>
      <c r="D24" s="85"/>
      <c r="E24" s="86"/>
      <c r="F24" s="60" t="s">
        <v>81</v>
      </c>
      <c r="G24" s="59" t="s">
        <v>85</v>
      </c>
      <c r="H24" s="22" t="s">
        <v>57</v>
      </c>
      <c r="I24" s="22" t="s">
        <v>60</v>
      </c>
      <c r="J24" s="84" t="s">
        <v>54</v>
      </c>
      <c r="K24" s="85"/>
      <c r="L24" s="85"/>
      <c r="M24" s="85"/>
      <c r="N24" s="85"/>
      <c r="O24" s="86"/>
      <c r="P24" s="60" t="s">
        <v>81</v>
      </c>
      <c r="Q24" s="59" t="s">
        <v>85</v>
      </c>
      <c r="R24" s="22" t="s">
        <v>57</v>
      </c>
      <c r="S24" s="22" t="s">
        <v>60</v>
      </c>
    </row>
    <row r="25" spans="1:19" ht="18" customHeight="1">
      <c r="B25" s="87" t="s">
        <v>140</v>
      </c>
      <c r="C25" s="88"/>
      <c r="D25" s="88"/>
      <c r="E25" s="89"/>
      <c r="F25" s="23">
        <v>3</v>
      </c>
      <c r="G25" s="23"/>
      <c r="H25" s="23" t="s">
        <v>127</v>
      </c>
      <c r="I25" s="23" t="s">
        <v>127</v>
      </c>
      <c r="J25" s="87"/>
      <c r="K25" s="88"/>
      <c r="L25" s="88"/>
      <c r="M25" s="88"/>
      <c r="N25" s="88"/>
      <c r="O25" s="89"/>
      <c r="P25" s="23"/>
      <c r="Q25" s="23"/>
      <c r="R25" s="23"/>
      <c r="S25" s="23"/>
    </row>
    <row r="26" spans="1:19" ht="18" customHeight="1">
      <c r="B26" s="90" t="s">
        <v>141</v>
      </c>
      <c r="C26" s="91"/>
      <c r="D26" s="91"/>
      <c r="E26" s="92"/>
      <c r="F26" s="24">
        <v>3</v>
      </c>
      <c r="G26" s="24"/>
      <c r="H26" s="24" t="s">
        <v>127</v>
      </c>
      <c r="I26" s="24" t="s">
        <v>127</v>
      </c>
      <c r="J26" s="90"/>
      <c r="K26" s="91"/>
      <c r="L26" s="91"/>
      <c r="M26" s="91"/>
      <c r="N26" s="91"/>
      <c r="O26" s="92"/>
      <c r="P26" s="24"/>
      <c r="Q26" s="24"/>
      <c r="R26" s="24"/>
      <c r="S26" s="24"/>
    </row>
    <row r="27" spans="1:19" ht="18" customHeight="1">
      <c r="A27" s="3"/>
      <c r="B27" s="93"/>
      <c r="C27" s="94"/>
      <c r="D27" s="94"/>
      <c r="E27" s="95"/>
      <c r="F27" s="25"/>
      <c r="G27" s="25"/>
      <c r="H27" s="26"/>
      <c r="I27" s="26"/>
      <c r="J27" s="93"/>
      <c r="K27" s="94"/>
      <c r="L27" s="94"/>
      <c r="M27" s="94"/>
      <c r="N27" s="94"/>
      <c r="O27" s="95"/>
      <c r="P27" s="25"/>
      <c r="Q27" s="25"/>
      <c r="R27" s="26"/>
      <c r="S27" s="26"/>
    </row>
    <row r="28" spans="1:19" ht="7.5" customHeight="1">
      <c r="A28" s="3"/>
      <c r="B28" s="6"/>
      <c r="C28" s="6"/>
      <c r="D28" s="3"/>
      <c r="E28" s="3"/>
      <c r="F28" s="3"/>
      <c r="G28" s="3"/>
      <c r="H28" s="6"/>
      <c r="I28" s="6"/>
      <c r="J28" s="6"/>
      <c r="K28" s="6"/>
      <c r="L28" s="6"/>
      <c r="M28" s="6"/>
      <c r="N28" s="6"/>
      <c r="O28" s="6"/>
      <c r="P28" s="6"/>
      <c r="Q28" s="6"/>
      <c r="R28" s="6"/>
      <c r="S28" s="3"/>
    </row>
    <row r="29" spans="1:19" ht="18" customHeight="1">
      <c r="A29" s="96" t="s">
        <v>115</v>
      </c>
      <c r="B29" s="96"/>
      <c r="C29" s="96"/>
      <c r="D29" s="96"/>
      <c r="E29" s="96"/>
      <c r="F29" s="96"/>
      <c r="G29" s="96"/>
      <c r="H29" s="96"/>
      <c r="I29" s="96"/>
      <c r="J29" s="96"/>
      <c r="K29" s="96"/>
      <c r="L29" s="96"/>
      <c r="M29" s="96"/>
      <c r="N29" s="96"/>
      <c r="O29" s="96"/>
      <c r="P29" s="96"/>
      <c r="Q29" s="96"/>
      <c r="R29" s="96"/>
      <c r="S29" s="96"/>
    </row>
    <row r="30" spans="1:19" ht="18" customHeight="1">
      <c r="A30" s="96"/>
      <c r="B30" s="96"/>
      <c r="C30" s="96"/>
      <c r="D30" s="96"/>
      <c r="E30" s="96"/>
      <c r="F30" s="96"/>
      <c r="G30" s="96"/>
      <c r="H30" s="96"/>
      <c r="I30" s="96"/>
      <c r="J30" s="96"/>
      <c r="K30" s="96"/>
      <c r="L30" s="96"/>
      <c r="M30" s="96"/>
      <c r="N30" s="96"/>
      <c r="O30" s="96"/>
      <c r="P30" s="96"/>
      <c r="Q30" s="96"/>
      <c r="R30" s="96"/>
      <c r="S30" s="96"/>
    </row>
    <row r="31" spans="1:19" ht="18" customHeight="1">
      <c r="B31" s="84" t="s">
        <v>54</v>
      </c>
      <c r="C31" s="85"/>
      <c r="D31" s="85"/>
      <c r="E31" s="86"/>
      <c r="F31" s="60" t="s">
        <v>81</v>
      </c>
      <c r="G31" s="59" t="s">
        <v>85</v>
      </c>
      <c r="H31" s="22" t="s">
        <v>72</v>
      </c>
      <c r="I31" s="22" t="s">
        <v>73</v>
      </c>
      <c r="J31" s="84" t="s">
        <v>54</v>
      </c>
      <c r="K31" s="85"/>
      <c r="L31" s="85"/>
      <c r="M31" s="85"/>
      <c r="N31" s="85"/>
      <c r="O31" s="86"/>
      <c r="P31" s="60" t="s">
        <v>81</v>
      </c>
      <c r="Q31" s="59" t="s">
        <v>85</v>
      </c>
      <c r="R31" s="22" t="s">
        <v>72</v>
      </c>
      <c r="S31" s="22" t="s">
        <v>73</v>
      </c>
    </row>
    <row r="32" spans="1:19" ht="18" customHeight="1">
      <c r="B32" s="87" t="s">
        <v>138</v>
      </c>
      <c r="C32" s="88"/>
      <c r="D32" s="88"/>
      <c r="E32" s="89"/>
      <c r="F32" s="23">
        <v>3</v>
      </c>
      <c r="G32" s="23"/>
      <c r="H32" s="23" t="s">
        <v>127</v>
      </c>
      <c r="I32" s="23" t="s">
        <v>127</v>
      </c>
      <c r="J32" s="87"/>
      <c r="K32" s="88"/>
      <c r="L32" s="88"/>
      <c r="M32" s="88"/>
      <c r="N32" s="88"/>
      <c r="O32" s="89"/>
      <c r="P32" s="23"/>
      <c r="Q32" s="23"/>
      <c r="R32" s="23"/>
      <c r="S32" s="23"/>
    </row>
    <row r="33" spans="1:19" ht="18" customHeight="1">
      <c r="B33" s="90" t="s">
        <v>139</v>
      </c>
      <c r="C33" s="91"/>
      <c r="D33" s="91"/>
      <c r="E33" s="92"/>
      <c r="F33" s="24">
        <v>3</v>
      </c>
      <c r="G33" s="24"/>
      <c r="H33" s="24" t="s">
        <v>127</v>
      </c>
      <c r="I33" s="24" t="s">
        <v>127</v>
      </c>
      <c r="J33" s="90"/>
      <c r="K33" s="91"/>
      <c r="L33" s="91"/>
      <c r="M33" s="91"/>
      <c r="N33" s="91"/>
      <c r="O33" s="92"/>
      <c r="P33" s="24"/>
      <c r="Q33" s="24"/>
      <c r="R33" s="24"/>
      <c r="S33" s="24"/>
    </row>
    <row r="34" spans="1:19" ht="18" customHeight="1">
      <c r="B34" s="93"/>
      <c r="C34" s="94"/>
      <c r="D34" s="94"/>
      <c r="E34" s="95"/>
      <c r="F34" s="25"/>
      <c r="G34" s="25"/>
      <c r="H34" s="26"/>
      <c r="I34" s="26"/>
      <c r="J34" s="93"/>
      <c r="K34" s="94"/>
      <c r="L34" s="94"/>
      <c r="M34" s="94"/>
      <c r="N34" s="94"/>
      <c r="O34" s="95"/>
      <c r="P34" s="25"/>
      <c r="Q34" s="25"/>
      <c r="R34" s="26"/>
      <c r="S34" s="26"/>
    </row>
    <row r="35" spans="1:19" ht="7.5" customHeight="1">
      <c r="A35" s="3"/>
      <c r="B35" s="6"/>
      <c r="C35" s="6"/>
      <c r="D35" s="3"/>
      <c r="E35" s="3"/>
      <c r="F35" s="3"/>
      <c r="G35" s="3"/>
      <c r="H35" s="6"/>
      <c r="I35" s="6"/>
      <c r="J35" s="6"/>
      <c r="K35" s="6"/>
      <c r="L35" s="6"/>
      <c r="M35" s="6"/>
      <c r="N35" s="6"/>
      <c r="O35" s="6"/>
      <c r="P35" s="6"/>
      <c r="Q35" s="6"/>
      <c r="R35" s="6"/>
      <c r="S35" s="3"/>
    </row>
    <row r="36" spans="1:19" ht="18" customHeight="1">
      <c r="A36" s="96" t="s">
        <v>116</v>
      </c>
      <c r="B36" s="96"/>
      <c r="C36" s="96"/>
      <c r="D36" s="96"/>
      <c r="E36" s="96"/>
      <c r="F36" s="96"/>
      <c r="G36" s="96"/>
      <c r="H36" s="96"/>
      <c r="I36" s="96"/>
      <c r="J36" s="96"/>
      <c r="K36" s="96"/>
      <c r="L36" s="96"/>
      <c r="M36" s="96"/>
      <c r="N36" s="96"/>
      <c r="O36" s="96"/>
      <c r="P36" s="96"/>
      <c r="Q36" s="96"/>
      <c r="R36" s="96"/>
      <c r="S36" s="96"/>
    </row>
    <row r="37" spans="1:19" ht="18" customHeight="1">
      <c r="A37" s="96"/>
      <c r="B37" s="96"/>
      <c r="C37" s="96"/>
      <c r="D37" s="96"/>
      <c r="E37" s="96"/>
      <c r="F37" s="96"/>
      <c r="G37" s="96"/>
      <c r="H37" s="96"/>
      <c r="I37" s="96"/>
      <c r="J37" s="96"/>
      <c r="K37" s="96"/>
      <c r="L37" s="96"/>
      <c r="M37" s="96"/>
      <c r="N37" s="96"/>
      <c r="O37" s="96"/>
      <c r="P37" s="96"/>
      <c r="Q37" s="96"/>
      <c r="R37" s="96"/>
      <c r="S37" s="96"/>
    </row>
    <row r="38" spans="1:19" ht="18" customHeight="1">
      <c r="B38" s="84" t="s">
        <v>54</v>
      </c>
      <c r="C38" s="85"/>
      <c r="D38" s="85"/>
      <c r="E38" s="86"/>
      <c r="F38" s="60" t="s">
        <v>81</v>
      </c>
      <c r="G38" s="59" t="s">
        <v>85</v>
      </c>
      <c r="H38" s="22" t="s">
        <v>74</v>
      </c>
      <c r="I38" s="22" t="s">
        <v>75</v>
      </c>
      <c r="J38" s="84" t="s">
        <v>54</v>
      </c>
      <c r="K38" s="85"/>
      <c r="L38" s="85"/>
      <c r="M38" s="85"/>
      <c r="N38" s="85"/>
      <c r="O38" s="86"/>
      <c r="P38" s="60" t="s">
        <v>81</v>
      </c>
      <c r="Q38" s="59" t="s">
        <v>85</v>
      </c>
      <c r="R38" s="22" t="s">
        <v>74</v>
      </c>
      <c r="S38" s="22" t="s">
        <v>75</v>
      </c>
    </row>
    <row r="39" spans="1:19" ht="18" customHeight="1">
      <c r="A39" s="3"/>
      <c r="B39" s="87" t="s">
        <v>138</v>
      </c>
      <c r="C39" s="88"/>
      <c r="D39" s="88"/>
      <c r="E39" s="89"/>
      <c r="F39" s="23">
        <v>3</v>
      </c>
      <c r="G39" s="23"/>
      <c r="H39" s="23" t="s">
        <v>127</v>
      </c>
      <c r="I39" s="23" t="s">
        <v>127</v>
      </c>
      <c r="J39" s="87"/>
      <c r="K39" s="88"/>
      <c r="L39" s="88"/>
      <c r="M39" s="88"/>
      <c r="N39" s="88"/>
      <c r="O39" s="89"/>
      <c r="P39" s="23"/>
      <c r="Q39" s="23"/>
      <c r="R39" s="23"/>
      <c r="S39" s="23"/>
    </row>
    <row r="40" spans="1:19" ht="18" customHeight="1">
      <c r="A40" s="3"/>
      <c r="B40" s="90" t="s">
        <v>139</v>
      </c>
      <c r="C40" s="91"/>
      <c r="D40" s="91"/>
      <c r="E40" s="92"/>
      <c r="F40" s="24">
        <v>3</v>
      </c>
      <c r="G40" s="24"/>
      <c r="H40" s="24" t="s">
        <v>127</v>
      </c>
      <c r="I40" s="24" t="s">
        <v>127</v>
      </c>
      <c r="J40" s="90"/>
      <c r="K40" s="91"/>
      <c r="L40" s="91"/>
      <c r="M40" s="91"/>
      <c r="N40" s="91"/>
      <c r="O40" s="92"/>
      <c r="P40" s="24"/>
      <c r="Q40" s="24"/>
      <c r="R40" s="24"/>
      <c r="S40" s="24"/>
    </row>
    <row r="41" spans="1:19" ht="18" customHeight="1">
      <c r="A41" s="3"/>
      <c r="B41" s="93"/>
      <c r="C41" s="94"/>
      <c r="D41" s="94"/>
      <c r="E41" s="95"/>
      <c r="F41" s="25"/>
      <c r="G41" s="25"/>
      <c r="H41" s="26"/>
      <c r="I41" s="26"/>
      <c r="J41" s="93"/>
      <c r="K41" s="94"/>
      <c r="L41" s="94"/>
      <c r="M41" s="94"/>
      <c r="N41" s="94"/>
      <c r="O41" s="95"/>
      <c r="P41" s="25"/>
      <c r="Q41" s="25"/>
      <c r="R41" s="26"/>
      <c r="S41" s="26"/>
    </row>
    <row r="42" spans="1:19" ht="7.5" customHeight="1">
      <c r="B42" s="15"/>
      <c r="C42" s="15"/>
      <c r="D42" s="15"/>
      <c r="E42" s="15"/>
      <c r="F42" s="15"/>
      <c r="G42" s="15"/>
      <c r="H42" s="15"/>
      <c r="I42" s="15"/>
      <c r="J42" s="15"/>
      <c r="K42" s="15"/>
      <c r="L42" s="15"/>
      <c r="M42" s="15"/>
      <c r="N42" s="15"/>
      <c r="O42" s="15"/>
      <c r="P42" s="15"/>
      <c r="Q42" s="15"/>
      <c r="R42" s="15"/>
    </row>
    <row r="43" spans="1:19" ht="18" customHeight="1">
      <c r="A43" s="96" t="s">
        <v>117</v>
      </c>
      <c r="B43" s="96"/>
      <c r="C43" s="96"/>
      <c r="D43" s="96"/>
      <c r="E43" s="96"/>
      <c r="F43" s="96"/>
      <c r="G43" s="96"/>
      <c r="H43" s="96"/>
      <c r="I43" s="96"/>
      <c r="J43" s="96"/>
      <c r="K43" s="96"/>
      <c r="L43" s="96"/>
      <c r="M43" s="96"/>
      <c r="N43" s="96"/>
      <c r="O43" s="96"/>
      <c r="P43" s="96"/>
      <c r="Q43" s="96"/>
      <c r="R43" s="96"/>
      <c r="S43" s="96"/>
    </row>
    <row r="44" spans="1:19" ht="18" customHeight="1">
      <c r="A44" s="96"/>
      <c r="B44" s="96"/>
      <c r="C44" s="96"/>
      <c r="D44" s="96"/>
      <c r="E44" s="96"/>
      <c r="F44" s="96"/>
      <c r="G44" s="96"/>
      <c r="H44" s="96"/>
      <c r="I44" s="96"/>
      <c r="J44" s="96"/>
      <c r="K44" s="96"/>
      <c r="L44" s="96"/>
      <c r="M44" s="96"/>
      <c r="N44" s="96"/>
      <c r="O44" s="96"/>
      <c r="P44" s="96"/>
      <c r="Q44" s="96"/>
      <c r="R44" s="96"/>
      <c r="S44" s="96"/>
    </row>
    <row r="45" spans="1:19" ht="18" customHeight="1">
      <c r="B45" s="84" t="s">
        <v>54</v>
      </c>
      <c r="C45" s="85"/>
      <c r="D45" s="85"/>
      <c r="E45" s="86"/>
      <c r="F45" s="60" t="s">
        <v>81</v>
      </c>
      <c r="G45" s="59" t="s">
        <v>85</v>
      </c>
      <c r="H45" s="22" t="s">
        <v>59</v>
      </c>
      <c r="I45" s="22" t="s">
        <v>61</v>
      </c>
      <c r="J45" s="84" t="s">
        <v>54</v>
      </c>
      <c r="K45" s="85"/>
      <c r="L45" s="85"/>
      <c r="M45" s="85"/>
      <c r="N45" s="85"/>
      <c r="O45" s="86"/>
      <c r="P45" s="60" t="s">
        <v>81</v>
      </c>
      <c r="Q45" s="59" t="s">
        <v>85</v>
      </c>
      <c r="R45" s="22" t="s">
        <v>59</v>
      </c>
      <c r="S45" s="22" t="s">
        <v>61</v>
      </c>
    </row>
    <row r="46" spans="1:19" ht="18" customHeight="1">
      <c r="A46" s="3"/>
      <c r="B46" s="87" t="s">
        <v>145</v>
      </c>
      <c r="C46" s="88"/>
      <c r="D46" s="88"/>
      <c r="E46" s="89"/>
      <c r="F46" s="23">
        <v>3</v>
      </c>
      <c r="G46" s="23"/>
      <c r="H46" s="23" t="s">
        <v>127</v>
      </c>
      <c r="I46" s="23" t="s">
        <v>127</v>
      </c>
      <c r="J46" s="87"/>
      <c r="K46" s="88"/>
      <c r="L46" s="88"/>
      <c r="M46" s="88"/>
      <c r="N46" s="88"/>
      <c r="O46" s="89"/>
      <c r="P46" s="23"/>
      <c r="Q46" s="23"/>
      <c r="R46" s="23"/>
      <c r="S46" s="23"/>
    </row>
    <row r="47" spans="1:19" ht="18" customHeight="1">
      <c r="A47" s="3"/>
      <c r="B47" s="90" t="s">
        <v>146</v>
      </c>
      <c r="C47" s="91"/>
      <c r="D47" s="91"/>
      <c r="E47" s="92"/>
      <c r="F47" s="24">
        <v>3</v>
      </c>
      <c r="G47" s="24"/>
      <c r="H47" s="24" t="s">
        <v>127</v>
      </c>
      <c r="I47" s="24" t="s">
        <v>127</v>
      </c>
      <c r="J47" s="90"/>
      <c r="K47" s="91"/>
      <c r="L47" s="91"/>
      <c r="M47" s="91"/>
      <c r="N47" s="91"/>
      <c r="O47" s="92"/>
      <c r="P47" s="24"/>
      <c r="Q47" s="24"/>
      <c r="R47" s="24"/>
      <c r="S47" s="24"/>
    </row>
    <row r="48" spans="1:19" ht="18" customHeight="1">
      <c r="A48" s="3"/>
      <c r="B48" s="93"/>
      <c r="C48" s="94"/>
      <c r="D48" s="94"/>
      <c r="E48" s="95"/>
      <c r="F48" s="25"/>
      <c r="G48" s="25"/>
      <c r="H48" s="26"/>
      <c r="I48" s="26"/>
      <c r="J48" s="93"/>
      <c r="K48" s="94"/>
      <c r="L48" s="94"/>
      <c r="M48" s="94"/>
      <c r="N48" s="94"/>
      <c r="O48" s="95"/>
      <c r="P48" s="25"/>
      <c r="Q48" s="25"/>
      <c r="R48" s="26"/>
      <c r="S48" s="26"/>
    </row>
    <row r="49" spans="1:19" ht="7.5" customHeight="1">
      <c r="B49" s="15"/>
      <c r="C49" s="15"/>
      <c r="D49" s="15"/>
      <c r="E49" s="15"/>
      <c r="F49" s="15"/>
      <c r="G49" s="15"/>
      <c r="H49" s="15"/>
      <c r="I49" s="15"/>
      <c r="J49" s="15"/>
      <c r="K49" s="15"/>
      <c r="L49" s="15"/>
      <c r="M49" s="15"/>
      <c r="N49" s="15"/>
      <c r="O49" s="15"/>
      <c r="P49" s="15"/>
      <c r="Q49" s="15"/>
      <c r="R49" s="15"/>
    </row>
    <row r="50" spans="1:19" ht="18" customHeight="1">
      <c r="A50" s="96" t="s">
        <v>118</v>
      </c>
      <c r="B50" s="96"/>
      <c r="C50" s="96"/>
      <c r="D50" s="96"/>
      <c r="E50" s="96"/>
      <c r="F50" s="96"/>
      <c r="G50" s="96"/>
      <c r="H50" s="96"/>
      <c r="I50" s="96"/>
      <c r="J50" s="96"/>
      <c r="K50" s="96"/>
      <c r="L50" s="96"/>
      <c r="M50" s="96"/>
      <c r="N50" s="96"/>
      <c r="O50" s="96"/>
      <c r="P50" s="96"/>
      <c r="Q50" s="96"/>
      <c r="R50" s="96"/>
      <c r="S50" s="96"/>
    </row>
    <row r="51" spans="1:19" ht="18" customHeight="1">
      <c r="A51" s="96"/>
      <c r="B51" s="96"/>
      <c r="C51" s="96"/>
      <c r="D51" s="96"/>
      <c r="E51" s="96"/>
      <c r="F51" s="96"/>
      <c r="G51" s="96"/>
      <c r="H51" s="96"/>
      <c r="I51" s="96"/>
      <c r="J51" s="96"/>
      <c r="K51" s="96"/>
      <c r="L51" s="96"/>
      <c r="M51" s="96"/>
      <c r="N51" s="96"/>
      <c r="O51" s="96"/>
      <c r="P51" s="96"/>
      <c r="Q51" s="96"/>
      <c r="R51" s="96"/>
      <c r="S51" s="96"/>
    </row>
    <row r="52" spans="1:19" ht="18" customHeight="1">
      <c r="B52" s="84" t="s">
        <v>54</v>
      </c>
      <c r="C52" s="85"/>
      <c r="D52" s="85"/>
      <c r="E52" s="60" t="s">
        <v>81</v>
      </c>
      <c r="F52" s="59" t="s">
        <v>85</v>
      </c>
      <c r="G52" s="22" t="s">
        <v>102</v>
      </c>
      <c r="H52" s="22" t="s">
        <v>76</v>
      </c>
      <c r="I52" s="22" t="s">
        <v>77</v>
      </c>
      <c r="J52" s="84" t="s">
        <v>54</v>
      </c>
      <c r="K52" s="85"/>
      <c r="L52" s="85"/>
      <c r="M52" s="85"/>
      <c r="N52" s="86"/>
      <c r="O52" s="60" t="s">
        <v>81</v>
      </c>
      <c r="P52" s="59" t="s">
        <v>85</v>
      </c>
      <c r="Q52" s="22" t="s">
        <v>102</v>
      </c>
      <c r="R52" s="22" t="s">
        <v>76</v>
      </c>
      <c r="S52" s="22" t="s">
        <v>77</v>
      </c>
    </row>
    <row r="53" spans="1:19" ht="18" customHeight="1">
      <c r="A53" s="3"/>
      <c r="B53" s="87" t="s">
        <v>142</v>
      </c>
      <c r="C53" s="88"/>
      <c r="D53" s="88"/>
      <c r="E53" s="23">
        <v>3</v>
      </c>
      <c r="F53" s="23" t="s">
        <v>127</v>
      </c>
      <c r="G53" s="23" t="s">
        <v>127</v>
      </c>
      <c r="H53" s="23" t="s">
        <v>127</v>
      </c>
      <c r="I53" s="23" t="s">
        <v>127</v>
      </c>
      <c r="J53" s="87"/>
      <c r="K53" s="88"/>
      <c r="L53" s="88"/>
      <c r="M53" s="88"/>
      <c r="N53" s="89"/>
      <c r="O53" s="23"/>
      <c r="P53" s="23"/>
      <c r="Q53" s="23"/>
      <c r="R53" s="23"/>
      <c r="S53" s="23"/>
    </row>
    <row r="54" spans="1:19" ht="18" customHeight="1">
      <c r="A54" s="3"/>
      <c r="B54" s="93"/>
      <c r="C54" s="94"/>
      <c r="D54" s="94"/>
      <c r="E54" s="25"/>
      <c r="F54" s="25"/>
      <c r="G54" s="26"/>
      <c r="H54" s="26"/>
      <c r="I54" s="26"/>
      <c r="J54" s="93"/>
      <c r="K54" s="94"/>
      <c r="L54" s="94"/>
      <c r="M54" s="94"/>
      <c r="N54" s="95"/>
      <c r="O54" s="25"/>
      <c r="P54" s="25"/>
      <c r="Q54" s="26"/>
      <c r="R54" s="26"/>
      <c r="S54" s="26"/>
    </row>
    <row r="55" spans="1:19" ht="7.5" customHeight="1">
      <c r="B55" s="15"/>
      <c r="C55" s="15"/>
      <c r="D55" s="15"/>
      <c r="E55" s="15"/>
      <c r="F55" s="15"/>
      <c r="G55" s="15"/>
      <c r="H55" s="15"/>
      <c r="I55" s="15"/>
      <c r="J55" s="15"/>
      <c r="K55" s="15"/>
      <c r="L55" s="15"/>
      <c r="M55" s="15"/>
      <c r="N55" s="15"/>
      <c r="O55" s="15"/>
      <c r="P55" s="15"/>
      <c r="Q55" s="15"/>
      <c r="R55" s="15"/>
    </row>
    <row r="56" spans="1:19" ht="18" customHeight="1">
      <c r="A56" s="1" t="s">
        <v>119</v>
      </c>
      <c r="H56" s="3"/>
      <c r="I56" s="3"/>
      <c r="J56" s="3"/>
      <c r="K56" s="3"/>
      <c r="L56" s="3"/>
      <c r="M56" s="3"/>
      <c r="N56" s="3"/>
      <c r="O56" s="3"/>
      <c r="P56" s="3"/>
      <c r="Q56" s="3"/>
      <c r="R56" s="3"/>
      <c r="S56" s="3"/>
    </row>
    <row r="57" spans="1:19" ht="18" customHeight="1">
      <c r="B57" s="84" t="s">
        <v>54</v>
      </c>
      <c r="C57" s="85"/>
      <c r="D57" s="85"/>
      <c r="E57" s="86"/>
      <c r="F57" s="84" t="s">
        <v>83</v>
      </c>
      <c r="G57" s="85"/>
      <c r="H57" s="85"/>
      <c r="I57" s="86"/>
      <c r="J57" s="112" t="s">
        <v>54</v>
      </c>
      <c r="K57" s="113"/>
      <c r="L57" s="113"/>
      <c r="M57" s="113"/>
      <c r="N57" s="113"/>
      <c r="O57" s="114"/>
      <c r="P57" s="84" t="s">
        <v>83</v>
      </c>
      <c r="Q57" s="85"/>
      <c r="R57" s="85"/>
      <c r="S57" s="86"/>
    </row>
    <row r="58" spans="1:19" ht="18" customHeight="1">
      <c r="A58" s="3"/>
      <c r="B58" s="87"/>
      <c r="C58" s="88"/>
      <c r="D58" s="88"/>
      <c r="E58" s="89"/>
      <c r="F58" s="97"/>
      <c r="G58" s="98"/>
      <c r="H58" s="98"/>
      <c r="I58" s="99"/>
      <c r="J58" s="87"/>
      <c r="K58" s="88"/>
      <c r="L58" s="88"/>
      <c r="M58" s="88"/>
      <c r="N58" s="88"/>
      <c r="O58" s="89"/>
      <c r="P58" s="97"/>
      <c r="Q58" s="98"/>
      <c r="R58" s="98"/>
      <c r="S58" s="99"/>
    </row>
    <row r="59" spans="1:19" ht="18" customHeight="1">
      <c r="A59" s="3"/>
      <c r="B59" s="93"/>
      <c r="C59" s="94"/>
      <c r="D59" s="94"/>
      <c r="E59" s="95"/>
      <c r="F59" s="120"/>
      <c r="G59" s="121"/>
      <c r="H59" s="121"/>
      <c r="I59" s="122"/>
      <c r="J59" s="93"/>
      <c r="K59" s="94"/>
      <c r="L59" s="94"/>
      <c r="M59" s="94"/>
      <c r="N59" s="94"/>
      <c r="O59" s="95"/>
      <c r="P59" s="120"/>
      <c r="Q59" s="121"/>
      <c r="R59" s="121"/>
      <c r="S59" s="122"/>
    </row>
    <row r="60" spans="1:19" ht="18" customHeight="1">
      <c r="A60" s="3"/>
      <c r="B60" s="6"/>
      <c r="C60" s="6"/>
      <c r="D60" s="6"/>
      <c r="E60" s="6"/>
      <c r="F60" s="27"/>
      <c r="G60" s="27"/>
      <c r="H60" s="27"/>
      <c r="I60" s="27"/>
      <c r="J60" s="6"/>
      <c r="K60" s="6"/>
      <c r="L60" s="6"/>
      <c r="M60" s="6"/>
      <c r="N60" s="6"/>
      <c r="O60" s="6"/>
      <c r="P60" s="27"/>
      <c r="Q60" s="27"/>
      <c r="R60" s="27"/>
      <c r="S60" s="27"/>
    </row>
    <row r="61" spans="1:19" ht="18.75" customHeight="1">
      <c r="A61" s="1" t="s">
        <v>120</v>
      </c>
    </row>
    <row r="62" spans="1:19" ht="18.75" customHeight="1">
      <c r="B62" s="115" t="s">
        <v>55</v>
      </c>
      <c r="C62" s="116"/>
      <c r="D62" s="85" t="s">
        <v>56</v>
      </c>
      <c r="E62" s="85"/>
      <c r="F62" s="85"/>
      <c r="G62" s="85"/>
      <c r="H62" s="85"/>
      <c r="I62" s="85"/>
      <c r="J62" s="85"/>
      <c r="K62" s="85"/>
      <c r="L62" s="85"/>
      <c r="M62" s="85"/>
      <c r="N62" s="85"/>
      <c r="O62" s="85"/>
      <c r="P62" s="85"/>
      <c r="Q62" s="85"/>
      <c r="R62" s="85"/>
      <c r="S62" s="86"/>
    </row>
    <row r="63" spans="1:19" ht="154.5" customHeight="1">
      <c r="B63" s="100" t="s">
        <v>62</v>
      </c>
      <c r="C63" s="28" t="s">
        <v>57</v>
      </c>
      <c r="D63" s="109" t="s">
        <v>154</v>
      </c>
      <c r="E63" s="110"/>
      <c r="F63" s="110"/>
      <c r="G63" s="110"/>
      <c r="H63" s="110"/>
      <c r="I63" s="110"/>
      <c r="J63" s="110"/>
      <c r="K63" s="110"/>
      <c r="L63" s="110"/>
      <c r="M63" s="110"/>
      <c r="N63" s="110"/>
      <c r="O63" s="110"/>
      <c r="P63" s="110"/>
      <c r="Q63" s="110"/>
      <c r="R63" s="110"/>
      <c r="S63" s="111"/>
    </row>
    <row r="64" spans="1:19" ht="90" customHeight="1">
      <c r="B64" s="101"/>
      <c r="C64" s="29" t="s">
        <v>78</v>
      </c>
      <c r="D64" s="123" t="s">
        <v>155</v>
      </c>
      <c r="E64" s="124"/>
      <c r="F64" s="124"/>
      <c r="G64" s="124"/>
      <c r="H64" s="124"/>
      <c r="I64" s="124"/>
      <c r="J64" s="124"/>
      <c r="K64" s="124"/>
      <c r="L64" s="124"/>
      <c r="M64" s="124"/>
      <c r="N64" s="124"/>
      <c r="O64" s="124"/>
      <c r="P64" s="124"/>
      <c r="Q64" s="124"/>
      <c r="R64" s="124"/>
      <c r="S64" s="125"/>
    </row>
    <row r="65" spans="1:19" ht="132" customHeight="1">
      <c r="B65" s="100" t="s">
        <v>63</v>
      </c>
      <c r="C65" s="30" t="s">
        <v>72</v>
      </c>
      <c r="D65" s="126" t="s">
        <v>156</v>
      </c>
      <c r="E65" s="127"/>
      <c r="F65" s="127"/>
      <c r="G65" s="127"/>
      <c r="H65" s="127"/>
      <c r="I65" s="127"/>
      <c r="J65" s="127"/>
      <c r="K65" s="127"/>
      <c r="L65" s="127"/>
      <c r="M65" s="127"/>
      <c r="N65" s="127"/>
      <c r="O65" s="127"/>
      <c r="P65" s="127"/>
      <c r="Q65" s="127"/>
      <c r="R65" s="127"/>
      <c r="S65" s="128"/>
    </row>
    <row r="66" spans="1:19" ht="44.5" customHeight="1">
      <c r="B66" s="102"/>
      <c r="C66" s="31" t="s">
        <v>73</v>
      </c>
      <c r="D66" s="132" t="s">
        <v>157</v>
      </c>
      <c r="E66" s="133"/>
      <c r="F66" s="133"/>
      <c r="G66" s="133"/>
      <c r="H66" s="133"/>
      <c r="I66" s="133"/>
      <c r="J66" s="133"/>
      <c r="K66" s="133"/>
      <c r="L66" s="133"/>
      <c r="M66" s="133"/>
      <c r="N66" s="133"/>
      <c r="O66" s="133"/>
      <c r="P66" s="133"/>
      <c r="Q66" s="133"/>
      <c r="R66" s="133"/>
      <c r="S66" s="134"/>
    </row>
    <row r="67" spans="1:19" ht="140.5" customHeight="1">
      <c r="B67" s="100" t="s">
        <v>64</v>
      </c>
      <c r="C67" s="30" t="s">
        <v>74</v>
      </c>
      <c r="D67" s="126" t="s">
        <v>158</v>
      </c>
      <c r="E67" s="127"/>
      <c r="F67" s="127"/>
      <c r="G67" s="127"/>
      <c r="H67" s="127"/>
      <c r="I67" s="127"/>
      <c r="J67" s="127"/>
      <c r="K67" s="127"/>
      <c r="L67" s="127"/>
      <c r="M67" s="127"/>
      <c r="N67" s="127"/>
      <c r="O67" s="127"/>
      <c r="P67" s="127"/>
      <c r="Q67" s="127"/>
      <c r="R67" s="127"/>
      <c r="S67" s="128"/>
    </row>
    <row r="68" spans="1:19" ht="97.5" customHeight="1">
      <c r="B68" s="102"/>
      <c r="C68" s="32" t="s">
        <v>75</v>
      </c>
      <c r="D68" s="129" t="s">
        <v>159</v>
      </c>
      <c r="E68" s="130"/>
      <c r="F68" s="130"/>
      <c r="G68" s="130"/>
      <c r="H68" s="130"/>
      <c r="I68" s="130"/>
      <c r="J68" s="130"/>
      <c r="K68" s="130"/>
      <c r="L68" s="130"/>
      <c r="M68" s="130"/>
      <c r="N68" s="130"/>
      <c r="O68" s="130"/>
      <c r="P68" s="130"/>
      <c r="Q68" s="130"/>
      <c r="R68" s="130"/>
      <c r="S68" s="131"/>
    </row>
    <row r="69" spans="1:19" ht="121.5" customHeight="1">
      <c r="B69" s="100" t="s">
        <v>79</v>
      </c>
      <c r="C69" s="28" t="s">
        <v>59</v>
      </c>
      <c r="D69" s="109" t="s">
        <v>160</v>
      </c>
      <c r="E69" s="110"/>
      <c r="F69" s="110"/>
      <c r="G69" s="110"/>
      <c r="H69" s="110"/>
      <c r="I69" s="110"/>
      <c r="J69" s="110"/>
      <c r="K69" s="110"/>
      <c r="L69" s="110"/>
      <c r="M69" s="110"/>
      <c r="N69" s="110"/>
      <c r="O69" s="110"/>
      <c r="P69" s="110"/>
      <c r="Q69" s="110"/>
      <c r="R69" s="110"/>
      <c r="S69" s="111"/>
    </row>
    <row r="70" spans="1:19" ht="97.5" customHeight="1">
      <c r="B70" s="102"/>
      <c r="C70" s="31" t="s">
        <v>61</v>
      </c>
      <c r="D70" s="132" t="s">
        <v>161</v>
      </c>
      <c r="E70" s="133"/>
      <c r="F70" s="133"/>
      <c r="G70" s="133"/>
      <c r="H70" s="133"/>
      <c r="I70" s="133"/>
      <c r="J70" s="133"/>
      <c r="K70" s="133"/>
      <c r="L70" s="133"/>
      <c r="M70" s="133"/>
      <c r="N70" s="133"/>
      <c r="O70" s="133"/>
      <c r="P70" s="133"/>
      <c r="Q70" s="133"/>
      <c r="R70" s="133"/>
      <c r="S70" s="134"/>
    </row>
    <row r="71" spans="1:19" ht="151.5" customHeight="1">
      <c r="B71" s="100" t="s">
        <v>80</v>
      </c>
      <c r="C71" s="30" t="s">
        <v>58</v>
      </c>
      <c r="D71" s="103" t="s">
        <v>162</v>
      </c>
      <c r="E71" s="104"/>
      <c r="F71" s="104"/>
      <c r="G71" s="104"/>
      <c r="H71" s="104"/>
      <c r="I71" s="104"/>
      <c r="J71" s="104"/>
      <c r="K71" s="104"/>
      <c r="L71" s="104"/>
      <c r="M71" s="104"/>
      <c r="N71" s="104"/>
      <c r="O71" s="104"/>
      <c r="P71" s="104"/>
      <c r="Q71" s="104"/>
      <c r="R71" s="104"/>
      <c r="S71" s="105"/>
    </row>
    <row r="72" spans="1:19" ht="97.5" customHeight="1">
      <c r="B72" s="101"/>
      <c r="C72" s="33" t="s">
        <v>76</v>
      </c>
      <c r="D72" s="135" t="s">
        <v>163</v>
      </c>
      <c r="E72" s="136"/>
      <c r="F72" s="136"/>
      <c r="G72" s="136"/>
      <c r="H72" s="136"/>
      <c r="I72" s="136"/>
      <c r="J72" s="136"/>
      <c r="K72" s="136"/>
      <c r="L72" s="136"/>
      <c r="M72" s="136"/>
      <c r="N72" s="136"/>
      <c r="O72" s="136"/>
      <c r="P72" s="136"/>
      <c r="Q72" s="136"/>
      <c r="R72" s="136"/>
      <c r="S72" s="137"/>
    </row>
    <row r="73" spans="1:19" ht="97.5" customHeight="1">
      <c r="B73" s="102"/>
      <c r="C73" s="32" t="s">
        <v>77</v>
      </c>
      <c r="D73" s="106" t="s">
        <v>164</v>
      </c>
      <c r="E73" s="107"/>
      <c r="F73" s="107"/>
      <c r="G73" s="107"/>
      <c r="H73" s="107"/>
      <c r="I73" s="107"/>
      <c r="J73" s="107"/>
      <c r="K73" s="107"/>
      <c r="L73" s="107"/>
      <c r="M73" s="107"/>
      <c r="N73" s="107"/>
      <c r="O73" s="107"/>
      <c r="P73" s="107"/>
      <c r="Q73" s="107"/>
      <c r="R73" s="107"/>
      <c r="S73" s="108"/>
    </row>
    <row r="74" spans="1:19" ht="6" customHeight="1"/>
    <row r="75" spans="1:19" ht="18.75" customHeight="1">
      <c r="A75" s="1" t="s">
        <v>121</v>
      </c>
    </row>
    <row r="76" spans="1:19" ht="115" customHeight="1">
      <c r="B76" s="117" t="s">
        <v>143</v>
      </c>
      <c r="C76" s="118"/>
      <c r="D76" s="118"/>
      <c r="E76" s="118"/>
      <c r="F76" s="118"/>
      <c r="G76" s="118"/>
      <c r="H76" s="118"/>
      <c r="I76" s="118"/>
      <c r="J76" s="118"/>
      <c r="K76" s="118"/>
      <c r="L76" s="118"/>
      <c r="M76" s="118"/>
      <c r="N76" s="118"/>
      <c r="O76" s="118"/>
      <c r="P76" s="118"/>
      <c r="Q76" s="118"/>
      <c r="R76" s="118"/>
      <c r="S76" s="119"/>
    </row>
    <row r="84" ht="18" customHeight="1"/>
  </sheetData>
  <mergeCells count="83">
    <mergeCell ref="J31:O31"/>
    <mergeCell ref="B9:S10"/>
    <mergeCell ref="J48:O48"/>
    <mergeCell ref="B52:D52"/>
    <mergeCell ref="J52:N52"/>
    <mergeCell ref="B41:E41"/>
    <mergeCell ref="A29:S30"/>
    <mergeCell ref="C20:D20"/>
    <mergeCell ref="B31:E31"/>
    <mergeCell ref="B32:E32"/>
    <mergeCell ref="B33:E33"/>
    <mergeCell ref="B45:E45"/>
    <mergeCell ref="B46:E46"/>
    <mergeCell ref="B47:E47"/>
    <mergeCell ref="B38:E38"/>
    <mergeCell ref="B39:E39"/>
    <mergeCell ref="R1:S1"/>
    <mergeCell ref="B24:E24"/>
    <mergeCell ref="B25:E25"/>
    <mergeCell ref="B26:E26"/>
    <mergeCell ref="B27:E27"/>
    <mergeCell ref="J24:O24"/>
    <mergeCell ref="J25:O25"/>
    <mergeCell ref="J26:O26"/>
    <mergeCell ref="J27:O27"/>
    <mergeCell ref="K20:S20"/>
    <mergeCell ref="C2:I2"/>
    <mergeCell ref="C3:I3"/>
    <mergeCell ref="A5:S5"/>
    <mergeCell ref="B13:S18"/>
    <mergeCell ref="A22:S23"/>
    <mergeCell ref="K7:S7"/>
    <mergeCell ref="B76:S76"/>
    <mergeCell ref="P59:S59"/>
    <mergeCell ref="D64:S64"/>
    <mergeCell ref="D65:S65"/>
    <mergeCell ref="D68:S68"/>
    <mergeCell ref="D66:S66"/>
    <mergeCell ref="D67:S67"/>
    <mergeCell ref="B59:E59"/>
    <mergeCell ref="D70:S70"/>
    <mergeCell ref="F59:I59"/>
    <mergeCell ref="D72:S72"/>
    <mergeCell ref="D62:S62"/>
    <mergeCell ref="D63:S63"/>
    <mergeCell ref="J47:O47"/>
    <mergeCell ref="B57:E57"/>
    <mergeCell ref="F58:I58"/>
    <mergeCell ref="B65:B66"/>
    <mergeCell ref="B67:B68"/>
    <mergeCell ref="B63:B64"/>
    <mergeCell ref="J53:N53"/>
    <mergeCell ref="B54:D54"/>
    <mergeCell ref="B48:E48"/>
    <mergeCell ref="F57:I57"/>
    <mergeCell ref="J57:O57"/>
    <mergeCell ref="B53:D53"/>
    <mergeCell ref="A50:S51"/>
    <mergeCell ref="J54:N54"/>
    <mergeCell ref="J59:O59"/>
    <mergeCell ref="B62:C62"/>
    <mergeCell ref="P58:S58"/>
    <mergeCell ref="B71:B73"/>
    <mergeCell ref="D71:S71"/>
    <mergeCell ref="D73:S73"/>
    <mergeCell ref="B69:B70"/>
    <mergeCell ref="D69:S69"/>
    <mergeCell ref="P57:S57"/>
    <mergeCell ref="B58:E58"/>
    <mergeCell ref="J32:O32"/>
    <mergeCell ref="J33:O33"/>
    <mergeCell ref="J45:O45"/>
    <mergeCell ref="J46:O46"/>
    <mergeCell ref="B34:E34"/>
    <mergeCell ref="J39:O39"/>
    <mergeCell ref="J40:O40"/>
    <mergeCell ref="J34:O34"/>
    <mergeCell ref="A36:S37"/>
    <mergeCell ref="A43:S44"/>
    <mergeCell ref="J38:O38"/>
    <mergeCell ref="J41:O41"/>
    <mergeCell ref="B40:E40"/>
    <mergeCell ref="J58:O58"/>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27 Q25:S27 G32:I34 Q32:S34 G39:I41 Q39:S41 G46:I48 Q46:S48 F53:I54 P53:S54">
      <formula1>"○"</formula1>
    </dataValidation>
    <dataValidation type="list" allowBlank="1" showInputMessage="1" showErrorMessage="1" sqref="S28 S35 D28:G28 D35:G35">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P58:S60 F58:I6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0" max="18" man="1"/>
    <brk id="68" max="18"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E12" sqref="E12"/>
    </sheetView>
  </sheetViews>
  <sheetFormatPr defaultColWidth="9" defaultRowHeight="18.75" customHeight="1"/>
  <cols>
    <col min="1" max="1" width="2.81640625" style="1" customWidth="1"/>
    <col min="2" max="2" width="20.81640625" style="1" customWidth="1"/>
    <col min="3" max="5" width="6.08984375" style="1" customWidth="1"/>
    <col min="6" max="42" width="4.90625" style="1" customWidth="1"/>
    <col min="43" max="43" width="6.6328125" style="1" customWidth="1"/>
    <col min="44" max="16384" width="9" style="1"/>
  </cols>
  <sheetData>
    <row r="1" spans="1:45" ht="18" customHeight="1">
      <c r="AQ1" s="1" t="s">
        <v>107</v>
      </c>
    </row>
    <row r="2" spans="1:45" ht="18" customHeight="1">
      <c r="K2" s="35"/>
      <c r="Q2" s="35"/>
      <c r="W2" s="35"/>
      <c r="AC2" s="35"/>
      <c r="AI2" s="35"/>
      <c r="AL2" s="35" t="s">
        <v>109</v>
      </c>
      <c r="AM2" s="167" t="str">
        <f>'様式１　プログラムを構成する授業科目'!C2</f>
        <v>国際教養大学</v>
      </c>
      <c r="AN2" s="167"/>
      <c r="AO2" s="167"/>
      <c r="AP2" s="167"/>
      <c r="AQ2" s="167"/>
    </row>
    <row r="3" spans="1:45" ht="18" customHeight="1">
      <c r="A3" s="145" t="s">
        <v>48</v>
      </c>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84</v>
      </c>
      <c r="C5" s="142" t="s">
        <v>149</v>
      </c>
      <c r="D5" s="144"/>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68" t="s">
        <v>45</v>
      </c>
      <c r="C9" s="183" t="s">
        <v>87</v>
      </c>
      <c r="D9" s="171" t="s">
        <v>47</v>
      </c>
      <c r="E9" s="174" t="s">
        <v>40</v>
      </c>
      <c r="F9" s="164" t="s">
        <v>86</v>
      </c>
      <c r="G9" s="164"/>
      <c r="H9" s="164"/>
      <c r="I9" s="164"/>
      <c r="J9" s="164"/>
      <c r="K9" s="164"/>
      <c r="L9" s="164" t="s">
        <v>49</v>
      </c>
      <c r="M9" s="164"/>
      <c r="N9" s="164"/>
      <c r="O9" s="164"/>
      <c r="P9" s="164"/>
      <c r="Q9" s="164"/>
      <c r="R9" s="164" t="s">
        <v>50</v>
      </c>
      <c r="S9" s="164"/>
      <c r="T9" s="164"/>
      <c r="U9" s="164"/>
      <c r="V9" s="164"/>
      <c r="W9" s="164"/>
      <c r="X9" s="164" t="s">
        <v>101</v>
      </c>
      <c r="Y9" s="164"/>
      <c r="Z9" s="164"/>
      <c r="AA9" s="164"/>
      <c r="AB9" s="164"/>
      <c r="AC9" s="164"/>
      <c r="AD9" s="164" t="s">
        <v>51</v>
      </c>
      <c r="AE9" s="164"/>
      <c r="AF9" s="164"/>
      <c r="AG9" s="164"/>
      <c r="AH9" s="164"/>
      <c r="AI9" s="164"/>
      <c r="AJ9" s="164" t="s">
        <v>52</v>
      </c>
      <c r="AK9" s="164"/>
      <c r="AL9" s="164"/>
      <c r="AM9" s="164"/>
      <c r="AN9" s="164"/>
      <c r="AO9" s="164"/>
      <c r="AP9" s="177" t="s">
        <v>35</v>
      </c>
      <c r="AQ9" s="180" t="s">
        <v>32</v>
      </c>
      <c r="AS9" s="2"/>
    </row>
    <row r="10" spans="1:45" ht="17" customHeight="1">
      <c r="B10" s="169"/>
      <c r="C10" s="184"/>
      <c r="D10" s="172"/>
      <c r="E10" s="175"/>
      <c r="F10" s="165" t="s">
        <v>97</v>
      </c>
      <c r="G10" s="166"/>
      <c r="H10" s="166"/>
      <c r="I10" s="165" t="s">
        <v>29</v>
      </c>
      <c r="J10" s="166"/>
      <c r="K10" s="166"/>
      <c r="L10" s="165" t="s">
        <v>97</v>
      </c>
      <c r="M10" s="166"/>
      <c r="N10" s="166"/>
      <c r="O10" s="165" t="s">
        <v>29</v>
      </c>
      <c r="P10" s="166"/>
      <c r="Q10" s="166"/>
      <c r="R10" s="165" t="s">
        <v>97</v>
      </c>
      <c r="S10" s="166"/>
      <c r="T10" s="166"/>
      <c r="U10" s="165" t="s">
        <v>29</v>
      </c>
      <c r="V10" s="166"/>
      <c r="W10" s="166"/>
      <c r="X10" s="165" t="s">
        <v>97</v>
      </c>
      <c r="Y10" s="166"/>
      <c r="Z10" s="166"/>
      <c r="AA10" s="165" t="s">
        <v>29</v>
      </c>
      <c r="AB10" s="166"/>
      <c r="AC10" s="166"/>
      <c r="AD10" s="165" t="s">
        <v>97</v>
      </c>
      <c r="AE10" s="166"/>
      <c r="AF10" s="166"/>
      <c r="AG10" s="165" t="s">
        <v>29</v>
      </c>
      <c r="AH10" s="166"/>
      <c r="AI10" s="166"/>
      <c r="AJ10" s="165" t="s">
        <v>97</v>
      </c>
      <c r="AK10" s="166"/>
      <c r="AL10" s="166"/>
      <c r="AM10" s="165" t="s">
        <v>29</v>
      </c>
      <c r="AN10" s="166"/>
      <c r="AO10" s="166"/>
      <c r="AP10" s="178"/>
      <c r="AQ10" s="181"/>
      <c r="AS10" s="2"/>
    </row>
    <row r="11" spans="1:45" ht="18" customHeight="1">
      <c r="B11" s="170"/>
      <c r="C11" s="185"/>
      <c r="D11" s="173"/>
      <c r="E11" s="176"/>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9"/>
      <c r="AQ11" s="182"/>
      <c r="AS11" s="2"/>
    </row>
    <row r="12" spans="1:45" ht="18" customHeight="1">
      <c r="A12" s="6"/>
      <c r="B12" s="11" t="s">
        <v>147</v>
      </c>
      <c r="C12" s="61">
        <v>841</v>
      </c>
      <c r="D12" s="62">
        <v>175</v>
      </c>
      <c r="E12" s="63">
        <v>728</v>
      </c>
      <c r="F12" s="63">
        <f>G12+H12</f>
        <v>148</v>
      </c>
      <c r="G12" s="64">
        <v>37</v>
      </c>
      <c r="H12" s="65">
        <v>111</v>
      </c>
      <c r="I12" s="63">
        <f>J12+K12</f>
        <v>41</v>
      </c>
      <c r="J12" s="64">
        <v>12</v>
      </c>
      <c r="K12" s="65">
        <v>29</v>
      </c>
      <c r="L12" s="63">
        <f>M12+N12</f>
        <v>59</v>
      </c>
      <c r="M12" s="64">
        <v>18</v>
      </c>
      <c r="N12" s="65">
        <v>41</v>
      </c>
      <c r="O12" s="63">
        <f>P12+Q12</f>
        <v>2</v>
      </c>
      <c r="P12" s="64">
        <v>1</v>
      </c>
      <c r="Q12" s="65">
        <v>1</v>
      </c>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207</v>
      </c>
      <c r="AQ12" s="21">
        <f>AP12/E12</f>
        <v>0.28434065934065933</v>
      </c>
    </row>
    <row r="13" spans="1:45" ht="18" customHeight="1">
      <c r="A13" s="6"/>
      <c r="B13" s="12"/>
      <c r="C13" s="66"/>
      <c r="D13" s="67"/>
      <c r="E13" s="68"/>
      <c r="F13" s="69">
        <f t="shared" ref="F13:F31" si="0">G13+H13</f>
        <v>0</v>
      </c>
      <c r="G13" s="70"/>
      <c r="H13" s="71"/>
      <c r="I13" s="69">
        <f t="shared" ref="I13:I31" si="1">J13+K13</f>
        <v>0</v>
      </c>
      <c r="J13" s="70"/>
      <c r="K13" s="71"/>
      <c r="L13" s="69">
        <f t="shared" ref="L13:L31" si="2">M13+N13</f>
        <v>0</v>
      </c>
      <c r="M13" s="70"/>
      <c r="N13" s="71"/>
      <c r="O13" s="69">
        <f t="shared" ref="O13:O31" si="3">P13+Q13</f>
        <v>0</v>
      </c>
      <c r="P13" s="70"/>
      <c r="Q13" s="71"/>
      <c r="R13" s="69">
        <f t="shared" ref="R13:R31" si="4">S13+T13</f>
        <v>0</v>
      </c>
      <c r="S13" s="70"/>
      <c r="T13" s="71"/>
      <c r="U13" s="69">
        <f t="shared" ref="U13:U31" si="5">V13+W13</f>
        <v>0</v>
      </c>
      <c r="V13" s="70"/>
      <c r="W13" s="71"/>
      <c r="X13" s="69">
        <f t="shared" ref="X13:X31" si="6">Y13+Z13</f>
        <v>0</v>
      </c>
      <c r="Y13" s="70"/>
      <c r="Z13" s="71"/>
      <c r="AA13" s="69">
        <f t="shared" ref="AA13:AA31" si="7">AB13+AC13</f>
        <v>0</v>
      </c>
      <c r="AB13" s="70"/>
      <c r="AC13" s="71"/>
      <c r="AD13" s="69">
        <f t="shared" ref="AD13:AD31" si="8">AE13+AF13</f>
        <v>0</v>
      </c>
      <c r="AE13" s="70"/>
      <c r="AF13" s="71"/>
      <c r="AG13" s="69">
        <f t="shared" ref="AG13:AG31" si="9">AH13+AI13</f>
        <v>0</v>
      </c>
      <c r="AH13" s="70"/>
      <c r="AI13" s="71"/>
      <c r="AJ13" s="69">
        <f t="shared" ref="AJ13:AJ31" si="10">AK13+AL13</f>
        <v>0</v>
      </c>
      <c r="AK13" s="70"/>
      <c r="AL13" s="71"/>
      <c r="AM13" s="69">
        <f t="shared" ref="AM13:AM31" si="11">AN13+AO13</f>
        <v>0</v>
      </c>
      <c r="AN13" s="70"/>
      <c r="AO13" s="71"/>
      <c r="AP13" s="67">
        <f t="shared" ref="AP13:AP31" si="12">F13+L13+R13+X13+AD13+AJ13</f>
        <v>0</v>
      </c>
      <c r="AQ13" s="20" t="e">
        <f t="shared" ref="AQ13:AQ32" si="13">AP13/E13</f>
        <v>#DIV/0!</v>
      </c>
    </row>
    <row r="14" spans="1:45" ht="18" customHeight="1">
      <c r="A14" s="6"/>
      <c r="B14" s="12"/>
      <c r="C14" s="66"/>
      <c r="D14" s="67"/>
      <c r="E14" s="68"/>
      <c r="F14" s="69">
        <f t="shared" si="0"/>
        <v>0</v>
      </c>
      <c r="G14" s="70"/>
      <c r="H14" s="71"/>
      <c r="I14" s="69">
        <f t="shared" si="1"/>
        <v>0</v>
      </c>
      <c r="J14" s="70"/>
      <c r="K14" s="71"/>
      <c r="L14" s="69">
        <f t="shared" si="2"/>
        <v>0</v>
      </c>
      <c r="M14" s="70"/>
      <c r="N14" s="71"/>
      <c r="O14" s="69">
        <f t="shared" si="3"/>
        <v>0</v>
      </c>
      <c r="P14" s="70"/>
      <c r="Q14" s="71"/>
      <c r="R14" s="69">
        <f t="shared" si="4"/>
        <v>0</v>
      </c>
      <c r="S14" s="70"/>
      <c r="T14" s="71"/>
      <c r="U14" s="69">
        <f t="shared" si="5"/>
        <v>0</v>
      </c>
      <c r="V14" s="70"/>
      <c r="W14" s="71"/>
      <c r="X14" s="69">
        <f t="shared" si="6"/>
        <v>0</v>
      </c>
      <c r="Y14" s="70"/>
      <c r="Z14" s="71"/>
      <c r="AA14" s="69">
        <f t="shared" si="7"/>
        <v>0</v>
      </c>
      <c r="AB14" s="70"/>
      <c r="AC14" s="71"/>
      <c r="AD14" s="69">
        <f t="shared" si="8"/>
        <v>0</v>
      </c>
      <c r="AE14" s="70"/>
      <c r="AF14" s="71"/>
      <c r="AG14" s="69">
        <f t="shared" si="9"/>
        <v>0</v>
      </c>
      <c r="AH14" s="70"/>
      <c r="AI14" s="71"/>
      <c r="AJ14" s="69">
        <f t="shared" si="10"/>
        <v>0</v>
      </c>
      <c r="AK14" s="70"/>
      <c r="AL14" s="71"/>
      <c r="AM14" s="69">
        <f t="shared" si="11"/>
        <v>0</v>
      </c>
      <c r="AN14" s="70"/>
      <c r="AO14" s="71"/>
      <c r="AP14" s="67">
        <f t="shared" si="12"/>
        <v>0</v>
      </c>
      <c r="AQ14" s="8" t="e">
        <f t="shared" si="13"/>
        <v>#DIV/0!</v>
      </c>
    </row>
    <row r="15" spans="1:45" ht="18" customHeight="1">
      <c r="A15" s="6"/>
      <c r="B15" s="12"/>
      <c r="C15" s="66"/>
      <c r="D15" s="67"/>
      <c r="E15" s="68"/>
      <c r="F15" s="69">
        <f t="shared" si="0"/>
        <v>0</v>
      </c>
      <c r="G15" s="70"/>
      <c r="H15" s="71"/>
      <c r="I15" s="69">
        <f t="shared" si="1"/>
        <v>0</v>
      </c>
      <c r="J15" s="70"/>
      <c r="K15" s="71"/>
      <c r="L15" s="69">
        <f t="shared" si="2"/>
        <v>0</v>
      </c>
      <c r="M15" s="70"/>
      <c r="N15" s="71"/>
      <c r="O15" s="69">
        <f t="shared" si="3"/>
        <v>0</v>
      </c>
      <c r="P15" s="70"/>
      <c r="Q15" s="71"/>
      <c r="R15" s="69">
        <f t="shared" si="4"/>
        <v>0</v>
      </c>
      <c r="S15" s="70"/>
      <c r="T15" s="71"/>
      <c r="U15" s="69">
        <f t="shared" si="5"/>
        <v>0</v>
      </c>
      <c r="V15" s="70"/>
      <c r="W15" s="71"/>
      <c r="X15" s="69">
        <f t="shared" si="6"/>
        <v>0</v>
      </c>
      <c r="Y15" s="70"/>
      <c r="Z15" s="71"/>
      <c r="AA15" s="69">
        <f t="shared" si="7"/>
        <v>0</v>
      </c>
      <c r="AB15" s="70"/>
      <c r="AC15" s="71"/>
      <c r="AD15" s="69">
        <f t="shared" si="8"/>
        <v>0</v>
      </c>
      <c r="AE15" s="70"/>
      <c r="AF15" s="71"/>
      <c r="AG15" s="69">
        <f t="shared" si="9"/>
        <v>0</v>
      </c>
      <c r="AH15" s="70"/>
      <c r="AI15" s="71"/>
      <c r="AJ15" s="69">
        <f t="shared" si="10"/>
        <v>0</v>
      </c>
      <c r="AK15" s="70"/>
      <c r="AL15" s="71"/>
      <c r="AM15" s="69">
        <f t="shared" si="11"/>
        <v>0</v>
      </c>
      <c r="AN15" s="70"/>
      <c r="AO15" s="71"/>
      <c r="AP15" s="67">
        <f t="shared" si="12"/>
        <v>0</v>
      </c>
      <c r="AQ15" s="8" t="e">
        <f t="shared" si="13"/>
        <v>#DIV/0!</v>
      </c>
    </row>
    <row r="16" spans="1:45" ht="18" customHeight="1">
      <c r="A16" s="6"/>
      <c r="B16" s="12"/>
      <c r="C16" s="66"/>
      <c r="D16" s="67"/>
      <c r="E16" s="68"/>
      <c r="F16" s="69">
        <f t="shared" si="0"/>
        <v>0</v>
      </c>
      <c r="G16" s="70"/>
      <c r="H16" s="71"/>
      <c r="I16" s="69">
        <f t="shared" si="1"/>
        <v>0</v>
      </c>
      <c r="J16" s="70"/>
      <c r="K16" s="71"/>
      <c r="L16" s="69">
        <f t="shared" si="2"/>
        <v>0</v>
      </c>
      <c r="M16" s="70"/>
      <c r="N16" s="71"/>
      <c r="O16" s="69">
        <f t="shared" si="3"/>
        <v>0</v>
      </c>
      <c r="P16" s="70"/>
      <c r="Q16" s="71"/>
      <c r="R16" s="69">
        <f t="shared" si="4"/>
        <v>0</v>
      </c>
      <c r="S16" s="70"/>
      <c r="T16" s="71"/>
      <c r="U16" s="69">
        <f t="shared" si="5"/>
        <v>0</v>
      </c>
      <c r="V16" s="70"/>
      <c r="W16" s="71"/>
      <c r="X16" s="69">
        <f t="shared" si="6"/>
        <v>0</v>
      </c>
      <c r="Y16" s="70"/>
      <c r="Z16" s="71"/>
      <c r="AA16" s="69">
        <f t="shared" si="7"/>
        <v>0</v>
      </c>
      <c r="AB16" s="70"/>
      <c r="AC16" s="71"/>
      <c r="AD16" s="69">
        <f t="shared" si="8"/>
        <v>0</v>
      </c>
      <c r="AE16" s="70"/>
      <c r="AF16" s="71"/>
      <c r="AG16" s="69">
        <f t="shared" si="9"/>
        <v>0</v>
      </c>
      <c r="AH16" s="70"/>
      <c r="AI16" s="71"/>
      <c r="AJ16" s="69">
        <f t="shared" si="10"/>
        <v>0</v>
      </c>
      <c r="AK16" s="70"/>
      <c r="AL16" s="71"/>
      <c r="AM16" s="69">
        <f t="shared" si="11"/>
        <v>0</v>
      </c>
      <c r="AN16" s="70"/>
      <c r="AO16" s="71"/>
      <c r="AP16" s="67">
        <f t="shared" si="12"/>
        <v>0</v>
      </c>
      <c r="AQ16" s="8" t="e">
        <f t="shared" si="13"/>
        <v>#DIV/0!</v>
      </c>
    </row>
    <row r="17" spans="1:43" ht="18" customHeight="1">
      <c r="A17" s="6"/>
      <c r="B17" s="12"/>
      <c r="C17" s="66"/>
      <c r="D17" s="67"/>
      <c r="E17" s="68"/>
      <c r="F17" s="69">
        <f t="shared" si="0"/>
        <v>0</v>
      </c>
      <c r="G17" s="70"/>
      <c r="H17" s="71"/>
      <c r="I17" s="69">
        <f t="shared" si="1"/>
        <v>0</v>
      </c>
      <c r="J17" s="70"/>
      <c r="K17" s="71"/>
      <c r="L17" s="69">
        <f t="shared" si="2"/>
        <v>0</v>
      </c>
      <c r="M17" s="70"/>
      <c r="N17" s="71"/>
      <c r="O17" s="69">
        <f t="shared" si="3"/>
        <v>0</v>
      </c>
      <c r="P17" s="70"/>
      <c r="Q17" s="71"/>
      <c r="R17" s="69">
        <f t="shared" si="4"/>
        <v>0</v>
      </c>
      <c r="S17" s="70"/>
      <c r="T17" s="71"/>
      <c r="U17" s="69">
        <f t="shared" si="5"/>
        <v>0</v>
      </c>
      <c r="V17" s="70"/>
      <c r="W17" s="71"/>
      <c r="X17" s="69">
        <f t="shared" si="6"/>
        <v>0</v>
      </c>
      <c r="Y17" s="70"/>
      <c r="Z17" s="71"/>
      <c r="AA17" s="69">
        <f t="shared" si="7"/>
        <v>0</v>
      </c>
      <c r="AB17" s="70"/>
      <c r="AC17" s="71"/>
      <c r="AD17" s="69">
        <f t="shared" si="8"/>
        <v>0</v>
      </c>
      <c r="AE17" s="70"/>
      <c r="AF17" s="71"/>
      <c r="AG17" s="69">
        <f t="shared" si="9"/>
        <v>0</v>
      </c>
      <c r="AH17" s="70"/>
      <c r="AI17" s="71"/>
      <c r="AJ17" s="69">
        <f t="shared" si="10"/>
        <v>0</v>
      </c>
      <c r="AK17" s="70"/>
      <c r="AL17" s="71"/>
      <c r="AM17" s="69">
        <f t="shared" si="11"/>
        <v>0</v>
      </c>
      <c r="AN17" s="70"/>
      <c r="AO17" s="71"/>
      <c r="AP17" s="67">
        <f t="shared" si="12"/>
        <v>0</v>
      </c>
      <c r="AQ17" s="8" t="e">
        <f t="shared" si="13"/>
        <v>#DIV/0!</v>
      </c>
    </row>
    <row r="18" spans="1:43" ht="18" customHeight="1">
      <c r="A18" s="6"/>
      <c r="B18" s="12"/>
      <c r="C18" s="66"/>
      <c r="D18" s="67"/>
      <c r="E18" s="68"/>
      <c r="F18" s="69">
        <f t="shared" si="0"/>
        <v>0</v>
      </c>
      <c r="G18" s="70"/>
      <c r="H18" s="71"/>
      <c r="I18" s="69">
        <f t="shared" si="1"/>
        <v>0</v>
      </c>
      <c r="J18" s="70"/>
      <c r="K18" s="71"/>
      <c r="L18" s="69">
        <f t="shared" si="2"/>
        <v>0</v>
      </c>
      <c r="M18" s="70"/>
      <c r="N18" s="71"/>
      <c r="O18" s="69">
        <f t="shared" si="3"/>
        <v>0</v>
      </c>
      <c r="P18" s="70"/>
      <c r="Q18" s="71"/>
      <c r="R18" s="69">
        <f t="shared" si="4"/>
        <v>0</v>
      </c>
      <c r="S18" s="70"/>
      <c r="T18" s="71"/>
      <c r="U18" s="69">
        <f t="shared" si="5"/>
        <v>0</v>
      </c>
      <c r="V18" s="70"/>
      <c r="W18" s="71"/>
      <c r="X18" s="69">
        <f t="shared" si="6"/>
        <v>0</v>
      </c>
      <c r="Y18" s="70"/>
      <c r="Z18" s="71"/>
      <c r="AA18" s="69">
        <f t="shared" si="7"/>
        <v>0</v>
      </c>
      <c r="AB18" s="70"/>
      <c r="AC18" s="71"/>
      <c r="AD18" s="69">
        <f t="shared" si="8"/>
        <v>0</v>
      </c>
      <c r="AE18" s="70"/>
      <c r="AF18" s="71"/>
      <c r="AG18" s="69">
        <f t="shared" si="9"/>
        <v>0</v>
      </c>
      <c r="AH18" s="70"/>
      <c r="AI18" s="71"/>
      <c r="AJ18" s="69">
        <f t="shared" si="10"/>
        <v>0</v>
      </c>
      <c r="AK18" s="70"/>
      <c r="AL18" s="71"/>
      <c r="AM18" s="69">
        <f t="shared" si="11"/>
        <v>0</v>
      </c>
      <c r="AN18" s="70"/>
      <c r="AO18" s="71"/>
      <c r="AP18" s="67">
        <f t="shared" si="12"/>
        <v>0</v>
      </c>
      <c r="AQ18" s="8" t="e">
        <f t="shared" si="13"/>
        <v>#DIV/0!</v>
      </c>
    </row>
    <row r="19" spans="1:43" ht="18" customHeight="1">
      <c r="A19" s="6"/>
      <c r="B19" s="12"/>
      <c r="C19" s="66"/>
      <c r="D19" s="67"/>
      <c r="E19" s="68"/>
      <c r="F19" s="69">
        <f t="shared" si="0"/>
        <v>0</v>
      </c>
      <c r="G19" s="70"/>
      <c r="H19" s="71"/>
      <c r="I19" s="69">
        <f t="shared" si="1"/>
        <v>0</v>
      </c>
      <c r="J19" s="70"/>
      <c r="K19" s="71"/>
      <c r="L19" s="69">
        <f t="shared" si="2"/>
        <v>0</v>
      </c>
      <c r="M19" s="70"/>
      <c r="N19" s="71"/>
      <c r="O19" s="69">
        <f t="shared" si="3"/>
        <v>0</v>
      </c>
      <c r="P19" s="70"/>
      <c r="Q19" s="71"/>
      <c r="R19" s="69">
        <f t="shared" si="4"/>
        <v>0</v>
      </c>
      <c r="S19" s="70"/>
      <c r="T19" s="71"/>
      <c r="U19" s="69">
        <f t="shared" si="5"/>
        <v>0</v>
      </c>
      <c r="V19" s="70"/>
      <c r="W19" s="71"/>
      <c r="X19" s="69">
        <f t="shared" si="6"/>
        <v>0</v>
      </c>
      <c r="Y19" s="70"/>
      <c r="Z19" s="71"/>
      <c r="AA19" s="69">
        <f t="shared" si="7"/>
        <v>0</v>
      </c>
      <c r="AB19" s="70"/>
      <c r="AC19" s="71"/>
      <c r="AD19" s="69">
        <f t="shared" si="8"/>
        <v>0</v>
      </c>
      <c r="AE19" s="70"/>
      <c r="AF19" s="71"/>
      <c r="AG19" s="69">
        <f t="shared" si="9"/>
        <v>0</v>
      </c>
      <c r="AH19" s="70"/>
      <c r="AI19" s="71"/>
      <c r="AJ19" s="69">
        <f t="shared" si="10"/>
        <v>0</v>
      </c>
      <c r="AK19" s="70"/>
      <c r="AL19" s="71"/>
      <c r="AM19" s="69">
        <f t="shared" si="11"/>
        <v>0</v>
      </c>
      <c r="AN19" s="70"/>
      <c r="AO19" s="71"/>
      <c r="AP19" s="67">
        <f t="shared" si="12"/>
        <v>0</v>
      </c>
      <c r="AQ19" s="8" t="e">
        <f t="shared" si="13"/>
        <v>#DIV/0!</v>
      </c>
    </row>
    <row r="20" spans="1:43" ht="18" customHeight="1">
      <c r="A20" s="6"/>
      <c r="B20" s="12"/>
      <c r="C20" s="66"/>
      <c r="D20" s="67"/>
      <c r="E20" s="68"/>
      <c r="F20" s="69">
        <f t="shared" si="0"/>
        <v>0</v>
      </c>
      <c r="G20" s="70"/>
      <c r="H20" s="71"/>
      <c r="I20" s="69">
        <f t="shared" si="1"/>
        <v>0</v>
      </c>
      <c r="J20" s="70"/>
      <c r="K20" s="71"/>
      <c r="L20" s="69">
        <f t="shared" si="2"/>
        <v>0</v>
      </c>
      <c r="M20" s="70"/>
      <c r="N20" s="71"/>
      <c r="O20" s="69">
        <f t="shared" si="3"/>
        <v>0</v>
      </c>
      <c r="P20" s="70"/>
      <c r="Q20" s="71"/>
      <c r="R20" s="69">
        <f t="shared" si="4"/>
        <v>0</v>
      </c>
      <c r="S20" s="70"/>
      <c r="T20" s="71"/>
      <c r="U20" s="69">
        <f t="shared" si="5"/>
        <v>0</v>
      </c>
      <c r="V20" s="70"/>
      <c r="W20" s="71"/>
      <c r="X20" s="69">
        <f t="shared" si="6"/>
        <v>0</v>
      </c>
      <c r="Y20" s="70"/>
      <c r="Z20" s="71"/>
      <c r="AA20" s="69">
        <f t="shared" si="7"/>
        <v>0</v>
      </c>
      <c r="AB20" s="70"/>
      <c r="AC20" s="71"/>
      <c r="AD20" s="69">
        <f t="shared" si="8"/>
        <v>0</v>
      </c>
      <c r="AE20" s="70"/>
      <c r="AF20" s="71"/>
      <c r="AG20" s="69">
        <f t="shared" si="9"/>
        <v>0</v>
      </c>
      <c r="AH20" s="70"/>
      <c r="AI20" s="71"/>
      <c r="AJ20" s="69">
        <f t="shared" si="10"/>
        <v>0</v>
      </c>
      <c r="AK20" s="70"/>
      <c r="AL20" s="71"/>
      <c r="AM20" s="69">
        <f t="shared" si="11"/>
        <v>0</v>
      </c>
      <c r="AN20" s="70"/>
      <c r="AO20" s="71"/>
      <c r="AP20" s="67">
        <f t="shared" si="12"/>
        <v>0</v>
      </c>
      <c r="AQ20" s="8" t="e">
        <f t="shared" si="13"/>
        <v>#DIV/0!</v>
      </c>
    </row>
    <row r="21" spans="1:43" ht="18" customHeight="1">
      <c r="A21" s="6"/>
      <c r="B21" s="12"/>
      <c r="C21" s="66"/>
      <c r="D21" s="67"/>
      <c r="E21" s="68"/>
      <c r="F21" s="69">
        <f t="shared" si="0"/>
        <v>0</v>
      </c>
      <c r="G21" s="70"/>
      <c r="H21" s="71"/>
      <c r="I21" s="69">
        <f t="shared" si="1"/>
        <v>0</v>
      </c>
      <c r="J21" s="70"/>
      <c r="K21" s="71"/>
      <c r="L21" s="69">
        <f t="shared" si="2"/>
        <v>0</v>
      </c>
      <c r="M21" s="70"/>
      <c r="N21" s="71"/>
      <c r="O21" s="69">
        <f t="shared" si="3"/>
        <v>0</v>
      </c>
      <c r="P21" s="70"/>
      <c r="Q21" s="71"/>
      <c r="R21" s="69">
        <f t="shared" si="4"/>
        <v>0</v>
      </c>
      <c r="S21" s="70"/>
      <c r="T21" s="71"/>
      <c r="U21" s="69">
        <f t="shared" si="5"/>
        <v>0</v>
      </c>
      <c r="V21" s="70"/>
      <c r="W21" s="71"/>
      <c r="X21" s="69">
        <f t="shared" si="6"/>
        <v>0</v>
      </c>
      <c r="Y21" s="70"/>
      <c r="Z21" s="71"/>
      <c r="AA21" s="69">
        <f t="shared" si="7"/>
        <v>0</v>
      </c>
      <c r="AB21" s="70"/>
      <c r="AC21" s="71"/>
      <c r="AD21" s="69">
        <f t="shared" si="8"/>
        <v>0</v>
      </c>
      <c r="AE21" s="70"/>
      <c r="AF21" s="71"/>
      <c r="AG21" s="69">
        <f t="shared" si="9"/>
        <v>0</v>
      </c>
      <c r="AH21" s="70"/>
      <c r="AI21" s="71"/>
      <c r="AJ21" s="69">
        <f t="shared" si="10"/>
        <v>0</v>
      </c>
      <c r="AK21" s="70"/>
      <c r="AL21" s="71"/>
      <c r="AM21" s="69">
        <f t="shared" si="11"/>
        <v>0</v>
      </c>
      <c r="AN21" s="70"/>
      <c r="AO21" s="71"/>
      <c r="AP21" s="67">
        <f t="shared" si="12"/>
        <v>0</v>
      </c>
      <c r="AQ21" s="8" t="e">
        <f t="shared" si="13"/>
        <v>#DIV/0!</v>
      </c>
    </row>
    <row r="22" spans="1:43" ht="18" customHeight="1">
      <c r="A22" s="6"/>
      <c r="B22" s="12"/>
      <c r="C22" s="66"/>
      <c r="D22" s="67"/>
      <c r="E22" s="68"/>
      <c r="F22" s="69">
        <f t="shared" si="0"/>
        <v>0</v>
      </c>
      <c r="G22" s="70"/>
      <c r="H22" s="71"/>
      <c r="I22" s="69">
        <f t="shared" si="1"/>
        <v>0</v>
      </c>
      <c r="J22" s="70"/>
      <c r="K22" s="71"/>
      <c r="L22" s="69">
        <f t="shared" si="2"/>
        <v>0</v>
      </c>
      <c r="M22" s="70"/>
      <c r="N22" s="71"/>
      <c r="O22" s="69">
        <f t="shared" si="3"/>
        <v>0</v>
      </c>
      <c r="P22" s="70"/>
      <c r="Q22" s="71"/>
      <c r="R22" s="69">
        <f t="shared" si="4"/>
        <v>0</v>
      </c>
      <c r="S22" s="70"/>
      <c r="T22" s="71"/>
      <c r="U22" s="69">
        <f t="shared" si="5"/>
        <v>0</v>
      </c>
      <c r="V22" s="70"/>
      <c r="W22" s="71"/>
      <c r="X22" s="69">
        <f t="shared" si="6"/>
        <v>0</v>
      </c>
      <c r="Y22" s="70"/>
      <c r="Z22" s="71"/>
      <c r="AA22" s="69">
        <f t="shared" si="7"/>
        <v>0</v>
      </c>
      <c r="AB22" s="70"/>
      <c r="AC22" s="71"/>
      <c r="AD22" s="69">
        <f t="shared" si="8"/>
        <v>0</v>
      </c>
      <c r="AE22" s="70"/>
      <c r="AF22" s="71"/>
      <c r="AG22" s="69">
        <f t="shared" si="9"/>
        <v>0</v>
      </c>
      <c r="AH22" s="70"/>
      <c r="AI22" s="71"/>
      <c r="AJ22" s="69">
        <f t="shared" si="10"/>
        <v>0</v>
      </c>
      <c r="AK22" s="70"/>
      <c r="AL22" s="71"/>
      <c r="AM22" s="69">
        <f t="shared" si="11"/>
        <v>0</v>
      </c>
      <c r="AN22" s="70"/>
      <c r="AO22" s="71"/>
      <c r="AP22" s="67">
        <f t="shared" si="12"/>
        <v>0</v>
      </c>
      <c r="AQ22" s="8" t="e">
        <f t="shared" si="13"/>
        <v>#DIV/0!</v>
      </c>
    </row>
    <row r="23" spans="1:43" ht="18" customHeight="1">
      <c r="A23" s="6"/>
      <c r="B23" s="12"/>
      <c r="C23" s="66"/>
      <c r="D23" s="67"/>
      <c r="E23" s="68"/>
      <c r="F23" s="69">
        <f t="shared" si="0"/>
        <v>0</v>
      </c>
      <c r="G23" s="70"/>
      <c r="H23" s="71"/>
      <c r="I23" s="69">
        <f t="shared" si="1"/>
        <v>0</v>
      </c>
      <c r="J23" s="70"/>
      <c r="K23" s="71"/>
      <c r="L23" s="69">
        <f t="shared" si="2"/>
        <v>0</v>
      </c>
      <c r="M23" s="70"/>
      <c r="N23" s="71"/>
      <c r="O23" s="69">
        <f t="shared" si="3"/>
        <v>0</v>
      </c>
      <c r="P23" s="70"/>
      <c r="Q23" s="71"/>
      <c r="R23" s="69">
        <f t="shared" si="4"/>
        <v>0</v>
      </c>
      <c r="S23" s="70"/>
      <c r="T23" s="71"/>
      <c r="U23" s="69">
        <f t="shared" si="5"/>
        <v>0</v>
      </c>
      <c r="V23" s="70"/>
      <c r="W23" s="71"/>
      <c r="X23" s="69">
        <f t="shared" si="6"/>
        <v>0</v>
      </c>
      <c r="Y23" s="70"/>
      <c r="Z23" s="71"/>
      <c r="AA23" s="69">
        <f t="shared" si="7"/>
        <v>0</v>
      </c>
      <c r="AB23" s="70"/>
      <c r="AC23" s="71"/>
      <c r="AD23" s="69">
        <f t="shared" si="8"/>
        <v>0</v>
      </c>
      <c r="AE23" s="70"/>
      <c r="AF23" s="71"/>
      <c r="AG23" s="69">
        <f t="shared" si="9"/>
        <v>0</v>
      </c>
      <c r="AH23" s="70"/>
      <c r="AI23" s="71"/>
      <c r="AJ23" s="69">
        <f t="shared" si="10"/>
        <v>0</v>
      </c>
      <c r="AK23" s="70"/>
      <c r="AL23" s="71"/>
      <c r="AM23" s="69">
        <f t="shared" si="11"/>
        <v>0</v>
      </c>
      <c r="AN23" s="70"/>
      <c r="AO23" s="71"/>
      <c r="AP23" s="67">
        <f t="shared" si="12"/>
        <v>0</v>
      </c>
      <c r="AQ23" s="8" t="e">
        <f t="shared" si="13"/>
        <v>#DIV/0!</v>
      </c>
    </row>
    <row r="24" spans="1:43" ht="18" customHeight="1">
      <c r="A24" s="6"/>
      <c r="B24" s="12"/>
      <c r="C24" s="66"/>
      <c r="D24" s="67"/>
      <c r="E24" s="68"/>
      <c r="F24" s="69">
        <f t="shared" si="0"/>
        <v>0</v>
      </c>
      <c r="G24" s="70"/>
      <c r="H24" s="71"/>
      <c r="I24" s="69">
        <f t="shared" si="1"/>
        <v>0</v>
      </c>
      <c r="J24" s="70"/>
      <c r="K24" s="71"/>
      <c r="L24" s="69">
        <f t="shared" si="2"/>
        <v>0</v>
      </c>
      <c r="M24" s="70"/>
      <c r="N24" s="71"/>
      <c r="O24" s="69">
        <f t="shared" si="3"/>
        <v>0</v>
      </c>
      <c r="P24" s="70"/>
      <c r="Q24" s="71"/>
      <c r="R24" s="69">
        <f t="shared" si="4"/>
        <v>0</v>
      </c>
      <c r="S24" s="70"/>
      <c r="T24" s="71"/>
      <c r="U24" s="69">
        <f t="shared" si="5"/>
        <v>0</v>
      </c>
      <c r="V24" s="70"/>
      <c r="W24" s="71"/>
      <c r="X24" s="69">
        <f t="shared" si="6"/>
        <v>0</v>
      </c>
      <c r="Y24" s="70"/>
      <c r="Z24" s="71"/>
      <c r="AA24" s="69">
        <f t="shared" si="7"/>
        <v>0</v>
      </c>
      <c r="AB24" s="70"/>
      <c r="AC24" s="71"/>
      <c r="AD24" s="69">
        <f t="shared" si="8"/>
        <v>0</v>
      </c>
      <c r="AE24" s="70"/>
      <c r="AF24" s="71"/>
      <c r="AG24" s="69">
        <f t="shared" si="9"/>
        <v>0</v>
      </c>
      <c r="AH24" s="70"/>
      <c r="AI24" s="71"/>
      <c r="AJ24" s="69">
        <f t="shared" si="10"/>
        <v>0</v>
      </c>
      <c r="AK24" s="70"/>
      <c r="AL24" s="71"/>
      <c r="AM24" s="69">
        <f t="shared" si="11"/>
        <v>0</v>
      </c>
      <c r="AN24" s="70"/>
      <c r="AO24" s="71"/>
      <c r="AP24" s="67">
        <f t="shared" si="12"/>
        <v>0</v>
      </c>
      <c r="AQ24" s="8" t="e">
        <f t="shared" si="13"/>
        <v>#DIV/0!</v>
      </c>
    </row>
    <row r="25" spans="1:43" ht="18" customHeight="1">
      <c r="A25" s="6"/>
      <c r="B25" s="12"/>
      <c r="C25" s="66"/>
      <c r="D25" s="67"/>
      <c r="E25" s="68"/>
      <c r="F25" s="69">
        <f t="shared" si="0"/>
        <v>0</v>
      </c>
      <c r="G25" s="70"/>
      <c r="H25" s="71"/>
      <c r="I25" s="69">
        <f t="shared" si="1"/>
        <v>0</v>
      </c>
      <c r="J25" s="70"/>
      <c r="K25" s="71"/>
      <c r="L25" s="69">
        <f t="shared" si="2"/>
        <v>0</v>
      </c>
      <c r="M25" s="70"/>
      <c r="N25" s="71"/>
      <c r="O25" s="69">
        <f t="shared" si="3"/>
        <v>0</v>
      </c>
      <c r="P25" s="70"/>
      <c r="Q25" s="71"/>
      <c r="R25" s="69">
        <f t="shared" si="4"/>
        <v>0</v>
      </c>
      <c r="S25" s="70"/>
      <c r="T25" s="71"/>
      <c r="U25" s="69">
        <f t="shared" si="5"/>
        <v>0</v>
      </c>
      <c r="V25" s="70"/>
      <c r="W25" s="71"/>
      <c r="X25" s="69">
        <f t="shared" si="6"/>
        <v>0</v>
      </c>
      <c r="Y25" s="70"/>
      <c r="Z25" s="71"/>
      <c r="AA25" s="69">
        <f t="shared" si="7"/>
        <v>0</v>
      </c>
      <c r="AB25" s="70"/>
      <c r="AC25" s="71"/>
      <c r="AD25" s="69">
        <f t="shared" si="8"/>
        <v>0</v>
      </c>
      <c r="AE25" s="70"/>
      <c r="AF25" s="71"/>
      <c r="AG25" s="69">
        <f t="shared" si="9"/>
        <v>0</v>
      </c>
      <c r="AH25" s="70"/>
      <c r="AI25" s="71"/>
      <c r="AJ25" s="69">
        <f t="shared" si="10"/>
        <v>0</v>
      </c>
      <c r="AK25" s="70"/>
      <c r="AL25" s="71"/>
      <c r="AM25" s="69">
        <f t="shared" si="11"/>
        <v>0</v>
      </c>
      <c r="AN25" s="70"/>
      <c r="AO25" s="71"/>
      <c r="AP25" s="67">
        <f t="shared" si="12"/>
        <v>0</v>
      </c>
      <c r="AQ25" s="8" t="e">
        <f t="shared" si="13"/>
        <v>#DIV/0!</v>
      </c>
    </row>
    <row r="26" spans="1:43" ht="18" customHeight="1">
      <c r="A26" s="6"/>
      <c r="B26" s="12"/>
      <c r="C26" s="66"/>
      <c r="D26" s="67"/>
      <c r="E26" s="68"/>
      <c r="F26" s="69">
        <f t="shared" si="0"/>
        <v>0</v>
      </c>
      <c r="G26" s="70"/>
      <c r="H26" s="71"/>
      <c r="I26" s="69">
        <f t="shared" si="1"/>
        <v>0</v>
      </c>
      <c r="J26" s="70"/>
      <c r="K26" s="71"/>
      <c r="L26" s="69">
        <f t="shared" si="2"/>
        <v>0</v>
      </c>
      <c r="M26" s="70"/>
      <c r="N26" s="71"/>
      <c r="O26" s="69">
        <f t="shared" si="3"/>
        <v>0</v>
      </c>
      <c r="P26" s="70"/>
      <c r="Q26" s="71"/>
      <c r="R26" s="69">
        <f t="shared" si="4"/>
        <v>0</v>
      </c>
      <c r="S26" s="70"/>
      <c r="T26" s="71"/>
      <c r="U26" s="69">
        <f t="shared" si="5"/>
        <v>0</v>
      </c>
      <c r="V26" s="70"/>
      <c r="W26" s="71"/>
      <c r="X26" s="69">
        <f t="shared" si="6"/>
        <v>0</v>
      </c>
      <c r="Y26" s="70"/>
      <c r="Z26" s="71"/>
      <c r="AA26" s="69">
        <f t="shared" si="7"/>
        <v>0</v>
      </c>
      <c r="AB26" s="70"/>
      <c r="AC26" s="71"/>
      <c r="AD26" s="69">
        <f t="shared" si="8"/>
        <v>0</v>
      </c>
      <c r="AE26" s="70"/>
      <c r="AF26" s="71"/>
      <c r="AG26" s="69">
        <f t="shared" si="9"/>
        <v>0</v>
      </c>
      <c r="AH26" s="70"/>
      <c r="AI26" s="71"/>
      <c r="AJ26" s="69">
        <f t="shared" si="10"/>
        <v>0</v>
      </c>
      <c r="AK26" s="70"/>
      <c r="AL26" s="71"/>
      <c r="AM26" s="69">
        <f t="shared" si="11"/>
        <v>0</v>
      </c>
      <c r="AN26" s="70"/>
      <c r="AO26" s="71"/>
      <c r="AP26" s="67">
        <f t="shared" si="12"/>
        <v>0</v>
      </c>
      <c r="AQ26" s="8" t="e">
        <f t="shared" si="13"/>
        <v>#DIV/0!</v>
      </c>
    </row>
    <row r="27" spans="1:43" ht="18" customHeight="1">
      <c r="A27" s="6"/>
      <c r="B27" s="12"/>
      <c r="C27" s="66"/>
      <c r="D27" s="67"/>
      <c r="E27" s="68"/>
      <c r="F27" s="69">
        <f t="shared" si="0"/>
        <v>0</v>
      </c>
      <c r="G27" s="70"/>
      <c r="H27" s="71"/>
      <c r="I27" s="69">
        <f t="shared" si="1"/>
        <v>0</v>
      </c>
      <c r="J27" s="70"/>
      <c r="K27" s="71"/>
      <c r="L27" s="69">
        <f t="shared" si="2"/>
        <v>0</v>
      </c>
      <c r="M27" s="70"/>
      <c r="N27" s="71"/>
      <c r="O27" s="69">
        <f t="shared" si="3"/>
        <v>0</v>
      </c>
      <c r="P27" s="70"/>
      <c r="Q27" s="71"/>
      <c r="R27" s="69">
        <f t="shared" si="4"/>
        <v>0</v>
      </c>
      <c r="S27" s="70"/>
      <c r="T27" s="71"/>
      <c r="U27" s="69">
        <f t="shared" si="5"/>
        <v>0</v>
      </c>
      <c r="V27" s="70"/>
      <c r="W27" s="71"/>
      <c r="X27" s="69">
        <f t="shared" si="6"/>
        <v>0</v>
      </c>
      <c r="Y27" s="70"/>
      <c r="Z27" s="71"/>
      <c r="AA27" s="69">
        <f t="shared" si="7"/>
        <v>0</v>
      </c>
      <c r="AB27" s="70"/>
      <c r="AC27" s="71"/>
      <c r="AD27" s="69">
        <f t="shared" si="8"/>
        <v>0</v>
      </c>
      <c r="AE27" s="70"/>
      <c r="AF27" s="71"/>
      <c r="AG27" s="69">
        <f t="shared" si="9"/>
        <v>0</v>
      </c>
      <c r="AH27" s="70"/>
      <c r="AI27" s="71"/>
      <c r="AJ27" s="69">
        <f t="shared" si="10"/>
        <v>0</v>
      </c>
      <c r="AK27" s="70"/>
      <c r="AL27" s="71"/>
      <c r="AM27" s="69">
        <f t="shared" si="11"/>
        <v>0</v>
      </c>
      <c r="AN27" s="70"/>
      <c r="AO27" s="71"/>
      <c r="AP27" s="67">
        <f t="shared" si="12"/>
        <v>0</v>
      </c>
      <c r="AQ27" s="8" t="e">
        <f t="shared" si="13"/>
        <v>#DIV/0!</v>
      </c>
    </row>
    <row r="28" spans="1:43" ht="18" customHeight="1">
      <c r="A28" s="6"/>
      <c r="B28" s="12"/>
      <c r="C28" s="66"/>
      <c r="D28" s="67"/>
      <c r="E28" s="68"/>
      <c r="F28" s="69">
        <f t="shared" si="0"/>
        <v>0</v>
      </c>
      <c r="G28" s="70"/>
      <c r="H28" s="71"/>
      <c r="I28" s="69">
        <f t="shared" si="1"/>
        <v>0</v>
      </c>
      <c r="J28" s="70"/>
      <c r="K28" s="71"/>
      <c r="L28" s="69">
        <f t="shared" si="2"/>
        <v>0</v>
      </c>
      <c r="M28" s="70"/>
      <c r="N28" s="71"/>
      <c r="O28" s="69">
        <f t="shared" si="3"/>
        <v>0</v>
      </c>
      <c r="P28" s="70"/>
      <c r="Q28" s="71"/>
      <c r="R28" s="69">
        <f t="shared" si="4"/>
        <v>0</v>
      </c>
      <c r="S28" s="70"/>
      <c r="T28" s="71"/>
      <c r="U28" s="69">
        <f t="shared" si="5"/>
        <v>0</v>
      </c>
      <c r="V28" s="70"/>
      <c r="W28" s="71"/>
      <c r="X28" s="69">
        <f t="shared" si="6"/>
        <v>0</v>
      </c>
      <c r="Y28" s="70"/>
      <c r="Z28" s="71"/>
      <c r="AA28" s="69">
        <f t="shared" si="7"/>
        <v>0</v>
      </c>
      <c r="AB28" s="70"/>
      <c r="AC28" s="71"/>
      <c r="AD28" s="69">
        <f t="shared" si="8"/>
        <v>0</v>
      </c>
      <c r="AE28" s="70"/>
      <c r="AF28" s="71"/>
      <c r="AG28" s="69">
        <f t="shared" si="9"/>
        <v>0</v>
      </c>
      <c r="AH28" s="70"/>
      <c r="AI28" s="71"/>
      <c r="AJ28" s="69">
        <f t="shared" si="10"/>
        <v>0</v>
      </c>
      <c r="AK28" s="70"/>
      <c r="AL28" s="71"/>
      <c r="AM28" s="69">
        <f t="shared" si="11"/>
        <v>0</v>
      </c>
      <c r="AN28" s="70"/>
      <c r="AO28" s="71"/>
      <c r="AP28" s="67">
        <f t="shared" si="12"/>
        <v>0</v>
      </c>
      <c r="AQ28" s="8" t="e">
        <f t="shared" si="13"/>
        <v>#DIV/0!</v>
      </c>
    </row>
    <row r="29" spans="1:43" ht="18" customHeight="1">
      <c r="A29" s="6"/>
      <c r="B29" s="12"/>
      <c r="C29" s="66"/>
      <c r="D29" s="72"/>
      <c r="E29" s="68"/>
      <c r="F29" s="69">
        <f t="shared" si="0"/>
        <v>0</v>
      </c>
      <c r="G29" s="70"/>
      <c r="H29" s="71"/>
      <c r="I29" s="69">
        <f t="shared" si="1"/>
        <v>0</v>
      </c>
      <c r="J29" s="70"/>
      <c r="K29" s="71"/>
      <c r="L29" s="69">
        <f t="shared" si="2"/>
        <v>0</v>
      </c>
      <c r="M29" s="70"/>
      <c r="N29" s="71"/>
      <c r="O29" s="69">
        <f t="shared" si="3"/>
        <v>0</v>
      </c>
      <c r="P29" s="70"/>
      <c r="Q29" s="71"/>
      <c r="R29" s="69">
        <f t="shared" si="4"/>
        <v>0</v>
      </c>
      <c r="S29" s="70"/>
      <c r="T29" s="71"/>
      <c r="U29" s="69">
        <f t="shared" si="5"/>
        <v>0</v>
      </c>
      <c r="V29" s="70"/>
      <c r="W29" s="71"/>
      <c r="X29" s="69">
        <f t="shared" si="6"/>
        <v>0</v>
      </c>
      <c r="Y29" s="70"/>
      <c r="Z29" s="71"/>
      <c r="AA29" s="69">
        <f t="shared" si="7"/>
        <v>0</v>
      </c>
      <c r="AB29" s="70"/>
      <c r="AC29" s="71"/>
      <c r="AD29" s="69">
        <f t="shared" si="8"/>
        <v>0</v>
      </c>
      <c r="AE29" s="70"/>
      <c r="AF29" s="71"/>
      <c r="AG29" s="69">
        <f t="shared" si="9"/>
        <v>0</v>
      </c>
      <c r="AH29" s="70"/>
      <c r="AI29" s="71"/>
      <c r="AJ29" s="69">
        <f t="shared" si="10"/>
        <v>0</v>
      </c>
      <c r="AK29" s="70"/>
      <c r="AL29" s="71"/>
      <c r="AM29" s="69">
        <f t="shared" si="11"/>
        <v>0</v>
      </c>
      <c r="AN29" s="70"/>
      <c r="AO29" s="71"/>
      <c r="AP29" s="72">
        <f t="shared" si="12"/>
        <v>0</v>
      </c>
      <c r="AQ29" s="8" t="e">
        <f t="shared" si="13"/>
        <v>#DIV/0!</v>
      </c>
    </row>
    <row r="30" spans="1:43" ht="18" customHeight="1">
      <c r="A30" s="6"/>
      <c r="B30" s="12"/>
      <c r="C30" s="66"/>
      <c r="D30" s="72"/>
      <c r="E30" s="68"/>
      <c r="F30" s="69">
        <f t="shared" si="0"/>
        <v>0</v>
      </c>
      <c r="G30" s="70"/>
      <c r="H30" s="71"/>
      <c r="I30" s="69">
        <f t="shared" si="1"/>
        <v>0</v>
      </c>
      <c r="J30" s="70"/>
      <c r="K30" s="71"/>
      <c r="L30" s="69">
        <f t="shared" si="2"/>
        <v>0</v>
      </c>
      <c r="M30" s="70"/>
      <c r="N30" s="71"/>
      <c r="O30" s="69">
        <f t="shared" si="3"/>
        <v>0</v>
      </c>
      <c r="P30" s="70"/>
      <c r="Q30" s="71"/>
      <c r="R30" s="69">
        <f t="shared" si="4"/>
        <v>0</v>
      </c>
      <c r="S30" s="70"/>
      <c r="T30" s="71"/>
      <c r="U30" s="69">
        <f t="shared" si="5"/>
        <v>0</v>
      </c>
      <c r="V30" s="70"/>
      <c r="W30" s="71"/>
      <c r="X30" s="69">
        <f t="shared" si="6"/>
        <v>0</v>
      </c>
      <c r="Y30" s="70"/>
      <c r="Z30" s="71"/>
      <c r="AA30" s="69">
        <f t="shared" si="7"/>
        <v>0</v>
      </c>
      <c r="AB30" s="70"/>
      <c r="AC30" s="71"/>
      <c r="AD30" s="69">
        <f t="shared" si="8"/>
        <v>0</v>
      </c>
      <c r="AE30" s="70"/>
      <c r="AF30" s="71"/>
      <c r="AG30" s="69">
        <f t="shared" si="9"/>
        <v>0</v>
      </c>
      <c r="AH30" s="70"/>
      <c r="AI30" s="71"/>
      <c r="AJ30" s="69">
        <f t="shared" si="10"/>
        <v>0</v>
      </c>
      <c r="AK30" s="70"/>
      <c r="AL30" s="71"/>
      <c r="AM30" s="69">
        <f t="shared" si="11"/>
        <v>0</v>
      </c>
      <c r="AN30" s="70"/>
      <c r="AO30" s="71"/>
      <c r="AP30" s="72">
        <f t="shared" si="12"/>
        <v>0</v>
      </c>
      <c r="AQ30" s="8" t="e">
        <f t="shared" si="13"/>
        <v>#DIV/0!</v>
      </c>
    </row>
    <row r="31" spans="1:43" ht="18" customHeight="1" thickBot="1">
      <c r="A31" s="6"/>
      <c r="B31" s="13"/>
      <c r="C31" s="61"/>
      <c r="D31" s="73"/>
      <c r="E31" s="63"/>
      <c r="F31" s="63">
        <f t="shared" si="0"/>
        <v>0</v>
      </c>
      <c r="G31" s="74"/>
      <c r="H31" s="75"/>
      <c r="I31" s="63">
        <f t="shared" si="1"/>
        <v>0</v>
      </c>
      <c r="J31" s="74"/>
      <c r="K31" s="75"/>
      <c r="L31" s="63">
        <f t="shared" si="2"/>
        <v>0</v>
      </c>
      <c r="M31" s="74"/>
      <c r="N31" s="75"/>
      <c r="O31" s="63">
        <f t="shared" si="3"/>
        <v>0</v>
      </c>
      <c r="P31" s="74"/>
      <c r="Q31" s="75"/>
      <c r="R31" s="63">
        <f t="shared" si="4"/>
        <v>0</v>
      </c>
      <c r="S31" s="74"/>
      <c r="T31" s="75"/>
      <c r="U31" s="63">
        <f t="shared" si="5"/>
        <v>0</v>
      </c>
      <c r="V31" s="74"/>
      <c r="W31" s="75"/>
      <c r="X31" s="63">
        <f t="shared" si="6"/>
        <v>0</v>
      </c>
      <c r="Y31" s="74"/>
      <c r="Z31" s="75"/>
      <c r="AA31" s="63">
        <f t="shared" si="7"/>
        <v>0</v>
      </c>
      <c r="AB31" s="74"/>
      <c r="AC31" s="75"/>
      <c r="AD31" s="63">
        <f t="shared" si="8"/>
        <v>0</v>
      </c>
      <c r="AE31" s="74"/>
      <c r="AF31" s="75"/>
      <c r="AG31" s="63">
        <f t="shared" si="9"/>
        <v>0</v>
      </c>
      <c r="AH31" s="74"/>
      <c r="AI31" s="75"/>
      <c r="AJ31" s="63">
        <f t="shared" si="10"/>
        <v>0</v>
      </c>
      <c r="AK31" s="74"/>
      <c r="AL31" s="75"/>
      <c r="AM31" s="63">
        <f t="shared" si="11"/>
        <v>0</v>
      </c>
      <c r="AN31" s="74"/>
      <c r="AO31" s="75"/>
      <c r="AP31" s="73">
        <f t="shared" si="12"/>
        <v>0</v>
      </c>
      <c r="AQ31" s="7" t="e">
        <f t="shared" si="13"/>
        <v>#DIV/0!</v>
      </c>
    </row>
    <row r="32" spans="1:43" ht="18" customHeight="1" thickTop="1">
      <c r="B32" s="14" t="s">
        <v>33</v>
      </c>
      <c r="C32" s="76">
        <f t="shared" ref="C32" si="14">SUM(C12:C31)</f>
        <v>841</v>
      </c>
      <c r="D32" s="77">
        <f t="shared" ref="D32:AP32" si="15">SUM(D12:D31)</f>
        <v>175</v>
      </c>
      <c r="E32" s="78">
        <f t="shared" si="15"/>
        <v>728</v>
      </c>
      <c r="F32" s="78">
        <f t="shared" si="15"/>
        <v>148</v>
      </c>
      <c r="G32" s="79">
        <f t="shared" si="15"/>
        <v>37</v>
      </c>
      <c r="H32" s="80">
        <f t="shared" si="15"/>
        <v>111</v>
      </c>
      <c r="I32" s="78">
        <f t="shared" ref="I32:N32" si="16">SUM(I12:I31)</f>
        <v>41</v>
      </c>
      <c r="J32" s="79">
        <f t="shared" si="16"/>
        <v>12</v>
      </c>
      <c r="K32" s="80">
        <f t="shared" si="16"/>
        <v>29</v>
      </c>
      <c r="L32" s="78">
        <f t="shared" si="16"/>
        <v>59</v>
      </c>
      <c r="M32" s="79">
        <f t="shared" si="16"/>
        <v>18</v>
      </c>
      <c r="N32" s="80">
        <f t="shared" si="16"/>
        <v>41</v>
      </c>
      <c r="O32" s="78">
        <f t="shared" ref="O32:T32" si="17">SUM(O12:O31)</f>
        <v>2</v>
      </c>
      <c r="P32" s="79">
        <f t="shared" si="17"/>
        <v>1</v>
      </c>
      <c r="Q32" s="80">
        <f t="shared" si="17"/>
        <v>1</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207</v>
      </c>
      <c r="AQ32" s="9">
        <f t="shared" si="13"/>
        <v>0.28434065934065933</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cellComments="asDisplayed" r:id="rId1"/>
  <headerFooter>
    <oddHeader>&amp;C数理・データサイエンス・AI教育プログラム認定制度【リテラシーレベル】</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I50" sqref="I50"/>
    </sheetView>
  </sheetViews>
  <sheetFormatPr defaultColWidth="11.36328125" defaultRowHeight="18.75" customHeight="1"/>
  <cols>
    <col min="1" max="1" width="2.81640625" style="41" customWidth="1"/>
    <col min="2" max="2" width="16.6328125" style="1" customWidth="1"/>
    <col min="3" max="3" width="8.90625" style="1" customWidth="1"/>
    <col min="4" max="4" width="2.17968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11" ht="18.75" customHeight="1">
      <c r="A1" s="41" t="s">
        <v>65</v>
      </c>
      <c r="I1" s="35" t="s">
        <v>106</v>
      </c>
    </row>
    <row r="2" spans="1:11" ht="18.75" customHeight="1">
      <c r="G2" s="35" t="s">
        <v>109</v>
      </c>
      <c r="H2" s="84" t="str">
        <f>'様式１　プログラムを構成する授業科目'!C2</f>
        <v>国際教養大学</v>
      </c>
      <c r="I2" s="86"/>
    </row>
    <row r="3" spans="1:11" ht="18.75" customHeight="1">
      <c r="G3" s="35"/>
      <c r="H3" s="10"/>
      <c r="I3" s="10"/>
    </row>
    <row r="4" spans="1:11" ht="18.649999999999999" customHeight="1">
      <c r="A4" s="145" t="s">
        <v>36</v>
      </c>
      <c r="B4" s="145"/>
      <c r="C4" s="145"/>
      <c r="D4" s="145"/>
      <c r="E4" s="145"/>
      <c r="F4" s="145"/>
      <c r="G4" s="145"/>
      <c r="H4" s="145"/>
      <c r="I4" s="145"/>
    </row>
    <row r="5" spans="1:11" ht="13.25" customHeight="1">
      <c r="B5" s="3"/>
      <c r="C5" s="3"/>
      <c r="D5" s="3"/>
      <c r="E5" s="3"/>
      <c r="F5" s="3"/>
      <c r="G5" s="3"/>
      <c r="H5" s="3"/>
      <c r="I5" s="3"/>
    </row>
    <row r="6" spans="1:11" ht="18" customHeight="1">
      <c r="A6" s="1" t="s">
        <v>0</v>
      </c>
      <c r="B6" s="10" t="s">
        <v>91</v>
      </c>
      <c r="C6" s="219" t="s">
        <v>92</v>
      </c>
      <c r="D6" s="219"/>
      <c r="E6" s="34">
        <v>70</v>
      </c>
      <c r="F6" s="3" t="s">
        <v>1</v>
      </c>
      <c r="G6" s="3" t="s">
        <v>2</v>
      </c>
      <c r="H6" s="34">
        <v>34</v>
      </c>
      <c r="I6" s="10" t="s">
        <v>1</v>
      </c>
      <c r="K6" s="82"/>
    </row>
    <row r="7" spans="1:11" ht="12" customHeight="1">
      <c r="C7" s="2"/>
      <c r="D7" s="2"/>
      <c r="E7" s="2"/>
      <c r="F7" s="2"/>
      <c r="G7" s="2"/>
      <c r="H7" s="2"/>
      <c r="I7" s="42"/>
    </row>
    <row r="8" spans="1:11" ht="18" customHeight="1">
      <c r="A8" s="1" t="s">
        <v>3</v>
      </c>
      <c r="B8" s="10" t="s">
        <v>93</v>
      </c>
      <c r="E8" s="3"/>
      <c r="F8" s="3"/>
      <c r="G8" s="3"/>
      <c r="H8" s="34">
        <v>5</v>
      </c>
      <c r="I8" s="10" t="s">
        <v>1</v>
      </c>
      <c r="K8" s="82"/>
    </row>
    <row r="9" spans="1:11" ht="9" customHeight="1">
      <c r="B9" s="3"/>
      <c r="C9" s="3"/>
      <c r="D9" s="3"/>
      <c r="E9" s="3"/>
      <c r="F9" s="3"/>
      <c r="G9" s="3"/>
      <c r="H9" s="3"/>
      <c r="I9" s="3"/>
    </row>
    <row r="10" spans="1:11" ht="18" customHeight="1">
      <c r="A10" s="1" t="s">
        <v>4</v>
      </c>
      <c r="B10" s="10" t="s">
        <v>94</v>
      </c>
      <c r="C10" s="3"/>
      <c r="D10" s="3"/>
      <c r="E10" s="3"/>
      <c r="F10" s="3"/>
      <c r="G10" s="3"/>
      <c r="H10" s="3"/>
      <c r="I10" s="3"/>
    </row>
    <row r="11" spans="1:11" ht="18" customHeight="1">
      <c r="B11" s="35" t="s">
        <v>43</v>
      </c>
      <c r="C11" s="216" t="s">
        <v>128</v>
      </c>
      <c r="D11" s="217"/>
      <c r="E11" s="218"/>
      <c r="F11" s="42"/>
      <c r="G11" s="35" t="s">
        <v>10</v>
      </c>
      <c r="H11" s="216" t="s">
        <v>129</v>
      </c>
      <c r="I11" s="218"/>
    </row>
    <row r="12" spans="1:11" ht="10.25" customHeight="1">
      <c r="B12" s="35"/>
      <c r="C12" s="10"/>
      <c r="D12" s="42"/>
      <c r="E12" s="42"/>
      <c r="F12" s="42"/>
      <c r="G12" s="35"/>
      <c r="H12" s="10"/>
      <c r="I12" s="42"/>
    </row>
    <row r="13" spans="1:11" ht="18" customHeight="1">
      <c r="A13" s="1" t="s">
        <v>7</v>
      </c>
      <c r="B13" s="10" t="s">
        <v>88</v>
      </c>
      <c r="C13" s="3"/>
      <c r="D13" s="3"/>
      <c r="E13" s="3"/>
      <c r="F13" s="3"/>
      <c r="G13" s="3"/>
      <c r="H13" s="3"/>
      <c r="I13" s="3"/>
    </row>
    <row r="14" spans="1:11" ht="18" customHeight="1">
      <c r="B14" s="213" t="s">
        <v>130</v>
      </c>
      <c r="C14" s="214"/>
      <c r="D14" s="214"/>
      <c r="E14" s="214"/>
      <c r="F14" s="214"/>
      <c r="G14" s="214"/>
      <c r="H14" s="214"/>
      <c r="I14" s="215"/>
    </row>
    <row r="15" spans="1:11" ht="9" customHeight="1">
      <c r="B15" s="3"/>
      <c r="C15" s="3"/>
      <c r="D15" s="3"/>
      <c r="E15" s="3"/>
      <c r="F15" s="3"/>
      <c r="G15" s="3"/>
      <c r="H15" s="3"/>
      <c r="I15" s="3"/>
    </row>
    <row r="16" spans="1:11" ht="18" customHeight="1">
      <c r="B16" s="35" t="s">
        <v>43</v>
      </c>
      <c r="C16" s="216" t="s">
        <v>131</v>
      </c>
      <c r="D16" s="217"/>
      <c r="E16" s="218"/>
      <c r="F16" s="42"/>
      <c r="G16" s="35" t="s">
        <v>10</v>
      </c>
      <c r="H16" s="216" t="s">
        <v>132</v>
      </c>
      <c r="I16" s="218"/>
    </row>
    <row r="17" spans="1:11" ht="18" customHeight="1">
      <c r="B17" s="3"/>
      <c r="C17" s="3"/>
      <c r="D17" s="3"/>
      <c r="E17" s="3"/>
      <c r="F17" s="3"/>
      <c r="G17" s="3"/>
      <c r="H17" s="3"/>
      <c r="I17" s="3"/>
    </row>
    <row r="18" spans="1:11" ht="18.75" customHeight="1">
      <c r="A18" s="1" t="s">
        <v>5</v>
      </c>
      <c r="B18" s="1" t="s">
        <v>42</v>
      </c>
      <c r="I18" s="3"/>
    </row>
    <row r="19" spans="1:11" ht="18.75" customHeight="1">
      <c r="A19" s="1"/>
      <c r="B19" s="196" t="s">
        <v>144</v>
      </c>
      <c r="C19" s="197"/>
      <c r="D19" s="197"/>
      <c r="E19" s="197"/>
      <c r="F19" s="197"/>
      <c r="G19" s="197"/>
      <c r="H19" s="197"/>
      <c r="I19" s="198"/>
      <c r="K19" s="82"/>
    </row>
    <row r="20" spans="1:11" ht="7.5" customHeight="1">
      <c r="B20" s="3"/>
      <c r="C20" s="3"/>
      <c r="D20" s="3"/>
      <c r="E20" s="3"/>
      <c r="F20" s="3"/>
      <c r="G20" s="3"/>
      <c r="H20" s="3"/>
      <c r="I20" s="3"/>
    </row>
    <row r="21" spans="1:11" ht="18.75" customHeight="1">
      <c r="A21" s="1" t="s">
        <v>8</v>
      </c>
      <c r="B21" s="1" t="s">
        <v>25</v>
      </c>
      <c r="J21" s="81" t="s">
        <v>151</v>
      </c>
    </row>
    <row r="22" spans="1:11" ht="18.75" customHeight="1">
      <c r="A22" s="15"/>
      <c r="B22" s="199" t="s">
        <v>148</v>
      </c>
      <c r="C22" s="200"/>
      <c r="D22" s="200"/>
      <c r="E22" s="200"/>
      <c r="F22" s="200"/>
      <c r="G22" s="200"/>
      <c r="H22" s="200"/>
      <c r="I22" s="201"/>
      <c r="J22" s="1">
        <f>LEN(B22)</f>
        <v>93</v>
      </c>
      <c r="K22" s="82"/>
    </row>
    <row r="23" spans="1:11" ht="18.75" customHeight="1">
      <c r="A23" s="15"/>
      <c r="B23" s="202"/>
      <c r="C23" s="203"/>
      <c r="D23" s="203"/>
      <c r="E23" s="203"/>
      <c r="F23" s="203"/>
      <c r="G23" s="203"/>
      <c r="H23" s="203"/>
      <c r="I23" s="204"/>
    </row>
    <row r="24" spans="1:11" ht="18.75" customHeight="1">
      <c r="A24" s="15"/>
      <c r="B24" s="202"/>
      <c r="C24" s="203"/>
      <c r="D24" s="203"/>
      <c r="E24" s="203"/>
      <c r="F24" s="203"/>
      <c r="G24" s="203"/>
      <c r="H24" s="203"/>
      <c r="I24" s="204"/>
    </row>
    <row r="25" spans="1:11" ht="6.5" customHeight="1">
      <c r="A25" s="15"/>
      <c r="B25" s="202"/>
      <c r="C25" s="203"/>
      <c r="D25" s="203"/>
      <c r="E25" s="203"/>
      <c r="F25" s="203"/>
      <c r="G25" s="203"/>
      <c r="H25" s="203"/>
      <c r="I25" s="204"/>
    </row>
    <row r="26" spans="1:11" ht="6.5" customHeight="1">
      <c r="A26" s="15"/>
      <c r="B26" s="202"/>
      <c r="C26" s="203"/>
      <c r="D26" s="203"/>
      <c r="E26" s="203"/>
      <c r="F26" s="203"/>
      <c r="G26" s="203"/>
      <c r="H26" s="203"/>
      <c r="I26" s="204"/>
    </row>
    <row r="27" spans="1:11" ht="6.5" customHeight="1">
      <c r="A27" s="15"/>
      <c r="B27" s="202"/>
      <c r="C27" s="203"/>
      <c r="D27" s="203"/>
      <c r="E27" s="203"/>
      <c r="F27" s="203"/>
      <c r="G27" s="203"/>
      <c r="H27" s="203"/>
      <c r="I27" s="204"/>
    </row>
    <row r="28" spans="1:11" ht="6.5" customHeight="1">
      <c r="A28" s="15"/>
      <c r="B28" s="202"/>
      <c r="C28" s="203"/>
      <c r="D28" s="203"/>
      <c r="E28" s="203"/>
      <c r="F28" s="203"/>
      <c r="G28" s="203"/>
      <c r="H28" s="203"/>
      <c r="I28" s="204"/>
    </row>
    <row r="29" spans="1:11" ht="6.5" customHeight="1">
      <c r="A29" s="15"/>
      <c r="B29" s="202"/>
      <c r="C29" s="203"/>
      <c r="D29" s="203"/>
      <c r="E29" s="203"/>
      <c r="F29" s="203"/>
      <c r="G29" s="203"/>
      <c r="H29" s="203"/>
      <c r="I29" s="204"/>
    </row>
    <row r="30" spans="1:11" ht="6.5" customHeight="1">
      <c r="A30" s="15"/>
      <c r="B30" s="205"/>
      <c r="C30" s="206"/>
      <c r="D30" s="206"/>
      <c r="E30" s="206"/>
      <c r="F30" s="206"/>
      <c r="G30" s="206"/>
      <c r="H30" s="206"/>
      <c r="I30" s="204"/>
    </row>
    <row r="31" spans="1:11" ht="6.5" customHeight="1">
      <c r="A31" s="15"/>
      <c r="B31" s="205"/>
      <c r="C31" s="206"/>
      <c r="D31" s="206"/>
      <c r="E31" s="206"/>
      <c r="F31" s="206"/>
      <c r="G31" s="206"/>
      <c r="H31" s="206"/>
      <c r="I31" s="204"/>
    </row>
    <row r="32" spans="1:11" ht="6.5" customHeight="1">
      <c r="A32" s="15"/>
      <c r="B32" s="207"/>
      <c r="C32" s="208"/>
      <c r="D32" s="208"/>
      <c r="E32" s="208"/>
      <c r="F32" s="208"/>
      <c r="G32" s="208"/>
      <c r="H32" s="208"/>
      <c r="I32" s="209"/>
    </row>
    <row r="33" spans="1:11" ht="7.5" customHeight="1">
      <c r="A33" s="15"/>
      <c r="B33" s="15"/>
      <c r="C33" s="15"/>
      <c r="D33" s="15"/>
      <c r="E33" s="15"/>
      <c r="F33" s="15"/>
      <c r="G33" s="15"/>
      <c r="H33" s="15"/>
      <c r="I33" s="15"/>
    </row>
    <row r="34" spans="1:11" ht="18.75" customHeight="1">
      <c r="A34" s="16" t="s">
        <v>6</v>
      </c>
      <c r="B34" s="16" t="s">
        <v>9</v>
      </c>
      <c r="C34" s="10"/>
      <c r="D34" s="16"/>
      <c r="E34" s="16"/>
      <c r="F34" s="16"/>
      <c r="G34" s="16"/>
      <c r="H34" s="16"/>
      <c r="I34" s="16"/>
    </row>
    <row r="35" spans="1:11" ht="18.75" customHeight="1">
      <c r="A35" s="15"/>
      <c r="B35" s="186" t="s">
        <v>165</v>
      </c>
      <c r="C35" s="187"/>
      <c r="D35" s="187"/>
      <c r="E35" s="187"/>
      <c r="F35" s="187"/>
      <c r="G35" s="187"/>
      <c r="H35" s="187"/>
      <c r="I35" s="188"/>
      <c r="K35" s="82"/>
    </row>
    <row r="36" spans="1:11" ht="18.75" customHeight="1">
      <c r="A36" s="15"/>
      <c r="B36" s="189"/>
      <c r="C36" s="190"/>
      <c r="D36" s="190"/>
      <c r="E36" s="190"/>
      <c r="F36" s="190"/>
      <c r="G36" s="190"/>
      <c r="H36" s="190"/>
      <c r="I36" s="191"/>
    </row>
    <row r="37" spans="1:11" ht="18.75" customHeight="1">
      <c r="A37" s="15"/>
      <c r="B37" s="189"/>
      <c r="C37" s="190"/>
      <c r="D37" s="190"/>
      <c r="E37" s="190"/>
      <c r="F37" s="190"/>
      <c r="G37" s="190"/>
      <c r="H37" s="190"/>
      <c r="I37" s="191"/>
    </row>
    <row r="38" spans="1:11" ht="18.75" customHeight="1">
      <c r="A38" s="15"/>
      <c r="B38" s="189"/>
      <c r="C38" s="190"/>
      <c r="D38" s="190"/>
      <c r="E38" s="190"/>
      <c r="F38" s="190"/>
      <c r="G38" s="190"/>
      <c r="H38" s="190"/>
      <c r="I38" s="191"/>
    </row>
    <row r="39" spans="1:11" ht="18.75" customHeight="1">
      <c r="A39" s="15"/>
      <c r="B39" s="189"/>
      <c r="C39" s="190"/>
      <c r="D39" s="190"/>
      <c r="E39" s="190"/>
      <c r="F39" s="190"/>
      <c r="G39" s="190"/>
      <c r="H39" s="190"/>
      <c r="I39" s="191"/>
    </row>
    <row r="40" spans="1:11" ht="18.75" customHeight="1">
      <c r="A40" s="15"/>
      <c r="B40" s="189"/>
      <c r="C40" s="190"/>
      <c r="D40" s="190"/>
      <c r="E40" s="190"/>
      <c r="F40" s="190"/>
      <c r="G40" s="190"/>
      <c r="H40" s="190"/>
      <c r="I40" s="191"/>
    </row>
    <row r="41" spans="1:11" ht="18.75" customHeight="1">
      <c r="A41" s="15"/>
      <c r="B41" s="189"/>
      <c r="C41" s="190"/>
      <c r="D41" s="190"/>
      <c r="E41" s="190"/>
      <c r="F41" s="190"/>
      <c r="G41" s="190"/>
      <c r="H41" s="190"/>
      <c r="I41" s="191"/>
    </row>
    <row r="42" spans="1:11" ht="18.75" customHeight="1">
      <c r="A42" s="15"/>
      <c r="B42" s="189"/>
      <c r="C42" s="190"/>
      <c r="D42" s="190"/>
      <c r="E42" s="190"/>
      <c r="F42" s="190"/>
      <c r="G42" s="190"/>
      <c r="H42" s="190"/>
      <c r="I42" s="191"/>
    </row>
    <row r="43" spans="1:11" ht="18.75" customHeight="1">
      <c r="A43" s="15"/>
      <c r="B43" s="189"/>
      <c r="C43" s="190"/>
      <c r="D43" s="190"/>
      <c r="E43" s="190"/>
      <c r="F43" s="190"/>
      <c r="G43" s="190"/>
      <c r="H43" s="190"/>
      <c r="I43" s="191"/>
    </row>
    <row r="44" spans="1:11" ht="18.75" customHeight="1">
      <c r="A44" s="15"/>
      <c r="B44" s="189"/>
      <c r="C44" s="190"/>
      <c r="D44" s="190"/>
      <c r="E44" s="190"/>
      <c r="F44" s="190"/>
      <c r="G44" s="190"/>
      <c r="H44" s="190"/>
      <c r="I44" s="191"/>
    </row>
    <row r="45" spans="1:11" ht="18.75" customHeight="1">
      <c r="A45" s="15"/>
      <c r="B45" s="189"/>
      <c r="C45" s="190"/>
      <c r="D45" s="190"/>
      <c r="E45" s="190"/>
      <c r="F45" s="190"/>
      <c r="G45" s="190"/>
      <c r="H45" s="190"/>
      <c r="I45" s="191"/>
    </row>
    <row r="46" spans="1:11" ht="28.5" customHeight="1">
      <c r="A46" s="15"/>
      <c r="B46" s="192"/>
      <c r="C46" s="193"/>
      <c r="D46" s="193"/>
      <c r="E46" s="193"/>
      <c r="F46" s="193"/>
      <c r="G46" s="193"/>
      <c r="H46" s="193"/>
      <c r="I46" s="194"/>
    </row>
    <row r="47" spans="1:11" ht="7.5" customHeight="1">
      <c r="A47" s="4"/>
      <c r="B47" s="4"/>
      <c r="C47" s="4"/>
      <c r="D47" s="4"/>
      <c r="E47" s="4"/>
      <c r="F47" s="4"/>
      <c r="G47" s="4"/>
      <c r="H47" s="4"/>
      <c r="I47" s="4"/>
    </row>
    <row r="48" spans="1:11" ht="18.75" customHeight="1">
      <c r="A48" s="1" t="s">
        <v>31</v>
      </c>
      <c r="B48" s="1" t="s">
        <v>123</v>
      </c>
    </row>
    <row r="49" spans="1:15" s="3" customFormat="1" ht="18.75" customHeight="1">
      <c r="B49" s="43" t="s">
        <v>89</v>
      </c>
      <c r="C49" s="237">
        <f>'様式２ 履修者等数の実績'!AQ32</f>
        <v>0.28434065934065933</v>
      </c>
      <c r="D49" s="237"/>
      <c r="E49" s="43" t="s">
        <v>66</v>
      </c>
      <c r="F49" s="238">
        <v>0.5</v>
      </c>
      <c r="G49" s="238"/>
      <c r="H49" s="43" t="s">
        <v>67</v>
      </c>
      <c r="I49" s="83">
        <v>0.72</v>
      </c>
      <c r="J49" s="1"/>
      <c r="K49" s="82"/>
      <c r="M49" s="1"/>
      <c r="N49" s="44"/>
    </row>
    <row r="50" spans="1:15" s="3" customFormat="1" ht="18.75" customHeight="1">
      <c r="B50" s="45" t="s">
        <v>68</v>
      </c>
      <c r="C50" s="220">
        <v>0.87</v>
      </c>
      <c r="D50" s="220"/>
      <c r="E50" s="45" t="s">
        <v>90</v>
      </c>
      <c r="F50" s="220">
        <v>0.91</v>
      </c>
      <c r="G50" s="220"/>
      <c r="H50" s="45" t="s">
        <v>69</v>
      </c>
      <c r="I50" s="46">
        <f>'様式２ 履修者等数の実績'!E32</f>
        <v>728</v>
      </c>
      <c r="J50" s="1"/>
      <c r="M50" s="1"/>
      <c r="N50" s="44"/>
    </row>
    <row r="51" spans="1:15" ht="18.75" customHeight="1">
      <c r="A51" s="1"/>
      <c r="B51" s="210" t="s">
        <v>70</v>
      </c>
      <c r="C51" s="211"/>
      <c r="D51" s="211"/>
      <c r="E51" s="211"/>
      <c r="F51" s="211"/>
      <c r="G51" s="211"/>
      <c r="H51" s="211"/>
      <c r="I51" s="212"/>
      <c r="J51" s="1" t="s">
        <v>150</v>
      </c>
      <c r="N51" s="44"/>
      <c r="O51" s="3"/>
    </row>
    <row r="52" spans="1:15" ht="18.75" customHeight="1">
      <c r="A52" s="1"/>
      <c r="B52" s="239" t="s">
        <v>177</v>
      </c>
      <c r="C52" s="240"/>
      <c r="D52" s="240"/>
      <c r="E52" s="240"/>
      <c r="F52" s="240"/>
      <c r="G52" s="240"/>
      <c r="H52" s="240"/>
      <c r="I52" s="241"/>
      <c r="J52" s="81">
        <f>LEN(B52)</f>
        <v>62</v>
      </c>
      <c r="N52" s="44"/>
      <c r="O52" s="3"/>
    </row>
    <row r="53" spans="1:15" ht="18.75" customHeight="1">
      <c r="A53" s="1"/>
      <c r="B53" s="242"/>
      <c r="C53" s="243"/>
      <c r="D53" s="243"/>
      <c r="E53" s="243"/>
      <c r="F53" s="243"/>
      <c r="G53" s="243"/>
      <c r="H53" s="243"/>
      <c r="I53" s="244"/>
      <c r="N53" s="44"/>
      <c r="O53" s="3"/>
    </row>
    <row r="54" spans="1:15" ht="18.75" customHeight="1">
      <c r="A54" s="1"/>
      <c r="B54" s="242"/>
      <c r="C54" s="243"/>
      <c r="D54" s="243"/>
      <c r="E54" s="243"/>
      <c r="F54" s="243"/>
      <c r="G54" s="243"/>
      <c r="H54" s="243"/>
      <c r="I54" s="244"/>
    </row>
    <row r="55" spans="1:15" ht="18.75" customHeight="1">
      <c r="A55" s="1"/>
      <c r="B55" s="242"/>
      <c r="C55" s="243"/>
      <c r="D55" s="243"/>
      <c r="E55" s="243"/>
      <c r="F55" s="243"/>
      <c r="G55" s="243"/>
      <c r="H55" s="243"/>
      <c r="I55" s="244"/>
    </row>
    <row r="56" spans="1:15" ht="18.75" customHeight="1">
      <c r="A56" s="1"/>
      <c r="B56" s="242"/>
      <c r="C56" s="243"/>
      <c r="D56" s="243"/>
      <c r="E56" s="243"/>
      <c r="F56" s="243"/>
      <c r="G56" s="243"/>
      <c r="H56" s="243"/>
      <c r="I56" s="244"/>
    </row>
    <row r="57" spans="1:15" ht="18.75" customHeight="1">
      <c r="A57" s="1"/>
      <c r="B57" s="242"/>
      <c r="C57" s="243"/>
      <c r="D57" s="243"/>
      <c r="E57" s="243"/>
      <c r="F57" s="243"/>
      <c r="G57" s="243"/>
      <c r="H57" s="243"/>
      <c r="I57" s="244"/>
    </row>
    <row r="58" spans="1:15" ht="6" customHeight="1">
      <c r="A58" s="1"/>
      <c r="B58" s="242"/>
      <c r="C58" s="243"/>
      <c r="D58" s="243"/>
      <c r="E58" s="243"/>
      <c r="F58" s="243"/>
      <c r="G58" s="243"/>
      <c r="H58" s="243"/>
      <c r="I58" s="244"/>
    </row>
    <row r="59" spans="1:15" ht="6" customHeight="1">
      <c r="A59" s="1"/>
      <c r="B59" s="242"/>
      <c r="C59" s="243"/>
      <c r="D59" s="243"/>
      <c r="E59" s="243"/>
      <c r="F59" s="243"/>
      <c r="G59" s="243"/>
      <c r="H59" s="243"/>
      <c r="I59" s="244"/>
    </row>
    <row r="60" spans="1:15" ht="6" customHeight="1">
      <c r="A60" s="1"/>
      <c r="B60" s="242"/>
      <c r="C60" s="243"/>
      <c r="D60" s="243"/>
      <c r="E60" s="243"/>
      <c r="F60" s="243"/>
      <c r="G60" s="243"/>
      <c r="H60" s="243"/>
      <c r="I60" s="244"/>
    </row>
    <row r="61" spans="1:15" ht="6" customHeight="1">
      <c r="A61" s="1"/>
      <c r="B61" s="242"/>
      <c r="C61" s="243"/>
      <c r="D61" s="243"/>
      <c r="E61" s="243"/>
      <c r="F61" s="243"/>
      <c r="G61" s="243"/>
      <c r="H61" s="243"/>
      <c r="I61" s="244"/>
    </row>
    <row r="62" spans="1:15" ht="6" customHeight="1">
      <c r="A62" s="1"/>
      <c r="B62" s="242"/>
      <c r="C62" s="243"/>
      <c r="D62" s="243"/>
      <c r="E62" s="243"/>
      <c r="F62" s="243"/>
      <c r="G62" s="243"/>
      <c r="H62" s="243"/>
      <c r="I62" s="244"/>
    </row>
    <row r="63" spans="1:15" ht="18.75" customHeight="1">
      <c r="A63" s="1"/>
      <c r="B63" s="245"/>
      <c r="C63" s="246"/>
      <c r="D63" s="246"/>
      <c r="E63" s="246"/>
      <c r="F63" s="246"/>
      <c r="G63" s="246"/>
      <c r="H63" s="246"/>
      <c r="I63" s="247"/>
    </row>
    <row r="64" spans="1:15" ht="7.5" customHeight="1">
      <c r="A64" s="15"/>
      <c r="B64" s="15"/>
      <c r="C64" s="15"/>
      <c r="D64" s="15"/>
      <c r="E64" s="15"/>
      <c r="F64" s="15"/>
      <c r="G64" s="15"/>
      <c r="H64" s="15"/>
      <c r="I64" s="15"/>
    </row>
    <row r="65" spans="1:10" ht="18.75" customHeight="1">
      <c r="A65" s="16" t="s">
        <v>34</v>
      </c>
      <c r="B65" s="1" t="s">
        <v>37</v>
      </c>
      <c r="I65" s="16"/>
      <c r="J65" s="81" t="s">
        <v>151</v>
      </c>
    </row>
    <row r="66" spans="1:10" ht="21" customHeight="1">
      <c r="A66" s="4"/>
      <c r="B66" s="221" t="s">
        <v>178</v>
      </c>
      <c r="C66" s="222"/>
      <c r="D66" s="222"/>
      <c r="E66" s="222"/>
      <c r="F66" s="222"/>
      <c r="G66" s="222"/>
      <c r="H66" s="222"/>
      <c r="I66" s="223"/>
      <c r="J66" s="81">
        <f>LEN(B66)</f>
        <v>192</v>
      </c>
    </row>
    <row r="67" spans="1:10" ht="21" customHeight="1">
      <c r="A67" s="4"/>
      <c r="B67" s="224"/>
      <c r="C67" s="225"/>
      <c r="D67" s="225"/>
      <c r="E67" s="225"/>
      <c r="F67" s="225"/>
      <c r="G67" s="225"/>
      <c r="H67" s="225"/>
      <c r="I67" s="226"/>
    </row>
    <row r="68" spans="1:10" ht="21" customHeight="1">
      <c r="A68" s="4"/>
      <c r="B68" s="224"/>
      <c r="C68" s="225"/>
      <c r="D68" s="225"/>
      <c r="E68" s="225"/>
      <c r="F68" s="225"/>
      <c r="G68" s="225"/>
      <c r="H68" s="225"/>
      <c r="I68" s="226"/>
    </row>
    <row r="69" spans="1:10" ht="21" customHeight="1">
      <c r="A69" s="4"/>
      <c r="B69" s="224"/>
      <c r="C69" s="225"/>
      <c r="D69" s="225"/>
      <c r="E69" s="225"/>
      <c r="F69" s="225"/>
      <c r="G69" s="225"/>
      <c r="H69" s="225"/>
      <c r="I69" s="226"/>
    </row>
    <row r="70" spans="1:10" ht="21" customHeight="1">
      <c r="A70" s="4"/>
      <c r="B70" s="224"/>
      <c r="C70" s="225"/>
      <c r="D70" s="225"/>
      <c r="E70" s="225"/>
      <c r="F70" s="225"/>
      <c r="G70" s="225"/>
      <c r="H70" s="225"/>
      <c r="I70" s="226"/>
    </row>
    <row r="71" spans="1:10" ht="5.5" customHeight="1">
      <c r="A71" s="4"/>
      <c r="B71" s="224"/>
      <c r="C71" s="225"/>
      <c r="D71" s="225"/>
      <c r="E71" s="225"/>
      <c r="F71" s="225"/>
      <c r="G71" s="225"/>
      <c r="H71" s="225"/>
      <c r="I71" s="226"/>
    </row>
    <row r="72" spans="1:10" ht="5.5" customHeight="1">
      <c r="A72" s="4"/>
      <c r="B72" s="224"/>
      <c r="C72" s="225"/>
      <c r="D72" s="225"/>
      <c r="E72" s="225"/>
      <c r="F72" s="225"/>
      <c r="G72" s="225"/>
      <c r="H72" s="225"/>
      <c r="I72" s="226"/>
    </row>
    <row r="73" spans="1:10" ht="5.5" customHeight="1">
      <c r="A73" s="4"/>
      <c r="B73" s="224"/>
      <c r="C73" s="225"/>
      <c r="D73" s="225"/>
      <c r="E73" s="225"/>
      <c r="F73" s="225"/>
      <c r="G73" s="225"/>
      <c r="H73" s="225"/>
      <c r="I73" s="226"/>
    </row>
    <row r="74" spans="1:10" ht="5.5" customHeight="1">
      <c r="A74" s="4"/>
      <c r="B74" s="224"/>
      <c r="C74" s="225"/>
      <c r="D74" s="225"/>
      <c r="E74" s="225"/>
      <c r="F74" s="225"/>
      <c r="G74" s="225"/>
      <c r="H74" s="225"/>
      <c r="I74" s="226"/>
    </row>
    <row r="75" spans="1:10" ht="5.5" customHeight="1">
      <c r="A75" s="4"/>
      <c r="B75" s="224"/>
      <c r="C75" s="225"/>
      <c r="D75" s="225"/>
      <c r="E75" s="225"/>
      <c r="F75" s="225"/>
      <c r="G75" s="225"/>
      <c r="H75" s="225"/>
      <c r="I75" s="226"/>
    </row>
    <row r="76" spans="1:10" ht="5.5" customHeight="1">
      <c r="A76" s="4"/>
      <c r="B76" s="224"/>
      <c r="C76" s="225"/>
      <c r="D76" s="225"/>
      <c r="E76" s="225"/>
      <c r="F76" s="225"/>
      <c r="G76" s="225"/>
      <c r="H76" s="225"/>
      <c r="I76" s="226"/>
    </row>
    <row r="77" spans="1:10" ht="21" customHeight="1">
      <c r="A77" s="4"/>
      <c r="B77" s="227"/>
      <c r="C77" s="228"/>
      <c r="D77" s="228"/>
      <c r="E77" s="228"/>
      <c r="F77" s="228"/>
      <c r="G77" s="228"/>
      <c r="H77" s="228"/>
      <c r="I77" s="229"/>
    </row>
    <row r="78" spans="1:10" ht="7.5" customHeight="1">
      <c r="A78" s="4"/>
      <c r="B78" s="4"/>
      <c r="C78" s="4"/>
      <c r="D78" s="4"/>
      <c r="E78" s="4"/>
      <c r="F78" s="4"/>
      <c r="G78" s="4"/>
      <c r="H78" s="4"/>
      <c r="I78" s="4"/>
    </row>
    <row r="79" spans="1:10" ht="18.75" customHeight="1">
      <c r="A79" s="1" t="s">
        <v>11</v>
      </c>
      <c r="B79" s="1" t="s">
        <v>41</v>
      </c>
      <c r="J79" s="81" t="s">
        <v>151</v>
      </c>
    </row>
    <row r="80" spans="1:10" ht="18.75" customHeight="1">
      <c r="A80" s="1"/>
      <c r="B80" s="221" t="s">
        <v>167</v>
      </c>
      <c r="C80" s="222"/>
      <c r="D80" s="222"/>
      <c r="E80" s="222"/>
      <c r="F80" s="222"/>
      <c r="G80" s="222"/>
      <c r="H80" s="222"/>
      <c r="I80" s="230"/>
      <c r="J80" s="1">
        <f>LEN(B80)</f>
        <v>391</v>
      </c>
    </row>
    <row r="81" spans="1:10" ht="18.75" customHeight="1">
      <c r="A81" s="1"/>
      <c r="B81" s="231"/>
      <c r="C81" s="232"/>
      <c r="D81" s="232"/>
      <c r="E81" s="232"/>
      <c r="F81" s="232"/>
      <c r="G81" s="232"/>
      <c r="H81" s="232"/>
      <c r="I81" s="233"/>
    </row>
    <row r="82" spans="1:10" ht="18.75" customHeight="1">
      <c r="A82" s="1"/>
      <c r="B82" s="231"/>
      <c r="C82" s="232"/>
      <c r="D82" s="232"/>
      <c r="E82" s="232"/>
      <c r="F82" s="232"/>
      <c r="G82" s="232"/>
      <c r="H82" s="232"/>
      <c r="I82" s="233"/>
    </row>
    <row r="83" spans="1:10" ht="18.75" customHeight="1">
      <c r="A83" s="1"/>
      <c r="B83" s="231"/>
      <c r="C83" s="232"/>
      <c r="D83" s="232"/>
      <c r="E83" s="232"/>
      <c r="F83" s="232"/>
      <c r="G83" s="232"/>
      <c r="H83" s="232"/>
      <c r="I83" s="233"/>
    </row>
    <row r="84" spans="1:10" ht="18.75" customHeight="1">
      <c r="A84" s="1"/>
      <c r="B84" s="231"/>
      <c r="C84" s="232"/>
      <c r="D84" s="232"/>
      <c r="E84" s="232"/>
      <c r="F84" s="232"/>
      <c r="G84" s="232"/>
      <c r="H84" s="232"/>
      <c r="I84" s="233"/>
    </row>
    <row r="85" spans="1:10" ht="18.75" customHeight="1">
      <c r="A85" s="1"/>
      <c r="B85" s="231"/>
      <c r="C85" s="232"/>
      <c r="D85" s="232"/>
      <c r="E85" s="232"/>
      <c r="F85" s="232"/>
      <c r="G85" s="232"/>
      <c r="H85" s="232"/>
      <c r="I85" s="233"/>
    </row>
    <row r="86" spans="1:10" ht="18.75" customHeight="1">
      <c r="A86" s="1"/>
      <c r="B86" s="231"/>
      <c r="C86" s="232"/>
      <c r="D86" s="232"/>
      <c r="E86" s="232"/>
      <c r="F86" s="232"/>
      <c r="G86" s="232"/>
      <c r="H86" s="232"/>
      <c r="I86" s="233"/>
    </row>
    <row r="87" spans="1:10" ht="18.75" customHeight="1">
      <c r="A87" s="1"/>
      <c r="B87" s="231"/>
      <c r="C87" s="232"/>
      <c r="D87" s="232"/>
      <c r="E87" s="232"/>
      <c r="F87" s="232"/>
      <c r="G87" s="232"/>
      <c r="H87" s="232"/>
      <c r="I87" s="233"/>
    </row>
    <row r="88" spans="1:10" ht="18.75" customHeight="1">
      <c r="A88" s="1"/>
      <c r="B88" s="231"/>
      <c r="C88" s="232"/>
      <c r="D88" s="232"/>
      <c r="E88" s="232"/>
      <c r="F88" s="232"/>
      <c r="G88" s="232"/>
      <c r="H88" s="232"/>
      <c r="I88" s="233"/>
    </row>
    <row r="89" spans="1:10" ht="18.75" customHeight="1">
      <c r="A89" s="1"/>
      <c r="B89" s="231"/>
      <c r="C89" s="232"/>
      <c r="D89" s="232"/>
      <c r="E89" s="232"/>
      <c r="F89" s="232"/>
      <c r="G89" s="232"/>
      <c r="H89" s="232"/>
      <c r="I89" s="233"/>
    </row>
    <row r="90" spans="1:10" ht="18.75" customHeight="1">
      <c r="A90" s="4"/>
      <c r="B90" s="231"/>
      <c r="C90" s="232"/>
      <c r="D90" s="232"/>
      <c r="E90" s="232"/>
      <c r="F90" s="232"/>
      <c r="G90" s="232"/>
      <c r="H90" s="232"/>
      <c r="I90" s="233"/>
    </row>
    <row r="91" spans="1:10" ht="18.75" customHeight="1">
      <c r="A91" s="4"/>
      <c r="B91" s="234"/>
      <c r="C91" s="235"/>
      <c r="D91" s="235"/>
      <c r="E91" s="235"/>
      <c r="F91" s="235"/>
      <c r="G91" s="235"/>
      <c r="H91" s="235"/>
      <c r="I91" s="236"/>
    </row>
    <row r="92" spans="1:10" ht="7.5" customHeight="1">
      <c r="A92" s="4"/>
      <c r="B92" s="4"/>
      <c r="C92" s="4"/>
      <c r="D92" s="4"/>
      <c r="E92" s="4"/>
      <c r="F92" s="4"/>
      <c r="G92" s="4"/>
      <c r="H92" s="4"/>
      <c r="I92" s="4"/>
    </row>
    <row r="93" spans="1:10" ht="18.75" customHeight="1">
      <c r="A93" s="1" t="s">
        <v>44</v>
      </c>
      <c r="B93" s="1" t="s">
        <v>13</v>
      </c>
      <c r="J93" s="81" t="s">
        <v>151</v>
      </c>
    </row>
    <row r="94" spans="1:10" ht="18.75" customHeight="1">
      <c r="A94" s="1"/>
      <c r="B94" s="186" t="s">
        <v>166</v>
      </c>
      <c r="C94" s="187"/>
      <c r="D94" s="187"/>
      <c r="E94" s="187"/>
      <c r="F94" s="187"/>
      <c r="G94" s="187"/>
      <c r="H94" s="187"/>
      <c r="I94" s="188"/>
      <c r="J94" s="1">
        <f>LEN(B94)</f>
        <v>270</v>
      </c>
    </row>
    <row r="95" spans="1:10" ht="18.75" customHeight="1">
      <c r="A95" s="1"/>
      <c r="B95" s="189"/>
      <c r="C95" s="190"/>
      <c r="D95" s="190"/>
      <c r="E95" s="190"/>
      <c r="F95" s="190"/>
      <c r="G95" s="190"/>
      <c r="H95" s="190"/>
      <c r="I95" s="191"/>
    </row>
    <row r="96" spans="1:10" ht="18.75" customHeight="1">
      <c r="A96" s="1"/>
      <c r="B96" s="189"/>
      <c r="C96" s="190"/>
      <c r="D96" s="190"/>
      <c r="E96" s="190"/>
      <c r="F96" s="190"/>
      <c r="G96" s="190"/>
      <c r="H96" s="190"/>
      <c r="I96" s="191"/>
    </row>
    <row r="97" spans="1:10" ht="5.5" customHeight="1">
      <c r="A97" s="1"/>
      <c r="B97" s="189"/>
      <c r="C97" s="190"/>
      <c r="D97" s="190"/>
      <c r="E97" s="190"/>
      <c r="F97" s="190"/>
      <c r="G97" s="190"/>
      <c r="H97" s="190"/>
      <c r="I97" s="191"/>
    </row>
    <row r="98" spans="1:10" ht="5.5" customHeight="1">
      <c r="A98" s="1"/>
      <c r="B98" s="189"/>
      <c r="C98" s="190"/>
      <c r="D98" s="190"/>
      <c r="E98" s="190"/>
      <c r="F98" s="190"/>
      <c r="G98" s="190"/>
      <c r="H98" s="190"/>
      <c r="I98" s="191"/>
    </row>
    <row r="99" spans="1:10" ht="5.5" customHeight="1">
      <c r="A99" s="1"/>
      <c r="B99" s="189"/>
      <c r="C99" s="190"/>
      <c r="D99" s="190"/>
      <c r="E99" s="190"/>
      <c r="F99" s="190"/>
      <c r="G99" s="190"/>
      <c r="H99" s="190"/>
      <c r="I99" s="191"/>
    </row>
    <row r="100" spans="1:10" ht="5.5" customHeight="1">
      <c r="A100" s="1"/>
      <c r="B100" s="189"/>
      <c r="C100" s="190"/>
      <c r="D100" s="190"/>
      <c r="E100" s="190"/>
      <c r="F100" s="190"/>
      <c r="G100" s="190"/>
      <c r="H100" s="190"/>
      <c r="I100" s="191"/>
    </row>
    <row r="101" spans="1:10" ht="5.5" customHeight="1">
      <c r="A101" s="1"/>
      <c r="B101" s="189"/>
      <c r="C101" s="190"/>
      <c r="D101" s="190"/>
      <c r="E101" s="190"/>
      <c r="F101" s="190"/>
      <c r="G101" s="190"/>
      <c r="H101" s="190"/>
      <c r="I101" s="191"/>
    </row>
    <row r="102" spans="1:10" ht="5.5" customHeight="1">
      <c r="A102" s="1"/>
      <c r="B102" s="189"/>
      <c r="C102" s="190"/>
      <c r="D102" s="190"/>
      <c r="E102" s="190"/>
      <c r="F102" s="190"/>
      <c r="G102" s="190"/>
      <c r="H102" s="190"/>
      <c r="I102" s="191"/>
    </row>
    <row r="103" spans="1:10" ht="5.5" customHeight="1">
      <c r="A103" s="1"/>
      <c r="B103" s="189"/>
      <c r="C103" s="190"/>
      <c r="D103" s="190"/>
      <c r="E103" s="190"/>
      <c r="F103" s="190"/>
      <c r="G103" s="190"/>
      <c r="H103" s="190"/>
      <c r="I103" s="191"/>
    </row>
    <row r="104" spans="1:10" ht="5.5" customHeight="1">
      <c r="A104" s="1"/>
      <c r="B104" s="189"/>
      <c r="C104" s="190"/>
      <c r="D104" s="190"/>
      <c r="E104" s="190"/>
      <c r="F104" s="190"/>
      <c r="G104" s="190"/>
      <c r="H104" s="190"/>
      <c r="I104" s="191"/>
    </row>
    <row r="105" spans="1:10" ht="18.75" customHeight="1">
      <c r="A105" s="4"/>
      <c r="B105" s="192"/>
      <c r="C105" s="193"/>
      <c r="D105" s="193"/>
      <c r="E105" s="193"/>
      <c r="F105" s="193"/>
      <c r="G105" s="193"/>
      <c r="H105" s="193"/>
      <c r="I105" s="194"/>
    </row>
    <row r="106" spans="1:10" ht="7.5" customHeight="1">
      <c r="A106" s="4"/>
      <c r="B106" s="4"/>
      <c r="C106" s="4"/>
      <c r="D106" s="4"/>
      <c r="E106" s="4"/>
      <c r="F106" s="4"/>
      <c r="G106" s="4"/>
      <c r="H106" s="4"/>
      <c r="I106" s="4"/>
    </row>
    <row r="107" spans="1:10" ht="18.75" customHeight="1">
      <c r="A107" s="1" t="s">
        <v>30</v>
      </c>
      <c r="B107" s="195" t="s">
        <v>46</v>
      </c>
      <c r="C107" s="195"/>
      <c r="D107" s="195"/>
      <c r="E107" s="195"/>
      <c r="F107" s="195"/>
      <c r="G107" s="195"/>
      <c r="H107" s="195"/>
      <c r="I107" s="195"/>
      <c r="J107" s="81" t="s">
        <v>151</v>
      </c>
    </row>
    <row r="108" spans="1:10" ht="18.75" customHeight="1">
      <c r="A108" s="4"/>
      <c r="B108" s="186" t="s">
        <v>179</v>
      </c>
      <c r="C108" s="187"/>
      <c r="D108" s="187"/>
      <c r="E108" s="187"/>
      <c r="F108" s="187"/>
      <c r="G108" s="187"/>
      <c r="H108" s="187"/>
      <c r="I108" s="188"/>
      <c r="J108" s="81">
        <f>LEN(B108)</f>
        <v>254</v>
      </c>
    </row>
    <row r="109" spans="1:10" ht="18.75" customHeight="1">
      <c r="A109" s="4"/>
      <c r="B109" s="189"/>
      <c r="C109" s="190"/>
      <c r="D109" s="190"/>
      <c r="E109" s="190"/>
      <c r="F109" s="190"/>
      <c r="G109" s="190"/>
      <c r="H109" s="190"/>
      <c r="I109" s="191"/>
    </row>
    <row r="110" spans="1:10" ht="18.75" customHeight="1">
      <c r="A110" s="4"/>
      <c r="B110" s="189"/>
      <c r="C110" s="190"/>
      <c r="D110" s="190"/>
      <c r="E110" s="190"/>
      <c r="F110" s="190"/>
      <c r="G110" s="190"/>
      <c r="H110" s="190"/>
      <c r="I110" s="191"/>
    </row>
    <row r="111" spans="1:10" ht="18.75" customHeight="1">
      <c r="A111" s="4"/>
      <c r="B111" s="189"/>
      <c r="C111" s="190"/>
      <c r="D111" s="190"/>
      <c r="E111" s="190"/>
      <c r="F111" s="190"/>
      <c r="G111" s="190"/>
      <c r="H111" s="190"/>
      <c r="I111" s="191"/>
    </row>
    <row r="112" spans="1:10" ht="18.75" customHeight="1">
      <c r="A112" s="4"/>
      <c r="B112" s="189"/>
      <c r="C112" s="190"/>
      <c r="D112" s="190"/>
      <c r="E112" s="190"/>
      <c r="F112" s="190"/>
      <c r="G112" s="190"/>
      <c r="H112" s="190"/>
      <c r="I112" s="191"/>
    </row>
    <row r="113" spans="1:9" ht="18.75" customHeight="1">
      <c r="A113" s="4"/>
      <c r="B113" s="189"/>
      <c r="C113" s="190"/>
      <c r="D113" s="190"/>
      <c r="E113" s="190"/>
      <c r="F113" s="190"/>
      <c r="G113" s="190"/>
      <c r="H113" s="190"/>
      <c r="I113" s="191"/>
    </row>
    <row r="114" spans="1:9" ht="18.75" customHeight="1">
      <c r="A114" s="4"/>
      <c r="B114" s="189"/>
      <c r="C114" s="190"/>
      <c r="D114" s="190"/>
      <c r="E114" s="190"/>
      <c r="F114" s="190"/>
      <c r="G114" s="190"/>
      <c r="H114" s="190"/>
      <c r="I114" s="191"/>
    </row>
    <row r="115" spans="1:9" ht="18.75" customHeight="1">
      <c r="A115" s="4"/>
      <c r="B115" s="189"/>
      <c r="C115" s="190"/>
      <c r="D115" s="190"/>
      <c r="E115" s="190"/>
      <c r="F115" s="190"/>
      <c r="G115" s="190"/>
      <c r="H115" s="190"/>
      <c r="I115" s="191"/>
    </row>
    <row r="116" spans="1:9" ht="18.75" customHeight="1">
      <c r="A116" s="4"/>
      <c r="B116" s="189"/>
      <c r="C116" s="190"/>
      <c r="D116" s="190"/>
      <c r="E116" s="190"/>
      <c r="F116" s="190"/>
      <c r="G116" s="190"/>
      <c r="H116" s="190"/>
      <c r="I116" s="191"/>
    </row>
    <row r="117" spans="1:9" ht="18.75" customHeight="1">
      <c r="A117" s="4"/>
      <c r="B117" s="189"/>
      <c r="C117" s="190"/>
      <c r="D117" s="190"/>
      <c r="E117" s="190"/>
      <c r="F117" s="190"/>
      <c r="G117" s="190"/>
      <c r="H117" s="190"/>
      <c r="I117" s="191"/>
    </row>
    <row r="118" spans="1:9" ht="18.75" customHeight="1">
      <c r="A118" s="4"/>
      <c r="B118" s="189"/>
      <c r="C118" s="190"/>
      <c r="D118" s="190"/>
      <c r="E118" s="190"/>
      <c r="F118" s="190"/>
      <c r="G118" s="190"/>
      <c r="H118" s="190"/>
      <c r="I118" s="191"/>
    </row>
    <row r="119" spans="1:9" ht="18.75" customHeight="1">
      <c r="A119" s="4"/>
      <c r="B119" s="192"/>
      <c r="C119" s="193"/>
      <c r="D119" s="193"/>
      <c r="E119" s="193"/>
      <c r="F119" s="193"/>
      <c r="G119" s="193"/>
      <c r="H119" s="193"/>
      <c r="I119" s="194"/>
    </row>
    <row r="120" spans="1:9" ht="7.5" customHeight="1">
      <c r="A120" s="4"/>
      <c r="B120" s="47"/>
      <c r="C120" s="47"/>
      <c r="D120" s="47"/>
      <c r="E120" s="47"/>
      <c r="F120" s="47"/>
      <c r="G120" s="47"/>
      <c r="H120" s="47"/>
      <c r="I120" s="47"/>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4">
      <c r="A133" s="4"/>
      <c r="B133" s="4"/>
      <c r="C133" s="4"/>
      <c r="D133" s="4"/>
      <c r="E133" s="4"/>
      <c r="F133" s="4"/>
      <c r="G133" s="4"/>
      <c r="H133" s="4"/>
      <c r="I133" s="4"/>
    </row>
    <row r="134" spans="1:9" ht="7.5" customHeight="1">
      <c r="A134" s="48"/>
      <c r="B134" s="48"/>
      <c r="C134" s="48"/>
      <c r="D134" s="48"/>
      <c r="E134" s="48"/>
      <c r="F134" s="48"/>
      <c r="G134" s="48"/>
      <c r="H134" s="48"/>
      <c r="I134" s="48"/>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cellComments="asDisplayed" r:id="rId1"/>
  <headerFooter>
    <oddHeader>&amp;C数理・データサイエンス・AI教育プログラム認定制度【リテラシーレベル】</oddHeader>
  </headerFooter>
  <rowBreaks count="2" manualBreakCount="2">
    <brk id="47" max="9" man="1"/>
    <brk id="92" max="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Normal="100" zoomScaleSheetLayoutView="100" workbookViewId="0">
      <selection activeCell="E20" sqref="E20:I20"/>
    </sheetView>
  </sheetViews>
  <sheetFormatPr defaultColWidth="11.36328125" defaultRowHeight="22.5" customHeight="1"/>
  <cols>
    <col min="1" max="3" width="2.81640625" style="1" customWidth="1"/>
    <col min="4" max="4" width="22.1796875" style="1" customWidth="1"/>
    <col min="5" max="5" width="30.81640625" style="1" customWidth="1"/>
    <col min="6" max="7" width="7.81640625" style="1" customWidth="1"/>
    <col min="8" max="9" width="30.81640625" style="1" customWidth="1"/>
    <col min="10" max="10" width="4.08984375" style="1" customWidth="1"/>
    <col min="11" max="16384" width="11.36328125" style="1"/>
  </cols>
  <sheetData>
    <row r="1" spans="1:9" ht="18.75" customHeight="1">
      <c r="A1" s="1" t="s">
        <v>71</v>
      </c>
      <c r="I1" s="35" t="s">
        <v>105</v>
      </c>
    </row>
    <row r="2" spans="1:9" ht="18.75" customHeight="1">
      <c r="H2" s="35" t="s">
        <v>109</v>
      </c>
      <c r="I2" s="34" t="str">
        <f>'様式１　プログラムを構成する授業科目'!C2</f>
        <v>国際教養大学</v>
      </c>
    </row>
    <row r="3" spans="1:9" ht="18.75" customHeight="1">
      <c r="A3" s="145" t="s">
        <v>28</v>
      </c>
      <c r="B3" s="145"/>
      <c r="C3" s="145"/>
      <c r="D3" s="145"/>
      <c r="E3" s="145"/>
      <c r="F3" s="145"/>
      <c r="G3" s="145"/>
      <c r="H3" s="145"/>
      <c r="I3" s="145"/>
    </row>
    <row r="4" spans="1:9" ht="18.75" customHeight="1">
      <c r="A4" s="5"/>
      <c r="B4" s="5"/>
      <c r="C4" s="5"/>
      <c r="D4" s="5"/>
      <c r="E4" s="5"/>
      <c r="F4" s="5"/>
      <c r="G4" s="5"/>
      <c r="H4" s="5"/>
      <c r="I4" s="5"/>
    </row>
    <row r="5" spans="1:9" ht="18.75" customHeight="1">
      <c r="A5" s="1" t="s">
        <v>0</v>
      </c>
      <c r="B5" s="10" t="s">
        <v>95</v>
      </c>
      <c r="C5" s="5"/>
      <c r="D5" s="5"/>
      <c r="E5" s="5"/>
      <c r="F5" s="5"/>
      <c r="G5" s="5"/>
      <c r="H5" s="5"/>
      <c r="I5" s="5"/>
    </row>
    <row r="6" spans="1:9" ht="26.25" customHeight="1">
      <c r="A6" s="5"/>
      <c r="B6" s="213" t="s">
        <v>133</v>
      </c>
      <c r="C6" s="256"/>
      <c r="D6" s="256"/>
      <c r="E6" s="256"/>
      <c r="F6" s="256"/>
      <c r="G6" s="256"/>
      <c r="H6" s="257"/>
      <c r="I6" s="3"/>
    </row>
    <row r="7" spans="1:9" ht="9" customHeight="1">
      <c r="A7" s="5"/>
      <c r="B7" s="10"/>
      <c r="C7" s="10"/>
      <c r="D7" s="10"/>
      <c r="E7" s="10"/>
      <c r="F7" s="10"/>
      <c r="G7" s="10"/>
      <c r="H7" s="10"/>
      <c r="I7" s="3"/>
    </row>
    <row r="8" spans="1:9" ht="18.75" customHeight="1">
      <c r="A8" s="5"/>
      <c r="B8" s="3"/>
      <c r="C8" s="3"/>
      <c r="D8" s="35" t="s">
        <v>43</v>
      </c>
      <c r="E8" s="36" t="s">
        <v>134</v>
      </c>
      <c r="F8" s="3"/>
      <c r="G8" s="35" t="s">
        <v>10</v>
      </c>
      <c r="H8" s="36" t="s">
        <v>135</v>
      </c>
      <c r="I8" s="3"/>
    </row>
    <row r="9" spans="1:9" ht="7.5" customHeight="1">
      <c r="A9" s="5"/>
      <c r="B9" s="5"/>
      <c r="C9" s="5"/>
      <c r="D9" s="5"/>
      <c r="E9" s="5"/>
      <c r="F9" s="5"/>
      <c r="G9" s="5"/>
      <c r="H9" s="5"/>
      <c r="I9" s="5"/>
    </row>
    <row r="10" spans="1:9" ht="18.75" customHeight="1">
      <c r="A10" s="1" t="s">
        <v>3</v>
      </c>
      <c r="B10" s="1" t="s">
        <v>27</v>
      </c>
      <c r="C10" s="4"/>
      <c r="D10" s="4"/>
      <c r="E10" s="4"/>
      <c r="F10" s="4"/>
      <c r="G10" s="4"/>
      <c r="H10" s="4"/>
      <c r="I10" s="4"/>
    </row>
    <row r="11" spans="1:9" ht="18.75" customHeight="1">
      <c r="B11" s="84" t="s">
        <v>24</v>
      </c>
      <c r="C11" s="85"/>
      <c r="D11" s="86"/>
      <c r="E11" s="85" t="s">
        <v>26</v>
      </c>
      <c r="F11" s="85"/>
      <c r="G11" s="85"/>
      <c r="H11" s="85"/>
      <c r="I11" s="86"/>
    </row>
    <row r="12" spans="1:9" ht="26.25" customHeight="1">
      <c r="B12" s="49" t="s">
        <v>14</v>
      </c>
      <c r="C12" s="56"/>
      <c r="D12" s="50"/>
      <c r="E12" s="57"/>
      <c r="F12" s="57"/>
      <c r="G12" s="57"/>
      <c r="H12" s="57"/>
      <c r="I12" s="50"/>
    </row>
    <row r="13" spans="1:9" ht="107" customHeight="1">
      <c r="B13" s="51"/>
      <c r="C13" s="253" t="s">
        <v>15</v>
      </c>
      <c r="D13" s="254"/>
      <c r="E13" s="255" t="s">
        <v>168</v>
      </c>
      <c r="F13" s="251"/>
      <c r="G13" s="251"/>
      <c r="H13" s="251"/>
      <c r="I13" s="252"/>
    </row>
    <row r="14" spans="1:9" ht="97.5" customHeight="1">
      <c r="B14" s="51"/>
      <c r="C14" s="248" t="s">
        <v>16</v>
      </c>
      <c r="D14" s="249"/>
      <c r="E14" s="250" t="s">
        <v>169</v>
      </c>
      <c r="F14" s="251"/>
      <c r="G14" s="251"/>
      <c r="H14" s="251"/>
      <c r="I14" s="252"/>
    </row>
    <row r="15" spans="1:9" ht="65" customHeight="1">
      <c r="B15" s="51"/>
      <c r="C15" s="253" t="s">
        <v>17</v>
      </c>
      <c r="D15" s="254"/>
      <c r="E15" s="250" t="s">
        <v>170</v>
      </c>
      <c r="F15" s="251"/>
      <c r="G15" s="251"/>
      <c r="H15" s="251"/>
      <c r="I15" s="252"/>
    </row>
    <row r="16" spans="1:9" ht="87" customHeight="1">
      <c r="B16" s="51"/>
      <c r="C16" s="253" t="s">
        <v>18</v>
      </c>
      <c r="D16" s="254"/>
      <c r="E16" s="250" t="s">
        <v>171</v>
      </c>
      <c r="F16" s="251"/>
      <c r="G16" s="251"/>
      <c r="H16" s="251"/>
      <c r="I16" s="252"/>
    </row>
    <row r="17" spans="2:9" ht="100.5" customHeight="1">
      <c r="B17" s="52"/>
      <c r="C17" s="258" t="s">
        <v>19</v>
      </c>
      <c r="D17" s="259"/>
      <c r="E17" s="260" t="s">
        <v>172</v>
      </c>
      <c r="F17" s="261"/>
      <c r="G17" s="261"/>
      <c r="H17" s="261"/>
      <c r="I17" s="262"/>
    </row>
    <row r="18" spans="2:9" ht="24" customHeight="1">
      <c r="B18" s="49" t="s">
        <v>20</v>
      </c>
      <c r="C18" s="53"/>
      <c r="D18" s="54"/>
      <c r="E18" s="55"/>
      <c r="F18" s="55"/>
      <c r="G18" s="55"/>
      <c r="H18" s="55"/>
      <c r="I18" s="58"/>
    </row>
    <row r="19" spans="2:9" ht="77.5" customHeight="1">
      <c r="B19" s="51"/>
      <c r="C19" s="253" t="s">
        <v>21</v>
      </c>
      <c r="D19" s="254"/>
      <c r="E19" s="251" t="s">
        <v>175</v>
      </c>
      <c r="F19" s="251"/>
      <c r="G19" s="251"/>
      <c r="H19" s="251"/>
      <c r="I19" s="252"/>
    </row>
    <row r="20" spans="2:9" ht="125.5" customHeight="1">
      <c r="B20" s="52"/>
      <c r="C20" s="258" t="s">
        <v>22</v>
      </c>
      <c r="D20" s="259"/>
      <c r="E20" s="268" t="s">
        <v>176</v>
      </c>
      <c r="F20" s="268"/>
      <c r="G20" s="268"/>
      <c r="H20" s="268"/>
      <c r="I20" s="269"/>
    </row>
    <row r="21" spans="2:9" ht="75.5" customHeight="1">
      <c r="B21" s="270" t="s">
        <v>23</v>
      </c>
      <c r="C21" s="271"/>
      <c r="D21" s="272"/>
      <c r="E21" s="273" t="s">
        <v>173</v>
      </c>
      <c r="F21" s="273"/>
      <c r="G21" s="273"/>
      <c r="H21" s="273"/>
      <c r="I21" s="274"/>
    </row>
    <row r="22" spans="2:9" ht="106" customHeight="1">
      <c r="B22" s="263" t="s">
        <v>38</v>
      </c>
      <c r="C22" s="264"/>
      <c r="D22" s="265"/>
      <c r="E22" s="266" t="s">
        <v>174</v>
      </c>
      <c r="F22" s="266"/>
      <c r="G22" s="266"/>
      <c r="H22" s="266"/>
      <c r="I22" s="267"/>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5"/>
      <c r="C28" s="15"/>
      <c r="D28" s="15"/>
      <c r="E28" s="15"/>
      <c r="F28" s="15"/>
      <c r="G28" s="15"/>
      <c r="H28" s="15"/>
      <c r="I28" s="15"/>
    </row>
    <row r="29" spans="2:9" ht="22.5" customHeight="1">
      <c r="B29" s="15"/>
      <c r="C29" s="15"/>
      <c r="D29" s="15"/>
      <c r="E29" s="15"/>
      <c r="F29" s="15"/>
      <c r="G29" s="15"/>
      <c r="H29" s="15"/>
      <c r="I29" s="15"/>
    </row>
    <row r="30" spans="2:9" ht="22.5" customHeight="1">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tsukagoshi</cp:lastModifiedBy>
  <cp:lastPrinted>2023-07-21T05:13:46Z</cp:lastPrinted>
  <dcterms:created xsi:type="dcterms:W3CDTF">2011-06-14T05:32:50Z</dcterms:created>
  <dcterms:modified xsi:type="dcterms:W3CDTF">2023-07-21T05:14:26Z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