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50.10.1\職員\教務課\⑪　行政機関への申請・報告・届出書類\文部科学省\数理・データサイエンス・ＡＩ教育プログラム」の認定等における公募\申請書類一式\提出用\関西福祉大学（修正）\"/>
    </mc:Choice>
  </mc:AlternateContent>
  <bookViews>
    <workbookView xWindow="-105" yWindow="-105" windowWidth="23250" windowHeight="12570" tabRatio="933"/>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40" l="1"/>
  <c r="X13" i="40"/>
  <c r="X12" i="40"/>
  <c r="R14" i="40"/>
  <c r="R13" i="40"/>
  <c r="R12" i="40"/>
  <c r="L14" i="40"/>
  <c r="L13" i="40"/>
  <c r="L12" i="40"/>
  <c r="O12" i="40"/>
  <c r="O13" i="40"/>
  <c r="O14" i="40"/>
  <c r="F15" i="40" l="1"/>
  <c r="I15" i="40"/>
  <c r="L15" i="40"/>
  <c r="AP15" i="40" s="1"/>
  <c r="AQ15" i="40" s="1"/>
  <c r="O15" i="40"/>
  <c r="R15" i="40"/>
  <c r="U15" i="40"/>
  <c r="X15" i="40"/>
  <c r="AA15" i="40"/>
  <c r="AD15" i="40"/>
  <c r="AG15" i="40"/>
  <c r="AJ15" i="40"/>
  <c r="AM15" i="40"/>
  <c r="F16" i="40"/>
  <c r="I16" i="40"/>
  <c r="L16" i="40"/>
  <c r="O16" i="40"/>
  <c r="R16" i="40"/>
  <c r="U16" i="40"/>
  <c r="X16" i="40"/>
  <c r="AA16" i="40"/>
  <c r="AD16" i="40"/>
  <c r="AG16" i="40"/>
  <c r="AJ16" i="40"/>
  <c r="AM16" i="40"/>
  <c r="AP16" i="40"/>
  <c r="AQ16" i="40"/>
  <c r="F17" i="40"/>
  <c r="I17" i="40"/>
  <c r="L17" i="40"/>
  <c r="AP17" i="40" s="1"/>
  <c r="AQ17" i="40" s="1"/>
  <c r="O17" i="40"/>
  <c r="R17" i="40"/>
  <c r="U17" i="40"/>
  <c r="X17" i="40"/>
  <c r="AA17" i="40"/>
  <c r="AD17" i="40"/>
  <c r="AG17" i="40"/>
  <c r="AJ17" i="40"/>
  <c r="AM17" i="40"/>
  <c r="F18" i="40"/>
  <c r="I18" i="40"/>
  <c r="L18" i="40"/>
  <c r="AP18" i="40" s="1"/>
  <c r="AQ18" i="40" s="1"/>
  <c r="O18" i="40"/>
  <c r="R18" i="40"/>
  <c r="U18" i="40"/>
  <c r="X18" i="40"/>
  <c r="AA18" i="40"/>
  <c r="AD18" i="40"/>
  <c r="AG18" i="40"/>
  <c r="AJ18" i="40"/>
  <c r="AM18" i="40"/>
  <c r="F19" i="40"/>
  <c r="I19" i="40"/>
  <c r="L19" i="40"/>
  <c r="O19" i="40"/>
  <c r="R19" i="40"/>
  <c r="U19" i="40"/>
  <c r="X19" i="40"/>
  <c r="AA19" i="40"/>
  <c r="AD19" i="40"/>
  <c r="AG19" i="40"/>
  <c r="AJ19" i="40"/>
  <c r="AM19" i="40"/>
  <c r="AP19" i="40"/>
  <c r="AQ19" i="40"/>
  <c r="F20" i="40"/>
  <c r="I20" i="40"/>
  <c r="L20" i="40"/>
  <c r="AP20" i="40" s="1"/>
  <c r="AQ20" i="40" s="1"/>
  <c r="O20" i="40"/>
  <c r="R20" i="40"/>
  <c r="U20" i="40"/>
  <c r="X20" i="40"/>
  <c r="AA20" i="40"/>
  <c r="AD20" i="40"/>
  <c r="AG20" i="40"/>
  <c r="AJ20" i="40"/>
  <c r="AM20" i="40"/>
  <c r="F21" i="40"/>
  <c r="I21" i="40"/>
  <c r="L21" i="40"/>
  <c r="AP21" i="40" s="1"/>
  <c r="AQ21" i="40" s="1"/>
  <c r="O21" i="40"/>
  <c r="R21" i="40"/>
  <c r="U21" i="40"/>
  <c r="X21" i="40"/>
  <c r="AA21" i="40"/>
  <c r="AD21" i="40"/>
  <c r="AG21" i="40"/>
  <c r="AJ21" i="40"/>
  <c r="AM21" i="40"/>
  <c r="F22" i="40"/>
  <c r="I22" i="40"/>
  <c r="L22" i="40"/>
  <c r="O22" i="40"/>
  <c r="R22" i="40"/>
  <c r="U22" i="40"/>
  <c r="X22" i="40"/>
  <c r="AA22" i="40"/>
  <c r="AD22" i="40"/>
  <c r="AG22" i="40"/>
  <c r="AJ22" i="40"/>
  <c r="AM22" i="40"/>
  <c r="AP22" i="40"/>
  <c r="AQ22" i="40"/>
  <c r="F23" i="40"/>
  <c r="I23" i="40"/>
  <c r="L23" i="40"/>
  <c r="AP23" i="40" s="1"/>
  <c r="AQ23" i="40" s="1"/>
  <c r="O23" i="40"/>
  <c r="R23" i="40"/>
  <c r="U23" i="40"/>
  <c r="X23" i="40"/>
  <c r="AA23" i="40"/>
  <c r="AD23" i="40"/>
  <c r="AG23" i="40"/>
  <c r="AJ23" i="40"/>
  <c r="AM23" i="40"/>
  <c r="F24" i="40"/>
  <c r="I24" i="40"/>
  <c r="L24" i="40"/>
  <c r="AP24" i="40" s="1"/>
  <c r="AQ24" i="40" s="1"/>
  <c r="O24" i="40"/>
  <c r="R24" i="40"/>
  <c r="U24" i="40"/>
  <c r="X24" i="40"/>
  <c r="AA24" i="40"/>
  <c r="AD24" i="40"/>
  <c r="AG24" i="40"/>
  <c r="AJ24" i="40"/>
  <c r="AM24" i="40"/>
  <c r="F25" i="40"/>
  <c r="I25" i="40"/>
  <c r="L25" i="40"/>
  <c r="O25" i="40"/>
  <c r="R25" i="40"/>
  <c r="U25" i="40"/>
  <c r="X25" i="40"/>
  <c r="AA25" i="40"/>
  <c r="AD25" i="40"/>
  <c r="AG25" i="40"/>
  <c r="AJ25" i="40"/>
  <c r="AM25" i="40"/>
  <c r="AP25" i="40"/>
  <c r="AQ25" i="40"/>
  <c r="I2" i="42" l="1"/>
  <c r="H2" i="41"/>
  <c r="AM2" i="40"/>
  <c r="AO32" i="40" l="1"/>
  <c r="AN32" i="40"/>
  <c r="AL32" i="40"/>
  <c r="AK32" i="40"/>
  <c r="AM31" i="40"/>
  <c r="AJ31" i="40"/>
  <c r="AM30" i="40"/>
  <c r="AJ30" i="40"/>
  <c r="AM29" i="40"/>
  <c r="AJ29" i="40"/>
  <c r="AM28" i="40"/>
  <c r="AJ28" i="40"/>
  <c r="AM27" i="40"/>
  <c r="AJ27" i="40"/>
  <c r="AM26" i="40"/>
  <c r="AJ26" i="40"/>
  <c r="AM14" i="40"/>
  <c r="AJ14" i="40"/>
  <c r="AM13" i="40"/>
  <c r="AJ13" i="40"/>
  <c r="AM12" i="40"/>
  <c r="AJ12" i="40"/>
  <c r="AI32" i="40"/>
  <c r="AH32" i="40"/>
  <c r="AF32" i="40"/>
  <c r="AE32" i="40"/>
  <c r="AG31" i="40"/>
  <c r="AD31" i="40"/>
  <c r="AG30" i="40"/>
  <c r="AD30" i="40"/>
  <c r="AG29" i="40"/>
  <c r="AD29" i="40"/>
  <c r="AG28" i="40"/>
  <c r="AD28" i="40"/>
  <c r="AG27" i="40"/>
  <c r="AD27" i="40"/>
  <c r="AG26" i="40"/>
  <c r="AD26" i="40"/>
  <c r="AG14" i="40"/>
  <c r="AD14" i="40"/>
  <c r="AG13" i="40"/>
  <c r="AD13" i="40"/>
  <c r="AG12" i="40"/>
  <c r="AD12" i="40"/>
  <c r="AC32" i="40"/>
  <c r="AB32" i="40"/>
  <c r="Z32" i="40"/>
  <c r="Y32" i="40"/>
  <c r="AA31" i="40"/>
  <c r="X31" i="40"/>
  <c r="AA30" i="40"/>
  <c r="X30" i="40"/>
  <c r="AA29" i="40"/>
  <c r="X29" i="40"/>
  <c r="AA28" i="40"/>
  <c r="X28" i="40"/>
  <c r="AA27" i="40"/>
  <c r="X27" i="40"/>
  <c r="AA26" i="40"/>
  <c r="X26" i="40"/>
  <c r="AA14" i="40"/>
  <c r="AA13" i="40"/>
  <c r="AA12" i="40"/>
  <c r="W32" i="40"/>
  <c r="V32" i="40"/>
  <c r="T32" i="40"/>
  <c r="S32" i="40"/>
  <c r="U31" i="40"/>
  <c r="R31" i="40"/>
  <c r="U30" i="40"/>
  <c r="R30" i="40"/>
  <c r="U29" i="40"/>
  <c r="R29" i="40"/>
  <c r="U28" i="40"/>
  <c r="R28" i="40"/>
  <c r="U27" i="40"/>
  <c r="R27" i="40"/>
  <c r="U26" i="40"/>
  <c r="R26" i="40"/>
  <c r="U14" i="40"/>
  <c r="U13" i="40"/>
  <c r="U12" i="40"/>
  <c r="Q32" i="40"/>
  <c r="P32" i="40"/>
  <c r="N32" i="40"/>
  <c r="M32" i="40"/>
  <c r="O31" i="40"/>
  <c r="L31" i="40"/>
  <c r="O30" i="40"/>
  <c r="L30" i="40"/>
  <c r="O29" i="40"/>
  <c r="L29" i="40"/>
  <c r="O28" i="40"/>
  <c r="L28" i="40"/>
  <c r="O27" i="40"/>
  <c r="L27" i="40"/>
  <c r="O26" i="40"/>
  <c r="L26" i="40"/>
  <c r="O32" i="40" l="1"/>
  <c r="AA32" i="40"/>
  <c r="AJ32" i="40"/>
  <c r="AM32" i="40"/>
  <c r="AG32" i="40"/>
  <c r="AD32" i="40"/>
  <c r="X32" i="40"/>
  <c r="R32" i="40"/>
  <c r="U32" i="40"/>
  <c r="L32" i="40"/>
  <c r="K32" i="40" l="1"/>
  <c r="J32" i="40"/>
  <c r="I31" i="40"/>
  <c r="I30" i="40"/>
  <c r="I29" i="40"/>
  <c r="I28" i="40"/>
  <c r="I27" i="40"/>
  <c r="I26" i="40"/>
  <c r="G32" i="40"/>
  <c r="H32" i="40"/>
  <c r="AP13" i="40"/>
  <c r="AP14" i="40"/>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14" i="40"/>
  <c r="AQ13" i="40"/>
  <c r="AP32" i="40" l="1"/>
  <c r="AQ32" i="40" s="1"/>
  <c r="C49" i="41" s="1"/>
</calcChain>
</file>

<file path=xl/sharedStrings.xml><?xml version="1.0" encoding="utf-8"?>
<sst xmlns="http://schemas.openxmlformats.org/spreadsheetml/2006/main" count="298" uniqueCount="174">
  <si>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</si>
  <si>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</si>
  <si>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</si>
  <si>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</si>
  <si>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</si>
  <si>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</si>
  <si>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</si>
  <si>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</si>
  <si>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</si>
  <si>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</si>
  <si>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</si>
  <si>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</si>
  <si>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</si>
  <si>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</si>
  <si>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</si>
  <si>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</si>
  <si>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</si>
  <si>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</si>
  <si>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</si>
  <si>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</si>
  <si>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</si>
  <si>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</si>
  <si>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</si>
  <si>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</si>
  <si>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</si>
  <si>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</si>
  <si>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</si>
  <si>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</si>
  <si>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</si>
  <si>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</si>
  <si>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</si>
  <si>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</si>
  <si>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</si>
  <si>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</si>
  <si>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</si>
  <si>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</si>
  <si>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</si>
  <si>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</si>
  <si>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</si>
  <si>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</si>
  <si>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</si>
  <si>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</si>
  <si>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</si>
  <si>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</si>
  <si>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</si>
  <si>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</si>
  <si>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</si>
  <si>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</si>
  <si>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</si>
  <si>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</si>
  <si>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</si>
  <si>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</si>
  <si>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</si>
  <si>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</si>
  <si>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</si>
  <si>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</si>
  <si>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</si>
  <si>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</si>
  <si>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</si>
  <si>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</si>
  <si>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</si>
  <si>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</si>
  <si>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</si>
  <si>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</si>
  <si>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</si>
  <si>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</si>
  <si>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</si>
  <si>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</si>
  <si>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</si>
  <si>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</si>
  <si>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</si>
  <si>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</si>
  <si>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</si>
  <si>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</si>
  <si>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</si>
  <si>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</si>
  <si>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</si>
  <si>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</si>
  <si>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</si>
  <si>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</si>
  <si>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</si>
  <si>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</si>
  <si>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</si>
  <si>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</si>
  <si>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</si>
  <si>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</si>
  <si>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</si>
  <si>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</si>
  <si>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</si>
  <si>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</si>
  <si>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</si>
  <si>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</si>
  <si>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</si>
  <si>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</si>
  <si>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</si>
  <si>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</si>
  <si>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</si>
  <si>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</si>
  <si>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</si>
  <si>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</si>
  <si>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</si>
  <si>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</si>
  <si>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</si>
  <si>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</si>
  <si>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</si>
  <si>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</si>
  <si>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</si>
  <si>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</si>
  <si>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</si>
  <si>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</si>
  <si>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</si>
  <si>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</si>
  <si>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</si>
  <si>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</si>
  <si>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</si>
  <si>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</si>
  <si>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</si>
  <si>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</si>
  <si>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</si>
  <si>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</si>
  <si>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</si>
  <si>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</si>
  <si>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</si>
  <si>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</si>
  <si>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</si>
  <si>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</si>
  <si>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</si>
  <si>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関西福祉大学</t>
    <rPh sb="0" eb="6">
      <t>カンサイフクシダイガク</t>
    </rPh>
    <phoneticPr fontId="1"/>
  </si>
  <si>
    <t>データサイエンス概論</t>
    <phoneticPr fontId="1"/>
  </si>
  <si>
    <t>学部・学科によって、修了要件は相違しない</t>
    <phoneticPr fontId="1"/>
  </si>
  <si>
    <t>「データサイエンス概論」（2単位）の単位を習得すること。
「データサイエンス概論」は、以下の目的を設定している。
【目　　　的】
　今後のデジタル社会において、数理・データサイエンス・AIを、日常の生活や仕事等の場で使いこなすことができる基礎的素養を主体的に身に付けること。
【授業概要】
　この授業では、数理・データサイエンス・AIを実践するにあたって必要となる知識の概論および理論の基礎を学習する。身近なトピックを中心に取りあげ、グループワークや演習を通して、数理・データサイエンス・AIの基礎と、その応用事例、社会との関わりについて学習する。</t>
    <phoneticPr fontId="1"/>
  </si>
  <si>
    <t>データサイエンス概論</t>
    <rPh sb="8" eb="10">
      <t>ガイロン</t>
    </rPh>
    <phoneticPr fontId="1"/>
  </si>
  <si>
    <t>○</t>
  </si>
  <si>
    <t>データサイエンス概論</t>
    <phoneticPr fontId="1"/>
  </si>
  <si>
    <t>○数理・データサイエンス・AIに関心を持ち、積極的に授業に参加するとともに、授業前後の学習によって、自らの関心を持つ問題や疑問を解決するための態度
○数理・データサイエンス・AIの基礎知識を学び，得られた知識をもとに適切なデータ利用・活用・提示をすることができる技能
○数理・データサイエンス・AIに関する知識・技能をもとに、人間中心の適切な判断ができ、不安なく自らの意志でAI等の恩恵を享受し、説明および活用できる能力</t>
    <phoneticPr fontId="1"/>
  </si>
  <si>
    <t>令和4</t>
    <rPh sb="0" eb="2">
      <t>レイワ</t>
    </rPh>
    <phoneticPr fontId="1"/>
  </si>
  <si>
    <t>社会福祉学部</t>
    <rPh sb="0" eb="6">
      <t>シャカイフクシガクブ</t>
    </rPh>
    <phoneticPr fontId="1"/>
  </si>
  <si>
    <t>教育学部</t>
    <rPh sb="0" eb="2">
      <t>キョウイク</t>
    </rPh>
    <rPh sb="2" eb="4">
      <t>ガクブ</t>
    </rPh>
    <phoneticPr fontId="1"/>
  </si>
  <si>
    <t>看護学部</t>
    <rPh sb="0" eb="2">
      <t>カンゴ</t>
    </rPh>
    <rPh sb="2" eb="4">
      <t>ガクブ</t>
    </rPh>
    <phoneticPr fontId="1"/>
  </si>
  <si>
    <t>共通教務委員会</t>
    <rPh sb="0" eb="2">
      <t>キョウツウ</t>
    </rPh>
    <rPh sb="2" eb="4">
      <t>キョウム</t>
    </rPh>
    <rPh sb="4" eb="7">
      <t>イインカイ</t>
    </rPh>
    <phoneticPr fontId="1"/>
  </si>
  <si>
    <t>委員長</t>
    <rPh sb="0" eb="3">
      <t>イインチョウ</t>
    </rPh>
    <phoneticPr fontId="1"/>
  </si>
  <si>
    <t>関西福祉大学会議組織規則及び関西福祉大学会議組織規則施行細則</t>
    <phoneticPr fontId="1"/>
  </si>
  <si>
    <t xml:space="preserve">関西福祉会議組織施行細則に定める教務委員会は、全学的なカリキュラムの方針についての審議する機能を有し、その機能の中で「共通科目等の調整に関すること」を審議事項としている。
</t>
    <phoneticPr fontId="1"/>
  </si>
  <si>
    <t>教務委員長：大山　摩希子教授（教育学部長）
委員：中村　剛教授（社会福祉学部長）
委員：岩間　文雄教授（社会福祉学部教務委員長）
委員：新川　靖教授（教育学部児童教育学科長、教育学部教務委員長）
委員：池永　理恵子教授（教育学部保健教育学科長）
委員：大沼　勇人准教授（教育学部教務委員）
委員：難波　峰子教授（看護学部長）
委員：濱西　誠司准教授（看護学部教務委員長）</t>
    <phoneticPr fontId="1"/>
  </si>
  <si>
    <t>令和4年度に開講した「データサイエンス概論」は、全学生の履修を前提に配置しており、令和4年度は、社会福祉学部、教育学部の必修科目として位置づけ、1年生全員が履修している。なお看護学部は指定規則における変更承認申請との関連で、まず選択科目として配置するとともに、今後の社会動向の変容等やデータサイエンス概論の重要性を説明する等の履修指導により1年生全員が履修している。
令和5年度からは看護学部も必修科目するため、令和5年度以降関西福祉大学に入学する学生は全員、本プログラムを履修することとなる。</t>
    <phoneticPr fontId="1"/>
  </si>
  <si>
    <t>④にも関連するが、令和4年度は社会福祉学部・教育学部の必修科目、看護学部の選択科目（履修指導により全員履修）、令和5年度からは全学的に必修科目として位置づける。</t>
    <phoneticPr fontId="1"/>
  </si>
  <si>
    <t>新入生オリエンテーション時に必修科目としての位置づけ等を説明し、入学生全員が履修する。
（令和4年度に限り、看護学部においては選択科目として配置しているが、今後の社会動向の変容等やデータサイエンス概論の意義を説明し、履修指導等に取り組み、全員履修している。）</t>
    <phoneticPr fontId="1"/>
  </si>
  <si>
    <t>今後のデジタル社会において、数理・データサイエンス・AIを、日常の生活や仕事等の場で使いこなすことができる基礎的素養を主体的に身に付けることができるように全学的な必修科目として「データサイエンス概論」を位置づけ、科目担当教員を中心に修得に向けたサポートを実施する体制としている。</t>
    <phoneticPr fontId="1"/>
  </si>
  <si>
    <t>「データサイエンス概論」を含む授業の全学的な体制として、対面授業においては直接指導を受け、授業外であればオフィスアワーを活用することができる。またオンデマンド科目では、本学のLMSを通じて各種質問や授業資料の配布、課題の相談等を随時行える環境を整えている。</t>
    <phoneticPr fontId="1"/>
  </si>
  <si>
    <t>プログラム科目「データサイエンス概論」は、教務委員会にコアチームを設置し、内容等を検討し令和4年度に開設した科目である。全学的に教養科目の必修科目に位置づけ、数理・データサイエンス・AIを実践するにあたって必要となる知識の概論および理論の基礎を学習することを目的としている。履修状況・単位取得状況は、共通教務委員会・各学部教務委員会において確認し、学生指導等を実施している。</t>
    <phoneticPr fontId="1"/>
  </si>
  <si>
    <t>授業評価アンケート結果からは、満足度が4.3と高く、授業をつうじての知識や技術を身に付ける等の成長度についても4.3と高い。また学修成果・行動調査時における「数理・統計・データサイエンス」に関する知識・技能の定着度意識についても、新規に科目配置された1年生の定着度意識が高い。</t>
    <phoneticPr fontId="1"/>
  </si>
  <si>
    <t>学生アンケート等によって直接的に調査をしていないが、関西福祉大学に入学してくる学生は、今後必修科目として「データサイエンス概論」を全員履修していくこととなるため、今後も学生に必修科目として位置づけている意義等を各専門教員と関連付けながら説明していきたい。</t>
    <phoneticPr fontId="1"/>
  </si>
  <si>
    <t>データサイエンス概論1科目による本プログラムは、令和4年度入学生も実質全員履修、令和5年度からは全学的に必修科目として配置するため、全入学生が履修していくこととなる。</t>
    <phoneticPr fontId="1"/>
  </si>
  <si>
    <t xml:space="preserve">令和4年度に開設した科目のため、卒業生は出ていない。今後就職状況も含め評価していく予定である。
</t>
    <phoneticPr fontId="1"/>
  </si>
  <si>
    <t>プログラム科目「データサイエンス概論」では、コンテンツとして株式会社ベネッセコーポレーションのe-ラーニング教材を活用している。コンテンツは、最新の知見に基づき作成されており、産業界等の視点も反映されている。
また、福祉系施設・病院・学校等の実習先の意見や同窓会等に意見を聞きながらカリキュラムの内容を充実させていく予定である。</t>
    <phoneticPr fontId="1"/>
  </si>
  <si>
    <t xml:space="preserve">授業で毎回実施しているe-ラーニングを活用したテスト等の回答率は、ほぼ100％に近く、受講生は積極的に取り組んでいる。また、授業評価アンケート「授業に関してのものの見方や考え方は広がりましたか。」という設問においては8割以上の学生が「強くそう思う」「ややそう思う」と回答しており、学修する意義や楽しさを理解しているということができる。
</t>
    <phoneticPr fontId="1"/>
  </si>
  <si>
    <t>教務委員会において組織したコアチームを中心に授業の進行状況・理解度等について検証しており、教育内容や評価・水準を向上するため方策を議論し改善をはかっている。（令和4年度はコアチームメンバーが科目を担当）</t>
    <phoneticPr fontId="1"/>
  </si>
  <si>
    <t>学長</t>
    <rPh sb="0" eb="2">
      <t>ガクチョウ</t>
    </rPh>
    <phoneticPr fontId="1"/>
  </si>
  <si>
    <t>加藤　明</t>
    <rPh sb="0" eb="2">
      <t>カトウ</t>
    </rPh>
    <rPh sb="3" eb="4">
      <t>アキラ</t>
    </rPh>
    <phoneticPr fontId="1"/>
  </si>
  <si>
    <t>大山　摩希子</t>
    <phoneticPr fontId="1"/>
  </si>
  <si>
    <t>大山　摩希子</t>
    <phoneticPr fontId="1"/>
  </si>
  <si>
    <t>「データサイエンス概論」は、WEBコンテンツを利用し、毎回確認テストを実施しており、学生の理解を促す内容となっている。小テストの受講状況も高く、1年次に履修するため、数理・データサイエンス・AIに関する基礎的知識をもち、4年間の学修を継続することができると考えている。</t>
    <phoneticPr fontId="1"/>
  </si>
  <si>
    <t>教務委員会</t>
    <rPh sb="0" eb="2">
      <t>キョウム</t>
    </rPh>
    <rPh sb="2" eb="5">
      <t>イインカイ</t>
    </rPh>
    <phoneticPr fontId="1"/>
  </si>
  <si>
    <t>データを起点としたものの見方、人間の知的活動を起点としたものの見方、人間の知的活動とAIの関係性「データサイエンス概論」（1回目）
ビッグデータ、IoT、AI、ロボット、第4次産業革命、Society 5.0、データ駆動型社会「データサイエンス概論」（2回目）</t>
    <rPh sb="57" eb="59">
      <t>ガイロン</t>
    </rPh>
    <rPh sb="63" eb="64">
      <t>メ</t>
    </rPh>
    <rPh sb="123" eb="125">
      <t>ガイロン</t>
    </rPh>
    <rPh sb="128" eb="130">
      <t>カイメ</t>
    </rPh>
    <phoneticPr fontId="1"/>
  </si>
  <si>
    <t>AI等を活用した新しいビジネスモデル、AI最新技術の活用例「データサイエンス概論」（8回目）</t>
    <rPh sb="38" eb="40">
      <t>ガイロン</t>
    </rPh>
    <rPh sb="43" eb="45">
      <t>カイメ</t>
    </rPh>
    <phoneticPr fontId="1"/>
  </si>
  <si>
    <t>調査データ、実験データ、人の行動ログデータ、機械の稼働ログデータなど、データのオープン化（オープンデータ）「データサイエンス概論」（3回目）</t>
    <rPh sb="62" eb="64">
      <t>ガイロン</t>
    </rPh>
    <rPh sb="67" eb="69">
      <t>カイメ</t>
    </rPh>
    <phoneticPr fontId="1"/>
  </si>
  <si>
    <t>個人情報保護、EU一般データ保護規則(GDPR)、忘れられる権利、オプトアウト、データ・AI活用における負の事例紹介、データ倫理「データサイエンス概論」（13回目）
AI社会原則、AIサービスの責任論、データバイアス、アルゴリズムバイアス「データサイエンス概論」（14回目）</t>
    <rPh sb="73" eb="75">
      <t>ガイロン</t>
    </rPh>
    <rPh sb="79" eb="81">
      <t>カイメ</t>
    </rPh>
    <rPh sb="130" eb="132">
      <t>ガイロン</t>
    </rPh>
    <rPh sb="136" eb="138">
      <t>カイメ</t>
    </rPh>
    <phoneticPr fontId="1"/>
  </si>
  <si>
    <t>情報セキュリティ、匿名加工情報、暗号化、パスワード、悪意ある情報搾取「データサイエンス概論」（15回目）</t>
    <rPh sb="43" eb="45">
      <t>ガイロン</t>
    </rPh>
    <rPh sb="49" eb="51">
      <t>カイメ</t>
    </rPh>
    <phoneticPr fontId="1"/>
  </si>
  <si>
    <t>データ表現、データの図表表現、データの比較、優れた可視化事例の紹介「データサイエンス概論」（11回目）</t>
    <rPh sb="42" eb="44">
      <t>ガイロン</t>
    </rPh>
    <rPh sb="48" eb="50">
      <t>カイメ</t>
    </rPh>
    <phoneticPr fontId="1"/>
  </si>
  <si>
    <t>データの集計、データの並び替え、ランキング、データ解析ツール「データサイエンス概論」（12回目）</t>
    <rPh sb="39" eb="41">
      <t>ガイロン</t>
    </rPh>
    <rPh sb="45" eb="47">
      <t>カイメ</t>
    </rPh>
    <phoneticPr fontId="1"/>
  </si>
  <si>
    <t xml:space="preserve">データ・AI活用領域の広がり(生産、消費、文化活動など)、研究開発、調達、製造、物流、販売、マーケティング、サービスなど、仮説検証、知識発見、原因究明、計画策定、判断支援、活動代替、新規生成など「データサイエンス概論」（4回目）
</t>
    <rPh sb="106" eb="108">
      <t>ガイロン</t>
    </rPh>
    <rPh sb="111" eb="113">
      <t>カイメ</t>
    </rPh>
    <phoneticPr fontId="1"/>
  </si>
  <si>
    <t>特化型AIと汎用AI、今のAIで出来ることと出来ないこと、AIとビッグデータ、データ解析、データ可視化、非構造化データ処理、認識技術、ルールベース、自動化技術「データサイエンス概論」（5回目）</t>
    <rPh sb="88" eb="90">
      <t>ガイロン</t>
    </rPh>
    <rPh sb="93" eb="95">
      <t>カイメ</t>
    </rPh>
    <phoneticPr fontId="1"/>
  </si>
  <si>
    <t xml:space="preserve">流通、製造、金融、サービス、インフラ、公共、ヘルスケア等におけるデータ、AI利活用事例紹介「データサイエンス概論」（7回目）
</t>
    <rPh sb="54" eb="56">
      <t>ガイロン</t>
    </rPh>
    <rPh sb="59" eb="61">
      <t>カイメ</t>
    </rPh>
    <phoneticPr fontId="1"/>
  </si>
  <si>
    <t xml:space="preserve">データの種類、データの分布(ヒストグラム)と代表値「データサイエンス概論」（6回目）
代表値の性質の違い、データのばらつき、相関と因果、母集団と標本抽出、観測データに含まれる誤差の扱い「データサイエンス概論」（9回目）
統計情報の正しい理解「データサイエンス概論」（10回目）
</t>
    <rPh sb="34" eb="36">
      <t>ガイロン</t>
    </rPh>
    <rPh sb="39" eb="41">
      <t>カイメ</t>
    </rPh>
    <rPh sb="102" eb="104">
      <t>ガイロン</t>
    </rPh>
    <rPh sb="112" eb="114">
      <t>トウケイ</t>
    </rPh>
    <rPh sb="131" eb="133">
      <t>ガイロン</t>
    </rPh>
    <rPh sb="137" eb="139">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</si>
</sst>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Down="1">
      <left style="hair">
        <color auto="1"/>
      </left>
      <right style="thin">
        <color auto="1"/>
      </right>
      <top style="thin">
        <color auto="1"/>
      </top>
      <bottom style="hair">
        <color auto="1"/>
      </bottom>
      <diagonal style="hair">
        <color auto="1"/>
      </diagonal>
    </border>
    <border diagonalDown="1">
      <left style="hair">
        <color auto="1"/>
      </left>
      <right style="thin">
        <color auto="1"/>
      </right>
      <top style="hair">
        <color auto="1"/>
      </top>
      <bottom style="hair">
        <color auto="1"/>
      </bottom>
      <diagonal style="hair">
        <color auto="1"/>
      </diagonal>
    </border>
    <border diagonalDown="1">
      <left style="hair">
        <color auto="1"/>
      </left>
      <right/>
      <top style="thin">
        <color auto="1"/>
      </top>
      <bottom/>
      <diagonal style="hair">
        <color auto="1"/>
      </diagonal>
    </border>
    <border diagonalDown="1">
      <left style="dotted">
        <color auto="1"/>
      </left>
      <right style="hair">
        <color indexed="64"/>
      </right>
      <top style="hair">
        <color auto="1"/>
      </top>
      <bottom style="hair">
        <color auto="1"/>
      </bottom>
      <diagonal style="hair">
        <color auto="1"/>
      </diagonal>
    </border>
    <border diagonalDown="1">
      <left/>
      <right style="thin">
        <color auto="1"/>
      </right>
      <top style="hair">
        <color auto="1"/>
      </top>
      <bottom style="hair">
        <color auto="1"/>
      </bottom>
      <diagonal style="hair">
        <color auto="1"/>
      </diagonal>
    </border>
    <border diagonalDown="1">
      <left style="hair">
        <color auto="1"/>
      </left>
      <right/>
      <top style="hair">
        <color auto="1"/>
      </top>
      <bottom style="hair">
        <color auto="1"/>
      </bottom>
      <diagonal style="hair">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38" fontId="2" fillId="0" borderId="61" xfId="2" applyFont="1" applyBorder="1" applyAlignment="1">
      <alignment vertical="center" shrinkToFit="1"/>
    </xf>
    <xf numFmtId="38" fontId="2" fillId="0" borderId="65" xfId="2" applyFont="1" applyBorder="1" applyAlignment="1">
      <alignment vertical="center" shrinkToFit="1"/>
    </xf>
    <xf numFmtId="38" fontId="2" fillId="0" borderId="64" xfId="2" applyFont="1" applyBorder="1" applyAlignment="1">
      <alignment vertical="center" shrinkToFit="1"/>
    </xf>
    <xf numFmtId="38" fontId="2" fillId="0" borderId="66" xfId="2" applyFont="1" applyBorder="1" applyAlignment="1">
      <alignment vertical="center" shrinkToFit="1"/>
    </xf>
    <xf numFmtId="9" fontId="2" fillId="0" borderId="14" xfId="0" applyNumberFormat="1"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5" fillId="0" borderId="7" xfId="0" applyFont="1" applyBorder="1" applyAlignment="1">
      <alignment horizontal="left" vertical="top" wrapText="1" shrinkToFit="1"/>
    </xf>
    <xf numFmtId="0" fontId="5" fillId="0" borderId="8" xfId="0" applyFont="1" applyBorder="1" applyAlignment="1">
      <alignment horizontal="left" vertical="top" wrapText="1" shrinkToFit="1"/>
    </xf>
    <xf numFmtId="0" fontId="5" fillId="0" borderId="9" xfId="0" applyFont="1" applyBorder="1" applyAlignment="1">
      <alignment horizontal="left" vertical="top" wrapText="1" shrinkToFit="1"/>
    </xf>
    <xf numFmtId="0" fontId="5" fillId="0" borderId="5" xfId="0" applyFont="1" applyBorder="1" applyAlignment="1">
      <alignment horizontal="left" vertical="top" wrapText="1" shrinkToFit="1"/>
    </xf>
    <xf numFmtId="0" fontId="5" fillId="0" borderId="0" xfId="0" applyFont="1" applyAlignment="1">
      <alignment horizontal="left" vertical="top" wrapText="1" shrinkToFit="1"/>
    </xf>
    <xf numFmtId="0" fontId="5" fillId="0" borderId="10" xfId="0" applyFont="1" applyBorder="1" applyAlignment="1">
      <alignment horizontal="left" vertical="top" wrapText="1" shrinkToFit="1"/>
    </xf>
    <xf numFmtId="0" fontId="5" fillId="0" borderId="11" xfId="0" applyFont="1" applyBorder="1" applyAlignment="1">
      <alignment horizontal="left" vertical="top" wrapText="1" shrinkToFit="1"/>
    </xf>
    <xf numFmtId="0" fontId="5" fillId="0" borderId="6" xfId="0" applyFont="1" applyBorder="1" applyAlignment="1">
      <alignment horizontal="left" vertical="top" wrapText="1" shrinkToFit="1"/>
    </xf>
    <xf numFmtId="0" fontId="5"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8" xfId="0" applyFont="1" applyFill="1" applyBorder="1" applyAlignment="1">
      <alignment horizontal="left" vertical="center" wrapText="1" shrinkToFit="1"/>
    </xf>
    <xf numFmtId="0" fontId="2" fillId="0" borderId="8" xfId="0" applyFont="1" applyFill="1" applyBorder="1" applyAlignment="1">
      <alignment horizontal="left" vertical="center" shrinkToFit="1"/>
    </xf>
    <xf numFmtId="0" fontId="2" fillId="0" borderId="9" xfId="0" applyFont="1" applyFill="1" applyBorder="1" applyAlignment="1">
      <alignment horizontal="left" vertical="center" shrinkToFit="1"/>
    </xf>
    <xf numFmtId="0" fontId="2" fillId="0" borderId="22" xfId="0" applyFont="1" applyFill="1" applyBorder="1" applyAlignment="1">
      <alignment horizontal="left" vertical="center" wrapText="1" shrinkToFit="1"/>
    </xf>
    <xf numFmtId="0" fontId="2" fillId="0" borderId="22" xfId="0" applyFont="1" applyFill="1" applyBorder="1" applyAlignment="1">
      <alignment horizontal="left" vertical="center" shrinkToFit="1"/>
    </xf>
    <xf numFmtId="0" fontId="2" fillId="0" borderId="21" xfId="0" applyFont="1" applyFill="1" applyBorder="1" applyAlignment="1">
      <alignment horizontal="left" vertical="center" shrinkToFit="1"/>
    </xf>
    <xf numFmtId="0" fontId="2" fillId="0" borderId="36" xfId="0" applyFont="1" applyFill="1" applyBorder="1" applyAlignment="1">
      <alignment horizontal="left" vertical="center" wrapText="1" shrinkToFit="1"/>
    </xf>
    <xf numFmtId="0" fontId="2" fillId="0" borderId="36" xfId="0" applyFont="1" applyFill="1" applyBorder="1" applyAlignment="1">
      <alignment horizontal="left" vertical="center" shrinkToFit="1"/>
    </xf>
    <xf numFmtId="0" fontId="2" fillId="0" borderId="35" xfId="0" applyFont="1" applyFill="1" applyBorder="1" applyAlignment="1">
      <alignment horizontal="left" vertical="center" shrinkToFit="1"/>
    </xf>
    <xf numFmtId="0" fontId="2" fillId="0" borderId="38" xfId="0" applyFont="1" applyFill="1" applyBorder="1" applyAlignment="1">
      <alignment horizontal="left" vertical="center" wrapText="1" shrinkToFit="1"/>
    </xf>
    <xf numFmtId="0" fontId="2" fillId="0" borderId="38" xfId="0" applyFont="1" applyFill="1" applyBorder="1" applyAlignment="1">
      <alignment horizontal="left" vertical="center" shrinkToFit="1"/>
    </xf>
    <xf numFmtId="0" fontId="2" fillId="0" borderId="39" xfId="0" applyFont="1" applyFill="1" applyBorder="1" applyAlignment="1">
      <alignment horizontal="left" vertical="center" shrinkToFit="1"/>
    </xf>
    <xf numFmtId="0" fontId="2" fillId="0" borderId="6" xfId="0" applyFont="1" applyFill="1" applyBorder="1" applyAlignment="1">
      <alignment horizontal="left" vertical="center" wrapText="1" shrinkToFit="1"/>
    </xf>
    <xf numFmtId="0" fontId="2" fillId="0" borderId="6" xfId="0" applyFont="1" applyFill="1" applyBorder="1" applyAlignment="1">
      <alignment horizontal="left" vertical="center" shrinkToFit="1"/>
    </xf>
    <xf numFmtId="0" fontId="2" fillId="0" borderId="12" xfId="0" applyFont="1" applyFill="1" applyBorder="1" applyAlignment="1">
      <alignment horizontal="left" vertical="center" shrinkToFit="1"/>
    </xf>
    <xf numFmtId="0" fontId="2" fillId="0" borderId="36" xfId="0" applyFont="1" applyFill="1" applyBorder="1" applyAlignment="1">
      <alignment vertical="center" wrapText="1" shrinkToFit="1"/>
    </xf>
    <xf numFmtId="0" fontId="2" fillId="0" borderId="36" xfId="0" applyFont="1" applyFill="1" applyBorder="1" applyAlignment="1">
      <alignment vertical="center" shrinkToFit="1"/>
    </xf>
    <xf numFmtId="0" fontId="2" fillId="0" borderId="35" xfId="0" applyFont="1" applyFill="1" applyBorder="1" applyAlignment="1">
      <alignment vertical="center" shrinkToFit="1"/>
    </xf>
    <xf numFmtId="0" fontId="2" fillId="0" borderId="19" xfId="0" applyFont="1" applyFill="1" applyBorder="1" applyAlignment="1">
      <alignment vertical="center" wrapText="1" shrinkToFit="1"/>
    </xf>
    <xf numFmtId="0" fontId="2" fillId="0" borderId="20" xfId="0" applyFont="1" applyFill="1" applyBorder="1" applyAlignment="1">
      <alignment vertical="center" shrinkToFit="1"/>
    </xf>
    <xf numFmtId="0" fontId="2" fillId="0" borderId="18" xfId="0" applyFont="1" applyFill="1" applyBorder="1" applyAlignment="1">
      <alignment vertical="center" shrinkToFit="1"/>
    </xf>
    <xf numFmtId="0" fontId="2" fillId="0" borderId="6" xfId="0" applyFont="1" applyFill="1" applyBorder="1" applyAlignment="1">
      <alignment vertical="center" wrapText="1" shrinkToFit="1"/>
    </xf>
    <xf numFmtId="0" fontId="2" fillId="0" borderId="6" xfId="0" applyFont="1" applyFill="1" applyBorder="1" applyAlignment="1">
      <alignment vertical="center" shrinkToFit="1"/>
    </xf>
    <xf numFmtId="0" fontId="2" fillId="0" borderId="12" xfId="0" applyFont="1" applyFill="1" applyBorder="1" applyAlignment="1">
      <alignmen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91" zoomScaleNormal="100" zoomScaleSheetLayoutView="91" workbookViewId="0">
      <selection activeCell="A5" sqref="A5:S5"/>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7" t="s">
        <v>12</v>
      </c>
      <c r="S1" s="107"/>
      <c r="T1" s="2" t="s">
        <v>110</v>
      </c>
    </row>
    <row r="2" spans="1:22" ht="18.75" customHeight="1" x14ac:dyDescent="0.15">
      <c r="B2" s="33" t="s">
        <v>109</v>
      </c>
      <c r="C2" s="100" t="s">
        <v>127</v>
      </c>
      <c r="D2" s="101"/>
      <c r="E2" s="101"/>
      <c r="F2" s="101"/>
      <c r="G2" s="101"/>
      <c r="H2" s="101"/>
      <c r="I2" s="102"/>
      <c r="J2" s="34"/>
      <c r="K2" s="6"/>
      <c r="L2" s="6"/>
      <c r="M2" s="6"/>
      <c r="N2" s="6"/>
      <c r="O2" s="6"/>
      <c r="P2" s="6"/>
      <c r="Q2" s="6"/>
      <c r="R2" s="6"/>
      <c r="S2" s="6"/>
    </row>
    <row r="3" spans="1:22" ht="18.75" customHeight="1" x14ac:dyDescent="0.15">
      <c r="B3" s="33" t="s">
        <v>103</v>
      </c>
      <c r="C3" s="100" t="s">
        <v>128</v>
      </c>
      <c r="D3" s="101"/>
      <c r="E3" s="101"/>
      <c r="F3" s="101"/>
      <c r="G3" s="101"/>
      <c r="H3" s="101"/>
      <c r="I3" s="102"/>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11" t="s">
        <v>39</v>
      </c>
      <c r="B5" s="111"/>
      <c r="C5" s="111"/>
      <c r="D5" s="111"/>
      <c r="E5" s="111"/>
      <c r="F5" s="111"/>
      <c r="G5" s="111"/>
      <c r="H5" s="111"/>
      <c r="I5" s="111"/>
      <c r="J5" s="111"/>
      <c r="K5" s="111"/>
      <c r="L5" s="111"/>
      <c r="M5" s="111"/>
      <c r="N5" s="111"/>
      <c r="O5" s="111"/>
      <c r="P5" s="111"/>
      <c r="Q5" s="111"/>
      <c r="R5" s="111"/>
      <c r="S5" s="11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7" t="s">
        <v>108</v>
      </c>
      <c r="K7" s="121" t="s">
        <v>129</v>
      </c>
      <c r="L7" s="122"/>
      <c r="M7" s="122"/>
      <c r="N7" s="122"/>
      <c r="O7" s="122"/>
      <c r="P7" s="122"/>
      <c r="Q7" s="122"/>
      <c r="R7" s="122"/>
      <c r="S7" s="123"/>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8"/>
      <c r="C9" s="89"/>
      <c r="D9" s="89"/>
      <c r="E9" s="89"/>
      <c r="F9" s="89"/>
      <c r="G9" s="89"/>
      <c r="H9" s="89"/>
      <c r="I9" s="89"/>
      <c r="J9" s="89"/>
      <c r="K9" s="89"/>
      <c r="L9" s="89"/>
      <c r="M9" s="89"/>
      <c r="N9" s="89"/>
      <c r="O9" s="89"/>
      <c r="P9" s="89"/>
      <c r="Q9" s="89"/>
      <c r="R9" s="89"/>
      <c r="S9" s="90"/>
    </row>
    <row r="10" spans="1:22" ht="18" customHeight="1" x14ac:dyDescent="0.15">
      <c r="B10" s="91"/>
      <c r="C10" s="92"/>
      <c r="D10" s="92"/>
      <c r="E10" s="92"/>
      <c r="F10" s="92"/>
      <c r="G10" s="92"/>
      <c r="H10" s="92"/>
      <c r="I10" s="92"/>
      <c r="J10" s="92"/>
      <c r="K10" s="92"/>
      <c r="L10" s="92"/>
      <c r="M10" s="92"/>
      <c r="N10" s="92"/>
      <c r="O10" s="92"/>
      <c r="P10" s="92"/>
      <c r="Q10" s="92"/>
      <c r="R10" s="92"/>
      <c r="S10" s="93"/>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4"/>
      <c r="E12" s="34"/>
      <c r="F12" s="34"/>
      <c r="G12" s="34"/>
      <c r="H12" s="34"/>
      <c r="I12" s="34"/>
      <c r="J12" s="34"/>
      <c r="K12" s="38"/>
      <c r="L12" s="38"/>
      <c r="M12" s="38"/>
      <c r="N12" s="38"/>
      <c r="O12" s="38"/>
      <c r="P12" s="38"/>
      <c r="Q12" s="38"/>
      <c r="R12" s="38"/>
      <c r="S12" s="38"/>
    </row>
    <row r="13" spans="1:22" ht="18" customHeight="1" x14ac:dyDescent="0.15">
      <c r="B13" s="112" t="s">
        <v>130</v>
      </c>
      <c r="C13" s="113"/>
      <c r="D13" s="113"/>
      <c r="E13" s="113"/>
      <c r="F13" s="113"/>
      <c r="G13" s="113"/>
      <c r="H13" s="113"/>
      <c r="I13" s="113"/>
      <c r="J13" s="113"/>
      <c r="K13" s="113"/>
      <c r="L13" s="113"/>
      <c r="M13" s="113"/>
      <c r="N13" s="113"/>
      <c r="O13" s="113"/>
      <c r="P13" s="113"/>
      <c r="Q13" s="113"/>
      <c r="R13" s="113"/>
      <c r="S13" s="114"/>
      <c r="V13" s="1" t="s">
        <v>104</v>
      </c>
    </row>
    <row r="14" spans="1:22" ht="18" customHeight="1" x14ac:dyDescent="0.15">
      <c r="B14" s="115"/>
      <c r="C14" s="116"/>
      <c r="D14" s="116"/>
      <c r="E14" s="116"/>
      <c r="F14" s="116"/>
      <c r="G14" s="116"/>
      <c r="H14" s="116"/>
      <c r="I14" s="116"/>
      <c r="J14" s="116"/>
      <c r="K14" s="116"/>
      <c r="L14" s="116"/>
      <c r="M14" s="116"/>
      <c r="N14" s="116"/>
      <c r="O14" s="116"/>
      <c r="P14" s="116"/>
      <c r="Q14" s="116"/>
      <c r="R14" s="116"/>
      <c r="S14" s="117"/>
      <c r="V14" s="1" t="s">
        <v>111</v>
      </c>
    </row>
    <row r="15" spans="1:22" ht="18" customHeight="1" x14ac:dyDescent="0.15">
      <c r="B15" s="115"/>
      <c r="C15" s="116"/>
      <c r="D15" s="116"/>
      <c r="E15" s="116"/>
      <c r="F15" s="116"/>
      <c r="G15" s="116"/>
      <c r="H15" s="116"/>
      <c r="I15" s="116"/>
      <c r="J15" s="116"/>
      <c r="K15" s="116"/>
      <c r="L15" s="116"/>
      <c r="M15" s="116"/>
      <c r="N15" s="116"/>
      <c r="O15" s="116"/>
      <c r="P15" s="116"/>
      <c r="Q15" s="116"/>
      <c r="R15" s="116"/>
      <c r="S15" s="117"/>
      <c r="V15" s="1" t="s">
        <v>124</v>
      </c>
    </row>
    <row r="16" spans="1:22" ht="18" customHeight="1" x14ac:dyDescent="0.15">
      <c r="B16" s="115"/>
      <c r="C16" s="116"/>
      <c r="D16" s="116"/>
      <c r="E16" s="116"/>
      <c r="F16" s="116"/>
      <c r="G16" s="116"/>
      <c r="H16" s="116"/>
      <c r="I16" s="116"/>
      <c r="J16" s="116"/>
      <c r="K16" s="116"/>
      <c r="L16" s="116"/>
      <c r="M16" s="116"/>
      <c r="N16" s="116"/>
      <c r="O16" s="116"/>
      <c r="P16" s="116"/>
      <c r="Q16" s="116"/>
      <c r="R16" s="116"/>
      <c r="S16" s="117"/>
      <c r="V16" s="1" t="s">
        <v>126</v>
      </c>
    </row>
    <row r="17" spans="1:19" ht="18" customHeight="1" x14ac:dyDescent="0.15">
      <c r="B17" s="115"/>
      <c r="C17" s="116"/>
      <c r="D17" s="116"/>
      <c r="E17" s="116"/>
      <c r="F17" s="116"/>
      <c r="G17" s="116"/>
      <c r="H17" s="116"/>
      <c r="I17" s="116"/>
      <c r="J17" s="116"/>
      <c r="K17" s="116"/>
      <c r="L17" s="116"/>
      <c r="M17" s="116"/>
      <c r="N17" s="116"/>
      <c r="O17" s="116"/>
      <c r="P17" s="116"/>
      <c r="Q17" s="116"/>
      <c r="R17" s="116"/>
      <c r="S17" s="117"/>
    </row>
    <row r="18" spans="1:19" ht="40.5" customHeight="1" x14ac:dyDescent="0.15">
      <c r="B18" s="118"/>
      <c r="C18" s="119"/>
      <c r="D18" s="119"/>
      <c r="E18" s="119"/>
      <c r="F18" s="119"/>
      <c r="G18" s="119"/>
      <c r="H18" s="119"/>
      <c r="I18" s="119"/>
      <c r="J18" s="119"/>
      <c r="K18" s="119"/>
      <c r="L18" s="119"/>
      <c r="M18" s="119"/>
      <c r="N18" s="119"/>
      <c r="O18" s="119"/>
      <c r="P18" s="119"/>
      <c r="Q18" s="119"/>
      <c r="R18" s="119"/>
      <c r="S18" s="12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100">
        <v>2</v>
      </c>
      <c r="D20" s="102"/>
      <c r="E20" s="39" t="s">
        <v>96</v>
      </c>
      <c r="G20" s="10"/>
      <c r="H20" s="3"/>
      <c r="I20" s="3"/>
      <c r="J20" s="34" t="s">
        <v>122</v>
      </c>
      <c r="K20" s="108" t="s">
        <v>111</v>
      </c>
      <c r="L20" s="109"/>
      <c r="M20" s="109"/>
      <c r="N20" s="109"/>
      <c r="O20" s="109"/>
      <c r="P20" s="109"/>
      <c r="Q20" s="109"/>
      <c r="R20" s="109"/>
      <c r="S20" s="110"/>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3" t="s">
        <v>114</v>
      </c>
      <c r="B22" s="103"/>
      <c r="C22" s="103"/>
      <c r="D22" s="103"/>
      <c r="E22" s="103"/>
      <c r="F22" s="103"/>
      <c r="G22" s="103"/>
      <c r="H22" s="103"/>
      <c r="I22" s="103"/>
      <c r="J22" s="103"/>
      <c r="K22" s="103"/>
      <c r="L22" s="103"/>
      <c r="M22" s="103"/>
      <c r="N22" s="103"/>
      <c r="O22" s="103"/>
      <c r="P22" s="103"/>
      <c r="Q22" s="103"/>
      <c r="R22" s="103"/>
      <c r="S22" s="103"/>
    </row>
    <row r="23" spans="1:19" ht="18" customHeight="1" x14ac:dyDescent="0.15">
      <c r="A23" s="103"/>
      <c r="B23" s="103"/>
      <c r="C23" s="103"/>
      <c r="D23" s="103"/>
      <c r="E23" s="103"/>
      <c r="F23" s="103"/>
      <c r="G23" s="103"/>
      <c r="H23" s="103"/>
      <c r="I23" s="103"/>
      <c r="J23" s="103"/>
      <c r="K23" s="103"/>
      <c r="L23" s="103"/>
      <c r="M23" s="103"/>
      <c r="N23" s="103"/>
      <c r="O23" s="103"/>
      <c r="P23" s="103"/>
      <c r="Q23" s="103"/>
      <c r="R23" s="103"/>
      <c r="S23" s="103"/>
    </row>
    <row r="24" spans="1:19" ht="18" customHeight="1" x14ac:dyDescent="0.15">
      <c r="B24" s="100" t="s">
        <v>54</v>
      </c>
      <c r="C24" s="101"/>
      <c r="D24" s="101"/>
      <c r="E24" s="102"/>
      <c r="F24" s="60" t="s">
        <v>81</v>
      </c>
      <c r="G24" s="59" t="s">
        <v>85</v>
      </c>
      <c r="H24" s="21" t="s">
        <v>57</v>
      </c>
      <c r="I24" s="21" t="s">
        <v>60</v>
      </c>
      <c r="J24" s="100" t="s">
        <v>54</v>
      </c>
      <c r="K24" s="101"/>
      <c r="L24" s="101"/>
      <c r="M24" s="101"/>
      <c r="N24" s="101"/>
      <c r="O24" s="102"/>
      <c r="P24" s="60" t="s">
        <v>81</v>
      </c>
      <c r="Q24" s="59" t="s">
        <v>85</v>
      </c>
      <c r="R24" s="21" t="s">
        <v>57</v>
      </c>
      <c r="S24" s="21" t="s">
        <v>60</v>
      </c>
    </row>
    <row r="25" spans="1:19" ht="18" customHeight="1" x14ac:dyDescent="0.15">
      <c r="B25" s="104" t="s">
        <v>131</v>
      </c>
      <c r="C25" s="105"/>
      <c r="D25" s="105"/>
      <c r="E25" s="106"/>
      <c r="F25" s="22">
        <v>2</v>
      </c>
      <c r="G25" s="22" t="s">
        <v>132</v>
      </c>
      <c r="H25" s="22" t="s">
        <v>132</v>
      </c>
      <c r="I25" s="22" t="s">
        <v>132</v>
      </c>
      <c r="J25" s="104"/>
      <c r="K25" s="105"/>
      <c r="L25" s="105"/>
      <c r="M25" s="105"/>
      <c r="N25" s="105"/>
      <c r="O25" s="106"/>
      <c r="P25" s="22"/>
      <c r="Q25" s="22"/>
      <c r="R25" s="22"/>
      <c r="S25" s="22"/>
    </row>
    <row r="26" spans="1:19" ht="18" customHeight="1" x14ac:dyDescent="0.15">
      <c r="B26" s="94"/>
      <c r="C26" s="95"/>
      <c r="D26" s="95"/>
      <c r="E26" s="96"/>
      <c r="F26" s="23"/>
      <c r="G26" s="23"/>
      <c r="H26" s="23"/>
      <c r="I26" s="23"/>
      <c r="J26" s="94"/>
      <c r="K26" s="95"/>
      <c r="L26" s="95"/>
      <c r="M26" s="95"/>
      <c r="N26" s="95"/>
      <c r="O26" s="96"/>
      <c r="P26" s="23"/>
      <c r="Q26" s="23"/>
      <c r="R26" s="23"/>
      <c r="S26" s="23"/>
    </row>
    <row r="27" spans="1:19" ht="18" customHeight="1" x14ac:dyDescent="0.15">
      <c r="B27" s="94"/>
      <c r="C27" s="95"/>
      <c r="D27" s="95"/>
      <c r="E27" s="96"/>
      <c r="F27" s="23"/>
      <c r="G27" s="23"/>
      <c r="H27" s="23"/>
      <c r="I27" s="23"/>
      <c r="J27" s="94"/>
      <c r="K27" s="95"/>
      <c r="L27" s="95"/>
      <c r="M27" s="95"/>
      <c r="N27" s="95"/>
      <c r="O27" s="96"/>
      <c r="P27" s="23"/>
      <c r="Q27" s="23"/>
      <c r="R27" s="23"/>
      <c r="S27" s="23"/>
    </row>
    <row r="28" spans="1:19" ht="18" customHeight="1" x14ac:dyDescent="0.15">
      <c r="B28" s="94"/>
      <c r="C28" s="95"/>
      <c r="D28" s="95"/>
      <c r="E28" s="96"/>
      <c r="F28" s="23"/>
      <c r="G28" s="23"/>
      <c r="H28" s="23"/>
      <c r="I28" s="23"/>
      <c r="J28" s="94"/>
      <c r="K28" s="95"/>
      <c r="L28" s="95"/>
      <c r="M28" s="95"/>
      <c r="N28" s="95"/>
      <c r="O28" s="96"/>
      <c r="P28" s="23"/>
      <c r="Q28" s="23"/>
      <c r="R28" s="23"/>
      <c r="S28" s="23"/>
    </row>
    <row r="29" spans="1:19" ht="18" customHeight="1" x14ac:dyDescent="0.15">
      <c r="B29" s="94"/>
      <c r="C29" s="95"/>
      <c r="D29" s="95"/>
      <c r="E29" s="96"/>
      <c r="F29" s="23"/>
      <c r="G29" s="23"/>
      <c r="H29" s="23"/>
      <c r="I29" s="23"/>
      <c r="J29" s="94"/>
      <c r="K29" s="95"/>
      <c r="L29" s="95"/>
      <c r="M29" s="95"/>
      <c r="N29" s="95"/>
      <c r="O29" s="96"/>
      <c r="P29" s="23"/>
      <c r="Q29" s="23"/>
      <c r="R29" s="23"/>
      <c r="S29" s="23"/>
    </row>
    <row r="30" spans="1:19" ht="18" customHeight="1" x14ac:dyDescent="0.15">
      <c r="A30" s="3"/>
      <c r="B30" s="94"/>
      <c r="C30" s="95"/>
      <c r="D30" s="95"/>
      <c r="E30" s="96"/>
      <c r="F30" s="23"/>
      <c r="G30" s="23"/>
      <c r="H30" s="23"/>
      <c r="I30" s="23"/>
      <c r="J30" s="94"/>
      <c r="K30" s="95"/>
      <c r="L30" s="95"/>
      <c r="M30" s="95"/>
      <c r="N30" s="95"/>
      <c r="O30" s="96"/>
      <c r="P30" s="23"/>
      <c r="Q30" s="23"/>
      <c r="R30" s="23"/>
      <c r="S30" s="23"/>
    </row>
    <row r="31" spans="1:19" ht="18" customHeight="1" x14ac:dyDescent="0.15">
      <c r="A31" s="3"/>
      <c r="B31" s="97"/>
      <c r="C31" s="98"/>
      <c r="D31" s="98"/>
      <c r="E31" s="99"/>
      <c r="F31" s="24"/>
      <c r="G31" s="24"/>
      <c r="H31" s="25"/>
      <c r="I31" s="25"/>
      <c r="J31" s="97"/>
      <c r="K31" s="98"/>
      <c r="L31" s="98"/>
      <c r="M31" s="98"/>
      <c r="N31" s="98"/>
      <c r="O31" s="99"/>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3" t="s">
        <v>115</v>
      </c>
      <c r="B33" s="103"/>
      <c r="C33" s="103"/>
      <c r="D33" s="103"/>
      <c r="E33" s="103"/>
      <c r="F33" s="103"/>
      <c r="G33" s="103"/>
      <c r="H33" s="103"/>
      <c r="I33" s="103"/>
      <c r="J33" s="103"/>
      <c r="K33" s="103"/>
      <c r="L33" s="103"/>
      <c r="M33" s="103"/>
      <c r="N33" s="103"/>
      <c r="O33" s="103"/>
      <c r="P33" s="103"/>
      <c r="Q33" s="103"/>
      <c r="R33" s="103"/>
      <c r="S33" s="103"/>
    </row>
    <row r="34" spans="1:19" ht="18" customHeight="1" x14ac:dyDescent="0.15">
      <c r="A34" s="103"/>
      <c r="B34" s="103"/>
      <c r="C34" s="103"/>
      <c r="D34" s="103"/>
      <c r="E34" s="103"/>
      <c r="F34" s="103"/>
      <c r="G34" s="103"/>
      <c r="H34" s="103"/>
      <c r="I34" s="103"/>
      <c r="J34" s="103"/>
      <c r="K34" s="103"/>
      <c r="L34" s="103"/>
      <c r="M34" s="103"/>
      <c r="N34" s="103"/>
      <c r="O34" s="103"/>
      <c r="P34" s="103"/>
      <c r="Q34" s="103"/>
      <c r="R34" s="103"/>
      <c r="S34" s="103"/>
    </row>
    <row r="35" spans="1:19" ht="18" customHeight="1" x14ac:dyDescent="0.15">
      <c r="B35" s="100" t="s">
        <v>54</v>
      </c>
      <c r="C35" s="101"/>
      <c r="D35" s="101"/>
      <c r="E35" s="102"/>
      <c r="F35" s="60" t="s">
        <v>81</v>
      </c>
      <c r="G35" s="59" t="s">
        <v>85</v>
      </c>
      <c r="H35" s="21" t="s">
        <v>72</v>
      </c>
      <c r="I35" s="21" t="s">
        <v>73</v>
      </c>
      <c r="J35" s="100" t="s">
        <v>54</v>
      </c>
      <c r="K35" s="101"/>
      <c r="L35" s="101"/>
      <c r="M35" s="101"/>
      <c r="N35" s="101"/>
      <c r="O35" s="102"/>
      <c r="P35" s="60" t="s">
        <v>81</v>
      </c>
      <c r="Q35" s="59" t="s">
        <v>85</v>
      </c>
      <c r="R35" s="21" t="s">
        <v>72</v>
      </c>
      <c r="S35" s="21" t="s">
        <v>73</v>
      </c>
    </row>
    <row r="36" spans="1:19" ht="18" customHeight="1" x14ac:dyDescent="0.15">
      <c r="B36" s="104" t="s">
        <v>131</v>
      </c>
      <c r="C36" s="105"/>
      <c r="D36" s="105"/>
      <c r="E36" s="106"/>
      <c r="F36" s="22">
        <v>2</v>
      </c>
      <c r="G36" s="22" t="s">
        <v>132</v>
      </c>
      <c r="H36" s="22" t="s">
        <v>132</v>
      </c>
      <c r="I36" s="22" t="s">
        <v>132</v>
      </c>
      <c r="J36" s="104"/>
      <c r="K36" s="105"/>
      <c r="L36" s="105"/>
      <c r="M36" s="105"/>
      <c r="N36" s="105"/>
      <c r="O36" s="106"/>
      <c r="P36" s="22"/>
      <c r="Q36" s="22"/>
      <c r="R36" s="22"/>
      <c r="S36" s="22"/>
    </row>
    <row r="37" spans="1:19" ht="18" customHeight="1" x14ac:dyDescent="0.15">
      <c r="B37" s="94"/>
      <c r="C37" s="95"/>
      <c r="D37" s="95"/>
      <c r="E37" s="96"/>
      <c r="F37" s="23"/>
      <c r="G37" s="23"/>
      <c r="H37" s="23"/>
      <c r="I37" s="23"/>
      <c r="J37" s="94"/>
      <c r="K37" s="95"/>
      <c r="L37" s="95"/>
      <c r="M37" s="95"/>
      <c r="N37" s="95"/>
      <c r="O37" s="96"/>
      <c r="P37" s="23"/>
      <c r="Q37" s="23"/>
      <c r="R37" s="23"/>
      <c r="S37" s="23"/>
    </row>
    <row r="38" spans="1:19" ht="18" customHeight="1" x14ac:dyDescent="0.15">
      <c r="B38" s="94"/>
      <c r="C38" s="95"/>
      <c r="D38" s="95"/>
      <c r="E38" s="96"/>
      <c r="F38" s="23"/>
      <c r="G38" s="23"/>
      <c r="H38" s="23"/>
      <c r="I38" s="23"/>
      <c r="J38" s="94"/>
      <c r="K38" s="95"/>
      <c r="L38" s="95"/>
      <c r="M38" s="95"/>
      <c r="N38" s="95"/>
      <c r="O38" s="96"/>
      <c r="P38" s="23"/>
      <c r="Q38" s="23"/>
      <c r="R38" s="23"/>
      <c r="S38" s="23"/>
    </row>
    <row r="39" spans="1:19" ht="18" customHeight="1" x14ac:dyDescent="0.15">
      <c r="B39" s="94"/>
      <c r="C39" s="95"/>
      <c r="D39" s="95"/>
      <c r="E39" s="96"/>
      <c r="F39" s="23"/>
      <c r="G39" s="23"/>
      <c r="H39" s="23"/>
      <c r="I39" s="23"/>
      <c r="J39" s="94"/>
      <c r="K39" s="95"/>
      <c r="L39" s="95"/>
      <c r="M39" s="95"/>
      <c r="N39" s="95"/>
      <c r="O39" s="96"/>
      <c r="P39" s="23"/>
      <c r="Q39" s="23"/>
      <c r="R39" s="23"/>
      <c r="S39" s="23"/>
    </row>
    <row r="40" spans="1:19" ht="18" customHeight="1" x14ac:dyDescent="0.15">
      <c r="B40" s="94"/>
      <c r="C40" s="95"/>
      <c r="D40" s="95"/>
      <c r="E40" s="96"/>
      <c r="F40" s="23"/>
      <c r="G40" s="23"/>
      <c r="H40" s="23"/>
      <c r="I40" s="23"/>
      <c r="J40" s="94"/>
      <c r="K40" s="95"/>
      <c r="L40" s="95"/>
      <c r="M40" s="95"/>
      <c r="N40" s="95"/>
      <c r="O40" s="96"/>
      <c r="P40" s="23"/>
      <c r="Q40" s="23"/>
      <c r="R40" s="23"/>
      <c r="S40" s="23"/>
    </row>
    <row r="41" spans="1:19" ht="18" customHeight="1" x14ac:dyDescent="0.15">
      <c r="B41" s="94"/>
      <c r="C41" s="95"/>
      <c r="D41" s="95"/>
      <c r="E41" s="96"/>
      <c r="F41" s="23"/>
      <c r="G41" s="23"/>
      <c r="H41" s="23"/>
      <c r="I41" s="23"/>
      <c r="J41" s="94"/>
      <c r="K41" s="95"/>
      <c r="L41" s="95"/>
      <c r="M41" s="95"/>
      <c r="N41" s="95"/>
      <c r="O41" s="96"/>
      <c r="P41" s="23"/>
      <c r="Q41" s="23"/>
      <c r="R41" s="23"/>
      <c r="S41" s="23"/>
    </row>
    <row r="42" spans="1:19" ht="18" customHeight="1" x14ac:dyDescent="0.15">
      <c r="B42" s="97"/>
      <c r="C42" s="98"/>
      <c r="D42" s="98"/>
      <c r="E42" s="99"/>
      <c r="F42" s="24"/>
      <c r="G42" s="24"/>
      <c r="H42" s="25"/>
      <c r="I42" s="25"/>
      <c r="J42" s="97"/>
      <c r="K42" s="98"/>
      <c r="L42" s="98"/>
      <c r="M42" s="98"/>
      <c r="N42" s="98"/>
      <c r="O42" s="99"/>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3" t="s">
        <v>116</v>
      </c>
      <c r="B44" s="103"/>
      <c r="C44" s="103"/>
      <c r="D44" s="103"/>
      <c r="E44" s="103"/>
      <c r="F44" s="103"/>
      <c r="G44" s="103"/>
      <c r="H44" s="103"/>
      <c r="I44" s="103"/>
      <c r="J44" s="103"/>
      <c r="K44" s="103"/>
      <c r="L44" s="103"/>
      <c r="M44" s="103"/>
      <c r="N44" s="103"/>
      <c r="O44" s="103"/>
      <c r="P44" s="103"/>
      <c r="Q44" s="103"/>
      <c r="R44" s="103"/>
      <c r="S44" s="103"/>
    </row>
    <row r="45" spans="1:19" ht="18" customHeight="1" x14ac:dyDescent="0.15">
      <c r="A45" s="103"/>
      <c r="B45" s="103"/>
      <c r="C45" s="103"/>
      <c r="D45" s="103"/>
      <c r="E45" s="103"/>
      <c r="F45" s="103"/>
      <c r="G45" s="103"/>
      <c r="H45" s="103"/>
      <c r="I45" s="103"/>
      <c r="J45" s="103"/>
      <c r="K45" s="103"/>
      <c r="L45" s="103"/>
      <c r="M45" s="103"/>
      <c r="N45" s="103"/>
      <c r="O45" s="103"/>
      <c r="P45" s="103"/>
      <c r="Q45" s="103"/>
      <c r="R45" s="103"/>
      <c r="S45" s="103"/>
    </row>
    <row r="46" spans="1:19" ht="18" customHeight="1" x14ac:dyDescent="0.15">
      <c r="B46" s="100" t="s">
        <v>54</v>
      </c>
      <c r="C46" s="101"/>
      <c r="D46" s="101"/>
      <c r="E46" s="102"/>
      <c r="F46" s="60" t="s">
        <v>81</v>
      </c>
      <c r="G46" s="59" t="s">
        <v>85</v>
      </c>
      <c r="H46" s="21" t="s">
        <v>74</v>
      </c>
      <c r="I46" s="21" t="s">
        <v>75</v>
      </c>
      <c r="J46" s="100" t="s">
        <v>54</v>
      </c>
      <c r="K46" s="101"/>
      <c r="L46" s="101"/>
      <c r="M46" s="101"/>
      <c r="N46" s="101"/>
      <c r="O46" s="102"/>
      <c r="P46" s="60" t="s">
        <v>81</v>
      </c>
      <c r="Q46" s="59" t="s">
        <v>85</v>
      </c>
      <c r="R46" s="21" t="s">
        <v>74</v>
      </c>
      <c r="S46" s="21" t="s">
        <v>75</v>
      </c>
    </row>
    <row r="47" spans="1:19" ht="18" customHeight="1" x14ac:dyDescent="0.15">
      <c r="A47" s="3"/>
      <c r="B47" s="104" t="s">
        <v>131</v>
      </c>
      <c r="C47" s="105"/>
      <c r="D47" s="105"/>
      <c r="E47" s="106"/>
      <c r="F47" s="22">
        <v>2</v>
      </c>
      <c r="G47" s="22" t="s">
        <v>132</v>
      </c>
      <c r="H47" s="22" t="s">
        <v>132</v>
      </c>
      <c r="I47" s="22" t="s">
        <v>132</v>
      </c>
      <c r="J47" s="104"/>
      <c r="K47" s="105"/>
      <c r="L47" s="105"/>
      <c r="M47" s="105"/>
      <c r="N47" s="105"/>
      <c r="O47" s="106"/>
      <c r="P47" s="22"/>
      <c r="Q47" s="22"/>
      <c r="R47" s="22"/>
      <c r="S47" s="22"/>
    </row>
    <row r="48" spans="1:19" ht="18" customHeight="1" x14ac:dyDescent="0.15">
      <c r="A48" s="3"/>
      <c r="B48" s="94"/>
      <c r="C48" s="95"/>
      <c r="D48" s="95"/>
      <c r="E48" s="96"/>
      <c r="F48" s="23"/>
      <c r="G48" s="23"/>
      <c r="H48" s="23"/>
      <c r="I48" s="23"/>
      <c r="J48" s="94"/>
      <c r="K48" s="95"/>
      <c r="L48" s="95"/>
      <c r="M48" s="95"/>
      <c r="N48" s="95"/>
      <c r="O48" s="96"/>
      <c r="P48" s="23"/>
      <c r="Q48" s="23"/>
      <c r="R48" s="23"/>
      <c r="S48" s="23"/>
    </row>
    <row r="49" spans="1:19" ht="18" customHeight="1" x14ac:dyDescent="0.15">
      <c r="A49" s="3"/>
      <c r="B49" s="94"/>
      <c r="C49" s="95"/>
      <c r="D49" s="95"/>
      <c r="E49" s="96"/>
      <c r="F49" s="23"/>
      <c r="G49" s="23"/>
      <c r="H49" s="23"/>
      <c r="I49" s="23"/>
      <c r="J49" s="94"/>
      <c r="K49" s="95"/>
      <c r="L49" s="95"/>
      <c r="M49" s="95"/>
      <c r="N49" s="95"/>
      <c r="O49" s="96"/>
      <c r="P49" s="23"/>
      <c r="Q49" s="23"/>
      <c r="R49" s="23"/>
      <c r="S49" s="23"/>
    </row>
    <row r="50" spans="1:19" ht="18" customHeight="1" x14ac:dyDescent="0.15">
      <c r="A50" s="3"/>
      <c r="B50" s="94"/>
      <c r="C50" s="95"/>
      <c r="D50" s="95"/>
      <c r="E50" s="96"/>
      <c r="F50" s="23"/>
      <c r="G50" s="23"/>
      <c r="H50" s="23"/>
      <c r="I50" s="23"/>
      <c r="J50" s="94"/>
      <c r="K50" s="95"/>
      <c r="L50" s="95"/>
      <c r="M50" s="95"/>
      <c r="N50" s="95"/>
      <c r="O50" s="96"/>
      <c r="P50" s="23"/>
      <c r="Q50" s="23"/>
      <c r="R50" s="23"/>
      <c r="S50" s="23"/>
    </row>
    <row r="51" spans="1:19" ht="18" customHeight="1" x14ac:dyDescent="0.15">
      <c r="A51" s="3"/>
      <c r="B51" s="94"/>
      <c r="C51" s="95"/>
      <c r="D51" s="95"/>
      <c r="E51" s="96"/>
      <c r="F51" s="23"/>
      <c r="G51" s="23"/>
      <c r="H51" s="23"/>
      <c r="I51" s="23"/>
      <c r="J51" s="94"/>
      <c r="K51" s="95"/>
      <c r="L51" s="95"/>
      <c r="M51" s="95"/>
      <c r="N51" s="95"/>
      <c r="O51" s="96"/>
      <c r="P51" s="23"/>
      <c r="Q51" s="23"/>
      <c r="R51" s="23"/>
      <c r="S51" s="23"/>
    </row>
    <row r="52" spans="1:19" ht="18" customHeight="1" x14ac:dyDescent="0.15">
      <c r="A52" s="3"/>
      <c r="B52" s="94"/>
      <c r="C52" s="95"/>
      <c r="D52" s="95"/>
      <c r="E52" s="96"/>
      <c r="F52" s="23"/>
      <c r="G52" s="23"/>
      <c r="H52" s="23"/>
      <c r="I52" s="23"/>
      <c r="J52" s="94"/>
      <c r="K52" s="95"/>
      <c r="L52" s="95"/>
      <c r="M52" s="95"/>
      <c r="N52" s="95"/>
      <c r="O52" s="96"/>
      <c r="P52" s="23"/>
      <c r="Q52" s="23"/>
      <c r="R52" s="23"/>
      <c r="S52" s="23"/>
    </row>
    <row r="53" spans="1:19" ht="18" customHeight="1" x14ac:dyDescent="0.15">
      <c r="A53" s="3"/>
      <c r="B53" s="97"/>
      <c r="C53" s="98"/>
      <c r="D53" s="98"/>
      <c r="E53" s="99"/>
      <c r="F53" s="24"/>
      <c r="G53" s="24"/>
      <c r="H53" s="25"/>
      <c r="I53" s="25"/>
      <c r="J53" s="97"/>
      <c r="K53" s="98"/>
      <c r="L53" s="98"/>
      <c r="M53" s="98"/>
      <c r="N53" s="98"/>
      <c r="O53" s="99"/>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3" t="s">
        <v>117</v>
      </c>
      <c r="B55" s="103"/>
      <c r="C55" s="103"/>
      <c r="D55" s="103"/>
      <c r="E55" s="103"/>
      <c r="F55" s="103"/>
      <c r="G55" s="103"/>
      <c r="H55" s="103"/>
      <c r="I55" s="103"/>
      <c r="J55" s="103"/>
      <c r="K55" s="103"/>
      <c r="L55" s="103"/>
      <c r="M55" s="103"/>
      <c r="N55" s="103"/>
      <c r="O55" s="103"/>
      <c r="P55" s="103"/>
      <c r="Q55" s="103"/>
      <c r="R55" s="103"/>
      <c r="S55" s="103"/>
    </row>
    <row r="56" spans="1:19" ht="18" customHeight="1" x14ac:dyDescent="0.15">
      <c r="A56" s="103"/>
      <c r="B56" s="103"/>
      <c r="C56" s="103"/>
      <c r="D56" s="103"/>
      <c r="E56" s="103"/>
      <c r="F56" s="103"/>
      <c r="G56" s="103"/>
      <c r="H56" s="103"/>
      <c r="I56" s="103"/>
      <c r="J56" s="103"/>
      <c r="K56" s="103"/>
      <c r="L56" s="103"/>
      <c r="M56" s="103"/>
      <c r="N56" s="103"/>
      <c r="O56" s="103"/>
      <c r="P56" s="103"/>
      <c r="Q56" s="103"/>
      <c r="R56" s="103"/>
      <c r="S56" s="103"/>
    </row>
    <row r="57" spans="1:19" ht="18" customHeight="1" x14ac:dyDescent="0.15">
      <c r="B57" s="100" t="s">
        <v>54</v>
      </c>
      <c r="C57" s="101"/>
      <c r="D57" s="101"/>
      <c r="E57" s="102"/>
      <c r="F57" s="60" t="s">
        <v>81</v>
      </c>
      <c r="G57" s="59" t="s">
        <v>85</v>
      </c>
      <c r="H57" s="21" t="s">
        <v>59</v>
      </c>
      <c r="I57" s="21" t="s">
        <v>61</v>
      </c>
      <c r="J57" s="100" t="s">
        <v>54</v>
      </c>
      <c r="K57" s="101"/>
      <c r="L57" s="101"/>
      <c r="M57" s="101"/>
      <c r="N57" s="101"/>
      <c r="O57" s="102"/>
      <c r="P57" s="60" t="s">
        <v>81</v>
      </c>
      <c r="Q57" s="59" t="s">
        <v>85</v>
      </c>
      <c r="R57" s="21" t="s">
        <v>59</v>
      </c>
      <c r="S57" s="21" t="s">
        <v>61</v>
      </c>
    </row>
    <row r="58" spans="1:19" ht="18" customHeight="1" x14ac:dyDescent="0.15">
      <c r="A58" s="3"/>
      <c r="B58" s="104" t="s">
        <v>131</v>
      </c>
      <c r="C58" s="105"/>
      <c r="D58" s="105"/>
      <c r="E58" s="106"/>
      <c r="F58" s="22">
        <v>2</v>
      </c>
      <c r="G58" s="22" t="s">
        <v>132</v>
      </c>
      <c r="H58" s="22" t="s">
        <v>132</v>
      </c>
      <c r="I58" s="22" t="s">
        <v>132</v>
      </c>
      <c r="J58" s="104"/>
      <c r="K58" s="105"/>
      <c r="L58" s="105"/>
      <c r="M58" s="105"/>
      <c r="N58" s="105"/>
      <c r="O58" s="106"/>
      <c r="P58" s="22"/>
      <c r="Q58" s="22"/>
      <c r="R58" s="22"/>
      <c r="S58" s="22"/>
    </row>
    <row r="59" spans="1:19" ht="18" customHeight="1" x14ac:dyDescent="0.15">
      <c r="A59" s="3"/>
      <c r="B59" s="94"/>
      <c r="C59" s="95"/>
      <c r="D59" s="95"/>
      <c r="E59" s="96"/>
      <c r="F59" s="23"/>
      <c r="G59" s="23"/>
      <c r="H59" s="23"/>
      <c r="I59" s="23"/>
      <c r="J59" s="94"/>
      <c r="K59" s="95"/>
      <c r="L59" s="95"/>
      <c r="M59" s="95"/>
      <c r="N59" s="95"/>
      <c r="O59" s="96"/>
      <c r="P59" s="23"/>
      <c r="Q59" s="23"/>
      <c r="R59" s="23"/>
      <c r="S59" s="23"/>
    </row>
    <row r="60" spans="1:19" ht="18" customHeight="1" x14ac:dyDescent="0.15">
      <c r="A60" s="3"/>
      <c r="B60" s="94"/>
      <c r="C60" s="95"/>
      <c r="D60" s="95"/>
      <c r="E60" s="96"/>
      <c r="F60" s="23"/>
      <c r="G60" s="23"/>
      <c r="H60" s="23"/>
      <c r="I60" s="23"/>
      <c r="J60" s="94"/>
      <c r="K60" s="95"/>
      <c r="L60" s="95"/>
      <c r="M60" s="95"/>
      <c r="N60" s="95"/>
      <c r="O60" s="96"/>
      <c r="P60" s="23"/>
      <c r="Q60" s="23"/>
      <c r="R60" s="23"/>
      <c r="S60" s="23"/>
    </row>
    <row r="61" spans="1:19" ht="18" customHeight="1" x14ac:dyDescent="0.15">
      <c r="A61" s="3"/>
      <c r="B61" s="94"/>
      <c r="C61" s="95"/>
      <c r="D61" s="95"/>
      <c r="E61" s="96"/>
      <c r="F61" s="23"/>
      <c r="G61" s="23"/>
      <c r="H61" s="23"/>
      <c r="I61" s="23"/>
      <c r="J61" s="94"/>
      <c r="K61" s="95"/>
      <c r="L61" s="95"/>
      <c r="M61" s="95"/>
      <c r="N61" s="95"/>
      <c r="O61" s="96"/>
      <c r="P61" s="23"/>
      <c r="Q61" s="23"/>
      <c r="R61" s="23"/>
      <c r="S61" s="23"/>
    </row>
    <row r="62" spans="1:19" ht="18" customHeight="1" x14ac:dyDescent="0.15">
      <c r="A62" s="3"/>
      <c r="B62" s="94"/>
      <c r="C62" s="95"/>
      <c r="D62" s="95"/>
      <c r="E62" s="96"/>
      <c r="F62" s="23"/>
      <c r="G62" s="23"/>
      <c r="H62" s="23"/>
      <c r="I62" s="23"/>
      <c r="J62" s="94"/>
      <c r="K62" s="95"/>
      <c r="L62" s="95"/>
      <c r="M62" s="95"/>
      <c r="N62" s="95"/>
      <c r="O62" s="96"/>
      <c r="P62" s="23"/>
      <c r="Q62" s="23"/>
      <c r="R62" s="23"/>
      <c r="S62" s="23"/>
    </row>
    <row r="63" spans="1:19" ht="18" customHeight="1" x14ac:dyDescent="0.15">
      <c r="A63" s="3"/>
      <c r="B63" s="94"/>
      <c r="C63" s="95"/>
      <c r="D63" s="95"/>
      <c r="E63" s="96"/>
      <c r="F63" s="23"/>
      <c r="G63" s="23"/>
      <c r="H63" s="23"/>
      <c r="I63" s="23"/>
      <c r="J63" s="94"/>
      <c r="K63" s="95"/>
      <c r="L63" s="95"/>
      <c r="M63" s="95"/>
      <c r="N63" s="95"/>
      <c r="O63" s="96"/>
      <c r="P63" s="23"/>
      <c r="Q63" s="23"/>
      <c r="R63" s="23"/>
      <c r="S63" s="23"/>
    </row>
    <row r="64" spans="1:19" ht="18" customHeight="1" x14ac:dyDescent="0.15">
      <c r="A64" s="3"/>
      <c r="B64" s="97"/>
      <c r="C64" s="98"/>
      <c r="D64" s="98"/>
      <c r="E64" s="99"/>
      <c r="F64" s="24"/>
      <c r="G64" s="24"/>
      <c r="H64" s="25"/>
      <c r="I64" s="25"/>
      <c r="J64" s="97"/>
      <c r="K64" s="98"/>
      <c r="L64" s="98"/>
      <c r="M64" s="98"/>
      <c r="N64" s="98"/>
      <c r="O64" s="99"/>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3" t="s">
        <v>118</v>
      </c>
      <c r="B66" s="103"/>
      <c r="C66" s="103"/>
      <c r="D66" s="103"/>
      <c r="E66" s="103"/>
      <c r="F66" s="103"/>
      <c r="G66" s="103"/>
      <c r="H66" s="103"/>
      <c r="I66" s="103"/>
      <c r="J66" s="103"/>
      <c r="K66" s="103"/>
      <c r="L66" s="103"/>
      <c r="M66" s="103"/>
      <c r="N66" s="103"/>
      <c r="O66" s="103"/>
      <c r="P66" s="103"/>
      <c r="Q66" s="103"/>
      <c r="R66" s="103"/>
      <c r="S66" s="103"/>
    </row>
    <row r="67" spans="1:19" ht="18" customHeight="1" x14ac:dyDescent="0.15">
      <c r="A67" s="103"/>
      <c r="B67" s="103"/>
      <c r="C67" s="103"/>
      <c r="D67" s="103"/>
      <c r="E67" s="103"/>
      <c r="F67" s="103"/>
      <c r="G67" s="103"/>
      <c r="H67" s="103"/>
      <c r="I67" s="103"/>
      <c r="J67" s="103"/>
      <c r="K67" s="103"/>
      <c r="L67" s="103"/>
      <c r="M67" s="103"/>
      <c r="N67" s="103"/>
      <c r="O67" s="103"/>
      <c r="P67" s="103"/>
      <c r="Q67" s="103"/>
      <c r="R67" s="103"/>
      <c r="S67" s="103"/>
    </row>
    <row r="68" spans="1:19" ht="18" customHeight="1" x14ac:dyDescent="0.15">
      <c r="B68" s="100" t="s">
        <v>54</v>
      </c>
      <c r="C68" s="101"/>
      <c r="D68" s="101"/>
      <c r="E68" s="60" t="s">
        <v>81</v>
      </c>
      <c r="F68" s="59" t="s">
        <v>85</v>
      </c>
      <c r="G68" s="21" t="s">
        <v>102</v>
      </c>
      <c r="H68" s="21" t="s">
        <v>76</v>
      </c>
      <c r="I68" s="21" t="s">
        <v>77</v>
      </c>
      <c r="J68" s="100" t="s">
        <v>54</v>
      </c>
      <c r="K68" s="101"/>
      <c r="L68" s="101"/>
      <c r="M68" s="101"/>
      <c r="N68" s="102"/>
      <c r="O68" s="60" t="s">
        <v>81</v>
      </c>
      <c r="P68" s="59" t="s">
        <v>85</v>
      </c>
      <c r="Q68" s="21" t="s">
        <v>102</v>
      </c>
      <c r="R68" s="21" t="s">
        <v>76</v>
      </c>
      <c r="S68" s="21" t="s">
        <v>77</v>
      </c>
    </row>
    <row r="69" spans="1:19" ht="18" customHeight="1" x14ac:dyDescent="0.15">
      <c r="A69" s="3"/>
      <c r="B69" s="104" t="s">
        <v>133</v>
      </c>
      <c r="C69" s="105"/>
      <c r="D69" s="106"/>
      <c r="E69" s="22">
        <v>2</v>
      </c>
      <c r="F69" s="22" t="s">
        <v>132</v>
      </c>
      <c r="G69" s="22" t="s">
        <v>132</v>
      </c>
      <c r="H69" s="22" t="s">
        <v>132</v>
      </c>
      <c r="I69" s="22" t="s">
        <v>132</v>
      </c>
      <c r="J69" s="104"/>
      <c r="K69" s="105"/>
      <c r="L69" s="105"/>
      <c r="M69" s="105"/>
      <c r="N69" s="106"/>
      <c r="O69" s="22"/>
      <c r="P69" s="22"/>
      <c r="Q69" s="22"/>
      <c r="R69" s="22"/>
      <c r="S69" s="22"/>
    </row>
    <row r="70" spans="1:19" ht="18" customHeight="1" x14ac:dyDescent="0.15">
      <c r="A70" s="3"/>
      <c r="B70" s="94"/>
      <c r="C70" s="95"/>
      <c r="D70" s="95"/>
      <c r="E70" s="23"/>
      <c r="F70" s="23"/>
      <c r="G70" s="23"/>
      <c r="H70" s="23"/>
      <c r="I70" s="23"/>
      <c r="J70" s="94"/>
      <c r="K70" s="95"/>
      <c r="L70" s="95"/>
      <c r="M70" s="95"/>
      <c r="N70" s="96"/>
      <c r="O70" s="23"/>
      <c r="P70" s="23"/>
      <c r="Q70" s="23"/>
      <c r="R70" s="23"/>
      <c r="S70" s="23"/>
    </row>
    <row r="71" spans="1:19" ht="18" customHeight="1" x14ac:dyDescent="0.15">
      <c r="A71" s="3"/>
      <c r="B71" s="94"/>
      <c r="C71" s="95"/>
      <c r="D71" s="95"/>
      <c r="E71" s="23"/>
      <c r="F71" s="23"/>
      <c r="G71" s="23"/>
      <c r="H71" s="23"/>
      <c r="I71" s="23"/>
      <c r="J71" s="94"/>
      <c r="K71" s="95"/>
      <c r="L71" s="95"/>
      <c r="M71" s="95"/>
      <c r="N71" s="96"/>
      <c r="O71" s="23"/>
      <c r="P71" s="23"/>
      <c r="Q71" s="23"/>
      <c r="R71" s="23"/>
      <c r="S71" s="23"/>
    </row>
    <row r="72" spans="1:19" ht="18" customHeight="1" x14ac:dyDescent="0.15">
      <c r="A72" s="3"/>
      <c r="B72" s="94"/>
      <c r="C72" s="95"/>
      <c r="D72" s="95"/>
      <c r="E72" s="23"/>
      <c r="F72" s="23"/>
      <c r="G72" s="23"/>
      <c r="H72" s="23"/>
      <c r="I72" s="23"/>
      <c r="J72" s="94"/>
      <c r="K72" s="95"/>
      <c r="L72" s="95"/>
      <c r="M72" s="95"/>
      <c r="N72" s="96"/>
      <c r="O72" s="23"/>
      <c r="P72" s="23"/>
      <c r="Q72" s="23"/>
      <c r="R72" s="23"/>
      <c r="S72" s="23"/>
    </row>
    <row r="73" spans="1:19" ht="18" customHeight="1" x14ac:dyDescent="0.15">
      <c r="A73" s="3"/>
      <c r="B73" s="94"/>
      <c r="C73" s="95"/>
      <c r="D73" s="95"/>
      <c r="E73" s="23"/>
      <c r="F73" s="23"/>
      <c r="G73" s="23"/>
      <c r="H73" s="23"/>
      <c r="I73" s="23"/>
      <c r="J73" s="94"/>
      <c r="K73" s="95"/>
      <c r="L73" s="95"/>
      <c r="M73" s="95"/>
      <c r="N73" s="96"/>
      <c r="O73" s="23"/>
      <c r="P73" s="23"/>
      <c r="Q73" s="23"/>
      <c r="R73" s="23"/>
      <c r="S73" s="23"/>
    </row>
    <row r="74" spans="1:19" ht="18" customHeight="1" x14ac:dyDescent="0.15">
      <c r="A74" s="3"/>
      <c r="B74" s="94"/>
      <c r="C74" s="95"/>
      <c r="D74" s="95"/>
      <c r="E74" s="23"/>
      <c r="F74" s="23"/>
      <c r="G74" s="23"/>
      <c r="H74" s="23"/>
      <c r="I74" s="23"/>
      <c r="J74" s="94"/>
      <c r="K74" s="95"/>
      <c r="L74" s="95"/>
      <c r="M74" s="95"/>
      <c r="N74" s="96"/>
      <c r="O74" s="23"/>
      <c r="P74" s="23"/>
      <c r="Q74" s="23"/>
      <c r="R74" s="23"/>
      <c r="S74" s="23"/>
    </row>
    <row r="75" spans="1:19" ht="18" customHeight="1" x14ac:dyDescent="0.15">
      <c r="A75" s="3"/>
      <c r="B75" s="97"/>
      <c r="C75" s="98"/>
      <c r="D75" s="98"/>
      <c r="E75" s="24"/>
      <c r="F75" s="24"/>
      <c r="G75" s="25"/>
      <c r="H75" s="25"/>
      <c r="I75" s="25"/>
      <c r="J75" s="97"/>
      <c r="K75" s="98"/>
      <c r="L75" s="98"/>
      <c r="M75" s="98"/>
      <c r="N75" s="99"/>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100" t="s">
        <v>54</v>
      </c>
      <c r="C78" s="101"/>
      <c r="D78" s="101"/>
      <c r="E78" s="102"/>
      <c r="F78" s="100" t="s">
        <v>83</v>
      </c>
      <c r="G78" s="101"/>
      <c r="H78" s="101"/>
      <c r="I78" s="102"/>
      <c r="J78" s="133" t="s">
        <v>54</v>
      </c>
      <c r="K78" s="134"/>
      <c r="L78" s="134"/>
      <c r="M78" s="134"/>
      <c r="N78" s="134"/>
      <c r="O78" s="135"/>
      <c r="P78" s="100" t="s">
        <v>83</v>
      </c>
      <c r="Q78" s="101"/>
      <c r="R78" s="101"/>
      <c r="S78" s="102"/>
    </row>
    <row r="79" spans="1:19" ht="18" customHeight="1" x14ac:dyDescent="0.15">
      <c r="A79" s="3"/>
      <c r="B79" s="104"/>
      <c r="C79" s="105"/>
      <c r="D79" s="105"/>
      <c r="E79" s="106"/>
      <c r="F79" s="141"/>
      <c r="G79" s="142"/>
      <c r="H79" s="142"/>
      <c r="I79" s="143"/>
      <c r="J79" s="104"/>
      <c r="K79" s="105"/>
      <c r="L79" s="105"/>
      <c r="M79" s="105"/>
      <c r="N79" s="105"/>
      <c r="O79" s="106"/>
      <c r="P79" s="141"/>
      <c r="Q79" s="142"/>
      <c r="R79" s="142"/>
      <c r="S79" s="143"/>
    </row>
    <row r="80" spans="1:19" ht="18" customHeight="1" x14ac:dyDescent="0.15">
      <c r="A80" s="3"/>
      <c r="B80" s="94"/>
      <c r="C80" s="95"/>
      <c r="D80" s="95"/>
      <c r="E80" s="96"/>
      <c r="F80" s="130"/>
      <c r="G80" s="131"/>
      <c r="H80" s="131"/>
      <c r="I80" s="132"/>
      <c r="J80" s="94"/>
      <c r="K80" s="95"/>
      <c r="L80" s="95"/>
      <c r="M80" s="95"/>
      <c r="N80" s="95"/>
      <c r="O80" s="96"/>
      <c r="P80" s="130"/>
      <c r="Q80" s="131"/>
      <c r="R80" s="131"/>
      <c r="S80" s="132"/>
    </row>
    <row r="81" spans="1:19" ht="18" customHeight="1" x14ac:dyDescent="0.15">
      <c r="A81" s="3"/>
      <c r="B81" s="94"/>
      <c r="C81" s="95"/>
      <c r="D81" s="95"/>
      <c r="E81" s="96"/>
      <c r="F81" s="130"/>
      <c r="G81" s="131"/>
      <c r="H81" s="131"/>
      <c r="I81" s="132"/>
      <c r="J81" s="94"/>
      <c r="K81" s="95"/>
      <c r="L81" s="95"/>
      <c r="M81" s="95"/>
      <c r="N81" s="95"/>
      <c r="O81" s="96"/>
      <c r="P81" s="130"/>
      <c r="Q81" s="131"/>
      <c r="R81" s="131"/>
      <c r="S81" s="132"/>
    </row>
    <row r="82" spans="1:19" ht="18" customHeight="1" x14ac:dyDescent="0.15">
      <c r="A82" s="3"/>
      <c r="B82" s="94"/>
      <c r="C82" s="95"/>
      <c r="D82" s="95"/>
      <c r="E82" s="96"/>
      <c r="F82" s="130"/>
      <c r="G82" s="131"/>
      <c r="H82" s="131"/>
      <c r="I82" s="132"/>
      <c r="J82" s="94"/>
      <c r="K82" s="95"/>
      <c r="L82" s="95"/>
      <c r="M82" s="95"/>
      <c r="N82" s="95"/>
      <c r="O82" s="96"/>
      <c r="P82" s="130"/>
      <c r="Q82" s="131"/>
      <c r="R82" s="131"/>
      <c r="S82" s="132"/>
    </row>
    <row r="83" spans="1:19" ht="18" customHeight="1" x14ac:dyDescent="0.15">
      <c r="A83" s="3"/>
      <c r="B83" s="94"/>
      <c r="C83" s="95"/>
      <c r="D83" s="95"/>
      <c r="E83" s="96"/>
      <c r="F83" s="130"/>
      <c r="G83" s="131"/>
      <c r="H83" s="131"/>
      <c r="I83" s="132"/>
      <c r="J83" s="94"/>
      <c r="K83" s="95"/>
      <c r="L83" s="95"/>
      <c r="M83" s="95"/>
      <c r="N83" s="95"/>
      <c r="O83" s="96"/>
      <c r="P83" s="130"/>
      <c r="Q83" s="131"/>
      <c r="R83" s="131"/>
      <c r="S83" s="132"/>
    </row>
    <row r="84" spans="1:19" ht="18" customHeight="1" x14ac:dyDescent="0.15">
      <c r="A84" s="3"/>
      <c r="B84" s="94"/>
      <c r="C84" s="95"/>
      <c r="D84" s="95"/>
      <c r="E84" s="96"/>
      <c r="F84" s="130"/>
      <c r="G84" s="131"/>
      <c r="H84" s="131"/>
      <c r="I84" s="132"/>
      <c r="J84" s="94"/>
      <c r="K84" s="95"/>
      <c r="L84" s="95"/>
      <c r="M84" s="95"/>
      <c r="N84" s="95"/>
      <c r="O84" s="96"/>
      <c r="P84" s="130"/>
      <c r="Q84" s="131"/>
      <c r="R84" s="131"/>
      <c r="S84" s="132"/>
    </row>
    <row r="85" spans="1:19" ht="18" customHeight="1" x14ac:dyDescent="0.15">
      <c r="A85" s="3"/>
      <c r="B85" s="97"/>
      <c r="C85" s="98"/>
      <c r="D85" s="98"/>
      <c r="E85" s="99"/>
      <c r="F85" s="127"/>
      <c r="G85" s="128"/>
      <c r="H85" s="128"/>
      <c r="I85" s="129"/>
      <c r="J85" s="97"/>
      <c r="K85" s="98"/>
      <c r="L85" s="98"/>
      <c r="M85" s="98"/>
      <c r="N85" s="98"/>
      <c r="O85" s="99"/>
      <c r="P85" s="127"/>
      <c r="Q85" s="128"/>
      <c r="R85" s="128"/>
      <c r="S85" s="129"/>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120</v>
      </c>
    </row>
    <row r="88" spans="1:19" ht="18.75" customHeight="1" x14ac:dyDescent="0.15">
      <c r="B88" s="139" t="s">
        <v>55</v>
      </c>
      <c r="C88" s="140"/>
      <c r="D88" s="101" t="s">
        <v>56</v>
      </c>
      <c r="E88" s="101"/>
      <c r="F88" s="101"/>
      <c r="G88" s="101"/>
      <c r="H88" s="101"/>
      <c r="I88" s="101"/>
      <c r="J88" s="101"/>
      <c r="K88" s="101"/>
      <c r="L88" s="101"/>
      <c r="M88" s="101"/>
      <c r="N88" s="101"/>
      <c r="O88" s="101"/>
      <c r="P88" s="101"/>
      <c r="Q88" s="101"/>
      <c r="R88" s="101"/>
      <c r="S88" s="102"/>
    </row>
    <row r="89" spans="1:19" ht="167.25" customHeight="1" x14ac:dyDescent="0.15">
      <c r="B89" s="136" t="s">
        <v>62</v>
      </c>
      <c r="C89" s="27" t="s">
        <v>57</v>
      </c>
      <c r="D89" s="243" t="s">
        <v>163</v>
      </c>
      <c r="E89" s="244"/>
      <c r="F89" s="244"/>
      <c r="G89" s="244"/>
      <c r="H89" s="244"/>
      <c r="I89" s="244"/>
      <c r="J89" s="244"/>
      <c r="K89" s="244"/>
      <c r="L89" s="244"/>
      <c r="M89" s="244"/>
      <c r="N89" s="244"/>
      <c r="O89" s="244"/>
      <c r="P89" s="244"/>
      <c r="Q89" s="244"/>
      <c r="R89" s="244"/>
      <c r="S89" s="245"/>
    </row>
    <row r="90" spans="1:19" ht="87" customHeight="1" x14ac:dyDescent="0.15">
      <c r="B90" s="138"/>
      <c r="C90" s="28" t="s">
        <v>78</v>
      </c>
      <c r="D90" s="246" t="s">
        <v>164</v>
      </c>
      <c r="E90" s="247"/>
      <c r="F90" s="247"/>
      <c r="G90" s="247"/>
      <c r="H90" s="247"/>
      <c r="I90" s="247"/>
      <c r="J90" s="247"/>
      <c r="K90" s="247"/>
      <c r="L90" s="247"/>
      <c r="M90" s="247"/>
      <c r="N90" s="247"/>
      <c r="O90" s="247"/>
      <c r="P90" s="247"/>
      <c r="Q90" s="247"/>
      <c r="R90" s="247"/>
      <c r="S90" s="248"/>
    </row>
    <row r="91" spans="1:19" ht="97.5" customHeight="1" x14ac:dyDescent="0.15">
      <c r="B91" s="136" t="s">
        <v>63</v>
      </c>
      <c r="C91" s="29" t="s">
        <v>72</v>
      </c>
      <c r="D91" s="249" t="s">
        <v>165</v>
      </c>
      <c r="E91" s="250"/>
      <c r="F91" s="250"/>
      <c r="G91" s="250"/>
      <c r="H91" s="250"/>
      <c r="I91" s="250"/>
      <c r="J91" s="250"/>
      <c r="K91" s="250"/>
      <c r="L91" s="250"/>
      <c r="M91" s="250"/>
      <c r="N91" s="250"/>
      <c r="O91" s="250"/>
      <c r="P91" s="250"/>
      <c r="Q91" s="250"/>
      <c r="R91" s="250"/>
      <c r="S91" s="251"/>
    </row>
    <row r="92" spans="1:19" ht="97.5" customHeight="1" x14ac:dyDescent="0.15">
      <c r="B92" s="137"/>
      <c r="C92" s="30" t="s">
        <v>73</v>
      </c>
      <c r="D92" s="252" t="s">
        <v>170</v>
      </c>
      <c r="E92" s="253"/>
      <c r="F92" s="253"/>
      <c r="G92" s="253"/>
      <c r="H92" s="253"/>
      <c r="I92" s="253"/>
      <c r="J92" s="253"/>
      <c r="K92" s="253"/>
      <c r="L92" s="253"/>
      <c r="M92" s="253"/>
      <c r="N92" s="253"/>
      <c r="O92" s="253"/>
      <c r="P92" s="253"/>
      <c r="Q92" s="253"/>
      <c r="R92" s="253"/>
      <c r="S92" s="254"/>
    </row>
    <row r="93" spans="1:19" ht="101.25" customHeight="1" x14ac:dyDescent="0.15">
      <c r="B93" s="136" t="s">
        <v>64</v>
      </c>
      <c r="C93" s="29" t="s">
        <v>74</v>
      </c>
      <c r="D93" s="249" t="s">
        <v>171</v>
      </c>
      <c r="E93" s="250"/>
      <c r="F93" s="250"/>
      <c r="G93" s="250"/>
      <c r="H93" s="250"/>
      <c r="I93" s="250"/>
      <c r="J93" s="250"/>
      <c r="K93" s="250"/>
      <c r="L93" s="250"/>
      <c r="M93" s="250"/>
      <c r="N93" s="250"/>
      <c r="O93" s="250"/>
      <c r="P93" s="250"/>
      <c r="Q93" s="250"/>
      <c r="R93" s="250"/>
      <c r="S93" s="251"/>
    </row>
    <row r="94" spans="1:19" ht="101.25" customHeight="1" x14ac:dyDescent="0.15">
      <c r="B94" s="137"/>
      <c r="C94" s="31" t="s">
        <v>75</v>
      </c>
      <c r="D94" s="255" t="s">
        <v>172</v>
      </c>
      <c r="E94" s="256"/>
      <c r="F94" s="256"/>
      <c r="G94" s="256"/>
      <c r="H94" s="256"/>
      <c r="I94" s="256"/>
      <c r="J94" s="256"/>
      <c r="K94" s="256"/>
      <c r="L94" s="256"/>
      <c r="M94" s="256"/>
      <c r="N94" s="256"/>
      <c r="O94" s="256"/>
      <c r="P94" s="256"/>
      <c r="Q94" s="256"/>
      <c r="R94" s="256"/>
      <c r="S94" s="257"/>
    </row>
    <row r="95" spans="1:19" ht="155.25" customHeight="1" x14ac:dyDescent="0.15">
      <c r="B95" s="136" t="s">
        <v>79</v>
      </c>
      <c r="C95" s="27" t="s">
        <v>59</v>
      </c>
      <c r="D95" s="243" t="s">
        <v>166</v>
      </c>
      <c r="E95" s="244"/>
      <c r="F95" s="244"/>
      <c r="G95" s="244"/>
      <c r="H95" s="244"/>
      <c r="I95" s="244"/>
      <c r="J95" s="244"/>
      <c r="K95" s="244"/>
      <c r="L95" s="244"/>
      <c r="M95" s="244"/>
      <c r="N95" s="244"/>
      <c r="O95" s="244"/>
      <c r="P95" s="244"/>
      <c r="Q95" s="244"/>
      <c r="R95" s="244"/>
      <c r="S95" s="245"/>
    </row>
    <row r="96" spans="1:19" ht="65.25" customHeight="1" x14ac:dyDescent="0.15">
      <c r="B96" s="137"/>
      <c r="C96" s="30" t="s">
        <v>61</v>
      </c>
      <c r="D96" s="252" t="s">
        <v>167</v>
      </c>
      <c r="E96" s="253"/>
      <c r="F96" s="253"/>
      <c r="G96" s="253"/>
      <c r="H96" s="253"/>
      <c r="I96" s="253"/>
      <c r="J96" s="253"/>
      <c r="K96" s="253"/>
      <c r="L96" s="253"/>
      <c r="M96" s="253"/>
      <c r="N96" s="253"/>
      <c r="O96" s="253"/>
      <c r="P96" s="253"/>
      <c r="Q96" s="253"/>
      <c r="R96" s="253"/>
      <c r="S96" s="254"/>
    </row>
    <row r="97" spans="1:19" ht="135" customHeight="1" x14ac:dyDescent="0.15">
      <c r="B97" s="136" t="s">
        <v>80</v>
      </c>
      <c r="C97" s="29" t="s">
        <v>58</v>
      </c>
      <c r="D97" s="258" t="s">
        <v>173</v>
      </c>
      <c r="E97" s="259"/>
      <c r="F97" s="259"/>
      <c r="G97" s="259"/>
      <c r="H97" s="259"/>
      <c r="I97" s="259"/>
      <c r="J97" s="259"/>
      <c r="K97" s="259"/>
      <c r="L97" s="259"/>
      <c r="M97" s="259"/>
      <c r="N97" s="259"/>
      <c r="O97" s="259"/>
      <c r="P97" s="259"/>
      <c r="Q97" s="259"/>
      <c r="R97" s="259"/>
      <c r="S97" s="260"/>
    </row>
    <row r="98" spans="1:19" ht="84" customHeight="1" x14ac:dyDescent="0.15">
      <c r="B98" s="138"/>
      <c r="C98" s="32" t="s">
        <v>76</v>
      </c>
      <c r="D98" s="261" t="s">
        <v>168</v>
      </c>
      <c r="E98" s="262"/>
      <c r="F98" s="262"/>
      <c r="G98" s="262"/>
      <c r="H98" s="262"/>
      <c r="I98" s="262"/>
      <c r="J98" s="262"/>
      <c r="K98" s="262"/>
      <c r="L98" s="262"/>
      <c r="M98" s="262"/>
      <c r="N98" s="262"/>
      <c r="O98" s="262"/>
      <c r="P98" s="262"/>
      <c r="Q98" s="262"/>
      <c r="R98" s="262"/>
      <c r="S98" s="263"/>
    </row>
    <row r="99" spans="1:19" ht="82.5" customHeight="1" x14ac:dyDescent="0.15">
      <c r="B99" s="137"/>
      <c r="C99" s="31" t="s">
        <v>77</v>
      </c>
      <c r="D99" s="264" t="s">
        <v>169</v>
      </c>
      <c r="E99" s="265"/>
      <c r="F99" s="265"/>
      <c r="G99" s="265"/>
      <c r="H99" s="265"/>
      <c r="I99" s="265"/>
      <c r="J99" s="265"/>
      <c r="K99" s="265"/>
      <c r="L99" s="265"/>
      <c r="M99" s="265"/>
      <c r="N99" s="265"/>
      <c r="O99" s="265"/>
      <c r="P99" s="265"/>
      <c r="Q99" s="265"/>
      <c r="R99" s="265"/>
      <c r="S99" s="266"/>
    </row>
    <row r="100" spans="1:19" ht="6" customHeight="1" x14ac:dyDescent="0.15"/>
    <row r="101" spans="1:19" ht="18.75" customHeight="1" x14ac:dyDescent="0.15">
      <c r="A101" s="1" t="s">
        <v>121</v>
      </c>
    </row>
    <row r="102" spans="1:19" ht="114" customHeight="1" x14ac:dyDescent="0.15">
      <c r="B102" s="124" t="s">
        <v>134</v>
      </c>
      <c r="C102" s="125"/>
      <c r="D102" s="125"/>
      <c r="E102" s="125"/>
      <c r="F102" s="125"/>
      <c r="G102" s="125"/>
      <c r="H102" s="125"/>
      <c r="I102" s="125"/>
      <c r="J102" s="125"/>
      <c r="K102" s="125"/>
      <c r="L102" s="125"/>
      <c r="M102" s="125"/>
      <c r="N102" s="125"/>
      <c r="O102" s="125"/>
      <c r="P102" s="125"/>
      <c r="Q102" s="125"/>
      <c r="R102" s="125"/>
      <c r="S102" s="126"/>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2"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93" zoomScaleNormal="100" zoomScaleSheetLayoutView="93" workbookViewId="0">
      <selection activeCell="F19" sqref="F19"/>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4"/>
      <c r="Q2" s="34"/>
      <c r="W2" s="34"/>
      <c r="AC2" s="34"/>
      <c r="AI2" s="34"/>
      <c r="AL2" s="34" t="s">
        <v>109</v>
      </c>
      <c r="AM2" s="147" t="str">
        <f>'様式１　プログラムを構成する授業科目'!C2</f>
        <v>関西福祉大学</v>
      </c>
      <c r="AN2" s="147"/>
      <c r="AO2" s="147"/>
      <c r="AP2" s="147"/>
      <c r="AQ2" s="147"/>
    </row>
    <row r="3" spans="1:45" ht="18" customHeight="1" x14ac:dyDescent="0.15">
      <c r="A3" s="111" t="s">
        <v>48</v>
      </c>
      <c r="B3" s="111"/>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48" t="s">
        <v>135</v>
      </c>
      <c r="D5" s="149"/>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50" t="s">
        <v>45</v>
      </c>
      <c r="C9" s="165" t="s">
        <v>87</v>
      </c>
      <c r="D9" s="153" t="s">
        <v>47</v>
      </c>
      <c r="E9" s="156" t="s">
        <v>40</v>
      </c>
      <c r="F9" s="146" t="s">
        <v>86</v>
      </c>
      <c r="G9" s="146"/>
      <c r="H9" s="146"/>
      <c r="I9" s="146"/>
      <c r="J9" s="146"/>
      <c r="K9" s="146"/>
      <c r="L9" s="146" t="s">
        <v>49</v>
      </c>
      <c r="M9" s="146"/>
      <c r="N9" s="146"/>
      <c r="O9" s="146"/>
      <c r="P9" s="146"/>
      <c r="Q9" s="146"/>
      <c r="R9" s="146" t="s">
        <v>50</v>
      </c>
      <c r="S9" s="146"/>
      <c r="T9" s="146"/>
      <c r="U9" s="146"/>
      <c r="V9" s="146"/>
      <c r="W9" s="146"/>
      <c r="X9" s="146" t="s">
        <v>101</v>
      </c>
      <c r="Y9" s="146"/>
      <c r="Z9" s="146"/>
      <c r="AA9" s="146"/>
      <c r="AB9" s="146"/>
      <c r="AC9" s="146"/>
      <c r="AD9" s="146" t="s">
        <v>51</v>
      </c>
      <c r="AE9" s="146"/>
      <c r="AF9" s="146"/>
      <c r="AG9" s="146"/>
      <c r="AH9" s="146"/>
      <c r="AI9" s="146"/>
      <c r="AJ9" s="146" t="s">
        <v>52</v>
      </c>
      <c r="AK9" s="146"/>
      <c r="AL9" s="146"/>
      <c r="AM9" s="146"/>
      <c r="AN9" s="146"/>
      <c r="AO9" s="146"/>
      <c r="AP9" s="159" t="s">
        <v>35</v>
      </c>
      <c r="AQ9" s="162" t="s">
        <v>32</v>
      </c>
      <c r="AS9" s="2"/>
    </row>
    <row r="10" spans="1:45" ht="16.899999999999999" customHeight="1" x14ac:dyDescent="0.15">
      <c r="B10" s="151"/>
      <c r="C10" s="166"/>
      <c r="D10" s="154"/>
      <c r="E10" s="157"/>
      <c r="F10" s="144" t="s">
        <v>97</v>
      </c>
      <c r="G10" s="145"/>
      <c r="H10" s="145"/>
      <c r="I10" s="144" t="s">
        <v>29</v>
      </c>
      <c r="J10" s="145"/>
      <c r="K10" s="145"/>
      <c r="L10" s="144" t="s">
        <v>97</v>
      </c>
      <c r="M10" s="145"/>
      <c r="N10" s="145"/>
      <c r="O10" s="144" t="s">
        <v>29</v>
      </c>
      <c r="P10" s="145"/>
      <c r="Q10" s="145"/>
      <c r="R10" s="144" t="s">
        <v>97</v>
      </c>
      <c r="S10" s="145"/>
      <c r="T10" s="145"/>
      <c r="U10" s="144" t="s">
        <v>29</v>
      </c>
      <c r="V10" s="145"/>
      <c r="W10" s="145"/>
      <c r="X10" s="144" t="s">
        <v>97</v>
      </c>
      <c r="Y10" s="145"/>
      <c r="Z10" s="145"/>
      <c r="AA10" s="144" t="s">
        <v>29</v>
      </c>
      <c r="AB10" s="145"/>
      <c r="AC10" s="145"/>
      <c r="AD10" s="144" t="s">
        <v>97</v>
      </c>
      <c r="AE10" s="145"/>
      <c r="AF10" s="145"/>
      <c r="AG10" s="144" t="s">
        <v>29</v>
      </c>
      <c r="AH10" s="145"/>
      <c r="AI10" s="145"/>
      <c r="AJ10" s="144" t="s">
        <v>97</v>
      </c>
      <c r="AK10" s="145"/>
      <c r="AL10" s="145"/>
      <c r="AM10" s="144" t="s">
        <v>29</v>
      </c>
      <c r="AN10" s="145"/>
      <c r="AO10" s="145"/>
      <c r="AP10" s="160"/>
      <c r="AQ10" s="163"/>
      <c r="AS10" s="2"/>
    </row>
    <row r="11" spans="1:45" ht="18" customHeight="1" x14ac:dyDescent="0.15">
      <c r="B11" s="152"/>
      <c r="C11" s="167"/>
      <c r="D11" s="155"/>
      <c r="E11" s="158"/>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61"/>
      <c r="AQ11" s="164"/>
      <c r="AS11" s="2"/>
    </row>
    <row r="12" spans="1:45" ht="18" customHeight="1" x14ac:dyDescent="0.15">
      <c r="A12" s="6"/>
      <c r="B12" s="11" t="s">
        <v>136</v>
      </c>
      <c r="C12" s="61">
        <v>437</v>
      </c>
      <c r="D12" s="62">
        <v>100</v>
      </c>
      <c r="E12" s="63">
        <v>400</v>
      </c>
      <c r="F12" s="63">
        <v>119</v>
      </c>
      <c r="G12" s="82"/>
      <c r="H12" s="83"/>
      <c r="I12" s="63">
        <v>114</v>
      </c>
      <c r="J12" s="82"/>
      <c r="K12" s="83"/>
      <c r="L12" s="69">
        <f t="shared" ref="L12:L31" si="0">M12+N12</f>
        <v>0</v>
      </c>
      <c r="M12" s="64"/>
      <c r="N12" s="65"/>
      <c r="O12" s="63">
        <f>P12+Q12</f>
        <v>0</v>
      </c>
      <c r="P12" s="64"/>
      <c r="Q12" s="65"/>
      <c r="R12" s="69">
        <f t="shared" ref="R12:R14" si="1">S12+T12</f>
        <v>0</v>
      </c>
      <c r="S12" s="64"/>
      <c r="T12" s="65"/>
      <c r="U12" s="63">
        <f>V12+W12</f>
        <v>0</v>
      </c>
      <c r="V12" s="64"/>
      <c r="W12" s="65"/>
      <c r="X12" s="69">
        <f t="shared" ref="X12:X14" si="2">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119</v>
      </c>
      <c r="AQ12" s="87">
        <f t="shared" ref="AQ12:AQ32" si="3">AP12/E12</f>
        <v>0.29749999999999999</v>
      </c>
    </row>
    <row r="13" spans="1:45" ht="18" customHeight="1" x14ac:dyDescent="0.15">
      <c r="A13" s="6"/>
      <c r="B13" s="12" t="s">
        <v>137</v>
      </c>
      <c r="C13" s="66">
        <v>630</v>
      </c>
      <c r="D13" s="67">
        <v>160</v>
      </c>
      <c r="E13" s="68">
        <v>640</v>
      </c>
      <c r="F13" s="69">
        <v>140</v>
      </c>
      <c r="G13" s="85"/>
      <c r="H13" s="84"/>
      <c r="I13" s="69">
        <v>128</v>
      </c>
      <c r="J13" s="86"/>
      <c r="K13" s="81"/>
      <c r="L13" s="69">
        <f t="shared" si="0"/>
        <v>0</v>
      </c>
      <c r="M13" s="70"/>
      <c r="N13" s="71"/>
      <c r="O13" s="69">
        <f t="shared" ref="O13:O31" si="4">P13+Q13</f>
        <v>0</v>
      </c>
      <c r="P13" s="70"/>
      <c r="Q13" s="71"/>
      <c r="R13" s="69">
        <f t="shared" si="1"/>
        <v>0</v>
      </c>
      <c r="S13" s="70"/>
      <c r="T13" s="71"/>
      <c r="U13" s="69">
        <f t="shared" ref="U13:U31" si="5">V13+W13</f>
        <v>0</v>
      </c>
      <c r="V13" s="70"/>
      <c r="W13" s="71"/>
      <c r="X13" s="69">
        <f t="shared" si="2"/>
        <v>0</v>
      </c>
      <c r="Y13" s="70"/>
      <c r="Z13" s="71"/>
      <c r="AA13" s="69">
        <f t="shared" ref="AA13:AA31" si="6">AB13+AC13</f>
        <v>0</v>
      </c>
      <c r="AB13" s="70"/>
      <c r="AC13" s="71"/>
      <c r="AD13" s="69">
        <f t="shared" ref="AD13:AD31" si="7">AE13+AF13</f>
        <v>0</v>
      </c>
      <c r="AE13" s="70"/>
      <c r="AF13" s="71"/>
      <c r="AG13" s="69">
        <f t="shared" ref="AG13:AG31" si="8">AH13+AI13</f>
        <v>0</v>
      </c>
      <c r="AH13" s="70"/>
      <c r="AI13" s="71"/>
      <c r="AJ13" s="69">
        <f t="shared" ref="AJ13:AJ31" si="9">AK13+AL13</f>
        <v>0</v>
      </c>
      <c r="AK13" s="70"/>
      <c r="AL13" s="71"/>
      <c r="AM13" s="69">
        <f t="shared" ref="AM13:AM31" si="10">AN13+AO13</f>
        <v>0</v>
      </c>
      <c r="AN13" s="70"/>
      <c r="AO13" s="71"/>
      <c r="AP13" s="67">
        <f t="shared" ref="AP13:AP31" si="11">F13+L13+R13+X13+AD13+AJ13</f>
        <v>140</v>
      </c>
      <c r="AQ13" s="20">
        <f t="shared" si="3"/>
        <v>0.21875</v>
      </c>
    </row>
    <row r="14" spans="1:45" ht="18" customHeight="1" x14ac:dyDescent="0.15">
      <c r="A14" s="6"/>
      <c r="B14" s="12" t="s">
        <v>138</v>
      </c>
      <c r="C14" s="66">
        <v>376</v>
      </c>
      <c r="D14" s="67">
        <v>85</v>
      </c>
      <c r="E14" s="68">
        <v>340</v>
      </c>
      <c r="F14" s="69">
        <v>89</v>
      </c>
      <c r="G14" s="85"/>
      <c r="H14" s="84"/>
      <c r="I14" s="69">
        <v>88</v>
      </c>
      <c r="J14" s="86"/>
      <c r="K14" s="81"/>
      <c r="L14" s="69">
        <f t="shared" si="0"/>
        <v>0</v>
      </c>
      <c r="M14" s="70"/>
      <c r="N14" s="71"/>
      <c r="O14" s="69">
        <f t="shared" si="4"/>
        <v>0</v>
      </c>
      <c r="P14" s="70"/>
      <c r="Q14" s="71"/>
      <c r="R14" s="69">
        <f t="shared" si="1"/>
        <v>0</v>
      </c>
      <c r="S14" s="70"/>
      <c r="T14" s="71"/>
      <c r="U14" s="69">
        <f t="shared" si="5"/>
        <v>0</v>
      </c>
      <c r="V14" s="70"/>
      <c r="W14" s="71"/>
      <c r="X14" s="69">
        <f t="shared" si="2"/>
        <v>0</v>
      </c>
      <c r="Y14" s="70"/>
      <c r="Z14" s="71"/>
      <c r="AA14" s="69">
        <f t="shared" si="6"/>
        <v>0</v>
      </c>
      <c r="AB14" s="70"/>
      <c r="AC14" s="71"/>
      <c r="AD14" s="69">
        <f t="shared" si="7"/>
        <v>0</v>
      </c>
      <c r="AE14" s="70"/>
      <c r="AF14" s="71"/>
      <c r="AG14" s="69">
        <f t="shared" si="8"/>
        <v>0</v>
      </c>
      <c r="AH14" s="70"/>
      <c r="AI14" s="71"/>
      <c r="AJ14" s="69">
        <f t="shared" si="9"/>
        <v>0</v>
      </c>
      <c r="AK14" s="70"/>
      <c r="AL14" s="71"/>
      <c r="AM14" s="69">
        <f t="shared" si="10"/>
        <v>0</v>
      </c>
      <c r="AN14" s="70"/>
      <c r="AO14" s="71"/>
      <c r="AP14" s="67">
        <f t="shared" si="11"/>
        <v>89</v>
      </c>
      <c r="AQ14" s="8">
        <f t="shared" si="3"/>
        <v>0.26176470588235295</v>
      </c>
    </row>
    <row r="15" spans="1:45" ht="18" customHeight="1" x14ac:dyDescent="0.15">
      <c r="A15" s="6"/>
      <c r="B15" s="12"/>
      <c r="C15" s="66"/>
      <c r="D15" s="67"/>
      <c r="E15" s="68"/>
      <c r="F15" s="69">
        <f t="shared" ref="F15:F31" si="12">G15+H15</f>
        <v>0</v>
      </c>
      <c r="G15" s="70"/>
      <c r="H15" s="71"/>
      <c r="I15" s="69">
        <f t="shared" ref="I15:I31" si="13">J15+K15</f>
        <v>0</v>
      </c>
      <c r="J15" s="70"/>
      <c r="K15" s="71"/>
      <c r="L15" s="69">
        <f t="shared" si="0"/>
        <v>0</v>
      </c>
      <c r="M15" s="70"/>
      <c r="N15" s="71"/>
      <c r="O15" s="69">
        <f t="shared" si="4"/>
        <v>0</v>
      </c>
      <c r="P15" s="70"/>
      <c r="Q15" s="71"/>
      <c r="R15" s="69">
        <f t="shared" ref="R15:R31" si="14">S15+T15</f>
        <v>0</v>
      </c>
      <c r="S15" s="70"/>
      <c r="T15" s="71"/>
      <c r="U15" s="69">
        <f t="shared" si="5"/>
        <v>0</v>
      </c>
      <c r="V15" s="70"/>
      <c r="W15" s="71"/>
      <c r="X15" s="69">
        <f t="shared" ref="X15:X31" si="15">Y15+Z15</f>
        <v>0</v>
      </c>
      <c r="Y15" s="70"/>
      <c r="Z15" s="71"/>
      <c r="AA15" s="69">
        <f t="shared" si="6"/>
        <v>0</v>
      </c>
      <c r="AB15" s="70"/>
      <c r="AC15" s="71"/>
      <c r="AD15" s="69">
        <f t="shared" si="7"/>
        <v>0</v>
      </c>
      <c r="AE15" s="70"/>
      <c r="AF15" s="71"/>
      <c r="AG15" s="69">
        <f t="shared" si="8"/>
        <v>0</v>
      </c>
      <c r="AH15" s="70"/>
      <c r="AI15" s="71"/>
      <c r="AJ15" s="69">
        <f t="shared" si="9"/>
        <v>0</v>
      </c>
      <c r="AK15" s="70"/>
      <c r="AL15" s="71"/>
      <c r="AM15" s="69">
        <f t="shared" si="10"/>
        <v>0</v>
      </c>
      <c r="AN15" s="70"/>
      <c r="AO15" s="71"/>
      <c r="AP15" s="67">
        <f t="shared" si="11"/>
        <v>0</v>
      </c>
      <c r="AQ15" s="8" t="e">
        <f t="shared" si="3"/>
        <v>#DIV/0!</v>
      </c>
    </row>
    <row r="16" spans="1:45" ht="18" customHeight="1" x14ac:dyDescent="0.15">
      <c r="A16" s="6"/>
      <c r="B16" s="12"/>
      <c r="C16" s="66"/>
      <c r="D16" s="67"/>
      <c r="E16" s="68"/>
      <c r="F16" s="69">
        <f t="shared" si="12"/>
        <v>0</v>
      </c>
      <c r="G16" s="70"/>
      <c r="H16" s="71"/>
      <c r="I16" s="69">
        <f t="shared" si="13"/>
        <v>0</v>
      </c>
      <c r="J16" s="70"/>
      <c r="K16" s="71"/>
      <c r="L16" s="69">
        <f t="shared" si="0"/>
        <v>0</v>
      </c>
      <c r="M16" s="70"/>
      <c r="N16" s="71"/>
      <c r="O16" s="69">
        <f t="shared" si="4"/>
        <v>0</v>
      </c>
      <c r="P16" s="70"/>
      <c r="Q16" s="71"/>
      <c r="R16" s="69">
        <f t="shared" si="14"/>
        <v>0</v>
      </c>
      <c r="S16" s="70"/>
      <c r="T16" s="71"/>
      <c r="U16" s="69">
        <f t="shared" si="5"/>
        <v>0</v>
      </c>
      <c r="V16" s="70"/>
      <c r="W16" s="71"/>
      <c r="X16" s="69">
        <f t="shared" si="15"/>
        <v>0</v>
      </c>
      <c r="Y16" s="70"/>
      <c r="Z16" s="71"/>
      <c r="AA16" s="69">
        <f t="shared" si="6"/>
        <v>0</v>
      </c>
      <c r="AB16" s="70"/>
      <c r="AC16" s="71"/>
      <c r="AD16" s="69">
        <f t="shared" si="7"/>
        <v>0</v>
      </c>
      <c r="AE16" s="70"/>
      <c r="AF16" s="71"/>
      <c r="AG16" s="69">
        <f t="shared" si="8"/>
        <v>0</v>
      </c>
      <c r="AH16" s="70"/>
      <c r="AI16" s="71"/>
      <c r="AJ16" s="69">
        <f t="shared" si="9"/>
        <v>0</v>
      </c>
      <c r="AK16" s="70"/>
      <c r="AL16" s="71"/>
      <c r="AM16" s="69">
        <f t="shared" si="10"/>
        <v>0</v>
      </c>
      <c r="AN16" s="70"/>
      <c r="AO16" s="71"/>
      <c r="AP16" s="67">
        <f t="shared" si="11"/>
        <v>0</v>
      </c>
      <c r="AQ16" s="8" t="e">
        <f t="shared" si="3"/>
        <v>#DIV/0!</v>
      </c>
    </row>
    <row r="17" spans="1:43" ht="18" customHeight="1" x14ac:dyDescent="0.15">
      <c r="A17" s="6"/>
      <c r="B17" s="12"/>
      <c r="C17" s="66"/>
      <c r="D17" s="67"/>
      <c r="E17" s="68"/>
      <c r="F17" s="69">
        <f t="shared" si="12"/>
        <v>0</v>
      </c>
      <c r="G17" s="70"/>
      <c r="H17" s="71"/>
      <c r="I17" s="69">
        <f t="shared" si="13"/>
        <v>0</v>
      </c>
      <c r="J17" s="70"/>
      <c r="K17" s="71"/>
      <c r="L17" s="69">
        <f t="shared" si="0"/>
        <v>0</v>
      </c>
      <c r="M17" s="70"/>
      <c r="N17" s="71"/>
      <c r="O17" s="69">
        <f t="shared" si="4"/>
        <v>0</v>
      </c>
      <c r="P17" s="70"/>
      <c r="Q17" s="71"/>
      <c r="R17" s="69">
        <f t="shared" si="14"/>
        <v>0</v>
      </c>
      <c r="S17" s="70"/>
      <c r="T17" s="71"/>
      <c r="U17" s="69">
        <f t="shared" si="5"/>
        <v>0</v>
      </c>
      <c r="V17" s="70"/>
      <c r="W17" s="71"/>
      <c r="X17" s="69">
        <f t="shared" si="15"/>
        <v>0</v>
      </c>
      <c r="Y17" s="70"/>
      <c r="Z17" s="71"/>
      <c r="AA17" s="69">
        <f t="shared" si="6"/>
        <v>0</v>
      </c>
      <c r="AB17" s="70"/>
      <c r="AC17" s="71"/>
      <c r="AD17" s="69">
        <f t="shared" si="7"/>
        <v>0</v>
      </c>
      <c r="AE17" s="70"/>
      <c r="AF17" s="71"/>
      <c r="AG17" s="69">
        <f t="shared" si="8"/>
        <v>0</v>
      </c>
      <c r="AH17" s="70"/>
      <c r="AI17" s="71"/>
      <c r="AJ17" s="69">
        <f t="shared" si="9"/>
        <v>0</v>
      </c>
      <c r="AK17" s="70"/>
      <c r="AL17" s="71"/>
      <c r="AM17" s="69">
        <f t="shared" si="10"/>
        <v>0</v>
      </c>
      <c r="AN17" s="70"/>
      <c r="AO17" s="71"/>
      <c r="AP17" s="67">
        <f t="shared" si="11"/>
        <v>0</v>
      </c>
      <c r="AQ17" s="8" t="e">
        <f t="shared" si="3"/>
        <v>#DIV/0!</v>
      </c>
    </row>
    <row r="18" spans="1:43" ht="18" customHeight="1" x14ac:dyDescent="0.15">
      <c r="A18" s="6"/>
      <c r="B18" s="12"/>
      <c r="C18" s="66"/>
      <c r="D18" s="67"/>
      <c r="E18" s="68"/>
      <c r="F18" s="69">
        <f t="shared" si="12"/>
        <v>0</v>
      </c>
      <c r="G18" s="70"/>
      <c r="H18" s="71"/>
      <c r="I18" s="69">
        <f t="shared" si="13"/>
        <v>0</v>
      </c>
      <c r="J18" s="70"/>
      <c r="K18" s="71"/>
      <c r="L18" s="69">
        <f t="shared" si="0"/>
        <v>0</v>
      </c>
      <c r="M18" s="70"/>
      <c r="N18" s="71"/>
      <c r="O18" s="69">
        <f t="shared" si="4"/>
        <v>0</v>
      </c>
      <c r="P18" s="70"/>
      <c r="Q18" s="71"/>
      <c r="R18" s="69">
        <f t="shared" si="14"/>
        <v>0</v>
      </c>
      <c r="S18" s="70"/>
      <c r="T18" s="71"/>
      <c r="U18" s="69">
        <f t="shared" si="5"/>
        <v>0</v>
      </c>
      <c r="V18" s="70"/>
      <c r="W18" s="71"/>
      <c r="X18" s="69">
        <f t="shared" si="15"/>
        <v>0</v>
      </c>
      <c r="Y18" s="70"/>
      <c r="Z18" s="71"/>
      <c r="AA18" s="69">
        <f t="shared" si="6"/>
        <v>0</v>
      </c>
      <c r="AB18" s="70"/>
      <c r="AC18" s="71"/>
      <c r="AD18" s="69">
        <f t="shared" si="7"/>
        <v>0</v>
      </c>
      <c r="AE18" s="70"/>
      <c r="AF18" s="71"/>
      <c r="AG18" s="69">
        <f t="shared" si="8"/>
        <v>0</v>
      </c>
      <c r="AH18" s="70"/>
      <c r="AI18" s="71"/>
      <c r="AJ18" s="69">
        <f t="shared" si="9"/>
        <v>0</v>
      </c>
      <c r="AK18" s="70"/>
      <c r="AL18" s="71"/>
      <c r="AM18" s="69">
        <f t="shared" si="10"/>
        <v>0</v>
      </c>
      <c r="AN18" s="70"/>
      <c r="AO18" s="71"/>
      <c r="AP18" s="67">
        <f t="shared" si="11"/>
        <v>0</v>
      </c>
      <c r="AQ18" s="8" t="e">
        <f t="shared" si="3"/>
        <v>#DIV/0!</v>
      </c>
    </row>
    <row r="19" spans="1:43" ht="18" customHeight="1" x14ac:dyDescent="0.15">
      <c r="A19" s="6"/>
      <c r="B19" s="12"/>
      <c r="C19" s="66"/>
      <c r="D19" s="67"/>
      <c r="E19" s="68"/>
      <c r="F19" s="69">
        <f t="shared" si="12"/>
        <v>0</v>
      </c>
      <c r="G19" s="70"/>
      <c r="H19" s="71"/>
      <c r="I19" s="69">
        <f t="shared" si="13"/>
        <v>0</v>
      </c>
      <c r="J19" s="70"/>
      <c r="K19" s="71"/>
      <c r="L19" s="69">
        <f t="shared" si="0"/>
        <v>0</v>
      </c>
      <c r="M19" s="70"/>
      <c r="N19" s="71"/>
      <c r="O19" s="69">
        <f t="shared" si="4"/>
        <v>0</v>
      </c>
      <c r="P19" s="70"/>
      <c r="Q19" s="71"/>
      <c r="R19" s="69">
        <f t="shared" si="14"/>
        <v>0</v>
      </c>
      <c r="S19" s="70"/>
      <c r="T19" s="71"/>
      <c r="U19" s="69">
        <f t="shared" si="5"/>
        <v>0</v>
      </c>
      <c r="V19" s="70"/>
      <c r="W19" s="71"/>
      <c r="X19" s="69">
        <f t="shared" si="15"/>
        <v>0</v>
      </c>
      <c r="Y19" s="70"/>
      <c r="Z19" s="71"/>
      <c r="AA19" s="69">
        <f t="shared" si="6"/>
        <v>0</v>
      </c>
      <c r="AB19" s="70"/>
      <c r="AC19" s="71"/>
      <c r="AD19" s="69">
        <f t="shared" si="7"/>
        <v>0</v>
      </c>
      <c r="AE19" s="70"/>
      <c r="AF19" s="71"/>
      <c r="AG19" s="69">
        <f t="shared" si="8"/>
        <v>0</v>
      </c>
      <c r="AH19" s="70"/>
      <c r="AI19" s="71"/>
      <c r="AJ19" s="69">
        <f t="shared" si="9"/>
        <v>0</v>
      </c>
      <c r="AK19" s="70"/>
      <c r="AL19" s="71"/>
      <c r="AM19" s="69">
        <f t="shared" si="10"/>
        <v>0</v>
      </c>
      <c r="AN19" s="70"/>
      <c r="AO19" s="71"/>
      <c r="AP19" s="67">
        <f t="shared" si="11"/>
        <v>0</v>
      </c>
      <c r="AQ19" s="8" t="e">
        <f t="shared" si="3"/>
        <v>#DIV/0!</v>
      </c>
    </row>
    <row r="20" spans="1:43" ht="18" customHeight="1" x14ac:dyDescent="0.15">
      <c r="A20" s="6"/>
      <c r="B20" s="12"/>
      <c r="C20" s="66"/>
      <c r="D20" s="67"/>
      <c r="E20" s="68"/>
      <c r="F20" s="69">
        <f t="shared" si="12"/>
        <v>0</v>
      </c>
      <c r="G20" s="70"/>
      <c r="H20" s="71"/>
      <c r="I20" s="69">
        <f t="shared" si="13"/>
        <v>0</v>
      </c>
      <c r="J20" s="70"/>
      <c r="K20" s="71"/>
      <c r="L20" s="69">
        <f t="shared" si="0"/>
        <v>0</v>
      </c>
      <c r="M20" s="70"/>
      <c r="N20" s="71"/>
      <c r="O20" s="69">
        <f t="shared" si="4"/>
        <v>0</v>
      </c>
      <c r="P20" s="70"/>
      <c r="Q20" s="71"/>
      <c r="R20" s="69">
        <f t="shared" si="14"/>
        <v>0</v>
      </c>
      <c r="S20" s="70"/>
      <c r="T20" s="71"/>
      <c r="U20" s="69">
        <f t="shared" si="5"/>
        <v>0</v>
      </c>
      <c r="V20" s="70"/>
      <c r="W20" s="71"/>
      <c r="X20" s="69">
        <f t="shared" si="15"/>
        <v>0</v>
      </c>
      <c r="Y20" s="70"/>
      <c r="Z20" s="71"/>
      <c r="AA20" s="69">
        <f t="shared" si="6"/>
        <v>0</v>
      </c>
      <c r="AB20" s="70"/>
      <c r="AC20" s="71"/>
      <c r="AD20" s="69">
        <f t="shared" si="7"/>
        <v>0</v>
      </c>
      <c r="AE20" s="70"/>
      <c r="AF20" s="71"/>
      <c r="AG20" s="69">
        <f t="shared" si="8"/>
        <v>0</v>
      </c>
      <c r="AH20" s="70"/>
      <c r="AI20" s="71"/>
      <c r="AJ20" s="69">
        <f t="shared" si="9"/>
        <v>0</v>
      </c>
      <c r="AK20" s="70"/>
      <c r="AL20" s="71"/>
      <c r="AM20" s="69">
        <f t="shared" si="10"/>
        <v>0</v>
      </c>
      <c r="AN20" s="70"/>
      <c r="AO20" s="71"/>
      <c r="AP20" s="67">
        <f t="shared" si="11"/>
        <v>0</v>
      </c>
      <c r="AQ20" s="8" t="e">
        <f t="shared" si="3"/>
        <v>#DIV/0!</v>
      </c>
    </row>
    <row r="21" spans="1:43" ht="18" customHeight="1" x14ac:dyDescent="0.15">
      <c r="A21" s="6"/>
      <c r="B21" s="12"/>
      <c r="C21" s="66"/>
      <c r="D21" s="67"/>
      <c r="E21" s="68"/>
      <c r="F21" s="69">
        <f t="shared" si="12"/>
        <v>0</v>
      </c>
      <c r="G21" s="70"/>
      <c r="H21" s="71"/>
      <c r="I21" s="69">
        <f t="shared" si="13"/>
        <v>0</v>
      </c>
      <c r="J21" s="70"/>
      <c r="K21" s="71"/>
      <c r="L21" s="69">
        <f t="shared" si="0"/>
        <v>0</v>
      </c>
      <c r="M21" s="70"/>
      <c r="N21" s="71"/>
      <c r="O21" s="69">
        <f t="shared" si="4"/>
        <v>0</v>
      </c>
      <c r="P21" s="70"/>
      <c r="Q21" s="71"/>
      <c r="R21" s="69">
        <f t="shared" si="14"/>
        <v>0</v>
      </c>
      <c r="S21" s="70"/>
      <c r="T21" s="71"/>
      <c r="U21" s="69">
        <f t="shared" si="5"/>
        <v>0</v>
      </c>
      <c r="V21" s="70"/>
      <c r="W21" s="71"/>
      <c r="X21" s="69">
        <f t="shared" si="15"/>
        <v>0</v>
      </c>
      <c r="Y21" s="70"/>
      <c r="Z21" s="71"/>
      <c r="AA21" s="69">
        <f t="shared" si="6"/>
        <v>0</v>
      </c>
      <c r="AB21" s="70"/>
      <c r="AC21" s="71"/>
      <c r="AD21" s="69">
        <f t="shared" si="7"/>
        <v>0</v>
      </c>
      <c r="AE21" s="70"/>
      <c r="AF21" s="71"/>
      <c r="AG21" s="69">
        <f t="shared" si="8"/>
        <v>0</v>
      </c>
      <c r="AH21" s="70"/>
      <c r="AI21" s="71"/>
      <c r="AJ21" s="69">
        <f t="shared" si="9"/>
        <v>0</v>
      </c>
      <c r="AK21" s="70"/>
      <c r="AL21" s="71"/>
      <c r="AM21" s="69">
        <f t="shared" si="10"/>
        <v>0</v>
      </c>
      <c r="AN21" s="70"/>
      <c r="AO21" s="71"/>
      <c r="AP21" s="67">
        <f t="shared" si="11"/>
        <v>0</v>
      </c>
      <c r="AQ21" s="8" t="e">
        <f t="shared" si="3"/>
        <v>#DIV/0!</v>
      </c>
    </row>
    <row r="22" spans="1:43" ht="18" customHeight="1" x14ac:dyDescent="0.15">
      <c r="A22" s="6"/>
      <c r="B22" s="12"/>
      <c r="C22" s="66"/>
      <c r="D22" s="67"/>
      <c r="E22" s="68"/>
      <c r="F22" s="69">
        <f t="shared" si="12"/>
        <v>0</v>
      </c>
      <c r="G22" s="70"/>
      <c r="H22" s="71"/>
      <c r="I22" s="69">
        <f t="shared" si="13"/>
        <v>0</v>
      </c>
      <c r="J22" s="70"/>
      <c r="K22" s="71"/>
      <c r="L22" s="69">
        <f t="shared" si="0"/>
        <v>0</v>
      </c>
      <c r="M22" s="70"/>
      <c r="N22" s="71"/>
      <c r="O22" s="69">
        <f t="shared" si="4"/>
        <v>0</v>
      </c>
      <c r="P22" s="70"/>
      <c r="Q22" s="71"/>
      <c r="R22" s="69">
        <f t="shared" si="14"/>
        <v>0</v>
      </c>
      <c r="S22" s="70"/>
      <c r="T22" s="71"/>
      <c r="U22" s="69">
        <f t="shared" si="5"/>
        <v>0</v>
      </c>
      <c r="V22" s="70"/>
      <c r="W22" s="71"/>
      <c r="X22" s="69">
        <f t="shared" si="15"/>
        <v>0</v>
      </c>
      <c r="Y22" s="70"/>
      <c r="Z22" s="71"/>
      <c r="AA22" s="69">
        <f t="shared" si="6"/>
        <v>0</v>
      </c>
      <c r="AB22" s="70"/>
      <c r="AC22" s="71"/>
      <c r="AD22" s="69">
        <f t="shared" si="7"/>
        <v>0</v>
      </c>
      <c r="AE22" s="70"/>
      <c r="AF22" s="71"/>
      <c r="AG22" s="69">
        <f t="shared" si="8"/>
        <v>0</v>
      </c>
      <c r="AH22" s="70"/>
      <c r="AI22" s="71"/>
      <c r="AJ22" s="69">
        <f t="shared" si="9"/>
        <v>0</v>
      </c>
      <c r="AK22" s="70"/>
      <c r="AL22" s="71"/>
      <c r="AM22" s="69">
        <f t="shared" si="10"/>
        <v>0</v>
      </c>
      <c r="AN22" s="70"/>
      <c r="AO22" s="71"/>
      <c r="AP22" s="67">
        <f t="shared" si="11"/>
        <v>0</v>
      </c>
      <c r="AQ22" s="8" t="e">
        <f t="shared" si="3"/>
        <v>#DIV/0!</v>
      </c>
    </row>
    <row r="23" spans="1:43" ht="18" customHeight="1" x14ac:dyDescent="0.15">
      <c r="A23" s="6"/>
      <c r="B23" s="12"/>
      <c r="C23" s="66"/>
      <c r="D23" s="67"/>
      <c r="E23" s="68"/>
      <c r="F23" s="69">
        <f t="shared" si="12"/>
        <v>0</v>
      </c>
      <c r="G23" s="70"/>
      <c r="H23" s="71"/>
      <c r="I23" s="69">
        <f t="shared" si="13"/>
        <v>0</v>
      </c>
      <c r="J23" s="70"/>
      <c r="K23" s="71"/>
      <c r="L23" s="69">
        <f t="shared" si="0"/>
        <v>0</v>
      </c>
      <c r="M23" s="70"/>
      <c r="N23" s="71"/>
      <c r="O23" s="69">
        <f t="shared" si="4"/>
        <v>0</v>
      </c>
      <c r="P23" s="70"/>
      <c r="Q23" s="71"/>
      <c r="R23" s="69">
        <f t="shared" si="14"/>
        <v>0</v>
      </c>
      <c r="S23" s="70"/>
      <c r="T23" s="71"/>
      <c r="U23" s="69">
        <f t="shared" si="5"/>
        <v>0</v>
      </c>
      <c r="V23" s="70"/>
      <c r="W23" s="71"/>
      <c r="X23" s="69">
        <f t="shared" si="15"/>
        <v>0</v>
      </c>
      <c r="Y23" s="70"/>
      <c r="Z23" s="71"/>
      <c r="AA23" s="69">
        <f t="shared" si="6"/>
        <v>0</v>
      </c>
      <c r="AB23" s="70"/>
      <c r="AC23" s="71"/>
      <c r="AD23" s="69">
        <f t="shared" si="7"/>
        <v>0</v>
      </c>
      <c r="AE23" s="70"/>
      <c r="AF23" s="71"/>
      <c r="AG23" s="69">
        <f t="shared" si="8"/>
        <v>0</v>
      </c>
      <c r="AH23" s="70"/>
      <c r="AI23" s="71"/>
      <c r="AJ23" s="69">
        <f t="shared" si="9"/>
        <v>0</v>
      </c>
      <c r="AK23" s="70"/>
      <c r="AL23" s="71"/>
      <c r="AM23" s="69">
        <f t="shared" si="10"/>
        <v>0</v>
      </c>
      <c r="AN23" s="70"/>
      <c r="AO23" s="71"/>
      <c r="AP23" s="67">
        <f t="shared" si="11"/>
        <v>0</v>
      </c>
      <c r="AQ23" s="8" t="e">
        <f t="shared" si="3"/>
        <v>#DIV/0!</v>
      </c>
    </row>
    <row r="24" spans="1:43" ht="18" customHeight="1" x14ac:dyDescent="0.15">
      <c r="A24" s="6"/>
      <c r="B24" s="12"/>
      <c r="C24" s="66"/>
      <c r="D24" s="67"/>
      <c r="E24" s="68"/>
      <c r="F24" s="69">
        <f t="shared" si="12"/>
        <v>0</v>
      </c>
      <c r="G24" s="70"/>
      <c r="H24" s="71"/>
      <c r="I24" s="69">
        <f t="shared" si="13"/>
        <v>0</v>
      </c>
      <c r="J24" s="70"/>
      <c r="K24" s="71"/>
      <c r="L24" s="69">
        <f t="shared" si="0"/>
        <v>0</v>
      </c>
      <c r="M24" s="70"/>
      <c r="N24" s="71"/>
      <c r="O24" s="69">
        <f t="shared" si="4"/>
        <v>0</v>
      </c>
      <c r="P24" s="70"/>
      <c r="Q24" s="71"/>
      <c r="R24" s="69">
        <f t="shared" si="14"/>
        <v>0</v>
      </c>
      <c r="S24" s="70"/>
      <c r="T24" s="71"/>
      <c r="U24" s="69">
        <f t="shared" si="5"/>
        <v>0</v>
      </c>
      <c r="V24" s="70"/>
      <c r="W24" s="71"/>
      <c r="X24" s="69">
        <f t="shared" si="15"/>
        <v>0</v>
      </c>
      <c r="Y24" s="70"/>
      <c r="Z24" s="71"/>
      <c r="AA24" s="69">
        <f t="shared" si="6"/>
        <v>0</v>
      </c>
      <c r="AB24" s="70"/>
      <c r="AC24" s="71"/>
      <c r="AD24" s="69">
        <f t="shared" si="7"/>
        <v>0</v>
      </c>
      <c r="AE24" s="70"/>
      <c r="AF24" s="71"/>
      <c r="AG24" s="69">
        <f t="shared" si="8"/>
        <v>0</v>
      </c>
      <c r="AH24" s="70"/>
      <c r="AI24" s="71"/>
      <c r="AJ24" s="69">
        <f t="shared" si="9"/>
        <v>0</v>
      </c>
      <c r="AK24" s="70"/>
      <c r="AL24" s="71"/>
      <c r="AM24" s="69">
        <f t="shared" si="10"/>
        <v>0</v>
      </c>
      <c r="AN24" s="70"/>
      <c r="AO24" s="71"/>
      <c r="AP24" s="67">
        <f t="shared" si="11"/>
        <v>0</v>
      </c>
      <c r="AQ24" s="8" t="e">
        <f t="shared" si="3"/>
        <v>#DIV/0!</v>
      </c>
    </row>
    <row r="25" spans="1:43" ht="18" customHeight="1" x14ac:dyDescent="0.15">
      <c r="A25" s="6"/>
      <c r="B25" s="12"/>
      <c r="C25" s="66"/>
      <c r="D25" s="67"/>
      <c r="E25" s="68"/>
      <c r="F25" s="69">
        <f t="shared" si="12"/>
        <v>0</v>
      </c>
      <c r="G25" s="70"/>
      <c r="H25" s="71"/>
      <c r="I25" s="69">
        <f t="shared" si="13"/>
        <v>0</v>
      </c>
      <c r="J25" s="70"/>
      <c r="K25" s="71"/>
      <c r="L25" s="69">
        <f t="shared" si="0"/>
        <v>0</v>
      </c>
      <c r="M25" s="70"/>
      <c r="N25" s="71"/>
      <c r="O25" s="69">
        <f t="shared" si="4"/>
        <v>0</v>
      </c>
      <c r="P25" s="70"/>
      <c r="Q25" s="71"/>
      <c r="R25" s="69">
        <f t="shared" si="14"/>
        <v>0</v>
      </c>
      <c r="S25" s="70"/>
      <c r="T25" s="71"/>
      <c r="U25" s="69">
        <f t="shared" si="5"/>
        <v>0</v>
      </c>
      <c r="V25" s="70"/>
      <c r="W25" s="71"/>
      <c r="X25" s="69">
        <f t="shared" si="15"/>
        <v>0</v>
      </c>
      <c r="Y25" s="70"/>
      <c r="Z25" s="71"/>
      <c r="AA25" s="69">
        <f t="shared" si="6"/>
        <v>0</v>
      </c>
      <c r="AB25" s="70"/>
      <c r="AC25" s="71"/>
      <c r="AD25" s="69">
        <f t="shared" si="7"/>
        <v>0</v>
      </c>
      <c r="AE25" s="70"/>
      <c r="AF25" s="71"/>
      <c r="AG25" s="69">
        <f t="shared" si="8"/>
        <v>0</v>
      </c>
      <c r="AH25" s="70"/>
      <c r="AI25" s="71"/>
      <c r="AJ25" s="69">
        <f t="shared" si="9"/>
        <v>0</v>
      </c>
      <c r="AK25" s="70"/>
      <c r="AL25" s="71"/>
      <c r="AM25" s="69">
        <f t="shared" si="10"/>
        <v>0</v>
      </c>
      <c r="AN25" s="70"/>
      <c r="AO25" s="71"/>
      <c r="AP25" s="67">
        <f t="shared" si="11"/>
        <v>0</v>
      </c>
      <c r="AQ25" s="8" t="e">
        <f t="shared" si="3"/>
        <v>#DIV/0!</v>
      </c>
    </row>
    <row r="26" spans="1:43" ht="18" customHeight="1" x14ac:dyDescent="0.15">
      <c r="A26" s="6"/>
      <c r="B26" s="12"/>
      <c r="C26" s="66"/>
      <c r="D26" s="67"/>
      <c r="E26" s="68"/>
      <c r="F26" s="69">
        <f t="shared" si="12"/>
        <v>0</v>
      </c>
      <c r="G26" s="70"/>
      <c r="H26" s="71"/>
      <c r="I26" s="69">
        <f t="shared" si="13"/>
        <v>0</v>
      </c>
      <c r="J26" s="70"/>
      <c r="K26" s="71"/>
      <c r="L26" s="69">
        <f t="shared" si="0"/>
        <v>0</v>
      </c>
      <c r="M26" s="70"/>
      <c r="N26" s="71"/>
      <c r="O26" s="69">
        <f t="shared" si="4"/>
        <v>0</v>
      </c>
      <c r="P26" s="70"/>
      <c r="Q26" s="71"/>
      <c r="R26" s="69">
        <f t="shared" si="14"/>
        <v>0</v>
      </c>
      <c r="S26" s="70"/>
      <c r="T26" s="71"/>
      <c r="U26" s="69">
        <f t="shared" si="5"/>
        <v>0</v>
      </c>
      <c r="V26" s="70"/>
      <c r="W26" s="71"/>
      <c r="X26" s="69">
        <f t="shared" si="15"/>
        <v>0</v>
      </c>
      <c r="Y26" s="70"/>
      <c r="Z26" s="71"/>
      <c r="AA26" s="69">
        <f t="shared" si="6"/>
        <v>0</v>
      </c>
      <c r="AB26" s="70"/>
      <c r="AC26" s="71"/>
      <c r="AD26" s="69">
        <f t="shared" si="7"/>
        <v>0</v>
      </c>
      <c r="AE26" s="70"/>
      <c r="AF26" s="71"/>
      <c r="AG26" s="69">
        <f t="shared" si="8"/>
        <v>0</v>
      </c>
      <c r="AH26" s="70"/>
      <c r="AI26" s="71"/>
      <c r="AJ26" s="69">
        <f t="shared" si="9"/>
        <v>0</v>
      </c>
      <c r="AK26" s="70"/>
      <c r="AL26" s="71"/>
      <c r="AM26" s="69">
        <f t="shared" si="10"/>
        <v>0</v>
      </c>
      <c r="AN26" s="70"/>
      <c r="AO26" s="71"/>
      <c r="AP26" s="67">
        <f t="shared" si="11"/>
        <v>0</v>
      </c>
      <c r="AQ26" s="8" t="e">
        <f t="shared" si="3"/>
        <v>#DIV/0!</v>
      </c>
    </row>
    <row r="27" spans="1:43" ht="18" customHeight="1" x14ac:dyDescent="0.15">
      <c r="A27" s="6"/>
      <c r="B27" s="12"/>
      <c r="C27" s="66"/>
      <c r="D27" s="67"/>
      <c r="E27" s="68"/>
      <c r="F27" s="69">
        <f t="shared" si="12"/>
        <v>0</v>
      </c>
      <c r="G27" s="70"/>
      <c r="H27" s="71"/>
      <c r="I27" s="69">
        <f t="shared" si="13"/>
        <v>0</v>
      </c>
      <c r="J27" s="70"/>
      <c r="K27" s="71"/>
      <c r="L27" s="69">
        <f t="shared" si="0"/>
        <v>0</v>
      </c>
      <c r="M27" s="70"/>
      <c r="N27" s="71"/>
      <c r="O27" s="69">
        <f t="shared" si="4"/>
        <v>0</v>
      </c>
      <c r="P27" s="70"/>
      <c r="Q27" s="71"/>
      <c r="R27" s="69">
        <f t="shared" si="14"/>
        <v>0</v>
      </c>
      <c r="S27" s="70"/>
      <c r="T27" s="71"/>
      <c r="U27" s="69">
        <f t="shared" si="5"/>
        <v>0</v>
      </c>
      <c r="V27" s="70"/>
      <c r="W27" s="71"/>
      <c r="X27" s="69">
        <f t="shared" si="15"/>
        <v>0</v>
      </c>
      <c r="Y27" s="70"/>
      <c r="Z27" s="71"/>
      <c r="AA27" s="69">
        <f t="shared" si="6"/>
        <v>0</v>
      </c>
      <c r="AB27" s="70"/>
      <c r="AC27" s="71"/>
      <c r="AD27" s="69">
        <f t="shared" si="7"/>
        <v>0</v>
      </c>
      <c r="AE27" s="70"/>
      <c r="AF27" s="71"/>
      <c r="AG27" s="69">
        <f t="shared" si="8"/>
        <v>0</v>
      </c>
      <c r="AH27" s="70"/>
      <c r="AI27" s="71"/>
      <c r="AJ27" s="69">
        <f t="shared" si="9"/>
        <v>0</v>
      </c>
      <c r="AK27" s="70"/>
      <c r="AL27" s="71"/>
      <c r="AM27" s="69">
        <f t="shared" si="10"/>
        <v>0</v>
      </c>
      <c r="AN27" s="70"/>
      <c r="AO27" s="71"/>
      <c r="AP27" s="67">
        <f t="shared" si="11"/>
        <v>0</v>
      </c>
      <c r="AQ27" s="8" t="e">
        <f t="shared" si="3"/>
        <v>#DIV/0!</v>
      </c>
    </row>
    <row r="28" spans="1:43" ht="18" customHeight="1" x14ac:dyDescent="0.15">
      <c r="A28" s="6"/>
      <c r="B28" s="12"/>
      <c r="C28" s="66"/>
      <c r="D28" s="67"/>
      <c r="E28" s="68"/>
      <c r="F28" s="69">
        <f t="shared" si="12"/>
        <v>0</v>
      </c>
      <c r="G28" s="70"/>
      <c r="H28" s="71"/>
      <c r="I28" s="69">
        <f t="shared" si="13"/>
        <v>0</v>
      </c>
      <c r="J28" s="70"/>
      <c r="K28" s="71"/>
      <c r="L28" s="69">
        <f t="shared" si="0"/>
        <v>0</v>
      </c>
      <c r="M28" s="70"/>
      <c r="N28" s="71"/>
      <c r="O28" s="69">
        <f t="shared" si="4"/>
        <v>0</v>
      </c>
      <c r="P28" s="70"/>
      <c r="Q28" s="71"/>
      <c r="R28" s="69">
        <f t="shared" si="14"/>
        <v>0</v>
      </c>
      <c r="S28" s="70"/>
      <c r="T28" s="71"/>
      <c r="U28" s="69">
        <f t="shared" si="5"/>
        <v>0</v>
      </c>
      <c r="V28" s="70"/>
      <c r="W28" s="71"/>
      <c r="X28" s="69">
        <f t="shared" si="15"/>
        <v>0</v>
      </c>
      <c r="Y28" s="70"/>
      <c r="Z28" s="71"/>
      <c r="AA28" s="69">
        <f t="shared" si="6"/>
        <v>0</v>
      </c>
      <c r="AB28" s="70"/>
      <c r="AC28" s="71"/>
      <c r="AD28" s="69">
        <f t="shared" si="7"/>
        <v>0</v>
      </c>
      <c r="AE28" s="70"/>
      <c r="AF28" s="71"/>
      <c r="AG28" s="69">
        <f t="shared" si="8"/>
        <v>0</v>
      </c>
      <c r="AH28" s="70"/>
      <c r="AI28" s="71"/>
      <c r="AJ28" s="69">
        <f t="shared" si="9"/>
        <v>0</v>
      </c>
      <c r="AK28" s="70"/>
      <c r="AL28" s="71"/>
      <c r="AM28" s="69">
        <f t="shared" si="10"/>
        <v>0</v>
      </c>
      <c r="AN28" s="70"/>
      <c r="AO28" s="71"/>
      <c r="AP28" s="67">
        <f t="shared" si="11"/>
        <v>0</v>
      </c>
      <c r="AQ28" s="8" t="e">
        <f t="shared" si="3"/>
        <v>#DIV/0!</v>
      </c>
    </row>
    <row r="29" spans="1:43" ht="18" customHeight="1" x14ac:dyDescent="0.15">
      <c r="A29" s="6"/>
      <c r="B29" s="12"/>
      <c r="C29" s="66"/>
      <c r="D29" s="72"/>
      <c r="E29" s="68"/>
      <c r="F29" s="69">
        <f t="shared" si="12"/>
        <v>0</v>
      </c>
      <c r="G29" s="70"/>
      <c r="H29" s="71"/>
      <c r="I29" s="69">
        <f t="shared" si="13"/>
        <v>0</v>
      </c>
      <c r="J29" s="70"/>
      <c r="K29" s="71"/>
      <c r="L29" s="69">
        <f t="shared" si="0"/>
        <v>0</v>
      </c>
      <c r="M29" s="70"/>
      <c r="N29" s="71"/>
      <c r="O29" s="69">
        <f t="shared" si="4"/>
        <v>0</v>
      </c>
      <c r="P29" s="70"/>
      <c r="Q29" s="71"/>
      <c r="R29" s="69">
        <f t="shared" si="14"/>
        <v>0</v>
      </c>
      <c r="S29" s="70"/>
      <c r="T29" s="71"/>
      <c r="U29" s="69">
        <f t="shared" si="5"/>
        <v>0</v>
      </c>
      <c r="V29" s="70"/>
      <c r="W29" s="71"/>
      <c r="X29" s="69">
        <f t="shared" si="15"/>
        <v>0</v>
      </c>
      <c r="Y29" s="70"/>
      <c r="Z29" s="71"/>
      <c r="AA29" s="69">
        <f t="shared" si="6"/>
        <v>0</v>
      </c>
      <c r="AB29" s="70"/>
      <c r="AC29" s="71"/>
      <c r="AD29" s="69">
        <f t="shared" si="7"/>
        <v>0</v>
      </c>
      <c r="AE29" s="70"/>
      <c r="AF29" s="71"/>
      <c r="AG29" s="69">
        <f t="shared" si="8"/>
        <v>0</v>
      </c>
      <c r="AH29" s="70"/>
      <c r="AI29" s="71"/>
      <c r="AJ29" s="69">
        <f t="shared" si="9"/>
        <v>0</v>
      </c>
      <c r="AK29" s="70"/>
      <c r="AL29" s="71"/>
      <c r="AM29" s="69">
        <f t="shared" si="10"/>
        <v>0</v>
      </c>
      <c r="AN29" s="70"/>
      <c r="AO29" s="71"/>
      <c r="AP29" s="72">
        <f t="shared" si="11"/>
        <v>0</v>
      </c>
      <c r="AQ29" s="8" t="e">
        <f t="shared" si="3"/>
        <v>#DIV/0!</v>
      </c>
    </row>
    <row r="30" spans="1:43" ht="18" customHeight="1" x14ac:dyDescent="0.15">
      <c r="A30" s="6"/>
      <c r="B30" s="12"/>
      <c r="C30" s="66"/>
      <c r="D30" s="72"/>
      <c r="E30" s="68"/>
      <c r="F30" s="69">
        <f t="shared" si="12"/>
        <v>0</v>
      </c>
      <c r="G30" s="70"/>
      <c r="H30" s="71"/>
      <c r="I30" s="69">
        <f t="shared" si="13"/>
        <v>0</v>
      </c>
      <c r="J30" s="70"/>
      <c r="K30" s="71"/>
      <c r="L30" s="69">
        <f t="shared" si="0"/>
        <v>0</v>
      </c>
      <c r="M30" s="70"/>
      <c r="N30" s="71"/>
      <c r="O30" s="69">
        <f t="shared" si="4"/>
        <v>0</v>
      </c>
      <c r="P30" s="70"/>
      <c r="Q30" s="71"/>
      <c r="R30" s="69">
        <f t="shared" si="14"/>
        <v>0</v>
      </c>
      <c r="S30" s="70"/>
      <c r="T30" s="71"/>
      <c r="U30" s="69">
        <f t="shared" si="5"/>
        <v>0</v>
      </c>
      <c r="V30" s="70"/>
      <c r="W30" s="71"/>
      <c r="X30" s="69">
        <f t="shared" si="15"/>
        <v>0</v>
      </c>
      <c r="Y30" s="70"/>
      <c r="Z30" s="71"/>
      <c r="AA30" s="69">
        <f t="shared" si="6"/>
        <v>0</v>
      </c>
      <c r="AB30" s="70"/>
      <c r="AC30" s="71"/>
      <c r="AD30" s="69">
        <f t="shared" si="7"/>
        <v>0</v>
      </c>
      <c r="AE30" s="70"/>
      <c r="AF30" s="71"/>
      <c r="AG30" s="69">
        <f t="shared" si="8"/>
        <v>0</v>
      </c>
      <c r="AH30" s="70"/>
      <c r="AI30" s="71"/>
      <c r="AJ30" s="69">
        <f t="shared" si="9"/>
        <v>0</v>
      </c>
      <c r="AK30" s="70"/>
      <c r="AL30" s="71"/>
      <c r="AM30" s="69">
        <f t="shared" si="10"/>
        <v>0</v>
      </c>
      <c r="AN30" s="70"/>
      <c r="AO30" s="71"/>
      <c r="AP30" s="72">
        <f t="shared" si="11"/>
        <v>0</v>
      </c>
      <c r="AQ30" s="8" t="e">
        <f t="shared" si="3"/>
        <v>#DIV/0!</v>
      </c>
    </row>
    <row r="31" spans="1:43" ht="18" customHeight="1" thickBot="1" x14ac:dyDescent="0.2">
      <c r="A31" s="6"/>
      <c r="B31" s="13"/>
      <c r="C31" s="61"/>
      <c r="D31" s="73"/>
      <c r="E31" s="63"/>
      <c r="F31" s="63">
        <f t="shared" si="12"/>
        <v>0</v>
      </c>
      <c r="G31" s="74"/>
      <c r="H31" s="75"/>
      <c r="I31" s="63">
        <f t="shared" si="13"/>
        <v>0</v>
      </c>
      <c r="J31" s="74"/>
      <c r="K31" s="75"/>
      <c r="L31" s="63">
        <f t="shared" si="0"/>
        <v>0</v>
      </c>
      <c r="M31" s="74"/>
      <c r="N31" s="75"/>
      <c r="O31" s="63">
        <f t="shared" si="4"/>
        <v>0</v>
      </c>
      <c r="P31" s="74"/>
      <c r="Q31" s="75"/>
      <c r="R31" s="63">
        <f t="shared" si="14"/>
        <v>0</v>
      </c>
      <c r="S31" s="74"/>
      <c r="T31" s="75"/>
      <c r="U31" s="63">
        <f t="shared" si="5"/>
        <v>0</v>
      </c>
      <c r="V31" s="74"/>
      <c r="W31" s="75"/>
      <c r="X31" s="63">
        <f t="shared" si="15"/>
        <v>0</v>
      </c>
      <c r="Y31" s="74"/>
      <c r="Z31" s="75"/>
      <c r="AA31" s="63">
        <f t="shared" si="6"/>
        <v>0</v>
      </c>
      <c r="AB31" s="74"/>
      <c r="AC31" s="75"/>
      <c r="AD31" s="63">
        <f t="shared" si="7"/>
        <v>0</v>
      </c>
      <c r="AE31" s="74"/>
      <c r="AF31" s="75"/>
      <c r="AG31" s="63">
        <f t="shared" si="8"/>
        <v>0</v>
      </c>
      <c r="AH31" s="74"/>
      <c r="AI31" s="75"/>
      <c r="AJ31" s="63">
        <f t="shared" si="9"/>
        <v>0</v>
      </c>
      <c r="AK31" s="74"/>
      <c r="AL31" s="75"/>
      <c r="AM31" s="63">
        <f t="shared" si="10"/>
        <v>0</v>
      </c>
      <c r="AN31" s="74"/>
      <c r="AO31" s="75"/>
      <c r="AP31" s="73">
        <f t="shared" si="11"/>
        <v>0</v>
      </c>
      <c r="AQ31" s="7" t="e">
        <f t="shared" si="3"/>
        <v>#DIV/0!</v>
      </c>
    </row>
    <row r="32" spans="1:43" ht="18" customHeight="1" thickTop="1" x14ac:dyDescent="0.15">
      <c r="B32" s="14" t="s">
        <v>33</v>
      </c>
      <c r="C32" s="76">
        <f t="shared" ref="C32:AI32" si="16">SUM(C12:C31)</f>
        <v>1443</v>
      </c>
      <c r="D32" s="77">
        <f t="shared" si="16"/>
        <v>345</v>
      </c>
      <c r="E32" s="78">
        <f t="shared" si="16"/>
        <v>1380</v>
      </c>
      <c r="F32" s="78">
        <f t="shared" si="16"/>
        <v>348</v>
      </c>
      <c r="G32" s="79">
        <f t="shared" si="16"/>
        <v>0</v>
      </c>
      <c r="H32" s="80">
        <f t="shared" si="16"/>
        <v>0</v>
      </c>
      <c r="I32" s="78">
        <f t="shared" si="16"/>
        <v>330</v>
      </c>
      <c r="J32" s="79">
        <f t="shared" si="16"/>
        <v>0</v>
      </c>
      <c r="K32" s="80">
        <f t="shared" si="16"/>
        <v>0</v>
      </c>
      <c r="L32" s="78">
        <f t="shared" si="16"/>
        <v>0</v>
      </c>
      <c r="M32" s="79">
        <f t="shared" si="16"/>
        <v>0</v>
      </c>
      <c r="N32" s="80">
        <f t="shared" si="16"/>
        <v>0</v>
      </c>
      <c r="O32" s="78">
        <f t="shared" si="16"/>
        <v>0</v>
      </c>
      <c r="P32" s="79">
        <f t="shared" si="16"/>
        <v>0</v>
      </c>
      <c r="Q32" s="80">
        <f t="shared" si="16"/>
        <v>0</v>
      </c>
      <c r="R32" s="78">
        <f t="shared" si="16"/>
        <v>0</v>
      </c>
      <c r="S32" s="79">
        <f t="shared" si="16"/>
        <v>0</v>
      </c>
      <c r="T32" s="80">
        <f t="shared" si="16"/>
        <v>0</v>
      </c>
      <c r="U32" s="78">
        <f t="shared" si="16"/>
        <v>0</v>
      </c>
      <c r="V32" s="79">
        <f t="shared" si="16"/>
        <v>0</v>
      </c>
      <c r="W32" s="80">
        <f t="shared" si="16"/>
        <v>0</v>
      </c>
      <c r="X32" s="78">
        <f t="shared" si="16"/>
        <v>0</v>
      </c>
      <c r="Y32" s="79">
        <f t="shared" si="16"/>
        <v>0</v>
      </c>
      <c r="Z32" s="80">
        <f t="shared" si="16"/>
        <v>0</v>
      </c>
      <c r="AA32" s="78">
        <f t="shared" si="16"/>
        <v>0</v>
      </c>
      <c r="AB32" s="79">
        <f t="shared" si="16"/>
        <v>0</v>
      </c>
      <c r="AC32" s="80">
        <f t="shared" si="16"/>
        <v>0</v>
      </c>
      <c r="AD32" s="78">
        <f t="shared" si="16"/>
        <v>0</v>
      </c>
      <c r="AE32" s="79">
        <f t="shared" si="16"/>
        <v>0</v>
      </c>
      <c r="AF32" s="80">
        <f t="shared" si="16"/>
        <v>0</v>
      </c>
      <c r="AG32" s="78">
        <f t="shared" si="16"/>
        <v>0</v>
      </c>
      <c r="AH32" s="79">
        <f t="shared" si="16"/>
        <v>0</v>
      </c>
      <c r="AI32" s="80">
        <f t="shared" si="16"/>
        <v>0</v>
      </c>
      <c r="AJ32" s="78">
        <f t="shared" ref="AJ32:AO32" si="17">SUM(AJ12:AJ31)</f>
        <v>0</v>
      </c>
      <c r="AK32" s="79">
        <f t="shared" si="17"/>
        <v>0</v>
      </c>
      <c r="AL32" s="80">
        <f t="shared" si="17"/>
        <v>0</v>
      </c>
      <c r="AM32" s="78">
        <f t="shared" si="17"/>
        <v>0</v>
      </c>
      <c r="AN32" s="79">
        <f t="shared" si="17"/>
        <v>0</v>
      </c>
      <c r="AO32" s="80">
        <f t="shared" si="17"/>
        <v>0</v>
      </c>
      <c r="AP32" s="77">
        <f>SUM(AP12:AP31)</f>
        <v>348</v>
      </c>
      <c r="AQ32" s="9">
        <f t="shared" si="3"/>
        <v>0.25217391304347825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Layout" topLeftCell="A67" zoomScaleNormal="100" zoomScaleSheetLayoutView="100" workbookViewId="0">
      <selection activeCell="B35" sqref="B35:I46"/>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65</v>
      </c>
      <c r="I1" s="34" t="s">
        <v>106</v>
      </c>
    </row>
    <row r="2" spans="1:9" ht="18.75" customHeight="1" x14ac:dyDescent="0.15">
      <c r="G2" s="34" t="s">
        <v>109</v>
      </c>
      <c r="H2" s="100" t="str">
        <f>'様式１　プログラムを構成する授業科目'!C2</f>
        <v>関西福祉大学</v>
      </c>
      <c r="I2" s="102"/>
    </row>
    <row r="3" spans="1:9" ht="18.75" customHeight="1" x14ac:dyDescent="0.15">
      <c r="G3" s="34"/>
      <c r="H3" s="10"/>
      <c r="I3" s="10"/>
    </row>
    <row r="4" spans="1:9" ht="18.600000000000001" customHeight="1" x14ac:dyDescent="0.15">
      <c r="A4" s="111" t="s">
        <v>36</v>
      </c>
      <c r="B4" s="111"/>
      <c r="C4" s="111"/>
      <c r="D4" s="111"/>
      <c r="E4" s="111"/>
      <c r="F4" s="111"/>
      <c r="G4" s="111"/>
      <c r="H4" s="111"/>
      <c r="I4" s="111"/>
    </row>
    <row r="5" spans="1:9" ht="13.15" customHeight="1" x14ac:dyDescent="0.15">
      <c r="B5" s="3"/>
      <c r="C5" s="3"/>
      <c r="D5" s="3"/>
      <c r="E5" s="3"/>
      <c r="F5" s="3"/>
      <c r="G5" s="3"/>
      <c r="H5" s="3"/>
      <c r="I5" s="3"/>
    </row>
    <row r="6" spans="1:9" ht="18" customHeight="1" x14ac:dyDescent="0.15">
      <c r="A6" s="1" t="s">
        <v>0</v>
      </c>
      <c r="B6" s="10" t="s">
        <v>91</v>
      </c>
      <c r="C6" s="218" t="s">
        <v>92</v>
      </c>
      <c r="D6" s="218"/>
      <c r="E6" s="33">
        <v>80</v>
      </c>
      <c r="F6" s="3" t="s">
        <v>1</v>
      </c>
      <c r="G6" s="3" t="s">
        <v>2</v>
      </c>
      <c r="H6" s="33">
        <v>79</v>
      </c>
      <c r="I6" s="10" t="s">
        <v>1</v>
      </c>
    </row>
    <row r="7" spans="1:9" ht="12" customHeight="1" x14ac:dyDescent="0.15">
      <c r="C7" s="2"/>
      <c r="D7" s="2"/>
      <c r="E7" s="2"/>
      <c r="F7" s="2"/>
      <c r="G7" s="2"/>
      <c r="H7" s="2"/>
      <c r="I7" s="41"/>
    </row>
    <row r="8" spans="1:9" ht="18" customHeight="1" x14ac:dyDescent="0.15">
      <c r="A8" s="1" t="s">
        <v>3</v>
      </c>
      <c r="B8" s="10" t="s">
        <v>93</v>
      </c>
      <c r="E8" s="3"/>
      <c r="F8" s="3"/>
      <c r="G8" s="3"/>
      <c r="H8" s="33">
        <v>12</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4" t="s">
        <v>43</v>
      </c>
      <c r="C11" s="213" t="s">
        <v>158</v>
      </c>
      <c r="D11" s="216"/>
      <c r="E11" s="217"/>
      <c r="F11" s="41"/>
      <c r="G11" s="34" t="s">
        <v>10</v>
      </c>
      <c r="H11" s="213" t="s">
        <v>157</v>
      </c>
      <c r="I11" s="217"/>
    </row>
    <row r="12" spans="1:9" ht="10.15" customHeight="1" x14ac:dyDescent="0.15">
      <c r="B12" s="34"/>
      <c r="C12" s="10"/>
      <c r="D12" s="41"/>
      <c r="E12" s="41"/>
      <c r="F12" s="41"/>
      <c r="G12" s="34"/>
      <c r="H12" s="10"/>
      <c r="I12" s="41"/>
    </row>
    <row r="13" spans="1:9" ht="18" customHeight="1" x14ac:dyDescent="0.15">
      <c r="A13" s="1" t="s">
        <v>7</v>
      </c>
      <c r="B13" s="10" t="s">
        <v>88</v>
      </c>
      <c r="C13" s="3"/>
      <c r="D13" s="3"/>
      <c r="E13" s="3"/>
      <c r="F13" s="3"/>
      <c r="G13" s="3"/>
      <c r="H13" s="3"/>
      <c r="I13" s="3"/>
    </row>
    <row r="14" spans="1:9" ht="18" customHeight="1" x14ac:dyDescent="0.15">
      <c r="B14" s="213" t="s">
        <v>162</v>
      </c>
      <c r="C14" s="214"/>
      <c r="D14" s="214"/>
      <c r="E14" s="214"/>
      <c r="F14" s="214"/>
      <c r="G14" s="214"/>
      <c r="H14" s="214"/>
      <c r="I14" s="215"/>
    </row>
    <row r="15" spans="1:9" ht="9" customHeight="1" x14ac:dyDescent="0.15">
      <c r="B15" s="3"/>
      <c r="C15" s="3"/>
      <c r="D15" s="3"/>
      <c r="E15" s="3"/>
      <c r="F15" s="3"/>
      <c r="G15" s="3"/>
      <c r="H15" s="3"/>
      <c r="I15" s="3"/>
    </row>
    <row r="16" spans="1:9" ht="18" customHeight="1" x14ac:dyDescent="0.15">
      <c r="B16" s="34" t="s">
        <v>43</v>
      </c>
      <c r="C16" s="213" t="s">
        <v>159</v>
      </c>
      <c r="D16" s="216"/>
      <c r="E16" s="217"/>
      <c r="F16" s="41"/>
      <c r="G16" s="34" t="s">
        <v>10</v>
      </c>
      <c r="H16" s="213" t="s">
        <v>140</v>
      </c>
      <c r="I16" s="217"/>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05" t="s">
        <v>141</v>
      </c>
      <c r="C19" s="206"/>
      <c r="D19" s="206"/>
      <c r="E19" s="206"/>
      <c r="F19" s="206"/>
      <c r="G19" s="206"/>
      <c r="H19" s="206"/>
      <c r="I19" s="207"/>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95" t="s">
        <v>142</v>
      </c>
      <c r="C22" s="196"/>
      <c r="D22" s="196"/>
      <c r="E22" s="196"/>
      <c r="F22" s="196"/>
      <c r="G22" s="196"/>
      <c r="H22" s="196"/>
      <c r="I22" s="197"/>
    </row>
    <row r="23" spans="1:9" ht="18.75" customHeight="1" x14ac:dyDescent="0.15">
      <c r="A23" s="15"/>
      <c r="B23" s="208"/>
      <c r="C23" s="209"/>
      <c r="D23" s="209"/>
      <c r="E23" s="209"/>
      <c r="F23" s="209"/>
      <c r="G23" s="209"/>
      <c r="H23" s="209"/>
      <c r="I23" s="200"/>
    </row>
    <row r="24" spans="1:9" ht="18.75" customHeight="1" x14ac:dyDescent="0.15">
      <c r="A24" s="15"/>
      <c r="B24" s="208"/>
      <c r="C24" s="209"/>
      <c r="D24" s="209"/>
      <c r="E24" s="209"/>
      <c r="F24" s="209"/>
      <c r="G24" s="209"/>
      <c r="H24" s="209"/>
      <c r="I24" s="200"/>
    </row>
    <row r="25" spans="1:9" ht="18.75" customHeight="1" x14ac:dyDescent="0.15">
      <c r="A25" s="15"/>
      <c r="B25" s="208"/>
      <c r="C25" s="209"/>
      <c r="D25" s="209"/>
      <c r="E25" s="209"/>
      <c r="F25" s="209"/>
      <c r="G25" s="209"/>
      <c r="H25" s="209"/>
      <c r="I25" s="200"/>
    </row>
    <row r="26" spans="1:9" ht="18.75" customHeight="1" x14ac:dyDescent="0.15">
      <c r="A26" s="15"/>
      <c r="B26" s="208"/>
      <c r="C26" s="209"/>
      <c r="D26" s="209"/>
      <c r="E26" s="209"/>
      <c r="F26" s="209"/>
      <c r="G26" s="209"/>
      <c r="H26" s="209"/>
      <c r="I26" s="200"/>
    </row>
    <row r="27" spans="1:9" ht="18.75" customHeight="1" x14ac:dyDescent="0.15">
      <c r="A27" s="15"/>
      <c r="B27" s="208"/>
      <c r="C27" s="209"/>
      <c r="D27" s="209"/>
      <c r="E27" s="209"/>
      <c r="F27" s="209"/>
      <c r="G27" s="209"/>
      <c r="H27" s="209"/>
      <c r="I27" s="200"/>
    </row>
    <row r="28" spans="1:9" ht="18.75" customHeight="1" x14ac:dyDescent="0.15">
      <c r="A28" s="15"/>
      <c r="B28" s="208"/>
      <c r="C28" s="209"/>
      <c r="D28" s="209"/>
      <c r="E28" s="209"/>
      <c r="F28" s="209"/>
      <c r="G28" s="209"/>
      <c r="H28" s="209"/>
      <c r="I28" s="200"/>
    </row>
    <row r="29" spans="1:9" ht="18.75" customHeight="1" x14ac:dyDescent="0.15">
      <c r="A29" s="15"/>
      <c r="B29" s="208"/>
      <c r="C29" s="209"/>
      <c r="D29" s="209"/>
      <c r="E29" s="209"/>
      <c r="F29" s="209"/>
      <c r="G29" s="209"/>
      <c r="H29" s="209"/>
      <c r="I29" s="200"/>
    </row>
    <row r="30" spans="1:9" ht="18.75" customHeight="1" x14ac:dyDescent="0.15">
      <c r="A30" s="15"/>
      <c r="B30" s="198"/>
      <c r="C30" s="199"/>
      <c r="D30" s="199"/>
      <c r="E30" s="199"/>
      <c r="F30" s="199"/>
      <c r="G30" s="199"/>
      <c r="H30" s="199"/>
      <c r="I30" s="200"/>
    </row>
    <row r="31" spans="1:9" ht="18.75" customHeight="1" x14ac:dyDescent="0.15">
      <c r="A31" s="15"/>
      <c r="B31" s="198"/>
      <c r="C31" s="199"/>
      <c r="D31" s="199"/>
      <c r="E31" s="199"/>
      <c r="F31" s="199"/>
      <c r="G31" s="199"/>
      <c r="H31" s="199"/>
      <c r="I31" s="200"/>
    </row>
    <row r="32" spans="1:9" ht="18.75" customHeight="1" x14ac:dyDescent="0.15">
      <c r="A32" s="15"/>
      <c r="B32" s="201"/>
      <c r="C32" s="202"/>
      <c r="D32" s="202"/>
      <c r="E32" s="202"/>
      <c r="F32" s="202"/>
      <c r="G32" s="202"/>
      <c r="H32" s="202"/>
      <c r="I32" s="203"/>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95" t="s">
        <v>143</v>
      </c>
      <c r="C35" s="196"/>
      <c r="D35" s="196"/>
      <c r="E35" s="196"/>
      <c r="F35" s="196"/>
      <c r="G35" s="196"/>
      <c r="H35" s="196"/>
      <c r="I35" s="197"/>
    </row>
    <row r="36" spans="1:9" ht="18.75" customHeight="1" x14ac:dyDescent="0.15">
      <c r="A36" s="15"/>
      <c r="B36" s="198"/>
      <c r="C36" s="199"/>
      <c r="D36" s="199"/>
      <c r="E36" s="199"/>
      <c r="F36" s="199"/>
      <c r="G36" s="199"/>
      <c r="H36" s="199"/>
      <c r="I36" s="200"/>
    </row>
    <row r="37" spans="1:9" ht="18.75" customHeight="1" x14ac:dyDescent="0.15">
      <c r="A37" s="15"/>
      <c r="B37" s="198"/>
      <c r="C37" s="199"/>
      <c r="D37" s="199"/>
      <c r="E37" s="199"/>
      <c r="F37" s="199"/>
      <c r="G37" s="199"/>
      <c r="H37" s="199"/>
      <c r="I37" s="200"/>
    </row>
    <row r="38" spans="1:9" ht="18.75" customHeight="1" x14ac:dyDescent="0.15">
      <c r="A38" s="15"/>
      <c r="B38" s="198"/>
      <c r="C38" s="199"/>
      <c r="D38" s="199"/>
      <c r="E38" s="199"/>
      <c r="F38" s="199"/>
      <c r="G38" s="199"/>
      <c r="H38" s="199"/>
      <c r="I38" s="200"/>
    </row>
    <row r="39" spans="1:9" ht="18.75" customHeight="1" x14ac:dyDescent="0.15">
      <c r="A39" s="15"/>
      <c r="B39" s="198"/>
      <c r="C39" s="199"/>
      <c r="D39" s="199"/>
      <c r="E39" s="199"/>
      <c r="F39" s="199"/>
      <c r="G39" s="199"/>
      <c r="H39" s="199"/>
      <c r="I39" s="200"/>
    </row>
    <row r="40" spans="1:9" ht="18.75" customHeight="1" x14ac:dyDescent="0.15">
      <c r="A40" s="15"/>
      <c r="B40" s="198"/>
      <c r="C40" s="199"/>
      <c r="D40" s="199"/>
      <c r="E40" s="199"/>
      <c r="F40" s="199"/>
      <c r="G40" s="199"/>
      <c r="H40" s="199"/>
      <c r="I40" s="200"/>
    </row>
    <row r="41" spans="1:9" ht="18.75" customHeight="1" x14ac:dyDescent="0.15">
      <c r="A41" s="15"/>
      <c r="B41" s="198"/>
      <c r="C41" s="199"/>
      <c r="D41" s="199"/>
      <c r="E41" s="199"/>
      <c r="F41" s="199"/>
      <c r="G41" s="199"/>
      <c r="H41" s="199"/>
      <c r="I41" s="200"/>
    </row>
    <row r="42" spans="1:9" ht="18.75" customHeight="1" x14ac:dyDescent="0.15">
      <c r="A42" s="15"/>
      <c r="B42" s="198"/>
      <c r="C42" s="199"/>
      <c r="D42" s="199"/>
      <c r="E42" s="199"/>
      <c r="F42" s="199"/>
      <c r="G42" s="199"/>
      <c r="H42" s="199"/>
      <c r="I42" s="200"/>
    </row>
    <row r="43" spans="1:9" ht="18.75" customHeight="1" x14ac:dyDescent="0.15">
      <c r="A43" s="15"/>
      <c r="B43" s="198"/>
      <c r="C43" s="199"/>
      <c r="D43" s="199"/>
      <c r="E43" s="199"/>
      <c r="F43" s="199"/>
      <c r="G43" s="199"/>
      <c r="H43" s="199"/>
      <c r="I43" s="200"/>
    </row>
    <row r="44" spans="1:9" ht="18.75" customHeight="1" x14ac:dyDescent="0.15">
      <c r="A44" s="15"/>
      <c r="B44" s="198"/>
      <c r="C44" s="199"/>
      <c r="D44" s="199"/>
      <c r="E44" s="199"/>
      <c r="F44" s="199"/>
      <c r="G44" s="199"/>
      <c r="H44" s="199"/>
      <c r="I44" s="200"/>
    </row>
    <row r="45" spans="1:9" ht="18.75" customHeight="1" x14ac:dyDescent="0.15">
      <c r="A45" s="15"/>
      <c r="B45" s="198"/>
      <c r="C45" s="199"/>
      <c r="D45" s="199"/>
      <c r="E45" s="199"/>
      <c r="F45" s="199"/>
      <c r="G45" s="199"/>
      <c r="H45" s="199"/>
      <c r="I45" s="200"/>
    </row>
    <row r="46" spans="1:9" ht="18.75" customHeight="1" x14ac:dyDescent="0.15">
      <c r="A46" s="15"/>
      <c r="B46" s="201"/>
      <c r="C46" s="202"/>
      <c r="D46" s="202"/>
      <c r="E46" s="202"/>
      <c r="F46" s="202"/>
      <c r="G46" s="202"/>
      <c r="H46" s="202"/>
      <c r="I46" s="203"/>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2" t="s">
        <v>89</v>
      </c>
      <c r="C49" s="184">
        <f>'様式２ 履修者等数の実績'!AQ32</f>
        <v>0.25217391304347825</v>
      </c>
      <c r="D49" s="184"/>
      <c r="E49" s="42" t="s">
        <v>66</v>
      </c>
      <c r="F49" s="184">
        <v>0.5</v>
      </c>
      <c r="G49" s="184"/>
      <c r="H49" s="42" t="s">
        <v>67</v>
      </c>
      <c r="I49" s="43">
        <v>0.75</v>
      </c>
      <c r="J49" s="1"/>
      <c r="M49" s="1"/>
      <c r="N49" s="44"/>
    </row>
    <row r="50" spans="1:15" s="3" customFormat="1" ht="18.75" customHeight="1" x14ac:dyDescent="0.15">
      <c r="B50" s="45" t="s">
        <v>68</v>
      </c>
      <c r="C50" s="185">
        <v>1</v>
      </c>
      <c r="D50" s="185"/>
      <c r="E50" s="45" t="s">
        <v>90</v>
      </c>
      <c r="F50" s="185">
        <v>1</v>
      </c>
      <c r="G50" s="185"/>
      <c r="H50" s="45" t="s">
        <v>69</v>
      </c>
      <c r="I50" s="46">
        <f>'様式２ 履修者等数の実績'!E32</f>
        <v>1380</v>
      </c>
      <c r="J50" s="1"/>
      <c r="M50" s="1"/>
      <c r="N50" s="44"/>
    </row>
    <row r="51" spans="1:15" ht="18.75" customHeight="1" x14ac:dyDescent="0.15">
      <c r="A51" s="1"/>
      <c r="B51" s="210" t="s">
        <v>70</v>
      </c>
      <c r="C51" s="211"/>
      <c r="D51" s="211"/>
      <c r="E51" s="211"/>
      <c r="F51" s="211"/>
      <c r="G51" s="211"/>
      <c r="H51" s="211"/>
      <c r="I51" s="212"/>
      <c r="N51" s="44"/>
      <c r="O51" s="3"/>
    </row>
    <row r="52" spans="1:15" ht="18.75" customHeight="1" x14ac:dyDescent="0.15">
      <c r="A52" s="1"/>
      <c r="B52" s="186" t="s">
        <v>144</v>
      </c>
      <c r="C52" s="187"/>
      <c r="D52" s="187"/>
      <c r="E52" s="187"/>
      <c r="F52" s="187"/>
      <c r="G52" s="187"/>
      <c r="H52" s="187"/>
      <c r="I52" s="188"/>
      <c r="N52" s="44"/>
      <c r="O52" s="3"/>
    </row>
    <row r="53" spans="1:15" ht="18.75" customHeight="1" x14ac:dyDescent="0.15">
      <c r="A53" s="1"/>
      <c r="B53" s="189"/>
      <c r="C53" s="190"/>
      <c r="D53" s="190"/>
      <c r="E53" s="190"/>
      <c r="F53" s="190"/>
      <c r="G53" s="190"/>
      <c r="H53" s="190"/>
      <c r="I53" s="191"/>
      <c r="N53" s="44"/>
      <c r="O53" s="3"/>
    </row>
    <row r="54" spans="1:15" ht="18.75" customHeight="1" x14ac:dyDescent="0.15">
      <c r="A54" s="1"/>
      <c r="B54" s="189"/>
      <c r="C54" s="190"/>
      <c r="D54" s="190"/>
      <c r="E54" s="190"/>
      <c r="F54" s="190"/>
      <c r="G54" s="190"/>
      <c r="H54" s="190"/>
      <c r="I54" s="191"/>
    </row>
    <row r="55" spans="1:15" ht="18.75" customHeight="1" x14ac:dyDescent="0.15">
      <c r="A55" s="1"/>
      <c r="B55" s="189"/>
      <c r="C55" s="190"/>
      <c r="D55" s="190"/>
      <c r="E55" s="190"/>
      <c r="F55" s="190"/>
      <c r="G55" s="190"/>
      <c r="H55" s="190"/>
      <c r="I55" s="191"/>
    </row>
    <row r="56" spans="1:15" ht="18.75" customHeight="1" x14ac:dyDescent="0.15">
      <c r="A56" s="1"/>
      <c r="B56" s="189"/>
      <c r="C56" s="190"/>
      <c r="D56" s="190"/>
      <c r="E56" s="190"/>
      <c r="F56" s="190"/>
      <c r="G56" s="190"/>
      <c r="H56" s="190"/>
      <c r="I56" s="191"/>
    </row>
    <row r="57" spans="1:15" ht="18.75" customHeight="1" x14ac:dyDescent="0.15">
      <c r="A57" s="1"/>
      <c r="B57" s="189"/>
      <c r="C57" s="190"/>
      <c r="D57" s="190"/>
      <c r="E57" s="190"/>
      <c r="F57" s="190"/>
      <c r="G57" s="190"/>
      <c r="H57" s="190"/>
      <c r="I57" s="191"/>
    </row>
    <row r="58" spans="1:15" ht="18.75" customHeight="1" x14ac:dyDescent="0.15">
      <c r="A58" s="1"/>
      <c r="B58" s="189"/>
      <c r="C58" s="190"/>
      <c r="D58" s="190"/>
      <c r="E58" s="190"/>
      <c r="F58" s="190"/>
      <c r="G58" s="190"/>
      <c r="H58" s="190"/>
      <c r="I58" s="191"/>
    </row>
    <row r="59" spans="1:15" ht="18.75" customHeight="1" x14ac:dyDescent="0.15">
      <c r="A59" s="1"/>
      <c r="B59" s="189"/>
      <c r="C59" s="190"/>
      <c r="D59" s="190"/>
      <c r="E59" s="190"/>
      <c r="F59" s="190"/>
      <c r="G59" s="190"/>
      <c r="H59" s="190"/>
      <c r="I59" s="191"/>
    </row>
    <row r="60" spans="1:15" ht="18.75" customHeight="1" x14ac:dyDescent="0.15">
      <c r="A60" s="1"/>
      <c r="B60" s="189"/>
      <c r="C60" s="190"/>
      <c r="D60" s="190"/>
      <c r="E60" s="190"/>
      <c r="F60" s="190"/>
      <c r="G60" s="190"/>
      <c r="H60" s="190"/>
      <c r="I60" s="191"/>
    </row>
    <row r="61" spans="1:15" ht="18.75" customHeight="1" x14ac:dyDescent="0.15">
      <c r="A61" s="1"/>
      <c r="B61" s="189"/>
      <c r="C61" s="190"/>
      <c r="D61" s="190"/>
      <c r="E61" s="190"/>
      <c r="F61" s="190"/>
      <c r="G61" s="190"/>
      <c r="H61" s="190"/>
      <c r="I61" s="191"/>
    </row>
    <row r="62" spans="1:15" ht="18.75" customHeight="1" x14ac:dyDescent="0.15">
      <c r="A62" s="1"/>
      <c r="B62" s="189"/>
      <c r="C62" s="190"/>
      <c r="D62" s="190"/>
      <c r="E62" s="190"/>
      <c r="F62" s="190"/>
      <c r="G62" s="190"/>
      <c r="H62" s="190"/>
      <c r="I62" s="191"/>
    </row>
    <row r="63" spans="1:15" ht="18.75" customHeight="1" x14ac:dyDescent="0.15">
      <c r="A63" s="1"/>
      <c r="B63" s="192"/>
      <c r="C63" s="193"/>
      <c r="D63" s="193"/>
      <c r="E63" s="193"/>
      <c r="F63" s="193"/>
      <c r="G63" s="193"/>
      <c r="H63" s="193"/>
      <c r="I63" s="194"/>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68" t="s">
        <v>145</v>
      </c>
      <c r="C66" s="169"/>
      <c r="D66" s="169"/>
      <c r="E66" s="169"/>
      <c r="F66" s="169"/>
      <c r="G66" s="169"/>
      <c r="H66" s="169"/>
      <c r="I66" s="170"/>
    </row>
    <row r="67" spans="1:9" ht="18.75" customHeight="1" x14ac:dyDescent="0.15">
      <c r="A67" s="4"/>
      <c r="B67" s="171"/>
      <c r="C67" s="172"/>
      <c r="D67" s="172"/>
      <c r="E67" s="172"/>
      <c r="F67" s="172"/>
      <c r="G67" s="172"/>
      <c r="H67" s="172"/>
      <c r="I67" s="173"/>
    </row>
    <row r="68" spans="1:9" ht="18.75" customHeight="1" x14ac:dyDescent="0.15">
      <c r="A68" s="4"/>
      <c r="B68" s="171"/>
      <c r="C68" s="172"/>
      <c r="D68" s="172"/>
      <c r="E68" s="172"/>
      <c r="F68" s="172"/>
      <c r="G68" s="172"/>
      <c r="H68" s="172"/>
      <c r="I68" s="173"/>
    </row>
    <row r="69" spans="1:9" ht="18.75" customHeight="1" x14ac:dyDescent="0.15">
      <c r="A69" s="4"/>
      <c r="B69" s="171"/>
      <c r="C69" s="172"/>
      <c r="D69" s="172"/>
      <c r="E69" s="172"/>
      <c r="F69" s="172"/>
      <c r="G69" s="172"/>
      <c r="H69" s="172"/>
      <c r="I69" s="173"/>
    </row>
    <row r="70" spans="1:9" ht="18.75" customHeight="1" x14ac:dyDescent="0.15">
      <c r="A70" s="4"/>
      <c r="B70" s="171"/>
      <c r="C70" s="172"/>
      <c r="D70" s="172"/>
      <c r="E70" s="172"/>
      <c r="F70" s="172"/>
      <c r="G70" s="172"/>
      <c r="H70" s="172"/>
      <c r="I70" s="173"/>
    </row>
    <row r="71" spans="1:9" ht="18.75" customHeight="1" x14ac:dyDescent="0.15">
      <c r="A71" s="4"/>
      <c r="B71" s="171"/>
      <c r="C71" s="172"/>
      <c r="D71" s="172"/>
      <c r="E71" s="172"/>
      <c r="F71" s="172"/>
      <c r="G71" s="172"/>
      <c r="H71" s="172"/>
      <c r="I71" s="173"/>
    </row>
    <row r="72" spans="1:9" ht="18.75" customHeight="1" x14ac:dyDescent="0.15">
      <c r="A72" s="4"/>
      <c r="B72" s="171"/>
      <c r="C72" s="172"/>
      <c r="D72" s="172"/>
      <c r="E72" s="172"/>
      <c r="F72" s="172"/>
      <c r="G72" s="172"/>
      <c r="H72" s="172"/>
      <c r="I72" s="173"/>
    </row>
    <row r="73" spans="1:9" ht="18.75" customHeight="1" x14ac:dyDescent="0.15">
      <c r="A73" s="4"/>
      <c r="B73" s="171"/>
      <c r="C73" s="172"/>
      <c r="D73" s="172"/>
      <c r="E73" s="172"/>
      <c r="F73" s="172"/>
      <c r="G73" s="172"/>
      <c r="H73" s="172"/>
      <c r="I73" s="173"/>
    </row>
    <row r="74" spans="1:9" ht="18.75" customHeight="1" x14ac:dyDescent="0.15">
      <c r="A74" s="4"/>
      <c r="B74" s="171"/>
      <c r="C74" s="172"/>
      <c r="D74" s="172"/>
      <c r="E74" s="172"/>
      <c r="F74" s="172"/>
      <c r="G74" s="172"/>
      <c r="H74" s="172"/>
      <c r="I74" s="173"/>
    </row>
    <row r="75" spans="1:9" ht="18.75" customHeight="1" x14ac:dyDescent="0.15">
      <c r="A75" s="4"/>
      <c r="B75" s="171"/>
      <c r="C75" s="172"/>
      <c r="D75" s="172"/>
      <c r="E75" s="172"/>
      <c r="F75" s="172"/>
      <c r="G75" s="172"/>
      <c r="H75" s="172"/>
      <c r="I75" s="173"/>
    </row>
    <row r="76" spans="1:9" ht="18.75" customHeight="1" x14ac:dyDescent="0.15">
      <c r="A76" s="4"/>
      <c r="B76" s="171"/>
      <c r="C76" s="172"/>
      <c r="D76" s="172"/>
      <c r="E76" s="172"/>
      <c r="F76" s="172"/>
      <c r="G76" s="172"/>
      <c r="H76" s="172"/>
      <c r="I76" s="173"/>
    </row>
    <row r="77" spans="1:9" ht="18.75" customHeight="1" x14ac:dyDescent="0.15">
      <c r="A77" s="4"/>
      <c r="B77" s="174"/>
      <c r="C77" s="175"/>
      <c r="D77" s="175"/>
      <c r="E77" s="175"/>
      <c r="F77" s="175"/>
      <c r="G77" s="175"/>
      <c r="H77" s="175"/>
      <c r="I77" s="176"/>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68" t="s">
        <v>146</v>
      </c>
      <c r="C80" s="169"/>
      <c r="D80" s="169"/>
      <c r="E80" s="169"/>
      <c r="F80" s="169"/>
      <c r="G80" s="169"/>
      <c r="H80" s="169"/>
      <c r="I80" s="177"/>
    </row>
    <row r="81" spans="1:9" ht="18.75" customHeight="1" x14ac:dyDescent="0.15">
      <c r="A81" s="1"/>
      <c r="B81" s="178"/>
      <c r="C81" s="179"/>
      <c r="D81" s="179"/>
      <c r="E81" s="179"/>
      <c r="F81" s="179"/>
      <c r="G81" s="179"/>
      <c r="H81" s="179"/>
      <c r="I81" s="180"/>
    </row>
    <row r="82" spans="1:9" ht="18.75" customHeight="1" x14ac:dyDescent="0.15">
      <c r="A82" s="1"/>
      <c r="B82" s="178"/>
      <c r="C82" s="179"/>
      <c r="D82" s="179"/>
      <c r="E82" s="179"/>
      <c r="F82" s="179"/>
      <c r="G82" s="179"/>
      <c r="H82" s="179"/>
      <c r="I82" s="180"/>
    </row>
    <row r="83" spans="1:9" ht="18.75" customHeight="1" x14ac:dyDescent="0.15">
      <c r="A83" s="1"/>
      <c r="B83" s="178"/>
      <c r="C83" s="179"/>
      <c r="D83" s="179"/>
      <c r="E83" s="179"/>
      <c r="F83" s="179"/>
      <c r="G83" s="179"/>
      <c r="H83" s="179"/>
      <c r="I83" s="180"/>
    </row>
    <row r="84" spans="1:9" ht="18.75" customHeight="1" x14ac:dyDescent="0.15">
      <c r="A84" s="1"/>
      <c r="B84" s="178"/>
      <c r="C84" s="179"/>
      <c r="D84" s="179"/>
      <c r="E84" s="179"/>
      <c r="F84" s="179"/>
      <c r="G84" s="179"/>
      <c r="H84" s="179"/>
      <c r="I84" s="180"/>
    </row>
    <row r="85" spans="1:9" ht="18.75" customHeight="1" x14ac:dyDescent="0.15">
      <c r="A85" s="1"/>
      <c r="B85" s="178"/>
      <c r="C85" s="179"/>
      <c r="D85" s="179"/>
      <c r="E85" s="179"/>
      <c r="F85" s="179"/>
      <c r="G85" s="179"/>
      <c r="H85" s="179"/>
      <c r="I85" s="180"/>
    </row>
    <row r="86" spans="1:9" ht="18.75" customHeight="1" x14ac:dyDescent="0.15">
      <c r="A86" s="1"/>
      <c r="B86" s="178"/>
      <c r="C86" s="179"/>
      <c r="D86" s="179"/>
      <c r="E86" s="179"/>
      <c r="F86" s="179"/>
      <c r="G86" s="179"/>
      <c r="H86" s="179"/>
      <c r="I86" s="180"/>
    </row>
    <row r="87" spans="1:9" ht="18.75" customHeight="1" x14ac:dyDescent="0.15">
      <c r="A87" s="1"/>
      <c r="B87" s="178"/>
      <c r="C87" s="179"/>
      <c r="D87" s="179"/>
      <c r="E87" s="179"/>
      <c r="F87" s="179"/>
      <c r="G87" s="179"/>
      <c r="H87" s="179"/>
      <c r="I87" s="180"/>
    </row>
    <row r="88" spans="1:9" ht="18.75" customHeight="1" x14ac:dyDescent="0.15">
      <c r="A88" s="1"/>
      <c r="B88" s="178"/>
      <c r="C88" s="179"/>
      <c r="D88" s="179"/>
      <c r="E88" s="179"/>
      <c r="F88" s="179"/>
      <c r="G88" s="179"/>
      <c r="H88" s="179"/>
      <c r="I88" s="180"/>
    </row>
    <row r="89" spans="1:9" ht="18.75" customHeight="1" x14ac:dyDescent="0.15">
      <c r="A89" s="1"/>
      <c r="B89" s="178"/>
      <c r="C89" s="179"/>
      <c r="D89" s="179"/>
      <c r="E89" s="179"/>
      <c r="F89" s="179"/>
      <c r="G89" s="179"/>
      <c r="H89" s="179"/>
      <c r="I89" s="180"/>
    </row>
    <row r="90" spans="1:9" ht="18.75" customHeight="1" x14ac:dyDescent="0.15">
      <c r="A90" s="4"/>
      <c r="B90" s="178"/>
      <c r="C90" s="179"/>
      <c r="D90" s="179"/>
      <c r="E90" s="179"/>
      <c r="F90" s="179"/>
      <c r="G90" s="179"/>
      <c r="H90" s="179"/>
      <c r="I90" s="180"/>
    </row>
    <row r="91" spans="1:9" ht="18.75" customHeight="1" x14ac:dyDescent="0.15">
      <c r="A91" s="4"/>
      <c r="B91" s="181"/>
      <c r="C91" s="182"/>
      <c r="D91" s="182"/>
      <c r="E91" s="182"/>
      <c r="F91" s="182"/>
      <c r="G91" s="182"/>
      <c r="H91" s="182"/>
      <c r="I91" s="183"/>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95" t="s">
        <v>147</v>
      </c>
      <c r="C94" s="196"/>
      <c r="D94" s="196"/>
      <c r="E94" s="196"/>
      <c r="F94" s="196"/>
      <c r="G94" s="196"/>
      <c r="H94" s="196"/>
      <c r="I94" s="197"/>
    </row>
    <row r="95" spans="1:9" ht="18.75" customHeight="1" x14ac:dyDescent="0.15">
      <c r="A95" s="1"/>
      <c r="B95" s="198"/>
      <c r="C95" s="199"/>
      <c r="D95" s="199"/>
      <c r="E95" s="199"/>
      <c r="F95" s="199"/>
      <c r="G95" s="199"/>
      <c r="H95" s="199"/>
      <c r="I95" s="200"/>
    </row>
    <row r="96" spans="1:9" ht="18.75" customHeight="1" x14ac:dyDescent="0.15">
      <c r="A96" s="1"/>
      <c r="B96" s="198"/>
      <c r="C96" s="199"/>
      <c r="D96" s="199"/>
      <c r="E96" s="199"/>
      <c r="F96" s="199"/>
      <c r="G96" s="199"/>
      <c r="H96" s="199"/>
      <c r="I96" s="200"/>
    </row>
    <row r="97" spans="1:9" ht="18.75" customHeight="1" x14ac:dyDescent="0.15">
      <c r="A97" s="1"/>
      <c r="B97" s="198"/>
      <c r="C97" s="199"/>
      <c r="D97" s="199"/>
      <c r="E97" s="199"/>
      <c r="F97" s="199"/>
      <c r="G97" s="199"/>
      <c r="H97" s="199"/>
      <c r="I97" s="200"/>
    </row>
    <row r="98" spans="1:9" ht="18.75" customHeight="1" x14ac:dyDescent="0.15">
      <c r="A98" s="1"/>
      <c r="B98" s="198"/>
      <c r="C98" s="199"/>
      <c r="D98" s="199"/>
      <c r="E98" s="199"/>
      <c r="F98" s="199"/>
      <c r="G98" s="199"/>
      <c r="H98" s="199"/>
      <c r="I98" s="200"/>
    </row>
    <row r="99" spans="1:9" ht="18.75" customHeight="1" x14ac:dyDescent="0.15">
      <c r="A99" s="1"/>
      <c r="B99" s="198"/>
      <c r="C99" s="199"/>
      <c r="D99" s="199"/>
      <c r="E99" s="199"/>
      <c r="F99" s="199"/>
      <c r="G99" s="199"/>
      <c r="H99" s="199"/>
      <c r="I99" s="200"/>
    </row>
    <row r="100" spans="1:9" ht="18.75" customHeight="1" x14ac:dyDescent="0.15">
      <c r="A100" s="1"/>
      <c r="B100" s="198"/>
      <c r="C100" s="199"/>
      <c r="D100" s="199"/>
      <c r="E100" s="199"/>
      <c r="F100" s="199"/>
      <c r="G100" s="199"/>
      <c r="H100" s="199"/>
      <c r="I100" s="200"/>
    </row>
    <row r="101" spans="1:9" ht="18.75" customHeight="1" x14ac:dyDescent="0.15">
      <c r="A101" s="1"/>
      <c r="B101" s="198"/>
      <c r="C101" s="199"/>
      <c r="D101" s="199"/>
      <c r="E101" s="199"/>
      <c r="F101" s="199"/>
      <c r="G101" s="199"/>
      <c r="H101" s="199"/>
      <c r="I101" s="200"/>
    </row>
    <row r="102" spans="1:9" ht="18.75" customHeight="1" x14ac:dyDescent="0.15">
      <c r="A102" s="1"/>
      <c r="B102" s="198"/>
      <c r="C102" s="199"/>
      <c r="D102" s="199"/>
      <c r="E102" s="199"/>
      <c r="F102" s="199"/>
      <c r="G102" s="199"/>
      <c r="H102" s="199"/>
      <c r="I102" s="200"/>
    </row>
    <row r="103" spans="1:9" ht="18.75" customHeight="1" x14ac:dyDescent="0.15">
      <c r="A103" s="1"/>
      <c r="B103" s="198"/>
      <c r="C103" s="199"/>
      <c r="D103" s="199"/>
      <c r="E103" s="199"/>
      <c r="F103" s="199"/>
      <c r="G103" s="199"/>
      <c r="H103" s="199"/>
      <c r="I103" s="200"/>
    </row>
    <row r="104" spans="1:9" ht="18.75" customHeight="1" x14ac:dyDescent="0.15">
      <c r="A104" s="1"/>
      <c r="B104" s="198"/>
      <c r="C104" s="199"/>
      <c r="D104" s="199"/>
      <c r="E104" s="199"/>
      <c r="F104" s="199"/>
      <c r="G104" s="199"/>
      <c r="H104" s="199"/>
      <c r="I104" s="200"/>
    </row>
    <row r="105" spans="1:9" ht="18.75" customHeight="1" x14ac:dyDescent="0.15">
      <c r="A105" s="4"/>
      <c r="B105" s="201"/>
      <c r="C105" s="202"/>
      <c r="D105" s="202"/>
      <c r="E105" s="202"/>
      <c r="F105" s="202"/>
      <c r="G105" s="202"/>
      <c r="H105" s="202"/>
      <c r="I105" s="203"/>
    </row>
    <row r="106" spans="1:9" ht="7.5" customHeight="1" x14ac:dyDescent="0.15">
      <c r="A106" s="4"/>
      <c r="B106" s="4"/>
      <c r="C106" s="4"/>
      <c r="D106" s="4"/>
      <c r="E106" s="4"/>
      <c r="F106" s="4"/>
      <c r="G106" s="4"/>
      <c r="H106" s="4"/>
      <c r="I106" s="4"/>
    </row>
    <row r="107" spans="1:9" ht="18.75" customHeight="1" x14ac:dyDescent="0.15">
      <c r="A107" s="1" t="s">
        <v>30</v>
      </c>
      <c r="B107" s="204" t="s">
        <v>46</v>
      </c>
      <c r="C107" s="204"/>
      <c r="D107" s="204"/>
      <c r="E107" s="204"/>
      <c r="F107" s="204"/>
      <c r="G107" s="204"/>
      <c r="H107" s="204"/>
      <c r="I107" s="204"/>
    </row>
    <row r="108" spans="1:9" ht="18.75" customHeight="1" x14ac:dyDescent="0.15">
      <c r="A108" s="4"/>
      <c r="B108" s="195" t="s">
        <v>148</v>
      </c>
      <c r="C108" s="196"/>
      <c r="D108" s="196"/>
      <c r="E108" s="196"/>
      <c r="F108" s="196"/>
      <c r="G108" s="196"/>
      <c r="H108" s="196"/>
      <c r="I108" s="197"/>
    </row>
    <row r="109" spans="1:9" ht="18.75" customHeight="1" x14ac:dyDescent="0.15">
      <c r="A109" s="4"/>
      <c r="B109" s="198"/>
      <c r="C109" s="199"/>
      <c r="D109" s="199"/>
      <c r="E109" s="199"/>
      <c r="F109" s="199"/>
      <c r="G109" s="199"/>
      <c r="H109" s="199"/>
      <c r="I109" s="200"/>
    </row>
    <row r="110" spans="1:9" ht="18.75" customHeight="1" x14ac:dyDescent="0.15">
      <c r="A110" s="4"/>
      <c r="B110" s="198"/>
      <c r="C110" s="199"/>
      <c r="D110" s="199"/>
      <c r="E110" s="199"/>
      <c r="F110" s="199"/>
      <c r="G110" s="199"/>
      <c r="H110" s="199"/>
      <c r="I110" s="200"/>
    </row>
    <row r="111" spans="1:9" ht="18.75" customHeight="1" x14ac:dyDescent="0.15">
      <c r="A111" s="4"/>
      <c r="B111" s="198"/>
      <c r="C111" s="199"/>
      <c r="D111" s="199"/>
      <c r="E111" s="199"/>
      <c r="F111" s="199"/>
      <c r="G111" s="199"/>
      <c r="H111" s="199"/>
      <c r="I111" s="200"/>
    </row>
    <row r="112" spans="1:9" ht="18.75" customHeight="1" x14ac:dyDescent="0.15">
      <c r="A112" s="4"/>
      <c r="B112" s="198"/>
      <c r="C112" s="199"/>
      <c r="D112" s="199"/>
      <c r="E112" s="199"/>
      <c r="F112" s="199"/>
      <c r="G112" s="199"/>
      <c r="H112" s="199"/>
      <c r="I112" s="200"/>
    </row>
    <row r="113" spans="1:9" ht="18.75" customHeight="1" x14ac:dyDescent="0.15">
      <c r="A113" s="4"/>
      <c r="B113" s="198"/>
      <c r="C113" s="199"/>
      <c r="D113" s="199"/>
      <c r="E113" s="199"/>
      <c r="F113" s="199"/>
      <c r="G113" s="199"/>
      <c r="H113" s="199"/>
      <c r="I113" s="200"/>
    </row>
    <row r="114" spans="1:9" ht="18.75" customHeight="1" x14ac:dyDescent="0.15">
      <c r="A114" s="4"/>
      <c r="B114" s="198"/>
      <c r="C114" s="199"/>
      <c r="D114" s="199"/>
      <c r="E114" s="199"/>
      <c r="F114" s="199"/>
      <c r="G114" s="199"/>
      <c r="H114" s="199"/>
      <c r="I114" s="200"/>
    </row>
    <row r="115" spans="1:9" ht="18.75" customHeight="1" x14ac:dyDescent="0.15">
      <c r="A115" s="4"/>
      <c r="B115" s="198"/>
      <c r="C115" s="199"/>
      <c r="D115" s="199"/>
      <c r="E115" s="199"/>
      <c r="F115" s="199"/>
      <c r="G115" s="199"/>
      <c r="H115" s="199"/>
      <c r="I115" s="200"/>
    </row>
    <row r="116" spans="1:9" ht="18.75" customHeight="1" x14ac:dyDescent="0.15">
      <c r="A116" s="4"/>
      <c r="B116" s="198"/>
      <c r="C116" s="199"/>
      <c r="D116" s="199"/>
      <c r="E116" s="199"/>
      <c r="F116" s="199"/>
      <c r="G116" s="199"/>
      <c r="H116" s="199"/>
      <c r="I116" s="200"/>
    </row>
    <row r="117" spans="1:9" ht="18.75" customHeight="1" x14ac:dyDescent="0.15">
      <c r="A117" s="4"/>
      <c r="B117" s="198"/>
      <c r="C117" s="199"/>
      <c r="D117" s="199"/>
      <c r="E117" s="199"/>
      <c r="F117" s="199"/>
      <c r="G117" s="199"/>
      <c r="H117" s="199"/>
      <c r="I117" s="200"/>
    </row>
    <row r="118" spans="1:9" ht="18.75" customHeight="1" x14ac:dyDescent="0.15">
      <c r="A118" s="4"/>
      <c r="B118" s="198"/>
      <c r="C118" s="199"/>
      <c r="D118" s="199"/>
      <c r="E118" s="199"/>
      <c r="F118" s="199"/>
      <c r="G118" s="199"/>
      <c r="H118" s="199"/>
      <c r="I118" s="200"/>
    </row>
    <row r="119" spans="1:9" ht="18.75" customHeight="1" x14ac:dyDescent="0.15">
      <c r="A119" s="4"/>
      <c r="B119" s="201"/>
      <c r="C119" s="202"/>
      <c r="D119" s="202"/>
      <c r="E119" s="202"/>
      <c r="F119" s="202"/>
      <c r="G119" s="202"/>
      <c r="H119" s="202"/>
      <c r="I119" s="203"/>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46" zoomScale="80" zoomScaleNormal="100" zoomScaleSheetLayoutView="8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4" t="s">
        <v>105</v>
      </c>
    </row>
    <row r="2" spans="1:9" ht="18.75" customHeight="1" x14ac:dyDescent="0.15">
      <c r="H2" s="34" t="s">
        <v>109</v>
      </c>
      <c r="I2" s="33" t="str">
        <f>'様式１　プログラムを構成する授業科目'!C2</f>
        <v>関西福祉大学</v>
      </c>
    </row>
    <row r="3" spans="1:9" ht="18.75" customHeight="1" x14ac:dyDescent="0.15">
      <c r="A3" s="111" t="s">
        <v>28</v>
      </c>
      <c r="B3" s="111"/>
      <c r="C3" s="111"/>
      <c r="D3" s="111"/>
      <c r="E3" s="111"/>
      <c r="F3" s="111"/>
      <c r="G3" s="111"/>
      <c r="H3" s="111"/>
      <c r="I3" s="111"/>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13" t="s">
        <v>139</v>
      </c>
      <c r="C6" s="241"/>
      <c r="D6" s="241"/>
      <c r="E6" s="241"/>
      <c r="F6" s="241"/>
      <c r="G6" s="241"/>
      <c r="H6" s="242"/>
      <c r="I6" s="3"/>
    </row>
    <row r="7" spans="1:9" ht="9" customHeight="1" x14ac:dyDescent="0.15">
      <c r="A7" s="5"/>
      <c r="B7" s="10"/>
      <c r="C7" s="10"/>
      <c r="D7" s="10"/>
      <c r="E7" s="10"/>
      <c r="F7" s="10"/>
      <c r="G7" s="10"/>
      <c r="H7" s="10"/>
      <c r="I7" s="3"/>
    </row>
    <row r="8" spans="1:9" ht="18.75" customHeight="1" x14ac:dyDescent="0.15">
      <c r="A8" s="5"/>
      <c r="B8" s="3"/>
      <c r="C8" s="3"/>
      <c r="D8" s="34" t="s">
        <v>43</v>
      </c>
      <c r="E8" s="35" t="s">
        <v>160</v>
      </c>
      <c r="F8" s="3"/>
      <c r="G8" s="34" t="s">
        <v>10</v>
      </c>
      <c r="H8" s="35" t="s">
        <v>140</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0" t="s">
        <v>24</v>
      </c>
      <c r="C11" s="101"/>
      <c r="D11" s="102"/>
      <c r="E11" s="101" t="s">
        <v>26</v>
      </c>
      <c r="F11" s="101"/>
      <c r="G11" s="101"/>
      <c r="H11" s="101"/>
      <c r="I11" s="102"/>
    </row>
    <row r="12" spans="1:9" ht="26.25" customHeight="1" x14ac:dyDescent="0.15">
      <c r="B12" s="49" t="s">
        <v>14</v>
      </c>
      <c r="C12" s="56"/>
      <c r="D12" s="50"/>
      <c r="E12" s="57"/>
      <c r="F12" s="57"/>
      <c r="G12" s="57"/>
      <c r="H12" s="57"/>
      <c r="I12" s="50"/>
    </row>
    <row r="13" spans="1:9" ht="81.75" customHeight="1" x14ac:dyDescent="0.15">
      <c r="B13" s="51"/>
      <c r="C13" s="224" t="s">
        <v>15</v>
      </c>
      <c r="D13" s="225"/>
      <c r="E13" s="237" t="s">
        <v>149</v>
      </c>
      <c r="F13" s="226"/>
      <c r="G13" s="226"/>
      <c r="H13" s="226"/>
      <c r="I13" s="227"/>
    </row>
    <row r="14" spans="1:9" ht="81" customHeight="1" x14ac:dyDescent="0.15">
      <c r="B14" s="51"/>
      <c r="C14" s="239" t="s">
        <v>16</v>
      </c>
      <c r="D14" s="240"/>
      <c r="E14" s="237" t="s">
        <v>161</v>
      </c>
      <c r="F14" s="226"/>
      <c r="G14" s="226"/>
      <c r="H14" s="226"/>
      <c r="I14" s="227"/>
    </row>
    <row r="15" spans="1:9" ht="66" customHeight="1" x14ac:dyDescent="0.15">
      <c r="B15" s="51"/>
      <c r="C15" s="224" t="s">
        <v>17</v>
      </c>
      <c r="D15" s="225"/>
      <c r="E15" s="237" t="s">
        <v>150</v>
      </c>
      <c r="F15" s="226"/>
      <c r="G15" s="226"/>
      <c r="H15" s="226"/>
      <c r="I15" s="227"/>
    </row>
    <row r="16" spans="1:9" ht="68.25" customHeight="1" x14ac:dyDescent="0.15">
      <c r="B16" s="51"/>
      <c r="C16" s="224" t="s">
        <v>18</v>
      </c>
      <c r="D16" s="225"/>
      <c r="E16" s="237" t="s">
        <v>151</v>
      </c>
      <c r="F16" s="226"/>
      <c r="G16" s="226"/>
      <c r="H16" s="226"/>
      <c r="I16" s="227"/>
    </row>
    <row r="17" spans="2:9" ht="84" customHeight="1" x14ac:dyDescent="0.15">
      <c r="B17" s="52"/>
      <c r="C17" s="228" t="s">
        <v>19</v>
      </c>
      <c r="D17" s="229"/>
      <c r="E17" s="238" t="s">
        <v>152</v>
      </c>
      <c r="F17" s="230"/>
      <c r="G17" s="230"/>
      <c r="H17" s="230"/>
      <c r="I17" s="231"/>
    </row>
    <row r="18" spans="2:9" ht="24" customHeight="1" x14ac:dyDescent="0.15">
      <c r="B18" s="49" t="s">
        <v>20</v>
      </c>
      <c r="C18" s="53"/>
      <c r="D18" s="54"/>
      <c r="E18" s="55"/>
      <c r="F18" s="55"/>
      <c r="G18" s="55"/>
      <c r="H18" s="55"/>
      <c r="I18" s="58"/>
    </row>
    <row r="19" spans="2:9" ht="63" customHeight="1" x14ac:dyDescent="0.15">
      <c r="B19" s="51"/>
      <c r="C19" s="224" t="s">
        <v>21</v>
      </c>
      <c r="D19" s="225"/>
      <c r="E19" s="226" t="s">
        <v>153</v>
      </c>
      <c r="F19" s="226"/>
      <c r="G19" s="226"/>
      <c r="H19" s="226"/>
      <c r="I19" s="227"/>
    </row>
    <row r="20" spans="2:9" ht="93" customHeight="1" x14ac:dyDescent="0.15">
      <c r="B20" s="52"/>
      <c r="C20" s="228" t="s">
        <v>22</v>
      </c>
      <c r="D20" s="229"/>
      <c r="E20" s="230" t="s">
        <v>154</v>
      </c>
      <c r="F20" s="230"/>
      <c r="G20" s="230"/>
      <c r="H20" s="230"/>
      <c r="I20" s="231"/>
    </row>
    <row r="21" spans="2:9" ht="81.75" customHeight="1" x14ac:dyDescent="0.15">
      <c r="B21" s="232" t="s">
        <v>23</v>
      </c>
      <c r="C21" s="233"/>
      <c r="D21" s="234"/>
      <c r="E21" s="235" t="s">
        <v>155</v>
      </c>
      <c r="F21" s="235"/>
      <c r="G21" s="235"/>
      <c r="H21" s="235"/>
      <c r="I21" s="236"/>
    </row>
    <row r="22" spans="2:9" ht="103.5" customHeight="1" x14ac:dyDescent="0.15">
      <c r="B22" s="219" t="s">
        <v>38</v>
      </c>
      <c r="C22" s="220"/>
      <c r="D22" s="221"/>
      <c r="E22" s="222" t="s">
        <v>156</v>
      </c>
      <c r="F22" s="222"/>
      <c r="G22" s="222"/>
      <c r="H22" s="222"/>
      <c r="I22" s="22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関西福祉大学</cp:lastModifiedBy>
  <cp:lastPrinted>2023-02-27T05:46:39Z</cp:lastPrinted>
  <dcterms:created xsi:type="dcterms:W3CDTF">2011-06-14T05:32:50Z</dcterms:created>
  <dcterms:modified xsi:type="dcterms:W3CDTF">2023-06-28T01:08:39Z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