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defaultThemeVersion="124226"/>
  <mc:AlternateContent xmlns:mc="http://schemas.openxmlformats.org/markup-compatibility/2006">
    <mc:Choice Requires="x15">
      <x15ac:absPath xmlns:x15ac="http://schemas.microsoft.com/office/spreadsheetml/2010/11/ac" url="C:\Users\Jim\Desktop\数理・データサイエンス・AI教育プログラム認定制度(リテラシーレベル）\2023.06.19 確認事項：申請：数理データサイエンス・AI教育プログラム認定制度\"/>
    </mc:Choice>
  </mc:AlternateContent>
  <xr:revisionPtr revIDLastSave="0" documentId="13_ncr:1_{9E5C73E9-0430-4439-B9C1-DD88BB961FFF}" xr6:coauthVersionLast="36" xr6:coauthVersionMax="36" xr10:uidLastSave="{00000000-0000-0000-0000-000000000000}"/>
  <bookViews>
    <workbookView xWindow="0" yWindow="0" windowWidth="24990" windowHeight="7455" tabRatio="885" xr2:uid="{00000000-000D-0000-FFFF-FFFF00000000}"/>
  </bookViews>
  <sheets>
    <sheet name="様式1-1　プログラムを構成する授業科目" sheetId="1" r:id="rId1"/>
    <sheet name="様式1-2 プログラムを構成する授業科目" sheetId="2" r:id="rId2"/>
    <sheet name="様式1-3 プログラムを構成する授業科目" sheetId="3" r:id="rId3"/>
    <sheet name="様式1-4 プログラムを構成する授業科目" sheetId="4" r:id="rId4"/>
    <sheet name="様式２ 履修者等数の実績" sheetId="5" r:id="rId5"/>
    <sheet name="様式３ 教育の質・履修者数を向上させるための体制・計画" sheetId="6" r:id="rId6"/>
    <sheet name="様式４　自己点検・評価" sheetId="7" r:id="rId7"/>
  </sheets>
  <definedNames>
    <definedName name="_xlnm._FilterDatabase" localSheetId="0" hidden="1">'様式1-1　プログラムを構成する授業科目'!$V$14:$V$16</definedName>
    <definedName name="_xlnm._FilterDatabase" localSheetId="4" hidden="1">'様式２ 履修者等数の実績'!#REF!</definedName>
    <definedName name="_xlnm.Print_Area" localSheetId="0">'様式1-1　プログラムを構成する授業科目'!$A$1:$S$102</definedName>
    <definedName name="_xlnm.Print_Area" localSheetId="1">'様式1-2 プログラムを構成する授業科目'!$A$1:$S$102</definedName>
    <definedName name="_xlnm.Print_Area" localSheetId="2">'様式1-3 プログラムを構成する授業科目'!$A$1:$S$102</definedName>
    <definedName name="_xlnm.Print_Area" localSheetId="3">'様式1-4 プログラムを構成する授業科目'!$A$1:$S$102</definedName>
    <definedName name="_xlnm.Print_Area" localSheetId="4">'様式２ 履修者等数の実績'!$A$1:$AE$32</definedName>
    <definedName name="_xlnm.Print_Area" localSheetId="5">'様式３ 教育の質・履修者数を向上させるための体制・計画'!$A$1:$I$120</definedName>
    <definedName name="_xlnm.Print_Area" localSheetId="6">'様式４　自己点検・評価'!$A$1:$J$22</definedName>
    <definedName name="_xlnm.Print_Titles" localSheetId="6">'様式４　自己点検・評価'!$11:$11</definedName>
    <definedName name="Z_EF565584_6FC7_43D6_8DE5_80F819FA140A_.wvu.Cols" localSheetId="0" hidden="1">'様式1-1　プログラムを構成する授業科目'!$V:$V</definedName>
    <definedName name="Z_EF565584_6FC7_43D6_8DE5_80F819FA140A_.wvu.Cols" localSheetId="1" hidden="1">'様式1-2 プログラムを構成する授業科目'!$V:$V</definedName>
    <definedName name="Z_EF565584_6FC7_43D6_8DE5_80F819FA140A_.wvu.Cols" localSheetId="2" hidden="1">'様式1-3 プログラムを構成する授業科目'!$V:$V</definedName>
    <definedName name="Z_EF565584_6FC7_43D6_8DE5_80F819FA140A_.wvu.Cols" localSheetId="3" hidden="1">'様式1-4 プログラムを構成する授業科目'!$V:$V</definedName>
    <definedName name="Z_EF565584_6FC7_43D6_8DE5_80F819FA140A_.wvu.FilterData" localSheetId="0" hidden="1">'様式1-1　プログラムを構成する授業科目'!$V$14:$V$16</definedName>
    <definedName name="Z_EF565584_6FC7_43D6_8DE5_80F819FA140A_.wvu.PrintArea" localSheetId="0" hidden="1">'様式1-1　プログラムを構成する授業科目'!$A$1:$S$102</definedName>
    <definedName name="Z_EF565584_6FC7_43D6_8DE5_80F819FA140A_.wvu.PrintArea" localSheetId="1" hidden="1">'様式1-2 プログラムを構成する授業科目'!$A$1:$S$102</definedName>
    <definedName name="Z_EF565584_6FC7_43D6_8DE5_80F819FA140A_.wvu.PrintArea" localSheetId="2" hidden="1">'様式1-3 プログラムを構成する授業科目'!$A$1:$S$102</definedName>
    <definedName name="Z_EF565584_6FC7_43D6_8DE5_80F819FA140A_.wvu.PrintArea" localSheetId="3" hidden="1">'様式1-4 プログラムを構成する授業科目'!$A$1:$S$102</definedName>
    <definedName name="Z_EF565584_6FC7_43D6_8DE5_80F819FA140A_.wvu.PrintArea" localSheetId="4" hidden="1">'様式２ 履修者等数の実績'!$A$1:$AE$32</definedName>
    <definedName name="Z_EF565584_6FC7_43D6_8DE5_80F819FA140A_.wvu.PrintArea" localSheetId="5" hidden="1">'様式３ 教育の質・履修者数を向上させるための体制・計画'!$A$1:$I$120</definedName>
    <definedName name="Z_EF565584_6FC7_43D6_8DE5_80F819FA140A_.wvu.PrintArea" localSheetId="6" hidden="1">'様式４　自己点検・評価'!$A$1:$L$22</definedName>
    <definedName name="Z_EF565584_6FC7_43D6_8DE5_80F819FA140A_.wvu.PrintTitles" localSheetId="6" hidden="1">'様式４　自己点検・評価'!$11:$11</definedName>
  </definedNames>
  <calcPr calcId="191029"/>
  <customWorkbookViews>
    <customWorkbookView name="jim - 個人用ビュー" guid="{EF565584-6FC7-43D6-8DE5-80F819FA140A}" mergeInterval="0" personalView="1" maximized="1" xWindow="1072" yWindow="533" windowWidth="1936" windowHeight="1056" tabRatio="885" activeSheetId="7"/>
  </customWorkbookViews>
</workbook>
</file>

<file path=xl/calcChain.xml><?xml version="1.0" encoding="utf-8"?>
<calcChain xmlns="http://schemas.openxmlformats.org/spreadsheetml/2006/main">
  <c r="L12" i="5" l="1"/>
  <c r="X12" i="5" l="1"/>
  <c r="AA12" i="5"/>
  <c r="X13" i="5"/>
  <c r="AA13" i="5"/>
  <c r="X14" i="5"/>
  <c r="AA14" i="5"/>
  <c r="X15" i="5"/>
  <c r="AA15" i="5"/>
  <c r="X16" i="5"/>
  <c r="AA16" i="5"/>
  <c r="X17" i="5"/>
  <c r="AA17" i="5"/>
  <c r="X18" i="5"/>
  <c r="AA18" i="5"/>
  <c r="X19" i="5"/>
  <c r="AA19" i="5"/>
  <c r="X20" i="5"/>
  <c r="AA20" i="5"/>
  <c r="X21" i="5"/>
  <c r="AA21" i="5"/>
  <c r="X22" i="5"/>
  <c r="AA22" i="5"/>
  <c r="X23" i="5"/>
  <c r="AA23" i="5"/>
  <c r="X24" i="5"/>
  <c r="AA24" i="5"/>
  <c r="X25" i="5"/>
  <c r="AA25" i="5"/>
  <c r="X26" i="5"/>
  <c r="AA26" i="5"/>
  <c r="X27" i="5"/>
  <c r="AA27" i="5"/>
  <c r="X28" i="5"/>
  <c r="AA28" i="5"/>
  <c r="X29" i="5"/>
  <c r="AA29" i="5"/>
  <c r="X30" i="5"/>
  <c r="AA30" i="5"/>
  <c r="X31" i="5"/>
  <c r="AA31" i="5"/>
  <c r="Y32" i="5"/>
  <c r="Z32" i="5"/>
  <c r="AB32" i="5"/>
  <c r="AC32" i="5"/>
  <c r="X32" i="5" l="1"/>
  <c r="AA32" i="5"/>
  <c r="I2" i="7"/>
  <c r="H2" i="6"/>
  <c r="AA2" i="5"/>
  <c r="W32" i="5" l="1"/>
  <c r="V32" i="5"/>
  <c r="T32" i="5"/>
  <c r="S32" i="5"/>
  <c r="U31" i="5"/>
  <c r="R31" i="5"/>
  <c r="U30" i="5"/>
  <c r="R30" i="5"/>
  <c r="U29" i="5"/>
  <c r="R29" i="5"/>
  <c r="U28" i="5"/>
  <c r="R28" i="5"/>
  <c r="U27" i="5"/>
  <c r="R27" i="5"/>
  <c r="U26" i="5"/>
  <c r="R26" i="5"/>
  <c r="U25" i="5"/>
  <c r="R25" i="5"/>
  <c r="U24" i="5"/>
  <c r="R24" i="5"/>
  <c r="U23" i="5"/>
  <c r="R23" i="5"/>
  <c r="U22" i="5"/>
  <c r="R22" i="5"/>
  <c r="U21" i="5"/>
  <c r="R21" i="5"/>
  <c r="U20" i="5"/>
  <c r="R20" i="5"/>
  <c r="U19" i="5"/>
  <c r="R19" i="5"/>
  <c r="U18" i="5"/>
  <c r="R18" i="5"/>
  <c r="U17" i="5"/>
  <c r="R17" i="5"/>
  <c r="U16" i="5"/>
  <c r="R16" i="5"/>
  <c r="U15" i="5"/>
  <c r="R15" i="5"/>
  <c r="U14" i="5"/>
  <c r="R14" i="5"/>
  <c r="U13" i="5"/>
  <c r="R13" i="5"/>
  <c r="U12" i="5"/>
  <c r="R12" i="5"/>
  <c r="Q32" i="5"/>
  <c r="P32" i="5"/>
  <c r="N32" i="5"/>
  <c r="M32" i="5"/>
  <c r="O31" i="5"/>
  <c r="L31" i="5"/>
  <c r="O30" i="5"/>
  <c r="L30" i="5"/>
  <c r="O29" i="5"/>
  <c r="L29" i="5"/>
  <c r="O28" i="5"/>
  <c r="L28" i="5"/>
  <c r="O27" i="5"/>
  <c r="L27" i="5"/>
  <c r="O26" i="5"/>
  <c r="L26" i="5"/>
  <c r="O25" i="5"/>
  <c r="L25" i="5"/>
  <c r="O24" i="5"/>
  <c r="L24" i="5"/>
  <c r="O23" i="5"/>
  <c r="L23" i="5"/>
  <c r="O22" i="5"/>
  <c r="L22" i="5"/>
  <c r="O21" i="5"/>
  <c r="L21" i="5"/>
  <c r="O20" i="5"/>
  <c r="L20" i="5"/>
  <c r="O19" i="5"/>
  <c r="L19" i="5"/>
  <c r="O18" i="5"/>
  <c r="L18" i="5"/>
  <c r="O17" i="5"/>
  <c r="L17" i="5"/>
  <c r="O16" i="5"/>
  <c r="L16" i="5"/>
  <c r="O15" i="5"/>
  <c r="L15" i="5"/>
  <c r="O14" i="5"/>
  <c r="L14" i="5"/>
  <c r="O13" i="5"/>
  <c r="L13" i="5"/>
  <c r="O12" i="5"/>
  <c r="O32" i="5" l="1"/>
  <c r="R32" i="5"/>
  <c r="U32" i="5"/>
  <c r="L32" i="5"/>
  <c r="K32" i="5" l="1"/>
  <c r="J32" i="5"/>
  <c r="I31" i="5"/>
  <c r="I30" i="5"/>
  <c r="I29" i="5"/>
  <c r="I28" i="5"/>
  <c r="I27" i="5"/>
  <c r="I26" i="5"/>
  <c r="I25" i="5"/>
  <c r="I24" i="5"/>
  <c r="I23" i="5"/>
  <c r="I22" i="5"/>
  <c r="I21" i="5"/>
  <c r="I20" i="5"/>
  <c r="I19" i="5"/>
  <c r="I18" i="5"/>
  <c r="I17" i="5"/>
  <c r="I16" i="5"/>
  <c r="I15" i="5"/>
  <c r="I14" i="5"/>
  <c r="I13" i="5"/>
  <c r="I12" i="5"/>
  <c r="G32" i="5"/>
  <c r="H32" i="5"/>
  <c r="F13" i="5"/>
  <c r="AD13" i="5" s="1"/>
  <c r="F14" i="5"/>
  <c r="AD14" i="5" s="1"/>
  <c r="F15" i="5"/>
  <c r="AD15" i="5" s="1"/>
  <c r="F16" i="5"/>
  <c r="AD16" i="5" s="1"/>
  <c r="F17" i="5"/>
  <c r="AD17" i="5" s="1"/>
  <c r="F18" i="5"/>
  <c r="AD18" i="5" s="1"/>
  <c r="F19" i="5"/>
  <c r="AD19" i="5" s="1"/>
  <c r="F20" i="5"/>
  <c r="AD20" i="5" s="1"/>
  <c r="F21" i="5"/>
  <c r="AD21" i="5" s="1"/>
  <c r="F22" i="5"/>
  <c r="AD22" i="5" s="1"/>
  <c r="F23" i="5"/>
  <c r="AD23" i="5" s="1"/>
  <c r="F24" i="5"/>
  <c r="AD24" i="5" s="1"/>
  <c r="F25" i="5"/>
  <c r="AD25" i="5" s="1"/>
  <c r="F26" i="5"/>
  <c r="AD26" i="5" s="1"/>
  <c r="F27" i="5"/>
  <c r="AD27" i="5" s="1"/>
  <c r="F28" i="5"/>
  <c r="AD28" i="5" s="1"/>
  <c r="F29" i="5"/>
  <c r="AD29" i="5" s="1"/>
  <c r="F30" i="5"/>
  <c r="AD30" i="5" s="1"/>
  <c r="F31" i="5"/>
  <c r="AD31" i="5" s="1"/>
  <c r="F12" i="5"/>
  <c r="C32" i="5"/>
  <c r="AD12" i="5" l="1"/>
  <c r="AE12" i="5" s="1"/>
  <c r="I32" i="5"/>
  <c r="F32" i="5" l="1"/>
  <c r="E32" i="5"/>
  <c r="I50" i="6" s="1"/>
  <c r="D32" i="5"/>
  <c r="AE31" i="5"/>
  <c r="AE30" i="5"/>
  <c r="AE29" i="5"/>
  <c r="AE28" i="5"/>
  <c r="AE27" i="5"/>
  <c r="AE26" i="5"/>
  <c r="AE25" i="5"/>
  <c r="AE24" i="5"/>
  <c r="AE23" i="5"/>
  <c r="AE22" i="5"/>
  <c r="AE21" i="5"/>
  <c r="AE20" i="5"/>
  <c r="AE19" i="5"/>
  <c r="AE18" i="5"/>
  <c r="AE17" i="5"/>
  <c r="AE16" i="5"/>
  <c r="AE15" i="5"/>
  <c r="AE14" i="5"/>
  <c r="AE13" i="5"/>
  <c r="AD32" i="5" l="1"/>
  <c r="AE32" i="5" s="1"/>
</calcChain>
</file>

<file path=xl/sharedStrings.xml><?xml version="1.0" encoding="utf-8"?>
<sst xmlns="http://schemas.openxmlformats.org/spreadsheetml/2006/main" count="776" uniqueCount="227">
  <si>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</si>
  <si>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</si>
  <si>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呉工業高等専門学校</t>
    <rPh sb="0" eb="9">
      <t>クレコウギョウコウトウセンモンガッコウ</t>
    </rPh>
    <phoneticPr fontId="1"/>
  </si>
  <si>
    <t>プログラム名</t>
    <rPh sb="5" eb="6">
      <t>メイ</t>
    </rPh>
    <phoneticPr fontId="1"/>
  </si>
  <si>
    <t>呉工業高等専門学校数理・データサイエンス・AI教育プログラム</t>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</si>
  <si>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</si>
  <si>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</si>
  <si>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</si>
  <si>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学部・学科によって、修了要件は相違する</t>
  </si>
  <si>
    <t>機械工学科</t>
    <rPh sb="0" eb="5">
      <t>キカイコウガッカ</t>
    </rPh>
    <phoneticPr fontId="1"/>
  </si>
  <si>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</si>
  <si>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</si>
  <si>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</si>
  <si>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</si>
  <si>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</si>
  <si>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</si>
  <si>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</si>
  <si>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</si>
  <si>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</si>
  <si>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</si>
  <si>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</si>
  <si>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</si>
  <si>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</si>
  <si>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</si>
  <si>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技術者倫理</t>
    <rPh sb="0" eb="5">
      <t>ギジュツシャリンリ</t>
    </rPh>
    <phoneticPr fontId="1"/>
  </si>
  <si>
    <t>○</t>
  </si>
  <si>
    <t>情報処理Ⅰ</t>
    <rPh sb="0" eb="4">
      <t>ジョウホウショリ</t>
    </rPh>
    <phoneticPr fontId="1"/>
  </si>
  <si>
    <t>工学実験</t>
    <rPh sb="0" eb="4">
      <t>コウガクジッケン</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</si>
  <si>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</si>
  <si>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</si>
  <si>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</si>
  <si>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情報処理Ⅰ</t>
    <rPh sb="0" eb="5">
      <t>ジョウホウショリイチ</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</si>
  <si>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</si>
  <si>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</si>
  <si>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</si>
  <si>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</si>
  <si>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</si>
  <si>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</si>
  <si>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</si>
  <si>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</si>
  <si>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</si>
  <si>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</si>
  <si>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</si>
  <si>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</si>
  <si>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</si>
  <si>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</si>
  <si>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</si>
  <si>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</si>
  <si>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</si>
  <si>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</si>
  <si>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</si>
  <si>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</si>
  <si>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</si>
  <si>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</si>
  <si>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</si>
  <si>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・技術者としてSoceiety5.0の実現に貢献するために，データや情報を正しく取り扱い，それに基づいて適切に判断するための基本スキルを修得し，活用できる。
・数理・データサイエンス・AI技術の基本的知識を身につけ，その技術を活用することで，新たな技術や情報を取得・創出することができる。
・情報化社会の特徴とともにその問題点を理解し，データや情報の取り扱い，発信，保護等に必要な原則，法規および倫理に則った行動ができる。</t>
    <phoneticPr fontId="1"/>
  </si>
  <si>
    <t>電気情報工学科</t>
    <rPh sb="0" eb="7">
      <t>デンキジョウホウコウガッカ</t>
    </rPh>
    <phoneticPr fontId="1"/>
  </si>
  <si>
    <t>情報リテラシー</t>
    <rPh sb="0" eb="2">
      <t>ジョウホウ</t>
    </rPh>
    <phoneticPr fontId="1"/>
  </si>
  <si>
    <t>情報処理Ⅴ</t>
    <rPh sb="0" eb="4">
      <t>ジョウホウショリ</t>
    </rPh>
    <phoneticPr fontId="1"/>
  </si>
  <si>
    <t>情報ネットワーク</t>
    <rPh sb="0" eb="2">
      <t>ジョウホウ</t>
    </rPh>
    <phoneticPr fontId="1"/>
  </si>
  <si>
    <t>情報処理Ⅱ</t>
    <rPh sb="0" eb="4">
      <t>ジョウホウショリ</t>
    </rPh>
    <phoneticPr fontId="1"/>
  </si>
  <si>
    <t>情報処理Ⅲ</t>
    <rPh sb="0" eb="4">
      <t>ジョウホウショリ</t>
    </rPh>
    <phoneticPr fontId="1"/>
  </si>
  <si>
    <t>社会におけるデータ・ＡＩ利活用に関する知識やデータを適切に読み解く能力等</t>
    <phoneticPr fontId="1"/>
  </si>
  <si>
    <t>環境都市工学科</t>
    <rPh sb="0" eb="7">
      <t>カンキョウトシコウガッカ</t>
    </rPh>
    <phoneticPr fontId="1"/>
  </si>
  <si>
    <t>情報処理Ⅰ</t>
    <phoneticPr fontId="1"/>
  </si>
  <si>
    <t>情報処理の基礎を理解して、簡単なプログラミングを行うことができる。習得した情報処理技術を活かして、計測データを分析することができる。</t>
    <phoneticPr fontId="1"/>
  </si>
  <si>
    <t>建築学科</t>
    <rPh sb="0" eb="4">
      <t>ケンチクガッカ</t>
    </rPh>
    <phoneticPr fontId="1"/>
  </si>
  <si>
    <t>建築工学実験</t>
    <rPh sb="0" eb="4">
      <t>ケンチクコウガク</t>
    </rPh>
    <rPh sb="4" eb="6">
      <t>ジッケン</t>
    </rPh>
    <phoneticPr fontId="1"/>
  </si>
  <si>
    <t>技術者倫理</t>
    <rPh sb="0" eb="3">
      <t>ギジュツシャ</t>
    </rPh>
    <rPh sb="3" eb="5">
      <t>リンリ</t>
    </rPh>
    <phoneticPr fontId="1"/>
  </si>
  <si>
    <t>様式２</t>
    <rPh sb="0" eb="2">
      <t>ヨウシキ</t>
    </rPh>
    <phoneticPr fontId="1"/>
  </si>
  <si>
    <t>大学等名</t>
    <rPh sb="0" eb="3">
      <t>ダイガクトウ</t>
    </rPh>
    <rPh sb="3" eb="4">
      <t>メイ</t>
    </rPh>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</si>
  <si>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</si>
  <si>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</si>
  <si>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</si>
  <si>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</si>
  <si>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</si>
  <si>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</si>
  <si>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</si>
  <si>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</si>
  <si>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</si>
  <si>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</si>
  <si>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</si>
  <si>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</si>
  <si>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</si>
  <si>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</si>
  <si>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</si>
  <si>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</si>
  <si>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</si>
  <si>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</si>
  <si>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</si>
  <si>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</si>
  <si>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</si>
  <si>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</si>
  <si>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</si>
  <si>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</si>
  <si>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</si>
  <si>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</si>
  <si>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</si>
  <si>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</si>
  <si>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</si>
  <si>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</si>
  <si>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</si>
  <si>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</si>
  <si>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</si>
  <si>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餘利野　直人</t>
    <rPh sb="0" eb="6">
      <t>ヨリノ</t>
    </rPh>
    <phoneticPr fontId="1"/>
  </si>
  <si>
    <t>（役職名）</t>
    <rPh sb="1" eb="4">
      <t>ヤクショクメイ</t>
    </rPh>
    <phoneticPr fontId="1"/>
  </si>
  <si>
    <t>校長</t>
    <rPh sb="0" eb="2">
      <t>コウチョウ</t>
    </rPh>
    <phoneticPr fontId="1"/>
  </si>
  <si>
    <t>④</t>
    <phoneticPr fontId="1"/>
  </si>
  <si>
    <t>プログラムを改善・進化させるための体制（委員会・組織等）</t>
    <phoneticPr fontId="1"/>
  </si>
  <si>
    <t>教務委員会</t>
    <rPh sb="0" eb="5">
      <t>キョウムイインカイ</t>
    </rPh>
    <phoneticPr fontId="1"/>
  </si>
  <si>
    <t>中迫　正一</t>
    <rPh sb="0" eb="5">
      <t>ナカサコ</t>
    </rPh>
    <phoneticPr fontId="1"/>
  </si>
  <si>
    <t>教務主事</t>
    <rPh sb="0" eb="4">
      <t>キョウムシュジ</t>
    </rPh>
    <phoneticPr fontId="1"/>
  </si>
  <si>
    <t>⑤</t>
    <phoneticPr fontId="1"/>
  </si>
  <si>
    <t>プログラムを改善・進化させるための体制を定める規則名称</t>
    <phoneticPr fontId="1"/>
  </si>
  <si>
    <t>自己点検・評価委員会</t>
    <phoneticPr fontId="1"/>
  </si>
  <si>
    <t>⑥</t>
    <phoneticPr fontId="1"/>
  </si>
  <si>
    <t>体制の目的</t>
    <rPh sb="0" eb="2">
      <t>タイセイ</t>
    </rPh>
    <rPh sb="3" eb="5">
      <t>モクテキ</t>
    </rPh>
    <phoneticPr fontId="1"/>
  </si>
  <si>
    <t>数理・データサイエンス・AIの基礎的な知識をすべての学生に対して修得させることを目的とし、呉工業高等専門学校「数理・データサイエンス・AI教育プログラム」を改善・進化させる。また、授業内容の点検及び評価を行う。</t>
    <phoneticPr fontId="1"/>
  </si>
  <si>
    <t>⑦</t>
    <phoneticPr fontId="1"/>
  </si>
  <si>
    <t>具体的な構成員</t>
    <rPh sb="0" eb="3">
      <t>グタイテキ</t>
    </rPh>
    <rPh sb="4" eb="7">
      <t>コウセイイン</t>
    </rPh>
    <phoneticPr fontId="1"/>
  </si>
  <si>
    <t>教務主事　　中迫　正一　
教務主事補　小倉　亜紗美
教務主事補　川勝　望
教務主事補　平野　旭
教務主事補　三村　陽一
専攻科長　　間瀬　実郎
教養教育主任　佐賀野　健
機械工学科教育主任　山田　祐士
電気情報工学科教育主任　横沼　実雄
環境都市工学科教育主任　堀口　至
建築学科教育主任　大和　義昭
学生課長　寶井　帝 
学生課教務係長　住田　和也</t>
    <rPh sb="72" eb="74">
      <t>キョウヨウ</t>
    </rPh>
    <rPh sb="74" eb="78">
      <t>キョウイクシュニン</t>
    </rPh>
    <rPh sb="85" eb="90">
      <t>キカイコウガッカ</t>
    </rPh>
    <rPh sb="90" eb="94">
      <t>キョウイクシュニン</t>
    </rPh>
    <rPh sb="101" eb="108">
      <t>デンキジョウホウコウガッカ</t>
    </rPh>
    <rPh sb="108" eb="112">
      <t>キョウイクシュニン</t>
    </rPh>
    <rPh sb="119" eb="126">
      <t>カンキョウトシコウガッカ</t>
    </rPh>
    <rPh sb="126" eb="128">
      <t>キョウイク</t>
    </rPh>
    <rPh sb="128" eb="130">
      <t>シュニン</t>
    </rPh>
    <rPh sb="136" eb="140">
      <t>ケンチクガッカ</t>
    </rPh>
    <rPh sb="140" eb="144">
      <t>キョウイクシュニン</t>
    </rPh>
    <phoneticPr fontId="1"/>
  </si>
  <si>
    <t>⑧</t>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</si>
  <si>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</si>
  <si>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</si>
  <si>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</si>
  <si>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</si>
  <si>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</si>
  <si>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</si>
  <si>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</si>
  <si>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</si>
  <si>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</si>
  <si>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</si>
  <si>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</si>
  <si>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本校では、数理・データサイエンス・ＡＩ教育プログラム認定に先駆けて、AI教育の重要性を広く学生に知ってもらうために、「AI基礎技術演習」、「AI基礎技術数学」の2科目を選択科目（全学科・全学年対象）を令和2年度から実施している。これまで全学科から200名を超える受講者があり、学生の関心が高まっていることが確認される。次年度以降、呉高専の特色ある教育の1つとして本プログラム（リテラシレベル）をホームページ等を活用して全学生へ説明する予定である。なお、本プログラムは全て必修科目で構成されているので、全学生が履修するシステムとなっている。
　また、本校では、総合情報センターを中心に、ノートPCの貸出やソフトウェアのインストールなど支援を行っており、様々な環境の学生に対応できるような体制ができている。</t>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</si>
  <si>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</si>
  <si>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</si>
  <si>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</si>
  <si>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</si>
  <si>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本校の全教員がオフィスアワーを設定し、教員室前やホームルームに掲示するなど学生に周知している。放課後には、パソコン演習室を開放して、授業の課題やレポートを作成することができる。演習室には専攻科生がサポートして常駐しており、質問や相談に対応できる環境にある。さらに、各定期試験前に4－5回ほど高専4年生以上の学生が低学年の勉強をサポートする「ピアサポート勉強会」を実施しており、学生の自発的な学習を支援している。
さらに、BYOD推進の一環として、全1年生にノートパソコンの購入を進めており、全学生はどこにいてもTeamsを利用した学習ができるようになっている。また、授業時間内外に関係なく、Teams上でのチャットによる質問が可能な環境も構築されている。</t>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</si>
  <si>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</si>
  <si>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</si>
  <si>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</si>
  <si>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</si>
  <si>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</si>
  <si>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</si>
  <si>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</si>
  <si>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</si>
  <si>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</si>
  <si>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</si>
  <si>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</si>
  <si>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</si>
  <si>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</si>
  <si>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</si>
  <si>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</si>
  <si>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</si>
  <si>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</si>
  <si>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</si>
  <si>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実験実習Ⅳ</t>
    <phoneticPr fontId="1"/>
  </si>
  <si>
    <t>情報処理Ⅰ</t>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</si>
  <si>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</si>
  <si>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 xml:space="preserve">
評価の視点の通りの成果を達成できなかったが、達成に向けての対応策が立案され、対応に着手している。
卒業生調査を卒業後5年目に実施し、本教育プログラムを修了した卒業生の進路先や活躍状況を調査する。また、
民間企業、地域行政団体に対して企業調査を実施し、本教育プログラムを修了した卒業生における採用状況や企
業評価を把握する。</t>
    <phoneticPr fontId="1"/>
  </si>
  <si>
    <t xml:space="preserve">
評価の視点の通りの成果を達成できなかったが、達成に向けての対応策が立案され、対応に着手している。
平素から本校と連携している広島県内DX推進企業に対してアンケートを実施し、教育プログラムの講義内容及び
実データを活用した演習等の手法について意見を収集するとともに、教務主事を中心として数理・データサイエ
ンス・AI教育プログラムの改善に活用する。</t>
    <phoneticPr fontId="1"/>
  </si>
  <si>
    <t>　本校では、各クラス40名の学生に対して担任を配置して、学生対応を行っている。それに加えて、各学科の教育主任が学習面、学習相談室が精神面の支援ができるような体制を構築している。
また、令和6年度より、1年生の授業「情報リテラシー」では4学科共通のシラバスで、本プログラムを履修する上で最低限必要な知識を学科に依らず習得できるために、情報リテラシー、および情報系の科目を担当する教員で「情報リテラシーMCC対応WG委員会」を設置している。本委員会で、本プログラムを含む本校での情報教育を定期的に議論することで、全学生の知識・スキルアップ向上を支援する。
　さらに、TeamsやMATLABを用いた遠隔授業や、Moodleを用いたe-learning教材などを活用して、多種多様の学習に対応できるようにしている。これらのアカウントは全学生に配布しており、授業時間外でも自宅のパソコンからでも授業を受けたり、教材を活用することができ、復習にも活用できる。</t>
    <phoneticPr fontId="1"/>
  </si>
  <si>
    <t>本校では、一般科目（技術者倫理）および各学科の専門科目でプログラムを構成している。該当科目(電気情報工学科の選択科目「情報ネットワーク」は除く)がすべて必修科目または選択必修科目のため、年度ごとに着実に履修者数および履修率が向上するようになる。平成31年度以降の入学生から新カリキュラムを年度進行で実施しているが、本プログラムに関係する科目の内容を新カリキュラムでも網羅している。
以上より、全学生の履修率および卒業時のリテラシーレベルの修得率が100%となる。</t>
    <phoneticPr fontId="1"/>
  </si>
  <si>
    <t>　一般科目（技術者倫理）と各学科の専門科目でプログラムを構成している。いずれの科目（電気情報工学科の選択科目「情報ネットワーク」は除く）も必修科目または選択必修科目であり、すべての学科のすべての学生全員が本プロプラムの科目を受講できる。
　新カリキュラム（H31年度以降入学生）においても、本プログラムで履修するべき内容は網羅しており、学科に関係なく学修する体系が構築されている。また、本プログラムは、必修科目の中でも卒業に重要な実験・実習授業と紐づけており、卒業するすべての学生が本プログラムを履修できる工夫をしている。
　加えて、本校ではTeamsやMoodleを用いた遠隔授業の体制が整っており、必要に応じて自宅から受講できるようになっている。そのため、欠席者等がオンデマンド教材を繰り返し活用することが可能である。</t>
    <phoneticPr fontId="1"/>
  </si>
  <si>
    <t>餘利野　直人</t>
    <rPh sb="0" eb="6">
      <t>ヨリノ</t>
    </rPh>
    <phoneticPr fontId="1"/>
  </si>
  <si>
    <t>校長</t>
    <rPh sb="0" eb="2">
      <t>コウチョウ</t>
    </rPh>
    <phoneticPr fontId="1"/>
  </si>
  <si>
    <t xml:space="preserve">
評価の視点の通り、成果を達成できた。
学修成果の状況については、教務係より各期末修了時に教員全員に配付される成績一覧表において把握できる。
また、各科目の学修成果は、シラバスに示した評価方法に基づき、定期試験やレポート等により、適切に成績評価がされている。</t>
    <rPh sb="7" eb="8">
      <t>トオ</t>
    </rPh>
    <rPh sb="76" eb="78">
      <t>カモク</t>
    </rPh>
    <rPh sb="80" eb="81">
      <t>シュウ</t>
    </rPh>
    <rPh sb="98" eb="99">
      <t>モト</t>
    </rPh>
    <phoneticPr fontId="1"/>
  </si>
  <si>
    <t xml:space="preserve">
評価の視点の通り、成果を達成できた。
各学生の当該授業習熟度は、教学IR室で行われる学習成果アンケート及びその分析により把握できる。
また，このアンケート結果を教員相互で確認し、授業担当者間により次年度以降の授業改善を図る。</t>
    <rPh sb="7" eb="8">
      <t>トオ</t>
    </rPh>
    <phoneticPr fontId="1"/>
  </si>
  <si>
    <t xml:space="preserve">
評価の視点の通り、成果を達成できた。
教務係が各期末修了時に実施する学生への授業アンケートは、全学生へ公表されており、このアンケート結果を通して、後輩等他の学生は、当該科目に対する自らの推奨度を確認できる。
</t>
    <rPh sb="7" eb="8">
      <t>トオ</t>
    </rPh>
    <phoneticPr fontId="1"/>
  </si>
  <si>
    <t xml:space="preserve">
評価の視点の通り、成果を達成できた。
本教育プログラムを構成する科目については、従来から開講している関連科目の中で実施しているので、全学生が数理・データサイエンス・AI教育関連プログラムを履修することになる。各学科における教育の内容について、各専門分野からの観点も取り入れ見直し等を検討する。
令和8年度に履修率は100%になる予定であることを教務委員会で今後確認する。</t>
    <rPh sb="7" eb="8">
      <t>トオ</t>
    </rPh>
    <phoneticPr fontId="1"/>
  </si>
  <si>
    <t xml:space="preserve">
評価の視点の通りの成果を達成できなかったが、達成に向けての対応策が立案され、対応に着手している。
本校と連携している広島大学情報系教員や、広島県内DX推進企業技術者の方々にスポット的講義を依頼し、Aiに
関する社会での実例紹介講義を企画し、さらに興味を持つ学生に対しては、AI・数理サイエンスに関する集中講
義・演習を実施し、学生のスキルをさらにレベルアップさせている。一連の活動に関しては、AI・数理データ
サイエンス理解度調査アンケートを実施し、その内容について評価を行っている。
</t>
    <rPh sb="201" eb="203">
      <t>スウリ</t>
    </rPh>
    <rPh sb="212" eb="215">
      <t>リカイド</t>
    </rPh>
    <rPh sb="215" eb="217">
      <t>チョウサ</t>
    </rPh>
    <phoneticPr fontId="1"/>
  </si>
  <si>
    <t xml:space="preserve">
評価の視点の通りの成果を達成できなかったが、達成に向けての対応策が立案され、対応に着手している。
授業アンケートで「分かりやすさ」等の総合的な授業評価を行うと共に、教学IR室にて、学生アンケート及び提携企業からの意見を参考にデータを分析し、自己点検・評価委員会専門部
会において、学生の「分かりやすさ」の観点から、講義の内容・実施方法の見直し案を提案し、各部署において
当該内容を検討を行う予定である。</t>
    <rPh sb="51" eb="53">
      <t>ジュギョウ</t>
    </rPh>
    <rPh sb="60" eb="61">
      <t>ワ</t>
    </rPh>
    <rPh sb="67" eb="68">
      <t>トウ</t>
    </rPh>
    <rPh sb="69" eb="72">
      <t>ソウゴウテキ</t>
    </rPh>
    <rPh sb="73" eb="77">
      <t>ジュギョウヒョウカ</t>
    </rPh>
    <rPh sb="78" eb="79">
      <t>オコナ</t>
    </rPh>
    <rPh sb="81" eb="82">
      <t>トモ</t>
    </rPh>
    <rPh sb="195" eb="196">
      <t>オコナ</t>
    </rPh>
    <rPh sb="197" eb="199">
      <t>ヨテイ</t>
    </rPh>
    <phoneticPr fontId="1"/>
  </si>
  <si>
    <t xml:space="preserve">
評価の視点を上回る成果を達成できた。
履修状況は、教務係に提出された履修届、修得状況は電子出席簿による出欠により把握できる。
</t>
    <phoneticPr fontId="1"/>
  </si>
  <si>
    <t>様式１-1</t>
    <rPh sb="0" eb="2">
      <t>ヨウシキ</t>
    </rPh>
    <phoneticPr fontId="1"/>
  </si>
  <si>
    <t>様式１-2</t>
    <rPh sb="0" eb="2">
      <t>ヨウシキ</t>
    </rPh>
    <phoneticPr fontId="1"/>
  </si>
  <si>
    <t>様式１-3</t>
    <rPh sb="0" eb="2">
      <t>ヨウシキ</t>
    </rPh>
    <phoneticPr fontId="1"/>
  </si>
  <si>
    <t>様式１-4</t>
    <rPh sb="0" eb="2">
      <t>ヨウシキ</t>
    </rPh>
    <phoneticPr fontId="1"/>
  </si>
  <si>
    <t>機械工学科の平成31年度以降入学生について、「技術者倫理」「情報処理Ⅰ」「工学実験」の単位を全て取得していること。</t>
    <rPh sb="23" eb="28">
      <t>ギジュツシャリンリ</t>
    </rPh>
    <rPh sb="30" eb="34">
      <t>ジョウホウショリ</t>
    </rPh>
    <rPh sb="37" eb="41">
      <t>コウガクジッケン</t>
    </rPh>
    <rPh sb="43" eb="45">
      <t>タンイ</t>
    </rPh>
    <phoneticPr fontId="1"/>
  </si>
  <si>
    <t>世界や地域など現代社会で起きている変化（データ駆動型社会、デジタル社会、Society5.0等）を概観して、それぞれの専門分野の技術が関わっていることを学ぶ。加えて、情報や専門的な技術等が日常生活や社会活動にどのように組み込まれているかを学び、それらが今後の技術革新や社会活動当等に与える影響について考える。
・Society5.0，データ駆動型社会「技術者倫理（2～13回目）」
・データ量の増加，計算機の処理性能の向上「情報処理I（1～4回目）」</t>
    <rPh sb="170" eb="173">
      <t>クドウガタ</t>
    </rPh>
    <rPh sb="173" eb="175">
      <t>シャカイ</t>
    </rPh>
    <rPh sb="186" eb="188">
      <t>カイメ</t>
    </rPh>
    <rPh sb="195" eb="196">
      <t>リョウ</t>
    </rPh>
    <rPh sb="197" eb="199">
      <t>ゾウカ</t>
    </rPh>
    <rPh sb="200" eb="203">
      <t>ケイサンキ</t>
    </rPh>
    <rPh sb="204" eb="208">
      <t>ショリセイノウ</t>
    </rPh>
    <rPh sb="209" eb="211">
      <t>コウジョウ</t>
    </rPh>
    <rPh sb="221" eb="223">
      <t>カイメ</t>
    </rPh>
    <phoneticPr fontId="1"/>
  </si>
  <si>
    <t>現在進行中のデータ社会の変化について触れながら、コンピュータおよびAIでできること・できないことを理解する。
・AI等を活用した新しいビジネスモデル「技術者倫理（2～13回目）」
・AI最新技術の活用例「工学実験（1～16回目）」</t>
    <rPh sb="58" eb="59">
      <t>トウ</t>
    </rPh>
    <rPh sb="60" eb="62">
      <t>カツヨウ</t>
    </rPh>
    <rPh sb="64" eb="65">
      <t>アタラ</t>
    </rPh>
    <rPh sb="93" eb="97">
      <t>サイシンギジュツ</t>
    </rPh>
    <rPh sb="98" eb="101">
      <t>カツヨウレイ</t>
    </rPh>
    <rPh sb="102" eb="106">
      <t>コウガクジッケン</t>
    </rPh>
    <phoneticPr fontId="1"/>
  </si>
  <si>
    <t>社会活動では様々な種類のデータが存在し、それらのデータの取得方法を学ぶ。また、これらのデータを活用するための手法を学ぶ。
・調査データ「技術者倫理（2～13回目）」
・データ作成「情報処理I (1～4回目)」</t>
    <rPh sb="62" eb="64">
      <t>チョウサ</t>
    </rPh>
    <rPh sb="78" eb="79">
      <t>カイ</t>
    </rPh>
    <rPh sb="79" eb="80">
      <t>メ</t>
    </rPh>
    <rPh sb="87" eb="89">
      <t>サクセイ</t>
    </rPh>
    <rPh sb="101" eb="102">
      <t>メ</t>
    </rPh>
    <phoneticPr fontId="1"/>
  </si>
  <si>
    <t>データの活用が社会活動に重要であることや広範な分野の課題を解決するのに有用であることを学ぶ。また、実際に社会で活用されているデータやその処理に利用されている技術を調査する。さらに，C言語などを利用して情報を適切に収集・処理・発信するための基礎的な方法を学ぶ。
・データ，AI活用領域の広がり（生産，消費。文化活動など）「技術者倫理（2～13回目）」
・仮説検証，原因究明，計画策定「情報処理I (1～4回目)」</t>
    <rPh sb="91" eb="93">
      <t>ゲンゴ</t>
    </rPh>
    <rPh sb="137" eb="139">
      <t>カツヨウ</t>
    </rPh>
    <rPh sb="139" eb="141">
      <t>リョウイキ</t>
    </rPh>
    <rPh sb="142" eb="143">
      <t>ヒロ</t>
    </rPh>
    <rPh sb="146" eb="148">
      <t>セイサン</t>
    </rPh>
    <rPh sb="149" eb="151">
      <t>ショウヒ</t>
    </rPh>
    <rPh sb="152" eb="156">
      <t>ブンカカツドウ</t>
    </rPh>
    <rPh sb="176" eb="180">
      <t>カセツケンショウ</t>
    </rPh>
    <rPh sb="181" eb="183">
      <t>ゲンイン</t>
    </rPh>
    <rPh sb="183" eb="185">
      <t>キュウメイ</t>
    </rPh>
    <rPh sb="186" eb="188">
      <t>ケイカク</t>
    </rPh>
    <rPh sb="188" eb="190">
      <t>サクテイ</t>
    </rPh>
    <phoneticPr fontId="1"/>
  </si>
  <si>
    <t>インターネットにおける情報発信は誰でもすぐに公表できるため、情報やデータは淘汰されず大量に出回るという、技術的・倫理的な問題について認識し、その中で、正しくデータを収集し、取り扱っていくのかについて理解を深める。
・データ可視化「技術者倫理（2～13回目）」
・データ解析「工学実験（1～16回目）」</t>
    <rPh sb="111" eb="114">
      <t>カシカ</t>
    </rPh>
    <rPh sb="134" eb="136">
      <t>カイセキ</t>
    </rPh>
    <phoneticPr fontId="1"/>
  </si>
  <si>
    <t xml:space="preserve">現代社会において、ビッグデータやAIが製造・生産現場での活用事例を体験する。また，どのように活用されているのかを学ぶ。
・データ・AI利活用事例紹介「技術者倫理（2～13回目）」「工学実験（1～16回目）」
</t>
    <rPh sb="67" eb="70">
      <t>リカツヨウ</t>
    </rPh>
    <rPh sb="70" eb="74">
      <t>ジレイショウカイ</t>
    </rPh>
    <phoneticPr fontId="1"/>
  </si>
  <si>
    <t>現在のデジタル社会（Society5.0等)において、インターネット時代における情報発信の問題点や情報の非物質性について理解し、広く日常生活や社会活動に及ぼす影響、さらには個人情報保護や守秘義務の重要性を学ぶ。
・データ倫理「技術者倫理（2～13回目）」「工学実験（1～16回目）」</t>
    <rPh sb="110" eb="112">
      <t>リンリ</t>
    </rPh>
    <phoneticPr fontId="1"/>
  </si>
  <si>
    <t>実験データや個人データの取り扱い方法，情報共有を行う場合の情報セキュリティや情報漏洩の注意点など、データを守る上での留意事項について学ぶ。
・情報セキュリティ，情報漏洩当によるセキュリティ事故の事例紹介
「技術者倫理（2～13回目）」「工学実験（1～16回目）」</t>
    <rPh sb="71" eb="73">
      <t>ジョウホウ</t>
    </rPh>
    <rPh sb="80" eb="84">
      <t>ジョウホウロウエイ</t>
    </rPh>
    <rPh sb="84" eb="85">
      <t>トウ</t>
    </rPh>
    <rPh sb="94" eb="96">
      <t>ジコ</t>
    </rPh>
    <rPh sb="97" eb="101">
      <t>ジレイショウカイ</t>
    </rPh>
    <phoneticPr fontId="1"/>
  </si>
  <si>
    <t>学修してきたC言語などを用いたデータの処理方法、関数の扱い方、グラフの作成法を利用し、熱・材料・工作・流体・制御の各分野の実験から得られたデータを表やグラフの形で可視化しデータの特徴を把握する方法を実習する。
・データの種類，データの分布「工学実験（1～16回目）」
・データの種類，データの分布，統計情報の正しい理解「情報処理I（1～11回目）」</t>
    <rPh sb="7" eb="9">
      <t>ゲンゴ</t>
    </rPh>
    <rPh sb="12" eb="13">
      <t>モチ</t>
    </rPh>
    <rPh sb="110" eb="112">
      <t>シュルイ</t>
    </rPh>
    <rPh sb="117" eb="119">
      <t>ブンプ</t>
    </rPh>
    <rPh sb="120" eb="124">
      <t>コウガクジッケン</t>
    </rPh>
    <rPh sb="149" eb="153">
      <t>トウケイジョウホウ</t>
    </rPh>
    <rPh sb="154" eb="155">
      <t>タダ</t>
    </rPh>
    <rPh sb="157" eb="159">
      <t>リカイ</t>
    </rPh>
    <phoneticPr fontId="1"/>
  </si>
  <si>
    <t>実験はグループワークで実施し、各分野の実験からデータの取得、整理、可視化を行い、データ・現象の特徴を捉える方法を学ぶ。得られた成果について、レポートを作成する前段階においてグループ内外で議論することで、整理の方法や理解の定着を図る。
・データ表現，データの比較「工学実験（1～16回目）」
・データ表現，データの比較「情報処理I（1～11回目）」</t>
    <rPh sb="121" eb="123">
      <t>ヒョウゲン</t>
    </rPh>
    <rPh sb="128" eb="130">
      <t>ヒカク</t>
    </rPh>
    <phoneticPr fontId="1"/>
  </si>
  <si>
    <t xml:space="preserve">機械工学の分野において実際に起こりうる代表的な現象を見ながら、実データを測定・取得し、それを整理・説明する一連の流れを体験することで、数理・データサイエンスの基本的な活用方法について理解する。
・データの集計「工学実験（1～16回目）」
・データの集計「情報処理I（1～11回目）」
</t>
    <rPh sb="102" eb="104">
      <t>シュウケイ</t>
    </rPh>
    <phoneticPr fontId="1"/>
  </si>
  <si>
    <t>電気情報工学科の平成31年度以降の入学生について、「情報リテラシー」「情報処理Ⅰ」「情報処理Ⅱ」「情報処理Ⅲ」「情報処理Ⅴ」「情報ネットワーク」の内5単位以上を取得していること。</t>
    <rPh sb="26" eb="28">
      <t>ジョウホウ</t>
    </rPh>
    <rPh sb="35" eb="39">
      <t>ジョウホウショリ</t>
    </rPh>
    <rPh sb="42" eb="46">
      <t>ジョウホウショリ</t>
    </rPh>
    <rPh sb="49" eb="53">
      <t>ジョウホウショリ</t>
    </rPh>
    <rPh sb="56" eb="60">
      <t>ジョウホウショリ</t>
    </rPh>
    <rPh sb="63" eb="65">
      <t>ジョウホウ</t>
    </rPh>
    <phoneticPr fontId="1"/>
  </si>
  <si>
    <t>世界や地域など現代社会で起きている変化（データ駆動型社会、デジタル社会、Society5.0等）を概観して、それぞれの専門分野の技術が関わっていることを学ぶ。加えて、情報や専門的な技術等が日常生活や社会活動にどのように組み込まれているかを学び、それらが今後の技術革新や社会活動等に与える影響について考える。
・データ量の増加「情報リテラシー（２回目、４回目、５回目）」
・データ駆動型社会「情報処理Ⅰ(１回目）」</t>
    <rPh sb="158" eb="159">
      <t>リョウ</t>
    </rPh>
    <rPh sb="160" eb="162">
      <t>ゾウカ</t>
    </rPh>
    <rPh sb="189" eb="192">
      <t>クドウガタ</t>
    </rPh>
    <rPh sb="192" eb="194">
      <t>シャカイ</t>
    </rPh>
    <phoneticPr fontId="1"/>
  </si>
  <si>
    <t>現在進行中のデータ社会の変化について触れながら、AIでできること・できないことを理解する。
・AI等を活用した新しいビジネスモデル「情報リテラシー（１０回目）」「情報処理I（１回目）」</t>
    <rPh sb="49" eb="50">
      <t>トウ</t>
    </rPh>
    <rPh sb="51" eb="53">
      <t>カツヨウ</t>
    </rPh>
    <rPh sb="55" eb="56">
      <t>アタラ</t>
    </rPh>
    <phoneticPr fontId="1"/>
  </si>
  <si>
    <t>社会活動では様々な種類のデータが存在し、それらのデータの取得方法を学ぶ。また、これらのデータを活用するための手法を学ぶ。
・調査データ，実験データ「情報リテラシー（４回目）」「情報処理Ⅴ（５回目）」</t>
    <rPh sb="62" eb="64">
      <t>チョウサ</t>
    </rPh>
    <rPh sb="68" eb="70">
      <t>ジッケン</t>
    </rPh>
    <phoneticPr fontId="1"/>
  </si>
  <si>
    <t>データの活用が社会活動に重要であることや広範な分野の課題を解決するのに有用であることを学ぶ。また、実際に社会で活用されているデータやその処理に利用されている技術を調査する。さらに，C言語などを利用して情報を適切に収集・処理・発信するための基礎的な方法を学ぶ。
・データ・AI活用領域の広がり（生産，消費，文化活動など）「情報リテラシー（４回目）」「情報処理Ⅴ（５回目）」</t>
    <rPh sb="137" eb="139">
      <t>カツヨウ</t>
    </rPh>
    <rPh sb="139" eb="141">
      <t>リョウイキ</t>
    </rPh>
    <rPh sb="142" eb="143">
      <t>ヒロ</t>
    </rPh>
    <rPh sb="146" eb="148">
      <t>セイサン</t>
    </rPh>
    <rPh sb="149" eb="151">
      <t>ショウヒ</t>
    </rPh>
    <rPh sb="152" eb="154">
      <t>ブンカ</t>
    </rPh>
    <rPh sb="154" eb="156">
      <t>カツドウ</t>
    </rPh>
    <phoneticPr fontId="1"/>
  </si>
  <si>
    <t>情報技術やデータ，データベースに関する基礎的な知識とそれらの活用方法を理解し，また，データ・ＡＩ技術は，社会や日常生活の変化に深く関与しており，自らの生活に密接に結びついていることを学ぶ。
・データ可視化「情報リテラシー（２回目）」</t>
    <rPh sb="99" eb="102">
      <t>カシカ</t>
    </rPh>
    <phoneticPr fontId="1"/>
  </si>
  <si>
    <t>現代社会において、ビッグデータやAIが製造・生産現場での活用事例を体験する。また，どのように活用されているのかを学ぶ。
・データ・AI利活用事例紹介「情報リテラシー（２回目）」</t>
    <rPh sb="67" eb="70">
      <t>リカツヨウ</t>
    </rPh>
    <rPh sb="70" eb="72">
      <t>ジレイ</t>
    </rPh>
    <rPh sb="72" eb="74">
      <t>ショウカイ</t>
    </rPh>
    <phoneticPr fontId="1"/>
  </si>
  <si>
    <t>現在のデジタル社会（Society5.0等)において、インターネット時代における情報発信の問題点や情報の非物質性について理解し、広く日常生活や社会活動に及ぼす影響、さらには個人情報保護や守秘義務の重要性を学ぶ。
・個人情報保護「情報リテラシー（２回目）」「情報ネットワーク（２回目、５回目）」</t>
    <rPh sb="107" eb="111">
      <t>コジンジョウホウ</t>
    </rPh>
    <rPh sb="111" eb="113">
      <t>ホゴ</t>
    </rPh>
    <phoneticPr fontId="1"/>
  </si>
  <si>
    <t>実験データや個人データの取り扱い方法，情報共有を行う場合の情報セキュリティや情報漏洩の注意点など、データを守る上での留意事項について学ぶ。
・情報セキュリティ「情報リテラシー（２回目）」「情報ネットワーク（９回目〜１４回目）」</t>
    <rPh sb="71" eb="73">
      <t>ジョウホウ</t>
    </rPh>
    <phoneticPr fontId="1"/>
  </si>
  <si>
    <t>ExcelやC言語などを用いたデータの処理方法、関数の扱い方、グラフの作成法を利用し、データを表やグラフの形で可視化しデータの特徴を把握する方法を実習する。
・データの種類「情報リテラシー（１０回目）」「情報処理Ⅰ（９回目〜１４回目）」「情報処理Ⅱ（２回目〜１４回目）」「情報処理Ⅲ（２回目〜１４回目）」「情報処理Ⅴ（２回目〜１４回目）」</t>
    <rPh sb="84" eb="86">
      <t>シュルイ</t>
    </rPh>
    <phoneticPr fontId="1"/>
  </si>
  <si>
    <t>社会における情報通信ネットワークの役割，データやAIの基本的な利活用および最新動向について，C言語によるプログラミング技術等を用いて説明し，理解を深める。
・データの表現「情報リテラシー（１０回目）」「情報処理Ⅰ（９回目〜１４回目）」「情報処理Ⅱ（２回目〜１４回目）」「情報処理Ⅲ（２回目〜１４回目）」「情報処理Ⅴ（２回目〜１４回目）」</t>
    <rPh sb="83" eb="85">
      <t>ヒョウゲン</t>
    </rPh>
    <phoneticPr fontId="1"/>
  </si>
  <si>
    <t>条件分岐と繰り返しを用いたプログラムを作成し，データ構造とアルゴリズムについて理解しプログラムを適切に扱う能力を身につける。
・データの集計「情報リテラシー（１０回目）」「情報処理Ⅰ（９回目〜１４回目）」「情報処理Ⅱ（２回目〜１４回目）」「情報処理Ⅲ（２回目〜１４回目）」「情報処理Ⅴ（２回目〜１４回目）」</t>
    <rPh sb="68" eb="70">
      <t>シュウケイ</t>
    </rPh>
    <phoneticPr fontId="1"/>
  </si>
  <si>
    <t xml:space="preserve">環境都市工学科の平成31年度以降の入学生について、「技術者倫理」「情報処理Ⅰ」「実験実習Ⅳ」「情報リテラシー」の単位を全て習得していること。
</t>
    <rPh sb="26" eb="31">
      <t>ギジュツシャリンリ</t>
    </rPh>
    <rPh sb="33" eb="37">
      <t>ジョウホウショリ</t>
    </rPh>
    <rPh sb="40" eb="44">
      <t>ジッケンジッシュウ</t>
    </rPh>
    <rPh sb="47" eb="49">
      <t>ジョウホウ</t>
    </rPh>
    <rPh sb="56" eb="58">
      <t>タンイ</t>
    </rPh>
    <rPh sb="59" eb="60">
      <t>スベ</t>
    </rPh>
    <phoneticPr fontId="1"/>
  </si>
  <si>
    <t>世界や地域など現代社会で起きている変化（データ駆動型社会、デジタル社会、Society5.0等）を概観して、それぞれの専門分野の技術が関わっていることを学ぶ。加えて、情報や専門的な技術等が日常生活や社会活動にどのように組み込まれているかを学び、それらが今後の技術革新や社会活動当等に与える影響について考える。
・Society5.0，データ駆動型社会「技術者倫理（2回目～13回目）」</t>
    <phoneticPr fontId="1"/>
  </si>
  <si>
    <t xml:space="preserve">現在進行中のデータ社会の変化について触れながら、コンピュータおよびAIでできること・できないことを理解する。
・AI等を活用した新しいビジネスモデル「技術者倫理（2回目～13回目）」                        </t>
    <phoneticPr fontId="1"/>
  </si>
  <si>
    <t>低学年の科目である情報処理Ⅰでは，表計算ソフトExcelによるデータ処理等を用いることによって身近なデータや大規模に収集されるデータなど様々なデータの管理・活用が可能となることを学ぶ。
・調査データ「情報処理Ⅰ（2回目～15回目）」　　　　　　　　　　　　　　　　　　　　　　　　　　　　　　　　　　　　　　　　　　　　　　　　　　　　　　</t>
    <rPh sb="0" eb="3">
      <t>テイガクネン</t>
    </rPh>
    <rPh sb="4" eb="6">
      <t>カモク</t>
    </rPh>
    <rPh sb="9" eb="13">
      <t>ジョウホウショリ</t>
    </rPh>
    <rPh sb="17" eb="20">
      <t>ヒョウケイサン</t>
    </rPh>
    <rPh sb="34" eb="36">
      <t>ショリ</t>
    </rPh>
    <rPh sb="36" eb="37">
      <t>トウ</t>
    </rPh>
    <rPh sb="38" eb="39">
      <t>モチ</t>
    </rPh>
    <rPh sb="47" eb="49">
      <t>ミジカ</t>
    </rPh>
    <rPh sb="54" eb="57">
      <t>ダイキボ</t>
    </rPh>
    <rPh sb="58" eb="60">
      <t>シュウシュウ</t>
    </rPh>
    <rPh sb="68" eb="70">
      <t>サマザマ</t>
    </rPh>
    <rPh sb="75" eb="77">
      <t>カンリ</t>
    </rPh>
    <rPh sb="78" eb="80">
      <t>カツヨウ</t>
    </rPh>
    <rPh sb="81" eb="83">
      <t>カノウ</t>
    </rPh>
    <rPh sb="89" eb="90">
      <t>マナ</t>
    </rPh>
    <rPh sb="108" eb="109">
      <t>メ</t>
    </rPh>
    <phoneticPr fontId="1"/>
  </si>
  <si>
    <t>低学年で主にツールの使い方を学習し，高学年では取得したデータをどのように取り扱うか議論し，統計的な手法を織り交ぜながら取得したデータの利用方法について学ぶ。
・データ・AI活用領域の広がり（生産，消費，文化活動など）「情報処理Ⅰ（2回目～15回目）」「実験実習IV（18回目～30回目）」　　　　　　　　　　　　　　　　　　　　　　　　　　　　　　　　　　　　　　　　　　　　　　　　　　　　　　　</t>
    <rPh sb="0" eb="3">
      <t>テイガクネン</t>
    </rPh>
    <rPh sb="4" eb="5">
      <t>オモ</t>
    </rPh>
    <rPh sb="10" eb="11">
      <t>ツカ</t>
    </rPh>
    <rPh sb="12" eb="13">
      <t>カタ</t>
    </rPh>
    <rPh sb="14" eb="16">
      <t>ガクシュウ</t>
    </rPh>
    <rPh sb="18" eb="21">
      <t>コウガクネン</t>
    </rPh>
    <rPh sb="23" eb="25">
      <t>シュトク</t>
    </rPh>
    <rPh sb="36" eb="37">
      <t>ト</t>
    </rPh>
    <rPh sb="38" eb="39">
      <t>アツカ</t>
    </rPh>
    <rPh sb="41" eb="43">
      <t>ギロン</t>
    </rPh>
    <rPh sb="45" eb="48">
      <t>トウケイテキ</t>
    </rPh>
    <rPh sb="49" eb="51">
      <t>シュホウ</t>
    </rPh>
    <rPh sb="52" eb="53">
      <t>オ</t>
    </rPh>
    <rPh sb="54" eb="55">
      <t>マ</t>
    </rPh>
    <rPh sb="59" eb="61">
      <t>シュトク</t>
    </rPh>
    <rPh sb="67" eb="69">
      <t>リヨウ</t>
    </rPh>
    <rPh sb="69" eb="71">
      <t>ホウホウ</t>
    </rPh>
    <rPh sb="75" eb="76">
      <t>マナ</t>
    </rPh>
    <rPh sb="117" eb="118">
      <t>メ</t>
    </rPh>
    <phoneticPr fontId="1"/>
  </si>
  <si>
    <t>インターネットにおける情報発信は誰でもすぐに公表できるため、情報やデータは淘汰されず大量に出回るという、技術的・倫理的な問題について認識し、その中で、正しくデータを収集し、取り扱っていくのかについて理解を深める。
・データ可視化「技術者と倫理（2回目～13回目）」</t>
    <phoneticPr fontId="1"/>
  </si>
  <si>
    <t>現代社会において、ビッグデータやAIが製造・生産現場での活用事例を体験する。また，どのように活用されているのかを学ぶ。
・データ・AI利活用事例紹介「技術者と倫理（2回目～13回目）」　　　　</t>
    <phoneticPr fontId="1"/>
  </si>
  <si>
    <t>現在のデジタル社会（Society5.0等)において、インターネット時代における情報発信の問題点や情報の非物質性について理解し、広く日常生活や社会活動に及ぼす影響、さらには個人情報保護や守秘義務の重要性を学ぶ。
・個人情報保護「技術者と倫理（2回目～13回目）」「情報リテラシー(3回目～4回目）」</t>
    <rPh sb="142" eb="143">
      <t>メ</t>
    </rPh>
    <phoneticPr fontId="1"/>
  </si>
  <si>
    <t>実験データや個人データの取り扱い方法，情報共有を行う場合の情報セキュリティや情報漏洩の注意点など、データを守る上での留意事項について学ぶ。
・情報セキュリティ「技術者倫理（2回目～13回目）」「情報リテラシー（3回目～4回目）」</t>
    <phoneticPr fontId="1"/>
  </si>
  <si>
    <t>低学年で学修してきた表計算ソフトExcelによるデータ処理等を用いて，各実験から得られたデータを表やグラフの形で可視化しデータの特徴を把握する方法を実習する。
・データの種類「情報処理Ⅰ（2回目～14回目）」「実験実習IV（2回目～13回目,17回目～28回目）」</t>
    <rPh sb="0" eb="3">
      <t>テイガクネン</t>
    </rPh>
    <rPh sb="4" eb="6">
      <t>ガクシュウ</t>
    </rPh>
    <rPh sb="35" eb="36">
      <t>カク</t>
    </rPh>
    <rPh sb="36" eb="38">
      <t>ジッケン</t>
    </rPh>
    <rPh sb="40" eb="41">
      <t>エ</t>
    </rPh>
    <rPh sb="48" eb="49">
      <t>ヒョウ</t>
    </rPh>
    <rPh sb="54" eb="55">
      <t>カタチ</t>
    </rPh>
    <rPh sb="56" eb="59">
      <t>カシカ</t>
    </rPh>
    <rPh sb="64" eb="66">
      <t>トクチョウ</t>
    </rPh>
    <rPh sb="67" eb="69">
      <t>ハアク</t>
    </rPh>
    <rPh sb="71" eb="73">
      <t>ホウホウ</t>
    </rPh>
    <rPh sb="74" eb="76">
      <t>ジッシュウ</t>
    </rPh>
    <rPh sb="96" eb="97">
      <t>メ</t>
    </rPh>
    <rPh sb="114" eb="115">
      <t>メ</t>
    </rPh>
    <rPh sb="124" eb="125">
      <t>メ</t>
    </rPh>
    <phoneticPr fontId="1"/>
  </si>
  <si>
    <t>実験は班編成による実施により，データ整理・分析，レポート作成を通じて，データの特徴を捉える方法を学ぶ。また，得られた実験結果について，班内外で議論することで，整理の方法や理解の定着を図る。
・データの表現「情報処理Ⅰ（2回目～14回目）」「実験実習IV（2回～13回目、17回～28回目）」</t>
    <rPh sb="0" eb="2">
      <t>ジッケン</t>
    </rPh>
    <rPh sb="3" eb="6">
      <t>ハンヘンセイ</t>
    </rPh>
    <rPh sb="9" eb="11">
      <t>ジッシ</t>
    </rPh>
    <rPh sb="18" eb="20">
      <t>セイリ</t>
    </rPh>
    <rPh sb="21" eb="23">
      <t>ブンセキ</t>
    </rPh>
    <rPh sb="28" eb="30">
      <t>サクセイ</t>
    </rPh>
    <rPh sb="31" eb="32">
      <t>ツウ</t>
    </rPh>
    <rPh sb="39" eb="41">
      <t>トクチョウ</t>
    </rPh>
    <rPh sb="42" eb="43">
      <t>トラ</t>
    </rPh>
    <rPh sb="45" eb="47">
      <t>ホウホウ</t>
    </rPh>
    <rPh sb="48" eb="49">
      <t>マナ</t>
    </rPh>
    <rPh sb="54" eb="55">
      <t>エ</t>
    </rPh>
    <rPh sb="58" eb="60">
      <t>ジッケン</t>
    </rPh>
    <rPh sb="60" eb="62">
      <t>ケッカ</t>
    </rPh>
    <rPh sb="67" eb="68">
      <t>ハン</t>
    </rPh>
    <rPh sb="68" eb="70">
      <t>ナイガイ</t>
    </rPh>
    <rPh sb="71" eb="73">
      <t>ギロン</t>
    </rPh>
    <rPh sb="111" eb="112">
      <t>メ</t>
    </rPh>
    <phoneticPr fontId="1"/>
  </si>
  <si>
    <t>得られた実データは，実験の目的と関連させて整理・統計処理する。また，データを整理するとともに，グラフ等を用いた可視化も行い，複数の方法でデータ分析，取扱い方法を実践的に学ぶ。
・データの集計「実験実習IV（14回目～15回目、29回目～30回目）」</t>
    <rPh sb="0" eb="1">
      <t>エ</t>
    </rPh>
    <rPh sb="4" eb="5">
      <t>ジツ</t>
    </rPh>
    <rPh sb="10" eb="12">
      <t>ジッケン</t>
    </rPh>
    <rPh sb="13" eb="15">
      <t>モクテキ</t>
    </rPh>
    <rPh sb="16" eb="18">
      <t>カンレン</t>
    </rPh>
    <rPh sb="21" eb="23">
      <t>セイリ</t>
    </rPh>
    <rPh sb="24" eb="28">
      <t>トウケイショリ</t>
    </rPh>
    <rPh sb="38" eb="40">
      <t>セイリ</t>
    </rPh>
    <rPh sb="50" eb="51">
      <t>トウ</t>
    </rPh>
    <rPh sb="52" eb="53">
      <t>モチ</t>
    </rPh>
    <rPh sb="55" eb="58">
      <t>カシカ</t>
    </rPh>
    <rPh sb="59" eb="60">
      <t>オコナ</t>
    </rPh>
    <rPh sb="62" eb="64">
      <t>フクスウ</t>
    </rPh>
    <rPh sb="65" eb="67">
      <t>ホウホウ</t>
    </rPh>
    <rPh sb="71" eb="73">
      <t>ブンセキ</t>
    </rPh>
    <rPh sb="74" eb="76">
      <t>トリアツカ</t>
    </rPh>
    <rPh sb="77" eb="79">
      <t>ホウホウ</t>
    </rPh>
    <rPh sb="80" eb="83">
      <t>ジッセンテキ</t>
    </rPh>
    <rPh sb="84" eb="85">
      <t>マナ</t>
    </rPh>
    <rPh sb="106" eb="107">
      <t>メ</t>
    </rPh>
    <rPh sb="116" eb="117">
      <t>メ</t>
    </rPh>
    <phoneticPr fontId="1"/>
  </si>
  <si>
    <t>建築学科の平成31年度以降の入学生について、「技術者倫理」「情報処理Ⅰ」「建築工学実験」「情報リテラシー」を全て習得していること。</t>
    <rPh sb="23" eb="28">
      <t>ギジュツシャリンリ</t>
    </rPh>
    <rPh sb="30" eb="34">
      <t>ジョウホウショリ</t>
    </rPh>
    <rPh sb="37" eb="41">
      <t>ケンチクコウガク</t>
    </rPh>
    <rPh sb="41" eb="43">
      <t>ジッケン</t>
    </rPh>
    <rPh sb="45" eb="47">
      <t>ジョウホウ</t>
    </rPh>
    <phoneticPr fontId="1"/>
  </si>
  <si>
    <t>世界や地域など現代社会で起きている変化（データ駆動型社会、デジタル社会、Society5.0等）を概観して、それぞれの専門分野の技術が関わっていることを学ぶ。加えて、情報や専門的な技術等が日常生活や社会活動にどのように組み込まれているかを学び、それらが今後の技術革新や社会活動当等に与える影響について考える。
・AI，Society5.0，データ駆動型社会「技術者倫理（2回目～13回目）」「情報処理Ⅰ（1回目）」</t>
    <phoneticPr fontId="1"/>
  </si>
  <si>
    <t>現在進行中のデータ社会の変化について触れながら、コンピュータおよびAIでできること・できないことを理解する。
・AI等を活用した新しいビジネスモデル「技術者倫理（2回目～13回目）」「建築工学実験（2，8回目）」</t>
    <phoneticPr fontId="1"/>
  </si>
  <si>
    <t>建築分野でものデータサイエンスやAIが導入されている実例を学ぶ．また，建築材料の強度や室内環境に関連して，社会で実際に用いられいているJISに則った手法により実験データを収集する際に利用される情報処理技術の概要を学ぶ．
・調査データ，実験データ「情報処理Ⅰ（1回目）」「建築工学実験（2，8回目）」</t>
    <rPh sb="111" eb="113">
      <t>チョウサ</t>
    </rPh>
    <rPh sb="117" eb="119">
      <t>ジッケン</t>
    </rPh>
    <phoneticPr fontId="1"/>
  </si>
  <si>
    <t>データサイエンスやAIが建築業界の実務にどのような影響を与え，その構成要素としてプログラミング言語が実装されたり，測定・解析に利用されていることを学ぶ．
・データ，AI活用領域の広がり（生産，消費。文化活動など）「情報処理Ⅰ（1回目）」「建築工学実験（2，8回目）」</t>
    <phoneticPr fontId="1"/>
  </si>
  <si>
    <t>インターネットにおける情報発信は誰でもすぐに公表できるため、情報やデータは淘汰されず大量に出回るという、技術的・倫理的な問題について認識し、その中で、正しくデータを収集し、取り扱っていくのかについて理解を深める。
・データ可視化「技術者倫理（2回目～13回目）」</t>
    <phoneticPr fontId="1"/>
  </si>
  <si>
    <t>現代社会において、ビッグデータやAIが製造・生産現場での活用事例を体験する。また，どのように活用されているのかを学ぶ。
・データ・AI利活用事例紹介「技術者倫理（2回目～13回目）」</t>
    <phoneticPr fontId="1"/>
  </si>
  <si>
    <t>情報技術の進展が社会に及ぼす影響、個人情報保護法、著作権などの法律について学習する．
・データ倫理「技術者倫理（2〜13回目）」「情報リテラシー（2回目）」</t>
    <phoneticPr fontId="1"/>
  </si>
  <si>
    <t>情報漏えい等によるセキュリティ事故の事例などの学習を通して，高度情報通信ネットワーク社会の中核にある情報通信技術と倫理との関わりについても学習する．
・情報セキュリティ，情報漏洩当によるセキュリティ事故の事例紹介
「技術者倫理（2〜13回目）」「情報リテラシー（2回目）」</t>
    <phoneticPr fontId="1"/>
  </si>
  <si>
    <t>測定で得られたバイナリデータの表計算ソフトによる可視化，平均，標準偏差などの求め方を学習する
・データの分布と代表値・データのばらつき
「建築工学実験（3～7回目，9～15回目）」
データの分析などを自動化するプログラムの作成
・データの種類
「情報処理Ⅰ（4回目）」</t>
    <rPh sb="52" eb="54">
      <t>ブンプ</t>
    </rPh>
    <rPh sb="55" eb="57">
      <t>ダイヒョウ</t>
    </rPh>
    <rPh sb="57" eb="58">
      <t>チ</t>
    </rPh>
    <rPh sb="120" eb="122">
      <t>シュルイ</t>
    </rPh>
    <phoneticPr fontId="1"/>
  </si>
  <si>
    <t>表計算ソフトによる実験データのグラフ化，グラフ化したデータの比較
・データ表現/・データの比較
「建築工学実験（3～7回目，9～15回目）」
データのグラフ化を自動化するプログラムの作成
・データ表現
「情報処理Ⅰ（5回目）」</t>
    <rPh sb="37" eb="39">
      <t>ヒョウゲン</t>
    </rPh>
    <rPh sb="45" eb="47">
      <t>ヒカク</t>
    </rPh>
    <rPh sb="99" eb="101">
      <t>ヒョウゲン</t>
    </rPh>
    <phoneticPr fontId="1"/>
  </si>
  <si>
    <t>表計算ソフトの関数などを利用した効率的なデータ処理の方法を学ぶ．
・データ解析ツール
「建築工学実験（3～7回目，9～15回目）」
データの取得・インポート，削除などを自動化するプログラムの作成
・データの集計
「情報処理Ⅰ（４回目）」</t>
    <rPh sb="37" eb="39">
      <t>カイセキ</t>
    </rPh>
    <rPh sb="104" eb="106">
      <t>シュウケイ</t>
    </rPh>
    <phoneticPr fontId="1"/>
  </si>
  <si>
    <t>令和4</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</si>
</sst>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8"/>
      <name val="ＭＳ Ｐゴシック"/>
      <family val="3"/>
      <charset val="128"/>
      <scheme val="minor"/>
    </font>
    <font>
      <sz val="14"/>
      <name val="ＭＳ Ｐゴシック"/>
      <family val="3"/>
      <charset val="128"/>
      <scheme val="minor"/>
    </font>
    <font>
      <sz val="12"/>
      <name val="ＭＳ Ｐゴシック"/>
      <family val="3"/>
      <charset val="128"/>
    </font>
    <font>
      <sz val="9"/>
      <name val="ＭＳ Ｐゴシック"/>
      <family val="3"/>
      <charset val="128"/>
      <scheme val="minor"/>
    </font>
    <font>
      <sz val="10"/>
      <name val="ＭＳ Ｐゴシック"/>
      <family val="3"/>
      <charset val="128"/>
      <scheme val="minor"/>
    </font>
    <font>
      <strike/>
      <sz val="12"/>
      <name val="ＭＳ Ｐゴシック"/>
      <family val="3"/>
      <charset val="128"/>
      <scheme val="minor"/>
    </font>
    <font>
      <sz val="6"/>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6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vertical="top" wrapText="1"/>
    </xf>
    <xf numFmtId="0" fontId="6" fillId="0" borderId="0" xfId="0" applyFont="1">
      <alignment vertical="center"/>
    </xf>
    <xf numFmtId="0" fontId="2" fillId="0" borderId="15" xfId="0" applyFont="1" applyBorder="1" applyAlignment="1">
      <alignment horizontal="center" vertical="center" shrinkToFit="1"/>
    </xf>
    <xf numFmtId="0" fontId="2" fillId="0" borderId="60" xfId="0" applyFont="1" applyBorder="1" applyAlignment="1">
      <alignment horizontal="center" vertical="center" shrinkToFit="1"/>
    </xf>
    <xf numFmtId="0" fontId="10" fillId="0" borderId="14" xfId="0" applyFont="1" applyBorder="1" applyAlignment="1">
      <alignment horizontal="center" vertical="center" shrinkToFit="1"/>
    </xf>
    <xf numFmtId="0" fontId="10" fillId="0" borderId="23" xfId="0" applyFont="1" applyBorder="1" applyAlignment="1">
      <alignment horizontal="center" vertical="center" shrinkToFit="1"/>
    </xf>
    <xf numFmtId="0" fontId="10" fillId="0" borderId="0" xfId="0" applyFont="1">
      <alignment vertical="center"/>
    </xf>
    <xf numFmtId="0" fontId="11" fillId="0" borderId="0" xfId="0" applyFont="1">
      <alignment vertical="center"/>
    </xf>
    <xf numFmtId="0" fontId="10" fillId="0" borderId="1" xfId="0" applyFont="1" applyBorder="1" applyAlignment="1">
      <alignment horizontal="center" vertical="center"/>
    </xf>
    <xf numFmtId="0" fontId="10" fillId="0" borderId="0" xfId="0" applyFont="1" applyAlignment="1">
      <alignment horizontal="right" vertical="center"/>
    </xf>
    <xf numFmtId="0" fontId="10" fillId="0" borderId="0" xfId="0" applyFont="1" applyAlignment="1">
      <alignment vertical="center" shrinkToFit="1"/>
    </xf>
    <xf numFmtId="0" fontId="10" fillId="0" borderId="0" xfId="0" applyFont="1" applyAlignment="1">
      <alignment horizontal="left" vertical="center" shrinkToFit="1"/>
    </xf>
    <xf numFmtId="0" fontId="10" fillId="0" borderId="0" xfId="0" applyFont="1" applyAlignment="1">
      <alignment horizontal="center" vertical="center"/>
    </xf>
    <xf numFmtId="0" fontId="10" fillId="0" borderId="10" xfId="0" applyFont="1" applyBorder="1" applyAlignment="1">
      <alignment horizontal="right" vertical="center"/>
    </xf>
    <xf numFmtId="0" fontId="10" fillId="0" borderId="0" xfId="0" applyFont="1" applyAlignment="1">
      <alignment horizontal="left" vertical="center"/>
    </xf>
    <xf numFmtId="0" fontId="11" fillId="0" borderId="0" xfId="0" applyFont="1" applyAlignment="1">
      <alignment horizontal="center" vertical="center"/>
    </xf>
    <xf numFmtId="0" fontId="10" fillId="0" borderId="5" xfId="0" applyFont="1" applyBorder="1">
      <alignment vertical="center"/>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10" fillId="0" borderId="13" xfId="0" applyFont="1" applyBorder="1" applyAlignment="1">
      <alignment horizontal="center" vertical="center" shrinkToFit="1"/>
    </xf>
    <xf numFmtId="0" fontId="10" fillId="0" borderId="40" xfId="0" applyFont="1" applyBorder="1" applyAlignment="1">
      <alignment horizontal="center" vertical="center" shrinkToFit="1"/>
    </xf>
    <xf numFmtId="0" fontId="10" fillId="0" borderId="0" xfId="0" applyFont="1" applyAlignment="1">
      <alignment vertical="top" wrapText="1"/>
    </xf>
    <xf numFmtId="0" fontId="10" fillId="0" borderId="0" xfId="0" applyFont="1" applyAlignment="1">
      <alignment horizontal="center" vertical="center" shrinkToFit="1"/>
    </xf>
    <xf numFmtId="49" fontId="15" fillId="0" borderId="48" xfId="0" applyNumberFormat="1" applyFont="1" applyBorder="1" applyAlignment="1">
      <alignment horizontal="center" vertical="center"/>
    </xf>
    <xf numFmtId="49" fontId="15" fillId="0" borderId="49" xfId="0" applyNumberFormat="1" applyFont="1" applyBorder="1" applyAlignment="1">
      <alignment horizontal="center" vertical="center"/>
    </xf>
    <xf numFmtId="49" fontId="15" fillId="0" borderId="44" xfId="0" applyNumberFormat="1" applyFont="1" applyBorder="1" applyAlignment="1">
      <alignment horizontal="center" vertical="center"/>
    </xf>
    <xf numFmtId="49" fontId="15" fillId="0" borderId="29" xfId="0" applyNumberFormat="1" applyFont="1" applyBorder="1" applyAlignment="1">
      <alignment horizontal="center" vertical="center"/>
    </xf>
    <xf numFmtId="49" fontId="15" fillId="0" borderId="47" xfId="0" applyNumberFormat="1" applyFont="1" applyBorder="1" applyAlignment="1">
      <alignment horizontal="center" vertical="center"/>
    </xf>
    <xf numFmtId="0" fontId="10" fillId="0" borderId="5" xfId="0" applyFont="1" applyBorder="1" applyAlignment="1">
      <alignment vertical="center" wrapText="1" shrinkToFit="1"/>
    </xf>
    <xf numFmtId="0" fontId="10" fillId="0" borderId="0" xfId="0" applyFont="1" applyAlignment="1">
      <alignment vertical="center" wrapText="1" shrinkToFit="1"/>
    </xf>
    <xf numFmtId="49" fontId="15" fillId="0" borderId="32" xfId="0" applyNumberFormat="1" applyFont="1" applyBorder="1" applyAlignment="1">
      <alignment horizontal="center" vertical="center"/>
    </xf>
    <xf numFmtId="0" fontId="2" fillId="3" borderId="0" xfId="0" applyFont="1" applyFill="1">
      <alignment vertical="center"/>
    </xf>
    <xf numFmtId="0" fontId="10" fillId="0" borderId="0" xfId="0" applyFont="1" applyAlignment="1">
      <alignment vertical="center" wrapText="1"/>
    </xf>
    <xf numFmtId="0" fontId="10" fillId="0" borderId="0" xfId="0" applyFont="1" applyAlignment="1">
      <alignment horizontal="right" vertical="center"/>
    </xf>
    <xf numFmtId="0" fontId="15" fillId="0" borderId="0" xfId="0" applyFont="1">
      <alignment vertical="center"/>
    </xf>
    <xf numFmtId="0" fontId="11" fillId="0" borderId="0" xfId="0" applyFont="1" applyAlignment="1">
      <alignment horizontal="left" vertical="center"/>
    </xf>
    <xf numFmtId="0" fontId="15" fillId="0" borderId="0" xfId="0" applyFont="1" applyAlignment="1">
      <alignment vertical="top" wrapText="1"/>
    </xf>
    <xf numFmtId="0" fontId="10" fillId="0" borderId="1" xfId="0" applyFont="1" applyBorder="1" applyAlignment="1">
      <alignment horizontal="center" vertical="center" wrapText="1" shrinkToFit="1"/>
    </xf>
    <xf numFmtId="9" fontId="10" fillId="0" borderId="1" xfId="0" applyNumberFormat="1" applyFont="1" applyBorder="1" applyAlignment="1">
      <alignment horizontal="center" vertical="center" shrinkToFit="1"/>
    </xf>
    <xf numFmtId="9" fontId="10" fillId="0" borderId="0" xfId="1" applyFont="1" applyAlignment="1">
      <alignment horizontal="center" vertical="center"/>
    </xf>
    <xf numFmtId="0" fontId="10" fillId="0" borderId="1" xfId="0" applyFont="1" applyBorder="1" applyAlignment="1">
      <alignment horizontal="center" vertical="center" shrinkToFit="1"/>
    </xf>
    <xf numFmtId="176" fontId="10" fillId="0" borderId="1" xfId="0" applyNumberFormat="1" applyFont="1" applyBorder="1" applyAlignment="1">
      <alignment horizontal="center" vertical="center" shrinkToFit="1"/>
    </xf>
    <xf numFmtId="0" fontId="15" fillId="0" borderId="0" xfId="0" applyFont="1" applyAlignment="1">
      <alignment vertical="top" shrinkToFit="1"/>
    </xf>
    <xf numFmtId="0" fontId="15" fillId="0" borderId="0" xfId="0" applyFont="1" applyAlignment="1">
      <alignment vertical="center" wrapText="1"/>
    </xf>
    <xf numFmtId="0" fontId="10" fillId="2" borderId="5" xfId="0" applyFont="1" applyFill="1" applyBorder="1">
      <alignment vertical="center"/>
    </xf>
    <xf numFmtId="0" fontId="15" fillId="2" borderId="0" xfId="0" applyFont="1" applyFill="1" applyAlignment="1">
      <alignment vertical="top" wrapText="1"/>
    </xf>
    <xf numFmtId="0" fontId="15" fillId="2" borderId="10" xfId="0" applyFont="1" applyFill="1" applyBorder="1" applyAlignment="1">
      <alignment vertical="top" wrapText="1"/>
    </xf>
    <xf numFmtId="0" fontId="10" fillId="2" borderId="0" xfId="0" applyFont="1" applyFill="1">
      <alignment vertical="center"/>
    </xf>
    <xf numFmtId="0" fontId="15" fillId="2" borderId="5" xfId="0" applyFont="1" applyFill="1" applyBorder="1" applyAlignment="1">
      <alignment vertical="top" wrapText="1"/>
    </xf>
    <xf numFmtId="0" fontId="15" fillId="2" borderId="11" xfId="0" applyFont="1" applyFill="1" applyBorder="1" applyAlignment="1">
      <alignment vertical="top" wrapText="1"/>
    </xf>
    <xf numFmtId="0" fontId="15" fillId="2" borderId="42" xfId="0" applyFont="1" applyFill="1" applyBorder="1" applyAlignment="1">
      <alignment vertical="top" wrapText="1"/>
    </xf>
    <xf numFmtId="0" fontId="15" fillId="2" borderId="43" xfId="0" applyFont="1" applyFill="1" applyBorder="1" applyAlignment="1">
      <alignment vertical="top" wrapText="1"/>
    </xf>
    <xf numFmtId="0" fontId="15" fillId="2" borderId="42" xfId="0" applyFont="1" applyFill="1" applyBorder="1" applyAlignment="1">
      <alignment vertical="top" shrinkToFit="1"/>
    </xf>
    <xf numFmtId="0" fontId="15" fillId="2" borderId="43" xfId="0" applyFont="1" applyFill="1" applyBorder="1" applyAlignment="1">
      <alignment vertical="top" shrinkToFit="1"/>
    </xf>
    <xf numFmtId="0" fontId="10" fillId="0" borderId="0" xfId="0" applyFont="1" applyAlignment="1">
      <alignment horizontal="right" vertical="center"/>
    </xf>
    <xf numFmtId="0" fontId="13" fillId="0" borderId="0" xfId="0" applyFont="1" applyAlignment="1">
      <alignment horizontal="center" vertical="center"/>
    </xf>
    <xf numFmtId="0" fontId="10" fillId="0" borderId="0" xfId="0" applyFont="1" applyAlignment="1">
      <alignment vertical="top" wrapText="1"/>
    </xf>
    <xf numFmtId="0" fontId="10" fillId="0" borderId="5" xfId="0" applyFont="1" applyBorder="1" applyAlignment="1">
      <alignment vertical="top" wrapText="1" shrinkToFit="1"/>
    </xf>
    <xf numFmtId="0" fontId="10" fillId="0" borderId="0" xfId="0" applyFont="1" applyAlignment="1">
      <alignment horizontal="center" vertical="center"/>
    </xf>
    <xf numFmtId="0" fontId="10" fillId="0" borderId="0" xfId="0" applyFont="1" applyAlignment="1">
      <alignment horizontal="right" vertical="center"/>
    </xf>
    <xf numFmtId="0" fontId="10" fillId="0" borderId="0" xfId="0" applyFont="1" applyAlignment="1">
      <alignment horizontal="center" vertical="center"/>
    </xf>
    <xf numFmtId="0" fontId="10" fillId="0" borderId="0" xfId="0" applyFont="1" applyAlignment="1">
      <alignment vertical="top" wrapText="1"/>
    </xf>
    <xf numFmtId="0" fontId="10" fillId="0" borderId="1" xfId="0" applyFont="1" applyFill="1" applyBorder="1" applyAlignment="1">
      <alignment horizontal="left" vertical="center"/>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10"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6" fillId="0" borderId="0" xfId="0" applyFont="1" applyAlignment="1">
      <alignment horizontal="center" vertical="center"/>
    </xf>
    <xf numFmtId="0" fontId="10" fillId="0" borderId="7" xfId="0" applyFont="1" applyBorder="1" applyAlignment="1">
      <alignment horizontal="left" vertical="top" wrapText="1" shrinkToFit="1"/>
    </xf>
    <xf numFmtId="0" fontId="10" fillId="0" borderId="8" xfId="0" applyFont="1" applyBorder="1" applyAlignment="1">
      <alignment horizontal="left" vertical="top" wrapText="1" shrinkToFit="1"/>
    </xf>
    <xf numFmtId="0" fontId="10" fillId="0" borderId="9" xfId="0" applyFont="1" applyBorder="1" applyAlignment="1">
      <alignment horizontal="left" vertical="top" wrapText="1" shrinkToFit="1"/>
    </xf>
    <xf numFmtId="0" fontId="10" fillId="0" borderId="5" xfId="0" applyFont="1" applyBorder="1" applyAlignment="1">
      <alignment horizontal="left" vertical="top" wrapText="1" shrinkToFit="1"/>
    </xf>
    <xf numFmtId="0" fontId="10" fillId="0" borderId="0" xfId="0" applyFont="1" applyAlignment="1">
      <alignment horizontal="left" vertical="top" wrapText="1" shrinkToFit="1"/>
    </xf>
    <xf numFmtId="0" fontId="10" fillId="0" borderId="10" xfId="0" applyFont="1" applyBorder="1" applyAlignment="1">
      <alignment horizontal="left" vertical="top" wrapText="1" shrinkToFit="1"/>
    </xf>
    <xf numFmtId="0" fontId="10" fillId="0" borderId="11" xfId="0" applyFont="1" applyBorder="1" applyAlignment="1">
      <alignment horizontal="left" vertical="top" wrapText="1" shrinkToFit="1"/>
    </xf>
    <xf numFmtId="0" fontId="10" fillId="0" borderId="6" xfId="0" applyFont="1" applyBorder="1" applyAlignment="1">
      <alignment horizontal="left" vertical="top" wrapText="1" shrinkToFit="1"/>
    </xf>
    <xf numFmtId="0" fontId="10"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7" fillId="0" borderId="2" xfId="0" applyFont="1" applyBorder="1" applyAlignment="1">
      <alignment vertical="top" wrapText="1" shrinkToFit="1"/>
    </xf>
    <xf numFmtId="0" fontId="7" fillId="0" borderId="3" xfId="0" applyFont="1" applyBorder="1" applyAlignment="1">
      <alignment vertical="top" wrapText="1" shrinkToFit="1"/>
    </xf>
    <xf numFmtId="0" fontId="7" fillId="0" borderId="4" xfId="0" applyFont="1" applyBorder="1" applyAlignment="1">
      <alignment vertical="top"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10" fillId="0" borderId="22" xfId="0" applyFont="1" applyBorder="1" applyAlignment="1">
      <alignment horizontal="left" vertical="top" wrapText="1" shrinkToFit="1"/>
    </xf>
    <xf numFmtId="0" fontId="10" fillId="0" borderId="22" xfId="0" applyFont="1" applyBorder="1" applyAlignment="1">
      <alignment horizontal="left" vertical="top" shrinkToFit="1"/>
    </xf>
    <xf numFmtId="0" fontId="10" fillId="0" borderId="21" xfId="0" applyFont="1" applyBorder="1" applyAlignment="1">
      <alignment horizontal="left" vertical="top" shrinkToFit="1"/>
    </xf>
    <xf numFmtId="0" fontId="10" fillId="0" borderId="36" xfId="0" applyFont="1" applyBorder="1" applyAlignment="1">
      <alignment horizontal="left" vertical="top" wrapText="1" shrinkToFit="1"/>
    </xf>
    <xf numFmtId="0" fontId="10" fillId="0" borderId="36" xfId="0" applyFont="1" applyBorder="1" applyAlignment="1">
      <alignment horizontal="left" vertical="top" shrinkToFit="1"/>
    </xf>
    <xf numFmtId="0" fontId="10" fillId="0" borderId="35" xfId="0" applyFont="1" applyBorder="1" applyAlignment="1">
      <alignment horizontal="left" vertical="top" shrinkToFit="1"/>
    </xf>
    <xf numFmtId="0" fontId="10" fillId="0" borderId="6" xfId="0" applyFont="1" applyBorder="1" applyAlignment="1">
      <alignment horizontal="left" vertical="top" shrinkToFit="1"/>
    </xf>
    <xf numFmtId="0" fontId="10" fillId="0" borderId="12" xfId="0" applyFont="1" applyBorder="1" applyAlignment="1">
      <alignment horizontal="left" vertical="top" shrinkToFit="1"/>
    </xf>
    <xf numFmtId="0" fontId="10" fillId="0" borderId="38" xfId="0" applyFont="1" applyBorder="1" applyAlignment="1">
      <alignment horizontal="left" vertical="top" wrapText="1" shrinkToFit="1"/>
    </xf>
    <xf numFmtId="0" fontId="10" fillId="0" borderId="38" xfId="0" applyFont="1" applyBorder="1" applyAlignment="1">
      <alignment horizontal="left" vertical="top" shrinkToFit="1"/>
    </xf>
    <xf numFmtId="0" fontId="10" fillId="0" borderId="39" xfId="0" applyFont="1" applyBorder="1" applyAlignment="1">
      <alignment horizontal="left" vertical="top" shrinkToFit="1"/>
    </xf>
    <xf numFmtId="0" fontId="10" fillId="0" borderId="19" xfId="0" applyFont="1" applyBorder="1" applyAlignment="1">
      <alignment vertical="top" wrapText="1" shrinkToFit="1"/>
    </xf>
    <xf numFmtId="0" fontId="10" fillId="0" borderId="20" xfId="0" applyFont="1" applyBorder="1" applyAlignment="1">
      <alignment vertical="top" shrinkToFit="1"/>
    </xf>
    <xf numFmtId="0" fontId="10" fillId="0" borderId="18" xfId="0" applyFont="1" applyBorder="1" applyAlignment="1">
      <alignment vertical="top"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10" fillId="0" borderId="36" xfId="0" applyFont="1" applyBorder="1" applyAlignment="1">
      <alignment vertical="top" wrapText="1" shrinkToFit="1"/>
    </xf>
    <xf numFmtId="0" fontId="10" fillId="0" borderId="36" xfId="0" applyFont="1" applyBorder="1" applyAlignment="1">
      <alignment vertical="top" shrinkToFit="1"/>
    </xf>
    <xf numFmtId="0" fontId="10" fillId="0" borderId="35" xfId="0" applyFont="1" applyBorder="1" applyAlignment="1">
      <alignment vertical="top" shrinkToFit="1"/>
    </xf>
    <xf numFmtId="0" fontId="10" fillId="0" borderId="6" xfId="0" applyFont="1" applyBorder="1" applyAlignment="1">
      <alignment vertical="top" wrapText="1"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0" fillId="0" borderId="8" xfId="0" applyFont="1" applyBorder="1" applyAlignment="1">
      <alignment horizontal="left" vertical="top" shrinkToFit="1"/>
    </xf>
    <xf numFmtId="0" fontId="10" fillId="0" borderId="9" xfId="0" applyFont="1" applyBorder="1" applyAlignment="1">
      <alignment horizontal="left" vertical="top"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15" fillId="0" borderId="45" xfId="0" applyFont="1" applyBorder="1" applyAlignment="1">
      <alignment vertical="center" wrapText="1"/>
    </xf>
    <xf numFmtId="0" fontId="15" fillId="0" borderId="31" xfId="0" applyFont="1" applyBorder="1" applyAlignment="1">
      <alignment vertical="center" wrapText="1"/>
    </xf>
    <xf numFmtId="0" fontId="15" fillId="0" borderId="46" xfId="0" applyFont="1" applyBorder="1" applyAlignment="1">
      <alignment vertical="center" wrapText="1"/>
    </xf>
    <xf numFmtId="0" fontId="10" fillId="0" borderId="2" xfId="0" applyFont="1" applyBorder="1" applyAlignment="1">
      <alignment horizontal="left" vertical="top" wrapText="1" shrinkToFit="1"/>
    </xf>
    <xf numFmtId="0" fontId="10" fillId="0" borderId="3" xfId="0" applyFont="1" applyBorder="1" applyAlignment="1">
      <alignment horizontal="left" vertical="top" wrapText="1" shrinkToFit="1"/>
    </xf>
    <xf numFmtId="0" fontId="10" fillId="0" borderId="4" xfId="0" applyFont="1" applyBorder="1" applyAlignment="1">
      <alignment horizontal="left" vertical="top" wrapText="1" shrinkToFit="1"/>
    </xf>
    <xf numFmtId="0" fontId="10" fillId="0" borderId="2" xfId="0" applyFont="1" applyBorder="1" applyAlignment="1">
      <alignment vertical="top" wrapText="1" shrinkToFit="1"/>
    </xf>
    <xf numFmtId="0" fontId="10" fillId="0" borderId="3" xfId="0" applyFont="1" applyBorder="1" applyAlignment="1">
      <alignment vertical="top" wrapText="1" shrinkToFit="1"/>
    </xf>
    <xf numFmtId="0" fontId="10" fillId="0" borderId="4" xfId="0" applyFont="1" applyBorder="1" applyAlignment="1">
      <alignment vertical="top" wrapText="1" shrinkToFi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19" xfId="0" applyFont="1" applyBorder="1" applyAlignment="1">
      <alignment vertical="center" shrinkToFit="1"/>
    </xf>
    <xf numFmtId="0" fontId="10" fillId="0" borderId="20"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horizontal="center" vertical="center" shrinkToFit="1"/>
    </xf>
    <xf numFmtId="0" fontId="10" fillId="0" borderId="20" xfId="0" applyFont="1" applyBorder="1" applyAlignment="1">
      <alignment horizontal="center" vertical="center" shrinkToFit="1"/>
    </xf>
    <xf numFmtId="0" fontId="10" fillId="0" borderId="18" xfId="0" applyFont="1" applyBorder="1" applyAlignment="1">
      <alignment horizontal="center" vertical="center" shrinkToFit="1"/>
    </xf>
    <xf numFmtId="0" fontId="10" fillId="0" borderId="37" xfId="0" applyFont="1" applyBorder="1" applyAlignment="1">
      <alignment vertical="center" shrinkToFit="1"/>
    </xf>
    <xf numFmtId="0" fontId="10" fillId="0" borderId="38" xfId="0" applyFont="1" applyBorder="1" applyAlignment="1">
      <alignment vertical="center" shrinkToFit="1"/>
    </xf>
    <xf numFmtId="0" fontId="10" fillId="0" borderId="39" xfId="0" applyFont="1" applyBorder="1" applyAlignment="1">
      <alignment vertical="center" shrinkToFit="1"/>
    </xf>
    <xf numFmtId="0" fontId="10" fillId="0" borderId="37" xfId="0" applyFont="1" applyBorder="1" applyAlignment="1">
      <alignment horizontal="center" vertical="center" shrinkToFit="1"/>
    </xf>
    <xf numFmtId="0" fontId="10" fillId="0" borderId="38" xfId="0" applyFont="1" applyBorder="1" applyAlignment="1">
      <alignment horizontal="center" vertical="center" shrinkToFit="1"/>
    </xf>
    <xf numFmtId="0" fontId="10" fillId="0" borderId="39" xfId="0" applyFont="1" applyBorder="1" applyAlignment="1">
      <alignment horizontal="center" vertical="center" shrinkToFit="1"/>
    </xf>
    <xf numFmtId="0" fontId="10" fillId="0" borderId="2"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34" xfId="0" applyFont="1" applyBorder="1" applyAlignment="1">
      <alignment vertical="center" shrinkToFit="1"/>
    </xf>
    <xf numFmtId="0" fontId="10" fillId="0" borderId="36" xfId="0" applyFont="1" applyBorder="1" applyAlignment="1">
      <alignment vertical="center" shrinkToFit="1"/>
    </xf>
    <xf numFmtId="0" fontId="10" fillId="0" borderId="35" xfId="0" applyFont="1" applyBorder="1" applyAlignment="1">
      <alignment vertical="center" shrinkToFit="1"/>
    </xf>
    <xf numFmtId="0" fontId="10" fillId="0" borderId="34" xfId="0" applyFont="1" applyBorder="1" applyAlignment="1">
      <alignment horizontal="center" vertical="center" shrinkToFit="1"/>
    </xf>
    <xf numFmtId="0" fontId="10" fillId="0" borderId="36" xfId="0" applyFont="1" applyBorder="1" applyAlignment="1">
      <alignment horizontal="center" vertical="center" shrinkToFit="1"/>
    </xf>
    <xf numFmtId="0" fontId="10" fillId="0" borderId="35" xfId="0" applyFont="1" applyBorder="1" applyAlignment="1">
      <alignment horizontal="center" vertical="center" shrinkToFit="1"/>
    </xf>
    <xf numFmtId="0" fontId="10" fillId="0" borderId="0" xfId="0" applyFont="1" applyAlignment="1">
      <alignment vertical="center" wrapText="1"/>
    </xf>
    <xf numFmtId="0" fontId="14" fillId="0" borderId="7" xfId="0" applyFont="1" applyBorder="1" applyAlignment="1">
      <alignment horizontal="left" vertical="top" wrapText="1"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0" xfId="0" applyFont="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17" fillId="0" borderId="34" xfId="0" applyFont="1" applyBorder="1" applyAlignment="1">
      <alignment vertical="center" shrinkToFit="1"/>
    </xf>
    <xf numFmtId="0" fontId="17" fillId="0" borderId="36" xfId="0" applyFont="1" applyBorder="1" applyAlignment="1">
      <alignment vertical="center" shrinkToFit="1"/>
    </xf>
    <xf numFmtId="0" fontId="17" fillId="0" borderId="35" xfId="0" applyFont="1" applyBorder="1" applyAlignment="1">
      <alignment vertical="center" shrinkToFit="1"/>
    </xf>
    <xf numFmtId="0" fontId="17" fillId="0" borderId="34" xfId="0" applyFont="1" applyBorder="1" applyAlignment="1">
      <alignment horizontal="center" vertical="center" shrinkToFit="1"/>
    </xf>
    <xf numFmtId="0" fontId="17" fillId="0" borderId="36" xfId="0" applyFont="1" applyBorder="1" applyAlignment="1">
      <alignment horizontal="center" vertical="center" shrinkToFit="1"/>
    </xf>
    <xf numFmtId="0" fontId="17" fillId="0" borderId="35" xfId="0" applyFont="1" applyBorder="1" applyAlignment="1">
      <alignment horizontal="center" vertical="center" shrinkToFit="1"/>
    </xf>
    <xf numFmtId="0" fontId="14" fillId="0" borderId="19" xfId="0" applyFont="1" applyBorder="1" applyAlignment="1">
      <alignment vertical="center" shrinkToFit="1"/>
    </xf>
    <xf numFmtId="0" fontId="14" fillId="0" borderId="34" xfId="0" applyFont="1" applyBorder="1" applyAlignment="1">
      <alignment vertical="center" shrinkToFit="1"/>
    </xf>
    <xf numFmtId="0" fontId="2" fillId="0" borderId="6" xfId="0" applyFont="1" applyBorder="1" applyAlignment="1">
      <alignment horizontal="right"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34" xfId="0"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0" fontId="5" fillId="0" borderId="2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10" fillId="0" borderId="2" xfId="0" applyFont="1" applyBorder="1" applyAlignment="1">
      <alignment horizontal="center" vertical="center" shrinkToFit="1"/>
    </xf>
    <xf numFmtId="0" fontId="10"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4"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10" fillId="0" borderId="7" xfId="0" applyFont="1" applyBorder="1" applyAlignment="1">
      <alignment vertical="top" wrapText="1"/>
    </xf>
    <xf numFmtId="0" fontId="10" fillId="0" borderId="9" xfId="0" applyFont="1" applyBorder="1" applyAlignment="1">
      <alignment vertical="top"/>
    </xf>
    <xf numFmtId="0" fontId="10" fillId="0" borderId="5" xfId="0" applyFont="1" applyBorder="1" applyAlignment="1">
      <alignment vertical="top"/>
    </xf>
    <xf numFmtId="0" fontId="10" fillId="0" borderId="0" xfId="0" applyFont="1" applyAlignment="1">
      <alignment vertical="top"/>
    </xf>
    <xf numFmtId="0" fontId="10" fillId="0" borderId="10" xfId="0" applyFont="1" applyBorder="1" applyAlignment="1">
      <alignment vertical="top"/>
    </xf>
    <xf numFmtId="0" fontId="10" fillId="0" borderId="11" xfId="0" applyFont="1" applyBorder="1" applyAlignment="1">
      <alignment vertical="top"/>
    </xf>
    <xf numFmtId="0" fontId="10" fillId="0" borderId="6" xfId="0" applyFont="1" applyBorder="1" applyAlignment="1">
      <alignment vertical="top"/>
    </xf>
    <xf numFmtId="0" fontId="10" fillId="0" borderId="12" xfId="0" applyFont="1" applyBorder="1" applyAlignment="1">
      <alignment vertical="top"/>
    </xf>
    <xf numFmtId="9" fontId="10" fillId="0" borderId="1" xfId="0" applyNumberFormat="1" applyFont="1" applyBorder="1" applyAlignment="1">
      <alignment horizontal="center" vertical="center" wrapText="1" shrinkToFit="1"/>
    </xf>
    <xf numFmtId="9" fontId="10" fillId="0" borderId="1" xfId="0" applyNumberFormat="1" applyFont="1" applyBorder="1" applyAlignment="1">
      <alignment horizontal="center" vertical="center" shrinkToFit="1"/>
    </xf>
    <xf numFmtId="0" fontId="14" fillId="0" borderId="7"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10" xfId="0" applyFont="1" applyBorder="1" applyAlignment="1">
      <alignment horizontal="left" vertical="top" wrapText="1"/>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0" xfId="0" applyFont="1" applyAlignment="1">
      <alignment vertical="center"/>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0" fontId="10" fillId="0" borderId="5" xfId="0" applyFont="1" applyBorder="1" applyAlignment="1">
      <alignment vertical="top" wrapText="1" shrinkToFit="1"/>
    </xf>
    <xf numFmtId="0" fontId="10" fillId="0" borderId="0" xfId="0" applyFont="1" applyAlignment="1">
      <alignment vertical="top" wrapText="1" shrinkToFit="1"/>
    </xf>
    <xf numFmtId="0" fontId="10" fillId="2" borderId="5" xfId="0" applyFont="1" applyFill="1" applyBorder="1" applyAlignment="1">
      <alignment horizontal="center" vertical="center" shrinkToFit="1"/>
    </xf>
    <xf numFmtId="0" fontId="10" fillId="2" borderId="0" xfId="0" applyFont="1" applyFill="1" applyAlignment="1">
      <alignment horizontal="center" vertical="center" shrinkToFit="1"/>
    </xf>
    <xf numFmtId="0" fontId="10" fillId="2" borderId="10" xfId="0" applyFont="1" applyFill="1" applyBorder="1" applyAlignment="1">
      <alignment horizontal="center" vertical="center" shrinkToFit="1"/>
    </xf>
    <xf numFmtId="0" fontId="10" fillId="0" borderId="2" xfId="0" applyFont="1" applyBorder="1" applyAlignment="1">
      <alignment horizontal="left"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0" fillId="0" borderId="0" xfId="0" applyFont="1" applyAlignment="1">
      <alignment horizontal="center" vertical="center"/>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10" fillId="0" borderId="12" xfId="0" applyFont="1" applyBorder="1" applyAlignment="1">
      <alignment vertical="top" wrapText="1" shrinkToFit="1"/>
    </xf>
    <xf numFmtId="0" fontId="10" fillId="0" borderId="17" xfId="0" applyFont="1" applyBorder="1" applyAlignment="1">
      <alignment vertical="center" wrapText="1"/>
    </xf>
    <xf numFmtId="0" fontId="10" fillId="0" borderId="18" xfId="0" applyFont="1" applyBorder="1" applyAlignment="1">
      <alignment vertical="center" wrapText="1"/>
    </xf>
    <xf numFmtId="0" fontId="10" fillId="0" borderId="20" xfId="0" applyFont="1" applyBorder="1" applyAlignment="1">
      <alignment vertical="top" wrapText="1" shrinkToFit="1"/>
    </xf>
    <xf numFmtId="0" fontId="10" fillId="0" borderId="18" xfId="0" applyFont="1" applyBorder="1" applyAlignment="1">
      <alignment vertical="top" wrapText="1" shrinkToFit="1"/>
    </xf>
    <xf numFmtId="0" fontId="10" fillId="0" borderId="59" xfId="0" applyFont="1" applyBorder="1" applyAlignment="1">
      <alignment vertical="center" wrapText="1"/>
    </xf>
    <xf numFmtId="0" fontId="10" fillId="0" borderId="39" xfId="0" applyFont="1" applyBorder="1" applyAlignment="1">
      <alignment vertical="center" wrapText="1"/>
    </xf>
    <xf numFmtId="0" fontId="10" fillId="0" borderId="38" xfId="0" applyFont="1" applyBorder="1" applyAlignment="1">
      <alignment vertical="top" wrapText="1" shrinkToFit="1"/>
    </xf>
    <xf numFmtId="0" fontId="10" fillId="0" borderId="39" xfId="0" applyFont="1" applyBorder="1" applyAlignment="1">
      <alignment vertical="top" wrapText="1" shrinkToFit="1"/>
    </xf>
    <xf numFmtId="0" fontId="10" fillId="0" borderId="41" xfId="0" applyFont="1" applyBorder="1" applyAlignment="1">
      <alignment vertical="center" wrapText="1"/>
    </xf>
    <xf numFmtId="0" fontId="10" fillId="0" borderId="42" xfId="0" applyFont="1" applyBorder="1" applyAlignment="1">
      <alignment vertical="center" wrapText="1"/>
    </xf>
    <xf numFmtId="0" fontId="10" fillId="0" borderId="43" xfId="0" applyFont="1" applyBorder="1" applyAlignment="1">
      <alignment vertical="center" wrapText="1"/>
    </xf>
    <xf numFmtId="0" fontId="10" fillId="0" borderId="42" xfId="0" applyFont="1" applyBorder="1" applyAlignment="1">
      <alignment vertical="top" wrapText="1" shrinkToFit="1"/>
    </xf>
    <xf numFmtId="0" fontId="10" fillId="0" borderId="43" xfId="0" applyFont="1" applyBorder="1" applyAlignment="1">
      <alignment vertical="top" wrapText="1" shrinkToFit="1"/>
    </xf>
    <xf numFmtId="0" fontId="10" fillId="0" borderId="37" xfId="0" applyFont="1" applyBorder="1" applyAlignment="1">
      <alignment vertical="top" wrapText="1" shrinkToFit="1"/>
    </xf>
    <xf numFmtId="0" fontId="10" fillId="0" borderId="17" xfId="0" applyFont="1" applyBorder="1" applyAlignment="1">
      <alignment vertical="center"/>
    </xf>
    <xf numFmtId="0" fontId="11" fillId="0" borderId="18" xfId="0" applyFont="1" applyBorder="1" applyAlignment="1">
      <alignment vertical="center"/>
    </xf>
    <xf numFmtId="0" fontId="10" fillId="0" borderId="19" xfId="0" applyFont="1" applyBorder="1" applyAlignment="1">
      <alignment horizontal="left" vertical="top" wrapText="1" shrinkToFit="1"/>
    </xf>
    <xf numFmtId="0" fontId="10" fillId="0" borderId="20" xfId="0" applyFont="1" applyBorder="1" applyAlignment="1">
      <alignment horizontal="left" vertical="top" wrapText="1" shrinkToFit="1"/>
    </xf>
    <xf numFmtId="0" fontId="10" fillId="0" borderId="3" xfId="0" applyFont="1" applyBorder="1" applyAlignment="1">
      <alignment horizontal="left" vertical="center"/>
    </xf>
    <xf numFmtId="0" fontId="10"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tabSelected="1" view="pageBreakPreview" zoomScaleNormal="100" zoomScaleSheetLayoutView="100" workbookViewId="0">
      <selection activeCell="M2" sqref="M2"/>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1" t="s">
        <v>174</v>
      </c>
      <c r="S1" s="141"/>
      <c r="T1" s="2" t="s">
        <v>0</v>
      </c>
    </row>
    <row r="2" spans="1:22" ht="18.75" customHeight="1" x14ac:dyDescent="0.15">
      <c r="B2" s="57" t="s">
        <v>1</v>
      </c>
      <c r="C2" s="134" t="s">
        <v>2</v>
      </c>
      <c r="D2" s="135"/>
      <c r="E2" s="135"/>
      <c r="F2" s="135"/>
      <c r="G2" s="135"/>
      <c r="H2" s="135"/>
      <c r="I2" s="136"/>
      <c r="J2" s="56"/>
      <c r="K2" s="4"/>
      <c r="L2" s="4"/>
      <c r="M2" s="4"/>
      <c r="N2" s="4"/>
      <c r="O2" s="4"/>
      <c r="P2" s="4"/>
      <c r="Q2" s="4"/>
      <c r="R2" s="4"/>
      <c r="S2" s="4"/>
    </row>
    <row r="3" spans="1:22" ht="18.75" customHeight="1" x14ac:dyDescent="0.15">
      <c r="B3" s="57" t="s">
        <v>3</v>
      </c>
      <c r="C3" s="145" t="s">
        <v>4</v>
      </c>
      <c r="D3" s="146"/>
      <c r="E3" s="146"/>
      <c r="F3" s="146"/>
      <c r="G3" s="146"/>
      <c r="H3" s="146"/>
      <c r="I3" s="147"/>
      <c r="J3" s="56"/>
      <c r="K3" s="4"/>
      <c r="L3" s="4"/>
      <c r="M3" s="4"/>
      <c r="N3" s="4"/>
      <c r="O3" s="4"/>
      <c r="P3" s="4"/>
      <c r="Q3" s="4"/>
      <c r="R3" s="4"/>
      <c r="S3" s="4"/>
    </row>
    <row r="4" spans="1:22" ht="15" customHeight="1" x14ac:dyDescent="0.15">
      <c r="K4" s="56"/>
      <c r="L4" s="30"/>
      <c r="M4" s="30"/>
      <c r="N4" s="30"/>
      <c r="O4" s="30"/>
      <c r="P4" s="30"/>
      <c r="Q4" s="30"/>
      <c r="R4" s="30"/>
      <c r="S4" s="30"/>
    </row>
    <row r="5" spans="1:22" ht="18" customHeight="1" x14ac:dyDescent="0.15">
      <c r="A5" s="148" t="s">
        <v>5</v>
      </c>
      <c r="B5" s="148"/>
      <c r="C5" s="148"/>
      <c r="D5" s="148"/>
      <c r="E5" s="148"/>
      <c r="F5" s="148"/>
      <c r="G5" s="148"/>
      <c r="H5" s="148"/>
      <c r="I5" s="148"/>
      <c r="J5" s="148"/>
      <c r="K5" s="148"/>
      <c r="L5" s="148"/>
      <c r="M5" s="148"/>
      <c r="N5" s="148"/>
      <c r="O5" s="148"/>
      <c r="P5" s="148"/>
      <c r="Q5" s="148"/>
      <c r="R5" s="148"/>
      <c r="S5" s="14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6</v>
      </c>
      <c r="C7" s="3"/>
      <c r="J7" s="31" t="s">
        <v>7</v>
      </c>
      <c r="K7" s="158" t="s">
        <v>8</v>
      </c>
      <c r="L7" s="159"/>
      <c r="M7" s="159"/>
      <c r="N7" s="159"/>
      <c r="O7" s="159"/>
      <c r="P7" s="159"/>
      <c r="Q7" s="159"/>
      <c r="R7" s="159"/>
      <c r="S7" s="160"/>
    </row>
    <row r="8" spans="1:22" ht="6" customHeight="1" x14ac:dyDescent="0.15">
      <c r="B8" s="3"/>
      <c r="C8" s="3"/>
      <c r="D8" s="3"/>
      <c r="E8" s="3"/>
      <c r="F8" s="3"/>
      <c r="G8" s="3"/>
      <c r="H8" s="3"/>
      <c r="I8" s="3"/>
      <c r="J8" s="3"/>
      <c r="K8" s="8"/>
      <c r="L8" s="3"/>
      <c r="M8" s="3"/>
      <c r="N8" s="3"/>
      <c r="O8" s="3"/>
      <c r="P8" s="3"/>
      <c r="Q8" s="3"/>
      <c r="R8" s="3"/>
      <c r="S8" s="3"/>
    </row>
    <row r="9" spans="1:22" ht="18" customHeight="1" x14ac:dyDescent="0.15">
      <c r="B9" s="122" t="s">
        <v>9</v>
      </c>
      <c r="C9" s="123"/>
      <c r="D9" s="123"/>
      <c r="E9" s="123"/>
      <c r="F9" s="123"/>
      <c r="G9" s="123"/>
      <c r="H9" s="123"/>
      <c r="I9" s="123"/>
      <c r="J9" s="123"/>
      <c r="K9" s="123"/>
      <c r="L9" s="123"/>
      <c r="M9" s="123"/>
      <c r="N9" s="123"/>
      <c r="O9" s="123"/>
      <c r="P9" s="123"/>
      <c r="Q9" s="123"/>
      <c r="R9" s="123"/>
      <c r="S9" s="124"/>
    </row>
    <row r="10" spans="1:22" ht="18" customHeight="1" x14ac:dyDescent="0.15">
      <c r="B10" s="125"/>
      <c r="C10" s="126"/>
      <c r="D10" s="126"/>
      <c r="E10" s="126"/>
      <c r="F10" s="126"/>
      <c r="G10" s="126"/>
      <c r="H10" s="126"/>
      <c r="I10" s="126"/>
      <c r="J10" s="126"/>
      <c r="K10" s="126"/>
      <c r="L10" s="126"/>
      <c r="M10" s="126"/>
      <c r="N10" s="126"/>
      <c r="O10" s="126"/>
      <c r="P10" s="126"/>
      <c r="Q10" s="126"/>
      <c r="R10" s="126"/>
      <c r="S10" s="127"/>
    </row>
    <row r="11" spans="1:22" ht="6" customHeight="1" x14ac:dyDescent="0.15">
      <c r="B11" s="3"/>
      <c r="C11" s="3"/>
      <c r="D11" s="3"/>
      <c r="E11" s="3"/>
      <c r="F11" s="3"/>
      <c r="G11" s="3"/>
      <c r="H11" s="3"/>
      <c r="I11" s="3"/>
      <c r="J11" s="3"/>
      <c r="K11" s="8"/>
      <c r="L11" s="3"/>
      <c r="M11" s="3"/>
      <c r="N11" s="3"/>
      <c r="O11" s="3"/>
      <c r="P11" s="3"/>
      <c r="Q11" s="3"/>
      <c r="R11" s="3"/>
      <c r="S11" s="3"/>
    </row>
    <row r="12" spans="1:22" ht="18" customHeight="1" x14ac:dyDescent="0.15">
      <c r="A12" s="1" t="s">
        <v>10</v>
      </c>
      <c r="B12" s="3"/>
      <c r="C12" s="3"/>
      <c r="D12" s="56"/>
      <c r="E12" s="56"/>
      <c r="F12" s="56"/>
      <c r="G12" s="56"/>
      <c r="H12" s="56"/>
      <c r="I12" s="56"/>
      <c r="J12" s="56"/>
      <c r="K12" s="32"/>
      <c r="L12" s="32"/>
      <c r="M12" s="32"/>
      <c r="N12" s="32"/>
      <c r="O12" s="32"/>
      <c r="P12" s="32"/>
      <c r="Q12" s="32"/>
      <c r="R12" s="32"/>
      <c r="S12" s="32"/>
    </row>
    <row r="13" spans="1:22" ht="18" customHeight="1" x14ac:dyDescent="0.15">
      <c r="B13" s="149" t="s">
        <v>178</v>
      </c>
      <c r="C13" s="150"/>
      <c r="D13" s="150"/>
      <c r="E13" s="150"/>
      <c r="F13" s="150"/>
      <c r="G13" s="150"/>
      <c r="H13" s="150"/>
      <c r="I13" s="150"/>
      <c r="J13" s="150"/>
      <c r="K13" s="150"/>
      <c r="L13" s="150"/>
      <c r="M13" s="150"/>
      <c r="N13" s="150"/>
      <c r="O13" s="150"/>
      <c r="P13" s="150"/>
      <c r="Q13" s="150"/>
      <c r="R13" s="150"/>
      <c r="S13" s="151"/>
      <c r="V13" s="1" t="s">
        <v>11</v>
      </c>
    </row>
    <row r="14" spans="1:22" ht="18" customHeight="1" x14ac:dyDescent="0.15">
      <c r="B14" s="152"/>
      <c r="C14" s="153"/>
      <c r="D14" s="153"/>
      <c r="E14" s="153"/>
      <c r="F14" s="153"/>
      <c r="G14" s="153"/>
      <c r="H14" s="153"/>
      <c r="I14" s="153"/>
      <c r="J14" s="153"/>
      <c r="K14" s="153"/>
      <c r="L14" s="153"/>
      <c r="M14" s="153"/>
      <c r="N14" s="153"/>
      <c r="O14" s="153"/>
      <c r="P14" s="153"/>
      <c r="Q14" s="153"/>
      <c r="R14" s="153"/>
      <c r="S14" s="154"/>
      <c r="V14" s="1" t="s">
        <v>12</v>
      </c>
    </row>
    <row r="15" spans="1:22" ht="18" customHeight="1" x14ac:dyDescent="0.15">
      <c r="B15" s="152"/>
      <c r="C15" s="153"/>
      <c r="D15" s="153"/>
      <c r="E15" s="153"/>
      <c r="F15" s="153"/>
      <c r="G15" s="153"/>
      <c r="H15" s="153"/>
      <c r="I15" s="153"/>
      <c r="J15" s="153"/>
      <c r="K15" s="153"/>
      <c r="L15" s="153"/>
      <c r="M15" s="153"/>
      <c r="N15" s="153"/>
      <c r="O15" s="153"/>
      <c r="P15" s="153"/>
      <c r="Q15" s="153"/>
      <c r="R15" s="153"/>
      <c r="S15" s="154"/>
      <c r="V15" s="1" t="s">
        <v>13</v>
      </c>
    </row>
    <row r="16" spans="1:22" ht="18" customHeight="1" x14ac:dyDescent="0.15">
      <c r="B16" s="152"/>
      <c r="C16" s="153"/>
      <c r="D16" s="153"/>
      <c r="E16" s="153"/>
      <c r="F16" s="153"/>
      <c r="G16" s="153"/>
      <c r="H16" s="153"/>
      <c r="I16" s="153"/>
      <c r="J16" s="153"/>
      <c r="K16" s="153"/>
      <c r="L16" s="153"/>
      <c r="M16" s="153"/>
      <c r="N16" s="153"/>
      <c r="O16" s="153"/>
      <c r="P16" s="153"/>
      <c r="Q16" s="153"/>
      <c r="R16" s="153"/>
      <c r="S16" s="154"/>
      <c r="V16" s="1" t="s">
        <v>14</v>
      </c>
    </row>
    <row r="17" spans="1:19" ht="18" customHeight="1" x14ac:dyDescent="0.15">
      <c r="B17" s="152"/>
      <c r="C17" s="153"/>
      <c r="D17" s="153"/>
      <c r="E17" s="153"/>
      <c r="F17" s="153"/>
      <c r="G17" s="153"/>
      <c r="H17" s="153"/>
      <c r="I17" s="153"/>
      <c r="J17" s="153"/>
      <c r="K17" s="153"/>
      <c r="L17" s="153"/>
      <c r="M17" s="153"/>
      <c r="N17" s="153"/>
      <c r="O17" s="153"/>
      <c r="P17" s="153"/>
      <c r="Q17" s="153"/>
      <c r="R17" s="153"/>
      <c r="S17" s="154"/>
    </row>
    <row r="18" spans="1:19" ht="18" customHeight="1" x14ac:dyDescent="0.15">
      <c r="B18" s="155"/>
      <c r="C18" s="156"/>
      <c r="D18" s="156"/>
      <c r="E18" s="156"/>
      <c r="F18" s="156"/>
      <c r="G18" s="156"/>
      <c r="H18" s="156"/>
      <c r="I18" s="156"/>
      <c r="J18" s="156"/>
      <c r="K18" s="156"/>
      <c r="L18" s="156"/>
      <c r="M18" s="156"/>
      <c r="N18" s="156"/>
      <c r="O18" s="156"/>
      <c r="P18" s="156"/>
      <c r="Q18" s="156"/>
      <c r="R18" s="156"/>
      <c r="S18" s="157"/>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15</v>
      </c>
      <c r="C20" s="134">
        <v>5</v>
      </c>
      <c r="D20" s="136"/>
      <c r="E20" s="33" t="s">
        <v>16</v>
      </c>
      <c r="G20" s="8"/>
      <c r="H20" s="3"/>
      <c r="I20" s="3"/>
      <c r="J20" s="56" t="s">
        <v>17</v>
      </c>
      <c r="K20" s="142" t="s">
        <v>12</v>
      </c>
      <c r="L20" s="143"/>
      <c r="M20" s="143"/>
      <c r="N20" s="143"/>
      <c r="O20" s="143"/>
      <c r="P20" s="143"/>
      <c r="Q20" s="143"/>
      <c r="R20" s="143"/>
      <c r="S20" s="14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37" t="s">
        <v>18</v>
      </c>
      <c r="B22" s="137"/>
      <c r="C22" s="137"/>
      <c r="D22" s="137"/>
      <c r="E22" s="137"/>
      <c r="F22" s="137"/>
      <c r="G22" s="137"/>
      <c r="H22" s="137"/>
      <c r="I22" s="137"/>
      <c r="J22" s="137"/>
      <c r="K22" s="137"/>
      <c r="L22" s="137"/>
      <c r="M22" s="137"/>
      <c r="N22" s="137"/>
      <c r="O22" s="137"/>
      <c r="P22" s="137"/>
      <c r="Q22" s="137"/>
      <c r="R22" s="137"/>
      <c r="S22" s="137"/>
    </row>
    <row r="23" spans="1:19" ht="18" customHeight="1" x14ac:dyDescent="0.15">
      <c r="A23" s="137"/>
      <c r="B23" s="137"/>
      <c r="C23" s="137"/>
      <c r="D23" s="137"/>
      <c r="E23" s="137"/>
      <c r="F23" s="137"/>
      <c r="G23" s="137"/>
      <c r="H23" s="137"/>
      <c r="I23" s="137"/>
      <c r="J23" s="137"/>
      <c r="K23" s="137"/>
      <c r="L23" s="137"/>
      <c r="M23" s="137"/>
      <c r="N23" s="137"/>
      <c r="O23" s="137"/>
      <c r="P23" s="137"/>
      <c r="Q23" s="137"/>
      <c r="R23" s="137"/>
      <c r="S23" s="137"/>
    </row>
    <row r="24" spans="1:19" ht="18" customHeight="1" x14ac:dyDescent="0.15">
      <c r="B24" s="134" t="s">
        <v>19</v>
      </c>
      <c r="C24" s="135"/>
      <c r="D24" s="135"/>
      <c r="E24" s="136"/>
      <c r="F24" s="35" t="s">
        <v>20</v>
      </c>
      <c r="G24" s="34" t="s">
        <v>21</v>
      </c>
      <c r="H24" s="18" t="s">
        <v>22</v>
      </c>
      <c r="I24" s="18" t="s">
        <v>23</v>
      </c>
      <c r="J24" s="134" t="s">
        <v>19</v>
      </c>
      <c r="K24" s="135"/>
      <c r="L24" s="135"/>
      <c r="M24" s="135"/>
      <c r="N24" s="135"/>
      <c r="O24" s="136"/>
      <c r="P24" s="35" t="s">
        <v>20</v>
      </c>
      <c r="Q24" s="34" t="s">
        <v>21</v>
      </c>
      <c r="R24" s="18" t="s">
        <v>22</v>
      </c>
      <c r="S24" s="18" t="s">
        <v>23</v>
      </c>
    </row>
    <row r="25" spans="1:19" ht="18" customHeight="1" x14ac:dyDescent="0.15">
      <c r="B25" s="138" t="s">
        <v>24</v>
      </c>
      <c r="C25" s="139"/>
      <c r="D25" s="139"/>
      <c r="E25" s="140"/>
      <c r="F25" s="19">
        <v>2</v>
      </c>
      <c r="G25" s="60" t="s">
        <v>25</v>
      </c>
      <c r="H25" s="19" t="s">
        <v>25</v>
      </c>
      <c r="I25" s="19" t="s">
        <v>25</v>
      </c>
      <c r="J25" s="138"/>
      <c r="K25" s="139"/>
      <c r="L25" s="139"/>
      <c r="M25" s="139"/>
      <c r="N25" s="139"/>
      <c r="O25" s="140"/>
      <c r="P25" s="19"/>
      <c r="Q25" s="19"/>
      <c r="R25" s="19"/>
      <c r="S25" s="19"/>
    </row>
    <row r="26" spans="1:19" ht="18" customHeight="1" x14ac:dyDescent="0.15">
      <c r="B26" s="128" t="s">
        <v>26</v>
      </c>
      <c r="C26" s="129"/>
      <c r="D26" s="129"/>
      <c r="E26" s="130"/>
      <c r="F26" s="20">
        <v>1</v>
      </c>
      <c r="G26" s="20" t="s">
        <v>25</v>
      </c>
      <c r="H26" s="20" t="s">
        <v>25</v>
      </c>
      <c r="I26" s="20"/>
      <c r="J26" s="128"/>
      <c r="K26" s="129"/>
      <c r="L26" s="129"/>
      <c r="M26" s="129"/>
      <c r="N26" s="129"/>
      <c r="O26" s="130"/>
      <c r="P26" s="20"/>
      <c r="Q26" s="20"/>
      <c r="R26" s="20"/>
      <c r="S26" s="20"/>
    </row>
    <row r="27" spans="1:19" ht="18" customHeight="1" x14ac:dyDescent="0.15">
      <c r="B27" s="128" t="s">
        <v>27</v>
      </c>
      <c r="C27" s="129"/>
      <c r="D27" s="129"/>
      <c r="E27" s="130"/>
      <c r="F27" s="20">
        <v>2</v>
      </c>
      <c r="G27" s="61" t="s">
        <v>25</v>
      </c>
      <c r="H27" s="20"/>
      <c r="I27" s="20" t="s">
        <v>25</v>
      </c>
      <c r="J27" s="128"/>
      <c r="K27" s="129"/>
      <c r="L27" s="129"/>
      <c r="M27" s="129"/>
      <c r="N27" s="129"/>
      <c r="O27" s="130"/>
      <c r="P27" s="20"/>
      <c r="Q27" s="20"/>
      <c r="R27" s="20"/>
      <c r="S27" s="20"/>
    </row>
    <row r="28" spans="1:19" ht="18" customHeight="1" x14ac:dyDescent="0.15">
      <c r="B28" s="128"/>
      <c r="C28" s="129"/>
      <c r="D28" s="129"/>
      <c r="E28" s="130"/>
      <c r="F28" s="20"/>
      <c r="G28" s="20"/>
      <c r="H28" s="20"/>
      <c r="I28" s="20"/>
      <c r="J28" s="128"/>
      <c r="K28" s="129"/>
      <c r="L28" s="129"/>
      <c r="M28" s="129"/>
      <c r="N28" s="129"/>
      <c r="O28" s="130"/>
      <c r="P28" s="20"/>
      <c r="Q28" s="20"/>
      <c r="R28" s="20"/>
      <c r="S28" s="20"/>
    </row>
    <row r="29" spans="1:19" ht="18" customHeight="1" x14ac:dyDescent="0.15">
      <c r="B29" s="128"/>
      <c r="C29" s="129"/>
      <c r="D29" s="129"/>
      <c r="E29" s="130"/>
      <c r="F29" s="20"/>
      <c r="G29" s="20"/>
      <c r="H29" s="20"/>
      <c r="I29" s="20"/>
      <c r="J29" s="128"/>
      <c r="K29" s="129"/>
      <c r="L29" s="129"/>
      <c r="M29" s="129"/>
      <c r="N29" s="129"/>
      <c r="O29" s="130"/>
      <c r="P29" s="20"/>
      <c r="Q29" s="20"/>
      <c r="R29" s="20"/>
      <c r="S29" s="20"/>
    </row>
    <row r="30" spans="1:19" ht="18" customHeight="1" x14ac:dyDescent="0.15">
      <c r="A30" s="3"/>
      <c r="B30" s="128"/>
      <c r="C30" s="129"/>
      <c r="D30" s="129"/>
      <c r="E30" s="130"/>
      <c r="F30" s="20"/>
      <c r="G30" s="20"/>
      <c r="H30" s="20"/>
      <c r="I30" s="20"/>
      <c r="J30" s="128"/>
      <c r="K30" s="129"/>
      <c r="L30" s="129"/>
      <c r="M30" s="129"/>
      <c r="N30" s="129"/>
      <c r="O30" s="130"/>
      <c r="P30" s="20"/>
      <c r="Q30" s="20"/>
      <c r="R30" s="20"/>
      <c r="S30" s="20"/>
    </row>
    <row r="31" spans="1:19" ht="18" customHeight="1" x14ac:dyDescent="0.15">
      <c r="A31" s="3"/>
      <c r="B31" s="131"/>
      <c r="C31" s="132"/>
      <c r="D31" s="132"/>
      <c r="E31" s="133"/>
      <c r="F31" s="21"/>
      <c r="G31" s="21"/>
      <c r="H31" s="22"/>
      <c r="I31" s="22"/>
      <c r="J31" s="131"/>
      <c r="K31" s="132"/>
      <c r="L31" s="132"/>
      <c r="M31" s="132"/>
      <c r="N31" s="132"/>
      <c r="O31" s="133"/>
      <c r="P31" s="21"/>
      <c r="Q31" s="21"/>
      <c r="R31" s="22"/>
      <c r="S31" s="22"/>
    </row>
    <row r="32" spans="1:19" ht="7.5" customHeight="1" x14ac:dyDescent="0.15">
      <c r="A32" s="3"/>
      <c r="B32" s="4"/>
      <c r="C32" s="4"/>
      <c r="D32" s="3"/>
      <c r="E32" s="3"/>
      <c r="F32" s="3"/>
      <c r="G32" s="3"/>
      <c r="H32" s="4"/>
      <c r="I32" s="4"/>
      <c r="J32" s="4"/>
      <c r="K32" s="4"/>
      <c r="L32" s="4"/>
      <c r="M32" s="4"/>
      <c r="N32" s="4"/>
      <c r="O32" s="4"/>
      <c r="P32" s="4"/>
      <c r="Q32" s="4"/>
      <c r="R32" s="4"/>
      <c r="S32" s="3"/>
    </row>
    <row r="33" spans="1:19" ht="18" customHeight="1" x14ac:dyDescent="0.15">
      <c r="A33" s="137" t="s">
        <v>28</v>
      </c>
      <c r="B33" s="137"/>
      <c r="C33" s="137"/>
      <c r="D33" s="137"/>
      <c r="E33" s="137"/>
      <c r="F33" s="137"/>
      <c r="G33" s="137"/>
      <c r="H33" s="137"/>
      <c r="I33" s="137"/>
      <c r="J33" s="137"/>
      <c r="K33" s="137"/>
      <c r="L33" s="137"/>
      <c r="M33" s="137"/>
      <c r="N33" s="137"/>
      <c r="O33" s="137"/>
      <c r="P33" s="137"/>
      <c r="Q33" s="137"/>
      <c r="R33" s="137"/>
      <c r="S33" s="137"/>
    </row>
    <row r="34" spans="1:19" ht="18" customHeight="1" x14ac:dyDescent="0.15">
      <c r="A34" s="137"/>
      <c r="B34" s="137"/>
      <c r="C34" s="137"/>
      <c r="D34" s="137"/>
      <c r="E34" s="137"/>
      <c r="F34" s="137"/>
      <c r="G34" s="137"/>
      <c r="H34" s="137"/>
      <c r="I34" s="137"/>
      <c r="J34" s="137"/>
      <c r="K34" s="137"/>
      <c r="L34" s="137"/>
      <c r="M34" s="137"/>
      <c r="N34" s="137"/>
      <c r="O34" s="137"/>
      <c r="P34" s="137"/>
      <c r="Q34" s="137"/>
      <c r="R34" s="137"/>
      <c r="S34" s="137"/>
    </row>
    <row r="35" spans="1:19" ht="18" customHeight="1" x14ac:dyDescent="0.15">
      <c r="B35" s="134" t="s">
        <v>19</v>
      </c>
      <c r="C35" s="135"/>
      <c r="D35" s="135"/>
      <c r="E35" s="136"/>
      <c r="F35" s="35" t="s">
        <v>20</v>
      </c>
      <c r="G35" s="34" t="s">
        <v>21</v>
      </c>
      <c r="H35" s="18" t="s">
        <v>29</v>
      </c>
      <c r="I35" s="18" t="s">
        <v>30</v>
      </c>
      <c r="J35" s="134" t="s">
        <v>19</v>
      </c>
      <c r="K35" s="135"/>
      <c r="L35" s="135"/>
      <c r="M35" s="135"/>
      <c r="N35" s="135"/>
      <c r="O35" s="136"/>
      <c r="P35" s="35" t="s">
        <v>20</v>
      </c>
      <c r="Q35" s="34" t="s">
        <v>21</v>
      </c>
      <c r="R35" s="18" t="s">
        <v>29</v>
      </c>
      <c r="S35" s="18" t="s">
        <v>30</v>
      </c>
    </row>
    <row r="36" spans="1:19" ht="18" customHeight="1" x14ac:dyDescent="0.15">
      <c r="B36" s="138" t="s">
        <v>24</v>
      </c>
      <c r="C36" s="139"/>
      <c r="D36" s="139"/>
      <c r="E36" s="140"/>
      <c r="F36" s="19">
        <v>2</v>
      </c>
      <c r="G36" s="19" t="s">
        <v>25</v>
      </c>
      <c r="H36" s="19" t="s">
        <v>25</v>
      </c>
      <c r="I36" s="19" t="s">
        <v>25</v>
      </c>
      <c r="J36" s="138"/>
      <c r="K36" s="139"/>
      <c r="L36" s="139"/>
      <c r="M36" s="139"/>
      <c r="N36" s="139"/>
      <c r="O36" s="140"/>
      <c r="P36" s="19"/>
      <c r="Q36" s="19"/>
      <c r="R36" s="19"/>
      <c r="S36" s="19"/>
    </row>
    <row r="37" spans="1:19" ht="18" customHeight="1" x14ac:dyDescent="0.15">
      <c r="B37" s="128" t="s">
        <v>31</v>
      </c>
      <c r="C37" s="129"/>
      <c r="D37" s="129"/>
      <c r="E37" s="130"/>
      <c r="F37" s="20">
        <v>1</v>
      </c>
      <c r="G37" s="20" t="s">
        <v>25</v>
      </c>
      <c r="H37" s="20" t="s">
        <v>25</v>
      </c>
      <c r="I37" s="20" t="s">
        <v>25</v>
      </c>
      <c r="J37" s="128"/>
      <c r="K37" s="129"/>
      <c r="L37" s="129"/>
      <c r="M37" s="129"/>
      <c r="N37" s="129"/>
      <c r="O37" s="130"/>
      <c r="P37" s="20"/>
      <c r="Q37" s="20"/>
      <c r="R37" s="20"/>
      <c r="S37" s="20"/>
    </row>
    <row r="38" spans="1:19" ht="18" customHeight="1" x14ac:dyDescent="0.15">
      <c r="B38" s="128"/>
      <c r="C38" s="129"/>
      <c r="D38" s="129"/>
      <c r="E38" s="130"/>
      <c r="F38" s="20"/>
      <c r="G38" s="20"/>
      <c r="H38" s="20"/>
      <c r="I38" s="20"/>
      <c r="J38" s="128"/>
      <c r="K38" s="129"/>
      <c r="L38" s="129"/>
      <c r="M38" s="129"/>
      <c r="N38" s="129"/>
      <c r="O38" s="130"/>
      <c r="P38" s="20"/>
      <c r="Q38" s="20"/>
      <c r="R38" s="20"/>
      <c r="S38" s="20"/>
    </row>
    <row r="39" spans="1:19" ht="18" customHeight="1" x14ac:dyDescent="0.15">
      <c r="B39" s="128"/>
      <c r="C39" s="129"/>
      <c r="D39" s="129"/>
      <c r="E39" s="130"/>
      <c r="F39" s="20"/>
      <c r="G39" s="20"/>
      <c r="H39" s="20"/>
      <c r="I39" s="20"/>
      <c r="J39" s="128"/>
      <c r="K39" s="129"/>
      <c r="L39" s="129"/>
      <c r="M39" s="129"/>
      <c r="N39" s="129"/>
      <c r="O39" s="130"/>
      <c r="P39" s="20"/>
      <c r="Q39" s="20"/>
      <c r="R39" s="20"/>
      <c r="S39" s="20"/>
    </row>
    <row r="40" spans="1:19" ht="18" customHeight="1" x14ac:dyDescent="0.15">
      <c r="B40" s="128"/>
      <c r="C40" s="129"/>
      <c r="D40" s="129"/>
      <c r="E40" s="130"/>
      <c r="F40" s="20"/>
      <c r="G40" s="20"/>
      <c r="H40" s="20"/>
      <c r="I40" s="20"/>
      <c r="J40" s="128"/>
      <c r="K40" s="129"/>
      <c r="L40" s="129"/>
      <c r="M40" s="129"/>
      <c r="N40" s="129"/>
      <c r="O40" s="130"/>
      <c r="P40" s="20"/>
      <c r="Q40" s="20"/>
      <c r="R40" s="20"/>
      <c r="S40" s="20"/>
    </row>
    <row r="41" spans="1:19" ht="18" customHeight="1" x14ac:dyDescent="0.15">
      <c r="B41" s="128"/>
      <c r="C41" s="129"/>
      <c r="D41" s="129"/>
      <c r="E41" s="130"/>
      <c r="F41" s="20"/>
      <c r="G41" s="20"/>
      <c r="H41" s="20"/>
      <c r="I41" s="20"/>
      <c r="J41" s="128"/>
      <c r="K41" s="129"/>
      <c r="L41" s="129"/>
      <c r="M41" s="129"/>
      <c r="N41" s="129"/>
      <c r="O41" s="130"/>
      <c r="P41" s="20"/>
      <c r="Q41" s="20"/>
      <c r="R41" s="20"/>
      <c r="S41" s="20"/>
    </row>
    <row r="42" spans="1:19" ht="18" customHeight="1" x14ac:dyDescent="0.15">
      <c r="B42" s="131"/>
      <c r="C42" s="132"/>
      <c r="D42" s="132"/>
      <c r="E42" s="133"/>
      <c r="F42" s="21"/>
      <c r="G42" s="21"/>
      <c r="H42" s="22"/>
      <c r="I42" s="22"/>
      <c r="J42" s="131"/>
      <c r="K42" s="132"/>
      <c r="L42" s="132"/>
      <c r="M42" s="132"/>
      <c r="N42" s="132"/>
      <c r="O42" s="133"/>
      <c r="P42" s="21"/>
      <c r="Q42" s="21"/>
      <c r="R42" s="22"/>
      <c r="S42" s="22"/>
    </row>
    <row r="43" spans="1:19" ht="7.5" customHeight="1" x14ac:dyDescent="0.15">
      <c r="A43" s="3"/>
      <c r="B43" s="4"/>
      <c r="C43" s="4"/>
      <c r="D43" s="3"/>
      <c r="E43" s="3"/>
      <c r="F43" s="3"/>
      <c r="G43" s="3"/>
      <c r="H43" s="4"/>
      <c r="I43" s="4"/>
      <c r="J43" s="4"/>
      <c r="K43" s="4"/>
      <c r="L43" s="4"/>
      <c r="M43" s="4"/>
      <c r="N43" s="4"/>
      <c r="O43" s="4"/>
      <c r="P43" s="4"/>
      <c r="Q43" s="4"/>
      <c r="R43" s="4"/>
      <c r="S43" s="3"/>
    </row>
    <row r="44" spans="1:19" ht="18" customHeight="1" x14ac:dyDescent="0.15">
      <c r="A44" s="137" t="s">
        <v>32</v>
      </c>
      <c r="B44" s="137"/>
      <c r="C44" s="137"/>
      <c r="D44" s="137"/>
      <c r="E44" s="137"/>
      <c r="F44" s="137"/>
      <c r="G44" s="137"/>
      <c r="H44" s="137"/>
      <c r="I44" s="137"/>
      <c r="J44" s="137"/>
      <c r="K44" s="137"/>
      <c r="L44" s="137"/>
      <c r="M44" s="137"/>
      <c r="N44" s="137"/>
      <c r="O44" s="137"/>
      <c r="P44" s="137"/>
      <c r="Q44" s="137"/>
      <c r="R44" s="137"/>
      <c r="S44" s="137"/>
    </row>
    <row r="45" spans="1:19" ht="18" customHeight="1" x14ac:dyDescent="0.15">
      <c r="A45" s="137"/>
      <c r="B45" s="137"/>
      <c r="C45" s="137"/>
      <c r="D45" s="137"/>
      <c r="E45" s="137"/>
      <c r="F45" s="137"/>
      <c r="G45" s="137"/>
      <c r="H45" s="137"/>
      <c r="I45" s="137"/>
      <c r="J45" s="137"/>
      <c r="K45" s="137"/>
      <c r="L45" s="137"/>
      <c r="M45" s="137"/>
      <c r="N45" s="137"/>
      <c r="O45" s="137"/>
      <c r="P45" s="137"/>
      <c r="Q45" s="137"/>
      <c r="R45" s="137"/>
      <c r="S45" s="137"/>
    </row>
    <row r="46" spans="1:19" ht="18" customHeight="1" x14ac:dyDescent="0.15">
      <c r="B46" s="134" t="s">
        <v>19</v>
      </c>
      <c r="C46" s="135"/>
      <c r="D46" s="135"/>
      <c r="E46" s="136"/>
      <c r="F46" s="35" t="s">
        <v>20</v>
      </c>
      <c r="G46" s="34" t="s">
        <v>21</v>
      </c>
      <c r="H46" s="18" t="s">
        <v>33</v>
      </c>
      <c r="I46" s="18" t="s">
        <v>34</v>
      </c>
      <c r="J46" s="134" t="s">
        <v>19</v>
      </c>
      <c r="K46" s="135"/>
      <c r="L46" s="135"/>
      <c r="M46" s="135"/>
      <c r="N46" s="135"/>
      <c r="O46" s="136"/>
      <c r="P46" s="35" t="s">
        <v>20</v>
      </c>
      <c r="Q46" s="34" t="s">
        <v>21</v>
      </c>
      <c r="R46" s="18" t="s">
        <v>33</v>
      </c>
      <c r="S46" s="18" t="s">
        <v>34</v>
      </c>
    </row>
    <row r="47" spans="1:19" ht="18" customHeight="1" x14ac:dyDescent="0.15">
      <c r="A47" s="3"/>
      <c r="B47" s="138" t="s">
        <v>24</v>
      </c>
      <c r="C47" s="139"/>
      <c r="D47" s="139"/>
      <c r="E47" s="140"/>
      <c r="F47" s="19">
        <v>2</v>
      </c>
      <c r="G47" s="19" t="s">
        <v>25</v>
      </c>
      <c r="H47" s="19" t="s">
        <v>25</v>
      </c>
      <c r="I47" s="19" t="s">
        <v>25</v>
      </c>
      <c r="J47" s="138"/>
      <c r="K47" s="139"/>
      <c r="L47" s="139"/>
      <c r="M47" s="139"/>
      <c r="N47" s="139"/>
      <c r="O47" s="140"/>
      <c r="P47" s="19"/>
      <c r="Q47" s="19"/>
      <c r="R47" s="19"/>
      <c r="S47" s="19"/>
    </row>
    <row r="48" spans="1:19" ht="18" customHeight="1" x14ac:dyDescent="0.15">
      <c r="A48" s="3"/>
      <c r="B48" s="128" t="s">
        <v>27</v>
      </c>
      <c r="C48" s="129"/>
      <c r="D48" s="129"/>
      <c r="E48" s="130"/>
      <c r="F48" s="20">
        <v>2</v>
      </c>
      <c r="G48" s="20" t="s">
        <v>25</v>
      </c>
      <c r="H48" s="20" t="s">
        <v>25</v>
      </c>
      <c r="I48" s="20" t="s">
        <v>25</v>
      </c>
      <c r="J48" s="128"/>
      <c r="K48" s="129"/>
      <c r="L48" s="129"/>
      <c r="M48" s="129"/>
      <c r="N48" s="129"/>
      <c r="O48" s="130"/>
      <c r="P48" s="20"/>
      <c r="Q48" s="20"/>
      <c r="R48" s="20"/>
      <c r="S48" s="20"/>
    </row>
    <row r="49" spans="1:19" ht="18" customHeight="1" x14ac:dyDescent="0.15">
      <c r="A49" s="3"/>
      <c r="B49" s="128"/>
      <c r="C49" s="129"/>
      <c r="D49" s="129"/>
      <c r="E49" s="130"/>
      <c r="F49" s="20"/>
      <c r="G49" s="20"/>
      <c r="H49" s="20"/>
      <c r="I49" s="20"/>
      <c r="J49" s="128"/>
      <c r="K49" s="129"/>
      <c r="L49" s="129"/>
      <c r="M49" s="129"/>
      <c r="N49" s="129"/>
      <c r="O49" s="130"/>
      <c r="P49" s="20"/>
      <c r="Q49" s="20"/>
      <c r="R49" s="20"/>
      <c r="S49" s="20"/>
    </row>
    <row r="50" spans="1:19" ht="18" customHeight="1" x14ac:dyDescent="0.15">
      <c r="A50" s="3"/>
      <c r="B50" s="128"/>
      <c r="C50" s="129"/>
      <c r="D50" s="129"/>
      <c r="E50" s="130"/>
      <c r="F50" s="20"/>
      <c r="G50" s="20"/>
      <c r="H50" s="20"/>
      <c r="I50" s="20"/>
      <c r="J50" s="128"/>
      <c r="K50" s="129"/>
      <c r="L50" s="129"/>
      <c r="M50" s="129"/>
      <c r="N50" s="129"/>
      <c r="O50" s="130"/>
      <c r="P50" s="20"/>
      <c r="Q50" s="20"/>
      <c r="R50" s="20"/>
      <c r="S50" s="20"/>
    </row>
    <row r="51" spans="1:19" ht="18" customHeight="1" x14ac:dyDescent="0.15">
      <c r="A51" s="3"/>
      <c r="B51" s="128"/>
      <c r="C51" s="129"/>
      <c r="D51" s="129"/>
      <c r="E51" s="130"/>
      <c r="F51" s="20"/>
      <c r="G51" s="20"/>
      <c r="H51" s="20"/>
      <c r="I51" s="20"/>
      <c r="J51" s="128"/>
      <c r="K51" s="129"/>
      <c r="L51" s="129"/>
      <c r="M51" s="129"/>
      <c r="N51" s="129"/>
      <c r="O51" s="130"/>
      <c r="P51" s="20"/>
      <c r="Q51" s="20"/>
      <c r="R51" s="20"/>
      <c r="S51" s="20"/>
    </row>
    <row r="52" spans="1:19" ht="18" customHeight="1" x14ac:dyDescent="0.15">
      <c r="A52" s="3"/>
      <c r="B52" s="128"/>
      <c r="C52" s="129"/>
      <c r="D52" s="129"/>
      <c r="E52" s="130"/>
      <c r="F52" s="20"/>
      <c r="G52" s="20"/>
      <c r="H52" s="20"/>
      <c r="I52" s="20"/>
      <c r="J52" s="128"/>
      <c r="K52" s="129"/>
      <c r="L52" s="129"/>
      <c r="M52" s="129"/>
      <c r="N52" s="129"/>
      <c r="O52" s="130"/>
      <c r="P52" s="20"/>
      <c r="Q52" s="20"/>
      <c r="R52" s="20"/>
      <c r="S52" s="20"/>
    </row>
    <row r="53" spans="1:19" ht="18" customHeight="1" x14ac:dyDescent="0.15">
      <c r="A53" s="3"/>
      <c r="B53" s="131"/>
      <c r="C53" s="132"/>
      <c r="D53" s="132"/>
      <c r="E53" s="133"/>
      <c r="F53" s="21"/>
      <c r="G53" s="21"/>
      <c r="H53" s="22"/>
      <c r="I53" s="22"/>
      <c r="J53" s="131"/>
      <c r="K53" s="132"/>
      <c r="L53" s="132"/>
      <c r="M53" s="132"/>
      <c r="N53" s="132"/>
      <c r="O53" s="133"/>
      <c r="P53" s="21"/>
      <c r="Q53" s="21"/>
      <c r="R53" s="22"/>
      <c r="S53" s="22"/>
    </row>
    <row r="54" spans="1:19" ht="7.5" customHeight="1" x14ac:dyDescent="0.15">
      <c r="B54" s="58"/>
      <c r="C54" s="58"/>
      <c r="D54" s="58"/>
      <c r="E54" s="58"/>
      <c r="F54" s="58"/>
      <c r="G54" s="58"/>
      <c r="H54" s="58"/>
      <c r="I54" s="58"/>
      <c r="J54" s="58"/>
      <c r="K54" s="58"/>
      <c r="L54" s="58"/>
      <c r="M54" s="58"/>
      <c r="N54" s="58"/>
      <c r="O54" s="58"/>
      <c r="P54" s="58"/>
      <c r="Q54" s="58"/>
      <c r="R54" s="58"/>
    </row>
    <row r="55" spans="1:19" ht="18" customHeight="1" x14ac:dyDescent="0.15">
      <c r="A55" s="137" t="s">
        <v>35</v>
      </c>
      <c r="B55" s="137"/>
      <c r="C55" s="137"/>
      <c r="D55" s="137"/>
      <c r="E55" s="137"/>
      <c r="F55" s="137"/>
      <c r="G55" s="137"/>
      <c r="H55" s="137"/>
      <c r="I55" s="137"/>
      <c r="J55" s="137"/>
      <c r="K55" s="137"/>
      <c r="L55" s="137"/>
      <c r="M55" s="137"/>
      <c r="N55" s="137"/>
      <c r="O55" s="137"/>
      <c r="P55" s="137"/>
      <c r="Q55" s="137"/>
      <c r="R55" s="137"/>
      <c r="S55" s="137"/>
    </row>
    <row r="56" spans="1:19" ht="18" customHeight="1" x14ac:dyDescent="0.15">
      <c r="A56" s="137"/>
      <c r="B56" s="137"/>
      <c r="C56" s="137"/>
      <c r="D56" s="137"/>
      <c r="E56" s="137"/>
      <c r="F56" s="137"/>
      <c r="G56" s="137"/>
      <c r="H56" s="137"/>
      <c r="I56" s="137"/>
      <c r="J56" s="137"/>
      <c r="K56" s="137"/>
      <c r="L56" s="137"/>
      <c r="M56" s="137"/>
      <c r="N56" s="137"/>
      <c r="O56" s="137"/>
      <c r="P56" s="137"/>
      <c r="Q56" s="137"/>
      <c r="R56" s="137"/>
      <c r="S56" s="137"/>
    </row>
    <row r="57" spans="1:19" ht="18" customHeight="1" x14ac:dyDescent="0.15">
      <c r="B57" s="134" t="s">
        <v>19</v>
      </c>
      <c r="C57" s="135"/>
      <c r="D57" s="135"/>
      <c r="E57" s="136"/>
      <c r="F57" s="35" t="s">
        <v>20</v>
      </c>
      <c r="G57" s="34" t="s">
        <v>21</v>
      </c>
      <c r="H57" s="18" t="s">
        <v>36</v>
      </c>
      <c r="I57" s="18" t="s">
        <v>37</v>
      </c>
      <c r="J57" s="134" t="s">
        <v>19</v>
      </c>
      <c r="K57" s="135"/>
      <c r="L57" s="135"/>
      <c r="M57" s="135"/>
      <c r="N57" s="135"/>
      <c r="O57" s="136"/>
      <c r="P57" s="35" t="s">
        <v>20</v>
      </c>
      <c r="Q57" s="34" t="s">
        <v>21</v>
      </c>
      <c r="R57" s="18" t="s">
        <v>36</v>
      </c>
      <c r="S57" s="18" t="s">
        <v>37</v>
      </c>
    </row>
    <row r="58" spans="1:19" ht="18" customHeight="1" x14ac:dyDescent="0.15">
      <c r="A58" s="3"/>
      <c r="B58" s="138" t="s">
        <v>24</v>
      </c>
      <c r="C58" s="139"/>
      <c r="D58" s="139"/>
      <c r="E58" s="140"/>
      <c r="F58" s="19">
        <v>2</v>
      </c>
      <c r="G58" s="19" t="s">
        <v>25</v>
      </c>
      <c r="H58" s="19" t="s">
        <v>25</v>
      </c>
      <c r="I58" s="19" t="s">
        <v>25</v>
      </c>
      <c r="J58" s="138"/>
      <c r="K58" s="139"/>
      <c r="L58" s="139"/>
      <c r="M58" s="139"/>
      <c r="N58" s="139"/>
      <c r="O58" s="140"/>
      <c r="P58" s="19"/>
      <c r="Q58" s="19"/>
      <c r="R58" s="19"/>
      <c r="S58" s="19"/>
    </row>
    <row r="59" spans="1:19" ht="18" customHeight="1" x14ac:dyDescent="0.15">
      <c r="A59" s="3"/>
      <c r="B59" s="128" t="s">
        <v>27</v>
      </c>
      <c r="C59" s="129"/>
      <c r="D59" s="129"/>
      <c r="E59" s="130"/>
      <c r="F59" s="20">
        <v>2</v>
      </c>
      <c r="G59" s="20" t="s">
        <v>25</v>
      </c>
      <c r="H59" s="20" t="s">
        <v>25</v>
      </c>
      <c r="I59" s="20" t="s">
        <v>25</v>
      </c>
      <c r="J59" s="128"/>
      <c r="K59" s="129"/>
      <c r="L59" s="129"/>
      <c r="M59" s="129"/>
      <c r="N59" s="129"/>
      <c r="O59" s="130"/>
      <c r="P59" s="20"/>
      <c r="Q59" s="20"/>
      <c r="R59" s="20"/>
      <c r="S59" s="20"/>
    </row>
    <row r="60" spans="1:19" ht="18" customHeight="1" x14ac:dyDescent="0.15">
      <c r="A60" s="3"/>
      <c r="B60" s="128"/>
      <c r="C60" s="129"/>
      <c r="D60" s="129"/>
      <c r="E60" s="130"/>
      <c r="F60" s="20"/>
      <c r="G60" s="20"/>
      <c r="H60" s="20"/>
      <c r="I60" s="20"/>
      <c r="J60" s="128"/>
      <c r="K60" s="129"/>
      <c r="L60" s="129"/>
      <c r="M60" s="129"/>
      <c r="N60" s="129"/>
      <c r="O60" s="130"/>
      <c r="P60" s="20"/>
      <c r="Q60" s="20"/>
      <c r="R60" s="20"/>
      <c r="S60" s="20"/>
    </row>
    <row r="61" spans="1:19" ht="18" customHeight="1" x14ac:dyDescent="0.15">
      <c r="A61" s="3"/>
      <c r="B61" s="128"/>
      <c r="C61" s="129"/>
      <c r="D61" s="129"/>
      <c r="E61" s="130"/>
      <c r="F61" s="20"/>
      <c r="G61" s="20"/>
      <c r="H61" s="20"/>
      <c r="I61" s="20"/>
      <c r="J61" s="128"/>
      <c r="K61" s="129"/>
      <c r="L61" s="129"/>
      <c r="M61" s="129"/>
      <c r="N61" s="129"/>
      <c r="O61" s="130"/>
      <c r="P61" s="20"/>
      <c r="Q61" s="20"/>
      <c r="R61" s="20"/>
      <c r="S61" s="20"/>
    </row>
    <row r="62" spans="1:19" ht="18" customHeight="1" x14ac:dyDescent="0.15">
      <c r="A62" s="3"/>
      <c r="B62" s="128"/>
      <c r="C62" s="129"/>
      <c r="D62" s="129"/>
      <c r="E62" s="130"/>
      <c r="F62" s="20"/>
      <c r="G62" s="20"/>
      <c r="H62" s="20"/>
      <c r="I62" s="20"/>
      <c r="J62" s="128"/>
      <c r="K62" s="129"/>
      <c r="L62" s="129"/>
      <c r="M62" s="129"/>
      <c r="N62" s="129"/>
      <c r="O62" s="130"/>
      <c r="P62" s="20"/>
      <c r="Q62" s="20"/>
      <c r="R62" s="20"/>
      <c r="S62" s="20"/>
    </row>
    <row r="63" spans="1:19" ht="18" customHeight="1" x14ac:dyDescent="0.15">
      <c r="A63" s="3"/>
      <c r="B63" s="128"/>
      <c r="C63" s="129"/>
      <c r="D63" s="129"/>
      <c r="E63" s="130"/>
      <c r="F63" s="20"/>
      <c r="G63" s="20"/>
      <c r="H63" s="20"/>
      <c r="I63" s="20"/>
      <c r="J63" s="128"/>
      <c r="K63" s="129"/>
      <c r="L63" s="129"/>
      <c r="M63" s="129"/>
      <c r="N63" s="129"/>
      <c r="O63" s="130"/>
      <c r="P63" s="20"/>
      <c r="Q63" s="20"/>
      <c r="R63" s="20"/>
      <c r="S63" s="20"/>
    </row>
    <row r="64" spans="1:19" ht="18" customHeight="1" x14ac:dyDescent="0.15">
      <c r="A64" s="3"/>
      <c r="B64" s="131"/>
      <c r="C64" s="132"/>
      <c r="D64" s="132"/>
      <c r="E64" s="133"/>
      <c r="F64" s="21"/>
      <c r="G64" s="21"/>
      <c r="H64" s="22"/>
      <c r="I64" s="22"/>
      <c r="J64" s="131"/>
      <c r="K64" s="132"/>
      <c r="L64" s="132"/>
      <c r="M64" s="132"/>
      <c r="N64" s="132"/>
      <c r="O64" s="133"/>
      <c r="P64" s="21"/>
      <c r="Q64" s="21"/>
      <c r="R64" s="22"/>
      <c r="S64" s="22"/>
    </row>
    <row r="65" spans="1:19" ht="7.5" customHeight="1" x14ac:dyDescent="0.15">
      <c r="B65" s="58"/>
      <c r="C65" s="58"/>
      <c r="D65" s="58"/>
      <c r="E65" s="58"/>
      <c r="F65" s="58"/>
      <c r="G65" s="58"/>
      <c r="H65" s="58"/>
      <c r="I65" s="58"/>
      <c r="J65" s="58"/>
      <c r="K65" s="58"/>
      <c r="L65" s="58"/>
      <c r="M65" s="58"/>
      <c r="N65" s="58"/>
      <c r="O65" s="58"/>
      <c r="P65" s="58"/>
      <c r="Q65" s="58"/>
      <c r="R65" s="58"/>
    </row>
    <row r="66" spans="1:19" ht="18" customHeight="1" x14ac:dyDescent="0.15">
      <c r="A66" s="137" t="s">
        <v>38</v>
      </c>
      <c r="B66" s="137"/>
      <c r="C66" s="137"/>
      <c r="D66" s="137"/>
      <c r="E66" s="137"/>
      <c r="F66" s="137"/>
      <c r="G66" s="137"/>
      <c r="H66" s="137"/>
      <c r="I66" s="137"/>
      <c r="J66" s="137"/>
      <c r="K66" s="137"/>
      <c r="L66" s="137"/>
      <c r="M66" s="137"/>
      <c r="N66" s="137"/>
      <c r="O66" s="137"/>
      <c r="P66" s="137"/>
      <c r="Q66" s="137"/>
      <c r="R66" s="137"/>
      <c r="S66" s="137"/>
    </row>
    <row r="67" spans="1:19" ht="18" customHeight="1" x14ac:dyDescent="0.15">
      <c r="A67" s="137"/>
      <c r="B67" s="137"/>
      <c r="C67" s="137"/>
      <c r="D67" s="137"/>
      <c r="E67" s="137"/>
      <c r="F67" s="137"/>
      <c r="G67" s="137"/>
      <c r="H67" s="137"/>
      <c r="I67" s="137"/>
      <c r="J67" s="137"/>
      <c r="K67" s="137"/>
      <c r="L67" s="137"/>
      <c r="M67" s="137"/>
      <c r="N67" s="137"/>
      <c r="O67" s="137"/>
      <c r="P67" s="137"/>
      <c r="Q67" s="137"/>
      <c r="R67" s="137"/>
      <c r="S67" s="137"/>
    </row>
    <row r="68" spans="1:19" ht="18" customHeight="1" x14ac:dyDescent="0.15">
      <c r="B68" s="134" t="s">
        <v>19</v>
      </c>
      <c r="C68" s="135"/>
      <c r="D68" s="135"/>
      <c r="E68" s="35" t="s">
        <v>20</v>
      </c>
      <c r="F68" s="34" t="s">
        <v>21</v>
      </c>
      <c r="G68" s="18" t="s">
        <v>39</v>
      </c>
      <c r="H68" s="18" t="s">
        <v>40</v>
      </c>
      <c r="I68" s="18" t="s">
        <v>41</v>
      </c>
      <c r="J68" s="134" t="s">
        <v>19</v>
      </c>
      <c r="K68" s="135"/>
      <c r="L68" s="135"/>
      <c r="M68" s="135"/>
      <c r="N68" s="136"/>
      <c r="O68" s="35" t="s">
        <v>20</v>
      </c>
      <c r="P68" s="34" t="s">
        <v>21</v>
      </c>
      <c r="Q68" s="18" t="s">
        <v>39</v>
      </c>
      <c r="R68" s="18" t="s">
        <v>40</v>
      </c>
      <c r="S68" s="18" t="s">
        <v>41</v>
      </c>
    </row>
    <row r="69" spans="1:19" ht="18" customHeight="1" x14ac:dyDescent="0.15">
      <c r="A69" s="3"/>
      <c r="B69" s="138" t="s">
        <v>27</v>
      </c>
      <c r="C69" s="139"/>
      <c r="D69" s="139"/>
      <c r="E69" s="19">
        <v>2</v>
      </c>
      <c r="F69" s="19" t="s">
        <v>25</v>
      </c>
      <c r="G69" s="19" t="s">
        <v>25</v>
      </c>
      <c r="H69" s="19" t="s">
        <v>25</v>
      </c>
      <c r="I69" s="19" t="s">
        <v>25</v>
      </c>
      <c r="J69" s="138"/>
      <c r="K69" s="139"/>
      <c r="L69" s="139"/>
      <c r="M69" s="139"/>
      <c r="N69" s="140"/>
      <c r="O69" s="19"/>
      <c r="P69" s="19"/>
      <c r="Q69" s="19"/>
      <c r="R69" s="19"/>
      <c r="S69" s="19"/>
    </row>
    <row r="70" spans="1:19" ht="18" customHeight="1" x14ac:dyDescent="0.15">
      <c r="A70" s="3"/>
      <c r="B70" s="128" t="s">
        <v>31</v>
      </c>
      <c r="C70" s="129"/>
      <c r="D70" s="129"/>
      <c r="E70" s="20">
        <v>1</v>
      </c>
      <c r="F70" s="20" t="s">
        <v>25</v>
      </c>
      <c r="G70" s="20" t="s">
        <v>25</v>
      </c>
      <c r="H70" s="20" t="s">
        <v>25</v>
      </c>
      <c r="I70" s="20" t="s">
        <v>25</v>
      </c>
      <c r="J70" s="128"/>
      <c r="K70" s="129"/>
      <c r="L70" s="129"/>
      <c r="M70" s="129"/>
      <c r="N70" s="130"/>
      <c r="O70" s="20"/>
      <c r="P70" s="20"/>
      <c r="Q70" s="20"/>
      <c r="R70" s="20"/>
      <c r="S70" s="20"/>
    </row>
    <row r="71" spans="1:19" ht="18" customHeight="1" x14ac:dyDescent="0.15">
      <c r="A71" s="3"/>
      <c r="B71" s="128"/>
      <c r="C71" s="129"/>
      <c r="D71" s="129"/>
      <c r="E71" s="20"/>
      <c r="F71" s="20"/>
      <c r="G71" s="20"/>
      <c r="H71" s="20"/>
      <c r="I71" s="20"/>
      <c r="J71" s="128"/>
      <c r="K71" s="129"/>
      <c r="L71" s="129"/>
      <c r="M71" s="129"/>
      <c r="N71" s="130"/>
      <c r="O71" s="20"/>
      <c r="P71" s="20"/>
      <c r="Q71" s="20"/>
      <c r="R71" s="20"/>
      <c r="S71" s="20"/>
    </row>
    <row r="72" spans="1:19" ht="18" customHeight="1" x14ac:dyDescent="0.15">
      <c r="A72" s="3"/>
      <c r="B72" s="128"/>
      <c r="C72" s="129"/>
      <c r="D72" s="129"/>
      <c r="E72" s="20"/>
      <c r="F72" s="20"/>
      <c r="G72" s="20"/>
      <c r="H72" s="20"/>
      <c r="I72" s="20"/>
      <c r="J72" s="128"/>
      <c r="K72" s="129"/>
      <c r="L72" s="129"/>
      <c r="M72" s="129"/>
      <c r="N72" s="130"/>
      <c r="O72" s="20"/>
      <c r="P72" s="20"/>
      <c r="Q72" s="20"/>
      <c r="R72" s="20"/>
      <c r="S72" s="20"/>
    </row>
    <row r="73" spans="1:19" ht="18" customHeight="1" x14ac:dyDescent="0.15">
      <c r="A73" s="3"/>
      <c r="B73" s="128"/>
      <c r="C73" s="129"/>
      <c r="D73" s="129"/>
      <c r="E73" s="20"/>
      <c r="F73" s="20"/>
      <c r="G73" s="20"/>
      <c r="H73" s="20"/>
      <c r="I73" s="20"/>
      <c r="J73" s="128"/>
      <c r="K73" s="129"/>
      <c r="L73" s="129"/>
      <c r="M73" s="129"/>
      <c r="N73" s="130"/>
      <c r="O73" s="20"/>
      <c r="P73" s="20"/>
      <c r="Q73" s="20"/>
      <c r="R73" s="20"/>
      <c r="S73" s="20"/>
    </row>
    <row r="74" spans="1:19" ht="18" customHeight="1" x14ac:dyDescent="0.15">
      <c r="A74" s="3"/>
      <c r="B74" s="128"/>
      <c r="C74" s="129"/>
      <c r="D74" s="129"/>
      <c r="E74" s="20"/>
      <c r="F74" s="20"/>
      <c r="G74" s="20"/>
      <c r="H74" s="20"/>
      <c r="I74" s="20"/>
      <c r="J74" s="128"/>
      <c r="K74" s="129"/>
      <c r="L74" s="129"/>
      <c r="M74" s="129"/>
      <c r="N74" s="130"/>
      <c r="O74" s="20"/>
      <c r="P74" s="20"/>
      <c r="Q74" s="20"/>
      <c r="R74" s="20"/>
      <c r="S74" s="20"/>
    </row>
    <row r="75" spans="1:19" ht="18" customHeight="1" x14ac:dyDescent="0.15">
      <c r="A75" s="3"/>
      <c r="B75" s="131"/>
      <c r="C75" s="132"/>
      <c r="D75" s="132"/>
      <c r="E75" s="21"/>
      <c r="F75" s="21"/>
      <c r="G75" s="22"/>
      <c r="H75" s="22"/>
      <c r="I75" s="22"/>
      <c r="J75" s="131"/>
      <c r="K75" s="132"/>
      <c r="L75" s="132"/>
      <c r="M75" s="132"/>
      <c r="N75" s="133"/>
      <c r="O75" s="21"/>
      <c r="P75" s="21"/>
      <c r="Q75" s="22"/>
      <c r="R75" s="22"/>
      <c r="S75" s="22"/>
    </row>
    <row r="76" spans="1:19" ht="7.5" customHeight="1" x14ac:dyDescent="0.15">
      <c r="B76" s="58"/>
      <c r="C76" s="58"/>
      <c r="D76" s="58"/>
      <c r="E76" s="58"/>
      <c r="F76" s="58"/>
      <c r="G76" s="58"/>
      <c r="H76" s="58"/>
      <c r="I76" s="58"/>
      <c r="J76" s="58"/>
      <c r="K76" s="58"/>
      <c r="L76" s="58"/>
      <c r="M76" s="58"/>
      <c r="N76" s="58"/>
      <c r="O76" s="58"/>
      <c r="P76" s="58"/>
      <c r="Q76" s="58"/>
      <c r="R76" s="58"/>
    </row>
    <row r="77" spans="1:19" ht="18" customHeight="1" x14ac:dyDescent="0.15">
      <c r="A77" s="1" t="s">
        <v>42</v>
      </c>
      <c r="H77" s="3"/>
      <c r="I77" s="3"/>
      <c r="J77" s="3"/>
      <c r="K77" s="3"/>
      <c r="L77" s="3"/>
      <c r="M77" s="3"/>
      <c r="N77" s="3"/>
      <c r="O77" s="3"/>
      <c r="P77" s="3"/>
      <c r="Q77" s="3"/>
      <c r="R77" s="3"/>
      <c r="S77" s="3"/>
    </row>
    <row r="78" spans="1:19" ht="18" customHeight="1" x14ac:dyDescent="0.15">
      <c r="B78" s="134" t="s">
        <v>19</v>
      </c>
      <c r="C78" s="135"/>
      <c r="D78" s="135"/>
      <c r="E78" s="136"/>
      <c r="F78" s="134" t="s">
        <v>43</v>
      </c>
      <c r="G78" s="135"/>
      <c r="H78" s="135"/>
      <c r="I78" s="136"/>
      <c r="J78" s="184" t="s">
        <v>19</v>
      </c>
      <c r="K78" s="185"/>
      <c r="L78" s="185"/>
      <c r="M78" s="185"/>
      <c r="N78" s="185"/>
      <c r="O78" s="186"/>
      <c r="P78" s="134" t="s">
        <v>43</v>
      </c>
      <c r="Q78" s="135"/>
      <c r="R78" s="135"/>
      <c r="S78" s="136"/>
    </row>
    <row r="79" spans="1:19" ht="18" customHeight="1" x14ac:dyDescent="0.15">
      <c r="A79" s="3"/>
      <c r="B79" s="138"/>
      <c r="C79" s="139"/>
      <c r="D79" s="139"/>
      <c r="E79" s="140"/>
      <c r="F79" s="200"/>
      <c r="G79" s="201"/>
      <c r="H79" s="201"/>
      <c r="I79" s="202"/>
      <c r="J79" s="138"/>
      <c r="K79" s="139"/>
      <c r="L79" s="139"/>
      <c r="M79" s="139"/>
      <c r="N79" s="139"/>
      <c r="O79" s="140"/>
      <c r="P79" s="200"/>
      <c r="Q79" s="201"/>
      <c r="R79" s="201"/>
      <c r="S79" s="202"/>
    </row>
    <row r="80" spans="1:19" ht="18" customHeight="1" x14ac:dyDescent="0.15">
      <c r="A80" s="3"/>
      <c r="B80" s="128"/>
      <c r="C80" s="129"/>
      <c r="D80" s="129"/>
      <c r="E80" s="130"/>
      <c r="F80" s="167"/>
      <c r="G80" s="168"/>
      <c r="H80" s="168"/>
      <c r="I80" s="169"/>
      <c r="J80" s="128"/>
      <c r="K80" s="129"/>
      <c r="L80" s="129"/>
      <c r="M80" s="129"/>
      <c r="N80" s="129"/>
      <c r="O80" s="130"/>
      <c r="P80" s="167"/>
      <c r="Q80" s="168"/>
      <c r="R80" s="168"/>
      <c r="S80" s="169"/>
    </row>
    <row r="81" spans="1:19" ht="18" customHeight="1" x14ac:dyDescent="0.15">
      <c r="A81" s="3"/>
      <c r="B81" s="128"/>
      <c r="C81" s="129"/>
      <c r="D81" s="129"/>
      <c r="E81" s="130"/>
      <c r="F81" s="167"/>
      <c r="G81" s="168"/>
      <c r="H81" s="168"/>
      <c r="I81" s="169"/>
      <c r="J81" s="128"/>
      <c r="K81" s="129"/>
      <c r="L81" s="129"/>
      <c r="M81" s="129"/>
      <c r="N81" s="129"/>
      <c r="O81" s="130"/>
      <c r="P81" s="167"/>
      <c r="Q81" s="168"/>
      <c r="R81" s="168"/>
      <c r="S81" s="169"/>
    </row>
    <row r="82" spans="1:19" ht="18" customHeight="1" x14ac:dyDescent="0.15">
      <c r="A82" s="3"/>
      <c r="B82" s="128"/>
      <c r="C82" s="129"/>
      <c r="D82" s="129"/>
      <c r="E82" s="130"/>
      <c r="F82" s="167"/>
      <c r="G82" s="168"/>
      <c r="H82" s="168"/>
      <c r="I82" s="169"/>
      <c r="J82" s="128"/>
      <c r="K82" s="129"/>
      <c r="L82" s="129"/>
      <c r="M82" s="129"/>
      <c r="N82" s="129"/>
      <c r="O82" s="130"/>
      <c r="P82" s="167"/>
      <c r="Q82" s="168"/>
      <c r="R82" s="168"/>
      <c r="S82" s="169"/>
    </row>
    <row r="83" spans="1:19" ht="18" customHeight="1" x14ac:dyDescent="0.15">
      <c r="A83" s="3"/>
      <c r="B83" s="128"/>
      <c r="C83" s="129"/>
      <c r="D83" s="129"/>
      <c r="E83" s="130"/>
      <c r="F83" s="167"/>
      <c r="G83" s="168"/>
      <c r="H83" s="168"/>
      <c r="I83" s="169"/>
      <c r="J83" s="128"/>
      <c r="K83" s="129"/>
      <c r="L83" s="129"/>
      <c r="M83" s="129"/>
      <c r="N83" s="129"/>
      <c r="O83" s="130"/>
      <c r="P83" s="167"/>
      <c r="Q83" s="168"/>
      <c r="R83" s="168"/>
      <c r="S83" s="169"/>
    </row>
    <row r="84" spans="1:19" ht="18" customHeight="1" x14ac:dyDescent="0.15">
      <c r="A84" s="3"/>
      <c r="B84" s="128"/>
      <c r="C84" s="129"/>
      <c r="D84" s="129"/>
      <c r="E84" s="130"/>
      <c r="F84" s="167"/>
      <c r="G84" s="168"/>
      <c r="H84" s="168"/>
      <c r="I84" s="169"/>
      <c r="J84" s="128"/>
      <c r="K84" s="129"/>
      <c r="L84" s="129"/>
      <c r="M84" s="129"/>
      <c r="N84" s="129"/>
      <c r="O84" s="130"/>
      <c r="P84" s="167"/>
      <c r="Q84" s="168"/>
      <c r="R84" s="168"/>
      <c r="S84" s="169"/>
    </row>
    <row r="85" spans="1:19" ht="18" customHeight="1" x14ac:dyDescent="0.15">
      <c r="A85" s="3"/>
      <c r="B85" s="131"/>
      <c r="C85" s="132"/>
      <c r="D85" s="132"/>
      <c r="E85" s="133"/>
      <c r="F85" s="164"/>
      <c r="G85" s="165"/>
      <c r="H85" s="165"/>
      <c r="I85" s="166"/>
      <c r="J85" s="131"/>
      <c r="K85" s="132"/>
      <c r="L85" s="132"/>
      <c r="M85" s="132"/>
      <c r="N85" s="132"/>
      <c r="O85" s="133"/>
      <c r="P85" s="164"/>
      <c r="Q85" s="165"/>
      <c r="R85" s="165"/>
      <c r="S85" s="166"/>
    </row>
    <row r="86" spans="1:19" ht="18" customHeight="1" x14ac:dyDescent="0.15">
      <c r="A86" s="3"/>
      <c r="B86" s="4"/>
      <c r="C86" s="4"/>
      <c r="D86" s="4"/>
      <c r="E86" s="4"/>
      <c r="F86" s="23"/>
      <c r="G86" s="23"/>
      <c r="H86" s="23"/>
      <c r="I86" s="23"/>
      <c r="J86" s="4"/>
      <c r="K86" s="4"/>
      <c r="L86" s="4"/>
      <c r="M86" s="4"/>
      <c r="N86" s="4"/>
      <c r="O86" s="4"/>
      <c r="P86" s="23"/>
      <c r="Q86" s="23"/>
      <c r="R86" s="23"/>
      <c r="S86" s="23"/>
    </row>
    <row r="87" spans="1:19" ht="18.75" customHeight="1" x14ac:dyDescent="0.15">
      <c r="A87" s="1" t="s">
        <v>44</v>
      </c>
    </row>
    <row r="88" spans="1:19" ht="18.75" customHeight="1" x14ac:dyDescent="0.15">
      <c r="B88" s="198" t="s">
        <v>45</v>
      </c>
      <c r="C88" s="199"/>
      <c r="D88" s="135" t="s">
        <v>46</v>
      </c>
      <c r="E88" s="135"/>
      <c r="F88" s="135"/>
      <c r="G88" s="135"/>
      <c r="H88" s="135"/>
      <c r="I88" s="135"/>
      <c r="J88" s="135"/>
      <c r="K88" s="135"/>
      <c r="L88" s="135"/>
      <c r="M88" s="135"/>
      <c r="N88" s="135"/>
      <c r="O88" s="135"/>
      <c r="P88" s="135"/>
      <c r="Q88" s="135"/>
      <c r="R88" s="135"/>
      <c r="S88" s="136"/>
    </row>
    <row r="89" spans="1:19" ht="97.5" customHeight="1" x14ac:dyDescent="0.15">
      <c r="B89" s="187" t="s">
        <v>47</v>
      </c>
      <c r="C89" s="24" t="s">
        <v>22</v>
      </c>
      <c r="D89" s="150" t="s">
        <v>179</v>
      </c>
      <c r="E89" s="196"/>
      <c r="F89" s="196"/>
      <c r="G89" s="196"/>
      <c r="H89" s="196"/>
      <c r="I89" s="196"/>
      <c r="J89" s="196"/>
      <c r="K89" s="196"/>
      <c r="L89" s="196"/>
      <c r="M89" s="196"/>
      <c r="N89" s="196"/>
      <c r="O89" s="196"/>
      <c r="P89" s="196"/>
      <c r="Q89" s="196"/>
      <c r="R89" s="196"/>
      <c r="S89" s="197"/>
    </row>
    <row r="90" spans="1:19" ht="97.5" customHeight="1" x14ac:dyDescent="0.15">
      <c r="B90" s="189"/>
      <c r="C90" s="25" t="s">
        <v>48</v>
      </c>
      <c r="D90" s="170" t="s">
        <v>180</v>
      </c>
      <c r="E90" s="171"/>
      <c r="F90" s="171"/>
      <c r="G90" s="171"/>
      <c r="H90" s="171"/>
      <c r="I90" s="171"/>
      <c r="J90" s="171"/>
      <c r="K90" s="171"/>
      <c r="L90" s="171"/>
      <c r="M90" s="171"/>
      <c r="N90" s="171"/>
      <c r="O90" s="171"/>
      <c r="P90" s="171"/>
      <c r="Q90" s="171"/>
      <c r="R90" s="171"/>
      <c r="S90" s="172"/>
    </row>
    <row r="91" spans="1:19" ht="97.5" customHeight="1" x14ac:dyDescent="0.15">
      <c r="B91" s="187" t="s">
        <v>49</v>
      </c>
      <c r="C91" s="26" t="s">
        <v>29</v>
      </c>
      <c r="D91" s="173" t="s">
        <v>181</v>
      </c>
      <c r="E91" s="174"/>
      <c r="F91" s="174"/>
      <c r="G91" s="174"/>
      <c r="H91" s="174"/>
      <c r="I91" s="174"/>
      <c r="J91" s="174"/>
      <c r="K91" s="174"/>
      <c r="L91" s="174"/>
      <c r="M91" s="174"/>
      <c r="N91" s="174"/>
      <c r="O91" s="174"/>
      <c r="P91" s="174"/>
      <c r="Q91" s="174"/>
      <c r="R91" s="174"/>
      <c r="S91" s="175"/>
    </row>
    <row r="92" spans="1:19" ht="97.5" customHeight="1" x14ac:dyDescent="0.15">
      <c r="B92" s="188"/>
      <c r="C92" s="27" t="s">
        <v>30</v>
      </c>
      <c r="D92" s="178" t="s">
        <v>182</v>
      </c>
      <c r="E92" s="179"/>
      <c r="F92" s="179"/>
      <c r="G92" s="179"/>
      <c r="H92" s="179"/>
      <c r="I92" s="179"/>
      <c r="J92" s="179"/>
      <c r="K92" s="179"/>
      <c r="L92" s="179"/>
      <c r="M92" s="179"/>
      <c r="N92" s="179"/>
      <c r="O92" s="179"/>
      <c r="P92" s="179"/>
      <c r="Q92" s="179"/>
      <c r="R92" s="179"/>
      <c r="S92" s="180"/>
    </row>
    <row r="93" spans="1:19" ht="97.5" customHeight="1" x14ac:dyDescent="0.15">
      <c r="B93" s="187" t="s">
        <v>50</v>
      </c>
      <c r="C93" s="26" t="s">
        <v>33</v>
      </c>
      <c r="D93" s="173" t="s">
        <v>183</v>
      </c>
      <c r="E93" s="174"/>
      <c r="F93" s="174"/>
      <c r="G93" s="174"/>
      <c r="H93" s="174"/>
      <c r="I93" s="174"/>
      <c r="J93" s="174"/>
      <c r="K93" s="174"/>
      <c r="L93" s="174"/>
      <c r="M93" s="174"/>
      <c r="N93" s="174"/>
      <c r="O93" s="174"/>
      <c r="P93" s="174"/>
      <c r="Q93" s="174"/>
      <c r="R93" s="174"/>
      <c r="S93" s="175"/>
    </row>
    <row r="94" spans="1:19" ht="97.5" customHeight="1" x14ac:dyDescent="0.15">
      <c r="B94" s="188"/>
      <c r="C94" s="28" t="s">
        <v>34</v>
      </c>
      <c r="D94" s="156" t="s">
        <v>184</v>
      </c>
      <c r="E94" s="176"/>
      <c r="F94" s="176"/>
      <c r="G94" s="176"/>
      <c r="H94" s="176"/>
      <c r="I94" s="176"/>
      <c r="J94" s="176"/>
      <c r="K94" s="176"/>
      <c r="L94" s="176"/>
      <c r="M94" s="176"/>
      <c r="N94" s="176"/>
      <c r="O94" s="176"/>
      <c r="P94" s="176"/>
      <c r="Q94" s="176"/>
      <c r="R94" s="176"/>
      <c r="S94" s="177"/>
    </row>
    <row r="95" spans="1:19" ht="97.5" customHeight="1" x14ac:dyDescent="0.15">
      <c r="B95" s="187" t="s">
        <v>51</v>
      </c>
      <c r="C95" s="24" t="s">
        <v>36</v>
      </c>
      <c r="D95" s="150" t="s">
        <v>185</v>
      </c>
      <c r="E95" s="196"/>
      <c r="F95" s="196"/>
      <c r="G95" s="196"/>
      <c r="H95" s="196"/>
      <c r="I95" s="196"/>
      <c r="J95" s="196"/>
      <c r="K95" s="196"/>
      <c r="L95" s="196"/>
      <c r="M95" s="196"/>
      <c r="N95" s="196"/>
      <c r="O95" s="196"/>
      <c r="P95" s="196"/>
      <c r="Q95" s="196"/>
      <c r="R95" s="196"/>
      <c r="S95" s="197"/>
    </row>
    <row r="96" spans="1:19" ht="97.5" customHeight="1" x14ac:dyDescent="0.15">
      <c r="B96" s="188"/>
      <c r="C96" s="27" t="s">
        <v>37</v>
      </c>
      <c r="D96" s="178" t="s">
        <v>186</v>
      </c>
      <c r="E96" s="179"/>
      <c r="F96" s="179"/>
      <c r="G96" s="179"/>
      <c r="H96" s="179"/>
      <c r="I96" s="179"/>
      <c r="J96" s="179"/>
      <c r="K96" s="179"/>
      <c r="L96" s="179"/>
      <c r="M96" s="179"/>
      <c r="N96" s="179"/>
      <c r="O96" s="179"/>
      <c r="P96" s="179"/>
      <c r="Q96" s="179"/>
      <c r="R96" s="179"/>
      <c r="S96" s="180"/>
    </row>
    <row r="97" spans="1:19" ht="122.25" customHeight="1" x14ac:dyDescent="0.15">
      <c r="B97" s="187" t="s">
        <v>52</v>
      </c>
      <c r="C97" s="26" t="s">
        <v>53</v>
      </c>
      <c r="D97" s="190" t="s">
        <v>187</v>
      </c>
      <c r="E97" s="191"/>
      <c r="F97" s="191"/>
      <c r="G97" s="191"/>
      <c r="H97" s="191"/>
      <c r="I97" s="191"/>
      <c r="J97" s="191"/>
      <c r="K97" s="191"/>
      <c r="L97" s="191"/>
      <c r="M97" s="191"/>
      <c r="N97" s="191"/>
      <c r="O97" s="191"/>
      <c r="P97" s="191"/>
      <c r="Q97" s="191"/>
      <c r="R97" s="191"/>
      <c r="S97" s="192"/>
    </row>
    <row r="98" spans="1:19" ht="107.25" customHeight="1" x14ac:dyDescent="0.15">
      <c r="B98" s="189"/>
      <c r="C98" s="29" t="s">
        <v>40</v>
      </c>
      <c r="D98" s="181" t="s">
        <v>188</v>
      </c>
      <c r="E98" s="182"/>
      <c r="F98" s="182"/>
      <c r="G98" s="182"/>
      <c r="H98" s="182"/>
      <c r="I98" s="182"/>
      <c r="J98" s="182"/>
      <c r="K98" s="182"/>
      <c r="L98" s="182"/>
      <c r="M98" s="182"/>
      <c r="N98" s="182"/>
      <c r="O98" s="182"/>
      <c r="P98" s="182"/>
      <c r="Q98" s="182"/>
      <c r="R98" s="182"/>
      <c r="S98" s="183"/>
    </row>
    <row r="99" spans="1:19" ht="111" customHeight="1" x14ac:dyDescent="0.15">
      <c r="B99" s="188"/>
      <c r="C99" s="28" t="s">
        <v>41</v>
      </c>
      <c r="D99" s="193" t="s">
        <v>189</v>
      </c>
      <c r="E99" s="194"/>
      <c r="F99" s="194"/>
      <c r="G99" s="194"/>
      <c r="H99" s="194"/>
      <c r="I99" s="194"/>
      <c r="J99" s="194"/>
      <c r="K99" s="194"/>
      <c r="L99" s="194"/>
      <c r="M99" s="194"/>
      <c r="N99" s="194"/>
      <c r="O99" s="194"/>
      <c r="P99" s="194"/>
      <c r="Q99" s="194"/>
      <c r="R99" s="194"/>
      <c r="S99" s="195"/>
    </row>
    <row r="100" spans="1:19" ht="6" customHeight="1" x14ac:dyDescent="0.15"/>
    <row r="101" spans="1:19" ht="18.75" customHeight="1" x14ac:dyDescent="0.15">
      <c r="A101" s="1" t="s">
        <v>54</v>
      </c>
    </row>
    <row r="102" spans="1:19" ht="81.75" customHeight="1" x14ac:dyDescent="0.15">
      <c r="B102" s="161" t="s">
        <v>55</v>
      </c>
      <c r="C102" s="162"/>
      <c r="D102" s="162"/>
      <c r="E102" s="162"/>
      <c r="F102" s="162"/>
      <c r="G102" s="162"/>
      <c r="H102" s="162"/>
      <c r="I102" s="162"/>
      <c r="J102" s="162"/>
      <c r="K102" s="162"/>
      <c r="L102" s="162"/>
      <c r="M102" s="162"/>
      <c r="N102" s="162"/>
      <c r="O102" s="162"/>
      <c r="P102" s="162"/>
      <c r="Q102" s="162"/>
      <c r="R102" s="162"/>
      <c r="S102" s="163"/>
    </row>
    <row r="110" spans="1:19" ht="18" customHeight="1" x14ac:dyDescent="0.15"/>
  </sheetData>
  <customSheetViews>
    <customSheetView guid="{EF565584-6FC7-43D6-8DE5-80F819FA140A}" showPageBreaks="1" zeroValues="0" fitToPage="1" printArea="1" hiddenColumns="1" view="pageBreakPreview">
      <selection activeCell="Y15" sqref="Y15"/>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6" fitToHeight="0" orientation="portrait" r:id="rId1"/>
      <headerFooter>
        <oddHeader>&amp;C数理・データサイエンス・AI教育プログラム認定制度【リテラシーレベル】</oddHeader>
      </headerFooter>
    </customSheetView>
  </customSheetViews>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P69:S75 Q25:S31 G36:I42 Q36:S42 G47:I53 Q47:S53 G58:I64 Q58:S64 F69:I75 G25:I31"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2"/>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10"/>
  <sheetViews>
    <sheetView view="pageBreakPreview" zoomScaleNormal="100" zoomScaleSheetLayoutView="100" workbookViewId="0">
      <selection activeCell="L4" sqref="L4"/>
    </sheetView>
  </sheetViews>
  <sheetFormatPr defaultColWidth="9" defaultRowHeight="14.25" x14ac:dyDescent="0.15"/>
  <cols>
    <col min="1" max="1" width="2.5" style="64" customWidth="1"/>
    <col min="2" max="2" width="16.5" style="64" customWidth="1"/>
    <col min="3" max="19" width="5.625" style="64" customWidth="1"/>
    <col min="20" max="20" width="9" style="64"/>
    <col min="21" max="21" width="3.625" style="64" customWidth="1"/>
    <col min="22" max="22" width="48.625" style="64" hidden="1" customWidth="1"/>
    <col min="23" max="16384" width="9" style="64"/>
  </cols>
  <sheetData>
    <row r="1" spans="1:22" ht="18.600000000000001" customHeight="1" x14ac:dyDescent="0.15">
      <c r="R1" s="141" t="s">
        <v>175</v>
      </c>
      <c r="S1" s="141"/>
      <c r="T1" s="65" t="s">
        <v>0</v>
      </c>
    </row>
    <row r="2" spans="1:22" ht="18.75" customHeight="1" x14ac:dyDescent="0.15">
      <c r="B2" s="66" t="s">
        <v>1</v>
      </c>
      <c r="C2" s="228" t="s">
        <v>2</v>
      </c>
      <c r="D2" s="214"/>
      <c r="E2" s="214"/>
      <c r="F2" s="214"/>
      <c r="G2" s="214"/>
      <c r="H2" s="214"/>
      <c r="I2" s="215"/>
      <c r="J2" s="118"/>
      <c r="K2" s="68"/>
      <c r="L2" s="68"/>
      <c r="M2" s="68"/>
      <c r="N2" s="68"/>
      <c r="O2" s="68"/>
      <c r="P2" s="68"/>
      <c r="Q2" s="68"/>
      <c r="R2" s="68"/>
      <c r="S2" s="68"/>
    </row>
    <row r="3" spans="1:22" ht="18.75" customHeight="1" x14ac:dyDescent="0.15">
      <c r="B3" s="66" t="s">
        <v>3</v>
      </c>
      <c r="C3" s="243" t="s">
        <v>4</v>
      </c>
      <c r="D3" s="244"/>
      <c r="E3" s="244"/>
      <c r="F3" s="244"/>
      <c r="G3" s="244"/>
      <c r="H3" s="244"/>
      <c r="I3" s="245"/>
      <c r="J3" s="118"/>
      <c r="K3" s="68"/>
      <c r="L3" s="68"/>
      <c r="M3" s="68"/>
      <c r="N3" s="68"/>
      <c r="O3" s="68"/>
      <c r="P3" s="68"/>
      <c r="Q3" s="68"/>
      <c r="R3" s="68"/>
      <c r="S3" s="68"/>
    </row>
    <row r="4" spans="1:22" ht="15" customHeight="1" x14ac:dyDescent="0.15">
      <c r="K4" s="118"/>
      <c r="L4" s="69"/>
      <c r="M4" s="69"/>
      <c r="N4" s="69"/>
      <c r="O4" s="69"/>
      <c r="P4" s="69"/>
      <c r="Q4" s="69"/>
      <c r="R4" s="69"/>
      <c r="S4" s="69"/>
    </row>
    <row r="5" spans="1:22" ht="18" customHeight="1" x14ac:dyDescent="0.15">
      <c r="A5" s="246" t="s">
        <v>5</v>
      </c>
      <c r="B5" s="246"/>
      <c r="C5" s="246"/>
      <c r="D5" s="246"/>
      <c r="E5" s="246"/>
      <c r="F5" s="246"/>
      <c r="G5" s="246"/>
      <c r="H5" s="246"/>
      <c r="I5" s="246"/>
      <c r="J5" s="246"/>
      <c r="K5" s="246"/>
      <c r="L5" s="246"/>
      <c r="M5" s="246"/>
      <c r="N5" s="246"/>
      <c r="O5" s="246"/>
      <c r="P5" s="246"/>
      <c r="Q5" s="246"/>
      <c r="R5" s="246"/>
      <c r="S5" s="246"/>
    </row>
    <row r="6" spans="1:22" ht="15" customHeight="1" x14ac:dyDescent="0.15">
      <c r="B6" s="119"/>
      <c r="C6" s="119"/>
      <c r="D6" s="119"/>
      <c r="E6" s="119"/>
      <c r="F6" s="119"/>
      <c r="G6" s="119"/>
      <c r="H6" s="119"/>
      <c r="I6" s="119"/>
      <c r="J6" s="119"/>
      <c r="K6" s="119"/>
      <c r="L6" s="119"/>
      <c r="M6" s="119"/>
      <c r="N6" s="119"/>
      <c r="O6" s="119"/>
      <c r="P6" s="119"/>
      <c r="Q6" s="119"/>
      <c r="R6" s="119"/>
      <c r="S6" s="119"/>
    </row>
    <row r="7" spans="1:22" ht="18" customHeight="1" x14ac:dyDescent="0.15">
      <c r="A7" s="64" t="s">
        <v>6</v>
      </c>
      <c r="C7" s="119"/>
      <c r="J7" s="71" t="s">
        <v>7</v>
      </c>
      <c r="K7" s="247" t="s">
        <v>8</v>
      </c>
      <c r="L7" s="248"/>
      <c r="M7" s="248"/>
      <c r="N7" s="248"/>
      <c r="O7" s="248"/>
      <c r="P7" s="248"/>
      <c r="Q7" s="248"/>
      <c r="R7" s="248"/>
      <c r="S7" s="249"/>
    </row>
    <row r="8" spans="1:22" ht="6" customHeight="1" x14ac:dyDescent="0.15">
      <c r="B8" s="119"/>
      <c r="C8" s="119"/>
      <c r="D8" s="119"/>
      <c r="E8" s="119"/>
      <c r="F8" s="119"/>
      <c r="G8" s="119"/>
      <c r="H8" s="119"/>
      <c r="I8" s="119"/>
      <c r="J8" s="119"/>
      <c r="K8" s="72"/>
      <c r="L8" s="119"/>
      <c r="M8" s="119"/>
      <c r="N8" s="119"/>
      <c r="O8" s="119"/>
      <c r="P8" s="119"/>
      <c r="Q8" s="119"/>
      <c r="R8" s="119"/>
      <c r="S8" s="119"/>
    </row>
    <row r="9" spans="1:22" ht="18" customHeight="1" x14ac:dyDescent="0.15">
      <c r="B9" s="250" t="s">
        <v>56</v>
      </c>
      <c r="C9" s="251"/>
      <c r="D9" s="251"/>
      <c r="E9" s="251"/>
      <c r="F9" s="251"/>
      <c r="G9" s="251"/>
      <c r="H9" s="251"/>
      <c r="I9" s="251"/>
      <c r="J9" s="251"/>
      <c r="K9" s="251"/>
      <c r="L9" s="251"/>
      <c r="M9" s="251"/>
      <c r="N9" s="251"/>
      <c r="O9" s="251"/>
      <c r="P9" s="251"/>
      <c r="Q9" s="251"/>
      <c r="R9" s="251"/>
      <c r="S9" s="252"/>
    </row>
    <row r="10" spans="1:22" ht="18" customHeight="1" x14ac:dyDescent="0.15">
      <c r="B10" s="253"/>
      <c r="C10" s="254"/>
      <c r="D10" s="254"/>
      <c r="E10" s="254"/>
      <c r="F10" s="254"/>
      <c r="G10" s="254"/>
      <c r="H10" s="254"/>
      <c r="I10" s="254"/>
      <c r="J10" s="254"/>
      <c r="K10" s="254"/>
      <c r="L10" s="254"/>
      <c r="M10" s="254"/>
      <c r="N10" s="254"/>
      <c r="O10" s="254"/>
      <c r="P10" s="254"/>
      <c r="Q10" s="254"/>
      <c r="R10" s="254"/>
      <c r="S10" s="255"/>
    </row>
    <row r="11" spans="1:22" ht="6" customHeight="1" x14ac:dyDescent="0.15">
      <c r="B11" s="119"/>
      <c r="C11" s="119"/>
      <c r="D11" s="119"/>
      <c r="E11" s="119"/>
      <c r="F11" s="119"/>
      <c r="G11" s="119"/>
      <c r="H11" s="119"/>
      <c r="I11" s="119"/>
      <c r="J11" s="119"/>
      <c r="K11" s="72"/>
      <c r="L11" s="119"/>
      <c r="M11" s="119"/>
      <c r="N11" s="119"/>
      <c r="O11" s="119"/>
      <c r="P11" s="119"/>
      <c r="Q11" s="119"/>
      <c r="R11" s="119"/>
      <c r="S11" s="119"/>
    </row>
    <row r="12" spans="1:22" ht="18" customHeight="1" x14ac:dyDescent="0.15">
      <c r="A12" s="64" t="s">
        <v>10</v>
      </c>
      <c r="B12" s="119"/>
      <c r="C12" s="119"/>
      <c r="D12" s="118"/>
      <c r="E12" s="118"/>
      <c r="F12" s="118"/>
      <c r="G12" s="118"/>
      <c r="H12" s="118"/>
      <c r="I12" s="118"/>
      <c r="J12" s="118"/>
      <c r="K12" s="73"/>
      <c r="L12" s="73"/>
      <c r="M12" s="73"/>
      <c r="N12" s="73"/>
      <c r="O12" s="73"/>
      <c r="P12" s="73"/>
      <c r="Q12" s="73"/>
      <c r="R12" s="73"/>
      <c r="S12" s="73"/>
    </row>
    <row r="13" spans="1:22" ht="18" customHeight="1" x14ac:dyDescent="0.15">
      <c r="B13" s="239" t="s">
        <v>190</v>
      </c>
      <c r="C13" s="150"/>
      <c r="D13" s="150"/>
      <c r="E13" s="150"/>
      <c r="F13" s="150"/>
      <c r="G13" s="150"/>
      <c r="H13" s="150"/>
      <c r="I13" s="150"/>
      <c r="J13" s="150"/>
      <c r="K13" s="150"/>
      <c r="L13" s="150"/>
      <c r="M13" s="150"/>
      <c r="N13" s="150"/>
      <c r="O13" s="150"/>
      <c r="P13" s="150"/>
      <c r="Q13" s="150"/>
      <c r="R13" s="150"/>
      <c r="S13" s="151"/>
      <c r="V13" s="64" t="s">
        <v>11</v>
      </c>
    </row>
    <row r="14" spans="1:22" ht="18" customHeight="1" x14ac:dyDescent="0.15">
      <c r="B14" s="152"/>
      <c r="C14" s="153"/>
      <c r="D14" s="153"/>
      <c r="E14" s="153"/>
      <c r="F14" s="153"/>
      <c r="G14" s="153"/>
      <c r="H14" s="153"/>
      <c r="I14" s="153"/>
      <c r="J14" s="153"/>
      <c r="K14" s="153"/>
      <c r="L14" s="153"/>
      <c r="M14" s="153"/>
      <c r="N14" s="153"/>
      <c r="O14" s="153"/>
      <c r="P14" s="153"/>
      <c r="Q14" s="153"/>
      <c r="R14" s="153"/>
      <c r="S14" s="154"/>
      <c r="V14" s="64" t="s">
        <v>12</v>
      </c>
    </row>
    <row r="15" spans="1:22" ht="18" customHeight="1" x14ac:dyDescent="0.15">
      <c r="B15" s="152"/>
      <c r="C15" s="153"/>
      <c r="D15" s="153"/>
      <c r="E15" s="153"/>
      <c r="F15" s="153"/>
      <c r="G15" s="153"/>
      <c r="H15" s="153"/>
      <c r="I15" s="153"/>
      <c r="J15" s="153"/>
      <c r="K15" s="153"/>
      <c r="L15" s="153"/>
      <c r="M15" s="153"/>
      <c r="N15" s="153"/>
      <c r="O15" s="153"/>
      <c r="P15" s="153"/>
      <c r="Q15" s="153"/>
      <c r="R15" s="153"/>
      <c r="S15" s="154"/>
      <c r="V15" s="64" t="s">
        <v>13</v>
      </c>
    </row>
    <row r="16" spans="1:22" ht="18" customHeight="1" x14ac:dyDescent="0.15">
      <c r="B16" s="152"/>
      <c r="C16" s="153"/>
      <c r="D16" s="153"/>
      <c r="E16" s="153"/>
      <c r="F16" s="153"/>
      <c r="G16" s="153"/>
      <c r="H16" s="153"/>
      <c r="I16" s="153"/>
      <c r="J16" s="153"/>
      <c r="K16" s="153"/>
      <c r="L16" s="153"/>
      <c r="M16" s="153"/>
      <c r="N16" s="153"/>
      <c r="O16" s="153"/>
      <c r="P16" s="153"/>
      <c r="Q16" s="153"/>
      <c r="R16" s="153"/>
      <c r="S16" s="154"/>
      <c r="V16" s="64" t="s">
        <v>14</v>
      </c>
    </row>
    <row r="17" spans="1:19" ht="18" customHeight="1" x14ac:dyDescent="0.15">
      <c r="B17" s="152"/>
      <c r="C17" s="153"/>
      <c r="D17" s="153"/>
      <c r="E17" s="153"/>
      <c r="F17" s="153"/>
      <c r="G17" s="153"/>
      <c r="H17" s="153"/>
      <c r="I17" s="153"/>
      <c r="J17" s="153"/>
      <c r="K17" s="153"/>
      <c r="L17" s="153"/>
      <c r="M17" s="153"/>
      <c r="N17" s="153"/>
      <c r="O17" s="153"/>
      <c r="P17" s="153"/>
      <c r="Q17" s="153"/>
      <c r="R17" s="153"/>
      <c r="S17" s="154"/>
    </row>
    <row r="18" spans="1:19" ht="18" customHeight="1" x14ac:dyDescent="0.15">
      <c r="B18" s="155"/>
      <c r="C18" s="156"/>
      <c r="D18" s="156"/>
      <c r="E18" s="156"/>
      <c r="F18" s="156"/>
      <c r="G18" s="156"/>
      <c r="H18" s="156"/>
      <c r="I18" s="156"/>
      <c r="J18" s="156"/>
      <c r="K18" s="156"/>
      <c r="L18" s="156"/>
      <c r="M18" s="156"/>
      <c r="N18" s="156"/>
      <c r="O18" s="156"/>
      <c r="P18" s="156"/>
      <c r="Q18" s="156"/>
      <c r="R18" s="156"/>
      <c r="S18" s="157"/>
    </row>
    <row r="19" spans="1:19" ht="7.5" customHeight="1" x14ac:dyDescent="0.15">
      <c r="B19" s="119"/>
      <c r="C19" s="119"/>
      <c r="D19" s="119"/>
      <c r="E19" s="119"/>
      <c r="F19" s="119"/>
      <c r="G19" s="119"/>
      <c r="H19" s="119"/>
      <c r="I19" s="119"/>
      <c r="J19" s="119"/>
      <c r="K19" s="119"/>
      <c r="L19" s="119"/>
      <c r="M19" s="119"/>
      <c r="N19" s="119"/>
      <c r="O19" s="119"/>
      <c r="P19" s="119"/>
      <c r="Q19" s="119"/>
      <c r="R19" s="119"/>
      <c r="S19" s="119"/>
    </row>
    <row r="20" spans="1:19" ht="19.899999999999999" customHeight="1" x14ac:dyDescent="0.15">
      <c r="B20" s="64" t="s">
        <v>15</v>
      </c>
      <c r="C20" s="228">
        <v>5</v>
      </c>
      <c r="D20" s="215"/>
      <c r="E20" s="74" t="s">
        <v>16</v>
      </c>
      <c r="G20" s="72"/>
      <c r="H20" s="119"/>
      <c r="I20" s="119"/>
      <c r="J20" s="118" t="s">
        <v>17</v>
      </c>
      <c r="K20" s="240" t="s">
        <v>12</v>
      </c>
      <c r="L20" s="241"/>
      <c r="M20" s="241"/>
      <c r="N20" s="241"/>
      <c r="O20" s="241"/>
      <c r="P20" s="241"/>
      <c r="Q20" s="241"/>
      <c r="R20" s="241"/>
      <c r="S20" s="242"/>
    </row>
    <row r="21" spans="1:19" ht="7.5" customHeight="1" x14ac:dyDescent="0.15">
      <c r="B21" s="119"/>
      <c r="C21" s="119"/>
      <c r="D21" s="119"/>
      <c r="E21" s="119"/>
      <c r="F21" s="119"/>
      <c r="G21" s="119"/>
      <c r="H21" s="119"/>
      <c r="I21" s="119"/>
      <c r="J21" s="119"/>
      <c r="K21" s="119"/>
      <c r="L21" s="119"/>
      <c r="M21" s="119"/>
      <c r="N21" s="119"/>
      <c r="O21" s="119"/>
      <c r="P21" s="119"/>
      <c r="Q21" s="119"/>
      <c r="R21" s="119"/>
      <c r="S21" s="119"/>
    </row>
    <row r="22" spans="1:19" ht="18" customHeight="1" x14ac:dyDescent="0.15">
      <c r="A22" s="238" t="s">
        <v>18</v>
      </c>
      <c r="B22" s="238"/>
      <c r="C22" s="238"/>
      <c r="D22" s="238"/>
      <c r="E22" s="238"/>
      <c r="F22" s="238"/>
      <c r="G22" s="238"/>
      <c r="H22" s="238"/>
      <c r="I22" s="238"/>
      <c r="J22" s="238"/>
      <c r="K22" s="238"/>
      <c r="L22" s="238"/>
      <c r="M22" s="238"/>
      <c r="N22" s="238"/>
      <c r="O22" s="238"/>
      <c r="P22" s="238"/>
      <c r="Q22" s="238"/>
      <c r="R22" s="238"/>
      <c r="S22" s="238"/>
    </row>
    <row r="23" spans="1:19" ht="18" customHeight="1" x14ac:dyDescent="0.15">
      <c r="A23" s="238"/>
      <c r="B23" s="238"/>
      <c r="C23" s="238"/>
      <c r="D23" s="238"/>
      <c r="E23" s="238"/>
      <c r="F23" s="238"/>
      <c r="G23" s="238"/>
      <c r="H23" s="238"/>
      <c r="I23" s="238"/>
      <c r="J23" s="238"/>
      <c r="K23" s="238"/>
      <c r="L23" s="238"/>
      <c r="M23" s="238"/>
      <c r="N23" s="238"/>
      <c r="O23" s="238"/>
      <c r="P23" s="238"/>
      <c r="Q23" s="238"/>
      <c r="R23" s="238"/>
      <c r="S23" s="238"/>
    </row>
    <row r="24" spans="1:19" ht="18" customHeight="1" x14ac:dyDescent="0.15">
      <c r="B24" s="228" t="s">
        <v>19</v>
      </c>
      <c r="C24" s="214"/>
      <c r="D24" s="214"/>
      <c r="E24" s="215"/>
      <c r="F24" s="75" t="s">
        <v>20</v>
      </c>
      <c r="G24" s="76" t="s">
        <v>21</v>
      </c>
      <c r="H24" s="77" t="s">
        <v>22</v>
      </c>
      <c r="I24" s="77" t="s">
        <v>23</v>
      </c>
      <c r="J24" s="228" t="s">
        <v>19</v>
      </c>
      <c r="K24" s="214"/>
      <c r="L24" s="214"/>
      <c r="M24" s="214"/>
      <c r="N24" s="214"/>
      <c r="O24" s="215"/>
      <c r="P24" s="75" t="s">
        <v>20</v>
      </c>
      <c r="Q24" s="76" t="s">
        <v>21</v>
      </c>
      <c r="R24" s="77" t="s">
        <v>22</v>
      </c>
      <c r="S24" s="77" t="s">
        <v>23</v>
      </c>
    </row>
    <row r="25" spans="1:19" ht="18" customHeight="1" x14ac:dyDescent="0.15">
      <c r="B25" s="232" t="s">
        <v>57</v>
      </c>
      <c r="C25" s="233"/>
      <c r="D25" s="233"/>
      <c r="E25" s="234"/>
      <c r="F25" s="62">
        <v>1</v>
      </c>
      <c r="G25" s="62" t="s">
        <v>25</v>
      </c>
      <c r="H25" s="62" t="s">
        <v>25</v>
      </c>
      <c r="I25" s="62" t="s">
        <v>25</v>
      </c>
      <c r="J25" s="232"/>
      <c r="K25" s="233"/>
      <c r="L25" s="233"/>
      <c r="M25" s="233"/>
      <c r="N25" s="233"/>
      <c r="O25" s="234"/>
      <c r="P25" s="62"/>
      <c r="Q25" s="62"/>
      <c r="R25" s="62"/>
      <c r="S25" s="62"/>
    </row>
    <row r="26" spans="1:19" ht="18" customHeight="1" x14ac:dyDescent="0.15">
      <c r="B26" s="216" t="s">
        <v>26</v>
      </c>
      <c r="C26" s="217"/>
      <c r="D26" s="217"/>
      <c r="E26" s="218"/>
      <c r="F26" s="63">
        <v>1</v>
      </c>
      <c r="G26" s="63" t="s">
        <v>25</v>
      </c>
      <c r="H26" s="63" t="s">
        <v>25</v>
      </c>
      <c r="I26" s="63" t="s">
        <v>25</v>
      </c>
      <c r="J26" s="216"/>
      <c r="K26" s="217"/>
      <c r="L26" s="217"/>
      <c r="M26" s="217"/>
      <c r="N26" s="217"/>
      <c r="O26" s="218"/>
      <c r="P26" s="63"/>
      <c r="Q26" s="63"/>
      <c r="R26" s="63"/>
      <c r="S26" s="63"/>
    </row>
    <row r="27" spans="1:19" ht="18" customHeight="1" x14ac:dyDescent="0.15">
      <c r="B27" s="216"/>
      <c r="C27" s="217"/>
      <c r="D27" s="217"/>
      <c r="E27" s="218"/>
      <c r="F27" s="63"/>
      <c r="G27" s="63"/>
      <c r="H27" s="63"/>
      <c r="I27" s="63"/>
      <c r="J27" s="216"/>
      <c r="K27" s="217"/>
      <c r="L27" s="217"/>
      <c r="M27" s="217"/>
      <c r="N27" s="217"/>
      <c r="O27" s="218"/>
      <c r="P27" s="63"/>
      <c r="Q27" s="63"/>
      <c r="R27" s="63"/>
      <c r="S27" s="63"/>
    </row>
    <row r="28" spans="1:19" ht="18" customHeight="1" x14ac:dyDescent="0.15">
      <c r="B28" s="216"/>
      <c r="C28" s="217"/>
      <c r="D28" s="217"/>
      <c r="E28" s="218"/>
      <c r="F28" s="63"/>
      <c r="G28" s="63"/>
      <c r="H28" s="63"/>
      <c r="I28" s="63"/>
      <c r="J28" s="216"/>
      <c r="K28" s="217"/>
      <c r="L28" s="217"/>
      <c r="M28" s="217"/>
      <c r="N28" s="217"/>
      <c r="O28" s="218"/>
      <c r="P28" s="63"/>
      <c r="Q28" s="63"/>
      <c r="R28" s="63"/>
      <c r="S28" s="63"/>
    </row>
    <row r="29" spans="1:19" ht="18" customHeight="1" x14ac:dyDescent="0.15">
      <c r="B29" s="216"/>
      <c r="C29" s="217"/>
      <c r="D29" s="217"/>
      <c r="E29" s="218"/>
      <c r="F29" s="63"/>
      <c r="G29" s="63"/>
      <c r="H29" s="63"/>
      <c r="I29" s="63"/>
      <c r="J29" s="216"/>
      <c r="K29" s="217"/>
      <c r="L29" s="217"/>
      <c r="M29" s="217"/>
      <c r="N29" s="217"/>
      <c r="O29" s="218"/>
      <c r="P29" s="63"/>
      <c r="Q29" s="63"/>
      <c r="R29" s="63"/>
      <c r="S29" s="63"/>
    </row>
    <row r="30" spans="1:19" ht="18" customHeight="1" x14ac:dyDescent="0.15">
      <c r="A30" s="119"/>
      <c r="B30" s="216"/>
      <c r="C30" s="217"/>
      <c r="D30" s="217"/>
      <c r="E30" s="218"/>
      <c r="F30" s="63"/>
      <c r="G30" s="63"/>
      <c r="H30" s="63"/>
      <c r="I30" s="63"/>
      <c r="J30" s="216"/>
      <c r="K30" s="217"/>
      <c r="L30" s="217"/>
      <c r="M30" s="217"/>
      <c r="N30" s="217"/>
      <c r="O30" s="218"/>
      <c r="P30" s="63"/>
      <c r="Q30" s="63"/>
      <c r="R30" s="63"/>
      <c r="S30" s="63"/>
    </row>
    <row r="31" spans="1:19" ht="18" customHeight="1" x14ac:dyDescent="0.15">
      <c r="A31" s="119"/>
      <c r="B31" s="222"/>
      <c r="C31" s="223"/>
      <c r="D31" s="223"/>
      <c r="E31" s="224"/>
      <c r="F31" s="78"/>
      <c r="G31" s="78"/>
      <c r="H31" s="79"/>
      <c r="I31" s="79"/>
      <c r="J31" s="222"/>
      <c r="K31" s="223"/>
      <c r="L31" s="223"/>
      <c r="M31" s="223"/>
      <c r="N31" s="223"/>
      <c r="O31" s="224"/>
      <c r="P31" s="78"/>
      <c r="Q31" s="78"/>
      <c r="R31" s="79"/>
      <c r="S31" s="79"/>
    </row>
    <row r="32" spans="1:19" ht="7.5" customHeight="1" x14ac:dyDescent="0.15">
      <c r="A32" s="119"/>
      <c r="B32" s="68"/>
      <c r="C32" s="68"/>
      <c r="D32" s="119"/>
      <c r="E32" s="119"/>
      <c r="F32" s="119"/>
      <c r="G32" s="119"/>
      <c r="H32" s="68"/>
      <c r="I32" s="68"/>
      <c r="J32" s="68"/>
      <c r="K32" s="68"/>
      <c r="L32" s="68"/>
      <c r="M32" s="68"/>
      <c r="N32" s="68"/>
      <c r="O32" s="68"/>
      <c r="P32" s="68"/>
      <c r="Q32" s="68"/>
      <c r="R32" s="68"/>
      <c r="S32" s="119"/>
    </row>
    <row r="33" spans="1:19" ht="18" customHeight="1" x14ac:dyDescent="0.15">
      <c r="A33" s="238" t="s">
        <v>28</v>
      </c>
      <c r="B33" s="238"/>
      <c r="C33" s="238"/>
      <c r="D33" s="238"/>
      <c r="E33" s="238"/>
      <c r="F33" s="238"/>
      <c r="G33" s="238"/>
      <c r="H33" s="238"/>
      <c r="I33" s="238"/>
      <c r="J33" s="238"/>
      <c r="K33" s="238"/>
      <c r="L33" s="238"/>
      <c r="M33" s="238"/>
      <c r="N33" s="238"/>
      <c r="O33" s="238"/>
      <c r="P33" s="238"/>
      <c r="Q33" s="238"/>
      <c r="R33" s="238"/>
      <c r="S33" s="238"/>
    </row>
    <row r="34" spans="1:19" ht="18" customHeight="1" x14ac:dyDescent="0.15">
      <c r="A34" s="238"/>
      <c r="B34" s="238"/>
      <c r="C34" s="238"/>
      <c r="D34" s="238"/>
      <c r="E34" s="238"/>
      <c r="F34" s="238"/>
      <c r="G34" s="238"/>
      <c r="H34" s="238"/>
      <c r="I34" s="238"/>
      <c r="J34" s="238"/>
      <c r="K34" s="238"/>
      <c r="L34" s="238"/>
      <c r="M34" s="238"/>
      <c r="N34" s="238"/>
      <c r="O34" s="238"/>
      <c r="P34" s="238"/>
      <c r="Q34" s="238"/>
      <c r="R34" s="238"/>
      <c r="S34" s="238"/>
    </row>
    <row r="35" spans="1:19" ht="18" customHeight="1" x14ac:dyDescent="0.15">
      <c r="B35" s="228" t="s">
        <v>19</v>
      </c>
      <c r="C35" s="214"/>
      <c r="D35" s="214"/>
      <c r="E35" s="215"/>
      <c r="F35" s="75" t="s">
        <v>20</v>
      </c>
      <c r="G35" s="76" t="s">
        <v>21</v>
      </c>
      <c r="H35" s="77" t="s">
        <v>29</v>
      </c>
      <c r="I35" s="77" t="s">
        <v>30</v>
      </c>
      <c r="J35" s="228" t="s">
        <v>19</v>
      </c>
      <c r="K35" s="214"/>
      <c r="L35" s="214"/>
      <c r="M35" s="214"/>
      <c r="N35" s="214"/>
      <c r="O35" s="215"/>
      <c r="P35" s="75" t="s">
        <v>20</v>
      </c>
      <c r="Q35" s="76" t="s">
        <v>21</v>
      </c>
      <c r="R35" s="77" t="s">
        <v>29</v>
      </c>
      <c r="S35" s="77" t="s">
        <v>30</v>
      </c>
    </row>
    <row r="36" spans="1:19" ht="18" customHeight="1" x14ac:dyDescent="0.15">
      <c r="B36" s="232" t="s">
        <v>57</v>
      </c>
      <c r="C36" s="233"/>
      <c r="D36" s="233"/>
      <c r="E36" s="234"/>
      <c r="F36" s="62">
        <v>1</v>
      </c>
      <c r="G36" s="62" t="s">
        <v>25</v>
      </c>
      <c r="H36" s="62" t="s">
        <v>25</v>
      </c>
      <c r="I36" s="62" t="s">
        <v>25</v>
      </c>
      <c r="J36" s="232"/>
      <c r="K36" s="233"/>
      <c r="L36" s="233"/>
      <c r="M36" s="233"/>
      <c r="N36" s="233"/>
      <c r="O36" s="234"/>
      <c r="P36" s="62"/>
      <c r="Q36" s="62"/>
      <c r="R36" s="62"/>
      <c r="S36" s="62"/>
    </row>
    <row r="37" spans="1:19" ht="18" customHeight="1" x14ac:dyDescent="0.15">
      <c r="B37" s="216" t="s">
        <v>58</v>
      </c>
      <c r="C37" s="217"/>
      <c r="D37" s="217"/>
      <c r="E37" s="218"/>
      <c r="F37" s="63">
        <v>1</v>
      </c>
      <c r="G37" s="63" t="s">
        <v>25</v>
      </c>
      <c r="H37" s="63" t="s">
        <v>25</v>
      </c>
      <c r="I37" s="63" t="s">
        <v>25</v>
      </c>
      <c r="J37" s="216"/>
      <c r="K37" s="217"/>
      <c r="L37" s="217"/>
      <c r="M37" s="217"/>
      <c r="N37" s="217"/>
      <c r="O37" s="218"/>
      <c r="P37" s="63"/>
      <c r="Q37" s="63"/>
      <c r="R37" s="63"/>
      <c r="S37" s="63"/>
    </row>
    <row r="38" spans="1:19" ht="18" customHeight="1" x14ac:dyDescent="0.15">
      <c r="B38" s="216"/>
      <c r="C38" s="217"/>
      <c r="D38" s="217"/>
      <c r="E38" s="218"/>
      <c r="F38" s="63"/>
      <c r="G38" s="63"/>
      <c r="H38" s="63"/>
      <c r="I38" s="63"/>
      <c r="J38" s="216"/>
      <c r="K38" s="217"/>
      <c r="L38" s="217"/>
      <c r="M38" s="217"/>
      <c r="N38" s="217"/>
      <c r="O38" s="218"/>
      <c r="P38" s="63"/>
      <c r="Q38" s="63"/>
      <c r="R38" s="63"/>
      <c r="S38" s="63"/>
    </row>
    <row r="39" spans="1:19" ht="18" customHeight="1" x14ac:dyDescent="0.15">
      <c r="B39" s="216"/>
      <c r="C39" s="217"/>
      <c r="D39" s="217"/>
      <c r="E39" s="218"/>
      <c r="F39" s="63"/>
      <c r="G39" s="63"/>
      <c r="H39" s="63"/>
      <c r="I39" s="63"/>
      <c r="J39" s="216"/>
      <c r="K39" s="217"/>
      <c r="L39" s="217"/>
      <c r="M39" s="217"/>
      <c r="N39" s="217"/>
      <c r="O39" s="218"/>
      <c r="P39" s="63"/>
      <c r="Q39" s="63"/>
      <c r="R39" s="63"/>
      <c r="S39" s="63"/>
    </row>
    <row r="40" spans="1:19" ht="18" customHeight="1" x14ac:dyDescent="0.15">
      <c r="B40" s="216"/>
      <c r="C40" s="217"/>
      <c r="D40" s="217"/>
      <c r="E40" s="218"/>
      <c r="F40" s="63"/>
      <c r="G40" s="63"/>
      <c r="H40" s="63"/>
      <c r="I40" s="63"/>
      <c r="J40" s="216"/>
      <c r="K40" s="217"/>
      <c r="L40" s="217"/>
      <c r="M40" s="217"/>
      <c r="N40" s="217"/>
      <c r="O40" s="218"/>
      <c r="P40" s="63"/>
      <c r="Q40" s="63"/>
      <c r="R40" s="63"/>
      <c r="S40" s="63"/>
    </row>
    <row r="41" spans="1:19" ht="18" customHeight="1" x14ac:dyDescent="0.15">
      <c r="B41" s="216"/>
      <c r="C41" s="217"/>
      <c r="D41" s="217"/>
      <c r="E41" s="218"/>
      <c r="F41" s="63"/>
      <c r="G41" s="63"/>
      <c r="H41" s="63"/>
      <c r="I41" s="63"/>
      <c r="J41" s="216"/>
      <c r="K41" s="217"/>
      <c r="L41" s="217"/>
      <c r="M41" s="217"/>
      <c r="N41" s="217"/>
      <c r="O41" s="218"/>
      <c r="P41" s="63"/>
      <c r="Q41" s="63"/>
      <c r="R41" s="63"/>
      <c r="S41" s="63"/>
    </row>
    <row r="42" spans="1:19" ht="18" customHeight="1" x14ac:dyDescent="0.15">
      <c r="B42" s="222"/>
      <c r="C42" s="223"/>
      <c r="D42" s="223"/>
      <c r="E42" s="224"/>
      <c r="F42" s="78"/>
      <c r="G42" s="78"/>
      <c r="H42" s="79"/>
      <c r="I42" s="79"/>
      <c r="J42" s="222"/>
      <c r="K42" s="223"/>
      <c r="L42" s="223"/>
      <c r="M42" s="223"/>
      <c r="N42" s="223"/>
      <c r="O42" s="224"/>
      <c r="P42" s="78"/>
      <c r="Q42" s="78"/>
      <c r="R42" s="79"/>
      <c r="S42" s="79"/>
    </row>
    <row r="43" spans="1:19" ht="7.5" customHeight="1" x14ac:dyDescent="0.15">
      <c r="A43" s="119"/>
      <c r="B43" s="68"/>
      <c r="C43" s="68"/>
      <c r="D43" s="119"/>
      <c r="E43" s="119"/>
      <c r="F43" s="119"/>
      <c r="G43" s="119"/>
      <c r="H43" s="68"/>
      <c r="I43" s="68"/>
      <c r="J43" s="68"/>
      <c r="K43" s="68"/>
      <c r="L43" s="68"/>
      <c r="M43" s="68"/>
      <c r="N43" s="68"/>
      <c r="O43" s="68"/>
      <c r="P43" s="68"/>
      <c r="Q43" s="68"/>
      <c r="R43" s="68"/>
      <c r="S43" s="119"/>
    </row>
    <row r="44" spans="1:19" ht="18" customHeight="1" x14ac:dyDescent="0.15">
      <c r="A44" s="238" t="s">
        <v>32</v>
      </c>
      <c r="B44" s="238"/>
      <c r="C44" s="238"/>
      <c r="D44" s="238"/>
      <c r="E44" s="238"/>
      <c r="F44" s="238"/>
      <c r="G44" s="238"/>
      <c r="H44" s="238"/>
      <c r="I44" s="238"/>
      <c r="J44" s="238"/>
      <c r="K44" s="238"/>
      <c r="L44" s="238"/>
      <c r="M44" s="238"/>
      <c r="N44" s="238"/>
      <c r="O44" s="238"/>
      <c r="P44" s="238"/>
      <c r="Q44" s="238"/>
      <c r="R44" s="238"/>
      <c r="S44" s="238"/>
    </row>
    <row r="45" spans="1:19" ht="18" customHeight="1" x14ac:dyDescent="0.15">
      <c r="A45" s="238"/>
      <c r="B45" s="238"/>
      <c r="C45" s="238"/>
      <c r="D45" s="238"/>
      <c r="E45" s="238"/>
      <c r="F45" s="238"/>
      <c r="G45" s="238"/>
      <c r="H45" s="238"/>
      <c r="I45" s="238"/>
      <c r="J45" s="238"/>
      <c r="K45" s="238"/>
      <c r="L45" s="238"/>
      <c r="M45" s="238"/>
      <c r="N45" s="238"/>
      <c r="O45" s="238"/>
      <c r="P45" s="238"/>
      <c r="Q45" s="238"/>
      <c r="R45" s="238"/>
      <c r="S45" s="238"/>
    </row>
    <row r="46" spans="1:19" ht="18" customHeight="1" x14ac:dyDescent="0.15">
      <c r="B46" s="228" t="s">
        <v>19</v>
      </c>
      <c r="C46" s="214"/>
      <c r="D46" s="214"/>
      <c r="E46" s="215"/>
      <c r="F46" s="75" t="s">
        <v>20</v>
      </c>
      <c r="G46" s="76" t="s">
        <v>21</v>
      </c>
      <c r="H46" s="77" t="s">
        <v>33</v>
      </c>
      <c r="I46" s="77" t="s">
        <v>34</v>
      </c>
      <c r="J46" s="228" t="s">
        <v>19</v>
      </c>
      <c r="K46" s="214"/>
      <c r="L46" s="214"/>
      <c r="M46" s="214"/>
      <c r="N46" s="214"/>
      <c r="O46" s="215"/>
      <c r="P46" s="75" t="s">
        <v>20</v>
      </c>
      <c r="Q46" s="76" t="s">
        <v>21</v>
      </c>
      <c r="R46" s="77" t="s">
        <v>33</v>
      </c>
      <c r="S46" s="77" t="s">
        <v>34</v>
      </c>
    </row>
    <row r="47" spans="1:19" ht="18" customHeight="1" x14ac:dyDescent="0.15">
      <c r="A47" s="119"/>
      <c r="B47" s="232" t="s">
        <v>57</v>
      </c>
      <c r="C47" s="233"/>
      <c r="D47" s="233"/>
      <c r="E47" s="234"/>
      <c r="F47" s="62">
        <v>1</v>
      </c>
      <c r="G47" s="62" t="s">
        <v>25</v>
      </c>
      <c r="H47" s="62" t="s">
        <v>25</v>
      </c>
      <c r="I47" s="62" t="s">
        <v>25</v>
      </c>
      <c r="J47" s="232"/>
      <c r="K47" s="233"/>
      <c r="L47" s="233"/>
      <c r="M47" s="233"/>
      <c r="N47" s="233"/>
      <c r="O47" s="234"/>
      <c r="P47" s="62"/>
      <c r="Q47" s="62"/>
      <c r="R47" s="62"/>
      <c r="S47" s="62"/>
    </row>
    <row r="48" spans="1:19" ht="18" customHeight="1" x14ac:dyDescent="0.15">
      <c r="A48" s="119"/>
      <c r="B48" s="216"/>
      <c r="C48" s="217"/>
      <c r="D48" s="217"/>
      <c r="E48" s="218"/>
      <c r="F48" s="63"/>
      <c r="G48" s="63"/>
      <c r="H48" s="63"/>
      <c r="I48" s="63"/>
      <c r="J48" s="216"/>
      <c r="K48" s="217"/>
      <c r="L48" s="217"/>
      <c r="M48" s="217"/>
      <c r="N48" s="217"/>
      <c r="O48" s="218"/>
      <c r="P48" s="63"/>
      <c r="Q48" s="63"/>
      <c r="R48" s="63"/>
      <c r="S48" s="63"/>
    </row>
    <row r="49" spans="1:19" ht="18" customHeight="1" x14ac:dyDescent="0.15">
      <c r="A49" s="119"/>
      <c r="B49" s="216"/>
      <c r="C49" s="217"/>
      <c r="D49" s="217"/>
      <c r="E49" s="218"/>
      <c r="F49" s="63"/>
      <c r="G49" s="63"/>
      <c r="H49" s="63"/>
      <c r="I49" s="63"/>
      <c r="J49" s="216"/>
      <c r="K49" s="217"/>
      <c r="L49" s="217"/>
      <c r="M49" s="217"/>
      <c r="N49" s="217"/>
      <c r="O49" s="218"/>
      <c r="P49" s="63"/>
      <c r="Q49" s="63"/>
      <c r="R49" s="63"/>
      <c r="S49" s="63"/>
    </row>
    <row r="50" spans="1:19" ht="18" customHeight="1" x14ac:dyDescent="0.15">
      <c r="A50" s="119"/>
      <c r="B50" s="216"/>
      <c r="C50" s="217"/>
      <c r="D50" s="217"/>
      <c r="E50" s="218"/>
      <c r="F50" s="63"/>
      <c r="G50" s="63"/>
      <c r="H50" s="63"/>
      <c r="I50" s="63"/>
      <c r="J50" s="216"/>
      <c r="K50" s="217"/>
      <c r="L50" s="217"/>
      <c r="M50" s="217"/>
      <c r="N50" s="217"/>
      <c r="O50" s="218"/>
      <c r="P50" s="63"/>
      <c r="Q50" s="63"/>
      <c r="R50" s="63"/>
      <c r="S50" s="63"/>
    </row>
    <row r="51" spans="1:19" ht="18" customHeight="1" x14ac:dyDescent="0.15">
      <c r="A51" s="119"/>
      <c r="B51" s="216"/>
      <c r="C51" s="217"/>
      <c r="D51" s="217"/>
      <c r="E51" s="218"/>
      <c r="F51" s="63"/>
      <c r="G51" s="63"/>
      <c r="H51" s="63"/>
      <c r="I51" s="63"/>
      <c r="J51" s="216"/>
      <c r="K51" s="217"/>
      <c r="L51" s="217"/>
      <c r="M51" s="217"/>
      <c r="N51" s="217"/>
      <c r="O51" s="218"/>
      <c r="P51" s="63"/>
      <c r="Q51" s="63"/>
      <c r="R51" s="63"/>
      <c r="S51" s="63"/>
    </row>
    <row r="52" spans="1:19" ht="18" customHeight="1" x14ac:dyDescent="0.15">
      <c r="A52" s="119"/>
      <c r="B52" s="216"/>
      <c r="C52" s="217"/>
      <c r="D52" s="217"/>
      <c r="E52" s="218"/>
      <c r="F52" s="63"/>
      <c r="G52" s="63"/>
      <c r="H52" s="63"/>
      <c r="I52" s="63"/>
      <c r="J52" s="216"/>
      <c r="K52" s="217"/>
      <c r="L52" s="217"/>
      <c r="M52" s="217"/>
      <c r="N52" s="217"/>
      <c r="O52" s="218"/>
      <c r="P52" s="63"/>
      <c r="Q52" s="63"/>
      <c r="R52" s="63"/>
      <c r="S52" s="63"/>
    </row>
    <row r="53" spans="1:19" ht="18" customHeight="1" x14ac:dyDescent="0.15">
      <c r="A53" s="119"/>
      <c r="B53" s="222"/>
      <c r="C53" s="223"/>
      <c r="D53" s="223"/>
      <c r="E53" s="224"/>
      <c r="F53" s="78"/>
      <c r="G53" s="78"/>
      <c r="H53" s="79"/>
      <c r="I53" s="79"/>
      <c r="J53" s="222"/>
      <c r="K53" s="223"/>
      <c r="L53" s="223"/>
      <c r="M53" s="223"/>
      <c r="N53" s="223"/>
      <c r="O53" s="224"/>
      <c r="P53" s="78"/>
      <c r="Q53" s="78"/>
      <c r="R53" s="79"/>
      <c r="S53" s="79"/>
    </row>
    <row r="54" spans="1:19" ht="7.5" customHeight="1" x14ac:dyDescent="0.15">
      <c r="B54" s="120"/>
      <c r="C54" s="120"/>
      <c r="D54" s="120"/>
      <c r="E54" s="120"/>
      <c r="F54" s="120"/>
      <c r="G54" s="120"/>
      <c r="H54" s="120"/>
      <c r="I54" s="120"/>
      <c r="J54" s="120"/>
      <c r="K54" s="120"/>
      <c r="L54" s="120"/>
      <c r="M54" s="120"/>
      <c r="N54" s="120"/>
      <c r="O54" s="120"/>
      <c r="P54" s="120"/>
      <c r="Q54" s="120"/>
      <c r="R54" s="120"/>
    </row>
    <row r="55" spans="1:19" ht="18" customHeight="1" x14ac:dyDescent="0.15">
      <c r="A55" s="238" t="s">
        <v>35</v>
      </c>
      <c r="B55" s="238"/>
      <c r="C55" s="238"/>
      <c r="D55" s="238"/>
      <c r="E55" s="238"/>
      <c r="F55" s="238"/>
      <c r="G55" s="238"/>
      <c r="H55" s="238"/>
      <c r="I55" s="238"/>
      <c r="J55" s="238"/>
      <c r="K55" s="238"/>
      <c r="L55" s="238"/>
      <c r="M55" s="238"/>
      <c r="N55" s="238"/>
      <c r="O55" s="238"/>
      <c r="P55" s="238"/>
      <c r="Q55" s="238"/>
      <c r="R55" s="238"/>
      <c r="S55" s="238"/>
    </row>
    <row r="56" spans="1:19" ht="18" customHeight="1" x14ac:dyDescent="0.15">
      <c r="A56" s="238"/>
      <c r="B56" s="238"/>
      <c r="C56" s="238"/>
      <c r="D56" s="238"/>
      <c r="E56" s="238"/>
      <c r="F56" s="238"/>
      <c r="G56" s="238"/>
      <c r="H56" s="238"/>
      <c r="I56" s="238"/>
      <c r="J56" s="238"/>
      <c r="K56" s="238"/>
      <c r="L56" s="238"/>
      <c r="M56" s="238"/>
      <c r="N56" s="238"/>
      <c r="O56" s="238"/>
      <c r="P56" s="238"/>
      <c r="Q56" s="238"/>
      <c r="R56" s="238"/>
      <c r="S56" s="238"/>
    </row>
    <row r="57" spans="1:19" ht="18" customHeight="1" x14ac:dyDescent="0.15">
      <c r="B57" s="228" t="s">
        <v>19</v>
      </c>
      <c r="C57" s="214"/>
      <c r="D57" s="214"/>
      <c r="E57" s="215"/>
      <c r="F57" s="75" t="s">
        <v>20</v>
      </c>
      <c r="G57" s="76" t="s">
        <v>21</v>
      </c>
      <c r="H57" s="77" t="s">
        <v>36</v>
      </c>
      <c r="I57" s="77" t="s">
        <v>37</v>
      </c>
      <c r="J57" s="228" t="s">
        <v>19</v>
      </c>
      <c r="K57" s="214"/>
      <c r="L57" s="214"/>
      <c r="M57" s="214"/>
      <c r="N57" s="214"/>
      <c r="O57" s="215"/>
      <c r="P57" s="75" t="s">
        <v>20</v>
      </c>
      <c r="Q57" s="76" t="s">
        <v>21</v>
      </c>
      <c r="R57" s="77" t="s">
        <v>36</v>
      </c>
      <c r="S57" s="77" t="s">
        <v>37</v>
      </c>
    </row>
    <row r="58" spans="1:19" ht="18" customHeight="1" x14ac:dyDescent="0.15">
      <c r="A58" s="119"/>
      <c r="B58" s="232" t="s">
        <v>57</v>
      </c>
      <c r="C58" s="233"/>
      <c r="D58" s="233"/>
      <c r="E58" s="234"/>
      <c r="F58" s="62">
        <v>1</v>
      </c>
      <c r="G58" s="62" t="s">
        <v>25</v>
      </c>
      <c r="H58" s="62" t="s">
        <v>25</v>
      </c>
      <c r="I58" s="62" t="s">
        <v>25</v>
      </c>
      <c r="J58" s="232"/>
      <c r="K58" s="233"/>
      <c r="L58" s="233"/>
      <c r="M58" s="233"/>
      <c r="N58" s="233"/>
      <c r="O58" s="234"/>
      <c r="P58" s="62"/>
      <c r="Q58" s="62"/>
      <c r="R58" s="62"/>
      <c r="S58" s="62"/>
    </row>
    <row r="59" spans="1:19" ht="18" customHeight="1" x14ac:dyDescent="0.15">
      <c r="A59" s="119"/>
      <c r="B59" s="216" t="s">
        <v>59</v>
      </c>
      <c r="C59" s="217"/>
      <c r="D59" s="217"/>
      <c r="E59" s="218"/>
      <c r="F59" s="63">
        <v>1</v>
      </c>
      <c r="G59" s="63"/>
      <c r="H59" s="63" t="s">
        <v>25</v>
      </c>
      <c r="I59" s="63" t="s">
        <v>25</v>
      </c>
      <c r="J59" s="216"/>
      <c r="K59" s="217"/>
      <c r="L59" s="217"/>
      <c r="M59" s="217"/>
      <c r="N59" s="217"/>
      <c r="O59" s="218"/>
      <c r="P59" s="63"/>
      <c r="Q59" s="63"/>
      <c r="R59" s="63"/>
      <c r="S59" s="63"/>
    </row>
    <row r="60" spans="1:19" ht="18" customHeight="1" x14ac:dyDescent="0.15">
      <c r="A60" s="119"/>
      <c r="B60" s="216"/>
      <c r="C60" s="217"/>
      <c r="D60" s="217"/>
      <c r="E60" s="218"/>
      <c r="F60" s="63"/>
      <c r="G60" s="63"/>
      <c r="H60" s="63"/>
      <c r="I60" s="63"/>
      <c r="J60" s="216"/>
      <c r="K60" s="217"/>
      <c r="L60" s="217"/>
      <c r="M60" s="217"/>
      <c r="N60" s="217"/>
      <c r="O60" s="218"/>
      <c r="P60" s="63"/>
      <c r="Q60" s="63"/>
      <c r="R60" s="63"/>
      <c r="S60" s="63"/>
    </row>
    <row r="61" spans="1:19" ht="18" customHeight="1" x14ac:dyDescent="0.15">
      <c r="A61" s="119"/>
      <c r="B61" s="216"/>
      <c r="C61" s="217"/>
      <c r="D61" s="217"/>
      <c r="E61" s="218"/>
      <c r="F61" s="63"/>
      <c r="G61" s="63"/>
      <c r="H61" s="63"/>
      <c r="I61" s="63"/>
      <c r="J61" s="216"/>
      <c r="K61" s="217"/>
      <c r="L61" s="217"/>
      <c r="M61" s="217"/>
      <c r="N61" s="217"/>
      <c r="O61" s="218"/>
      <c r="P61" s="63"/>
      <c r="Q61" s="63"/>
      <c r="R61" s="63"/>
      <c r="S61" s="63"/>
    </row>
    <row r="62" spans="1:19" ht="18" customHeight="1" x14ac:dyDescent="0.15">
      <c r="A62" s="119"/>
      <c r="B62" s="216"/>
      <c r="C62" s="217"/>
      <c r="D62" s="217"/>
      <c r="E62" s="218"/>
      <c r="F62" s="63"/>
      <c r="G62" s="63"/>
      <c r="H62" s="63"/>
      <c r="I62" s="63"/>
      <c r="J62" s="216"/>
      <c r="K62" s="217"/>
      <c r="L62" s="217"/>
      <c r="M62" s="217"/>
      <c r="N62" s="217"/>
      <c r="O62" s="218"/>
      <c r="P62" s="63"/>
      <c r="Q62" s="63"/>
      <c r="R62" s="63"/>
      <c r="S62" s="63"/>
    </row>
    <row r="63" spans="1:19" ht="18" customHeight="1" x14ac:dyDescent="0.15">
      <c r="A63" s="119"/>
      <c r="B63" s="216"/>
      <c r="C63" s="217"/>
      <c r="D63" s="217"/>
      <c r="E63" s="218"/>
      <c r="F63" s="63"/>
      <c r="G63" s="63"/>
      <c r="H63" s="63"/>
      <c r="I63" s="63"/>
      <c r="J63" s="216"/>
      <c r="K63" s="217"/>
      <c r="L63" s="217"/>
      <c r="M63" s="217"/>
      <c r="N63" s="217"/>
      <c r="O63" s="218"/>
      <c r="P63" s="63"/>
      <c r="Q63" s="63"/>
      <c r="R63" s="63"/>
      <c r="S63" s="63"/>
    </row>
    <row r="64" spans="1:19" ht="18" customHeight="1" x14ac:dyDescent="0.15">
      <c r="A64" s="119"/>
      <c r="B64" s="222"/>
      <c r="C64" s="223"/>
      <c r="D64" s="223"/>
      <c r="E64" s="224"/>
      <c r="F64" s="78"/>
      <c r="G64" s="78"/>
      <c r="H64" s="79"/>
      <c r="I64" s="79"/>
      <c r="J64" s="222"/>
      <c r="K64" s="223"/>
      <c r="L64" s="223"/>
      <c r="M64" s="223"/>
      <c r="N64" s="223"/>
      <c r="O64" s="224"/>
      <c r="P64" s="78"/>
      <c r="Q64" s="78"/>
      <c r="R64" s="79"/>
      <c r="S64" s="79"/>
    </row>
    <row r="65" spans="1:19" ht="7.5" customHeight="1" x14ac:dyDescent="0.15">
      <c r="B65" s="120"/>
      <c r="C65" s="120"/>
      <c r="D65" s="120"/>
      <c r="E65" s="120"/>
      <c r="F65" s="120"/>
      <c r="G65" s="120"/>
      <c r="H65" s="120"/>
      <c r="I65" s="120"/>
      <c r="J65" s="120"/>
      <c r="K65" s="120"/>
      <c r="L65" s="120"/>
      <c r="M65" s="120"/>
      <c r="N65" s="120"/>
      <c r="O65" s="120"/>
      <c r="P65" s="120"/>
      <c r="Q65" s="120"/>
      <c r="R65" s="120"/>
    </row>
    <row r="66" spans="1:19" ht="18" customHeight="1" x14ac:dyDescent="0.15">
      <c r="A66" s="238" t="s">
        <v>38</v>
      </c>
      <c r="B66" s="238"/>
      <c r="C66" s="238"/>
      <c r="D66" s="238"/>
      <c r="E66" s="238"/>
      <c r="F66" s="238"/>
      <c r="G66" s="238"/>
      <c r="H66" s="238"/>
      <c r="I66" s="238"/>
      <c r="J66" s="238"/>
      <c r="K66" s="238"/>
      <c r="L66" s="238"/>
      <c r="M66" s="238"/>
      <c r="N66" s="238"/>
      <c r="O66" s="238"/>
      <c r="P66" s="238"/>
      <c r="Q66" s="238"/>
      <c r="R66" s="238"/>
      <c r="S66" s="238"/>
    </row>
    <row r="67" spans="1:19" ht="18" customHeight="1" x14ac:dyDescent="0.15">
      <c r="A67" s="238"/>
      <c r="B67" s="238"/>
      <c r="C67" s="238"/>
      <c r="D67" s="238"/>
      <c r="E67" s="238"/>
      <c r="F67" s="238"/>
      <c r="G67" s="238"/>
      <c r="H67" s="238"/>
      <c r="I67" s="238"/>
      <c r="J67" s="238"/>
      <c r="K67" s="238"/>
      <c r="L67" s="238"/>
      <c r="M67" s="238"/>
      <c r="N67" s="238"/>
      <c r="O67" s="238"/>
      <c r="P67" s="238"/>
      <c r="Q67" s="238"/>
      <c r="R67" s="238"/>
      <c r="S67" s="238"/>
    </row>
    <row r="68" spans="1:19" ht="18" customHeight="1" x14ac:dyDescent="0.15">
      <c r="B68" s="228" t="s">
        <v>19</v>
      </c>
      <c r="C68" s="214"/>
      <c r="D68" s="214"/>
      <c r="E68" s="75" t="s">
        <v>20</v>
      </c>
      <c r="F68" s="76" t="s">
        <v>21</v>
      </c>
      <c r="G68" s="77" t="s">
        <v>39</v>
      </c>
      <c r="H68" s="77" t="s">
        <v>40</v>
      </c>
      <c r="I68" s="77" t="s">
        <v>41</v>
      </c>
      <c r="J68" s="228" t="s">
        <v>19</v>
      </c>
      <c r="K68" s="214"/>
      <c r="L68" s="214"/>
      <c r="M68" s="214"/>
      <c r="N68" s="215"/>
      <c r="O68" s="75" t="s">
        <v>20</v>
      </c>
      <c r="P68" s="76" t="s">
        <v>21</v>
      </c>
      <c r="Q68" s="77" t="s">
        <v>39</v>
      </c>
      <c r="R68" s="77" t="s">
        <v>40</v>
      </c>
      <c r="S68" s="77" t="s">
        <v>41</v>
      </c>
    </row>
    <row r="69" spans="1:19" ht="18" customHeight="1" x14ac:dyDescent="0.15">
      <c r="A69" s="119"/>
      <c r="B69" s="232" t="s">
        <v>57</v>
      </c>
      <c r="C69" s="233"/>
      <c r="D69" s="233"/>
      <c r="E69" s="62">
        <v>1</v>
      </c>
      <c r="F69" s="62" t="s">
        <v>25</v>
      </c>
      <c r="G69" s="62" t="s">
        <v>25</v>
      </c>
      <c r="H69" s="62" t="s">
        <v>25</v>
      </c>
      <c r="I69" s="62" t="s">
        <v>25</v>
      </c>
      <c r="J69" s="232"/>
      <c r="K69" s="233"/>
      <c r="L69" s="233"/>
      <c r="M69" s="233"/>
      <c r="N69" s="234"/>
      <c r="O69" s="62"/>
      <c r="P69" s="62"/>
      <c r="Q69" s="62"/>
      <c r="R69" s="62"/>
      <c r="S69" s="62"/>
    </row>
    <row r="70" spans="1:19" ht="18" customHeight="1" x14ac:dyDescent="0.15">
      <c r="A70" s="119"/>
      <c r="B70" s="216" t="s">
        <v>26</v>
      </c>
      <c r="C70" s="217"/>
      <c r="D70" s="217"/>
      <c r="E70" s="63">
        <v>1</v>
      </c>
      <c r="F70" s="63" t="s">
        <v>25</v>
      </c>
      <c r="G70" s="63" t="s">
        <v>25</v>
      </c>
      <c r="H70" s="63" t="s">
        <v>25</v>
      </c>
      <c r="I70" s="63" t="s">
        <v>25</v>
      </c>
      <c r="J70" s="216"/>
      <c r="K70" s="217"/>
      <c r="L70" s="217"/>
      <c r="M70" s="217"/>
      <c r="N70" s="218"/>
      <c r="O70" s="63"/>
      <c r="P70" s="63"/>
      <c r="Q70" s="63"/>
      <c r="R70" s="63"/>
      <c r="S70" s="63"/>
    </row>
    <row r="71" spans="1:19" ht="18" customHeight="1" x14ac:dyDescent="0.15">
      <c r="A71" s="119"/>
      <c r="B71" s="216" t="s">
        <v>60</v>
      </c>
      <c r="C71" s="217"/>
      <c r="D71" s="217"/>
      <c r="E71" s="63">
        <v>1</v>
      </c>
      <c r="F71" s="63" t="s">
        <v>25</v>
      </c>
      <c r="G71" s="63" t="s">
        <v>25</v>
      </c>
      <c r="H71" s="63" t="s">
        <v>25</v>
      </c>
      <c r="I71" s="63" t="s">
        <v>25</v>
      </c>
      <c r="J71" s="216"/>
      <c r="K71" s="217"/>
      <c r="L71" s="217"/>
      <c r="M71" s="217"/>
      <c r="N71" s="218"/>
      <c r="O71" s="63"/>
      <c r="P71" s="63"/>
      <c r="Q71" s="63"/>
      <c r="R71" s="63"/>
      <c r="S71" s="63"/>
    </row>
    <row r="72" spans="1:19" ht="18" customHeight="1" x14ac:dyDescent="0.15">
      <c r="A72" s="119"/>
      <c r="B72" s="216" t="s">
        <v>61</v>
      </c>
      <c r="C72" s="217"/>
      <c r="D72" s="217"/>
      <c r="E72" s="63">
        <v>1</v>
      </c>
      <c r="F72" s="63" t="s">
        <v>25</v>
      </c>
      <c r="G72" s="63" t="s">
        <v>25</v>
      </c>
      <c r="H72" s="63" t="s">
        <v>25</v>
      </c>
      <c r="I72" s="63" t="s">
        <v>25</v>
      </c>
      <c r="J72" s="216"/>
      <c r="K72" s="217"/>
      <c r="L72" s="217"/>
      <c r="M72" s="217"/>
      <c r="N72" s="218"/>
      <c r="O72" s="63"/>
      <c r="P72" s="63"/>
      <c r="Q72" s="63"/>
      <c r="R72" s="63"/>
      <c r="S72" s="63"/>
    </row>
    <row r="73" spans="1:19" ht="18" customHeight="1" x14ac:dyDescent="0.15">
      <c r="A73" s="119"/>
      <c r="B73" s="216" t="s">
        <v>58</v>
      </c>
      <c r="C73" s="217"/>
      <c r="D73" s="217"/>
      <c r="E73" s="63">
        <v>1</v>
      </c>
      <c r="F73" s="63" t="s">
        <v>25</v>
      </c>
      <c r="G73" s="63" t="s">
        <v>25</v>
      </c>
      <c r="H73" s="63" t="s">
        <v>25</v>
      </c>
      <c r="I73" s="63" t="s">
        <v>25</v>
      </c>
      <c r="J73" s="216"/>
      <c r="K73" s="217"/>
      <c r="L73" s="217"/>
      <c r="M73" s="217"/>
      <c r="N73" s="218"/>
      <c r="O73" s="63"/>
      <c r="P73" s="63"/>
      <c r="Q73" s="63"/>
      <c r="R73" s="63"/>
      <c r="S73" s="63"/>
    </row>
    <row r="74" spans="1:19" ht="18" customHeight="1" x14ac:dyDescent="0.15">
      <c r="A74" s="119"/>
      <c r="B74" s="216"/>
      <c r="C74" s="217"/>
      <c r="D74" s="217"/>
      <c r="E74" s="63"/>
      <c r="F74" s="63"/>
      <c r="G74" s="63"/>
      <c r="H74" s="63"/>
      <c r="I74" s="63"/>
      <c r="J74" s="216"/>
      <c r="K74" s="217"/>
      <c r="L74" s="217"/>
      <c r="M74" s="217"/>
      <c r="N74" s="218"/>
      <c r="O74" s="63"/>
      <c r="P74" s="63"/>
      <c r="Q74" s="63"/>
      <c r="R74" s="63"/>
      <c r="S74" s="63"/>
    </row>
    <row r="75" spans="1:19" ht="18" customHeight="1" x14ac:dyDescent="0.15">
      <c r="A75" s="119"/>
      <c r="B75" s="222"/>
      <c r="C75" s="223"/>
      <c r="D75" s="223"/>
      <c r="E75" s="78"/>
      <c r="F75" s="78"/>
      <c r="G75" s="79"/>
      <c r="H75" s="79"/>
      <c r="I75" s="79"/>
      <c r="J75" s="222"/>
      <c r="K75" s="223"/>
      <c r="L75" s="223"/>
      <c r="M75" s="223"/>
      <c r="N75" s="224"/>
      <c r="O75" s="78"/>
      <c r="P75" s="78"/>
      <c r="Q75" s="79"/>
      <c r="R75" s="79"/>
      <c r="S75" s="79"/>
    </row>
    <row r="76" spans="1:19" ht="7.5" customHeight="1" x14ac:dyDescent="0.15">
      <c r="B76" s="120"/>
      <c r="C76" s="120"/>
      <c r="D76" s="120"/>
      <c r="E76" s="120"/>
      <c r="F76" s="120"/>
      <c r="G76" s="120"/>
      <c r="H76" s="120"/>
      <c r="I76" s="120"/>
      <c r="J76" s="120"/>
      <c r="K76" s="120"/>
      <c r="L76" s="120"/>
      <c r="M76" s="120"/>
      <c r="N76" s="120"/>
      <c r="O76" s="120"/>
      <c r="P76" s="120"/>
      <c r="Q76" s="120"/>
      <c r="R76" s="120"/>
    </row>
    <row r="77" spans="1:19" ht="18" customHeight="1" x14ac:dyDescent="0.15">
      <c r="A77" s="64" t="s">
        <v>42</v>
      </c>
      <c r="H77" s="119"/>
      <c r="I77" s="119"/>
      <c r="J77" s="119"/>
      <c r="K77" s="119"/>
      <c r="L77" s="119"/>
      <c r="M77" s="119"/>
      <c r="N77" s="119"/>
      <c r="O77" s="119"/>
      <c r="P77" s="119"/>
      <c r="Q77" s="119"/>
      <c r="R77" s="119"/>
      <c r="S77" s="119"/>
    </row>
    <row r="78" spans="1:19" ht="18" customHeight="1" x14ac:dyDescent="0.15">
      <c r="B78" s="228" t="s">
        <v>19</v>
      </c>
      <c r="C78" s="214"/>
      <c r="D78" s="214"/>
      <c r="E78" s="215"/>
      <c r="F78" s="228" t="s">
        <v>43</v>
      </c>
      <c r="G78" s="214"/>
      <c r="H78" s="214"/>
      <c r="I78" s="215"/>
      <c r="J78" s="229" t="s">
        <v>19</v>
      </c>
      <c r="K78" s="230"/>
      <c r="L78" s="230"/>
      <c r="M78" s="230"/>
      <c r="N78" s="230"/>
      <c r="O78" s="231"/>
      <c r="P78" s="228" t="s">
        <v>43</v>
      </c>
      <c r="Q78" s="214"/>
      <c r="R78" s="214"/>
      <c r="S78" s="215"/>
    </row>
    <row r="79" spans="1:19" ht="18" customHeight="1" x14ac:dyDescent="0.15">
      <c r="A79" s="119"/>
      <c r="B79" s="232"/>
      <c r="C79" s="233"/>
      <c r="D79" s="233"/>
      <c r="E79" s="234"/>
      <c r="F79" s="235"/>
      <c r="G79" s="236"/>
      <c r="H79" s="236"/>
      <c r="I79" s="237"/>
      <c r="J79" s="232"/>
      <c r="K79" s="233"/>
      <c r="L79" s="233"/>
      <c r="M79" s="233"/>
      <c r="N79" s="233"/>
      <c r="O79" s="234"/>
      <c r="P79" s="235"/>
      <c r="Q79" s="236"/>
      <c r="R79" s="236"/>
      <c r="S79" s="237"/>
    </row>
    <row r="80" spans="1:19" ht="18" customHeight="1" x14ac:dyDescent="0.15">
      <c r="A80" s="119"/>
      <c r="B80" s="216"/>
      <c r="C80" s="217"/>
      <c r="D80" s="217"/>
      <c r="E80" s="218"/>
      <c r="F80" s="219"/>
      <c r="G80" s="220"/>
      <c r="H80" s="220"/>
      <c r="I80" s="221"/>
      <c r="J80" s="216"/>
      <c r="K80" s="217"/>
      <c r="L80" s="217"/>
      <c r="M80" s="217"/>
      <c r="N80" s="217"/>
      <c r="O80" s="218"/>
      <c r="P80" s="219"/>
      <c r="Q80" s="220"/>
      <c r="R80" s="220"/>
      <c r="S80" s="221"/>
    </row>
    <row r="81" spans="1:19" ht="18" customHeight="1" x14ac:dyDescent="0.15">
      <c r="A81" s="119"/>
      <c r="B81" s="216"/>
      <c r="C81" s="217"/>
      <c r="D81" s="217"/>
      <c r="E81" s="218"/>
      <c r="F81" s="219"/>
      <c r="G81" s="220"/>
      <c r="H81" s="220"/>
      <c r="I81" s="221"/>
      <c r="J81" s="216"/>
      <c r="K81" s="217"/>
      <c r="L81" s="217"/>
      <c r="M81" s="217"/>
      <c r="N81" s="217"/>
      <c r="O81" s="218"/>
      <c r="P81" s="219"/>
      <c r="Q81" s="220"/>
      <c r="R81" s="220"/>
      <c r="S81" s="221"/>
    </row>
    <row r="82" spans="1:19" ht="18" customHeight="1" x14ac:dyDescent="0.15">
      <c r="A82" s="119"/>
      <c r="B82" s="216"/>
      <c r="C82" s="217"/>
      <c r="D82" s="217"/>
      <c r="E82" s="218"/>
      <c r="F82" s="219"/>
      <c r="G82" s="220"/>
      <c r="H82" s="220"/>
      <c r="I82" s="221"/>
      <c r="J82" s="216"/>
      <c r="K82" s="217"/>
      <c r="L82" s="217"/>
      <c r="M82" s="217"/>
      <c r="N82" s="217"/>
      <c r="O82" s="218"/>
      <c r="P82" s="219"/>
      <c r="Q82" s="220"/>
      <c r="R82" s="220"/>
      <c r="S82" s="221"/>
    </row>
    <row r="83" spans="1:19" ht="18" customHeight="1" x14ac:dyDescent="0.15">
      <c r="A83" s="119"/>
      <c r="B83" s="216"/>
      <c r="C83" s="217"/>
      <c r="D83" s="217"/>
      <c r="E83" s="218"/>
      <c r="F83" s="219"/>
      <c r="G83" s="220"/>
      <c r="H83" s="220"/>
      <c r="I83" s="221"/>
      <c r="J83" s="216"/>
      <c r="K83" s="217"/>
      <c r="L83" s="217"/>
      <c r="M83" s="217"/>
      <c r="N83" s="217"/>
      <c r="O83" s="218"/>
      <c r="P83" s="219"/>
      <c r="Q83" s="220"/>
      <c r="R83" s="220"/>
      <c r="S83" s="221"/>
    </row>
    <row r="84" spans="1:19" ht="18" customHeight="1" x14ac:dyDescent="0.15">
      <c r="A84" s="119"/>
      <c r="B84" s="216"/>
      <c r="C84" s="217"/>
      <c r="D84" s="217"/>
      <c r="E84" s="218"/>
      <c r="F84" s="219"/>
      <c r="G84" s="220"/>
      <c r="H84" s="220"/>
      <c r="I84" s="221"/>
      <c r="J84" s="216"/>
      <c r="K84" s="217"/>
      <c r="L84" s="217"/>
      <c r="M84" s="217"/>
      <c r="N84" s="217"/>
      <c r="O84" s="218"/>
      <c r="P84" s="219"/>
      <c r="Q84" s="220"/>
      <c r="R84" s="220"/>
      <c r="S84" s="221"/>
    </row>
    <row r="85" spans="1:19" ht="18" customHeight="1" x14ac:dyDescent="0.15">
      <c r="A85" s="119"/>
      <c r="B85" s="222"/>
      <c r="C85" s="223"/>
      <c r="D85" s="223"/>
      <c r="E85" s="224"/>
      <c r="F85" s="225"/>
      <c r="G85" s="226"/>
      <c r="H85" s="226"/>
      <c r="I85" s="227"/>
      <c r="J85" s="222"/>
      <c r="K85" s="223"/>
      <c r="L85" s="223"/>
      <c r="M85" s="223"/>
      <c r="N85" s="223"/>
      <c r="O85" s="224"/>
      <c r="P85" s="225"/>
      <c r="Q85" s="226"/>
      <c r="R85" s="226"/>
      <c r="S85" s="227"/>
    </row>
    <row r="86" spans="1:19" ht="18" customHeight="1" x14ac:dyDescent="0.15">
      <c r="A86" s="119"/>
      <c r="B86" s="68"/>
      <c r="C86" s="68"/>
      <c r="D86" s="68"/>
      <c r="E86" s="68"/>
      <c r="F86" s="81"/>
      <c r="G86" s="81"/>
      <c r="H86" s="81"/>
      <c r="I86" s="81"/>
      <c r="J86" s="68"/>
      <c r="K86" s="68"/>
      <c r="L86" s="68"/>
      <c r="M86" s="68"/>
      <c r="N86" s="68"/>
      <c r="O86" s="68"/>
      <c r="P86" s="81"/>
      <c r="Q86" s="81"/>
      <c r="R86" s="81"/>
      <c r="S86" s="81"/>
    </row>
    <row r="87" spans="1:19" ht="18.75" customHeight="1" x14ac:dyDescent="0.15">
      <c r="A87" s="64" t="s">
        <v>44</v>
      </c>
    </row>
    <row r="88" spans="1:19" ht="18.75" customHeight="1" x14ac:dyDescent="0.15">
      <c r="B88" s="212" t="s">
        <v>45</v>
      </c>
      <c r="C88" s="213"/>
      <c r="D88" s="214" t="s">
        <v>46</v>
      </c>
      <c r="E88" s="214"/>
      <c r="F88" s="214"/>
      <c r="G88" s="214"/>
      <c r="H88" s="214"/>
      <c r="I88" s="214"/>
      <c r="J88" s="214"/>
      <c r="K88" s="214"/>
      <c r="L88" s="214"/>
      <c r="M88" s="214"/>
      <c r="N88" s="214"/>
      <c r="O88" s="214"/>
      <c r="P88" s="214"/>
      <c r="Q88" s="214"/>
      <c r="R88" s="214"/>
      <c r="S88" s="215"/>
    </row>
    <row r="89" spans="1:19" ht="97.5" customHeight="1" x14ac:dyDescent="0.15">
      <c r="B89" s="203" t="s">
        <v>47</v>
      </c>
      <c r="C89" s="82" t="s">
        <v>22</v>
      </c>
      <c r="D89" s="150" t="s">
        <v>191</v>
      </c>
      <c r="E89" s="196"/>
      <c r="F89" s="196"/>
      <c r="G89" s="196"/>
      <c r="H89" s="196"/>
      <c r="I89" s="196"/>
      <c r="J89" s="196"/>
      <c r="K89" s="196"/>
      <c r="L89" s="196"/>
      <c r="M89" s="196"/>
      <c r="N89" s="196"/>
      <c r="O89" s="196"/>
      <c r="P89" s="196"/>
      <c r="Q89" s="196"/>
      <c r="R89" s="196"/>
      <c r="S89" s="197"/>
    </row>
    <row r="90" spans="1:19" ht="97.5" customHeight="1" x14ac:dyDescent="0.15">
      <c r="B90" s="204"/>
      <c r="C90" s="83" t="s">
        <v>48</v>
      </c>
      <c r="D90" s="170" t="s">
        <v>192</v>
      </c>
      <c r="E90" s="171"/>
      <c r="F90" s="171"/>
      <c r="G90" s="171"/>
      <c r="H90" s="171"/>
      <c r="I90" s="171"/>
      <c r="J90" s="171"/>
      <c r="K90" s="171"/>
      <c r="L90" s="171"/>
      <c r="M90" s="171"/>
      <c r="N90" s="171"/>
      <c r="O90" s="171"/>
      <c r="P90" s="171"/>
      <c r="Q90" s="171"/>
      <c r="R90" s="171"/>
      <c r="S90" s="172"/>
    </row>
    <row r="91" spans="1:19" ht="97.5" customHeight="1" x14ac:dyDescent="0.15">
      <c r="B91" s="203" t="s">
        <v>49</v>
      </c>
      <c r="C91" s="84" t="s">
        <v>29</v>
      </c>
      <c r="D91" s="173" t="s">
        <v>193</v>
      </c>
      <c r="E91" s="174"/>
      <c r="F91" s="174"/>
      <c r="G91" s="174"/>
      <c r="H91" s="174"/>
      <c r="I91" s="174"/>
      <c r="J91" s="174"/>
      <c r="K91" s="174"/>
      <c r="L91" s="174"/>
      <c r="M91" s="174"/>
      <c r="N91" s="174"/>
      <c r="O91" s="174"/>
      <c r="P91" s="174"/>
      <c r="Q91" s="174"/>
      <c r="R91" s="174"/>
      <c r="S91" s="175"/>
    </row>
    <row r="92" spans="1:19" ht="97.5" customHeight="1" x14ac:dyDescent="0.15">
      <c r="B92" s="205"/>
      <c r="C92" s="85" t="s">
        <v>30</v>
      </c>
      <c r="D92" s="178" t="s">
        <v>194</v>
      </c>
      <c r="E92" s="179"/>
      <c r="F92" s="179"/>
      <c r="G92" s="179"/>
      <c r="H92" s="179"/>
      <c r="I92" s="179"/>
      <c r="J92" s="179"/>
      <c r="K92" s="179"/>
      <c r="L92" s="179"/>
      <c r="M92" s="179"/>
      <c r="N92" s="179"/>
      <c r="O92" s="179"/>
      <c r="P92" s="179"/>
      <c r="Q92" s="179"/>
      <c r="R92" s="179"/>
      <c r="S92" s="180"/>
    </row>
    <row r="93" spans="1:19" ht="97.5" customHeight="1" x14ac:dyDescent="0.15">
      <c r="B93" s="203" t="s">
        <v>50</v>
      </c>
      <c r="C93" s="84" t="s">
        <v>33</v>
      </c>
      <c r="D93" s="173" t="s">
        <v>195</v>
      </c>
      <c r="E93" s="174"/>
      <c r="F93" s="174"/>
      <c r="G93" s="174"/>
      <c r="H93" s="174"/>
      <c r="I93" s="174"/>
      <c r="J93" s="174"/>
      <c r="K93" s="174"/>
      <c r="L93" s="174"/>
      <c r="M93" s="174"/>
      <c r="N93" s="174"/>
      <c r="O93" s="174"/>
      <c r="P93" s="174"/>
      <c r="Q93" s="174"/>
      <c r="R93" s="174"/>
      <c r="S93" s="175"/>
    </row>
    <row r="94" spans="1:19" ht="97.5" customHeight="1" x14ac:dyDescent="0.15">
      <c r="B94" s="205"/>
      <c r="C94" s="86" t="s">
        <v>34</v>
      </c>
      <c r="D94" s="156" t="s">
        <v>196</v>
      </c>
      <c r="E94" s="176"/>
      <c r="F94" s="176"/>
      <c r="G94" s="176"/>
      <c r="H94" s="176"/>
      <c r="I94" s="176"/>
      <c r="J94" s="176"/>
      <c r="K94" s="176"/>
      <c r="L94" s="176"/>
      <c r="M94" s="176"/>
      <c r="N94" s="176"/>
      <c r="O94" s="176"/>
      <c r="P94" s="176"/>
      <c r="Q94" s="176"/>
      <c r="R94" s="176"/>
      <c r="S94" s="177"/>
    </row>
    <row r="95" spans="1:19" ht="97.5" customHeight="1" x14ac:dyDescent="0.15">
      <c r="B95" s="203" t="s">
        <v>51</v>
      </c>
      <c r="C95" s="82" t="s">
        <v>36</v>
      </c>
      <c r="D95" s="150" t="s">
        <v>197</v>
      </c>
      <c r="E95" s="196"/>
      <c r="F95" s="196"/>
      <c r="G95" s="196"/>
      <c r="H95" s="196"/>
      <c r="I95" s="196"/>
      <c r="J95" s="196"/>
      <c r="K95" s="196"/>
      <c r="L95" s="196"/>
      <c r="M95" s="196"/>
      <c r="N95" s="196"/>
      <c r="O95" s="196"/>
      <c r="P95" s="196"/>
      <c r="Q95" s="196"/>
      <c r="R95" s="196"/>
      <c r="S95" s="197"/>
    </row>
    <row r="96" spans="1:19" ht="97.5" customHeight="1" x14ac:dyDescent="0.15">
      <c r="B96" s="205"/>
      <c r="C96" s="85" t="s">
        <v>37</v>
      </c>
      <c r="D96" s="178" t="s">
        <v>198</v>
      </c>
      <c r="E96" s="179"/>
      <c r="F96" s="179"/>
      <c r="G96" s="179"/>
      <c r="H96" s="179"/>
      <c r="I96" s="179"/>
      <c r="J96" s="179"/>
      <c r="K96" s="179"/>
      <c r="L96" s="179"/>
      <c r="M96" s="179"/>
      <c r="N96" s="179"/>
      <c r="O96" s="179"/>
      <c r="P96" s="179"/>
      <c r="Q96" s="179"/>
      <c r="R96" s="179"/>
      <c r="S96" s="180"/>
    </row>
    <row r="97" spans="1:26" ht="97.5" customHeight="1" x14ac:dyDescent="0.15">
      <c r="B97" s="203" t="s">
        <v>52</v>
      </c>
      <c r="C97" s="84" t="s">
        <v>53</v>
      </c>
      <c r="D97" s="206" t="s">
        <v>199</v>
      </c>
      <c r="E97" s="207"/>
      <c r="F97" s="207"/>
      <c r="G97" s="207"/>
      <c r="H97" s="207"/>
      <c r="I97" s="207"/>
      <c r="J97" s="207"/>
      <c r="K97" s="207"/>
      <c r="L97" s="207"/>
      <c r="M97" s="207"/>
      <c r="N97" s="207"/>
      <c r="O97" s="207"/>
      <c r="P97" s="207"/>
      <c r="Q97" s="207"/>
      <c r="R97" s="207"/>
      <c r="S97" s="208"/>
      <c r="T97" s="87"/>
      <c r="U97" s="88"/>
      <c r="V97" s="88"/>
      <c r="W97" s="88"/>
      <c r="X97" s="88"/>
      <c r="Y97" s="88"/>
      <c r="Z97" s="88"/>
    </row>
    <row r="98" spans="1:26" ht="97.5" customHeight="1" x14ac:dyDescent="0.15">
      <c r="B98" s="204"/>
      <c r="C98" s="89" t="s">
        <v>40</v>
      </c>
      <c r="D98" s="206" t="s">
        <v>200</v>
      </c>
      <c r="E98" s="207"/>
      <c r="F98" s="207"/>
      <c r="G98" s="207"/>
      <c r="H98" s="207"/>
      <c r="I98" s="207"/>
      <c r="J98" s="207"/>
      <c r="K98" s="207"/>
      <c r="L98" s="207"/>
      <c r="M98" s="207"/>
      <c r="N98" s="207"/>
      <c r="O98" s="207"/>
      <c r="P98" s="207"/>
      <c r="Q98" s="207"/>
      <c r="R98" s="207"/>
      <c r="S98" s="208"/>
      <c r="T98" s="87"/>
      <c r="U98" s="88"/>
      <c r="V98" s="88"/>
      <c r="W98" s="88"/>
      <c r="X98" s="88"/>
      <c r="Y98" s="88"/>
      <c r="Z98" s="88"/>
    </row>
    <row r="99" spans="1:26" ht="97.5" customHeight="1" x14ac:dyDescent="0.15">
      <c r="B99" s="205"/>
      <c r="C99" s="86" t="s">
        <v>41</v>
      </c>
      <c r="D99" s="206" t="s">
        <v>201</v>
      </c>
      <c r="E99" s="207"/>
      <c r="F99" s="207"/>
      <c r="G99" s="207"/>
      <c r="H99" s="207"/>
      <c r="I99" s="207"/>
      <c r="J99" s="207"/>
      <c r="K99" s="207"/>
      <c r="L99" s="207"/>
      <c r="M99" s="207"/>
      <c r="N99" s="207"/>
      <c r="O99" s="207"/>
      <c r="P99" s="207"/>
      <c r="Q99" s="207"/>
      <c r="R99" s="207"/>
      <c r="S99" s="208"/>
      <c r="T99" s="87"/>
      <c r="U99" s="88"/>
      <c r="V99" s="88"/>
      <c r="W99" s="88"/>
      <c r="X99" s="88"/>
      <c r="Y99" s="88"/>
      <c r="Z99" s="88"/>
    </row>
    <row r="100" spans="1:26" ht="6" customHeight="1" x14ac:dyDescent="0.15"/>
    <row r="101" spans="1:26" ht="18.75" customHeight="1" x14ac:dyDescent="0.15">
      <c r="A101" s="64" t="s">
        <v>54</v>
      </c>
    </row>
    <row r="102" spans="1:26" ht="81.75" customHeight="1" x14ac:dyDescent="0.15">
      <c r="B102" s="209" t="s">
        <v>62</v>
      </c>
      <c r="C102" s="210"/>
      <c r="D102" s="210"/>
      <c r="E102" s="210"/>
      <c r="F102" s="210"/>
      <c r="G102" s="210"/>
      <c r="H102" s="210"/>
      <c r="I102" s="210"/>
      <c r="J102" s="210"/>
      <c r="K102" s="210"/>
      <c r="L102" s="210"/>
      <c r="M102" s="210"/>
      <c r="N102" s="210"/>
      <c r="O102" s="210"/>
      <c r="P102" s="210"/>
      <c r="Q102" s="210"/>
      <c r="R102" s="210"/>
      <c r="S102" s="211"/>
    </row>
    <row r="110" spans="1:26" ht="18" customHeight="1" x14ac:dyDescent="0.15"/>
  </sheetData>
  <customSheetViews>
    <customSheetView guid="{EF565584-6FC7-43D6-8DE5-80F819FA140A}" showPageBreaks="1" printArea="1" hiddenColumns="1" view="pageBreakPreview" topLeftCell="A4">
      <selection activeCell="H24" sqref="H24"/>
      <rowBreaks count="2" manualBreakCount="2">
        <brk id="65" max="18" man="1"/>
        <brk id="94" max="18" man="1"/>
      </rowBreaks>
      <colBreaks count="1" manualBreakCount="1">
        <brk id="19" max="1048575" man="1"/>
      </colBreaks>
      <pageMargins left="0.7" right="0.7" top="0.75" bottom="0.75" header="0.3" footer="0.3"/>
      <pageSetup paperSize="9" scale="72" orientation="portrait" horizontalDpi="1200" verticalDpi="1200" r:id="rId1"/>
    </customSheetView>
  </customSheetViews>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K20:S20" xr:uid="{00000000-0002-0000-0100-000000000000}">
      <formula1>$V$14:$V$16</formula1>
    </dataValidation>
    <dataValidation type="list" allowBlank="1" showInputMessage="1" showErrorMessage="1" sqref="F79:F86 P79:P86 G79:I80 G83:I86 Q83:S86 Q79:S80" xr:uid="{00000000-0002-0000-01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00000000-0002-0000-0100-000002000000}">
      <formula1>"学部・学科によって、修了要件は相違する,学部・学科によって、修了要件は相違しない"</formula1>
    </dataValidation>
    <dataValidation type="list" allowBlank="1" showInputMessage="1" showErrorMessage="1" sqref="S32 S43 D32:G32 D43:G43" xr:uid="{00000000-0002-0000-0100-000003000000}">
      <formula1>"全学開講,一部開講"</formula1>
    </dataValidation>
    <dataValidation type="list" allowBlank="1" showInputMessage="1" showErrorMessage="1" sqref="G25:I31 Q25:S31 G36:I42 Q36:S42 G47:I53 Q47:S53 G58:I64 Q58:S64 P69:S75 F69:I75" xr:uid="{00000000-0002-0000-0100-000004000000}">
      <formula1>"○"</formula1>
    </dataValidation>
  </dataValidations>
  <pageMargins left="0.7" right="0.7" top="0.75" bottom="0.75" header="0.3" footer="0.3"/>
  <pageSetup paperSize="9" scale="68" orientation="portrait" horizontalDpi="1200" verticalDpi="1200" r:id="rId2"/>
  <rowBreaks count="2" manualBreakCount="2">
    <brk id="65" max="18" man="1"/>
    <brk id="96" max="18" man="1"/>
  </rowBreaks>
  <colBreaks count="1" manualBreakCount="1">
    <brk id="19"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10"/>
  <sheetViews>
    <sheetView view="pageBreakPreview" zoomScaleNormal="100" zoomScaleSheetLayoutView="100" workbookViewId="0">
      <selection activeCell="G20" sqref="G20"/>
    </sheetView>
  </sheetViews>
  <sheetFormatPr defaultColWidth="9" defaultRowHeight="14.25" x14ac:dyDescent="0.15"/>
  <cols>
    <col min="1" max="1" width="2.5" style="64" customWidth="1"/>
    <col min="2" max="2" width="16.5" style="64" customWidth="1"/>
    <col min="3" max="19" width="5.625" style="64" customWidth="1"/>
    <col min="20" max="20" width="9" style="64"/>
    <col min="21" max="21" width="3.625" style="64" customWidth="1"/>
    <col min="22" max="22" width="48.625" style="64" hidden="1" customWidth="1"/>
    <col min="23" max="16384" width="9" style="64"/>
  </cols>
  <sheetData>
    <row r="1" spans="1:22" ht="18.600000000000001" customHeight="1" x14ac:dyDescent="0.15">
      <c r="R1" s="141" t="s">
        <v>176</v>
      </c>
      <c r="S1" s="141"/>
      <c r="T1" s="65" t="s">
        <v>0</v>
      </c>
    </row>
    <row r="2" spans="1:22" ht="18.75" customHeight="1" x14ac:dyDescent="0.15">
      <c r="B2" s="66" t="s">
        <v>1</v>
      </c>
      <c r="C2" s="228" t="s">
        <v>2</v>
      </c>
      <c r="D2" s="214"/>
      <c r="E2" s="214"/>
      <c r="F2" s="214"/>
      <c r="G2" s="214"/>
      <c r="H2" s="214"/>
      <c r="I2" s="215"/>
      <c r="J2" s="67"/>
      <c r="K2" s="68"/>
      <c r="L2" s="68"/>
      <c r="M2" s="68"/>
      <c r="N2" s="68"/>
      <c r="O2" s="68"/>
      <c r="P2" s="68"/>
      <c r="Q2" s="68"/>
      <c r="R2" s="68"/>
      <c r="S2" s="68"/>
    </row>
    <row r="3" spans="1:22" ht="18.75" customHeight="1" x14ac:dyDescent="0.15">
      <c r="B3" s="66" t="s">
        <v>3</v>
      </c>
      <c r="C3" s="243" t="s">
        <v>4</v>
      </c>
      <c r="D3" s="244"/>
      <c r="E3" s="244"/>
      <c r="F3" s="244"/>
      <c r="G3" s="244"/>
      <c r="H3" s="244"/>
      <c r="I3" s="245"/>
      <c r="J3" s="67"/>
      <c r="K3" s="68"/>
      <c r="L3" s="68"/>
      <c r="M3" s="68"/>
      <c r="N3" s="68"/>
      <c r="O3" s="68"/>
      <c r="P3" s="68"/>
      <c r="Q3" s="68"/>
      <c r="R3" s="68"/>
      <c r="S3" s="68"/>
    </row>
    <row r="4" spans="1:22" ht="15" customHeight="1" x14ac:dyDescent="0.15">
      <c r="K4" s="67"/>
      <c r="L4" s="69"/>
      <c r="M4" s="69"/>
      <c r="N4" s="69"/>
      <c r="O4" s="69"/>
      <c r="P4" s="69"/>
      <c r="Q4" s="69"/>
      <c r="R4" s="69"/>
      <c r="S4" s="69"/>
    </row>
    <row r="5" spans="1:22" ht="18" customHeight="1" x14ac:dyDescent="0.15">
      <c r="A5" s="246" t="s">
        <v>5</v>
      </c>
      <c r="B5" s="246"/>
      <c r="C5" s="246"/>
      <c r="D5" s="246"/>
      <c r="E5" s="246"/>
      <c r="F5" s="246"/>
      <c r="G5" s="246"/>
      <c r="H5" s="246"/>
      <c r="I5" s="246"/>
      <c r="J5" s="246"/>
      <c r="K5" s="246"/>
      <c r="L5" s="246"/>
      <c r="M5" s="246"/>
      <c r="N5" s="246"/>
      <c r="O5" s="246"/>
      <c r="P5" s="246"/>
      <c r="Q5" s="246"/>
      <c r="R5" s="246"/>
      <c r="S5" s="246"/>
    </row>
    <row r="6" spans="1:22" ht="15" customHeight="1" x14ac:dyDescent="0.15">
      <c r="B6" s="70"/>
      <c r="C6" s="70"/>
      <c r="D6" s="70"/>
      <c r="E6" s="70"/>
      <c r="F6" s="70"/>
      <c r="G6" s="70"/>
      <c r="H6" s="70"/>
      <c r="I6" s="70"/>
      <c r="J6" s="70"/>
      <c r="K6" s="70"/>
      <c r="L6" s="70"/>
      <c r="M6" s="70"/>
      <c r="N6" s="70"/>
      <c r="O6" s="70"/>
      <c r="P6" s="70"/>
      <c r="Q6" s="70"/>
      <c r="R6" s="70"/>
      <c r="S6" s="70"/>
    </row>
    <row r="7" spans="1:22" ht="18" customHeight="1" x14ac:dyDescent="0.15">
      <c r="A7" s="64" t="s">
        <v>6</v>
      </c>
      <c r="C7" s="70"/>
      <c r="J7" s="71" t="s">
        <v>7</v>
      </c>
      <c r="K7" s="247" t="s">
        <v>8</v>
      </c>
      <c r="L7" s="248"/>
      <c r="M7" s="248"/>
      <c r="N7" s="248"/>
      <c r="O7" s="248"/>
      <c r="P7" s="248"/>
      <c r="Q7" s="248"/>
      <c r="R7" s="248"/>
      <c r="S7" s="249"/>
    </row>
    <row r="8" spans="1:22" ht="6" customHeight="1" x14ac:dyDescent="0.15">
      <c r="B8" s="70"/>
      <c r="C8" s="70"/>
      <c r="D8" s="70"/>
      <c r="E8" s="70"/>
      <c r="F8" s="70"/>
      <c r="G8" s="70"/>
      <c r="H8" s="70"/>
      <c r="I8" s="70"/>
      <c r="J8" s="70"/>
      <c r="K8" s="72"/>
      <c r="L8" s="70"/>
      <c r="M8" s="70"/>
      <c r="N8" s="70"/>
      <c r="O8" s="70"/>
      <c r="P8" s="70"/>
      <c r="Q8" s="70"/>
      <c r="R8" s="70"/>
      <c r="S8" s="70"/>
    </row>
    <row r="9" spans="1:22" ht="18" customHeight="1" x14ac:dyDescent="0.15">
      <c r="B9" s="250" t="s">
        <v>63</v>
      </c>
      <c r="C9" s="251"/>
      <c r="D9" s="251"/>
      <c r="E9" s="251"/>
      <c r="F9" s="251"/>
      <c r="G9" s="251"/>
      <c r="H9" s="251"/>
      <c r="I9" s="251"/>
      <c r="J9" s="251"/>
      <c r="K9" s="251"/>
      <c r="L9" s="251"/>
      <c r="M9" s="251"/>
      <c r="N9" s="251"/>
      <c r="O9" s="251"/>
      <c r="P9" s="251"/>
      <c r="Q9" s="251"/>
      <c r="R9" s="251"/>
      <c r="S9" s="252"/>
    </row>
    <row r="10" spans="1:22" ht="18" customHeight="1" x14ac:dyDescent="0.15">
      <c r="B10" s="253"/>
      <c r="C10" s="254"/>
      <c r="D10" s="254"/>
      <c r="E10" s="254"/>
      <c r="F10" s="254"/>
      <c r="G10" s="254"/>
      <c r="H10" s="254"/>
      <c r="I10" s="254"/>
      <c r="J10" s="254"/>
      <c r="K10" s="254"/>
      <c r="L10" s="254"/>
      <c r="M10" s="254"/>
      <c r="N10" s="254"/>
      <c r="O10" s="254"/>
      <c r="P10" s="254"/>
      <c r="Q10" s="254"/>
      <c r="R10" s="254"/>
      <c r="S10" s="255"/>
    </row>
    <row r="11" spans="1:22" ht="6" customHeight="1" x14ac:dyDescent="0.15">
      <c r="B11" s="70"/>
      <c r="C11" s="70"/>
      <c r="D11" s="70"/>
      <c r="E11" s="70"/>
      <c r="F11" s="70"/>
      <c r="G11" s="70"/>
      <c r="H11" s="70"/>
      <c r="I11" s="70"/>
      <c r="J11" s="70"/>
      <c r="K11" s="72"/>
      <c r="L11" s="70"/>
      <c r="M11" s="70"/>
      <c r="N11" s="70"/>
      <c r="O11" s="70"/>
      <c r="P11" s="70"/>
      <c r="Q11" s="70"/>
      <c r="R11" s="70"/>
      <c r="S11" s="70"/>
    </row>
    <row r="12" spans="1:22" ht="18" customHeight="1" x14ac:dyDescent="0.15">
      <c r="A12" s="64" t="s">
        <v>10</v>
      </c>
      <c r="B12" s="70"/>
      <c r="C12" s="70"/>
      <c r="D12" s="67"/>
      <c r="E12" s="67"/>
      <c r="F12" s="67"/>
      <c r="G12" s="67"/>
      <c r="H12" s="67"/>
      <c r="I12" s="67"/>
      <c r="J12" s="67"/>
      <c r="K12" s="73"/>
      <c r="L12" s="73"/>
      <c r="M12" s="73"/>
      <c r="N12" s="73"/>
      <c r="O12" s="73"/>
      <c r="P12" s="73"/>
      <c r="Q12" s="73"/>
      <c r="R12" s="73"/>
      <c r="S12" s="73"/>
    </row>
    <row r="13" spans="1:22" ht="18" customHeight="1" x14ac:dyDescent="0.15">
      <c r="B13" s="239" t="s">
        <v>202</v>
      </c>
      <c r="C13" s="150"/>
      <c r="D13" s="150"/>
      <c r="E13" s="150"/>
      <c r="F13" s="150"/>
      <c r="G13" s="150"/>
      <c r="H13" s="150"/>
      <c r="I13" s="150"/>
      <c r="J13" s="150"/>
      <c r="K13" s="150"/>
      <c r="L13" s="150"/>
      <c r="M13" s="150"/>
      <c r="N13" s="150"/>
      <c r="O13" s="150"/>
      <c r="P13" s="150"/>
      <c r="Q13" s="150"/>
      <c r="R13" s="150"/>
      <c r="S13" s="151"/>
      <c r="V13" s="64" t="s">
        <v>11</v>
      </c>
    </row>
    <row r="14" spans="1:22" ht="18" customHeight="1" x14ac:dyDescent="0.15">
      <c r="B14" s="152"/>
      <c r="C14" s="153"/>
      <c r="D14" s="153"/>
      <c r="E14" s="153"/>
      <c r="F14" s="153"/>
      <c r="G14" s="153"/>
      <c r="H14" s="153"/>
      <c r="I14" s="153"/>
      <c r="J14" s="153"/>
      <c r="K14" s="153"/>
      <c r="L14" s="153"/>
      <c r="M14" s="153"/>
      <c r="N14" s="153"/>
      <c r="O14" s="153"/>
      <c r="P14" s="153"/>
      <c r="Q14" s="153"/>
      <c r="R14" s="153"/>
      <c r="S14" s="154"/>
      <c r="V14" s="64" t="s">
        <v>12</v>
      </c>
    </row>
    <row r="15" spans="1:22" ht="18" customHeight="1" x14ac:dyDescent="0.15">
      <c r="B15" s="152"/>
      <c r="C15" s="153"/>
      <c r="D15" s="153"/>
      <c r="E15" s="153"/>
      <c r="F15" s="153"/>
      <c r="G15" s="153"/>
      <c r="H15" s="153"/>
      <c r="I15" s="153"/>
      <c r="J15" s="153"/>
      <c r="K15" s="153"/>
      <c r="L15" s="153"/>
      <c r="M15" s="153"/>
      <c r="N15" s="153"/>
      <c r="O15" s="153"/>
      <c r="P15" s="153"/>
      <c r="Q15" s="153"/>
      <c r="R15" s="153"/>
      <c r="S15" s="154"/>
      <c r="V15" s="64" t="s">
        <v>13</v>
      </c>
    </row>
    <row r="16" spans="1:22" ht="18" customHeight="1" x14ac:dyDescent="0.15">
      <c r="B16" s="152"/>
      <c r="C16" s="153"/>
      <c r="D16" s="153"/>
      <c r="E16" s="153"/>
      <c r="F16" s="153"/>
      <c r="G16" s="153"/>
      <c r="H16" s="153"/>
      <c r="I16" s="153"/>
      <c r="J16" s="153"/>
      <c r="K16" s="153"/>
      <c r="L16" s="153"/>
      <c r="M16" s="153"/>
      <c r="N16" s="153"/>
      <c r="O16" s="153"/>
      <c r="P16" s="153"/>
      <c r="Q16" s="153"/>
      <c r="R16" s="153"/>
      <c r="S16" s="154"/>
      <c r="V16" s="64" t="s">
        <v>14</v>
      </c>
    </row>
    <row r="17" spans="1:19" ht="18" customHeight="1" x14ac:dyDescent="0.15">
      <c r="B17" s="152"/>
      <c r="C17" s="153"/>
      <c r="D17" s="153"/>
      <c r="E17" s="153"/>
      <c r="F17" s="153"/>
      <c r="G17" s="153"/>
      <c r="H17" s="153"/>
      <c r="I17" s="153"/>
      <c r="J17" s="153"/>
      <c r="K17" s="153"/>
      <c r="L17" s="153"/>
      <c r="M17" s="153"/>
      <c r="N17" s="153"/>
      <c r="O17" s="153"/>
      <c r="P17" s="153"/>
      <c r="Q17" s="153"/>
      <c r="R17" s="153"/>
      <c r="S17" s="154"/>
    </row>
    <row r="18" spans="1:19" ht="18" customHeight="1" x14ac:dyDescent="0.15">
      <c r="B18" s="155"/>
      <c r="C18" s="156"/>
      <c r="D18" s="156"/>
      <c r="E18" s="156"/>
      <c r="F18" s="156"/>
      <c r="G18" s="156"/>
      <c r="H18" s="156"/>
      <c r="I18" s="156"/>
      <c r="J18" s="156"/>
      <c r="K18" s="156"/>
      <c r="L18" s="156"/>
      <c r="M18" s="156"/>
      <c r="N18" s="156"/>
      <c r="O18" s="156"/>
      <c r="P18" s="156"/>
      <c r="Q18" s="156"/>
      <c r="R18" s="156"/>
      <c r="S18" s="157"/>
    </row>
    <row r="19" spans="1:19" ht="7.5" customHeight="1" x14ac:dyDescent="0.15">
      <c r="B19" s="70"/>
      <c r="C19" s="70"/>
      <c r="D19" s="70"/>
      <c r="E19" s="70"/>
      <c r="F19" s="70"/>
      <c r="G19" s="70"/>
      <c r="H19" s="70"/>
      <c r="I19" s="70"/>
      <c r="J19" s="70"/>
      <c r="K19" s="70"/>
      <c r="L19" s="70"/>
      <c r="M19" s="70"/>
      <c r="N19" s="70"/>
      <c r="O19" s="70"/>
      <c r="P19" s="70"/>
      <c r="Q19" s="70"/>
      <c r="R19" s="70"/>
      <c r="S19" s="70"/>
    </row>
    <row r="20" spans="1:19" ht="19.899999999999999" customHeight="1" x14ac:dyDescent="0.15">
      <c r="B20" s="64" t="s">
        <v>15</v>
      </c>
      <c r="C20" s="228">
        <v>7</v>
      </c>
      <c r="D20" s="215"/>
      <c r="E20" s="74" t="s">
        <v>16</v>
      </c>
      <c r="G20" s="72"/>
      <c r="H20" s="70"/>
      <c r="I20" s="70"/>
      <c r="J20" s="67" t="s">
        <v>17</v>
      </c>
      <c r="K20" s="240" t="s">
        <v>12</v>
      </c>
      <c r="L20" s="241"/>
      <c r="M20" s="241"/>
      <c r="N20" s="241"/>
      <c r="O20" s="241"/>
      <c r="P20" s="241"/>
      <c r="Q20" s="241"/>
      <c r="R20" s="241"/>
      <c r="S20" s="242"/>
    </row>
    <row r="21" spans="1:19" ht="7.5" customHeight="1" x14ac:dyDescent="0.15">
      <c r="B21" s="70"/>
      <c r="C21" s="70"/>
      <c r="D21" s="70"/>
      <c r="E21" s="70"/>
      <c r="F21" s="70"/>
      <c r="G21" s="70"/>
      <c r="H21" s="70"/>
      <c r="I21" s="70"/>
      <c r="J21" s="70"/>
      <c r="K21" s="70"/>
      <c r="L21" s="70"/>
      <c r="M21" s="70"/>
      <c r="N21" s="70"/>
      <c r="O21" s="70"/>
      <c r="P21" s="70"/>
      <c r="Q21" s="70"/>
      <c r="R21" s="70"/>
      <c r="S21" s="70"/>
    </row>
    <row r="22" spans="1:19" ht="18" customHeight="1" x14ac:dyDescent="0.15">
      <c r="A22" s="238" t="s">
        <v>18</v>
      </c>
      <c r="B22" s="238"/>
      <c r="C22" s="238"/>
      <c r="D22" s="238"/>
      <c r="E22" s="238"/>
      <c r="F22" s="238"/>
      <c r="G22" s="238"/>
      <c r="H22" s="238"/>
      <c r="I22" s="238"/>
      <c r="J22" s="238"/>
      <c r="K22" s="238"/>
      <c r="L22" s="238"/>
      <c r="M22" s="238"/>
      <c r="N22" s="238"/>
      <c r="O22" s="238"/>
      <c r="P22" s="238"/>
      <c r="Q22" s="238"/>
      <c r="R22" s="238"/>
      <c r="S22" s="238"/>
    </row>
    <row r="23" spans="1:19" ht="18" customHeight="1" x14ac:dyDescent="0.15">
      <c r="A23" s="238"/>
      <c r="B23" s="238"/>
      <c r="C23" s="238"/>
      <c r="D23" s="238"/>
      <c r="E23" s="238"/>
      <c r="F23" s="238"/>
      <c r="G23" s="238"/>
      <c r="H23" s="238"/>
      <c r="I23" s="238"/>
      <c r="J23" s="238"/>
      <c r="K23" s="238"/>
      <c r="L23" s="238"/>
      <c r="M23" s="238"/>
      <c r="N23" s="238"/>
      <c r="O23" s="238"/>
      <c r="P23" s="238"/>
      <c r="Q23" s="238"/>
      <c r="R23" s="238"/>
      <c r="S23" s="238"/>
    </row>
    <row r="24" spans="1:19" ht="18" customHeight="1" x14ac:dyDescent="0.15">
      <c r="B24" s="228" t="s">
        <v>19</v>
      </c>
      <c r="C24" s="214"/>
      <c r="D24" s="214"/>
      <c r="E24" s="215"/>
      <c r="F24" s="75" t="s">
        <v>20</v>
      </c>
      <c r="G24" s="76" t="s">
        <v>21</v>
      </c>
      <c r="H24" s="77" t="s">
        <v>22</v>
      </c>
      <c r="I24" s="77" t="s">
        <v>23</v>
      </c>
      <c r="J24" s="228" t="s">
        <v>19</v>
      </c>
      <c r="K24" s="214"/>
      <c r="L24" s="214"/>
      <c r="M24" s="214"/>
      <c r="N24" s="214"/>
      <c r="O24" s="215"/>
      <c r="P24" s="75" t="s">
        <v>20</v>
      </c>
      <c r="Q24" s="76" t="s">
        <v>21</v>
      </c>
      <c r="R24" s="77" t="s">
        <v>22</v>
      </c>
      <c r="S24" s="77" t="s">
        <v>23</v>
      </c>
    </row>
    <row r="25" spans="1:19" ht="18" customHeight="1" x14ac:dyDescent="0.15">
      <c r="B25" s="232" t="s">
        <v>24</v>
      </c>
      <c r="C25" s="233"/>
      <c r="D25" s="233"/>
      <c r="E25" s="234"/>
      <c r="F25" s="62">
        <v>1</v>
      </c>
      <c r="G25" s="62" t="s">
        <v>25</v>
      </c>
      <c r="H25" s="62" t="s">
        <v>25</v>
      </c>
      <c r="I25" s="62" t="s">
        <v>25</v>
      </c>
      <c r="J25" s="232"/>
      <c r="K25" s="233"/>
      <c r="L25" s="233"/>
      <c r="M25" s="233"/>
      <c r="N25" s="233"/>
      <c r="O25" s="234"/>
      <c r="P25" s="62"/>
      <c r="Q25" s="62"/>
      <c r="R25" s="62"/>
      <c r="S25" s="62"/>
    </row>
    <row r="26" spans="1:19" ht="18" customHeight="1" x14ac:dyDescent="0.15">
      <c r="B26" s="216"/>
      <c r="C26" s="217"/>
      <c r="D26" s="217"/>
      <c r="E26" s="218"/>
      <c r="F26" s="63"/>
      <c r="G26" s="63"/>
      <c r="H26" s="63"/>
      <c r="I26" s="63"/>
      <c r="J26" s="216"/>
      <c r="K26" s="217"/>
      <c r="L26" s="217"/>
      <c r="M26" s="217"/>
      <c r="N26" s="217"/>
      <c r="O26" s="218"/>
      <c r="P26" s="63"/>
      <c r="Q26" s="63"/>
      <c r="R26" s="63"/>
      <c r="S26" s="63"/>
    </row>
    <row r="27" spans="1:19" ht="18" customHeight="1" x14ac:dyDescent="0.15">
      <c r="B27" s="216"/>
      <c r="C27" s="217"/>
      <c r="D27" s="217"/>
      <c r="E27" s="218"/>
      <c r="F27" s="63"/>
      <c r="G27" s="63"/>
      <c r="H27" s="63"/>
      <c r="I27" s="63"/>
      <c r="J27" s="216"/>
      <c r="K27" s="217"/>
      <c r="L27" s="217"/>
      <c r="M27" s="217"/>
      <c r="N27" s="217"/>
      <c r="O27" s="218"/>
      <c r="P27" s="63"/>
      <c r="Q27" s="63"/>
      <c r="R27" s="63"/>
      <c r="S27" s="63"/>
    </row>
    <row r="28" spans="1:19" ht="18" customHeight="1" x14ac:dyDescent="0.15">
      <c r="B28" s="216"/>
      <c r="C28" s="217"/>
      <c r="D28" s="217"/>
      <c r="E28" s="218"/>
      <c r="F28" s="63"/>
      <c r="G28" s="63"/>
      <c r="H28" s="63"/>
      <c r="I28" s="63"/>
      <c r="J28" s="216"/>
      <c r="K28" s="217"/>
      <c r="L28" s="217"/>
      <c r="M28" s="217"/>
      <c r="N28" s="217"/>
      <c r="O28" s="218"/>
      <c r="P28" s="63"/>
      <c r="Q28" s="63"/>
      <c r="R28" s="63"/>
      <c r="S28" s="63"/>
    </row>
    <row r="29" spans="1:19" ht="18" customHeight="1" x14ac:dyDescent="0.15">
      <c r="B29" s="216"/>
      <c r="C29" s="217"/>
      <c r="D29" s="217"/>
      <c r="E29" s="218"/>
      <c r="F29" s="63"/>
      <c r="G29" s="63"/>
      <c r="H29" s="63"/>
      <c r="I29" s="63"/>
      <c r="J29" s="216"/>
      <c r="K29" s="217"/>
      <c r="L29" s="217"/>
      <c r="M29" s="217"/>
      <c r="N29" s="217"/>
      <c r="O29" s="218"/>
      <c r="P29" s="63"/>
      <c r="Q29" s="63"/>
      <c r="R29" s="63"/>
      <c r="S29" s="63"/>
    </row>
    <row r="30" spans="1:19" ht="18" customHeight="1" x14ac:dyDescent="0.15">
      <c r="A30" s="70"/>
      <c r="B30" s="216"/>
      <c r="C30" s="217"/>
      <c r="D30" s="217"/>
      <c r="E30" s="218"/>
      <c r="F30" s="63"/>
      <c r="G30" s="63"/>
      <c r="H30" s="63"/>
      <c r="I30" s="63"/>
      <c r="J30" s="216"/>
      <c r="K30" s="217"/>
      <c r="L30" s="217"/>
      <c r="M30" s="217"/>
      <c r="N30" s="217"/>
      <c r="O30" s="218"/>
      <c r="P30" s="63"/>
      <c r="Q30" s="63"/>
      <c r="R30" s="63"/>
      <c r="S30" s="63"/>
    </row>
    <row r="31" spans="1:19" ht="18" customHeight="1" x14ac:dyDescent="0.15">
      <c r="A31" s="70"/>
      <c r="B31" s="222"/>
      <c r="C31" s="223"/>
      <c r="D31" s="223"/>
      <c r="E31" s="224"/>
      <c r="F31" s="78"/>
      <c r="G31" s="78"/>
      <c r="H31" s="79"/>
      <c r="I31" s="79"/>
      <c r="J31" s="222"/>
      <c r="K31" s="223"/>
      <c r="L31" s="223"/>
      <c r="M31" s="223"/>
      <c r="N31" s="223"/>
      <c r="O31" s="224"/>
      <c r="P31" s="78"/>
      <c r="Q31" s="78"/>
      <c r="R31" s="79"/>
      <c r="S31" s="79"/>
    </row>
    <row r="32" spans="1:19" ht="7.5" customHeight="1" x14ac:dyDescent="0.15">
      <c r="A32" s="70"/>
      <c r="B32" s="68"/>
      <c r="C32" s="68"/>
      <c r="D32" s="70"/>
      <c r="E32" s="70"/>
      <c r="F32" s="70"/>
      <c r="G32" s="70"/>
      <c r="H32" s="68"/>
      <c r="I32" s="68"/>
      <c r="J32" s="68"/>
      <c r="K32" s="68"/>
      <c r="L32" s="68"/>
      <c r="M32" s="68"/>
      <c r="N32" s="68"/>
      <c r="O32" s="68"/>
      <c r="P32" s="68"/>
      <c r="Q32" s="68"/>
      <c r="R32" s="68"/>
      <c r="S32" s="70"/>
    </row>
    <row r="33" spans="1:19" ht="18" customHeight="1" x14ac:dyDescent="0.15">
      <c r="A33" s="238" t="s">
        <v>28</v>
      </c>
      <c r="B33" s="238"/>
      <c r="C33" s="238"/>
      <c r="D33" s="238"/>
      <c r="E33" s="238"/>
      <c r="F33" s="238"/>
      <c r="G33" s="238"/>
      <c r="H33" s="238"/>
      <c r="I33" s="238"/>
      <c r="J33" s="238"/>
      <c r="K33" s="238"/>
      <c r="L33" s="238"/>
      <c r="M33" s="238"/>
      <c r="N33" s="238"/>
      <c r="O33" s="238"/>
      <c r="P33" s="238"/>
      <c r="Q33" s="238"/>
      <c r="R33" s="238"/>
      <c r="S33" s="238"/>
    </row>
    <row r="34" spans="1:19" ht="18" customHeight="1" x14ac:dyDescent="0.15">
      <c r="A34" s="238"/>
      <c r="B34" s="238"/>
      <c r="C34" s="238"/>
      <c r="D34" s="238"/>
      <c r="E34" s="238"/>
      <c r="F34" s="238"/>
      <c r="G34" s="238"/>
      <c r="H34" s="238"/>
      <c r="I34" s="238"/>
      <c r="J34" s="238"/>
      <c r="K34" s="238"/>
      <c r="L34" s="238"/>
      <c r="M34" s="238"/>
      <c r="N34" s="238"/>
      <c r="O34" s="238"/>
      <c r="P34" s="238"/>
      <c r="Q34" s="238"/>
      <c r="R34" s="238"/>
      <c r="S34" s="238"/>
    </row>
    <row r="35" spans="1:19" ht="18" customHeight="1" x14ac:dyDescent="0.15">
      <c r="B35" s="228" t="s">
        <v>19</v>
      </c>
      <c r="C35" s="214"/>
      <c r="D35" s="214"/>
      <c r="E35" s="215"/>
      <c r="F35" s="75" t="s">
        <v>20</v>
      </c>
      <c r="G35" s="76" t="s">
        <v>21</v>
      </c>
      <c r="H35" s="77" t="s">
        <v>29</v>
      </c>
      <c r="I35" s="77" t="s">
        <v>30</v>
      </c>
      <c r="J35" s="228" t="s">
        <v>19</v>
      </c>
      <c r="K35" s="214"/>
      <c r="L35" s="214"/>
      <c r="M35" s="214"/>
      <c r="N35" s="214"/>
      <c r="O35" s="215"/>
      <c r="P35" s="75" t="s">
        <v>20</v>
      </c>
      <c r="Q35" s="76" t="s">
        <v>21</v>
      </c>
      <c r="R35" s="77" t="s">
        <v>29</v>
      </c>
      <c r="S35" s="77" t="s">
        <v>30</v>
      </c>
    </row>
    <row r="36" spans="1:19" ht="18" customHeight="1" x14ac:dyDescent="0.15">
      <c r="B36" s="232" t="s">
        <v>64</v>
      </c>
      <c r="C36" s="233"/>
      <c r="D36" s="233"/>
      <c r="E36" s="234"/>
      <c r="F36" s="62">
        <v>1</v>
      </c>
      <c r="G36" s="62" t="s">
        <v>25</v>
      </c>
      <c r="H36" s="62" t="s">
        <v>25</v>
      </c>
      <c r="I36" s="62" t="s">
        <v>25</v>
      </c>
      <c r="J36" s="232"/>
      <c r="K36" s="233"/>
      <c r="L36" s="233"/>
      <c r="M36" s="233"/>
      <c r="N36" s="233"/>
      <c r="O36" s="234"/>
      <c r="P36" s="62"/>
      <c r="Q36" s="62"/>
      <c r="R36" s="62"/>
      <c r="S36" s="62"/>
    </row>
    <row r="37" spans="1:19" ht="18" customHeight="1" x14ac:dyDescent="0.15">
      <c r="B37" s="216" t="s">
        <v>157</v>
      </c>
      <c r="C37" s="217"/>
      <c r="D37" s="217"/>
      <c r="E37" s="218"/>
      <c r="F37" s="63">
        <v>4</v>
      </c>
      <c r="G37" s="63" t="s">
        <v>25</v>
      </c>
      <c r="H37" s="63" t="s">
        <v>25</v>
      </c>
      <c r="I37" s="63" t="s">
        <v>25</v>
      </c>
      <c r="J37" s="216"/>
      <c r="K37" s="217"/>
      <c r="L37" s="217"/>
      <c r="M37" s="217"/>
      <c r="N37" s="217"/>
      <c r="O37" s="218"/>
      <c r="P37" s="63"/>
      <c r="Q37" s="63"/>
      <c r="R37" s="63"/>
      <c r="S37" s="63"/>
    </row>
    <row r="38" spans="1:19" ht="18" customHeight="1" x14ac:dyDescent="0.15">
      <c r="B38" s="216"/>
      <c r="C38" s="217"/>
      <c r="D38" s="217"/>
      <c r="E38" s="218"/>
      <c r="F38" s="63"/>
      <c r="G38" s="63"/>
      <c r="H38" s="63"/>
      <c r="I38" s="63"/>
      <c r="J38" s="216"/>
      <c r="K38" s="217"/>
      <c r="L38" s="217"/>
      <c r="M38" s="217"/>
      <c r="N38" s="217"/>
      <c r="O38" s="218"/>
      <c r="P38" s="63"/>
      <c r="Q38" s="63"/>
      <c r="R38" s="63"/>
      <c r="S38" s="63"/>
    </row>
    <row r="39" spans="1:19" ht="18" customHeight="1" x14ac:dyDescent="0.15">
      <c r="B39" s="216"/>
      <c r="C39" s="217"/>
      <c r="D39" s="217"/>
      <c r="E39" s="218"/>
      <c r="F39" s="63"/>
      <c r="G39" s="63"/>
      <c r="H39" s="63"/>
      <c r="I39" s="63"/>
      <c r="J39" s="216"/>
      <c r="K39" s="217"/>
      <c r="L39" s="217"/>
      <c r="M39" s="217"/>
      <c r="N39" s="217"/>
      <c r="O39" s="218"/>
      <c r="P39" s="63"/>
      <c r="Q39" s="63"/>
      <c r="R39" s="63"/>
      <c r="S39" s="63"/>
    </row>
    <row r="40" spans="1:19" ht="18" customHeight="1" x14ac:dyDescent="0.15">
      <c r="B40" s="216"/>
      <c r="C40" s="217"/>
      <c r="D40" s="217"/>
      <c r="E40" s="218"/>
      <c r="F40" s="63"/>
      <c r="G40" s="63"/>
      <c r="H40" s="63"/>
      <c r="I40" s="63"/>
      <c r="J40" s="216"/>
      <c r="K40" s="217"/>
      <c r="L40" s="217"/>
      <c r="M40" s="217"/>
      <c r="N40" s="217"/>
      <c r="O40" s="218"/>
      <c r="P40" s="63"/>
      <c r="Q40" s="63"/>
      <c r="R40" s="63"/>
      <c r="S40" s="63"/>
    </row>
    <row r="41" spans="1:19" ht="18" customHeight="1" x14ac:dyDescent="0.15">
      <c r="B41" s="216"/>
      <c r="C41" s="217"/>
      <c r="D41" s="217"/>
      <c r="E41" s="218"/>
      <c r="F41" s="63"/>
      <c r="G41" s="63"/>
      <c r="H41" s="63"/>
      <c r="I41" s="63"/>
      <c r="J41" s="216"/>
      <c r="K41" s="217"/>
      <c r="L41" s="217"/>
      <c r="M41" s="217"/>
      <c r="N41" s="217"/>
      <c r="O41" s="218"/>
      <c r="P41" s="63"/>
      <c r="Q41" s="63"/>
      <c r="R41" s="63"/>
      <c r="S41" s="63"/>
    </row>
    <row r="42" spans="1:19" ht="18" customHeight="1" x14ac:dyDescent="0.15">
      <c r="B42" s="222"/>
      <c r="C42" s="223"/>
      <c r="D42" s="223"/>
      <c r="E42" s="224"/>
      <c r="F42" s="78"/>
      <c r="G42" s="78"/>
      <c r="H42" s="79"/>
      <c r="I42" s="79"/>
      <c r="J42" s="222"/>
      <c r="K42" s="223"/>
      <c r="L42" s="223"/>
      <c r="M42" s="223"/>
      <c r="N42" s="223"/>
      <c r="O42" s="224"/>
      <c r="P42" s="78"/>
      <c r="Q42" s="78"/>
      <c r="R42" s="79"/>
      <c r="S42" s="79"/>
    </row>
    <row r="43" spans="1:19" ht="7.5" customHeight="1" x14ac:dyDescent="0.15">
      <c r="A43" s="70"/>
      <c r="B43" s="68"/>
      <c r="C43" s="68"/>
      <c r="D43" s="70"/>
      <c r="E43" s="70"/>
      <c r="F43" s="70"/>
      <c r="G43" s="70"/>
      <c r="H43" s="68"/>
      <c r="I43" s="68"/>
      <c r="J43" s="68"/>
      <c r="K43" s="68"/>
      <c r="L43" s="68"/>
      <c r="M43" s="68"/>
      <c r="N43" s="68"/>
      <c r="O43" s="68"/>
      <c r="P43" s="68"/>
      <c r="Q43" s="68"/>
      <c r="R43" s="68"/>
      <c r="S43" s="70"/>
    </row>
    <row r="44" spans="1:19" ht="18" customHeight="1" x14ac:dyDescent="0.15">
      <c r="A44" s="238" t="s">
        <v>32</v>
      </c>
      <c r="B44" s="238"/>
      <c r="C44" s="238"/>
      <c r="D44" s="238"/>
      <c r="E44" s="238"/>
      <c r="F44" s="238"/>
      <c r="G44" s="238"/>
      <c r="H44" s="238"/>
      <c r="I44" s="238"/>
      <c r="J44" s="238"/>
      <c r="K44" s="238"/>
      <c r="L44" s="238"/>
      <c r="M44" s="238"/>
      <c r="N44" s="238"/>
      <c r="O44" s="238"/>
      <c r="P44" s="238"/>
      <c r="Q44" s="238"/>
      <c r="R44" s="238"/>
      <c r="S44" s="238"/>
    </row>
    <row r="45" spans="1:19" ht="18" customHeight="1" x14ac:dyDescent="0.15">
      <c r="A45" s="238"/>
      <c r="B45" s="238"/>
      <c r="C45" s="238"/>
      <c r="D45" s="238"/>
      <c r="E45" s="238"/>
      <c r="F45" s="238"/>
      <c r="G45" s="238"/>
      <c r="H45" s="238"/>
      <c r="I45" s="238"/>
      <c r="J45" s="238"/>
      <c r="K45" s="238"/>
      <c r="L45" s="238"/>
      <c r="M45" s="238"/>
      <c r="N45" s="238"/>
      <c r="O45" s="238"/>
      <c r="P45" s="238"/>
      <c r="Q45" s="238"/>
      <c r="R45" s="238"/>
      <c r="S45" s="238"/>
    </row>
    <row r="46" spans="1:19" ht="18" customHeight="1" x14ac:dyDescent="0.15">
      <c r="B46" s="228" t="s">
        <v>19</v>
      </c>
      <c r="C46" s="214"/>
      <c r="D46" s="214"/>
      <c r="E46" s="215"/>
      <c r="F46" s="75" t="s">
        <v>20</v>
      </c>
      <c r="G46" s="76" t="s">
        <v>21</v>
      </c>
      <c r="H46" s="77" t="s">
        <v>33</v>
      </c>
      <c r="I46" s="77" t="s">
        <v>34</v>
      </c>
      <c r="J46" s="228" t="s">
        <v>19</v>
      </c>
      <c r="K46" s="214"/>
      <c r="L46" s="214"/>
      <c r="M46" s="214"/>
      <c r="N46" s="214"/>
      <c r="O46" s="215"/>
      <c r="P46" s="75" t="s">
        <v>20</v>
      </c>
      <c r="Q46" s="76" t="s">
        <v>21</v>
      </c>
      <c r="R46" s="77" t="s">
        <v>33</v>
      </c>
      <c r="S46" s="77" t="s">
        <v>34</v>
      </c>
    </row>
    <row r="47" spans="1:19" ht="18" customHeight="1" x14ac:dyDescent="0.15">
      <c r="A47" s="70"/>
      <c r="B47" s="232" t="s">
        <v>24</v>
      </c>
      <c r="C47" s="233"/>
      <c r="D47" s="233"/>
      <c r="E47" s="234"/>
      <c r="F47" s="62">
        <v>1</v>
      </c>
      <c r="G47" s="62" t="s">
        <v>25</v>
      </c>
      <c r="H47" s="62" t="s">
        <v>25</v>
      </c>
      <c r="I47" s="62" t="s">
        <v>25</v>
      </c>
      <c r="J47" s="232"/>
      <c r="K47" s="233"/>
      <c r="L47" s="233"/>
      <c r="M47" s="233"/>
      <c r="N47" s="233"/>
      <c r="O47" s="234"/>
      <c r="P47" s="62"/>
      <c r="Q47" s="62"/>
      <c r="R47" s="62"/>
      <c r="S47" s="62"/>
    </row>
    <row r="48" spans="1:19" ht="18" customHeight="1" x14ac:dyDescent="0.15">
      <c r="A48" s="70"/>
      <c r="B48" s="216"/>
      <c r="C48" s="217"/>
      <c r="D48" s="217"/>
      <c r="E48" s="218"/>
      <c r="F48" s="63"/>
      <c r="G48" s="63"/>
      <c r="H48" s="63"/>
      <c r="I48" s="63"/>
      <c r="J48" s="216"/>
      <c r="K48" s="217"/>
      <c r="L48" s="217"/>
      <c r="M48" s="217"/>
      <c r="N48" s="217"/>
      <c r="O48" s="218"/>
      <c r="P48" s="63"/>
      <c r="Q48" s="63"/>
      <c r="R48" s="63"/>
      <c r="S48" s="63"/>
    </row>
    <row r="49" spans="1:19" ht="18" customHeight="1" x14ac:dyDescent="0.15">
      <c r="A49" s="70"/>
      <c r="B49" s="216"/>
      <c r="C49" s="217"/>
      <c r="D49" s="217"/>
      <c r="E49" s="218"/>
      <c r="F49" s="63"/>
      <c r="G49" s="63"/>
      <c r="H49" s="63"/>
      <c r="I49" s="63"/>
      <c r="J49" s="216"/>
      <c r="K49" s="217"/>
      <c r="L49" s="217"/>
      <c r="M49" s="217"/>
      <c r="N49" s="217"/>
      <c r="O49" s="218"/>
      <c r="P49" s="63"/>
      <c r="Q49" s="63"/>
      <c r="R49" s="63"/>
      <c r="S49" s="63"/>
    </row>
    <row r="50" spans="1:19" ht="18" customHeight="1" x14ac:dyDescent="0.15">
      <c r="A50" s="70"/>
      <c r="B50" s="216"/>
      <c r="C50" s="217"/>
      <c r="D50" s="217"/>
      <c r="E50" s="218"/>
      <c r="F50" s="63"/>
      <c r="G50" s="63"/>
      <c r="H50" s="63"/>
      <c r="I50" s="63"/>
      <c r="J50" s="216"/>
      <c r="K50" s="217"/>
      <c r="L50" s="217"/>
      <c r="M50" s="217"/>
      <c r="N50" s="217"/>
      <c r="O50" s="218"/>
      <c r="P50" s="63"/>
      <c r="Q50" s="63"/>
      <c r="R50" s="63"/>
      <c r="S50" s="63"/>
    </row>
    <row r="51" spans="1:19" ht="18" customHeight="1" x14ac:dyDescent="0.15">
      <c r="A51" s="70"/>
      <c r="B51" s="216"/>
      <c r="C51" s="217"/>
      <c r="D51" s="217"/>
      <c r="E51" s="218"/>
      <c r="F51" s="63"/>
      <c r="G51" s="63"/>
      <c r="H51" s="63"/>
      <c r="I51" s="63"/>
      <c r="J51" s="216"/>
      <c r="K51" s="217"/>
      <c r="L51" s="217"/>
      <c r="M51" s="217"/>
      <c r="N51" s="217"/>
      <c r="O51" s="218"/>
      <c r="P51" s="63"/>
      <c r="Q51" s="63"/>
      <c r="R51" s="63"/>
      <c r="S51" s="63"/>
    </row>
    <row r="52" spans="1:19" ht="18" customHeight="1" x14ac:dyDescent="0.15">
      <c r="A52" s="70"/>
      <c r="B52" s="216"/>
      <c r="C52" s="217"/>
      <c r="D52" s="217"/>
      <c r="E52" s="218"/>
      <c r="F52" s="63"/>
      <c r="G52" s="63"/>
      <c r="H52" s="63"/>
      <c r="I52" s="63"/>
      <c r="J52" s="216"/>
      <c r="K52" s="217"/>
      <c r="L52" s="217"/>
      <c r="M52" s="217"/>
      <c r="N52" s="217"/>
      <c r="O52" s="218"/>
      <c r="P52" s="63"/>
      <c r="Q52" s="63"/>
      <c r="R52" s="63"/>
      <c r="S52" s="63"/>
    </row>
    <row r="53" spans="1:19" ht="18" customHeight="1" x14ac:dyDescent="0.15">
      <c r="A53" s="70"/>
      <c r="B53" s="222"/>
      <c r="C53" s="223"/>
      <c r="D53" s="223"/>
      <c r="E53" s="224"/>
      <c r="F53" s="78"/>
      <c r="G53" s="78"/>
      <c r="H53" s="79"/>
      <c r="I53" s="79"/>
      <c r="J53" s="222"/>
      <c r="K53" s="223"/>
      <c r="L53" s="223"/>
      <c r="M53" s="223"/>
      <c r="N53" s="223"/>
      <c r="O53" s="224"/>
      <c r="P53" s="78"/>
      <c r="Q53" s="78"/>
      <c r="R53" s="79"/>
      <c r="S53" s="79"/>
    </row>
    <row r="54" spans="1:19" ht="7.5" customHeight="1" x14ac:dyDescent="0.15">
      <c r="B54" s="80"/>
      <c r="C54" s="80"/>
      <c r="D54" s="80"/>
      <c r="E54" s="80"/>
      <c r="F54" s="80"/>
      <c r="G54" s="80"/>
      <c r="H54" s="80"/>
      <c r="I54" s="80"/>
      <c r="J54" s="80"/>
      <c r="K54" s="80"/>
      <c r="L54" s="80"/>
      <c r="M54" s="80"/>
      <c r="N54" s="80"/>
      <c r="O54" s="80"/>
      <c r="P54" s="80"/>
      <c r="Q54" s="80"/>
      <c r="R54" s="80"/>
    </row>
    <row r="55" spans="1:19" ht="18" customHeight="1" x14ac:dyDescent="0.15">
      <c r="A55" s="238" t="s">
        <v>35</v>
      </c>
      <c r="B55" s="238"/>
      <c r="C55" s="238"/>
      <c r="D55" s="238"/>
      <c r="E55" s="238"/>
      <c r="F55" s="238"/>
      <c r="G55" s="238"/>
      <c r="H55" s="238"/>
      <c r="I55" s="238"/>
      <c r="J55" s="238"/>
      <c r="K55" s="238"/>
      <c r="L55" s="238"/>
      <c r="M55" s="238"/>
      <c r="N55" s="238"/>
      <c r="O55" s="238"/>
      <c r="P55" s="238"/>
      <c r="Q55" s="238"/>
      <c r="R55" s="238"/>
      <c r="S55" s="238"/>
    </row>
    <row r="56" spans="1:19" ht="18" customHeight="1" x14ac:dyDescent="0.15">
      <c r="A56" s="238"/>
      <c r="B56" s="238"/>
      <c r="C56" s="238"/>
      <c r="D56" s="238"/>
      <c r="E56" s="238"/>
      <c r="F56" s="238"/>
      <c r="G56" s="238"/>
      <c r="H56" s="238"/>
      <c r="I56" s="238"/>
      <c r="J56" s="238"/>
      <c r="K56" s="238"/>
      <c r="L56" s="238"/>
      <c r="M56" s="238"/>
      <c r="N56" s="238"/>
      <c r="O56" s="238"/>
      <c r="P56" s="238"/>
      <c r="Q56" s="238"/>
      <c r="R56" s="238"/>
      <c r="S56" s="238"/>
    </row>
    <row r="57" spans="1:19" ht="18" customHeight="1" x14ac:dyDescent="0.15">
      <c r="B57" s="228" t="s">
        <v>19</v>
      </c>
      <c r="C57" s="214"/>
      <c r="D57" s="214"/>
      <c r="E57" s="215"/>
      <c r="F57" s="75" t="s">
        <v>20</v>
      </c>
      <c r="G57" s="76" t="s">
        <v>21</v>
      </c>
      <c r="H57" s="77" t="s">
        <v>36</v>
      </c>
      <c r="I57" s="77" t="s">
        <v>37</v>
      </c>
      <c r="J57" s="228" t="s">
        <v>19</v>
      </c>
      <c r="K57" s="214"/>
      <c r="L57" s="214"/>
      <c r="M57" s="214"/>
      <c r="N57" s="214"/>
      <c r="O57" s="215"/>
      <c r="P57" s="75" t="s">
        <v>20</v>
      </c>
      <c r="Q57" s="76" t="s">
        <v>21</v>
      </c>
      <c r="R57" s="77" t="s">
        <v>36</v>
      </c>
      <c r="S57" s="77" t="s">
        <v>37</v>
      </c>
    </row>
    <row r="58" spans="1:19" ht="18" customHeight="1" x14ac:dyDescent="0.15">
      <c r="A58" s="70"/>
      <c r="B58" s="232" t="s">
        <v>24</v>
      </c>
      <c r="C58" s="233"/>
      <c r="D58" s="233"/>
      <c r="E58" s="234"/>
      <c r="F58" s="62">
        <v>1</v>
      </c>
      <c r="G58" s="62" t="s">
        <v>25</v>
      </c>
      <c r="H58" s="62" t="s">
        <v>25</v>
      </c>
      <c r="I58" s="62" t="s">
        <v>25</v>
      </c>
      <c r="J58" s="232"/>
      <c r="K58" s="233"/>
      <c r="L58" s="233"/>
      <c r="M58" s="233"/>
      <c r="N58" s="233"/>
      <c r="O58" s="234"/>
      <c r="P58" s="62"/>
      <c r="Q58" s="62"/>
      <c r="R58" s="62"/>
      <c r="S58" s="62"/>
    </row>
    <row r="59" spans="1:19" ht="18" customHeight="1" x14ac:dyDescent="0.15">
      <c r="A59" s="70"/>
      <c r="B59" s="216" t="s">
        <v>57</v>
      </c>
      <c r="C59" s="217"/>
      <c r="D59" s="217"/>
      <c r="E59" s="218"/>
      <c r="F59" s="63">
        <v>1</v>
      </c>
      <c r="G59" s="63" t="s">
        <v>25</v>
      </c>
      <c r="H59" s="63" t="s">
        <v>25</v>
      </c>
      <c r="I59" s="63" t="s">
        <v>25</v>
      </c>
      <c r="J59" s="216"/>
      <c r="K59" s="217"/>
      <c r="L59" s="217"/>
      <c r="M59" s="217"/>
      <c r="N59" s="217"/>
      <c r="O59" s="218"/>
      <c r="P59" s="63"/>
      <c r="Q59" s="63"/>
      <c r="R59" s="63"/>
      <c r="S59" s="63"/>
    </row>
    <row r="60" spans="1:19" ht="18" customHeight="1" x14ac:dyDescent="0.15">
      <c r="A60" s="70"/>
      <c r="B60" s="216"/>
      <c r="C60" s="217"/>
      <c r="D60" s="217"/>
      <c r="E60" s="218"/>
      <c r="F60" s="63"/>
      <c r="G60" s="63"/>
      <c r="H60" s="63"/>
      <c r="I60" s="63"/>
      <c r="J60" s="216"/>
      <c r="K60" s="217"/>
      <c r="L60" s="217"/>
      <c r="M60" s="217"/>
      <c r="N60" s="217"/>
      <c r="O60" s="218"/>
      <c r="P60" s="63"/>
      <c r="Q60" s="63"/>
      <c r="R60" s="63"/>
      <c r="S60" s="63"/>
    </row>
    <row r="61" spans="1:19" ht="18" customHeight="1" x14ac:dyDescent="0.15">
      <c r="A61" s="70"/>
      <c r="B61" s="216"/>
      <c r="C61" s="217"/>
      <c r="D61" s="217"/>
      <c r="E61" s="218"/>
      <c r="F61" s="63"/>
      <c r="G61" s="63"/>
      <c r="H61" s="63"/>
      <c r="I61" s="63"/>
      <c r="J61" s="216"/>
      <c r="K61" s="217"/>
      <c r="L61" s="217"/>
      <c r="M61" s="217"/>
      <c r="N61" s="217"/>
      <c r="O61" s="218"/>
      <c r="P61" s="63"/>
      <c r="Q61" s="63"/>
      <c r="R61" s="63"/>
      <c r="S61" s="63"/>
    </row>
    <row r="62" spans="1:19" ht="18" customHeight="1" x14ac:dyDescent="0.15">
      <c r="A62" s="70"/>
      <c r="B62" s="216"/>
      <c r="C62" s="217"/>
      <c r="D62" s="217"/>
      <c r="E62" s="218"/>
      <c r="F62" s="63"/>
      <c r="G62" s="63"/>
      <c r="H62" s="63"/>
      <c r="I62" s="63"/>
      <c r="J62" s="216"/>
      <c r="K62" s="217"/>
      <c r="L62" s="217"/>
      <c r="M62" s="217"/>
      <c r="N62" s="217"/>
      <c r="O62" s="218"/>
      <c r="P62" s="63"/>
      <c r="Q62" s="63"/>
      <c r="R62" s="63"/>
      <c r="S62" s="63"/>
    </row>
    <row r="63" spans="1:19" ht="18" customHeight="1" x14ac:dyDescent="0.15">
      <c r="A63" s="70"/>
      <c r="B63" s="216"/>
      <c r="C63" s="217"/>
      <c r="D63" s="217"/>
      <c r="E63" s="218"/>
      <c r="F63" s="63"/>
      <c r="G63" s="63"/>
      <c r="H63" s="63"/>
      <c r="I63" s="63"/>
      <c r="J63" s="216"/>
      <c r="K63" s="217"/>
      <c r="L63" s="217"/>
      <c r="M63" s="217"/>
      <c r="N63" s="217"/>
      <c r="O63" s="218"/>
      <c r="P63" s="63"/>
      <c r="Q63" s="63"/>
      <c r="R63" s="63"/>
      <c r="S63" s="63"/>
    </row>
    <row r="64" spans="1:19" ht="18" customHeight="1" x14ac:dyDescent="0.15">
      <c r="A64" s="70"/>
      <c r="B64" s="222"/>
      <c r="C64" s="223"/>
      <c r="D64" s="223"/>
      <c r="E64" s="224"/>
      <c r="F64" s="78"/>
      <c r="G64" s="78"/>
      <c r="H64" s="79"/>
      <c r="I64" s="79"/>
      <c r="J64" s="222"/>
      <c r="K64" s="223"/>
      <c r="L64" s="223"/>
      <c r="M64" s="223"/>
      <c r="N64" s="223"/>
      <c r="O64" s="224"/>
      <c r="P64" s="78"/>
      <c r="Q64" s="78"/>
      <c r="R64" s="79"/>
      <c r="S64" s="79"/>
    </row>
    <row r="65" spans="1:19" ht="7.5" customHeight="1" x14ac:dyDescent="0.15">
      <c r="B65" s="80"/>
      <c r="C65" s="80"/>
      <c r="D65" s="80"/>
      <c r="E65" s="80"/>
      <c r="F65" s="80"/>
      <c r="G65" s="80"/>
      <c r="H65" s="80"/>
      <c r="I65" s="80"/>
      <c r="J65" s="80"/>
      <c r="K65" s="80"/>
      <c r="L65" s="80"/>
      <c r="M65" s="80"/>
      <c r="N65" s="80"/>
      <c r="O65" s="80"/>
      <c r="P65" s="80"/>
      <c r="Q65" s="80"/>
      <c r="R65" s="80"/>
    </row>
    <row r="66" spans="1:19" ht="18" customHeight="1" x14ac:dyDescent="0.15">
      <c r="A66" s="238" t="s">
        <v>38</v>
      </c>
      <c r="B66" s="238"/>
      <c r="C66" s="238"/>
      <c r="D66" s="238"/>
      <c r="E66" s="238"/>
      <c r="F66" s="238"/>
      <c r="G66" s="238"/>
      <c r="H66" s="238"/>
      <c r="I66" s="238"/>
      <c r="J66" s="238"/>
      <c r="K66" s="238"/>
      <c r="L66" s="238"/>
      <c r="M66" s="238"/>
      <c r="N66" s="238"/>
      <c r="O66" s="238"/>
      <c r="P66" s="238"/>
      <c r="Q66" s="238"/>
      <c r="R66" s="238"/>
      <c r="S66" s="238"/>
    </row>
    <row r="67" spans="1:19" ht="18" customHeight="1" x14ac:dyDescent="0.15">
      <c r="A67" s="238"/>
      <c r="B67" s="238"/>
      <c r="C67" s="238"/>
      <c r="D67" s="238"/>
      <c r="E67" s="238"/>
      <c r="F67" s="238"/>
      <c r="G67" s="238"/>
      <c r="H67" s="238"/>
      <c r="I67" s="238"/>
      <c r="J67" s="238"/>
      <c r="K67" s="238"/>
      <c r="L67" s="238"/>
      <c r="M67" s="238"/>
      <c r="N67" s="238"/>
      <c r="O67" s="238"/>
      <c r="P67" s="238"/>
      <c r="Q67" s="238"/>
      <c r="R67" s="238"/>
      <c r="S67" s="238"/>
    </row>
    <row r="68" spans="1:19" ht="18" customHeight="1" x14ac:dyDescent="0.15">
      <c r="B68" s="228" t="s">
        <v>19</v>
      </c>
      <c r="C68" s="214"/>
      <c r="D68" s="214"/>
      <c r="E68" s="75" t="s">
        <v>20</v>
      </c>
      <c r="F68" s="76" t="s">
        <v>21</v>
      </c>
      <c r="G68" s="77" t="s">
        <v>39</v>
      </c>
      <c r="H68" s="77" t="s">
        <v>40</v>
      </c>
      <c r="I68" s="77" t="s">
        <v>41</v>
      </c>
      <c r="J68" s="228" t="s">
        <v>19</v>
      </c>
      <c r="K68" s="214"/>
      <c r="L68" s="214"/>
      <c r="M68" s="214"/>
      <c r="N68" s="215"/>
      <c r="O68" s="75" t="s">
        <v>20</v>
      </c>
      <c r="P68" s="76" t="s">
        <v>21</v>
      </c>
      <c r="Q68" s="77" t="s">
        <v>39</v>
      </c>
      <c r="R68" s="77" t="s">
        <v>40</v>
      </c>
      <c r="S68" s="77" t="s">
        <v>41</v>
      </c>
    </row>
    <row r="69" spans="1:19" ht="18" customHeight="1" x14ac:dyDescent="0.15">
      <c r="A69" s="70"/>
      <c r="B69" s="263" t="s">
        <v>158</v>
      </c>
      <c r="C69" s="233"/>
      <c r="D69" s="233"/>
      <c r="E69" s="62">
        <v>1</v>
      </c>
      <c r="F69" s="62" t="s">
        <v>25</v>
      </c>
      <c r="G69" s="62" t="s">
        <v>25</v>
      </c>
      <c r="H69" s="62" t="s">
        <v>25</v>
      </c>
      <c r="I69" s="62" t="s">
        <v>25</v>
      </c>
      <c r="J69" s="232"/>
      <c r="K69" s="233"/>
      <c r="L69" s="233"/>
      <c r="M69" s="233"/>
      <c r="N69" s="234"/>
      <c r="O69" s="62"/>
      <c r="P69" s="62"/>
      <c r="Q69" s="62"/>
      <c r="R69" s="62"/>
      <c r="S69" s="62"/>
    </row>
    <row r="70" spans="1:19" ht="18" customHeight="1" x14ac:dyDescent="0.15">
      <c r="A70" s="70"/>
      <c r="B70" s="262" t="s">
        <v>157</v>
      </c>
      <c r="C70" s="217"/>
      <c r="D70" s="217"/>
      <c r="E70" s="63">
        <v>4</v>
      </c>
      <c r="F70" s="63" t="s">
        <v>25</v>
      </c>
      <c r="G70" s="63" t="s">
        <v>25</v>
      </c>
      <c r="H70" s="63" t="s">
        <v>25</v>
      </c>
      <c r="I70" s="63" t="s">
        <v>25</v>
      </c>
      <c r="J70" s="216"/>
      <c r="K70" s="217"/>
      <c r="L70" s="217"/>
      <c r="M70" s="217"/>
      <c r="N70" s="218"/>
      <c r="O70" s="63"/>
      <c r="P70" s="63"/>
      <c r="Q70" s="63"/>
      <c r="R70" s="63"/>
      <c r="S70" s="63"/>
    </row>
    <row r="71" spans="1:19" ht="18" customHeight="1" x14ac:dyDescent="0.15">
      <c r="A71" s="70"/>
      <c r="B71" s="216"/>
      <c r="C71" s="217"/>
      <c r="D71" s="217"/>
      <c r="E71" s="63"/>
      <c r="F71" s="63"/>
      <c r="G71" s="63"/>
      <c r="H71" s="63"/>
      <c r="I71" s="63"/>
      <c r="J71" s="216"/>
      <c r="K71" s="217"/>
      <c r="L71" s="217"/>
      <c r="M71" s="217"/>
      <c r="N71" s="218"/>
      <c r="O71" s="63"/>
      <c r="P71" s="63"/>
      <c r="Q71" s="63"/>
      <c r="R71" s="63"/>
      <c r="S71" s="63"/>
    </row>
    <row r="72" spans="1:19" ht="18" customHeight="1" x14ac:dyDescent="0.15">
      <c r="A72" s="70"/>
      <c r="B72" s="216"/>
      <c r="C72" s="217"/>
      <c r="D72" s="217"/>
      <c r="E72" s="63"/>
      <c r="F72" s="63"/>
      <c r="G72" s="63"/>
      <c r="H72" s="63"/>
      <c r="I72" s="63"/>
      <c r="J72" s="216"/>
      <c r="K72" s="217"/>
      <c r="L72" s="217"/>
      <c r="M72" s="217"/>
      <c r="N72" s="218"/>
      <c r="O72" s="63"/>
      <c r="P72" s="63"/>
      <c r="Q72" s="63"/>
      <c r="R72" s="63"/>
      <c r="S72" s="63"/>
    </row>
    <row r="73" spans="1:19" ht="18" customHeight="1" x14ac:dyDescent="0.15">
      <c r="A73" s="70"/>
      <c r="B73" s="216"/>
      <c r="C73" s="217"/>
      <c r="D73" s="217"/>
      <c r="E73" s="63"/>
      <c r="F73" s="63"/>
      <c r="G73" s="63"/>
      <c r="H73" s="63"/>
      <c r="I73" s="63"/>
      <c r="J73" s="216"/>
      <c r="K73" s="217"/>
      <c r="L73" s="217"/>
      <c r="M73" s="217"/>
      <c r="N73" s="218"/>
      <c r="O73" s="63"/>
      <c r="P73" s="63"/>
      <c r="Q73" s="63"/>
      <c r="R73" s="63"/>
      <c r="S73" s="63"/>
    </row>
    <row r="74" spans="1:19" ht="18" customHeight="1" x14ac:dyDescent="0.15">
      <c r="A74" s="70"/>
      <c r="B74" s="216"/>
      <c r="C74" s="217"/>
      <c r="D74" s="217"/>
      <c r="E74" s="63"/>
      <c r="F74" s="63"/>
      <c r="G74" s="63"/>
      <c r="H74" s="63"/>
      <c r="I74" s="63"/>
      <c r="J74" s="216"/>
      <c r="K74" s="217"/>
      <c r="L74" s="217"/>
      <c r="M74" s="217"/>
      <c r="N74" s="218"/>
      <c r="O74" s="63"/>
      <c r="P74" s="63"/>
      <c r="Q74" s="63"/>
      <c r="R74" s="63"/>
      <c r="S74" s="63"/>
    </row>
    <row r="75" spans="1:19" ht="18" customHeight="1" x14ac:dyDescent="0.15">
      <c r="A75" s="70"/>
      <c r="B75" s="222"/>
      <c r="C75" s="223"/>
      <c r="D75" s="223"/>
      <c r="E75" s="78"/>
      <c r="F75" s="78"/>
      <c r="G75" s="79"/>
      <c r="H75" s="79"/>
      <c r="I75" s="79"/>
      <c r="J75" s="222"/>
      <c r="K75" s="223"/>
      <c r="L75" s="223"/>
      <c r="M75" s="223"/>
      <c r="N75" s="224"/>
      <c r="O75" s="78"/>
      <c r="P75" s="78"/>
      <c r="Q75" s="79"/>
      <c r="R75" s="79"/>
      <c r="S75" s="79"/>
    </row>
    <row r="76" spans="1:19" ht="7.5" customHeight="1" x14ac:dyDescent="0.15">
      <c r="B76" s="80"/>
      <c r="C76" s="80"/>
      <c r="D76" s="80"/>
      <c r="E76" s="80"/>
      <c r="F76" s="80"/>
      <c r="G76" s="80"/>
      <c r="H76" s="80"/>
      <c r="I76" s="80"/>
      <c r="J76" s="80"/>
      <c r="K76" s="80"/>
      <c r="L76" s="80"/>
      <c r="M76" s="80"/>
      <c r="N76" s="80"/>
      <c r="O76" s="80"/>
      <c r="P76" s="80"/>
      <c r="Q76" s="80"/>
      <c r="R76" s="80"/>
    </row>
    <row r="77" spans="1:19" ht="18" customHeight="1" x14ac:dyDescent="0.15">
      <c r="A77" s="64" t="s">
        <v>42</v>
      </c>
      <c r="H77" s="70"/>
      <c r="I77" s="70"/>
      <c r="J77" s="70"/>
      <c r="K77" s="70"/>
      <c r="L77" s="70"/>
      <c r="M77" s="70"/>
      <c r="N77" s="70"/>
      <c r="O77" s="70"/>
      <c r="P77" s="70"/>
      <c r="Q77" s="70"/>
      <c r="R77" s="70"/>
      <c r="S77" s="70"/>
    </row>
    <row r="78" spans="1:19" ht="18" customHeight="1" x14ac:dyDescent="0.15">
      <c r="B78" s="228" t="s">
        <v>19</v>
      </c>
      <c r="C78" s="214"/>
      <c r="D78" s="214"/>
      <c r="E78" s="215"/>
      <c r="F78" s="228" t="s">
        <v>43</v>
      </c>
      <c r="G78" s="214"/>
      <c r="H78" s="214"/>
      <c r="I78" s="215"/>
      <c r="J78" s="229" t="s">
        <v>19</v>
      </c>
      <c r="K78" s="230"/>
      <c r="L78" s="230"/>
      <c r="M78" s="230"/>
      <c r="N78" s="230"/>
      <c r="O78" s="231"/>
      <c r="P78" s="228" t="s">
        <v>43</v>
      </c>
      <c r="Q78" s="214"/>
      <c r="R78" s="214"/>
      <c r="S78" s="215"/>
    </row>
    <row r="79" spans="1:19" ht="18" customHeight="1" x14ac:dyDescent="0.15">
      <c r="A79" s="70"/>
      <c r="B79" s="256"/>
      <c r="C79" s="257"/>
      <c r="D79" s="257"/>
      <c r="E79" s="258"/>
      <c r="F79" s="259"/>
      <c r="G79" s="260"/>
      <c r="H79" s="260"/>
      <c r="I79" s="261"/>
      <c r="J79" s="232"/>
      <c r="K79" s="233"/>
      <c r="L79" s="233"/>
      <c r="M79" s="233"/>
      <c r="N79" s="233"/>
      <c r="O79" s="234"/>
      <c r="P79" s="235"/>
      <c r="Q79" s="236"/>
      <c r="R79" s="236"/>
      <c r="S79" s="237"/>
    </row>
    <row r="80" spans="1:19" ht="18" customHeight="1" x14ac:dyDescent="0.15">
      <c r="A80" s="70"/>
      <c r="B80" s="216"/>
      <c r="C80" s="217"/>
      <c r="D80" s="217"/>
      <c r="E80" s="218"/>
      <c r="F80" s="219"/>
      <c r="G80" s="220"/>
      <c r="H80" s="220"/>
      <c r="I80" s="221"/>
      <c r="J80" s="216"/>
      <c r="K80" s="217"/>
      <c r="L80" s="217"/>
      <c r="M80" s="217"/>
      <c r="N80" s="217"/>
      <c r="O80" s="218"/>
      <c r="P80" s="219"/>
      <c r="Q80" s="220"/>
      <c r="R80" s="220"/>
      <c r="S80" s="221"/>
    </row>
    <row r="81" spans="1:19" ht="18" customHeight="1" x14ac:dyDescent="0.15">
      <c r="A81" s="70"/>
      <c r="B81" s="216"/>
      <c r="C81" s="217"/>
      <c r="D81" s="217"/>
      <c r="E81" s="218"/>
      <c r="F81" s="219"/>
      <c r="G81" s="220"/>
      <c r="H81" s="220"/>
      <c r="I81" s="221"/>
      <c r="J81" s="216"/>
      <c r="K81" s="217"/>
      <c r="L81" s="217"/>
      <c r="M81" s="217"/>
      <c r="N81" s="217"/>
      <c r="O81" s="218"/>
      <c r="P81" s="219"/>
      <c r="Q81" s="220"/>
      <c r="R81" s="220"/>
      <c r="S81" s="221"/>
    </row>
    <row r="82" spans="1:19" ht="18" customHeight="1" x14ac:dyDescent="0.15">
      <c r="A82" s="70"/>
      <c r="B82" s="216"/>
      <c r="C82" s="217"/>
      <c r="D82" s="217"/>
      <c r="E82" s="218"/>
      <c r="F82" s="219"/>
      <c r="G82" s="220"/>
      <c r="H82" s="220"/>
      <c r="I82" s="221"/>
      <c r="J82" s="216"/>
      <c r="K82" s="217"/>
      <c r="L82" s="217"/>
      <c r="M82" s="217"/>
      <c r="N82" s="217"/>
      <c r="O82" s="218"/>
      <c r="P82" s="219"/>
      <c r="Q82" s="220"/>
      <c r="R82" s="220"/>
      <c r="S82" s="221"/>
    </row>
    <row r="83" spans="1:19" ht="18" customHeight="1" x14ac:dyDescent="0.15">
      <c r="A83" s="70"/>
      <c r="B83" s="216"/>
      <c r="C83" s="217"/>
      <c r="D83" s="217"/>
      <c r="E83" s="218"/>
      <c r="F83" s="219"/>
      <c r="G83" s="220"/>
      <c r="H83" s="220"/>
      <c r="I83" s="221"/>
      <c r="J83" s="216"/>
      <c r="K83" s="217"/>
      <c r="L83" s="217"/>
      <c r="M83" s="217"/>
      <c r="N83" s="217"/>
      <c r="O83" s="218"/>
      <c r="P83" s="219"/>
      <c r="Q83" s="220"/>
      <c r="R83" s="220"/>
      <c r="S83" s="221"/>
    </row>
    <row r="84" spans="1:19" ht="18" customHeight="1" x14ac:dyDescent="0.15">
      <c r="A84" s="70"/>
      <c r="B84" s="216"/>
      <c r="C84" s="217"/>
      <c r="D84" s="217"/>
      <c r="E84" s="218"/>
      <c r="F84" s="219"/>
      <c r="G84" s="220"/>
      <c r="H84" s="220"/>
      <c r="I84" s="221"/>
      <c r="J84" s="216"/>
      <c r="K84" s="217"/>
      <c r="L84" s="217"/>
      <c r="M84" s="217"/>
      <c r="N84" s="217"/>
      <c r="O84" s="218"/>
      <c r="P84" s="219"/>
      <c r="Q84" s="220"/>
      <c r="R84" s="220"/>
      <c r="S84" s="221"/>
    </row>
    <row r="85" spans="1:19" ht="18" customHeight="1" x14ac:dyDescent="0.15">
      <c r="A85" s="70"/>
      <c r="B85" s="222"/>
      <c r="C85" s="223"/>
      <c r="D85" s="223"/>
      <c r="E85" s="224"/>
      <c r="F85" s="225"/>
      <c r="G85" s="226"/>
      <c r="H85" s="226"/>
      <c r="I85" s="227"/>
      <c r="J85" s="222"/>
      <c r="K85" s="223"/>
      <c r="L85" s="223"/>
      <c r="M85" s="223"/>
      <c r="N85" s="223"/>
      <c r="O85" s="224"/>
      <c r="P85" s="225"/>
      <c r="Q85" s="226"/>
      <c r="R85" s="226"/>
      <c r="S85" s="227"/>
    </row>
    <row r="86" spans="1:19" ht="18" customHeight="1" x14ac:dyDescent="0.15">
      <c r="A86" s="70"/>
      <c r="B86" s="68"/>
      <c r="C86" s="68"/>
      <c r="D86" s="68"/>
      <c r="E86" s="68"/>
      <c r="F86" s="81"/>
      <c r="G86" s="81"/>
      <c r="H86" s="81"/>
      <c r="I86" s="81"/>
      <c r="J86" s="68"/>
      <c r="K86" s="68"/>
      <c r="L86" s="68"/>
      <c r="M86" s="68"/>
      <c r="N86" s="68"/>
      <c r="O86" s="68"/>
      <c r="P86" s="81"/>
      <c r="Q86" s="81"/>
      <c r="R86" s="81"/>
      <c r="S86" s="81"/>
    </row>
    <row r="87" spans="1:19" ht="18.75" customHeight="1" x14ac:dyDescent="0.15">
      <c r="A87" s="64" t="s">
        <v>44</v>
      </c>
    </row>
    <row r="88" spans="1:19" ht="18.75" customHeight="1" x14ac:dyDescent="0.15">
      <c r="B88" s="212" t="s">
        <v>45</v>
      </c>
      <c r="C88" s="213"/>
      <c r="D88" s="214" t="s">
        <v>46</v>
      </c>
      <c r="E88" s="214"/>
      <c r="F88" s="214"/>
      <c r="G88" s="214"/>
      <c r="H88" s="214"/>
      <c r="I88" s="214"/>
      <c r="J88" s="214"/>
      <c r="K88" s="214"/>
      <c r="L88" s="214"/>
      <c r="M88" s="214"/>
      <c r="N88" s="214"/>
      <c r="O88" s="214"/>
      <c r="P88" s="214"/>
      <c r="Q88" s="214"/>
      <c r="R88" s="214"/>
      <c r="S88" s="215"/>
    </row>
    <row r="89" spans="1:19" ht="97.5" customHeight="1" x14ac:dyDescent="0.15">
      <c r="B89" s="203" t="s">
        <v>47</v>
      </c>
      <c r="C89" s="82" t="s">
        <v>22</v>
      </c>
      <c r="D89" s="150" t="s">
        <v>203</v>
      </c>
      <c r="E89" s="196"/>
      <c r="F89" s="196"/>
      <c r="G89" s="196"/>
      <c r="H89" s="196"/>
      <c r="I89" s="196"/>
      <c r="J89" s="196"/>
      <c r="K89" s="196"/>
      <c r="L89" s="196"/>
      <c r="M89" s="196"/>
      <c r="N89" s="196"/>
      <c r="O89" s="196"/>
      <c r="P89" s="196"/>
      <c r="Q89" s="196"/>
      <c r="R89" s="196"/>
      <c r="S89" s="197"/>
    </row>
    <row r="90" spans="1:19" ht="97.5" customHeight="1" x14ac:dyDescent="0.15">
      <c r="B90" s="204"/>
      <c r="C90" s="83" t="s">
        <v>48</v>
      </c>
      <c r="D90" s="170" t="s">
        <v>204</v>
      </c>
      <c r="E90" s="171"/>
      <c r="F90" s="171"/>
      <c r="G90" s="171"/>
      <c r="H90" s="171"/>
      <c r="I90" s="171"/>
      <c r="J90" s="171"/>
      <c r="K90" s="171"/>
      <c r="L90" s="171"/>
      <c r="M90" s="171"/>
      <c r="N90" s="171"/>
      <c r="O90" s="171"/>
      <c r="P90" s="171"/>
      <c r="Q90" s="171"/>
      <c r="R90" s="171"/>
      <c r="S90" s="172"/>
    </row>
    <row r="91" spans="1:19" ht="97.5" customHeight="1" x14ac:dyDescent="0.15">
      <c r="B91" s="203" t="s">
        <v>49</v>
      </c>
      <c r="C91" s="84" t="s">
        <v>29</v>
      </c>
      <c r="D91" s="173" t="s">
        <v>205</v>
      </c>
      <c r="E91" s="174"/>
      <c r="F91" s="174"/>
      <c r="G91" s="174"/>
      <c r="H91" s="174"/>
      <c r="I91" s="174"/>
      <c r="J91" s="174"/>
      <c r="K91" s="174"/>
      <c r="L91" s="174"/>
      <c r="M91" s="174"/>
      <c r="N91" s="174"/>
      <c r="O91" s="174"/>
      <c r="P91" s="174"/>
      <c r="Q91" s="174"/>
      <c r="R91" s="174"/>
      <c r="S91" s="175"/>
    </row>
    <row r="92" spans="1:19" ht="97.5" customHeight="1" x14ac:dyDescent="0.15">
      <c r="B92" s="205"/>
      <c r="C92" s="85" t="s">
        <v>30</v>
      </c>
      <c r="D92" s="178" t="s">
        <v>206</v>
      </c>
      <c r="E92" s="179"/>
      <c r="F92" s="179"/>
      <c r="G92" s="179"/>
      <c r="H92" s="179"/>
      <c r="I92" s="179"/>
      <c r="J92" s="179"/>
      <c r="K92" s="179"/>
      <c r="L92" s="179"/>
      <c r="M92" s="179"/>
      <c r="N92" s="179"/>
      <c r="O92" s="179"/>
      <c r="P92" s="179"/>
      <c r="Q92" s="179"/>
      <c r="R92" s="179"/>
      <c r="S92" s="180"/>
    </row>
    <row r="93" spans="1:19" ht="97.5" customHeight="1" x14ac:dyDescent="0.15">
      <c r="B93" s="203" t="s">
        <v>50</v>
      </c>
      <c r="C93" s="84" t="s">
        <v>33</v>
      </c>
      <c r="D93" s="173" t="s">
        <v>207</v>
      </c>
      <c r="E93" s="174"/>
      <c r="F93" s="174"/>
      <c r="G93" s="174"/>
      <c r="H93" s="174"/>
      <c r="I93" s="174"/>
      <c r="J93" s="174"/>
      <c r="K93" s="174"/>
      <c r="L93" s="174"/>
      <c r="M93" s="174"/>
      <c r="N93" s="174"/>
      <c r="O93" s="174"/>
      <c r="P93" s="174"/>
      <c r="Q93" s="174"/>
      <c r="R93" s="174"/>
      <c r="S93" s="175"/>
    </row>
    <row r="94" spans="1:19" ht="97.5" customHeight="1" x14ac:dyDescent="0.15">
      <c r="B94" s="205"/>
      <c r="C94" s="86" t="s">
        <v>34</v>
      </c>
      <c r="D94" s="156" t="s">
        <v>208</v>
      </c>
      <c r="E94" s="176"/>
      <c r="F94" s="176"/>
      <c r="G94" s="176"/>
      <c r="H94" s="176"/>
      <c r="I94" s="176"/>
      <c r="J94" s="176"/>
      <c r="K94" s="176"/>
      <c r="L94" s="176"/>
      <c r="M94" s="176"/>
      <c r="N94" s="176"/>
      <c r="O94" s="176"/>
      <c r="P94" s="176"/>
      <c r="Q94" s="176"/>
      <c r="R94" s="176"/>
      <c r="S94" s="177"/>
    </row>
    <row r="95" spans="1:19" ht="97.5" customHeight="1" x14ac:dyDescent="0.15">
      <c r="B95" s="203" t="s">
        <v>51</v>
      </c>
      <c r="C95" s="82" t="s">
        <v>36</v>
      </c>
      <c r="D95" s="150" t="s">
        <v>209</v>
      </c>
      <c r="E95" s="196"/>
      <c r="F95" s="196"/>
      <c r="G95" s="196"/>
      <c r="H95" s="196"/>
      <c r="I95" s="196"/>
      <c r="J95" s="196"/>
      <c r="K95" s="196"/>
      <c r="L95" s="196"/>
      <c r="M95" s="196"/>
      <c r="N95" s="196"/>
      <c r="O95" s="196"/>
      <c r="P95" s="196"/>
      <c r="Q95" s="196"/>
      <c r="R95" s="196"/>
      <c r="S95" s="197"/>
    </row>
    <row r="96" spans="1:19" ht="97.5" customHeight="1" x14ac:dyDescent="0.15">
      <c r="B96" s="205"/>
      <c r="C96" s="85" t="s">
        <v>37</v>
      </c>
      <c r="D96" s="178" t="s">
        <v>210</v>
      </c>
      <c r="E96" s="179"/>
      <c r="F96" s="179"/>
      <c r="G96" s="179"/>
      <c r="H96" s="179"/>
      <c r="I96" s="179"/>
      <c r="J96" s="179"/>
      <c r="K96" s="179"/>
      <c r="L96" s="179"/>
      <c r="M96" s="179"/>
      <c r="N96" s="179"/>
      <c r="O96" s="179"/>
      <c r="P96" s="179"/>
      <c r="Q96" s="179"/>
      <c r="R96" s="179"/>
      <c r="S96" s="180"/>
    </row>
    <row r="97" spans="1:19" ht="97.5" customHeight="1" x14ac:dyDescent="0.15">
      <c r="B97" s="203" t="s">
        <v>52</v>
      </c>
      <c r="C97" s="84" t="s">
        <v>53</v>
      </c>
      <c r="D97" s="190" t="s">
        <v>211</v>
      </c>
      <c r="E97" s="191"/>
      <c r="F97" s="191"/>
      <c r="G97" s="191"/>
      <c r="H97" s="191"/>
      <c r="I97" s="191"/>
      <c r="J97" s="191"/>
      <c r="K97" s="191"/>
      <c r="L97" s="191"/>
      <c r="M97" s="191"/>
      <c r="N97" s="191"/>
      <c r="O97" s="191"/>
      <c r="P97" s="191"/>
      <c r="Q97" s="191"/>
      <c r="R97" s="191"/>
      <c r="S97" s="192"/>
    </row>
    <row r="98" spans="1:19" ht="97.5" customHeight="1" x14ac:dyDescent="0.15">
      <c r="B98" s="204"/>
      <c r="C98" s="89" t="s">
        <v>40</v>
      </c>
      <c r="D98" s="181" t="s">
        <v>212</v>
      </c>
      <c r="E98" s="182"/>
      <c r="F98" s="182"/>
      <c r="G98" s="182"/>
      <c r="H98" s="182"/>
      <c r="I98" s="182"/>
      <c r="J98" s="182"/>
      <c r="K98" s="182"/>
      <c r="L98" s="182"/>
      <c r="M98" s="182"/>
      <c r="N98" s="182"/>
      <c r="O98" s="182"/>
      <c r="P98" s="182"/>
      <c r="Q98" s="182"/>
      <c r="R98" s="182"/>
      <c r="S98" s="183"/>
    </row>
    <row r="99" spans="1:19" ht="97.5" customHeight="1" x14ac:dyDescent="0.15">
      <c r="B99" s="205"/>
      <c r="C99" s="86" t="s">
        <v>41</v>
      </c>
      <c r="D99" s="193" t="s">
        <v>213</v>
      </c>
      <c r="E99" s="194"/>
      <c r="F99" s="194"/>
      <c r="G99" s="194"/>
      <c r="H99" s="194"/>
      <c r="I99" s="194"/>
      <c r="J99" s="194"/>
      <c r="K99" s="194"/>
      <c r="L99" s="194"/>
      <c r="M99" s="194"/>
      <c r="N99" s="194"/>
      <c r="O99" s="194"/>
      <c r="P99" s="194"/>
      <c r="Q99" s="194"/>
      <c r="R99" s="194"/>
      <c r="S99" s="195"/>
    </row>
    <row r="100" spans="1:19" ht="6" customHeight="1" x14ac:dyDescent="0.15"/>
    <row r="101" spans="1:19" ht="18.75" customHeight="1" x14ac:dyDescent="0.15">
      <c r="A101" s="64" t="s">
        <v>54</v>
      </c>
    </row>
    <row r="102" spans="1:19" ht="81.75" customHeight="1" x14ac:dyDescent="0.15">
      <c r="B102" s="209" t="s">
        <v>65</v>
      </c>
      <c r="C102" s="210"/>
      <c r="D102" s="210"/>
      <c r="E102" s="210"/>
      <c r="F102" s="210"/>
      <c r="G102" s="210"/>
      <c r="H102" s="210"/>
      <c r="I102" s="210"/>
      <c r="J102" s="210"/>
      <c r="K102" s="210"/>
      <c r="L102" s="210"/>
      <c r="M102" s="210"/>
      <c r="N102" s="210"/>
      <c r="O102" s="210"/>
      <c r="P102" s="210"/>
      <c r="Q102" s="210"/>
      <c r="R102" s="210"/>
      <c r="S102" s="211"/>
    </row>
    <row r="110" spans="1:19" ht="18" customHeight="1" x14ac:dyDescent="0.15"/>
  </sheetData>
  <customSheetViews>
    <customSheetView guid="{EF565584-6FC7-43D6-8DE5-80F819FA140A}" showPageBreaks="1" printArea="1" hiddenColumns="1" view="pageBreakPreview" topLeftCell="A33">
      <selection activeCell="J27" sqref="J27:O27"/>
      <rowBreaks count="2" manualBreakCount="2">
        <brk id="65" max="18" man="1"/>
        <brk id="94" max="18" man="1"/>
      </rowBreaks>
      <colBreaks count="1" manualBreakCount="1">
        <brk id="19" max="1048575" man="1"/>
      </colBreaks>
      <pageMargins left="0.7" right="0.7" top="0.75" bottom="0.75" header="0.3" footer="0.3"/>
      <pageSetup paperSize="9" scale="73" orientation="portrait" horizontalDpi="300" verticalDpi="300" r:id="rId1"/>
    </customSheetView>
  </customSheetViews>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xr:uid="{00000000-0002-0000-0200-000000000000}">
      <formula1>$V$14:$V$16</formula1>
    </dataValidation>
    <dataValidation type="list" allowBlank="1" showInputMessage="1" showErrorMessage="1" sqref="F79:F86 P79:P86 G79:I80 G83:I86 Q83:S86 Q79:S80" xr:uid="{00000000-0002-0000-02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00000000-0002-0000-0200-000002000000}">
      <formula1>"学部・学科によって、修了要件は相違する,学部・学科によって、修了要件は相違しない"</formula1>
    </dataValidation>
    <dataValidation type="list" allowBlank="1" showInputMessage="1" showErrorMessage="1" sqref="S32 S43 D32:G32 D43:G43" xr:uid="{00000000-0002-0000-0200-000003000000}">
      <formula1>"全学開講,一部開講"</formula1>
    </dataValidation>
    <dataValidation type="list" allowBlank="1" showInputMessage="1" showErrorMessage="1" sqref="G25:I31 Q25:S31 G36:I42 Q36:S42 G47:I53 Q47:S53 G58:I64 Q58:S64 F69:I75 P69:S75" xr:uid="{00000000-0002-0000-0200-000004000000}">
      <formula1>"○"</formula1>
    </dataValidation>
  </dataValidations>
  <pageMargins left="0.7" right="0.7" top="0.75" bottom="0.75" header="0.3" footer="0.3"/>
  <pageSetup paperSize="9" scale="73" orientation="portrait" horizontalDpi="300" verticalDpi="300" r:id="rId2"/>
  <rowBreaks count="2" manualBreakCount="2">
    <brk id="65" max="18" man="1"/>
    <brk id="94" max="18" man="1"/>
  </rowBreaks>
  <colBreaks count="1" manualBreakCount="1">
    <brk id="19"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10"/>
  <sheetViews>
    <sheetView view="pageBreakPreview" zoomScaleNormal="100" zoomScaleSheetLayoutView="100" workbookViewId="0">
      <selection activeCell="D89" sqref="D89:S99"/>
    </sheetView>
  </sheetViews>
  <sheetFormatPr defaultColWidth="9" defaultRowHeight="14.25"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41" t="s">
        <v>177</v>
      </c>
      <c r="S1" s="141"/>
      <c r="T1" s="2" t="s">
        <v>0</v>
      </c>
    </row>
    <row r="2" spans="1:22" ht="18.75" customHeight="1" x14ac:dyDescent="0.15">
      <c r="B2" s="57" t="s">
        <v>1</v>
      </c>
      <c r="C2" s="134" t="s">
        <v>2</v>
      </c>
      <c r="D2" s="135"/>
      <c r="E2" s="135"/>
      <c r="F2" s="135"/>
      <c r="G2" s="135"/>
      <c r="H2" s="135"/>
      <c r="I2" s="136"/>
      <c r="J2" s="56"/>
      <c r="K2" s="4"/>
      <c r="L2" s="4"/>
      <c r="M2" s="4"/>
      <c r="N2" s="4"/>
      <c r="O2" s="4"/>
      <c r="P2" s="4"/>
      <c r="Q2" s="4"/>
      <c r="R2" s="4"/>
      <c r="S2" s="4"/>
    </row>
    <row r="3" spans="1:22" ht="18.75" customHeight="1" x14ac:dyDescent="0.15">
      <c r="B3" s="57" t="s">
        <v>3</v>
      </c>
      <c r="C3" s="145" t="s">
        <v>4</v>
      </c>
      <c r="D3" s="146"/>
      <c r="E3" s="146"/>
      <c r="F3" s="146"/>
      <c r="G3" s="146"/>
      <c r="H3" s="146"/>
      <c r="I3" s="147"/>
      <c r="J3" s="56"/>
      <c r="K3" s="4"/>
      <c r="L3" s="4"/>
      <c r="M3" s="4"/>
      <c r="N3" s="4"/>
      <c r="O3" s="4"/>
      <c r="P3" s="4"/>
      <c r="Q3" s="4"/>
      <c r="R3" s="4"/>
      <c r="S3" s="4"/>
    </row>
    <row r="4" spans="1:22" ht="15" customHeight="1" x14ac:dyDescent="0.15">
      <c r="K4" s="56"/>
      <c r="L4" s="30"/>
      <c r="M4" s="30"/>
      <c r="N4" s="30"/>
      <c r="O4" s="30"/>
      <c r="P4" s="30"/>
      <c r="Q4" s="30"/>
      <c r="R4" s="30"/>
      <c r="S4" s="30"/>
    </row>
    <row r="5" spans="1:22" ht="18" customHeight="1" x14ac:dyDescent="0.15">
      <c r="A5" s="148" t="s">
        <v>5</v>
      </c>
      <c r="B5" s="148"/>
      <c r="C5" s="148"/>
      <c r="D5" s="148"/>
      <c r="E5" s="148"/>
      <c r="F5" s="148"/>
      <c r="G5" s="148"/>
      <c r="H5" s="148"/>
      <c r="I5" s="148"/>
      <c r="J5" s="148"/>
      <c r="K5" s="148"/>
      <c r="L5" s="148"/>
      <c r="M5" s="148"/>
      <c r="N5" s="148"/>
      <c r="O5" s="148"/>
      <c r="P5" s="148"/>
      <c r="Q5" s="148"/>
      <c r="R5" s="148"/>
      <c r="S5" s="148"/>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6</v>
      </c>
      <c r="C7" s="3"/>
      <c r="J7" s="31" t="s">
        <v>7</v>
      </c>
      <c r="K7" s="158" t="s">
        <v>8</v>
      </c>
      <c r="L7" s="159"/>
      <c r="M7" s="159"/>
      <c r="N7" s="159"/>
      <c r="O7" s="159"/>
      <c r="P7" s="159"/>
      <c r="Q7" s="159"/>
      <c r="R7" s="159"/>
      <c r="S7" s="160"/>
    </row>
    <row r="8" spans="1:22" ht="6" customHeight="1" x14ac:dyDescent="0.15">
      <c r="B8" s="3"/>
      <c r="C8" s="3"/>
      <c r="D8" s="3"/>
      <c r="E8" s="3"/>
      <c r="F8" s="3"/>
      <c r="G8" s="3"/>
      <c r="H8" s="3"/>
      <c r="I8" s="3"/>
      <c r="J8" s="3"/>
      <c r="K8" s="8"/>
      <c r="L8" s="3"/>
      <c r="M8" s="3"/>
      <c r="N8" s="3"/>
      <c r="O8" s="3"/>
      <c r="P8" s="3"/>
      <c r="Q8" s="3"/>
      <c r="R8" s="3"/>
      <c r="S8" s="3"/>
    </row>
    <row r="9" spans="1:22" ht="18" customHeight="1" x14ac:dyDescent="0.15">
      <c r="B9" s="122" t="s">
        <v>66</v>
      </c>
      <c r="C9" s="123"/>
      <c r="D9" s="123"/>
      <c r="E9" s="123"/>
      <c r="F9" s="123"/>
      <c r="G9" s="123"/>
      <c r="H9" s="123"/>
      <c r="I9" s="123"/>
      <c r="J9" s="123"/>
      <c r="K9" s="123"/>
      <c r="L9" s="123"/>
      <c r="M9" s="123"/>
      <c r="N9" s="123"/>
      <c r="O9" s="123"/>
      <c r="P9" s="123"/>
      <c r="Q9" s="123"/>
      <c r="R9" s="123"/>
      <c r="S9" s="124"/>
    </row>
    <row r="10" spans="1:22" ht="18" customHeight="1" x14ac:dyDescent="0.15">
      <c r="B10" s="125"/>
      <c r="C10" s="126"/>
      <c r="D10" s="126"/>
      <c r="E10" s="126"/>
      <c r="F10" s="126"/>
      <c r="G10" s="126"/>
      <c r="H10" s="126"/>
      <c r="I10" s="126"/>
      <c r="J10" s="126"/>
      <c r="K10" s="126"/>
      <c r="L10" s="126"/>
      <c r="M10" s="126"/>
      <c r="N10" s="126"/>
      <c r="O10" s="126"/>
      <c r="P10" s="126"/>
      <c r="Q10" s="126"/>
      <c r="R10" s="126"/>
      <c r="S10" s="127"/>
    </row>
    <row r="11" spans="1:22" ht="6" customHeight="1" x14ac:dyDescent="0.15">
      <c r="B11" s="3"/>
      <c r="C11" s="3"/>
      <c r="D11" s="3"/>
      <c r="E11" s="3"/>
      <c r="F11" s="3"/>
      <c r="G11" s="3"/>
      <c r="H11" s="3"/>
      <c r="I11" s="3"/>
      <c r="J11" s="3"/>
      <c r="K11" s="8"/>
      <c r="L11" s="3"/>
      <c r="M11" s="3"/>
      <c r="N11" s="3"/>
      <c r="O11" s="3"/>
      <c r="P11" s="3"/>
      <c r="Q11" s="3"/>
      <c r="R11" s="3"/>
      <c r="S11" s="3"/>
    </row>
    <row r="12" spans="1:22" ht="18" customHeight="1" x14ac:dyDescent="0.15">
      <c r="A12" s="1" t="s">
        <v>10</v>
      </c>
      <c r="B12" s="3"/>
      <c r="C12" s="3"/>
      <c r="D12" s="56"/>
      <c r="E12" s="56"/>
      <c r="F12" s="56"/>
      <c r="G12" s="56"/>
      <c r="H12" s="56"/>
      <c r="I12" s="56"/>
      <c r="J12" s="56"/>
      <c r="K12" s="32"/>
      <c r="L12" s="32"/>
      <c r="M12" s="32"/>
      <c r="N12" s="32"/>
      <c r="O12" s="32"/>
      <c r="P12" s="32"/>
      <c r="Q12" s="32"/>
      <c r="R12" s="32"/>
      <c r="S12" s="32"/>
    </row>
    <row r="13" spans="1:22" ht="18" customHeight="1" x14ac:dyDescent="0.15">
      <c r="B13" s="149" t="s">
        <v>214</v>
      </c>
      <c r="C13" s="150"/>
      <c r="D13" s="150"/>
      <c r="E13" s="150"/>
      <c r="F13" s="150"/>
      <c r="G13" s="150"/>
      <c r="H13" s="150"/>
      <c r="I13" s="150"/>
      <c r="J13" s="150"/>
      <c r="K13" s="150"/>
      <c r="L13" s="150"/>
      <c r="M13" s="150"/>
      <c r="N13" s="150"/>
      <c r="O13" s="150"/>
      <c r="P13" s="150"/>
      <c r="Q13" s="150"/>
      <c r="R13" s="150"/>
      <c r="S13" s="151"/>
      <c r="V13" s="1" t="s">
        <v>11</v>
      </c>
    </row>
    <row r="14" spans="1:22" ht="18" customHeight="1" x14ac:dyDescent="0.15">
      <c r="B14" s="152"/>
      <c r="C14" s="153"/>
      <c r="D14" s="153"/>
      <c r="E14" s="153"/>
      <c r="F14" s="153"/>
      <c r="G14" s="153"/>
      <c r="H14" s="153"/>
      <c r="I14" s="153"/>
      <c r="J14" s="153"/>
      <c r="K14" s="153"/>
      <c r="L14" s="153"/>
      <c r="M14" s="153"/>
      <c r="N14" s="153"/>
      <c r="O14" s="153"/>
      <c r="P14" s="153"/>
      <c r="Q14" s="153"/>
      <c r="R14" s="153"/>
      <c r="S14" s="154"/>
      <c r="V14" s="1" t="s">
        <v>12</v>
      </c>
    </row>
    <row r="15" spans="1:22" ht="18" customHeight="1" x14ac:dyDescent="0.15">
      <c r="B15" s="152"/>
      <c r="C15" s="153"/>
      <c r="D15" s="153"/>
      <c r="E15" s="153"/>
      <c r="F15" s="153"/>
      <c r="G15" s="153"/>
      <c r="H15" s="153"/>
      <c r="I15" s="153"/>
      <c r="J15" s="153"/>
      <c r="K15" s="153"/>
      <c r="L15" s="153"/>
      <c r="M15" s="153"/>
      <c r="N15" s="153"/>
      <c r="O15" s="153"/>
      <c r="P15" s="153"/>
      <c r="Q15" s="153"/>
      <c r="R15" s="153"/>
      <c r="S15" s="154"/>
      <c r="V15" s="1" t="s">
        <v>13</v>
      </c>
    </row>
    <row r="16" spans="1:22" ht="18" customHeight="1" x14ac:dyDescent="0.15">
      <c r="B16" s="152"/>
      <c r="C16" s="153"/>
      <c r="D16" s="153"/>
      <c r="E16" s="153"/>
      <c r="F16" s="153"/>
      <c r="G16" s="153"/>
      <c r="H16" s="153"/>
      <c r="I16" s="153"/>
      <c r="J16" s="153"/>
      <c r="K16" s="153"/>
      <c r="L16" s="153"/>
      <c r="M16" s="153"/>
      <c r="N16" s="153"/>
      <c r="O16" s="153"/>
      <c r="P16" s="153"/>
      <c r="Q16" s="153"/>
      <c r="R16" s="153"/>
      <c r="S16" s="154"/>
      <c r="V16" s="1" t="s">
        <v>14</v>
      </c>
    </row>
    <row r="17" spans="1:19" ht="18" customHeight="1" x14ac:dyDescent="0.15">
      <c r="B17" s="152"/>
      <c r="C17" s="153"/>
      <c r="D17" s="153"/>
      <c r="E17" s="153"/>
      <c r="F17" s="153"/>
      <c r="G17" s="153"/>
      <c r="H17" s="153"/>
      <c r="I17" s="153"/>
      <c r="J17" s="153"/>
      <c r="K17" s="153"/>
      <c r="L17" s="153"/>
      <c r="M17" s="153"/>
      <c r="N17" s="153"/>
      <c r="O17" s="153"/>
      <c r="P17" s="153"/>
      <c r="Q17" s="153"/>
      <c r="R17" s="153"/>
      <c r="S17" s="154"/>
    </row>
    <row r="18" spans="1:19" ht="18" customHeight="1" x14ac:dyDescent="0.15">
      <c r="B18" s="155"/>
      <c r="C18" s="156"/>
      <c r="D18" s="156"/>
      <c r="E18" s="156"/>
      <c r="F18" s="156"/>
      <c r="G18" s="156"/>
      <c r="H18" s="156"/>
      <c r="I18" s="156"/>
      <c r="J18" s="156"/>
      <c r="K18" s="156"/>
      <c r="L18" s="156"/>
      <c r="M18" s="156"/>
      <c r="N18" s="156"/>
      <c r="O18" s="156"/>
      <c r="P18" s="156"/>
      <c r="Q18" s="156"/>
      <c r="R18" s="156"/>
      <c r="S18" s="157"/>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15</v>
      </c>
      <c r="C20" s="134">
        <v>4</v>
      </c>
      <c r="D20" s="136"/>
      <c r="E20" s="33" t="s">
        <v>16</v>
      </c>
      <c r="G20" s="8"/>
      <c r="H20" s="3"/>
      <c r="I20" s="3"/>
      <c r="J20" s="56" t="s">
        <v>17</v>
      </c>
      <c r="K20" s="142" t="s">
        <v>12</v>
      </c>
      <c r="L20" s="143"/>
      <c r="M20" s="143"/>
      <c r="N20" s="143"/>
      <c r="O20" s="143"/>
      <c r="P20" s="143"/>
      <c r="Q20" s="143"/>
      <c r="R20" s="143"/>
      <c r="S20" s="144"/>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37" t="s">
        <v>18</v>
      </c>
      <c r="B22" s="137"/>
      <c r="C22" s="137"/>
      <c r="D22" s="137"/>
      <c r="E22" s="137"/>
      <c r="F22" s="137"/>
      <c r="G22" s="137"/>
      <c r="H22" s="137"/>
      <c r="I22" s="137"/>
      <c r="J22" s="137"/>
      <c r="K22" s="137"/>
      <c r="L22" s="137"/>
      <c r="M22" s="137"/>
      <c r="N22" s="137"/>
      <c r="O22" s="137"/>
      <c r="P22" s="137"/>
      <c r="Q22" s="137"/>
      <c r="R22" s="137"/>
      <c r="S22" s="137"/>
    </row>
    <row r="23" spans="1:19" ht="18" customHeight="1" x14ac:dyDescent="0.15">
      <c r="A23" s="137"/>
      <c r="B23" s="137"/>
      <c r="C23" s="137"/>
      <c r="D23" s="137"/>
      <c r="E23" s="137"/>
      <c r="F23" s="137"/>
      <c r="G23" s="137"/>
      <c r="H23" s="137"/>
      <c r="I23" s="137"/>
      <c r="J23" s="137"/>
      <c r="K23" s="137"/>
      <c r="L23" s="137"/>
      <c r="M23" s="137"/>
      <c r="N23" s="137"/>
      <c r="O23" s="137"/>
      <c r="P23" s="137"/>
      <c r="Q23" s="137"/>
      <c r="R23" s="137"/>
      <c r="S23" s="137"/>
    </row>
    <row r="24" spans="1:19" ht="18" customHeight="1" x14ac:dyDescent="0.15">
      <c r="B24" s="134" t="s">
        <v>19</v>
      </c>
      <c r="C24" s="135"/>
      <c r="D24" s="135"/>
      <c r="E24" s="136"/>
      <c r="F24" s="35" t="s">
        <v>20</v>
      </c>
      <c r="G24" s="34" t="s">
        <v>21</v>
      </c>
      <c r="H24" s="18" t="s">
        <v>22</v>
      </c>
      <c r="I24" s="18" t="s">
        <v>23</v>
      </c>
      <c r="J24" s="134" t="s">
        <v>19</v>
      </c>
      <c r="K24" s="135"/>
      <c r="L24" s="135"/>
      <c r="M24" s="135"/>
      <c r="N24" s="135"/>
      <c r="O24" s="136"/>
      <c r="P24" s="35" t="s">
        <v>20</v>
      </c>
      <c r="Q24" s="34" t="s">
        <v>21</v>
      </c>
      <c r="R24" s="18" t="s">
        <v>22</v>
      </c>
      <c r="S24" s="18" t="s">
        <v>23</v>
      </c>
    </row>
    <row r="25" spans="1:19" ht="18" customHeight="1" x14ac:dyDescent="0.15">
      <c r="B25" s="138" t="s">
        <v>24</v>
      </c>
      <c r="C25" s="139"/>
      <c r="D25" s="139"/>
      <c r="E25" s="140"/>
      <c r="F25" s="19">
        <v>1</v>
      </c>
      <c r="G25" s="19" t="s">
        <v>25</v>
      </c>
      <c r="H25" s="19" t="s">
        <v>25</v>
      </c>
      <c r="I25" s="19" t="s">
        <v>25</v>
      </c>
      <c r="J25" s="138"/>
      <c r="K25" s="139"/>
      <c r="L25" s="139"/>
      <c r="M25" s="139"/>
      <c r="N25" s="139"/>
      <c r="O25" s="140"/>
      <c r="P25" s="19"/>
      <c r="Q25" s="19"/>
      <c r="R25" s="19"/>
      <c r="S25" s="19"/>
    </row>
    <row r="26" spans="1:19" ht="18" customHeight="1" x14ac:dyDescent="0.15">
      <c r="B26" s="128" t="s">
        <v>26</v>
      </c>
      <c r="C26" s="129"/>
      <c r="D26" s="129"/>
      <c r="E26" s="130"/>
      <c r="F26" s="20">
        <v>1</v>
      </c>
      <c r="G26" s="20" t="s">
        <v>25</v>
      </c>
      <c r="H26" s="20" t="s">
        <v>25</v>
      </c>
      <c r="I26" s="20"/>
      <c r="J26" s="128"/>
      <c r="K26" s="129"/>
      <c r="L26" s="129"/>
      <c r="M26" s="129"/>
      <c r="N26" s="129"/>
      <c r="O26" s="130"/>
      <c r="P26" s="20"/>
      <c r="Q26" s="20"/>
      <c r="R26" s="20"/>
      <c r="S26" s="20"/>
    </row>
    <row r="27" spans="1:19" ht="18" customHeight="1" x14ac:dyDescent="0.15">
      <c r="B27" s="128" t="s">
        <v>67</v>
      </c>
      <c r="C27" s="129"/>
      <c r="D27" s="129"/>
      <c r="E27" s="130"/>
      <c r="F27" s="20">
        <v>1</v>
      </c>
      <c r="G27" s="20" t="s">
        <v>25</v>
      </c>
      <c r="H27" s="20"/>
      <c r="I27" s="20" t="s">
        <v>25</v>
      </c>
      <c r="J27" s="128"/>
      <c r="K27" s="129"/>
      <c r="L27" s="129"/>
      <c r="M27" s="129"/>
      <c r="N27" s="129"/>
      <c r="O27" s="130"/>
      <c r="P27" s="20"/>
      <c r="Q27" s="20"/>
      <c r="R27" s="20"/>
      <c r="S27" s="20"/>
    </row>
    <row r="28" spans="1:19" ht="18" customHeight="1" x14ac:dyDescent="0.15">
      <c r="B28" s="128"/>
      <c r="C28" s="129"/>
      <c r="D28" s="129"/>
      <c r="E28" s="130"/>
      <c r="F28" s="20"/>
      <c r="G28" s="20"/>
      <c r="H28" s="20"/>
      <c r="I28" s="20"/>
      <c r="J28" s="128"/>
      <c r="K28" s="129"/>
      <c r="L28" s="129"/>
      <c r="M28" s="129"/>
      <c r="N28" s="129"/>
      <c r="O28" s="130"/>
      <c r="P28" s="20"/>
      <c r="Q28" s="20"/>
      <c r="R28" s="20"/>
      <c r="S28" s="20"/>
    </row>
    <row r="29" spans="1:19" ht="18" customHeight="1" x14ac:dyDescent="0.15">
      <c r="B29" s="128"/>
      <c r="C29" s="129"/>
      <c r="D29" s="129"/>
      <c r="E29" s="130"/>
      <c r="F29" s="20"/>
      <c r="G29" s="20"/>
      <c r="H29" s="20"/>
      <c r="I29" s="20"/>
      <c r="J29" s="128"/>
      <c r="K29" s="129"/>
      <c r="L29" s="129"/>
      <c r="M29" s="129"/>
      <c r="N29" s="129"/>
      <c r="O29" s="130"/>
      <c r="P29" s="20"/>
      <c r="Q29" s="20"/>
      <c r="R29" s="20"/>
      <c r="S29" s="20"/>
    </row>
    <row r="30" spans="1:19" ht="18" customHeight="1" x14ac:dyDescent="0.15">
      <c r="A30" s="3"/>
      <c r="B30" s="128"/>
      <c r="C30" s="129"/>
      <c r="D30" s="129"/>
      <c r="E30" s="130"/>
      <c r="F30" s="20"/>
      <c r="G30" s="20"/>
      <c r="H30" s="20"/>
      <c r="I30" s="20"/>
      <c r="J30" s="128"/>
      <c r="K30" s="129"/>
      <c r="L30" s="129"/>
      <c r="M30" s="129"/>
      <c r="N30" s="129"/>
      <c r="O30" s="130"/>
      <c r="P30" s="20"/>
      <c r="Q30" s="20"/>
      <c r="R30" s="20"/>
      <c r="S30" s="20"/>
    </row>
    <row r="31" spans="1:19" ht="18" customHeight="1" x14ac:dyDescent="0.15">
      <c r="A31" s="3"/>
      <c r="B31" s="131"/>
      <c r="C31" s="132"/>
      <c r="D31" s="132"/>
      <c r="E31" s="133"/>
      <c r="F31" s="21"/>
      <c r="G31" s="21"/>
      <c r="H31" s="22"/>
      <c r="I31" s="22"/>
      <c r="J31" s="131"/>
      <c r="K31" s="132"/>
      <c r="L31" s="132"/>
      <c r="M31" s="132"/>
      <c r="N31" s="132"/>
      <c r="O31" s="133"/>
      <c r="P31" s="21"/>
      <c r="Q31" s="21"/>
      <c r="R31" s="22"/>
      <c r="S31" s="22"/>
    </row>
    <row r="32" spans="1:19" ht="7.5" customHeight="1" x14ac:dyDescent="0.15">
      <c r="A32" s="3"/>
      <c r="B32" s="4"/>
      <c r="C32" s="4"/>
      <c r="D32" s="3"/>
      <c r="E32" s="3"/>
      <c r="F32" s="3"/>
      <c r="G32" s="3"/>
      <c r="H32" s="4"/>
      <c r="I32" s="4"/>
      <c r="J32" s="4"/>
      <c r="K32" s="4"/>
      <c r="L32" s="4"/>
      <c r="M32" s="4"/>
      <c r="N32" s="4"/>
      <c r="O32" s="4"/>
      <c r="P32" s="4"/>
      <c r="Q32" s="4"/>
      <c r="R32" s="4"/>
      <c r="S32" s="3"/>
    </row>
    <row r="33" spans="1:19" ht="18" customHeight="1" x14ac:dyDescent="0.15">
      <c r="A33" s="137" t="s">
        <v>28</v>
      </c>
      <c r="B33" s="137"/>
      <c r="C33" s="137"/>
      <c r="D33" s="137"/>
      <c r="E33" s="137"/>
      <c r="F33" s="137"/>
      <c r="G33" s="137"/>
      <c r="H33" s="137"/>
      <c r="I33" s="137"/>
      <c r="J33" s="137"/>
      <c r="K33" s="137"/>
      <c r="L33" s="137"/>
      <c r="M33" s="137"/>
      <c r="N33" s="137"/>
      <c r="O33" s="137"/>
      <c r="P33" s="137"/>
      <c r="Q33" s="137"/>
      <c r="R33" s="137"/>
      <c r="S33" s="137"/>
    </row>
    <row r="34" spans="1:19" ht="18" customHeight="1" x14ac:dyDescent="0.15">
      <c r="A34" s="137"/>
      <c r="B34" s="137"/>
      <c r="C34" s="137"/>
      <c r="D34" s="137"/>
      <c r="E34" s="137"/>
      <c r="F34" s="137"/>
      <c r="G34" s="137"/>
      <c r="H34" s="137"/>
      <c r="I34" s="137"/>
      <c r="J34" s="137"/>
      <c r="K34" s="137"/>
      <c r="L34" s="137"/>
      <c r="M34" s="137"/>
      <c r="N34" s="137"/>
      <c r="O34" s="137"/>
      <c r="P34" s="137"/>
      <c r="Q34" s="137"/>
      <c r="R34" s="137"/>
      <c r="S34" s="137"/>
    </row>
    <row r="35" spans="1:19" ht="18" customHeight="1" x14ac:dyDescent="0.15">
      <c r="B35" s="134" t="s">
        <v>19</v>
      </c>
      <c r="C35" s="135"/>
      <c r="D35" s="135"/>
      <c r="E35" s="136"/>
      <c r="F35" s="35" t="s">
        <v>20</v>
      </c>
      <c r="G35" s="34" t="s">
        <v>21</v>
      </c>
      <c r="H35" s="18" t="s">
        <v>29</v>
      </c>
      <c r="I35" s="18" t="s">
        <v>30</v>
      </c>
      <c r="J35" s="134" t="s">
        <v>19</v>
      </c>
      <c r="K35" s="135"/>
      <c r="L35" s="135"/>
      <c r="M35" s="135"/>
      <c r="N35" s="135"/>
      <c r="O35" s="136"/>
      <c r="P35" s="35" t="s">
        <v>20</v>
      </c>
      <c r="Q35" s="34" t="s">
        <v>21</v>
      </c>
      <c r="R35" s="18" t="s">
        <v>29</v>
      </c>
      <c r="S35" s="18" t="s">
        <v>30</v>
      </c>
    </row>
    <row r="36" spans="1:19" ht="18" customHeight="1" x14ac:dyDescent="0.15">
      <c r="B36" s="138" t="s">
        <v>26</v>
      </c>
      <c r="C36" s="139"/>
      <c r="D36" s="139"/>
      <c r="E36" s="140"/>
      <c r="F36" s="19">
        <v>1</v>
      </c>
      <c r="G36" s="19" t="s">
        <v>25</v>
      </c>
      <c r="H36" s="19" t="s">
        <v>25</v>
      </c>
      <c r="I36" s="19" t="s">
        <v>25</v>
      </c>
      <c r="J36" s="138"/>
      <c r="K36" s="139"/>
      <c r="L36" s="139"/>
      <c r="M36" s="139"/>
      <c r="N36" s="139"/>
      <c r="O36" s="140"/>
      <c r="P36" s="19"/>
      <c r="Q36" s="19"/>
      <c r="R36" s="19"/>
      <c r="S36" s="19"/>
    </row>
    <row r="37" spans="1:19" ht="18" customHeight="1" x14ac:dyDescent="0.15">
      <c r="B37" s="128" t="s">
        <v>67</v>
      </c>
      <c r="C37" s="129"/>
      <c r="D37" s="129"/>
      <c r="E37" s="130"/>
      <c r="F37" s="20">
        <v>1</v>
      </c>
      <c r="G37" s="20" t="s">
        <v>25</v>
      </c>
      <c r="H37" s="20" t="s">
        <v>25</v>
      </c>
      <c r="I37" s="20" t="s">
        <v>25</v>
      </c>
      <c r="J37" s="128"/>
      <c r="K37" s="129"/>
      <c r="L37" s="129"/>
      <c r="M37" s="129"/>
      <c r="N37" s="129"/>
      <c r="O37" s="130"/>
      <c r="P37" s="20"/>
      <c r="Q37" s="20"/>
      <c r="R37" s="20"/>
      <c r="S37" s="20"/>
    </row>
    <row r="38" spans="1:19" ht="18" customHeight="1" x14ac:dyDescent="0.15">
      <c r="B38" s="128"/>
      <c r="C38" s="129"/>
      <c r="D38" s="129"/>
      <c r="E38" s="130"/>
      <c r="F38" s="20"/>
      <c r="G38" s="20"/>
      <c r="H38" s="20"/>
      <c r="I38" s="20"/>
      <c r="J38" s="128"/>
      <c r="K38" s="129"/>
      <c r="L38" s="129"/>
      <c r="M38" s="129"/>
      <c r="N38" s="129"/>
      <c r="O38" s="130"/>
      <c r="P38" s="20"/>
      <c r="Q38" s="20"/>
      <c r="R38" s="20"/>
      <c r="S38" s="20"/>
    </row>
    <row r="39" spans="1:19" ht="18" customHeight="1" x14ac:dyDescent="0.15">
      <c r="B39" s="128"/>
      <c r="C39" s="129"/>
      <c r="D39" s="129"/>
      <c r="E39" s="130"/>
      <c r="F39" s="20"/>
      <c r="G39" s="20"/>
      <c r="H39" s="20"/>
      <c r="I39" s="20"/>
      <c r="J39" s="128"/>
      <c r="K39" s="129"/>
      <c r="L39" s="129"/>
      <c r="M39" s="129"/>
      <c r="N39" s="129"/>
      <c r="O39" s="130"/>
      <c r="P39" s="20"/>
      <c r="Q39" s="20"/>
      <c r="R39" s="20"/>
      <c r="S39" s="20"/>
    </row>
    <row r="40" spans="1:19" ht="18" customHeight="1" x14ac:dyDescent="0.15">
      <c r="B40" s="128"/>
      <c r="C40" s="129"/>
      <c r="D40" s="129"/>
      <c r="E40" s="130"/>
      <c r="F40" s="20"/>
      <c r="G40" s="20"/>
      <c r="H40" s="20"/>
      <c r="I40" s="20"/>
      <c r="J40" s="128"/>
      <c r="K40" s="129"/>
      <c r="L40" s="129"/>
      <c r="M40" s="129"/>
      <c r="N40" s="129"/>
      <c r="O40" s="130"/>
      <c r="P40" s="20"/>
      <c r="Q40" s="20"/>
      <c r="R40" s="20"/>
      <c r="S40" s="20"/>
    </row>
    <row r="41" spans="1:19" ht="18" customHeight="1" x14ac:dyDescent="0.15">
      <c r="B41" s="128"/>
      <c r="C41" s="129"/>
      <c r="D41" s="129"/>
      <c r="E41" s="130"/>
      <c r="F41" s="20"/>
      <c r="G41" s="20"/>
      <c r="H41" s="20"/>
      <c r="I41" s="20"/>
      <c r="J41" s="128"/>
      <c r="K41" s="129"/>
      <c r="L41" s="129"/>
      <c r="M41" s="129"/>
      <c r="N41" s="129"/>
      <c r="O41" s="130"/>
      <c r="P41" s="20"/>
      <c r="Q41" s="20"/>
      <c r="R41" s="20"/>
      <c r="S41" s="20"/>
    </row>
    <row r="42" spans="1:19" ht="18" customHeight="1" x14ac:dyDescent="0.15">
      <c r="B42" s="131"/>
      <c r="C42" s="132"/>
      <c r="D42" s="132"/>
      <c r="E42" s="133"/>
      <c r="F42" s="21"/>
      <c r="G42" s="21"/>
      <c r="H42" s="22"/>
      <c r="I42" s="22"/>
      <c r="J42" s="131"/>
      <c r="K42" s="132"/>
      <c r="L42" s="132"/>
      <c r="M42" s="132"/>
      <c r="N42" s="132"/>
      <c r="O42" s="133"/>
      <c r="P42" s="21"/>
      <c r="Q42" s="21"/>
      <c r="R42" s="22"/>
      <c r="S42" s="22"/>
    </row>
    <row r="43" spans="1:19" ht="7.5" customHeight="1" x14ac:dyDescent="0.15">
      <c r="A43" s="3"/>
      <c r="B43" s="4"/>
      <c r="C43" s="4"/>
      <c r="D43" s="3"/>
      <c r="E43" s="3"/>
      <c r="F43" s="3"/>
      <c r="G43" s="3"/>
      <c r="H43" s="4"/>
      <c r="I43" s="4"/>
      <c r="J43" s="4"/>
      <c r="K43" s="4"/>
      <c r="L43" s="4"/>
      <c r="M43" s="4"/>
      <c r="N43" s="4"/>
      <c r="O43" s="4"/>
      <c r="P43" s="4"/>
      <c r="Q43" s="4"/>
      <c r="R43" s="4"/>
      <c r="S43" s="3"/>
    </row>
    <row r="44" spans="1:19" ht="18" customHeight="1" x14ac:dyDescent="0.15">
      <c r="A44" s="137" t="s">
        <v>32</v>
      </c>
      <c r="B44" s="137"/>
      <c r="C44" s="137"/>
      <c r="D44" s="137"/>
      <c r="E44" s="137"/>
      <c r="F44" s="137"/>
      <c r="G44" s="137"/>
      <c r="H44" s="137"/>
      <c r="I44" s="137"/>
      <c r="J44" s="137"/>
      <c r="K44" s="137"/>
      <c r="L44" s="137"/>
      <c r="M44" s="137"/>
      <c r="N44" s="137"/>
      <c r="O44" s="137"/>
      <c r="P44" s="137"/>
      <c r="Q44" s="137"/>
      <c r="R44" s="137"/>
      <c r="S44" s="137"/>
    </row>
    <row r="45" spans="1:19" ht="18" customHeight="1" x14ac:dyDescent="0.15">
      <c r="A45" s="137"/>
      <c r="B45" s="137"/>
      <c r="C45" s="137"/>
      <c r="D45" s="137"/>
      <c r="E45" s="137"/>
      <c r="F45" s="137"/>
      <c r="G45" s="137"/>
      <c r="H45" s="137"/>
      <c r="I45" s="137"/>
      <c r="J45" s="137"/>
      <c r="K45" s="137"/>
      <c r="L45" s="137"/>
      <c r="M45" s="137"/>
      <c r="N45" s="137"/>
      <c r="O45" s="137"/>
      <c r="P45" s="137"/>
      <c r="Q45" s="137"/>
      <c r="R45" s="137"/>
      <c r="S45" s="137"/>
    </row>
    <row r="46" spans="1:19" ht="18" customHeight="1" x14ac:dyDescent="0.15">
      <c r="B46" s="134" t="s">
        <v>19</v>
      </c>
      <c r="C46" s="135"/>
      <c r="D46" s="135"/>
      <c r="E46" s="136"/>
      <c r="F46" s="35" t="s">
        <v>20</v>
      </c>
      <c r="G46" s="34" t="s">
        <v>21</v>
      </c>
      <c r="H46" s="18" t="s">
        <v>33</v>
      </c>
      <c r="I46" s="18" t="s">
        <v>34</v>
      </c>
      <c r="J46" s="134" t="s">
        <v>19</v>
      </c>
      <c r="K46" s="135"/>
      <c r="L46" s="135"/>
      <c r="M46" s="135"/>
      <c r="N46" s="135"/>
      <c r="O46" s="136"/>
      <c r="P46" s="35" t="s">
        <v>20</v>
      </c>
      <c r="Q46" s="34" t="s">
        <v>21</v>
      </c>
      <c r="R46" s="18" t="s">
        <v>33</v>
      </c>
      <c r="S46" s="18" t="s">
        <v>34</v>
      </c>
    </row>
    <row r="47" spans="1:19" ht="18" customHeight="1" x14ac:dyDescent="0.15">
      <c r="A47" s="3"/>
      <c r="B47" s="138" t="s">
        <v>68</v>
      </c>
      <c r="C47" s="139"/>
      <c r="D47" s="139"/>
      <c r="E47" s="140"/>
      <c r="F47" s="19">
        <v>1</v>
      </c>
      <c r="G47" s="19" t="s">
        <v>25</v>
      </c>
      <c r="H47" s="19" t="s">
        <v>25</v>
      </c>
      <c r="I47" s="19" t="s">
        <v>25</v>
      </c>
      <c r="J47" s="138"/>
      <c r="K47" s="139"/>
      <c r="L47" s="139"/>
      <c r="M47" s="139"/>
      <c r="N47" s="139"/>
      <c r="O47" s="140"/>
      <c r="P47" s="19"/>
      <c r="Q47" s="19"/>
      <c r="R47" s="19"/>
      <c r="S47" s="19"/>
    </row>
    <row r="48" spans="1:19" ht="18" customHeight="1" x14ac:dyDescent="0.15">
      <c r="A48" s="3"/>
      <c r="B48" s="128"/>
      <c r="C48" s="129"/>
      <c r="D48" s="129"/>
      <c r="E48" s="130"/>
      <c r="F48" s="20"/>
      <c r="G48" s="20"/>
      <c r="H48" s="20"/>
      <c r="I48" s="20"/>
      <c r="J48" s="128"/>
      <c r="K48" s="129"/>
      <c r="L48" s="129"/>
      <c r="M48" s="129"/>
      <c r="N48" s="129"/>
      <c r="O48" s="130"/>
      <c r="P48" s="20"/>
      <c r="Q48" s="20"/>
      <c r="R48" s="20"/>
      <c r="S48" s="20"/>
    </row>
    <row r="49" spans="1:19" ht="18" customHeight="1" x14ac:dyDescent="0.15">
      <c r="A49" s="3"/>
      <c r="B49" s="128"/>
      <c r="C49" s="129"/>
      <c r="D49" s="129"/>
      <c r="E49" s="130"/>
      <c r="F49" s="20"/>
      <c r="G49" s="20"/>
      <c r="H49" s="20"/>
      <c r="I49" s="20"/>
      <c r="J49" s="128"/>
      <c r="K49" s="129"/>
      <c r="L49" s="129"/>
      <c r="M49" s="129"/>
      <c r="N49" s="129"/>
      <c r="O49" s="130"/>
      <c r="P49" s="20"/>
      <c r="Q49" s="20"/>
      <c r="R49" s="20"/>
      <c r="S49" s="20"/>
    </row>
    <row r="50" spans="1:19" ht="18" customHeight="1" x14ac:dyDescent="0.15">
      <c r="A50" s="3"/>
      <c r="B50" s="128"/>
      <c r="C50" s="129"/>
      <c r="D50" s="129"/>
      <c r="E50" s="130"/>
      <c r="F50" s="20"/>
      <c r="G50" s="20"/>
      <c r="H50" s="20"/>
      <c r="I50" s="20"/>
      <c r="J50" s="128"/>
      <c r="K50" s="129"/>
      <c r="L50" s="129"/>
      <c r="M50" s="129"/>
      <c r="N50" s="129"/>
      <c r="O50" s="130"/>
      <c r="P50" s="20"/>
      <c r="Q50" s="20"/>
      <c r="R50" s="20"/>
      <c r="S50" s="20"/>
    </row>
    <row r="51" spans="1:19" ht="18" customHeight="1" x14ac:dyDescent="0.15">
      <c r="A51" s="3"/>
      <c r="B51" s="128"/>
      <c r="C51" s="129"/>
      <c r="D51" s="129"/>
      <c r="E51" s="130"/>
      <c r="F51" s="20"/>
      <c r="G51" s="20"/>
      <c r="H51" s="20"/>
      <c r="I51" s="20"/>
      <c r="J51" s="128"/>
      <c r="K51" s="129"/>
      <c r="L51" s="129"/>
      <c r="M51" s="129"/>
      <c r="N51" s="129"/>
      <c r="O51" s="130"/>
      <c r="P51" s="20"/>
      <c r="Q51" s="20"/>
      <c r="R51" s="20"/>
      <c r="S51" s="20"/>
    </row>
    <row r="52" spans="1:19" ht="18" customHeight="1" x14ac:dyDescent="0.15">
      <c r="A52" s="3"/>
      <c r="B52" s="128"/>
      <c r="C52" s="129"/>
      <c r="D52" s="129"/>
      <c r="E52" s="130"/>
      <c r="F52" s="20"/>
      <c r="G52" s="20"/>
      <c r="H52" s="20"/>
      <c r="I52" s="20"/>
      <c r="J52" s="128"/>
      <c r="K52" s="129"/>
      <c r="L52" s="129"/>
      <c r="M52" s="129"/>
      <c r="N52" s="129"/>
      <c r="O52" s="130"/>
      <c r="P52" s="20"/>
      <c r="Q52" s="20"/>
      <c r="R52" s="20"/>
      <c r="S52" s="20"/>
    </row>
    <row r="53" spans="1:19" ht="18" customHeight="1" x14ac:dyDescent="0.15">
      <c r="A53" s="3"/>
      <c r="B53" s="131"/>
      <c r="C53" s="132"/>
      <c r="D53" s="132"/>
      <c r="E53" s="133"/>
      <c r="F53" s="21"/>
      <c r="G53" s="21"/>
      <c r="H53" s="22"/>
      <c r="I53" s="22"/>
      <c r="J53" s="131"/>
      <c r="K53" s="132"/>
      <c r="L53" s="132"/>
      <c r="M53" s="132"/>
      <c r="N53" s="132"/>
      <c r="O53" s="133"/>
      <c r="P53" s="21"/>
      <c r="Q53" s="21"/>
      <c r="R53" s="22"/>
      <c r="S53" s="22"/>
    </row>
    <row r="54" spans="1:19" ht="7.5" customHeight="1" x14ac:dyDescent="0.15">
      <c r="B54" s="58"/>
      <c r="C54" s="58"/>
      <c r="D54" s="58"/>
      <c r="E54" s="58"/>
      <c r="F54" s="58"/>
      <c r="G54" s="58"/>
      <c r="H54" s="58"/>
      <c r="I54" s="58"/>
      <c r="J54" s="58"/>
      <c r="K54" s="58"/>
      <c r="L54" s="58"/>
      <c r="M54" s="58"/>
      <c r="N54" s="58"/>
      <c r="O54" s="58"/>
      <c r="P54" s="58"/>
      <c r="Q54" s="58"/>
      <c r="R54" s="58"/>
    </row>
    <row r="55" spans="1:19" ht="18" customHeight="1" x14ac:dyDescent="0.15">
      <c r="A55" s="137" t="s">
        <v>35</v>
      </c>
      <c r="B55" s="137"/>
      <c r="C55" s="137"/>
      <c r="D55" s="137"/>
      <c r="E55" s="137"/>
      <c r="F55" s="137"/>
      <c r="G55" s="137"/>
      <c r="H55" s="137"/>
      <c r="I55" s="137"/>
      <c r="J55" s="137"/>
      <c r="K55" s="137"/>
      <c r="L55" s="137"/>
      <c r="M55" s="137"/>
      <c r="N55" s="137"/>
      <c r="O55" s="137"/>
      <c r="P55" s="137"/>
      <c r="Q55" s="137"/>
      <c r="R55" s="137"/>
      <c r="S55" s="137"/>
    </row>
    <row r="56" spans="1:19" ht="18" customHeight="1" x14ac:dyDescent="0.15">
      <c r="A56" s="137"/>
      <c r="B56" s="137"/>
      <c r="C56" s="137"/>
      <c r="D56" s="137"/>
      <c r="E56" s="137"/>
      <c r="F56" s="137"/>
      <c r="G56" s="137"/>
      <c r="H56" s="137"/>
      <c r="I56" s="137"/>
      <c r="J56" s="137"/>
      <c r="K56" s="137"/>
      <c r="L56" s="137"/>
      <c r="M56" s="137"/>
      <c r="N56" s="137"/>
      <c r="O56" s="137"/>
      <c r="P56" s="137"/>
      <c r="Q56" s="137"/>
      <c r="R56" s="137"/>
      <c r="S56" s="137"/>
    </row>
    <row r="57" spans="1:19" ht="18" customHeight="1" x14ac:dyDescent="0.15">
      <c r="B57" s="134" t="s">
        <v>19</v>
      </c>
      <c r="C57" s="135"/>
      <c r="D57" s="135"/>
      <c r="E57" s="136"/>
      <c r="F57" s="35" t="s">
        <v>20</v>
      </c>
      <c r="G57" s="34" t="s">
        <v>21</v>
      </c>
      <c r="H57" s="18" t="s">
        <v>36</v>
      </c>
      <c r="I57" s="18" t="s">
        <v>37</v>
      </c>
      <c r="J57" s="134" t="s">
        <v>19</v>
      </c>
      <c r="K57" s="135"/>
      <c r="L57" s="135"/>
      <c r="M57" s="135"/>
      <c r="N57" s="135"/>
      <c r="O57" s="136"/>
      <c r="P57" s="35" t="s">
        <v>20</v>
      </c>
      <c r="Q57" s="34" t="s">
        <v>21</v>
      </c>
      <c r="R57" s="18" t="s">
        <v>36</v>
      </c>
      <c r="S57" s="18" t="s">
        <v>37</v>
      </c>
    </row>
    <row r="58" spans="1:19" ht="18" customHeight="1" x14ac:dyDescent="0.15">
      <c r="A58" s="3"/>
      <c r="B58" s="138" t="s">
        <v>57</v>
      </c>
      <c r="C58" s="139"/>
      <c r="D58" s="139"/>
      <c r="E58" s="140"/>
      <c r="F58" s="19">
        <v>1</v>
      </c>
      <c r="G58" s="19" t="s">
        <v>25</v>
      </c>
      <c r="H58" s="19" t="s">
        <v>25</v>
      </c>
      <c r="I58" s="19" t="s">
        <v>25</v>
      </c>
      <c r="J58" s="138"/>
      <c r="K58" s="139"/>
      <c r="L58" s="139"/>
      <c r="M58" s="139"/>
      <c r="N58" s="139"/>
      <c r="O58" s="140"/>
      <c r="P58" s="19"/>
      <c r="Q58" s="19"/>
      <c r="R58" s="19"/>
      <c r="S58" s="19"/>
    </row>
    <row r="59" spans="1:19" ht="18" customHeight="1" x14ac:dyDescent="0.15">
      <c r="A59" s="3"/>
      <c r="B59" s="128" t="s">
        <v>24</v>
      </c>
      <c r="C59" s="129"/>
      <c r="D59" s="129"/>
      <c r="E59" s="130"/>
      <c r="F59" s="20">
        <v>1</v>
      </c>
      <c r="G59" s="20" t="s">
        <v>25</v>
      </c>
      <c r="H59" s="20" t="s">
        <v>25</v>
      </c>
      <c r="I59" s="20" t="s">
        <v>25</v>
      </c>
      <c r="J59" s="128"/>
      <c r="K59" s="129"/>
      <c r="L59" s="129"/>
      <c r="M59" s="129"/>
      <c r="N59" s="129"/>
      <c r="O59" s="130"/>
      <c r="P59" s="20"/>
      <c r="Q59" s="20"/>
      <c r="R59" s="20"/>
      <c r="S59" s="20"/>
    </row>
    <row r="60" spans="1:19" ht="18" customHeight="1" x14ac:dyDescent="0.15">
      <c r="A60" s="3"/>
      <c r="B60" s="128"/>
      <c r="C60" s="129"/>
      <c r="D60" s="129"/>
      <c r="E60" s="130"/>
      <c r="F60" s="20"/>
      <c r="G60" s="20"/>
      <c r="H60" s="20"/>
      <c r="I60" s="20"/>
      <c r="J60" s="128"/>
      <c r="K60" s="129"/>
      <c r="L60" s="129"/>
      <c r="M60" s="129"/>
      <c r="N60" s="129"/>
      <c r="O60" s="130"/>
      <c r="P60" s="20"/>
      <c r="Q60" s="20"/>
      <c r="R60" s="20"/>
      <c r="S60" s="20"/>
    </row>
    <row r="61" spans="1:19" ht="18" customHeight="1" x14ac:dyDescent="0.15">
      <c r="A61" s="3"/>
      <c r="B61" s="128"/>
      <c r="C61" s="129"/>
      <c r="D61" s="129"/>
      <c r="E61" s="130"/>
      <c r="F61" s="20"/>
      <c r="G61" s="20"/>
      <c r="H61" s="20"/>
      <c r="I61" s="20"/>
      <c r="J61" s="128"/>
      <c r="K61" s="129"/>
      <c r="L61" s="129"/>
      <c r="M61" s="129"/>
      <c r="N61" s="129"/>
      <c r="O61" s="130"/>
      <c r="P61" s="20"/>
      <c r="Q61" s="20"/>
      <c r="R61" s="20"/>
      <c r="S61" s="20"/>
    </row>
    <row r="62" spans="1:19" ht="18" customHeight="1" x14ac:dyDescent="0.15">
      <c r="A62" s="3"/>
      <c r="B62" s="128"/>
      <c r="C62" s="129"/>
      <c r="D62" s="129"/>
      <c r="E62" s="130"/>
      <c r="F62" s="20"/>
      <c r="G62" s="20"/>
      <c r="H62" s="20"/>
      <c r="I62" s="20"/>
      <c r="J62" s="128"/>
      <c r="K62" s="129"/>
      <c r="L62" s="129"/>
      <c r="M62" s="129"/>
      <c r="N62" s="129"/>
      <c r="O62" s="130"/>
      <c r="P62" s="20"/>
      <c r="Q62" s="20"/>
      <c r="R62" s="20"/>
      <c r="S62" s="20"/>
    </row>
    <row r="63" spans="1:19" ht="18" customHeight="1" x14ac:dyDescent="0.15">
      <c r="A63" s="3"/>
      <c r="B63" s="128"/>
      <c r="C63" s="129"/>
      <c r="D63" s="129"/>
      <c r="E63" s="130"/>
      <c r="F63" s="20"/>
      <c r="G63" s="20"/>
      <c r="H63" s="20"/>
      <c r="I63" s="20"/>
      <c r="J63" s="128"/>
      <c r="K63" s="129"/>
      <c r="L63" s="129"/>
      <c r="M63" s="129"/>
      <c r="N63" s="129"/>
      <c r="O63" s="130"/>
      <c r="P63" s="20"/>
      <c r="Q63" s="20"/>
      <c r="R63" s="20"/>
      <c r="S63" s="20"/>
    </row>
    <row r="64" spans="1:19" ht="18" customHeight="1" x14ac:dyDescent="0.15">
      <c r="A64" s="3"/>
      <c r="B64" s="131"/>
      <c r="C64" s="132"/>
      <c r="D64" s="132"/>
      <c r="E64" s="133"/>
      <c r="F64" s="21"/>
      <c r="G64" s="21"/>
      <c r="H64" s="22"/>
      <c r="I64" s="22"/>
      <c r="J64" s="131"/>
      <c r="K64" s="132"/>
      <c r="L64" s="132"/>
      <c r="M64" s="132"/>
      <c r="N64" s="132"/>
      <c r="O64" s="133"/>
      <c r="P64" s="21"/>
      <c r="Q64" s="21"/>
      <c r="R64" s="22"/>
      <c r="S64" s="22"/>
    </row>
    <row r="65" spans="1:19" ht="7.5" customHeight="1" x14ac:dyDescent="0.15">
      <c r="B65" s="58"/>
      <c r="C65" s="58"/>
      <c r="D65" s="58"/>
      <c r="E65" s="58"/>
      <c r="F65" s="58"/>
      <c r="G65" s="58"/>
      <c r="H65" s="58"/>
      <c r="I65" s="58"/>
      <c r="J65" s="58"/>
      <c r="K65" s="58"/>
      <c r="L65" s="58"/>
      <c r="M65" s="58"/>
      <c r="N65" s="58"/>
      <c r="O65" s="58"/>
      <c r="P65" s="58"/>
      <c r="Q65" s="58"/>
      <c r="R65" s="58"/>
    </row>
    <row r="66" spans="1:19" ht="18" customHeight="1" x14ac:dyDescent="0.15">
      <c r="A66" s="137" t="s">
        <v>38</v>
      </c>
      <c r="B66" s="137"/>
      <c r="C66" s="137"/>
      <c r="D66" s="137"/>
      <c r="E66" s="137"/>
      <c r="F66" s="137"/>
      <c r="G66" s="137"/>
      <c r="H66" s="137"/>
      <c r="I66" s="137"/>
      <c r="J66" s="137"/>
      <c r="K66" s="137"/>
      <c r="L66" s="137"/>
      <c r="M66" s="137"/>
      <c r="N66" s="137"/>
      <c r="O66" s="137"/>
      <c r="P66" s="137"/>
      <c r="Q66" s="137"/>
      <c r="R66" s="137"/>
      <c r="S66" s="137"/>
    </row>
    <row r="67" spans="1:19" ht="18" customHeight="1" x14ac:dyDescent="0.15">
      <c r="A67" s="137"/>
      <c r="B67" s="137"/>
      <c r="C67" s="137"/>
      <c r="D67" s="137"/>
      <c r="E67" s="137"/>
      <c r="F67" s="137"/>
      <c r="G67" s="137"/>
      <c r="H67" s="137"/>
      <c r="I67" s="137"/>
      <c r="J67" s="137"/>
      <c r="K67" s="137"/>
      <c r="L67" s="137"/>
      <c r="M67" s="137"/>
      <c r="N67" s="137"/>
      <c r="O67" s="137"/>
      <c r="P67" s="137"/>
      <c r="Q67" s="137"/>
      <c r="R67" s="137"/>
      <c r="S67" s="137"/>
    </row>
    <row r="68" spans="1:19" ht="18" customHeight="1" x14ac:dyDescent="0.15">
      <c r="B68" s="134" t="s">
        <v>19</v>
      </c>
      <c r="C68" s="135"/>
      <c r="D68" s="135"/>
      <c r="E68" s="35" t="s">
        <v>20</v>
      </c>
      <c r="F68" s="34" t="s">
        <v>21</v>
      </c>
      <c r="G68" s="18" t="s">
        <v>39</v>
      </c>
      <c r="H68" s="18" t="s">
        <v>40</v>
      </c>
      <c r="I68" s="18" t="s">
        <v>41</v>
      </c>
      <c r="J68" s="134" t="s">
        <v>19</v>
      </c>
      <c r="K68" s="135"/>
      <c r="L68" s="135"/>
      <c r="M68" s="135"/>
      <c r="N68" s="136"/>
      <c r="O68" s="35" t="s">
        <v>20</v>
      </c>
      <c r="P68" s="34" t="s">
        <v>21</v>
      </c>
      <c r="Q68" s="18" t="s">
        <v>39</v>
      </c>
      <c r="R68" s="18" t="s">
        <v>40</v>
      </c>
      <c r="S68" s="18" t="s">
        <v>41</v>
      </c>
    </row>
    <row r="69" spans="1:19" ht="18" customHeight="1" x14ac:dyDescent="0.15">
      <c r="A69" s="3"/>
      <c r="B69" s="138" t="s">
        <v>26</v>
      </c>
      <c r="C69" s="139"/>
      <c r="D69" s="139"/>
      <c r="E69" s="19">
        <v>1</v>
      </c>
      <c r="F69" s="19" t="s">
        <v>25</v>
      </c>
      <c r="G69" s="19" t="s">
        <v>25</v>
      </c>
      <c r="H69" s="19" t="s">
        <v>25</v>
      </c>
      <c r="I69" s="19" t="s">
        <v>25</v>
      </c>
      <c r="J69" s="138"/>
      <c r="K69" s="139"/>
      <c r="L69" s="139"/>
      <c r="M69" s="139"/>
      <c r="N69" s="140"/>
      <c r="O69" s="19"/>
      <c r="P69" s="19"/>
      <c r="Q69" s="19"/>
      <c r="R69" s="19"/>
      <c r="S69" s="19"/>
    </row>
    <row r="70" spans="1:19" ht="18" customHeight="1" x14ac:dyDescent="0.15">
      <c r="A70" s="3"/>
      <c r="B70" s="128" t="s">
        <v>67</v>
      </c>
      <c r="C70" s="129"/>
      <c r="D70" s="129"/>
      <c r="E70" s="20">
        <v>1</v>
      </c>
      <c r="F70" s="20" t="s">
        <v>25</v>
      </c>
      <c r="G70" s="20" t="s">
        <v>25</v>
      </c>
      <c r="H70" s="20" t="s">
        <v>25</v>
      </c>
      <c r="I70" s="20" t="s">
        <v>25</v>
      </c>
      <c r="J70" s="128"/>
      <c r="K70" s="129"/>
      <c r="L70" s="129"/>
      <c r="M70" s="129"/>
      <c r="N70" s="130"/>
      <c r="O70" s="20"/>
      <c r="P70" s="20"/>
      <c r="Q70" s="20"/>
      <c r="R70" s="20"/>
      <c r="S70" s="20"/>
    </row>
    <row r="71" spans="1:19" ht="18" customHeight="1" x14ac:dyDescent="0.15">
      <c r="A71" s="3"/>
      <c r="B71" s="128"/>
      <c r="C71" s="129"/>
      <c r="D71" s="129"/>
      <c r="E71" s="20"/>
      <c r="F71" s="20"/>
      <c r="G71" s="20"/>
      <c r="H71" s="20"/>
      <c r="I71" s="20"/>
      <c r="J71" s="128"/>
      <c r="K71" s="129"/>
      <c r="L71" s="129"/>
      <c r="M71" s="129"/>
      <c r="N71" s="130"/>
      <c r="O71" s="20"/>
      <c r="P71" s="20"/>
      <c r="Q71" s="20"/>
      <c r="R71" s="20"/>
      <c r="S71" s="20"/>
    </row>
    <row r="72" spans="1:19" ht="18" customHeight="1" x14ac:dyDescent="0.15">
      <c r="A72" s="3"/>
      <c r="B72" s="128"/>
      <c r="C72" s="129"/>
      <c r="D72" s="129"/>
      <c r="E72" s="20"/>
      <c r="F72" s="20"/>
      <c r="G72" s="20"/>
      <c r="H72" s="20"/>
      <c r="I72" s="20"/>
      <c r="J72" s="128"/>
      <c r="K72" s="129"/>
      <c r="L72" s="129"/>
      <c r="M72" s="129"/>
      <c r="N72" s="130"/>
      <c r="O72" s="20"/>
      <c r="P72" s="20"/>
      <c r="Q72" s="20"/>
      <c r="R72" s="20"/>
      <c r="S72" s="20"/>
    </row>
    <row r="73" spans="1:19" ht="18" customHeight="1" x14ac:dyDescent="0.15">
      <c r="A73" s="3"/>
      <c r="B73" s="128"/>
      <c r="C73" s="129"/>
      <c r="D73" s="129"/>
      <c r="E73" s="20"/>
      <c r="F73" s="20"/>
      <c r="G73" s="20"/>
      <c r="H73" s="20"/>
      <c r="I73" s="20"/>
      <c r="J73" s="128"/>
      <c r="K73" s="129"/>
      <c r="L73" s="129"/>
      <c r="M73" s="129"/>
      <c r="N73" s="130"/>
      <c r="O73" s="20"/>
      <c r="P73" s="20"/>
      <c r="Q73" s="20"/>
      <c r="R73" s="20"/>
      <c r="S73" s="20"/>
    </row>
    <row r="74" spans="1:19" ht="18" customHeight="1" x14ac:dyDescent="0.15">
      <c r="A74" s="3"/>
      <c r="B74" s="128"/>
      <c r="C74" s="129"/>
      <c r="D74" s="129"/>
      <c r="E74" s="20"/>
      <c r="F74" s="20"/>
      <c r="G74" s="20"/>
      <c r="H74" s="20"/>
      <c r="I74" s="20"/>
      <c r="J74" s="128"/>
      <c r="K74" s="129"/>
      <c r="L74" s="129"/>
      <c r="M74" s="129"/>
      <c r="N74" s="130"/>
      <c r="O74" s="20"/>
      <c r="P74" s="20"/>
      <c r="Q74" s="20"/>
      <c r="R74" s="20"/>
      <c r="S74" s="20"/>
    </row>
    <row r="75" spans="1:19" ht="18" customHeight="1" x14ac:dyDescent="0.15">
      <c r="A75" s="3"/>
      <c r="B75" s="131"/>
      <c r="C75" s="132"/>
      <c r="D75" s="132"/>
      <c r="E75" s="21"/>
      <c r="F75" s="21"/>
      <c r="G75" s="22"/>
      <c r="H75" s="22"/>
      <c r="I75" s="22"/>
      <c r="J75" s="131"/>
      <c r="K75" s="132"/>
      <c r="L75" s="132"/>
      <c r="M75" s="132"/>
      <c r="N75" s="133"/>
      <c r="O75" s="21"/>
      <c r="P75" s="21"/>
      <c r="Q75" s="22"/>
      <c r="R75" s="22"/>
      <c r="S75" s="22"/>
    </row>
    <row r="76" spans="1:19" ht="7.5" customHeight="1" x14ac:dyDescent="0.15">
      <c r="B76" s="58"/>
      <c r="C76" s="58"/>
      <c r="D76" s="58"/>
      <c r="E76" s="58"/>
      <c r="F76" s="58"/>
      <c r="G76" s="58"/>
      <c r="H76" s="58"/>
      <c r="I76" s="58"/>
      <c r="J76" s="58"/>
      <c r="K76" s="58"/>
      <c r="L76" s="58"/>
      <c r="M76" s="58"/>
      <c r="N76" s="58"/>
      <c r="O76" s="58"/>
      <c r="P76" s="58"/>
      <c r="Q76" s="58"/>
      <c r="R76" s="58"/>
    </row>
    <row r="77" spans="1:19" ht="18" customHeight="1" x14ac:dyDescent="0.15">
      <c r="A77" s="1" t="s">
        <v>42</v>
      </c>
      <c r="H77" s="3"/>
      <c r="I77" s="3"/>
      <c r="J77" s="3"/>
      <c r="K77" s="3"/>
      <c r="L77" s="3"/>
      <c r="M77" s="3"/>
      <c r="N77" s="3"/>
      <c r="O77" s="3"/>
      <c r="P77" s="3"/>
      <c r="Q77" s="3"/>
      <c r="R77" s="3"/>
      <c r="S77" s="3"/>
    </row>
    <row r="78" spans="1:19" ht="18" customHeight="1" x14ac:dyDescent="0.15">
      <c r="B78" s="134" t="s">
        <v>19</v>
      </c>
      <c r="C78" s="135"/>
      <c r="D78" s="135"/>
      <c r="E78" s="136"/>
      <c r="F78" s="134" t="s">
        <v>43</v>
      </c>
      <c r="G78" s="135"/>
      <c r="H78" s="135"/>
      <c r="I78" s="136"/>
      <c r="J78" s="184" t="s">
        <v>19</v>
      </c>
      <c r="K78" s="185"/>
      <c r="L78" s="185"/>
      <c r="M78" s="185"/>
      <c r="N78" s="185"/>
      <c r="O78" s="186"/>
      <c r="P78" s="134" t="s">
        <v>43</v>
      </c>
      <c r="Q78" s="135"/>
      <c r="R78" s="135"/>
      <c r="S78" s="136"/>
    </row>
    <row r="79" spans="1:19" ht="18" customHeight="1" x14ac:dyDescent="0.15">
      <c r="A79" s="3"/>
      <c r="B79" s="138"/>
      <c r="C79" s="139"/>
      <c r="D79" s="139"/>
      <c r="E79" s="140"/>
      <c r="F79" s="200"/>
      <c r="G79" s="201"/>
      <c r="H79" s="201"/>
      <c r="I79" s="202"/>
      <c r="J79" s="138"/>
      <c r="K79" s="139"/>
      <c r="L79" s="139"/>
      <c r="M79" s="139"/>
      <c r="N79" s="139"/>
      <c r="O79" s="140"/>
      <c r="P79" s="200"/>
      <c r="Q79" s="201"/>
      <c r="R79" s="201"/>
      <c r="S79" s="202"/>
    </row>
    <row r="80" spans="1:19" ht="18" customHeight="1" x14ac:dyDescent="0.15">
      <c r="A80" s="3"/>
      <c r="B80" s="128"/>
      <c r="C80" s="129"/>
      <c r="D80" s="129"/>
      <c r="E80" s="130"/>
      <c r="F80" s="167"/>
      <c r="G80" s="168"/>
      <c r="H80" s="168"/>
      <c r="I80" s="169"/>
      <c r="J80" s="128"/>
      <c r="K80" s="129"/>
      <c r="L80" s="129"/>
      <c r="M80" s="129"/>
      <c r="N80" s="129"/>
      <c r="O80" s="130"/>
      <c r="P80" s="167"/>
      <c r="Q80" s="168"/>
      <c r="R80" s="168"/>
      <c r="S80" s="169"/>
    </row>
    <row r="81" spans="1:19" ht="18" customHeight="1" x14ac:dyDescent="0.15">
      <c r="A81" s="3"/>
      <c r="B81" s="128"/>
      <c r="C81" s="129"/>
      <c r="D81" s="129"/>
      <c r="E81" s="130"/>
      <c r="F81" s="167"/>
      <c r="G81" s="168"/>
      <c r="H81" s="168"/>
      <c r="I81" s="169"/>
      <c r="J81" s="128"/>
      <c r="K81" s="129"/>
      <c r="L81" s="129"/>
      <c r="M81" s="129"/>
      <c r="N81" s="129"/>
      <c r="O81" s="130"/>
      <c r="P81" s="167"/>
      <c r="Q81" s="168"/>
      <c r="R81" s="168"/>
      <c r="S81" s="169"/>
    </row>
    <row r="82" spans="1:19" ht="18" customHeight="1" x14ac:dyDescent="0.15">
      <c r="A82" s="3"/>
      <c r="B82" s="128"/>
      <c r="C82" s="129"/>
      <c r="D82" s="129"/>
      <c r="E82" s="130"/>
      <c r="F82" s="167"/>
      <c r="G82" s="168"/>
      <c r="H82" s="168"/>
      <c r="I82" s="169"/>
      <c r="J82" s="128"/>
      <c r="K82" s="129"/>
      <c r="L82" s="129"/>
      <c r="M82" s="129"/>
      <c r="N82" s="129"/>
      <c r="O82" s="130"/>
      <c r="P82" s="167"/>
      <c r="Q82" s="168"/>
      <c r="R82" s="168"/>
      <c r="S82" s="169"/>
    </row>
    <row r="83" spans="1:19" ht="18" customHeight="1" x14ac:dyDescent="0.15">
      <c r="A83" s="3"/>
      <c r="B83" s="128"/>
      <c r="C83" s="129"/>
      <c r="D83" s="129"/>
      <c r="E83" s="130"/>
      <c r="F83" s="167"/>
      <c r="G83" s="168"/>
      <c r="H83" s="168"/>
      <c r="I83" s="169"/>
      <c r="J83" s="128"/>
      <c r="K83" s="129"/>
      <c r="L83" s="129"/>
      <c r="M83" s="129"/>
      <c r="N83" s="129"/>
      <c r="O83" s="130"/>
      <c r="P83" s="167"/>
      <c r="Q83" s="168"/>
      <c r="R83" s="168"/>
      <c r="S83" s="169"/>
    </row>
    <row r="84" spans="1:19" ht="18" customHeight="1" x14ac:dyDescent="0.15">
      <c r="A84" s="3"/>
      <c r="B84" s="128"/>
      <c r="C84" s="129"/>
      <c r="D84" s="129"/>
      <c r="E84" s="130"/>
      <c r="F84" s="167"/>
      <c r="G84" s="168"/>
      <c r="H84" s="168"/>
      <c r="I84" s="169"/>
      <c r="J84" s="128"/>
      <c r="K84" s="129"/>
      <c r="L84" s="129"/>
      <c r="M84" s="129"/>
      <c r="N84" s="129"/>
      <c r="O84" s="130"/>
      <c r="P84" s="167"/>
      <c r="Q84" s="168"/>
      <c r="R84" s="168"/>
      <c r="S84" s="169"/>
    </row>
    <row r="85" spans="1:19" ht="18" customHeight="1" x14ac:dyDescent="0.15">
      <c r="A85" s="3"/>
      <c r="B85" s="131"/>
      <c r="C85" s="132"/>
      <c r="D85" s="132"/>
      <c r="E85" s="133"/>
      <c r="F85" s="164"/>
      <c r="G85" s="165"/>
      <c r="H85" s="165"/>
      <c r="I85" s="166"/>
      <c r="J85" s="131"/>
      <c r="K85" s="132"/>
      <c r="L85" s="132"/>
      <c r="M85" s="132"/>
      <c r="N85" s="132"/>
      <c r="O85" s="133"/>
      <c r="P85" s="164"/>
      <c r="Q85" s="165"/>
      <c r="R85" s="165"/>
      <c r="S85" s="166"/>
    </row>
    <row r="86" spans="1:19" ht="18" customHeight="1" x14ac:dyDescent="0.15">
      <c r="A86" s="3"/>
      <c r="B86" s="4"/>
      <c r="C86" s="4"/>
      <c r="D86" s="4"/>
      <c r="E86" s="4"/>
      <c r="F86" s="23"/>
      <c r="G86" s="23"/>
      <c r="H86" s="23"/>
      <c r="I86" s="23"/>
      <c r="J86" s="4"/>
      <c r="K86" s="4"/>
      <c r="L86" s="4"/>
      <c r="M86" s="4"/>
      <c r="N86" s="4"/>
      <c r="O86" s="4"/>
      <c r="P86" s="23"/>
      <c r="Q86" s="23"/>
      <c r="R86" s="23"/>
      <c r="S86" s="23"/>
    </row>
    <row r="87" spans="1:19" ht="18.75" customHeight="1" x14ac:dyDescent="0.15">
      <c r="A87" s="90" t="s">
        <v>44</v>
      </c>
      <c r="B87" s="90"/>
      <c r="C87" s="90"/>
      <c r="D87" s="90"/>
      <c r="E87" s="90"/>
    </row>
    <row r="88" spans="1:19" ht="18.75" customHeight="1" x14ac:dyDescent="0.15">
      <c r="B88" s="198" t="s">
        <v>45</v>
      </c>
      <c r="C88" s="199"/>
      <c r="D88" s="135" t="s">
        <v>46</v>
      </c>
      <c r="E88" s="135"/>
      <c r="F88" s="135"/>
      <c r="G88" s="135"/>
      <c r="H88" s="135"/>
      <c r="I88" s="135"/>
      <c r="J88" s="135"/>
      <c r="K88" s="135"/>
      <c r="L88" s="135"/>
      <c r="M88" s="135"/>
      <c r="N88" s="135"/>
      <c r="O88" s="135"/>
      <c r="P88" s="135"/>
      <c r="Q88" s="135"/>
      <c r="R88" s="135"/>
      <c r="S88" s="136"/>
    </row>
    <row r="89" spans="1:19" ht="97.5" customHeight="1" x14ac:dyDescent="0.15">
      <c r="B89" s="187" t="s">
        <v>47</v>
      </c>
      <c r="C89" s="24" t="s">
        <v>22</v>
      </c>
      <c r="D89" s="150" t="s">
        <v>215</v>
      </c>
      <c r="E89" s="196"/>
      <c r="F89" s="196"/>
      <c r="G89" s="196"/>
      <c r="H89" s="196"/>
      <c r="I89" s="196"/>
      <c r="J89" s="196"/>
      <c r="K89" s="196"/>
      <c r="L89" s="196"/>
      <c r="M89" s="196"/>
      <c r="N89" s="196"/>
      <c r="O89" s="196"/>
      <c r="P89" s="196"/>
      <c r="Q89" s="196"/>
      <c r="R89" s="196"/>
      <c r="S89" s="197"/>
    </row>
    <row r="90" spans="1:19" ht="97.5" customHeight="1" x14ac:dyDescent="0.15">
      <c r="B90" s="189"/>
      <c r="C90" s="25" t="s">
        <v>48</v>
      </c>
      <c r="D90" s="170" t="s">
        <v>216</v>
      </c>
      <c r="E90" s="171"/>
      <c r="F90" s="171"/>
      <c r="G90" s="171"/>
      <c r="H90" s="171"/>
      <c r="I90" s="171"/>
      <c r="J90" s="171"/>
      <c r="K90" s="171"/>
      <c r="L90" s="171"/>
      <c r="M90" s="171"/>
      <c r="N90" s="171"/>
      <c r="O90" s="171"/>
      <c r="P90" s="171"/>
      <c r="Q90" s="171"/>
      <c r="R90" s="171"/>
      <c r="S90" s="172"/>
    </row>
    <row r="91" spans="1:19" ht="97.5" customHeight="1" x14ac:dyDescent="0.15">
      <c r="B91" s="187" t="s">
        <v>49</v>
      </c>
      <c r="C91" s="26" t="s">
        <v>29</v>
      </c>
      <c r="D91" s="173" t="s">
        <v>217</v>
      </c>
      <c r="E91" s="174"/>
      <c r="F91" s="174"/>
      <c r="G91" s="174"/>
      <c r="H91" s="174"/>
      <c r="I91" s="174"/>
      <c r="J91" s="174"/>
      <c r="K91" s="174"/>
      <c r="L91" s="174"/>
      <c r="M91" s="174"/>
      <c r="N91" s="174"/>
      <c r="O91" s="174"/>
      <c r="P91" s="174"/>
      <c r="Q91" s="174"/>
      <c r="R91" s="174"/>
      <c r="S91" s="175"/>
    </row>
    <row r="92" spans="1:19" ht="97.5" customHeight="1" x14ac:dyDescent="0.15">
      <c r="B92" s="188"/>
      <c r="C92" s="27" t="s">
        <v>30</v>
      </c>
      <c r="D92" s="178" t="s">
        <v>218</v>
      </c>
      <c r="E92" s="179"/>
      <c r="F92" s="179"/>
      <c r="G92" s="179"/>
      <c r="H92" s="179"/>
      <c r="I92" s="179"/>
      <c r="J92" s="179"/>
      <c r="K92" s="179"/>
      <c r="L92" s="179"/>
      <c r="M92" s="179"/>
      <c r="N92" s="179"/>
      <c r="O92" s="179"/>
      <c r="P92" s="179"/>
      <c r="Q92" s="179"/>
      <c r="R92" s="179"/>
      <c r="S92" s="180"/>
    </row>
    <row r="93" spans="1:19" ht="97.5" customHeight="1" x14ac:dyDescent="0.15">
      <c r="B93" s="187" t="s">
        <v>50</v>
      </c>
      <c r="C93" s="26" t="s">
        <v>33</v>
      </c>
      <c r="D93" s="173" t="s">
        <v>219</v>
      </c>
      <c r="E93" s="174"/>
      <c r="F93" s="174"/>
      <c r="G93" s="174"/>
      <c r="H93" s="174"/>
      <c r="I93" s="174"/>
      <c r="J93" s="174"/>
      <c r="K93" s="174"/>
      <c r="L93" s="174"/>
      <c r="M93" s="174"/>
      <c r="N93" s="174"/>
      <c r="O93" s="174"/>
      <c r="P93" s="174"/>
      <c r="Q93" s="174"/>
      <c r="R93" s="174"/>
      <c r="S93" s="175"/>
    </row>
    <row r="94" spans="1:19" ht="97.5" customHeight="1" x14ac:dyDescent="0.15">
      <c r="B94" s="188"/>
      <c r="C94" s="28" t="s">
        <v>34</v>
      </c>
      <c r="D94" s="156" t="s">
        <v>220</v>
      </c>
      <c r="E94" s="176"/>
      <c r="F94" s="176"/>
      <c r="G94" s="176"/>
      <c r="H94" s="176"/>
      <c r="I94" s="176"/>
      <c r="J94" s="176"/>
      <c r="K94" s="176"/>
      <c r="L94" s="176"/>
      <c r="M94" s="176"/>
      <c r="N94" s="176"/>
      <c r="O94" s="176"/>
      <c r="P94" s="176"/>
      <c r="Q94" s="176"/>
      <c r="R94" s="176"/>
      <c r="S94" s="177"/>
    </row>
    <row r="95" spans="1:19" ht="97.5" customHeight="1" x14ac:dyDescent="0.15">
      <c r="B95" s="187" t="s">
        <v>51</v>
      </c>
      <c r="C95" s="24" t="s">
        <v>36</v>
      </c>
      <c r="D95" s="150" t="s">
        <v>221</v>
      </c>
      <c r="E95" s="196"/>
      <c r="F95" s="196"/>
      <c r="G95" s="196"/>
      <c r="H95" s="196"/>
      <c r="I95" s="196"/>
      <c r="J95" s="196"/>
      <c r="K95" s="196"/>
      <c r="L95" s="196"/>
      <c r="M95" s="196"/>
      <c r="N95" s="196"/>
      <c r="O95" s="196"/>
      <c r="P95" s="196"/>
      <c r="Q95" s="196"/>
      <c r="R95" s="196"/>
      <c r="S95" s="197"/>
    </row>
    <row r="96" spans="1:19" ht="97.5" customHeight="1" x14ac:dyDescent="0.15">
      <c r="B96" s="188"/>
      <c r="C96" s="27" t="s">
        <v>37</v>
      </c>
      <c r="D96" s="178" t="s">
        <v>222</v>
      </c>
      <c r="E96" s="179"/>
      <c r="F96" s="179"/>
      <c r="G96" s="179"/>
      <c r="H96" s="179"/>
      <c r="I96" s="179"/>
      <c r="J96" s="179"/>
      <c r="K96" s="179"/>
      <c r="L96" s="179"/>
      <c r="M96" s="179"/>
      <c r="N96" s="179"/>
      <c r="O96" s="179"/>
      <c r="P96" s="179"/>
      <c r="Q96" s="179"/>
      <c r="R96" s="179"/>
      <c r="S96" s="180"/>
    </row>
    <row r="97" spans="1:19" ht="119.25" customHeight="1" x14ac:dyDescent="0.15">
      <c r="B97" s="187" t="s">
        <v>52</v>
      </c>
      <c r="C97" s="26" t="s">
        <v>53</v>
      </c>
      <c r="D97" s="190" t="s">
        <v>223</v>
      </c>
      <c r="E97" s="191"/>
      <c r="F97" s="191"/>
      <c r="G97" s="191"/>
      <c r="H97" s="191"/>
      <c r="I97" s="191"/>
      <c r="J97" s="191"/>
      <c r="K97" s="191"/>
      <c r="L97" s="191"/>
      <c r="M97" s="191"/>
      <c r="N97" s="191"/>
      <c r="O97" s="191"/>
      <c r="P97" s="191"/>
      <c r="Q97" s="191"/>
      <c r="R97" s="191"/>
      <c r="S97" s="192"/>
    </row>
    <row r="98" spans="1:19" ht="105.75" customHeight="1" x14ac:dyDescent="0.15">
      <c r="B98" s="189"/>
      <c r="C98" s="29" t="s">
        <v>40</v>
      </c>
      <c r="D98" s="181" t="s">
        <v>224</v>
      </c>
      <c r="E98" s="182"/>
      <c r="F98" s="182"/>
      <c r="G98" s="182"/>
      <c r="H98" s="182"/>
      <c r="I98" s="182"/>
      <c r="J98" s="182"/>
      <c r="K98" s="182"/>
      <c r="L98" s="182"/>
      <c r="M98" s="182"/>
      <c r="N98" s="182"/>
      <c r="O98" s="182"/>
      <c r="P98" s="182"/>
      <c r="Q98" s="182"/>
      <c r="R98" s="182"/>
      <c r="S98" s="183"/>
    </row>
    <row r="99" spans="1:19" ht="102" customHeight="1" x14ac:dyDescent="0.15">
      <c r="B99" s="188"/>
      <c r="C99" s="28" t="s">
        <v>41</v>
      </c>
      <c r="D99" s="193" t="s">
        <v>225</v>
      </c>
      <c r="E99" s="194"/>
      <c r="F99" s="194"/>
      <c r="G99" s="194"/>
      <c r="H99" s="194"/>
      <c r="I99" s="194"/>
      <c r="J99" s="194"/>
      <c r="K99" s="194"/>
      <c r="L99" s="194"/>
      <c r="M99" s="194"/>
      <c r="N99" s="194"/>
      <c r="O99" s="194"/>
      <c r="P99" s="194"/>
      <c r="Q99" s="194"/>
      <c r="R99" s="194"/>
      <c r="S99" s="195"/>
    </row>
    <row r="100" spans="1:19" ht="6" customHeight="1" x14ac:dyDescent="0.15"/>
    <row r="101" spans="1:19" ht="18.75" customHeight="1" x14ac:dyDescent="0.15">
      <c r="A101" s="1" t="s">
        <v>54</v>
      </c>
    </row>
    <row r="102" spans="1:19" ht="81.75" customHeight="1" x14ac:dyDescent="0.15">
      <c r="B102" s="161" t="s">
        <v>55</v>
      </c>
      <c r="C102" s="162"/>
      <c r="D102" s="162"/>
      <c r="E102" s="162"/>
      <c r="F102" s="162"/>
      <c r="G102" s="162"/>
      <c r="H102" s="162"/>
      <c r="I102" s="162"/>
      <c r="J102" s="162"/>
      <c r="K102" s="162"/>
      <c r="L102" s="162"/>
      <c r="M102" s="162"/>
      <c r="N102" s="162"/>
      <c r="O102" s="162"/>
      <c r="P102" s="162"/>
      <c r="Q102" s="162"/>
      <c r="R102" s="162"/>
      <c r="S102" s="163"/>
    </row>
    <row r="110" spans="1:19" ht="18" customHeight="1" x14ac:dyDescent="0.15"/>
  </sheetData>
  <customSheetViews>
    <customSheetView guid="{EF565584-6FC7-43D6-8DE5-80F819FA140A}" showPageBreaks="1" printArea="1" hiddenColumns="1" view="pageBreakPreview" topLeftCell="A34">
      <selection activeCell="AC47" sqref="AC47"/>
      <rowBreaks count="2" manualBreakCount="2">
        <brk id="65" max="18" man="1"/>
        <brk id="94" max="18" man="1"/>
      </rowBreaks>
      <colBreaks count="1" manualBreakCount="1">
        <brk id="19" max="1048575" man="1"/>
      </colBreaks>
      <pageMargins left="0.7" right="0.7" top="0.75" bottom="0.75" header="0.3" footer="0.3"/>
      <pageSetup paperSize="9" scale="73" orientation="portrait" horizontalDpi="1200" verticalDpi="1200" r:id="rId1"/>
    </customSheetView>
  </customSheetViews>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00000000-0002-0000-0300-000000000000}">
      <formula1>$V$14:$V$16</formula1>
    </dataValidation>
    <dataValidation type="list" allowBlank="1" showInputMessage="1" showErrorMessage="1" sqref="F79:F86 P79:P86 G79:I80 G83:I86 Q83:S86 Q79:S80" xr:uid="{00000000-0002-0000-03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00000000-0002-0000-0300-000002000000}">
      <formula1>"学部・学科によって、修了要件は相違する,学部・学科によって、修了要件は相違しない"</formula1>
    </dataValidation>
    <dataValidation type="list" allowBlank="1" showInputMessage="1" showErrorMessage="1" sqref="S32 S43 D32:G32 D43:G43" xr:uid="{00000000-0002-0000-0300-000003000000}">
      <formula1>"全学開講,一部開講"</formula1>
    </dataValidation>
    <dataValidation type="list" allowBlank="1" showInputMessage="1" showErrorMessage="1" sqref="G25:I31 Q25:S31 G36:I42 Q36:S42 G47:I53 Q47:S53 G58:I64 Q58:S64 F69:I75 P69:S75" xr:uid="{00000000-0002-0000-0300-000004000000}">
      <formula1>"○"</formula1>
    </dataValidation>
  </dataValidations>
  <pageMargins left="0.7" right="0.7" top="0.75" bottom="0.75" header="0.3" footer="0.3"/>
  <pageSetup paperSize="8" scale="73" orientation="portrait" horizontalDpi="1200" verticalDpi="1200" r:id="rId2"/>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G32"/>
  <sheetViews>
    <sheetView view="pageBreakPreview" zoomScaleNormal="100" zoomScaleSheetLayoutView="100" workbookViewId="0">
      <selection activeCell="C5" sqref="C5:D5"/>
    </sheetView>
  </sheetViews>
  <sheetFormatPr defaultColWidth="9" defaultRowHeight="18.75" customHeight="1" x14ac:dyDescent="0.15"/>
  <cols>
    <col min="1" max="1" width="2.75" style="1" customWidth="1"/>
    <col min="2" max="2" width="20.75" style="1" customWidth="1"/>
    <col min="3" max="5" width="6.125" style="1" customWidth="1"/>
    <col min="6" max="30" width="4.875" style="1" customWidth="1"/>
    <col min="31" max="31" width="6.625" style="1" customWidth="1"/>
    <col min="32" max="16384" width="9" style="1"/>
  </cols>
  <sheetData>
    <row r="1" spans="1:33" ht="18" customHeight="1" x14ac:dyDescent="0.15">
      <c r="AD1" s="264" t="s">
        <v>69</v>
      </c>
      <c r="AE1" s="264"/>
    </row>
    <row r="2" spans="1:33" ht="18" customHeight="1" x14ac:dyDescent="0.15">
      <c r="K2" s="56"/>
      <c r="Q2" s="56"/>
      <c r="U2" s="56"/>
      <c r="Y2" s="1" t="s">
        <v>70</v>
      </c>
      <c r="AA2" s="134" t="str">
        <f>'様式1-1　プログラムを構成する授業科目'!C2</f>
        <v>呉工業高等専門学校</v>
      </c>
      <c r="AB2" s="135"/>
      <c r="AC2" s="135"/>
      <c r="AD2" s="135"/>
      <c r="AE2" s="136"/>
    </row>
    <row r="3" spans="1:33" ht="18" customHeight="1" x14ac:dyDescent="0.15">
      <c r="A3" s="59" t="s">
        <v>71</v>
      </c>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row>
    <row r="4" spans="1:33"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row>
    <row r="5" spans="1:33" ht="18" customHeight="1" x14ac:dyDescent="0.15">
      <c r="A5" s="1" t="s">
        <v>72</v>
      </c>
      <c r="C5" s="278" t="s">
        <v>226</v>
      </c>
      <c r="D5" s="279"/>
      <c r="E5" s="3" t="s">
        <v>73</v>
      </c>
      <c r="F5" s="3"/>
      <c r="G5" s="3"/>
      <c r="H5" s="3"/>
      <c r="I5" s="3"/>
      <c r="J5" s="3"/>
      <c r="K5" s="3"/>
      <c r="L5" s="3"/>
      <c r="M5" s="3"/>
      <c r="N5" s="3"/>
      <c r="O5" s="3"/>
      <c r="P5" s="3"/>
      <c r="Q5" s="3"/>
      <c r="R5" s="3"/>
      <c r="S5" s="3"/>
      <c r="T5" s="3"/>
      <c r="U5" s="3"/>
      <c r="V5" s="3"/>
      <c r="W5" s="3"/>
      <c r="X5" s="3"/>
      <c r="Y5" s="3"/>
      <c r="Z5" s="3"/>
      <c r="AA5" s="3"/>
      <c r="AB5" s="3"/>
      <c r="AC5" s="3"/>
      <c r="AD5" s="4"/>
      <c r="AE5" s="4"/>
    </row>
    <row r="6" spans="1:33"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row>
    <row r="7" spans="1:33" ht="18" customHeight="1" x14ac:dyDescent="0.15">
      <c r="A7" s="1" t="s">
        <v>74</v>
      </c>
      <c r="B7" s="3"/>
      <c r="C7" s="3"/>
      <c r="D7" s="3"/>
      <c r="E7" s="3"/>
      <c r="F7" s="3"/>
      <c r="G7" s="3"/>
      <c r="H7" s="3"/>
      <c r="I7" s="3"/>
      <c r="J7" s="3"/>
      <c r="K7" s="3"/>
      <c r="L7" s="3"/>
      <c r="M7" s="3"/>
      <c r="N7" s="3"/>
      <c r="O7" s="3"/>
      <c r="P7" s="3"/>
      <c r="Q7" s="3"/>
      <c r="R7" s="3"/>
      <c r="S7" s="3"/>
      <c r="T7" s="3"/>
      <c r="U7" s="3"/>
      <c r="V7" s="3"/>
      <c r="W7" s="3"/>
      <c r="X7" s="3"/>
      <c r="Y7" s="3"/>
      <c r="Z7" s="3"/>
      <c r="AA7" s="3"/>
      <c r="AB7" s="3"/>
      <c r="AC7" s="3"/>
      <c r="AD7" s="3"/>
      <c r="AE7" s="3"/>
    </row>
    <row r="8" spans="1:33"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row>
    <row r="9" spans="1:33" ht="18" customHeight="1" x14ac:dyDescent="0.15">
      <c r="B9" s="280" t="s">
        <v>75</v>
      </c>
      <c r="C9" s="289" t="s">
        <v>76</v>
      </c>
      <c r="D9" s="283" t="s">
        <v>77</v>
      </c>
      <c r="E9" s="286" t="s">
        <v>78</v>
      </c>
      <c r="F9" s="267" t="s">
        <v>79</v>
      </c>
      <c r="G9" s="267"/>
      <c r="H9" s="267"/>
      <c r="I9" s="267"/>
      <c r="J9" s="267"/>
      <c r="K9" s="267"/>
      <c r="L9" s="267" t="s">
        <v>80</v>
      </c>
      <c r="M9" s="267"/>
      <c r="N9" s="267"/>
      <c r="O9" s="267"/>
      <c r="P9" s="267"/>
      <c r="Q9" s="267"/>
      <c r="R9" s="267" t="s">
        <v>81</v>
      </c>
      <c r="S9" s="267"/>
      <c r="T9" s="267"/>
      <c r="U9" s="267"/>
      <c r="V9" s="267"/>
      <c r="W9" s="267"/>
      <c r="X9" s="268" t="s">
        <v>82</v>
      </c>
      <c r="Y9" s="269"/>
      <c r="Z9" s="269"/>
      <c r="AA9" s="269"/>
      <c r="AB9" s="269"/>
      <c r="AC9" s="270"/>
      <c r="AD9" s="272" t="s">
        <v>83</v>
      </c>
      <c r="AE9" s="275" t="s">
        <v>84</v>
      </c>
      <c r="AG9" s="2"/>
    </row>
    <row r="10" spans="1:33" ht="16.899999999999999" customHeight="1" x14ac:dyDescent="0.15">
      <c r="B10" s="281"/>
      <c r="C10" s="290"/>
      <c r="D10" s="284"/>
      <c r="E10" s="287"/>
      <c r="F10" s="265" t="s">
        <v>85</v>
      </c>
      <c r="G10" s="266"/>
      <c r="H10" s="266"/>
      <c r="I10" s="265" t="s">
        <v>86</v>
      </c>
      <c r="J10" s="266"/>
      <c r="K10" s="266"/>
      <c r="L10" s="265" t="s">
        <v>85</v>
      </c>
      <c r="M10" s="266"/>
      <c r="N10" s="266"/>
      <c r="O10" s="265" t="s">
        <v>86</v>
      </c>
      <c r="P10" s="266"/>
      <c r="Q10" s="266"/>
      <c r="R10" s="265" t="s">
        <v>85</v>
      </c>
      <c r="S10" s="266"/>
      <c r="T10" s="266"/>
      <c r="U10" s="265" t="s">
        <v>86</v>
      </c>
      <c r="V10" s="266"/>
      <c r="W10" s="266"/>
      <c r="X10" s="265" t="s">
        <v>85</v>
      </c>
      <c r="Y10" s="266"/>
      <c r="Z10" s="271"/>
      <c r="AA10" s="265" t="s">
        <v>86</v>
      </c>
      <c r="AB10" s="266"/>
      <c r="AC10" s="271"/>
      <c r="AD10" s="273"/>
      <c r="AE10" s="276"/>
      <c r="AG10" s="2"/>
    </row>
    <row r="11" spans="1:33" ht="18" customHeight="1" x14ac:dyDescent="0.15">
      <c r="B11" s="282"/>
      <c r="C11" s="291"/>
      <c r="D11" s="285"/>
      <c r="E11" s="288"/>
      <c r="F11" s="13" t="s">
        <v>87</v>
      </c>
      <c r="G11" s="14" t="s">
        <v>88</v>
      </c>
      <c r="H11" s="15" t="s">
        <v>89</v>
      </c>
      <c r="I11" s="13" t="s">
        <v>87</v>
      </c>
      <c r="J11" s="14" t="s">
        <v>88</v>
      </c>
      <c r="K11" s="15" t="s">
        <v>89</v>
      </c>
      <c r="L11" s="13" t="s">
        <v>87</v>
      </c>
      <c r="M11" s="14" t="s">
        <v>88</v>
      </c>
      <c r="N11" s="15" t="s">
        <v>89</v>
      </c>
      <c r="O11" s="13" t="s">
        <v>87</v>
      </c>
      <c r="P11" s="14" t="s">
        <v>88</v>
      </c>
      <c r="Q11" s="15" t="s">
        <v>89</v>
      </c>
      <c r="R11" s="13" t="s">
        <v>87</v>
      </c>
      <c r="S11" s="14" t="s">
        <v>88</v>
      </c>
      <c r="T11" s="15" t="s">
        <v>89</v>
      </c>
      <c r="U11" s="13" t="s">
        <v>87</v>
      </c>
      <c r="V11" s="14" t="s">
        <v>88</v>
      </c>
      <c r="W11" s="15" t="s">
        <v>89</v>
      </c>
      <c r="X11" s="13" t="s">
        <v>87</v>
      </c>
      <c r="Y11" s="14" t="s">
        <v>88</v>
      </c>
      <c r="Z11" s="15" t="s">
        <v>89</v>
      </c>
      <c r="AA11" s="13" t="s">
        <v>87</v>
      </c>
      <c r="AB11" s="14" t="s">
        <v>88</v>
      </c>
      <c r="AC11" s="15" t="s">
        <v>89</v>
      </c>
      <c r="AD11" s="274"/>
      <c r="AE11" s="277"/>
      <c r="AG11" s="2"/>
    </row>
    <row r="12" spans="1:33" ht="18" customHeight="1" x14ac:dyDescent="0.15">
      <c r="A12" s="4"/>
      <c r="B12" s="9" t="s">
        <v>9</v>
      </c>
      <c r="C12" s="36">
        <v>211</v>
      </c>
      <c r="D12" s="37">
        <v>40</v>
      </c>
      <c r="E12" s="38">
        <v>200</v>
      </c>
      <c r="F12" s="38">
        <f>G12+H12</f>
        <v>45</v>
      </c>
      <c r="G12" s="39">
        <v>41</v>
      </c>
      <c r="H12" s="40">
        <v>4</v>
      </c>
      <c r="I12" s="38">
        <f>J12+K12</f>
        <v>0</v>
      </c>
      <c r="J12" s="39">
        <v>0</v>
      </c>
      <c r="K12" s="40">
        <v>0</v>
      </c>
      <c r="L12" s="38">
        <f>M12+N12</f>
        <v>0</v>
      </c>
      <c r="M12" s="39"/>
      <c r="N12" s="40"/>
      <c r="O12" s="38">
        <f>P12+Q12</f>
        <v>0</v>
      </c>
      <c r="P12" s="39">
        <v>0</v>
      </c>
      <c r="Q12" s="40">
        <v>0</v>
      </c>
      <c r="R12" s="38">
        <f>S12+T12</f>
        <v>0</v>
      </c>
      <c r="S12" s="39"/>
      <c r="T12" s="40"/>
      <c r="U12" s="38">
        <f>V12+W12</f>
        <v>0</v>
      </c>
      <c r="V12" s="39"/>
      <c r="W12" s="40"/>
      <c r="X12" s="38">
        <f>Y12+Z12</f>
        <v>0</v>
      </c>
      <c r="Y12" s="39"/>
      <c r="Z12" s="40"/>
      <c r="AA12" s="38">
        <f>AB12+AC12</f>
        <v>0</v>
      </c>
      <c r="AB12" s="39"/>
      <c r="AC12" s="40"/>
      <c r="AD12" s="37">
        <f>F12+L12+R12+X12</f>
        <v>45</v>
      </c>
      <c r="AE12" s="17">
        <f t="shared" ref="AE12:AE32" si="0">AD12/E12</f>
        <v>0.22500000000000001</v>
      </c>
    </row>
    <row r="13" spans="1:33" ht="18" customHeight="1" x14ac:dyDescent="0.15">
      <c r="A13" s="4"/>
      <c r="B13" s="10" t="s">
        <v>56</v>
      </c>
      <c r="C13" s="41">
        <v>199</v>
      </c>
      <c r="D13" s="42">
        <v>40</v>
      </c>
      <c r="E13" s="43">
        <v>200</v>
      </c>
      <c r="F13" s="44">
        <f t="shared" ref="F13:F31" si="1">G13+H13</f>
        <v>44</v>
      </c>
      <c r="G13" s="45">
        <v>39</v>
      </c>
      <c r="H13" s="46">
        <v>5</v>
      </c>
      <c r="I13" s="44">
        <f t="shared" ref="I13:I31" si="2">J13+K13</f>
        <v>0</v>
      </c>
      <c r="J13" s="45">
        <v>0</v>
      </c>
      <c r="K13" s="46">
        <v>0</v>
      </c>
      <c r="L13" s="44">
        <f t="shared" ref="L13:L31" si="3">M13+N13</f>
        <v>0</v>
      </c>
      <c r="M13" s="45"/>
      <c r="N13" s="46"/>
      <c r="O13" s="44">
        <f t="shared" ref="O13:O31" si="4">P13+Q13</f>
        <v>0</v>
      </c>
      <c r="P13" s="45">
        <v>0</v>
      </c>
      <c r="Q13" s="46">
        <v>0</v>
      </c>
      <c r="R13" s="44">
        <f t="shared" ref="R13:R31" si="5">S13+T13</f>
        <v>0</v>
      </c>
      <c r="S13" s="45"/>
      <c r="T13" s="46"/>
      <c r="U13" s="44">
        <f t="shared" ref="U13:U31" si="6">V13+W13</f>
        <v>0</v>
      </c>
      <c r="V13" s="45"/>
      <c r="W13" s="46"/>
      <c r="X13" s="44">
        <f t="shared" ref="X13:X31" si="7">Y13+Z13</f>
        <v>0</v>
      </c>
      <c r="Y13" s="45"/>
      <c r="Z13" s="46"/>
      <c r="AA13" s="44">
        <f t="shared" ref="AA13:AA31" si="8">AB13+AC13</f>
        <v>0</v>
      </c>
      <c r="AB13" s="45"/>
      <c r="AC13" s="46"/>
      <c r="AD13" s="42">
        <f>F13+L13+R13+X13</f>
        <v>44</v>
      </c>
      <c r="AE13" s="16">
        <f t="shared" si="0"/>
        <v>0.22</v>
      </c>
    </row>
    <row r="14" spans="1:33" ht="18" customHeight="1" x14ac:dyDescent="0.15">
      <c r="A14" s="4"/>
      <c r="B14" s="10" t="s">
        <v>63</v>
      </c>
      <c r="C14" s="41">
        <v>212</v>
      </c>
      <c r="D14" s="42">
        <v>40</v>
      </c>
      <c r="E14" s="43">
        <v>200</v>
      </c>
      <c r="F14" s="44">
        <f t="shared" si="1"/>
        <v>43</v>
      </c>
      <c r="G14" s="45">
        <v>30</v>
      </c>
      <c r="H14" s="46">
        <v>13</v>
      </c>
      <c r="I14" s="44">
        <f t="shared" si="2"/>
        <v>0</v>
      </c>
      <c r="J14" s="45">
        <v>0</v>
      </c>
      <c r="K14" s="46">
        <v>0</v>
      </c>
      <c r="L14" s="44">
        <f t="shared" si="3"/>
        <v>0</v>
      </c>
      <c r="M14" s="45"/>
      <c r="N14" s="46"/>
      <c r="O14" s="44">
        <f t="shared" si="4"/>
        <v>0</v>
      </c>
      <c r="P14" s="45">
        <v>0</v>
      </c>
      <c r="Q14" s="46">
        <v>0</v>
      </c>
      <c r="R14" s="44">
        <f t="shared" si="5"/>
        <v>0</v>
      </c>
      <c r="S14" s="45"/>
      <c r="T14" s="46"/>
      <c r="U14" s="44">
        <f t="shared" si="6"/>
        <v>0</v>
      </c>
      <c r="V14" s="45"/>
      <c r="W14" s="46"/>
      <c r="X14" s="44">
        <f t="shared" si="7"/>
        <v>0</v>
      </c>
      <c r="Y14" s="45"/>
      <c r="Z14" s="46"/>
      <c r="AA14" s="44">
        <f t="shared" si="8"/>
        <v>0</v>
      </c>
      <c r="AB14" s="45"/>
      <c r="AC14" s="46"/>
      <c r="AD14" s="42">
        <f>F14+L14+R14+X14</f>
        <v>43</v>
      </c>
      <c r="AE14" s="6">
        <f t="shared" si="0"/>
        <v>0.215</v>
      </c>
    </row>
    <row r="15" spans="1:33" ht="18" customHeight="1" x14ac:dyDescent="0.15">
      <c r="A15" s="4"/>
      <c r="B15" s="10" t="s">
        <v>66</v>
      </c>
      <c r="C15" s="41">
        <v>204</v>
      </c>
      <c r="D15" s="42">
        <v>40</v>
      </c>
      <c r="E15" s="43">
        <v>200</v>
      </c>
      <c r="F15" s="44">
        <f t="shared" si="1"/>
        <v>42</v>
      </c>
      <c r="G15" s="45">
        <v>21</v>
      </c>
      <c r="H15" s="46">
        <v>21</v>
      </c>
      <c r="I15" s="44">
        <f t="shared" si="2"/>
        <v>0</v>
      </c>
      <c r="J15" s="45">
        <v>0</v>
      </c>
      <c r="K15" s="46">
        <v>0</v>
      </c>
      <c r="L15" s="44">
        <f t="shared" si="3"/>
        <v>0</v>
      </c>
      <c r="M15" s="45"/>
      <c r="N15" s="46"/>
      <c r="O15" s="44">
        <f t="shared" si="4"/>
        <v>0</v>
      </c>
      <c r="P15" s="45">
        <v>0</v>
      </c>
      <c r="Q15" s="46">
        <v>0</v>
      </c>
      <c r="R15" s="44">
        <f t="shared" si="5"/>
        <v>0</v>
      </c>
      <c r="S15" s="45"/>
      <c r="T15" s="46"/>
      <c r="U15" s="44">
        <f t="shared" si="6"/>
        <v>0</v>
      </c>
      <c r="V15" s="45"/>
      <c r="W15" s="46"/>
      <c r="X15" s="44">
        <f t="shared" si="7"/>
        <v>0</v>
      </c>
      <c r="Y15" s="45"/>
      <c r="Z15" s="46"/>
      <c r="AA15" s="44">
        <f t="shared" si="8"/>
        <v>0</v>
      </c>
      <c r="AB15" s="45"/>
      <c r="AC15" s="46"/>
      <c r="AD15" s="42">
        <f t="shared" ref="AD15:AD30" si="9">F15+L15+R15+X15</f>
        <v>42</v>
      </c>
      <c r="AE15" s="6">
        <f t="shared" si="0"/>
        <v>0.21</v>
      </c>
    </row>
    <row r="16" spans="1:33" ht="18" customHeight="1" x14ac:dyDescent="0.15">
      <c r="A16" s="4"/>
      <c r="B16" s="10"/>
      <c r="C16" s="41"/>
      <c r="D16" s="42"/>
      <c r="E16" s="43"/>
      <c r="F16" s="44">
        <f t="shared" si="1"/>
        <v>0</v>
      </c>
      <c r="G16" s="45"/>
      <c r="H16" s="46"/>
      <c r="I16" s="44">
        <f t="shared" si="2"/>
        <v>0</v>
      </c>
      <c r="J16" s="45"/>
      <c r="K16" s="46"/>
      <c r="L16" s="44">
        <f t="shared" si="3"/>
        <v>0</v>
      </c>
      <c r="M16" s="45"/>
      <c r="N16" s="46"/>
      <c r="O16" s="44">
        <f t="shared" si="4"/>
        <v>0</v>
      </c>
      <c r="P16" s="45"/>
      <c r="Q16" s="46"/>
      <c r="R16" s="44">
        <f t="shared" si="5"/>
        <v>0</v>
      </c>
      <c r="S16" s="45"/>
      <c r="T16" s="46"/>
      <c r="U16" s="44">
        <f t="shared" si="6"/>
        <v>0</v>
      </c>
      <c r="V16" s="45"/>
      <c r="W16" s="46"/>
      <c r="X16" s="44">
        <f t="shared" si="7"/>
        <v>0</v>
      </c>
      <c r="Y16" s="45"/>
      <c r="Z16" s="46"/>
      <c r="AA16" s="44">
        <f t="shared" si="8"/>
        <v>0</v>
      </c>
      <c r="AB16" s="45"/>
      <c r="AC16" s="46"/>
      <c r="AD16" s="42">
        <f t="shared" si="9"/>
        <v>0</v>
      </c>
      <c r="AE16" s="6" t="e">
        <f t="shared" si="0"/>
        <v>#DIV/0!</v>
      </c>
    </row>
    <row r="17" spans="1:31" ht="18" customHeight="1" x14ac:dyDescent="0.15">
      <c r="A17" s="4"/>
      <c r="B17" s="10"/>
      <c r="C17" s="41"/>
      <c r="D17" s="42"/>
      <c r="E17" s="43"/>
      <c r="F17" s="44">
        <f t="shared" si="1"/>
        <v>0</v>
      </c>
      <c r="G17" s="45"/>
      <c r="H17" s="46"/>
      <c r="I17" s="44">
        <f t="shared" si="2"/>
        <v>0</v>
      </c>
      <c r="J17" s="45"/>
      <c r="K17" s="46"/>
      <c r="L17" s="44">
        <f t="shared" si="3"/>
        <v>0</v>
      </c>
      <c r="M17" s="45"/>
      <c r="N17" s="46"/>
      <c r="O17" s="44">
        <f t="shared" si="4"/>
        <v>0</v>
      </c>
      <c r="P17" s="45"/>
      <c r="Q17" s="46"/>
      <c r="R17" s="44">
        <f t="shared" si="5"/>
        <v>0</v>
      </c>
      <c r="S17" s="45"/>
      <c r="T17" s="46"/>
      <c r="U17" s="44">
        <f t="shared" si="6"/>
        <v>0</v>
      </c>
      <c r="V17" s="45"/>
      <c r="W17" s="46"/>
      <c r="X17" s="44">
        <f t="shared" si="7"/>
        <v>0</v>
      </c>
      <c r="Y17" s="45"/>
      <c r="Z17" s="46"/>
      <c r="AA17" s="44">
        <f t="shared" si="8"/>
        <v>0</v>
      </c>
      <c r="AB17" s="45"/>
      <c r="AC17" s="46"/>
      <c r="AD17" s="42">
        <f t="shared" si="9"/>
        <v>0</v>
      </c>
      <c r="AE17" s="6" t="e">
        <f t="shared" si="0"/>
        <v>#DIV/0!</v>
      </c>
    </row>
    <row r="18" spans="1:31" ht="18" customHeight="1" x14ac:dyDescent="0.15">
      <c r="A18" s="4"/>
      <c r="B18" s="10"/>
      <c r="C18" s="41"/>
      <c r="D18" s="42"/>
      <c r="E18" s="43"/>
      <c r="F18" s="44">
        <f t="shared" si="1"/>
        <v>0</v>
      </c>
      <c r="G18" s="45"/>
      <c r="H18" s="46"/>
      <c r="I18" s="44">
        <f t="shared" si="2"/>
        <v>0</v>
      </c>
      <c r="J18" s="45"/>
      <c r="K18" s="46"/>
      <c r="L18" s="44">
        <f t="shared" si="3"/>
        <v>0</v>
      </c>
      <c r="M18" s="45"/>
      <c r="N18" s="46"/>
      <c r="O18" s="44">
        <f t="shared" si="4"/>
        <v>0</v>
      </c>
      <c r="P18" s="45"/>
      <c r="Q18" s="46"/>
      <c r="R18" s="44">
        <f t="shared" si="5"/>
        <v>0</v>
      </c>
      <c r="S18" s="45"/>
      <c r="T18" s="46"/>
      <c r="U18" s="44">
        <f t="shared" si="6"/>
        <v>0</v>
      </c>
      <c r="V18" s="45"/>
      <c r="W18" s="46"/>
      <c r="X18" s="44">
        <f t="shared" si="7"/>
        <v>0</v>
      </c>
      <c r="Y18" s="45"/>
      <c r="Z18" s="46"/>
      <c r="AA18" s="44">
        <f t="shared" si="8"/>
        <v>0</v>
      </c>
      <c r="AB18" s="45"/>
      <c r="AC18" s="46"/>
      <c r="AD18" s="42">
        <f t="shared" si="9"/>
        <v>0</v>
      </c>
      <c r="AE18" s="6" t="e">
        <f t="shared" si="0"/>
        <v>#DIV/0!</v>
      </c>
    </row>
    <row r="19" spans="1:31" ht="18" customHeight="1" x14ac:dyDescent="0.15">
      <c r="A19" s="4"/>
      <c r="B19" s="10"/>
      <c r="C19" s="41"/>
      <c r="D19" s="42"/>
      <c r="E19" s="43"/>
      <c r="F19" s="44">
        <f t="shared" si="1"/>
        <v>0</v>
      </c>
      <c r="G19" s="45"/>
      <c r="H19" s="46"/>
      <c r="I19" s="44">
        <f t="shared" si="2"/>
        <v>0</v>
      </c>
      <c r="J19" s="45"/>
      <c r="K19" s="46"/>
      <c r="L19" s="44">
        <f t="shared" si="3"/>
        <v>0</v>
      </c>
      <c r="M19" s="45"/>
      <c r="N19" s="46"/>
      <c r="O19" s="44">
        <f t="shared" si="4"/>
        <v>0</v>
      </c>
      <c r="P19" s="45"/>
      <c r="Q19" s="46"/>
      <c r="R19" s="44">
        <f t="shared" si="5"/>
        <v>0</v>
      </c>
      <c r="S19" s="45"/>
      <c r="T19" s="46"/>
      <c r="U19" s="44">
        <f t="shared" si="6"/>
        <v>0</v>
      </c>
      <c r="V19" s="45"/>
      <c r="W19" s="46"/>
      <c r="X19" s="44">
        <f t="shared" si="7"/>
        <v>0</v>
      </c>
      <c r="Y19" s="45"/>
      <c r="Z19" s="46"/>
      <c r="AA19" s="44">
        <f t="shared" si="8"/>
        <v>0</v>
      </c>
      <c r="AB19" s="45"/>
      <c r="AC19" s="46"/>
      <c r="AD19" s="42">
        <f t="shared" si="9"/>
        <v>0</v>
      </c>
      <c r="AE19" s="6" t="e">
        <f t="shared" si="0"/>
        <v>#DIV/0!</v>
      </c>
    </row>
    <row r="20" spans="1:31" ht="18" customHeight="1" x14ac:dyDescent="0.15">
      <c r="A20" s="4"/>
      <c r="B20" s="10"/>
      <c r="C20" s="41"/>
      <c r="D20" s="42"/>
      <c r="E20" s="43"/>
      <c r="F20" s="44">
        <f t="shared" si="1"/>
        <v>0</v>
      </c>
      <c r="G20" s="45"/>
      <c r="H20" s="46"/>
      <c r="I20" s="44">
        <f t="shared" si="2"/>
        <v>0</v>
      </c>
      <c r="J20" s="45"/>
      <c r="K20" s="46"/>
      <c r="L20" s="44">
        <f t="shared" si="3"/>
        <v>0</v>
      </c>
      <c r="M20" s="45"/>
      <c r="N20" s="46"/>
      <c r="O20" s="44">
        <f t="shared" si="4"/>
        <v>0</v>
      </c>
      <c r="P20" s="45"/>
      <c r="Q20" s="46"/>
      <c r="R20" s="44">
        <f t="shared" si="5"/>
        <v>0</v>
      </c>
      <c r="S20" s="45"/>
      <c r="T20" s="46"/>
      <c r="U20" s="44">
        <f t="shared" si="6"/>
        <v>0</v>
      </c>
      <c r="V20" s="45"/>
      <c r="W20" s="46"/>
      <c r="X20" s="44">
        <f t="shared" si="7"/>
        <v>0</v>
      </c>
      <c r="Y20" s="45"/>
      <c r="Z20" s="46"/>
      <c r="AA20" s="44">
        <f t="shared" si="8"/>
        <v>0</v>
      </c>
      <c r="AB20" s="45"/>
      <c r="AC20" s="46"/>
      <c r="AD20" s="42">
        <f t="shared" si="9"/>
        <v>0</v>
      </c>
      <c r="AE20" s="6" t="e">
        <f t="shared" si="0"/>
        <v>#DIV/0!</v>
      </c>
    </row>
    <row r="21" spans="1:31" ht="18" customHeight="1" x14ac:dyDescent="0.15">
      <c r="A21" s="4"/>
      <c r="B21" s="10"/>
      <c r="C21" s="41"/>
      <c r="D21" s="42"/>
      <c r="E21" s="43"/>
      <c r="F21" s="44">
        <f t="shared" si="1"/>
        <v>0</v>
      </c>
      <c r="G21" s="45"/>
      <c r="H21" s="46"/>
      <c r="I21" s="44">
        <f t="shared" si="2"/>
        <v>0</v>
      </c>
      <c r="J21" s="45"/>
      <c r="K21" s="46"/>
      <c r="L21" s="44">
        <f t="shared" si="3"/>
        <v>0</v>
      </c>
      <c r="M21" s="45"/>
      <c r="N21" s="46"/>
      <c r="O21" s="44">
        <f t="shared" si="4"/>
        <v>0</v>
      </c>
      <c r="P21" s="45"/>
      <c r="Q21" s="46"/>
      <c r="R21" s="44">
        <f t="shared" si="5"/>
        <v>0</v>
      </c>
      <c r="S21" s="45"/>
      <c r="T21" s="46"/>
      <c r="U21" s="44">
        <f t="shared" si="6"/>
        <v>0</v>
      </c>
      <c r="V21" s="45"/>
      <c r="W21" s="46"/>
      <c r="X21" s="44">
        <f t="shared" si="7"/>
        <v>0</v>
      </c>
      <c r="Y21" s="45"/>
      <c r="Z21" s="46"/>
      <c r="AA21" s="44">
        <f t="shared" si="8"/>
        <v>0</v>
      </c>
      <c r="AB21" s="45"/>
      <c r="AC21" s="46"/>
      <c r="AD21" s="42">
        <f t="shared" si="9"/>
        <v>0</v>
      </c>
      <c r="AE21" s="6" t="e">
        <f t="shared" si="0"/>
        <v>#DIV/0!</v>
      </c>
    </row>
    <row r="22" spans="1:31" ht="18" customHeight="1" x14ac:dyDescent="0.15">
      <c r="A22" s="4"/>
      <c r="B22" s="10"/>
      <c r="C22" s="41"/>
      <c r="D22" s="42"/>
      <c r="E22" s="43"/>
      <c r="F22" s="44">
        <f t="shared" si="1"/>
        <v>0</v>
      </c>
      <c r="G22" s="45"/>
      <c r="H22" s="46"/>
      <c r="I22" s="44">
        <f t="shared" si="2"/>
        <v>0</v>
      </c>
      <c r="J22" s="45"/>
      <c r="K22" s="46"/>
      <c r="L22" s="44">
        <f t="shared" si="3"/>
        <v>0</v>
      </c>
      <c r="M22" s="45"/>
      <c r="N22" s="46"/>
      <c r="O22" s="44">
        <f t="shared" si="4"/>
        <v>0</v>
      </c>
      <c r="P22" s="45"/>
      <c r="Q22" s="46"/>
      <c r="R22" s="44">
        <f t="shared" si="5"/>
        <v>0</v>
      </c>
      <c r="S22" s="45"/>
      <c r="T22" s="46"/>
      <c r="U22" s="44">
        <f t="shared" si="6"/>
        <v>0</v>
      </c>
      <c r="V22" s="45"/>
      <c r="W22" s="46"/>
      <c r="X22" s="44">
        <f t="shared" si="7"/>
        <v>0</v>
      </c>
      <c r="Y22" s="45"/>
      <c r="Z22" s="46"/>
      <c r="AA22" s="44">
        <f t="shared" si="8"/>
        <v>0</v>
      </c>
      <c r="AB22" s="45"/>
      <c r="AC22" s="46"/>
      <c r="AD22" s="42">
        <f t="shared" si="9"/>
        <v>0</v>
      </c>
      <c r="AE22" s="6" t="e">
        <f t="shared" si="0"/>
        <v>#DIV/0!</v>
      </c>
    </row>
    <row r="23" spans="1:31" ht="18" customHeight="1" x14ac:dyDescent="0.15">
      <c r="A23" s="4"/>
      <c r="B23" s="10"/>
      <c r="C23" s="41"/>
      <c r="D23" s="42"/>
      <c r="E23" s="43"/>
      <c r="F23" s="44">
        <f t="shared" si="1"/>
        <v>0</v>
      </c>
      <c r="G23" s="45"/>
      <c r="H23" s="46"/>
      <c r="I23" s="44">
        <f t="shared" si="2"/>
        <v>0</v>
      </c>
      <c r="J23" s="45"/>
      <c r="K23" s="46"/>
      <c r="L23" s="44">
        <f t="shared" si="3"/>
        <v>0</v>
      </c>
      <c r="M23" s="45"/>
      <c r="N23" s="46"/>
      <c r="O23" s="44">
        <f t="shared" si="4"/>
        <v>0</v>
      </c>
      <c r="P23" s="45"/>
      <c r="Q23" s="46"/>
      <c r="R23" s="44">
        <f t="shared" si="5"/>
        <v>0</v>
      </c>
      <c r="S23" s="45"/>
      <c r="T23" s="46"/>
      <c r="U23" s="44">
        <f t="shared" si="6"/>
        <v>0</v>
      </c>
      <c r="V23" s="45"/>
      <c r="W23" s="46"/>
      <c r="X23" s="44">
        <f t="shared" si="7"/>
        <v>0</v>
      </c>
      <c r="Y23" s="45"/>
      <c r="Z23" s="46"/>
      <c r="AA23" s="44">
        <f t="shared" si="8"/>
        <v>0</v>
      </c>
      <c r="AB23" s="45"/>
      <c r="AC23" s="46"/>
      <c r="AD23" s="42">
        <f t="shared" si="9"/>
        <v>0</v>
      </c>
      <c r="AE23" s="6" t="e">
        <f t="shared" si="0"/>
        <v>#DIV/0!</v>
      </c>
    </row>
    <row r="24" spans="1:31" ht="18" customHeight="1" x14ac:dyDescent="0.15">
      <c r="A24" s="4"/>
      <c r="B24" s="10"/>
      <c r="C24" s="41"/>
      <c r="D24" s="42"/>
      <c r="E24" s="43"/>
      <c r="F24" s="44">
        <f t="shared" si="1"/>
        <v>0</v>
      </c>
      <c r="G24" s="45"/>
      <c r="H24" s="46"/>
      <c r="I24" s="44">
        <f t="shared" si="2"/>
        <v>0</v>
      </c>
      <c r="J24" s="45"/>
      <c r="K24" s="46"/>
      <c r="L24" s="44">
        <f t="shared" si="3"/>
        <v>0</v>
      </c>
      <c r="M24" s="45"/>
      <c r="N24" s="46"/>
      <c r="O24" s="44">
        <f t="shared" si="4"/>
        <v>0</v>
      </c>
      <c r="P24" s="45"/>
      <c r="Q24" s="46"/>
      <c r="R24" s="44">
        <f t="shared" si="5"/>
        <v>0</v>
      </c>
      <c r="S24" s="45"/>
      <c r="T24" s="46"/>
      <c r="U24" s="44">
        <f t="shared" si="6"/>
        <v>0</v>
      </c>
      <c r="V24" s="45"/>
      <c r="W24" s="46"/>
      <c r="X24" s="44">
        <f t="shared" si="7"/>
        <v>0</v>
      </c>
      <c r="Y24" s="45"/>
      <c r="Z24" s="46"/>
      <c r="AA24" s="44">
        <f t="shared" si="8"/>
        <v>0</v>
      </c>
      <c r="AB24" s="45"/>
      <c r="AC24" s="46"/>
      <c r="AD24" s="42">
        <f t="shared" si="9"/>
        <v>0</v>
      </c>
      <c r="AE24" s="6" t="e">
        <f t="shared" si="0"/>
        <v>#DIV/0!</v>
      </c>
    </row>
    <row r="25" spans="1:31" ht="18" customHeight="1" x14ac:dyDescent="0.15">
      <c r="A25" s="4"/>
      <c r="B25" s="10"/>
      <c r="C25" s="41"/>
      <c r="D25" s="42"/>
      <c r="E25" s="43"/>
      <c r="F25" s="44">
        <f t="shared" si="1"/>
        <v>0</v>
      </c>
      <c r="G25" s="45"/>
      <c r="H25" s="46"/>
      <c r="I25" s="44">
        <f t="shared" si="2"/>
        <v>0</v>
      </c>
      <c r="J25" s="45"/>
      <c r="K25" s="46"/>
      <c r="L25" s="44">
        <f t="shared" si="3"/>
        <v>0</v>
      </c>
      <c r="M25" s="45"/>
      <c r="N25" s="46"/>
      <c r="O25" s="44">
        <f t="shared" si="4"/>
        <v>0</v>
      </c>
      <c r="P25" s="45"/>
      <c r="Q25" s="46"/>
      <c r="R25" s="44">
        <f t="shared" si="5"/>
        <v>0</v>
      </c>
      <c r="S25" s="45"/>
      <c r="T25" s="46"/>
      <c r="U25" s="44">
        <f t="shared" si="6"/>
        <v>0</v>
      </c>
      <c r="V25" s="45"/>
      <c r="W25" s="46"/>
      <c r="X25" s="44">
        <f t="shared" si="7"/>
        <v>0</v>
      </c>
      <c r="Y25" s="45"/>
      <c r="Z25" s="46"/>
      <c r="AA25" s="44">
        <f t="shared" si="8"/>
        <v>0</v>
      </c>
      <c r="AB25" s="45"/>
      <c r="AC25" s="46"/>
      <c r="AD25" s="42">
        <f t="shared" si="9"/>
        <v>0</v>
      </c>
      <c r="AE25" s="6" t="e">
        <f t="shared" si="0"/>
        <v>#DIV/0!</v>
      </c>
    </row>
    <row r="26" spans="1:31" ht="18" customHeight="1" x14ac:dyDescent="0.15">
      <c r="A26" s="4"/>
      <c r="B26" s="10"/>
      <c r="C26" s="41"/>
      <c r="D26" s="42"/>
      <c r="E26" s="43"/>
      <c r="F26" s="44">
        <f t="shared" si="1"/>
        <v>0</v>
      </c>
      <c r="G26" s="45"/>
      <c r="H26" s="46"/>
      <c r="I26" s="44">
        <f t="shared" si="2"/>
        <v>0</v>
      </c>
      <c r="J26" s="45"/>
      <c r="K26" s="46"/>
      <c r="L26" s="44">
        <f t="shared" si="3"/>
        <v>0</v>
      </c>
      <c r="M26" s="45"/>
      <c r="N26" s="46"/>
      <c r="O26" s="44">
        <f t="shared" si="4"/>
        <v>0</v>
      </c>
      <c r="P26" s="45"/>
      <c r="Q26" s="46"/>
      <c r="R26" s="44">
        <f t="shared" si="5"/>
        <v>0</v>
      </c>
      <c r="S26" s="45"/>
      <c r="T26" s="46"/>
      <c r="U26" s="44">
        <f t="shared" si="6"/>
        <v>0</v>
      </c>
      <c r="V26" s="45"/>
      <c r="W26" s="46"/>
      <c r="X26" s="44">
        <f t="shared" si="7"/>
        <v>0</v>
      </c>
      <c r="Y26" s="45"/>
      <c r="Z26" s="46"/>
      <c r="AA26" s="44">
        <f t="shared" si="8"/>
        <v>0</v>
      </c>
      <c r="AB26" s="45"/>
      <c r="AC26" s="46"/>
      <c r="AD26" s="42">
        <f t="shared" si="9"/>
        <v>0</v>
      </c>
      <c r="AE26" s="6" t="e">
        <f t="shared" si="0"/>
        <v>#DIV/0!</v>
      </c>
    </row>
    <row r="27" spans="1:31" ht="18" customHeight="1" x14ac:dyDescent="0.15">
      <c r="A27" s="4"/>
      <c r="B27" s="10"/>
      <c r="C27" s="41"/>
      <c r="D27" s="42"/>
      <c r="E27" s="43"/>
      <c r="F27" s="44">
        <f t="shared" si="1"/>
        <v>0</v>
      </c>
      <c r="G27" s="45"/>
      <c r="H27" s="46"/>
      <c r="I27" s="44">
        <f t="shared" si="2"/>
        <v>0</v>
      </c>
      <c r="J27" s="45"/>
      <c r="K27" s="46"/>
      <c r="L27" s="44">
        <f t="shared" si="3"/>
        <v>0</v>
      </c>
      <c r="M27" s="45"/>
      <c r="N27" s="46"/>
      <c r="O27" s="44">
        <f t="shared" si="4"/>
        <v>0</v>
      </c>
      <c r="P27" s="45"/>
      <c r="Q27" s="46"/>
      <c r="R27" s="44">
        <f t="shared" si="5"/>
        <v>0</v>
      </c>
      <c r="S27" s="45"/>
      <c r="T27" s="46"/>
      <c r="U27" s="44">
        <f t="shared" si="6"/>
        <v>0</v>
      </c>
      <c r="V27" s="45"/>
      <c r="W27" s="46"/>
      <c r="X27" s="44">
        <f t="shared" si="7"/>
        <v>0</v>
      </c>
      <c r="Y27" s="45"/>
      <c r="Z27" s="46"/>
      <c r="AA27" s="44">
        <f t="shared" si="8"/>
        <v>0</v>
      </c>
      <c r="AB27" s="45"/>
      <c r="AC27" s="46"/>
      <c r="AD27" s="42">
        <f t="shared" si="9"/>
        <v>0</v>
      </c>
      <c r="AE27" s="6" t="e">
        <f t="shared" si="0"/>
        <v>#DIV/0!</v>
      </c>
    </row>
    <row r="28" spans="1:31" ht="18" customHeight="1" x14ac:dyDescent="0.15">
      <c r="A28" s="4"/>
      <c r="B28" s="10"/>
      <c r="C28" s="41"/>
      <c r="D28" s="42"/>
      <c r="E28" s="43"/>
      <c r="F28" s="44">
        <f t="shared" si="1"/>
        <v>0</v>
      </c>
      <c r="G28" s="45"/>
      <c r="H28" s="46"/>
      <c r="I28" s="44">
        <f t="shared" si="2"/>
        <v>0</v>
      </c>
      <c r="J28" s="45"/>
      <c r="K28" s="46"/>
      <c r="L28" s="44">
        <f t="shared" si="3"/>
        <v>0</v>
      </c>
      <c r="M28" s="45"/>
      <c r="N28" s="46"/>
      <c r="O28" s="44">
        <f t="shared" si="4"/>
        <v>0</v>
      </c>
      <c r="P28" s="45"/>
      <c r="Q28" s="46"/>
      <c r="R28" s="44">
        <f t="shared" si="5"/>
        <v>0</v>
      </c>
      <c r="S28" s="45"/>
      <c r="T28" s="46"/>
      <c r="U28" s="44">
        <f t="shared" si="6"/>
        <v>0</v>
      </c>
      <c r="V28" s="45"/>
      <c r="W28" s="46"/>
      <c r="X28" s="44">
        <f t="shared" si="7"/>
        <v>0</v>
      </c>
      <c r="Y28" s="45"/>
      <c r="Z28" s="46"/>
      <c r="AA28" s="44">
        <f t="shared" si="8"/>
        <v>0</v>
      </c>
      <c r="AB28" s="45"/>
      <c r="AC28" s="46"/>
      <c r="AD28" s="42">
        <f t="shared" si="9"/>
        <v>0</v>
      </c>
      <c r="AE28" s="6" t="e">
        <f t="shared" si="0"/>
        <v>#DIV/0!</v>
      </c>
    </row>
    <row r="29" spans="1:31" ht="18" customHeight="1" x14ac:dyDescent="0.15">
      <c r="A29" s="4"/>
      <c r="B29" s="10"/>
      <c r="C29" s="41"/>
      <c r="D29" s="47"/>
      <c r="E29" s="43"/>
      <c r="F29" s="44">
        <f t="shared" si="1"/>
        <v>0</v>
      </c>
      <c r="G29" s="45"/>
      <c r="H29" s="46"/>
      <c r="I29" s="44">
        <f t="shared" si="2"/>
        <v>0</v>
      </c>
      <c r="J29" s="45"/>
      <c r="K29" s="46"/>
      <c r="L29" s="44">
        <f t="shared" si="3"/>
        <v>0</v>
      </c>
      <c r="M29" s="45"/>
      <c r="N29" s="46"/>
      <c r="O29" s="44">
        <f t="shared" si="4"/>
        <v>0</v>
      </c>
      <c r="P29" s="45"/>
      <c r="Q29" s="46"/>
      <c r="R29" s="44">
        <f t="shared" si="5"/>
        <v>0</v>
      </c>
      <c r="S29" s="45"/>
      <c r="T29" s="46"/>
      <c r="U29" s="44">
        <f t="shared" si="6"/>
        <v>0</v>
      </c>
      <c r="V29" s="45"/>
      <c r="W29" s="46"/>
      <c r="X29" s="44">
        <f t="shared" si="7"/>
        <v>0</v>
      </c>
      <c r="Y29" s="45"/>
      <c r="Z29" s="46"/>
      <c r="AA29" s="44">
        <f t="shared" si="8"/>
        <v>0</v>
      </c>
      <c r="AB29" s="45"/>
      <c r="AC29" s="46"/>
      <c r="AD29" s="42">
        <f t="shared" si="9"/>
        <v>0</v>
      </c>
      <c r="AE29" s="6" t="e">
        <f t="shared" si="0"/>
        <v>#DIV/0!</v>
      </c>
    </row>
    <row r="30" spans="1:31" ht="18" customHeight="1" x14ac:dyDescent="0.15">
      <c r="A30" s="4"/>
      <c r="B30" s="10"/>
      <c r="C30" s="41"/>
      <c r="D30" s="47"/>
      <c r="E30" s="43"/>
      <c r="F30" s="44">
        <f t="shared" si="1"/>
        <v>0</v>
      </c>
      <c r="G30" s="45"/>
      <c r="H30" s="46"/>
      <c r="I30" s="44">
        <f t="shared" si="2"/>
        <v>0</v>
      </c>
      <c r="J30" s="45"/>
      <c r="K30" s="46"/>
      <c r="L30" s="44">
        <f t="shared" si="3"/>
        <v>0</v>
      </c>
      <c r="M30" s="45"/>
      <c r="N30" s="46"/>
      <c r="O30" s="44">
        <f t="shared" si="4"/>
        <v>0</v>
      </c>
      <c r="P30" s="45"/>
      <c r="Q30" s="46"/>
      <c r="R30" s="44">
        <f t="shared" si="5"/>
        <v>0</v>
      </c>
      <c r="S30" s="45"/>
      <c r="T30" s="46"/>
      <c r="U30" s="44">
        <f t="shared" si="6"/>
        <v>0</v>
      </c>
      <c r="V30" s="45"/>
      <c r="W30" s="46"/>
      <c r="X30" s="44">
        <f t="shared" si="7"/>
        <v>0</v>
      </c>
      <c r="Y30" s="45"/>
      <c r="Z30" s="46"/>
      <c r="AA30" s="44">
        <f t="shared" si="8"/>
        <v>0</v>
      </c>
      <c r="AB30" s="45"/>
      <c r="AC30" s="46"/>
      <c r="AD30" s="42">
        <f t="shared" si="9"/>
        <v>0</v>
      </c>
      <c r="AE30" s="6" t="e">
        <f t="shared" si="0"/>
        <v>#DIV/0!</v>
      </c>
    </row>
    <row r="31" spans="1:31" ht="18" customHeight="1" thickBot="1" x14ac:dyDescent="0.2">
      <c r="A31" s="4"/>
      <c r="B31" s="11"/>
      <c r="C31" s="36"/>
      <c r="D31" s="48"/>
      <c r="E31" s="38"/>
      <c r="F31" s="38">
        <f t="shared" si="1"/>
        <v>0</v>
      </c>
      <c r="G31" s="49"/>
      <c r="H31" s="50"/>
      <c r="I31" s="38">
        <f t="shared" si="2"/>
        <v>0</v>
      </c>
      <c r="J31" s="49"/>
      <c r="K31" s="50"/>
      <c r="L31" s="38">
        <f t="shared" si="3"/>
        <v>0</v>
      </c>
      <c r="M31" s="49"/>
      <c r="N31" s="50"/>
      <c r="O31" s="38">
        <f t="shared" si="4"/>
        <v>0</v>
      </c>
      <c r="P31" s="49"/>
      <c r="Q31" s="50"/>
      <c r="R31" s="38">
        <f t="shared" si="5"/>
        <v>0</v>
      </c>
      <c r="S31" s="49"/>
      <c r="T31" s="50"/>
      <c r="U31" s="38">
        <f t="shared" si="6"/>
        <v>0</v>
      </c>
      <c r="V31" s="49"/>
      <c r="W31" s="50"/>
      <c r="X31" s="38">
        <f t="shared" si="7"/>
        <v>0</v>
      </c>
      <c r="Y31" s="49"/>
      <c r="Z31" s="50"/>
      <c r="AA31" s="38">
        <f t="shared" si="8"/>
        <v>0</v>
      </c>
      <c r="AB31" s="49"/>
      <c r="AC31" s="50"/>
      <c r="AD31" s="48">
        <f>F31+L31+R31+X31</f>
        <v>0</v>
      </c>
      <c r="AE31" s="5" t="e">
        <f t="shared" si="0"/>
        <v>#DIV/0!</v>
      </c>
    </row>
    <row r="32" spans="1:31" ht="18" customHeight="1" thickTop="1" x14ac:dyDescent="0.15">
      <c r="B32" s="12" t="s">
        <v>90</v>
      </c>
      <c r="C32" s="51">
        <f t="shared" ref="C32" si="10">SUM(C12:C31)</f>
        <v>826</v>
      </c>
      <c r="D32" s="52">
        <f t="shared" ref="D32:AD32" si="11">SUM(D12:D31)</f>
        <v>160</v>
      </c>
      <c r="E32" s="53">
        <f t="shared" si="11"/>
        <v>800</v>
      </c>
      <c r="F32" s="53">
        <f t="shared" si="11"/>
        <v>174</v>
      </c>
      <c r="G32" s="54">
        <f t="shared" si="11"/>
        <v>131</v>
      </c>
      <c r="H32" s="55">
        <f t="shared" si="11"/>
        <v>43</v>
      </c>
      <c r="I32" s="53">
        <f t="shared" ref="I32:N32" si="12">SUM(I12:I31)</f>
        <v>0</v>
      </c>
      <c r="J32" s="54">
        <f t="shared" si="12"/>
        <v>0</v>
      </c>
      <c r="K32" s="55">
        <f t="shared" si="12"/>
        <v>0</v>
      </c>
      <c r="L32" s="53">
        <f t="shared" si="12"/>
        <v>0</v>
      </c>
      <c r="M32" s="54">
        <f t="shared" si="12"/>
        <v>0</v>
      </c>
      <c r="N32" s="55">
        <f t="shared" si="12"/>
        <v>0</v>
      </c>
      <c r="O32" s="53">
        <f t="shared" ref="O32:T32" si="13">SUM(O12:O31)</f>
        <v>0</v>
      </c>
      <c r="P32" s="54">
        <f t="shared" si="13"/>
        <v>0</v>
      </c>
      <c r="Q32" s="55">
        <f t="shared" si="13"/>
        <v>0</v>
      </c>
      <c r="R32" s="53">
        <f t="shared" si="13"/>
        <v>0</v>
      </c>
      <c r="S32" s="54">
        <f t="shared" si="13"/>
        <v>0</v>
      </c>
      <c r="T32" s="55">
        <f t="shared" si="13"/>
        <v>0</v>
      </c>
      <c r="U32" s="53">
        <f t="shared" ref="U32:AC32" si="14">SUM(U12:U31)</f>
        <v>0</v>
      </c>
      <c r="V32" s="54">
        <f t="shared" si="14"/>
        <v>0</v>
      </c>
      <c r="W32" s="55">
        <f t="shared" si="14"/>
        <v>0</v>
      </c>
      <c r="X32" s="53">
        <f t="shared" si="14"/>
        <v>0</v>
      </c>
      <c r="Y32" s="54">
        <f t="shared" si="14"/>
        <v>0</v>
      </c>
      <c r="Z32" s="55">
        <f t="shared" si="14"/>
        <v>0</v>
      </c>
      <c r="AA32" s="53">
        <f t="shared" si="14"/>
        <v>0</v>
      </c>
      <c r="AB32" s="54">
        <f t="shared" si="14"/>
        <v>0</v>
      </c>
      <c r="AC32" s="55">
        <f t="shared" si="14"/>
        <v>0</v>
      </c>
      <c r="AD32" s="52">
        <f t="shared" si="11"/>
        <v>174</v>
      </c>
      <c r="AE32" s="7">
        <f t="shared" si="0"/>
        <v>0.2175</v>
      </c>
    </row>
  </sheetData>
  <customSheetViews>
    <customSheetView guid="{EF565584-6FC7-43D6-8DE5-80F819FA140A}" showPageBreaks="1" fitToPage="1" printArea="1" view="pageBreakPreview">
      <selection activeCell="AE12" sqref="AE12"/>
      <pageMargins left="0.78740157480314965" right="0.78740157480314965" top="0.78740157480314965" bottom="0.59055118110236227" header="0.31496062992125984" footer="0.31496062992125984"/>
      <printOptions horizontalCentered="1"/>
      <pageSetup paperSize="9" scale="77" orientation="landscape" r:id="rId1"/>
      <headerFooter>
        <oddHeader>&amp;C数理・データサイエンス・AI教育プログラム認定制度【リテラシーレベル】</oddHeader>
      </headerFooter>
    </customSheetView>
  </customSheetViews>
  <mergeCells count="21">
    <mergeCell ref="C5:D5"/>
    <mergeCell ref="B9:B11"/>
    <mergeCell ref="D9:D11"/>
    <mergeCell ref="E9:E11"/>
    <mergeCell ref="F9:K9"/>
    <mergeCell ref="C9:C11"/>
    <mergeCell ref="F10:H10"/>
    <mergeCell ref="AD1:AE1"/>
    <mergeCell ref="I10:K10"/>
    <mergeCell ref="L9:Q9"/>
    <mergeCell ref="L10:N10"/>
    <mergeCell ref="O10:Q10"/>
    <mergeCell ref="R9:W9"/>
    <mergeCell ref="AA2:AE2"/>
    <mergeCell ref="R10:T10"/>
    <mergeCell ref="U10:W10"/>
    <mergeCell ref="X9:AC9"/>
    <mergeCell ref="X10:Z10"/>
    <mergeCell ref="AA10:AC10"/>
    <mergeCell ref="AD9:AD11"/>
    <mergeCell ref="AE9:AE11"/>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8" orientation="landscape" r:id="rId2"/>
  <headerFooter>
    <oddHeader>&amp;C数理・データサイエンス・AI教育プログラム認定制度【リテラシーレベル】</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134"/>
  <sheetViews>
    <sheetView showZeros="0" view="pageBreakPreview" zoomScaleNormal="100" zoomScaleSheetLayoutView="100" workbookViewId="0">
      <selection activeCell="B51" sqref="B51:I51"/>
    </sheetView>
  </sheetViews>
  <sheetFormatPr defaultColWidth="11.375" defaultRowHeight="18.75" customHeight="1" x14ac:dyDescent="0.15"/>
  <cols>
    <col min="1" max="1" width="2.75" style="93" customWidth="1"/>
    <col min="2" max="2" width="16.625" style="64" customWidth="1"/>
    <col min="3" max="3" width="8.875" style="64" customWidth="1"/>
    <col min="4" max="4" width="2.25" style="64" customWidth="1"/>
    <col min="5" max="5" width="16.625" style="64" customWidth="1"/>
    <col min="6" max="6" width="4.375" style="64" customWidth="1"/>
    <col min="7" max="7" width="9" style="64" customWidth="1"/>
    <col min="8" max="8" width="16.625" style="64" customWidth="1"/>
    <col min="9" max="9" width="12.125" style="64" customWidth="1"/>
    <col min="10" max="16384" width="11.375" style="64"/>
  </cols>
  <sheetData>
    <row r="1" spans="1:9" ht="18.75" customHeight="1" x14ac:dyDescent="0.15">
      <c r="A1" s="93" t="s">
        <v>91</v>
      </c>
      <c r="I1" s="92" t="s">
        <v>92</v>
      </c>
    </row>
    <row r="2" spans="1:9" ht="18.75" customHeight="1" x14ac:dyDescent="0.15">
      <c r="G2" s="92" t="s">
        <v>1</v>
      </c>
      <c r="H2" s="228" t="str">
        <f>'様式1-1　プログラムを構成する授業科目'!C2</f>
        <v>呉工業高等専門学校</v>
      </c>
      <c r="I2" s="215"/>
    </row>
    <row r="3" spans="1:9" ht="18.75" customHeight="1" x14ac:dyDescent="0.15">
      <c r="G3" s="92"/>
      <c r="H3" s="72"/>
      <c r="I3" s="72"/>
    </row>
    <row r="4" spans="1:9" ht="18.600000000000001" customHeight="1" x14ac:dyDescent="0.15">
      <c r="A4" s="246" t="s">
        <v>93</v>
      </c>
      <c r="B4" s="246"/>
      <c r="C4" s="246"/>
      <c r="D4" s="246"/>
      <c r="E4" s="246"/>
      <c r="F4" s="246"/>
      <c r="G4" s="246"/>
      <c r="H4" s="246"/>
      <c r="I4" s="246"/>
    </row>
    <row r="5" spans="1:9" ht="13.15" customHeight="1" x14ac:dyDescent="0.15">
      <c r="B5" s="70"/>
      <c r="C5" s="70"/>
      <c r="D5" s="70"/>
      <c r="E5" s="70"/>
      <c r="F5" s="70"/>
      <c r="G5" s="70"/>
      <c r="H5" s="70"/>
      <c r="I5" s="70"/>
    </row>
    <row r="6" spans="1:9" ht="18" customHeight="1" x14ac:dyDescent="0.15">
      <c r="A6" s="64" t="s">
        <v>94</v>
      </c>
      <c r="B6" s="72" t="s">
        <v>95</v>
      </c>
      <c r="C6" s="336" t="s">
        <v>96</v>
      </c>
      <c r="D6" s="336"/>
      <c r="E6" s="66">
        <v>63</v>
      </c>
      <c r="F6" s="70" t="s">
        <v>97</v>
      </c>
      <c r="G6" s="70" t="s">
        <v>98</v>
      </c>
      <c r="H6" s="66">
        <v>34</v>
      </c>
      <c r="I6" s="72" t="s">
        <v>97</v>
      </c>
    </row>
    <row r="7" spans="1:9" ht="12" customHeight="1" x14ac:dyDescent="0.15">
      <c r="C7" s="65"/>
      <c r="D7" s="65"/>
      <c r="E7" s="65"/>
      <c r="F7" s="65"/>
      <c r="G7" s="65"/>
      <c r="H7" s="65"/>
      <c r="I7" s="94"/>
    </row>
    <row r="8" spans="1:9" ht="18" customHeight="1" x14ac:dyDescent="0.15">
      <c r="A8" s="64" t="s">
        <v>99</v>
      </c>
      <c r="B8" s="72" t="s">
        <v>100</v>
      </c>
      <c r="E8" s="70"/>
      <c r="F8" s="70"/>
      <c r="G8" s="70"/>
      <c r="H8" s="66">
        <v>59</v>
      </c>
      <c r="I8" s="72" t="s">
        <v>97</v>
      </c>
    </row>
    <row r="9" spans="1:9" ht="9" customHeight="1" x14ac:dyDescent="0.15">
      <c r="B9" s="70"/>
      <c r="C9" s="70"/>
      <c r="D9" s="70"/>
      <c r="E9" s="70"/>
      <c r="F9" s="70"/>
      <c r="G9" s="70"/>
      <c r="H9" s="70"/>
      <c r="I9" s="70"/>
    </row>
    <row r="10" spans="1:9" ht="18" customHeight="1" x14ac:dyDescent="0.15">
      <c r="A10" s="64" t="s">
        <v>101</v>
      </c>
      <c r="B10" s="72" t="s">
        <v>102</v>
      </c>
      <c r="C10" s="70"/>
      <c r="D10" s="70"/>
      <c r="E10" s="70"/>
      <c r="F10" s="70"/>
      <c r="G10" s="70"/>
      <c r="H10" s="70"/>
      <c r="I10" s="70"/>
    </row>
    <row r="11" spans="1:9" ht="18" customHeight="1" x14ac:dyDescent="0.15">
      <c r="B11" s="92" t="s">
        <v>103</v>
      </c>
      <c r="C11" s="331" t="s">
        <v>104</v>
      </c>
      <c r="D11" s="334"/>
      <c r="E11" s="335"/>
      <c r="F11" s="94"/>
      <c r="G11" s="92" t="s">
        <v>105</v>
      </c>
      <c r="H11" s="331" t="s">
        <v>106</v>
      </c>
      <c r="I11" s="335"/>
    </row>
    <row r="12" spans="1:9" ht="10.15" customHeight="1" x14ac:dyDescent="0.15">
      <c r="B12" s="92"/>
      <c r="C12" s="72"/>
      <c r="D12" s="94"/>
      <c r="E12" s="94"/>
      <c r="F12" s="94"/>
      <c r="G12" s="92"/>
      <c r="H12" s="72"/>
      <c r="I12" s="94"/>
    </row>
    <row r="13" spans="1:9" ht="18" customHeight="1" x14ac:dyDescent="0.15">
      <c r="A13" s="64" t="s">
        <v>107</v>
      </c>
      <c r="B13" s="72" t="s">
        <v>108</v>
      </c>
      <c r="C13" s="70"/>
      <c r="D13" s="70"/>
      <c r="E13" s="70"/>
      <c r="F13" s="70"/>
      <c r="G13" s="70"/>
      <c r="H13" s="70"/>
      <c r="I13" s="70"/>
    </row>
    <row r="14" spans="1:9" ht="18" customHeight="1" x14ac:dyDescent="0.15">
      <c r="B14" s="331" t="s">
        <v>109</v>
      </c>
      <c r="C14" s="332"/>
      <c r="D14" s="332"/>
      <c r="E14" s="332"/>
      <c r="F14" s="332"/>
      <c r="G14" s="332"/>
      <c r="H14" s="332"/>
      <c r="I14" s="333"/>
    </row>
    <row r="15" spans="1:9" ht="9" customHeight="1" x14ac:dyDescent="0.15">
      <c r="B15" s="70"/>
      <c r="C15" s="70"/>
      <c r="D15" s="70"/>
      <c r="E15" s="70"/>
      <c r="F15" s="70"/>
      <c r="G15" s="70"/>
      <c r="H15" s="70"/>
      <c r="I15" s="70"/>
    </row>
    <row r="16" spans="1:9" ht="18" customHeight="1" x14ac:dyDescent="0.15">
      <c r="B16" s="92" t="s">
        <v>103</v>
      </c>
      <c r="C16" s="331" t="s">
        <v>110</v>
      </c>
      <c r="D16" s="334"/>
      <c r="E16" s="335"/>
      <c r="F16" s="94"/>
      <c r="G16" s="92" t="s">
        <v>105</v>
      </c>
      <c r="H16" s="331" t="s">
        <v>111</v>
      </c>
      <c r="I16" s="335"/>
    </row>
    <row r="17" spans="1:9" ht="18" customHeight="1" x14ac:dyDescent="0.15">
      <c r="B17" s="70"/>
      <c r="C17" s="70"/>
      <c r="D17" s="70"/>
      <c r="E17" s="70"/>
      <c r="F17" s="70"/>
      <c r="G17" s="70"/>
      <c r="H17" s="70"/>
      <c r="I17" s="70"/>
    </row>
    <row r="18" spans="1:9" ht="18.75" customHeight="1" x14ac:dyDescent="0.15">
      <c r="A18" s="64" t="s">
        <v>112</v>
      </c>
      <c r="B18" s="64" t="s">
        <v>113</v>
      </c>
      <c r="I18" s="70"/>
    </row>
    <row r="19" spans="1:9" ht="18.75" customHeight="1" x14ac:dyDescent="0.15">
      <c r="A19" s="64"/>
      <c r="B19" s="323" t="s">
        <v>114</v>
      </c>
      <c r="C19" s="324"/>
      <c r="D19" s="324"/>
      <c r="E19" s="324"/>
      <c r="F19" s="324"/>
      <c r="G19" s="324"/>
      <c r="H19" s="324"/>
      <c r="I19" s="325"/>
    </row>
    <row r="20" spans="1:9" ht="7.5" customHeight="1" x14ac:dyDescent="0.15">
      <c r="B20" s="70"/>
      <c r="C20" s="70"/>
      <c r="D20" s="70"/>
      <c r="E20" s="70"/>
      <c r="F20" s="70"/>
      <c r="G20" s="70"/>
      <c r="H20" s="70"/>
      <c r="I20" s="70"/>
    </row>
    <row r="21" spans="1:9" ht="18.75" customHeight="1" x14ac:dyDescent="0.15">
      <c r="A21" s="64" t="s">
        <v>115</v>
      </c>
      <c r="B21" s="64" t="s">
        <v>116</v>
      </c>
    </row>
    <row r="22" spans="1:9" ht="18.75" customHeight="1" x14ac:dyDescent="0.15">
      <c r="A22" s="80"/>
      <c r="B22" s="315" t="s">
        <v>117</v>
      </c>
      <c r="C22" s="316"/>
      <c r="D22" s="316"/>
      <c r="E22" s="316"/>
      <c r="F22" s="316"/>
      <c r="G22" s="316"/>
      <c r="H22" s="316"/>
      <c r="I22" s="317"/>
    </row>
    <row r="23" spans="1:9" ht="18.75" customHeight="1" x14ac:dyDescent="0.15">
      <c r="A23" s="80"/>
      <c r="B23" s="326"/>
      <c r="C23" s="327"/>
      <c r="D23" s="327"/>
      <c r="E23" s="327"/>
      <c r="F23" s="327"/>
      <c r="G23" s="327"/>
      <c r="H23" s="327"/>
      <c r="I23" s="320"/>
    </row>
    <row r="24" spans="1:9" ht="18.75" customHeight="1" x14ac:dyDescent="0.15">
      <c r="A24" s="80"/>
      <c r="B24" s="326"/>
      <c r="C24" s="327"/>
      <c r="D24" s="327"/>
      <c r="E24" s="327"/>
      <c r="F24" s="327"/>
      <c r="G24" s="327"/>
      <c r="H24" s="327"/>
      <c r="I24" s="320"/>
    </row>
    <row r="25" spans="1:9" ht="18.75" customHeight="1" x14ac:dyDescent="0.15">
      <c r="A25" s="80"/>
      <c r="B25" s="326"/>
      <c r="C25" s="327"/>
      <c r="D25" s="327"/>
      <c r="E25" s="327"/>
      <c r="F25" s="327"/>
      <c r="G25" s="327"/>
      <c r="H25" s="327"/>
      <c r="I25" s="320"/>
    </row>
    <row r="26" spans="1:9" ht="18.75" customHeight="1" x14ac:dyDescent="0.15">
      <c r="A26" s="80"/>
      <c r="B26" s="326"/>
      <c r="C26" s="327"/>
      <c r="D26" s="327"/>
      <c r="E26" s="327"/>
      <c r="F26" s="327"/>
      <c r="G26" s="327"/>
      <c r="H26" s="327"/>
      <c r="I26" s="320"/>
    </row>
    <row r="27" spans="1:9" ht="18.75" customHeight="1" x14ac:dyDescent="0.15">
      <c r="A27" s="80"/>
      <c r="B27" s="326"/>
      <c r="C27" s="327"/>
      <c r="D27" s="327"/>
      <c r="E27" s="327"/>
      <c r="F27" s="327"/>
      <c r="G27" s="327"/>
      <c r="H27" s="327"/>
      <c r="I27" s="320"/>
    </row>
    <row r="28" spans="1:9" ht="18.75" customHeight="1" x14ac:dyDescent="0.15">
      <c r="A28" s="80"/>
      <c r="B28" s="326"/>
      <c r="C28" s="327"/>
      <c r="D28" s="327"/>
      <c r="E28" s="327"/>
      <c r="F28" s="327"/>
      <c r="G28" s="327"/>
      <c r="H28" s="327"/>
      <c r="I28" s="320"/>
    </row>
    <row r="29" spans="1:9" ht="18.75" customHeight="1" x14ac:dyDescent="0.15">
      <c r="A29" s="80"/>
      <c r="B29" s="326"/>
      <c r="C29" s="327"/>
      <c r="D29" s="327"/>
      <c r="E29" s="327"/>
      <c r="F29" s="327"/>
      <c r="G29" s="327"/>
      <c r="H29" s="327"/>
      <c r="I29" s="320"/>
    </row>
    <row r="30" spans="1:9" ht="18.75" customHeight="1" x14ac:dyDescent="0.15">
      <c r="A30" s="80"/>
      <c r="B30" s="318"/>
      <c r="C30" s="319"/>
      <c r="D30" s="319"/>
      <c r="E30" s="319"/>
      <c r="F30" s="319"/>
      <c r="G30" s="319"/>
      <c r="H30" s="319"/>
      <c r="I30" s="320"/>
    </row>
    <row r="31" spans="1:9" ht="18.75" customHeight="1" x14ac:dyDescent="0.15">
      <c r="A31" s="80"/>
      <c r="B31" s="318"/>
      <c r="C31" s="319"/>
      <c r="D31" s="319"/>
      <c r="E31" s="319"/>
      <c r="F31" s="319"/>
      <c r="G31" s="319"/>
      <c r="H31" s="319"/>
      <c r="I31" s="320"/>
    </row>
    <row r="32" spans="1:9" ht="18.75" customHeight="1" x14ac:dyDescent="0.15">
      <c r="A32" s="80"/>
      <c r="B32" s="321"/>
      <c r="C32" s="194"/>
      <c r="D32" s="194"/>
      <c r="E32" s="194"/>
      <c r="F32" s="194"/>
      <c r="G32" s="194"/>
      <c r="H32" s="194"/>
      <c r="I32" s="195"/>
    </row>
    <row r="33" spans="1:9" ht="7.5" customHeight="1" x14ac:dyDescent="0.15">
      <c r="A33" s="80"/>
      <c r="B33" s="80"/>
      <c r="C33" s="80"/>
      <c r="D33" s="80"/>
      <c r="E33" s="80"/>
      <c r="F33" s="80"/>
      <c r="G33" s="80"/>
      <c r="H33" s="80"/>
      <c r="I33" s="80"/>
    </row>
    <row r="34" spans="1:9" ht="18.75" customHeight="1" x14ac:dyDescent="0.15">
      <c r="A34" s="91" t="s">
        <v>118</v>
      </c>
      <c r="B34" s="91" t="s">
        <v>119</v>
      </c>
      <c r="C34" s="72"/>
      <c r="D34" s="91"/>
      <c r="E34" s="91"/>
      <c r="F34" s="91"/>
      <c r="G34" s="91"/>
      <c r="H34" s="91"/>
      <c r="I34" s="91"/>
    </row>
    <row r="35" spans="1:9" ht="18.75" customHeight="1" x14ac:dyDescent="0.15">
      <c r="A35" s="80"/>
      <c r="B35" s="315" t="s">
        <v>120</v>
      </c>
      <c r="C35" s="316"/>
      <c r="D35" s="316"/>
      <c r="E35" s="316"/>
      <c r="F35" s="316"/>
      <c r="G35" s="316"/>
      <c r="H35" s="316"/>
      <c r="I35" s="317"/>
    </row>
    <row r="36" spans="1:9" ht="18.75" customHeight="1" x14ac:dyDescent="0.15">
      <c r="A36" s="80"/>
      <c r="B36" s="318"/>
      <c r="C36" s="319"/>
      <c r="D36" s="319"/>
      <c r="E36" s="319"/>
      <c r="F36" s="319"/>
      <c r="G36" s="319"/>
      <c r="H36" s="319"/>
      <c r="I36" s="320"/>
    </row>
    <row r="37" spans="1:9" ht="18.75" customHeight="1" x14ac:dyDescent="0.15">
      <c r="A37" s="80"/>
      <c r="B37" s="318"/>
      <c r="C37" s="319"/>
      <c r="D37" s="319"/>
      <c r="E37" s="319"/>
      <c r="F37" s="319"/>
      <c r="G37" s="319"/>
      <c r="H37" s="319"/>
      <c r="I37" s="320"/>
    </row>
    <row r="38" spans="1:9" ht="18.75" customHeight="1" x14ac:dyDescent="0.15">
      <c r="A38" s="80"/>
      <c r="B38" s="318"/>
      <c r="C38" s="319"/>
      <c r="D38" s="319"/>
      <c r="E38" s="319"/>
      <c r="F38" s="319"/>
      <c r="G38" s="319"/>
      <c r="H38" s="319"/>
      <c r="I38" s="320"/>
    </row>
    <row r="39" spans="1:9" ht="18.75" customHeight="1" x14ac:dyDescent="0.15">
      <c r="A39" s="80"/>
      <c r="B39" s="318"/>
      <c r="C39" s="319"/>
      <c r="D39" s="319"/>
      <c r="E39" s="319"/>
      <c r="F39" s="319"/>
      <c r="G39" s="319"/>
      <c r="H39" s="319"/>
      <c r="I39" s="320"/>
    </row>
    <row r="40" spans="1:9" ht="18.75" customHeight="1" x14ac:dyDescent="0.15">
      <c r="A40" s="80"/>
      <c r="B40" s="318"/>
      <c r="C40" s="319"/>
      <c r="D40" s="319"/>
      <c r="E40" s="319"/>
      <c r="F40" s="319"/>
      <c r="G40" s="319"/>
      <c r="H40" s="319"/>
      <c r="I40" s="320"/>
    </row>
    <row r="41" spans="1:9" ht="18.75" customHeight="1" x14ac:dyDescent="0.15">
      <c r="A41" s="80"/>
      <c r="B41" s="318"/>
      <c r="C41" s="319"/>
      <c r="D41" s="319"/>
      <c r="E41" s="319"/>
      <c r="F41" s="319"/>
      <c r="G41" s="319"/>
      <c r="H41" s="319"/>
      <c r="I41" s="320"/>
    </row>
    <row r="42" spans="1:9" ht="18.75" customHeight="1" x14ac:dyDescent="0.15">
      <c r="A42" s="80"/>
      <c r="B42" s="318"/>
      <c r="C42" s="319"/>
      <c r="D42" s="319"/>
      <c r="E42" s="319"/>
      <c r="F42" s="319"/>
      <c r="G42" s="319"/>
      <c r="H42" s="319"/>
      <c r="I42" s="320"/>
    </row>
    <row r="43" spans="1:9" ht="18.75" customHeight="1" x14ac:dyDescent="0.15">
      <c r="A43" s="80"/>
      <c r="B43" s="318"/>
      <c r="C43" s="319"/>
      <c r="D43" s="319"/>
      <c r="E43" s="319"/>
      <c r="F43" s="319"/>
      <c r="G43" s="319"/>
      <c r="H43" s="319"/>
      <c r="I43" s="320"/>
    </row>
    <row r="44" spans="1:9" ht="18.75" customHeight="1" x14ac:dyDescent="0.15">
      <c r="A44" s="80"/>
      <c r="B44" s="318"/>
      <c r="C44" s="319"/>
      <c r="D44" s="319"/>
      <c r="E44" s="319"/>
      <c r="F44" s="319"/>
      <c r="G44" s="319"/>
      <c r="H44" s="319"/>
      <c r="I44" s="320"/>
    </row>
    <row r="45" spans="1:9" ht="18.75" customHeight="1" x14ac:dyDescent="0.15">
      <c r="A45" s="80"/>
      <c r="B45" s="318"/>
      <c r="C45" s="319"/>
      <c r="D45" s="319"/>
      <c r="E45" s="319"/>
      <c r="F45" s="319"/>
      <c r="G45" s="319"/>
      <c r="H45" s="319"/>
      <c r="I45" s="320"/>
    </row>
    <row r="46" spans="1:9" ht="18.75" customHeight="1" x14ac:dyDescent="0.15">
      <c r="A46" s="80"/>
      <c r="B46" s="321"/>
      <c r="C46" s="194"/>
      <c r="D46" s="194"/>
      <c r="E46" s="194"/>
      <c r="F46" s="194"/>
      <c r="G46" s="194"/>
      <c r="H46" s="194"/>
      <c r="I46" s="195"/>
    </row>
    <row r="47" spans="1:9" ht="7.5" customHeight="1" x14ac:dyDescent="0.15">
      <c r="A47" s="95"/>
      <c r="B47" s="95"/>
      <c r="C47" s="95"/>
      <c r="D47" s="95"/>
      <c r="E47" s="95"/>
      <c r="F47" s="95"/>
      <c r="G47" s="95"/>
      <c r="H47" s="95"/>
      <c r="I47" s="95"/>
    </row>
    <row r="48" spans="1:9" ht="18.75" customHeight="1" x14ac:dyDescent="0.15">
      <c r="A48" s="64" t="s">
        <v>121</v>
      </c>
      <c r="B48" s="64" t="s">
        <v>159</v>
      </c>
    </row>
    <row r="49" spans="1:15" s="70" customFormat="1" ht="18.75" customHeight="1" x14ac:dyDescent="0.15">
      <c r="B49" s="96" t="s">
        <v>122</v>
      </c>
      <c r="C49" s="309">
        <v>0.2</v>
      </c>
      <c r="D49" s="309"/>
      <c r="E49" s="96" t="s">
        <v>123</v>
      </c>
      <c r="F49" s="309">
        <v>0.4</v>
      </c>
      <c r="G49" s="309"/>
      <c r="H49" s="96" t="s">
        <v>124</v>
      </c>
      <c r="I49" s="97">
        <v>0.6</v>
      </c>
      <c r="J49" s="64"/>
      <c r="M49" s="64"/>
      <c r="N49" s="98"/>
    </row>
    <row r="50" spans="1:15" s="70" customFormat="1" ht="18.75" customHeight="1" x14ac:dyDescent="0.15">
      <c r="B50" s="99" t="s">
        <v>125</v>
      </c>
      <c r="C50" s="310">
        <v>0.8</v>
      </c>
      <c r="D50" s="310"/>
      <c r="E50" s="99" t="s">
        <v>126</v>
      </c>
      <c r="F50" s="310">
        <v>1</v>
      </c>
      <c r="G50" s="310"/>
      <c r="H50" s="99" t="s">
        <v>127</v>
      </c>
      <c r="I50" s="100">
        <f>'様式２ 履修者等数の実績'!E32</f>
        <v>800</v>
      </c>
      <c r="J50" s="64"/>
      <c r="M50" s="64"/>
      <c r="N50" s="98"/>
    </row>
    <row r="51" spans="1:15" ht="18.75" customHeight="1" x14ac:dyDescent="0.15">
      <c r="A51" s="64"/>
      <c r="B51" s="328" t="s">
        <v>128</v>
      </c>
      <c r="C51" s="329"/>
      <c r="D51" s="329"/>
      <c r="E51" s="329"/>
      <c r="F51" s="329"/>
      <c r="G51" s="329"/>
      <c r="H51" s="329"/>
      <c r="I51" s="330"/>
      <c r="N51" s="98"/>
      <c r="O51" s="70"/>
    </row>
    <row r="52" spans="1:15" ht="18.75" customHeight="1" x14ac:dyDescent="0.15">
      <c r="A52" s="64"/>
      <c r="B52" s="311" t="s">
        <v>163</v>
      </c>
      <c r="C52" s="251"/>
      <c r="D52" s="251"/>
      <c r="E52" s="251"/>
      <c r="F52" s="251"/>
      <c r="G52" s="251"/>
      <c r="H52" s="251"/>
      <c r="I52" s="252"/>
      <c r="N52" s="98"/>
      <c r="O52" s="70"/>
    </row>
    <row r="53" spans="1:15" ht="18.75" customHeight="1" x14ac:dyDescent="0.15">
      <c r="A53" s="64"/>
      <c r="B53" s="312"/>
      <c r="C53" s="313"/>
      <c r="D53" s="313"/>
      <c r="E53" s="313"/>
      <c r="F53" s="313"/>
      <c r="G53" s="313"/>
      <c r="H53" s="313"/>
      <c r="I53" s="314"/>
      <c r="N53" s="98"/>
      <c r="O53" s="70"/>
    </row>
    <row r="54" spans="1:15" ht="18.75" customHeight="1" x14ac:dyDescent="0.15">
      <c r="A54" s="64"/>
      <c r="B54" s="312"/>
      <c r="C54" s="313"/>
      <c r="D54" s="313"/>
      <c r="E54" s="313"/>
      <c r="F54" s="313"/>
      <c r="G54" s="313"/>
      <c r="H54" s="313"/>
      <c r="I54" s="314"/>
    </row>
    <row r="55" spans="1:15" ht="18.75" customHeight="1" x14ac:dyDescent="0.15">
      <c r="A55" s="64"/>
      <c r="B55" s="312"/>
      <c r="C55" s="313"/>
      <c r="D55" s="313"/>
      <c r="E55" s="313"/>
      <c r="F55" s="313"/>
      <c r="G55" s="313"/>
      <c r="H55" s="313"/>
      <c r="I55" s="314"/>
    </row>
    <row r="56" spans="1:15" ht="18.75" customHeight="1" x14ac:dyDescent="0.15">
      <c r="A56" s="64"/>
      <c r="B56" s="312"/>
      <c r="C56" s="313"/>
      <c r="D56" s="313"/>
      <c r="E56" s="313"/>
      <c r="F56" s="313"/>
      <c r="G56" s="313"/>
      <c r="H56" s="313"/>
      <c r="I56" s="314"/>
    </row>
    <row r="57" spans="1:15" ht="18.75" customHeight="1" x14ac:dyDescent="0.15">
      <c r="A57" s="64"/>
      <c r="B57" s="312"/>
      <c r="C57" s="313"/>
      <c r="D57" s="313"/>
      <c r="E57" s="313"/>
      <c r="F57" s="313"/>
      <c r="G57" s="313"/>
      <c r="H57" s="313"/>
      <c r="I57" s="314"/>
    </row>
    <row r="58" spans="1:15" ht="18.75" customHeight="1" x14ac:dyDescent="0.15">
      <c r="A58" s="64"/>
      <c r="B58" s="312"/>
      <c r="C58" s="313"/>
      <c r="D58" s="313"/>
      <c r="E58" s="313"/>
      <c r="F58" s="313"/>
      <c r="G58" s="313"/>
      <c r="H58" s="313"/>
      <c r="I58" s="314"/>
    </row>
    <row r="59" spans="1:15" ht="18.75" customHeight="1" x14ac:dyDescent="0.15">
      <c r="A59" s="64"/>
      <c r="B59" s="312"/>
      <c r="C59" s="313"/>
      <c r="D59" s="313"/>
      <c r="E59" s="313"/>
      <c r="F59" s="313"/>
      <c r="G59" s="313"/>
      <c r="H59" s="313"/>
      <c r="I59" s="314"/>
    </row>
    <row r="60" spans="1:15" ht="18.75" customHeight="1" x14ac:dyDescent="0.15">
      <c r="A60" s="64"/>
      <c r="B60" s="312"/>
      <c r="C60" s="313"/>
      <c r="D60" s="313"/>
      <c r="E60" s="313"/>
      <c r="F60" s="313"/>
      <c r="G60" s="313"/>
      <c r="H60" s="313"/>
      <c r="I60" s="314"/>
    </row>
    <row r="61" spans="1:15" ht="18.75" customHeight="1" x14ac:dyDescent="0.15">
      <c r="A61" s="64"/>
      <c r="B61" s="312"/>
      <c r="C61" s="313"/>
      <c r="D61" s="313"/>
      <c r="E61" s="313"/>
      <c r="F61" s="313"/>
      <c r="G61" s="313"/>
      <c r="H61" s="313"/>
      <c r="I61" s="314"/>
    </row>
    <row r="62" spans="1:15" ht="18.75" customHeight="1" x14ac:dyDescent="0.15">
      <c r="A62" s="64"/>
      <c r="B62" s="312"/>
      <c r="C62" s="313"/>
      <c r="D62" s="313"/>
      <c r="E62" s="313"/>
      <c r="F62" s="313"/>
      <c r="G62" s="313"/>
      <c r="H62" s="313"/>
      <c r="I62" s="314"/>
    </row>
    <row r="63" spans="1:15" ht="18.75" customHeight="1" x14ac:dyDescent="0.15">
      <c r="A63" s="64"/>
      <c r="B63" s="253"/>
      <c r="C63" s="254"/>
      <c r="D63" s="254"/>
      <c r="E63" s="254"/>
      <c r="F63" s="254"/>
      <c r="G63" s="254"/>
      <c r="H63" s="254"/>
      <c r="I63" s="255"/>
    </row>
    <row r="64" spans="1:15" ht="7.5" customHeight="1" x14ac:dyDescent="0.15">
      <c r="A64" s="80"/>
      <c r="B64" s="80"/>
      <c r="C64" s="80"/>
      <c r="D64" s="80"/>
      <c r="E64" s="80"/>
      <c r="F64" s="80"/>
      <c r="G64" s="80"/>
      <c r="H64" s="80"/>
      <c r="I64" s="80"/>
    </row>
    <row r="65" spans="1:9" ht="18.75" customHeight="1" x14ac:dyDescent="0.15">
      <c r="A65" s="91" t="s">
        <v>129</v>
      </c>
      <c r="B65" s="64" t="s">
        <v>130</v>
      </c>
      <c r="I65" s="91"/>
    </row>
    <row r="66" spans="1:9" ht="18.75" customHeight="1" x14ac:dyDescent="0.15">
      <c r="A66" s="95"/>
      <c r="B66" s="292" t="s">
        <v>164</v>
      </c>
      <c r="C66" s="293"/>
      <c r="D66" s="293"/>
      <c r="E66" s="293"/>
      <c r="F66" s="293"/>
      <c r="G66" s="293"/>
      <c r="H66" s="293"/>
      <c r="I66" s="294"/>
    </row>
    <row r="67" spans="1:9" ht="18.75" customHeight="1" x14ac:dyDescent="0.15">
      <c r="A67" s="95"/>
      <c r="B67" s="295"/>
      <c r="C67" s="296"/>
      <c r="D67" s="296"/>
      <c r="E67" s="296"/>
      <c r="F67" s="296"/>
      <c r="G67" s="296"/>
      <c r="H67" s="296"/>
      <c r="I67" s="297"/>
    </row>
    <row r="68" spans="1:9" ht="18.75" customHeight="1" x14ac:dyDescent="0.15">
      <c r="A68" s="95"/>
      <c r="B68" s="295"/>
      <c r="C68" s="296"/>
      <c r="D68" s="296"/>
      <c r="E68" s="296"/>
      <c r="F68" s="296"/>
      <c r="G68" s="296"/>
      <c r="H68" s="296"/>
      <c r="I68" s="297"/>
    </row>
    <row r="69" spans="1:9" ht="18.75" customHeight="1" x14ac:dyDescent="0.15">
      <c r="A69" s="95"/>
      <c r="B69" s="295"/>
      <c r="C69" s="296"/>
      <c r="D69" s="296"/>
      <c r="E69" s="296"/>
      <c r="F69" s="296"/>
      <c r="G69" s="296"/>
      <c r="H69" s="296"/>
      <c r="I69" s="297"/>
    </row>
    <row r="70" spans="1:9" ht="18.75" customHeight="1" x14ac:dyDescent="0.15">
      <c r="A70" s="95"/>
      <c r="B70" s="295"/>
      <c r="C70" s="296"/>
      <c r="D70" s="296"/>
      <c r="E70" s="296"/>
      <c r="F70" s="296"/>
      <c r="G70" s="296"/>
      <c r="H70" s="296"/>
      <c r="I70" s="297"/>
    </row>
    <row r="71" spans="1:9" ht="18.75" customHeight="1" x14ac:dyDescent="0.15">
      <c r="A71" s="95"/>
      <c r="B71" s="295"/>
      <c r="C71" s="296"/>
      <c r="D71" s="296"/>
      <c r="E71" s="296"/>
      <c r="F71" s="296"/>
      <c r="G71" s="296"/>
      <c r="H71" s="296"/>
      <c r="I71" s="297"/>
    </row>
    <row r="72" spans="1:9" ht="18.75" customHeight="1" x14ac:dyDescent="0.15">
      <c r="A72" s="95"/>
      <c r="B72" s="295"/>
      <c r="C72" s="296"/>
      <c r="D72" s="296"/>
      <c r="E72" s="296"/>
      <c r="F72" s="296"/>
      <c r="G72" s="296"/>
      <c r="H72" s="296"/>
      <c r="I72" s="297"/>
    </row>
    <row r="73" spans="1:9" ht="18.75" customHeight="1" x14ac:dyDescent="0.15">
      <c r="A73" s="95"/>
      <c r="B73" s="295"/>
      <c r="C73" s="296"/>
      <c r="D73" s="296"/>
      <c r="E73" s="296"/>
      <c r="F73" s="296"/>
      <c r="G73" s="296"/>
      <c r="H73" s="296"/>
      <c r="I73" s="297"/>
    </row>
    <row r="74" spans="1:9" ht="18.75" customHeight="1" x14ac:dyDescent="0.15">
      <c r="A74" s="95"/>
      <c r="B74" s="295"/>
      <c r="C74" s="296"/>
      <c r="D74" s="296"/>
      <c r="E74" s="296"/>
      <c r="F74" s="296"/>
      <c r="G74" s="296"/>
      <c r="H74" s="296"/>
      <c r="I74" s="297"/>
    </row>
    <row r="75" spans="1:9" ht="18.75" customHeight="1" x14ac:dyDescent="0.15">
      <c r="A75" s="95"/>
      <c r="B75" s="295"/>
      <c r="C75" s="296"/>
      <c r="D75" s="296"/>
      <c r="E75" s="296"/>
      <c r="F75" s="296"/>
      <c r="G75" s="296"/>
      <c r="H75" s="296"/>
      <c r="I75" s="297"/>
    </row>
    <row r="76" spans="1:9" ht="18.75" customHeight="1" x14ac:dyDescent="0.15">
      <c r="A76" s="95"/>
      <c r="B76" s="295"/>
      <c r="C76" s="296"/>
      <c r="D76" s="296"/>
      <c r="E76" s="296"/>
      <c r="F76" s="296"/>
      <c r="G76" s="296"/>
      <c r="H76" s="296"/>
      <c r="I76" s="297"/>
    </row>
    <row r="77" spans="1:9" ht="18.75" customHeight="1" x14ac:dyDescent="0.15">
      <c r="A77" s="95"/>
      <c r="B77" s="298"/>
      <c r="C77" s="299"/>
      <c r="D77" s="299"/>
      <c r="E77" s="299"/>
      <c r="F77" s="299"/>
      <c r="G77" s="299"/>
      <c r="H77" s="299"/>
      <c r="I77" s="300"/>
    </row>
    <row r="78" spans="1:9" ht="7.5" customHeight="1" x14ac:dyDescent="0.15">
      <c r="A78" s="95"/>
      <c r="B78" s="95"/>
      <c r="C78" s="95"/>
      <c r="D78" s="95"/>
      <c r="E78" s="95"/>
      <c r="F78" s="95"/>
      <c r="G78" s="95"/>
      <c r="H78" s="95"/>
      <c r="I78" s="95"/>
    </row>
    <row r="79" spans="1:9" ht="18.75" customHeight="1" x14ac:dyDescent="0.15">
      <c r="A79" s="64" t="s">
        <v>131</v>
      </c>
      <c r="B79" s="64" t="s">
        <v>132</v>
      </c>
    </row>
    <row r="80" spans="1:9" ht="18.75" customHeight="1" x14ac:dyDescent="0.15">
      <c r="A80" s="64"/>
      <c r="B80" s="301" t="s">
        <v>133</v>
      </c>
      <c r="C80" s="293"/>
      <c r="D80" s="293"/>
      <c r="E80" s="293"/>
      <c r="F80" s="293"/>
      <c r="G80" s="293"/>
      <c r="H80" s="293"/>
      <c r="I80" s="302"/>
    </row>
    <row r="81" spans="1:9" ht="18.75" customHeight="1" x14ac:dyDescent="0.15">
      <c r="A81" s="64"/>
      <c r="B81" s="303"/>
      <c r="C81" s="304"/>
      <c r="D81" s="304"/>
      <c r="E81" s="304"/>
      <c r="F81" s="304"/>
      <c r="G81" s="304"/>
      <c r="H81" s="304"/>
      <c r="I81" s="305"/>
    </row>
    <row r="82" spans="1:9" ht="18.75" customHeight="1" x14ac:dyDescent="0.15">
      <c r="A82" s="64"/>
      <c r="B82" s="303"/>
      <c r="C82" s="304"/>
      <c r="D82" s="304"/>
      <c r="E82" s="304"/>
      <c r="F82" s="304"/>
      <c r="G82" s="304"/>
      <c r="H82" s="304"/>
      <c r="I82" s="305"/>
    </row>
    <row r="83" spans="1:9" ht="18.75" customHeight="1" x14ac:dyDescent="0.15">
      <c r="A83" s="64"/>
      <c r="B83" s="303"/>
      <c r="C83" s="304"/>
      <c r="D83" s="304"/>
      <c r="E83" s="304"/>
      <c r="F83" s="304"/>
      <c r="G83" s="304"/>
      <c r="H83" s="304"/>
      <c r="I83" s="305"/>
    </row>
    <row r="84" spans="1:9" ht="18.75" customHeight="1" x14ac:dyDescent="0.15">
      <c r="A84" s="64"/>
      <c r="B84" s="303"/>
      <c r="C84" s="304"/>
      <c r="D84" s="304"/>
      <c r="E84" s="304"/>
      <c r="F84" s="304"/>
      <c r="G84" s="304"/>
      <c r="H84" s="304"/>
      <c r="I84" s="305"/>
    </row>
    <row r="85" spans="1:9" ht="18.75" customHeight="1" x14ac:dyDescent="0.15">
      <c r="A85" s="64"/>
      <c r="B85" s="303"/>
      <c r="C85" s="304"/>
      <c r="D85" s="304"/>
      <c r="E85" s="304"/>
      <c r="F85" s="304"/>
      <c r="G85" s="304"/>
      <c r="H85" s="304"/>
      <c r="I85" s="305"/>
    </row>
    <row r="86" spans="1:9" ht="18.75" customHeight="1" x14ac:dyDescent="0.15">
      <c r="A86" s="64"/>
      <c r="B86" s="303"/>
      <c r="C86" s="304"/>
      <c r="D86" s="304"/>
      <c r="E86" s="304"/>
      <c r="F86" s="304"/>
      <c r="G86" s="304"/>
      <c r="H86" s="304"/>
      <c r="I86" s="305"/>
    </row>
    <row r="87" spans="1:9" ht="18.75" customHeight="1" x14ac:dyDescent="0.15">
      <c r="A87" s="64"/>
      <c r="B87" s="303"/>
      <c r="C87" s="304"/>
      <c r="D87" s="304"/>
      <c r="E87" s="304"/>
      <c r="F87" s="304"/>
      <c r="G87" s="304"/>
      <c r="H87" s="304"/>
      <c r="I87" s="305"/>
    </row>
    <row r="88" spans="1:9" ht="18.75" customHeight="1" x14ac:dyDescent="0.15">
      <c r="A88" s="64"/>
      <c r="B88" s="303"/>
      <c r="C88" s="304"/>
      <c r="D88" s="304"/>
      <c r="E88" s="304"/>
      <c r="F88" s="304"/>
      <c r="G88" s="304"/>
      <c r="H88" s="304"/>
      <c r="I88" s="305"/>
    </row>
    <row r="89" spans="1:9" ht="18.75" customHeight="1" x14ac:dyDescent="0.15">
      <c r="A89" s="64"/>
      <c r="B89" s="303"/>
      <c r="C89" s="304"/>
      <c r="D89" s="304"/>
      <c r="E89" s="304"/>
      <c r="F89" s="304"/>
      <c r="G89" s="304"/>
      <c r="H89" s="304"/>
      <c r="I89" s="305"/>
    </row>
    <row r="90" spans="1:9" ht="18.75" customHeight="1" x14ac:dyDescent="0.15">
      <c r="A90" s="95"/>
      <c r="B90" s="303"/>
      <c r="C90" s="304"/>
      <c r="D90" s="304"/>
      <c r="E90" s="304"/>
      <c r="F90" s="304"/>
      <c r="G90" s="304"/>
      <c r="H90" s="304"/>
      <c r="I90" s="305"/>
    </row>
    <row r="91" spans="1:9" ht="18.75" customHeight="1" x14ac:dyDescent="0.15">
      <c r="A91" s="95"/>
      <c r="B91" s="306"/>
      <c r="C91" s="307"/>
      <c r="D91" s="307"/>
      <c r="E91" s="307"/>
      <c r="F91" s="307"/>
      <c r="G91" s="307"/>
      <c r="H91" s="307"/>
      <c r="I91" s="308"/>
    </row>
    <row r="92" spans="1:9" ht="7.5" customHeight="1" x14ac:dyDescent="0.15">
      <c r="A92" s="95"/>
      <c r="B92" s="95"/>
      <c r="C92" s="95"/>
      <c r="D92" s="95"/>
      <c r="E92" s="95"/>
      <c r="F92" s="95"/>
      <c r="G92" s="95"/>
      <c r="H92" s="95"/>
      <c r="I92" s="95"/>
    </row>
    <row r="93" spans="1:9" ht="18.75" customHeight="1" x14ac:dyDescent="0.15">
      <c r="A93" s="64" t="s">
        <v>134</v>
      </c>
      <c r="B93" s="64" t="s">
        <v>135</v>
      </c>
    </row>
    <row r="94" spans="1:9" ht="18.75" customHeight="1" x14ac:dyDescent="0.15">
      <c r="A94" s="64"/>
      <c r="B94" s="315" t="s">
        <v>162</v>
      </c>
      <c r="C94" s="316"/>
      <c r="D94" s="316"/>
      <c r="E94" s="316"/>
      <c r="F94" s="316"/>
      <c r="G94" s="316"/>
      <c r="H94" s="316"/>
      <c r="I94" s="317"/>
    </row>
    <row r="95" spans="1:9" ht="18.75" customHeight="1" x14ac:dyDescent="0.15">
      <c r="A95" s="64"/>
      <c r="B95" s="318"/>
      <c r="C95" s="319"/>
      <c r="D95" s="319"/>
      <c r="E95" s="319"/>
      <c r="F95" s="319"/>
      <c r="G95" s="319"/>
      <c r="H95" s="319"/>
      <c r="I95" s="320"/>
    </row>
    <row r="96" spans="1:9" ht="18.75" customHeight="1" x14ac:dyDescent="0.15">
      <c r="A96" s="64"/>
      <c r="B96" s="318"/>
      <c r="C96" s="319"/>
      <c r="D96" s="319"/>
      <c r="E96" s="319"/>
      <c r="F96" s="319"/>
      <c r="G96" s="319"/>
      <c r="H96" s="319"/>
      <c r="I96" s="320"/>
    </row>
    <row r="97" spans="1:9" ht="18.75" customHeight="1" x14ac:dyDescent="0.15">
      <c r="A97" s="64"/>
      <c r="B97" s="318"/>
      <c r="C97" s="319"/>
      <c r="D97" s="319"/>
      <c r="E97" s="319"/>
      <c r="F97" s="319"/>
      <c r="G97" s="319"/>
      <c r="H97" s="319"/>
      <c r="I97" s="320"/>
    </row>
    <row r="98" spans="1:9" ht="18.75" customHeight="1" x14ac:dyDescent="0.15">
      <c r="A98" s="64"/>
      <c r="B98" s="318"/>
      <c r="C98" s="319"/>
      <c r="D98" s="319"/>
      <c r="E98" s="319"/>
      <c r="F98" s="319"/>
      <c r="G98" s="319"/>
      <c r="H98" s="319"/>
      <c r="I98" s="320"/>
    </row>
    <row r="99" spans="1:9" ht="18.75" customHeight="1" x14ac:dyDescent="0.15">
      <c r="A99" s="64"/>
      <c r="B99" s="318"/>
      <c r="C99" s="319"/>
      <c r="D99" s="319"/>
      <c r="E99" s="319"/>
      <c r="F99" s="319"/>
      <c r="G99" s="319"/>
      <c r="H99" s="319"/>
      <c r="I99" s="320"/>
    </row>
    <row r="100" spans="1:9" ht="18.75" customHeight="1" x14ac:dyDescent="0.15">
      <c r="A100" s="64"/>
      <c r="B100" s="318"/>
      <c r="C100" s="319"/>
      <c r="D100" s="319"/>
      <c r="E100" s="319"/>
      <c r="F100" s="319"/>
      <c r="G100" s="319"/>
      <c r="H100" s="319"/>
      <c r="I100" s="320"/>
    </row>
    <row r="101" spans="1:9" ht="18.75" customHeight="1" x14ac:dyDescent="0.15">
      <c r="A101" s="64"/>
      <c r="B101" s="318"/>
      <c r="C101" s="319"/>
      <c r="D101" s="319"/>
      <c r="E101" s="319"/>
      <c r="F101" s="319"/>
      <c r="G101" s="319"/>
      <c r="H101" s="319"/>
      <c r="I101" s="320"/>
    </row>
    <row r="102" spans="1:9" ht="18.75" customHeight="1" x14ac:dyDescent="0.15">
      <c r="A102" s="64"/>
      <c r="B102" s="318"/>
      <c r="C102" s="319"/>
      <c r="D102" s="319"/>
      <c r="E102" s="319"/>
      <c r="F102" s="319"/>
      <c r="G102" s="319"/>
      <c r="H102" s="319"/>
      <c r="I102" s="320"/>
    </row>
    <row r="103" spans="1:9" ht="18.75" customHeight="1" x14ac:dyDescent="0.15">
      <c r="A103" s="64"/>
      <c r="B103" s="318"/>
      <c r="C103" s="319"/>
      <c r="D103" s="319"/>
      <c r="E103" s="319"/>
      <c r="F103" s="319"/>
      <c r="G103" s="319"/>
      <c r="H103" s="319"/>
      <c r="I103" s="320"/>
    </row>
    <row r="104" spans="1:9" ht="18.75" customHeight="1" x14ac:dyDescent="0.15">
      <c r="A104" s="64"/>
      <c r="B104" s="318"/>
      <c r="C104" s="319"/>
      <c r="D104" s="319"/>
      <c r="E104" s="319"/>
      <c r="F104" s="319"/>
      <c r="G104" s="319"/>
      <c r="H104" s="319"/>
      <c r="I104" s="320"/>
    </row>
    <row r="105" spans="1:9" ht="18.75" customHeight="1" x14ac:dyDescent="0.15">
      <c r="A105" s="95"/>
      <c r="B105" s="321"/>
      <c r="C105" s="194"/>
      <c r="D105" s="194"/>
      <c r="E105" s="194"/>
      <c r="F105" s="194"/>
      <c r="G105" s="194"/>
      <c r="H105" s="194"/>
      <c r="I105" s="195"/>
    </row>
    <row r="106" spans="1:9" ht="7.5" customHeight="1" x14ac:dyDescent="0.15">
      <c r="A106" s="95"/>
      <c r="B106" s="95"/>
      <c r="C106" s="95"/>
      <c r="D106" s="95"/>
      <c r="E106" s="95"/>
      <c r="F106" s="95"/>
      <c r="G106" s="95"/>
      <c r="H106" s="95"/>
      <c r="I106" s="95"/>
    </row>
    <row r="107" spans="1:9" ht="18.75" customHeight="1" x14ac:dyDescent="0.15">
      <c r="A107" s="64" t="s">
        <v>136</v>
      </c>
      <c r="B107" s="322" t="s">
        <v>137</v>
      </c>
      <c r="C107" s="322"/>
      <c r="D107" s="322"/>
      <c r="E107" s="322"/>
      <c r="F107" s="322"/>
      <c r="G107" s="322"/>
      <c r="H107" s="322"/>
      <c r="I107" s="322"/>
    </row>
    <row r="108" spans="1:9" ht="18.75" customHeight="1" x14ac:dyDescent="0.15">
      <c r="A108" s="95"/>
      <c r="B108" s="315" t="s">
        <v>138</v>
      </c>
      <c r="C108" s="316"/>
      <c r="D108" s="316"/>
      <c r="E108" s="316"/>
      <c r="F108" s="316"/>
      <c r="G108" s="316"/>
      <c r="H108" s="316"/>
      <c r="I108" s="317"/>
    </row>
    <row r="109" spans="1:9" ht="18.75" customHeight="1" x14ac:dyDescent="0.15">
      <c r="A109" s="95"/>
      <c r="B109" s="318"/>
      <c r="C109" s="319"/>
      <c r="D109" s="319"/>
      <c r="E109" s="319"/>
      <c r="F109" s="319"/>
      <c r="G109" s="319"/>
      <c r="H109" s="319"/>
      <c r="I109" s="320"/>
    </row>
    <row r="110" spans="1:9" ht="18.75" customHeight="1" x14ac:dyDescent="0.15">
      <c r="A110" s="95"/>
      <c r="B110" s="318"/>
      <c r="C110" s="319"/>
      <c r="D110" s="319"/>
      <c r="E110" s="319"/>
      <c r="F110" s="319"/>
      <c r="G110" s="319"/>
      <c r="H110" s="319"/>
      <c r="I110" s="320"/>
    </row>
    <row r="111" spans="1:9" ht="18.75" customHeight="1" x14ac:dyDescent="0.15">
      <c r="A111" s="95"/>
      <c r="B111" s="318"/>
      <c r="C111" s="319"/>
      <c r="D111" s="319"/>
      <c r="E111" s="319"/>
      <c r="F111" s="319"/>
      <c r="G111" s="319"/>
      <c r="H111" s="319"/>
      <c r="I111" s="320"/>
    </row>
    <row r="112" spans="1:9" ht="18.75" customHeight="1" x14ac:dyDescent="0.15">
      <c r="A112" s="95"/>
      <c r="B112" s="318"/>
      <c r="C112" s="319"/>
      <c r="D112" s="319"/>
      <c r="E112" s="319"/>
      <c r="F112" s="319"/>
      <c r="G112" s="319"/>
      <c r="H112" s="319"/>
      <c r="I112" s="320"/>
    </row>
    <row r="113" spans="1:9" ht="18.75" customHeight="1" x14ac:dyDescent="0.15">
      <c r="A113" s="95"/>
      <c r="B113" s="318"/>
      <c r="C113" s="319"/>
      <c r="D113" s="319"/>
      <c r="E113" s="319"/>
      <c r="F113" s="319"/>
      <c r="G113" s="319"/>
      <c r="H113" s="319"/>
      <c r="I113" s="320"/>
    </row>
    <row r="114" spans="1:9" ht="18.75" customHeight="1" x14ac:dyDescent="0.15">
      <c r="A114" s="95"/>
      <c r="B114" s="318"/>
      <c r="C114" s="319"/>
      <c r="D114" s="319"/>
      <c r="E114" s="319"/>
      <c r="F114" s="319"/>
      <c r="G114" s="319"/>
      <c r="H114" s="319"/>
      <c r="I114" s="320"/>
    </row>
    <row r="115" spans="1:9" ht="18.75" customHeight="1" x14ac:dyDescent="0.15">
      <c r="A115" s="95"/>
      <c r="B115" s="318"/>
      <c r="C115" s="319"/>
      <c r="D115" s="319"/>
      <c r="E115" s="319"/>
      <c r="F115" s="319"/>
      <c r="G115" s="319"/>
      <c r="H115" s="319"/>
      <c r="I115" s="320"/>
    </row>
    <row r="116" spans="1:9" ht="18.75" customHeight="1" x14ac:dyDescent="0.15">
      <c r="A116" s="95"/>
      <c r="B116" s="318"/>
      <c r="C116" s="319"/>
      <c r="D116" s="319"/>
      <c r="E116" s="319"/>
      <c r="F116" s="319"/>
      <c r="G116" s="319"/>
      <c r="H116" s="319"/>
      <c r="I116" s="320"/>
    </row>
    <row r="117" spans="1:9" ht="18.75" customHeight="1" x14ac:dyDescent="0.15">
      <c r="A117" s="95"/>
      <c r="B117" s="318"/>
      <c r="C117" s="319"/>
      <c r="D117" s="319"/>
      <c r="E117" s="319"/>
      <c r="F117" s="319"/>
      <c r="G117" s="319"/>
      <c r="H117" s="319"/>
      <c r="I117" s="320"/>
    </row>
    <row r="118" spans="1:9" ht="18.75" customHeight="1" x14ac:dyDescent="0.15">
      <c r="A118" s="95"/>
      <c r="B118" s="318"/>
      <c r="C118" s="319"/>
      <c r="D118" s="319"/>
      <c r="E118" s="319"/>
      <c r="F118" s="319"/>
      <c r="G118" s="319"/>
      <c r="H118" s="319"/>
      <c r="I118" s="320"/>
    </row>
    <row r="119" spans="1:9" ht="18.75" customHeight="1" x14ac:dyDescent="0.15">
      <c r="A119" s="95"/>
      <c r="B119" s="321"/>
      <c r="C119" s="194"/>
      <c r="D119" s="194"/>
      <c r="E119" s="194"/>
      <c r="F119" s="194"/>
      <c r="G119" s="194"/>
      <c r="H119" s="194"/>
      <c r="I119" s="195"/>
    </row>
    <row r="120" spans="1:9" ht="7.5" customHeight="1" x14ac:dyDescent="0.15">
      <c r="A120" s="95"/>
      <c r="B120" s="101"/>
      <c r="C120" s="101"/>
      <c r="D120" s="101"/>
      <c r="E120" s="101"/>
      <c r="F120" s="101"/>
      <c r="G120" s="101"/>
      <c r="H120" s="101"/>
      <c r="I120" s="101"/>
    </row>
    <row r="121" spans="1:9" ht="18.75" customHeight="1" x14ac:dyDescent="0.15">
      <c r="A121" s="95"/>
      <c r="B121" s="95"/>
      <c r="C121" s="95"/>
      <c r="D121" s="95"/>
      <c r="E121" s="95"/>
      <c r="F121" s="95"/>
      <c r="G121" s="95"/>
      <c r="H121" s="95"/>
      <c r="I121" s="95"/>
    </row>
    <row r="122" spans="1:9" ht="18.75" customHeight="1" x14ac:dyDescent="0.15">
      <c r="A122" s="95"/>
      <c r="B122" s="95"/>
      <c r="C122" s="95"/>
      <c r="D122" s="95"/>
      <c r="E122" s="95"/>
      <c r="F122" s="95"/>
      <c r="G122" s="95"/>
      <c r="H122" s="95"/>
      <c r="I122" s="95"/>
    </row>
    <row r="123" spans="1:9" ht="18.75" customHeight="1" x14ac:dyDescent="0.15">
      <c r="A123" s="95"/>
      <c r="B123" s="95"/>
      <c r="C123" s="95"/>
      <c r="D123" s="95"/>
      <c r="E123" s="95"/>
      <c r="F123" s="95"/>
      <c r="G123" s="95"/>
      <c r="H123" s="95"/>
      <c r="I123" s="95"/>
    </row>
    <row r="124" spans="1:9" ht="18.75" customHeight="1" x14ac:dyDescent="0.15">
      <c r="A124" s="95"/>
      <c r="B124" s="95"/>
      <c r="C124" s="95"/>
      <c r="D124" s="95"/>
      <c r="E124" s="95"/>
      <c r="F124" s="95"/>
      <c r="G124" s="95"/>
      <c r="H124" s="95"/>
      <c r="I124" s="95"/>
    </row>
    <row r="125" spans="1:9" ht="18.75" customHeight="1" x14ac:dyDescent="0.15">
      <c r="A125" s="95"/>
      <c r="B125" s="95"/>
      <c r="C125" s="95"/>
      <c r="D125" s="95"/>
      <c r="E125" s="95"/>
      <c r="F125" s="95"/>
      <c r="G125" s="95"/>
      <c r="H125" s="95"/>
      <c r="I125" s="95"/>
    </row>
    <row r="126" spans="1:9" ht="18.75" customHeight="1" x14ac:dyDescent="0.15">
      <c r="A126" s="95"/>
      <c r="B126" s="95"/>
      <c r="C126" s="95"/>
      <c r="D126" s="95"/>
      <c r="E126" s="95"/>
      <c r="F126" s="95"/>
      <c r="G126" s="95"/>
      <c r="H126" s="95"/>
      <c r="I126" s="95"/>
    </row>
    <row r="127" spans="1:9" ht="18.75" customHeight="1" x14ac:dyDescent="0.15">
      <c r="A127" s="95"/>
      <c r="B127" s="95"/>
      <c r="C127" s="95"/>
      <c r="D127" s="95"/>
      <c r="E127" s="95"/>
      <c r="F127" s="95"/>
      <c r="G127" s="95"/>
      <c r="H127" s="95"/>
      <c r="I127" s="95"/>
    </row>
    <row r="128" spans="1:9" ht="18.75" customHeight="1" x14ac:dyDescent="0.15">
      <c r="A128" s="95"/>
      <c r="B128" s="95"/>
      <c r="C128" s="95"/>
      <c r="D128" s="95"/>
      <c r="E128" s="95"/>
      <c r="F128" s="95"/>
      <c r="G128" s="95"/>
      <c r="H128" s="95"/>
      <c r="I128" s="95"/>
    </row>
    <row r="129" spans="1:9" ht="18.75" customHeight="1" x14ac:dyDescent="0.15">
      <c r="A129" s="95"/>
      <c r="B129" s="95"/>
      <c r="C129" s="95"/>
      <c r="D129" s="95"/>
      <c r="E129" s="95"/>
      <c r="F129" s="95"/>
      <c r="G129" s="95"/>
      <c r="H129" s="95"/>
      <c r="I129" s="95"/>
    </row>
    <row r="130" spans="1:9" ht="18.75" customHeight="1" x14ac:dyDescent="0.15">
      <c r="A130" s="95"/>
      <c r="B130" s="95"/>
      <c r="C130" s="95"/>
      <c r="D130" s="95"/>
      <c r="E130" s="95"/>
      <c r="F130" s="95"/>
      <c r="G130" s="95"/>
      <c r="H130" s="95"/>
      <c r="I130" s="95"/>
    </row>
    <row r="131" spans="1:9" ht="18.75" customHeight="1" x14ac:dyDescent="0.15">
      <c r="A131" s="95"/>
      <c r="B131" s="95"/>
      <c r="C131" s="95"/>
      <c r="D131" s="95"/>
      <c r="E131" s="95"/>
      <c r="F131" s="95"/>
      <c r="G131" s="95"/>
      <c r="H131" s="95"/>
      <c r="I131" s="95"/>
    </row>
    <row r="132" spans="1:9" ht="18.75" customHeight="1" x14ac:dyDescent="0.15">
      <c r="A132" s="95"/>
      <c r="B132" s="95"/>
      <c r="C132" s="95"/>
      <c r="D132" s="95"/>
      <c r="E132" s="95"/>
      <c r="F132" s="95"/>
      <c r="G132" s="95"/>
      <c r="H132" s="95"/>
      <c r="I132" s="95"/>
    </row>
    <row r="133" spans="1:9" ht="14.25" x14ac:dyDescent="0.15">
      <c r="A133" s="95"/>
      <c r="B133" s="95"/>
      <c r="C133" s="95"/>
      <c r="D133" s="95"/>
      <c r="E133" s="95"/>
      <c r="F133" s="95"/>
      <c r="G133" s="95"/>
      <c r="H133" s="95"/>
      <c r="I133" s="95"/>
    </row>
    <row r="134" spans="1:9" ht="7.5" customHeight="1" x14ac:dyDescent="0.15">
      <c r="A134" s="102"/>
      <c r="B134" s="102"/>
      <c r="C134" s="102"/>
      <c r="D134" s="102"/>
      <c r="E134" s="102"/>
      <c r="F134" s="102"/>
      <c r="G134" s="102"/>
      <c r="H134" s="102"/>
      <c r="I134" s="102"/>
    </row>
  </sheetData>
  <customSheetViews>
    <customSheetView guid="{EF565584-6FC7-43D6-8DE5-80F819FA140A}" scale="91" showPageBreaks="1" zeroValues="0" fitToPage="1" printArea="1" view="pageBreakPreview">
      <selection activeCell="B108" sqref="B108:I119"/>
      <rowBreaks count="2" manualBreakCount="2">
        <brk id="47" max="9" man="1"/>
        <brk id="92" max="9" man="1"/>
      </rowBreaks>
      <pageMargins left="0.59055118110236227" right="0.59055118110236227" top="0.78740157480314965" bottom="0.39370078740157483" header="0.31496062992125984" footer="0.19685039370078741"/>
      <printOptions horizontalCentered="1"/>
      <pageSetup paperSize="9" fitToHeight="0" orientation="portrait" r:id="rId1"/>
      <headerFooter>
        <oddHeader>&amp;C数理・データサイエンス・AI教育プログラム認定制度【リテラシーレベル】</oddHeader>
      </headerFooter>
    </customSheetView>
  </customSheetViews>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2"/>
  <headerFooter>
    <oddHeader>&amp;C数理・データサイエンス・AI教育プログラム認定制度【リテラシーレベル】</oddHeader>
  </headerFooter>
  <rowBreaks count="2" manualBreakCount="2">
    <brk id="47" max="9" man="1"/>
    <brk id="92"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30"/>
  <sheetViews>
    <sheetView showZeros="0" view="pageBreakPreview" zoomScaleNormal="100" zoomScaleSheetLayoutView="100" workbookViewId="0">
      <selection activeCell="E13" sqref="E13:I13"/>
    </sheetView>
  </sheetViews>
  <sheetFormatPr defaultColWidth="11.375" defaultRowHeight="22.5" customHeight="1" x14ac:dyDescent="0.15"/>
  <cols>
    <col min="1" max="3" width="2.75" style="64" customWidth="1"/>
    <col min="4" max="4" width="22.25" style="64" customWidth="1"/>
    <col min="5" max="5" width="30.75" style="64" customWidth="1"/>
    <col min="6" max="7" width="7.75" style="64" customWidth="1"/>
    <col min="8" max="9" width="30.75" style="64" customWidth="1"/>
    <col min="10" max="10" width="4.125" style="64" customWidth="1"/>
    <col min="11" max="16384" width="11.375" style="64"/>
  </cols>
  <sheetData>
    <row r="1" spans="1:10" ht="18.75" customHeight="1" x14ac:dyDescent="0.15">
      <c r="A1" s="64" t="s">
        <v>139</v>
      </c>
      <c r="I1" s="113" t="s">
        <v>140</v>
      </c>
    </row>
    <row r="2" spans="1:10" ht="18.75" customHeight="1" x14ac:dyDescent="0.15">
      <c r="H2" s="113" t="s">
        <v>1</v>
      </c>
      <c r="I2" s="66" t="str">
        <f>'様式1-1　プログラムを構成する授業科目'!C2</f>
        <v>呉工業高等専門学校</v>
      </c>
    </row>
    <row r="3" spans="1:10" ht="18.75" customHeight="1" x14ac:dyDescent="0.15">
      <c r="A3" s="246" t="s">
        <v>141</v>
      </c>
      <c r="B3" s="246"/>
      <c r="C3" s="246"/>
      <c r="D3" s="246"/>
      <c r="E3" s="246"/>
      <c r="F3" s="246"/>
      <c r="G3" s="246"/>
      <c r="H3" s="246"/>
      <c r="I3" s="246"/>
    </row>
    <row r="4" spans="1:10" ht="18.75" customHeight="1" x14ac:dyDescent="0.15">
      <c r="A4" s="114"/>
      <c r="B4" s="114"/>
      <c r="C4" s="114"/>
      <c r="D4" s="114"/>
      <c r="E4" s="114"/>
      <c r="F4" s="114"/>
      <c r="G4" s="114"/>
      <c r="H4" s="114"/>
      <c r="I4" s="114"/>
    </row>
    <row r="5" spans="1:10" ht="18.75" customHeight="1" x14ac:dyDescent="0.15">
      <c r="A5" s="64" t="s">
        <v>94</v>
      </c>
      <c r="B5" s="72" t="s">
        <v>142</v>
      </c>
      <c r="C5" s="114"/>
      <c r="D5" s="114"/>
      <c r="E5" s="114"/>
      <c r="F5" s="114"/>
      <c r="G5" s="114"/>
      <c r="H5" s="114"/>
      <c r="I5" s="114"/>
    </row>
    <row r="6" spans="1:10" ht="26.25" customHeight="1" x14ac:dyDescent="0.15">
      <c r="A6" s="114"/>
      <c r="B6" s="331" t="s">
        <v>114</v>
      </c>
      <c r="C6" s="359"/>
      <c r="D6" s="359"/>
      <c r="E6" s="359"/>
      <c r="F6" s="359"/>
      <c r="G6" s="359"/>
      <c r="H6" s="360"/>
      <c r="I6" s="117"/>
    </row>
    <row r="7" spans="1:10" ht="9" customHeight="1" x14ac:dyDescent="0.15">
      <c r="A7" s="114"/>
      <c r="B7" s="72"/>
      <c r="C7" s="72"/>
      <c r="D7" s="72"/>
      <c r="E7" s="72"/>
      <c r="F7" s="72"/>
      <c r="G7" s="72"/>
      <c r="H7" s="72"/>
      <c r="I7" s="117"/>
    </row>
    <row r="8" spans="1:10" ht="18.75" customHeight="1" x14ac:dyDescent="0.15">
      <c r="A8" s="114"/>
      <c r="B8" s="117"/>
      <c r="C8" s="117"/>
      <c r="D8" s="113" t="s">
        <v>103</v>
      </c>
      <c r="E8" s="121" t="s">
        <v>165</v>
      </c>
      <c r="F8" s="117"/>
      <c r="G8" s="113" t="s">
        <v>105</v>
      </c>
      <c r="H8" s="121" t="s">
        <v>166</v>
      </c>
      <c r="I8" s="117"/>
    </row>
    <row r="9" spans="1:10" ht="7.5" customHeight="1" x14ac:dyDescent="0.15">
      <c r="A9" s="114"/>
      <c r="B9" s="114"/>
      <c r="C9" s="114"/>
      <c r="D9" s="114"/>
      <c r="E9" s="114"/>
      <c r="F9" s="114"/>
      <c r="G9" s="114"/>
      <c r="H9" s="114"/>
      <c r="I9" s="114"/>
    </row>
    <row r="10" spans="1:10" ht="18.75" customHeight="1" x14ac:dyDescent="0.15">
      <c r="A10" s="64" t="s">
        <v>99</v>
      </c>
      <c r="B10" s="64" t="s">
        <v>143</v>
      </c>
      <c r="C10" s="95"/>
      <c r="D10" s="95"/>
      <c r="E10" s="95"/>
      <c r="F10" s="95"/>
      <c r="G10" s="95"/>
      <c r="H10" s="95"/>
      <c r="I10" s="95"/>
    </row>
    <row r="11" spans="1:10" ht="18.75" customHeight="1" x14ac:dyDescent="0.15">
      <c r="B11" s="228" t="s">
        <v>144</v>
      </c>
      <c r="C11" s="214"/>
      <c r="D11" s="215"/>
      <c r="E11" s="214" t="s">
        <v>145</v>
      </c>
      <c r="F11" s="214"/>
      <c r="G11" s="214"/>
      <c r="H11" s="214"/>
      <c r="I11" s="215"/>
    </row>
    <row r="12" spans="1:10" ht="26.25" customHeight="1" x14ac:dyDescent="0.15">
      <c r="B12" s="103" t="s">
        <v>146</v>
      </c>
      <c r="C12" s="104"/>
      <c r="D12" s="105"/>
      <c r="E12" s="106"/>
      <c r="F12" s="106"/>
      <c r="G12" s="106"/>
      <c r="H12" s="106"/>
      <c r="I12" s="105"/>
    </row>
    <row r="13" spans="1:10" ht="210.75" customHeight="1" x14ac:dyDescent="0.15">
      <c r="B13" s="107"/>
      <c r="C13" s="341" t="s">
        <v>147</v>
      </c>
      <c r="D13" s="342"/>
      <c r="E13" s="357" t="s">
        <v>173</v>
      </c>
      <c r="F13" s="358"/>
      <c r="G13" s="358"/>
      <c r="H13" s="358"/>
      <c r="I13" s="358"/>
      <c r="J13" s="116"/>
    </row>
    <row r="14" spans="1:10" ht="210.75" customHeight="1" x14ac:dyDescent="0.15">
      <c r="B14" s="107"/>
      <c r="C14" s="355" t="s">
        <v>148</v>
      </c>
      <c r="D14" s="356"/>
      <c r="E14" s="357" t="s">
        <v>167</v>
      </c>
      <c r="F14" s="358"/>
      <c r="G14" s="358"/>
      <c r="H14" s="358"/>
      <c r="I14" s="358"/>
      <c r="J14" s="116"/>
    </row>
    <row r="15" spans="1:10" ht="210.75" customHeight="1" x14ac:dyDescent="0.15">
      <c r="B15" s="107"/>
      <c r="C15" s="341" t="s">
        <v>149</v>
      </c>
      <c r="D15" s="342"/>
      <c r="E15" s="181" t="s">
        <v>168</v>
      </c>
      <c r="F15" s="343"/>
      <c r="G15" s="343"/>
      <c r="H15" s="343"/>
      <c r="I15" s="344"/>
    </row>
    <row r="16" spans="1:10" ht="210.75" customHeight="1" x14ac:dyDescent="0.15">
      <c r="B16" s="107"/>
      <c r="C16" s="341" t="s">
        <v>150</v>
      </c>
      <c r="D16" s="342"/>
      <c r="E16" s="181" t="s">
        <v>169</v>
      </c>
      <c r="F16" s="343"/>
      <c r="G16" s="343"/>
      <c r="H16" s="343"/>
      <c r="I16" s="344"/>
    </row>
    <row r="17" spans="2:9" ht="210.75" customHeight="1" x14ac:dyDescent="0.15">
      <c r="B17" s="108"/>
      <c r="C17" s="345" t="s">
        <v>151</v>
      </c>
      <c r="D17" s="346"/>
      <c r="E17" s="354" t="s">
        <v>170</v>
      </c>
      <c r="F17" s="347"/>
      <c r="G17" s="347"/>
      <c r="H17" s="347"/>
      <c r="I17" s="348"/>
    </row>
    <row r="18" spans="2:9" ht="24" customHeight="1" x14ac:dyDescent="0.15">
      <c r="B18" s="103" t="s">
        <v>152</v>
      </c>
      <c r="C18" s="109"/>
      <c r="D18" s="110"/>
      <c r="E18" s="111"/>
      <c r="F18" s="111"/>
      <c r="G18" s="111"/>
      <c r="H18" s="111"/>
      <c r="I18" s="112"/>
    </row>
    <row r="19" spans="2:9" ht="218.25" customHeight="1" x14ac:dyDescent="0.15">
      <c r="B19" s="107"/>
      <c r="C19" s="341" t="s">
        <v>153</v>
      </c>
      <c r="D19" s="342"/>
      <c r="E19" s="343" t="s">
        <v>160</v>
      </c>
      <c r="F19" s="343"/>
      <c r="G19" s="343"/>
      <c r="H19" s="343"/>
      <c r="I19" s="344"/>
    </row>
    <row r="20" spans="2:9" ht="218.25" customHeight="1" x14ac:dyDescent="0.15">
      <c r="B20" s="108"/>
      <c r="C20" s="345" t="s">
        <v>154</v>
      </c>
      <c r="D20" s="346"/>
      <c r="E20" s="347" t="s">
        <v>161</v>
      </c>
      <c r="F20" s="347"/>
      <c r="G20" s="347"/>
      <c r="H20" s="347"/>
      <c r="I20" s="348"/>
    </row>
    <row r="21" spans="2:9" ht="218.25" customHeight="1" x14ac:dyDescent="0.15">
      <c r="B21" s="349" t="s">
        <v>155</v>
      </c>
      <c r="C21" s="350"/>
      <c r="D21" s="351"/>
      <c r="E21" s="352" t="s">
        <v>171</v>
      </c>
      <c r="F21" s="352"/>
      <c r="G21" s="352"/>
      <c r="H21" s="352"/>
      <c r="I21" s="353"/>
    </row>
    <row r="22" spans="2:9" ht="218.25" customHeight="1" x14ac:dyDescent="0.15">
      <c r="B22" s="337" t="s">
        <v>156</v>
      </c>
      <c r="C22" s="338"/>
      <c r="D22" s="339"/>
      <c r="E22" s="193" t="s">
        <v>172</v>
      </c>
      <c r="F22" s="193"/>
      <c r="G22" s="193"/>
      <c r="H22" s="193"/>
      <c r="I22" s="340"/>
    </row>
    <row r="23" spans="2:9" ht="22.5" customHeight="1" x14ac:dyDescent="0.15">
      <c r="B23" s="95"/>
      <c r="C23" s="95"/>
      <c r="D23" s="95"/>
      <c r="E23" s="95"/>
      <c r="F23" s="95"/>
      <c r="G23" s="95"/>
      <c r="H23" s="95"/>
      <c r="I23" s="95"/>
    </row>
    <row r="24" spans="2:9" ht="22.5" customHeight="1" x14ac:dyDescent="0.15">
      <c r="B24" s="95"/>
      <c r="C24" s="95"/>
      <c r="D24" s="95"/>
      <c r="E24" s="95"/>
      <c r="F24" s="95"/>
      <c r="G24" s="95"/>
      <c r="H24" s="95"/>
      <c r="I24" s="95"/>
    </row>
    <row r="25" spans="2:9" ht="22.5" customHeight="1" x14ac:dyDescent="0.15">
      <c r="B25" s="95"/>
      <c r="C25" s="95"/>
      <c r="D25" s="95"/>
      <c r="E25" s="95"/>
      <c r="F25" s="95"/>
      <c r="G25" s="95"/>
      <c r="H25" s="95"/>
      <c r="I25" s="95"/>
    </row>
    <row r="26" spans="2:9" ht="22.5" customHeight="1" x14ac:dyDescent="0.15">
      <c r="B26" s="95"/>
      <c r="C26" s="95"/>
      <c r="D26" s="95"/>
      <c r="E26" s="95"/>
      <c r="F26" s="95"/>
      <c r="G26" s="95"/>
      <c r="H26" s="95"/>
      <c r="I26" s="95"/>
    </row>
    <row r="27" spans="2:9" ht="22.5" customHeight="1" x14ac:dyDescent="0.15">
      <c r="B27" s="95"/>
      <c r="C27" s="95"/>
      <c r="D27" s="95"/>
      <c r="E27" s="95"/>
      <c r="F27" s="95"/>
      <c r="G27" s="95"/>
      <c r="H27" s="95"/>
      <c r="I27" s="95"/>
    </row>
    <row r="28" spans="2:9" ht="22.5" customHeight="1" x14ac:dyDescent="0.15">
      <c r="B28" s="115"/>
      <c r="C28" s="115"/>
      <c r="D28" s="115"/>
      <c r="E28" s="115"/>
      <c r="F28" s="115"/>
      <c r="G28" s="115"/>
      <c r="H28" s="115"/>
      <c r="I28" s="115"/>
    </row>
    <row r="29" spans="2:9" ht="22.5" customHeight="1" x14ac:dyDescent="0.15">
      <c r="B29" s="115"/>
      <c r="C29" s="115"/>
      <c r="D29" s="115"/>
      <c r="E29" s="115"/>
      <c r="F29" s="115"/>
      <c r="G29" s="115"/>
      <c r="H29" s="115"/>
      <c r="I29" s="115"/>
    </row>
    <row r="30" spans="2:9" ht="22.5" customHeight="1" x14ac:dyDescent="0.15">
      <c r="B30" s="115"/>
      <c r="C30" s="115"/>
      <c r="D30" s="115"/>
      <c r="E30" s="115"/>
      <c r="F30" s="115"/>
      <c r="G30" s="115"/>
      <c r="H30" s="115"/>
      <c r="I30" s="115"/>
    </row>
  </sheetData>
  <customSheetViews>
    <customSheetView guid="{EF565584-6FC7-43D6-8DE5-80F819FA140A}" showPageBreaks="1" zeroValues="0" fitToPage="1" printArea="1" view="pageBreakPreview" topLeftCell="A4">
      <selection activeCell="E17" sqref="E17:I17"/>
      <rowBreaks count="1" manualBreakCount="1">
        <brk id="17" max="11" man="1"/>
      </rowBreaks>
      <pageMargins left="0.78740157480314965" right="0.78740157480314965" top="0.78740157480314965" bottom="0.59055118110236227" header="0.31496062992125984" footer="0.31496062992125984"/>
      <printOptions horizontalCentered="1"/>
      <pageSetup paperSize="9" scale="52" fitToHeight="0" orientation="portrait" r:id="rId1"/>
      <headerFooter>
        <oddHeader>&amp;C数理・データサイエンス・AI教育プログラム認定制度【リテラシーレベル】</oddHeader>
      </headerFooter>
    </customSheetView>
  </customSheetViews>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2"/>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3A1BA1267BB3DA459527D2521242EEA3" ma:contentTypeVersion="2" ma:contentTypeDescription="新しいドキュメントを作成します。" ma:contentTypeScope="" ma:versionID="c320e806272cbaf63017292238ab6d31">
  <xsd:schema xmlns:xsd="http://www.w3.org/2001/XMLSchema" xmlns:xs="http://www.w3.org/2001/XMLSchema" xmlns:p="http://schemas.microsoft.com/office/2006/metadata/properties" xmlns:ns2="18718b3b-ff61-4834-a484-b47490b41261" targetNamespace="http://schemas.microsoft.com/office/2006/metadata/properties" ma:root="true" ma:fieldsID="fa71d2ebfe3b14b740100cb76db02e6b" ns2:_="">
    <xsd:import namespace="18718b3b-ff61-4834-a484-b47490b4126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718b3b-ff61-4834-a484-b47490b412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EEF36F6-0A0E-4BEF-B0DA-2BCECD8460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8718b3b-ff61-4834-a484-b47490b412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D23421-CC69-4151-80B4-2DBF1086E493}">
  <ds:schemaRefs>
    <ds:schemaRef ds:uri="http://schemas.microsoft.com/sharepoint/v3/contenttype/forms"/>
  </ds:schemaRefs>
</ds:datastoreItem>
</file>

<file path=customXml/itemProps3.xml><?xml version="1.0" encoding="utf-8"?>
<ds:datastoreItem xmlns:ds="http://schemas.openxmlformats.org/officeDocument/2006/customXml" ds:itemID="{60E9D2D1-7CE2-4D55-9201-0EE0645978DF}">
  <ds:schemaRefs>
    <ds:schemaRef ds:uri="http://schemas.openxmlformats.org/package/2006/metadata/core-properties"/>
    <ds:schemaRef ds:uri="http://schemas.microsoft.com/office/infopath/2007/PartnerControls"/>
    <ds:schemaRef ds:uri="http://purl.org/dc/elements/1.1/"/>
    <ds:schemaRef ds:uri="18718b3b-ff61-4834-a484-b47490b41261"/>
    <ds:schemaRef ds:uri="http://www.w3.org/XML/1998/namespace"/>
    <ds:schemaRef ds:uri="http://schemas.microsoft.com/office/2006/documentManagement/types"/>
    <ds:schemaRef ds:uri="http://purl.org/dc/term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様式1-1　プログラムを構成する授業科目</vt:lpstr>
      <vt:lpstr>様式1-2 プログラムを構成する授業科目</vt:lpstr>
      <vt:lpstr>様式1-3 プログラムを構成する授業科目</vt:lpstr>
      <vt:lpstr>様式1-4 プログラムを構成する授業科目</vt:lpstr>
      <vt:lpstr>様式２ 履修者等数の実績</vt:lpstr>
      <vt:lpstr>様式３ 教育の質・履修者数を向上させるための体制・計画</vt:lpstr>
      <vt:lpstr>様式４　自己点検・評価</vt:lpstr>
      <vt:lpstr>'様式1-1　プログラムを構成する授業科目'!Print_Area</vt:lpstr>
      <vt:lpstr>'様式1-2 プログラムを構成する授業科目'!Print_Area</vt:lpstr>
      <vt:lpstr>'様式1-3 プログラムを構成する授業科目'!Print_Area</vt:lpstr>
      <vt:lpstr>'様式1-4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Jim</cp:lastModifiedBy>
  <cp:revision/>
  <cp:lastPrinted>2023-06-19T04:57:15Z</cp:lastPrinted>
  <dcterms:created xsi:type="dcterms:W3CDTF">2011-06-14T05:32:50Z</dcterms:created>
  <dcterms:modified xsi:type="dcterms:W3CDTF">2023-06-21T02:20:43Z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0x0101003A1BA1267BB3DA459527D2521242EEA3</vt:lpwstr>
  </property>
</Properties>
</file>