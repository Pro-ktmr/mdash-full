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defaultThemeVersion="124226"/>
  <mc:AlternateContent xmlns:mc="http://schemas.openxmlformats.org/markup-compatibility/2006">
    <mc:Choice Requires="x15">
      <x15ac:absPath xmlns:x15ac="http://schemas.microsoft.com/office/spreadsheetml/2010/11/ac" url="C:\Users\tokuno\Documents\3_学内委員会業務\数理データサイエンスAI関連\令和5年度申請書類\"/>
    </mc:Choice>
  </mc:AlternateContent>
  <xr:revisionPtr revIDLastSave="0" documentId="13_ncr:1_{9D7EF219-0F45-4EA5-A5FC-EFA2940D8FE3}" xr6:coauthVersionLast="47" xr6:coauthVersionMax="47" xr10:uidLastSave="{00000000-0000-0000-0000-000000000000}"/>
  <bookViews>
    <workbookView xWindow="-110" yWindow="-110" windowWidth="19420" windowHeight="116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81029"/>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<sst xmlns="http://schemas.openxmlformats.org/spreadsheetml/2006/main" count="308" uniqueCount="182">
  <si>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</si>
  <si>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</si>
  <si>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</si>
  <si>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</si>
  <si>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</si>
  <si>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</si>
  <si>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</si>
  <si>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</si>
  <si>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</si>
  <si>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</si>
  <si>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</si>
  <si>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</si>
  <si>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</si>
  <si>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</si>
  <si>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</si>
  <si>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</si>
  <si>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</si>
  <si>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</si>
  <si>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</si>
  <si>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</si>
  <si>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</si>
  <si>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</si>
  <si>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</si>
  <si>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</si>
  <si>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</si>
  <si>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</si>
  <si>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</si>
  <si>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</si>
  <si>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</si>
  <si>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</si>
  <si>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</si>
  <si>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</si>
  <si>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</si>
  <si>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</si>
  <si>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</si>
  <si>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</si>
  <si>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</si>
  <si>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</si>
  <si>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</si>
  <si>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</si>
  <si>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</si>
  <si>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</si>
  <si>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</si>
  <si>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</si>
  <si>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</si>
  <si>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</si>
  <si>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</si>
  <si>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</si>
  <si>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</si>
  <si>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</si>
  <si>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</si>
  <si>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</si>
  <si>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</si>
  <si>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</si>
  <si>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</si>
  <si>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</si>
  <si>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</si>
  <si>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</si>
  <si>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</si>
  <si>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</si>
  <si>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</si>
  <si>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</si>
  <si>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</si>
  <si>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</si>
  <si>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</si>
  <si>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</si>
  <si>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</si>
  <si>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</si>
  <si>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</si>
  <si>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</si>
  <si>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</si>
  <si>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</si>
  <si>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</si>
  <si>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</si>
  <si>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</si>
  <si>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</si>
  <si>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</si>
  <si>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</si>
  <si>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</si>
  <si>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</si>
  <si>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</si>
  <si>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</si>
  <si>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</si>
  <si>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</si>
  <si>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</si>
  <si>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</si>
  <si>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</si>
  <si>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</si>
  <si>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</si>
  <si>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</si>
  <si>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</si>
  <si>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</si>
  <si>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</si>
  <si>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</si>
  <si>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</si>
  <si>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</si>
  <si>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</si>
  <si>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</si>
  <si>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</si>
  <si>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</si>
  <si>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</si>
  <si>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</si>
  <si>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</si>
  <si>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</si>
  <si>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</si>
  <si>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</si>
  <si>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</si>
  <si>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</si>
  <si>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</si>
  <si>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</si>
  <si>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</si>
  <si>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</si>
  <si>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</si>
  <si>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</si>
  <si>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</si>
  <si>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</si>
  <si>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</si>
  <si>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</si>
  <si>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</si>
  <si>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</si>
  <si>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</si>
  <si>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</si>
  <si>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</si>
  <si>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</si>
  <si>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</si>
  <si>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学部・学科によって、修了要件は相違しない</t>
  </si>
  <si>
    <t>福井県立大学</t>
    <rPh sb="0" eb="6">
      <t>フクイケンリツダイガク</t>
    </rPh>
    <phoneticPr fontId="1"/>
  </si>
  <si>
    <t>プログラムを構成する３科目（下記１～３）のうち、「１．情報科学Ⅰ」（１単位）を含む計２単位以上を取得すること。
１．情報科学Ⅰ（１単位）
２．情報処理基礎演習（１単位）
３．統計処理演習（１単位）</t>
    <rPh sb="6" eb="8">
      <t>コウセイ</t>
    </rPh>
    <rPh sb="11" eb="13">
      <t>カモク</t>
    </rPh>
    <rPh sb="14" eb="16">
      <t>カキ</t>
    </rPh>
    <rPh sb="27" eb="31">
      <t>ジョウホウカガク</t>
    </rPh>
    <rPh sb="35" eb="37">
      <t>タンイ</t>
    </rPh>
    <rPh sb="39" eb="40">
      <t>フク</t>
    </rPh>
    <rPh sb="41" eb="42">
      <t>ケイ</t>
    </rPh>
    <rPh sb="43" eb="47">
      <t>タンイイジョウ</t>
    </rPh>
    <rPh sb="48" eb="50">
      <t>シュトク</t>
    </rPh>
    <rPh sb="58" eb="62">
      <t>ジョウホウカガク</t>
    </rPh>
    <rPh sb="65" eb="67">
      <t>タンイ</t>
    </rPh>
    <rPh sb="71" eb="75">
      <t>ジョウホウショリ</t>
    </rPh>
    <rPh sb="75" eb="79">
      <t>キソエンシュウ</t>
    </rPh>
    <rPh sb="81" eb="83">
      <t>タンイ</t>
    </rPh>
    <rPh sb="87" eb="91">
      <t>トウケイショリ</t>
    </rPh>
    <rPh sb="91" eb="93">
      <t>エンシュウ</t>
    </rPh>
    <rPh sb="95" eb="97">
      <t>タンイ</t>
    </rPh>
    <phoneticPr fontId="1"/>
  </si>
  <si>
    <t>情報科学Ⅰ</t>
    <rPh sb="0" eb="4">
      <t>ジョウホウカガク</t>
    </rPh>
    <phoneticPr fontId="1"/>
  </si>
  <si>
    <t>○</t>
  </si>
  <si>
    <t>情報科学Ⅰ</t>
    <rPh sb="0" eb="5">
      <t>ジョウホウカガク1</t>
    </rPh>
    <phoneticPr fontId="1"/>
  </si>
  <si>
    <t>情報処理基礎演習</t>
    <rPh sb="0" eb="4">
      <t>ジョウホウショリ</t>
    </rPh>
    <rPh sb="4" eb="8">
      <t>キソエンシュウ</t>
    </rPh>
    <phoneticPr fontId="1"/>
  </si>
  <si>
    <t>統計処理演習</t>
    <rPh sb="0" eb="4">
      <t>トウケイショリ</t>
    </rPh>
    <rPh sb="4" eb="6">
      <t>エンシュウ</t>
    </rPh>
    <phoneticPr fontId="1"/>
  </si>
  <si>
    <t>4‐2アルゴリズム基礎</t>
  </si>
  <si>
    <t>令和4</t>
    <rPh sb="0" eb="2">
      <t>レイワ</t>
    </rPh>
    <phoneticPr fontId="1"/>
  </si>
  <si>
    <t>経済学部</t>
    <rPh sb="0" eb="4">
      <t>ケイザイガクブ</t>
    </rPh>
    <phoneticPr fontId="1"/>
  </si>
  <si>
    <t>生物資源学部</t>
    <rPh sb="0" eb="6">
      <t>セイブツシゲンガクブ</t>
    </rPh>
    <phoneticPr fontId="1"/>
  </si>
  <si>
    <t>海洋生物資源学部</t>
    <rPh sb="0" eb="2">
      <t>カイヨウ</t>
    </rPh>
    <rPh sb="2" eb="4">
      <t>セイブツ</t>
    </rPh>
    <rPh sb="4" eb="6">
      <t>シゲン</t>
    </rPh>
    <rPh sb="6" eb="8">
      <t>ガクブ</t>
    </rPh>
    <phoneticPr fontId="1"/>
  </si>
  <si>
    <t>看護福祉学部</t>
    <rPh sb="0" eb="6">
      <t>カンゴフクシガクブ</t>
    </rPh>
    <phoneticPr fontId="1"/>
  </si>
  <si>
    <t>副学長（総括）</t>
    <phoneticPr fontId="1"/>
  </si>
  <si>
    <t>横山 芳博</t>
    <phoneticPr fontId="1"/>
  </si>
  <si>
    <t>日竎 隆雄</t>
    <phoneticPr fontId="1"/>
  </si>
  <si>
    <t>デジタル推進委員会委員長</t>
    <rPh sb="4" eb="6">
      <t>スイシン</t>
    </rPh>
    <rPh sb="6" eb="9">
      <t>イインカイ</t>
    </rPh>
    <rPh sb="9" eb="12">
      <t>イインチョウ</t>
    </rPh>
    <phoneticPr fontId="1"/>
  </si>
  <si>
    <t xml:space="preserve">・情報社会で起きている変化を的確に捉え、AIおよびデータサイエンスの技術・活用領域について理解できる。
・個人情報や研究データを扱う上での留意事項を理解し、データを守るために適切な情報セキュリティ対策をとることができる。
・データ分析ツールを使いこなし、データの適切な可視化、特徴説明ができる。
</t>
    <rPh sb="131" eb="133">
      <t>テキセツ</t>
    </rPh>
    <rPh sb="134" eb="137">
      <t>カシカ</t>
    </rPh>
    <rPh sb="138" eb="140">
      <t>トクチョウ</t>
    </rPh>
    <phoneticPr fontId="1"/>
  </si>
  <si>
    <t>教育研究委員会</t>
    <rPh sb="0" eb="7">
      <t>キョウイクケンキュウイインカイ</t>
    </rPh>
    <phoneticPr fontId="1"/>
  </si>
  <si>
    <t>教育研究委員会委員長</t>
    <rPh sb="0" eb="7">
      <t>キョウイクケンキュウイインカイ</t>
    </rPh>
    <rPh sb="7" eb="10">
      <t>イインチョウ</t>
    </rPh>
    <phoneticPr fontId="1"/>
  </si>
  <si>
    <t>全学数理・データサイエンス・AI教育プログラム（リテラシーレベル）</t>
    <rPh sb="0" eb="2">
      <t>ゼンガク</t>
    </rPh>
    <phoneticPr fontId="1"/>
  </si>
  <si>
    <t>杉山 泰之</t>
    <rPh sb="0" eb="2">
      <t>スギヤマ</t>
    </rPh>
    <rPh sb="3" eb="5">
      <t>ヤスユキ</t>
    </rPh>
    <phoneticPr fontId="1"/>
  </si>
  <si>
    <t>※令和4年度に実施したプログラムの自己点検・評価を令和5年4月の教育研究委員会で行ったため、令和5年度の委員長名を記載しています。</t>
    <rPh sb="1" eb="3">
      <t>レイワ</t>
    </rPh>
    <rPh sb="4" eb="6">
      <t>ネンド</t>
    </rPh>
    <rPh sb="7" eb="9">
      <t>ジッシ</t>
    </rPh>
    <rPh sb="17" eb="21">
      <t>ジコテンケン</t>
    </rPh>
    <rPh sb="22" eb="24">
      <t>ヒョウカ</t>
    </rPh>
    <rPh sb="25" eb="27">
      <t>レイワ</t>
    </rPh>
    <rPh sb="28" eb="29">
      <t>ネン</t>
    </rPh>
    <rPh sb="30" eb="31">
      <t>ガツ</t>
    </rPh>
    <rPh sb="32" eb="39">
      <t>キョウイクケンキュウイインカイ</t>
    </rPh>
    <rPh sb="40" eb="41">
      <t>オコナ</t>
    </rPh>
    <rPh sb="46" eb="48">
      <t>レイワ</t>
    </rPh>
    <rPh sb="49" eb="51">
      <t>ネンド</t>
    </rPh>
    <rPh sb="52" eb="56">
      <t>イインチョウメイ</t>
    </rPh>
    <rPh sb="57" eb="59">
      <t>キサイ</t>
    </rPh>
    <phoneticPr fontId="1"/>
  </si>
  <si>
    <t>デジタル推進委員会、情報センター設立検討委員会</t>
    <rPh sb="4" eb="6">
      <t>スイシン</t>
    </rPh>
    <rPh sb="6" eb="9">
      <t>イインカイ</t>
    </rPh>
    <rPh sb="10" eb="12">
      <t>ジョウホウ</t>
    </rPh>
    <rPh sb="16" eb="18">
      <t>セツリツ</t>
    </rPh>
    <rPh sb="18" eb="20">
      <t>ケントウ</t>
    </rPh>
    <rPh sb="20" eb="23">
      <t>イインカイ</t>
    </rPh>
    <phoneticPr fontId="1"/>
  </si>
  <si>
    <t>　</t>
    <phoneticPr fontId="1"/>
  </si>
  <si>
    <r>
      <t xml:space="preserve">自己点検・評価体制における意見等 </t>
    </r>
    <r>
      <rPr>
        <sz val="11"/>
        <color theme="1"/>
        <rFont val="ＭＳ Ｐゴシック"/>
        <family val="3"/>
        <charset val="128"/>
        <scheme val="minor"/>
      </rPr>
      <t>※評価結果の詳細は、Webに公開しています。</t>
    </r>
    <rPh sb="15" eb="16">
      <t>トウ</t>
    </rPh>
    <rPh sb="18" eb="22">
      <t>ヒョウカケッカ</t>
    </rPh>
    <rPh sb="23" eb="25">
      <t>ショウサイ</t>
    </rPh>
    <rPh sb="31" eb="33">
      <t>コウカイ</t>
    </rPh>
    <phoneticPr fontId="1"/>
  </si>
  <si>
    <t>情報処理基礎演習</t>
    <rPh sb="0" eb="4">
      <t>ジョウホウショリ</t>
    </rPh>
    <rPh sb="4" eb="8">
      <t>キソエンシュウ</t>
    </rPh>
    <phoneticPr fontId="1"/>
  </si>
  <si>
    <t>・ビッグデータ、IoT、AI　「情報科学Ⅰ」（1，13，14回目）
・複数技術を組み合わせたAIサービス　「情報科学Ⅰ」（13，14回目）
・人間の知的活動とAIの関係性　「情報科学Ⅰ」（13，14回目）</t>
    <rPh sb="31" eb="32">
      <t>メ</t>
    </rPh>
    <rPh sb="67" eb="68">
      <t>メ</t>
    </rPh>
    <rPh sb="100" eb="101">
      <t>メ</t>
    </rPh>
    <phoneticPr fontId="1"/>
  </si>
  <si>
    <t>・AI等を活用した新しいビジネスモデル　「情報科学Ⅰ」（13，14回目）</t>
    <rPh sb="21" eb="25">
      <t>ジョウホウカガク</t>
    </rPh>
    <rPh sb="34" eb="35">
      <t>メ</t>
    </rPh>
    <phoneticPr fontId="1"/>
  </si>
  <si>
    <t>・データ・AI活用領域の広がり(生産、消費など)　「情報科学Ⅰ」（13，14回目）
・研究開発、調達、製造、物流、販売、マーケティング、サービス　「情報科学Ⅰ」（13, 14回目）
・仮説検証、知識発見、計画策定、判断支援、活動代替　「情報科学Ⅰ」（13，14回目）</t>
    <rPh sb="26" eb="30">
      <t>ジョウホウカガク</t>
    </rPh>
    <rPh sb="38" eb="39">
      <t>カイ</t>
    </rPh>
    <rPh sb="39" eb="40">
      <t>メ</t>
    </rPh>
    <rPh sb="74" eb="78">
      <t>ジョウホウカガク</t>
    </rPh>
    <rPh sb="87" eb="88">
      <t>カイ</t>
    </rPh>
    <rPh sb="88" eb="89">
      <t>メ</t>
    </rPh>
    <rPh sb="118" eb="122">
      <t>ジョウホウカガク</t>
    </rPh>
    <rPh sb="130" eb="131">
      <t>カイ</t>
    </rPh>
    <rPh sb="131" eb="132">
      <t>メ</t>
    </rPh>
    <phoneticPr fontId="1"/>
  </si>
  <si>
    <t xml:space="preserve">
・特化型AIと汎用AI、今のAIで出来ることと出来ないこと、AIとビッグデータ 　「情報科学Ⅰ」（13, 14回目）
・認識技術、ルールベース、自動化技術　「情報科学Ⅰ」（1，13，14回目）</t>
    <rPh sb="43" eb="47">
      <t>ジョウホウカガク</t>
    </rPh>
    <rPh sb="56" eb="58">
      <t>カイメ</t>
    </rPh>
    <rPh sb="80" eb="84">
      <t>ジョウホウカガク</t>
    </rPh>
    <rPh sb="94" eb="95">
      <t>カイ</t>
    </rPh>
    <phoneticPr fontId="1"/>
  </si>
  <si>
    <t>・データサイエンスのサイクル（課題抽出と定式化、データの取得・管理・加工、データ解析と推論、結果の共有・伝達、課題解決に向けた提案）　「情報科学Ⅰ」（13, 14回目）
・流通、製造、金融、サービス、インフラ、公共等におけるデータ・AI利活用事例紹介　「情報科学Ⅰ」（1，13, 14回目）</t>
    <rPh sb="68" eb="72">
      <t>ジョウホウカガク</t>
    </rPh>
    <rPh sb="81" eb="83">
      <t>カイメ</t>
    </rPh>
    <rPh sb="92" eb="94">
      <t>キンユウ</t>
    </rPh>
    <rPh sb="127" eb="131">
      <t>ジョウホウカガク</t>
    </rPh>
    <rPh sb="142" eb="144">
      <t>カイメ</t>
    </rPh>
    <phoneticPr fontId="1"/>
  </si>
  <si>
    <t>・ELSI（Ethical, Legal and Social Issues）　「情報科学Ⅰ」（5，6回目）
・個人情報保護、EU一般データ保護規則(GDPR)、忘れられる権利　「情報科学Ⅰ」（5，6回目）
・データ倫理：データのねつ造、改ざん、盗用、プライバシー保護　「情報科学Ⅰ」（5，6回目）
・AI社会原則（公平性、説明責任、透明性、人間中心の判断）　「情報科学Ⅰ」（13, 14回目）
・データバイアス、アルゴリズムバイアス　「情報科学Ⅰ」（5，6，13，14回目）
・データ・AI活用における負の事例紹介　「情報科学Ⅰ」（13, 14回目）</t>
    <rPh sb="41" eb="45">
      <t>ジョウホウカガク</t>
    </rPh>
    <rPh sb="51" eb="52">
      <t>カイ</t>
    </rPh>
    <rPh sb="52" eb="53">
      <t>メ</t>
    </rPh>
    <rPh sb="90" eb="94">
      <t>ジョウホウカガク</t>
    </rPh>
    <rPh sb="100" eb="102">
      <t>カイメ</t>
    </rPh>
    <rPh sb="136" eb="140">
      <t>ジョウホウカガク</t>
    </rPh>
    <rPh sb="146" eb="148">
      <t>カイメ</t>
    </rPh>
    <rPh sb="181" eb="185">
      <t>ジョウホウカガク</t>
    </rPh>
    <rPh sb="194" eb="196">
      <t>カイメ</t>
    </rPh>
    <rPh sb="219" eb="223">
      <t>ジョウホウカガク</t>
    </rPh>
    <rPh sb="235" eb="236">
      <t>カイ</t>
    </rPh>
    <rPh sb="236" eb="237">
      <t>メ</t>
    </rPh>
    <rPh sb="260" eb="264">
      <t>ジョウホウカガク</t>
    </rPh>
    <rPh sb="273" eb="274">
      <t>カイ</t>
    </rPh>
    <phoneticPr fontId="1"/>
  </si>
  <si>
    <t>・情報セキュリティ：機密性、完全性、可用性　「情報科学Ⅰ」（5，6回目）
・匿名加工情報、暗号化、パスワード、悪意ある情報搾取　「情報科学Ⅰ」（5，6回目）
・情報漏洩等によるセキュリティ事故の事例紹介　「情報科学Ⅰ」（5，6回目）</t>
    <rPh sb="23" eb="27">
      <t>ジョウホウカガク</t>
    </rPh>
    <rPh sb="33" eb="35">
      <t>カイメ</t>
    </rPh>
    <rPh sb="65" eb="69">
      <t>ジョウホウカガク</t>
    </rPh>
    <rPh sb="75" eb="77">
      <t>カイメ</t>
    </rPh>
    <rPh sb="103" eb="107">
      <t>ジョウホウカガク</t>
    </rPh>
    <rPh sb="113" eb="114">
      <t>カイ</t>
    </rPh>
    <rPh sb="114" eb="115">
      <t>メ</t>
    </rPh>
    <phoneticPr fontId="1"/>
  </si>
  <si>
    <t>・データの集計（和、平均）　「情報処理基礎演習」（3, 7回目&lt;クラス1, 2&gt;又は2, 3, 6, 7回目&lt;クラス3, 4, 5&gt;）／「統計処理演習」（1回目）
・データの並び替え、ランキング　「情報処理基礎演習」（9, 10回目&lt;クラス1, 2&gt;又は11回目&lt;クラス3, 4&gt;又は11, 12回目&lt;クラス5&gt;）／「統計処理演習」（1回目）
・データ解析ツール（スプレッドシート）　「情報処理基礎演習」（各回）／「統計処理演習」（1回目）
・表形式のデータ（csv）　「情報処理基礎演習」（9, 10回目&lt;クラス1, 2&gt;又は11回目&lt;クラス3, 4&gt;又は11, 12回目&lt;クラス5&gt;）／「統計処理演習」（1回目）</t>
  </si>
  <si>
    <r>
      <t>⑩ プログラムを構成する授業の内容　</t>
    </r>
    <r>
      <rPr>
        <sz val="9"/>
        <color theme="1"/>
        <rFont val="ＭＳ Ｐゴシック"/>
        <family val="3"/>
        <charset val="128"/>
        <scheme val="minor"/>
      </rPr>
      <t>※「情報処理基礎演習」は5クラス開講しており、クラスごとに各講義内容の実施回が異なる為、分けて記載します。</t>
    </r>
    <rPh sb="20" eb="24">
      <t>ジョウホウショリ</t>
    </rPh>
    <rPh sb="24" eb="28">
      <t>キソエンシュウ</t>
    </rPh>
    <rPh sb="34" eb="36">
      <t>カイコウ</t>
    </rPh>
    <rPh sb="47" eb="52">
      <t>カクコウギナイヨウ</t>
    </rPh>
    <rPh sb="53" eb="56">
      <t>ジッシカイ</t>
    </rPh>
    <rPh sb="57" eb="58">
      <t>コト</t>
    </rPh>
    <rPh sb="60" eb="61">
      <t>タメ</t>
    </rPh>
    <rPh sb="62" eb="63">
      <t>ワ</t>
    </rPh>
    <rPh sb="65" eb="67">
      <t>キサイ</t>
    </rPh>
    <phoneticPr fontId="1"/>
  </si>
  <si>
    <r>
      <t xml:space="preserve">公立大学法人福井県立大学委員会規程
</t>
    </r>
    <r>
      <rPr>
        <sz val="10"/>
        <color theme="1"/>
        <rFont val="ＭＳ Ｐゴシック"/>
        <family val="3"/>
        <charset val="128"/>
        <scheme val="minor"/>
      </rPr>
      <t>※情報センター設立検討委員会は、情報センターの開設を目的とした時限委員会であり、規則が無い為、根拠資料として令和4年度に開催した会議のうち、本教育プログラムについて扱った回の会議次第を提出致します。</t>
    </r>
    <rPh sb="19" eb="21">
      <t>ジョウホウ</t>
    </rPh>
    <rPh sb="25" eb="27">
      <t>セツリツ</t>
    </rPh>
    <rPh sb="27" eb="29">
      <t>ケントウ</t>
    </rPh>
    <rPh sb="29" eb="32">
      <t>イインカイ</t>
    </rPh>
    <rPh sb="34" eb="36">
      <t>ジョウホウ</t>
    </rPh>
    <rPh sb="41" eb="43">
      <t>カイセツ</t>
    </rPh>
    <rPh sb="44" eb="46">
      <t>モクテキ</t>
    </rPh>
    <rPh sb="49" eb="54">
      <t>ジゲンイインカイ</t>
    </rPh>
    <rPh sb="58" eb="60">
      <t>キソク</t>
    </rPh>
    <rPh sb="61" eb="62">
      <t>ナ</t>
    </rPh>
    <rPh sb="63" eb="64">
      <t>タメ</t>
    </rPh>
    <rPh sb="65" eb="69">
      <t>コンキョシリョウ</t>
    </rPh>
    <rPh sb="72" eb="74">
      <t>レイワ</t>
    </rPh>
    <rPh sb="75" eb="77">
      <t>ネンド</t>
    </rPh>
    <rPh sb="78" eb="80">
      <t>カイサイ</t>
    </rPh>
    <rPh sb="82" eb="84">
      <t>カイギ</t>
    </rPh>
    <rPh sb="88" eb="91">
      <t>ホンキョウイク</t>
    </rPh>
    <rPh sb="100" eb="101">
      <t>アツカ</t>
    </rPh>
    <rPh sb="103" eb="104">
      <t>カイ</t>
    </rPh>
    <rPh sb="105" eb="107">
      <t>カイギ</t>
    </rPh>
    <rPh sb="107" eb="109">
      <t>シダイ</t>
    </rPh>
    <rPh sb="110" eb="112">
      <t>テイシュツ</t>
    </rPh>
    <rPh sb="112" eb="113">
      <t>イタ</t>
    </rPh>
    <phoneticPr fontId="1"/>
  </si>
  <si>
    <r>
      <t>　
　全学部の1年次生を対象としたガイダンスにおいて、本教育プログラム構成科目も含めた情報科目の履修について案内し、できる限り多くの学生が履修できるように努めている。また、本プログラム構成科目の一つである「情報処理基礎演習」を推奨履修に指定している学部では、専門科目のガイダンスでも周知している。　
　本プログラム専用のWebサイトを構築し、学内外に周知している。さらに多くの学生が履修できるように、今後は、令和5年度に開設する情報センターのホームページへの掲載や、本学の学生用のポータルサイトである「つぐみ掲示板」への掲載、SNSの活用（学内の総務広報課と連携し、本学の公式TwitterやFacebookに掲載）等を通して、周知活動を行う予定である。</t>
    </r>
    <r>
      <rPr>
        <sz val="12"/>
        <color theme="1"/>
        <rFont val="ＭＳ Ｐゴシック"/>
        <family val="3"/>
        <charset val="128"/>
        <scheme val="minor"/>
      </rPr>
      <t xml:space="preserve">
</t>
    </r>
    <rPh sb="3" eb="6">
      <t>ゼンガクブ</t>
    </rPh>
    <rPh sb="8" eb="11">
      <t>ネンジセイ</t>
    </rPh>
    <rPh sb="12" eb="14">
      <t>タイショウ</t>
    </rPh>
    <rPh sb="27" eb="30">
      <t>ホンキョウイク</t>
    </rPh>
    <rPh sb="35" eb="39">
      <t>コウセイカモク</t>
    </rPh>
    <rPh sb="40" eb="41">
      <t>フク</t>
    </rPh>
    <rPh sb="43" eb="47">
      <t>ジョウホウカモク</t>
    </rPh>
    <rPh sb="48" eb="50">
      <t>リシュウ</t>
    </rPh>
    <rPh sb="54" eb="56">
      <t>アンナイ</t>
    </rPh>
    <rPh sb="61" eb="62">
      <t>カギ</t>
    </rPh>
    <rPh sb="63" eb="64">
      <t>オオ</t>
    </rPh>
    <rPh sb="66" eb="68">
      <t>ガクセイ</t>
    </rPh>
    <rPh sb="69" eb="71">
      <t>リシュウ</t>
    </rPh>
    <rPh sb="77" eb="78">
      <t>ツト</t>
    </rPh>
    <rPh sb="103" eb="107">
      <t>ジョウホウショリ</t>
    </rPh>
    <rPh sb="107" eb="111">
      <t>キソエンシュウ</t>
    </rPh>
    <rPh sb="113" eb="117">
      <t>スイショウリシュウ</t>
    </rPh>
    <rPh sb="118" eb="120">
      <t>シテイ</t>
    </rPh>
    <rPh sb="124" eb="126">
      <t>ガクブ</t>
    </rPh>
    <rPh sb="129" eb="133">
      <t>センモンカモク</t>
    </rPh>
    <rPh sb="141" eb="143">
      <t>シュウチ</t>
    </rPh>
    <rPh sb="152" eb="153">
      <t>ホン</t>
    </rPh>
    <rPh sb="158" eb="160">
      <t>センヨウ</t>
    </rPh>
    <rPh sb="168" eb="170">
      <t>コウチク</t>
    </rPh>
    <rPh sb="172" eb="175">
      <t>ガクナイガイ</t>
    </rPh>
    <rPh sb="176" eb="178">
      <t>シュウチ</t>
    </rPh>
    <rPh sb="186" eb="187">
      <t>オオ</t>
    </rPh>
    <rPh sb="189" eb="191">
      <t>ガクセイ</t>
    </rPh>
    <rPh sb="192" eb="194">
      <t>リシュウ</t>
    </rPh>
    <rPh sb="201" eb="203">
      <t>コンゴ</t>
    </rPh>
    <rPh sb="205" eb="207">
      <t>レイワ</t>
    </rPh>
    <rPh sb="208" eb="210">
      <t>ネンド</t>
    </rPh>
    <rPh sb="211" eb="213">
      <t>カイセツ</t>
    </rPh>
    <rPh sb="215" eb="217">
      <t>ジョウホウ</t>
    </rPh>
    <rPh sb="230" eb="232">
      <t>ケイサイ</t>
    </rPh>
    <rPh sb="234" eb="236">
      <t>ホンガク</t>
    </rPh>
    <rPh sb="237" eb="239">
      <t>ガクセイ</t>
    </rPh>
    <rPh sb="239" eb="240">
      <t>ヨウ</t>
    </rPh>
    <rPh sb="255" eb="258">
      <t>ケイジバン</t>
    </rPh>
    <rPh sb="261" eb="263">
      <t>ケイサイ</t>
    </rPh>
    <rPh sb="268" eb="270">
      <t>カツヨウ</t>
    </rPh>
    <rPh sb="271" eb="273">
      <t>ガクナイ</t>
    </rPh>
    <rPh sb="274" eb="279">
      <t>ソウムコウホウカ</t>
    </rPh>
    <rPh sb="280" eb="282">
      <t>レンケイ</t>
    </rPh>
    <rPh sb="284" eb="286">
      <t>ホンガク</t>
    </rPh>
    <rPh sb="287" eb="289">
      <t>コウシキ</t>
    </rPh>
    <rPh sb="306" eb="308">
      <t>ケイサイ</t>
    </rPh>
    <rPh sb="309" eb="310">
      <t>トウ</t>
    </rPh>
    <rPh sb="311" eb="312">
      <t>トオ</t>
    </rPh>
    <rPh sb="315" eb="319">
      <t>シュウチカツドウ</t>
    </rPh>
    <rPh sb="320" eb="321">
      <t>オコナ</t>
    </rPh>
    <rPh sb="322" eb="324">
      <t>ヨテイ</t>
    </rPh>
    <phoneticPr fontId="1"/>
  </si>
  <si>
    <t>　
・本教育プログラムを構成する殆どの科目で、LMS（MoodleまたはGoogleClassroom）を使用しており、学生は授業時間以外にもLMSに掲載された学習教材を確認することができる。
・「情報科学Ⅰ」では、クラスによって方法は異なるが、反転学習やグループワークの実施、毎回ミニッツペーパーや大福帳を書かせることで、学生の理解を促進している。
・「情報処理基礎演習」等の演習科目の中にはオンデマンド教材を活用しているクラスもあり、各学生の能力に応じて作業ができるように工夫している。
・本学には、永平寺キャンパス、小浜キャンパス、あわらキャンパスと3つのキャンパスがある。本プログラムを構成する科目は永平寺キャンパスで実施しているが、離れたキャンパスからも受講できるようにハイフレックス型（対面＋Zoomによる配信）で実施している授業もあり、今後はさらにこの形態の授業を増やす予定である。</t>
    <rPh sb="100" eb="104">
      <t>ジョウホウカガク</t>
    </rPh>
    <rPh sb="119" eb="120">
      <t>コト</t>
    </rPh>
    <rPh sb="137" eb="139">
      <t>ジッシ</t>
    </rPh>
    <rPh sb="140" eb="142">
      <t>マイカイ</t>
    </rPh>
    <rPh sb="151" eb="154">
      <t>ダイフクチョウ</t>
    </rPh>
    <rPh sb="155" eb="156">
      <t>カ</t>
    </rPh>
    <rPh sb="163" eb="165">
      <t>ガクセイ</t>
    </rPh>
    <rPh sb="181" eb="185">
      <t>ジョウホウショリ</t>
    </rPh>
    <rPh sb="185" eb="189">
      <t>キソエンシュウ</t>
    </rPh>
    <rPh sb="190" eb="191">
      <t>トウ</t>
    </rPh>
    <rPh sb="194" eb="196">
      <t>カモク</t>
    </rPh>
    <rPh sb="197" eb="198">
      <t>ナカ</t>
    </rPh>
    <rPh sb="206" eb="208">
      <t>キョウザイ</t>
    </rPh>
    <rPh sb="209" eb="211">
      <t>カツヨウ</t>
    </rPh>
    <rPh sb="295" eb="296">
      <t>ホン</t>
    </rPh>
    <rPh sb="388" eb="390">
      <t>ケイタイ</t>
    </rPh>
    <phoneticPr fontId="1"/>
  </si>
  <si>
    <t xml:space="preserve">　
・ハイフレックス型で実施している授業では、Zoomのチャット機能を使ってリアルタイムでの質問を受け付けている。遠隔受講の学生に限らず、対面受講の学生においても講義室から学内Wi-Fiを使ってZoomに接続することができる。大講義で直接教員に質問がし難い場合などは、Zoomのチャット機能を使って質問する様子も見られる。
・LMSを使用している授業では、授業時間以外にもLMSに掲載された学習教材を確認することができる。授業時間外の質問に関しては、各科目でオフィスアワーを指定している。また、メールやLMSのメッセージ機能等を活用してオンラインでの質問にも応じている。
</t>
    <rPh sb="10" eb="11">
      <t>ガタ</t>
    </rPh>
    <rPh sb="12" eb="14">
      <t>ジッシ</t>
    </rPh>
    <rPh sb="18" eb="20">
      <t>ジュギョウ</t>
    </rPh>
    <rPh sb="32" eb="34">
      <t>キノウ</t>
    </rPh>
    <rPh sb="35" eb="36">
      <t>ツカ</t>
    </rPh>
    <rPh sb="46" eb="48">
      <t>シツモン</t>
    </rPh>
    <rPh sb="49" eb="50">
      <t>ウ</t>
    </rPh>
    <rPh sb="51" eb="52">
      <t>ツ</t>
    </rPh>
    <rPh sb="57" eb="61">
      <t>エンカクジュコウ</t>
    </rPh>
    <rPh sb="62" eb="64">
      <t>ガクセイ</t>
    </rPh>
    <rPh sb="65" eb="66">
      <t>カギ</t>
    </rPh>
    <rPh sb="69" eb="71">
      <t>タイメン</t>
    </rPh>
    <rPh sb="71" eb="73">
      <t>ジュコウ</t>
    </rPh>
    <rPh sb="74" eb="76">
      <t>ガクセイ</t>
    </rPh>
    <rPh sb="81" eb="84">
      <t>コウギシツ</t>
    </rPh>
    <rPh sb="86" eb="88">
      <t>ガクナイ</t>
    </rPh>
    <rPh sb="94" eb="95">
      <t>ツカ</t>
    </rPh>
    <rPh sb="102" eb="104">
      <t>セツゾク</t>
    </rPh>
    <rPh sb="113" eb="116">
      <t>ダイコウギ</t>
    </rPh>
    <rPh sb="117" eb="119">
      <t>チョクセツ</t>
    </rPh>
    <rPh sb="119" eb="121">
      <t>キョウイン</t>
    </rPh>
    <rPh sb="122" eb="124">
      <t>シツモン</t>
    </rPh>
    <rPh sb="126" eb="127">
      <t>ニク</t>
    </rPh>
    <rPh sb="128" eb="130">
      <t>バアイ</t>
    </rPh>
    <rPh sb="143" eb="145">
      <t>キノウ</t>
    </rPh>
    <rPh sb="146" eb="147">
      <t>ツカ</t>
    </rPh>
    <rPh sb="149" eb="151">
      <t>シツモン</t>
    </rPh>
    <rPh sb="153" eb="155">
      <t>ヨウス</t>
    </rPh>
    <rPh sb="156" eb="157">
      <t>ミ</t>
    </rPh>
    <rPh sb="213" eb="218">
      <t>ジュギョウジカンガイ</t>
    </rPh>
    <rPh sb="219" eb="221">
      <t>シツモン</t>
    </rPh>
    <rPh sb="222" eb="223">
      <t>カン</t>
    </rPh>
    <rPh sb="262" eb="264">
      <t>キノウ</t>
    </rPh>
    <rPh sb="266" eb="268">
      <t>カツヨウ</t>
    </rPh>
    <rPh sb="277" eb="279">
      <t>シツモン</t>
    </rPh>
    <phoneticPr fontId="1"/>
  </si>
  <si>
    <r>
      <t>　
　学務システムに蓄積されたプログラム構成科目の履修・単位取得状況から、プログラムの履修や修了状況を把握できる。令和4年度の情報は、教育推進課、情報センター設立検討委員会で整理し、デジタル推進委員会、教育研究委員会と共有している。令和4年度の履修率は28%、修了率は6%であった。プログラム開始が令和4年度後期である為、まだ低いが、プログラムに必修科目を含むことから、令和7年度には履修率が100%になる見込である。修了率向上に向けて、令和6年度以降、情報センター教員を増員し、選択必修科目の受入れ体制を強化する。また、LMSを使用している授業では、担当教員が課題の提出状況等から学習の進捗を把握できる。</t>
    </r>
    <r>
      <rPr>
        <sz val="12"/>
        <color theme="1"/>
        <rFont val="ＭＳ Ｐゴシック"/>
        <family val="3"/>
        <charset val="128"/>
        <scheme val="minor"/>
      </rPr>
      <t xml:space="preserve">
</t>
    </r>
    <rPh sb="95" eb="97">
      <t>スイシン</t>
    </rPh>
    <rPh sb="97" eb="100">
      <t>イインカイ</t>
    </rPh>
    <rPh sb="219" eb="221">
      <t>レイワ</t>
    </rPh>
    <rPh sb="222" eb="224">
      <t>ネンド</t>
    </rPh>
    <rPh sb="224" eb="226">
      <t>イコウ</t>
    </rPh>
    <rPh sb="227" eb="229">
      <t>ジョウホウ</t>
    </rPh>
    <rPh sb="240" eb="246">
      <t>センタクヒッシュウカモク</t>
    </rPh>
    <rPh sb="265" eb="267">
      <t>シヨウ</t>
    </rPh>
    <rPh sb="271" eb="273">
      <t>ジュギョウ</t>
    </rPh>
    <rPh sb="281" eb="283">
      <t>カダイ</t>
    </rPh>
    <rPh sb="288" eb="289">
      <t>トウ</t>
    </rPh>
    <rPh sb="291" eb="293">
      <t>ガクシュウ</t>
    </rPh>
    <rPh sb="294" eb="296">
      <t>シンチョク</t>
    </rPh>
    <rPh sb="297" eb="299">
      <t>ハアク</t>
    </rPh>
    <phoneticPr fontId="1"/>
  </si>
  <si>
    <t>　
　本学では、全学でFD（Faculty Development）を目的とした「学生による授業評価アンケート」を実施しており、その結果から、各科目の担当教員が「授業方法」や「学生の理解度」などの評価結果を把握できる。このアンケート結果は学内限定公開であることから、令和4年度後期に情報センター設立検討委員会で、本教育プログラム構成科目を対象に、別途「学生による授業評価アンケート」(以下、情報科目アンケート）を実施した。「情報科目アンケート」の「授業目標の達成度」、「理解度」などの項目から学習成果を分析している。この結果は、デジタル推進委員会、教育研究委員会で共有し、プログラムの改善に役立てている。</t>
    <rPh sb="8" eb="10">
      <t>ゼンガク</t>
    </rPh>
    <rPh sb="41" eb="43">
      <t>ガクセイ</t>
    </rPh>
    <rPh sb="66" eb="68">
      <t>ケッカ</t>
    </rPh>
    <rPh sb="71" eb="74">
      <t>カクカモク</t>
    </rPh>
    <rPh sb="75" eb="77">
      <t>タントウ</t>
    </rPh>
    <rPh sb="77" eb="79">
      <t>キョウイン</t>
    </rPh>
    <rPh sb="81" eb="85">
      <t>ジュギョウホウホウ</t>
    </rPh>
    <rPh sb="88" eb="90">
      <t>ガクセイ</t>
    </rPh>
    <rPh sb="91" eb="94">
      <t>リカイド</t>
    </rPh>
    <rPh sb="98" eb="102">
      <t>ヒョウカケッカ</t>
    </rPh>
    <rPh sb="103" eb="105">
      <t>ハアク</t>
    </rPh>
    <rPh sb="116" eb="118">
      <t>ケッカ</t>
    </rPh>
    <rPh sb="119" eb="123">
      <t>ガクナイゲンテイ</t>
    </rPh>
    <rPh sb="123" eb="125">
      <t>コウカイ</t>
    </rPh>
    <rPh sb="133" eb="135">
      <t>レイワ</t>
    </rPh>
    <rPh sb="136" eb="138">
      <t>ネンド</t>
    </rPh>
    <rPh sb="138" eb="140">
      <t>コウキ</t>
    </rPh>
    <rPh sb="141" eb="143">
      <t>ジョウホウ</t>
    </rPh>
    <rPh sb="147" eb="149">
      <t>セツリツ</t>
    </rPh>
    <rPh sb="149" eb="151">
      <t>ケントウ</t>
    </rPh>
    <rPh sb="151" eb="154">
      <t>イインカイ</t>
    </rPh>
    <rPh sb="173" eb="175">
      <t>ベット</t>
    </rPh>
    <rPh sb="176" eb="178">
      <t>ガクセイ</t>
    </rPh>
    <rPh sb="192" eb="194">
      <t>イカ</t>
    </rPh>
    <rPh sb="206" eb="208">
      <t>ジッシ</t>
    </rPh>
    <rPh sb="212" eb="216">
      <t>ジョウホウカモク</t>
    </rPh>
    <rPh sb="268" eb="270">
      <t>スイシン</t>
    </rPh>
    <rPh sb="270" eb="273">
      <t>イインカイ</t>
    </rPh>
    <rPh sb="274" eb="281">
      <t>キョウイクケンキュウイインカイ</t>
    </rPh>
    <phoneticPr fontId="1"/>
  </si>
  <si>
    <r>
      <t>　</t>
    </r>
    <r>
      <rPr>
        <sz val="12"/>
        <color rgb="FFFF0000"/>
        <rFont val="ＭＳ Ｐゴシック"/>
        <family val="3"/>
        <charset val="128"/>
        <scheme val="minor"/>
      </rPr>
      <t xml:space="preserve">
</t>
    </r>
    <r>
      <rPr>
        <sz val="12"/>
        <rFont val="ＭＳ Ｐゴシック"/>
        <family val="3"/>
        <charset val="128"/>
        <scheme val="minor"/>
      </rPr>
      <t>　「情報科目アンケート」の中で、「Q5. この授業を後輩学生等他の学生に進めたいと思いますか？」という質問項目を設けている(選択肢は前述の「内容の理解度」と同じ）。この評価点、自由記述の回答から、後輩等他の学生への推奨度を確認することができる。対象科目全体の平均点は3.19点であった。他の評価項目，自由記述も含めてクラス間での差が見られた。担当教員間での授業方法の違いを軽減するともに、学生が興味・関心を持つ工夫をすることで、奨度を高めたい。また、同アンケートの自由記述を通して得られた受講生の感想や意見の一部を本教育プログラム専用のWebサイトに掲載し、後輩学生からも確認できるようにしている。</t>
    </r>
    <rPh sb="68" eb="70">
      <t>ゼンジュツ</t>
    </rPh>
    <rPh sb="72" eb="74">
      <t>ナイヨウ</t>
    </rPh>
    <rPh sb="75" eb="78">
      <t>リカイド</t>
    </rPh>
    <rPh sb="145" eb="146">
      <t>タ</t>
    </rPh>
    <rPh sb="147" eb="151">
      <t>ヒョウカコウモク</t>
    </rPh>
    <rPh sb="157" eb="158">
      <t>フク</t>
    </rPh>
    <rPh sb="163" eb="164">
      <t>カン</t>
    </rPh>
    <rPh sb="166" eb="167">
      <t>サ</t>
    </rPh>
    <rPh sb="168" eb="169">
      <t>ミ</t>
    </rPh>
    <rPh sb="173" eb="178">
      <t>タントウキョウインカン</t>
    </rPh>
    <rPh sb="196" eb="198">
      <t>ガクセイ</t>
    </rPh>
    <rPh sb="199" eb="201">
      <t>キョウミ</t>
    </rPh>
    <rPh sb="202" eb="204">
      <t>カンシン</t>
    </rPh>
    <rPh sb="205" eb="206">
      <t>モ</t>
    </rPh>
    <rPh sb="207" eb="209">
      <t>クフウ</t>
    </rPh>
    <phoneticPr fontId="1"/>
  </si>
  <si>
    <t>　
　本教育プログラムは令和4年度後期に開始し、修了者は皆在学中の為、現在は進路調査は行っていない。今後の計画として、キャリアセンター等と連携して、プログラム修了者の進路や活躍状況を調査していく予定である。</t>
    <rPh sb="3" eb="6">
      <t>ホンキョウイク</t>
    </rPh>
    <rPh sb="12" eb="14">
      <t>レイワ</t>
    </rPh>
    <rPh sb="15" eb="17">
      <t>ネンド</t>
    </rPh>
    <rPh sb="17" eb="19">
      <t>コウキ</t>
    </rPh>
    <rPh sb="20" eb="22">
      <t>カイシ</t>
    </rPh>
    <rPh sb="35" eb="37">
      <t>ゲンザイ</t>
    </rPh>
    <rPh sb="43" eb="44">
      <t>オコナ</t>
    </rPh>
    <rPh sb="67" eb="68">
      <t>トウ</t>
    </rPh>
    <phoneticPr fontId="1"/>
  </si>
  <si>
    <t>　
　数理・データサイエンス教育強化コンソーシアムが公開されたリテラシーレベルの教材を参考にしている。また、プログラム構成科目である「情報科学Ⅰ」や「情報処理基礎演習」は、複数クラス開講し、複数の教員が担当しているが、担当教員間で指導内容に差が出ないように、共通の教科書を使用している。
　前述の通り、「情報科目アンケート」結果から、クラス間での得点差や授業方法の違いを指摘する意見が見られた。非常勤講師が担当している科目に関しては難しい点もあるが、まずは専任教員間でより一層の情報共有を図る。</t>
    <rPh sb="91" eb="93">
      <t>カイコウ</t>
    </rPh>
    <rPh sb="95" eb="97">
      <t>フクスウ</t>
    </rPh>
    <rPh sb="150" eb="151">
      <t>トオ</t>
    </rPh>
    <rPh sb="154" eb="158">
      <t>ジョウホウカモク</t>
    </rPh>
    <rPh sb="164" eb="166">
      <t>ケッカ</t>
    </rPh>
    <rPh sb="172" eb="173">
      <t>カン</t>
    </rPh>
    <rPh sb="175" eb="177">
      <t>トクテン</t>
    </rPh>
    <rPh sb="177" eb="178">
      <t>サ</t>
    </rPh>
    <rPh sb="179" eb="183">
      <t>ジュギョウホウホウ</t>
    </rPh>
    <rPh sb="184" eb="185">
      <t>チガ</t>
    </rPh>
    <rPh sb="187" eb="189">
      <t>シテキ</t>
    </rPh>
    <rPh sb="191" eb="193">
      <t>イケン</t>
    </rPh>
    <rPh sb="194" eb="195">
      <t>ミ</t>
    </rPh>
    <phoneticPr fontId="1"/>
  </si>
  <si>
    <r>
      <rPr>
        <sz val="12"/>
        <rFont val="ＭＳ Ｐゴシック"/>
        <family val="3"/>
        <charset val="128"/>
        <scheme val="minor"/>
      </rPr>
      <t>・データの種類（量的変数、質的変数）　「統計処理演習」（2回目）</t>
    </r>
    <r>
      <rPr>
        <sz val="12"/>
        <color theme="1"/>
        <rFont val="ＭＳ Ｐゴシック"/>
        <family val="3"/>
        <charset val="128"/>
        <scheme val="minor"/>
      </rPr>
      <t xml:space="preserve">
・データの分布(ヒストグラム)と代表値（平均値、中央値、最頻値）　「情報処理基礎演習」（8, 9回目&lt;クラス1, 2&gt;又は9, 10回目&lt;クラス3,4,5&gt;）／「</t>
    </r>
    <r>
      <rPr>
        <sz val="12"/>
        <rFont val="ＭＳ Ｐゴシック"/>
        <family val="3"/>
        <charset val="128"/>
        <scheme val="minor"/>
      </rPr>
      <t>統計処理演習」（2, 3, 4回目）</t>
    </r>
    <r>
      <rPr>
        <sz val="12"/>
        <color theme="1"/>
        <rFont val="ＭＳ Ｐゴシック"/>
        <family val="3"/>
        <charset val="128"/>
        <scheme val="minor"/>
      </rPr>
      <t xml:space="preserve">
・代表値の性質の違い（実社会では平均値＝最頻値でないことが多い）　「情報処理基礎演習」（8, 9回目&lt;クラス1, 2&gt;又は9, 10回目&lt;クラス3,4,5&gt;）／「</t>
    </r>
    <r>
      <rPr>
        <sz val="12"/>
        <rFont val="ＭＳ Ｐゴシック"/>
        <family val="3"/>
        <charset val="128"/>
        <scheme val="minor"/>
      </rPr>
      <t>統計処理演習」（3回目）</t>
    </r>
    <r>
      <rPr>
        <sz val="12"/>
        <color theme="1"/>
        <rFont val="ＭＳ Ｐゴシック"/>
        <family val="3"/>
        <charset val="128"/>
        <scheme val="minor"/>
      </rPr>
      <t xml:space="preserve">
・データのばらつき（分散、標準偏差、偏差値）　「情報処理基礎演習」（8, 9回目&lt;クラス1, 2&gt;又は9, 10回目&lt;クラス3,4,5&gt;）／「</t>
    </r>
    <r>
      <rPr>
        <sz val="12"/>
        <rFont val="ＭＳ Ｐゴシック"/>
        <family val="3"/>
        <charset val="128"/>
        <scheme val="minor"/>
      </rPr>
      <t>統計処理演習」（4回目）</t>
    </r>
    <r>
      <rPr>
        <sz val="12"/>
        <color theme="1"/>
        <rFont val="ＭＳ Ｐゴシック"/>
        <family val="3"/>
        <charset val="128"/>
        <scheme val="minor"/>
      </rPr>
      <t xml:space="preserve">
・観測データに含まれる誤差の扱い　「情報処理基礎演習」 (13，14，15回目&lt;クラス1,2 ※一部クラスで実施&gt;）
・相関と因果（相関係数、擬似相関、交絡）　「情報処理基礎演習」（8, 9回目&lt;クラス1, 2&gt;又は9, 10回目&lt;クラス3,4,5&gt;）／「</t>
    </r>
    <r>
      <rPr>
        <sz val="12"/>
        <rFont val="ＭＳ Ｐゴシック"/>
        <family val="3"/>
        <charset val="128"/>
        <scheme val="minor"/>
      </rPr>
      <t>統計処理演習」（6，7，14，15回目）</t>
    </r>
    <r>
      <rPr>
        <sz val="12"/>
        <color theme="1"/>
        <rFont val="ＭＳ Ｐゴシック"/>
        <family val="3"/>
        <charset val="128"/>
        <scheme val="minor"/>
      </rPr>
      <t xml:space="preserve">
・母集団と標本抽出　「情報処理基礎演習」（8, 9回目&lt;クラス1, 2&gt;又は9, 10回目&lt;クラス3, 4, 5&gt;）／「</t>
    </r>
    <r>
      <rPr>
        <sz val="12"/>
        <rFont val="ＭＳ Ｐゴシック"/>
        <family val="3"/>
        <charset val="128"/>
        <scheme val="minor"/>
      </rPr>
      <t>統計処理演習」（9, 10，11, 12，13回目）</t>
    </r>
    <r>
      <rPr>
        <sz val="12"/>
        <color theme="1"/>
        <rFont val="ＭＳ Ｐゴシック"/>
        <family val="3"/>
        <charset val="128"/>
        <scheme val="minor"/>
      </rPr>
      <t xml:space="preserve">
・クロス集計表　「情報処理基礎演習」（12回目&lt;クラス1, 2, 3, 4&gt;又は13, 14回目&lt;クラス5&gt;）</t>
    </r>
    <phoneticPr fontId="1"/>
  </si>
  <si>
    <r>
      <t>・</t>
    </r>
    <r>
      <rPr>
        <sz val="12"/>
        <rFont val="ＭＳ Ｐゴシック"/>
        <family val="3"/>
        <charset val="128"/>
        <scheme val="minor"/>
      </rPr>
      <t>データ表現（棒グラフ、折線グラフ、散布図、ヒートマップ）　「情報処理基礎演習」（4, 5回目）／「統計処理演習」（4, 5，6，8回目）</t>
    </r>
    <r>
      <rPr>
        <sz val="12"/>
        <color theme="1"/>
        <rFont val="ＭＳ Ｐゴシック"/>
        <family val="3"/>
        <charset val="128"/>
        <scheme val="minor"/>
      </rPr>
      <t xml:space="preserve">
</t>
    </r>
    <r>
      <rPr>
        <sz val="12"/>
        <rFont val="ＭＳ Ｐゴシック"/>
        <family val="3"/>
        <charset val="128"/>
        <scheme val="minor"/>
      </rPr>
      <t>・不適切なグラフ表現（チャートジャンク、不必要な視覚的要素）　「情報処理基礎演習」（4, 5回目）</t>
    </r>
    <phoneticPr fontId="1"/>
  </si>
  <si>
    <r>
      <t>　
　多様な専門分野に応用できる数理・データサイエンス・AIの基礎的素養を身に着けた人材を育成することを目的に、学術教養センターにおいて、本教育プログラムを一般教育科目として全学に開講している。専門教育との接続を意識し、学部の教員が協力教員として担当している授業もある。このほか、県内の高等教育機関の教員に非常勤講師を依頼し、この分野の教員不足の問題に対応している。
　本教育プログラムを推進する為に、デジタル推進委員会で情報教育環境の改善について検討している。また、プログラムを改善・進化するため、令和4年度に情報センター設立検討委員会を立ち上げ、学術教養センターやデジタル推進委員会と連携して、プログラムの改善、新カリキュラムの検討を進めている。令和5年4月に「情報センター」を開設し、「学術教養センター」および、「情報センター設立検討委員会」の役割は、情報センターに移行する。</t>
    </r>
    <r>
      <rPr>
        <sz val="12"/>
        <color rgb="FFFF0000"/>
        <rFont val="ＭＳ Ｐゴシック"/>
        <family val="3"/>
        <charset val="128"/>
        <scheme val="minor"/>
      </rPr>
      <t>　</t>
    </r>
    <phoneticPr fontId="1"/>
  </si>
  <si>
    <t>　
　本教育プログラム構成科目のうち、「情報科学Ⅰ」は全学必修科目であり、「情報処理基礎演習」、「統計処理演習」は、選択必修科目である。プログラムを令和4年度後期に開始した為、履修率は28%であるが、「情報科学Ⅰ」が必修科目であることから、4年後の令和7年度には履修率が100%になる見込である。
　選択必修科目の履修率を向上し、プログラム修了率を高めることが今後の目標である。令和5年度に、数理・データサイエンス・AI教育を推進する情報センターを開設し、教育環境や学修サポートをより強化する。数理・データサイエンスを専門とする教員を新たに採用し、令和6年度からさらに教育体制を強化していく予定である。
　現在、「情報処理基礎演習」、「統計処理演習」は、本教育プログラムの導入科目（構成科目外）の「情報基礎演習」も含めた3科目の中から1科目を卒業要件（原則、「情報基礎演習」を履修）としている。これについて、令和7年度からは、データリテラシーに関する科目（「情報処理基礎演習」、「統計処理演習」に相当）を、全学開講科目という位置づけはそのままに、学部指定の必修科目とするカリキュラム改正を予定している。</t>
    <rPh sb="74" eb="76">
      <t>レイワ</t>
    </rPh>
    <rPh sb="77" eb="79">
      <t>ネンド</t>
    </rPh>
    <rPh sb="79" eb="81">
      <t>コウキ</t>
    </rPh>
    <rPh sb="82" eb="84">
      <t>カイシ</t>
    </rPh>
    <rPh sb="86" eb="87">
      <t>タメ</t>
    </rPh>
    <rPh sb="88" eb="91">
      <t>リシュウリツ</t>
    </rPh>
    <rPh sb="101" eb="105">
      <t>ジョウホウカガク</t>
    </rPh>
    <rPh sb="108" eb="110">
      <t>ヒッシュウ</t>
    </rPh>
    <rPh sb="110" eb="112">
      <t>カモク</t>
    </rPh>
    <rPh sb="121" eb="123">
      <t>ネンゴ</t>
    </rPh>
    <rPh sb="124" eb="126">
      <t>レイワ</t>
    </rPh>
    <rPh sb="127" eb="129">
      <t>ネンド</t>
    </rPh>
    <rPh sb="131" eb="134">
      <t>リシュウリツ</t>
    </rPh>
    <rPh sb="142" eb="144">
      <t>ミコミ</t>
    </rPh>
    <rPh sb="151" eb="157">
      <t>センタクヒッシュウカモク</t>
    </rPh>
    <rPh sb="158" eb="161">
      <t>リシュウリツ</t>
    </rPh>
    <rPh sb="162" eb="164">
      <t>コウジョウ</t>
    </rPh>
    <rPh sb="171" eb="174">
      <t>シュウリョウリツ</t>
    </rPh>
    <rPh sb="175" eb="176">
      <t>タカ</t>
    </rPh>
    <rPh sb="181" eb="183">
      <t>コンゴ</t>
    </rPh>
    <rPh sb="184" eb="186">
      <t>モクヒョウ</t>
    </rPh>
    <rPh sb="231" eb="233">
      <t>カンキョウ</t>
    </rPh>
    <rPh sb="260" eb="262">
      <t>センモン</t>
    </rPh>
    <rPh sb="305" eb="307">
      <t>ゲンザイ</t>
    </rPh>
    <rPh sb="309" eb="313">
      <t>ジョウホウショリ</t>
    </rPh>
    <rPh sb="313" eb="317">
      <t>キソエンシュウ</t>
    </rPh>
    <rPh sb="320" eb="324">
      <t>トウケイショリ</t>
    </rPh>
    <rPh sb="324" eb="326">
      <t>エンシュウ</t>
    </rPh>
    <rPh sb="329" eb="330">
      <t>ホン</t>
    </rPh>
    <rPh sb="330" eb="332">
      <t>キョウイク</t>
    </rPh>
    <rPh sb="338" eb="340">
      <t>ドウニュウ</t>
    </rPh>
    <rPh sb="340" eb="342">
      <t>カモク</t>
    </rPh>
    <rPh sb="343" eb="348">
      <t>コウセイカモクガイ</t>
    </rPh>
    <rPh sb="351" eb="357">
      <t>ジョウホウキソエンシュウ</t>
    </rPh>
    <rPh sb="359" eb="360">
      <t>フク</t>
    </rPh>
    <rPh sb="363" eb="365">
      <t>カモク</t>
    </rPh>
    <rPh sb="366" eb="367">
      <t>ナカ</t>
    </rPh>
    <rPh sb="370" eb="372">
      <t>カモク</t>
    </rPh>
    <rPh sb="373" eb="377">
      <t>ソツギョウヨウケン</t>
    </rPh>
    <rPh sb="378" eb="380">
      <t>ゲンソク</t>
    </rPh>
    <rPh sb="382" eb="388">
      <t>ジョウホウキソエンシュウ</t>
    </rPh>
    <rPh sb="390" eb="392">
      <t>リシュウ</t>
    </rPh>
    <rPh sb="424" eb="425">
      <t>カン</t>
    </rPh>
    <rPh sb="427" eb="429">
      <t>カモク</t>
    </rPh>
    <rPh sb="450" eb="452">
      <t>ソウトウ</t>
    </rPh>
    <rPh sb="477" eb="479">
      <t>シテイ</t>
    </rPh>
    <phoneticPr fontId="1"/>
  </si>
  <si>
    <t>　
　本教育プログラムの構成科目である「情報処理基礎演習」について、令和4年度後期に1クラス増設し、より多くの学生が履修できるようにした。また、すでに認定された他大学の取組を参考にプログラムの質を向上するため、「数理・データサイエンス・AI教育強化拠点コンソーシアム北信越ブロック」に参加した。令和4年度に情報センター設立検討委員会を立ち上げ、本教育プログラムの改善、進化について議論してきた。令和5年4月に情報センターを開設し、修了率の向上にむけてプログラムを推進していく。　</t>
    <rPh sb="39" eb="41">
      <t>コウキ</t>
    </rPh>
    <rPh sb="52" eb="53">
      <t>オオ</t>
    </rPh>
    <rPh sb="58" eb="60">
      <t>リシュウ</t>
    </rPh>
    <rPh sb="75" eb="77">
      <t>ニンテイ</t>
    </rPh>
    <rPh sb="80" eb="83">
      <t>タダイガク</t>
    </rPh>
    <rPh sb="84" eb="86">
      <t>トリクミ</t>
    </rPh>
    <rPh sb="87" eb="89">
      <t>サンコウ</t>
    </rPh>
    <rPh sb="172" eb="173">
      <t>ホン</t>
    </rPh>
    <rPh sb="173" eb="175">
      <t>キョウイク</t>
    </rPh>
    <rPh sb="215" eb="218">
      <t>シュウリョウリツ</t>
    </rPh>
    <phoneticPr fontId="1"/>
  </si>
  <si>
    <t xml:space="preserve">　
　本教育プログラムを構成する科目はすべて、一般教育科目として全学生が履修できる。⑧に書いた通り、「情報科学Ⅰ」は全学必修科目であり、1年次後期に履修する。
　「情報処理基礎演習」、「統計処理演習」は選択必修科目であるが、生物資源学部生物資源学科や海洋生物資源学部では、推奨履修としており、全学生を受け入れ可能な専用のクラスを設けている。これ以外の学部においても、近年受講を希望する学生が増えていることから、クラス増や、オンライン授業の活用等、より多くの学生が受講できるような授業実施形態について検討していく予定である。⑧に書いた通り、令和5年度以降、数理・データサイエンスを専門とする教員を新たに採用し、教育体制を強化していくことを予定している。
</t>
    <rPh sb="4" eb="6">
      <t>キョウイク</t>
    </rPh>
    <rPh sb="71" eb="73">
      <t>コウキ</t>
    </rPh>
    <rPh sb="102" eb="108">
      <t>センタクヒッシュウカモク</t>
    </rPh>
    <rPh sb="137" eb="141">
      <t>スイショウリシュウ</t>
    </rPh>
    <rPh sb="147" eb="150">
      <t>ゼンガクセイ</t>
    </rPh>
    <rPh sb="151" eb="152">
      <t>ウ</t>
    </rPh>
    <rPh sb="153" eb="154">
      <t>イ</t>
    </rPh>
    <rPh sb="155" eb="157">
      <t>カノウ</t>
    </rPh>
    <rPh sb="173" eb="175">
      <t>イガイ</t>
    </rPh>
    <rPh sb="176" eb="178">
      <t>ガクブ</t>
    </rPh>
    <rPh sb="184" eb="186">
      <t>キンネン</t>
    </rPh>
    <rPh sb="186" eb="188">
      <t>ジュコウ</t>
    </rPh>
    <rPh sb="189" eb="191">
      <t>キボウ</t>
    </rPh>
    <rPh sb="193" eb="195">
      <t>ガクセイ</t>
    </rPh>
    <rPh sb="196" eb="197">
      <t>フ</t>
    </rPh>
    <rPh sb="209" eb="210">
      <t>ゾウ</t>
    </rPh>
    <rPh sb="226" eb="227">
      <t>オオ</t>
    </rPh>
    <rPh sb="229" eb="231">
      <t>ガクセイ</t>
    </rPh>
    <rPh sb="232" eb="234">
      <t>ジュコウ</t>
    </rPh>
    <rPh sb="240" eb="246">
      <t>ジュギョウジッシケイタイ</t>
    </rPh>
    <rPh sb="250" eb="252">
      <t>ケントウ</t>
    </rPh>
    <rPh sb="256" eb="258">
      <t>ヨテイ</t>
    </rPh>
    <rPh sb="264" eb="265">
      <t>カ</t>
    </rPh>
    <rPh sb="267" eb="268">
      <t>トオ</t>
    </rPh>
    <rPh sb="270" eb="272">
      <t>レイワ</t>
    </rPh>
    <rPh sb="273" eb="275">
      <t>ネンド</t>
    </rPh>
    <rPh sb="275" eb="277">
      <t>イコウ</t>
    </rPh>
    <rPh sb="290" eb="292">
      <t>センモン</t>
    </rPh>
    <phoneticPr fontId="1"/>
  </si>
  <si>
    <r>
      <t>　</t>
    </r>
    <r>
      <rPr>
        <sz val="12"/>
        <color rgb="FFFF0000"/>
        <rFont val="ＭＳ Ｐゴシック"/>
        <family val="3"/>
        <charset val="128"/>
        <scheme val="minor"/>
      </rPr>
      <t xml:space="preserve">
　</t>
    </r>
    <r>
      <rPr>
        <sz val="12"/>
        <rFont val="ＭＳ Ｐゴシック"/>
        <family val="3"/>
        <charset val="128"/>
        <scheme val="minor"/>
      </rPr>
      <t>「情報科目アンケート」の中で、「Q1.この授業を受講することにより、シラバスに記載されている授業目標は達成できましたか？」、「Q3.この授業の内容は理解できましたか？」という質問項目を設けている。これらの評価点、自由記述の回答から、学生の理解度を確認することができる。それぞれ「1. そう思わない　2. あまりそう思わない　3. ややそう思う　4. そう思う」の4段階で調査し、この選択肢を各1,2,3,4点で得点化して対象科目全体の平均点を求めたところ、Q1が3.31点、Q3が3.13点であった。この結果は、学修成果と同様に、情報センター設立検討委員会、デジタル推進委員会、教育研究委員会で共有している。</t>
    </r>
    <phoneticPr fontId="1"/>
  </si>
  <si>
    <r>
      <t>・調査データ、人の行動ログデータ　「情報科学Ⅰ」（5，6回目）
・</t>
    </r>
    <r>
      <rPr>
        <sz val="12"/>
        <rFont val="ＭＳ Ｐゴシック"/>
        <family val="3"/>
        <charset val="128"/>
        <scheme val="minor"/>
      </rPr>
      <t>実験データ　「情報処理基礎演習」 (13，14，15回目&lt;クラス1,2 ※一部クラスで実施&gt;）
・構造化データ　「情報処理基礎演習」（9, 10回目&lt;クラス1,2&gt;又は11回目&lt;クラス3,4&gt;又は&lt;クラス5&gt;11，12回目）</t>
    </r>
    <r>
      <rPr>
        <sz val="12"/>
        <color theme="1"/>
        <rFont val="ＭＳ Ｐゴシック"/>
        <family val="3"/>
        <charset val="128"/>
        <scheme val="minor"/>
      </rPr>
      <t xml:space="preserve">
・非構造化データ（文章、画像/動画、音声/音楽など）　「情報科学Ⅰ」（9, 10回目）
</t>
    </r>
    <r>
      <rPr>
        <sz val="12"/>
        <color theme="0" tint="-0.14999847407452621"/>
        <rFont val="ＭＳ Ｐゴシック"/>
        <family val="3"/>
        <charset val="128"/>
        <scheme val="minor"/>
      </rPr>
      <t/>
    </r>
    <phoneticPr fontId="1"/>
  </si>
  <si>
    <r>
      <t xml:space="preserve">【本教育プログラムの構成科目の指導教員　※令和4年度】       
　学術教養センター                          教授            山川 修 
　学術教養センター                          准教授          田中 武之 
　学術教養センター                          准教授          徳野 淳子 
　生物資源学部生物資源学科                  教授            日竎 隆雄 
　生物資源学部生物資源学科                  教授            片野 肇 
　他、非常勤講師4名       
【本教育プログラムを改善・進化させるための体制 ※令和4年度】       
</t>
    </r>
    <r>
      <rPr>
        <b/>
        <sz val="12"/>
        <color theme="1"/>
        <rFont val="ＭＳ ゴシック"/>
        <family val="3"/>
        <charset val="128"/>
      </rPr>
      <t>（デジタル推進委員会）</t>
    </r>
    <r>
      <rPr>
        <sz val="12"/>
        <color theme="1"/>
        <rFont val="ＭＳ ゴシック"/>
        <family val="3"/>
        <charset val="128"/>
      </rPr>
      <t xml:space="preserve">  </t>
    </r>
    <r>
      <rPr>
        <sz val="10"/>
        <color theme="1"/>
        <rFont val="ＭＳ ゴシック"/>
        <family val="3"/>
        <charset val="128"/>
      </rPr>
      <t xml:space="preserve">※令和5年度からは「情報教育・DX委員会」に改組する。  </t>
    </r>
    <r>
      <rPr>
        <sz val="12"/>
        <color theme="1"/>
        <rFont val="ＭＳ ゴシック"/>
        <family val="3"/>
        <charset val="128"/>
      </rPr>
      <t xml:space="preserve">  
　委員長 生物資源学部生物資源学科           教授            日竎 隆雄 
　委員（14名）       
　　経済学部経営学科                        准教授          藤野 秀則 
　　経済学部経営学科                        准教授          山下 知晃 
　　生物資源学部生物資源学科                准教授          丸山 千登勢  
　　生物資源学部創造農学科                  准教授          水口 亜樹  
　　海洋生物資源学部海洋生物資源学科        准教授          片岡 剛文 
　　海洋生物資源学部海洋先端増養殖科学科    准教授          渡慶次 力 
　　看護福祉学部看護学科                    准教授          東 知宏 
　　看護福祉学部社会福祉学科　　　　　　　　准教授          舟木 紳介 
　　学術教養センター                        教授            大石 善隆 
　　学術教養センター                        准教授          徳野 淳子 
　　事務局 経営企画部 財務課　　　　　　　　課長            姉崎 孝三  
　　事務局 経営企画部 財務課                企画主査        三澤 龍弘 
　　事務局 教育・学生支援部 教育推進課      課長            魚谷 敏 
　　事務局 教育・学生支援部 教育推進課      主事            吉村 若奈 
</t>
    </r>
    <r>
      <rPr>
        <b/>
        <sz val="12"/>
        <color theme="1"/>
        <rFont val="ＭＳ ゴシック"/>
        <family val="3"/>
        <charset val="128"/>
      </rPr>
      <t>（情報センター設立検討委員会）</t>
    </r>
    <r>
      <rPr>
        <sz val="12"/>
        <color theme="1"/>
        <rFont val="ＭＳ ゴシック"/>
        <family val="3"/>
        <charset val="128"/>
      </rPr>
      <t xml:space="preserve">
　委員長 　　　　　　　　　　　　　　　　　 副学長（総括）  横山 芳博 
　委員（8名）       
　　学長　　　　　　　　　　　　　　　　　　　　　　　　    岩崎 行玄 
　　デジタル推進委員会委員長　　　　　　　　　　　　　　　  日竎 隆雄 
　　事務局長     　　　　　　　　　　　　　　　　　　　　　 渡辺 利章 
　　経済学部経営学科    　　　　　　　　　　准教授 　　　   藤野 秀則 
　　学術教養センター    　　　　　　　　　　准教授      　　田中 武之 
　　学術教養センター    　　　　　　　　　　准教授    　　　徳野 淳子 
　　事務局 経営企画部 経営戦略課    　　　　次長     　 　　伏木 貞文 
　　事務局 経営企画部 経営戦略課    　　　　主任     　 　　井関 知恵美 
　オブザーバー       
　　特任学長補佐      　　　　　　　　　　　　　　　　　　　塚原 典央 
  　情報センター教員選考委員会委員       
</t>
    </r>
    <phoneticPr fontId="1"/>
  </si>
  <si>
    <r>
      <t xml:space="preserve">
　以下の通り、産業界との連携を進めた。
・（一社）福井県情報システム工業会様のご紹介で、情報セキュリティを専門とする企業の方に「情報科学Ⅰ」でご講演いただいた。
・（公財）ふくい産業支援センター「ふくいDXオープンラボ」様から「ふくいDXチャレンジ」（アプリ制作のイベント）のご案内をいただき、受講生に周知した。
・福井商工会議所様から「データサイエンス、AI、IoTなどを多様な分野で応用し、新たな価値創造に繋げる能力の育成を期待したい」とのご意見をいただいた。
・福井県のDX推進監様から、本教育プログラムを加速していく上で必要な教員像についてご意見をいただき、適任者を採用することができた。</t>
    </r>
    <r>
      <rPr>
        <sz val="12"/>
        <color rgb="FFFF0000"/>
        <rFont val="ＭＳ Ｐゴシック"/>
        <family val="3"/>
        <charset val="128"/>
        <scheme val="minor"/>
      </rPr>
      <t xml:space="preserve">
</t>
    </r>
    <rPh sb="2" eb="4">
      <t>イカ</t>
    </rPh>
    <rPh sb="5" eb="6">
      <t>トオ</t>
    </rPh>
    <rPh sb="8" eb="11">
      <t>サンギョウカイ</t>
    </rPh>
    <rPh sb="13" eb="15">
      <t>レンケイ</t>
    </rPh>
    <rPh sb="16" eb="17">
      <t>スス</t>
    </rPh>
    <rPh sb="87" eb="88">
      <t>ザイ</t>
    </rPh>
    <rPh sb="292" eb="294">
      <t>サイヨウ</t>
    </rPh>
    <phoneticPr fontId="1"/>
  </si>
  <si>
    <t>　
　　「情報科学Ⅰ」の授業で、時事問題や身近なAIの活用例、個人情報やデータを研究等で扱う上での留意事項等を取り上げ、学生が興味や関心を持つ内容にしている。「情報科目アンケート」の中で、「Q2. この授業についての方法は適切でしたか？」、「Q4. この授業に関連する分野への興味や関心は高まりましたか？」という質問項目を設け、評価を行っている(選択肢は前述の「内容の理解度」と同じ）。対象科目全体の平均点を求めたところ、Q2が3.41点、Q4が3.01点であった。Q2はある程度の評価が得られていると考えるが、Q4については、他大学の取組等も参考にするなどしてさらに工夫する。</t>
    <rPh sb="5" eb="9">
      <t>ジョウホウカガク</t>
    </rPh>
    <rPh sb="12" eb="14">
      <t>ジュギョウ</t>
    </rPh>
    <rPh sb="130" eb="132">
      <t>カンレン</t>
    </rPh>
    <rPh sb="177" eb="179">
      <t>ゼンジュツ</t>
    </rPh>
    <rPh sb="181" eb="183">
      <t>ナイヨウ</t>
    </rPh>
    <rPh sb="184" eb="187">
      <t>リカイド</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</si>
</sst>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color theme="0" tint="-0.14999847407452621"/>
      <name val="ＭＳ Ｐゴシック"/>
      <family val="3"/>
      <charset val="128"/>
      <scheme val="minor"/>
    </font>
    <font>
      <sz val="12"/>
      <name val="ＭＳ Ｐゴシック"/>
      <family val="3"/>
      <charset val="128"/>
      <scheme val="minor"/>
    </font>
    <font>
      <sz val="12"/>
      <color rgb="FFFF0000"/>
      <name val="ＭＳ Ｐゴシック"/>
      <family val="3"/>
      <charset val="128"/>
      <scheme val="minor"/>
    </font>
    <font>
      <sz val="12"/>
      <color theme="1"/>
      <name val="ＭＳ ゴシック"/>
      <family val="3"/>
      <charset val="128"/>
    </font>
    <font>
      <b/>
      <sz val="12"/>
      <color theme="1"/>
      <name val="ＭＳ ゴシック"/>
      <family val="3"/>
      <charset val="128"/>
    </font>
    <font>
      <sz val="10"/>
      <color theme="1"/>
      <name val="ＭＳ ゴシック"/>
      <family val="3"/>
      <charset val="128"/>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 xfId="0" applyFont="1" applyBorder="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lignment vertical="center"/>
    </xf>
    <xf numFmtId="49" fontId="3" fillId="0" borderId="32" xfId="0" applyNumberFormat="1" applyFont="1" applyBorder="1" applyAlignment="1">
      <alignment horizontal="center" vertical="center"/>
    </xf>
    <xf numFmtId="0" fontId="3" fillId="0" borderId="0" xfId="0" applyFont="1" applyAlignment="1">
      <alignment horizontal="left"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12" fillId="0" borderId="6" xfId="0" applyFont="1" applyBorder="1" applyAlignment="1">
      <alignment vertical="center" wrapText="1" shrinkToFit="1"/>
    </xf>
    <xf numFmtId="0" fontId="12" fillId="0" borderId="6" xfId="0" applyFont="1" applyBorder="1" applyAlignment="1">
      <alignment vertical="center" shrinkToFit="1"/>
    </xf>
    <xf numFmtId="0" fontId="12" fillId="0" borderId="12" xfId="0" applyFont="1" applyBorder="1" applyAlignment="1">
      <alignmen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49" fontId="14" fillId="0" borderId="7" xfId="0" applyNumberFormat="1" applyFont="1" applyBorder="1" applyAlignment="1">
      <alignment horizontal="left" vertical="center" wrapText="1"/>
    </xf>
    <xf numFmtId="49" fontId="14" fillId="0" borderId="8" xfId="0" applyNumberFormat="1" applyFont="1" applyBorder="1" applyAlignment="1">
      <alignment horizontal="left" vertical="center"/>
    </xf>
    <xf numFmtId="49" fontId="14" fillId="0" borderId="9"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10" xfId="0" applyNumberFormat="1" applyFont="1" applyBorder="1" applyAlignment="1">
      <alignment horizontal="left" vertical="center"/>
    </xf>
    <xf numFmtId="49" fontId="14" fillId="0" borderId="11"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12" xfId="0" applyNumberFormat="1" applyFont="1" applyBorder="1" applyAlignment="1">
      <alignment horizontal="left" vertical="center"/>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12" fillId="0" borderId="37" xfId="0" applyFont="1" applyBorder="1" applyAlignment="1">
      <alignment vertical="top" wrapText="1" shrinkToFit="1"/>
    </xf>
    <xf numFmtId="0" fontId="12" fillId="0" borderId="38" xfId="0" applyFont="1" applyBorder="1" applyAlignment="1">
      <alignment vertical="top" wrapText="1" shrinkToFit="1"/>
    </xf>
    <xf numFmtId="0" fontId="1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12" fillId="0" borderId="42" xfId="0" applyFont="1" applyBorder="1" applyAlignment="1">
      <alignment vertical="top" wrapText="1" shrinkToFit="1"/>
    </xf>
    <xf numFmtId="0" fontId="12" fillId="0" borderId="43" xfId="0" applyFont="1" applyBorder="1" applyAlignment="1">
      <alignment vertical="top" wrapText="1" shrinkToFit="1"/>
    </xf>
    <xf numFmtId="0" fontId="2" fillId="0" borderId="60" xfId="0" applyFont="1" applyBorder="1" applyAlignment="1">
      <alignment horizontal="center" vertical="center"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V110"/>
  <sheetViews>
    <sheetView showZeros="0" tabSelected="1" view="pageBreakPreview" zoomScaleNormal="100" zoomScaleSheetLayoutView="100" workbookViewId="0"/>
  </sheetViews>
  <sheetFormatPr defaultColWidth="9" defaultRowHeight="18.75" customHeight="1" x14ac:dyDescent="0.2"/>
  <cols>
    <col min="1" max="1" width="2.453125" style="1" customWidth="1"/>
    <col min="2" max="2" width="16.453125" style="1" customWidth="1"/>
    <col min="3" max="19" width="5.6328125" style="1" customWidth="1"/>
    <col min="20" max="20" width="9" style="1"/>
    <col min="21" max="21" width="3.6328125" style="1" customWidth="1"/>
    <col min="22" max="22" width="48.6328125" style="1" hidden="1" customWidth="1"/>
    <col min="23" max="16384" width="9" style="1"/>
  </cols>
  <sheetData>
    <row r="1" spans="1:22" ht="18.649999999999999" customHeight="1" x14ac:dyDescent="0.2">
      <c r="R1" s="135" t="s">
        <v>12</v>
      </c>
      <c r="S1" s="135"/>
      <c r="T1" s="2" t="s">
        <v>109</v>
      </c>
    </row>
    <row r="2" spans="1:22" ht="18.75" customHeight="1" x14ac:dyDescent="0.2">
      <c r="B2" s="33" t="s">
        <v>108</v>
      </c>
      <c r="C2" s="90" t="s">
        <v>126</v>
      </c>
      <c r="D2" s="91"/>
      <c r="E2" s="91"/>
      <c r="F2" s="91"/>
      <c r="G2" s="91"/>
      <c r="H2" s="91"/>
      <c r="I2" s="92"/>
      <c r="J2" s="34"/>
      <c r="K2" s="6"/>
      <c r="L2" s="6"/>
      <c r="M2" s="6"/>
      <c r="N2" s="6"/>
      <c r="O2" s="6"/>
      <c r="P2" s="6"/>
      <c r="Q2" s="6"/>
      <c r="R2" s="6"/>
      <c r="S2" s="6"/>
    </row>
    <row r="3" spans="1:22" ht="18.75" customHeight="1" x14ac:dyDescent="0.2">
      <c r="B3" s="33" t="s">
        <v>102</v>
      </c>
      <c r="C3" s="139" t="s">
        <v>146</v>
      </c>
      <c r="D3" s="140"/>
      <c r="E3" s="140"/>
      <c r="F3" s="140"/>
      <c r="G3" s="140"/>
      <c r="H3" s="140"/>
      <c r="I3" s="141"/>
      <c r="J3" s="34"/>
      <c r="K3" s="6"/>
      <c r="L3" s="6"/>
      <c r="M3" s="6"/>
      <c r="N3" s="6"/>
      <c r="O3" s="6"/>
      <c r="P3" s="6"/>
      <c r="Q3" s="6"/>
      <c r="R3" s="6"/>
      <c r="S3" s="6"/>
    </row>
    <row r="4" spans="1:22" ht="15" customHeight="1" x14ac:dyDescent="0.2">
      <c r="K4" s="34"/>
      <c r="L4" s="35"/>
      <c r="M4" s="35"/>
      <c r="N4" s="35"/>
      <c r="O4" s="35"/>
      <c r="P4" s="35"/>
      <c r="Q4" s="35"/>
      <c r="R4" s="35"/>
      <c r="S4" s="35"/>
    </row>
    <row r="5" spans="1:22" ht="18" customHeight="1" x14ac:dyDescent="0.2">
      <c r="A5" s="142" t="s">
        <v>38</v>
      </c>
      <c r="B5" s="142"/>
      <c r="C5" s="142"/>
      <c r="D5" s="142"/>
      <c r="E5" s="142"/>
      <c r="F5" s="142"/>
      <c r="G5" s="142"/>
      <c r="H5" s="142"/>
      <c r="I5" s="142"/>
      <c r="J5" s="142"/>
      <c r="K5" s="142"/>
      <c r="L5" s="142"/>
      <c r="M5" s="142"/>
      <c r="N5" s="142"/>
      <c r="O5" s="142"/>
      <c r="P5" s="142"/>
      <c r="Q5" s="142"/>
      <c r="R5" s="142"/>
      <c r="S5" s="142"/>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123</v>
      </c>
      <c r="C7" s="3"/>
      <c r="J7" s="36" t="s">
        <v>107</v>
      </c>
      <c r="K7" s="152" t="s">
        <v>125</v>
      </c>
      <c r="L7" s="153"/>
      <c r="M7" s="153"/>
      <c r="N7" s="153"/>
      <c r="O7" s="153"/>
      <c r="P7" s="153"/>
      <c r="Q7" s="153"/>
      <c r="R7" s="153"/>
      <c r="S7" s="154"/>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155"/>
      <c r="C9" s="156"/>
      <c r="D9" s="156"/>
      <c r="E9" s="156"/>
      <c r="F9" s="156"/>
      <c r="G9" s="156"/>
      <c r="H9" s="156"/>
      <c r="I9" s="156"/>
      <c r="J9" s="156"/>
      <c r="K9" s="156"/>
      <c r="L9" s="156"/>
      <c r="M9" s="156"/>
      <c r="N9" s="156"/>
      <c r="O9" s="156"/>
      <c r="P9" s="156"/>
      <c r="Q9" s="156"/>
      <c r="R9" s="156"/>
      <c r="S9" s="157"/>
    </row>
    <row r="10" spans="1:22" ht="18" customHeight="1" x14ac:dyDescent="0.2">
      <c r="B10" s="158"/>
      <c r="C10" s="159"/>
      <c r="D10" s="159"/>
      <c r="E10" s="159"/>
      <c r="F10" s="159"/>
      <c r="G10" s="159"/>
      <c r="H10" s="159"/>
      <c r="I10" s="159"/>
      <c r="J10" s="159"/>
      <c r="K10" s="159"/>
      <c r="L10" s="159"/>
      <c r="M10" s="159"/>
      <c r="N10" s="159"/>
      <c r="O10" s="159"/>
      <c r="P10" s="159"/>
      <c r="Q10" s="159"/>
      <c r="R10" s="159"/>
      <c r="S10" s="160"/>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111</v>
      </c>
      <c r="B12" s="3"/>
      <c r="C12" s="3"/>
      <c r="D12" s="34"/>
      <c r="E12" s="34"/>
      <c r="F12" s="34"/>
      <c r="G12" s="34"/>
      <c r="H12" s="34"/>
      <c r="I12" s="34"/>
      <c r="J12" s="34"/>
      <c r="K12" s="37"/>
      <c r="L12" s="37"/>
      <c r="M12" s="37"/>
      <c r="N12" s="37"/>
      <c r="O12" s="37"/>
      <c r="P12" s="37"/>
      <c r="Q12" s="37"/>
      <c r="R12" s="37"/>
      <c r="S12" s="37"/>
    </row>
    <row r="13" spans="1:22" ht="18" customHeight="1" x14ac:dyDescent="0.2">
      <c r="B13" s="143" t="s">
        <v>127</v>
      </c>
      <c r="C13" s="144"/>
      <c r="D13" s="144"/>
      <c r="E13" s="144"/>
      <c r="F13" s="144"/>
      <c r="G13" s="144"/>
      <c r="H13" s="144"/>
      <c r="I13" s="144"/>
      <c r="J13" s="144"/>
      <c r="K13" s="144"/>
      <c r="L13" s="144"/>
      <c r="M13" s="144"/>
      <c r="N13" s="144"/>
      <c r="O13" s="144"/>
      <c r="P13" s="144"/>
      <c r="Q13" s="144"/>
      <c r="R13" s="144"/>
      <c r="S13" s="145"/>
      <c r="V13" s="1" t="s">
        <v>103</v>
      </c>
    </row>
    <row r="14" spans="1:22" ht="18" customHeight="1" x14ac:dyDescent="0.2">
      <c r="B14" s="146"/>
      <c r="C14" s="147"/>
      <c r="D14" s="147"/>
      <c r="E14" s="147"/>
      <c r="F14" s="147"/>
      <c r="G14" s="147"/>
      <c r="H14" s="147"/>
      <c r="I14" s="147"/>
      <c r="J14" s="147"/>
      <c r="K14" s="147"/>
      <c r="L14" s="147"/>
      <c r="M14" s="147"/>
      <c r="N14" s="147"/>
      <c r="O14" s="147"/>
      <c r="P14" s="147"/>
      <c r="Q14" s="147"/>
      <c r="R14" s="147"/>
      <c r="S14" s="148"/>
      <c r="V14" s="1" t="s">
        <v>110</v>
      </c>
    </row>
    <row r="15" spans="1:22" ht="18" customHeight="1" x14ac:dyDescent="0.2">
      <c r="B15" s="146"/>
      <c r="C15" s="147"/>
      <c r="D15" s="147"/>
      <c r="E15" s="147"/>
      <c r="F15" s="147"/>
      <c r="G15" s="147"/>
      <c r="H15" s="147"/>
      <c r="I15" s="147"/>
      <c r="J15" s="147"/>
      <c r="K15" s="147"/>
      <c r="L15" s="147"/>
      <c r="M15" s="147"/>
      <c r="N15" s="147"/>
      <c r="O15" s="147"/>
      <c r="P15" s="147"/>
      <c r="Q15" s="147"/>
      <c r="R15" s="147"/>
      <c r="S15" s="148"/>
      <c r="V15" s="1" t="s">
        <v>122</v>
      </c>
    </row>
    <row r="16" spans="1:22" ht="18" customHeight="1" x14ac:dyDescent="0.2">
      <c r="B16" s="146"/>
      <c r="C16" s="147"/>
      <c r="D16" s="147"/>
      <c r="E16" s="147"/>
      <c r="F16" s="147"/>
      <c r="G16" s="147"/>
      <c r="H16" s="147"/>
      <c r="I16" s="147"/>
      <c r="J16" s="147"/>
      <c r="K16" s="147"/>
      <c r="L16" s="147"/>
      <c r="M16" s="147"/>
      <c r="N16" s="147"/>
      <c r="O16" s="147"/>
      <c r="P16" s="147"/>
      <c r="Q16" s="147"/>
      <c r="R16" s="147"/>
      <c r="S16" s="148"/>
      <c r="V16" s="1" t="s">
        <v>124</v>
      </c>
    </row>
    <row r="17" spans="1:19" ht="18" customHeight="1" x14ac:dyDescent="0.2">
      <c r="B17" s="146"/>
      <c r="C17" s="147"/>
      <c r="D17" s="147"/>
      <c r="E17" s="147"/>
      <c r="F17" s="147"/>
      <c r="G17" s="147"/>
      <c r="H17" s="147"/>
      <c r="I17" s="147"/>
      <c r="J17" s="147"/>
      <c r="K17" s="147"/>
      <c r="L17" s="147"/>
      <c r="M17" s="147"/>
      <c r="N17" s="147"/>
      <c r="O17" s="147"/>
      <c r="P17" s="147"/>
      <c r="Q17" s="147"/>
      <c r="R17" s="147"/>
      <c r="S17" s="148"/>
    </row>
    <row r="18" spans="1:19" ht="18" customHeight="1" x14ac:dyDescent="0.2">
      <c r="B18" s="149"/>
      <c r="C18" s="150"/>
      <c r="D18" s="150"/>
      <c r="E18" s="150"/>
      <c r="F18" s="150"/>
      <c r="G18" s="150"/>
      <c r="H18" s="150"/>
      <c r="I18" s="150"/>
      <c r="J18" s="150"/>
      <c r="K18" s="150"/>
      <c r="L18" s="150"/>
      <c r="M18" s="150"/>
      <c r="N18" s="150"/>
      <c r="O18" s="150"/>
      <c r="P18" s="150"/>
      <c r="Q18" s="150"/>
      <c r="R18" s="150"/>
      <c r="S18" s="151"/>
    </row>
    <row r="19" spans="1:19" ht="7.5" customHeight="1" x14ac:dyDescent="0.2">
      <c r="B19" s="3"/>
      <c r="C19" s="3"/>
      <c r="D19" s="3"/>
      <c r="E19" s="3"/>
      <c r="F19" s="3"/>
      <c r="G19" s="3"/>
      <c r="H19" s="3"/>
      <c r="I19" s="3"/>
      <c r="J19" s="3"/>
      <c r="K19" s="3"/>
      <c r="L19" s="3"/>
      <c r="M19" s="3"/>
      <c r="N19" s="3"/>
      <c r="O19" s="3"/>
      <c r="P19" s="3"/>
      <c r="Q19" s="3"/>
      <c r="R19" s="3"/>
      <c r="S19" s="3"/>
    </row>
    <row r="20" spans="1:19" ht="20" customHeight="1" x14ac:dyDescent="0.2">
      <c r="B20" s="1" t="s">
        <v>112</v>
      </c>
      <c r="C20" s="90">
        <v>2</v>
      </c>
      <c r="D20" s="92"/>
      <c r="E20" s="38" t="s">
        <v>95</v>
      </c>
      <c r="G20" s="10"/>
      <c r="H20" s="3"/>
      <c r="I20" s="3"/>
      <c r="J20" s="34" t="s">
        <v>120</v>
      </c>
      <c r="K20" s="136" t="s">
        <v>124</v>
      </c>
      <c r="L20" s="137"/>
      <c r="M20" s="137"/>
      <c r="N20" s="137"/>
      <c r="O20" s="137"/>
      <c r="P20" s="137"/>
      <c r="Q20" s="137"/>
      <c r="R20" s="137"/>
      <c r="S20" s="138"/>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6" t="s">
        <v>113</v>
      </c>
      <c r="B22" s="96"/>
      <c r="C22" s="96"/>
      <c r="D22" s="96"/>
      <c r="E22" s="96"/>
      <c r="F22" s="96"/>
      <c r="G22" s="96"/>
      <c r="H22" s="96"/>
      <c r="I22" s="96"/>
      <c r="J22" s="96"/>
      <c r="K22" s="96"/>
      <c r="L22" s="96"/>
      <c r="M22" s="96"/>
      <c r="N22" s="96"/>
      <c r="O22" s="96"/>
      <c r="P22" s="96"/>
      <c r="Q22" s="96"/>
      <c r="R22" s="96"/>
      <c r="S22" s="96"/>
    </row>
    <row r="23" spans="1:19" ht="18" customHeight="1" x14ac:dyDescent="0.2">
      <c r="A23" s="96"/>
      <c r="B23" s="96"/>
      <c r="C23" s="96"/>
      <c r="D23" s="96"/>
      <c r="E23" s="96"/>
      <c r="F23" s="96"/>
      <c r="G23" s="96"/>
      <c r="H23" s="96"/>
      <c r="I23" s="96"/>
      <c r="J23" s="96"/>
      <c r="K23" s="96"/>
      <c r="L23" s="96"/>
      <c r="M23" s="96"/>
      <c r="N23" s="96"/>
      <c r="O23" s="96"/>
      <c r="P23" s="96"/>
      <c r="Q23" s="96"/>
      <c r="R23" s="96"/>
      <c r="S23" s="96"/>
    </row>
    <row r="24" spans="1:19" ht="18" customHeight="1" x14ac:dyDescent="0.2">
      <c r="B24" s="90" t="s">
        <v>53</v>
      </c>
      <c r="C24" s="91"/>
      <c r="D24" s="91"/>
      <c r="E24" s="92"/>
      <c r="F24" s="58" t="s">
        <v>80</v>
      </c>
      <c r="G24" s="57" t="s">
        <v>84</v>
      </c>
      <c r="H24" s="22" t="s">
        <v>56</v>
      </c>
      <c r="I24" s="22" t="s">
        <v>59</v>
      </c>
      <c r="J24" s="90" t="s">
        <v>53</v>
      </c>
      <c r="K24" s="91"/>
      <c r="L24" s="91"/>
      <c r="M24" s="91"/>
      <c r="N24" s="91"/>
      <c r="O24" s="92"/>
      <c r="P24" s="58" t="s">
        <v>80</v>
      </c>
      <c r="Q24" s="57" t="s">
        <v>84</v>
      </c>
      <c r="R24" s="22" t="s">
        <v>56</v>
      </c>
      <c r="S24" s="22" t="s">
        <v>59</v>
      </c>
    </row>
    <row r="25" spans="1:19" ht="18" customHeight="1" x14ac:dyDescent="0.2">
      <c r="B25" s="84" t="s">
        <v>128</v>
      </c>
      <c r="C25" s="85"/>
      <c r="D25" s="85"/>
      <c r="E25" s="86"/>
      <c r="F25" s="23">
        <v>1</v>
      </c>
      <c r="G25" s="23" t="s">
        <v>129</v>
      </c>
      <c r="H25" s="23" t="s">
        <v>129</v>
      </c>
      <c r="I25" s="23" t="s">
        <v>129</v>
      </c>
      <c r="J25" s="84"/>
      <c r="K25" s="85"/>
      <c r="L25" s="85"/>
      <c r="M25" s="85"/>
      <c r="N25" s="85"/>
      <c r="O25" s="86"/>
      <c r="P25" s="23"/>
      <c r="Q25" s="23"/>
      <c r="R25" s="23"/>
      <c r="S25" s="23"/>
    </row>
    <row r="26" spans="1:19" ht="18" customHeight="1" x14ac:dyDescent="0.2">
      <c r="B26" s="87"/>
      <c r="C26" s="88"/>
      <c r="D26" s="88"/>
      <c r="E26" s="89"/>
      <c r="F26" s="24"/>
      <c r="G26" s="24"/>
      <c r="H26" s="24"/>
      <c r="I26" s="24"/>
      <c r="J26" s="87"/>
      <c r="K26" s="88"/>
      <c r="L26" s="88"/>
      <c r="M26" s="88"/>
      <c r="N26" s="88"/>
      <c r="O26" s="89"/>
      <c r="P26" s="24"/>
      <c r="Q26" s="24"/>
      <c r="R26" s="24"/>
      <c r="S26" s="24"/>
    </row>
    <row r="27" spans="1:19" ht="18" customHeight="1" x14ac:dyDescent="0.2">
      <c r="B27" s="87"/>
      <c r="C27" s="88"/>
      <c r="D27" s="88"/>
      <c r="E27" s="89"/>
      <c r="F27" s="24"/>
      <c r="G27" s="24"/>
      <c r="H27" s="24"/>
      <c r="I27" s="24"/>
      <c r="J27" s="87"/>
      <c r="K27" s="88"/>
      <c r="L27" s="88"/>
      <c r="M27" s="88"/>
      <c r="N27" s="88"/>
      <c r="O27" s="89"/>
      <c r="P27" s="24"/>
      <c r="Q27" s="24"/>
      <c r="R27" s="24"/>
      <c r="S27" s="24"/>
    </row>
    <row r="28" spans="1:19" ht="18" customHeight="1" x14ac:dyDescent="0.2">
      <c r="B28" s="87"/>
      <c r="C28" s="88"/>
      <c r="D28" s="88"/>
      <c r="E28" s="89"/>
      <c r="F28" s="24"/>
      <c r="G28" s="24"/>
      <c r="H28" s="24"/>
      <c r="I28" s="24"/>
      <c r="J28" s="87"/>
      <c r="K28" s="88"/>
      <c r="L28" s="88"/>
      <c r="M28" s="88"/>
      <c r="N28" s="88"/>
      <c r="O28" s="89"/>
      <c r="P28" s="24"/>
      <c r="Q28" s="24"/>
      <c r="R28" s="24"/>
      <c r="S28" s="24"/>
    </row>
    <row r="29" spans="1:19" ht="18" customHeight="1" x14ac:dyDescent="0.2">
      <c r="B29" s="87"/>
      <c r="C29" s="88"/>
      <c r="D29" s="88"/>
      <c r="E29" s="89"/>
      <c r="F29" s="24"/>
      <c r="G29" s="24"/>
      <c r="H29" s="24"/>
      <c r="I29" s="24"/>
      <c r="J29" s="87"/>
      <c r="K29" s="88"/>
      <c r="L29" s="88"/>
      <c r="M29" s="88"/>
      <c r="N29" s="88"/>
      <c r="O29" s="89"/>
      <c r="P29" s="24"/>
      <c r="Q29" s="24"/>
      <c r="R29" s="24"/>
      <c r="S29" s="24"/>
    </row>
    <row r="30" spans="1:19" ht="18" customHeight="1" x14ac:dyDescent="0.2">
      <c r="A30" s="3"/>
      <c r="B30" s="87"/>
      <c r="C30" s="88"/>
      <c r="D30" s="88"/>
      <c r="E30" s="89"/>
      <c r="F30" s="24"/>
      <c r="G30" s="24"/>
      <c r="H30" s="24"/>
      <c r="I30" s="24"/>
      <c r="J30" s="87"/>
      <c r="K30" s="88"/>
      <c r="L30" s="88"/>
      <c r="M30" s="88"/>
      <c r="N30" s="88"/>
      <c r="O30" s="89"/>
      <c r="P30" s="24"/>
      <c r="Q30" s="24"/>
      <c r="R30" s="24"/>
      <c r="S30" s="24"/>
    </row>
    <row r="31" spans="1:19" ht="18" customHeight="1" x14ac:dyDescent="0.2">
      <c r="A31" s="3"/>
      <c r="B31" s="93"/>
      <c r="C31" s="94"/>
      <c r="D31" s="94"/>
      <c r="E31" s="95"/>
      <c r="F31" s="25"/>
      <c r="G31" s="25"/>
      <c r="H31" s="26"/>
      <c r="I31" s="26"/>
      <c r="J31" s="93"/>
      <c r="K31" s="94"/>
      <c r="L31" s="94"/>
      <c r="M31" s="94"/>
      <c r="N31" s="94"/>
      <c r="O31" s="95"/>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6" t="s">
        <v>114</v>
      </c>
      <c r="B33" s="96"/>
      <c r="C33" s="96"/>
      <c r="D33" s="96"/>
      <c r="E33" s="96"/>
      <c r="F33" s="96"/>
      <c r="G33" s="96"/>
      <c r="H33" s="96"/>
      <c r="I33" s="96"/>
      <c r="J33" s="96"/>
      <c r="K33" s="96"/>
      <c r="L33" s="96"/>
      <c r="M33" s="96"/>
      <c r="N33" s="96"/>
      <c r="O33" s="96"/>
      <c r="P33" s="96"/>
      <c r="Q33" s="96"/>
      <c r="R33" s="96"/>
      <c r="S33" s="96"/>
    </row>
    <row r="34" spans="1:19" ht="18" customHeight="1" x14ac:dyDescent="0.2">
      <c r="A34" s="96"/>
      <c r="B34" s="96"/>
      <c r="C34" s="96"/>
      <c r="D34" s="96"/>
      <c r="E34" s="96"/>
      <c r="F34" s="96"/>
      <c r="G34" s="96"/>
      <c r="H34" s="96"/>
      <c r="I34" s="96"/>
      <c r="J34" s="96"/>
      <c r="K34" s="96"/>
      <c r="L34" s="96"/>
      <c r="M34" s="96"/>
      <c r="N34" s="96"/>
      <c r="O34" s="96"/>
      <c r="P34" s="96"/>
      <c r="Q34" s="96"/>
      <c r="R34" s="96"/>
      <c r="S34" s="96"/>
    </row>
    <row r="35" spans="1:19" ht="18" customHeight="1" x14ac:dyDescent="0.2">
      <c r="B35" s="90" t="s">
        <v>53</v>
      </c>
      <c r="C35" s="91"/>
      <c r="D35" s="91"/>
      <c r="E35" s="92"/>
      <c r="F35" s="58" t="s">
        <v>80</v>
      </c>
      <c r="G35" s="57" t="s">
        <v>84</v>
      </c>
      <c r="H35" s="22" t="s">
        <v>71</v>
      </c>
      <c r="I35" s="22" t="s">
        <v>72</v>
      </c>
      <c r="J35" s="90" t="s">
        <v>53</v>
      </c>
      <c r="K35" s="91"/>
      <c r="L35" s="91"/>
      <c r="M35" s="91"/>
      <c r="N35" s="91"/>
      <c r="O35" s="92"/>
      <c r="P35" s="58" t="s">
        <v>80</v>
      </c>
      <c r="Q35" s="57" t="s">
        <v>84</v>
      </c>
      <c r="R35" s="22" t="s">
        <v>71</v>
      </c>
      <c r="S35" s="22" t="s">
        <v>72</v>
      </c>
    </row>
    <row r="36" spans="1:19" ht="18" customHeight="1" x14ac:dyDescent="0.2">
      <c r="B36" s="84" t="s">
        <v>130</v>
      </c>
      <c r="C36" s="85"/>
      <c r="D36" s="85"/>
      <c r="E36" s="86"/>
      <c r="F36" s="23">
        <v>1</v>
      </c>
      <c r="G36" s="23" t="s">
        <v>129</v>
      </c>
      <c r="H36" s="23" t="s">
        <v>129</v>
      </c>
      <c r="I36" s="23" t="s">
        <v>129</v>
      </c>
      <c r="J36" s="84"/>
      <c r="K36" s="85"/>
      <c r="L36" s="85"/>
      <c r="M36" s="85"/>
      <c r="N36" s="85"/>
      <c r="O36" s="86"/>
      <c r="P36" s="23"/>
      <c r="Q36" s="23"/>
      <c r="R36" s="23"/>
      <c r="S36" s="23"/>
    </row>
    <row r="37" spans="1:19" ht="18" customHeight="1" x14ac:dyDescent="0.2">
      <c r="B37" s="87" t="s">
        <v>152</v>
      </c>
      <c r="C37" s="88"/>
      <c r="D37" s="88"/>
      <c r="E37" s="89"/>
      <c r="F37" s="24">
        <v>1</v>
      </c>
      <c r="G37" s="24"/>
      <c r="H37" s="270" t="s">
        <v>129</v>
      </c>
      <c r="I37" s="24"/>
      <c r="J37" s="87"/>
      <c r="K37" s="88"/>
      <c r="L37" s="88"/>
      <c r="M37" s="88"/>
      <c r="N37" s="88"/>
      <c r="O37" s="89"/>
      <c r="P37" s="24"/>
      <c r="Q37" s="24"/>
      <c r="R37" s="24"/>
      <c r="S37" s="24"/>
    </row>
    <row r="38" spans="1:19" ht="18" customHeight="1" x14ac:dyDescent="0.2">
      <c r="B38" s="87"/>
      <c r="C38" s="88"/>
      <c r="D38" s="88"/>
      <c r="E38" s="89"/>
      <c r="F38" s="24"/>
      <c r="G38" s="24"/>
      <c r="H38" s="24"/>
      <c r="I38" s="24"/>
      <c r="J38" s="87"/>
      <c r="K38" s="88"/>
      <c r="L38" s="88"/>
      <c r="M38" s="88"/>
      <c r="N38" s="88"/>
      <c r="O38" s="89"/>
      <c r="P38" s="24"/>
      <c r="Q38" s="24"/>
      <c r="R38" s="24"/>
      <c r="S38" s="24"/>
    </row>
    <row r="39" spans="1:19" ht="18" customHeight="1" x14ac:dyDescent="0.2">
      <c r="B39" s="87"/>
      <c r="C39" s="88"/>
      <c r="D39" s="88"/>
      <c r="E39" s="89"/>
      <c r="F39" s="24"/>
      <c r="G39" s="24"/>
      <c r="H39" s="24"/>
      <c r="I39" s="24"/>
      <c r="J39" s="87"/>
      <c r="K39" s="88"/>
      <c r="L39" s="88"/>
      <c r="M39" s="88"/>
      <c r="N39" s="88"/>
      <c r="O39" s="89"/>
      <c r="P39" s="24"/>
      <c r="Q39" s="24"/>
      <c r="R39" s="24"/>
      <c r="S39" s="24"/>
    </row>
    <row r="40" spans="1:19" ht="18" customHeight="1" x14ac:dyDescent="0.2">
      <c r="B40" s="87"/>
      <c r="C40" s="88"/>
      <c r="D40" s="88"/>
      <c r="E40" s="89"/>
      <c r="F40" s="24"/>
      <c r="G40" s="24"/>
      <c r="H40" s="24"/>
      <c r="I40" s="24"/>
      <c r="J40" s="87"/>
      <c r="K40" s="88"/>
      <c r="L40" s="88"/>
      <c r="M40" s="88"/>
      <c r="N40" s="88"/>
      <c r="O40" s="89"/>
      <c r="P40" s="24"/>
      <c r="Q40" s="24"/>
      <c r="R40" s="24"/>
      <c r="S40" s="24"/>
    </row>
    <row r="41" spans="1:19" ht="18" customHeight="1" x14ac:dyDescent="0.2">
      <c r="B41" s="87"/>
      <c r="C41" s="88"/>
      <c r="D41" s="88"/>
      <c r="E41" s="89"/>
      <c r="F41" s="24"/>
      <c r="G41" s="24"/>
      <c r="H41" s="24"/>
      <c r="I41" s="24"/>
      <c r="J41" s="87"/>
      <c r="K41" s="88"/>
      <c r="L41" s="88"/>
      <c r="M41" s="88"/>
      <c r="N41" s="88"/>
      <c r="O41" s="89"/>
      <c r="P41" s="24"/>
      <c r="Q41" s="24"/>
      <c r="R41" s="24"/>
      <c r="S41" s="24"/>
    </row>
    <row r="42" spans="1:19" ht="18" customHeight="1" x14ac:dyDescent="0.2">
      <c r="B42" s="93"/>
      <c r="C42" s="94"/>
      <c r="D42" s="94"/>
      <c r="E42" s="95"/>
      <c r="F42" s="25"/>
      <c r="G42" s="25"/>
      <c r="H42" s="26"/>
      <c r="I42" s="26"/>
      <c r="J42" s="93"/>
      <c r="K42" s="94"/>
      <c r="L42" s="94"/>
      <c r="M42" s="94"/>
      <c r="N42" s="94"/>
      <c r="O42" s="95"/>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6" t="s">
        <v>115</v>
      </c>
      <c r="B44" s="96"/>
      <c r="C44" s="96"/>
      <c r="D44" s="96"/>
      <c r="E44" s="96"/>
      <c r="F44" s="96"/>
      <c r="G44" s="96"/>
      <c r="H44" s="96"/>
      <c r="I44" s="96"/>
      <c r="J44" s="96"/>
      <c r="K44" s="96"/>
      <c r="L44" s="96"/>
      <c r="M44" s="96"/>
      <c r="N44" s="96"/>
      <c r="O44" s="96"/>
      <c r="P44" s="96"/>
      <c r="Q44" s="96"/>
      <c r="R44" s="96"/>
      <c r="S44" s="96"/>
    </row>
    <row r="45" spans="1:19" ht="18" customHeight="1" x14ac:dyDescent="0.2">
      <c r="A45" s="96"/>
      <c r="B45" s="96"/>
      <c r="C45" s="96"/>
      <c r="D45" s="96"/>
      <c r="E45" s="96"/>
      <c r="F45" s="96"/>
      <c r="G45" s="96"/>
      <c r="H45" s="96"/>
      <c r="I45" s="96"/>
      <c r="J45" s="96"/>
      <c r="K45" s="96"/>
      <c r="L45" s="96"/>
      <c r="M45" s="96"/>
      <c r="N45" s="96"/>
      <c r="O45" s="96"/>
      <c r="P45" s="96"/>
      <c r="Q45" s="96"/>
      <c r="R45" s="96"/>
      <c r="S45" s="96"/>
    </row>
    <row r="46" spans="1:19" ht="18" customHeight="1" x14ac:dyDescent="0.2">
      <c r="B46" s="90" t="s">
        <v>53</v>
      </c>
      <c r="C46" s="91"/>
      <c r="D46" s="91"/>
      <c r="E46" s="92"/>
      <c r="F46" s="58" t="s">
        <v>80</v>
      </c>
      <c r="G46" s="57" t="s">
        <v>84</v>
      </c>
      <c r="H46" s="22" t="s">
        <v>73</v>
      </c>
      <c r="I46" s="22" t="s">
        <v>74</v>
      </c>
      <c r="J46" s="90" t="s">
        <v>53</v>
      </c>
      <c r="K46" s="91"/>
      <c r="L46" s="91"/>
      <c r="M46" s="91"/>
      <c r="N46" s="91"/>
      <c r="O46" s="92"/>
      <c r="P46" s="58" t="s">
        <v>80</v>
      </c>
      <c r="Q46" s="57" t="s">
        <v>84</v>
      </c>
      <c r="R46" s="22" t="s">
        <v>73</v>
      </c>
      <c r="S46" s="22" t="s">
        <v>74</v>
      </c>
    </row>
    <row r="47" spans="1:19" ht="18" customHeight="1" x14ac:dyDescent="0.2">
      <c r="A47" s="3"/>
      <c r="B47" s="84" t="s">
        <v>130</v>
      </c>
      <c r="C47" s="85"/>
      <c r="D47" s="85"/>
      <c r="E47" s="86"/>
      <c r="F47" s="23">
        <v>1</v>
      </c>
      <c r="G47" s="23" t="s">
        <v>129</v>
      </c>
      <c r="H47" s="23" t="s">
        <v>129</v>
      </c>
      <c r="I47" s="23" t="s">
        <v>129</v>
      </c>
      <c r="J47" s="84"/>
      <c r="K47" s="85"/>
      <c r="L47" s="85"/>
      <c r="M47" s="85"/>
      <c r="N47" s="85"/>
      <c r="O47" s="86"/>
      <c r="P47" s="23"/>
      <c r="Q47" s="23"/>
      <c r="R47" s="23"/>
      <c r="S47" s="23"/>
    </row>
    <row r="48" spans="1:19" ht="18" customHeight="1" x14ac:dyDescent="0.2">
      <c r="A48" s="3"/>
      <c r="B48" s="87"/>
      <c r="C48" s="88"/>
      <c r="D48" s="88"/>
      <c r="E48" s="89"/>
      <c r="F48" s="24"/>
      <c r="G48" s="24"/>
      <c r="H48" s="24"/>
      <c r="I48" s="24"/>
      <c r="J48" s="87"/>
      <c r="K48" s="88"/>
      <c r="L48" s="88"/>
      <c r="M48" s="88"/>
      <c r="N48" s="88"/>
      <c r="O48" s="89"/>
      <c r="P48" s="24"/>
      <c r="Q48" s="24"/>
      <c r="R48" s="24"/>
      <c r="S48" s="24"/>
    </row>
    <row r="49" spans="1:19" ht="18" customHeight="1" x14ac:dyDescent="0.2">
      <c r="A49" s="3"/>
      <c r="B49" s="87"/>
      <c r="C49" s="88"/>
      <c r="D49" s="88"/>
      <c r="E49" s="89"/>
      <c r="F49" s="24"/>
      <c r="G49" s="24"/>
      <c r="H49" s="24"/>
      <c r="I49" s="24"/>
      <c r="J49" s="87"/>
      <c r="K49" s="88"/>
      <c r="L49" s="88"/>
      <c r="M49" s="88"/>
      <c r="N49" s="88"/>
      <c r="O49" s="89"/>
      <c r="P49" s="24"/>
      <c r="Q49" s="24"/>
      <c r="R49" s="24"/>
      <c r="S49" s="24"/>
    </row>
    <row r="50" spans="1:19" ht="18" customHeight="1" x14ac:dyDescent="0.2">
      <c r="A50" s="3"/>
      <c r="B50" s="87"/>
      <c r="C50" s="88"/>
      <c r="D50" s="88"/>
      <c r="E50" s="89"/>
      <c r="F50" s="24"/>
      <c r="G50" s="24"/>
      <c r="H50" s="24"/>
      <c r="I50" s="24"/>
      <c r="J50" s="87"/>
      <c r="K50" s="88"/>
      <c r="L50" s="88"/>
      <c r="M50" s="88"/>
      <c r="N50" s="88"/>
      <c r="O50" s="89"/>
      <c r="P50" s="24"/>
      <c r="Q50" s="24"/>
      <c r="R50" s="24"/>
      <c r="S50" s="24"/>
    </row>
    <row r="51" spans="1:19" ht="18" customHeight="1" x14ac:dyDescent="0.2">
      <c r="A51" s="3"/>
      <c r="B51" s="87"/>
      <c r="C51" s="88"/>
      <c r="D51" s="88"/>
      <c r="E51" s="89"/>
      <c r="F51" s="24"/>
      <c r="G51" s="24"/>
      <c r="H51" s="24"/>
      <c r="I51" s="24"/>
      <c r="J51" s="87"/>
      <c r="K51" s="88"/>
      <c r="L51" s="88"/>
      <c r="M51" s="88"/>
      <c r="N51" s="88"/>
      <c r="O51" s="89"/>
      <c r="P51" s="24"/>
      <c r="Q51" s="24"/>
      <c r="R51" s="24"/>
      <c r="S51" s="24"/>
    </row>
    <row r="52" spans="1:19" ht="18" customHeight="1" x14ac:dyDescent="0.2">
      <c r="A52" s="3"/>
      <c r="B52" s="87"/>
      <c r="C52" s="88"/>
      <c r="D52" s="88"/>
      <c r="E52" s="89"/>
      <c r="F52" s="24"/>
      <c r="G52" s="24"/>
      <c r="H52" s="24"/>
      <c r="I52" s="24"/>
      <c r="J52" s="87"/>
      <c r="K52" s="88"/>
      <c r="L52" s="88"/>
      <c r="M52" s="88"/>
      <c r="N52" s="88"/>
      <c r="O52" s="89"/>
      <c r="P52" s="24"/>
      <c r="Q52" s="24"/>
      <c r="R52" s="24"/>
      <c r="S52" s="24"/>
    </row>
    <row r="53" spans="1:19" ht="18" customHeight="1" x14ac:dyDescent="0.2">
      <c r="A53" s="3"/>
      <c r="B53" s="93"/>
      <c r="C53" s="94"/>
      <c r="D53" s="94"/>
      <c r="E53" s="95"/>
      <c r="F53" s="25"/>
      <c r="G53" s="25"/>
      <c r="H53" s="26"/>
      <c r="I53" s="26"/>
      <c r="J53" s="93"/>
      <c r="K53" s="94"/>
      <c r="L53" s="94"/>
      <c r="M53" s="94"/>
      <c r="N53" s="94"/>
      <c r="O53" s="95"/>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96" t="s">
        <v>116</v>
      </c>
      <c r="B55" s="96"/>
      <c r="C55" s="96"/>
      <c r="D55" s="96"/>
      <c r="E55" s="96"/>
      <c r="F55" s="96"/>
      <c r="G55" s="96"/>
      <c r="H55" s="96"/>
      <c r="I55" s="96"/>
      <c r="J55" s="96"/>
      <c r="K55" s="96"/>
      <c r="L55" s="96"/>
      <c r="M55" s="96"/>
      <c r="N55" s="96"/>
      <c r="O55" s="96"/>
      <c r="P55" s="96"/>
      <c r="Q55" s="96"/>
      <c r="R55" s="96"/>
      <c r="S55" s="96"/>
    </row>
    <row r="56" spans="1:19" ht="18" customHeight="1" x14ac:dyDescent="0.2">
      <c r="A56" s="96"/>
      <c r="B56" s="96"/>
      <c r="C56" s="96"/>
      <c r="D56" s="96"/>
      <c r="E56" s="96"/>
      <c r="F56" s="96"/>
      <c r="G56" s="96"/>
      <c r="H56" s="96"/>
      <c r="I56" s="96"/>
      <c r="J56" s="96"/>
      <c r="K56" s="96"/>
      <c r="L56" s="96"/>
      <c r="M56" s="96"/>
      <c r="N56" s="96"/>
      <c r="O56" s="96"/>
      <c r="P56" s="96"/>
      <c r="Q56" s="96"/>
      <c r="R56" s="96"/>
      <c r="S56" s="96"/>
    </row>
    <row r="57" spans="1:19" ht="18" customHeight="1" x14ac:dyDescent="0.2">
      <c r="B57" s="90" t="s">
        <v>53</v>
      </c>
      <c r="C57" s="91"/>
      <c r="D57" s="91"/>
      <c r="E57" s="92"/>
      <c r="F57" s="58" t="s">
        <v>80</v>
      </c>
      <c r="G57" s="57" t="s">
        <v>84</v>
      </c>
      <c r="H57" s="22" t="s">
        <v>58</v>
      </c>
      <c r="I57" s="22" t="s">
        <v>60</v>
      </c>
      <c r="J57" s="90" t="s">
        <v>53</v>
      </c>
      <c r="K57" s="91"/>
      <c r="L57" s="91"/>
      <c r="M57" s="91"/>
      <c r="N57" s="91"/>
      <c r="O57" s="92"/>
      <c r="P57" s="58" t="s">
        <v>80</v>
      </c>
      <c r="Q57" s="57" t="s">
        <v>84</v>
      </c>
      <c r="R57" s="22" t="s">
        <v>58</v>
      </c>
      <c r="S57" s="22" t="s">
        <v>60</v>
      </c>
    </row>
    <row r="58" spans="1:19" ht="18" customHeight="1" x14ac:dyDescent="0.2">
      <c r="A58" s="3"/>
      <c r="B58" s="84" t="s">
        <v>130</v>
      </c>
      <c r="C58" s="85"/>
      <c r="D58" s="85"/>
      <c r="E58" s="86"/>
      <c r="F58" s="23">
        <v>1</v>
      </c>
      <c r="G58" s="23" t="s">
        <v>129</v>
      </c>
      <c r="H58" s="23" t="s">
        <v>129</v>
      </c>
      <c r="I58" s="23" t="s">
        <v>129</v>
      </c>
      <c r="J58" s="84"/>
      <c r="K58" s="85"/>
      <c r="L58" s="85"/>
      <c r="M58" s="85"/>
      <c r="N58" s="85"/>
      <c r="O58" s="86"/>
      <c r="P58" s="23"/>
      <c r="Q58" s="23"/>
      <c r="R58" s="23"/>
      <c r="S58" s="23"/>
    </row>
    <row r="59" spans="1:19" ht="18" customHeight="1" x14ac:dyDescent="0.2">
      <c r="A59" s="3"/>
      <c r="B59" s="87"/>
      <c r="C59" s="88"/>
      <c r="D59" s="88"/>
      <c r="E59" s="89"/>
      <c r="F59" s="24"/>
      <c r="G59" s="24"/>
      <c r="H59" s="24"/>
      <c r="I59" s="24"/>
      <c r="J59" s="87"/>
      <c r="K59" s="88"/>
      <c r="L59" s="88"/>
      <c r="M59" s="88"/>
      <c r="N59" s="88"/>
      <c r="O59" s="89"/>
      <c r="P59" s="24"/>
      <c r="Q59" s="24"/>
      <c r="R59" s="24"/>
      <c r="S59" s="24"/>
    </row>
    <row r="60" spans="1:19" ht="18" customHeight="1" x14ac:dyDescent="0.2">
      <c r="A60" s="3"/>
      <c r="B60" s="87"/>
      <c r="C60" s="88"/>
      <c r="D60" s="88"/>
      <c r="E60" s="89"/>
      <c r="F60" s="24"/>
      <c r="G60" s="24"/>
      <c r="H60" s="24"/>
      <c r="I60" s="24"/>
      <c r="J60" s="87"/>
      <c r="K60" s="88"/>
      <c r="L60" s="88"/>
      <c r="M60" s="88"/>
      <c r="N60" s="88"/>
      <c r="O60" s="89"/>
      <c r="P60" s="24"/>
      <c r="Q60" s="24"/>
      <c r="R60" s="24"/>
      <c r="S60" s="24"/>
    </row>
    <row r="61" spans="1:19" ht="18" customHeight="1" x14ac:dyDescent="0.2">
      <c r="A61" s="3"/>
      <c r="B61" s="87"/>
      <c r="C61" s="88"/>
      <c r="D61" s="88"/>
      <c r="E61" s="89"/>
      <c r="F61" s="24"/>
      <c r="G61" s="24"/>
      <c r="H61" s="24"/>
      <c r="I61" s="24"/>
      <c r="J61" s="87"/>
      <c r="K61" s="88"/>
      <c r="L61" s="88"/>
      <c r="M61" s="88"/>
      <c r="N61" s="88"/>
      <c r="O61" s="89"/>
      <c r="P61" s="24"/>
      <c r="Q61" s="24"/>
      <c r="R61" s="24"/>
      <c r="S61" s="24"/>
    </row>
    <row r="62" spans="1:19" ht="18" customHeight="1" x14ac:dyDescent="0.2">
      <c r="A62" s="3"/>
      <c r="B62" s="87"/>
      <c r="C62" s="88"/>
      <c r="D62" s="88"/>
      <c r="E62" s="89"/>
      <c r="F62" s="24"/>
      <c r="G62" s="24"/>
      <c r="H62" s="24"/>
      <c r="I62" s="24"/>
      <c r="J62" s="87"/>
      <c r="K62" s="88"/>
      <c r="L62" s="88"/>
      <c r="M62" s="88"/>
      <c r="N62" s="88"/>
      <c r="O62" s="89"/>
      <c r="P62" s="24"/>
      <c r="Q62" s="24"/>
      <c r="R62" s="24"/>
      <c r="S62" s="24"/>
    </row>
    <row r="63" spans="1:19" ht="18" customHeight="1" x14ac:dyDescent="0.2">
      <c r="A63" s="3"/>
      <c r="B63" s="87"/>
      <c r="C63" s="88"/>
      <c r="D63" s="88"/>
      <c r="E63" s="89"/>
      <c r="F63" s="24"/>
      <c r="G63" s="24"/>
      <c r="H63" s="24"/>
      <c r="I63" s="24"/>
      <c r="J63" s="87"/>
      <c r="K63" s="88"/>
      <c r="L63" s="88"/>
      <c r="M63" s="88"/>
      <c r="N63" s="88"/>
      <c r="O63" s="89"/>
      <c r="P63" s="24"/>
      <c r="Q63" s="24"/>
      <c r="R63" s="24"/>
      <c r="S63" s="24"/>
    </row>
    <row r="64" spans="1:19" ht="18" customHeight="1" x14ac:dyDescent="0.2">
      <c r="A64" s="3"/>
      <c r="B64" s="93"/>
      <c r="C64" s="94"/>
      <c r="D64" s="94"/>
      <c r="E64" s="95"/>
      <c r="F64" s="25"/>
      <c r="G64" s="25"/>
      <c r="H64" s="26"/>
      <c r="I64" s="26"/>
      <c r="J64" s="93"/>
      <c r="K64" s="94"/>
      <c r="L64" s="94"/>
      <c r="M64" s="94"/>
      <c r="N64" s="94"/>
      <c r="O64" s="95"/>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96" t="s">
        <v>117</v>
      </c>
      <c r="B66" s="96"/>
      <c r="C66" s="96"/>
      <c r="D66" s="96"/>
      <c r="E66" s="96"/>
      <c r="F66" s="96"/>
      <c r="G66" s="96"/>
      <c r="H66" s="96"/>
      <c r="I66" s="96"/>
      <c r="J66" s="96"/>
      <c r="K66" s="96"/>
      <c r="L66" s="96"/>
      <c r="M66" s="96"/>
      <c r="N66" s="96"/>
      <c r="O66" s="96"/>
      <c r="P66" s="96"/>
      <c r="Q66" s="96"/>
      <c r="R66" s="96"/>
      <c r="S66" s="96"/>
    </row>
    <row r="67" spans="1:19" ht="18" customHeight="1" x14ac:dyDescent="0.2">
      <c r="A67" s="96"/>
      <c r="B67" s="96"/>
      <c r="C67" s="96"/>
      <c r="D67" s="96"/>
      <c r="E67" s="96"/>
      <c r="F67" s="96"/>
      <c r="G67" s="96"/>
      <c r="H67" s="96"/>
      <c r="I67" s="96"/>
      <c r="J67" s="96"/>
      <c r="K67" s="96"/>
      <c r="L67" s="96"/>
      <c r="M67" s="96"/>
      <c r="N67" s="96"/>
      <c r="O67" s="96"/>
      <c r="P67" s="96"/>
      <c r="Q67" s="96"/>
      <c r="R67" s="96"/>
      <c r="S67" s="96"/>
    </row>
    <row r="68" spans="1:19" ht="18" customHeight="1" x14ac:dyDescent="0.2">
      <c r="B68" s="90" t="s">
        <v>53</v>
      </c>
      <c r="C68" s="91"/>
      <c r="D68" s="91"/>
      <c r="E68" s="58" t="s">
        <v>80</v>
      </c>
      <c r="F68" s="57" t="s">
        <v>84</v>
      </c>
      <c r="G68" s="22" t="s">
        <v>101</v>
      </c>
      <c r="H68" s="22" t="s">
        <v>75</v>
      </c>
      <c r="I68" s="22" t="s">
        <v>76</v>
      </c>
      <c r="J68" s="90" t="s">
        <v>53</v>
      </c>
      <c r="K68" s="91"/>
      <c r="L68" s="91"/>
      <c r="M68" s="91"/>
      <c r="N68" s="92"/>
      <c r="O68" s="58" t="s">
        <v>80</v>
      </c>
      <c r="P68" s="57" t="s">
        <v>84</v>
      </c>
      <c r="Q68" s="22" t="s">
        <v>101</v>
      </c>
      <c r="R68" s="22" t="s">
        <v>75</v>
      </c>
      <c r="S68" s="22" t="s">
        <v>76</v>
      </c>
    </row>
    <row r="69" spans="1:19" ht="18" customHeight="1" x14ac:dyDescent="0.2">
      <c r="A69" s="3"/>
      <c r="B69" s="84" t="s">
        <v>131</v>
      </c>
      <c r="C69" s="85"/>
      <c r="D69" s="85"/>
      <c r="E69" s="23">
        <v>1</v>
      </c>
      <c r="F69" s="23"/>
      <c r="G69" s="23" t="s">
        <v>129</v>
      </c>
      <c r="H69" s="23" t="s">
        <v>129</v>
      </c>
      <c r="I69" s="23" t="s">
        <v>129</v>
      </c>
      <c r="J69" s="84"/>
      <c r="K69" s="85"/>
      <c r="L69" s="85"/>
      <c r="M69" s="85"/>
      <c r="N69" s="86"/>
      <c r="O69" s="23"/>
      <c r="P69" s="23"/>
      <c r="Q69" s="23"/>
      <c r="R69" s="23"/>
      <c r="S69" s="23"/>
    </row>
    <row r="70" spans="1:19" ht="18" customHeight="1" x14ac:dyDescent="0.2">
      <c r="A70" s="3"/>
      <c r="B70" s="87" t="s">
        <v>132</v>
      </c>
      <c r="C70" s="88"/>
      <c r="D70" s="88"/>
      <c r="E70" s="24">
        <v>1</v>
      </c>
      <c r="F70" s="24"/>
      <c r="G70" s="24" t="s">
        <v>129</v>
      </c>
      <c r="H70" s="24" t="s">
        <v>129</v>
      </c>
      <c r="I70" s="24" t="s">
        <v>129</v>
      </c>
      <c r="J70" s="87"/>
      <c r="K70" s="88"/>
      <c r="L70" s="88"/>
      <c r="M70" s="88"/>
      <c r="N70" s="89"/>
      <c r="O70" s="24"/>
      <c r="P70" s="24"/>
      <c r="Q70" s="24"/>
      <c r="R70" s="24"/>
      <c r="S70" s="24"/>
    </row>
    <row r="71" spans="1:19" ht="18" customHeight="1" x14ac:dyDescent="0.2">
      <c r="A71" s="3"/>
      <c r="B71" s="87"/>
      <c r="C71" s="88"/>
      <c r="D71" s="88"/>
      <c r="E71" s="24"/>
      <c r="F71" s="24"/>
      <c r="G71" s="24"/>
      <c r="H71" s="24"/>
      <c r="I71" s="24"/>
      <c r="J71" s="87"/>
      <c r="K71" s="88"/>
      <c r="L71" s="88"/>
      <c r="M71" s="88"/>
      <c r="N71" s="89"/>
      <c r="O71" s="24"/>
      <c r="P71" s="24"/>
      <c r="Q71" s="24"/>
      <c r="R71" s="24"/>
      <c r="S71" s="24"/>
    </row>
    <row r="72" spans="1:19" ht="18" customHeight="1" x14ac:dyDescent="0.2">
      <c r="A72" s="3"/>
      <c r="B72" s="87"/>
      <c r="C72" s="88"/>
      <c r="D72" s="88"/>
      <c r="E72" s="24"/>
      <c r="F72" s="24"/>
      <c r="G72" s="24"/>
      <c r="H72" s="24"/>
      <c r="I72" s="24"/>
      <c r="J72" s="87"/>
      <c r="K72" s="88"/>
      <c r="L72" s="88"/>
      <c r="M72" s="88"/>
      <c r="N72" s="89"/>
      <c r="O72" s="24"/>
      <c r="P72" s="24"/>
      <c r="Q72" s="24"/>
      <c r="R72" s="24"/>
      <c r="S72" s="24"/>
    </row>
    <row r="73" spans="1:19" ht="18" customHeight="1" x14ac:dyDescent="0.2">
      <c r="A73" s="3"/>
      <c r="B73" s="87"/>
      <c r="C73" s="88"/>
      <c r="D73" s="88"/>
      <c r="E73" s="24"/>
      <c r="F73" s="24"/>
      <c r="G73" s="24"/>
      <c r="H73" s="24"/>
      <c r="I73" s="24"/>
      <c r="J73" s="87"/>
      <c r="K73" s="88"/>
      <c r="L73" s="88"/>
      <c r="M73" s="88"/>
      <c r="N73" s="89"/>
      <c r="O73" s="24"/>
      <c r="P73" s="24"/>
      <c r="Q73" s="24"/>
      <c r="R73" s="24"/>
      <c r="S73" s="24"/>
    </row>
    <row r="74" spans="1:19" ht="18" customHeight="1" x14ac:dyDescent="0.2">
      <c r="A74" s="3"/>
      <c r="B74" s="87"/>
      <c r="C74" s="88"/>
      <c r="D74" s="88"/>
      <c r="E74" s="24"/>
      <c r="F74" s="24"/>
      <c r="G74" s="24"/>
      <c r="H74" s="24"/>
      <c r="I74" s="24"/>
      <c r="J74" s="87"/>
      <c r="K74" s="88"/>
      <c r="L74" s="88"/>
      <c r="M74" s="88"/>
      <c r="N74" s="89"/>
      <c r="O74" s="24"/>
      <c r="P74" s="24"/>
      <c r="Q74" s="24"/>
      <c r="R74" s="24"/>
      <c r="S74" s="24"/>
    </row>
    <row r="75" spans="1:19" ht="18" customHeight="1" x14ac:dyDescent="0.2">
      <c r="A75" s="3"/>
      <c r="B75" s="93"/>
      <c r="C75" s="94"/>
      <c r="D75" s="94"/>
      <c r="E75" s="25"/>
      <c r="F75" s="25"/>
      <c r="G75" s="26"/>
      <c r="H75" s="26"/>
      <c r="I75" s="26"/>
      <c r="J75" s="93"/>
      <c r="K75" s="94"/>
      <c r="L75" s="94"/>
      <c r="M75" s="94"/>
      <c r="N75" s="95"/>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118</v>
      </c>
      <c r="H77" s="3"/>
      <c r="I77" s="3"/>
      <c r="J77" s="3"/>
      <c r="K77" s="3"/>
      <c r="L77" s="3"/>
      <c r="M77" s="3"/>
      <c r="N77" s="3"/>
      <c r="O77" s="3"/>
      <c r="P77" s="3"/>
      <c r="Q77" s="3"/>
      <c r="R77" s="3"/>
      <c r="S77" s="3"/>
    </row>
    <row r="78" spans="1:19" ht="18" customHeight="1" x14ac:dyDescent="0.2">
      <c r="B78" s="90" t="s">
        <v>53</v>
      </c>
      <c r="C78" s="91"/>
      <c r="D78" s="91"/>
      <c r="E78" s="92"/>
      <c r="F78" s="90" t="s">
        <v>82</v>
      </c>
      <c r="G78" s="91"/>
      <c r="H78" s="91"/>
      <c r="I78" s="92"/>
      <c r="J78" s="114" t="s">
        <v>53</v>
      </c>
      <c r="K78" s="115"/>
      <c r="L78" s="115"/>
      <c r="M78" s="115"/>
      <c r="N78" s="115"/>
      <c r="O78" s="116"/>
      <c r="P78" s="90" t="s">
        <v>82</v>
      </c>
      <c r="Q78" s="91"/>
      <c r="R78" s="91"/>
      <c r="S78" s="92"/>
    </row>
    <row r="79" spans="1:19" ht="18" customHeight="1" x14ac:dyDescent="0.2">
      <c r="A79" s="3"/>
      <c r="B79" s="84" t="s">
        <v>128</v>
      </c>
      <c r="C79" s="85"/>
      <c r="D79" s="85"/>
      <c r="E79" s="86"/>
      <c r="F79" s="108" t="s">
        <v>133</v>
      </c>
      <c r="G79" s="109"/>
      <c r="H79" s="109"/>
      <c r="I79" s="110"/>
      <c r="J79" s="84"/>
      <c r="K79" s="85"/>
      <c r="L79" s="85"/>
      <c r="M79" s="85"/>
      <c r="N79" s="85"/>
      <c r="O79" s="86"/>
      <c r="P79" s="108"/>
      <c r="Q79" s="109"/>
      <c r="R79" s="109"/>
      <c r="S79" s="110"/>
    </row>
    <row r="80" spans="1:19" ht="18" customHeight="1" x14ac:dyDescent="0.2">
      <c r="A80" s="3"/>
      <c r="B80" s="87"/>
      <c r="C80" s="88"/>
      <c r="D80" s="88"/>
      <c r="E80" s="89"/>
      <c r="F80" s="111"/>
      <c r="G80" s="112"/>
      <c r="H80" s="112"/>
      <c r="I80" s="113"/>
      <c r="J80" s="87"/>
      <c r="K80" s="88"/>
      <c r="L80" s="88"/>
      <c r="M80" s="88"/>
      <c r="N80" s="88"/>
      <c r="O80" s="89"/>
      <c r="P80" s="111"/>
      <c r="Q80" s="112"/>
      <c r="R80" s="112"/>
      <c r="S80" s="113"/>
    </row>
    <row r="81" spans="1:19" ht="18" customHeight="1" x14ac:dyDescent="0.2">
      <c r="A81" s="3"/>
      <c r="B81" s="87"/>
      <c r="C81" s="88"/>
      <c r="D81" s="88"/>
      <c r="E81" s="89"/>
      <c r="F81" s="111"/>
      <c r="G81" s="112"/>
      <c r="H81" s="112"/>
      <c r="I81" s="113"/>
      <c r="J81" s="87"/>
      <c r="K81" s="88"/>
      <c r="L81" s="88"/>
      <c r="M81" s="88"/>
      <c r="N81" s="88"/>
      <c r="O81" s="89"/>
      <c r="P81" s="111"/>
      <c r="Q81" s="112"/>
      <c r="R81" s="112"/>
      <c r="S81" s="113"/>
    </row>
    <row r="82" spans="1:19" ht="18" customHeight="1" x14ac:dyDescent="0.2">
      <c r="A82" s="3"/>
      <c r="B82" s="87"/>
      <c r="C82" s="88"/>
      <c r="D82" s="88"/>
      <c r="E82" s="89"/>
      <c r="F82" s="111"/>
      <c r="G82" s="112"/>
      <c r="H82" s="112"/>
      <c r="I82" s="113"/>
      <c r="J82" s="87"/>
      <c r="K82" s="88"/>
      <c r="L82" s="88"/>
      <c r="M82" s="88"/>
      <c r="N82" s="88"/>
      <c r="O82" s="89"/>
      <c r="P82" s="111"/>
      <c r="Q82" s="112"/>
      <c r="R82" s="112"/>
      <c r="S82" s="113"/>
    </row>
    <row r="83" spans="1:19" ht="18" customHeight="1" x14ac:dyDescent="0.2">
      <c r="A83" s="3"/>
      <c r="B83" s="87"/>
      <c r="C83" s="88"/>
      <c r="D83" s="88"/>
      <c r="E83" s="89"/>
      <c r="F83" s="111"/>
      <c r="G83" s="112"/>
      <c r="H83" s="112"/>
      <c r="I83" s="113"/>
      <c r="J83" s="87"/>
      <c r="K83" s="88"/>
      <c r="L83" s="88"/>
      <c r="M83" s="88"/>
      <c r="N83" s="88"/>
      <c r="O83" s="89"/>
      <c r="P83" s="111"/>
      <c r="Q83" s="112"/>
      <c r="R83" s="112"/>
      <c r="S83" s="113"/>
    </row>
    <row r="84" spans="1:19" ht="18" customHeight="1" x14ac:dyDescent="0.2">
      <c r="A84" s="3"/>
      <c r="B84" s="87"/>
      <c r="C84" s="88"/>
      <c r="D84" s="88"/>
      <c r="E84" s="89"/>
      <c r="F84" s="111"/>
      <c r="G84" s="112"/>
      <c r="H84" s="112"/>
      <c r="I84" s="113"/>
      <c r="J84" s="87"/>
      <c r="K84" s="88"/>
      <c r="L84" s="88"/>
      <c r="M84" s="88"/>
      <c r="N84" s="88"/>
      <c r="O84" s="89"/>
      <c r="P84" s="111"/>
      <c r="Q84" s="112"/>
      <c r="R84" s="112"/>
      <c r="S84" s="113"/>
    </row>
    <row r="85" spans="1:19" ht="18" customHeight="1" x14ac:dyDescent="0.2">
      <c r="A85" s="3"/>
      <c r="B85" s="93"/>
      <c r="C85" s="94"/>
      <c r="D85" s="94"/>
      <c r="E85" s="95"/>
      <c r="F85" s="120"/>
      <c r="G85" s="121"/>
      <c r="H85" s="121"/>
      <c r="I85" s="122"/>
      <c r="J85" s="93"/>
      <c r="K85" s="94"/>
      <c r="L85" s="94"/>
      <c r="M85" s="94"/>
      <c r="N85" s="94"/>
      <c r="O85" s="95"/>
      <c r="P85" s="120"/>
      <c r="Q85" s="121"/>
      <c r="R85" s="121"/>
      <c r="S85" s="122"/>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161</v>
      </c>
    </row>
    <row r="88" spans="1:19" ht="18.75" customHeight="1" x14ac:dyDescent="0.2">
      <c r="B88" s="106" t="s">
        <v>54</v>
      </c>
      <c r="C88" s="107"/>
      <c r="D88" s="91" t="s">
        <v>55</v>
      </c>
      <c r="E88" s="91"/>
      <c r="F88" s="91"/>
      <c r="G88" s="91"/>
      <c r="H88" s="91"/>
      <c r="I88" s="91"/>
      <c r="J88" s="91"/>
      <c r="K88" s="91"/>
      <c r="L88" s="91"/>
      <c r="M88" s="91"/>
      <c r="N88" s="91"/>
      <c r="O88" s="91"/>
      <c r="P88" s="91"/>
      <c r="Q88" s="91"/>
      <c r="R88" s="91"/>
      <c r="S88" s="92"/>
    </row>
    <row r="89" spans="1:19" ht="97.5" customHeight="1" x14ac:dyDescent="0.2">
      <c r="B89" s="97" t="s">
        <v>61</v>
      </c>
      <c r="C89" s="28" t="s">
        <v>56</v>
      </c>
      <c r="D89" s="100" t="s">
        <v>153</v>
      </c>
      <c r="E89" s="101"/>
      <c r="F89" s="101"/>
      <c r="G89" s="101"/>
      <c r="H89" s="101"/>
      <c r="I89" s="101"/>
      <c r="J89" s="101"/>
      <c r="K89" s="101"/>
      <c r="L89" s="101"/>
      <c r="M89" s="101"/>
      <c r="N89" s="101"/>
      <c r="O89" s="101"/>
      <c r="P89" s="101"/>
      <c r="Q89" s="101"/>
      <c r="R89" s="101"/>
      <c r="S89" s="102"/>
    </row>
    <row r="90" spans="1:19" ht="97.5" customHeight="1" x14ac:dyDescent="0.2">
      <c r="B90" s="98"/>
      <c r="C90" s="29" t="s">
        <v>77</v>
      </c>
      <c r="D90" s="123" t="s">
        <v>154</v>
      </c>
      <c r="E90" s="124"/>
      <c r="F90" s="124"/>
      <c r="G90" s="124"/>
      <c r="H90" s="124"/>
      <c r="I90" s="124"/>
      <c r="J90" s="124"/>
      <c r="K90" s="124"/>
      <c r="L90" s="124"/>
      <c r="M90" s="124"/>
      <c r="N90" s="124"/>
      <c r="O90" s="124"/>
      <c r="P90" s="124"/>
      <c r="Q90" s="124"/>
      <c r="R90" s="124"/>
      <c r="S90" s="125"/>
    </row>
    <row r="91" spans="1:19" ht="89" customHeight="1" x14ac:dyDescent="0.2">
      <c r="B91" s="97" t="s">
        <v>62</v>
      </c>
      <c r="C91" s="30" t="s">
        <v>71</v>
      </c>
      <c r="D91" s="126" t="s">
        <v>178</v>
      </c>
      <c r="E91" s="127"/>
      <c r="F91" s="127"/>
      <c r="G91" s="127"/>
      <c r="H91" s="127"/>
      <c r="I91" s="127"/>
      <c r="J91" s="127"/>
      <c r="K91" s="127"/>
      <c r="L91" s="127"/>
      <c r="M91" s="127"/>
      <c r="N91" s="127"/>
      <c r="O91" s="127"/>
      <c r="P91" s="127"/>
      <c r="Q91" s="127"/>
      <c r="R91" s="127"/>
      <c r="S91" s="128"/>
    </row>
    <row r="92" spans="1:19" ht="97.5" customHeight="1" x14ac:dyDescent="0.2">
      <c r="B92" s="99"/>
      <c r="C92" s="31" t="s">
        <v>72</v>
      </c>
      <c r="D92" s="132" t="s">
        <v>155</v>
      </c>
      <c r="E92" s="133"/>
      <c r="F92" s="133"/>
      <c r="G92" s="133"/>
      <c r="H92" s="133"/>
      <c r="I92" s="133"/>
      <c r="J92" s="133"/>
      <c r="K92" s="133"/>
      <c r="L92" s="133"/>
      <c r="M92" s="133"/>
      <c r="N92" s="133"/>
      <c r="O92" s="133"/>
      <c r="P92" s="133"/>
      <c r="Q92" s="133"/>
      <c r="R92" s="133"/>
      <c r="S92" s="134"/>
    </row>
    <row r="93" spans="1:19" ht="97.5" customHeight="1" x14ac:dyDescent="0.2">
      <c r="B93" s="97" t="s">
        <v>63</v>
      </c>
      <c r="C93" s="30" t="s">
        <v>73</v>
      </c>
      <c r="D93" s="126" t="s">
        <v>156</v>
      </c>
      <c r="E93" s="127"/>
      <c r="F93" s="127"/>
      <c r="G93" s="127"/>
      <c r="H93" s="127"/>
      <c r="I93" s="127"/>
      <c r="J93" s="127"/>
      <c r="K93" s="127"/>
      <c r="L93" s="127"/>
      <c r="M93" s="127"/>
      <c r="N93" s="127"/>
      <c r="O93" s="127"/>
      <c r="P93" s="127"/>
      <c r="Q93" s="127"/>
      <c r="R93" s="127"/>
      <c r="S93" s="128"/>
    </row>
    <row r="94" spans="1:19" ht="97.5" customHeight="1" x14ac:dyDescent="0.2">
      <c r="B94" s="99"/>
      <c r="C94" s="32" t="s">
        <v>74</v>
      </c>
      <c r="D94" s="129" t="s">
        <v>157</v>
      </c>
      <c r="E94" s="130"/>
      <c r="F94" s="130"/>
      <c r="G94" s="130"/>
      <c r="H94" s="130"/>
      <c r="I94" s="130"/>
      <c r="J94" s="130"/>
      <c r="K94" s="130"/>
      <c r="L94" s="130"/>
      <c r="M94" s="130"/>
      <c r="N94" s="130"/>
      <c r="O94" s="130"/>
      <c r="P94" s="130"/>
      <c r="Q94" s="130"/>
      <c r="R94" s="130"/>
      <c r="S94" s="131"/>
    </row>
    <row r="95" spans="1:19" ht="112.5" customHeight="1" x14ac:dyDescent="0.2">
      <c r="B95" s="97" t="s">
        <v>78</v>
      </c>
      <c r="C95" s="28" t="s">
        <v>58</v>
      </c>
      <c r="D95" s="100" t="s">
        <v>158</v>
      </c>
      <c r="E95" s="101"/>
      <c r="F95" s="101"/>
      <c r="G95" s="101"/>
      <c r="H95" s="101"/>
      <c r="I95" s="101"/>
      <c r="J95" s="101"/>
      <c r="K95" s="101"/>
      <c r="L95" s="101"/>
      <c r="M95" s="101"/>
      <c r="N95" s="101"/>
      <c r="O95" s="101"/>
      <c r="P95" s="101"/>
      <c r="Q95" s="101"/>
      <c r="R95" s="101"/>
      <c r="S95" s="102"/>
    </row>
    <row r="96" spans="1:19" ht="97.5" customHeight="1" x14ac:dyDescent="0.2">
      <c r="B96" s="99"/>
      <c r="C96" s="31" t="s">
        <v>60</v>
      </c>
      <c r="D96" s="132" t="s">
        <v>159</v>
      </c>
      <c r="E96" s="133"/>
      <c r="F96" s="133"/>
      <c r="G96" s="133"/>
      <c r="H96" s="133"/>
      <c r="I96" s="133"/>
      <c r="J96" s="133"/>
      <c r="K96" s="133"/>
      <c r="L96" s="133"/>
      <c r="M96" s="133"/>
      <c r="N96" s="133"/>
      <c r="O96" s="133"/>
      <c r="P96" s="133"/>
      <c r="Q96" s="133"/>
      <c r="R96" s="133"/>
      <c r="S96" s="134"/>
    </row>
    <row r="97" spans="1:19" ht="210" customHeight="1" x14ac:dyDescent="0.2">
      <c r="B97" s="97" t="s">
        <v>79</v>
      </c>
      <c r="C97" s="30" t="s">
        <v>57</v>
      </c>
      <c r="D97" s="100" t="s">
        <v>171</v>
      </c>
      <c r="E97" s="101"/>
      <c r="F97" s="101"/>
      <c r="G97" s="101"/>
      <c r="H97" s="101"/>
      <c r="I97" s="101"/>
      <c r="J97" s="101"/>
      <c r="K97" s="101"/>
      <c r="L97" s="101"/>
      <c r="M97" s="101"/>
      <c r="N97" s="101"/>
      <c r="O97" s="101"/>
      <c r="P97" s="101"/>
      <c r="Q97" s="101"/>
      <c r="R97" s="101"/>
      <c r="S97" s="102"/>
    </row>
    <row r="98" spans="1:19" ht="97.5" customHeight="1" x14ac:dyDescent="0.2">
      <c r="B98" s="98"/>
      <c r="C98" s="82" t="s">
        <v>75</v>
      </c>
      <c r="D98" s="132" t="s">
        <v>172</v>
      </c>
      <c r="E98" s="133"/>
      <c r="F98" s="133"/>
      <c r="G98" s="133"/>
      <c r="H98" s="133"/>
      <c r="I98" s="133"/>
      <c r="J98" s="133"/>
      <c r="K98" s="133"/>
      <c r="L98" s="133"/>
      <c r="M98" s="133"/>
      <c r="N98" s="133"/>
      <c r="O98" s="133"/>
      <c r="P98" s="133"/>
      <c r="Q98" s="133"/>
      <c r="R98" s="133"/>
      <c r="S98" s="134"/>
    </row>
    <row r="99" spans="1:19" ht="109" customHeight="1" x14ac:dyDescent="0.2">
      <c r="B99" s="99"/>
      <c r="C99" s="32" t="s">
        <v>76</v>
      </c>
      <c r="D99" s="103" t="s">
        <v>160</v>
      </c>
      <c r="E99" s="104"/>
      <c r="F99" s="104"/>
      <c r="G99" s="104"/>
      <c r="H99" s="104"/>
      <c r="I99" s="104"/>
      <c r="J99" s="104"/>
      <c r="K99" s="104"/>
      <c r="L99" s="104"/>
      <c r="M99" s="104"/>
      <c r="N99" s="104"/>
      <c r="O99" s="104"/>
      <c r="P99" s="104"/>
      <c r="Q99" s="104"/>
      <c r="R99" s="104"/>
      <c r="S99" s="105"/>
    </row>
    <row r="100" spans="1:19" ht="6" customHeight="1" x14ac:dyDescent="0.2"/>
    <row r="101" spans="1:19" ht="18.75" customHeight="1" x14ac:dyDescent="0.2">
      <c r="A101" s="1" t="s">
        <v>119</v>
      </c>
    </row>
    <row r="102" spans="1:19" ht="81.75" customHeight="1" x14ac:dyDescent="0.2">
      <c r="B102" s="117" t="s">
        <v>143</v>
      </c>
      <c r="C102" s="118"/>
      <c r="D102" s="118"/>
      <c r="E102" s="118"/>
      <c r="F102" s="118"/>
      <c r="G102" s="118"/>
      <c r="H102" s="118"/>
      <c r="I102" s="118"/>
      <c r="J102" s="118"/>
      <c r="K102" s="118"/>
      <c r="L102" s="118"/>
      <c r="M102" s="118"/>
      <c r="N102" s="118"/>
      <c r="O102" s="118"/>
      <c r="P102" s="118"/>
      <c r="Q102" s="118"/>
      <c r="R102" s="118"/>
      <c r="S102" s="119"/>
    </row>
    <row r="110" spans="1:19" ht="18" customHeight="1" x14ac:dyDescent="0.2"/>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P69:S75 Q36:S42 G47:I53 Q47:S53 G58:I64 Q58:S64 F69:I75 G36:I42"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AS32"/>
  <sheetViews>
    <sheetView view="pageBreakPreview" zoomScale="75" zoomScaleNormal="75" zoomScaleSheetLayoutView="75" workbookViewId="0"/>
  </sheetViews>
  <sheetFormatPr defaultColWidth="9" defaultRowHeight="18.75" customHeight="1" x14ac:dyDescent="0.2"/>
  <cols>
    <col min="1" max="1" width="2.81640625" style="1" customWidth="1"/>
    <col min="2" max="2" width="20.81640625" style="1" customWidth="1"/>
    <col min="3" max="5" width="6.08984375" style="1" customWidth="1"/>
    <col min="6" max="42" width="4.90625" style="1" customWidth="1"/>
    <col min="43" max="43" width="6.6328125" style="1" customWidth="1"/>
    <col min="44" max="16384" width="9" style="1"/>
  </cols>
  <sheetData>
    <row r="1" spans="1:45" ht="18" customHeight="1" x14ac:dyDescent="0.2">
      <c r="AQ1" s="1" t="s">
        <v>106</v>
      </c>
    </row>
    <row r="2" spans="1:45" ht="18" customHeight="1" x14ac:dyDescent="0.2">
      <c r="K2" s="34"/>
      <c r="Q2" s="34"/>
      <c r="W2" s="34"/>
      <c r="AC2" s="34"/>
      <c r="AI2" s="34"/>
      <c r="AL2" s="34" t="s">
        <v>108</v>
      </c>
      <c r="AM2" s="164" t="str">
        <f>'様式１　プログラムを構成する授業科目'!C2</f>
        <v>福井県立大学</v>
      </c>
      <c r="AN2" s="164"/>
      <c r="AO2" s="164"/>
      <c r="AP2" s="164"/>
      <c r="AQ2" s="164"/>
    </row>
    <row r="3" spans="1:45" ht="18" customHeight="1" x14ac:dyDescent="0.2">
      <c r="A3" s="142" t="s">
        <v>47</v>
      </c>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83</v>
      </c>
      <c r="C5" s="165" t="s">
        <v>134</v>
      </c>
      <c r="D5" s="166"/>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67" t="s">
        <v>44</v>
      </c>
      <c r="C9" s="182" t="s">
        <v>86</v>
      </c>
      <c r="D9" s="170" t="s">
        <v>46</v>
      </c>
      <c r="E9" s="173" t="s">
        <v>39</v>
      </c>
      <c r="F9" s="161" t="s">
        <v>85</v>
      </c>
      <c r="G9" s="161"/>
      <c r="H9" s="161"/>
      <c r="I9" s="161"/>
      <c r="J9" s="161"/>
      <c r="K9" s="161"/>
      <c r="L9" s="161" t="s">
        <v>48</v>
      </c>
      <c r="M9" s="161"/>
      <c r="N9" s="161"/>
      <c r="O9" s="161"/>
      <c r="P9" s="161"/>
      <c r="Q9" s="161"/>
      <c r="R9" s="161" t="s">
        <v>49</v>
      </c>
      <c r="S9" s="161"/>
      <c r="T9" s="161"/>
      <c r="U9" s="161"/>
      <c r="V9" s="161"/>
      <c r="W9" s="161"/>
      <c r="X9" s="161" t="s">
        <v>100</v>
      </c>
      <c r="Y9" s="161"/>
      <c r="Z9" s="161"/>
      <c r="AA9" s="161"/>
      <c r="AB9" s="161"/>
      <c r="AC9" s="161"/>
      <c r="AD9" s="161" t="s">
        <v>50</v>
      </c>
      <c r="AE9" s="161"/>
      <c r="AF9" s="161"/>
      <c r="AG9" s="161"/>
      <c r="AH9" s="161"/>
      <c r="AI9" s="161"/>
      <c r="AJ9" s="161" t="s">
        <v>51</v>
      </c>
      <c r="AK9" s="161"/>
      <c r="AL9" s="161"/>
      <c r="AM9" s="161"/>
      <c r="AN9" s="161"/>
      <c r="AO9" s="161"/>
      <c r="AP9" s="176" t="s">
        <v>34</v>
      </c>
      <c r="AQ9" s="179" t="s">
        <v>31</v>
      </c>
      <c r="AS9" s="2"/>
    </row>
    <row r="10" spans="1:45" ht="17" customHeight="1" x14ac:dyDescent="0.2">
      <c r="B10" s="168"/>
      <c r="C10" s="183"/>
      <c r="D10" s="171"/>
      <c r="E10" s="174"/>
      <c r="F10" s="162" t="s">
        <v>96</v>
      </c>
      <c r="G10" s="163"/>
      <c r="H10" s="163"/>
      <c r="I10" s="162" t="s">
        <v>28</v>
      </c>
      <c r="J10" s="163"/>
      <c r="K10" s="163"/>
      <c r="L10" s="162" t="s">
        <v>96</v>
      </c>
      <c r="M10" s="163"/>
      <c r="N10" s="163"/>
      <c r="O10" s="162" t="s">
        <v>28</v>
      </c>
      <c r="P10" s="163"/>
      <c r="Q10" s="163"/>
      <c r="R10" s="162" t="s">
        <v>96</v>
      </c>
      <c r="S10" s="163"/>
      <c r="T10" s="163"/>
      <c r="U10" s="162" t="s">
        <v>28</v>
      </c>
      <c r="V10" s="163"/>
      <c r="W10" s="163"/>
      <c r="X10" s="162" t="s">
        <v>96</v>
      </c>
      <c r="Y10" s="163"/>
      <c r="Z10" s="163"/>
      <c r="AA10" s="162" t="s">
        <v>28</v>
      </c>
      <c r="AB10" s="163"/>
      <c r="AC10" s="163"/>
      <c r="AD10" s="162" t="s">
        <v>96</v>
      </c>
      <c r="AE10" s="163"/>
      <c r="AF10" s="163"/>
      <c r="AG10" s="162" t="s">
        <v>28</v>
      </c>
      <c r="AH10" s="163"/>
      <c r="AI10" s="163"/>
      <c r="AJ10" s="162" t="s">
        <v>96</v>
      </c>
      <c r="AK10" s="163"/>
      <c r="AL10" s="163"/>
      <c r="AM10" s="162" t="s">
        <v>28</v>
      </c>
      <c r="AN10" s="163"/>
      <c r="AO10" s="163"/>
      <c r="AP10" s="177"/>
      <c r="AQ10" s="180"/>
      <c r="AS10"/>
    </row>
    <row r="11" spans="1:45" ht="18" customHeight="1" x14ac:dyDescent="0.2">
      <c r="B11" s="169"/>
      <c r="C11" s="184"/>
      <c r="D11" s="172"/>
      <c r="E11" s="175"/>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178"/>
      <c r="AQ11" s="181"/>
      <c r="AS11"/>
    </row>
    <row r="12" spans="1:45" ht="18" customHeight="1" x14ac:dyDescent="0.2">
      <c r="A12" s="6"/>
      <c r="B12" s="11" t="s">
        <v>135</v>
      </c>
      <c r="C12" s="59">
        <v>898</v>
      </c>
      <c r="D12" s="60">
        <v>200</v>
      </c>
      <c r="E12" s="61">
        <v>800</v>
      </c>
      <c r="F12" s="61">
        <f>G12+H12</f>
        <v>231</v>
      </c>
      <c r="G12" s="62">
        <v>134</v>
      </c>
      <c r="H12" s="63">
        <v>97</v>
      </c>
      <c r="I12" s="61">
        <f>J12+K12</f>
        <v>33</v>
      </c>
      <c r="J12" s="62">
        <v>16</v>
      </c>
      <c r="K12" s="63">
        <v>17</v>
      </c>
      <c r="L12" s="61">
        <f>M12+N12</f>
        <v>0</v>
      </c>
      <c r="M12" s="62"/>
      <c r="N12" s="63"/>
      <c r="O12" s="61">
        <f>P12+Q12</f>
        <v>0</v>
      </c>
      <c r="P12" s="62"/>
      <c r="Q12" s="63"/>
      <c r="R12" s="61">
        <f>S12+T12</f>
        <v>0</v>
      </c>
      <c r="S12" s="62"/>
      <c r="T12" s="63"/>
      <c r="U12" s="61">
        <f>V12+W12</f>
        <v>0</v>
      </c>
      <c r="V12" s="62"/>
      <c r="W12" s="63"/>
      <c r="X12" s="61">
        <f>Y12+Z12</f>
        <v>0</v>
      </c>
      <c r="Y12" s="62"/>
      <c r="Z12" s="63"/>
      <c r="AA12" s="61">
        <f>AB12+AC12</f>
        <v>0</v>
      </c>
      <c r="AB12" s="62"/>
      <c r="AC12" s="63"/>
      <c r="AD12" s="61">
        <f>AE12+AF12</f>
        <v>0</v>
      </c>
      <c r="AE12" s="62"/>
      <c r="AF12" s="63"/>
      <c r="AG12" s="61">
        <f>AH12+AI12</f>
        <v>0</v>
      </c>
      <c r="AH12" s="62"/>
      <c r="AI12" s="63"/>
      <c r="AJ12" s="61">
        <f>AK12+AL12</f>
        <v>0</v>
      </c>
      <c r="AK12" s="62"/>
      <c r="AL12" s="63"/>
      <c r="AM12" s="61">
        <f>AN12+AO12</f>
        <v>0</v>
      </c>
      <c r="AN12" s="62"/>
      <c r="AO12" s="63"/>
      <c r="AP12" s="60">
        <f>F12+L12+R12+X12+AD12+AJ12</f>
        <v>231</v>
      </c>
      <c r="AQ12" s="21">
        <f>AP12/E12</f>
        <v>0.28875000000000001</v>
      </c>
      <c r="AS12"/>
    </row>
    <row r="13" spans="1:45" ht="18" customHeight="1" x14ac:dyDescent="0.2">
      <c r="A13" s="6"/>
      <c r="B13" s="12" t="s">
        <v>136</v>
      </c>
      <c r="C13" s="64">
        <v>287</v>
      </c>
      <c r="D13" s="65">
        <v>75</v>
      </c>
      <c r="E13" s="66">
        <v>290</v>
      </c>
      <c r="F13" s="67">
        <f t="shared" ref="F13:F31" si="0">G13+H13</f>
        <v>76</v>
      </c>
      <c r="G13" s="68">
        <v>35</v>
      </c>
      <c r="H13" s="69">
        <v>41</v>
      </c>
      <c r="I13" s="67">
        <f t="shared" ref="I13:I31" si="1">J13+K13</f>
        <v>6</v>
      </c>
      <c r="J13" s="68">
        <v>1</v>
      </c>
      <c r="K13" s="69">
        <v>5</v>
      </c>
      <c r="L13" s="67">
        <f t="shared" ref="L13:L31" si="2">M13+N13</f>
        <v>0</v>
      </c>
      <c r="M13" s="68"/>
      <c r="N13" s="69"/>
      <c r="O13" s="67">
        <f t="shared" ref="O13:O31" si="3">P13+Q13</f>
        <v>0</v>
      </c>
      <c r="P13" s="68"/>
      <c r="Q13" s="69"/>
      <c r="R13" s="67">
        <f t="shared" ref="R13:R31" si="4">S13+T13</f>
        <v>0</v>
      </c>
      <c r="S13" s="68"/>
      <c r="T13" s="69"/>
      <c r="U13" s="67">
        <f t="shared" ref="U13:U31" si="5">V13+W13</f>
        <v>0</v>
      </c>
      <c r="V13" s="68"/>
      <c r="W13" s="69"/>
      <c r="X13" s="67">
        <f t="shared" ref="X13:X31" si="6">Y13+Z13</f>
        <v>0</v>
      </c>
      <c r="Y13" s="68"/>
      <c r="Z13" s="69"/>
      <c r="AA13" s="67">
        <f t="shared" ref="AA13:AA31" si="7">AB13+AC13</f>
        <v>0</v>
      </c>
      <c r="AB13" s="68"/>
      <c r="AC13" s="69"/>
      <c r="AD13" s="67">
        <f t="shared" ref="AD13:AD31" si="8">AE13+AF13</f>
        <v>0</v>
      </c>
      <c r="AE13" s="68"/>
      <c r="AF13" s="69"/>
      <c r="AG13" s="67">
        <f t="shared" ref="AG13:AG31" si="9">AH13+AI13</f>
        <v>0</v>
      </c>
      <c r="AH13" s="68"/>
      <c r="AI13" s="69"/>
      <c r="AJ13" s="67">
        <f t="shared" ref="AJ13:AJ31" si="10">AK13+AL13</f>
        <v>0</v>
      </c>
      <c r="AK13" s="68"/>
      <c r="AL13" s="69"/>
      <c r="AM13" s="67">
        <f t="shared" ref="AM13:AM31" si="11">AN13+AO13</f>
        <v>0</v>
      </c>
      <c r="AN13" s="68"/>
      <c r="AO13" s="69"/>
      <c r="AP13" s="65">
        <f t="shared" ref="AP13:AP31" si="12">F13+L13+R13+X13+AD13+AJ13</f>
        <v>76</v>
      </c>
      <c r="AQ13" s="20">
        <f t="shared" ref="AQ13:AQ32" si="13">AP13/E13</f>
        <v>0.2620689655172414</v>
      </c>
      <c r="AS13"/>
    </row>
    <row r="14" spans="1:45" ht="18" customHeight="1" x14ac:dyDescent="0.2">
      <c r="A14" s="6"/>
      <c r="B14" s="12" t="s">
        <v>137</v>
      </c>
      <c r="C14" s="64">
        <v>238</v>
      </c>
      <c r="D14" s="65">
        <v>80</v>
      </c>
      <c r="E14" s="66">
        <v>320</v>
      </c>
      <c r="F14" s="67">
        <f t="shared" si="0"/>
        <v>83</v>
      </c>
      <c r="G14" s="68">
        <v>61</v>
      </c>
      <c r="H14" s="69">
        <v>22</v>
      </c>
      <c r="I14" s="67">
        <f t="shared" si="1"/>
        <v>46</v>
      </c>
      <c r="J14" s="68">
        <v>34</v>
      </c>
      <c r="K14" s="69">
        <v>12</v>
      </c>
      <c r="L14" s="67">
        <f t="shared" si="2"/>
        <v>0</v>
      </c>
      <c r="M14" s="68"/>
      <c r="N14" s="69"/>
      <c r="O14" s="67">
        <f t="shared" si="3"/>
        <v>0</v>
      </c>
      <c r="P14" s="68"/>
      <c r="Q14" s="69"/>
      <c r="R14" s="67">
        <f t="shared" si="4"/>
        <v>0</v>
      </c>
      <c r="S14" s="68"/>
      <c r="T14" s="69"/>
      <c r="U14" s="67">
        <f t="shared" si="5"/>
        <v>0</v>
      </c>
      <c r="V14" s="68"/>
      <c r="W14" s="69"/>
      <c r="X14" s="67">
        <f t="shared" si="6"/>
        <v>0</v>
      </c>
      <c r="Y14" s="68"/>
      <c r="Z14" s="69"/>
      <c r="AA14" s="67">
        <f t="shared" si="7"/>
        <v>0</v>
      </c>
      <c r="AB14" s="68"/>
      <c r="AC14" s="69"/>
      <c r="AD14" s="67">
        <f t="shared" si="8"/>
        <v>0</v>
      </c>
      <c r="AE14" s="68"/>
      <c r="AF14" s="69"/>
      <c r="AG14" s="67">
        <f t="shared" si="9"/>
        <v>0</v>
      </c>
      <c r="AH14" s="68"/>
      <c r="AI14" s="69"/>
      <c r="AJ14" s="67">
        <f t="shared" si="10"/>
        <v>0</v>
      </c>
      <c r="AK14" s="68"/>
      <c r="AL14" s="69"/>
      <c r="AM14" s="67">
        <f t="shared" si="11"/>
        <v>0</v>
      </c>
      <c r="AN14" s="68"/>
      <c r="AO14" s="69"/>
      <c r="AP14" s="65">
        <f t="shared" si="12"/>
        <v>83</v>
      </c>
      <c r="AQ14" s="8">
        <f t="shared" si="13"/>
        <v>0.25937500000000002</v>
      </c>
      <c r="AS14"/>
    </row>
    <row r="15" spans="1:45" ht="18" customHeight="1" x14ac:dyDescent="0.2">
      <c r="A15" s="6"/>
      <c r="B15" s="12" t="s">
        <v>138</v>
      </c>
      <c r="C15" s="64">
        <v>349</v>
      </c>
      <c r="D15" s="65">
        <v>80</v>
      </c>
      <c r="E15" s="66">
        <v>320</v>
      </c>
      <c r="F15" s="67">
        <f t="shared" si="0"/>
        <v>87</v>
      </c>
      <c r="G15" s="68">
        <v>7</v>
      </c>
      <c r="H15" s="69">
        <v>80</v>
      </c>
      <c r="I15" s="67">
        <f t="shared" si="1"/>
        <v>25</v>
      </c>
      <c r="J15" s="68">
        <v>4</v>
      </c>
      <c r="K15" s="69">
        <v>21</v>
      </c>
      <c r="L15" s="67">
        <f t="shared" si="2"/>
        <v>0</v>
      </c>
      <c r="M15" s="68"/>
      <c r="N15" s="69"/>
      <c r="O15" s="67">
        <f t="shared" si="3"/>
        <v>0</v>
      </c>
      <c r="P15" s="68"/>
      <c r="Q15" s="69"/>
      <c r="R15" s="67">
        <f t="shared" si="4"/>
        <v>0</v>
      </c>
      <c r="S15" s="68"/>
      <c r="T15" s="69"/>
      <c r="U15" s="67">
        <f t="shared" si="5"/>
        <v>0</v>
      </c>
      <c r="V15" s="68"/>
      <c r="W15" s="69"/>
      <c r="X15" s="67">
        <f t="shared" si="6"/>
        <v>0</v>
      </c>
      <c r="Y15" s="68"/>
      <c r="Z15" s="69"/>
      <c r="AA15" s="67">
        <f t="shared" si="7"/>
        <v>0</v>
      </c>
      <c r="AB15" s="68"/>
      <c r="AC15" s="69"/>
      <c r="AD15" s="67">
        <f t="shared" si="8"/>
        <v>0</v>
      </c>
      <c r="AE15" s="68"/>
      <c r="AF15" s="69"/>
      <c r="AG15" s="67">
        <f t="shared" si="9"/>
        <v>0</v>
      </c>
      <c r="AH15" s="68"/>
      <c r="AI15" s="69"/>
      <c r="AJ15" s="67">
        <f t="shared" si="10"/>
        <v>0</v>
      </c>
      <c r="AK15" s="68"/>
      <c r="AL15" s="69"/>
      <c r="AM15" s="67">
        <f t="shared" si="11"/>
        <v>0</v>
      </c>
      <c r="AN15" s="68"/>
      <c r="AO15" s="69"/>
      <c r="AP15" s="65">
        <f t="shared" si="12"/>
        <v>87</v>
      </c>
      <c r="AQ15" s="8">
        <f t="shared" si="13"/>
        <v>0.27187499999999998</v>
      </c>
    </row>
    <row r="16" spans="1:45" ht="18" customHeight="1" x14ac:dyDescent="0.2">
      <c r="A16" s="6"/>
      <c r="B16" s="12"/>
      <c r="C16" s="64"/>
      <c r="D16" s="65"/>
      <c r="E16" s="66"/>
      <c r="F16" s="67">
        <f t="shared" si="0"/>
        <v>0</v>
      </c>
      <c r="G16" s="68"/>
      <c r="H16" s="69"/>
      <c r="I16" s="67">
        <f t="shared" si="1"/>
        <v>0</v>
      </c>
      <c r="J16" s="68"/>
      <c r="K16" s="69"/>
      <c r="L16" s="67">
        <f t="shared" si="2"/>
        <v>0</v>
      </c>
      <c r="M16" s="68"/>
      <c r="N16" s="69"/>
      <c r="O16" s="67">
        <f t="shared" si="3"/>
        <v>0</v>
      </c>
      <c r="P16" s="68"/>
      <c r="Q16" s="69"/>
      <c r="R16" s="67">
        <f t="shared" si="4"/>
        <v>0</v>
      </c>
      <c r="S16" s="68"/>
      <c r="T16" s="69"/>
      <c r="U16" s="67">
        <f t="shared" si="5"/>
        <v>0</v>
      </c>
      <c r="V16" s="68"/>
      <c r="W16" s="69"/>
      <c r="X16" s="67">
        <f t="shared" si="6"/>
        <v>0</v>
      </c>
      <c r="Y16" s="68"/>
      <c r="Z16" s="69"/>
      <c r="AA16" s="67">
        <f t="shared" si="7"/>
        <v>0</v>
      </c>
      <c r="AB16" s="68"/>
      <c r="AC16" s="69"/>
      <c r="AD16" s="67">
        <f t="shared" si="8"/>
        <v>0</v>
      </c>
      <c r="AE16" s="68"/>
      <c r="AF16" s="69"/>
      <c r="AG16" s="67">
        <f t="shared" si="9"/>
        <v>0</v>
      </c>
      <c r="AH16" s="68"/>
      <c r="AI16" s="69"/>
      <c r="AJ16" s="67">
        <f t="shared" si="10"/>
        <v>0</v>
      </c>
      <c r="AK16" s="68"/>
      <c r="AL16" s="69"/>
      <c r="AM16" s="67">
        <f t="shared" si="11"/>
        <v>0</v>
      </c>
      <c r="AN16" s="68"/>
      <c r="AO16" s="69"/>
      <c r="AP16" s="65">
        <f t="shared" si="12"/>
        <v>0</v>
      </c>
      <c r="AQ16" s="8" t="e">
        <f t="shared" si="13"/>
        <v>#DIV/0!</v>
      </c>
    </row>
    <row r="17" spans="1:44" ht="18" customHeight="1" x14ac:dyDescent="0.2">
      <c r="A17" s="6"/>
      <c r="B17" s="12"/>
      <c r="C17" s="64"/>
      <c r="D17" s="65"/>
      <c r="E17" s="66"/>
      <c r="F17" s="67">
        <f t="shared" si="0"/>
        <v>0</v>
      </c>
      <c r="G17" s="68"/>
      <c r="H17" s="69"/>
      <c r="I17" s="67">
        <f t="shared" si="1"/>
        <v>0</v>
      </c>
      <c r="J17" s="68"/>
      <c r="K17" s="69"/>
      <c r="L17" s="67">
        <f t="shared" si="2"/>
        <v>0</v>
      </c>
      <c r="M17" s="68"/>
      <c r="N17" s="69"/>
      <c r="O17" s="67">
        <f t="shared" si="3"/>
        <v>0</v>
      </c>
      <c r="P17" s="68"/>
      <c r="Q17" s="69"/>
      <c r="R17" s="67">
        <f t="shared" si="4"/>
        <v>0</v>
      </c>
      <c r="S17" s="68"/>
      <c r="T17" s="69"/>
      <c r="U17" s="67">
        <f t="shared" si="5"/>
        <v>0</v>
      </c>
      <c r="V17" s="68"/>
      <c r="W17" s="69"/>
      <c r="X17" s="67">
        <f t="shared" si="6"/>
        <v>0</v>
      </c>
      <c r="Y17" s="68"/>
      <c r="Z17" s="69"/>
      <c r="AA17" s="67">
        <f t="shared" si="7"/>
        <v>0</v>
      </c>
      <c r="AB17" s="68"/>
      <c r="AC17" s="69"/>
      <c r="AD17" s="67">
        <f t="shared" si="8"/>
        <v>0</v>
      </c>
      <c r="AE17" s="68"/>
      <c r="AF17" s="69"/>
      <c r="AG17" s="67">
        <f t="shared" si="9"/>
        <v>0</v>
      </c>
      <c r="AH17" s="68"/>
      <c r="AI17" s="69"/>
      <c r="AJ17" s="67">
        <f t="shared" si="10"/>
        <v>0</v>
      </c>
      <c r="AK17" s="68"/>
      <c r="AL17" s="69"/>
      <c r="AM17" s="67">
        <f t="shared" si="11"/>
        <v>0</v>
      </c>
      <c r="AN17" s="68"/>
      <c r="AO17" s="69"/>
      <c r="AP17" s="65">
        <f t="shared" si="12"/>
        <v>0</v>
      </c>
      <c r="AQ17" s="8" t="e">
        <f t="shared" si="13"/>
        <v>#DIV/0!</v>
      </c>
    </row>
    <row r="18" spans="1:44" ht="18" customHeight="1" x14ac:dyDescent="0.2">
      <c r="A18" s="6"/>
      <c r="B18" s="12"/>
      <c r="C18" s="64"/>
      <c r="D18" s="65"/>
      <c r="E18" s="66"/>
      <c r="F18" s="67">
        <f t="shared" si="0"/>
        <v>0</v>
      </c>
      <c r="G18" s="68"/>
      <c r="H18" s="69"/>
      <c r="I18" s="67">
        <f t="shared" si="1"/>
        <v>0</v>
      </c>
      <c r="J18" s="68"/>
      <c r="K18" s="69"/>
      <c r="L18" s="67">
        <f t="shared" si="2"/>
        <v>0</v>
      </c>
      <c r="M18" s="68"/>
      <c r="N18" s="69"/>
      <c r="O18" s="67">
        <f t="shared" si="3"/>
        <v>0</v>
      </c>
      <c r="P18" s="68"/>
      <c r="Q18" s="69"/>
      <c r="R18" s="67">
        <f t="shared" si="4"/>
        <v>0</v>
      </c>
      <c r="S18" s="68"/>
      <c r="T18" s="69"/>
      <c r="U18" s="67">
        <f t="shared" si="5"/>
        <v>0</v>
      </c>
      <c r="V18" s="68"/>
      <c r="W18" s="69"/>
      <c r="X18" s="67">
        <f t="shared" si="6"/>
        <v>0</v>
      </c>
      <c r="Y18" s="68"/>
      <c r="Z18" s="69"/>
      <c r="AA18" s="67">
        <f t="shared" si="7"/>
        <v>0</v>
      </c>
      <c r="AB18" s="68"/>
      <c r="AC18" s="69"/>
      <c r="AD18" s="67">
        <f t="shared" si="8"/>
        <v>0</v>
      </c>
      <c r="AE18" s="68"/>
      <c r="AF18" s="69"/>
      <c r="AG18" s="67">
        <f t="shared" si="9"/>
        <v>0</v>
      </c>
      <c r="AH18" s="68"/>
      <c r="AI18" s="69"/>
      <c r="AJ18" s="67">
        <f t="shared" si="10"/>
        <v>0</v>
      </c>
      <c r="AK18" s="68"/>
      <c r="AL18" s="69"/>
      <c r="AM18" s="67">
        <f t="shared" si="11"/>
        <v>0</v>
      </c>
      <c r="AN18" s="68"/>
      <c r="AO18" s="69"/>
      <c r="AP18" s="65">
        <f t="shared" si="12"/>
        <v>0</v>
      </c>
      <c r="AQ18" s="8" t="e">
        <f t="shared" si="13"/>
        <v>#DIV/0!</v>
      </c>
    </row>
    <row r="19" spans="1:44" ht="18" customHeight="1" x14ac:dyDescent="0.2">
      <c r="A19" s="6"/>
      <c r="B19" s="12"/>
      <c r="C19" s="64"/>
      <c r="D19" s="65"/>
      <c r="E19" s="66"/>
      <c r="F19" s="67">
        <f t="shared" si="0"/>
        <v>0</v>
      </c>
      <c r="G19" s="68"/>
      <c r="H19" s="69"/>
      <c r="I19" s="67">
        <f t="shared" si="1"/>
        <v>0</v>
      </c>
      <c r="J19" s="68"/>
      <c r="K19" s="69"/>
      <c r="L19" s="67">
        <f t="shared" si="2"/>
        <v>0</v>
      </c>
      <c r="M19" s="68"/>
      <c r="N19" s="69"/>
      <c r="O19" s="67">
        <f t="shared" si="3"/>
        <v>0</v>
      </c>
      <c r="P19" s="68"/>
      <c r="Q19" s="69"/>
      <c r="R19" s="67">
        <f t="shared" si="4"/>
        <v>0</v>
      </c>
      <c r="S19" s="68"/>
      <c r="T19" s="69"/>
      <c r="U19" s="67">
        <f t="shared" si="5"/>
        <v>0</v>
      </c>
      <c r="V19" s="68"/>
      <c r="W19" s="69"/>
      <c r="X19" s="67">
        <f t="shared" si="6"/>
        <v>0</v>
      </c>
      <c r="Y19" s="68"/>
      <c r="Z19" s="69"/>
      <c r="AA19" s="67">
        <f t="shared" si="7"/>
        <v>0</v>
      </c>
      <c r="AB19" s="68"/>
      <c r="AC19" s="69"/>
      <c r="AD19" s="67">
        <f t="shared" si="8"/>
        <v>0</v>
      </c>
      <c r="AE19" s="68"/>
      <c r="AF19" s="69"/>
      <c r="AG19" s="67">
        <f t="shared" si="9"/>
        <v>0</v>
      </c>
      <c r="AH19" s="68"/>
      <c r="AI19" s="69"/>
      <c r="AJ19" s="67">
        <f t="shared" si="10"/>
        <v>0</v>
      </c>
      <c r="AK19" s="68"/>
      <c r="AL19" s="69"/>
      <c r="AM19" s="67">
        <f t="shared" si="11"/>
        <v>0</v>
      </c>
      <c r="AN19" s="68"/>
      <c r="AO19" s="69"/>
      <c r="AP19" s="65">
        <f t="shared" si="12"/>
        <v>0</v>
      </c>
      <c r="AQ19" s="8" t="e">
        <f t="shared" si="13"/>
        <v>#DIV/0!</v>
      </c>
    </row>
    <row r="20" spans="1:44" ht="18" customHeight="1" x14ac:dyDescent="0.2">
      <c r="A20" s="6"/>
      <c r="B20" s="12"/>
      <c r="C20" s="64"/>
      <c r="D20" s="65"/>
      <c r="E20" s="66"/>
      <c r="F20" s="67">
        <f t="shared" si="0"/>
        <v>0</v>
      </c>
      <c r="G20" s="68"/>
      <c r="H20" s="69"/>
      <c r="I20" s="67">
        <f t="shared" si="1"/>
        <v>0</v>
      </c>
      <c r="J20" s="68"/>
      <c r="K20" s="69"/>
      <c r="L20" s="67">
        <f t="shared" si="2"/>
        <v>0</v>
      </c>
      <c r="M20" s="68"/>
      <c r="N20" s="69"/>
      <c r="O20" s="67">
        <f t="shared" si="3"/>
        <v>0</v>
      </c>
      <c r="P20" s="68"/>
      <c r="Q20" s="69"/>
      <c r="R20" s="67">
        <f t="shared" si="4"/>
        <v>0</v>
      </c>
      <c r="S20" s="68"/>
      <c r="T20" s="69"/>
      <c r="U20" s="67">
        <f t="shared" si="5"/>
        <v>0</v>
      </c>
      <c r="V20" s="68"/>
      <c r="W20" s="69"/>
      <c r="X20" s="67">
        <f t="shared" si="6"/>
        <v>0</v>
      </c>
      <c r="Y20" s="68"/>
      <c r="Z20" s="69"/>
      <c r="AA20" s="67">
        <f t="shared" si="7"/>
        <v>0</v>
      </c>
      <c r="AB20" s="68"/>
      <c r="AC20" s="69"/>
      <c r="AD20" s="67">
        <f t="shared" si="8"/>
        <v>0</v>
      </c>
      <c r="AE20" s="68"/>
      <c r="AF20" s="69"/>
      <c r="AG20" s="67">
        <f t="shared" si="9"/>
        <v>0</v>
      </c>
      <c r="AH20" s="68"/>
      <c r="AI20" s="69"/>
      <c r="AJ20" s="67">
        <f t="shared" si="10"/>
        <v>0</v>
      </c>
      <c r="AK20" s="68"/>
      <c r="AL20" s="69"/>
      <c r="AM20" s="67">
        <f t="shared" si="11"/>
        <v>0</v>
      </c>
      <c r="AN20" s="68"/>
      <c r="AO20" s="69"/>
      <c r="AP20" s="65">
        <f t="shared" si="12"/>
        <v>0</v>
      </c>
      <c r="AQ20" s="8" t="e">
        <f t="shared" si="13"/>
        <v>#DIV/0!</v>
      </c>
    </row>
    <row r="21" spans="1:44" ht="18" customHeight="1" x14ac:dyDescent="0.2">
      <c r="A21" s="6"/>
      <c r="B21" s="12"/>
      <c r="C21" s="64"/>
      <c r="D21" s="65"/>
      <c r="E21" s="66"/>
      <c r="F21" s="67">
        <f t="shared" si="0"/>
        <v>0</v>
      </c>
      <c r="G21" s="68"/>
      <c r="H21" s="69"/>
      <c r="I21" s="67">
        <f t="shared" si="1"/>
        <v>0</v>
      </c>
      <c r="J21" s="68"/>
      <c r="K21" s="69"/>
      <c r="L21" s="67">
        <f t="shared" si="2"/>
        <v>0</v>
      </c>
      <c r="M21" s="68"/>
      <c r="N21" s="69"/>
      <c r="O21" s="67">
        <f t="shared" si="3"/>
        <v>0</v>
      </c>
      <c r="P21" s="68"/>
      <c r="Q21" s="69"/>
      <c r="R21" s="67">
        <f t="shared" si="4"/>
        <v>0</v>
      </c>
      <c r="S21" s="68"/>
      <c r="T21" s="69"/>
      <c r="U21" s="67">
        <f t="shared" si="5"/>
        <v>0</v>
      </c>
      <c r="V21" s="68"/>
      <c r="W21" s="69"/>
      <c r="X21" s="67">
        <f t="shared" si="6"/>
        <v>0</v>
      </c>
      <c r="Y21" s="68"/>
      <c r="Z21" s="69"/>
      <c r="AA21" s="67">
        <f t="shared" si="7"/>
        <v>0</v>
      </c>
      <c r="AB21" s="68"/>
      <c r="AC21" s="69"/>
      <c r="AD21" s="67">
        <f t="shared" si="8"/>
        <v>0</v>
      </c>
      <c r="AE21" s="68"/>
      <c r="AF21" s="69"/>
      <c r="AG21" s="67">
        <f t="shared" si="9"/>
        <v>0</v>
      </c>
      <c r="AH21" s="68"/>
      <c r="AI21" s="69"/>
      <c r="AJ21" s="67">
        <f t="shared" si="10"/>
        <v>0</v>
      </c>
      <c r="AK21" s="68"/>
      <c r="AL21" s="69"/>
      <c r="AM21" s="67">
        <f t="shared" si="11"/>
        <v>0</v>
      </c>
      <c r="AN21" s="68"/>
      <c r="AO21" s="69"/>
      <c r="AP21" s="65">
        <f t="shared" si="12"/>
        <v>0</v>
      </c>
      <c r="AQ21" s="8" t="e">
        <f t="shared" si="13"/>
        <v>#DIV/0!</v>
      </c>
    </row>
    <row r="22" spans="1:44" ht="18" customHeight="1" x14ac:dyDescent="0.2">
      <c r="A22" s="6"/>
      <c r="B22" s="12"/>
      <c r="C22" s="64"/>
      <c r="D22" s="65"/>
      <c r="E22" s="66"/>
      <c r="F22" s="67">
        <f t="shared" si="0"/>
        <v>0</v>
      </c>
      <c r="G22" s="68"/>
      <c r="H22" s="69"/>
      <c r="I22" s="67">
        <f t="shared" si="1"/>
        <v>0</v>
      </c>
      <c r="J22" s="68"/>
      <c r="K22" s="69"/>
      <c r="L22" s="67">
        <f t="shared" si="2"/>
        <v>0</v>
      </c>
      <c r="M22" s="68"/>
      <c r="N22" s="69"/>
      <c r="O22" s="67">
        <f t="shared" si="3"/>
        <v>0</v>
      </c>
      <c r="P22" s="68"/>
      <c r="Q22" s="69"/>
      <c r="R22" s="67">
        <f t="shared" si="4"/>
        <v>0</v>
      </c>
      <c r="S22" s="68"/>
      <c r="T22" s="69"/>
      <c r="U22" s="67">
        <f t="shared" si="5"/>
        <v>0</v>
      </c>
      <c r="V22" s="68"/>
      <c r="W22" s="69"/>
      <c r="X22" s="67">
        <f t="shared" si="6"/>
        <v>0</v>
      </c>
      <c r="Y22" s="68"/>
      <c r="Z22" s="69"/>
      <c r="AA22" s="67">
        <f t="shared" si="7"/>
        <v>0</v>
      </c>
      <c r="AB22" s="68"/>
      <c r="AC22" s="69"/>
      <c r="AD22" s="67">
        <f t="shared" si="8"/>
        <v>0</v>
      </c>
      <c r="AE22" s="68"/>
      <c r="AF22" s="69"/>
      <c r="AG22" s="67">
        <f t="shared" si="9"/>
        <v>0</v>
      </c>
      <c r="AH22" s="68"/>
      <c r="AI22" s="69"/>
      <c r="AJ22" s="67">
        <f t="shared" si="10"/>
        <v>0</v>
      </c>
      <c r="AK22" s="68"/>
      <c r="AL22" s="69"/>
      <c r="AM22" s="67">
        <f t="shared" si="11"/>
        <v>0</v>
      </c>
      <c r="AN22" s="68"/>
      <c r="AO22" s="69"/>
      <c r="AP22" s="65">
        <f t="shared" si="12"/>
        <v>0</v>
      </c>
      <c r="AQ22" s="8" t="e">
        <f t="shared" si="13"/>
        <v>#DIV/0!</v>
      </c>
    </row>
    <row r="23" spans="1:44" ht="18" customHeight="1" x14ac:dyDescent="0.2">
      <c r="A23" s="6"/>
      <c r="B23" s="12"/>
      <c r="C23" s="64"/>
      <c r="D23" s="65"/>
      <c r="E23" s="66"/>
      <c r="F23" s="67">
        <f t="shared" si="0"/>
        <v>0</v>
      </c>
      <c r="G23" s="68"/>
      <c r="H23" s="69"/>
      <c r="I23" s="67">
        <f t="shared" si="1"/>
        <v>0</v>
      </c>
      <c r="J23" s="68"/>
      <c r="K23" s="69"/>
      <c r="L23" s="67">
        <f t="shared" si="2"/>
        <v>0</v>
      </c>
      <c r="M23" s="68"/>
      <c r="N23" s="69"/>
      <c r="O23" s="67">
        <f t="shared" si="3"/>
        <v>0</v>
      </c>
      <c r="P23" s="68"/>
      <c r="Q23" s="69"/>
      <c r="R23" s="67">
        <f t="shared" si="4"/>
        <v>0</v>
      </c>
      <c r="S23" s="68"/>
      <c r="T23" s="69"/>
      <c r="U23" s="67">
        <f t="shared" si="5"/>
        <v>0</v>
      </c>
      <c r="V23" s="68"/>
      <c r="W23" s="69"/>
      <c r="X23" s="67">
        <f t="shared" si="6"/>
        <v>0</v>
      </c>
      <c r="Y23" s="68"/>
      <c r="Z23" s="69"/>
      <c r="AA23" s="67">
        <f t="shared" si="7"/>
        <v>0</v>
      </c>
      <c r="AB23" s="68"/>
      <c r="AC23" s="69"/>
      <c r="AD23" s="67">
        <f t="shared" si="8"/>
        <v>0</v>
      </c>
      <c r="AE23" s="68"/>
      <c r="AF23" s="69"/>
      <c r="AG23" s="67">
        <f t="shared" si="9"/>
        <v>0</v>
      </c>
      <c r="AH23" s="68"/>
      <c r="AI23" s="69"/>
      <c r="AJ23" s="67">
        <f t="shared" si="10"/>
        <v>0</v>
      </c>
      <c r="AK23" s="68"/>
      <c r="AL23" s="69"/>
      <c r="AM23" s="67">
        <f t="shared" si="11"/>
        <v>0</v>
      </c>
      <c r="AN23" s="68"/>
      <c r="AO23" s="69"/>
      <c r="AP23" s="65">
        <f t="shared" si="12"/>
        <v>0</v>
      </c>
      <c r="AQ23" s="8" t="e">
        <f t="shared" si="13"/>
        <v>#DIV/0!</v>
      </c>
    </row>
    <row r="24" spans="1:44" ht="18" customHeight="1" x14ac:dyDescent="0.2">
      <c r="A24" s="6"/>
      <c r="B24" s="12"/>
      <c r="C24" s="64"/>
      <c r="D24" s="65"/>
      <c r="E24" s="66"/>
      <c r="F24" s="67">
        <f t="shared" si="0"/>
        <v>0</v>
      </c>
      <c r="G24" s="68"/>
      <c r="H24" s="69"/>
      <c r="I24" s="67">
        <f t="shared" si="1"/>
        <v>0</v>
      </c>
      <c r="J24" s="68"/>
      <c r="K24" s="69"/>
      <c r="L24" s="67">
        <f t="shared" si="2"/>
        <v>0</v>
      </c>
      <c r="M24" s="68"/>
      <c r="N24" s="69"/>
      <c r="O24" s="67">
        <f t="shared" si="3"/>
        <v>0</v>
      </c>
      <c r="P24" s="68"/>
      <c r="Q24" s="69"/>
      <c r="R24" s="67">
        <f t="shared" si="4"/>
        <v>0</v>
      </c>
      <c r="S24" s="68"/>
      <c r="T24" s="69"/>
      <c r="U24" s="67">
        <f t="shared" si="5"/>
        <v>0</v>
      </c>
      <c r="V24" s="68"/>
      <c r="W24" s="69"/>
      <c r="X24" s="67">
        <f t="shared" si="6"/>
        <v>0</v>
      </c>
      <c r="Y24" s="68"/>
      <c r="Z24" s="69"/>
      <c r="AA24" s="67">
        <f t="shared" si="7"/>
        <v>0</v>
      </c>
      <c r="AB24" s="68"/>
      <c r="AC24" s="69"/>
      <c r="AD24" s="67">
        <f t="shared" si="8"/>
        <v>0</v>
      </c>
      <c r="AE24" s="68"/>
      <c r="AF24" s="69"/>
      <c r="AG24" s="67">
        <f t="shared" si="9"/>
        <v>0</v>
      </c>
      <c r="AH24" s="68"/>
      <c r="AI24" s="69"/>
      <c r="AJ24" s="67">
        <f t="shared" si="10"/>
        <v>0</v>
      </c>
      <c r="AK24" s="68"/>
      <c r="AL24" s="69"/>
      <c r="AM24" s="67">
        <f t="shared" si="11"/>
        <v>0</v>
      </c>
      <c r="AN24" s="68"/>
      <c r="AO24" s="69"/>
      <c r="AP24" s="65">
        <f t="shared" si="12"/>
        <v>0</v>
      </c>
      <c r="AQ24" s="8" t="e">
        <f t="shared" si="13"/>
        <v>#DIV/0!</v>
      </c>
    </row>
    <row r="25" spans="1:44" ht="18" customHeight="1" x14ac:dyDescent="0.2">
      <c r="A25" s="6"/>
      <c r="B25" s="12"/>
      <c r="C25" s="64"/>
      <c r="D25" s="65"/>
      <c r="E25" s="66"/>
      <c r="F25" s="67">
        <f t="shared" si="0"/>
        <v>0</v>
      </c>
      <c r="G25" s="68"/>
      <c r="H25" s="69"/>
      <c r="I25" s="67">
        <f t="shared" si="1"/>
        <v>0</v>
      </c>
      <c r="J25" s="68"/>
      <c r="K25" s="69"/>
      <c r="L25" s="67">
        <f t="shared" si="2"/>
        <v>0</v>
      </c>
      <c r="M25" s="68"/>
      <c r="N25" s="69"/>
      <c r="O25" s="67">
        <f t="shared" si="3"/>
        <v>0</v>
      </c>
      <c r="P25" s="68"/>
      <c r="Q25" s="69"/>
      <c r="R25" s="67">
        <f t="shared" si="4"/>
        <v>0</v>
      </c>
      <c r="S25" s="68"/>
      <c r="T25" s="69"/>
      <c r="U25" s="67">
        <f t="shared" si="5"/>
        <v>0</v>
      </c>
      <c r="V25" s="68"/>
      <c r="W25" s="69"/>
      <c r="X25" s="67">
        <f t="shared" si="6"/>
        <v>0</v>
      </c>
      <c r="Y25" s="68"/>
      <c r="Z25" s="69"/>
      <c r="AA25" s="67">
        <f t="shared" si="7"/>
        <v>0</v>
      </c>
      <c r="AB25" s="68"/>
      <c r="AC25" s="69"/>
      <c r="AD25" s="67">
        <f t="shared" si="8"/>
        <v>0</v>
      </c>
      <c r="AE25" s="68"/>
      <c r="AF25" s="69"/>
      <c r="AG25" s="67">
        <f t="shared" si="9"/>
        <v>0</v>
      </c>
      <c r="AH25" s="68"/>
      <c r="AI25" s="69"/>
      <c r="AJ25" s="67">
        <f t="shared" si="10"/>
        <v>0</v>
      </c>
      <c r="AK25" s="68"/>
      <c r="AL25" s="69"/>
      <c r="AM25" s="67">
        <f t="shared" si="11"/>
        <v>0</v>
      </c>
      <c r="AN25" s="68"/>
      <c r="AO25" s="69"/>
      <c r="AP25" s="65">
        <f t="shared" si="12"/>
        <v>0</v>
      </c>
      <c r="AQ25" s="8" t="e">
        <f t="shared" si="13"/>
        <v>#DIV/0!</v>
      </c>
    </row>
    <row r="26" spans="1:44" ht="18" customHeight="1" x14ac:dyDescent="0.2">
      <c r="A26" s="6"/>
      <c r="B26" s="12"/>
      <c r="C26" s="64"/>
      <c r="D26" s="65"/>
      <c r="E26" s="66"/>
      <c r="F26" s="67">
        <f t="shared" si="0"/>
        <v>0</v>
      </c>
      <c r="G26" s="68"/>
      <c r="H26" s="69"/>
      <c r="I26" s="67">
        <f t="shared" si="1"/>
        <v>0</v>
      </c>
      <c r="J26" s="68"/>
      <c r="K26" s="69"/>
      <c r="L26" s="67">
        <f t="shared" si="2"/>
        <v>0</v>
      </c>
      <c r="M26" s="68"/>
      <c r="N26" s="69"/>
      <c r="O26" s="67">
        <f t="shared" si="3"/>
        <v>0</v>
      </c>
      <c r="P26" s="68"/>
      <c r="Q26" s="69"/>
      <c r="R26" s="67">
        <f t="shared" si="4"/>
        <v>0</v>
      </c>
      <c r="S26" s="68"/>
      <c r="T26" s="69"/>
      <c r="U26" s="67">
        <f t="shared" si="5"/>
        <v>0</v>
      </c>
      <c r="V26" s="68"/>
      <c r="W26" s="69"/>
      <c r="X26" s="67">
        <f t="shared" si="6"/>
        <v>0</v>
      </c>
      <c r="Y26" s="68"/>
      <c r="Z26" s="69"/>
      <c r="AA26" s="67">
        <f t="shared" si="7"/>
        <v>0</v>
      </c>
      <c r="AB26" s="68"/>
      <c r="AC26" s="69"/>
      <c r="AD26" s="67">
        <f t="shared" si="8"/>
        <v>0</v>
      </c>
      <c r="AE26" s="68"/>
      <c r="AF26" s="69"/>
      <c r="AG26" s="67">
        <f t="shared" si="9"/>
        <v>0</v>
      </c>
      <c r="AH26" s="68"/>
      <c r="AI26" s="69"/>
      <c r="AJ26" s="67">
        <f t="shared" si="10"/>
        <v>0</v>
      </c>
      <c r="AK26" s="68"/>
      <c r="AL26" s="69"/>
      <c r="AM26" s="67">
        <f t="shared" si="11"/>
        <v>0</v>
      </c>
      <c r="AN26" s="68"/>
      <c r="AO26" s="69"/>
      <c r="AP26" s="65">
        <f t="shared" si="12"/>
        <v>0</v>
      </c>
      <c r="AQ26" s="8" t="e">
        <f t="shared" si="13"/>
        <v>#DIV/0!</v>
      </c>
    </row>
    <row r="27" spans="1:44" ht="18" customHeight="1" x14ac:dyDescent="0.2">
      <c r="A27" s="6"/>
      <c r="B27" s="12"/>
      <c r="C27" s="64"/>
      <c r="D27" s="65"/>
      <c r="E27" s="66"/>
      <c r="F27" s="67">
        <f t="shared" si="0"/>
        <v>0</v>
      </c>
      <c r="G27" s="68"/>
      <c r="H27" s="69"/>
      <c r="I27" s="67">
        <f t="shared" si="1"/>
        <v>0</v>
      </c>
      <c r="J27" s="68"/>
      <c r="K27" s="69"/>
      <c r="L27" s="67">
        <f t="shared" si="2"/>
        <v>0</v>
      </c>
      <c r="M27" s="68"/>
      <c r="N27" s="69"/>
      <c r="O27" s="67">
        <f t="shared" si="3"/>
        <v>0</v>
      </c>
      <c r="P27" s="68"/>
      <c r="Q27" s="69"/>
      <c r="R27" s="67">
        <f t="shared" si="4"/>
        <v>0</v>
      </c>
      <c r="S27" s="68"/>
      <c r="T27" s="69"/>
      <c r="U27" s="67">
        <f t="shared" si="5"/>
        <v>0</v>
      </c>
      <c r="V27" s="68"/>
      <c r="W27" s="69"/>
      <c r="X27" s="67">
        <f t="shared" si="6"/>
        <v>0</v>
      </c>
      <c r="Y27" s="68"/>
      <c r="Z27" s="69"/>
      <c r="AA27" s="67">
        <f t="shared" si="7"/>
        <v>0</v>
      </c>
      <c r="AB27" s="68"/>
      <c r="AC27" s="69"/>
      <c r="AD27" s="67">
        <f t="shared" si="8"/>
        <v>0</v>
      </c>
      <c r="AE27" s="68"/>
      <c r="AF27" s="69"/>
      <c r="AG27" s="67">
        <f t="shared" si="9"/>
        <v>0</v>
      </c>
      <c r="AH27" s="68"/>
      <c r="AI27" s="69"/>
      <c r="AJ27" s="67">
        <f t="shared" si="10"/>
        <v>0</v>
      </c>
      <c r="AK27" s="68"/>
      <c r="AL27" s="69"/>
      <c r="AM27" s="67">
        <f t="shared" si="11"/>
        <v>0</v>
      </c>
      <c r="AN27" s="68"/>
      <c r="AO27" s="69"/>
      <c r="AP27" s="65">
        <f t="shared" si="12"/>
        <v>0</v>
      </c>
      <c r="AQ27" s="8" t="e">
        <f t="shared" si="13"/>
        <v>#DIV/0!</v>
      </c>
    </row>
    <row r="28" spans="1:44" ht="18" customHeight="1" x14ac:dyDescent="0.2">
      <c r="A28" s="6"/>
      <c r="B28" s="12"/>
      <c r="C28" s="64"/>
      <c r="D28" s="65"/>
      <c r="E28" s="66"/>
      <c r="F28" s="67">
        <f t="shared" si="0"/>
        <v>0</v>
      </c>
      <c r="G28" s="68"/>
      <c r="H28" s="69"/>
      <c r="I28" s="67">
        <f t="shared" si="1"/>
        <v>0</v>
      </c>
      <c r="J28" s="68"/>
      <c r="K28" s="69"/>
      <c r="L28" s="67">
        <f t="shared" si="2"/>
        <v>0</v>
      </c>
      <c r="M28" s="68"/>
      <c r="N28" s="69"/>
      <c r="O28" s="67">
        <f t="shared" si="3"/>
        <v>0</v>
      </c>
      <c r="P28" s="68"/>
      <c r="Q28" s="69"/>
      <c r="R28" s="67">
        <f t="shared" si="4"/>
        <v>0</v>
      </c>
      <c r="S28" s="68"/>
      <c r="T28" s="69"/>
      <c r="U28" s="67">
        <f t="shared" si="5"/>
        <v>0</v>
      </c>
      <c r="V28" s="68"/>
      <c r="W28" s="69"/>
      <c r="X28" s="67">
        <f t="shared" si="6"/>
        <v>0</v>
      </c>
      <c r="Y28" s="68"/>
      <c r="Z28" s="69"/>
      <c r="AA28" s="67">
        <f t="shared" si="7"/>
        <v>0</v>
      </c>
      <c r="AB28" s="68"/>
      <c r="AC28" s="69"/>
      <c r="AD28" s="67">
        <f t="shared" si="8"/>
        <v>0</v>
      </c>
      <c r="AE28" s="68"/>
      <c r="AF28" s="69"/>
      <c r="AG28" s="67">
        <f t="shared" si="9"/>
        <v>0</v>
      </c>
      <c r="AH28" s="68"/>
      <c r="AI28" s="69"/>
      <c r="AJ28" s="67">
        <f t="shared" si="10"/>
        <v>0</v>
      </c>
      <c r="AK28" s="68"/>
      <c r="AL28" s="69"/>
      <c r="AM28" s="67">
        <f t="shared" si="11"/>
        <v>0</v>
      </c>
      <c r="AN28" s="68"/>
      <c r="AO28" s="69"/>
      <c r="AP28" s="65">
        <f t="shared" si="12"/>
        <v>0</v>
      </c>
      <c r="AQ28" s="8" t="e">
        <f t="shared" si="13"/>
        <v>#DIV/0!</v>
      </c>
    </row>
    <row r="29" spans="1:44" ht="18" customHeight="1" x14ac:dyDescent="0.2">
      <c r="A29" s="6"/>
      <c r="B29" s="12"/>
      <c r="C29" s="64"/>
      <c r="D29" s="70"/>
      <c r="E29" s="66"/>
      <c r="F29" s="67">
        <f t="shared" si="0"/>
        <v>0</v>
      </c>
      <c r="G29" s="68"/>
      <c r="H29" s="69"/>
      <c r="I29" s="67">
        <f t="shared" si="1"/>
        <v>0</v>
      </c>
      <c r="J29" s="68"/>
      <c r="K29" s="69"/>
      <c r="L29" s="67">
        <f t="shared" si="2"/>
        <v>0</v>
      </c>
      <c r="M29" s="68"/>
      <c r="N29" s="69"/>
      <c r="O29" s="67">
        <f t="shared" si="3"/>
        <v>0</v>
      </c>
      <c r="P29" s="68"/>
      <c r="Q29" s="69"/>
      <c r="R29" s="67">
        <f t="shared" si="4"/>
        <v>0</v>
      </c>
      <c r="S29" s="68"/>
      <c r="T29" s="69"/>
      <c r="U29" s="67">
        <f t="shared" si="5"/>
        <v>0</v>
      </c>
      <c r="V29" s="68"/>
      <c r="W29" s="69"/>
      <c r="X29" s="67">
        <f t="shared" si="6"/>
        <v>0</v>
      </c>
      <c r="Y29" s="68"/>
      <c r="Z29" s="69"/>
      <c r="AA29" s="67">
        <f t="shared" si="7"/>
        <v>0</v>
      </c>
      <c r="AB29" s="68"/>
      <c r="AC29" s="69"/>
      <c r="AD29" s="67">
        <f t="shared" si="8"/>
        <v>0</v>
      </c>
      <c r="AE29" s="68"/>
      <c r="AF29" s="69"/>
      <c r="AG29" s="67">
        <f t="shared" si="9"/>
        <v>0</v>
      </c>
      <c r="AH29" s="68"/>
      <c r="AI29" s="69"/>
      <c r="AJ29" s="67">
        <f t="shared" si="10"/>
        <v>0</v>
      </c>
      <c r="AK29" s="68"/>
      <c r="AL29" s="69"/>
      <c r="AM29" s="67">
        <f t="shared" si="11"/>
        <v>0</v>
      </c>
      <c r="AN29" s="68"/>
      <c r="AO29" s="69"/>
      <c r="AP29" s="70">
        <f t="shared" si="12"/>
        <v>0</v>
      </c>
      <c r="AQ29" s="8" t="e">
        <f t="shared" si="13"/>
        <v>#DIV/0!</v>
      </c>
    </row>
    <row r="30" spans="1:44" ht="18" customHeight="1" x14ac:dyDescent="0.2">
      <c r="A30" s="6"/>
      <c r="B30" s="12"/>
      <c r="C30" s="64"/>
      <c r="D30" s="70"/>
      <c r="E30" s="66"/>
      <c r="F30" s="67">
        <f t="shared" si="0"/>
        <v>0</v>
      </c>
      <c r="G30" s="68"/>
      <c r="H30" s="69"/>
      <c r="I30" s="67">
        <f t="shared" si="1"/>
        <v>0</v>
      </c>
      <c r="J30" s="68"/>
      <c r="K30" s="69"/>
      <c r="L30" s="67">
        <f t="shared" si="2"/>
        <v>0</v>
      </c>
      <c r="M30" s="68"/>
      <c r="N30" s="69"/>
      <c r="O30" s="67">
        <f t="shared" si="3"/>
        <v>0</v>
      </c>
      <c r="P30" s="68"/>
      <c r="Q30" s="69"/>
      <c r="R30" s="67">
        <f t="shared" si="4"/>
        <v>0</v>
      </c>
      <c r="S30" s="68"/>
      <c r="T30" s="69"/>
      <c r="U30" s="67">
        <f t="shared" si="5"/>
        <v>0</v>
      </c>
      <c r="V30" s="68"/>
      <c r="W30" s="69"/>
      <c r="X30" s="67">
        <f t="shared" si="6"/>
        <v>0</v>
      </c>
      <c r="Y30" s="68"/>
      <c r="Z30" s="69"/>
      <c r="AA30" s="67">
        <f t="shared" si="7"/>
        <v>0</v>
      </c>
      <c r="AB30" s="68"/>
      <c r="AC30" s="69"/>
      <c r="AD30" s="67">
        <f t="shared" si="8"/>
        <v>0</v>
      </c>
      <c r="AE30" s="68"/>
      <c r="AF30" s="69"/>
      <c r="AG30" s="67">
        <f t="shared" si="9"/>
        <v>0</v>
      </c>
      <c r="AH30" s="68"/>
      <c r="AI30" s="69"/>
      <c r="AJ30" s="67">
        <f t="shared" si="10"/>
        <v>0</v>
      </c>
      <c r="AK30" s="68"/>
      <c r="AL30" s="69"/>
      <c r="AM30" s="67">
        <f t="shared" si="11"/>
        <v>0</v>
      </c>
      <c r="AN30" s="68"/>
      <c r="AO30" s="69"/>
      <c r="AP30" s="70">
        <f t="shared" si="12"/>
        <v>0</v>
      </c>
      <c r="AQ30" s="8" t="e">
        <f t="shared" si="13"/>
        <v>#DIV/0!</v>
      </c>
    </row>
    <row r="31" spans="1:44" ht="18" customHeight="1" thickBot="1" x14ac:dyDescent="0.25">
      <c r="A31" s="6"/>
      <c r="B31" s="13"/>
      <c r="C31" s="59"/>
      <c r="D31" s="71"/>
      <c r="E31" s="61"/>
      <c r="F31" s="61">
        <f t="shared" si="0"/>
        <v>0</v>
      </c>
      <c r="G31" s="72"/>
      <c r="H31" s="73"/>
      <c r="I31" s="61">
        <f t="shared" si="1"/>
        <v>0</v>
      </c>
      <c r="J31" s="72"/>
      <c r="K31" s="73"/>
      <c r="L31" s="61">
        <f t="shared" si="2"/>
        <v>0</v>
      </c>
      <c r="M31" s="72"/>
      <c r="N31" s="73"/>
      <c r="O31" s="61">
        <f t="shared" si="3"/>
        <v>0</v>
      </c>
      <c r="P31" s="72"/>
      <c r="Q31" s="73"/>
      <c r="R31" s="61">
        <f t="shared" si="4"/>
        <v>0</v>
      </c>
      <c r="S31" s="72"/>
      <c r="T31" s="73"/>
      <c r="U31" s="61">
        <f t="shared" si="5"/>
        <v>0</v>
      </c>
      <c r="V31" s="72"/>
      <c r="W31" s="73"/>
      <c r="X31" s="61">
        <f t="shared" si="6"/>
        <v>0</v>
      </c>
      <c r="Y31" s="72"/>
      <c r="Z31" s="73"/>
      <c r="AA31" s="61">
        <f t="shared" si="7"/>
        <v>0</v>
      </c>
      <c r="AB31" s="72"/>
      <c r="AC31" s="73"/>
      <c r="AD31" s="61">
        <f t="shared" si="8"/>
        <v>0</v>
      </c>
      <c r="AE31" s="72"/>
      <c r="AF31" s="73"/>
      <c r="AG31" s="61">
        <f t="shared" si="9"/>
        <v>0</v>
      </c>
      <c r="AH31" s="72"/>
      <c r="AI31" s="73"/>
      <c r="AJ31" s="61">
        <f t="shared" si="10"/>
        <v>0</v>
      </c>
      <c r="AK31" s="72"/>
      <c r="AL31" s="73"/>
      <c r="AM31" s="61">
        <f t="shared" si="11"/>
        <v>0</v>
      </c>
      <c r="AN31" s="72"/>
      <c r="AO31" s="73"/>
      <c r="AP31" s="71">
        <f t="shared" si="12"/>
        <v>0</v>
      </c>
      <c r="AQ31" s="7" t="e">
        <f t="shared" si="13"/>
        <v>#DIV/0!</v>
      </c>
    </row>
    <row r="32" spans="1:44" ht="18" customHeight="1" thickTop="1" x14ac:dyDescent="0.2">
      <c r="B32" s="14" t="s">
        <v>32</v>
      </c>
      <c r="C32" s="74">
        <f t="shared" ref="C32" si="14">SUM(C12:C31)</f>
        <v>1772</v>
      </c>
      <c r="D32" s="75">
        <f t="shared" ref="D32:AP32" si="15">SUM(D12:D31)</f>
        <v>435</v>
      </c>
      <c r="E32" s="76">
        <f t="shared" si="15"/>
        <v>1730</v>
      </c>
      <c r="F32" s="76">
        <f t="shared" si="15"/>
        <v>477</v>
      </c>
      <c r="G32" s="77">
        <f t="shared" si="15"/>
        <v>237</v>
      </c>
      <c r="H32" s="78">
        <f t="shared" si="15"/>
        <v>240</v>
      </c>
      <c r="I32" s="76">
        <f t="shared" ref="I32:N32" si="16">SUM(I12:I31)</f>
        <v>110</v>
      </c>
      <c r="J32" s="77">
        <f t="shared" si="16"/>
        <v>55</v>
      </c>
      <c r="K32" s="78">
        <f t="shared" si="16"/>
        <v>55</v>
      </c>
      <c r="L32" s="76">
        <f t="shared" si="16"/>
        <v>0</v>
      </c>
      <c r="M32" s="77">
        <f t="shared" si="16"/>
        <v>0</v>
      </c>
      <c r="N32" s="78">
        <f t="shared" si="16"/>
        <v>0</v>
      </c>
      <c r="O32" s="76">
        <f t="shared" ref="O32:T32" si="17">SUM(O12:O31)</f>
        <v>0</v>
      </c>
      <c r="P32" s="77">
        <f t="shared" si="17"/>
        <v>0</v>
      </c>
      <c r="Q32" s="78">
        <f t="shared" si="17"/>
        <v>0</v>
      </c>
      <c r="R32" s="76">
        <f t="shared" si="17"/>
        <v>0</v>
      </c>
      <c r="S32" s="77">
        <f t="shared" si="17"/>
        <v>0</v>
      </c>
      <c r="T32" s="78">
        <f t="shared" si="17"/>
        <v>0</v>
      </c>
      <c r="U32" s="76">
        <f t="shared" ref="U32:AI32" si="18">SUM(U12:U31)</f>
        <v>0</v>
      </c>
      <c r="V32" s="77">
        <f t="shared" si="18"/>
        <v>0</v>
      </c>
      <c r="W32" s="78">
        <f t="shared" si="18"/>
        <v>0</v>
      </c>
      <c r="X32" s="76">
        <f t="shared" si="18"/>
        <v>0</v>
      </c>
      <c r="Y32" s="77">
        <f t="shared" si="18"/>
        <v>0</v>
      </c>
      <c r="Z32" s="78">
        <f t="shared" si="18"/>
        <v>0</v>
      </c>
      <c r="AA32" s="76">
        <f t="shared" si="18"/>
        <v>0</v>
      </c>
      <c r="AB32" s="77">
        <f t="shared" si="18"/>
        <v>0</v>
      </c>
      <c r="AC32" s="78">
        <f t="shared" si="18"/>
        <v>0</v>
      </c>
      <c r="AD32" s="76">
        <f t="shared" si="18"/>
        <v>0</v>
      </c>
      <c r="AE32" s="77">
        <f t="shared" si="18"/>
        <v>0</v>
      </c>
      <c r="AF32" s="78">
        <f t="shared" si="18"/>
        <v>0</v>
      </c>
      <c r="AG32" s="76">
        <f t="shared" si="18"/>
        <v>0</v>
      </c>
      <c r="AH32" s="77">
        <f t="shared" si="18"/>
        <v>0</v>
      </c>
      <c r="AI32" s="78">
        <f t="shared" si="18"/>
        <v>0</v>
      </c>
      <c r="AJ32" s="76">
        <f t="shared" ref="AJ32:AO32" si="19">SUM(AJ12:AJ31)</f>
        <v>0</v>
      </c>
      <c r="AK32" s="77">
        <f t="shared" si="19"/>
        <v>0</v>
      </c>
      <c r="AL32" s="78">
        <f t="shared" si="19"/>
        <v>0</v>
      </c>
      <c r="AM32" s="76">
        <f t="shared" si="19"/>
        <v>0</v>
      </c>
      <c r="AN32" s="77">
        <f t="shared" si="19"/>
        <v>0</v>
      </c>
      <c r="AO32" s="78">
        <f t="shared" si="19"/>
        <v>0</v>
      </c>
      <c r="AP32" s="75">
        <f t="shared" si="15"/>
        <v>477</v>
      </c>
      <c r="AQ32" s="9">
        <f t="shared" si="13"/>
        <v>0.27572254335260116</v>
      </c>
      <c r="AR32" s="81"/>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O134"/>
  <sheetViews>
    <sheetView showZeros="0" view="pageBreakPreview" zoomScaleNormal="100" zoomScaleSheetLayoutView="100" workbookViewId="0"/>
  </sheetViews>
  <sheetFormatPr defaultColWidth="11.36328125" defaultRowHeight="18.75" customHeight="1" x14ac:dyDescent="0.2"/>
  <cols>
    <col min="1" max="1" width="2.7265625" style="39" customWidth="1"/>
    <col min="2" max="2" width="16.6328125" style="1" customWidth="1"/>
    <col min="3" max="3" width="8.90625" style="1" customWidth="1"/>
    <col min="4" max="4" width="2.26953125" style="1" customWidth="1"/>
    <col min="5" max="5" width="16.6328125" style="1" customWidth="1"/>
    <col min="6" max="6" width="4.36328125" style="1" customWidth="1"/>
    <col min="7" max="7" width="9" style="1" customWidth="1"/>
    <col min="8" max="8" width="16.6328125" style="1" customWidth="1"/>
    <col min="9" max="9" width="10.1796875" style="1" customWidth="1"/>
    <col min="10" max="16384" width="11.36328125" style="1"/>
  </cols>
  <sheetData>
    <row r="1" spans="1:9" ht="18.75" customHeight="1" x14ac:dyDescent="0.2">
      <c r="A1" s="39" t="s">
        <v>64</v>
      </c>
      <c r="I1" s="34" t="s">
        <v>105</v>
      </c>
    </row>
    <row r="2" spans="1:9" ht="18.75" customHeight="1" x14ac:dyDescent="0.2">
      <c r="G2" s="34" t="s">
        <v>108</v>
      </c>
      <c r="H2" s="90" t="str">
        <f>'様式１　プログラムを構成する授業科目'!C2</f>
        <v>福井県立大学</v>
      </c>
      <c r="I2" s="92"/>
    </row>
    <row r="3" spans="1:9" ht="18.75" customHeight="1" x14ac:dyDescent="0.2">
      <c r="G3" s="34"/>
      <c r="H3" s="10"/>
      <c r="I3" s="10"/>
    </row>
    <row r="4" spans="1:9" ht="18.649999999999999" customHeight="1" x14ac:dyDescent="0.2">
      <c r="A4" s="142" t="s">
        <v>35</v>
      </c>
      <c r="B4" s="142"/>
      <c r="C4" s="142"/>
      <c r="D4" s="142"/>
      <c r="E4" s="142"/>
      <c r="F4" s="142"/>
      <c r="G4" s="142"/>
      <c r="H4" s="142"/>
      <c r="I4" s="142"/>
    </row>
    <row r="5" spans="1:9" ht="13.25" customHeight="1" x14ac:dyDescent="0.2">
      <c r="B5" s="3"/>
      <c r="C5" s="3"/>
      <c r="D5" s="3"/>
      <c r="E5" s="3"/>
      <c r="F5" s="3"/>
      <c r="G5" s="3"/>
      <c r="H5" s="3"/>
      <c r="I5" s="3"/>
    </row>
    <row r="6" spans="1:9" ht="18" customHeight="1" x14ac:dyDescent="0.2">
      <c r="A6" s="1" t="s">
        <v>0</v>
      </c>
      <c r="B6" s="10" t="s">
        <v>90</v>
      </c>
      <c r="C6" s="207" t="s">
        <v>91</v>
      </c>
      <c r="D6" s="207"/>
      <c r="E6" s="33">
        <v>169</v>
      </c>
      <c r="F6" s="3" t="s">
        <v>1</v>
      </c>
      <c r="G6" s="3" t="s">
        <v>2</v>
      </c>
      <c r="H6" s="33">
        <v>156</v>
      </c>
      <c r="I6" s="10" t="s">
        <v>1</v>
      </c>
    </row>
    <row r="7" spans="1:9" ht="12" customHeight="1" x14ac:dyDescent="0.2">
      <c r="C7" s="2"/>
      <c r="D7" s="2"/>
      <c r="E7" s="2"/>
      <c r="F7" s="2"/>
      <c r="G7" s="2"/>
      <c r="H7" s="2"/>
      <c r="I7" s="40"/>
    </row>
    <row r="8" spans="1:9" ht="18" customHeight="1" x14ac:dyDescent="0.2">
      <c r="A8" s="1" t="s">
        <v>3</v>
      </c>
      <c r="B8" s="10" t="s">
        <v>92</v>
      </c>
      <c r="E8" s="3"/>
      <c r="F8" s="3"/>
      <c r="G8" s="3"/>
      <c r="H8" s="33">
        <v>9</v>
      </c>
      <c r="I8" s="10" t="s">
        <v>1</v>
      </c>
    </row>
    <row r="9" spans="1:9" ht="9" customHeight="1" x14ac:dyDescent="0.2">
      <c r="B9" s="3"/>
      <c r="C9" s="3"/>
      <c r="D9" s="3"/>
      <c r="E9" s="3"/>
      <c r="F9" s="3"/>
      <c r="G9" s="3"/>
      <c r="H9" s="3"/>
      <c r="I9" s="3"/>
    </row>
    <row r="10" spans="1:9" ht="18" customHeight="1" x14ac:dyDescent="0.2">
      <c r="A10" s="1" t="s">
        <v>4</v>
      </c>
      <c r="B10" s="10" t="s">
        <v>93</v>
      </c>
      <c r="C10" s="3"/>
      <c r="D10" s="3"/>
      <c r="E10" s="3"/>
      <c r="F10" s="3"/>
      <c r="G10" s="3"/>
      <c r="H10" s="3"/>
      <c r="I10" s="3"/>
    </row>
    <row r="11" spans="1:9" ht="18" customHeight="1" x14ac:dyDescent="0.2">
      <c r="B11" s="34" t="s">
        <v>42</v>
      </c>
      <c r="C11" s="202" t="s">
        <v>140</v>
      </c>
      <c r="D11" s="205"/>
      <c r="E11" s="206"/>
      <c r="F11" s="40"/>
      <c r="G11" s="34" t="s">
        <v>10</v>
      </c>
      <c r="H11" s="202" t="s">
        <v>139</v>
      </c>
      <c r="I11" s="206"/>
    </row>
    <row r="12" spans="1:9" ht="10.25" customHeight="1" x14ac:dyDescent="0.2">
      <c r="B12" s="34"/>
      <c r="C12" s="10"/>
      <c r="D12" s="40"/>
      <c r="E12" s="40"/>
      <c r="F12" s="40"/>
      <c r="G12" s="34"/>
      <c r="H12" s="10"/>
      <c r="I12" s="40"/>
    </row>
    <row r="13" spans="1:9" ht="18" customHeight="1" x14ac:dyDescent="0.2">
      <c r="A13" s="1" t="s">
        <v>7</v>
      </c>
      <c r="B13" s="10" t="s">
        <v>87</v>
      </c>
      <c r="C13" s="3"/>
      <c r="D13" s="3"/>
      <c r="E13" s="3"/>
      <c r="F13" s="3"/>
      <c r="G13" s="3"/>
      <c r="H13" s="3"/>
      <c r="I13" s="3"/>
    </row>
    <row r="14" spans="1:9" ht="18" customHeight="1" x14ac:dyDescent="0.2">
      <c r="B14" s="202" t="s">
        <v>149</v>
      </c>
      <c r="C14" s="203"/>
      <c r="D14" s="203"/>
      <c r="E14" s="203"/>
      <c r="F14" s="203"/>
      <c r="G14" s="203"/>
      <c r="H14" s="203"/>
      <c r="I14" s="204"/>
    </row>
    <row r="15" spans="1:9" ht="9" customHeight="1" x14ac:dyDescent="0.2">
      <c r="B15" s="3"/>
      <c r="C15" s="3"/>
      <c r="D15" s="3"/>
      <c r="E15" s="3"/>
      <c r="F15" s="3"/>
      <c r="G15" s="3"/>
      <c r="H15" s="3"/>
      <c r="I15" s="3"/>
    </row>
    <row r="16" spans="1:9" ht="18" customHeight="1" x14ac:dyDescent="0.2">
      <c r="B16" s="34" t="s">
        <v>42</v>
      </c>
      <c r="C16" s="202" t="s">
        <v>141</v>
      </c>
      <c r="D16" s="205"/>
      <c r="E16" s="206"/>
      <c r="F16" s="40"/>
      <c r="G16" s="34" t="s">
        <v>10</v>
      </c>
      <c r="H16" s="202" t="s">
        <v>142</v>
      </c>
      <c r="I16" s="206"/>
    </row>
    <row r="17" spans="1:9" ht="18" customHeight="1" x14ac:dyDescent="0.2">
      <c r="B17" s="3"/>
      <c r="C17" s="3"/>
      <c r="D17" s="3"/>
      <c r="E17" s="3"/>
      <c r="F17" s="3"/>
      <c r="G17" s="3"/>
      <c r="H17" s="3"/>
      <c r="I17" s="3"/>
    </row>
    <row r="18" spans="1:9" ht="18.75" customHeight="1" x14ac:dyDescent="0.2">
      <c r="A18" s="1" t="s">
        <v>5</v>
      </c>
      <c r="B18" s="1" t="s">
        <v>41</v>
      </c>
      <c r="I18" s="3"/>
    </row>
    <row r="19" spans="1:9" ht="41" customHeight="1" x14ac:dyDescent="0.2">
      <c r="A19" s="1"/>
      <c r="B19" s="117" t="s">
        <v>162</v>
      </c>
      <c r="C19" s="195"/>
      <c r="D19" s="195"/>
      <c r="E19" s="195"/>
      <c r="F19" s="195"/>
      <c r="G19" s="195"/>
      <c r="H19" s="195"/>
      <c r="I19" s="196"/>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5"/>
      <c r="B22" s="185" t="s">
        <v>173</v>
      </c>
      <c r="C22" s="186"/>
      <c r="D22" s="186"/>
      <c r="E22" s="186"/>
      <c r="F22" s="186"/>
      <c r="G22" s="186"/>
      <c r="H22" s="186"/>
      <c r="I22" s="187"/>
    </row>
    <row r="23" spans="1:9" ht="18.75" customHeight="1" x14ac:dyDescent="0.2">
      <c r="A23" s="15"/>
      <c r="B23" s="197"/>
      <c r="C23" s="198"/>
      <c r="D23" s="198"/>
      <c r="E23" s="198"/>
      <c r="F23" s="198"/>
      <c r="G23" s="198"/>
      <c r="H23" s="198"/>
      <c r="I23" s="190"/>
    </row>
    <row r="24" spans="1:9" ht="18.75" customHeight="1" x14ac:dyDescent="0.2">
      <c r="A24" s="15"/>
      <c r="B24" s="197"/>
      <c r="C24" s="198"/>
      <c r="D24" s="198"/>
      <c r="E24" s="198"/>
      <c r="F24" s="198"/>
      <c r="G24" s="198"/>
      <c r="H24" s="198"/>
      <c r="I24" s="190"/>
    </row>
    <row r="25" spans="1:9" ht="18.75" customHeight="1" x14ac:dyDescent="0.2">
      <c r="A25" s="15"/>
      <c r="B25" s="197"/>
      <c r="C25" s="198"/>
      <c r="D25" s="198"/>
      <c r="E25" s="198"/>
      <c r="F25" s="198"/>
      <c r="G25" s="198"/>
      <c r="H25" s="198"/>
      <c r="I25" s="190"/>
    </row>
    <row r="26" spans="1:9" ht="18.75" customHeight="1" x14ac:dyDescent="0.2">
      <c r="A26" s="15"/>
      <c r="B26" s="197"/>
      <c r="C26" s="198"/>
      <c r="D26" s="198"/>
      <c r="E26" s="198"/>
      <c r="F26" s="198"/>
      <c r="G26" s="198"/>
      <c r="H26" s="198"/>
      <c r="I26" s="190"/>
    </row>
    <row r="27" spans="1:9" ht="18.75" customHeight="1" x14ac:dyDescent="0.2">
      <c r="A27" s="15"/>
      <c r="B27" s="197"/>
      <c r="C27" s="198"/>
      <c r="D27" s="198"/>
      <c r="E27" s="198"/>
      <c r="F27" s="198"/>
      <c r="G27" s="198"/>
      <c r="H27" s="198"/>
      <c r="I27" s="190"/>
    </row>
    <row r="28" spans="1:9" ht="18.75" customHeight="1" x14ac:dyDescent="0.2">
      <c r="A28" s="15"/>
      <c r="B28" s="197"/>
      <c r="C28" s="198"/>
      <c r="D28" s="198"/>
      <c r="E28" s="198"/>
      <c r="F28" s="198"/>
      <c r="G28" s="198"/>
      <c r="H28" s="198"/>
      <c r="I28" s="190"/>
    </row>
    <row r="29" spans="1:9" ht="18.75" customHeight="1" x14ac:dyDescent="0.2">
      <c r="A29" s="15"/>
      <c r="B29" s="197"/>
      <c r="C29" s="198"/>
      <c r="D29" s="198"/>
      <c r="E29" s="198"/>
      <c r="F29" s="198"/>
      <c r="G29" s="198"/>
      <c r="H29" s="198"/>
      <c r="I29" s="190"/>
    </row>
    <row r="30" spans="1:9" ht="18.75" customHeight="1" x14ac:dyDescent="0.2">
      <c r="A30" s="15"/>
      <c r="B30" s="188"/>
      <c r="C30" s="189"/>
      <c r="D30" s="189"/>
      <c r="E30" s="189"/>
      <c r="F30" s="189"/>
      <c r="G30" s="189"/>
      <c r="H30" s="189"/>
      <c r="I30" s="190"/>
    </row>
    <row r="31" spans="1:9" ht="18.75" customHeight="1" x14ac:dyDescent="0.2">
      <c r="A31" s="15"/>
      <c r="B31" s="188"/>
      <c r="C31" s="189"/>
      <c r="D31" s="189"/>
      <c r="E31" s="189"/>
      <c r="F31" s="189"/>
      <c r="G31" s="189"/>
      <c r="H31" s="189"/>
      <c r="I31" s="190"/>
    </row>
    <row r="32" spans="1:9" ht="18.75" customHeight="1" x14ac:dyDescent="0.2">
      <c r="A32" s="15"/>
      <c r="B32" s="191"/>
      <c r="C32" s="192"/>
      <c r="D32" s="192"/>
      <c r="E32" s="192"/>
      <c r="F32" s="192"/>
      <c r="G32" s="192"/>
      <c r="H32" s="192"/>
      <c r="I32" s="193"/>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6"/>
      <c r="B35" s="218" t="s">
        <v>179</v>
      </c>
      <c r="C35" s="219"/>
      <c r="D35" s="219"/>
      <c r="E35" s="219"/>
      <c r="F35" s="219"/>
      <c r="G35" s="219"/>
      <c r="H35" s="219"/>
      <c r="I35" s="220"/>
    </row>
    <row r="36" spans="1:9" ht="18.75" customHeight="1" x14ac:dyDescent="0.2">
      <c r="A36" s="16"/>
      <c r="B36" s="221"/>
      <c r="C36" s="222"/>
      <c r="D36" s="222"/>
      <c r="E36" s="222"/>
      <c r="F36" s="222"/>
      <c r="G36" s="222"/>
      <c r="H36" s="222"/>
      <c r="I36" s="223"/>
    </row>
    <row r="37" spans="1:9" ht="18.75" customHeight="1" x14ac:dyDescent="0.2">
      <c r="A37" s="16"/>
      <c r="B37" s="221"/>
      <c r="C37" s="222"/>
      <c r="D37" s="222"/>
      <c r="E37" s="222"/>
      <c r="F37" s="222"/>
      <c r="G37" s="222"/>
      <c r="H37" s="222"/>
      <c r="I37" s="223"/>
    </row>
    <row r="38" spans="1:9" ht="18.75" customHeight="1" x14ac:dyDescent="0.2">
      <c r="A38" s="16"/>
      <c r="B38" s="221"/>
      <c r="C38" s="222"/>
      <c r="D38" s="222"/>
      <c r="E38" s="222"/>
      <c r="F38" s="222"/>
      <c r="G38" s="222"/>
      <c r="H38" s="222"/>
      <c r="I38" s="223"/>
    </row>
    <row r="39" spans="1:9" ht="18.75" customHeight="1" x14ac:dyDescent="0.2">
      <c r="A39" s="16"/>
      <c r="B39" s="221"/>
      <c r="C39" s="222"/>
      <c r="D39" s="222"/>
      <c r="E39" s="222"/>
      <c r="F39" s="222"/>
      <c r="G39" s="222"/>
      <c r="H39" s="222"/>
      <c r="I39" s="223"/>
    </row>
    <row r="40" spans="1:9" ht="18.75" customHeight="1" x14ac:dyDescent="0.2">
      <c r="A40" s="16"/>
      <c r="B40" s="221"/>
      <c r="C40" s="222"/>
      <c r="D40" s="222"/>
      <c r="E40" s="222"/>
      <c r="F40" s="222"/>
      <c r="G40" s="222"/>
      <c r="H40" s="222"/>
      <c r="I40" s="223"/>
    </row>
    <row r="41" spans="1:9" ht="18.75" customHeight="1" x14ac:dyDescent="0.2">
      <c r="A41" s="16"/>
      <c r="B41" s="221"/>
      <c r="C41" s="222"/>
      <c r="D41" s="222"/>
      <c r="E41" s="222"/>
      <c r="F41" s="222"/>
      <c r="G41" s="222"/>
      <c r="H41" s="222"/>
      <c r="I41" s="223"/>
    </row>
    <row r="42" spans="1:9" ht="18.75" customHeight="1" x14ac:dyDescent="0.2">
      <c r="A42" s="16"/>
      <c r="B42" s="221"/>
      <c r="C42" s="222"/>
      <c r="D42" s="222"/>
      <c r="E42" s="222"/>
      <c r="F42" s="222"/>
      <c r="G42" s="222"/>
      <c r="H42" s="222"/>
      <c r="I42" s="223"/>
    </row>
    <row r="43" spans="1:9" ht="18.75" customHeight="1" x14ac:dyDescent="0.2">
      <c r="A43" s="16"/>
      <c r="B43" s="221"/>
      <c r="C43" s="222"/>
      <c r="D43" s="222"/>
      <c r="E43" s="222"/>
      <c r="F43" s="222"/>
      <c r="G43" s="222"/>
      <c r="H43" s="222"/>
      <c r="I43" s="223"/>
    </row>
    <row r="44" spans="1:9" ht="18.75" customHeight="1" x14ac:dyDescent="0.2">
      <c r="A44" s="16"/>
      <c r="B44" s="221"/>
      <c r="C44" s="222"/>
      <c r="D44" s="222"/>
      <c r="E44" s="222"/>
      <c r="F44" s="222"/>
      <c r="G44" s="222"/>
      <c r="H44" s="222"/>
      <c r="I44" s="223"/>
    </row>
    <row r="45" spans="1:9" ht="18.75" customHeight="1" x14ac:dyDescent="0.2">
      <c r="A45" s="16"/>
      <c r="B45" s="221"/>
      <c r="C45" s="222"/>
      <c r="D45" s="222"/>
      <c r="E45" s="222"/>
      <c r="F45" s="222"/>
      <c r="G45" s="222"/>
      <c r="H45" s="222"/>
      <c r="I45" s="223"/>
    </row>
    <row r="46" spans="1:9" ht="398.5" customHeight="1" x14ac:dyDescent="0.2">
      <c r="A46" s="16"/>
      <c r="B46" s="224"/>
      <c r="C46" s="225"/>
      <c r="D46" s="225"/>
      <c r="E46" s="225"/>
      <c r="F46" s="225"/>
      <c r="G46" s="225"/>
      <c r="H46" s="225"/>
      <c r="I46" s="226"/>
    </row>
    <row r="47" spans="1:9" ht="7.5" customHeight="1" x14ac:dyDescent="0.2">
      <c r="A47" s="4"/>
      <c r="B47" s="4"/>
      <c r="C47" s="4"/>
      <c r="D47" s="4"/>
      <c r="E47" s="4"/>
      <c r="F47" s="4"/>
      <c r="G47" s="4"/>
      <c r="H47" s="4"/>
      <c r="I47" s="4"/>
    </row>
    <row r="48" spans="1:9" ht="18.75" customHeight="1" x14ac:dyDescent="0.2">
      <c r="A48" s="1" t="s">
        <v>30</v>
      </c>
      <c r="B48" s="1" t="s">
        <v>121</v>
      </c>
    </row>
    <row r="49" spans="1:15" s="3" customFormat="1" ht="18.75" customHeight="1" x14ac:dyDescent="0.2">
      <c r="B49" s="41" t="s">
        <v>88</v>
      </c>
      <c r="C49" s="234">
        <f>'様式２ 履修者等数の実績'!AQ32</f>
        <v>0.27572254335260116</v>
      </c>
      <c r="D49" s="234"/>
      <c r="E49" s="41" t="s">
        <v>65</v>
      </c>
      <c r="F49" s="234">
        <v>0.5</v>
      </c>
      <c r="G49" s="234"/>
      <c r="H49" s="41" t="s">
        <v>66</v>
      </c>
      <c r="I49" s="80">
        <v>0.75</v>
      </c>
      <c r="J49" s="1"/>
      <c r="M49" s="1"/>
      <c r="N49" s="42"/>
    </row>
    <row r="50" spans="1:15" s="3" customFormat="1" ht="18.75" customHeight="1" x14ac:dyDescent="0.2">
      <c r="B50" s="43" t="s">
        <v>67</v>
      </c>
      <c r="C50" s="208">
        <v>1</v>
      </c>
      <c r="D50" s="208"/>
      <c r="E50" s="43" t="s">
        <v>89</v>
      </c>
      <c r="F50" s="208">
        <v>1</v>
      </c>
      <c r="G50" s="208"/>
      <c r="H50" s="43" t="s">
        <v>68</v>
      </c>
      <c r="I50" s="44">
        <f>'様式２ 履修者等数の実績'!E32</f>
        <v>1730</v>
      </c>
      <c r="J50" s="1"/>
      <c r="M50" s="1"/>
      <c r="N50" s="42"/>
    </row>
    <row r="51" spans="1:15" ht="18.75" customHeight="1" x14ac:dyDescent="0.2">
      <c r="A51" s="1"/>
      <c r="B51" s="199" t="s">
        <v>69</v>
      </c>
      <c r="C51" s="200"/>
      <c r="D51" s="200"/>
      <c r="E51" s="200"/>
      <c r="F51" s="200"/>
      <c r="G51" s="200"/>
      <c r="H51" s="200"/>
      <c r="I51" s="201"/>
      <c r="N51" s="42"/>
      <c r="O51" s="3"/>
    </row>
    <row r="52" spans="1:15" ht="18.75" customHeight="1" x14ac:dyDescent="0.2">
      <c r="A52" s="1"/>
      <c r="B52" s="235" t="s">
        <v>174</v>
      </c>
      <c r="C52" s="236"/>
      <c r="D52" s="236"/>
      <c r="E52" s="236"/>
      <c r="F52" s="236"/>
      <c r="G52" s="236"/>
      <c r="H52" s="236"/>
      <c r="I52" s="237"/>
      <c r="N52" s="42"/>
      <c r="O52" s="3"/>
    </row>
    <row r="53" spans="1:15" ht="18.75" customHeight="1" x14ac:dyDescent="0.2">
      <c r="A53" s="1"/>
      <c r="B53" s="238"/>
      <c r="C53" s="239"/>
      <c r="D53" s="239"/>
      <c r="E53" s="239"/>
      <c r="F53" s="239"/>
      <c r="G53" s="239"/>
      <c r="H53" s="239"/>
      <c r="I53" s="240"/>
      <c r="N53" s="42"/>
      <c r="O53" s="3"/>
    </row>
    <row r="54" spans="1:15" ht="18.75" customHeight="1" x14ac:dyDescent="0.2">
      <c r="A54" s="1"/>
      <c r="B54" s="238"/>
      <c r="C54" s="239"/>
      <c r="D54" s="239"/>
      <c r="E54" s="239"/>
      <c r="F54" s="239"/>
      <c r="G54" s="239"/>
      <c r="H54" s="239"/>
      <c r="I54" s="240"/>
    </row>
    <row r="55" spans="1:15" ht="18.75" customHeight="1" x14ac:dyDescent="0.2">
      <c r="A55" s="1"/>
      <c r="B55" s="238"/>
      <c r="C55" s="239"/>
      <c r="D55" s="239"/>
      <c r="E55" s="239"/>
      <c r="F55" s="239"/>
      <c r="G55" s="239"/>
      <c r="H55" s="239"/>
      <c r="I55" s="240"/>
    </row>
    <row r="56" spans="1:15" ht="18.75" customHeight="1" x14ac:dyDescent="0.2">
      <c r="A56" s="1"/>
      <c r="B56" s="238"/>
      <c r="C56" s="239"/>
      <c r="D56" s="239"/>
      <c r="E56" s="239"/>
      <c r="F56" s="239"/>
      <c r="G56" s="239"/>
      <c r="H56" s="239"/>
      <c r="I56" s="240"/>
    </row>
    <row r="57" spans="1:15" ht="18.75" customHeight="1" x14ac:dyDescent="0.2">
      <c r="A57" s="1"/>
      <c r="B57" s="238"/>
      <c r="C57" s="239"/>
      <c r="D57" s="239"/>
      <c r="E57" s="239"/>
      <c r="F57" s="239"/>
      <c r="G57" s="239"/>
      <c r="H57" s="239"/>
      <c r="I57" s="240"/>
    </row>
    <row r="58" spans="1:15" ht="18.75" customHeight="1" x14ac:dyDescent="0.2">
      <c r="A58" s="1"/>
      <c r="B58" s="238"/>
      <c r="C58" s="239"/>
      <c r="D58" s="239"/>
      <c r="E58" s="239"/>
      <c r="F58" s="239"/>
      <c r="G58" s="239"/>
      <c r="H58" s="239"/>
      <c r="I58" s="240"/>
    </row>
    <row r="59" spans="1:15" ht="18.75" customHeight="1" x14ac:dyDescent="0.2">
      <c r="A59" s="1"/>
      <c r="B59" s="238"/>
      <c r="C59" s="239"/>
      <c r="D59" s="239"/>
      <c r="E59" s="239"/>
      <c r="F59" s="239"/>
      <c r="G59" s="239"/>
      <c r="H59" s="239"/>
      <c r="I59" s="240"/>
    </row>
    <row r="60" spans="1:15" ht="18.75" customHeight="1" x14ac:dyDescent="0.2">
      <c r="A60" s="1"/>
      <c r="B60" s="238"/>
      <c r="C60" s="239"/>
      <c r="D60" s="239"/>
      <c r="E60" s="239"/>
      <c r="F60" s="239"/>
      <c r="G60" s="239"/>
      <c r="H60" s="239"/>
      <c r="I60" s="240"/>
    </row>
    <row r="61" spans="1:15" ht="18.75" customHeight="1" x14ac:dyDescent="0.2">
      <c r="A61" s="1"/>
      <c r="B61" s="238"/>
      <c r="C61" s="239"/>
      <c r="D61" s="239"/>
      <c r="E61" s="239"/>
      <c r="F61" s="239"/>
      <c r="G61" s="239"/>
      <c r="H61" s="239"/>
      <c r="I61" s="240"/>
    </row>
    <row r="62" spans="1:15" ht="18.75" customHeight="1" x14ac:dyDescent="0.2">
      <c r="A62" s="1"/>
      <c r="B62" s="238"/>
      <c r="C62" s="239"/>
      <c r="D62" s="239"/>
      <c r="E62" s="239"/>
      <c r="F62" s="239"/>
      <c r="G62" s="239"/>
      <c r="H62" s="239"/>
      <c r="I62" s="240"/>
    </row>
    <row r="63" spans="1:15" ht="38" customHeight="1" x14ac:dyDescent="0.2">
      <c r="A63" s="1"/>
      <c r="B63" s="241"/>
      <c r="C63" s="242"/>
      <c r="D63" s="242"/>
      <c r="E63" s="242"/>
      <c r="F63" s="242"/>
      <c r="G63" s="242"/>
      <c r="H63" s="242"/>
      <c r="I63" s="243"/>
    </row>
    <row r="64" spans="1:15" ht="7.5" customHeight="1" x14ac:dyDescent="0.2">
      <c r="A64" s="15"/>
      <c r="B64" s="15"/>
      <c r="C64" s="15"/>
      <c r="D64" s="15"/>
      <c r="E64" s="15"/>
      <c r="F64" s="15"/>
      <c r="G64" s="15"/>
      <c r="H64" s="15"/>
      <c r="I64" s="15"/>
    </row>
    <row r="65" spans="1:9" ht="18.75" customHeight="1" x14ac:dyDescent="0.2">
      <c r="A65" s="16" t="s">
        <v>33</v>
      </c>
      <c r="B65" s="1" t="s">
        <v>36</v>
      </c>
      <c r="I65" s="16"/>
    </row>
    <row r="66" spans="1:9" ht="18.75" customHeight="1" x14ac:dyDescent="0.2">
      <c r="A66" s="4"/>
      <c r="B66" s="209" t="s">
        <v>176</v>
      </c>
      <c r="C66" s="210"/>
      <c r="D66" s="210"/>
      <c r="E66" s="210"/>
      <c r="F66" s="210"/>
      <c r="G66" s="210"/>
      <c r="H66" s="210"/>
      <c r="I66" s="211"/>
    </row>
    <row r="67" spans="1:9" ht="18.75" customHeight="1" x14ac:dyDescent="0.2">
      <c r="A67" s="4"/>
      <c r="B67" s="212"/>
      <c r="C67" s="213"/>
      <c r="D67" s="213"/>
      <c r="E67" s="213"/>
      <c r="F67" s="213"/>
      <c r="G67" s="213"/>
      <c r="H67" s="213"/>
      <c r="I67" s="214"/>
    </row>
    <row r="68" spans="1:9" ht="18.75" customHeight="1" x14ac:dyDescent="0.2">
      <c r="A68" s="4"/>
      <c r="B68" s="212"/>
      <c r="C68" s="213"/>
      <c r="D68" s="213"/>
      <c r="E68" s="213"/>
      <c r="F68" s="213"/>
      <c r="G68" s="213"/>
      <c r="H68" s="213"/>
      <c r="I68" s="214"/>
    </row>
    <row r="69" spans="1:9" ht="18.75" customHeight="1" x14ac:dyDescent="0.2">
      <c r="A69" s="4"/>
      <c r="B69" s="212"/>
      <c r="C69" s="213"/>
      <c r="D69" s="213"/>
      <c r="E69" s="213"/>
      <c r="F69" s="213"/>
      <c r="G69" s="213"/>
      <c r="H69" s="213"/>
      <c r="I69" s="214"/>
    </row>
    <row r="70" spans="1:9" ht="18.75" customHeight="1" x14ac:dyDescent="0.2">
      <c r="A70" s="4"/>
      <c r="B70" s="212"/>
      <c r="C70" s="213"/>
      <c r="D70" s="213"/>
      <c r="E70" s="213"/>
      <c r="F70" s="213"/>
      <c r="G70" s="213"/>
      <c r="H70" s="213"/>
      <c r="I70" s="214"/>
    </row>
    <row r="71" spans="1:9" ht="18.75" customHeight="1" x14ac:dyDescent="0.2">
      <c r="A71" s="4"/>
      <c r="B71" s="212"/>
      <c r="C71" s="213"/>
      <c r="D71" s="213"/>
      <c r="E71" s="213"/>
      <c r="F71" s="213"/>
      <c r="G71" s="213"/>
      <c r="H71" s="213"/>
      <c r="I71" s="214"/>
    </row>
    <row r="72" spans="1:9" ht="18.75" customHeight="1" x14ac:dyDescent="0.2">
      <c r="A72" s="4"/>
      <c r="B72" s="212"/>
      <c r="C72" s="213"/>
      <c r="D72" s="213"/>
      <c r="E72" s="213"/>
      <c r="F72" s="213"/>
      <c r="G72" s="213"/>
      <c r="H72" s="213"/>
      <c r="I72" s="214"/>
    </row>
    <row r="73" spans="1:9" ht="18.75" customHeight="1" x14ac:dyDescent="0.2">
      <c r="A73" s="4"/>
      <c r="B73" s="212"/>
      <c r="C73" s="213"/>
      <c r="D73" s="213"/>
      <c r="E73" s="213"/>
      <c r="F73" s="213"/>
      <c r="G73" s="213"/>
      <c r="H73" s="213"/>
      <c r="I73" s="214"/>
    </row>
    <row r="74" spans="1:9" ht="18.75" customHeight="1" x14ac:dyDescent="0.2">
      <c r="A74" s="4"/>
      <c r="B74" s="212"/>
      <c r="C74" s="213"/>
      <c r="D74" s="213"/>
      <c r="E74" s="213"/>
      <c r="F74" s="213"/>
      <c r="G74" s="213"/>
      <c r="H74" s="213"/>
      <c r="I74" s="214"/>
    </row>
    <row r="75" spans="1:9" ht="18.75" customHeight="1" x14ac:dyDescent="0.2">
      <c r="A75" s="4"/>
      <c r="B75" s="212"/>
      <c r="C75" s="213"/>
      <c r="D75" s="213"/>
      <c r="E75" s="213"/>
      <c r="F75" s="213"/>
      <c r="G75" s="213"/>
      <c r="H75" s="213"/>
      <c r="I75" s="214"/>
    </row>
    <row r="76" spans="1:9" ht="18.75" customHeight="1" x14ac:dyDescent="0.2">
      <c r="A76" s="4"/>
      <c r="B76" s="212"/>
      <c r="C76" s="213"/>
      <c r="D76" s="213"/>
      <c r="E76" s="213"/>
      <c r="F76" s="213"/>
      <c r="G76" s="213"/>
      <c r="H76" s="213"/>
      <c r="I76" s="214"/>
    </row>
    <row r="77" spans="1:9" ht="18.75" customHeight="1" x14ac:dyDescent="0.2">
      <c r="A77" s="4"/>
      <c r="B77" s="215"/>
      <c r="C77" s="216"/>
      <c r="D77" s="216"/>
      <c r="E77" s="216"/>
      <c r="F77" s="216"/>
      <c r="G77" s="216"/>
      <c r="H77" s="216"/>
      <c r="I77" s="217"/>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209" t="s">
        <v>163</v>
      </c>
      <c r="C80" s="210"/>
      <c r="D80" s="210"/>
      <c r="E80" s="210"/>
      <c r="F80" s="210"/>
      <c r="G80" s="210"/>
      <c r="H80" s="210"/>
      <c r="I80" s="227"/>
    </row>
    <row r="81" spans="1:9" ht="18.75" customHeight="1" x14ac:dyDescent="0.2">
      <c r="A81" s="1"/>
      <c r="B81" s="228"/>
      <c r="C81" s="229"/>
      <c r="D81" s="229"/>
      <c r="E81" s="229"/>
      <c r="F81" s="229"/>
      <c r="G81" s="229"/>
      <c r="H81" s="229"/>
      <c r="I81" s="230"/>
    </row>
    <row r="82" spans="1:9" ht="18.75" customHeight="1" x14ac:dyDescent="0.2">
      <c r="A82" s="1"/>
      <c r="B82" s="228"/>
      <c r="C82" s="229"/>
      <c r="D82" s="229"/>
      <c r="E82" s="229"/>
      <c r="F82" s="229"/>
      <c r="G82" s="229"/>
      <c r="H82" s="229"/>
      <c r="I82" s="230"/>
    </row>
    <row r="83" spans="1:9" ht="18.75" customHeight="1" x14ac:dyDescent="0.2">
      <c r="A83" s="1"/>
      <c r="B83" s="228"/>
      <c r="C83" s="229"/>
      <c r="D83" s="229"/>
      <c r="E83" s="229"/>
      <c r="F83" s="229"/>
      <c r="G83" s="229"/>
      <c r="H83" s="229"/>
      <c r="I83" s="230"/>
    </row>
    <row r="84" spans="1:9" ht="18.75" customHeight="1" x14ac:dyDescent="0.2">
      <c r="A84" s="1"/>
      <c r="B84" s="228"/>
      <c r="C84" s="229"/>
      <c r="D84" s="229"/>
      <c r="E84" s="229"/>
      <c r="F84" s="229"/>
      <c r="G84" s="229"/>
      <c r="H84" s="229"/>
      <c r="I84" s="230"/>
    </row>
    <row r="85" spans="1:9" ht="18.75" customHeight="1" x14ac:dyDescent="0.2">
      <c r="A85" s="1"/>
      <c r="B85" s="228"/>
      <c r="C85" s="229"/>
      <c r="D85" s="229"/>
      <c r="E85" s="229"/>
      <c r="F85" s="229"/>
      <c r="G85" s="229"/>
      <c r="H85" s="229"/>
      <c r="I85" s="230"/>
    </row>
    <row r="86" spans="1:9" ht="18.75" customHeight="1" x14ac:dyDescent="0.2">
      <c r="A86" s="1"/>
      <c r="B86" s="228"/>
      <c r="C86" s="229"/>
      <c r="D86" s="229"/>
      <c r="E86" s="229"/>
      <c r="F86" s="229"/>
      <c r="G86" s="229"/>
      <c r="H86" s="229"/>
      <c r="I86" s="230"/>
    </row>
    <row r="87" spans="1:9" ht="18.75" customHeight="1" x14ac:dyDescent="0.2">
      <c r="A87" s="1"/>
      <c r="B87" s="228"/>
      <c r="C87" s="229"/>
      <c r="D87" s="229"/>
      <c r="E87" s="229"/>
      <c r="F87" s="229"/>
      <c r="G87" s="229"/>
      <c r="H87" s="229"/>
      <c r="I87" s="230"/>
    </row>
    <row r="88" spans="1:9" ht="18.75" customHeight="1" x14ac:dyDescent="0.2">
      <c r="A88" s="1"/>
      <c r="B88" s="228"/>
      <c r="C88" s="229"/>
      <c r="D88" s="229"/>
      <c r="E88" s="229"/>
      <c r="F88" s="229"/>
      <c r="G88" s="229"/>
      <c r="H88" s="229"/>
      <c r="I88" s="230"/>
    </row>
    <row r="89" spans="1:9" ht="18.75" customHeight="1" x14ac:dyDescent="0.2">
      <c r="A89" s="1"/>
      <c r="B89" s="228"/>
      <c r="C89" s="229"/>
      <c r="D89" s="229"/>
      <c r="E89" s="229"/>
      <c r="F89" s="229"/>
      <c r="G89" s="229"/>
      <c r="H89" s="229"/>
      <c r="I89" s="230"/>
    </row>
    <row r="90" spans="1:9" ht="18.75" customHeight="1" x14ac:dyDescent="0.2">
      <c r="A90" s="4"/>
      <c r="B90" s="228"/>
      <c r="C90" s="229"/>
      <c r="D90" s="229"/>
      <c r="E90" s="229"/>
      <c r="F90" s="229"/>
      <c r="G90" s="229"/>
      <c r="H90" s="229"/>
      <c r="I90" s="230"/>
    </row>
    <row r="91" spans="1:9" ht="18.75" customHeight="1" x14ac:dyDescent="0.2">
      <c r="A91" s="4"/>
      <c r="B91" s="231"/>
      <c r="C91" s="232"/>
      <c r="D91" s="232"/>
      <c r="E91" s="232"/>
      <c r="F91" s="232"/>
      <c r="G91" s="232"/>
      <c r="H91" s="232"/>
      <c r="I91" s="233"/>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185" t="s">
        <v>164</v>
      </c>
      <c r="C94" s="186"/>
      <c r="D94" s="186"/>
      <c r="E94" s="186"/>
      <c r="F94" s="186"/>
      <c r="G94" s="186"/>
      <c r="H94" s="186"/>
      <c r="I94" s="187"/>
    </row>
    <row r="95" spans="1:9" ht="18.75" customHeight="1" x14ac:dyDescent="0.2">
      <c r="A95" s="1"/>
      <c r="B95" s="188"/>
      <c r="C95" s="189"/>
      <c r="D95" s="189"/>
      <c r="E95" s="189"/>
      <c r="F95" s="189"/>
      <c r="G95" s="189"/>
      <c r="H95" s="189"/>
      <c r="I95" s="190"/>
    </row>
    <row r="96" spans="1:9" ht="18.75" customHeight="1" x14ac:dyDescent="0.2">
      <c r="A96" s="1"/>
      <c r="B96" s="188"/>
      <c r="C96" s="189"/>
      <c r="D96" s="189"/>
      <c r="E96" s="189"/>
      <c r="F96" s="189"/>
      <c r="G96" s="189"/>
      <c r="H96" s="189"/>
      <c r="I96" s="190"/>
    </row>
    <row r="97" spans="1:9" ht="18.75" customHeight="1" x14ac:dyDescent="0.2">
      <c r="A97" s="1"/>
      <c r="B97" s="188"/>
      <c r="C97" s="189"/>
      <c r="D97" s="189"/>
      <c r="E97" s="189"/>
      <c r="F97" s="189"/>
      <c r="G97" s="189"/>
      <c r="H97" s="189"/>
      <c r="I97" s="190"/>
    </row>
    <row r="98" spans="1:9" ht="18.75" customHeight="1" x14ac:dyDescent="0.2">
      <c r="A98" s="1"/>
      <c r="B98" s="188"/>
      <c r="C98" s="189"/>
      <c r="D98" s="189"/>
      <c r="E98" s="189"/>
      <c r="F98" s="189"/>
      <c r="G98" s="189"/>
      <c r="H98" s="189"/>
      <c r="I98" s="190"/>
    </row>
    <row r="99" spans="1:9" ht="18.75" customHeight="1" x14ac:dyDescent="0.2">
      <c r="A99" s="1"/>
      <c r="B99" s="188"/>
      <c r="C99" s="189"/>
      <c r="D99" s="189"/>
      <c r="E99" s="189"/>
      <c r="F99" s="189"/>
      <c r="G99" s="189"/>
      <c r="H99" s="189"/>
      <c r="I99" s="190"/>
    </row>
    <row r="100" spans="1:9" ht="18.75" customHeight="1" x14ac:dyDescent="0.2">
      <c r="A100" s="1"/>
      <c r="B100" s="188"/>
      <c r="C100" s="189"/>
      <c r="D100" s="189"/>
      <c r="E100" s="189"/>
      <c r="F100" s="189"/>
      <c r="G100" s="189"/>
      <c r="H100" s="189"/>
      <c r="I100" s="190"/>
    </row>
    <row r="101" spans="1:9" ht="18.75" customHeight="1" x14ac:dyDescent="0.2">
      <c r="A101" s="1"/>
      <c r="B101" s="188"/>
      <c r="C101" s="189"/>
      <c r="D101" s="189"/>
      <c r="E101" s="189"/>
      <c r="F101" s="189"/>
      <c r="G101" s="189"/>
      <c r="H101" s="189"/>
      <c r="I101" s="190"/>
    </row>
    <row r="102" spans="1:9" ht="18.75" customHeight="1" x14ac:dyDescent="0.2">
      <c r="A102" s="1"/>
      <c r="B102" s="188"/>
      <c r="C102" s="189"/>
      <c r="D102" s="189"/>
      <c r="E102" s="189"/>
      <c r="F102" s="189"/>
      <c r="G102" s="189"/>
      <c r="H102" s="189"/>
      <c r="I102" s="190"/>
    </row>
    <row r="103" spans="1:9" ht="18.75" customHeight="1" x14ac:dyDescent="0.2">
      <c r="A103" s="1"/>
      <c r="B103" s="188"/>
      <c r="C103" s="189"/>
      <c r="D103" s="189"/>
      <c r="E103" s="189"/>
      <c r="F103" s="189"/>
      <c r="G103" s="189"/>
      <c r="H103" s="189"/>
      <c r="I103" s="190"/>
    </row>
    <row r="104" spans="1:9" ht="18.75" customHeight="1" x14ac:dyDescent="0.2">
      <c r="A104" s="1"/>
      <c r="B104" s="188"/>
      <c r="C104" s="189"/>
      <c r="D104" s="189"/>
      <c r="E104" s="189"/>
      <c r="F104" s="189"/>
      <c r="G104" s="189"/>
      <c r="H104" s="189"/>
      <c r="I104" s="190"/>
    </row>
    <row r="105" spans="1:9" ht="18.75" customHeight="1" x14ac:dyDescent="0.2">
      <c r="A105" s="4"/>
      <c r="B105" s="191"/>
      <c r="C105" s="192"/>
      <c r="D105" s="192"/>
      <c r="E105" s="192"/>
      <c r="F105" s="192"/>
      <c r="G105" s="192"/>
      <c r="H105" s="192"/>
      <c r="I105" s="193"/>
    </row>
    <row r="106" spans="1:9" ht="7.5" customHeight="1" x14ac:dyDescent="0.2">
      <c r="A106" s="4"/>
      <c r="B106" s="4"/>
      <c r="C106" s="4"/>
      <c r="D106" s="4"/>
      <c r="E106" s="4"/>
      <c r="F106" s="4"/>
      <c r="G106" s="4"/>
      <c r="H106" s="4"/>
      <c r="I106" s="4"/>
    </row>
    <row r="107" spans="1:9" ht="18.75" customHeight="1" x14ac:dyDescent="0.2">
      <c r="A107" s="1" t="s">
        <v>29</v>
      </c>
      <c r="B107" s="194" t="s">
        <v>45</v>
      </c>
      <c r="C107" s="194"/>
      <c r="D107" s="194"/>
      <c r="E107" s="194"/>
      <c r="F107" s="194"/>
      <c r="G107" s="194"/>
      <c r="H107" s="194"/>
      <c r="I107" s="194"/>
    </row>
    <row r="108" spans="1:9" ht="18.75" customHeight="1" x14ac:dyDescent="0.2">
      <c r="A108" s="4"/>
      <c r="B108" s="185" t="s">
        <v>165</v>
      </c>
      <c r="C108" s="186"/>
      <c r="D108" s="186"/>
      <c r="E108" s="186"/>
      <c r="F108" s="186"/>
      <c r="G108" s="186"/>
      <c r="H108" s="186"/>
      <c r="I108" s="187"/>
    </row>
    <row r="109" spans="1:9" ht="18.75" customHeight="1" x14ac:dyDescent="0.2">
      <c r="A109" s="4"/>
      <c r="B109" s="188"/>
      <c r="C109" s="189"/>
      <c r="D109" s="189"/>
      <c r="E109" s="189"/>
      <c r="F109" s="189"/>
      <c r="G109" s="189"/>
      <c r="H109" s="189"/>
      <c r="I109" s="190"/>
    </row>
    <row r="110" spans="1:9" ht="18.75" customHeight="1" x14ac:dyDescent="0.2">
      <c r="A110" s="4"/>
      <c r="B110" s="188"/>
      <c r="C110" s="189"/>
      <c r="D110" s="189"/>
      <c r="E110" s="189"/>
      <c r="F110" s="189"/>
      <c r="G110" s="189"/>
      <c r="H110" s="189"/>
      <c r="I110" s="190"/>
    </row>
    <row r="111" spans="1:9" ht="18.75" customHeight="1" x14ac:dyDescent="0.2">
      <c r="A111" s="4"/>
      <c r="B111" s="188"/>
      <c r="C111" s="189"/>
      <c r="D111" s="189"/>
      <c r="E111" s="189"/>
      <c r="F111" s="189"/>
      <c r="G111" s="189"/>
      <c r="H111" s="189"/>
      <c r="I111" s="190"/>
    </row>
    <row r="112" spans="1:9" ht="18.75" customHeight="1" x14ac:dyDescent="0.2">
      <c r="A112" s="4"/>
      <c r="B112" s="188"/>
      <c r="C112" s="189"/>
      <c r="D112" s="189"/>
      <c r="E112" s="189"/>
      <c r="F112" s="189"/>
      <c r="G112" s="189"/>
      <c r="H112" s="189"/>
      <c r="I112" s="190"/>
    </row>
    <row r="113" spans="1:9" ht="18.75" customHeight="1" x14ac:dyDescent="0.2">
      <c r="A113" s="4"/>
      <c r="B113" s="188"/>
      <c r="C113" s="189"/>
      <c r="D113" s="189"/>
      <c r="E113" s="189"/>
      <c r="F113" s="189"/>
      <c r="G113" s="189"/>
      <c r="H113" s="189"/>
      <c r="I113" s="190"/>
    </row>
    <row r="114" spans="1:9" ht="18.75" customHeight="1" x14ac:dyDescent="0.2">
      <c r="A114" s="4"/>
      <c r="B114" s="188"/>
      <c r="C114" s="189"/>
      <c r="D114" s="189"/>
      <c r="E114" s="189"/>
      <c r="F114" s="189"/>
      <c r="G114" s="189"/>
      <c r="H114" s="189"/>
      <c r="I114" s="190"/>
    </row>
    <row r="115" spans="1:9" ht="18.75" customHeight="1" x14ac:dyDescent="0.2">
      <c r="A115" s="4"/>
      <c r="B115" s="188"/>
      <c r="C115" s="189"/>
      <c r="D115" s="189"/>
      <c r="E115" s="189"/>
      <c r="F115" s="189"/>
      <c r="G115" s="189"/>
      <c r="H115" s="189"/>
      <c r="I115" s="190"/>
    </row>
    <row r="116" spans="1:9" ht="18.75" customHeight="1" x14ac:dyDescent="0.2">
      <c r="A116" s="4"/>
      <c r="B116" s="188"/>
      <c r="C116" s="189"/>
      <c r="D116" s="189"/>
      <c r="E116" s="189"/>
      <c r="F116" s="189"/>
      <c r="G116" s="189"/>
      <c r="H116" s="189"/>
      <c r="I116" s="190"/>
    </row>
    <row r="117" spans="1:9" ht="18.75" customHeight="1" x14ac:dyDescent="0.2">
      <c r="A117" s="4"/>
      <c r="B117" s="188"/>
      <c r="C117" s="189"/>
      <c r="D117" s="189"/>
      <c r="E117" s="189"/>
      <c r="F117" s="189"/>
      <c r="G117" s="189"/>
      <c r="H117" s="189"/>
      <c r="I117" s="190"/>
    </row>
    <row r="118" spans="1:9" ht="18.75" customHeight="1" x14ac:dyDescent="0.2">
      <c r="A118" s="4"/>
      <c r="B118" s="188"/>
      <c r="C118" s="189"/>
      <c r="D118" s="189"/>
      <c r="E118" s="189"/>
      <c r="F118" s="189"/>
      <c r="G118" s="189"/>
      <c r="H118" s="189"/>
      <c r="I118" s="190"/>
    </row>
    <row r="119" spans="1:9" ht="18.75" customHeight="1" x14ac:dyDescent="0.2">
      <c r="A119" s="4"/>
      <c r="B119" s="191"/>
      <c r="C119" s="192"/>
      <c r="D119" s="192"/>
      <c r="E119" s="192"/>
      <c r="F119" s="192"/>
      <c r="G119" s="192"/>
      <c r="H119" s="192"/>
      <c r="I119" s="193"/>
    </row>
    <row r="120" spans="1:9" ht="7.5" customHeight="1" x14ac:dyDescent="0.2">
      <c r="A120" s="4"/>
      <c r="B120" s="45"/>
      <c r="C120" s="45"/>
      <c r="D120" s="45"/>
      <c r="E120" s="45"/>
      <c r="F120" s="45"/>
      <c r="G120" s="45"/>
      <c r="H120" s="45"/>
      <c r="I120" s="45"/>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 x14ac:dyDescent="0.2">
      <c r="A133" s="4"/>
      <c r="B133" s="4"/>
      <c r="C133" s="4"/>
      <c r="D133" s="4"/>
      <c r="E133" s="4"/>
      <c r="F133" s="4"/>
      <c r="G133" s="4"/>
      <c r="H133" s="4"/>
      <c r="I133" s="4"/>
    </row>
    <row r="134" spans="1:9" ht="7.5" customHeight="1" x14ac:dyDescent="0.2">
      <c r="A134" s="46"/>
      <c r="B134" s="46"/>
      <c r="C134" s="46"/>
      <c r="D134" s="46"/>
      <c r="E134" s="46"/>
      <c r="F134" s="46"/>
      <c r="G134" s="46"/>
      <c r="H134" s="46"/>
      <c r="I134" s="46"/>
    </row>
  </sheetData>
  <mergeCells count="22">
    <mergeCell ref="B35:I46"/>
    <mergeCell ref="B80:I91"/>
    <mergeCell ref="C49:D49"/>
    <mergeCell ref="C50:D50"/>
    <mergeCell ref="F49:G49"/>
    <mergeCell ref="B52:I63"/>
    <mergeCell ref="B94:I105"/>
    <mergeCell ref="B107:I107"/>
    <mergeCell ref="B108:I119"/>
    <mergeCell ref="H2:I2"/>
    <mergeCell ref="A4:I4"/>
    <mergeCell ref="B19:I19"/>
    <mergeCell ref="B22:I32"/>
    <mergeCell ref="B51:I51"/>
    <mergeCell ref="B14:I14"/>
    <mergeCell ref="C16:E16"/>
    <mergeCell ref="H16:I16"/>
    <mergeCell ref="C11:E11"/>
    <mergeCell ref="H11:I11"/>
    <mergeCell ref="C6:D6"/>
    <mergeCell ref="F50:G50"/>
    <mergeCell ref="B66:I77"/>
  </mergeCells>
  <phoneticPr fontId="1"/>
  <printOptions horizontalCentered="1"/>
  <pageMargins left="0.59055118110236227" right="0.59055118110236227" top="0.78740157480314965" bottom="0.39370078740157483" header="0.31496062992125984" footer="0.19685039370078741"/>
  <pageSetup paperSize="9" scale="90" fitToHeight="0" orientation="portrait" r:id="rId1"/>
  <headerFooter>
    <oddHeader>&amp;C数理・データサイエンス・AI教育プログラム認定制度【リテラシーレベル】</oddHeader>
  </headerFooter>
  <rowBreaks count="3" manualBreakCount="3">
    <brk id="33" max="16383" man="1"/>
    <brk id="47" max="16383" man="1"/>
    <brk id="9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heetViews>
  <sheetFormatPr defaultColWidth="11.36328125" defaultRowHeight="22.5" customHeight="1" x14ac:dyDescent="0.2"/>
  <cols>
    <col min="1" max="3" width="2.7265625" style="1" customWidth="1"/>
    <col min="4" max="4" width="22.26953125" style="1" customWidth="1"/>
    <col min="5" max="5" width="30.7265625" style="1" customWidth="1"/>
    <col min="6" max="7" width="7.7265625" style="1" customWidth="1"/>
    <col min="8" max="9" width="30.7265625" style="1" customWidth="1"/>
    <col min="10" max="10" width="4.08984375" style="1" customWidth="1"/>
    <col min="11" max="16384" width="11.36328125" style="1"/>
  </cols>
  <sheetData>
    <row r="1" spans="1:9" ht="18.75" customHeight="1" x14ac:dyDescent="0.2">
      <c r="A1" s="1" t="s">
        <v>70</v>
      </c>
      <c r="I1" s="34" t="s">
        <v>104</v>
      </c>
    </row>
    <row r="2" spans="1:9" ht="18.75" customHeight="1" x14ac:dyDescent="0.2">
      <c r="H2" s="34" t="s">
        <v>108</v>
      </c>
      <c r="I2" s="33" t="str">
        <f>'様式１　プログラムを構成する授業科目'!C2</f>
        <v>福井県立大学</v>
      </c>
    </row>
    <row r="3" spans="1:9" ht="18.75" customHeight="1" x14ac:dyDescent="0.2">
      <c r="A3" s="142" t="s">
        <v>27</v>
      </c>
      <c r="B3" s="142"/>
      <c r="C3" s="142"/>
      <c r="D3" s="142"/>
      <c r="E3" s="142"/>
      <c r="F3" s="142"/>
      <c r="G3" s="142"/>
      <c r="H3" s="142"/>
      <c r="I3" s="142"/>
    </row>
    <row r="4" spans="1:9" ht="18.75" customHeight="1" x14ac:dyDescent="0.2">
      <c r="A4" s="5"/>
      <c r="B4" s="5"/>
      <c r="C4" s="5"/>
      <c r="D4" s="5"/>
      <c r="E4" s="5"/>
      <c r="F4" s="5"/>
      <c r="G4" s="5"/>
      <c r="H4" s="5"/>
      <c r="I4" s="5"/>
    </row>
    <row r="5" spans="1:9" ht="18.75" customHeight="1" x14ac:dyDescent="0.2">
      <c r="A5" s="1" t="s">
        <v>0</v>
      </c>
      <c r="B5" s="10" t="s">
        <v>94</v>
      </c>
      <c r="C5" s="5"/>
      <c r="D5" s="5"/>
      <c r="E5" s="5"/>
      <c r="F5" s="5"/>
      <c r="G5" s="5"/>
      <c r="H5" s="5"/>
      <c r="I5" s="5"/>
    </row>
    <row r="6" spans="1:9" ht="18.75" customHeight="1" x14ac:dyDescent="0.2">
      <c r="A6" s="5"/>
      <c r="B6" s="202" t="s">
        <v>144</v>
      </c>
      <c r="C6" s="251"/>
      <c r="D6" s="251"/>
      <c r="E6" s="251"/>
      <c r="F6" s="251"/>
      <c r="G6" s="251"/>
      <c r="H6" s="252"/>
      <c r="I6" s="3"/>
    </row>
    <row r="7" spans="1:9" ht="9" customHeight="1" x14ac:dyDescent="0.2">
      <c r="A7" s="5"/>
      <c r="B7" s="10"/>
      <c r="C7" s="10"/>
      <c r="D7" s="10"/>
      <c r="E7" s="10"/>
      <c r="F7" s="10"/>
      <c r="G7" s="10"/>
      <c r="H7" s="10"/>
      <c r="I7" s="3"/>
    </row>
    <row r="8" spans="1:9" ht="18.75" customHeight="1" x14ac:dyDescent="0.2">
      <c r="A8" s="5"/>
      <c r="B8" s="3"/>
      <c r="C8" s="3"/>
      <c r="D8" s="34" t="s">
        <v>42</v>
      </c>
      <c r="E8" s="79" t="s">
        <v>147</v>
      </c>
      <c r="F8" s="3"/>
      <c r="G8" s="34" t="s">
        <v>10</v>
      </c>
      <c r="H8" s="79" t="s">
        <v>145</v>
      </c>
      <c r="I8" s="3"/>
    </row>
    <row r="9" spans="1:9" ht="16.5" x14ac:dyDescent="0.2">
      <c r="A9" s="5"/>
      <c r="B9" s="5"/>
      <c r="C9" s="5"/>
      <c r="D9" s="5"/>
      <c r="E9" s="83" t="s">
        <v>148</v>
      </c>
      <c r="F9" s="5"/>
      <c r="G9" s="5"/>
      <c r="H9" s="5"/>
      <c r="I9" s="5"/>
    </row>
    <row r="10" spans="1:9" ht="18.75" customHeight="1" x14ac:dyDescent="0.2">
      <c r="A10" s="1" t="s">
        <v>3</v>
      </c>
      <c r="B10" s="1" t="s">
        <v>151</v>
      </c>
      <c r="C10" s="4"/>
      <c r="D10" s="4"/>
      <c r="E10" s="4"/>
      <c r="F10" s="4"/>
      <c r="G10" s="4"/>
      <c r="H10" s="4"/>
      <c r="I10" s="4"/>
    </row>
    <row r="11" spans="1:9" ht="18.75" customHeight="1" x14ac:dyDescent="0.2">
      <c r="B11" s="90" t="s">
        <v>24</v>
      </c>
      <c r="C11" s="91"/>
      <c r="D11" s="92"/>
      <c r="E11" s="91" t="s">
        <v>26</v>
      </c>
      <c r="F11" s="91"/>
      <c r="G11" s="91"/>
      <c r="H11" s="91"/>
      <c r="I11" s="92"/>
    </row>
    <row r="12" spans="1:9" ht="26.25" customHeight="1" x14ac:dyDescent="0.2">
      <c r="B12" s="47" t="s">
        <v>14</v>
      </c>
      <c r="C12" s="54"/>
      <c r="D12" s="48"/>
      <c r="E12" s="55" t="s">
        <v>150</v>
      </c>
      <c r="F12" s="55"/>
      <c r="G12" s="55"/>
      <c r="H12" s="55"/>
      <c r="I12" s="48"/>
    </row>
    <row r="13" spans="1:9" ht="210.75" customHeight="1" x14ac:dyDescent="0.2">
      <c r="B13" s="49"/>
      <c r="C13" s="249" t="s">
        <v>15</v>
      </c>
      <c r="D13" s="250"/>
      <c r="E13" s="246" t="s">
        <v>166</v>
      </c>
      <c r="F13" s="247"/>
      <c r="G13" s="247"/>
      <c r="H13" s="247"/>
      <c r="I13" s="248"/>
    </row>
    <row r="14" spans="1:9" ht="210.75" customHeight="1" x14ac:dyDescent="0.2">
      <c r="B14" s="49"/>
      <c r="C14" s="244" t="s">
        <v>16</v>
      </c>
      <c r="D14" s="245"/>
      <c r="E14" s="246" t="s">
        <v>167</v>
      </c>
      <c r="F14" s="247"/>
      <c r="G14" s="247"/>
      <c r="H14" s="247"/>
      <c r="I14" s="248"/>
    </row>
    <row r="15" spans="1:9" ht="210.75" customHeight="1" x14ac:dyDescent="0.2">
      <c r="B15" s="49"/>
      <c r="C15" s="249" t="s">
        <v>17</v>
      </c>
      <c r="D15" s="250"/>
      <c r="E15" s="246" t="s">
        <v>177</v>
      </c>
      <c r="F15" s="247"/>
      <c r="G15" s="247"/>
      <c r="H15" s="247"/>
      <c r="I15" s="248"/>
    </row>
    <row r="16" spans="1:9" ht="210.75" customHeight="1" x14ac:dyDescent="0.2">
      <c r="B16" s="49"/>
      <c r="C16" s="249" t="s">
        <v>18</v>
      </c>
      <c r="D16" s="250"/>
      <c r="E16" s="246" t="s">
        <v>168</v>
      </c>
      <c r="F16" s="247"/>
      <c r="G16" s="247"/>
      <c r="H16" s="247"/>
      <c r="I16" s="248"/>
    </row>
    <row r="17" spans="2:9" ht="210.75" customHeight="1" x14ac:dyDescent="0.2">
      <c r="B17" s="50"/>
      <c r="C17" s="253" t="s">
        <v>19</v>
      </c>
      <c r="D17" s="254"/>
      <c r="E17" s="255" t="s">
        <v>175</v>
      </c>
      <c r="F17" s="256"/>
      <c r="G17" s="256"/>
      <c r="H17" s="256"/>
      <c r="I17" s="257"/>
    </row>
    <row r="18" spans="2:9" ht="24" customHeight="1" x14ac:dyDescent="0.2">
      <c r="B18" s="47" t="s">
        <v>20</v>
      </c>
      <c r="C18" s="51"/>
      <c r="D18" s="52"/>
      <c r="E18" s="53"/>
      <c r="F18" s="53"/>
      <c r="G18" s="53"/>
      <c r="H18" s="53"/>
      <c r="I18" s="56"/>
    </row>
    <row r="19" spans="2:9" ht="218.25" customHeight="1" x14ac:dyDescent="0.2">
      <c r="B19" s="49"/>
      <c r="C19" s="249" t="s">
        <v>21</v>
      </c>
      <c r="D19" s="250"/>
      <c r="E19" s="247" t="s">
        <v>169</v>
      </c>
      <c r="F19" s="247"/>
      <c r="G19" s="247"/>
      <c r="H19" s="247"/>
      <c r="I19" s="248"/>
    </row>
    <row r="20" spans="2:9" ht="218.25" customHeight="1" x14ac:dyDescent="0.2">
      <c r="B20" s="50"/>
      <c r="C20" s="253" t="s">
        <v>22</v>
      </c>
      <c r="D20" s="254"/>
      <c r="E20" s="256" t="s">
        <v>180</v>
      </c>
      <c r="F20" s="263"/>
      <c r="G20" s="263"/>
      <c r="H20" s="263"/>
      <c r="I20" s="264"/>
    </row>
    <row r="21" spans="2:9" ht="218.25" customHeight="1" x14ac:dyDescent="0.2">
      <c r="B21" s="265" t="s">
        <v>23</v>
      </c>
      <c r="C21" s="266"/>
      <c r="D21" s="267"/>
      <c r="E21" s="268" t="s">
        <v>181</v>
      </c>
      <c r="F21" s="268"/>
      <c r="G21" s="268"/>
      <c r="H21" s="268"/>
      <c r="I21" s="269"/>
    </row>
    <row r="22" spans="2:9" ht="218.25" customHeight="1" x14ac:dyDescent="0.2">
      <c r="B22" s="258" t="s">
        <v>37</v>
      </c>
      <c r="C22" s="259"/>
      <c r="D22" s="260"/>
      <c r="E22" s="261" t="s">
        <v>170</v>
      </c>
      <c r="F22" s="261"/>
      <c r="G22" s="261"/>
      <c r="H22" s="261"/>
      <c r="I22" s="262"/>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6"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01-1_福井県立大学_申請様式_リテラシー</dc:title>
  <dc:creator>文部科学省</dc:creator>
  <cp:lastModifiedBy>tokuno</cp:lastModifiedBy>
  <cp:lastPrinted>2023-05-10T03:46:41Z</cp:lastPrinted>
  <dcterms:created xsi:type="dcterms:W3CDTF">2011-06-14T05:32:50Z</dcterms:created>
  <dcterms:modified xsi:type="dcterms:W3CDTF">2023-05-10T03:52:27Z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